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ThisWorkbook"/>
  <mc:AlternateContent xmlns:mc="http://schemas.openxmlformats.org/markup-compatibility/2006">
    <mc:Choice Requires="x15">
      <x15ac:absPath xmlns:x15ac="http://schemas.microsoft.com/office/spreadsheetml/2010/11/ac" url="F:\CiV\Civ5-RED-Modpack\"/>
    </mc:Choice>
  </mc:AlternateContent>
  <bookViews>
    <workbookView xWindow="11160" yWindow="0" windowWidth="4200" windowHeight="8235" tabRatio="582"/>
  </bookViews>
  <sheets>
    <sheet name="Road to 100%" sheetId="3" r:id="rId1"/>
    <sheet name="Unit List" sheetId="2" r:id="rId2"/>
    <sheet name="Style List" sheetId="4" r:id="rId3"/>
    <sheet name="Unit Types" sheetId="6" r:id="rId4"/>
    <sheet name="Notes" sheetId="7" r:id="rId5"/>
  </sheets>
  <functionGroups builtInGroupCount="18"/>
  <calcPr calcId="162913"/>
</workbook>
</file>

<file path=xl/calcChain.xml><?xml version="1.0" encoding="utf-8"?>
<calcChain xmlns="http://schemas.openxmlformats.org/spreadsheetml/2006/main">
  <c r="A2250" i="2" l="1"/>
  <c r="A2249" i="2"/>
  <c r="A2248" i="2"/>
  <c r="A2228" i="2"/>
  <c r="A2227" i="2"/>
  <c r="A2226" i="2"/>
  <c r="A2225" i="2"/>
  <c r="A2224" i="2"/>
  <c r="A2240" i="2"/>
  <c r="A2239" i="2"/>
  <c r="A2238" i="2"/>
  <c r="A2237" i="2"/>
  <c r="A2236" i="2"/>
  <c r="A2235" i="2"/>
  <c r="A2234" i="2"/>
  <c r="A2219" i="2"/>
  <c r="A2218" i="2"/>
  <c r="A2243" i="2"/>
  <c r="A2242" i="2"/>
  <c r="A2241" i="2"/>
  <c r="A2233" i="2"/>
  <c r="A2232" i="2"/>
  <c r="A2231" i="2"/>
  <c r="A2230" i="2"/>
  <c r="A2229" i="2"/>
  <c r="A2223" i="2"/>
  <c r="A2222" i="2"/>
  <c r="A2221" i="2"/>
  <c r="A2220" i="2"/>
  <c r="A2217" i="2"/>
  <c r="A2209" i="2" l="1"/>
  <c r="A2214" i="2"/>
  <c r="A2186" i="2"/>
  <c r="A2208" i="2"/>
  <c r="A2216" i="2"/>
  <c r="A2215" i="2"/>
  <c r="A2213" i="2"/>
  <c r="A2212" i="2"/>
  <c r="A2211" i="2"/>
  <c r="A2210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070" i="2" l="1"/>
  <c r="A2063" i="2"/>
  <c r="A2069" i="2"/>
  <c r="A1929" i="2"/>
  <c r="A1928" i="2"/>
  <c r="A1933" i="2" l="1"/>
  <c r="A1932" i="2"/>
  <c r="A1931" i="2"/>
  <c r="A1930" i="2"/>
  <c r="A1951" i="2"/>
  <c r="A111" i="2"/>
  <c r="A1955" i="2"/>
  <c r="A2142" i="2"/>
  <c r="A2141" i="2"/>
  <c r="A2140" i="2"/>
  <c r="A2139" i="2"/>
  <c r="A2138" i="2"/>
  <c r="A2137" i="2"/>
  <c r="A2136" i="2"/>
  <c r="A2135" i="2"/>
  <c r="A2134" i="2"/>
  <c r="A2133" i="2"/>
  <c r="A2127" i="2"/>
  <c r="A2126" i="2"/>
  <c r="A2125" i="2"/>
  <c r="A2124" i="2"/>
  <c r="A2123" i="2"/>
  <c r="A2122" i="2"/>
  <c r="A2121" i="2"/>
  <c r="A2120" i="2"/>
  <c r="A2107" i="2"/>
  <c r="A2106" i="2"/>
  <c r="A2105" i="2"/>
  <c r="A2104" i="2"/>
  <c r="A2103" i="2"/>
  <c r="A2102" i="2"/>
  <c r="A2101" i="2"/>
  <c r="A2100" i="2"/>
  <c r="A2086" i="2"/>
  <c r="A2085" i="2"/>
  <c r="A2084" i="2"/>
  <c r="A2083" i="2"/>
  <c r="A2082" i="2"/>
  <c r="A2081" i="2"/>
  <c r="A2080" i="2"/>
  <c r="A2079" i="2"/>
  <c r="A1511" i="2"/>
  <c r="A1947" i="2"/>
  <c r="A1944" i="2"/>
  <c r="A1945" i="2"/>
  <c r="A1954" i="2"/>
  <c r="A779" i="2"/>
  <c r="A1673" i="2"/>
  <c r="A1972" i="2"/>
  <c r="A1966" i="2"/>
  <c r="A1965" i="2"/>
  <c r="A1964" i="2"/>
  <c r="A1971" i="2"/>
  <c r="A1970" i="2"/>
  <c r="A1969" i="2"/>
  <c r="A1968" i="2"/>
  <c r="A1967" i="2"/>
  <c r="A1148" i="2" l="1"/>
  <c r="A2247" i="2"/>
  <c r="A2246" i="2"/>
  <c r="A2245" i="2"/>
  <c r="A2244" i="2"/>
  <c r="A2173" i="2"/>
  <c r="A2157" i="2"/>
  <c r="A2145" i="2"/>
  <c r="A2108" i="2"/>
  <c r="A2091" i="2"/>
  <c r="A2001" i="2"/>
  <c r="A1998" i="2"/>
  <c r="A1963" i="2"/>
  <c r="A1982" i="2"/>
  <c r="A195" i="2" l="1"/>
  <c r="A198" i="2" l="1"/>
  <c r="A191" i="2"/>
  <c r="A1790" i="2" l="1"/>
  <c r="A1733" i="2"/>
  <c r="A1050" i="2"/>
  <c r="A261" i="2"/>
  <c r="A271" i="2"/>
  <c r="A274" i="2"/>
  <c r="A273" i="2"/>
  <c r="A272" i="2"/>
  <c r="A277" i="2"/>
  <c r="A276" i="2"/>
  <c r="A275" i="2"/>
  <c r="A264" i="2"/>
  <c r="A76" i="2"/>
  <c r="A75" i="2"/>
  <c r="A74" i="2"/>
  <c r="A73" i="2"/>
  <c r="A72" i="2"/>
  <c r="A71" i="2"/>
  <c r="A70" i="2"/>
  <c r="A69" i="2"/>
  <c r="A68" i="2"/>
  <c r="A58" i="2"/>
  <c r="A57" i="2"/>
  <c r="A56" i="2"/>
  <c r="A55" i="2"/>
  <c r="A54" i="2"/>
  <c r="A53" i="2"/>
  <c r="A52" i="2"/>
  <c r="A51" i="2"/>
  <c r="A50" i="2"/>
  <c r="A40" i="2"/>
  <c r="A39" i="2"/>
  <c r="A38" i="2"/>
  <c r="A37" i="2"/>
  <c r="A36" i="2"/>
  <c r="A35" i="2"/>
  <c r="A34" i="2"/>
  <c r="A33" i="2"/>
  <c r="A32" i="2"/>
  <c r="A22" i="2"/>
  <c r="A21" i="2"/>
  <c r="A20" i="2"/>
  <c r="A19" i="2"/>
  <c r="A18" i="2"/>
  <c r="A17" i="2"/>
  <c r="A16" i="2"/>
  <c r="A15" i="2"/>
  <c r="A14" i="2"/>
  <c r="A1980" i="2" l="1"/>
  <c r="A2174" i="2"/>
  <c r="A2158" i="2"/>
  <c r="A2146" i="2"/>
  <c r="A2109" i="2"/>
  <c r="A2090" i="2"/>
  <c r="A2061" i="2"/>
  <c r="A2014" i="2"/>
  <c r="A2000" i="2"/>
  <c r="A1997" i="2"/>
  <c r="A1991" i="2"/>
  <c r="A1981" i="2"/>
  <c r="A1949" i="2"/>
  <c r="A1962" i="2"/>
  <c r="A2159" i="2"/>
  <c r="A2160" i="2"/>
  <c r="A2161" i="2"/>
  <c r="A2162" i="2"/>
  <c r="A2163" i="2"/>
  <c r="A2164" i="2"/>
  <c r="A2165" i="2"/>
  <c r="A2166" i="2"/>
  <c r="A2167" i="2"/>
  <c r="A2093" i="2"/>
  <c r="A2096" i="2"/>
  <c r="A2095" i="2"/>
  <c r="A2098" i="2"/>
  <c r="A2097" i="2"/>
  <c r="A2114" i="2"/>
  <c r="A1116" i="2"/>
  <c r="A1043" i="2"/>
  <c r="A1576" i="2"/>
  <c r="A1701" i="2"/>
  <c r="A1816" i="2"/>
  <c r="A1891" i="2"/>
  <c r="A670" i="2"/>
  <c r="A810" i="2"/>
  <c r="A1046" i="2"/>
  <c r="A1090" i="2"/>
  <c r="A776" i="2"/>
  <c r="A564" i="2"/>
  <c r="A527" i="2"/>
  <c r="A394" i="2"/>
  <c r="A340" i="2"/>
  <c r="A310" i="2"/>
  <c r="A1865" i="2"/>
  <c r="A1678" i="2"/>
  <c r="A507" i="2"/>
  <c r="A378" i="2"/>
  <c r="A296" i="2"/>
  <c r="A1890" i="2"/>
  <c r="A1841" i="2"/>
  <c r="A1699" i="2"/>
  <c r="A1575" i="2"/>
  <c r="A1088" i="2"/>
  <c r="A666" i="2"/>
  <c r="A562" i="2"/>
  <c r="A526" i="2"/>
  <c r="A393" i="2"/>
  <c r="A339" i="2"/>
  <c r="A309" i="2"/>
  <c r="A1698" i="2"/>
  <c r="A1574" i="2"/>
  <c r="A1123" i="2"/>
  <c r="A524" i="2"/>
  <c r="A338" i="2"/>
  <c r="A1888" i="2"/>
  <c r="A1840" i="2"/>
  <c r="A1695" i="2"/>
  <c r="A1571" i="2"/>
  <c r="A1087" i="2"/>
  <c r="A804" i="2"/>
  <c r="A775" i="2"/>
  <c r="A774" i="2"/>
  <c r="A558" i="2"/>
  <c r="A522" i="2"/>
  <c r="A335" i="2"/>
  <c r="A307" i="2"/>
  <c r="A390" i="2"/>
  <c r="A1861" i="2"/>
  <c r="A1818" i="2"/>
  <c r="A1811" i="2"/>
  <c r="A1672" i="2"/>
  <c r="A1552" i="2"/>
  <c r="A1095" i="2"/>
  <c r="A1023" i="2"/>
  <c r="A778" i="2"/>
  <c r="A535" i="2"/>
  <c r="A637" i="2"/>
  <c r="A503" i="2"/>
  <c r="A374" i="2"/>
  <c r="A313" i="2"/>
  <c r="A292" i="2"/>
  <c r="A661" i="2"/>
  <c r="A2181" i="2"/>
  <c r="A2178" i="2"/>
  <c r="A2175" i="2"/>
  <c r="A2182" i="2"/>
  <c r="A2180" i="2"/>
  <c r="A2177" i="2"/>
  <c r="A2150" i="2"/>
  <c r="A2113" i="2"/>
  <c r="A2118" i="2"/>
  <c r="A2117" i="2"/>
  <c r="A2116" i="2"/>
  <c r="A2110" i="2"/>
  <c r="A2112" i="2"/>
  <c r="A2153" i="2"/>
  <c r="A2154" i="2"/>
  <c r="A2152" i="2"/>
  <c r="A2149" i="2"/>
  <c r="A2147" i="2"/>
  <c r="A2094" i="2" l="1"/>
  <c r="A2092" i="2"/>
  <c r="A2115" i="2"/>
  <c r="A2111" i="2"/>
  <c r="A2179" i="2"/>
  <c r="A2176" i="2"/>
  <c r="A2185" i="2"/>
  <c r="A2184" i="2"/>
  <c r="A2183" i="2"/>
  <c r="A2172" i="2"/>
  <c r="A2171" i="2"/>
  <c r="A2170" i="2"/>
  <c r="A2169" i="2"/>
  <c r="A2168" i="2"/>
  <c r="A2131" i="2"/>
  <c r="A2156" i="2"/>
  <c r="A2155" i="2"/>
  <c r="A2151" i="2"/>
  <c r="A2148" i="2"/>
  <c r="A2144" i="2"/>
  <c r="A2143" i="2"/>
  <c r="A2132" i="2"/>
  <c r="A2130" i="2"/>
  <c r="A2129" i="2"/>
  <c r="A2128" i="2"/>
  <c r="A2119" i="2"/>
  <c r="A2099" i="2"/>
  <c r="A2075" i="2"/>
  <c r="A2074" i="2"/>
  <c r="A2088" i="2"/>
  <c r="A2078" i="2"/>
  <c r="A2077" i="2"/>
  <c r="A2087" i="2"/>
  <c r="A2076" i="2"/>
  <c r="A2073" i="2"/>
  <c r="A2089" i="2"/>
  <c r="A2007" i="2" l="1"/>
  <c r="A2008" i="2"/>
  <c r="A2006" i="2"/>
  <c r="A2005" i="2"/>
  <c r="A2004" i="2"/>
  <c r="A2003" i="2"/>
  <c r="A2002" i="2"/>
  <c r="A2013" i="2" l="1"/>
  <c r="A2012" i="2"/>
  <c r="A2011" i="2"/>
  <c r="A2010" i="2"/>
  <c r="A2009" i="2"/>
  <c r="A1974" i="2" l="1"/>
  <c r="A1973" i="2"/>
  <c r="A1975" i="2"/>
  <c r="A357" i="2" l="1"/>
  <c r="A175" i="2" l="1"/>
  <c r="A2251" i="2"/>
  <c r="A2072" i="2"/>
  <c r="A2071" i="2"/>
  <c r="A2068" i="2"/>
  <c r="A2067" i="2"/>
  <c r="A2066" i="2"/>
  <c r="A2065" i="2"/>
  <c r="A2064" i="2"/>
  <c r="A2062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1999" i="2"/>
  <c r="A1996" i="2"/>
  <c r="A1995" i="2"/>
  <c r="A1994" i="2"/>
  <c r="A1993" i="2"/>
  <c r="A1992" i="2"/>
  <c r="A1990" i="2"/>
  <c r="A1989" i="2"/>
  <c r="A1988" i="2"/>
  <c r="A1987" i="2"/>
  <c r="A1986" i="2"/>
  <c r="A1985" i="2"/>
  <c r="A1984" i="2"/>
  <c r="A1983" i="2"/>
  <c r="A1979" i="2"/>
  <c r="A1978" i="2"/>
  <c r="A1977" i="2"/>
  <c r="A1976" i="2"/>
  <c r="A1961" i="2"/>
  <c r="A1960" i="2"/>
  <c r="A1959" i="2"/>
  <c r="A1958" i="2"/>
  <c r="A1957" i="2"/>
  <c r="A1956" i="2"/>
  <c r="A1953" i="2"/>
  <c r="A1952" i="2"/>
  <c r="A1950" i="2"/>
  <c r="A1948" i="2"/>
  <c r="A1946" i="2"/>
  <c r="A1943" i="2"/>
  <c r="A1942" i="2"/>
  <c r="A1941" i="2"/>
  <c r="A1940" i="2"/>
  <c r="A1939" i="2"/>
  <c r="A1938" i="2"/>
  <c r="A1937" i="2"/>
  <c r="A1936" i="2"/>
  <c r="A1935" i="2"/>
  <c r="A1934" i="2"/>
  <c r="A1927" i="2"/>
  <c r="A561" i="2" l="1"/>
  <c r="A1872" i="2" l="1"/>
  <c r="A1831" i="2"/>
  <c r="A1828" i="2"/>
  <c r="A1813" i="2"/>
  <c r="A1812" i="2"/>
  <c r="A1684" i="2"/>
  <c r="A1563" i="2"/>
  <c r="A1561" i="2"/>
  <c r="A1174" i="2"/>
  <c r="A1173" i="2"/>
  <c r="A383" i="2"/>
  <c r="A513" i="2"/>
  <c r="A1107" i="2"/>
  <c r="A1106" i="2"/>
  <c r="A1105" i="2"/>
  <c r="A1033" i="2"/>
  <c r="A1032" i="2"/>
  <c r="A1031" i="2"/>
  <c r="A1030" i="2"/>
  <c r="A789" i="2"/>
  <c r="A767" i="2"/>
  <c r="A764" i="2"/>
  <c r="A766" i="2"/>
  <c r="A648" i="2"/>
  <c r="A546" i="2"/>
  <c r="A544" i="2"/>
  <c r="A301" i="2"/>
  <c r="A300" i="2"/>
  <c r="A323" i="2"/>
  <c r="A325" i="2"/>
  <c r="A384" i="2"/>
  <c r="A382" i="2"/>
  <c r="A514" i="2"/>
  <c r="A512" i="2"/>
  <c r="A1871" i="2"/>
  <c r="A1815" i="2"/>
  <c r="A1814" i="2"/>
  <c r="A1836" i="2"/>
  <c r="A1839" i="2"/>
  <c r="A1830" i="2"/>
  <c r="A254" i="2" l="1"/>
  <c r="A805" i="2"/>
  <c r="A1034" i="2"/>
  <c r="A1908" i="2"/>
  <c r="A1907" i="2"/>
  <c r="A1906" i="2"/>
  <c r="A1905" i="2"/>
  <c r="A1922" i="2"/>
  <c r="A1921" i="2"/>
  <c r="A1919" i="2"/>
  <c r="A1920" i="2"/>
  <c r="A1883" i="2"/>
  <c r="A791" i="2"/>
  <c r="A1875" i="2"/>
  <c r="A1686" i="2"/>
  <c r="A1878" i="2"/>
  <c r="A1298" i="2" l="1"/>
  <c r="A1299" i="2"/>
  <c r="A1302" i="2"/>
  <c r="A1301" i="2"/>
  <c r="A1300" i="2"/>
  <c r="A1297" i="2"/>
  <c r="A160" i="2"/>
  <c r="A184" i="2"/>
  <c r="A825" i="2" l="1"/>
  <c r="A131" i="2"/>
  <c r="A130" i="2"/>
  <c r="A401" i="2" l="1"/>
  <c r="A197" i="2"/>
  <c r="A623" i="2"/>
  <c r="A622" i="2"/>
  <c r="A621" i="2"/>
  <c r="A624" i="2"/>
  <c r="A625" i="2"/>
  <c r="A626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1181" i="2"/>
  <c r="A1180" i="2"/>
  <c r="A1179" i="2"/>
  <c r="A1182" i="2"/>
  <c r="A1183" i="2"/>
  <c r="A1249" i="2"/>
  <c r="A1248" i="2"/>
  <c r="A1247" i="2"/>
  <c r="A1246" i="2"/>
  <c r="A408" i="2"/>
  <c r="A407" i="2"/>
  <c r="A88" i="2"/>
  <c r="A887" i="2"/>
  <c r="A350" i="2"/>
  <c r="A349" i="2"/>
  <c r="A348" i="2"/>
  <c r="A347" i="2"/>
  <c r="A1610" i="2"/>
  <c r="A826" i="2"/>
  <c r="A194" i="2"/>
  <c r="A1073" i="2"/>
  <c r="A193" i="2"/>
  <c r="A1609" i="2"/>
  <c r="A1608" i="2"/>
  <c r="A196" i="2"/>
  <c r="A368" i="2" l="1"/>
  <c r="A370" i="2"/>
  <c r="A1146" i="2" l="1"/>
  <c r="A886" i="2"/>
  <c r="A1649" i="2"/>
  <c r="A1648" i="2"/>
  <c r="A1647" i="2"/>
  <c r="A1646" i="2"/>
  <c r="A1645" i="2"/>
  <c r="A1644" i="2"/>
  <c r="A1458" i="2"/>
  <c r="A680" i="2"/>
  <c r="A679" i="2"/>
  <c r="A678" i="2"/>
  <c r="A1900" i="2"/>
  <c r="A1899" i="2"/>
  <c r="A1451" i="2"/>
  <c r="A1457" i="2"/>
  <c r="A1447" i="2"/>
  <c r="A1446" i="2"/>
  <c r="A1452" i="2"/>
  <c r="A1450" i="2"/>
  <c r="A1459" i="2"/>
  <c r="A359" i="2" l="1"/>
  <c r="A361" i="2"/>
  <c r="A362" i="2"/>
  <c r="A363" i="2"/>
  <c r="A369" i="2"/>
  <c r="A371" i="2"/>
  <c r="A1081" i="2"/>
  <c r="A1080" i="2"/>
  <c r="A1079" i="2"/>
  <c r="A1078" i="2"/>
  <c r="A1077" i="2"/>
  <c r="A1076" i="2"/>
  <c r="A1075" i="2"/>
  <c r="A1074" i="2"/>
  <c r="A1071" i="2"/>
  <c r="A1072" i="2"/>
  <c r="A1070" i="2"/>
  <c r="A601" i="2"/>
  <c r="A813" i="2"/>
  <c r="A217" i="2"/>
  <c r="A411" i="2"/>
  <c r="A898" i="2"/>
  <c r="A897" i="2"/>
  <c r="A896" i="2"/>
  <c r="A895" i="2"/>
  <c r="A894" i="2"/>
  <c r="A893" i="2"/>
  <c r="A403" i="2"/>
  <c r="A464" i="2"/>
  <c r="A1286" i="2"/>
  <c r="A677" i="2"/>
  <c r="A366" i="2"/>
  <c r="A847" i="2"/>
  <c r="A367" i="2"/>
  <c r="A372" i="2"/>
  <c r="A364" i="2"/>
  <c r="A360" i="2"/>
  <c r="A365" i="2"/>
  <c r="A1603" i="2"/>
  <c r="A1602" i="2"/>
  <c r="A1601" i="2"/>
  <c r="A1600" i="2"/>
  <c r="A1599" i="2"/>
  <c r="A1012" i="2"/>
  <c r="A542" i="2"/>
  <c r="A539" i="2"/>
  <c r="A318" i="2"/>
  <c r="A1147" i="2"/>
  <c r="A1145" i="2"/>
  <c r="A1705" i="2"/>
  <c r="A1089" i="2" l="1"/>
  <c r="A1084" i="2"/>
  <c r="A1016" i="2"/>
  <c r="A1011" i="2"/>
  <c r="A315" i="2"/>
  <c r="A1848" i="2"/>
  <c r="A1680" i="2"/>
  <c r="A1675" i="2"/>
  <c r="A1554" i="2"/>
  <c r="A1557" i="2"/>
  <c r="A1169" i="2"/>
  <c r="A1170" i="2"/>
  <c r="A641" i="2"/>
  <c r="A644" i="2"/>
  <c r="A631" i="2"/>
  <c r="A786" i="2"/>
  <c r="A642" i="2"/>
  <c r="A781" i="2"/>
  <c r="A785" i="2"/>
  <c r="A379" i="2"/>
  <c r="A376" i="2"/>
  <c r="A298" i="2"/>
  <c r="A294" i="2"/>
  <c r="A508" i="2"/>
  <c r="A505" i="2"/>
  <c r="A1054" i="2"/>
  <c r="A1055" i="2"/>
  <c r="A1056" i="2"/>
  <c r="A1456" i="2"/>
  <c r="A169" i="2"/>
  <c r="A1842" i="2"/>
  <c r="A756" i="2"/>
  <c r="A762" i="2"/>
  <c r="A759" i="2"/>
  <c r="A760" i="2"/>
  <c r="A757" i="2"/>
  <c r="A772" i="2"/>
  <c r="A758" i="2"/>
  <c r="A763" i="2"/>
  <c r="A765" i="2"/>
  <c r="A768" i="2"/>
  <c r="A769" i="2"/>
  <c r="A770" i="2"/>
  <c r="A761" i="2"/>
  <c r="A771" i="2"/>
  <c r="A773" i="2"/>
  <c r="A1843" i="2"/>
  <c r="A1823" i="2"/>
  <c r="A1838" i="2"/>
  <c r="A1821" i="2"/>
  <c r="A1837" i="2"/>
  <c r="A231" i="2" l="1"/>
  <c r="A375" i="2"/>
  <c r="A1553" i="2"/>
  <c r="A1862" i="2"/>
  <c r="A1819" i="2"/>
  <c r="A1573" i="2"/>
  <c r="A1177" i="2"/>
  <c r="A1168" i="2"/>
  <c r="A1122" i="2"/>
  <c r="A1096" i="2"/>
  <c r="A1024" i="2"/>
  <c r="A1042" i="2"/>
  <c r="A806" i="2"/>
  <c r="A780" i="2"/>
  <c r="A664" i="2"/>
  <c r="A638" i="2"/>
  <c r="A504" i="2"/>
  <c r="A525" i="2"/>
  <c r="A392" i="2"/>
  <c r="A337" i="2"/>
  <c r="A314" i="2"/>
  <c r="A308" i="2"/>
  <c r="A293" i="2"/>
  <c r="A302" i="2"/>
  <c r="A326" i="2"/>
  <c r="A385" i="2"/>
  <c r="A515" i="2"/>
  <c r="A547" i="2"/>
  <c r="A649" i="2"/>
  <c r="A792" i="2"/>
  <c r="A1175" i="2"/>
  <c r="A1687" i="2"/>
  <c r="A1564" i="2"/>
  <c r="A1108" i="2"/>
  <c r="A1013" i="2"/>
  <c r="A1910" i="2"/>
  <c r="A1876" i="2"/>
  <c r="A1832" i="2"/>
  <c r="A1852" i="2"/>
  <c r="A240" i="2"/>
  <c r="A238" i="2"/>
  <c r="A1518" i="2" l="1"/>
  <c r="A1517" i="2"/>
  <c r="A1516" i="2"/>
  <c r="A1515" i="2"/>
  <c r="A1514" i="2"/>
  <c r="A1513" i="2"/>
  <c r="A1277" i="2"/>
  <c r="A1276" i="2"/>
  <c r="A1275" i="2"/>
  <c r="A1274" i="2"/>
  <c r="A1273" i="2"/>
  <c r="A183" i="2"/>
  <c r="A249" i="2"/>
  <c r="A248" i="2"/>
  <c r="A1455" i="2"/>
  <c r="A1597" i="2"/>
  <c r="A1592" i="2"/>
  <c r="A1591" i="2"/>
  <c r="A1586" i="2"/>
  <c r="A1589" i="2"/>
  <c r="A1590" i="2"/>
  <c r="A1661" i="2"/>
  <c r="A1660" i="2"/>
  <c r="A1663" i="2"/>
  <c r="A1662" i="2"/>
  <c r="A1658" i="2"/>
  <c r="A728" i="2"/>
  <c r="A736" i="2"/>
  <c r="A727" i="2"/>
  <c r="A675" i="2"/>
  <c r="A674" i="2"/>
  <c r="A673" i="2"/>
  <c r="A730" i="2"/>
  <c r="A731" i="2"/>
  <c r="A665" i="2"/>
  <c r="A177" i="2"/>
  <c r="A1652" i="2"/>
  <c r="A1461" i="2"/>
  <c r="A166" i="2"/>
  <c r="A167" i="2"/>
  <c r="A42" i="2" l="1"/>
  <c r="A43" i="2"/>
  <c r="A44" i="2"/>
  <c r="A45" i="2"/>
  <c r="A46" i="2"/>
  <c r="A47" i="2"/>
  <c r="A48" i="2"/>
  <c r="A49" i="2"/>
  <c r="A59" i="2"/>
  <c r="A60" i="2"/>
  <c r="A61" i="2"/>
  <c r="A62" i="2"/>
  <c r="A63" i="2"/>
  <c r="A64" i="2"/>
  <c r="A65" i="2"/>
  <c r="A66" i="2"/>
  <c r="A67" i="2"/>
  <c r="A77" i="2"/>
  <c r="A78" i="2"/>
  <c r="A79" i="2"/>
  <c r="A80" i="2"/>
  <c r="A81" i="2"/>
  <c r="A82" i="2"/>
  <c r="A83" i="2"/>
  <c r="A84" i="2"/>
  <c r="A85" i="2"/>
  <c r="A86" i="2"/>
  <c r="A87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70" i="2"/>
  <c r="A112" i="2"/>
  <c r="A1604" i="2"/>
  <c r="A1605" i="2"/>
  <c r="A1606" i="2"/>
  <c r="A1607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1" i="2"/>
  <c r="A162" i="2"/>
  <c r="A163" i="2"/>
  <c r="A164" i="2"/>
  <c r="A165" i="2"/>
  <c r="A168" i="2"/>
  <c r="A171" i="2"/>
  <c r="A172" i="2"/>
  <c r="A173" i="2"/>
  <c r="A174" i="2"/>
  <c r="A176" i="2"/>
  <c r="A178" i="2"/>
  <c r="A179" i="2"/>
  <c r="A181" i="2"/>
  <c r="A182" i="2"/>
  <c r="A185" i="2"/>
  <c r="A186" i="2"/>
  <c r="A187" i="2"/>
  <c r="A188" i="2"/>
  <c r="A189" i="2"/>
  <c r="A190" i="2"/>
  <c r="A192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2" i="2"/>
  <c r="A233" i="2"/>
  <c r="A234" i="2"/>
  <c r="A235" i="2"/>
  <c r="A236" i="2"/>
  <c r="A237" i="2"/>
  <c r="A239" i="2"/>
  <c r="A241" i="2"/>
  <c r="A242" i="2"/>
  <c r="A243" i="2"/>
  <c r="A244" i="2"/>
  <c r="A245" i="2"/>
  <c r="A246" i="2"/>
  <c r="A247" i="2"/>
  <c r="A250" i="2"/>
  <c r="A251" i="2"/>
  <c r="A252" i="2"/>
  <c r="A253" i="2"/>
  <c r="A255" i="2"/>
  <c r="A256" i="2"/>
  <c r="A257" i="2"/>
  <c r="A258" i="2"/>
  <c r="A259" i="2"/>
  <c r="A260" i="2"/>
  <c r="A262" i="2"/>
  <c r="A263" i="2"/>
  <c r="A265" i="2"/>
  <c r="A266" i="2"/>
  <c r="A267" i="2"/>
  <c r="A268" i="2"/>
  <c r="A269" i="2"/>
  <c r="A270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5" i="2"/>
  <c r="A297" i="2"/>
  <c r="A299" i="2"/>
  <c r="A303" i="2"/>
  <c r="A304" i="2"/>
  <c r="A305" i="2"/>
  <c r="A306" i="2"/>
  <c r="A311" i="2"/>
  <c r="A312" i="2"/>
  <c r="A316" i="2"/>
  <c r="A317" i="2"/>
  <c r="A319" i="2"/>
  <c r="A320" i="2"/>
  <c r="A321" i="2"/>
  <c r="A322" i="2"/>
  <c r="A324" i="2"/>
  <c r="A327" i="2"/>
  <c r="A328" i="2"/>
  <c r="A329" i="2"/>
  <c r="A330" i="2"/>
  <c r="A331" i="2"/>
  <c r="A332" i="2"/>
  <c r="A333" i="2"/>
  <c r="A334" i="2"/>
  <c r="A336" i="2"/>
  <c r="A341" i="2"/>
  <c r="A342" i="2"/>
  <c r="A343" i="2"/>
  <c r="A344" i="2"/>
  <c r="A345" i="2"/>
  <c r="A346" i="2"/>
  <c r="A351" i="2"/>
  <c r="A352" i="2"/>
  <c r="A353" i="2"/>
  <c r="A354" i="2"/>
  <c r="A355" i="2"/>
  <c r="A356" i="2"/>
  <c r="A358" i="2"/>
  <c r="A373" i="2"/>
  <c r="A377" i="2"/>
  <c r="A380" i="2"/>
  <c r="A381" i="2"/>
  <c r="A386" i="2"/>
  <c r="A387" i="2"/>
  <c r="A388" i="2"/>
  <c r="A389" i="2"/>
  <c r="A391" i="2"/>
  <c r="A395" i="2"/>
  <c r="A396" i="2"/>
  <c r="A397" i="2"/>
  <c r="A398" i="2"/>
  <c r="A399" i="2"/>
  <c r="A400" i="2"/>
  <c r="A402" i="2"/>
  <c r="A404" i="2"/>
  <c r="A405" i="2"/>
  <c r="A406" i="2"/>
  <c r="A409" i="2"/>
  <c r="A410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3" i="2"/>
  <c r="A492" i="2"/>
  <c r="A494" i="2"/>
  <c r="A495" i="2"/>
  <c r="A496" i="2"/>
  <c r="A497" i="2"/>
  <c r="A498" i="2"/>
  <c r="A499" i="2"/>
  <c r="A500" i="2"/>
  <c r="A501" i="2"/>
  <c r="A502" i="2"/>
  <c r="A506" i="2"/>
  <c r="A509" i="2"/>
  <c r="A510" i="2"/>
  <c r="A511" i="2"/>
  <c r="A516" i="2"/>
  <c r="A517" i="2"/>
  <c r="A518" i="2"/>
  <c r="A519" i="2"/>
  <c r="A520" i="2"/>
  <c r="A521" i="2"/>
  <c r="A523" i="2"/>
  <c r="A528" i="2"/>
  <c r="A529" i="2"/>
  <c r="A530" i="2"/>
  <c r="A531" i="2"/>
  <c r="A532" i="2"/>
  <c r="A533" i="2"/>
  <c r="A534" i="2"/>
  <c r="A536" i="2"/>
  <c r="A537" i="2"/>
  <c r="A538" i="2"/>
  <c r="A540" i="2"/>
  <c r="A541" i="2"/>
  <c r="A543" i="2"/>
  <c r="A545" i="2"/>
  <c r="A548" i="2"/>
  <c r="A549" i="2"/>
  <c r="A550" i="2"/>
  <c r="A551" i="2"/>
  <c r="A552" i="2"/>
  <c r="A553" i="2"/>
  <c r="A554" i="2"/>
  <c r="A555" i="2"/>
  <c r="A556" i="2"/>
  <c r="A557" i="2"/>
  <c r="A559" i="2"/>
  <c r="A560" i="2"/>
  <c r="A563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7" i="2"/>
  <c r="A628" i="2"/>
  <c r="A629" i="2"/>
  <c r="A630" i="2"/>
  <c r="A632" i="2"/>
  <c r="A633" i="2"/>
  <c r="A634" i="2"/>
  <c r="A635" i="2"/>
  <c r="A636" i="2"/>
  <c r="A639" i="2"/>
  <c r="A640" i="2"/>
  <c r="A643" i="2"/>
  <c r="A645" i="2"/>
  <c r="A646" i="2"/>
  <c r="A647" i="2"/>
  <c r="A650" i="2"/>
  <c r="A651" i="2"/>
  <c r="A652" i="2"/>
  <c r="A653" i="2"/>
  <c r="A662" i="2"/>
  <c r="A654" i="2"/>
  <c r="A655" i="2"/>
  <c r="A656" i="2"/>
  <c r="A657" i="2"/>
  <c r="A658" i="2"/>
  <c r="A659" i="2"/>
  <c r="A660" i="2"/>
  <c r="A663" i="2"/>
  <c r="A667" i="2"/>
  <c r="A668" i="2"/>
  <c r="A669" i="2"/>
  <c r="A671" i="2"/>
  <c r="A672" i="2"/>
  <c r="A676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1893" i="2"/>
  <c r="A1894" i="2"/>
  <c r="A1895" i="2"/>
  <c r="A1896" i="2"/>
  <c r="A1897" i="2"/>
  <c r="A1898" i="2"/>
  <c r="A1901" i="2"/>
  <c r="A1902" i="2"/>
  <c r="A1903" i="2"/>
  <c r="A1904" i="2"/>
  <c r="A1909" i="2"/>
  <c r="A1911" i="2"/>
  <c r="A1912" i="2"/>
  <c r="A1913" i="2"/>
  <c r="A1914" i="2"/>
  <c r="A1915" i="2"/>
  <c r="A1916" i="2"/>
  <c r="A1917" i="2"/>
  <c r="A1918" i="2"/>
  <c r="A1923" i="2"/>
  <c r="A1924" i="2"/>
  <c r="A723" i="2"/>
  <c r="A724" i="2"/>
  <c r="A725" i="2"/>
  <c r="A726" i="2"/>
  <c r="A729" i="2"/>
  <c r="A732" i="2"/>
  <c r="A733" i="2"/>
  <c r="A734" i="2"/>
  <c r="A735" i="2"/>
  <c r="A737" i="2"/>
  <c r="A738" i="2"/>
  <c r="A755" i="2"/>
  <c r="A777" i="2"/>
  <c r="A782" i="2"/>
  <c r="A783" i="2"/>
  <c r="A784" i="2"/>
  <c r="A787" i="2"/>
  <c r="A788" i="2"/>
  <c r="A790" i="2"/>
  <c r="A793" i="2"/>
  <c r="A794" i="2"/>
  <c r="A795" i="2"/>
  <c r="A796" i="2"/>
  <c r="A797" i="2"/>
  <c r="A798" i="2"/>
  <c r="A799" i="2"/>
  <c r="A800" i="2"/>
  <c r="A801" i="2"/>
  <c r="A802" i="2"/>
  <c r="A803" i="2"/>
  <c r="A807" i="2"/>
  <c r="A808" i="2"/>
  <c r="A809" i="2"/>
  <c r="A811" i="2"/>
  <c r="A812" i="2"/>
  <c r="A814" i="2"/>
  <c r="A815" i="2"/>
  <c r="A816" i="2"/>
  <c r="A817" i="2"/>
  <c r="A818" i="2"/>
  <c r="A819" i="2"/>
  <c r="A820" i="2"/>
  <c r="A821" i="2"/>
  <c r="A822" i="2"/>
  <c r="A823" i="2"/>
  <c r="A824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986" i="2"/>
  <c r="A892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5" i="2"/>
  <c r="A984" i="2"/>
  <c r="A987" i="2"/>
  <c r="A988" i="2"/>
  <c r="A989" i="2"/>
  <c r="A990" i="2"/>
  <c r="A991" i="2"/>
  <c r="A992" i="2"/>
  <c r="A993" i="2"/>
  <c r="A994" i="2"/>
  <c r="A995" i="2"/>
  <c r="A996" i="2"/>
  <c r="A997" i="2"/>
  <c r="A180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4" i="2"/>
  <c r="A1015" i="2"/>
  <c r="A1017" i="2"/>
  <c r="A1018" i="2"/>
  <c r="A1019" i="2"/>
  <c r="A1020" i="2"/>
  <c r="A1021" i="2"/>
  <c r="A1022" i="2"/>
  <c r="A1025" i="2"/>
  <c r="A1026" i="2"/>
  <c r="A1027" i="2"/>
  <c r="A1028" i="2"/>
  <c r="A1029" i="2"/>
  <c r="A1035" i="2"/>
  <c r="A1041" i="2"/>
  <c r="A1036" i="2"/>
  <c r="A1037" i="2"/>
  <c r="A1038" i="2"/>
  <c r="A1039" i="2"/>
  <c r="A1040" i="2"/>
  <c r="A1044" i="2"/>
  <c r="A1045" i="2"/>
  <c r="A1047" i="2"/>
  <c r="A1048" i="2"/>
  <c r="A1049" i="2"/>
  <c r="A1051" i="2"/>
  <c r="A1052" i="2"/>
  <c r="A1053" i="2"/>
  <c r="A1057" i="2"/>
  <c r="A1058" i="2"/>
  <c r="A1059" i="2"/>
  <c r="A1061" i="2"/>
  <c r="A1062" i="2"/>
  <c r="A1063" i="2"/>
  <c r="A1064" i="2"/>
  <c r="A1065" i="2"/>
  <c r="A1066" i="2"/>
  <c r="A1067" i="2"/>
  <c r="A1068" i="2"/>
  <c r="A1069" i="2"/>
  <c r="A1082" i="2"/>
  <c r="A1083" i="2"/>
  <c r="A1085" i="2"/>
  <c r="A1086" i="2"/>
  <c r="A1091" i="2"/>
  <c r="A1092" i="2"/>
  <c r="A1093" i="2"/>
  <c r="A1094" i="2"/>
  <c r="A1097" i="2"/>
  <c r="A1098" i="2"/>
  <c r="A1099" i="2"/>
  <c r="A1100" i="2"/>
  <c r="A1101" i="2"/>
  <c r="A1102" i="2"/>
  <c r="A1103" i="2"/>
  <c r="A1104" i="2"/>
  <c r="A1109" i="2"/>
  <c r="A1110" i="2"/>
  <c r="A1111" i="2"/>
  <c r="A1112" i="2"/>
  <c r="A1121" i="2"/>
  <c r="A1113" i="2"/>
  <c r="A1114" i="2"/>
  <c r="A1115" i="2"/>
  <c r="A1117" i="2"/>
  <c r="A1118" i="2"/>
  <c r="A1119" i="2"/>
  <c r="A1120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50" i="2"/>
  <c r="A1152" i="2"/>
  <c r="A1151" i="2"/>
  <c r="A1149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71" i="2"/>
  <c r="A1172" i="2"/>
  <c r="A1176" i="2"/>
  <c r="A1178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8" i="2"/>
  <c r="A1279" i="2"/>
  <c r="A1280" i="2"/>
  <c r="A1281" i="2"/>
  <c r="A1282" i="2"/>
  <c r="A1283" i="2"/>
  <c r="A1284" i="2"/>
  <c r="A1285" i="2"/>
  <c r="A1287" i="2"/>
  <c r="A1288" i="2"/>
  <c r="A1289" i="2"/>
  <c r="A1290" i="2"/>
  <c r="A1291" i="2"/>
  <c r="A1292" i="2"/>
  <c r="A1293" i="2"/>
  <c r="A1294" i="2"/>
  <c r="A1295" i="2"/>
  <c r="A1296" i="2"/>
  <c r="A1410" i="2"/>
  <c r="A1411" i="2"/>
  <c r="A1412" i="2"/>
  <c r="A1413" i="2"/>
  <c r="A1414" i="2"/>
  <c r="A1415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060" i="2"/>
  <c r="A1441" i="2"/>
  <c r="A1442" i="2"/>
  <c r="A1443" i="2"/>
  <c r="A1444" i="2"/>
  <c r="A1445" i="2"/>
  <c r="A1448" i="2"/>
  <c r="A1449" i="2"/>
  <c r="A1453" i="2"/>
  <c r="A1454" i="2"/>
  <c r="A1460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2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5" i="2"/>
  <c r="A1556" i="2"/>
  <c r="A1558" i="2"/>
  <c r="A1559" i="2"/>
  <c r="A1560" i="2"/>
  <c r="A1562" i="2"/>
  <c r="A1565" i="2"/>
  <c r="A1566" i="2"/>
  <c r="A1567" i="2"/>
  <c r="A1568" i="2"/>
  <c r="A1569" i="2"/>
  <c r="A1570" i="2"/>
  <c r="A1572" i="2"/>
  <c r="A1577" i="2"/>
  <c r="A1578" i="2"/>
  <c r="A1579" i="2"/>
  <c r="A1580" i="2"/>
  <c r="A1581" i="2"/>
  <c r="A1582" i="2"/>
  <c r="A1583" i="2"/>
  <c r="A1584" i="2"/>
  <c r="A1585" i="2"/>
  <c r="A1587" i="2"/>
  <c r="A1588" i="2"/>
  <c r="A1593" i="2"/>
  <c r="A1594" i="2"/>
  <c r="A1595" i="2"/>
  <c r="A1596" i="2"/>
  <c r="A1598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50" i="2"/>
  <c r="A1651" i="2"/>
  <c r="A1653" i="2"/>
  <c r="A1654" i="2"/>
  <c r="A1655" i="2"/>
  <c r="A1656" i="2"/>
  <c r="A1657" i="2"/>
  <c r="A1659" i="2"/>
  <c r="A1664" i="2"/>
  <c r="A1665" i="2"/>
  <c r="A1666" i="2"/>
  <c r="A1667" i="2"/>
  <c r="A1668" i="2"/>
  <c r="A1669" i="2"/>
  <c r="A1670" i="2"/>
  <c r="A1671" i="2"/>
  <c r="A1674" i="2"/>
  <c r="A1676" i="2"/>
  <c r="A1677" i="2"/>
  <c r="A1679" i="2"/>
  <c r="A1681" i="2"/>
  <c r="A1682" i="2"/>
  <c r="A1683" i="2"/>
  <c r="A1685" i="2"/>
  <c r="A1688" i="2"/>
  <c r="A1689" i="2"/>
  <c r="A1690" i="2"/>
  <c r="A1691" i="2"/>
  <c r="A1692" i="2"/>
  <c r="A1693" i="2"/>
  <c r="A1694" i="2"/>
  <c r="A1696" i="2"/>
  <c r="A1697" i="2"/>
  <c r="A1700" i="2"/>
  <c r="A1702" i="2"/>
  <c r="A1703" i="2"/>
  <c r="A1704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7" i="2"/>
  <c r="A1820" i="2"/>
  <c r="A1822" i="2"/>
  <c r="A1824" i="2"/>
  <c r="A1825" i="2"/>
  <c r="A1826" i="2"/>
  <c r="A1827" i="2"/>
  <c r="A1829" i="2"/>
  <c r="A1833" i="2"/>
  <c r="A1834" i="2"/>
  <c r="A1835" i="2"/>
  <c r="A1844" i="2"/>
  <c r="A1845" i="2"/>
  <c r="A1846" i="2"/>
  <c r="A1847" i="2"/>
  <c r="A1849" i="2"/>
  <c r="A1850" i="2"/>
  <c r="A1851" i="2"/>
  <c r="A1853" i="2"/>
  <c r="A1854" i="2"/>
  <c r="A1855" i="2"/>
  <c r="A1856" i="2"/>
  <c r="A1857" i="2"/>
  <c r="A1858" i="2"/>
  <c r="A1859" i="2"/>
  <c r="A1860" i="2"/>
  <c r="A1863" i="2"/>
  <c r="A1864" i="2"/>
  <c r="A1866" i="2"/>
  <c r="A1867" i="2"/>
  <c r="A1868" i="2"/>
  <c r="A1869" i="2"/>
  <c r="A1870" i="2"/>
  <c r="A1873" i="2"/>
  <c r="A1874" i="2"/>
  <c r="A1877" i="2"/>
  <c r="A1879" i="2"/>
  <c r="A1880" i="2"/>
  <c r="A1881" i="2"/>
  <c r="A1882" i="2"/>
  <c r="A1884" i="2"/>
  <c r="A1885" i="2"/>
  <c r="A1886" i="2"/>
  <c r="A1887" i="2"/>
  <c r="A1889" i="2"/>
  <c r="A1892" i="2"/>
  <c r="A1925" i="2"/>
  <c r="A1926" i="2"/>
  <c r="A23" i="2"/>
  <c r="A24" i="2"/>
  <c r="A25" i="2"/>
  <c r="A26" i="2"/>
  <c r="A27" i="2"/>
  <c r="A28" i="2"/>
  <c r="A29" i="2"/>
  <c r="A30" i="2"/>
  <c r="A31" i="2"/>
  <c r="A41" i="2"/>
  <c r="BE104" i="3" l="1"/>
  <c r="BF104" i="3" s="1"/>
  <c r="BE100" i="3"/>
  <c r="BF100" i="3" s="1"/>
  <c r="BE96" i="3"/>
  <c r="BE92" i="3"/>
  <c r="BE88" i="3"/>
  <c r="BF88" i="3" s="1"/>
  <c r="BE84" i="3"/>
  <c r="BF84" i="3" s="1"/>
  <c r="BE80" i="3"/>
  <c r="BF80" i="3" s="1"/>
  <c r="BA104" i="3"/>
  <c r="BC104" i="3" s="1"/>
  <c r="BA100" i="3"/>
  <c r="BC100" i="3" s="1"/>
  <c r="BA96" i="3"/>
  <c r="BC96" i="3" s="1"/>
  <c r="BA92" i="3"/>
  <c r="BC92" i="3" s="1"/>
  <c r="BA88" i="3"/>
  <c r="BC88" i="3" s="1"/>
  <c r="BA84" i="3"/>
  <c r="BC84" i="3" s="1"/>
  <c r="BA80" i="3"/>
  <c r="BC80" i="3" s="1"/>
  <c r="AX101" i="3"/>
  <c r="AZ101" i="3" s="1"/>
  <c r="AX97" i="3"/>
  <c r="AZ97" i="3" s="1"/>
  <c r="AX93" i="3"/>
  <c r="AZ93" i="3" s="1"/>
  <c r="AX89" i="3"/>
  <c r="AY89" i="3" s="1"/>
  <c r="AX85" i="3"/>
  <c r="AZ85" i="3" s="1"/>
  <c r="AX81" i="3"/>
  <c r="AY81" i="3" s="1"/>
  <c r="AU102" i="3"/>
  <c r="AW102" i="3" s="1"/>
  <c r="AU98" i="3"/>
  <c r="AW98" i="3" s="1"/>
  <c r="AU94" i="3"/>
  <c r="AW94" i="3" s="1"/>
  <c r="AU90" i="3"/>
  <c r="AW90" i="3" s="1"/>
  <c r="AU86" i="3"/>
  <c r="AW86" i="3" s="1"/>
  <c r="AU82" i="3"/>
  <c r="AW82" i="3" s="1"/>
  <c r="BF96" i="3"/>
  <c r="BF92" i="3"/>
  <c r="BE103" i="3"/>
  <c r="BF103" i="3" s="1"/>
  <c r="BE99" i="3"/>
  <c r="BF99" i="3" s="1"/>
  <c r="BE95" i="3"/>
  <c r="BF95" i="3" s="1"/>
  <c r="BE91" i="3"/>
  <c r="BF91" i="3" s="1"/>
  <c r="BE87" i="3"/>
  <c r="BF87" i="3" s="1"/>
  <c r="BE83" i="3"/>
  <c r="BF83" i="3" s="1"/>
  <c r="BE79" i="3"/>
  <c r="BF79" i="3" s="1"/>
  <c r="BA103" i="3"/>
  <c r="BB103" i="3" s="1"/>
  <c r="BA99" i="3"/>
  <c r="BB99" i="3" s="1"/>
  <c r="BA95" i="3"/>
  <c r="BB95" i="3" s="1"/>
  <c r="BA91" i="3"/>
  <c r="BB91" i="3" s="1"/>
  <c r="BA87" i="3"/>
  <c r="BB87" i="3" s="1"/>
  <c r="BA83" i="3"/>
  <c r="BB83" i="3" s="1"/>
  <c r="BA79" i="3"/>
  <c r="BB79" i="3" s="1"/>
  <c r="AX104" i="3"/>
  <c r="AY104" i="3" s="1"/>
  <c r="AX100" i="3"/>
  <c r="AY100" i="3" s="1"/>
  <c r="AX96" i="3"/>
  <c r="AY96" i="3" s="1"/>
  <c r="AX92" i="3"/>
  <c r="AY92" i="3" s="1"/>
  <c r="AX88" i="3"/>
  <c r="AY88" i="3" s="1"/>
  <c r="AX84" i="3"/>
  <c r="AY84" i="3" s="1"/>
  <c r="AX80" i="3"/>
  <c r="AY80" i="3" s="1"/>
  <c r="AU101" i="3"/>
  <c r="AW101" i="3" s="1"/>
  <c r="AU97" i="3"/>
  <c r="AW97" i="3" s="1"/>
  <c r="AU93" i="3"/>
  <c r="AW93" i="3" s="1"/>
  <c r="AU89" i="3"/>
  <c r="AW89" i="3" s="1"/>
  <c r="AU85" i="3"/>
  <c r="AW85" i="3" s="1"/>
  <c r="AU81" i="3"/>
  <c r="AW81" i="3" s="1"/>
  <c r="BE102" i="3"/>
  <c r="BF102" i="3" s="1"/>
  <c r="BE98" i="3"/>
  <c r="BF98" i="3" s="1"/>
  <c r="BE94" i="3"/>
  <c r="BF94" i="3" s="1"/>
  <c r="BE90" i="3"/>
  <c r="BF90" i="3" s="1"/>
  <c r="BE86" i="3"/>
  <c r="BF86" i="3" s="1"/>
  <c r="BE82" i="3"/>
  <c r="BF82" i="3" s="1"/>
  <c r="BE78" i="3"/>
  <c r="BF78" i="3" s="1"/>
  <c r="BA102" i="3"/>
  <c r="BD102" i="3" s="1"/>
  <c r="BA98" i="3"/>
  <c r="BC98" i="3" s="1"/>
  <c r="BA94" i="3"/>
  <c r="BD94" i="3" s="1"/>
  <c r="BA90" i="3"/>
  <c r="BD90" i="3" s="1"/>
  <c r="BA86" i="3"/>
  <c r="BD86" i="3" s="1"/>
  <c r="BA82" i="3"/>
  <c r="BC82" i="3" s="1"/>
  <c r="BA78" i="3"/>
  <c r="BD78" i="3" s="1"/>
  <c r="AX103" i="3"/>
  <c r="AZ103" i="3" s="1"/>
  <c r="AX99" i="3"/>
  <c r="AZ99" i="3" s="1"/>
  <c r="AX95" i="3"/>
  <c r="AZ95" i="3" s="1"/>
  <c r="AX91" i="3"/>
  <c r="AZ91" i="3" s="1"/>
  <c r="AX87" i="3"/>
  <c r="AZ87" i="3" s="1"/>
  <c r="AX83" i="3"/>
  <c r="AZ83" i="3" s="1"/>
  <c r="AX79" i="3"/>
  <c r="AZ79" i="3" s="1"/>
  <c r="AU104" i="3"/>
  <c r="AW104" i="3" s="1"/>
  <c r="AU100" i="3"/>
  <c r="AV100" i="3" s="1"/>
  <c r="AU96" i="3"/>
  <c r="AW96" i="3" s="1"/>
  <c r="AU92" i="3"/>
  <c r="AV92" i="3" s="1"/>
  <c r="AU88" i="3"/>
  <c r="AW88" i="3" s="1"/>
  <c r="AU84" i="3"/>
  <c r="AV84" i="3" s="1"/>
  <c r="AU80" i="3"/>
  <c r="AW80" i="3" s="1"/>
  <c r="BE101" i="3"/>
  <c r="BF101" i="3" s="1"/>
  <c r="BE97" i="3"/>
  <c r="BF97" i="3" s="1"/>
  <c r="BE93" i="3"/>
  <c r="BF93" i="3" s="1"/>
  <c r="BE89" i="3"/>
  <c r="BF89" i="3" s="1"/>
  <c r="BE85" i="3"/>
  <c r="BF85" i="3" s="1"/>
  <c r="BE81" i="3"/>
  <c r="BF81" i="3" s="1"/>
  <c r="BA101" i="3"/>
  <c r="BD101" i="3" s="1"/>
  <c r="BA97" i="3"/>
  <c r="BC97" i="3" s="1"/>
  <c r="BA93" i="3"/>
  <c r="BB93" i="3" s="1"/>
  <c r="BA89" i="3"/>
  <c r="BD89" i="3" s="1"/>
  <c r="BA85" i="3"/>
  <c r="BD85" i="3" s="1"/>
  <c r="BA81" i="3"/>
  <c r="BC81" i="3" s="1"/>
  <c r="AX102" i="3"/>
  <c r="AZ102" i="3" s="1"/>
  <c r="AX98" i="3"/>
  <c r="AY98" i="3" s="1"/>
  <c r="AX94" i="3"/>
  <c r="AZ94" i="3" s="1"/>
  <c r="AX90" i="3"/>
  <c r="AY90" i="3" s="1"/>
  <c r="AX86" i="3"/>
  <c r="AZ86" i="3" s="1"/>
  <c r="AX82" i="3"/>
  <c r="AY82" i="3" s="1"/>
  <c r="AX78" i="3"/>
  <c r="AZ78" i="3" s="1"/>
  <c r="AU103" i="3"/>
  <c r="AV103" i="3" s="1"/>
  <c r="AU99" i="3"/>
  <c r="AW99" i="3" s="1"/>
  <c r="AU95" i="3"/>
  <c r="AV95" i="3" s="1"/>
  <c r="AU91" i="3"/>
  <c r="AW91" i="3" s="1"/>
  <c r="AU87" i="3"/>
  <c r="AV87" i="3" s="1"/>
  <c r="AU83" i="3"/>
  <c r="AW83" i="3" s="1"/>
  <c r="AU79" i="3"/>
  <c r="AV79" i="3" s="1"/>
  <c r="AU78" i="3"/>
  <c r="AW78" i="3" s="1"/>
  <c r="AP104" i="3"/>
  <c r="AT104" i="3" s="1"/>
  <c r="AP100" i="3"/>
  <c r="AQ100" i="3" s="1"/>
  <c r="AP96" i="3"/>
  <c r="AQ96" i="3" s="1"/>
  <c r="AP92" i="3"/>
  <c r="AQ92" i="3" s="1"/>
  <c r="AP88" i="3"/>
  <c r="AQ88" i="3" s="1"/>
  <c r="AP84" i="3"/>
  <c r="AT84" i="3" s="1"/>
  <c r="AP80" i="3"/>
  <c r="AT80" i="3" s="1"/>
  <c r="AN102" i="3"/>
  <c r="AO102" i="3" s="1"/>
  <c r="AN98" i="3"/>
  <c r="AO98" i="3" s="1"/>
  <c r="AN94" i="3"/>
  <c r="AO94" i="3" s="1"/>
  <c r="AN90" i="3"/>
  <c r="AO90" i="3" s="1"/>
  <c r="AN86" i="3"/>
  <c r="AO86" i="3" s="1"/>
  <c r="AN82" i="3"/>
  <c r="AO82" i="3" s="1"/>
  <c r="AN78" i="3"/>
  <c r="AO78" i="3" s="1"/>
  <c r="AP103" i="3"/>
  <c r="AS103" i="3" s="1"/>
  <c r="AP99" i="3"/>
  <c r="AQ99" i="3" s="1"/>
  <c r="AP95" i="3"/>
  <c r="AQ95" i="3" s="1"/>
  <c r="AP91" i="3"/>
  <c r="AQ91" i="3" s="1"/>
  <c r="AP87" i="3"/>
  <c r="AS87" i="3" s="1"/>
  <c r="AP83" i="3"/>
  <c r="AS83" i="3" s="1"/>
  <c r="AP79" i="3"/>
  <c r="AS79" i="3" s="1"/>
  <c r="AN101" i="3"/>
  <c r="AO101" i="3" s="1"/>
  <c r="AN97" i="3"/>
  <c r="AO97" i="3" s="1"/>
  <c r="AN93" i="3"/>
  <c r="AO93" i="3" s="1"/>
  <c r="AN89" i="3"/>
  <c r="AO89" i="3" s="1"/>
  <c r="AN85" i="3"/>
  <c r="AO85" i="3" s="1"/>
  <c r="AN81" i="3"/>
  <c r="AO81" i="3" s="1"/>
  <c r="AP102" i="3"/>
  <c r="AT102" i="3" s="1"/>
  <c r="AP98" i="3"/>
  <c r="AS98" i="3" s="1"/>
  <c r="AP94" i="3"/>
  <c r="AS94" i="3" s="1"/>
  <c r="AP90" i="3"/>
  <c r="AS90" i="3" s="1"/>
  <c r="AP86" i="3"/>
  <c r="AT86" i="3" s="1"/>
  <c r="AP82" i="3"/>
  <c r="AT82" i="3" s="1"/>
  <c r="AP78" i="3"/>
  <c r="AT78" i="3" s="1"/>
  <c r="AN104" i="3"/>
  <c r="AO104" i="3" s="1"/>
  <c r="AN100" i="3"/>
  <c r="AO100" i="3" s="1"/>
  <c r="AN96" i="3"/>
  <c r="AO96" i="3" s="1"/>
  <c r="AN92" i="3"/>
  <c r="AO92" i="3" s="1"/>
  <c r="AN88" i="3"/>
  <c r="AO88" i="3" s="1"/>
  <c r="AN84" i="3"/>
  <c r="AO84" i="3" s="1"/>
  <c r="AN80" i="3"/>
  <c r="AO80" i="3" s="1"/>
  <c r="G83" i="3"/>
  <c r="AQ80" i="3"/>
  <c r="AP101" i="3"/>
  <c r="AT101" i="3" s="1"/>
  <c r="AP97" i="3"/>
  <c r="AS97" i="3" s="1"/>
  <c r="AP93" i="3"/>
  <c r="AS93" i="3" s="1"/>
  <c r="AP89" i="3"/>
  <c r="AS89" i="3" s="1"/>
  <c r="AP85" i="3"/>
  <c r="AT85" i="3" s="1"/>
  <c r="AP81" i="3"/>
  <c r="AT81" i="3" s="1"/>
  <c r="AN103" i="3"/>
  <c r="AO103" i="3" s="1"/>
  <c r="AN99" i="3"/>
  <c r="AO99" i="3" s="1"/>
  <c r="AN95" i="3"/>
  <c r="AO95" i="3" s="1"/>
  <c r="AN91" i="3"/>
  <c r="AO91" i="3" s="1"/>
  <c r="AN87" i="3"/>
  <c r="AO87" i="3" s="1"/>
  <c r="AN83" i="3"/>
  <c r="AO83" i="3" s="1"/>
  <c r="AN79" i="3"/>
  <c r="AO79" i="3" s="1"/>
  <c r="F83" i="3"/>
  <c r="I83" i="3"/>
  <c r="AK102" i="3"/>
  <c r="AM102" i="3" s="1"/>
  <c r="AK98" i="3"/>
  <c r="AM98" i="3" s="1"/>
  <c r="AK94" i="3"/>
  <c r="AM94" i="3" s="1"/>
  <c r="AK90" i="3"/>
  <c r="AM90" i="3" s="1"/>
  <c r="AK86" i="3"/>
  <c r="AM86" i="3" s="1"/>
  <c r="AK82" i="3"/>
  <c r="AM82" i="3" s="1"/>
  <c r="AK78" i="3"/>
  <c r="AM78" i="3" s="1"/>
  <c r="AG102" i="3"/>
  <c r="AI102" i="3" s="1"/>
  <c r="AG98" i="3"/>
  <c r="AI98" i="3" s="1"/>
  <c r="AG94" i="3"/>
  <c r="AI94" i="3" s="1"/>
  <c r="AG90" i="3"/>
  <c r="AI90" i="3" s="1"/>
  <c r="AG86" i="3"/>
  <c r="AI86" i="3" s="1"/>
  <c r="AG82" i="3"/>
  <c r="AI82" i="3" s="1"/>
  <c r="AG78" i="3"/>
  <c r="AI78" i="3" s="1"/>
  <c r="AD103" i="3"/>
  <c r="AE103" i="3" s="1"/>
  <c r="AD99" i="3"/>
  <c r="AE99" i="3" s="1"/>
  <c r="AD95" i="3"/>
  <c r="AE95" i="3" s="1"/>
  <c r="AD91" i="3"/>
  <c r="AE91" i="3" s="1"/>
  <c r="AD87" i="3"/>
  <c r="AE87" i="3" s="1"/>
  <c r="AD83" i="3"/>
  <c r="AE83" i="3" s="1"/>
  <c r="AD79" i="3"/>
  <c r="AE79" i="3" s="1"/>
  <c r="H83" i="3"/>
  <c r="AK101" i="3"/>
  <c r="AM101" i="3" s="1"/>
  <c r="AK97" i="3"/>
  <c r="AM97" i="3" s="1"/>
  <c r="AK93" i="3"/>
  <c r="AM93" i="3" s="1"/>
  <c r="AK89" i="3"/>
  <c r="AM89" i="3" s="1"/>
  <c r="AK85" i="3"/>
  <c r="AM85" i="3" s="1"/>
  <c r="AK81" i="3"/>
  <c r="AM81" i="3" s="1"/>
  <c r="AG101" i="3"/>
  <c r="AH101" i="3" s="1"/>
  <c r="AG97" i="3"/>
  <c r="AH97" i="3" s="1"/>
  <c r="AG93" i="3"/>
  <c r="AH93" i="3" s="1"/>
  <c r="AG89" i="3"/>
  <c r="AH89" i="3" s="1"/>
  <c r="AG85" i="3"/>
  <c r="AH85" i="3" s="1"/>
  <c r="AG81" i="3"/>
  <c r="AH81" i="3" s="1"/>
  <c r="AD102" i="3"/>
  <c r="AF102" i="3" s="1"/>
  <c r="AD98" i="3"/>
  <c r="AF98" i="3" s="1"/>
  <c r="AD94" i="3"/>
  <c r="AF94" i="3" s="1"/>
  <c r="AD90" i="3"/>
  <c r="AF90" i="3" s="1"/>
  <c r="AD86" i="3"/>
  <c r="AF86" i="3" s="1"/>
  <c r="AD82" i="3"/>
  <c r="AF82" i="3" s="1"/>
  <c r="AD78" i="3"/>
  <c r="AF78" i="3" s="1"/>
  <c r="AM83" i="3"/>
  <c r="AK104" i="3"/>
  <c r="AL104" i="3" s="1"/>
  <c r="AK100" i="3"/>
  <c r="AM100" i="3" s="1"/>
  <c r="AK96" i="3"/>
  <c r="AL96" i="3" s="1"/>
  <c r="AK92" i="3"/>
  <c r="AM92" i="3" s="1"/>
  <c r="AK88" i="3"/>
  <c r="AL88" i="3" s="1"/>
  <c r="AK84" i="3"/>
  <c r="AM84" i="3" s="1"/>
  <c r="AK80" i="3"/>
  <c r="AL80" i="3" s="1"/>
  <c r="AG104" i="3"/>
  <c r="AJ104" i="3" s="1"/>
  <c r="AG100" i="3"/>
  <c r="AI100" i="3" s="1"/>
  <c r="AG96" i="3"/>
  <c r="AJ96" i="3" s="1"/>
  <c r="AG92" i="3"/>
  <c r="AJ92" i="3" s="1"/>
  <c r="AG88" i="3"/>
  <c r="AJ88" i="3" s="1"/>
  <c r="AG84" i="3"/>
  <c r="AI84" i="3" s="1"/>
  <c r="AG80" i="3"/>
  <c r="AJ80" i="3" s="1"/>
  <c r="AD101" i="3"/>
  <c r="AE101" i="3" s="1"/>
  <c r="AD97" i="3"/>
  <c r="AE97" i="3" s="1"/>
  <c r="AD93" i="3"/>
  <c r="AE93" i="3" s="1"/>
  <c r="AD89" i="3"/>
  <c r="AE89" i="3" s="1"/>
  <c r="AD85" i="3"/>
  <c r="AE85" i="3" s="1"/>
  <c r="AD81" i="3"/>
  <c r="AE81" i="3" s="1"/>
  <c r="AL101" i="3"/>
  <c r="AK103" i="3"/>
  <c r="AM103" i="3" s="1"/>
  <c r="AK99" i="3"/>
  <c r="AL99" i="3" s="1"/>
  <c r="AK95" i="3"/>
  <c r="AM95" i="3" s="1"/>
  <c r="AK91" i="3"/>
  <c r="AL91" i="3" s="1"/>
  <c r="AK87" i="3"/>
  <c r="AM87" i="3" s="1"/>
  <c r="AK83" i="3"/>
  <c r="AL83" i="3" s="1"/>
  <c r="AK79" i="3"/>
  <c r="AM79" i="3" s="1"/>
  <c r="AG103" i="3"/>
  <c r="AJ103" i="3" s="1"/>
  <c r="AG99" i="3"/>
  <c r="AI99" i="3" s="1"/>
  <c r="AG95" i="3"/>
  <c r="AH95" i="3" s="1"/>
  <c r="AG91" i="3"/>
  <c r="AJ91" i="3" s="1"/>
  <c r="AG87" i="3"/>
  <c r="AJ87" i="3" s="1"/>
  <c r="AG83" i="3"/>
  <c r="AI83" i="3" s="1"/>
  <c r="AG79" i="3"/>
  <c r="AH79" i="3" s="1"/>
  <c r="AD104" i="3"/>
  <c r="AE104" i="3" s="1"/>
  <c r="AD100" i="3"/>
  <c r="AF100" i="3" s="1"/>
  <c r="AD96" i="3"/>
  <c r="AE96" i="3" s="1"/>
  <c r="AD92" i="3"/>
  <c r="AF92" i="3" s="1"/>
  <c r="AD88" i="3"/>
  <c r="AE88" i="3" s="1"/>
  <c r="AD84" i="3"/>
  <c r="AF84" i="3" s="1"/>
  <c r="AD80" i="3"/>
  <c r="AE80" i="3" s="1"/>
  <c r="X104" i="3"/>
  <c r="AC104" i="3" s="1"/>
  <c r="X100" i="3"/>
  <c r="AC100" i="3" s="1"/>
  <c r="X96" i="3"/>
  <c r="Z96" i="3" s="1"/>
  <c r="X92" i="3"/>
  <c r="Z92" i="3" s="1"/>
  <c r="X88" i="3"/>
  <c r="Z88" i="3" s="1"/>
  <c r="X84" i="3"/>
  <c r="Z84" i="3" s="1"/>
  <c r="X80" i="3"/>
  <c r="Z80" i="3" s="1"/>
  <c r="X103" i="3"/>
  <c r="Y103" i="3" s="1"/>
  <c r="X99" i="3"/>
  <c r="Z99" i="3" s="1"/>
  <c r="X95" i="3"/>
  <c r="AA95" i="3" s="1"/>
  <c r="X91" i="3"/>
  <c r="AA91" i="3" s="1"/>
  <c r="X87" i="3"/>
  <c r="AA87" i="3" s="1"/>
  <c r="X83" i="3"/>
  <c r="Z83" i="3" s="1"/>
  <c r="X79" i="3"/>
  <c r="AA79" i="3" s="1"/>
  <c r="P102" i="3"/>
  <c r="T102" i="3" s="1"/>
  <c r="P98" i="3"/>
  <c r="T98" i="3" s="1"/>
  <c r="P94" i="3"/>
  <c r="R94" i="3" s="1"/>
  <c r="P90" i="3"/>
  <c r="W90" i="3" s="1"/>
  <c r="P86" i="3"/>
  <c r="W86" i="3" s="1"/>
  <c r="AB103" i="3"/>
  <c r="Y99" i="3"/>
  <c r="X102" i="3"/>
  <c r="AC102" i="3" s="1"/>
  <c r="X98" i="3"/>
  <c r="Y98" i="3" s="1"/>
  <c r="X94" i="3"/>
  <c r="Y94" i="3" s="1"/>
  <c r="X90" i="3"/>
  <c r="Z90" i="3" s="1"/>
  <c r="X86" i="3"/>
  <c r="AA86" i="3" s="1"/>
  <c r="X82" i="3"/>
  <c r="Z82" i="3" s="1"/>
  <c r="X78" i="3"/>
  <c r="Y78" i="3" s="1"/>
  <c r="V83" i="3"/>
  <c r="P101" i="3"/>
  <c r="U101" i="3" s="1"/>
  <c r="AB91" i="3"/>
  <c r="X101" i="3"/>
  <c r="AC101" i="3" s="1"/>
  <c r="X97" i="3"/>
  <c r="Z97" i="3" s="1"/>
  <c r="X93" i="3"/>
  <c r="X89" i="3"/>
  <c r="X85" i="3"/>
  <c r="Z85" i="3" s="1"/>
  <c r="X81" i="3"/>
  <c r="Z81" i="3" s="1"/>
  <c r="U87" i="3"/>
  <c r="U83" i="3"/>
  <c r="P104" i="3"/>
  <c r="W104" i="3" s="1"/>
  <c r="P100" i="3"/>
  <c r="P96" i="3"/>
  <c r="P92" i="3"/>
  <c r="W92" i="3" s="1"/>
  <c r="P88" i="3"/>
  <c r="V88" i="3" s="1"/>
  <c r="P84" i="3"/>
  <c r="W84" i="3" s="1"/>
  <c r="P103" i="3"/>
  <c r="P93" i="3"/>
  <c r="W93" i="3" s="1"/>
  <c r="P85" i="3"/>
  <c r="T85" i="3" s="1"/>
  <c r="P80" i="3"/>
  <c r="S80" i="3" s="1"/>
  <c r="M101" i="3"/>
  <c r="N101" i="3" s="1"/>
  <c r="M97" i="3"/>
  <c r="N97" i="3" s="1"/>
  <c r="M93" i="3"/>
  <c r="N93" i="3" s="1"/>
  <c r="M89" i="3"/>
  <c r="N89" i="3" s="1"/>
  <c r="M85" i="3"/>
  <c r="N85" i="3" s="1"/>
  <c r="M81" i="3"/>
  <c r="O81" i="3" s="1"/>
  <c r="J102" i="3"/>
  <c r="L102" i="3" s="1"/>
  <c r="J98" i="3"/>
  <c r="L98" i="3" s="1"/>
  <c r="J94" i="3"/>
  <c r="L94" i="3" s="1"/>
  <c r="J90" i="3"/>
  <c r="L90" i="3" s="1"/>
  <c r="J86" i="3"/>
  <c r="L86" i="3" s="1"/>
  <c r="J82" i="3"/>
  <c r="L82" i="3" s="1"/>
  <c r="J78" i="3"/>
  <c r="L78" i="3" s="1"/>
  <c r="B101" i="3"/>
  <c r="B97" i="3"/>
  <c r="B93" i="3"/>
  <c r="B89" i="3"/>
  <c r="B85" i="3"/>
  <c r="B81" i="3"/>
  <c r="BE75" i="3"/>
  <c r="BA74" i="3"/>
  <c r="AU76" i="3"/>
  <c r="AP75" i="3"/>
  <c r="AN74" i="3"/>
  <c r="AO74" i="3" s="1"/>
  <c r="AG76" i="3"/>
  <c r="AD75" i="3"/>
  <c r="AF75" i="3" s="1"/>
  <c r="X74" i="3"/>
  <c r="M76" i="3"/>
  <c r="J75" i="3"/>
  <c r="B76" i="3"/>
  <c r="BE72" i="3"/>
  <c r="AP72" i="3"/>
  <c r="AD72" i="3"/>
  <c r="AE72" i="3" s="1"/>
  <c r="J72" i="3"/>
  <c r="AX71" i="3"/>
  <c r="AK71" i="3"/>
  <c r="P71" i="3"/>
  <c r="BE70" i="3"/>
  <c r="AP70" i="3"/>
  <c r="AD70" i="3"/>
  <c r="AF70" i="3" s="1"/>
  <c r="J70" i="3"/>
  <c r="AX69" i="3"/>
  <c r="AK69" i="3"/>
  <c r="P69" i="3"/>
  <c r="AP68" i="3"/>
  <c r="AT68" i="3" s="1"/>
  <c r="AG68" i="3"/>
  <c r="AI68" i="3" s="1"/>
  <c r="X67" i="3"/>
  <c r="BE65" i="3"/>
  <c r="AP65" i="3"/>
  <c r="X65" i="3"/>
  <c r="BA64" i="3"/>
  <c r="AN64" i="3"/>
  <c r="X64" i="3"/>
  <c r="B64" i="3"/>
  <c r="AX62" i="3"/>
  <c r="AG62" i="3"/>
  <c r="B62" i="3"/>
  <c r="AU61" i="3"/>
  <c r="AD61" i="3"/>
  <c r="AF61" i="3" s="1"/>
  <c r="AG60" i="3"/>
  <c r="AX59" i="3"/>
  <c r="AZ59" i="3" s="1"/>
  <c r="AG59" i="3"/>
  <c r="E59" i="3"/>
  <c r="AN58" i="3"/>
  <c r="AO58" i="3" s="1"/>
  <c r="AD58" i="3"/>
  <c r="AE58" i="3" s="1"/>
  <c r="E58" i="3"/>
  <c r="AN57" i="3"/>
  <c r="BA56" i="3"/>
  <c r="AN56" i="3"/>
  <c r="P56" i="3"/>
  <c r="AN55" i="3"/>
  <c r="AC55" i="3"/>
  <c r="AX54" i="3"/>
  <c r="AG54" i="3"/>
  <c r="B54" i="3"/>
  <c r="AU53" i="3"/>
  <c r="AD53" i="3"/>
  <c r="AF53" i="3" s="1"/>
  <c r="BE52" i="3"/>
  <c r="BF52" i="3" s="1"/>
  <c r="AU52" i="3"/>
  <c r="AG52" i="3"/>
  <c r="AJ52" i="3" s="1"/>
  <c r="E52" i="3"/>
  <c r="BA51" i="3"/>
  <c r="AN51" i="3"/>
  <c r="X51" i="3"/>
  <c r="Z51" i="3" s="1"/>
  <c r="BA50" i="3"/>
  <c r="AP50" i="3"/>
  <c r="X50" i="3"/>
  <c r="BE49" i="3"/>
  <c r="AP49" i="3"/>
  <c r="X49" i="3"/>
  <c r="BE48" i="3"/>
  <c r="BF48" i="3" s="1"/>
  <c r="AU48" i="3"/>
  <c r="AW48" i="3" s="1"/>
  <c r="Y48" i="3"/>
  <c r="BA47" i="3"/>
  <c r="BD47" i="3" s="1"/>
  <c r="AG47" i="3"/>
  <c r="AJ47" i="3" s="1"/>
  <c r="BA46" i="3"/>
  <c r="AN46" i="3"/>
  <c r="P46" i="3"/>
  <c r="AP45" i="3"/>
  <c r="AT45" i="3" s="1"/>
  <c r="AD45" i="3"/>
  <c r="AF45" i="3" s="1"/>
  <c r="P99" i="3"/>
  <c r="S99" i="3" s="1"/>
  <c r="P91" i="3"/>
  <c r="V91" i="3" s="1"/>
  <c r="P83" i="3"/>
  <c r="P79" i="3"/>
  <c r="R79" i="3" s="1"/>
  <c r="O101" i="3"/>
  <c r="O97" i="3"/>
  <c r="O93" i="3"/>
  <c r="O89" i="3"/>
  <c r="O85" i="3"/>
  <c r="O83" i="3"/>
  <c r="M104" i="3"/>
  <c r="N104" i="3" s="1"/>
  <c r="M100" i="3"/>
  <c r="N100" i="3" s="1"/>
  <c r="M96" i="3"/>
  <c r="N96" i="3" s="1"/>
  <c r="M92" i="3"/>
  <c r="N92" i="3" s="1"/>
  <c r="M88" i="3"/>
  <c r="N88" i="3" s="1"/>
  <c r="M84" i="3"/>
  <c r="N84" i="3" s="1"/>
  <c r="M80" i="3"/>
  <c r="N80" i="3" s="1"/>
  <c r="J101" i="3"/>
  <c r="K101" i="3" s="1"/>
  <c r="J97" i="3"/>
  <c r="L97" i="3" s="1"/>
  <c r="J93" i="3"/>
  <c r="K93" i="3" s="1"/>
  <c r="J89" i="3"/>
  <c r="L89" i="3" s="1"/>
  <c r="J85" i="3"/>
  <c r="K85" i="3" s="1"/>
  <c r="J81" i="3"/>
  <c r="L81" i="3" s="1"/>
  <c r="B104" i="3"/>
  <c r="I104" i="3" s="1"/>
  <c r="B100" i="3"/>
  <c r="B96" i="3"/>
  <c r="B92" i="3"/>
  <c r="B88" i="3"/>
  <c r="B84" i="3"/>
  <c r="B79" i="3"/>
  <c r="BE74" i="3"/>
  <c r="AX76" i="3"/>
  <c r="AU75" i="3"/>
  <c r="AP74" i="3"/>
  <c r="AK76" i="3"/>
  <c r="AG75" i="3"/>
  <c r="AD74" i="3"/>
  <c r="AE74" i="3" s="1"/>
  <c r="P76" i="3"/>
  <c r="M75" i="3"/>
  <c r="J74" i="3"/>
  <c r="BA72" i="3"/>
  <c r="AN72" i="3"/>
  <c r="X72" i="3"/>
  <c r="B72" i="3"/>
  <c r="AU71" i="3"/>
  <c r="AG71" i="3"/>
  <c r="M71" i="3"/>
  <c r="BA70" i="3"/>
  <c r="AN70" i="3"/>
  <c r="X70" i="3"/>
  <c r="B70" i="3"/>
  <c r="AU69" i="3"/>
  <c r="AG69" i="3"/>
  <c r="M69" i="3"/>
  <c r="BE68" i="3"/>
  <c r="BF68" i="3" s="1"/>
  <c r="BA68" i="3"/>
  <c r="BB68" i="3" s="1"/>
  <c r="AU68" i="3"/>
  <c r="AV68" i="3" s="1"/>
  <c r="AD68" i="3"/>
  <c r="AF68" i="3" s="1"/>
  <c r="X68" i="3"/>
  <c r="AB68" i="3" s="1"/>
  <c r="AN67" i="3"/>
  <c r="AO67" i="3" s="1"/>
  <c r="P67" i="3"/>
  <c r="BA65" i="3"/>
  <c r="AN65" i="3"/>
  <c r="P65" i="3"/>
  <c r="AX64" i="3"/>
  <c r="AK64" i="3"/>
  <c r="P64" i="3"/>
  <c r="M63" i="3"/>
  <c r="AU62" i="3"/>
  <c r="AD62" i="3"/>
  <c r="AF62" i="3" s="1"/>
  <c r="BE61" i="3"/>
  <c r="AP61" i="3"/>
  <c r="X61" i="3"/>
  <c r="BE60" i="3"/>
  <c r="BF60" i="3" s="1"/>
  <c r="AU60" i="3"/>
  <c r="AV60" i="3" s="1"/>
  <c r="AD60" i="3"/>
  <c r="AF60" i="3" s="1"/>
  <c r="B60" i="3"/>
  <c r="AU59" i="3"/>
  <c r="AD59" i="3"/>
  <c r="AE59" i="3" s="1"/>
  <c r="B59" i="3"/>
  <c r="AX58" i="3"/>
  <c r="AY58" i="3" s="1"/>
  <c r="AL58" i="3"/>
  <c r="X58" i="3"/>
  <c r="Z58" i="3" s="1"/>
  <c r="P58" i="3"/>
  <c r="T58" i="3" s="1"/>
  <c r="B58" i="3"/>
  <c r="AX57" i="3"/>
  <c r="AY57" i="3" s="1"/>
  <c r="AG57" i="3"/>
  <c r="E57" i="3"/>
  <c r="AX56" i="3"/>
  <c r="AG56" i="3"/>
  <c r="B56" i="3"/>
  <c r="AX55" i="3"/>
  <c r="AY55" i="3" s="1"/>
  <c r="B55" i="3"/>
  <c r="AU54" i="3"/>
  <c r="AD54" i="3"/>
  <c r="AF54" i="3" s="1"/>
  <c r="BE53" i="3"/>
  <c r="AP53" i="3"/>
  <c r="X53" i="3"/>
  <c r="BA52" i="3"/>
  <c r="BC52" i="3" s="1"/>
  <c r="AP52" i="3"/>
  <c r="AD52" i="3"/>
  <c r="AF52" i="3" s="1"/>
  <c r="B52" i="3"/>
  <c r="AX51" i="3"/>
  <c r="AG51" i="3"/>
  <c r="AJ51" i="3" s="1"/>
  <c r="B51" i="3"/>
  <c r="AN50" i="3"/>
  <c r="P50" i="3"/>
  <c r="BA49" i="3"/>
  <c r="AN49" i="3"/>
  <c r="P49" i="3"/>
  <c r="BA48" i="3"/>
  <c r="AP48" i="3"/>
  <c r="AG48" i="3"/>
  <c r="AJ48" i="3" s="1"/>
  <c r="X48" i="3"/>
  <c r="Z48" i="3" s="1"/>
  <c r="P48" i="3"/>
  <c r="Q48" i="3" s="1"/>
  <c r="AX47" i="3"/>
  <c r="AD47" i="3"/>
  <c r="AE47" i="3" s="1"/>
  <c r="AX46" i="3"/>
  <c r="AG46" i="3"/>
  <c r="B46" i="3"/>
  <c r="AX45" i="3"/>
  <c r="AZ45" i="3" s="1"/>
  <c r="AN45" i="3"/>
  <c r="P97" i="3"/>
  <c r="S97" i="3" s="1"/>
  <c r="P89" i="3"/>
  <c r="P82" i="3"/>
  <c r="T82" i="3" s="1"/>
  <c r="P78" i="3"/>
  <c r="U78" i="3" s="1"/>
  <c r="N83" i="3"/>
  <c r="M103" i="3"/>
  <c r="O103" i="3" s="1"/>
  <c r="M99" i="3"/>
  <c r="N99" i="3" s="1"/>
  <c r="M95" i="3"/>
  <c r="O95" i="3" s="1"/>
  <c r="M91" i="3"/>
  <c r="N91" i="3" s="1"/>
  <c r="M87" i="3"/>
  <c r="O87" i="3" s="1"/>
  <c r="M83" i="3"/>
  <c r="M79" i="3"/>
  <c r="O79" i="3" s="1"/>
  <c r="L83" i="3"/>
  <c r="J104" i="3"/>
  <c r="K104" i="3" s="1"/>
  <c r="J100" i="3"/>
  <c r="L100" i="3" s="1"/>
  <c r="J96" i="3"/>
  <c r="K96" i="3" s="1"/>
  <c r="J92" i="3"/>
  <c r="L92" i="3" s="1"/>
  <c r="J88" i="3"/>
  <c r="K88" i="3" s="1"/>
  <c r="J84" i="3"/>
  <c r="L84" i="3" s="1"/>
  <c r="J80" i="3"/>
  <c r="K80" i="3" s="1"/>
  <c r="B103" i="3"/>
  <c r="B99" i="3"/>
  <c r="B95" i="3"/>
  <c r="B91" i="3"/>
  <c r="B87" i="3"/>
  <c r="B83" i="3"/>
  <c r="B78" i="3"/>
  <c r="BA76" i="3"/>
  <c r="AX75" i="3"/>
  <c r="AU74" i="3"/>
  <c r="AN76" i="3"/>
  <c r="AK75" i="3"/>
  <c r="AG74" i="3"/>
  <c r="X76" i="3"/>
  <c r="P75" i="3"/>
  <c r="M74" i="3"/>
  <c r="B80" i="3"/>
  <c r="B74" i="3"/>
  <c r="AX72" i="3"/>
  <c r="AK72" i="3"/>
  <c r="P72" i="3"/>
  <c r="BE71" i="3"/>
  <c r="AP71" i="3"/>
  <c r="AD71" i="3"/>
  <c r="AE71" i="3" s="1"/>
  <c r="J71" i="3"/>
  <c r="AX70" i="3"/>
  <c r="AK70" i="3"/>
  <c r="P70" i="3"/>
  <c r="BE69" i="3"/>
  <c r="AP69" i="3"/>
  <c r="AD69" i="3"/>
  <c r="AF69" i="3" s="1"/>
  <c r="J69" i="3"/>
  <c r="AN68" i="3"/>
  <c r="AO68" i="3" s="1"/>
  <c r="P68" i="3"/>
  <c r="T68" i="3" s="1"/>
  <c r="AG67" i="3"/>
  <c r="B67" i="3"/>
  <c r="P66" i="3"/>
  <c r="AX65" i="3"/>
  <c r="AG65" i="3"/>
  <c r="B65" i="3"/>
  <c r="AU64" i="3"/>
  <c r="AG64" i="3"/>
  <c r="M64" i="3"/>
  <c r="BE62" i="3"/>
  <c r="AP62" i="3"/>
  <c r="X62" i="3"/>
  <c r="BA61" i="3"/>
  <c r="AN61" i="3"/>
  <c r="P61" i="3"/>
  <c r="BA60" i="3"/>
  <c r="AP60" i="3"/>
  <c r="X60" i="3"/>
  <c r="BE59" i="3"/>
  <c r="BF59" i="3" s="1"/>
  <c r="AP59" i="3"/>
  <c r="X59" i="3"/>
  <c r="BE58" i="3"/>
  <c r="AU58" i="3"/>
  <c r="AK58" i="3"/>
  <c r="BE57" i="3"/>
  <c r="BF57" i="3" s="1"/>
  <c r="AU57" i="3"/>
  <c r="AD57" i="3"/>
  <c r="AF57" i="3" s="1"/>
  <c r="B57" i="3"/>
  <c r="AU56" i="3"/>
  <c r="AD56" i="3"/>
  <c r="AF56" i="3" s="1"/>
  <c r="BE55" i="3"/>
  <c r="AU55" i="3"/>
  <c r="AG55" i="3"/>
  <c r="AJ55" i="3" s="1"/>
  <c r="BE54" i="3"/>
  <c r="AP54" i="3"/>
  <c r="X54" i="3"/>
  <c r="BA53" i="3"/>
  <c r="AN53" i="3"/>
  <c r="P53" i="3"/>
  <c r="AN52" i="3"/>
  <c r="X52" i="3"/>
  <c r="AB52" i="3" s="1"/>
  <c r="BE51" i="3"/>
  <c r="AU51" i="3"/>
  <c r="AW51" i="3" s="1"/>
  <c r="AD51" i="3"/>
  <c r="AF51" i="3" s="1"/>
  <c r="P51" i="3"/>
  <c r="W51" i="3" s="1"/>
  <c r="AX50" i="3"/>
  <c r="AZ50" i="3" s="1"/>
  <c r="AG50" i="3"/>
  <c r="E50" i="3"/>
  <c r="AX49" i="3"/>
  <c r="AG49" i="3"/>
  <c r="D49" i="3"/>
  <c r="AN48" i="3"/>
  <c r="AD48" i="3"/>
  <c r="AF48" i="3" s="1"/>
  <c r="B48" i="3"/>
  <c r="AP47" i="3"/>
  <c r="AT47" i="3" s="1"/>
  <c r="AC47" i="3"/>
  <c r="I47" i="3"/>
  <c r="B47" i="3"/>
  <c r="H47" i="3" s="1"/>
  <c r="AU46" i="3"/>
  <c r="AD46" i="3"/>
  <c r="AF46" i="3" s="1"/>
  <c r="BE45" i="3"/>
  <c r="BF45" i="3" s="1"/>
  <c r="AU45" i="3"/>
  <c r="AW45" i="3" s="1"/>
  <c r="P95" i="3"/>
  <c r="P87" i="3"/>
  <c r="Q87" i="3" s="1"/>
  <c r="P81" i="3"/>
  <c r="W81" i="3" s="1"/>
  <c r="M102" i="3"/>
  <c r="N102" i="3" s="1"/>
  <c r="M98" i="3"/>
  <c r="O98" i="3" s="1"/>
  <c r="M94" i="3"/>
  <c r="N94" i="3" s="1"/>
  <c r="M90" i="3"/>
  <c r="O90" i="3" s="1"/>
  <c r="M86" i="3"/>
  <c r="N86" i="3" s="1"/>
  <c r="M82" i="3"/>
  <c r="O82" i="3" s="1"/>
  <c r="M78" i="3"/>
  <c r="N78" i="3" s="1"/>
  <c r="J103" i="3"/>
  <c r="L103" i="3" s="1"/>
  <c r="J99" i="3"/>
  <c r="L99" i="3" s="1"/>
  <c r="J95" i="3"/>
  <c r="L95" i="3" s="1"/>
  <c r="J91" i="3"/>
  <c r="L91" i="3" s="1"/>
  <c r="J87" i="3"/>
  <c r="L87" i="3" s="1"/>
  <c r="J83" i="3"/>
  <c r="K83" i="3" s="1"/>
  <c r="J79" i="3"/>
  <c r="L79" i="3" s="1"/>
  <c r="B102" i="3"/>
  <c r="B98" i="3"/>
  <c r="B94" i="3"/>
  <c r="B90" i="3"/>
  <c r="B86" i="3"/>
  <c r="B82" i="3"/>
  <c r="BE76" i="3"/>
  <c r="BA75" i="3"/>
  <c r="AX74" i="3"/>
  <c r="AP76" i="3"/>
  <c r="AN75" i="3"/>
  <c r="AK74" i="3"/>
  <c r="AD76" i="3"/>
  <c r="AE76" i="3" s="1"/>
  <c r="X75" i="3"/>
  <c r="P74" i="3"/>
  <c r="J76" i="3"/>
  <c r="B75" i="3"/>
  <c r="D75" i="3" s="1"/>
  <c r="M73" i="3"/>
  <c r="AU72" i="3"/>
  <c r="AG72" i="3"/>
  <c r="M72" i="3"/>
  <c r="BA71" i="3"/>
  <c r="AN71" i="3"/>
  <c r="X71" i="3"/>
  <c r="B71" i="3"/>
  <c r="AU70" i="3"/>
  <c r="AG70" i="3"/>
  <c r="M70" i="3"/>
  <c r="BA69" i="3"/>
  <c r="AN69" i="3"/>
  <c r="X69" i="3"/>
  <c r="B69" i="3"/>
  <c r="AX68" i="3"/>
  <c r="AY68" i="3" s="1"/>
  <c r="AK68" i="3"/>
  <c r="AM68" i="3" s="1"/>
  <c r="B68" i="3"/>
  <c r="F68" i="3" s="1"/>
  <c r="AD67" i="3"/>
  <c r="AE67" i="3" s="1"/>
  <c r="B66" i="3"/>
  <c r="AU65" i="3"/>
  <c r="AD65" i="3"/>
  <c r="AE65" i="3" s="1"/>
  <c r="BE64" i="3"/>
  <c r="AP64" i="3"/>
  <c r="AD64" i="3"/>
  <c r="AE64" i="3" s="1"/>
  <c r="J64" i="3"/>
  <c r="BA62" i="3"/>
  <c r="AN62" i="3"/>
  <c r="P62" i="3"/>
  <c r="AX61" i="3"/>
  <c r="AG61" i="3"/>
  <c r="B61" i="3"/>
  <c r="AX60" i="3"/>
  <c r="AN60" i="3"/>
  <c r="AO60" i="3" s="1"/>
  <c r="P60" i="3"/>
  <c r="BA59" i="3"/>
  <c r="AN59" i="3"/>
  <c r="P59" i="3"/>
  <c r="BA58" i="3"/>
  <c r="AP58" i="3"/>
  <c r="AG58" i="3"/>
  <c r="M58" i="3"/>
  <c r="N58" i="3" s="1"/>
  <c r="BA57" i="3"/>
  <c r="AP57" i="3"/>
  <c r="X57" i="3"/>
  <c r="P57" i="3"/>
  <c r="T57" i="3" s="1"/>
  <c r="BE56" i="3"/>
  <c r="AP56" i="3"/>
  <c r="X56" i="3"/>
  <c r="BA55" i="3"/>
  <c r="AP55" i="3"/>
  <c r="AD55" i="3"/>
  <c r="AF55" i="3" s="1"/>
  <c r="P55" i="3"/>
  <c r="Q55" i="3" s="1"/>
  <c r="BA54" i="3"/>
  <c r="AN54" i="3"/>
  <c r="P54" i="3"/>
  <c r="AX53" i="3"/>
  <c r="AG53" i="3"/>
  <c r="B53" i="3"/>
  <c r="AX52" i="3"/>
  <c r="AZ52" i="3" s="1"/>
  <c r="P52" i="3"/>
  <c r="BD51" i="3"/>
  <c r="AP51" i="3"/>
  <c r="BE50" i="3"/>
  <c r="BF50" i="3" s="1"/>
  <c r="AU50" i="3"/>
  <c r="AD50" i="3"/>
  <c r="AF50" i="3" s="1"/>
  <c r="B50" i="3"/>
  <c r="AU49" i="3"/>
  <c r="AD49" i="3"/>
  <c r="AF49" i="3" s="1"/>
  <c r="B49" i="3"/>
  <c r="AX48" i="3"/>
  <c r="AZ48" i="3" s="1"/>
  <c r="BE47" i="3"/>
  <c r="BF47" i="3" s="1"/>
  <c r="AU47" i="3"/>
  <c r="AV47" i="3" s="1"/>
  <c r="AN47" i="3"/>
  <c r="G47" i="3"/>
  <c r="BE46" i="3"/>
  <c r="AP46" i="3"/>
  <c r="X46" i="3"/>
  <c r="BA45" i="3"/>
  <c r="AG45" i="3"/>
  <c r="AJ45" i="3" s="1"/>
  <c r="P45" i="3"/>
  <c r="BE44" i="3"/>
  <c r="BF44" i="3" s="1"/>
  <c r="AN44" i="3"/>
  <c r="AO44" i="3" s="1"/>
  <c r="AG44" i="3"/>
  <c r="AH44" i="3" s="1"/>
  <c r="X44" i="3"/>
  <c r="Z44" i="3" s="1"/>
  <c r="B44" i="3"/>
  <c r="AX43" i="3"/>
  <c r="AZ43" i="3" s="1"/>
  <c r="AR43" i="3"/>
  <c r="AD43" i="3"/>
  <c r="AE43" i="3" s="1"/>
  <c r="AX42" i="3"/>
  <c r="AZ42" i="3" s="1"/>
  <c r="AG42" i="3"/>
  <c r="E42" i="3"/>
  <c r="AX41" i="3"/>
  <c r="AK41" i="3"/>
  <c r="P41" i="3"/>
  <c r="BE40" i="3"/>
  <c r="AP40" i="3"/>
  <c r="AD40" i="3"/>
  <c r="AF40" i="3" s="1"/>
  <c r="D40" i="3"/>
  <c r="BA39" i="3"/>
  <c r="AU39" i="3"/>
  <c r="AV39" i="3" s="1"/>
  <c r="AK39" i="3"/>
  <c r="AL39" i="3" s="1"/>
  <c r="AD39" i="3"/>
  <c r="AE39" i="3" s="1"/>
  <c r="BE38" i="3"/>
  <c r="AX38" i="3"/>
  <c r="AG38" i="3"/>
  <c r="BE37" i="3"/>
  <c r="AD37" i="3"/>
  <c r="AF37" i="3" s="1"/>
  <c r="AX36" i="3"/>
  <c r="AZ36" i="3" s="1"/>
  <c r="AN36" i="3"/>
  <c r="AO36" i="3" s="1"/>
  <c r="M36" i="3"/>
  <c r="N36" i="3" s="1"/>
  <c r="B36" i="3"/>
  <c r="I36" i="3" s="1"/>
  <c r="AU35" i="3"/>
  <c r="AD35" i="3"/>
  <c r="AF35" i="3" s="1"/>
  <c r="AX34" i="3"/>
  <c r="AZ34" i="3" s="1"/>
  <c r="P34" i="3"/>
  <c r="E34" i="3"/>
  <c r="AX33" i="3"/>
  <c r="AG33" i="3"/>
  <c r="B33" i="3"/>
  <c r="BA32" i="3"/>
  <c r="AP32" i="3"/>
  <c r="AI32" i="3"/>
  <c r="Y32" i="3"/>
  <c r="AX31" i="3"/>
  <c r="X31" i="3"/>
  <c r="AB31" i="3" s="1"/>
  <c r="BE30" i="3"/>
  <c r="BF30" i="3" s="1"/>
  <c r="AX30" i="3"/>
  <c r="AZ30" i="3" s="1"/>
  <c r="AN30" i="3"/>
  <c r="AO30" i="3" s="1"/>
  <c r="AP29" i="3"/>
  <c r="X29" i="3"/>
  <c r="E29" i="3"/>
  <c r="AX28" i="3"/>
  <c r="AG28" i="3"/>
  <c r="BE27" i="3"/>
  <c r="BF27" i="3" s="1"/>
  <c r="AX27" i="3"/>
  <c r="AZ27" i="3" s="1"/>
  <c r="AN27" i="3"/>
  <c r="AO27" i="3" s="1"/>
  <c r="AG27" i="3"/>
  <c r="AJ27" i="3" s="1"/>
  <c r="X27" i="3"/>
  <c r="Z27" i="3" s="1"/>
  <c r="BE26" i="3"/>
  <c r="BF26" i="3" s="1"/>
  <c r="AD26" i="3"/>
  <c r="AE26" i="3" s="1"/>
  <c r="E26" i="3"/>
  <c r="AX25" i="3"/>
  <c r="AK25" i="3"/>
  <c r="P25" i="3"/>
  <c r="D25" i="3"/>
  <c r="AX24" i="3"/>
  <c r="AG24" i="3"/>
  <c r="B24" i="3"/>
  <c r="AU23" i="3"/>
  <c r="AD23" i="3"/>
  <c r="AF23" i="3" s="1"/>
  <c r="BE22" i="3"/>
  <c r="AP22" i="3"/>
  <c r="X22" i="3"/>
  <c r="BE21" i="3"/>
  <c r="BF21" i="3" s="1"/>
  <c r="BA21" i="3"/>
  <c r="BD21" i="3" s="1"/>
  <c r="AU21" i="3"/>
  <c r="AG21" i="3"/>
  <c r="AJ21" i="3" s="1"/>
  <c r="B21" i="3"/>
  <c r="AU20" i="3"/>
  <c r="AG20" i="3"/>
  <c r="E20" i="3"/>
  <c r="BA19" i="3"/>
  <c r="AD19" i="3"/>
  <c r="AE19" i="3" s="1"/>
  <c r="BE18" i="3"/>
  <c r="BF18" i="3" s="1"/>
  <c r="AX18" i="3"/>
  <c r="AZ18" i="3" s="1"/>
  <c r="AN18" i="3"/>
  <c r="X18" i="3"/>
  <c r="Z18" i="3" s="1"/>
  <c r="BE17" i="3"/>
  <c r="B17" i="3"/>
  <c r="AU16" i="3"/>
  <c r="B16" i="3"/>
  <c r="AU15" i="3"/>
  <c r="AD15" i="3"/>
  <c r="AE15" i="3" s="1"/>
  <c r="AX14" i="3"/>
  <c r="AZ14" i="3" s="1"/>
  <c r="AP14" i="3"/>
  <c r="AT14" i="3" s="1"/>
  <c r="X14" i="3"/>
  <c r="BE13" i="3"/>
  <c r="AP13" i="3"/>
  <c r="X13" i="3"/>
  <c r="BA12" i="3"/>
  <c r="AN12" i="3"/>
  <c r="P12" i="3"/>
  <c r="BA11" i="3"/>
  <c r="AD11" i="3"/>
  <c r="AE11" i="3" s="1"/>
  <c r="B11" i="3"/>
  <c r="AU10" i="3"/>
  <c r="AD10" i="3"/>
  <c r="AE10" i="3" s="1"/>
  <c r="AX9" i="3"/>
  <c r="AZ9" i="3" s="1"/>
  <c r="AP9" i="3"/>
  <c r="AT9" i="3" s="1"/>
  <c r="X9" i="3"/>
  <c r="BE8" i="3"/>
  <c r="AP8" i="3"/>
  <c r="X8" i="3"/>
  <c r="BA7" i="3"/>
  <c r="AN7" i="3"/>
  <c r="P7" i="3"/>
  <c r="BE6" i="3"/>
  <c r="BF6" i="3" s="1"/>
  <c r="AX6" i="3"/>
  <c r="AY6" i="3" s="1"/>
  <c r="AP6" i="3"/>
  <c r="AG6" i="3"/>
  <c r="AJ6" i="3" s="1"/>
  <c r="AX5" i="3"/>
  <c r="X45" i="3"/>
  <c r="Z45" i="3" s="1"/>
  <c r="BA44" i="3"/>
  <c r="AU44" i="3"/>
  <c r="AV44" i="3" s="1"/>
  <c r="AD44" i="3"/>
  <c r="AF44" i="3" s="1"/>
  <c r="P44" i="3"/>
  <c r="R44" i="3" s="1"/>
  <c r="BE43" i="3"/>
  <c r="BF43" i="3" s="1"/>
  <c r="AP43" i="3"/>
  <c r="AT43" i="3" s="1"/>
  <c r="X43" i="3"/>
  <c r="BE42" i="3"/>
  <c r="BF42" i="3" s="1"/>
  <c r="AU42" i="3"/>
  <c r="AD42" i="3"/>
  <c r="AF42" i="3" s="1"/>
  <c r="B42" i="3"/>
  <c r="AU41" i="3"/>
  <c r="AG41" i="3"/>
  <c r="M41" i="3"/>
  <c r="BA40" i="3"/>
  <c r="AN40" i="3"/>
  <c r="X40" i="3"/>
  <c r="B40" i="3"/>
  <c r="AP39" i="3"/>
  <c r="AS39" i="3" s="1"/>
  <c r="E39" i="3"/>
  <c r="AU38" i="3"/>
  <c r="AD38" i="3"/>
  <c r="AF38" i="3" s="1"/>
  <c r="X38" i="3"/>
  <c r="AB38" i="3" s="1"/>
  <c r="BA37" i="3"/>
  <c r="AP37" i="3"/>
  <c r="AT37" i="3" s="1"/>
  <c r="X37" i="3"/>
  <c r="B37" i="3"/>
  <c r="F36" i="3"/>
  <c r="BE35" i="3"/>
  <c r="AP35" i="3"/>
  <c r="X35" i="3"/>
  <c r="BE34" i="3"/>
  <c r="BF34" i="3" s="1"/>
  <c r="B34" i="3"/>
  <c r="AU33" i="3"/>
  <c r="AD33" i="3"/>
  <c r="AF33" i="3" s="1"/>
  <c r="AG32" i="3"/>
  <c r="AJ32" i="3" s="1"/>
  <c r="X32" i="3"/>
  <c r="Z32" i="3" s="1"/>
  <c r="B32" i="3"/>
  <c r="AU31" i="3"/>
  <c r="AK31" i="3"/>
  <c r="AL31" i="3" s="1"/>
  <c r="P31" i="3"/>
  <c r="BD30" i="3"/>
  <c r="X30" i="3"/>
  <c r="Z30" i="3" s="1"/>
  <c r="B30" i="3"/>
  <c r="BA29" i="3"/>
  <c r="BD29" i="3" s="1"/>
  <c r="AN29" i="3"/>
  <c r="AO29" i="3" s="1"/>
  <c r="P29" i="3"/>
  <c r="B29" i="3"/>
  <c r="AU28" i="3"/>
  <c r="AD28" i="3"/>
  <c r="AF28" i="3" s="1"/>
  <c r="P28" i="3"/>
  <c r="T28" i="3" s="1"/>
  <c r="BD27" i="3"/>
  <c r="AU27" i="3"/>
  <c r="AW27" i="3" s="1"/>
  <c r="AD27" i="3"/>
  <c r="AF27" i="3" s="1"/>
  <c r="AN26" i="3"/>
  <c r="AO26" i="3" s="1"/>
  <c r="B26" i="3"/>
  <c r="AU25" i="3"/>
  <c r="AG25" i="3"/>
  <c r="B25" i="3"/>
  <c r="AU24" i="3"/>
  <c r="AD24" i="3"/>
  <c r="AF24" i="3" s="1"/>
  <c r="BE23" i="3"/>
  <c r="AP23" i="3"/>
  <c r="X23" i="3"/>
  <c r="BA22" i="3"/>
  <c r="AN22" i="3"/>
  <c r="P22" i="3"/>
  <c r="AP21" i="3"/>
  <c r="AD21" i="3"/>
  <c r="AF21" i="3" s="1"/>
  <c r="X21" i="3"/>
  <c r="AC21" i="3" s="1"/>
  <c r="BE20" i="3"/>
  <c r="BF20" i="3" s="1"/>
  <c r="AD20" i="3"/>
  <c r="AE20" i="3" s="1"/>
  <c r="B20" i="3"/>
  <c r="AP19" i="3"/>
  <c r="AS19" i="3" s="1"/>
  <c r="AI19" i="3"/>
  <c r="V19" i="3"/>
  <c r="BA18" i="3"/>
  <c r="AG18" i="3"/>
  <c r="AJ18" i="3" s="1"/>
  <c r="BA17" i="3"/>
  <c r="AP17" i="3"/>
  <c r="AT17" i="3" s="1"/>
  <c r="AD17" i="3"/>
  <c r="AE17" i="3" s="1"/>
  <c r="BE16" i="3"/>
  <c r="AP16" i="3"/>
  <c r="AD16" i="3"/>
  <c r="AE16" i="3" s="1"/>
  <c r="BE15" i="3"/>
  <c r="AP15" i="3"/>
  <c r="X15" i="3"/>
  <c r="BE14" i="3"/>
  <c r="BF14" i="3" s="1"/>
  <c r="AU14" i="3"/>
  <c r="AN14" i="3"/>
  <c r="P14" i="3"/>
  <c r="BA13" i="3"/>
  <c r="AN13" i="3"/>
  <c r="P13" i="3"/>
  <c r="AX12" i="3"/>
  <c r="AG12" i="3"/>
  <c r="B12" i="3"/>
  <c r="AP11" i="3"/>
  <c r="AT11" i="3" s="1"/>
  <c r="X11" i="3"/>
  <c r="BE10" i="3"/>
  <c r="AP10" i="3"/>
  <c r="X10" i="3"/>
  <c r="BE9" i="3"/>
  <c r="BF9" i="3" s="1"/>
  <c r="AU9" i="3"/>
  <c r="AN9" i="3"/>
  <c r="P9" i="3"/>
  <c r="BA8" i="3"/>
  <c r="AN8" i="3"/>
  <c r="P8" i="3"/>
  <c r="AX7" i="3"/>
  <c r="AG7" i="3"/>
  <c r="BA6" i="3"/>
  <c r="AN6" i="3"/>
  <c r="AD6" i="3"/>
  <c r="AE6" i="3" s="1"/>
  <c r="V6" i="3"/>
  <c r="B6" i="3"/>
  <c r="AU5" i="3"/>
  <c r="AD5" i="3"/>
  <c r="AF5" i="3" s="1"/>
  <c r="BE4" i="3"/>
  <c r="AP4" i="3"/>
  <c r="X4" i="3"/>
  <c r="B45" i="3"/>
  <c r="AP44" i="3"/>
  <c r="V44" i="3"/>
  <c r="BA43" i="3"/>
  <c r="BC43" i="3" s="1"/>
  <c r="AU43" i="3"/>
  <c r="AV43" i="3" s="1"/>
  <c r="AN43" i="3"/>
  <c r="AO43" i="3" s="1"/>
  <c r="P43" i="3"/>
  <c r="BA42" i="3"/>
  <c r="AP42" i="3"/>
  <c r="X42" i="3"/>
  <c r="BE41" i="3"/>
  <c r="AP41" i="3"/>
  <c r="AD41" i="3"/>
  <c r="AF41" i="3" s="1"/>
  <c r="J41" i="3"/>
  <c r="AX40" i="3"/>
  <c r="P40" i="3"/>
  <c r="AX39" i="3"/>
  <c r="AZ39" i="3" s="1"/>
  <c r="AN39" i="3"/>
  <c r="AG39" i="3"/>
  <c r="AJ39" i="3" s="1"/>
  <c r="X39" i="3"/>
  <c r="Z39" i="3" s="1"/>
  <c r="D39" i="3"/>
  <c r="AP38" i="3"/>
  <c r="P38" i="3"/>
  <c r="AX37" i="3"/>
  <c r="AN37" i="3"/>
  <c r="P37" i="3"/>
  <c r="BE36" i="3"/>
  <c r="BF36" i="3" s="1"/>
  <c r="AU36" i="3"/>
  <c r="AW36" i="3" s="1"/>
  <c r="AG36" i="3"/>
  <c r="AJ36" i="3" s="1"/>
  <c r="X36" i="3"/>
  <c r="Z36" i="3" s="1"/>
  <c r="E36" i="3"/>
  <c r="BA35" i="3"/>
  <c r="AN35" i="3"/>
  <c r="P35" i="3"/>
  <c r="AP34" i="3"/>
  <c r="AT34" i="3" s="1"/>
  <c r="AK34" i="3"/>
  <c r="AL34" i="3" s="1"/>
  <c r="AG34" i="3"/>
  <c r="AH34" i="3" s="1"/>
  <c r="BE33" i="3"/>
  <c r="AP33" i="3"/>
  <c r="X33" i="3"/>
  <c r="BE32" i="3"/>
  <c r="BF32" i="3" s="1"/>
  <c r="AX32" i="3"/>
  <c r="AZ32" i="3" s="1"/>
  <c r="AN32" i="3"/>
  <c r="AO32" i="3" s="1"/>
  <c r="AD32" i="3"/>
  <c r="AE32" i="3" s="1"/>
  <c r="BE31" i="3"/>
  <c r="AP31" i="3"/>
  <c r="AG31" i="3"/>
  <c r="B31" i="3"/>
  <c r="BA30" i="3"/>
  <c r="AU30" i="3"/>
  <c r="AV30" i="3" s="1"/>
  <c r="AG30" i="3"/>
  <c r="AJ30" i="3" s="1"/>
  <c r="P30" i="3"/>
  <c r="AX29" i="3"/>
  <c r="AZ29" i="3" s="1"/>
  <c r="AG29" i="3"/>
  <c r="BE28" i="3"/>
  <c r="AP28" i="3"/>
  <c r="X28" i="3"/>
  <c r="B28" i="3"/>
  <c r="BA27" i="3"/>
  <c r="AP27" i="3"/>
  <c r="AX26" i="3"/>
  <c r="AY26" i="3" s="1"/>
  <c r="AG26" i="3"/>
  <c r="AJ26" i="3" s="1"/>
  <c r="X26" i="3"/>
  <c r="AC26" i="3" s="1"/>
  <c r="BE25" i="3"/>
  <c r="AP25" i="3"/>
  <c r="AD25" i="3"/>
  <c r="AF25" i="3" s="1"/>
  <c r="BE24" i="3"/>
  <c r="AP24" i="3"/>
  <c r="X24" i="3"/>
  <c r="BA23" i="3"/>
  <c r="AN23" i="3"/>
  <c r="P23" i="3"/>
  <c r="AX22" i="3"/>
  <c r="AG22" i="3"/>
  <c r="B22" i="3"/>
  <c r="AN21" i="3"/>
  <c r="P21" i="3"/>
  <c r="BA20" i="3"/>
  <c r="AP20" i="3"/>
  <c r="AT20" i="3" s="1"/>
  <c r="X20" i="3"/>
  <c r="AX19" i="3"/>
  <c r="AZ19" i="3" s="1"/>
  <c r="AN19" i="3"/>
  <c r="AO19" i="3" s="1"/>
  <c r="Y19" i="3"/>
  <c r="B19" i="3"/>
  <c r="AU18" i="3"/>
  <c r="AW18" i="3" s="1"/>
  <c r="AD18" i="3"/>
  <c r="AF18" i="3" s="1"/>
  <c r="V18" i="3"/>
  <c r="P18" i="3"/>
  <c r="W18" i="3" s="1"/>
  <c r="AX17" i="3"/>
  <c r="AZ17" i="3" s="1"/>
  <c r="AN17" i="3"/>
  <c r="X17" i="3"/>
  <c r="BA16" i="3"/>
  <c r="AN16" i="3"/>
  <c r="BA15" i="3"/>
  <c r="AN15" i="3"/>
  <c r="P15" i="3"/>
  <c r="BA14" i="3"/>
  <c r="AG14" i="3"/>
  <c r="E14" i="3"/>
  <c r="AX13" i="3"/>
  <c r="AG13" i="3"/>
  <c r="B13" i="3"/>
  <c r="AU12" i="3"/>
  <c r="AD12" i="3"/>
  <c r="AF12" i="3" s="1"/>
  <c r="AX11" i="3"/>
  <c r="AZ11" i="3" s="1"/>
  <c r="AN11" i="3"/>
  <c r="P11" i="3"/>
  <c r="BA10" i="3"/>
  <c r="AN10" i="3"/>
  <c r="P10" i="3"/>
  <c r="BA9" i="3"/>
  <c r="AG9" i="3"/>
  <c r="E9" i="3"/>
  <c r="AX8" i="3"/>
  <c r="AG8" i="3"/>
  <c r="B8" i="3"/>
  <c r="AU7" i="3"/>
  <c r="AD7" i="3"/>
  <c r="AE7" i="3" s="1"/>
  <c r="BE5" i="3"/>
  <c r="AX44" i="3"/>
  <c r="AZ44" i="3" s="1"/>
  <c r="Y44" i="3"/>
  <c r="AG43" i="3"/>
  <c r="B43" i="3"/>
  <c r="AN42" i="3"/>
  <c r="P42" i="3"/>
  <c r="BA41" i="3"/>
  <c r="AN41" i="3"/>
  <c r="X41" i="3"/>
  <c r="B41" i="3"/>
  <c r="AU40" i="3"/>
  <c r="AG40" i="3"/>
  <c r="AJ40" i="3" s="1"/>
  <c r="N40" i="3"/>
  <c r="BE39" i="3"/>
  <c r="BF39" i="3" s="1"/>
  <c r="P39" i="3"/>
  <c r="B39" i="3"/>
  <c r="BA38" i="3"/>
  <c r="BC38" i="3" s="1"/>
  <c r="AN38" i="3"/>
  <c r="B38" i="3"/>
  <c r="AU37" i="3"/>
  <c r="AG37" i="3"/>
  <c r="BA36" i="3"/>
  <c r="AP36" i="3"/>
  <c r="AR36" i="3" s="1"/>
  <c r="AD36" i="3"/>
  <c r="AE36" i="3" s="1"/>
  <c r="P36" i="3"/>
  <c r="D36" i="3"/>
  <c r="AX35" i="3"/>
  <c r="AG35" i="3"/>
  <c r="B35" i="3"/>
  <c r="BA34" i="3"/>
  <c r="BD34" i="3" s="1"/>
  <c r="AN34" i="3"/>
  <c r="AD34" i="3"/>
  <c r="AF34" i="3" s="1"/>
  <c r="X34" i="3"/>
  <c r="AB34" i="3" s="1"/>
  <c r="BA33" i="3"/>
  <c r="AN33" i="3"/>
  <c r="P33" i="3"/>
  <c r="BD32" i="3"/>
  <c r="AU32" i="3"/>
  <c r="AW32" i="3" s="1"/>
  <c r="P32" i="3"/>
  <c r="Q32" i="3" s="1"/>
  <c r="BA31" i="3"/>
  <c r="AN31" i="3"/>
  <c r="AD31" i="3"/>
  <c r="AE31" i="3" s="1"/>
  <c r="AP30" i="3"/>
  <c r="AD30" i="3"/>
  <c r="AF30" i="3" s="1"/>
  <c r="BE29" i="3"/>
  <c r="BF29" i="3" s="1"/>
  <c r="AU29" i="3"/>
  <c r="AD29" i="3"/>
  <c r="AF29" i="3" s="1"/>
  <c r="BA28" i="3"/>
  <c r="AN28" i="3"/>
  <c r="AI27" i="3"/>
  <c r="Y27" i="3"/>
  <c r="P27" i="3"/>
  <c r="T27" i="3" s="1"/>
  <c r="B27" i="3"/>
  <c r="BA26" i="3"/>
  <c r="BC26" i="3" s="1"/>
  <c r="AU26" i="3"/>
  <c r="AP26" i="3"/>
  <c r="AS26" i="3" s="1"/>
  <c r="P26" i="3"/>
  <c r="BA25" i="3"/>
  <c r="AN25" i="3"/>
  <c r="X25" i="3"/>
  <c r="J25" i="3"/>
  <c r="BA24" i="3"/>
  <c r="AN24" i="3"/>
  <c r="P24" i="3"/>
  <c r="AX23" i="3"/>
  <c r="AG23" i="3"/>
  <c r="B23" i="3"/>
  <c r="AU22" i="3"/>
  <c r="AD22" i="3"/>
  <c r="AE22" i="3" s="1"/>
  <c r="AX21" i="3"/>
  <c r="AY21" i="3" s="1"/>
  <c r="E21" i="3"/>
  <c r="AX20" i="3"/>
  <c r="AZ20" i="3" s="1"/>
  <c r="AN20" i="3"/>
  <c r="P20" i="3"/>
  <c r="BE19" i="3"/>
  <c r="BF19" i="3" s="1"/>
  <c r="AU19" i="3"/>
  <c r="AW19" i="3" s="1"/>
  <c r="AG19" i="3"/>
  <c r="AJ19" i="3" s="1"/>
  <c r="X19" i="3"/>
  <c r="Z19" i="3" s="1"/>
  <c r="P19" i="3"/>
  <c r="T19" i="3" s="1"/>
  <c r="AP18" i="3"/>
  <c r="AI18" i="3"/>
  <c r="O18" i="3"/>
  <c r="B18" i="3"/>
  <c r="AU17" i="3"/>
  <c r="AG17" i="3"/>
  <c r="P17" i="3"/>
  <c r="AX16" i="3"/>
  <c r="AG16" i="3"/>
  <c r="P16" i="3"/>
  <c r="AX15" i="3"/>
  <c r="AG15" i="3"/>
  <c r="B15" i="3"/>
  <c r="AD14" i="3"/>
  <c r="AE14" i="3" s="1"/>
  <c r="B14" i="3"/>
  <c r="AU13" i="3"/>
  <c r="AD13" i="3"/>
  <c r="AF13" i="3" s="1"/>
  <c r="BE12" i="3"/>
  <c r="AP12" i="3"/>
  <c r="X12" i="3"/>
  <c r="BE11" i="3"/>
  <c r="BF11" i="3" s="1"/>
  <c r="AU11" i="3"/>
  <c r="AG11" i="3"/>
  <c r="E11" i="3"/>
  <c r="AX10" i="3"/>
  <c r="AG10" i="3"/>
  <c r="B10" i="3"/>
  <c r="AD9" i="3"/>
  <c r="AF9" i="3" s="1"/>
  <c r="B9" i="3"/>
  <c r="AU8" i="3"/>
  <c r="AD8" i="3"/>
  <c r="AF8" i="3" s="1"/>
  <c r="BE7" i="3"/>
  <c r="AP7" i="3"/>
  <c r="X7" i="3"/>
  <c r="B7" i="3"/>
  <c r="AU6" i="3"/>
  <c r="AW6" i="3" s="1"/>
  <c r="X6" i="3"/>
  <c r="Z6" i="3" s="1"/>
  <c r="P6" i="3"/>
  <c r="T6" i="3" s="1"/>
  <c r="BA5" i="3"/>
  <c r="AN5" i="3"/>
  <c r="P5" i="3"/>
  <c r="AX4" i="3"/>
  <c r="AG4" i="3"/>
  <c r="B4" i="3"/>
  <c r="D6" i="3"/>
  <c r="AG5" i="3"/>
  <c r="AU4" i="3"/>
  <c r="X5" i="3"/>
  <c r="AN4" i="3"/>
  <c r="B5" i="3"/>
  <c r="G5" i="3" s="1"/>
  <c r="AD4" i="3"/>
  <c r="AF4" i="3" s="1"/>
  <c r="AP5" i="3"/>
  <c r="AQ5" i="3" s="1"/>
  <c r="BA4" i="3"/>
  <c r="BC4" i="3" s="1"/>
  <c r="P4" i="3"/>
  <c r="M68" i="3"/>
  <c r="O68" i="3" s="1"/>
  <c r="M67" i="3"/>
  <c r="M66" i="3"/>
  <c r="M65" i="3"/>
  <c r="AF66" i="3"/>
  <c r="M5" i="3"/>
  <c r="M9" i="3"/>
  <c r="M13" i="3"/>
  <c r="M17" i="3"/>
  <c r="M21" i="3"/>
  <c r="M25" i="3"/>
  <c r="N25" i="3" s="1"/>
  <c r="J6" i="3"/>
  <c r="L6" i="3" s="1"/>
  <c r="J10" i="3"/>
  <c r="J14" i="3"/>
  <c r="J18" i="3"/>
  <c r="K18" i="3" s="1"/>
  <c r="M6" i="3"/>
  <c r="N6" i="3" s="1"/>
  <c r="M10" i="3"/>
  <c r="M14" i="3"/>
  <c r="M18" i="3"/>
  <c r="N18" i="3" s="1"/>
  <c r="M22" i="3"/>
  <c r="M26" i="3"/>
  <c r="J7" i="3"/>
  <c r="J11" i="3"/>
  <c r="J15" i="3"/>
  <c r="M7" i="3"/>
  <c r="N7" i="3" s="1"/>
  <c r="M11" i="3"/>
  <c r="M15" i="3"/>
  <c r="M19" i="3"/>
  <c r="M23" i="3"/>
  <c r="J4" i="3"/>
  <c r="J8" i="3"/>
  <c r="J12" i="3"/>
  <c r="J16" i="3"/>
  <c r="M16" i="3"/>
  <c r="J5" i="3"/>
  <c r="J13" i="3"/>
  <c r="M4" i="3"/>
  <c r="M8" i="3"/>
  <c r="M12" i="3"/>
  <c r="M20" i="3"/>
  <c r="M24" i="3"/>
  <c r="J9" i="3"/>
  <c r="J17" i="3"/>
  <c r="BE67" i="3"/>
  <c r="BF67" i="3" s="1"/>
  <c r="AP67" i="3"/>
  <c r="AS67" i="3" s="1"/>
  <c r="BE66" i="3"/>
  <c r="BF66" i="3" s="1"/>
  <c r="AP66" i="3"/>
  <c r="AR66" i="3" s="1"/>
  <c r="X66" i="3"/>
  <c r="Y66" i="3" s="1"/>
  <c r="J61" i="3"/>
  <c r="AK59" i="3"/>
  <c r="M59" i="3"/>
  <c r="J56" i="3"/>
  <c r="AK55" i="3"/>
  <c r="AM55" i="3" s="1"/>
  <c r="M55" i="3"/>
  <c r="N55" i="3" s="1"/>
  <c r="J52" i="3"/>
  <c r="AK51" i="3"/>
  <c r="M51" i="3"/>
  <c r="J48" i="3"/>
  <c r="K48" i="3" s="1"/>
  <c r="AK47" i="3"/>
  <c r="M47" i="3"/>
  <c r="BA67" i="3"/>
  <c r="BB67" i="3" s="1"/>
  <c r="BA66" i="3"/>
  <c r="BB66" i="3" s="1"/>
  <c r="AN66" i="3"/>
  <c r="AO66" i="3" s="1"/>
  <c r="J59" i="3"/>
  <c r="J55" i="3"/>
  <c r="AK54" i="3"/>
  <c r="AX67" i="3"/>
  <c r="AZ67" i="3" s="1"/>
  <c r="J67" i="3"/>
  <c r="AK66" i="3"/>
  <c r="AM66" i="3" s="1"/>
  <c r="J65" i="3"/>
  <c r="M62" i="3"/>
  <c r="J58" i="3"/>
  <c r="AK57" i="3"/>
  <c r="M53" i="3"/>
  <c r="J51" i="3"/>
  <c r="L51" i="3" s="1"/>
  <c r="AK49" i="3"/>
  <c r="J49" i="3"/>
  <c r="J46" i="3"/>
  <c r="AK45" i="3"/>
  <c r="AM45" i="3" s="1"/>
  <c r="M45" i="3"/>
  <c r="J42" i="3"/>
  <c r="AC39" i="3"/>
  <c r="J38" i="3"/>
  <c r="AK37" i="3"/>
  <c r="M37" i="3"/>
  <c r="N37" i="3" s="1"/>
  <c r="AU34" i="3"/>
  <c r="AV34" i="3" s="1"/>
  <c r="J34" i="3"/>
  <c r="L34" i="3" s="1"/>
  <c r="AK33" i="3"/>
  <c r="M33" i="3"/>
  <c r="J30" i="3"/>
  <c r="K30" i="3" s="1"/>
  <c r="AK29" i="3"/>
  <c r="M29" i="3"/>
  <c r="J27" i="3"/>
  <c r="K27" i="3" s="1"/>
  <c r="AK26" i="3"/>
  <c r="J23" i="3"/>
  <c r="AK22" i="3"/>
  <c r="J19" i="3"/>
  <c r="L19" i="3" s="1"/>
  <c r="AK18" i="3"/>
  <c r="AL18" i="3" s="1"/>
  <c r="X16" i="3"/>
  <c r="Z16" i="3" s="1"/>
  <c r="AK14" i="3"/>
  <c r="AK10" i="3"/>
  <c r="AU67" i="3"/>
  <c r="AW67" i="3" s="1"/>
  <c r="AG66" i="3"/>
  <c r="AI66" i="3" s="1"/>
  <c r="J62" i="3"/>
  <c r="AK61" i="3"/>
  <c r="M56" i="3"/>
  <c r="AK53" i="3"/>
  <c r="J53" i="3"/>
  <c r="M50" i="3"/>
  <c r="M48" i="3"/>
  <c r="O48" i="3" s="1"/>
  <c r="X47" i="3"/>
  <c r="AA47" i="3" s="1"/>
  <c r="J45" i="3"/>
  <c r="AK44" i="3"/>
  <c r="AL44" i="3" s="1"/>
  <c r="M44" i="3"/>
  <c r="N44" i="3" s="1"/>
  <c r="AK67" i="3"/>
  <c r="J66" i="3"/>
  <c r="AK62" i="3"/>
  <c r="X55" i="3"/>
  <c r="Z55" i="3" s="1"/>
  <c r="M54" i="3"/>
  <c r="J50" i="3"/>
  <c r="AK48" i="3"/>
  <c r="AM48" i="3" s="1"/>
  <c r="M43" i="3"/>
  <c r="J39" i="3"/>
  <c r="M34" i="3"/>
  <c r="N34" i="3" s="1"/>
  <c r="AK32" i="3"/>
  <c r="J32" i="3"/>
  <c r="L32" i="3" s="1"/>
  <c r="AK30" i="3"/>
  <c r="AL30" i="3" s="1"/>
  <c r="M60" i="3"/>
  <c r="N60" i="3" s="1"/>
  <c r="AC27" i="3"/>
  <c r="J26" i="3"/>
  <c r="AK24" i="3"/>
  <c r="J24" i="3"/>
  <c r="AC18" i="3"/>
  <c r="AK13" i="3"/>
  <c r="AK12" i="3"/>
  <c r="AK11" i="3"/>
  <c r="AK5" i="3"/>
  <c r="AL5" i="3" s="1"/>
  <c r="M61" i="3"/>
  <c r="AK56" i="3"/>
  <c r="J54" i="3"/>
  <c r="AK52" i="3"/>
  <c r="M49" i="3"/>
  <c r="AC44" i="3"/>
  <c r="J43" i="3"/>
  <c r="M38" i="3"/>
  <c r="AK36" i="3"/>
  <c r="M31" i="3"/>
  <c r="AC30" i="3"/>
  <c r="AK60" i="3"/>
  <c r="AK21" i="3"/>
  <c r="AK9" i="3"/>
  <c r="AK6" i="3"/>
  <c r="AL6" i="3" s="1"/>
  <c r="J68" i="3"/>
  <c r="L68" i="3" s="1"/>
  <c r="AX66" i="3"/>
  <c r="AZ66" i="3" s="1"/>
  <c r="M57" i="3"/>
  <c r="N57" i="3" s="1"/>
  <c r="AC51" i="3"/>
  <c r="AK50" i="3"/>
  <c r="P47" i="3"/>
  <c r="T47" i="3" s="1"/>
  <c r="AK43" i="3"/>
  <c r="J40" i="3"/>
  <c r="AK38" i="3"/>
  <c r="J33" i="3"/>
  <c r="AC32" i="3"/>
  <c r="M46" i="3"/>
  <c r="AK42" i="3"/>
  <c r="M40" i="3"/>
  <c r="J36" i="3"/>
  <c r="J29" i="3"/>
  <c r="L29" i="3" s="1"/>
  <c r="J60" i="3"/>
  <c r="J21" i="3"/>
  <c r="AK19" i="3"/>
  <c r="AL19" i="3" s="1"/>
  <c r="AK65" i="3"/>
  <c r="M52" i="3"/>
  <c r="AC45" i="3"/>
  <c r="J44" i="3"/>
  <c r="AK40" i="3"/>
  <c r="M35" i="3"/>
  <c r="J57" i="3"/>
  <c r="AK46" i="3"/>
  <c r="AC36" i="3"/>
  <c r="J28" i="3"/>
  <c r="AK27" i="3"/>
  <c r="AL27" i="3" s="1"/>
  <c r="J20" i="3"/>
  <c r="AK17" i="3"/>
  <c r="AK16" i="3"/>
  <c r="AK15" i="3"/>
  <c r="AK20" i="3"/>
  <c r="AK23" i="3"/>
  <c r="M39" i="3"/>
  <c r="N39" i="3" s="1"/>
  <c r="J31" i="3"/>
  <c r="M27" i="3"/>
  <c r="N27" i="3" s="1"/>
  <c r="AK28" i="3"/>
  <c r="J22" i="3"/>
  <c r="C11" i="3"/>
  <c r="AK8" i="3"/>
  <c r="AK4" i="3"/>
  <c r="M42" i="3"/>
  <c r="J35" i="3"/>
  <c r="M28" i="3"/>
  <c r="AU66" i="3"/>
  <c r="AW66" i="3" s="1"/>
  <c r="J37" i="3"/>
  <c r="AK35" i="3"/>
  <c r="M32" i="3"/>
  <c r="M30" i="3"/>
  <c r="AC29" i="3"/>
  <c r="J47" i="3"/>
  <c r="L47" i="3" s="1"/>
  <c r="AC19" i="3"/>
  <c r="AK7" i="3"/>
  <c r="S48" i="3"/>
  <c r="BK2" i="3"/>
  <c r="AA58" i="3" l="1"/>
  <c r="AH52" i="3"/>
  <c r="W58" i="3"/>
  <c r="BD92" i="3"/>
  <c r="BD84" i="3"/>
  <c r="BD100" i="3"/>
  <c r="AV48" i="3"/>
  <c r="AY93" i="3"/>
  <c r="AY101" i="3"/>
  <c r="Z68" i="3"/>
  <c r="AH68" i="3"/>
  <c r="V68" i="3"/>
  <c r="R68" i="3"/>
  <c r="AY36" i="3"/>
  <c r="K97" i="3"/>
  <c r="O88" i="3"/>
  <c r="BD104" i="3"/>
  <c r="AV97" i="3"/>
  <c r="AY9" i="3"/>
  <c r="T51" i="3"/>
  <c r="AR68" i="3"/>
  <c r="D68" i="3"/>
  <c r="O96" i="3"/>
  <c r="AY59" i="3"/>
  <c r="BC95" i="3"/>
  <c r="AZ89" i="3"/>
  <c r="BC79" i="3"/>
  <c r="AY29" i="3"/>
  <c r="AH36" i="3"/>
  <c r="AV45" i="3"/>
  <c r="AY97" i="3"/>
  <c r="BC91" i="3"/>
  <c r="BD91" i="3"/>
  <c r="AF26" i="3"/>
  <c r="AV81" i="3"/>
  <c r="BC99" i="3"/>
  <c r="AB58" i="3"/>
  <c r="BD52" i="3"/>
  <c r="AC58" i="3"/>
  <c r="Y58" i="3"/>
  <c r="BB52" i="3"/>
  <c r="AS45" i="3"/>
  <c r="AV93" i="3"/>
  <c r="AV94" i="3"/>
  <c r="AY85" i="3"/>
  <c r="AE35" i="3"/>
  <c r="K81" i="3"/>
  <c r="R48" i="3"/>
  <c r="AA68" i="3"/>
  <c r="AZ80" i="3"/>
  <c r="AZ96" i="3"/>
  <c r="W57" i="3"/>
  <c r="R57" i="3"/>
  <c r="AR39" i="3"/>
  <c r="Y31" i="3"/>
  <c r="O100" i="3"/>
  <c r="AL68" i="3"/>
  <c r="AI21" i="3"/>
  <c r="AH21" i="3"/>
  <c r="AI52" i="3"/>
  <c r="S58" i="3"/>
  <c r="O84" i="3"/>
  <c r="AJ98" i="3"/>
  <c r="L93" i="3"/>
  <c r="AV27" i="3"/>
  <c r="AQ14" i="3"/>
  <c r="Y18" i="3"/>
  <c r="AQ68" i="3"/>
  <c r="K78" i="3"/>
  <c r="R58" i="3"/>
  <c r="G36" i="3"/>
  <c r="AR47" i="3"/>
  <c r="BC68" i="3"/>
  <c r="AS68" i="3"/>
  <c r="AS37" i="3"/>
  <c r="AI45" i="3"/>
  <c r="O104" i="3"/>
  <c r="AY34" i="3"/>
  <c r="AS17" i="3"/>
  <c r="AY43" i="3"/>
  <c r="BD88" i="3"/>
  <c r="AI26" i="3"/>
  <c r="O92" i="3"/>
  <c r="AA34" i="3"/>
  <c r="AC68" i="3"/>
  <c r="BC29" i="3"/>
  <c r="AQ37" i="3"/>
  <c r="AJ102" i="3"/>
  <c r="BD43" i="3"/>
  <c r="BC21" i="3"/>
  <c r="AZ92" i="3"/>
  <c r="AV89" i="3"/>
  <c r="BB102" i="3"/>
  <c r="BC87" i="3"/>
  <c r="BC103" i="3"/>
  <c r="BB21" i="3"/>
  <c r="BD103" i="3"/>
  <c r="N81" i="3"/>
  <c r="AF91" i="3"/>
  <c r="AJ82" i="3"/>
  <c r="AS43" i="3"/>
  <c r="AZ6" i="3"/>
  <c r="K89" i="3"/>
  <c r="AL89" i="3"/>
  <c r="AF79" i="3"/>
  <c r="K94" i="3"/>
  <c r="AZ81" i="3"/>
  <c r="AV90" i="3"/>
  <c r="S28" i="3"/>
  <c r="AY18" i="3"/>
  <c r="AA38" i="3"/>
  <c r="AF95" i="3"/>
  <c r="AZ104" i="3"/>
  <c r="BC83" i="3"/>
  <c r="BB92" i="3"/>
  <c r="Z38" i="3"/>
  <c r="AS9" i="3"/>
  <c r="U102" i="3"/>
  <c r="AI93" i="3"/>
  <c r="AZ88" i="3"/>
  <c r="BD87" i="3"/>
  <c r="BB104" i="3"/>
  <c r="BB88" i="3"/>
  <c r="AR99" i="3"/>
  <c r="AL85" i="3"/>
  <c r="BB78" i="3"/>
  <c r="BB94" i="3"/>
  <c r="AF83" i="3"/>
  <c r="AJ94" i="3"/>
  <c r="AR96" i="3"/>
  <c r="BD83" i="3"/>
  <c r="AR87" i="3"/>
  <c r="AS14" i="3"/>
  <c r="L85" i="3"/>
  <c r="AA88" i="3"/>
  <c r="AI85" i="3"/>
  <c r="AI101" i="3"/>
  <c r="AS92" i="3"/>
  <c r="AT92" i="3"/>
  <c r="AR92" i="3"/>
  <c r="AE102" i="3"/>
  <c r="AJ93" i="3"/>
  <c r="U68" i="3"/>
  <c r="AF99" i="3"/>
  <c r="AJ101" i="3"/>
  <c r="AQ84" i="3"/>
  <c r="AR84" i="3"/>
  <c r="Q102" i="3"/>
  <c r="V102" i="3"/>
  <c r="AB80" i="3"/>
  <c r="AE78" i="3"/>
  <c r="AQ79" i="3"/>
  <c r="AL102" i="3"/>
  <c r="AS84" i="3"/>
  <c r="AQ36" i="3"/>
  <c r="AS36" i="3"/>
  <c r="AQ9" i="3"/>
  <c r="AY42" i="3"/>
  <c r="K102" i="3"/>
  <c r="AA100" i="3"/>
  <c r="AI97" i="3"/>
  <c r="AQ87" i="3"/>
  <c r="AR100" i="3"/>
  <c r="Z31" i="3"/>
  <c r="AF81" i="3"/>
  <c r="AF97" i="3"/>
  <c r="AH92" i="3"/>
  <c r="AE86" i="3"/>
  <c r="AH78" i="3"/>
  <c r="AL82" i="3"/>
  <c r="AR103" i="3"/>
  <c r="AS100" i="3"/>
  <c r="AT100" i="3"/>
  <c r="AJ78" i="3"/>
  <c r="AH94" i="3"/>
  <c r="AH30" i="3"/>
  <c r="L101" i="3"/>
  <c r="AB99" i="3"/>
  <c r="Y79" i="3"/>
  <c r="AL86" i="3"/>
  <c r="T18" i="3"/>
  <c r="AC38" i="3"/>
  <c r="K86" i="3"/>
  <c r="AC86" i="3"/>
  <c r="AQ83" i="3"/>
  <c r="AS99" i="3"/>
  <c r="AL98" i="3"/>
  <c r="AQ86" i="3"/>
  <c r="BB90" i="3"/>
  <c r="AV102" i="3"/>
  <c r="BB100" i="3"/>
  <c r="Y91" i="3"/>
  <c r="AF89" i="3"/>
  <c r="AV86" i="3"/>
  <c r="BB84" i="3"/>
  <c r="AC78" i="3"/>
  <c r="Q86" i="3"/>
  <c r="BD99" i="3"/>
  <c r="AT36" i="3"/>
  <c r="AA80" i="3"/>
  <c r="Q90" i="3"/>
  <c r="AC83" i="3"/>
  <c r="AE94" i="3"/>
  <c r="AR79" i="3"/>
  <c r="AS20" i="3"/>
  <c r="K90" i="3"/>
  <c r="T90" i="3"/>
  <c r="AB83" i="3"/>
  <c r="AB95" i="3"/>
  <c r="U94" i="3"/>
  <c r="AC80" i="3"/>
  <c r="AR95" i="3"/>
  <c r="AS95" i="3"/>
  <c r="AS80" i="3"/>
  <c r="BB86" i="3"/>
  <c r="T94" i="3"/>
  <c r="AA96" i="3"/>
  <c r="AB96" i="3"/>
  <c r="Y96" i="3"/>
  <c r="AS88" i="3"/>
  <c r="BD68" i="3"/>
  <c r="AL81" i="3"/>
  <c r="AR90" i="3"/>
  <c r="AB79" i="3"/>
  <c r="AC88" i="3"/>
  <c r="AJ86" i="3"/>
  <c r="AH102" i="3"/>
  <c r="AS96" i="3"/>
  <c r="AT96" i="3"/>
  <c r="V58" i="3"/>
  <c r="K82" i="3"/>
  <c r="K98" i="3"/>
  <c r="Y82" i="3"/>
  <c r="Y90" i="3"/>
  <c r="AC79" i="3"/>
  <c r="AC95" i="3"/>
  <c r="Y80" i="3"/>
  <c r="Y100" i="3"/>
  <c r="AF93" i="3"/>
  <c r="AL97" i="3"/>
  <c r="AH86" i="3"/>
  <c r="AQ82" i="3"/>
  <c r="AR80" i="3"/>
  <c r="T86" i="3"/>
  <c r="AC82" i="3"/>
  <c r="U86" i="3"/>
  <c r="R102" i="3"/>
  <c r="Y83" i="3"/>
  <c r="AC91" i="3"/>
  <c r="AJ89" i="3"/>
  <c r="AA31" i="3"/>
  <c r="AA84" i="3"/>
  <c r="AC90" i="3"/>
  <c r="AC98" i="3"/>
  <c r="Q94" i="3"/>
  <c r="AB84" i="3"/>
  <c r="AF101" i="3"/>
  <c r="AE98" i="3"/>
  <c r="AF85" i="3"/>
  <c r="AH80" i="3"/>
  <c r="AI89" i="3"/>
  <c r="AH96" i="3"/>
  <c r="AE82" i="3"/>
  <c r="AJ85" i="3"/>
  <c r="AR98" i="3"/>
  <c r="H68" i="3"/>
  <c r="Q51" i="3"/>
  <c r="Z21" i="3"/>
  <c r="AA21" i="3"/>
  <c r="U98" i="3"/>
  <c r="AA92" i="3"/>
  <c r="R98" i="3"/>
  <c r="AB92" i="3"/>
  <c r="AH100" i="3"/>
  <c r="AJ81" i="3"/>
  <c r="AJ97" i="3"/>
  <c r="AL94" i="3"/>
  <c r="AT88" i="3"/>
  <c r="AR104" i="3"/>
  <c r="AV85" i="3"/>
  <c r="AV101" i="3"/>
  <c r="BB82" i="3"/>
  <c r="BB98" i="3"/>
  <c r="BD79" i="3"/>
  <c r="BD95" i="3"/>
  <c r="AV19" i="3"/>
  <c r="AV32" i="3"/>
  <c r="AY14" i="3"/>
  <c r="R28" i="3"/>
  <c r="AJ34" i="3"/>
  <c r="AA52" i="3"/>
  <c r="O80" i="3"/>
  <c r="O94" i="3"/>
  <c r="W48" i="3"/>
  <c r="T101" i="3"/>
  <c r="Y86" i="3"/>
  <c r="AC94" i="3"/>
  <c r="U90" i="3"/>
  <c r="V98" i="3"/>
  <c r="Y87" i="3"/>
  <c r="Y95" i="3"/>
  <c r="AB100" i="3"/>
  <c r="Y84" i="3"/>
  <c r="AC96" i="3"/>
  <c r="AF87" i="3"/>
  <c r="AF103" i="3"/>
  <c r="AH84" i="3"/>
  <c r="AJ90" i="3"/>
  <c r="AL93" i="3"/>
  <c r="AE90" i="3"/>
  <c r="AH82" i="3"/>
  <c r="AH98" i="3"/>
  <c r="AL78" i="3"/>
  <c r="AQ78" i="3"/>
  <c r="AR88" i="3"/>
  <c r="AR94" i="3"/>
  <c r="AQ104" i="3"/>
  <c r="AZ84" i="3"/>
  <c r="AZ100" i="3"/>
  <c r="BB80" i="3"/>
  <c r="BB96" i="3"/>
  <c r="AF36" i="3"/>
  <c r="AJ68" i="3"/>
  <c r="BB43" i="3"/>
  <c r="BC34" i="3"/>
  <c r="AS34" i="3"/>
  <c r="T44" i="3"/>
  <c r="Q98" i="3"/>
  <c r="AB87" i="3"/>
  <c r="AA103" i="3"/>
  <c r="Y92" i="3"/>
  <c r="AI81" i="3"/>
  <c r="AH90" i="3"/>
  <c r="AR91" i="3"/>
  <c r="AR83" i="3"/>
  <c r="AS91" i="3"/>
  <c r="BD80" i="3"/>
  <c r="BD96" i="3"/>
  <c r="AV82" i="3"/>
  <c r="AV98" i="3"/>
  <c r="AC31" i="3"/>
  <c r="AC87" i="3"/>
  <c r="AC92" i="3"/>
  <c r="AL90" i="3"/>
  <c r="AR78" i="3"/>
  <c r="R19" i="3"/>
  <c r="AY20" i="3"/>
  <c r="R6" i="3"/>
  <c r="K79" i="3"/>
  <c r="AB88" i="3"/>
  <c r="AH88" i="3"/>
  <c r="AH104" i="3"/>
  <c r="K95" i="3"/>
  <c r="O102" i="3"/>
  <c r="N79" i="3"/>
  <c r="AC99" i="3"/>
  <c r="R90" i="3"/>
  <c r="Y88" i="3"/>
  <c r="AL103" i="3"/>
  <c r="K87" i="3"/>
  <c r="Z86" i="3"/>
  <c r="AL95" i="3"/>
  <c r="W6" i="3"/>
  <c r="O86" i="3"/>
  <c r="W68" i="3"/>
  <c r="N95" i="3"/>
  <c r="AL87" i="3"/>
  <c r="K103" i="3"/>
  <c r="O78" i="3"/>
  <c r="AC84" i="3"/>
  <c r="Z104" i="3"/>
  <c r="AL79" i="3"/>
  <c r="K6" i="3"/>
  <c r="AB16" i="3"/>
  <c r="K29" i="3"/>
  <c r="L30" i="3"/>
  <c r="O37" i="3"/>
  <c r="AM6" i="3"/>
  <c r="Y16" i="3"/>
  <c r="AQ26" i="3"/>
  <c r="Q27" i="3"/>
  <c r="BB34" i="3"/>
  <c r="O44" i="3"/>
  <c r="AY11" i="3"/>
  <c r="K19" i="3"/>
  <c r="AQ20" i="3"/>
  <c r="O25" i="3"/>
  <c r="Z26" i="3"/>
  <c r="BD26" i="3"/>
  <c r="AQ34" i="3"/>
  <c r="AI36" i="3"/>
  <c r="AW43" i="3"/>
  <c r="AA16" i="3"/>
  <c r="R18" i="3"/>
  <c r="Y21" i="3"/>
  <c r="AT26" i="3"/>
  <c r="AI34" i="3"/>
  <c r="Y38" i="3"/>
  <c r="Q44" i="3"/>
  <c r="AW44" i="3"/>
  <c r="U47" i="3"/>
  <c r="D86" i="3"/>
  <c r="F86" i="3"/>
  <c r="I86" i="3"/>
  <c r="C86" i="3"/>
  <c r="H86" i="3"/>
  <c r="E86" i="3"/>
  <c r="G86" i="3"/>
  <c r="C102" i="3"/>
  <c r="H102" i="3"/>
  <c r="F102" i="3"/>
  <c r="I102" i="3"/>
  <c r="D102" i="3"/>
  <c r="E102" i="3"/>
  <c r="G102" i="3"/>
  <c r="T95" i="3"/>
  <c r="W95" i="3"/>
  <c r="S95" i="3"/>
  <c r="R47" i="3"/>
  <c r="AW47" i="3"/>
  <c r="W55" i="3"/>
  <c r="AJ66" i="3"/>
  <c r="BC67" i="3"/>
  <c r="E83" i="3"/>
  <c r="D83" i="3"/>
  <c r="C83" i="3"/>
  <c r="H99" i="3"/>
  <c r="D99" i="3"/>
  <c r="I99" i="3"/>
  <c r="G99" i="3"/>
  <c r="E99" i="3"/>
  <c r="C99" i="3"/>
  <c r="F99" i="3"/>
  <c r="R89" i="3"/>
  <c r="U89" i="3"/>
  <c r="Q89" i="3"/>
  <c r="V89" i="3"/>
  <c r="K47" i="3"/>
  <c r="AQ47" i="3"/>
  <c r="S57" i="3"/>
  <c r="AC66" i="3"/>
  <c r="BC66" i="3"/>
  <c r="AY67" i="3"/>
  <c r="Q68" i="3"/>
  <c r="G79" i="3"/>
  <c r="D79" i="3"/>
  <c r="C79" i="3"/>
  <c r="F79" i="3"/>
  <c r="I79" i="3"/>
  <c r="E79" i="3"/>
  <c r="H79" i="3"/>
  <c r="F96" i="3"/>
  <c r="D96" i="3"/>
  <c r="G96" i="3"/>
  <c r="I96" i="3"/>
  <c r="C96" i="3"/>
  <c r="E96" i="3"/>
  <c r="H96" i="3"/>
  <c r="K84" i="3"/>
  <c r="K92" i="3"/>
  <c r="K100" i="3"/>
  <c r="O91" i="3"/>
  <c r="O99" i="3"/>
  <c r="T83" i="3"/>
  <c r="W83" i="3"/>
  <c r="S83" i="3"/>
  <c r="Z47" i="3"/>
  <c r="L48" i="3"/>
  <c r="K51" i="3"/>
  <c r="AZ57" i="3"/>
  <c r="AS66" i="3"/>
  <c r="G68" i="3"/>
  <c r="G89" i="3"/>
  <c r="E89" i="3"/>
  <c r="H89" i="3"/>
  <c r="C89" i="3"/>
  <c r="D89" i="3"/>
  <c r="F89" i="3"/>
  <c r="I89" i="3"/>
  <c r="L80" i="3"/>
  <c r="L88" i="3"/>
  <c r="L96" i="3"/>
  <c r="L104" i="3"/>
  <c r="Q103" i="3"/>
  <c r="T103" i="3"/>
  <c r="U103" i="3"/>
  <c r="Q96" i="3"/>
  <c r="T96" i="3"/>
  <c r="U96" i="3"/>
  <c r="Q79" i="3"/>
  <c r="S81" i="3"/>
  <c r="W85" i="3"/>
  <c r="R88" i="3"/>
  <c r="V92" i="3"/>
  <c r="Q95" i="3"/>
  <c r="V99" i="3"/>
  <c r="S104" i="3"/>
  <c r="Y89" i="3"/>
  <c r="AB89" i="3"/>
  <c r="AA89" i="3"/>
  <c r="AC89" i="3"/>
  <c r="Q78" i="3"/>
  <c r="U82" i="3"/>
  <c r="R87" i="3"/>
  <c r="T89" i="3"/>
  <c r="S96" i="3"/>
  <c r="Q101" i="3"/>
  <c r="S103" i="3"/>
  <c r="AA85" i="3"/>
  <c r="AM19" i="3"/>
  <c r="K34" i="3"/>
  <c r="AV6" i="3"/>
  <c r="AC16" i="3"/>
  <c r="AH19" i="3"/>
  <c r="AY44" i="3"/>
  <c r="O7" i="3"/>
  <c r="L18" i="3"/>
  <c r="AM18" i="3"/>
  <c r="AZ21" i="3"/>
  <c r="L27" i="3"/>
  <c r="Z34" i="3"/>
  <c r="AW34" i="3"/>
  <c r="AV36" i="3"/>
  <c r="BD38" i="3"/>
  <c r="AM44" i="3"/>
  <c r="AS11" i="3"/>
  <c r="AR17" i="3"/>
  <c r="AZ26" i="3"/>
  <c r="Q28" i="3"/>
  <c r="AM34" i="3"/>
  <c r="AB36" i="3"/>
  <c r="N48" i="3"/>
  <c r="AT66" i="3"/>
  <c r="AQ67" i="3"/>
  <c r="I68" i="3"/>
  <c r="G90" i="3"/>
  <c r="C90" i="3"/>
  <c r="H90" i="3"/>
  <c r="F90" i="3"/>
  <c r="I90" i="3"/>
  <c r="D90" i="3"/>
  <c r="E90" i="3"/>
  <c r="V47" i="3"/>
  <c r="AY52" i="3"/>
  <c r="AQ66" i="3"/>
  <c r="C68" i="3"/>
  <c r="C80" i="3"/>
  <c r="F80" i="3"/>
  <c r="I80" i="3"/>
  <c r="H80" i="3"/>
  <c r="E80" i="3"/>
  <c r="D80" i="3"/>
  <c r="G80" i="3"/>
  <c r="C87" i="3"/>
  <c r="F87" i="3"/>
  <c r="D87" i="3"/>
  <c r="I87" i="3"/>
  <c r="H87" i="3"/>
  <c r="G87" i="3"/>
  <c r="E87" i="3"/>
  <c r="E103" i="3"/>
  <c r="C103" i="3"/>
  <c r="F103" i="3"/>
  <c r="H103" i="3"/>
  <c r="D103" i="3"/>
  <c r="I103" i="3"/>
  <c r="G103" i="3"/>
  <c r="N87" i="3"/>
  <c r="N103" i="3"/>
  <c r="V97" i="3"/>
  <c r="R97" i="3"/>
  <c r="U97" i="3"/>
  <c r="Q97" i="3"/>
  <c r="S47" i="3"/>
  <c r="AY50" i="3"/>
  <c r="AL66" i="3"/>
  <c r="BD67" i="3"/>
  <c r="H84" i="3"/>
  <c r="D84" i="3"/>
  <c r="G84" i="3"/>
  <c r="E84" i="3"/>
  <c r="C84" i="3"/>
  <c r="I84" i="3"/>
  <c r="F84" i="3"/>
  <c r="H100" i="3"/>
  <c r="F100" i="3"/>
  <c r="D100" i="3"/>
  <c r="G100" i="3"/>
  <c r="I100" i="3"/>
  <c r="C100" i="3"/>
  <c r="E100" i="3"/>
  <c r="T91" i="3"/>
  <c r="W91" i="3"/>
  <c r="S91" i="3"/>
  <c r="D47" i="3"/>
  <c r="Z52" i="3"/>
  <c r="AZ55" i="3"/>
  <c r="AZ58" i="3"/>
  <c r="Z66" i="3"/>
  <c r="AY66" i="3"/>
  <c r="AT67" i="3"/>
  <c r="N68" i="3"/>
  <c r="I93" i="3"/>
  <c r="G93" i="3"/>
  <c r="E93" i="3"/>
  <c r="H93" i="3"/>
  <c r="C93" i="3"/>
  <c r="D93" i="3"/>
  <c r="F93" i="3"/>
  <c r="N82" i="3"/>
  <c r="N90" i="3"/>
  <c r="N98" i="3"/>
  <c r="Q80" i="3"/>
  <c r="T80" i="3"/>
  <c r="U80" i="3"/>
  <c r="U84" i="3"/>
  <c r="Q84" i="3"/>
  <c r="T84" i="3"/>
  <c r="V100" i="3"/>
  <c r="R100" i="3"/>
  <c r="U100" i="3"/>
  <c r="Q100" i="3"/>
  <c r="U79" i="3"/>
  <c r="R84" i="3"/>
  <c r="Q91" i="3"/>
  <c r="S93" i="3"/>
  <c r="U95" i="3"/>
  <c r="S100" i="3"/>
  <c r="AA93" i="3"/>
  <c r="AC93" i="3"/>
  <c r="Y93" i="3"/>
  <c r="AB93" i="3"/>
  <c r="W80" i="3"/>
  <c r="R83" i="3"/>
  <c r="V87" i="3"/>
  <c r="S92" i="3"/>
  <c r="W96" i="3"/>
  <c r="W103" i="3"/>
  <c r="Q18" i="3"/>
  <c r="AV18" i="3"/>
  <c r="AY39" i="3"/>
  <c r="O6" i="3"/>
  <c r="AH18" i="3"/>
  <c r="AR34" i="3"/>
  <c r="AR37" i="3"/>
  <c r="AA66" i="3"/>
  <c r="AV67" i="3"/>
  <c r="D94" i="3"/>
  <c r="E94" i="3"/>
  <c r="G94" i="3"/>
  <c r="C94" i="3"/>
  <c r="H94" i="3"/>
  <c r="F94" i="3"/>
  <c r="I94" i="3"/>
  <c r="K91" i="3"/>
  <c r="K99" i="3"/>
  <c r="V81" i="3"/>
  <c r="R81" i="3"/>
  <c r="U81" i="3"/>
  <c r="Q81" i="3"/>
  <c r="AV66" i="3"/>
  <c r="AR67" i="3"/>
  <c r="K68" i="3"/>
  <c r="I91" i="3"/>
  <c r="G91" i="3"/>
  <c r="E91" i="3"/>
  <c r="C91" i="3"/>
  <c r="F91" i="3"/>
  <c r="H91" i="3"/>
  <c r="D91" i="3"/>
  <c r="R78" i="3"/>
  <c r="W78" i="3"/>
  <c r="S78" i="3"/>
  <c r="V78" i="3"/>
  <c r="W47" i="3"/>
  <c r="E68" i="3"/>
  <c r="H88" i="3"/>
  <c r="D88" i="3"/>
  <c r="G88" i="3"/>
  <c r="F88" i="3"/>
  <c r="I88" i="3"/>
  <c r="C88" i="3"/>
  <c r="E88" i="3"/>
  <c r="E104" i="3"/>
  <c r="H104" i="3"/>
  <c r="F104" i="3"/>
  <c r="D104" i="3"/>
  <c r="G104" i="3"/>
  <c r="C104" i="3"/>
  <c r="U99" i="3"/>
  <c r="Q99" i="3"/>
  <c r="T99" i="3"/>
  <c r="AS47" i="3"/>
  <c r="V57" i="3"/>
  <c r="Q58" i="3"/>
  <c r="AH66" i="3"/>
  <c r="BD66" i="3"/>
  <c r="S68" i="3"/>
  <c r="AW68" i="3"/>
  <c r="I81" i="3"/>
  <c r="F81" i="3"/>
  <c r="E81" i="3"/>
  <c r="H81" i="3"/>
  <c r="D81" i="3"/>
  <c r="G81" i="3"/>
  <c r="C81" i="3"/>
  <c r="F97" i="3"/>
  <c r="I97" i="3"/>
  <c r="G97" i="3"/>
  <c r="E97" i="3"/>
  <c r="H97" i="3"/>
  <c r="C97" i="3"/>
  <c r="D97" i="3"/>
  <c r="Q85" i="3"/>
  <c r="V85" i="3"/>
  <c r="R85" i="3"/>
  <c r="U85" i="3"/>
  <c r="U88" i="3"/>
  <c r="Q88" i="3"/>
  <c r="T88" i="3"/>
  <c r="T104" i="3"/>
  <c r="V104" i="3"/>
  <c r="R104" i="3"/>
  <c r="U104" i="3"/>
  <c r="Q104" i="3"/>
  <c r="R80" i="3"/>
  <c r="V84" i="3"/>
  <c r="S89" i="3"/>
  <c r="U91" i="3"/>
  <c r="R96" i="3"/>
  <c r="W100" i="3"/>
  <c r="R103" i="3"/>
  <c r="AA81" i="3"/>
  <c r="AC81" i="3"/>
  <c r="Y81" i="3"/>
  <c r="AB81" i="3"/>
  <c r="AA97" i="3"/>
  <c r="AC97" i="3"/>
  <c r="Y97" i="3"/>
  <c r="AB97" i="3"/>
  <c r="Z89" i="3"/>
  <c r="T81" i="3"/>
  <c r="S88" i="3"/>
  <c r="R95" i="3"/>
  <c r="T97" i="3"/>
  <c r="W99" i="3"/>
  <c r="Z78" i="3"/>
  <c r="AB78" i="3"/>
  <c r="AA78" i="3"/>
  <c r="Z94" i="3"/>
  <c r="AB94" i="3"/>
  <c r="AA94" i="3"/>
  <c r="Q6" i="3"/>
  <c r="Q19" i="3"/>
  <c r="Y34" i="3"/>
  <c r="BB38" i="3"/>
  <c r="AI40" i="3"/>
  <c r="W44" i="3"/>
  <c r="W19" i="3"/>
  <c r="BB29" i="3"/>
  <c r="AC34" i="3"/>
  <c r="Q47" i="3"/>
  <c r="F82" i="3"/>
  <c r="I82" i="3"/>
  <c r="G82" i="3"/>
  <c r="E82" i="3"/>
  <c r="D82" i="3"/>
  <c r="H82" i="3"/>
  <c r="C82" i="3"/>
  <c r="H98" i="3"/>
  <c r="F98" i="3"/>
  <c r="I98" i="3"/>
  <c r="D98" i="3"/>
  <c r="E98" i="3"/>
  <c r="G98" i="3"/>
  <c r="C98" i="3"/>
  <c r="S87" i="3"/>
  <c r="T87" i="3"/>
  <c r="W87" i="3"/>
  <c r="AC52" i="3"/>
  <c r="Q57" i="3"/>
  <c r="O58" i="3"/>
  <c r="AB66" i="3"/>
  <c r="D78" i="3"/>
  <c r="G78" i="3"/>
  <c r="F78" i="3"/>
  <c r="I78" i="3"/>
  <c r="C78" i="3"/>
  <c r="E78" i="3"/>
  <c r="H78" i="3"/>
  <c r="D95" i="3"/>
  <c r="I95" i="3"/>
  <c r="G95" i="3"/>
  <c r="E95" i="3"/>
  <c r="C95" i="3"/>
  <c r="F95" i="3"/>
  <c r="H95" i="3"/>
  <c r="S82" i="3"/>
  <c r="V82" i="3"/>
  <c r="R82" i="3"/>
  <c r="W82" i="3"/>
  <c r="C47" i="3"/>
  <c r="R51" i="3"/>
  <c r="Y52" i="3"/>
  <c r="I92" i="3"/>
  <c r="C92" i="3"/>
  <c r="E92" i="3"/>
  <c r="H92" i="3"/>
  <c r="F92" i="3"/>
  <c r="D92" i="3"/>
  <c r="G92" i="3"/>
  <c r="T79" i="3"/>
  <c r="W79" i="3"/>
  <c r="S79" i="3"/>
  <c r="Y68" i="3"/>
  <c r="D85" i="3"/>
  <c r="F85" i="3"/>
  <c r="C85" i="3"/>
  <c r="I85" i="3"/>
  <c r="G85" i="3"/>
  <c r="E85" i="3"/>
  <c r="H85" i="3"/>
  <c r="C101" i="3"/>
  <c r="D101" i="3"/>
  <c r="F101" i="3"/>
  <c r="I101" i="3"/>
  <c r="G101" i="3"/>
  <c r="E101" i="3"/>
  <c r="H101" i="3"/>
  <c r="V93" i="3"/>
  <c r="R93" i="3"/>
  <c r="U93" i="3"/>
  <c r="Q93" i="3"/>
  <c r="U92" i="3"/>
  <c r="Q92" i="3"/>
  <c r="T92" i="3"/>
  <c r="T78" i="3"/>
  <c r="V80" i="3"/>
  <c r="Q83" i="3"/>
  <c r="S85" i="3"/>
  <c r="W89" i="3"/>
  <c r="R92" i="3"/>
  <c r="V96" i="3"/>
  <c r="R99" i="3"/>
  <c r="V103" i="3"/>
  <c r="AC85" i="3"/>
  <c r="Y85" i="3"/>
  <c r="AB85" i="3"/>
  <c r="AB101" i="3"/>
  <c r="Z101" i="3"/>
  <c r="AA101" i="3"/>
  <c r="Y101" i="3"/>
  <c r="Z93" i="3"/>
  <c r="R101" i="3"/>
  <c r="W101" i="3"/>
  <c r="S101" i="3"/>
  <c r="V101" i="3"/>
  <c r="V79" i="3"/>
  <c r="Q82" i="3"/>
  <c r="S84" i="3"/>
  <c r="W88" i="3"/>
  <c r="R91" i="3"/>
  <c r="T93" i="3"/>
  <c r="V95" i="3"/>
  <c r="T100" i="3"/>
  <c r="AB82" i="3"/>
  <c r="AA82" i="3"/>
  <c r="AB98" i="3"/>
  <c r="AA98" i="3"/>
  <c r="Z98" i="3"/>
  <c r="Y102" i="3"/>
  <c r="V94" i="3"/>
  <c r="Z87" i="3"/>
  <c r="AA90" i="3"/>
  <c r="S94" i="3"/>
  <c r="AA83" i="3"/>
  <c r="AB86" i="3"/>
  <c r="AA99" i="3"/>
  <c r="AA104" i="3"/>
  <c r="AC103" i="3"/>
  <c r="AA102" i="3"/>
  <c r="AI80" i="3"/>
  <c r="AH91" i="3"/>
  <c r="AI96" i="3"/>
  <c r="AM91" i="3"/>
  <c r="AM99" i="3"/>
  <c r="AF80" i="3"/>
  <c r="AF88" i="3"/>
  <c r="AF96" i="3"/>
  <c r="AF104" i="3"/>
  <c r="AI79" i="3"/>
  <c r="AJ84" i="3"/>
  <c r="AI95" i="3"/>
  <c r="AJ100" i="3"/>
  <c r="AJ83" i="3"/>
  <c r="AJ99" i="3"/>
  <c r="AM80" i="3"/>
  <c r="AM88" i="3"/>
  <c r="AM96" i="3"/>
  <c r="AM104" i="3"/>
  <c r="AS81" i="3"/>
  <c r="AS85" i="3"/>
  <c r="AT89" i="3"/>
  <c r="AT93" i="3"/>
  <c r="AT97" i="3"/>
  <c r="AR102" i="3"/>
  <c r="AT79" i="3"/>
  <c r="AT83" i="3"/>
  <c r="AS104" i="3"/>
  <c r="AW79" i="3"/>
  <c r="AW87" i="3"/>
  <c r="AW95" i="3"/>
  <c r="AW103" i="3"/>
  <c r="AY79" i="3"/>
  <c r="AY87" i="3"/>
  <c r="AY95" i="3"/>
  <c r="AY103" i="3"/>
  <c r="BC78" i="3"/>
  <c r="BB89" i="3"/>
  <c r="BC94" i="3"/>
  <c r="AT103" i="3"/>
  <c r="AV78" i="3"/>
  <c r="BD82" i="3"/>
  <c r="BC93" i="3"/>
  <c r="BD98" i="3"/>
  <c r="AW84" i="3"/>
  <c r="AW92" i="3"/>
  <c r="AW100" i="3"/>
  <c r="BD81" i="3"/>
  <c r="BD97" i="3"/>
  <c r="R86" i="3"/>
  <c r="V90" i="3"/>
  <c r="S102" i="3"/>
  <c r="Z91" i="3"/>
  <c r="S90" i="3"/>
  <c r="W94" i="3"/>
  <c r="AB90" i="3"/>
  <c r="Z100" i="3"/>
  <c r="AB104" i="3"/>
  <c r="Z103" i="3"/>
  <c r="AE84" i="3"/>
  <c r="AE92" i="3"/>
  <c r="AE100" i="3"/>
  <c r="AH87" i="3"/>
  <c r="AI92" i="3"/>
  <c r="AH103" i="3"/>
  <c r="AI91" i="3"/>
  <c r="AL84" i="3"/>
  <c r="AL92" i="3"/>
  <c r="AL100" i="3"/>
  <c r="AJ79" i="3"/>
  <c r="AJ95" i="3"/>
  <c r="AQ81" i="3"/>
  <c r="AQ85" i="3"/>
  <c r="AR89" i="3"/>
  <c r="AR93" i="3"/>
  <c r="AR97" i="3"/>
  <c r="AR101" i="3"/>
  <c r="AS78" i="3"/>
  <c r="AS82" i="3"/>
  <c r="AS86" i="3"/>
  <c r="AT90" i="3"/>
  <c r="AT94" i="3"/>
  <c r="AT98" i="3"/>
  <c r="AQ89" i="3"/>
  <c r="AQ93" i="3"/>
  <c r="AQ97" i="3"/>
  <c r="AQ101" i="3"/>
  <c r="AV83" i="3"/>
  <c r="AV91" i="3"/>
  <c r="AV99" i="3"/>
  <c r="AZ82" i="3"/>
  <c r="AZ90" i="3"/>
  <c r="AZ98" i="3"/>
  <c r="AS101" i="3"/>
  <c r="BB85" i="3"/>
  <c r="BC90" i="3"/>
  <c r="BB101" i="3"/>
  <c r="AV80" i="3"/>
  <c r="AV88" i="3"/>
  <c r="AV96" i="3"/>
  <c r="AV104" i="3"/>
  <c r="BC89" i="3"/>
  <c r="AY78" i="3"/>
  <c r="AY86" i="3"/>
  <c r="AY94" i="3"/>
  <c r="AY102" i="3"/>
  <c r="BD93" i="3"/>
  <c r="V86" i="3"/>
  <c r="S98" i="3"/>
  <c r="W102" i="3"/>
  <c r="Z79" i="3"/>
  <c r="Z95" i="3"/>
  <c r="AB102" i="3"/>
  <c r="S86" i="3"/>
  <c r="Z102" i="3"/>
  <c r="Y104" i="3"/>
  <c r="AH83" i="3"/>
  <c r="AI88" i="3"/>
  <c r="AH99" i="3"/>
  <c r="AI104" i="3"/>
  <c r="AI87" i="3"/>
  <c r="AI103" i="3"/>
  <c r="AR81" i="3"/>
  <c r="AR85" i="3"/>
  <c r="AQ102" i="3"/>
  <c r="AT91" i="3"/>
  <c r="AT95" i="3"/>
  <c r="AT99" i="3"/>
  <c r="AQ90" i="3"/>
  <c r="AQ94" i="3"/>
  <c r="AQ98" i="3"/>
  <c r="AQ103" i="3"/>
  <c r="AS102" i="3"/>
  <c r="AY83" i="3"/>
  <c r="AY91" i="3"/>
  <c r="AY99" i="3"/>
  <c r="BB81" i="3"/>
  <c r="BC86" i="3"/>
  <c r="BB97" i="3"/>
  <c r="BC102" i="3"/>
  <c r="BC85" i="3"/>
  <c r="BC101" i="3"/>
  <c r="W98" i="3"/>
  <c r="AR82" i="3"/>
  <c r="AR86" i="3"/>
  <c r="AF11" i="3"/>
  <c r="AE48" i="3"/>
  <c r="D11" i="3"/>
  <c r="AE44" i="3"/>
  <c r="AC6" i="3"/>
  <c r="AE55" i="3"/>
  <c r="AE51" i="3"/>
  <c r="AF59" i="3"/>
  <c r="AF58" i="3"/>
  <c r="AE56" i="3"/>
  <c r="AF39" i="3"/>
  <c r="AE9" i="3"/>
  <c r="AE53" i="3"/>
  <c r="AF71" i="3"/>
  <c r="AF72" i="3"/>
  <c r="AE75" i="3"/>
  <c r="AE24" i="3"/>
  <c r="AE25" i="3"/>
  <c r="AE8" i="3"/>
  <c r="AF22" i="3"/>
  <c r="AE37" i="3"/>
  <c r="AF7" i="3"/>
  <c r="AF6" i="3"/>
  <c r="AE68" i="3"/>
  <c r="AF76" i="3"/>
  <c r="AE18" i="3"/>
  <c r="AE57" i="3"/>
  <c r="AF67" i="3"/>
  <c r="AE38" i="3"/>
  <c r="AE13" i="3"/>
  <c r="AE23" i="3"/>
  <c r="AE21" i="3"/>
  <c r="AE62" i="3"/>
  <c r="AF74" i="3"/>
  <c r="AE50" i="3"/>
  <c r="AE70" i="3"/>
  <c r="AE5" i="3"/>
  <c r="AE30" i="3"/>
  <c r="AE33" i="3"/>
  <c r="AE52" i="3"/>
  <c r="AF10" i="3"/>
  <c r="AE49" i="3"/>
  <c r="AF20" i="3"/>
  <c r="AF14" i="3"/>
  <c r="AF15" i="3"/>
  <c r="AE45" i="3"/>
  <c r="AE41" i="3"/>
  <c r="AF32" i="3"/>
  <c r="AE40" i="3"/>
  <c r="AE29" i="3"/>
  <c r="AE42" i="3"/>
  <c r="AF19" i="3"/>
  <c r="AE66" i="3"/>
  <c r="AF65" i="3"/>
  <c r="AF47" i="3"/>
  <c r="AE12" i="3"/>
  <c r="AE34" i="3"/>
  <c r="AE60" i="3"/>
  <c r="AE69" i="3"/>
  <c r="AF31" i="3"/>
  <c r="AF17" i="3"/>
  <c r="AE46" i="3"/>
  <c r="AE28" i="3"/>
  <c r="AE61" i="3"/>
  <c r="AF43" i="3"/>
  <c r="AF64" i="3"/>
  <c r="AE4" i="3"/>
  <c r="V5" i="3"/>
  <c r="AC13" i="3"/>
  <c r="AC50" i="3"/>
  <c r="AC61" i="3"/>
  <c r="AC62" i="3"/>
  <c r="AC67" i="3"/>
  <c r="AC71" i="3"/>
  <c r="AC76" i="3"/>
  <c r="AC40" i="3"/>
  <c r="AC60" i="3"/>
  <c r="AC9" i="3"/>
  <c r="AC14" i="3"/>
  <c r="AC22" i="3"/>
  <c r="AC25" i="3"/>
  <c r="AC42" i="3"/>
  <c r="AC12" i="3"/>
  <c r="AC49" i="3"/>
  <c r="AC70" i="3"/>
  <c r="AC75" i="3"/>
  <c r="AC17" i="3"/>
  <c r="AC20" i="3"/>
  <c r="AC24" i="3"/>
  <c r="AC43" i="3"/>
  <c r="AC5" i="3"/>
  <c r="AC10" i="3"/>
  <c r="AC23" i="3"/>
  <c r="AC4" i="3"/>
  <c r="AC7" i="3"/>
  <c r="AC41" i="3"/>
  <c r="AC46" i="3"/>
  <c r="AC54" i="3"/>
  <c r="AC35" i="3"/>
  <c r="AC59" i="3"/>
  <c r="AC53" i="3"/>
  <c r="AC65" i="3"/>
  <c r="AC69" i="3"/>
  <c r="AC74" i="3"/>
  <c r="AC11" i="3"/>
  <c r="AC8" i="3"/>
  <c r="AC15" i="3"/>
  <c r="AC28" i="3"/>
  <c r="AC37" i="3"/>
  <c r="AC33" i="3"/>
  <c r="AC56" i="3"/>
  <c r="AC57" i="3"/>
  <c r="AC64" i="3"/>
  <c r="AC72" i="3"/>
  <c r="H5" i="3"/>
  <c r="F5" i="3"/>
  <c r="O5" i="3"/>
  <c r="U5" i="3"/>
  <c r="AR5" i="3"/>
  <c r="S30" i="3"/>
  <c r="O52" i="3"/>
  <c r="N21" i="3"/>
  <c r="U58" i="3"/>
  <c r="S54" i="3"/>
  <c r="V38" i="3"/>
  <c r="R30" i="3"/>
  <c r="U27" i="3"/>
  <c r="U11" i="3"/>
  <c r="AA44" i="3"/>
  <c r="AB21" i="3"/>
  <c r="AH27" i="3"/>
  <c r="K26" i="3"/>
  <c r="N59" i="3"/>
  <c r="N43" i="3"/>
  <c r="O31" i="3"/>
  <c r="U57" i="3"/>
  <c r="U14" i="3"/>
  <c r="AH26" i="3"/>
  <c r="K21" i="3"/>
  <c r="N50" i="3"/>
  <c r="N30" i="3"/>
  <c r="U75" i="3"/>
  <c r="V48" i="3"/>
  <c r="Q40" i="3"/>
  <c r="U9" i="3"/>
  <c r="AB11" i="3"/>
  <c r="AH40" i="3"/>
  <c r="AH32" i="3"/>
  <c r="K59" i="3"/>
  <c r="K55" i="3"/>
  <c r="K43" i="3"/>
  <c r="K31" i="3"/>
  <c r="O57" i="3"/>
  <c r="N29" i="3"/>
  <c r="Y26" i="3"/>
  <c r="AH6" i="3"/>
  <c r="AL51" i="3"/>
  <c r="AM16" i="3"/>
  <c r="AO76" i="3"/>
  <c r="AO71" i="3"/>
  <c r="AO62" i="3"/>
  <c r="AO57" i="3"/>
  <c r="AO53" i="3"/>
  <c r="AO49" i="3"/>
  <c r="AO45" i="3"/>
  <c r="AO41" i="3"/>
  <c r="AO37" i="3"/>
  <c r="AO33" i="3"/>
  <c r="AO22" i="3"/>
  <c r="AO18" i="3"/>
  <c r="AO14" i="3"/>
  <c r="AO10" i="3"/>
  <c r="AO6" i="3"/>
  <c r="AQ59" i="3"/>
  <c r="AT51" i="3"/>
  <c r="AQ43" i="3"/>
  <c r="AQ39" i="3"/>
  <c r="AR31" i="3"/>
  <c r="AR20" i="3"/>
  <c r="AZ51" i="3"/>
  <c r="AY47" i="3"/>
  <c r="AO75" i="3"/>
  <c r="AO70" i="3"/>
  <c r="AO61" i="3"/>
  <c r="AO56" i="3"/>
  <c r="AO52" i="3"/>
  <c r="AO48" i="3"/>
  <c r="AO40" i="3"/>
  <c r="AO28" i="3"/>
  <c r="AO25" i="3"/>
  <c r="AO21" i="3"/>
  <c r="AO13" i="3"/>
  <c r="AO9" i="3"/>
  <c r="AO5" i="3"/>
  <c r="AR58" i="3"/>
  <c r="AR50" i="3"/>
  <c r="AR27" i="3"/>
  <c r="AO69" i="3"/>
  <c r="AO65" i="3"/>
  <c r="AO59" i="3"/>
  <c r="AO55" i="3"/>
  <c r="AO51" i="3"/>
  <c r="AO47" i="3"/>
  <c r="AO39" i="3"/>
  <c r="AO35" i="3"/>
  <c r="AO31" i="3"/>
  <c r="AO24" i="3"/>
  <c r="AO20" i="3"/>
  <c r="AO16" i="3"/>
  <c r="AO12" i="3"/>
  <c r="AO8" i="3"/>
  <c r="AQ45" i="3"/>
  <c r="AS29" i="3"/>
  <c r="AR26" i="3"/>
  <c r="AR14" i="3"/>
  <c r="AL40" i="3"/>
  <c r="AM17" i="3"/>
  <c r="AO72" i="3"/>
  <c r="AO64" i="3"/>
  <c r="AO54" i="3"/>
  <c r="AO50" i="3"/>
  <c r="AO46" i="3"/>
  <c r="AO42" i="3"/>
  <c r="AO38" i="3"/>
  <c r="AO34" i="3"/>
  <c r="AO23" i="3"/>
  <c r="AO15" i="3"/>
  <c r="AO11" i="3"/>
  <c r="AO7" i="3"/>
  <c r="AQ21" i="3"/>
  <c r="AR9" i="3"/>
  <c r="BB26" i="3"/>
  <c r="BB6" i="3"/>
  <c r="BF69" i="3"/>
  <c r="BF65" i="3"/>
  <c r="BF51" i="3"/>
  <c r="BF35" i="3"/>
  <c r="BF31" i="3"/>
  <c r="BF24" i="3"/>
  <c r="BF16" i="3"/>
  <c r="BF12" i="3"/>
  <c r="BF8" i="3"/>
  <c r="BF4" i="3"/>
  <c r="E67" i="3"/>
  <c r="H49" i="3"/>
  <c r="F18" i="3"/>
  <c r="BC44" i="3"/>
  <c r="BF72" i="3"/>
  <c r="BF64" i="3"/>
  <c r="BF58" i="3"/>
  <c r="BF54" i="3"/>
  <c r="BF46" i="3"/>
  <c r="BF38" i="3"/>
  <c r="BF23" i="3"/>
  <c r="BF15" i="3"/>
  <c r="BF7" i="3"/>
  <c r="AO4" i="3"/>
  <c r="E66" i="3"/>
  <c r="I52" i="3"/>
  <c r="H36" i="3"/>
  <c r="H25" i="3"/>
  <c r="G21" i="3"/>
  <c r="F9" i="3"/>
  <c r="AY16" i="3"/>
  <c r="BC51" i="3"/>
  <c r="BC47" i="3"/>
  <c r="BC39" i="3"/>
  <c r="BF76" i="3"/>
  <c r="BF71" i="3"/>
  <c r="BF62" i="3"/>
  <c r="BF53" i="3"/>
  <c r="BF49" i="3"/>
  <c r="BF41" i="3"/>
  <c r="BF37" i="3"/>
  <c r="BF33" i="3"/>
  <c r="BF22" i="3"/>
  <c r="BF10" i="3"/>
  <c r="H59" i="3"/>
  <c r="C51" i="3"/>
  <c r="F47" i="3"/>
  <c r="F39" i="3"/>
  <c r="H16" i="3"/>
  <c r="G12" i="3"/>
  <c r="BF75" i="3"/>
  <c r="BF70" i="3"/>
  <c r="BF61" i="3"/>
  <c r="BF56" i="3"/>
  <c r="BF40" i="3"/>
  <c r="BF28" i="3"/>
  <c r="BF25" i="3"/>
  <c r="BF17" i="3"/>
  <c r="BF13" i="3"/>
  <c r="BF5" i="3"/>
  <c r="C50" i="3"/>
  <c r="C42" i="3"/>
  <c r="G38" i="3"/>
  <c r="F34" i="3"/>
  <c r="N5" i="3" l="1"/>
  <c r="G19" i="3"/>
  <c r="H19" i="3"/>
  <c r="AY27" i="3"/>
  <c r="AL45" i="3"/>
  <c r="H11" i="3"/>
  <c r="I11" i="3"/>
  <c r="G27" i="3"/>
  <c r="H27" i="3"/>
  <c r="F27" i="3"/>
  <c r="F58" i="3"/>
  <c r="G58" i="3"/>
  <c r="D58" i="3"/>
  <c r="E43" i="3"/>
  <c r="H43" i="3"/>
  <c r="I43" i="3"/>
  <c r="D43" i="3"/>
  <c r="F43" i="3"/>
  <c r="C43" i="3"/>
  <c r="G43" i="3"/>
  <c r="C44" i="3"/>
  <c r="G44" i="3"/>
  <c r="H44" i="3"/>
  <c r="F44" i="3"/>
  <c r="G26" i="3"/>
  <c r="F26" i="3"/>
  <c r="H57" i="3"/>
  <c r="G57" i="3"/>
  <c r="D57" i="3"/>
  <c r="F57" i="3"/>
  <c r="C57" i="3"/>
  <c r="BB18" i="3"/>
  <c r="BC18" i="3"/>
  <c r="BD18" i="3"/>
  <c r="AZ40" i="3"/>
  <c r="AY40" i="3"/>
  <c r="AS44" i="3"/>
  <c r="AQ44" i="3"/>
  <c r="AT44" i="3"/>
  <c r="AR44" i="3"/>
  <c r="AL32" i="3"/>
  <c r="AM32" i="3"/>
  <c r="AY45" i="3"/>
  <c r="AW39" i="3"/>
  <c r="AR18" i="3"/>
  <c r="AS18" i="3"/>
  <c r="AT18" i="3"/>
  <c r="AQ18" i="3"/>
  <c r="AQ30" i="3"/>
  <c r="AR30" i="3"/>
  <c r="AS30" i="3"/>
  <c r="AV29" i="3"/>
  <c r="AW29" i="3"/>
  <c r="AM43" i="3"/>
  <c r="AL43" i="3"/>
  <c r="AH51" i="3"/>
  <c r="AA29" i="3"/>
  <c r="AB29" i="3"/>
  <c r="AA45" i="3"/>
  <c r="Y45" i="3"/>
  <c r="AB45" i="3"/>
  <c r="R39" i="3"/>
  <c r="U39" i="3"/>
  <c r="V55" i="3"/>
  <c r="R55" i="3"/>
  <c r="S55" i="3"/>
  <c r="U55" i="3"/>
  <c r="T55" i="3"/>
  <c r="K20" i="3"/>
  <c r="L20" i="3"/>
  <c r="AA19" i="3"/>
  <c r="U44" i="3"/>
  <c r="N19" i="3"/>
  <c r="O19" i="3"/>
  <c r="L75" i="3"/>
  <c r="K75" i="3"/>
  <c r="U6" i="3"/>
  <c r="O60" i="3"/>
  <c r="AA36" i="3"/>
  <c r="O40" i="3"/>
  <c r="L21" i="3"/>
  <c r="G39" i="3"/>
  <c r="AT39" i="3"/>
  <c r="I18" i="3"/>
  <c r="H39" i="3"/>
  <c r="O59" i="3"/>
  <c r="T75" i="3"/>
  <c r="AB19" i="3"/>
  <c r="C52" i="3"/>
  <c r="L55" i="3"/>
  <c r="F11" i="3"/>
  <c r="AI51" i="3"/>
  <c r="AM51" i="3"/>
  <c r="H26" i="3"/>
  <c r="AB6" i="3"/>
  <c r="L59" i="3"/>
  <c r="G11" i="3"/>
  <c r="H9" i="3"/>
  <c r="V27" i="3"/>
  <c r="H20" i="3"/>
  <c r="I20" i="3"/>
  <c r="F51" i="3"/>
  <c r="H51" i="3"/>
  <c r="G51" i="3"/>
  <c r="F21" i="3"/>
  <c r="I21" i="3"/>
  <c r="H21" i="3"/>
  <c r="D21" i="3"/>
  <c r="C21" i="3"/>
  <c r="H18" i="3"/>
  <c r="G18" i="3"/>
  <c r="AL29" i="3"/>
  <c r="AM29" i="3"/>
  <c r="AM11" i="3"/>
  <c r="AL11" i="3"/>
  <c r="E60" i="3"/>
  <c r="F60" i="3"/>
  <c r="D60" i="3"/>
  <c r="H60" i="3"/>
  <c r="F59" i="3"/>
  <c r="D59" i="3"/>
  <c r="C59" i="3"/>
  <c r="G59" i="3"/>
  <c r="BD55" i="3"/>
  <c r="BC55" i="3"/>
  <c r="H30" i="3"/>
  <c r="F30" i="3"/>
  <c r="BC27" i="3"/>
  <c r="BB27" i="3"/>
  <c r="G31" i="3"/>
  <c r="H31" i="3"/>
  <c r="I32" i="3"/>
  <c r="F32" i="3"/>
  <c r="D32" i="3"/>
  <c r="H32" i="3"/>
  <c r="G32" i="3"/>
  <c r="D48" i="3"/>
  <c r="I48" i="3"/>
  <c r="F48" i="3"/>
  <c r="G48" i="3"/>
  <c r="H48" i="3"/>
  <c r="AY19" i="3"/>
  <c r="F14" i="3"/>
  <c r="C14" i="3"/>
  <c r="G14" i="3"/>
  <c r="C29" i="3"/>
  <c r="H29" i="3"/>
  <c r="I45" i="3"/>
  <c r="E45" i="3"/>
  <c r="C45" i="3"/>
  <c r="G45" i="3"/>
  <c r="AQ32" i="3"/>
  <c r="AT32" i="3"/>
  <c r="AQ48" i="3"/>
  <c r="AR48" i="3"/>
  <c r="AS48" i="3"/>
  <c r="AL21" i="3"/>
  <c r="AM21" i="3"/>
  <c r="AM52" i="3"/>
  <c r="AL52" i="3"/>
  <c r="AW60" i="3"/>
  <c r="AR6" i="3"/>
  <c r="AT6" i="3"/>
  <c r="AM57" i="3"/>
  <c r="AL57" i="3"/>
  <c r="AY30" i="3"/>
  <c r="AT19" i="3"/>
  <c r="AR19" i="3"/>
  <c r="AQ60" i="3"/>
  <c r="AR60" i="3"/>
  <c r="AI39" i="3"/>
  <c r="AH39" i="3"/>
  <c r="AH55" i="3"/>
  <c r="AI55" i="3"/>
  <c r="AB18" i="3"/>
  <c r="R60" i="3"/>
  <c r="S60" i="3"/>
  <c r="U60" i="3"/>
  <c r="V60" i="3"/>
  <c r="R43" i="3"/>
  <c r="V43" i="3"/>
  <c r="S43" i="3"/>
  <c r="R59" i="3"/>
  <c r="V59" i="3"/>
  <c r="S59" i="3"/>
  <c r="Q59" i="3"/>
  <c r="U59" i="3"/>
  <c r="U32" i="3"/>
  <c r="S32" i="3"/>
  <c r="T32" i="3"/>
  <c r="T48" i="3"/>
  <c r="U48" i="3"/>
  <c r="R26" i="3"/>
  <c r="V26" i="3"/>
  <c r="U26" i="3"/>
  <c r="S26" i="3"/>
  <c r="S19" i="3"/>
  <c r="R50" i="3"/>
  <c r="S50" i="3"/>
  <c r="U50" i="3"/>
  <c r="H14" i="3"/>
  <c r="C20" i="3"/>
  <c r="C19" i="3"/>
  <c r="S44" i="3"/>
  <c r="G30" i="3"/>
  <c r="O39" i="3"/>
  <c r="C32" i="3"/>
  <c r="AR45" i="3"/>
  <c r="O55" i="3"/>
  <c r="I39" i="3"/>
  <c r="U30" i="3"/>
  <c r="F45" i="3"/>
  <c r="G20" i="3"/>
  <c r="O36" i="3"/>
  <c r="S39" i="3"/>
  <c r="AT48" i="3"/>
  <c r="C36" i="3"/>
  <c r="U19" i="3"/>
  <c r="AI44" i="3"/>
  <c r="C48" i="3"/>
  <c r="L43" i="3"/>
  <c r="D52" i="3"/>
  <c r="F52" i="3"/>
  <c r="G52" i="3"/>
  <c r="AY48" i="3"/>
  <c r="AQ57" i="3"/>
  <c r="AR57" i="3"/>
  <c r="AM27" i="3"/>
  <c r="O26" i="3"/>
  <c r="N26" i="3"/>
  <c r="K60" i="3"/>
  <c r="L60" i="3"/>
  <c r="AI48" i="3"/>
  <c r="AH48" i="3"/>
  <c r="AB27" i="3"/>
  <c r="AA27" i="3"/>
  <c r="R21" i="3"/>
  <c r="V21" i="3"/>
  <c r="Q21" i="3"/>
  <c r="S21" i="3"/>
  <c r="U36" i="3"/>
  <c r="V52" i="3"/>
  <c r="U52" i="3"/>
  <c r="O27" i="3"/>
  <c r="N42" i="3"/>
  <c r="O42" i="3"/>
  <c r="AA51" i="3"/>
  <c r="Y51" i="3"/>
  <c r="R29" i="3"/>
  <c r="V29" i="3"/>
  <c r="S29" i="3"/>
  <c r="U29" i="3"/>
  <c r="T29" i="3"/>
  <c r="R45" i="3"/>
  <c r="S45" i="3"/>
  <c r="V45" i="3"/>
  <c r="O20" i="3"/>
  <c r="N20" i="3"/>
  <c r="N51" i="3"/>
  <c r="O51" i="3"/>
  <c r="AB44" i="3"/>
  <c r="O32" i="3"/>
  <c r="N32" i="3"/>
  <c r="K50" i="3"/>
  <c r="L50" i="3"/>
  <c r="F12" i="3"/>
  <c r="AL55" i="3"/>
  <c r="I26" i="3"/>
  <c r="L26" i="3"/>
  <c r="D29" i="3"/>
  <c r="O29" i="3"/>
  <c r="D45" i="3"/>
  <c r="U21" i="3"/>
  <c r="C60" i="3"/>
  <c r="AR59" i="3"/>
  <c r="C39" i="3"/>
  <c r="AB51" i="3"/>
  <c r="F29" i="3"/>
  <c r="O30" i="3"/>
  <c r="I60" i="3"/>
  <c r="AR29" i="3"/>
  <c r="E32" i="3"/>
  <c r="O50" i="3"/>
  <c r="F42" i="3"/>
  <c r="AQ6" i="3"/>
  <c r="F50" i="3"/>
  <c r="I50" i="3"/>
  <c r="D50" i="3"/>
  <c r="H50" i="3"/>
  <c r="BB30" i="3"/>
  <c r="BC30" i="3"/>
  <c r="BD44" i="3"/>
  <c r="BB44" i="3"/>
  <c r="AY17" i="3"/>
  <c r="AR52" i="3"/>
  <c r="AQ52" i="3"/>
  <c r="AM58" i="3"/>
  <c r="BB19" i="3"/>
  <c r="BD19" i="3"/>
  <c r="BC19" i="3"/>
  <c r="C55" i="3"/>
  <c r="G55" i="3"/>
  <c r="F55" i="3"/>
  <c r="I55" i="3"/>
  <c r="E55" i="3"/>
  <c r="D55" i="3"/>
  <c r="BB51" i="3"/>
  <c r="G9" i="3"/>
  <c r="C9" i="3"/>
  <c r="F40" i="3"/>
  <c r="H40" i="3"/>
  <c r="F75" i="3"/>
  <c r="H75" i="3"/>
  <c r="G75" i="3"/>
  <c r="BC32" i="3"/>
  <c r="BB32" i="3"/>
  <c r="BC48" i="3"/>
  <c r="BD48" i="3"/>
  <c r="BB48" i="3"/>
  <c r="H6" i="3"/>
  <c r="F6" i="3"/>
  <c r="G6" i="3"/>
  <c r="BB45" i="3"/>
  <c r="BC45" i="3"/>
  <c r="BD45" i="3"/>
  <c r="AR11" i="3"/>
  <c r="AQ11" i="3"/>
  <c r="AQ27" i="3"/>
  <c r="AT27" i="3"/>
  <c r="AS27" i="3"/>
  <c r="AM30" i="3"/>
  <c r="AR51" i="3"/>
  <c r="AS51" i="3"/>
  <c r="AQ51" i="3"/>
  <c r="AM39" i="3"/>
  <c r="AH47" i="3"/>
  <c r="AI47" i="3"/>
  <c r="AB26" i="3"/>
  <c r="AA26" i="3"/>
  <c r="R20" i="3"/>
  <c r="S20" i="3"/>
  <c r="U20" i="3"/>
  <c r="V51" i="3"/>
  <c r="N45" i="3"/>
  <c r="O45" i="3"/>
  <c r="AB30" i="3"/>
  <c r="AA30" i="3"/>
  <c r="R75" i="3"/>
  <c r="V75" i="3"/>
  <c r="S75" i="3"/>
  <c r="K52" i="3"/>
  <c r="L52" i="3"/>
  <c r="Y39" i="3"/>
  <c r="AA39" i="3"/>
  <c r="AB39" i="3"/>
  <c r="S18" i="3"/>
  <c r="U18" i="3"/>
  <c r="AA32" i="3"/>
  <c r="AB32" i="3"/>
  <c r="AA48" i="3"/>
  <c r="AB48" i="3"/>
  <c r="R11" i="3"/>
  <c r="V11" i="3"/>
  <c r="S11" i="3"/>
  <c r="I31" i="3"/>
  <c r="AY32" i="3"/>
  <c r="G50" i="3"/>
  <c r="S6" i="3"/>
  <c r="Y36" i="3"/>
  <c r="H58" i="3"/>
  <c r="F20" i="3"/>
  <c r="G16" i="3"/>
  <c r="U43" i="3"/>
  <c r="C26" i="3"/>
  <c r="H55" i="3"/>
  <c r="AS32" i="3"/>
  <c r="S51" i="3"/>
  <c r="AA18" i="3"/>
  <c r="G29" i="3"/>
  <c r="O43" i="3"/>
  <c r="C58" i="3"/>
  <c r="V32" i="3"/>
  <c r="AS6" i="3"/>
  <c r="D26" i="3"/>
  <c r="N52" i="3"/>
  <c r="R32" i="3"/>
  <c r="G60" i="3"/>
  <c r="O21" i="3"/>
  <c r="H45" i="3"/>
  <c r="AL16" i="3"/>
  <c r="BD46" i="3"/>
  <c r="BC46" i="3"/>
  <c r="BB46" i="3"/>
  <c r="AI4" i="3"/>
  <c r="AJ4" i="3"/>
  <c r="AV4" i="3"/>
  <c r="AW4" i="3"/>
  <c r="BB11" i="3"/>
  <c r="BD11" i="3"/>
  <c r="BC11" i="3"/>
  <c r="BD42" i="3"/>
  <c r="BC42" i="3"/>
  <c r="BB42" i="3"/>
  <c r="BC61" i="3"/>
  <c r="BB61" i="3"/>
  <c r="BD61" i="3"/>
  <c r="AY23" i="3"/>
  <c r="AZ23" i="3"/>
  <c r="AZ4" i="3"/>
  <c r="AY4" i="3"/>
  <c r="BC12" i="3"/>
  <c r="BB12" i="3"/>
  <c r="BD12" i="3"/>
  <c r="BD60" i="3"/>
  <c r="BC60" i="3"/>
  <c r="BB60" i="3"/>
  <c r="BD62" i="3"/>
  <c r="BC62" i="3"/>
  <c r="BB62" i="3"/>
  <c r="AZ24" i="3"/>
  <c r="AY24" i="3"/>
  <c r="BD9" i="3"/>
  <c r="BC9" i="3"/>
  <c r="BB9" i="3"/>
  <c r="BB25" i="3"/>
  <c r="BD25" i="3"/>
  <c r="BC25" i="3"/>
  <c r="BB40" i="3"/>
  <c r="BD40" i="3"/>
  <c r="BC40" i="3"/>
  <c r="BC56" i="3"/>
  <c r="BB56" i="3"/>
  <c r="BD56" i="3"/>
  <c r="AB4" i="3"/>
  <c r="AA4" i="3"/>
  <c r="Z4" i="3"/>
  <c r="BC22" i="3"/>
  <c r="BD22" i="3"/>
  <c r="BB22" i="3"/>
  <c r="BC37" i="3"/>
  <c r="BB37" i="3"/>
  <c r="BD37" i="3"/>
  <c r="BC53" i="3"/>
  <c r="BB53" i="3"/>
  <c r="BD53" i="3"/>
  <c r="AZ12" i="3"/>
  <c r="AY12" i="3"/>
  <c r="AZ13" i="3"/>
  <c r="AY13" i="3"/>
  <c r="AY28" i="3"/>
  <c r="AZ28" i="3"/>
  <c r="AZ61" i="3"/>
  <c r="AY61" i="3"/>
  <c r="AW7" i="3"/>
  <c r="AV7" i="3"/>
  <c r="AW23" i="3"/>
  <c r="AV23" i="3"/>
  <c r="AW38" i="3"/>
  <c r="AV38" i="3"/>
  <c r="AV54" i="3"/>
  <c r="AW54" i="3"/>
  <c r="AV72" i="3"/>
  <c r="AW72" i="3"/>
  <c r="AQ17" i="3"/>
  <c r="AM5" i="3"/>
  <c r="AM36" i="3"/>
  <c r="AL36" i="3"/>
  <c r="AL70" i="3"/>
  <c r="AM70" i="3"/>
  <c r="AH15" i="3"/>
  <c r="AJ15" i="3"/>
  <c r="AI15" i="3"/>
  <c r="BB74" i="3"/>
  <c r="BD74" i="3"/>
  <c r="BC74" i="3"/>
  <c r="AZ33" i="3"/>
  <c r="AY33" i="3"/>
  <c r="AZ49" i="3"/>
  <c r="AY49" i="3"/>
  <c r="AV12" i="3"/>
  <c r="AW12" i="3"/>
  <c r="AW59" i="3"/>
  <c r="AV59" i="3"/>
  <c r="AR22" i="3"/>
  <c r="AQ22" i="3"/>
  <c r="AT22" i="3"/>
  <c r="AS22" i="3"/>
  <c r="AR53" i="3"/>
  <c r="AQ53" i="3"/>
  <c r="AT53" i="3"/>
  <c r="AQ71" i="3"/>
  <c r="AT71" i="3"/>
  <c r="AS71" i="3"/>
  <c r="AR71" i="3"/>
  <c r="AL10" i="3"/>
  <c r="AM10" i="3"/>
  <c r="AM26" i="3"/>
  <c r="AL26" i="3"/>
  <c r="AM41" i="3"/>
  <c r="AL41" i="3"/>
  <c r="AM76" i="3"/>
  <c r="AL76" i="3"/>
  <c r="AY46" i="3"/>
  <c r="AZ46" i="3"/>
  <c r="AZ64" i="3"/>
  <c r="AY64" i="3"/>
  <c r="AW9" i="3"/>
  <c r="AV9" i="3"/>
  <c r="AW25" i="3"/>
  <c r="AV25" i="3"/>
  <c r="AW40" i="3"/>
  <c r="AV40" i="3"/>
  <c r="AV56" i="3"/>
  <c r="AW56" i="3"/>
  <c r="AW75" i="3"/>
  <c r="AV75" i="3"/>
  <c r="AT50" i="3"/>
  <c r="AS50" i="3"/>
  <c r="AQ50" i="3"/>
  <c r="AM7" i="3"/>
  <c r="AL7" i="3"/>
  <c r="AM23" i="3"/>
  <c r="AL23" i="3"/>
  <c r="AM38" i="3"/>
  <c r="AL38" i="3"/>
  <c r="AL54" i="3"/>
  <c r="AM54" i="3"/>
  <c r="AL72" i="3"/>
  <c r="AM72" i="3"/>
  <c r="AY74" i="3"/>
  <c r="AZ74" i="3"/>
  <c r="AW33" i="3"/>
  <c r="AV33" i="3"/>
  <c r="AW49" i="3"/>
  <c r="AV49" i="3"/>
  <c r="AS12" i="3"/>
  <c r="AR12" i="3"/>
  <c r="AQ12" i="3"/>
  <c r="AT12" i="3"/>
  <c r="AT60" i="3"/>
  <c r="AS60" i="3"/>
  <c r="AT59" i="3"/>
  <c r="AS59" i="3"/>
  <c r="AM47" i="3"/>
  <c r="AL47" i="3"/>
  <c r="AM65" i="3"/>
  <c r="AL65" i="3"/>
  <c r="AJ10" i="3"/>
  <c r="AI10" i="3"/>
  <c r="AH10" i="3"/>
  <c r="AI24" i="3"/>
  <c r="AH24" i="3"/>
  <c r="AJ24" i="3"/>
  <c r="AH74" i="3"/>
  <c r="AJ74" i="3"/>
  <c r="AI74" i="3"/>
  <c r="Y33" i="3"/>
  <c r="AA33" i="3"/>
  <c r="Z33" i="3"/>
  <c r="AB33" i="3"/>
  <c r="Z49" i="3"/>
  <c r="Y49" i="3"/>
  <c r="AB49" i="3"/>
  <c r="AA49" i="3"/>
  <c r="Z67" i="3"/>
  <c r="Y67" i="3"/>
  <c r="AB67" i="3"/>
  <c r="AA67" i="3"/>
  <c r="R12" i="3"/>
  <c r="S12" i="3"/>
  <c r="AJ28" i="3"/>
  <c r="AI28" i="3"/>
  <c r="AH28" i="3"/>
  <c r="AI61" i="3"/>
  <c r="AH61" i="3"/>
  <c r="AJ61" i="3"/>
  <c r="AB7" i="3"/>
  <c r="AA7" i="3"/>
  <c r="Z7" i="3"/>
  <c r="Y7" i="3"/>
  <c r="Z23" i="3"/>
  <c r="AB23" i="3"/>
  <c r="AA23" i="3"/>
  <c r="Y23" i="3"/>
  <c r="AB54" i="3"/>
  <c r="AA54" i="3"/>
  <c r="Z54" i="3"/>
  <c r="Y54" i="3"/>
  <c r="AB72" i="3"/>
  <c r="AA72" i="3"/>
  <c r="Z72" i="3"/>
  <c r="Y72" i="3"/>
  <c r="R17" i="3"/>
  <c r="S17" i="3"/>
  <c r="R66" i="3"/>
  <c r="S66" i="3"/>
  <c r="AJ22" i="3"/>
  <c r="AI22" i="3"/>
  <c r="AH22" i="3"/>
  <c r="AH37" i="3"/>
  <c r="AJ37" i="3"/>
  <c r="AI37" i="3"/>
  <c r="AJ53" i="3"/>
  <c r="AI53" i="3"/>
  <c r="AH53" i="3"/>
  <c r="AJ71" i="3"/>
  <c r="AI71" i="3"/>
  <c r="AH71" i="3"/>
  <c r="Y47" i="3"/>
  <c r="AB47" i="3"/>
  <c r="Z65" i="3"/>
  <c r="Y65" i="3"/>
  <c r="AB65" i="3"/>
  <c r="AA65" i="3"/>
  <c r="R10" i="3"/>
  <c r="S10" i="3"/>
  <c r="R41" i="3"/>
  <c r="S41" i="3"/>
  <c r="R76" i="3"/>
  <c r="S76" i="3"/>
  <c r="AJ46" i="3"/>
  <c r="AI46" i="3"/>
  <c r="AH46" i="3"/>
  <c r="AJ64" i="3"/>
  <c r="AI64" i="3"/>
  <c r="AH64" i="3"/>
  <c r="AB9" i="3"/>
  <c r="AA9" i="3"/>
  <c r="Z9" i="3"/>
  <c r="Y9" i="3"/>
  <c r="Z25" i="3"/>
  <c r="AB25" i="3"/>
  <c r="AA25" i="3"/>
  <c r="Y25" i="3"/>
  <c r="AA40" i="3"/>
  <c r="Z40" i="3"/>
  <c r="Y40" i="3"/>
  <c r="AB40" i="3"/>
  <c r="AB56" i="3"/>
  <c r="AA56" i="3"/>
  <c r="Z56" i="3"/>
  <c r="Y56" i="3"/>
  <c r="AB75" i="3"/>
  <c r="AA75" i="3"/>
  <c r="Z75" i="3"/>
  <c r="Y75" i="3"/>
  <c r="R34" i="3"/>
  <c r="S34" i="3"/>
  <c r="BB16" i="3"/>
  <c r="BD16" i="3"/>
  <c r="BC16" i="3"/>
  <c r="BD31" i="3"/>
  <c r="BC31" i="3"/>
  <c r="BB31" i="3"/>
  <c r="BB47" i="3"/>
  <c r="BD71" i="3"/>
  <c r="BC71" i="3"/>
  <c r="BB71" i="3"/>
  <c r="BD4" i="3"/>
  <c r="BB4" i="3"/>
  <c r="BB13" i="3"/>
  <c r="BD13" i="3"/>
  <c r="BC13" i="3"/>
  <c r="BB28" i="3"/>
  <c r="BD28" i="3"/>
  <c r="BC28" i="3"/>
  <c r="AQ4" i="3"/>
  <c r="AT4" i="3"/>
  <c r="AS4" i="3"/>
  <c r="AR4" i="3"/>
  <c r="BD10" i="3"/>
  <c r="BC10" i="3"/>
  <c r="BB10" i="3"/>
  <c r="BC41" i="3"/>
  <c r="BB41" i="3"/>
  <c r="BD41" i="3"/>
  <c r="BD57" i="3"/>
  <c r="BC57" i="3"/>
  <c r="BB57" i="3"/>
  <c r="BD72" i="3"/>
  <c r="BC72" i="3"/>
  <c r="BB72" i="3"/>
  <c r="AW11" i="3"/>
  <c r="AV11" i="3"/>
  <c r="AW42" i="3"/>
  <c r="AV42" i="3"/>
  <c r="AV58" i="3"/>
  <c r="AW58" i="3"/>
  <c r="AS5" i="3"/>
  <c r="AT5" i="3"/>
  <c r="AT21" i="3"/>
  <c r="AS21" i="3"/>
  <c r="AT52" i="3"/>
  <c r="AS52" i="3"/>
  <c r="AQ70" i="3"/>
  <c r="AT70" i="3"/>
  <c r="AS70" i="3"/>
  <c r="AR70" i="3"/>
  <c r="AM9" i="3"/>
  <c r="AL9" i="3"/>
  <c r="AM25" i="3"/>
  <c r="AL25" i="3"/>
  <c r="AL56" i="3"/>
  <c r="AM56" i="3"/>
  <c r="AL75" i="3"/>
  <c r="AM75" i="3"/>
  <c r="BB59" i="3"/>
  <c r="BD59" i="3"/>
  <c r="BC59" i="3"/>
  <c r="AZ22" i="3"/>
  <c r="AY22" i="3"/>
  <c r="AZ37" i="3"/>
  <c r="AY37" i="3"/>
  <c r="AY53" i="3"/>
  <c r="AZ53" i="3"/>
  <c r="AY71" i="3"/>
  <c r="AZ71" i="3"/>
  <c r="AV16" i="3"/>
  <c r="AW16" i="3"/>
  <c r="AW31" i="3"/>
  <c r="AV31" i="3"/>
  <c r="AW65" i="3"/>
  <c r="AV65" i="3"/>
  <c r="AS10" i="3"/>
  <c r="AR10" i="3"/>
  <c r="AQ10" i="3"/>
  <c r="AT10" i="3"/>
  <c r="AT41" i="3"/>
  <c r="AS41" i="3"/>
  <c r="AR41" i="3"/>
  <c r="AQ41" i="3"/>
  <c r="AT57" i="3"/>
  <c r="AS57" i="3"/>
  <c r="AQ76" i="3"/>
  <c r="AT76" i="3"/>
  <c r="AS76" i="3"/>
  <c r="AR76" i="3"/>
  <c r="AL14" i="3"/>
  <c r="AM14" i="3"/>
  <c r="AM62" i="3"/>
  <c r="AL62" i="3"/>
  <c r="AI8" i="3"/>
  <c r="AH8" i="3"/>
  <c r="AJ8" i="3"/>
  <c r="AZ68" i="3"/>
  <c r="AW13" i="3"/>
  <c r="AV13" i="3"/>
  <c r="AW28" i="3"/>
  <c r="AV28" i="3"/>
  <c r="AV61" i="3"/>
  <c r="AW61" i="3"/>
  <c r="AS7" i="3"/>
  <c r="AR7" i="3"/>
  <c r="AQ7" i="3"/>
  <c r="AT7" i="3"/>
  <c r="AR23" i="3"/>
  <c r="AQ23" i="3"/>
  <c r="AT23" i="3"/>
  <c r="AS23" i="3"/>
  <c r="AT38" i="3"/>
  <c r="AS38" i="3"/>
  <c r="AR38" i="3"/>
  <c r="AQ38" i="3"/>
  <c r="AQ54" i="3"/>
  <c r="AT54" i="3"/>
  <c r="AS54" i="3"/>
  <c r="AR54" i="3"/>
  <c r="AQ72" i="3"/>
  <c r="AT72" i="3"/>
  <c r="AS72" i="3"/>
  <c r="AR72" i="3"/>
  <c r="AM42" i="3"/>
  <c r="AL42" i="3"/>
  <c r="AJ5" i="3"/>
  <c r="AI5" i="3"/>
  <c r="AH5" i="3"/>
  <c r="AZ60" i="3"/>
  <c r="AY60" i="3"/>
  <c r="AV22" i="3"/>
  <c r="AW22" i="3"/>
  <c r="AW37" i="3"/>
  <c r="AV37" i="3"/>
  <c r="AW53" i="3"/>
  <c r="AV53" i="3"/>
  <c r="AW71" i="3"/>
  <c r="AV71" i="3"/>
  <c r="AT16" i="3"/>
  <c r="AS16" i="3"/>
  <c r="AR16" i="3"/>
  <c r="AQ16" i="3"/>
  <c r="AS31" i="3"/>
  <c r="AQ31" i="3"/>
  <c r="AT31" i="3"/>
  <c r="AQ65" i="3"/>
  <c r="AT65" i="3"/>
  <c r="AS65" i="3"/>
  <c r="AR65" i="3"/>
  <c r="AM20" i="3"/>
  <c r="AL20" i="3"/>
  <c r="AM35" i="3"/>
  <c r="AL35" i="3"/>
  <c r="AM69" i="3"/>
  <c r="AL69" i="3"/>
  <c r="AJ14" i="3"/>
  <c r="AI14" i="3"/>
  <c r="AH14" i="3"/>
  <c r="AI60" i="3"/>
  <c r="AH60" i="3"/>
  <c r="AJ60" i="3"/>
  <c r="AJ43" i="3"/>
  <c r="AI43" i="3"/>
  <c r="AH43" i="3"/>
  <c r="AH59" i="3"/>
  <c r="AJ59" i="3"/>
  <c r="AI59" i="3"/>
  <c r="Y6" i="3"/>
  <c r="AB22" i="3"/>
  <c r="Z22" i="3"/>
  <c r="Y22" i="3"/>
  <c r="AA22" i="3"/>
  <c r="Y37" i="3"/>
  <c r="AB37" i="3"/>
  <c r="AA37" i="3"/>
  <c r="Z37" i="3"/>
  <c r="Z53" i="3"/>
  <c r="Y53" i="3"/>
  <c r="AB53" i="3"/>
  <c r="AA53" i="3"/>
  <c r="Z71" i="3"/>
  <c r="Y71" i="3"/>
  <c r="AB71" i="3"/>
  <c r="AA71" i="3"/>
  <c r="R16" i="3"/>
  <c r="S16" i="3"/>
  <c r="R31" i="3"/>
  <c r="S31" i="3"/>
  <c r="R65" i="3"/>
  <c r="S65" i="3"/>
  <c r="AJ17" i="3"/>
  <c r="AI17" i="3"/>
  <c r="AH17" i="3"/>
  <c r="AA11" i="3"/>
  <c r="Y11" i="3"/>
  <c r="Z11" i="3"/>
  <c r="AA42" i="3"/>
  <c r="Z42" i="3"/>
  <c r="Y42" i="3"/>
  <c r="AB42" i="3"/>
  <c r="R5" i="3"/>
  <c r="S5" i="3"/>
  <c r="R36" i="3"/>
  <c r="S36" i="3"/>
  <c r="S52" i="3"/>
  <c r="R52" i="3"/>
  <c r="R70" i="3"/>
  <c r="S70" i="3"/>
  <c r="AH41" i="3"/>
  <c r="AJ41" i="3"/>
  <c r="AI41" i="3"/>
  <c r="AJ57" i="3"/>
  <c r="AI57" i="3"/>
  <c r="AH57" i="3"/>
  <c r="AJ76" i="3"/>
  <c r="AI76" i="3"/>
  <c r="AH76" i="3"/>
  <c r="AB20" i="3"/>
  <c r="Z20" i="3"/>
  <c r="Y20" i="3"/>
  <c r="AA20" i="3"/>
  <c r="Y35" i="3"/>
  <c r="AA35" i="3"/>
  <c r="Z35" i="3"/>
  <c r="AB35" i="3"/>
  <c r="Z69" i="3"/>
  <c r="Y69" i="3"/>
  <c r="AB69" i="3"/>
  <c r="AA69" i="3"/>
  <c r="R14" i="3"/>
  <c r="S14" i="3"/>
  <c r="R62" i="3"/>
  <c r="S62" i="3"/>
  <c r="AJ50" i="3"/>
  <c r="AI50" i="3"/>
  <c r="AH50" i="3"/>
  <c r="AA13" i="3"/>
  <c r="Y13" i="3"/>
  <c r="AB13" i="3"/>
  <c r="Z13" i="3"/>
  <c r="Z28" i="3"/>
  <c r="AB28" i="3"/>
  <c r="AA28" i="3"/>
  <c r="Y28" i="3"/>
  <c r="AB61" i="3"/>
  <c r="AA61" i="3"/>
  <c r="Z61" i="3"/>
  <c r="Y61" i="3"/>
  <c r="R7" i="3"/>
  <c r="S7" i="3"/>
  <c r="R23" i="3"/>
  <c r="S23" i="3"/>
  <c r="R38" i="3"/>
  <c r="S38" i="3"/>
  <c r="R72" i="3"/>
  <c r="S72" i="3"/>
  <c r="BD15" i="3"/>
  <c r="BC15" i="3"/>
  <c r="BB15" i="3"/>
  <c r="BD50" i="3"/>
  <c r="BC50" i="3"/>
  <c r="BB50" i="3"/>
  <c r="AZ7" i="3"/>
  <c r="AY7" i="3"/>
  <c r="BC20" i="3"/>
  <c r="BD20" i="3"/>
  <c r="BB20" i="3"/>
  <c r="BD35" i="3"/>
  <c r="BC35" i="3"/>
  <c r="BB35" i="3"/>
  <c r="AZ8" i="3"/>
  <c r="AY8" i="3"/>
  <c r="BB17" i="3"/>
  <c r="BD17" i="3"/>
  <c r="BC17" i="3"/>
  <c r="BC75" i="3"/>
  <c r="BB75" i="3"/>
  <c r="BD75" i="3"/>
  <c r="BC14" i="3"/>
  <c r="BB14" i="3"/>
  <c r="BD14" i="3"/>
  <c r="BD58" i="3"/>
  <c r="BC58" i="3"/>
  <c r="BB58" i="3"/>
  <c r="AZ5" i="3"/>
  <c r="AY5" i="3"/>
  <c r="AZ70" i="3"/>
  <c r="AY70" i="3"/>
  <c r="AW15" i="3"/>
  <c r="AV15" i="3"/>
  <c r="AW46" i="3"/>
  <c r="AV46" i="3"/>
  <c r="AV64" i="3"/>
  <c r="AW64" i="3"/>
  <c r="AR25" i="3"/>
  <c r="AQ25" i="3"/>
  <c r="AT25" i="3"/>
  <c r="AS25" i="3"/>
  <c r="AT40" i="3"/>
  <c r="AS40" i="3"/>
  <c r="AR40" i="3"/>
  <c r="AQ40" i="3"/>
  <c r="AQ56" i="3"/>
  <c r="AT56" i="3"/>
  <c r="AS56" i="3"/>
  <c r="AR56" i="3"/>
  <c r="AQ75" i="3"/>
  <c r="AT75" i="3"/>
  <c r="AS75" i="3"/>
  <c r="AR75" i="3"/>
  <c r="AM13" i="3"/>
  <c r="AL13" i="3"/>
  <c r="AM28" i="3"/>
  <c r="AL28" i="3"/>
  <c r="AL61" i="3"/>
  <c r="AM61" i="3"/>
  <c r="AH7" i="3"/>
  <c r="AJ7" i="3"/>
  <c r="AI7" i="3"/>
  <c r="BB65" i="3"/>
  <c r="BD65" i="3"/>
  <c r="BC65" i="3"/>
  <c r="AZ10" i="3"/>
  <c r="AY10" i="3"/>
  <c r="AZ41" i="3"/>
  <c r="AY41" i="3"/>
  <c r="AY76" i="3"/>
  <c r="AZ76" i="3"/>
  <c r="AV20" i="3"/>
  <c r="AW20" i="3"/>
  <c r="AW35" i="3"/>
  <c r="AV35" i="3"/>
  <c r="AW69" i="3"/>
  <c r="AV69" i="3"/>
  <c r="AQ29" i="3"/>
  <c r="AT29" i="3"/>
  <c r="AQ62" i="3"/>
  <c r="AT62" i="3"/>
  <c r="AS62" i="3"/>
  <c r="AR62" i="3"/>
  <c r="AM33" i="3"/>
  <c r="AL33" i="3"/>
  <c r="AM49" i="3"/>
  <c r="AL49" i="3"/>
  <c r="AM67" i="3"/>
  <c r="AL67" i="3"/>
  <c r="AI12" i="3"/>
  <c r="AH12" i="3"/>
  <c r="AJ12" i="3"/>
  <c r="AY38" i="3"/>
  <c r="AZ38" i="3"/>
  <c r="AZ54" i="3"/>
  <c r="AY54" i="3"/>
  <c r="AZ72" i="3"/>
  <c r="AY72" i="3"/>
  <c r="AW17" i="3"/>
  <c r="AV17" i="3"/>
  <c r="AT42" i="3"/>
  <c r="AS42" i="3"/>
  <c r="AR42" i="3"/>
  <c r="AQ42" i="3"/>
  <c r="AQ58" i="3"/>
  <c r="AT58" i="3"/>
  <c r="AS58" i="3"/>
  <c r="AM15" i="3"/>
  <c r="AL15" i="3"/>
  <c r="AM46" i="3"/>
  <c r="AL46" i="3"/>
  <c r="AL64" i="3"/>
  <c r="AM64" i="3"/>
  <c r="AJ9" i="3"/>
  <c r="AI9" i="3"/>
  <c r="AH9" i="3"/>
  <c r="AZ31" i="3"/>
  <c r="AY31" i="3"/>
  <c r="AY65" i="3"/>
  <c r="AZ65" i="3"/>
  <c r="AV10" i="3"/>
  <c r="AW10" i="3"/>
  <c r="AV26" i="3"/>
  <c r="AW26" i="3"/>
  <c r="AW41" i="3"/>
  <c r="AV41" i="3"/>
  <c r="AW57" i="3"/>
  <c r="AV57" i="3"/>
  <c r="AV76" i="3"/>
  <c r="AW76" i="3"/>
  <c r="AT35" i="3"/>
  <c r="AS35" i="3"/>
  <c r="AR35" i="3"/>
  <c r="AQ35" i="3"/>
  <c r="AQ69" i="3"/>
  <c r="AT69" i="3"/>
  <c r="AS69" i="3"/>
  <c r="AR69" i="3"/>
  <c r="AL8" i="3"/>
  <c r="AM8" i="3"/>
  <c r="AM24" i="3"/>
  <c r="AL24" i="3"/>
  <c r="AM74" i="3"/>
  <c r="AL74" i="3"/>
  <c r="AI16" i="3"/>
  <c r="AH16" i="3"/>
  <c r="AJ16" i="3"/>
  <c r="AJ31" i="3"/>
  <c r="AI31" i="3"/>
  <c r="AH31" i="3"/>
  <c r="AH65" i="3"/>
  <c r="AJ65" i="3"/>
  <c r="AI65" i="3"/>
  <c r="Y10" i="3"/>
  <c r="AA10" i="3"/>
  <c r="Z10" i="3"/>
  <c r="AB10" i="3"/>
  <c r="Y41" i="3"/>
  <c r="AB41" i="3"/>
  <c r="AA41" i="3"/>
  <c r="Z41" i="3"/>
  <c r="Z57" i="3"/>
  <c r="Y57" i="3"/>
  <c r="AB57" i="3"/>
  <c r="AA57" i="3"/>
  <c r="Z76" i="3"/>
  <c r="Y76" i="3"/>
  <c r="AB76" i="3"/>
  <c r="AA76" i="3"/>
  <c r="R35" i="3"/>
  <c r="S35" i="3"/>
  <c r="R69" i="3"/>
  <c r="S69" i="3"/>
  <c r="AI70" i="3"/>
  <c r="AH70" i="3"/>
  <c r="AJ70" i="3"/>
  <c r="AB15" i="3"/>
  <c r="Y15" i="3"/>
  <c r="AA15" i="3"/>
  <c r="AA46" i="3"/>
  <c r="Z46" i="3"/>
  <c r="Y46" i="3"/>
  <c r="AB46" i="3"/>
  <c r="AB64" i="3"/>
  <c r="AA64" i="3"/>
  <c r="Z64" i="3"/>
  <c r="Y64" i="3"/>
  <c r="R9" i="3"/>
  <c r="S9" i="3"/>
  <c r="R25" i="3"/>
  <c r="S25" i="3"/>
  <c r="R40" i="3"/>
  <c r="S40" i="3"/>
  <c r="R56" i="3"/>
  <c r="S56" i="3"/>
  <c r="AJ29" i="3"/>
  <c r="AI29" i="3"/>
  <c r="AH29" i="3"/>
  <c r="AJ62" i="3"/>
  <c r="AI62" i="3"/>
  <c r="AH62" i="3"/>
  <c r="Z8" i="3"/>
  <c r="Y8" i="3"/>
  <c r="AB8" i="3"/>
  <c r="AA8" i="3"/>
  <c r="AB24" i="3"/>
  <c r="Z24" i="3"/>
  <c r="Y24" i="3"/>
  <c r="AA24" i="3"/>
  <c r="Y55" i="3"/>
  <c r="AB55" i="3"/>
  <c r="AA55" i="3"/>
  <c r="Z74" i="3"/>
  <c r="Y74" i="3"/>
  <c r="AB74" i="3"/>
  <c r="AA74" i="3"/>
  <c r="R33" i="3"/>
  <c r="S33" i="3"/>
  <c r="R49" i="3"/>
  <c r="S49" i="3"/>
  <c r="R67" i="3"/>
  <c r="S67" i="3"/>
  <c r="AH23" i="3"/>
  <c r="AJ23" i="3"/>
  <c r="AI23" i="3"/>
  <c r="AI38" i="3"/>
  <c r="AH38" i="3"/>
  <c r="AJ38" i="3"/>
  <c r="AJ54" i="3"/>
  <c r="AI54" i="3"/>
  <c r="AH54" i="3"/>
  <c r="AJ72" i="3"/>
  <c r="AI72" i="3"/>
  <c r="AH72" i="3"/>
  <c r="Y17" i="3"/>
  <c r="AA17" i="3"/>
  <c r="Z17" i="3"/>
  <c r="R42" i="3"/>
  <c r="S42" i="3"/>
  <c r="BC70" i="3"/>
  <c r="BB70" i="3"/>
  <c r="BD70" i="3"/>
  <c r="BB7" i="3"/>
  <c r="BD7" i="3"/>
  <c r="BC7" i="3"/>
  <c r="BD23" i="3"/>
  <c r="BB23" i="3"/>
  <c r="BC23" i="3"/>
  <c r="BD54" i="3"/>
  <c r="BC54" i="3"/>
  <c r="BB54" i="3"/>
  <c r="AZ15" i="3"/>
  <c r="AY15" i="3"/>
  <c r="AM4" i="3"/>
  <c r="AL4" i="3"/>
  <c r="BC8" i="3"/>
  <c r="BB8" i="3"/>
  <c r="BD8" i="3"/>
  <c r="BC24" i="3"/>
  <c r="BD24" i="3"/>
  <c r="BB24" i="3"/>
  <c r="BD39" i="3"/>
  <c r="BB39" i="3"/>
  <c r="R4" i="3"/>
  <c r="S4" i="3"/>
  <c r="BB5" i="3"/>
  <c r="BD5" i="3"/>
  <c r="BC5" i="3"/>
  <c r="BB36" i="3"/>
  <c r="BD36" i="3"/>
  <c r="BC36" i="3"/>
  <c r="BC33" i="3"/>
  <c r="BB33" i="3"/>
  <c r="BD33" i="3"/>
  <c r="BC49" i="3"/>
  <c r="BB49" i="3"/>
  <c r="BD49" i="3"/>
  <c r="BD76" i="3"/>
  <c r="BC76" i="3"/>
  <c r="BB76" i="3"/>
  <c r="BD64" i="3"/>
  <c r="BC64" i="3"/>
  <c r="BB64" i="3"/>
  <c r="AY25" i="3"/>
  <c r="AZ25" i="3"/>
  <c r="AZ56" i="3"/>
  <c r="AY56" i="3"/>
  <c r="AZ75" i="3"/>
  <c r="AY75" i="3"/>
  <c r="AW50" i="3"/>
  <c r="AV50" i="3"/>
  <c r="AT13" i="3"/>
  <c r="AR13" i="3"/>
  <c r="AQ13" i="3"/>
  <c r="AR28" i="3"/>
  <c r="AQ28" i="3"/>
  <c r="AT28" i="3"/>
  <c r="AS28" i="3"/>
  <c r="AQ61" i="3"/>
  <c r="AT61" i="3"/>
  <c r="AS61" i="3"/>
  <c r="AR61" i="3"/>
  <c r="AH11" i="3"/>
  <c r="AJ11" i="3"/>
  <c r="AI11" i="3"/>
  <c r="BB69" i="3"/>
  <c r="BD69" i="3"/>
  <c r="BC69" i="3"/>
  <c r="AY62" i="3"/>
  <c r="AZ62" i="3"/>
  <c r="AV8" i="3"/>
  <c r="AW8" i="3"/>
  <c r="AV24" i="3"/>
  <c r="AW24" i="3"/>
  <c r="AW55" i="3"/>
  <c r="AV55" i="3"/>
  <c r="AV74" i="3"/>
  <c r="AW74" i="3"/>
  <c r="AT33" i="3"/>
  <c r="AS33" i="3"/>
  <c r="AR33" i="3"/>
  <c r="AQ33" i="3"/>
  <c r="AT49" i="3"/>
  <c r="AS49" i="3"/>
  <c r="AR49" i="3"/>
  <c r="AQ49" i="3"/>
  <c r="AM22" i="3"/>
  <c r="AL22" i="3"/>
  <c r="AM37" i="3"/>
  <c r="AL37" i="3"/>
  <c r="AM53" i="3"/>
  <c r="AL53" i="3"/>
  <c r="AM71" i="3"/>
  <c r="AL71" i="3"/>
  <c r="AW5" i="3"/>
  <c r="AV5" i="3"/>
  <c r="AW21" i="3"/>
  <c r="AV21" i="3"/>
  <c r="AV52" i="3"/>
  <c r="AW52" i="3"/>
  <c r="AV70" i="3"/>
  <c r="AW70" i="3"/>
  <c r="AT15" i="3"/>
  <c r="AS15" i="3"/>
  <c r="AR15" i="3"/>
  <c r="AQ15" i="3"/>
  <c r="AT46" i="3"/>
  <c r="AS46" i="3"/>
  <c r="AR46" i="3"/>
  <c r="AQ46" i="3"/>
  <c r="AQ64" i="3"/>
  <c r="AT64" i="3"/>
  <c r="AS64" i="3"/>
  <c r="AR64" i="3"/>
  <c r="AL50" i="3"/>
  <c r="AM50" i="3"/>
  <c r="AJ13" i="3"/>
  <c r="AI13" i="3"/>
  <c r="AH13" i="3"/>
  <c r="AZ35" i="3"/>
  <c r="AY35" i="3"/>
  <c r="AY69" i="3"/>
  <c r="AZ69" i="3"/>
  <c r="AV14" i="3"/>
  <c r="AW14" i="3"/>
  <c r="AW62" i="3"/>
  <c r="AV62" i="3"/>
  <c r="AS8" i="3"/>
  <c r="AR8" i="3"/>
  <c r="AQ8" i="3"/>
  <c r="AT8" i="3"/>
  <c r="AR24" i="3"/>
  <c r="AQ24" i="3"/>
  <c r="AT24" i="3"/>
  <c r="AS24" i="3"/>
  <c r="AQ55" i="3"/>
  <c r="AT55" i="3"/>
  <c r="AS55" i="3"/>
  <c r="AR55" i="3"/>
  <c r="AQ74" i="3"/>
  <c r="AT74" i="3"/>
  <c r="AS74" i="3"/>
  <c r="AR74" i="3"/>
  <c r="AL12" i="3"/>
  <c r="AM12" i="3"/>
  <c r="AM60" i="3"/>
  <c r="AL60" i="3"/>
  <c r="AM59" i="3"/>
  <c r="AL59" i="3"/>
  <c r="AI6" i="3"/>
  <c r="AI20" i="3"/>
  <c r="AH20" i="3"/>
  <c r="AJ20" i="3"/>
  <c r="AJ35" i="3"/>
  <c r="AI35" i="3"/>
  <c r="AH35" i="3"/>
  <c r="AH69" i="3"/>
  <c r="AJ69" i="3"/>
  <c r="AI69" i="3"/>
  <c r="Y14" i="3"/>
  <c r="AA14" i="3"/>
  <c r="Z14" i="3"/>
  <c r="AB14" i="3"/>
  <c r="Z29" i="3"/>
  <c r="Y29" i="3"/>
  <c r="Z62" i="3"/>
  <c r="Y62" i="3"/>
  <c r="AB62" i="3"/>
  <c r="AA62" i="3"/>
  <c r="R8" i="3"/>
  <c r="S8" i="3"/>
  <c r="R24" i="3"/>
  <c r="S24" i="3"/>
  <c r="R74" i="3"/>
  <c r="S74" i="3"/>
  <c r="AJ25" i="3"/>
  <c r="AI25" i="3"/>
  <c r="AH25" i="3"/>
  <c r="AI56" i="3"/>
  <c r="AH56" i="3"/>
  <c r="AJ56" i="3"/>
  <c r="AI75" i="3"/>
  <c r="AH75" i="3"/>
  <c r="AJ75" i="3"/>
  <c r="AB50" i="3"/>
  <c r="AA50" i="3"/>
  <c r="Z50" i="3"/>
  <c r="Y50" i="3"/>
  <c r="R13" i="3"/>
  <c r="S13" i="3"/>
  <c r="R61" i="3"/>
  <c r="S61" i="3"/>
  <c r="AH33" i="3"/>
  <c r="AJ33" i="3"/>
  <c r="AI33" i="3"/>
  <c r="AJ49" i="3"/>
  <c r="AI49" i="3"/>
  <c r="AH49" i="3"/>
  <c r="AJ67" i="3"/>
  <c r="AI67" i="3"/>
  <c r="AH67" i="3"/>
  <c r="Y12" i="3"/>
  <c r="AA12" i="3"/>
  <c r="AB12" i="3"/>
  <c r="Z12" i="3"/>
  <c r="AB60" i="3"/>
  <c r="Z60" i="3"/>
  <c r="Y60" i="3"/>
  <c r="AA60" i="3"/>
  <c r="Y43" i="3"/>
  <c r="AB43" i="3"/>
  <c r="AA43" i="3"/>
  <c r="Z43" i="3"/>
  <c r="Z59" i="3"/>
  <c r="Y59" i="3"/>
  <c r="AB59" i="3"/>
  <c r="AA59" i="3"/>
  <c r="R22" i="3"/>
  <c r="S22" i="3"/>
  <c r="R37" i="3"/>
  <c r="S37" i="3"/>
  <c r="R53" i="3"/>
  <c r="S53" i="3"/>
  <c r="R71" i="3"/>
  <c r="S71" i="3"/>
  <c r="AI42" i="3"/>
  <c r="AH42" i="3"/>
  <c r="AJ42" i="3"/>
  <c r="AJ58" i="3"/>
  <c r="AI58" i="3"/>
  <c r="AH58" i="3"/>
  <c r="AA5" i="3"/>
  <c r="Z5" i="3"/>
  <c r="Y5" i="3"/>
  <c r="AB5" i="3"/>
  <c r="AB70" i="3"/>
  <c r="AA70" i="3"/>
  <c r="Z70" i="3"/>
  <c r="Y70" i="3"/>
  <c r="R15" i="3"/>
  <c r="S15" i="3"/>
  <c r="R46" i="3"/>
  <c r="S46" i="3"/>
  <c r="R64" i="3"/>
  <c r="S64" i="3"/>
  <c r="I19" i="3"/>
  <c r="E19" i="3"/>
  <c r="D19" i="3"/>
  <c r="I34" i="3"/>
  <c r="H34" i="3"/>
  <c r="D34" i="3"/>
  <c r="G34" i="3"/>
  <c r="C34" i="3"/>
  <c r="I12" i="3"/>
  <c r="E12" i="3"/>
  <c r="H12" i="3"/>
  <c r="D12" i="3"/>
  <c r="C12" i="3"/>
  <c r="I59" i="3"/>
  <c r="D9" i="3"/>
  <c r="I9" i="3"/>
  <c r="G25" i="3"/>
  <c r="C25" i="3"/>
  <c r="F25" i="3"/>
  <c r="I25" i="3"/>
  <c r="E25" i="3"/>
  <c r="E40" i="3"/>
  <c r="I40" i="3"/>
  <c r="H56" i="3"/>
  <c r="D56" i="3"/>
  <c r="F56" i="3"/>
  <c r="I56" i="3"/>
  <c r="G56" i="3"/>
  <c r="E56" i="3"/>
  <c r="C56" i="3"/>
  <c r="I75" i="3"/>
  <c r="E75" i="3"/>
  <c r="C75" i="3"/>
  <c r="D14" i="3"/>
  <c r="I14" i="3"/>
  <c r="I29" i="3"/>
  <c r="E62" i="3"/>
  <c r="H62" i="3"/>
  <c r="D62" i="3"/>
  <c r="G62" i="3"/>
  <c r="C62" i="3"/>
  <c r="F62" i="3"/>
  <c r="Y4" i="3"/>
  <c r="T12" i="3"/>
  <c r="W12" i="3"/>
  <c r="Q12" i="3"/>
  <c r="V12" i="3"/>
  <c r="U12" i="3"/>
  <c r="T60" i="3"/>
  <c r="W60" i="3"/>
  <c r="T43" i="3"/>
  <c r="W43" i="3"/>
  <c r="Q43" i="3"/>
  <c r="T59" i="3"/>
  <c r="W59" i="3"/>
  <c r="N22" i="3"/>
  <c r="O22" i="3"/>
  <c r="O53" i="3"/>
  <c r="N53" i="3"/>
  <c r="K24" i="3"/>
  <c r="L24" i="3"/>
  <c r="L39" i="3"/>
  <c r="K39" i="3"/>
  <c r="L74" i="3"/>
  <c r="T17" i="3"/>
  <c r="V17" i="3"/>
  <c r="U17" i="3"/>
  <c r="W17" i="3"/>
  <c r="Q17" i="3"/>
  <c r="W32" i="3"/>
  <c r="T66" i="3"/>
  <c r="W66" i="3"/>
  <c r="V66" i="3"/>
  <c r="Q66" i="3"/>
  <c r="U66" i="3"/>
  <c r="O23" i="3"/>
  <c r="N23" i="3"/>
  <c r="O38" i="3"/>
  <c r="N38" i="3"/>
  <c r="O54" i="3"/>
  <c r="N54" i="3"/>
  <c r="L28" i="3"/>
  <c r="K28" i="3"/>
  <c r="K44" i="3"/>
  <c r="L44" i="3"/>
  <c r="L61" i="3"/>
  <c r="K61" i="3"/>
  <c r="T10" i="3"/>
  <c r="V10" i="3"/>
  <c r="U10" i="3"/>
  <c r="W10" i="3"/>
  <c r="Q10" i="3"/>
  <c r="W26" i="3"/>
  <c r="Q26" i="3"/>
  <c r="T26" i="3"/>
  <c r="T41" i="3"/>
  <c r="W41" i="3"/>
  <c r="V41" i="3"/>
  <c r="Q41" i="3"/>
  <c r="U41" i="3"/>
  <c r="V76" i="3"/>
  <c r="Q76" i="3"/>
  <c r="U76" i="3"/>
  <c r="T76" i="3"/>
  <c r="W76" i="3"/>
  <c r="O47" i="3"/>
  <c r="N47" i="3"/>
  <c r="K22" i="3"/>
  <c r="L22" i="3"/>
  <c r="L37" i="3"/>
  <c r="K37" i="3"/>
  <c r="K53" i="3"/>
  <c r="L53" i="3"/>
  <c r="L71" i="3"/>
  <c r="K71" i="3"/>
  <c r="T34" i="3"/>
  <c r="W34" i="3"/>
  <c r="V34" i="3"/>
  <c r="U34" i="3"/>
  <c r="Q34" i="3"/>
  <c r="V50" i="3"/>
  <c r="Q50" i="3"/>
  <c r="T50" i="3"/>
  <c r="W50" i="3"/>
  <c r="O28" i="3"/>
  <c r="N28" i="3"/>
  <c r="O61" i="3"/>
  <c r="N61" i="3"/>
  <c r="L46" i="3"/>
  <c r="K46" i="3"/>
  <c r="K64" i="3"/>
  <c r="L64" i="3"/>
  <c r="F7" i="3"/>
  <c r="I7" i="3"/>
  <c r="E7" i="3"/>
  <c r="H7" i="3"/>
  <c r="D7" i="3"/>
  <c r="G7" i="3"/>
  <c r="C7" i="3"/>
  <c r="F23" i="3"/>
  <c r="I23" i="3"/>
  <c r="E23" i="3"/>
  <c r="H23" i="3"/>
  <c r="D23" i="3"/>
  <c r="G23" i="3"/>
  <c r="C23" i="3"/>
  <c r="F38" i="3"/>
  <c r="I38" i="3"/>
  <c r="E38" i="3"/>
  <c r="H38" i="3"/>
  <c r="D38" i="3"/>
  <c r="C38" i="3"/>
  <c r="F54" i="3"/>
  <c r="H54" i="3"/>
  <c r="D54" i="3"/>
  <c r="E54" i="3"/>
  <c r="C54" i="3"/>
  <c r="I54" i="3"/>
  <c r="G54" i="3"/>
  <c r="G72" i="3"/>
  <c r="C72" i="3"/>
  <c r="F72" i="3"/>
  <c r="I72" i="3"/>
  <c r="E72" i="3"/>
  <c r="H72" i="3"/>
  <c r="D72" i="3"/>
  <c r="I16" i="3"/>
  <c r="E16" i="3"/>
  <c r="C16" i="3"/>
  <c r="F16" i="3"/>
  <c r="N16" i="3"/>
  <c r="C31" i="3"/>
  <c r="F31" i="3"/>
  <c r="E31" i="3"/>
  <c r="D31" i="3"/>
  <c r="E47" i="3"/>
  <c r="H65" i="3"/>
  <c r="D65" i="3"/>
  <c r="G65" i="3"/>
  <c r="C65" i="3"/>
  <c r="F65" i="3"/>
  <c r="I65" i="3"/>
  <c r="E65" i="3"/>
  <c r="I13" i="3"/>
  <c r="E13" i="3"/>
  <c r="H13" i="3"/>
  <c r="D13" i="3"/>
  <c r="G13" i="3"/>
  <c r="C13" i="3"/>
  <c r="F13" i="3"/>
  <c r="H28" i="3"/>
  <c r="D28" i="3"/>
  <c r="G28" i="3"/>
  <c r="C28" i="3"/>
  <c r="F28" i="3"/>
  <c r="I28" i="3"/>
  <c r="E28" i="3"/>
  <c r="D44" i="3"/>
  <c r="I44" i="3"/>
  <c r="E44" i="3"/>
  <c r="H61" i="3"/>
  <c r="D61" i="3"/>
  <c r="G61" i="3"/>
  <c r="C61" i="3"/>
  <c r="F61" i="3"/>
  <c r="E61" i="3"/>
  <c r="I61" i="3"/>
  <c r="W4" i="3"/>
  <c r="V4" i="3"/>
  <c r="Q4" i="3"/>
  <c r="U4" i="3"/>
  <c r="T4" i="3"/>
  <c r="C18" i="3"/>
  <c r="D18" i="3"/>
  <c r="E18" i="3"/>
  <c r="I33" i="3"/>
  <c r="E33" i="3"/>
  <c r="H33" i="3"/>
  <c r="D33" i="3"/>
  <c r="G33" i="3"/>
  <c r="C33" i="3"/>
  <c r="F33" i="3"/>
  <c r="F49" i="3"/>
  <c r="G49" i="3"/>
  <c r="E49" i="3"/>
  <c r="I49" i="3"/>
  <c r="C49" i="3"/>
  <c r="F67" i="3"/>
  <c r="I67" i="3"/>
  <c r="H67" i="3"/>
  <c r="D67" i="3"/>
  <c r="G67" i="3"/>
  <c r="C67" i="3"/>
  <c r="V16" i="3"/>
  <c r="Q16" i="3"/>
  <c r="W16" i="3"/>
  <c r="U16" i="3"/>
  <c r="T16" i="3"/>
  <c r="V31" i="3"/>
  <c r="Q31" i="3"/>
  <c r="U31" i="3"/>
  <c r="W31" i="3"/>
  <c r="T31" i="3"/>
  <c r="V65" i="3"/>
  <c r="Q65" i="3"/>
  <c r="U65" i="3"/>
  <c r="T65" i="3"/>
  <c r="W65" i="3"/>
  <c r="O41" i="3"/>
  <c r="N41" i="3"/>
  <c r="T5" i="3"/>
  <c r="W5" i="3"/>
  <c r="Q5" i="3"/>
  <c r="T21" i="3"/>
  <c r="W21" i="3"/>
  <c r="T36" i="3"/>
  <c r="W36" i="3"/>
  <c r="Q36" i="3"/>
  <c r="V36" i="3"/>
  <c r="W52" i="3"/>
  <c r="Q52" i="3"/>
  <c r="T52" i="3"/>
  <c r="T70" i="3"/>
  <c r="W70" i="3"/>
  <c r="V70" i="3"/>
  <c r="Q70" i="3"/>
  <c r="U70" i="3"/>
  <c r="L66" i="3"/>
  <c r="K66" i="3"/>
  <c r="W14" i="3"/>
  <c r="V14" i="3"/>
  <c r="Q14" i="3"/>
  <c r="T14" i="3"/>
  <c r="Q29" i="3"/>
  <c r="W29" i="3"/>
  <c r="T45" i="3"/>
  <c r="W45" i="3"/>
  <c r="Q45" i="3"/>
  <c r="U45" i="3"/>
  <c r="V62" i="3"/>
  <c r="Q62" i="3"/>
  <c r="U62" i="3"/>
  <c r="T62" i="3"/>
  <c r="W62" i="3"/>
  <c r="O35" i="3"/>
  <c r="N35" i="3"/>
  <c r="L41" i="3"/>
  <c r="K41" i="3"/>
  <c r="K57" i="3"/>
  <c r="L57" i="3"/>
  <c r="L76" i="3"/>
  <c r="K76" i="3"/>
  <c r="U7" i="3"/>
  <c r="T7" i="3"/>
  <c r="W7" i="3"/>
  <c r="V7" i="3"/>
  <c r="Q7" i="3"/>
  <c r="T23" i="3"/>
  <c r="V23" i="3"/>
  <c r="U23" i="3"/>
  <c r="Q23" i="3"/>
  <c r="U38" i="3"/>
  <c r="T38" i="3"/>
  <c r="W38" i="3"/>
  <c r="Q38" i="3"/>
  <c r="T54" i="3"/>
  <c r="W54" i="3"/>
  <c r="Q54" i="3"/>
  <c r="V54" i="3"/>
  <c r="U54" i="3"/>
  <c r="T72" i="3"/>
  <c r="W72" i="3"/>
  <c r="V72" i="3"/>
  <c r="Q72" i="3"/>
  <c r="U72" i="3"/>
  <c r="I27" i="3"/>
  <c r="E27" i="3"/>
  <c r="D27" i="3"/>
  <c r="C27" i="3"/>
  <c r="H42" i="3"/>
  <c r="D42" i="3"/>
  <c r="I42" i="3"/>
  <c r="G42" i="3"/>
  <c r="I58" i="3"/>
  <c r="AH4" i="3"/>
  <c r="I4" i="3"/>
  <c r="E4" i="3"/>
  <c r="D4" i="3"/>
  <c r="G4" i="3"/>
  <c r="C4" i="3"/>
  <c r="F4" i="3"/>
  <c r="H4" i="3"/>
  <c r="D20" i="3"/>
  <c r="G35" i="3"/>
  <c r="C35" i="3"/>
  <c r="F35" i="3"/>
  <c r="I35" i="3"/>
  <c r="E35" i="3"/>
  <c r="H35" i="3"/>
  <c r="D35" i="3"/>
  <c r="D51" i="3"/>
  <c r="I51" i="3"/>
  <c r="E51" i="3"/>
  <c r="H69" i="3"/>
  <c r="D69" i="3"/>
  <c r="G69" i="3"/>
  <c r="C69" i="3"/>
  <c r="F69" i="3"/>
  <c r="I69" i="3"/>
  <c r="E69" i="3"/>
  <c r="H17" i="3"/>
  <c r="D17" i="3"/>
  <c r="G17" i="3"/>
  <c r="C17" i="3"/>
  <c r="I17" i="3"/>
  <c r="E17" i="3"/>
  <c r="F17" i="3"/>
  <c r="I66" i="3"/>
  <c r="H66" i="3"/>
  <c r="D66" i="3"/>
  <c r="G66" i="3"/>
  <c r="C66" i="3"/>
  <c r="F66" i="3"/>
  <c r="C6" i="3"/>
  <c r="I6" i="3"/>
  <c r="E6" i="3"/>
  <c r="I22" i="3"/>
  <c r="D22" i="3"/>
  <c r="H22" i="3"/>
  <c r="C22" i="3"/>
  <c r="G22" i="3"/>
  <c r="E22" i="3"/>
  <c r="I37" i="3"/>
  <c r="E37" i="3"/>
  <c r="H37" i="3"/>
  <c r="D37" i="3"/>
  <c r="G37" i="3"/>
  <c r="C37" i="3"/>
  <c r="F37" i="3"/>
  <c r="I53" i="3"/>
  <c r="E53" i="3"/>
  <c r="G53" i="3"/>
  <c r="C53" i="3"/>
  <c r="D53" i="3"/>
  <c r="H53" i="3"/>
  <c r="F53" i="3"/>
  <c r="F71" i="3"/>
  <c r="I71" i="3"/>
  <c r="E71" i="3"/>
  <c r="H71" i="3"/>
  <c r="D71" i="3"/>
  <c r="G71" i="3"/>
  <c r="C71" i="3"/>
  <c r="V20" i="3"/>
  <c r="Q20" i="3"/>
  <c r="T20" i="3"/>
  <c r="W20" i="3"/>
  <c r="V35" i="3"/>
  <c r="Q35" i="3"/>
  <c r="U35" i="3"/>
  <c r="W35" i="3"/>
  <c r="T35" i="3"/>
  <c r="V69" i="3"/>
  <c r="Q69" i="3"/>
  <c r="U69" i="3"/>
  <c r="T69" i="3"/>
  <c r="W69" i="3"/>
  <c r="O62" i="3"/>
  <c r="N62" i="3"/>
  <c r="L65" i="3"/>
  <c r="K65" i="3"/>
  <c r="V9" i="3"/>
  <c r="Q9" i="3"/>
  <c r="W9" i="3"/>
  <c r="T9" i="3"/>
  <c r="U25" i="3"/>
  <c r="T25" i="3"/>
  <c r="V25" i="3"/>
  <c r="Q25" i="3"/>
  <c r="W25" i="3"/>
  <c r="U40" i="3"/>
  <c r="T40" i="3"/>
  <c r="W40" i="3"/>
  <c r="T56" i="3"/>
  <c r="W56" i="3"/>
  <c r="V56" i="3"/>
  <c r="Q56" i="3"/>
  <c r="U56" i="3"/>
  <c r="W75" i="3"/>
  <c r="Q75" i="3"/>
  <c r="O46" i="3"/>
  <c r="N46" i="3"/>
  <c r="K36" i="3"/>
  <c r="L36" i="3"/>
  <c r="L70" i="3"/>
  <c r="K70" i="3"/>
  <c r="V33" i="3"/>
  <c r="Q33" i="3"/>
  <c r="U33" i="3"/>
  <c r="T33" i="3"/>
  <c r="W33" i="3"/>
  <c r="T49" i="3"/>
  <c r="W49" i="3"/>
  <c r="V49" i="3"/>
  <c r="Q49" i="3"/>
  <c r="U49" i="3"/>
  <c r="V67" i="3"/>
  <c r="Q67" i="3"/>
  <c r="U67" i="3"/>
  <c r="T67" i="3"/>
  <c r="W67" i="3"/>
  <c r="N24" i="3"/>
  <c r="O24" i="3"/>
  <c r="K62" i="3"/>
  <c r="L62" i="3"/>
  <c r="Q11" i="3"/>
  <c r="T11" i="3"/>
  <c r="W11" i="3"/>
  <c r="W27" i="3"/>
  <c r="V42" i="3"/>
  <c r="Q42" i="3"/>
  <c r="U42" i="3"/>
  <c r="T42" i="3"/>
  <c r="W42" i="3"/>
  <c r="L23" i="3"/>
  <c r="K23" i="3"/>
  <c r="K38" i="3"/>
  <c r="L38" i="3"/>
  <c r="L54" i="3"/>
  <c r="K54" i="3"/>
  <c r="K72" i="3"/>
  <c r="L72" i="3"/>
  <c r="I15" i="3"/>
  <c r="E15" i="3"/>
  <c r="H15" i="3"/>
  <c r="D15" i="3"/>
  <c r="C15" i="3"/>
  <c r="G15" i="3"/>
  <c r="F15" i="3"/>
  <c r="I30" i="3"/>
  <c r="E30" i="3"/>
  <c r="D30" i="3"/>
  <c r="C30" i="3"/>
  <c r="H46" i="3"/>
  <c r="D46" i="3"/>
  <c r="F46" i="3"/>
  <c r="G46" i="3"/>
  <c r="E46" i="3"/>
  <c r="C46" i="3"/>
  <c r="I46" i="3"/>
  <c r="G64" i="3"/>
  <c r="C64" i="3"/>
  <c r="F64" i="3"/>
  <c r="I64" i="3"/>
  <c r="E64" i="3"/>
  <c r="H64" i="3"/>
  <c r="D64" i="3"/>
  <c r="I8" i="3"/>
  <c r="E8" i="3"/>
  <c r="H8" i="3"/>
  <c r="D8" i="3"/>
  <c r="G8" i="3"/>
  <c r="C8" i="3"/>
  <c r="F8" i="3"/>
  <c r="G24" i="3"/>
  <c r="C24" i="3"/>
  <c r="F24" i="3"/>
  <c r="I24" i="3"/>
  <c r="E24" i="3"/>
  <c r="H24" i="3"/>
  <c r="D24" i="3"/>
  <c r="H74" i="3"/>
  <c r="D74" i="3"/>
  <c r="G74" i="3"/>
  <c r="C74" i="3"/>
  <c r="F74" i="3"/>
  <c r="I74" i="3"/>
  <c r="E74" i="3"/>
  <c r="D5" i="3"/>
  <c r="C5" i="3"/>
  <c r="L5" i="3"/>
  <c r="I5" i="3"/>
  <c r="E5" i="3"/>
  <c r="I70" i="3"/>
  <c r="E70" i="3"/>
  <c r="H70" i="3"/>
  <c r="D70" i="3"/>
  <c r="G70" i="3"/>
  <c r="C70" i="3"/>
  <c r="F70" i="3"/>
  <c r="G10" i="3"/>
  <c r="C10" i="3"/>
  <c r="F10" i="3"/>
  <c r="I10" i="3"/>
  <c r="E10" i="3"/>
  <c r="H10" i="3"/>
  <c r="D10" i="3"/>
  <c r="G41" i="3"/>
  <c r="C41" i="3"/>
  <c r="I41" i="3"/>
  <c r="E41" i="3"/>
  <c r="F41" i="3"/>
  <c r="D41" i="3"/>
  <c r="H41" i="3"/>
  <c r="I57" i="3"/>
  <c r="F76" i="3"/>
  <c r="I76" i="3"/>
  <c r="E76" i="3"/>
  <c r="H76" i="3"/>
  <c r="D76" i="3"/>
  <c r="G76" i="3"/>
  <c r="C76" i="3"/>
  <c r="W8" i="3"/>
  <c r="V8" i="3"/>
  <c r="Q8" i="3"/>
  <c r="U8" i="3"/>
  <c r="T8" i="3"/>
  <c r="W24" i="3"/>
  <c r="V24" i="3"/>
  <c r="Q24" i="3"/>
  <c r="T24" i="3"/>
  <c r="U24" i="3"/>
  <c r="W39" i="3"/>
  <c r="V39" i="3"/>
  <c r="Q39" i="3"/>
  <c r="T39" i="3"/>
  <c r="V74" i="3"/>
  <c r="Q74" i="3"/>
  <c r="U74" i="3"/>
  <c r="T74" i="3"/>
  <c r="W74" i="3"/>
  <c r="O33" i="3"/>
  <c r="N33" i="3"/>
  <c r="O49" i="3"/>
  <c r="N49" i="3"/>
  <c r="L35" i="3"/>
  <c r="K35" i="3"/>
  <c r="L69" i="3"/>
  <c r="K69" i="3"/>
  <c r="W13" i="3"/>
  <c r="Q13" i="3"/>
  <c r="V13" i="3"/>
  <c r="U13" i="3"/>
  <c r="W28" i="3"/>
  <c r="V28" i="3"/>
  <c r="U28" i="3"/>
  <c r="T61" i="3"/>
  <c r="W61" i="3"/>
  <c r="V61" i="3"/>
  <c r="Q61" i="3"/>
  <c r="U61" i="3"/>
  <c r="O34" i="3"/>
  <c r="L25" i="3"/>
  <c r="K25" i="3"/>
  <c r="K40" i="3"/>
  <c r="L40" i="3"/>
  <c r="L56" i="3"/>
  <c r="K56" i="3"/>
  <c r="V22" i="3"/>
  <c r="Q22" i="3"/>
  <c r="U22" i="3"/>
  <c r="W22" i="3"/>
  <c r="T22" i="3"/>
  <c r="W37" i="3"/>
  <c r="V37" i="3"/>
  <c r="Q37" i="3"/>
  <c r="U37" i="3"/>
  <c r="T37" i="3"/>
  <c r="U53" i="3"/>
  <c r="T53" i="3"/>
  <c r="W53" i="3"/>
  <c r="V53" i="3"/>
  <c r="Q53" i="3"/>
  <c r="V71" i="3"/>
  <c r="Q71" i="3"/>
  <c r="U71" i="3"/>
  <c r="T71" i="3"/>
  <c r="W71" i="3"/>
  <c r="L33" i="3"/>
  <c r="K33" i="3"/>
  <c r="K49" i="3"/>
  <c r="L49" i="3"/>
  <c r="L67" i="3"/>
  <c r="K67" i="3"/>
  <c r="W15" i="3"/>
  <c r="V15" i="3"/>
  <c r="T15" i="3"/>
  <c r="Q15" i="3"/>
  <c r="W30" i="3"/>
  <c r="Q30" i="3"/>
  <c r="T30" i="3"/>
  <c r="V46" i="3"/>
  <c r="Q46" i="3"/>
  <c r="U46" i="3"/>
  <c r="T46" i="3"/>
  <c r="W46" i="3"/>
  <c r="T64" i="3"/>
  <c r="W64" i="3"/>
  <c r="V64" i="3"/>
  <c r="Q64" i="3"/>
  <c r="U64" i="3"/>
  <c r="O56" i="3"/>
  <c r="N56" i="3"/>
  <c r="K42" i="3"/>
  <c r="L42" i="3"/>
  <c r="L58" i="3"/>
  <c r="K58" i="3"/>
  <c r="N11" i="3" l="1"/>
  <c r="O11" i="3"/>
  <c r="K14" i="3"/>
  <c r="L14" i="3"/>
  <c r="N75" i="3"/>
  <c r="O75" i="3"/>
  <c r="N14" i="3"/>
  <c r="O14" i="3"/>
  <c r="N9" i="3"/>
  <c r="O9" i="3"/>
  <c r="K11" i="3"/>
  <c r="L11" i="3"/>
  <c r="O10" i="3"/>
  <c r="N10" i="3"/>
  <c r="K5" i="3"/>
  <c r="O70" i="3"/>
  <c r="N70" i="3"/>
  <c r="O66" i="3"/>
  <c r="N66" i="3"/>
  <c r="L7" i="3"/>
  <c r="K7" i="3"/>
  <c r="O74" i="3"/>
  <c r="N74" i="3"/>
  <c r="L9" i="3"/>
  <c r="K9" i="3"/>
  <c r="O69" i="3"/>
  <c r="N69" i="3"/>
  <c r="K10" i="3"/>
  <c r="L10" i="3"/>
  <c r="O15" i="3"/>
  <c r="N15" i="3"/>
  <c r="O65" i="3"/>
  <c r="N65" i="3"/>
  <c r="L17" i="3"/>
  <c r="K17" i="3"/>
  <c r="O76" i="3"/>
  <c r="N76" i="3"/>
  <c r="O13" i="3"/>
  <c r="N13" i="3"/>
  <c r="K16" i="3"/>
  <c r="L16" i="3"/>
  <c r="O67" i="3"/>
  <c r="N67" i="3"/>
  <c r="O8" i="3"/>
  <c r="N8" i="3"/>
  <c r="O4" i="3"/>
  <c r="N4" i="3"/>
  <c r="L13" i="3"/>
  <c r="K13" i="3"/>
  <c r="O64" i="3"/>
  <c r="N64" i="3"/>
  <c r="O71" i="3"/>
  <c r="N71" i="3"/>
  <c r="O12" i="3"/>
  <c r="N12" i="3"/>
  <c r="K8" i="3"/>
  <c r="L8" i="3"/>
  <c r="L15" i="3"/>
  <c r="K15" i="3"/>
  <c r="O72" i="3"/>
  <c r="N72" i="3"/>
  <c r="O17" i="3"/>
  <c r="N17" i="3"/>
  <c r="K4" i="3"/>
  <c r="L4" i="3"/>
  <c r="K12" i="3"/>
  <c r="L12" i="3"/>
  <c r="BJ2" i="3" l="1"/>
  <c r="BI2" i="3"/>
  <c r="BK3" i="3" l="1"/>
  <c r="BI3" i="3"/>
</calcChain>
</file>

<file path=xl/comments1.xml><?xml version="1.0" encoding="utf-8"?>
<comments xmlns="http://schemas.openxmlformats.org/spreadsheetml/2006/main">
  <authors>
    <author>Eric Nussbaum</author>
    <author>R.E.D. Modpack</author>
    <author>Nutty</author>
  </authors>
  <commentList>
    <comment ref="D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D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V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Q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Archer_England</t>
        </r>
      </text>
    </comment>
    <comment ref="F6" authorId="1" shapeId="0">
      <text>
        <r>
          <rPr>
            <sz val="9"/>
            <color indexed="81"/>
            <rFont val="Tahoma"/>
            <family val="2"/>
          </rPr>
          <t>Archer_England</t>
        </r>
      </text>
    </comment>
    <comment ref="G6" authorId="1" shapeId="0">
      <text>
        <r>
          <rPr>
            <sz val="9"/>
            <color indexed="81"/>
            <rFont val="Tahoma"/>
            <family val="2"/>
          </rPr>
          <t>Archer_France</t>
        </r>
      </text>
    </comment>
    <comment ref="H6" authorId="1" shapeId="0">
      <text>
        <r>
          <rPr>
            <sz val="9"/>
            <color indexed="81"/>
            <rFont val="Tahoma"/>
            <family val="2"/>
          </rPr>
          <t>Archer_German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civ5netar1 </t>
        </r>
        <r>
          <rPr>
            <sz val="9"/>
            <color indexed="81"/>
            <rFont val="Tahoma"/>
            <family val="2"/>
          </rPr>
          <t>(model used for Composite Bowman in R.E.D.)</t>
        </r>
      </text>
    </comment>
    <comment ref="J6" authorId="1" shapeId="0">
      <text>
        <r>
          <rPr>
            <sz val="9"/>
            <color indexed="81"/>
            <rFont val="Tahoma"/>
            <family val="2"/>
          </rPr>
          <t>Archer_Viking</t>
        </r>
      </text>
    </comment>
    <comment ref="M6" authorId="1" shapeId="0">
      <text>
        <r>
          <rPr>
            <sz val="9"/>
            <color indexed="81"/>
            <rFont val="Tahoma"/>
            <family val="2"/>
          </rPr>
          <t>Archer_Russia</t>
        </r>
      </text>
    </comment>
    <comment ref="P6" authorId="1" shapeId="0">
      <text>
        <r>
          <rPr>
            <sz val="9"/>
            <color indexed="81"/>
            <rFont val="Tahoma"/>
            <family val="2"/>
          </rPr>
          <t>Archer_Spain</t>
        </r>
      </text>
    </comment>
    <comment ref="S6" authorId="1" shapeId="0">
      <text>
        <r>
          <rPr>
            <sz val="9"/>
            <color indexed="81"/>
            <rFont val="Tahoma"/>
            <family val="2"/>
          </rPr>
          <t>Archer_Greece</t>
        </r>
      </text>
    </comment>
    <comment ref="U6" authorId="1" shapeId="0">
      <text>
        <r>
          <rPr>
            <sz val="9"/>
            <color indexed="81"/>
            <rFont val="Tahoma"/>
            <family val="2"/>
          </rPr>
          <t>Archer_Rome</t>
        </r>
      </text>
    </comment>
    <comment ref="X6" authorId="1" shapeId="0">
      <text>
        <r>
          <rPr>
            <sz val="9"/>
            <color indexed="81"/>
            <rFont val="Tahoma"/>
            <family val="2"/>
          </rPr>
          <t>Archer_Babylon</t>
        </r>
      </text>
    </comment>
    <comment ref="Y6" authorId="1" shapeId="0">
      <text>
        <r>
          <rPr>
            <sz val="9"/>
            <color indexed="81"/>
            <rFont val="Tahoma"/>
            <family val="2"/>
          </rPr>
          <t>Archer_Arabia</t>
        </r>
      </text>
    </comment>
    <comment ref="AA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Bowman</t>
        </r>
      </text>
    </comment>
    <comment ref="AB6" authorId="1" shapeId="0">
      <text>
        <r>
          <rPr>
            <sz val="9"/>
            <color indexed="81"/>
            <rFont val="Tahoma"/>
            <family val="2"/>
          </rPr>
          <t>Archer_Egypt</t>
        </r>
      </text>
    </comment>
    <comment ref="AC6" authorId="1" shapeId="0">
      <text>
        <r>
          <rPr>
            <sz val="9"/>
            <color indexed="81"/>
            <rFont val="Tahoma"/>
            <family val="2"/>
          </rPr>
          <t>Archer_Persia</t>
        </r>
      </text>
    </comment>
    <comment ref="AG6" authorId="1" shapeId="0">
      <text>
        <r>
          <rPr>
            <sz val="9"/>
            <color indexed="81"/>
            <rFont val="Tahoma"/>
            <family val="2"/>
          </rPr>
          <t>EthiopiaArcher2</t>
        </r>
      </text>
    </comment>
    <comment ref="AH6" authorId="1" shapeId="0">
      <text>
        <r>
          <rPr>
            <sz val="9"/>
            <color indexed="81"/>
            <rFont val="Tahoma"/>
            <family val="2"/>
          </rPr>
          <t>EthiopiaArcher</t>
        </r>
      </text>
    </comment>
    <comment ref="AI6" authorId="1" shapeId="0">
      <text>
        <r>
          <rPr>
            <sz val="9"/>
            <color indexed="81"/>
            <rFont val="Tahoma"/>
            <family val="2"/>
          </rPr>
          <t>SonghaiArcher</t>
        </r>
      </text>
    </comment>
    <comment ref="AK6" authorId="1" shapeId="0">
      <text>
        <r>
          <rPr>
            <sz val="9"/>
            <color indexed="81"/>
            <rFont val="Tahoma"/>
            <family val="2"/>
          </rPr>
          <t>Archer_Turkey</t>
        </r>
      </text>
    </comment>
    <comment ref="AO6" authorId="1" shapeId="0">
      <text>
        <r>
          <rPr>
            <sz val="9"/>
            <color indexed="81"/>
            <rFont val="Tahoma"/>
            <family val="2"/>
          </rPr>
          <t>Archer_India</t>
        </r>
      </text>
    </comment>
    <comment ref="AP6" authorId="1" shapeId="0">
      <text>
        <r>
          <rPr>
            <sz val="9"/>
            <color indexed="81"/>
            <rFont val="Tahoma"/>
            <family val="2"/>
          </rPr>
          <t>Archer_Korea</t>
        </r>
      </text>
    </comment>
    <comment ref="AQ6" authorId="1" shapeId="0">
      <text>
        <r>
          <rPr>
            <sz val="9"/>
            <color indexed="81"/>
            <rFont val="Tahoma"/>
            <family val="2"/>
          </rPr>
          <t>Archer_China</t>
        </r>
      </text>
    </comment>
    <comment ref="AR6" authorId="1" shapeId="0">
      <text>
        <r>
          <rPr>
            <sz val="9"/>
            <color indexed="81"/>
            <rFont val="Tahoma"/>
            <family val="2"/>
          </rPr>
          <t>Archer_Japan</t>
        </r>
      </text>
    </comment>
    <comment ref="AS6" authorId="1" shapeId="0">
      <text>
        <r>
          <rPr>
            <sz val="9"/>
            <color indexed="81"/>
            <rFont val="Tahoma"/>
            <family val="2"/>
          </rPr>
          <t>Composite_Bowman_Korea</t>
        </r>
      </text>
    </comment>
    <comment ref="AT6" authorId="1" shapeId="0">
      <text>
        <r>
          <rPr>
            <sz val="9"/>
            <color indexed="81"/>
            <rFont val="Tahoma"/>
            <family val="2"/>
          </rPr>
          <t>Archer_Mongol</t>
        </r>
      </text>
    </comment>
    <comment ref="AX6" authorId="1" shapeId="0">
      <text>
        <r>
          <rPr>
            <sz val="9"/>
            <color indexed="81"/>
            <rFont val="Tahoma"/>
            <family val="2"/>
          </rPr>
          <t>civ5_iroar1</t>
        </r>
      </text>
    </comment>
    <comment ref="BA6" authorId="1" shapeId="0">
      <text>
        <r>
          <rPr>
            <sz val="9"/>
            <color indexed="81"/>
            <rFont val="Tahoma"/>
            <family val="2"/>
          </rPr>
          <t>chimu_archer</t>
        </r>
      </text>
    </comment>
    <comment ref="BB6" authorId="1" shapeId="0">
      <text>
        <r>
          <rPr>
            <sz val="9"/>
            <color indexed="81"/>
            <rFont val="Tahoma"/>
            <family val="2"/>
          </rPr>
          <t>Archer_Aztec</t>
        </r>
      </text>
    </comment>
    <comment ref="BC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BD6" authorId="2" shapeId="0">
      <text>
        <r>
          <rPr>
            <sz val="9"/>
            <color indexed="81"/>
            <rFont val="Tahoma"/>
            <family val="2"/>
          </rPr>
          <t>unique Atlatlist</t>
        </r>
      </text>
    </comment>
    <comment ref="G7" authorId="1" shapeId="0">
      <text>
        <r>
          <rPr>
            <sz val="9"/>
            <color indexed="81"/>
            <rFont val="Tahoma"/>
            <family val="2"/>
          </rPr>
          <t>French155mm</t>
        </r>
      </text>
    </comment>
    <comment ref="M7" authorId="1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O7" authorId="1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C9" authorId="1" shapeId="0">
      <text>
        <r>
          <rPr>
            <sz val="9"/>
            <color indexed="81"/>
            <rFont val="Tahoma"/>
            <family val="2"/>
          </rPr>
          <t>Iowa_Class</t>
        </r>
      </text>
    </comment>
    <comment ref="F9" authorId="1" shapeId="0">
      <text>
        <r>
          <rPr>
            <sz val="9"/>
            <color indexed="81"/>
            <rFont val="Tahoma"/>
            <family val="2"/>
          </rPr>
          <t>King_George_V_Class</t>
        </r>
      </text>
    </comment>
    <comment ref="G9" authorId="1" shapeId="0">
      <text>
        <r>
          <rPr>
            <sz val="9"/>
            <color indexed="81"/>
            <rFont val="Tahoma"/>
            <family val="2"/>
          </rPr>
          <t>Richelieu_Class</t>
        </r>
      </text>
    </comment>
    <comment ref="H9" authorId="1" shapeId="0">
      <text>
        <r>
          <rPr>
            <sz val="9"/>
            <color indexed="81"/>
            <rFont val="Tahoma"/>
            <family val="2"/>
          </rPr>
          <t>Bismark_Class</t>
        </r>
      </text>
    </comment>
    <comment ref="M9" authorId="1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Danae_Class</t>
        </r>
        <r>
          <rPr>
            <sz val="9"/>
            <color indexed="81"/>
            <rFont val="Tahoma"/>
            <family val="2"/>
          </rPr>
          <t xml:space="preserve"> (cruiser)</t>
        </r>
      </text>
    </comment>
    <comment ref="O9" authorId="2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U9" authorId="1" shapeId="0">
      <text>
        <r>
          <rPr>
            <sz val="9"/>
            <color indexed="81"/>
            <rFont val="Tahoma"/>
            <family val="2"/>
          </rPr>
          <t>Littorio_Class</t>
        </r>
      </text>
    </comment>
    <comment ref="AR9" authorId="1" shapeId="0">
      <text>
        <r>
          <rPr>
            <sz val="9"/>
            <color indexed="81"/>
            <rFont val="Tahoma"/>
            <family val="2"/>
          </rPr>
          <t>Yamato_Class</t>
        </r>
      </text>
    </comment>
    <comment ref="C11" authorId="1" shapeId="0">
      <text>
        <r>
          <rPr>
            <sz val="9"/>
            <color indexed="81"/>
            <rFont val="Tahoma"/>
            <family val="2"/>
          </rPr>
          <t>B-25_Mitchell</t>
        </r>
      </text>
    </comment>
    <comment ref="D11" authorId="1" shapeId="0">
      <text>
        <r>
          <rPr>
            <sz val="9"/>
            <color indexed="81"/>
            <rFont val="Tahoma"/>
            <family val="2"/>
          </rPr>
          <t>Junkers_Ju-88</t>
        </r>
      </text>
    </comment>
    <comment ref="F11" authorId="1" shapeId="0">
      <text>
        <r>
          <rPr>
            <sz val="9"/>
            <color indexed="81"/>
            <rFont val="Tahoma"/>
            <family val="2"/>
          </rPr>
          <t>Vickers_Wellington</t>
        </r>
      </text>
    </comment>
    <comment ref="G11" authorId="1" shapeId="0">
      <text>
        <r>
          <rPr>
            <sz val="9"/>
            <color indexed="81"/>
            <rFont val="Tahoma"/>
            <family val="2"/>
          </rPr>
          <t>Amiot_350</t>
        </r>
      </text>
    </comment>
    <comment ref="H11" authorId="1" shapeId="0">
      <text>
        <r>
          <rPr>
            <sz val="9"/>
            <color indexed="81"/>
            <rFont val="Tahoma"/>
            <family val="2"/>
          </rPr>
          <t>Heinkel_He-111</t>
        </r>
      </text>
    </comment>
    <comment ref="I11" authorId="1" shapeId="0">
      <text>
        <r>
          <rPr>
            <sz val="9"/>
            <color indexed="81"/>
            <rFont val="Tahoma"/>
            <family val="2"/>
          </rPr>
          <t>Fokker_T.V</t>
        </r>
      </text>
    </comment>
    <comment ref="L11" authorId="1" shapeId="0">
      <text>
        <r>
          <rPr>
            <sz val="9"/>
            <color indexed="81"/>
            <rFont val="Tahoma"/>
            <family val="2"/>
          </rPr>
          <t>SAAB_B18</t>
        </r>
      </text>
    </comment>
    <comment ref="M11" authorId="1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N11" authorId="1" shapeId="0">
      <text>
        <r>
          <rPr>
            <sz val="9"/>
            <color indexed="81"/>
            <rFont val="Tahoma"/>
            <family val="2"/>
          </rPr>
          <t>PZL_P.37_Los</t>
        </r>
      </text>
    </comment>
    <comment ref="O11" authorId="2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S11" authorId="1" shapeId="0">
      <text>
        <r>
          <rPr>
            <sz val="9"/>
            <color indexed="81"/>
            <rFont val="Tahoma"/>
            <family val="2"/>
          </rPr>
          <t>Bomber_Blenheim</t>
        </r>
      </text>
    </comment>
    <comment ref="U11" authorId="1" shapeId="0">
      <text>
        <r>
          <rPr>
            <sz val="9"/>
            <color indexed="81"/>
            <rFont val="Tahoma"/>
            <family val="2"/>
          </rPr>
          <t>SM.79_Sparviero</t>
        </r>
      </text>
    </comment>
    <comment ref="V11" authorId="1" shapeId="0">
      <text>
        <r>
          <rPr>
            <sz val="9"/>
            <color indexed="81"/>
            <rFont val="Tahoma"/>
            <family val="2"/>
          </rPr>
          <t>Heinkel_He-111_Spain</t>
        </r>
      </text>
    </comment>
    <comment ref="AB11" authorId="1" shapeId="0">
      <text>
        <r>
          <rPr>
            <sz val="9"/>
            <color indexed="81"/>
            <rFont val="Tahoma"/>
            <family val="2"/>
          </rPr>
          <t>Bomber_B-24_Egypt</t>
        </r>
      </text>
    </comment>
    <comment ref="AL11" authorId="1" shapeId="0">
      <text>
        <r>
          <rPr>
            <sz val="9"/>
            <color indexed="81"/>
            <rFont val="Tahoma"/>
            <family val="2"/>
          </rPr>
          <t>Junkers_Ju-88_Hungary</t>
        </r>
      </text>
    </comment>
    <comment ref="AP11" authorId="1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AQ11" authorId="1" shapeId="0">
      <text>
        <r>
          <rPr>
            <sz val="9"/>
            <color indexed="81"/>
            <rFont val="Tahoma"/>
            <family val="2"/>
          </rPr>
          <t>B-25_Mitchell_China</t>
        </r>
      </text>
    </comment>
    <comment ref="AR11" authorId="2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F12" authorId="1" shapeId="0">
      <text>
        <r>
          <rPr>
            <sz val="9"/>
            <color indexed="81"/>
            <rFont val="Tahoma"/>
            <family val="2"/>
          </rPr>
          <t>24_Pounder</t>
        </r>
      </text>
    </comment>
    <comment ref="G12" authorId="1" shapeId="0">
      <text>
        <r>
          <rPr>
            <sz val="9"/>
            <color indexed="81"/>
            <rFont val="Tahoma"/>
            <family val="2"/>
          </rPr>
          <t>NapoleonCannon</t>
        </r>
      </text>
    </comment>
    <comment ref="AM12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bombardTurk </t>
        </r>
        <r>
          <rPr>
            <sz val="9"/>
            <color indexed="81"/>
            <rFont val="Tahoma"/>
            <family val="2"/>
          </rPr>
          <t>(bombard, not cannon)</t>
        </r>
      </text>
    </comment>
    <comment ref="T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Nau</t>
        </r>
      </text>
    </comment>
    <comment ref="AS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Turtle Ship</t>
        </r>
      </text>
    </comment>
    <comment ref="C14" authorId="1" shapeId="0">
      <text>
        <r>
          <rPr>
            <sz val="9"/>
            <color indexed="81"/>
            <rFont val="Tahoma"/>
            <family val="2"/>
          </rPr>
          <t>Essex_Class</t>
        </r>
      </text>
    </comment>
    <comment ref="F14" authorId="1" shapeId="0">
      <text>
        <r>
          <rPr>
            <sz val="9"/>
            <color indexed="81"/>
            <rFont val="Tahoma"/>
            <family val="2"/>
          </rPr>
          <t>Illustrious_Class</t>
        </r>
      </text>
    </comment>
    <comment ref="G14" authorId="1" shapeId="0">
      <text>
        <r>
          <rPr>
            <sz val="9"/>
            <color indexed="81"/>
            <rFont val="Tahoma"/>
            <family val="2"/>
          </rPr>
          <t>Joffre_Class</t>
        </r>
      </text>
    </comment>
    <comment ref="H14" authorId="1" shapeId="0">
      <text>
        <r>
          <rPr>
            <sz val="9"/>
            <color indexed="81"/>
            <rFont val="Tahoma"/>
            <family val="2"/>
          </rPr>
          <t>Graf_Zeppelin_Class</t>
        </r>
      </text>
    </comment>
    <comment ref="L14" authorId="1" shapeId="0">
      <text>
        <r>
          <rPr>
            <sz val="9"/>
            <color indexed="81"/>
            <rFont val="Tahoma"/>
            <family val="2"/>
          </rPr>
          <t>Implacable_Class</t>
        </r>
      </text>
    </comment>
    <comment ref="M14" authorId="1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O14" authorId="2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U14" authorId="1" shapeId="0">
      <text>
        <r>
          <rPr>
            <sz val="9"/>
            <color indexed="81"/>
            <rFont val="Tahoma"/>
            <family val="2"/>
          </rPr>
          <t>Aquila_Class</t>
        </r>
      </text>
    </comment>
    <comment ref="AR14" authorId="1" shapeId="0">
      <text>
        <r>
          <rPr>
            <sz val="9"/>
            <color indexed="81"/>
            <rFont val="Tahoma"/>
            <family val="2"/>
          </rPr>
          <t>Shokaku_Class</t>
        </r>
      </text>
    </comment>
    <comment ref="U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Ballista</t>
        </r>
      </text>
    </comment>
    <comment ref="Z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Siege Tower</t>
        </r>
      </text>
    </comment>
    <comment ref="D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Hussar</t>
        </r>
      </text>
    </comment>
    <comment ref="G16" authorId="1" shapeId="0">
      <text>
        <r>
          <rPr>
            <sz val="9"/>
            <color indexed="81"/>
            <rFont val="Tahoma"/>
            <family val="2"/>
          </rPr>
          <t>freca1</t>
        </r>
      </text>
    </comment>
    <comment ref="H16" authorId="1" shapeId="0">
      <text>
        <r>
          <rPr>
            <sz val="9"/>
            <color indexed="81"/>
            <rFont val="Tahoma"/>
            <family val="2"/>
          </rPr>
          <t>gerca1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Cossack</t>
        </r>
      </text>
    </comment>
    <comment ref="X16" authorId="1" shapeId="0">
      <text>
        <r>
          <rPr>
            <sz val="9"/>
            <color indexed="81"/>
            <rFont val="Tahoma"/>
            <family val="2"/>
          </rPr>
          <t>u_dervish_maara_weyn</t>
        </r>
      </text>
    </comment>
    <comment ref="AF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AL16" authorId="1" shapeId="0">
      <text>
        <r>
          <rPr>
            <sz val="9"/>
            <color indexed="81"/>
            <rFont val="Tahoma"/>
            <family val="2"/>
          </rPr>
          <t>hunhu1</t>
        </r>
      </text>
    </comment>
    <comment ref="AZ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Comanche Riders</t>
        </r>
      </text>
    </comment>
    <comment ref="AB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Chariot</t>
        </r>
      </text>
    </comment>
    <comment ref="AG17" authorId="1" shapeId="0">
      <text>
        <r>
          <rPr>
            <sz val="9"/>
            <color indexed="81"/>
            <rFont val="Tahoma"/>
            <family val="2"/>
          </rPr>
          <t>SonghaiChariotArcher</t>
        </r>
      </text>
    </comment>
    <comment ref="AL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O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Elephant</t>
        </r>
      </text>
    </comment>
    <comment ref="AP17" authorId="1" shapeId="0">
      <text>
        <r>
          <rPr>
            <sz val="9"/>
            <color indexed="81"/>
            <rFont val="Tahoma"/>
            <family val="2"/>
          </rPr>
          <t>HorseArcher_Mongol</t>
        </r>
      </text>
    </comment>
    <comment ref="AX17" authorId="1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AY17" authorId="1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BH17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Hand-Axe Barbarian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Composite_Bowman_England</t>
        </r>
      </text>
    </comment>
    <comment ref="D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Composite_Bowman_German</t>
        </r>
      </text>
    </comment>
    <comment ref="F18" authorId="1" shapeId="0">
      <text>
        <r>
          <rPr>
            <sz val="9"/>
            <color indexed="81"/>
            <rFont val="Tahoma"/>
            <family val="2"/>
          </rPr>
          <t>Composite_Bowman_England</t>
        </r>
      </text>
    </comment>
    <comment ref="G18" authorId="1" shapeId="0">
      <text>
        <r>
          <rPr>
            <sz val="9"/>
            <color indexed="81"/>
            <rFont val="Tahoma"/>
            <family val="2"/>
          </rPr>
          <t>Composite_Bowman_France</t>
        </r>
      </text>
    </comment>
    <comment ref="H18" authorId="1" shapeId="0">
      <text>
        <r>
          <rPr>
            <sz val="9"/>
            <color indexed="81"/>
            <rFont val="Tahoma"/>
            <family val="2"/>
          </rPr>
          <t>Composite_Bowman_German</t>
        </r>
      </text>
    </comment>
    <comment ref="I18" authorId="1" shapeId="0">
      <text>
        <r>
          <rPr>
            <sz val="9"/>
            <color indexed="81"/>
            <rFont val="Tahoma"/>
            <family val="2"/>
          </rPr>
          <t>civ5netar1</t>
        </r>
      </text>
    </comment>
    <comment ref="J18" authorId="1" shapeId="0">
      <text>
        <r>
          <rPr>
            <sz val="9"/>
            <color indexed="81"/>
            <rFont val="Tahoma"/>
            <family val="2"/>
          </rPr>
          <t>Composite_Bowman_Viking</t>
        </r>
      </text>
    </comment>
    <comment ref="M18" authorId="1" shapeId="0">
      <text>
        <r>
          <rPr>
            <sz val="9"/>
            <color indexed="81"/>
            <rFont val="Tahoma"/>
            <family val="2"/>
          </rPr>
          <t>Composite_Bowman_Russia</t>
        </r>
      </text>
    </comment>
    <comment ref="P18" authorId="1" shapeId="0">
      <text>
        <r>
          <rPr>
            <sz val="9"/>
            <color indexed="81"/>
            <rFont val="Tahoma"/>
            <family val="2"/>
          </rPr>
          <t>Composite_Bowman_Spain</t>
        </r>
      </text>
    </comment>
    <comment ref="S18" authorId="1" shapeId="0">
      <text>
        <r>
          <rPr>
            <sz val="9"/>
            <color indexed="81"/>
            <rFont val="Tahoma"/>
            <family val="2"/>
          </rPr>
          <t>Composite_Bowman_Greek</t>
        </r>
      </text>
    </comment>
    <comment ref="U18" authorId="1" shapeId="0">
      <text>
        <r>
          <rPr>
            <sz val="9"/>
            <color indexed="81"/>
            <rFont val="Tahoma"/>
            <family val="2"/>
          </rPr>
          <t>Composite_Bowman_Rome</t>
        </r>
      </text>
    </comment>
    <comment ref="X18" authorId="1" shapeId="0">
      <text>
        <r>
          <rPr>
            <sz val="9"/>
            <color indexed="81"/>
            <rFont val="Tahoma"/>
            <family val="2"/>
          </rPr>
          <t>Composite_Bowman_Arabia</t>
        </r>
      </text>
    </comment>
    <comment ref="AA18" authorId="1" shapeId="0">
      <text>
        <r>
          <rPr>
            <sz val="9"/>
            <color indexed="81"/>
            <rFont val="Tahoma"/>
            <family val="2"/>
          </rPr>
          <t>Composite_Bowman_Babylon</t>
        </r>
      </text>
    </comment>
    <comment ref="AB18" authorId="1" shapeId="0">
      <text>
        <r>
          <rPr>
            <sz val="9"/>
            <color indexed="81"/>
            <rFont val="Tahoma"/>
            <family val="2"/>
          </rPr>
          <t>Longbowman_Egypt</t>
        </r>
      </text>
    </comment>
    <comment ref="AC18" authorId="1" shapeId="0">
      <text>
        <r>
          <rPr>
            <sz val="9"/>
            <color indexed="81"/>
            <rFont val="Tahoma"/>
            <family val="2"/>
          </rPr>
          <t>Composite_Bowman_Persia</t>
        </r>
      </text>
    </comment>
    <comment ref="AG18" authorId="1" shapeId="0">
      <text>
        <r>
          <rPr>
            <sz val="9"/>
            <color indexed="81"/>
            <rFont val="Tahoma"/>
            <family val="2"/>
          </rPr>
          <t>EthiopiaCompBow</t>
        </r>
      </text>
    </comment>
    <comment ref="AI18" authorId="1" shapeId="0">
      <text>
        <r>
          <rPr>
            <sz val="9"/>
            <color indexed="81"/>
            <rFont val="Tahoma"/>
            <family val="2"/>
          </rPr>
          <t>SonghaiCompbow</t>
        </r>
      </text>
    </comment>
    <comment ref="AK18" authorId="1" shapeId="0">
      <text>
        <r>
          <rPr>
            <sz val="9"/>
            <color indexed="81"/>
            <rFont val="Tahoma"/>
            <family val="2"/>
          </rPr>
          <t>Composite_Bowman_Turkey</t>
        </r>
      </text>
    </comment>
    <comment ref="AO18" authorId="1" shapeId="0">
      <text>
        <r>
          <rPr>
            <sz val="9"/>
            <color indexed="81"/>
            <rFont val="Tahoma"/>
            <family val="2"/>
          </rPr>
          <t>Composite_Bowman_India</t>
        </r>
      </text>
    </comment>
    <comment ref="AP18" authorId="1" shapeId="0">
      <text>
        <r>
          <rPr>
            <sz val="9"/>
            <color indexed="81"/>
            <rFont val="Tahoma"/>
            <family val="2"/>
          </rPr>
          <t>Composite_Bowman_China</t>
        </r>
      </text>
    </comment>
    <comment ref="AQ18" authorId="1" shapeId="0">
      <text>
        <r>
          <rPr>
            <sz val="9"/>
            <color indexed="81"/>
            <rFont val="Tahoma"/>
            <family val="2"/>
          </rPr>
          <t>Composite_Bowman_China_v2</t>
        </r>
      </text>
    </comment>
    <comment ref="AR18" authorId="1" shapeId="0">
      <text>
        <r>
          <rPr>
            <sz val="9"/>
            <color indexed="81"/>
            <rFont val="Tahoma"/>
            <family val="2"/>
          </rPr>
          <t>Composite_Bowman_Japan</t>
        </r>
      </text>
    </comment>
    <comment ref="AS18" authorId="1" shapeId="0">
      <text>
        <r>
          <rPr>
            <sz val="9"/>
            <color indexed="81"/>
            <rFont val="Tahoma"/>
            <family val="2"/>
          </rPr>
          <t>Longbowman_Korea</t>
        </r>
      </text>
    </comment>
    <comment ref="AT18" authorId="1" shapeId="0">
      <text>
        <r>
          <rPr>
            <sz val="9"/>
            <color indexed="81"/>
            <rFont val="Tahoma"/>
            <family val="2"/>
          </rPr>
          <t>Composite_Bowman_Mongol</t>
        </r>
      </text>
    </comment>
    <comment ref="AX18" authorId="1" shapeId="0">
      <text>
        <r>
          <rPr>
            <sz val="9"/>
            <color indexed="81"/>
            <rFont val="Tahoma"/>
            <family val="2"/>
          </rPr>
          <t>civ5_iroco1</t>
        </r>
      </text>
    </comment>
    <comment ref="BA18" authorId="1" shapeId="0">
      <text>
        <r>
          <rPr>
            <sz val="9"/>
            <color indexed="81"/>
            <rFont val="Tahoma"/>
            <family val="2"/>
          </rPr>
          <t>Composite_Bowman_Aztec</t>
        </r>
      </text>
    </comment>
    <comment ref="BC18" authorId="1" shapeId="0">
      <text>
        <r>
          <rPr>
            <sz val="9"/>
            <color indexed="81"/>
            <rFont val="Tahoma"/>
            <family val="2"/>
          </rPr>
          <t>Composite_Bowman_Inca</t>
        </r>
      </text>
    </comment>
    <comment ref="BD18" authorId="1" shapeId="0">
      <text>
        <r>
          <rPr>
            <sz val="9"/>
            <color indexed="81"/>
            <rFont val="Tahoma"/>
            <family val="2"/>
          </rPr>
          <t>Composite_Bowman_Maya</t>
        </r>
      </text>
    </comment>
    <comment ref="C19" authorId="1" shapeId="0">
      <text>
        <r>
          <rPr>
            <sz val="9"/>
            <color indexed="81"/>
            <rFont val="Tahoma"/>
            <family val="2"/>
          </rPr>
          <t>Longbowman_American</t>
        </r>
      </text>
    </comment>
    <comment ref="D1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Longbowman_Teutonic</t>
        </r>
      </text>
    </comment>
    <comment ref="F19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Longbowman</t>
        </r>
      </text>
    </comment>
    <comment ref="G19" authorId="1" shapeId="0">
      <text>
        <r>
          <rPr>
            <sz val="9"/>
            <color indexed="81"/>
            <rFont val="Tahoma"/>
            <family val="2"/>
          </rPr>
          <t>Longbowman_France</t>
        </r>
      </text>
    </comment>
    <comment ref="H19" authorId="1" shapeId="0">
      <text>
        <r>
          <rPr>
            <sz val="9"/>
            <color indexed="81"/>
            <rFont val="Tahoma"/>
            <family val="2"/>
          </rPr>
          <t>Crossbowman_German</t>
        </r>
      </text>
    </comment>
    <comment ref="J19" authorId="1" shapeId="0">
      <text>
        <r>
          <rPr>
            <sz val="9"/>
            <color indexed="81"/>
            <rFont val="Tahoma"/>
            <family val="2"/>
          </rPr>
          <t>Crossbowman_Viking</t>
        </r>
      </text>
    </comment>
    <comment ref="O19" authorId="1" shapeId="0">
      <text>
        <r>
          <rPr>
            <sz val="9"/>
            <color indexed="81"/>
            <rFont val="Tahoma"/>
            <family val="2"/>
          </rPr>
          <t>Crossbowman_Russia</t>
        </r>
      </text>
    </comment>
    <comment ref="P19" authorId="1" shapeId="0">
      <text>
        <r>
          <rPr>
            <sz val="9"/>
            <color indexed="81"/>
            <rFont val="Tahoma"/>
            <family val="2"/>
          </rPr>
          <t>Crossbowman_Spain</t>
        </r>
      </text>
    </comment>
    <comment ref="S19" authorId="1" shapeId="0">
      <text>
        <r>
          <rPr>
            <sz val="9"/>
            <color indexed="81"/>
            <rFont val="Tahoma"/>
            <family val="2"/>
          </rPr>
          <t>Longbowman_Greece</t>
        </r>
      </text>
    </comment>
    <comment ref="U19" authorId="1" shapeId="0">
      <text>
        <r>
          <rPr>
            <sz val="9"/>
            <color indexed="81"/>
            <rFont val="Tahoma"/>
            <family val="2"/>
          </rPr>
          <t>Crossbowman_Rome</t>
        </r>
      </text>
    </comment>
    <comment ref="X19" authorId="1" shapeId="0">
      <text>
        <r>
          <rPr>
            <sz val="9"/>
            <color indexed="81"/>
            <rFont val="Tahoma"/>
            <family val="2"/>
          </rPr>
          <t>Longbowman_Arabia</t>
        </r>
      </text>
    </comment>
    <comment ref="AA19" authorId="1" shapeId="0">
      <text>
        <r>
          <rPr>
            <sz val="9"/>
            <color indexed="81"/>
            <rFont val="Tahoma"/>
            <family val="2"/>
          </rPr>
          <t>Longbowman_Babylon</t>
        </r>
      </text>
    </comment>
    <comment ref="AB19" authorId="1" shapeId="0">
      <text>
        <r>
          <rPr>
            <sz val="9"/>
            <color indexed="81"/>
            <rFont val="Tahoma"/>
            <family val="2"/>
          </rPr>
          <t>Composite_Bowman_Egypt</t>
        </r>
      </text>
    </comment>
    <comment ref="AC19" authorId="1" shapeId="0">
      <text>
        <r>
          <rPr>
            <sz val="9"/>
            <color indexed="81"/>
            <rFont val="Tahoma"/>
            <family val="2"/>
          </rPr>
          <t>Longbowman_Persia</t>
        </r>
      </text>
    </comment>
    <comment ref="AD19" authorId="1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F19" authorId="1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G19" authorId="1" shapeId="0">
      <text>
        <r>
          <rPr>
            <sz val="9"/>
            <color indexed="81"/>
            <rFont val="Tahoma"/>
            <family val="2"/>
          </rPr>
          <t>EthiopiaCrossbow</t>
        </r>
      </text>
    </comment>
    <comment ref="AI19" authorId="1" shapeId="0">
      <text>
        <r>
          <rPr>
            <sz val="9"/>
            <color indexed="81"/>
            <rFont val="Tahoma"/>
            <family val="2"/>
          </rPr>
          <t>SonghaiLongbowman</t>
        </r>
      </text>
    </comment>
    <comment ref="AK19" authorId="1" shapeId="0">
      <text>
        <r>
          <rPr>
            <sz val="9"/>
            <color indexed="81"/>
            <rFont val="Tahoma"/>
            <family val="2"/>
          </rPr>
          <t>Crossbowman_Turkey</t>
        </r>
      </text>
    </comment>
    <comment ref="AN19" authorId="1" shapeId="0">
      <text>
        <r>
          <rPr>
            <sz val="9"/>
            <color indexed="81"/>
            <rFont val="Tahoma"/>
            <family val="2"/>
          </rPr>
          <t>Longbowman_India</t>
        </r>
      </text>
    </comment>
    <comment ref="AP19" authorId="1" shapeId="0">
      <text>
        <r>
          <rPr>
            <sz val="9"/>
            <color indexed="81"/>
            <rFont val="Tahoma"/>
            <family val="2"/>
          </rPr>
          <t>Crossbowman_China</t>
        </r>
      </text>
    </comment>
    <comment ref="AQ19" authorId="2" shapeId="0">
      <text>
        <r>
          <rPr>
            <sz val="9"/>
            <color indexed="81"/>
            <rFont val="Tahoma"/>
            <family val="2"/>
          </rPr>
          <t>unique Chu-Ko-Nu</t>
        </r>
      </text>
    </comment>
    <comment ref="AR19" authorId="1" shapeId="0">
      <text>
        <r>
          <rPr>
            <sz val="9"/>
            <color indexed="81"/>
            <rFont val="Tahoma"/>
            <family val="2"/>
          </rPr>
          <t>Longbowman_Japan</t>
        </r>
      </text>
    </comment>
    <comment ref="AT19" authorId="1" shapeId="0">
      <text>
        <r>
          <rPr>
            <sz val="9"/>
            <color indexed="81"/>
            <rFont val="Tahoma"/>
            <family val="2"/>
          </rPr>
          <t>Longbowman_Mongol</t>
        </r>
      </text>
    </comment>
    <comment ref="AX19" authorId="1" shapeId="0">
      <text>
        <r>
          <rPr>
            <sz val="9"/>
            <color indexed="81"/>
            <rFont val="Tahoma"/>
            <family val="2"/>
          </rPr>
          <t>civ5_irolb4</t>
        </r>
      </text>
    </comment>
    <comment ref="AY19" authorId="1" shapeId="0">
      <text>
        <r>
          <rPr>
            <sz val="9"/>
            <color indexed="81"/>
            <rFont val="Tahoma"/>
            <family val="2"/>
          </rPr>
          <t>civ5_irolb1</t>
        </r>
      </text>
    </comment>
    <comment ref="BA19" authorId="1" shapeId="0">
      <text>
        <r>
          <rPr>
            <sz val="9"/>
            <color indexed="81"/>
            <rFont val="Tahoma"/>
            <family val="2"/>
          </rPr>
          <t>Longbowman_Aztec</t>
        </r>
      </text>
    </comment>
    <comment ref="BC19" authorId="1" shapeId="0">
      <text>
        <r>
          <rPr>
            <sz val="9"/>
            <color indexed="81"/>
            <rFont val="Tahoma"/>
            <family val="2"/>
          </rPr>
          <t>Longbowman_Inca</t>
        </r>
      </text>
    </comment>
    <comment ref="BD19" authorId="1" shapeId="0">
      <text>
        <r>
          <rPr>
            <sz val="9"/>
            <color indexed="81"/>
            <rFont val="Tahoma"/>
            <family val="2"/>
          </rPr>
          <t>Longbowman_Maya</t>
        </r>
      </text>
    </comment>
    <comment ref="C20" authorId="1" shapeId="0">
      <text>
        <r>
          <rPr>
            <sz val="9"/>
            <color indexed="81"/>
            <rFont val="Tahoma"/>
            <family val="2"/>
          </rPr>
          <t>Fletcher_Class</t>
        </r>
      </text>
    </comment>
    <comment ref="F20" authorId="1" shapeId="0">
      <text>
        <r>
          <rPr>
            <sz val="9"/>
            <color indexed="81"/>
            <rFont val="Tahoma"/>
            <family val="2"/>
          </rPr>
          <t>Triba_Class</t>
        </r>
      </text>
    </comment>
    <comment ref="G20" authorId="1" shapeId="0">
      <text>
        <r>
          <rPr>
            <sz val="9"/>
            <color indexed="81"/>
            <rFont val="Tahoma"/>
            <family val="2"/>
          </rPr>
          <t>Fantasque_Class</t>
        </r>
      </text>
    </comment>
    <comment ref="H20" authorId="1" shapeId="0">
      <text>
        <r>
          <rPr>
            <sz val="9"/>
            <color indexed="81"/>
            <rFont val="Tahoma"/>
            <family val="2"/>
          </rPr>
          <t>Z23_Class</t>
        </r>
      </text>
    </comment>
    <comment ref="I20" authorId="1" shapeId="0">
      <text>
        <r>
          <rPr>
            <sz val="9"/>
            <color indexed="81"/>
            <rFont val="Tahoma"/>
            <family val="2"/>
          </rPr>
          <t>Admiralen_Class</t>
        </r>
      </text>
    </comment>
    <comment ref="L20" authorId="1" shapeId="0">
      <text>
        <r>
          <rPr>
            <sz val="9"/>
            <color indexed="81"/>
            <rFont val="Tahoma"/>
            <family val="2"/>
          </rPr>
          <t>Goteborg_Class</t>
        </r>
      </text>
    </comment>
    <comment ref="M20" authorId="1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N20" authorId="1" shapeId="0">
      <text>
        <r>
          <rPr>
            <sz val="9"/>
            <color indexed="81"/>
            <rFont val="Tahoma"/>
            <family val="2"/>
          </rPr>
          <t>Grom_Class</t>
        </r>
      </text>
    </comment>
    <comment ref="O20" authorId="2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S20" authorId="1" shapeId="0">
      <text>
        <r>
          <rPr>
            <sz val="9"/>
            <color indexed="81"/>
            <rFont val="Tahoma"/>
            <family val="2"/>
          </rPr>
          <t>Vasilefs_Georgios_Class</t>
        </r>
      </text>
    </comment>
    <comment ref="U20" authorId="1" shapeId="0">
      <text>
        <r>
          <rPr>
            <sz val="9"/>
            <color indexed="81"/>
            <rFont val="Tahoma"/>
            <family val="2"/>
          </rPr>
          <t>Soldati_Class</t>
        </r>
      </text>
    </comment>
    <comment ref="AR20" authorId="1" shapeId="0">
      <text>
        <r>
          <rPr>
            <sz val="9"/>
            <color indexed="81"/>
            <rFont val="Tahoma"/>
            <family val="2"/>
          </rPr>
          <t>Kagero_Class</t>
        </r>
      </text>
    </comment>
    <comment ref="C21" authorId="1" shapeId="0">
      <text>
        <r>
          <rPr>
            <sz val="9"/>
            <color indexed="81"/>
            <rFont val="Tahoma"/>
            <family val="2"/>
          </rPr>
          <t>P-51_Mustang</t>
        </r>
      </text>
    </comment>
    <comment ref="D21" authorId="1" shapeId="0">
      <text>
        <r>
          <rPr>
            <sz val="9"/>
            <color indexed="81"/>
            <rFont val="Tahoma"/>
            <family val="2"/>
          </rPr>
          <t>Messerschmitt_Bf-109F</t>
        </r>
      </text>
    </comment>
    <comment ref="F21" authorId="1" shapeId="0">
      <text>
        <r>
          <rPr>
            <sz val="9"/>
            <color indexed="81"/>
            <rFont val="Tahoma"/>
            <family val="2"/>
          </rPr>
          <t>Supermarine_Spitfire_MK_V</t>
        </r>
      </text>
    </comment>
    <comment ref="G21" authorId="1" shapeId="0">
      <text>
        <r>
          <rPr>
            <sz val="9"/>
            <color indexed="81"/>
            <rFont val="Tahoma"/>
            <family val="2"/>
          </rPr>
          <t>Dewoitine_D.520</t>
        </r>
      </text>
    </comment>
    <comment ref="H21" authorId="1" shapeId="0">
      <text>
        <r>
          <rPr>
            <sz val="9"/>
            <color indexed="81"/>
            <rFont val="Tahoma"/>
            <family val="2"/>
          </rPr>
          <t>Focke-Wulf_Fw-190</t>
        </r>
      </text>
    </comment>
    <comment ref="I21" authorId="1" shapeId="0">
      <text>
        <r>
          <rPr>
            <sz val="9"/>
            <color indexed="81"/>
            <rFont val="Tahoma"/>
            <family val="2"/>
          </rPr>
          <t>Fokker_D.XXI</t>
        </r>
      </text>
    </comment>
    <comment ref="L21" authorId="1" shapeId="0">
      <text>
        <r>
          <rPr>
            <sz val="9"/>
            <color indexed="81"/>
            <rFont val="Tahoma"/>
            <family val="2"/>
          </rPr>
          <t>FFVS_J22</t>
        </r>
      </text>
    </comment>
    <comment ref="M21" authorId="1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N21" authorId="1" shapeId="0">
      <text>
        <r>
          <rPr>
            <sz val="9"/>
            <color indexed="81"/>
            <rFont val="Tahoma"/>
            <family val="2"/>
          </rPr>
          <t>PZL_P.50_Jastrzab</t>
        </r>
      </text>
    </comment>
    <comment ref="O21" authorId="2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Q21" authorId="1" shapeId="0">
      <text>
        <r>
          <rPr>
            <sz val="9"/>
            <color indexed="81"/>
            <rFont val="Tahoma"/>
            <family val="2"/>
          </rPr>
          <t>P40Brazil</t>
        </r>
      </text>
    </comment>
    <comment ref="S21" authorId="1" shapeId="0">
      <text>
        <r>
          <rPr>
            <sz val="9"/>
            <color indexed="81"/>
            <rFont val="Tahoma"/>
            <family val="2"/>
          </rPr>
          <t>Fighter_Spitfire_MK5c</t>
        </r>
      </text>
    </comment>
    <comment ref="U21" authorId="1" shapeId="0">
      <text>
        <r>
          <rPr>
            <sz val="9"/>
            <color indexed="81"/>
            <rFont val="Tahoma"/>
            <family val="2"/>
          </rPr>
          <t>Fiat_G.55_Centauro</t>
        </r>
      </text>
    </comment>
    <comment ref="V21" authorId="1" shapeId="0">
      <text>
        <r>
          <rPr>
            <sz val="9"/>
            <color indexed="81"/>
            <rFont val="Tahoma"/>
            <family val="2"/>
          </rPr>
          <t>Fighter_Bf-109J</t>
        </r>
      </text>
    </comment>
    <comment ref="X21" authorId="1" shapeId="0">
      <text>
        <r>
          <rPr>
            <sz val="9"/>
            <color indexed="81"/>
            <rFont val="Tahoma"/>
            <family val="2"/>
          </rPr>
          <t>Fighter_Default</t>
        </r>
      </text>
    </comment>
    <comment ref="AB21" authorId="1" shapeId="0">
      <text>
        <r>
          <rPr>
            <sz val="9"/>
            <color indexed="81"/>
            <rFont val="Tahoma"/>
            <family val="2"/>
          </rPr>
          <t>P40Egypt</t>
        </r>
      </text>
    </comment>
    <comment ref="AL21" authorId="1" shapeId="0">
      <text>
        <r>
          <rPr>
            <sz val="9"/>
            <color indexed="81"/>
            <rFont val="Tahoma"/>
            <family val="2"/>
          </rPr>
          <t>Me_Bf-109_Hungary</t>
        </r>
      </text>
    </comment>
    <comment ref="AM21" authorId="1" shapeId="0">
      <text>
        <r>
          <rPr>
            <sz val="9"/>
            <color indexed="81"/>
            <rFont val="Tahoma"/>
            <family val="2"/>
          </rPr>
          <t>P40Turkey</t>
        </r>
      </text>
    </comment>
    <comment ref="AQ21" authorId="1" shapeId="0">
      <text>
        <r>
          <rPr>
            <sz val="9"/>
            <color indexed="81"/>
            <rFont val="Tahoma"/>
            <family val="2"/>
          </rPr>
          <t>P-40_Warhawk_China</t>
        </r>
      </text>
    </comment>
    <comment ref="AR2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Zero</t>
        </r>
      </text>
    </comment>
    <comment ref="F2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Ship of the Line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Great Galleass</t>
        </r>
      </text>
    </comment>
    <comment ref="H25" authorId="1" shapeId="0">
      <text>
        <r>
          <rPr>
            <sz val="9"/>
            <color indexed="81"/>
            <rFont val="Tahoma"/>
            <family val="2"/>
          </rPr>
          <t>V1_Rocket</t>
        </r>
      </text>
    </comment>
    <comment ref="C26" authorId="1" shapeId="0">
      <text>
        <r>
          <rPr>
            <sz val="9"/>
            <color indexed="81"/>
            <rFont val="Tahoma"/>
            <family val="2"/>
          </rPr>
          <t>AH64USA</t>
        </r>
      </text>
    </comment>
    <comment ref="D26" authorId="1" shapeId="0">
      <text>
        <r>
          <rPr>
            <sz val="9"/>
            <color indexed="81"/>
            <rFont val="Tahoma"/>
            <family val="2"/>
          </rPr>
          <t>tiger_austria</t>
        </r>
      </text>
    </comment>
    <comment ref="F26" authorId="1" shapeId="0">
      <text>
        <r>
          <rPr>
            <sz val="9"/>
            <color indexed="81"/>
            <rFont val="Tahoma"/>
            <family val="2"/>
          </rPr>
          <t>AH64Britain</t>
        </r>
      </text>
    </comment>
    <comment ref="G26" authorId="1" shapeId="0">
      <text>
        <r>
          <rPr>
            <sz val="9"/>
            <color indexed="81"/>
            <rFont val="Tahoma"/>
            <family val="2"/>
          </rPr>
          <t>tiger_france</t>
        </r>
      </text>
    </comment>
    <comment ref="H26" authorId="1" shapeId="0">
      <text>
        <r>
          <rPr>
            <sz val="9"/>
            <color indexed="81"/>
            <rFont val="Tahoma"/>
            <family val="2"/>
          </rPr>
          <t>tiger_germany</t>
        </r>
      </text>
    </comment>
    <comment ref="I26" authorId="1" shapeId="0">
      <text>
        <r>
          <rPr>
            <sz val="9"/>
            <color indexed="81"/>
            <rFont val="Tahoma"/>
            <family val="2"/>
          </rPr>
          <t>tiger_netherlands</t>
        </r>
      </text>
    </comment>
    <comment ref="L26" authorId="1" shapeId="0">
      <text>
        <r>
          <rPr>
            <sz val="9"/>
            <color indexed="81"/>
            <rFont val="Tahoma"/>
            <family val="2"/>
          </rPr>
          <t>tiger_sweden</t>
        </r>
      </text>
    </comment>
    <comment ref="M26" authorId="1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N26" authorId="1" shapeId="0">
      <text>
        <r>
          <rPr>
            <sz val="9"/>
            <color indexed="81"/>
            <rFont val="Tahoma"/>
            <family val="2"/>
          </rPr>
          <t>Mi8Poland</t>
        </r>
      </text>
    </comment>
    <comment ref="O26" authorId="1" shapeId="0">
      <text>
        <r>
          <rPr>
            <sz val="9"/>
            <color indexed="81"/>
            <rFont val="Tahoma"/>
            <family val="2"/>
          </rPr>
          <t>Mi8Russia</t>
        </r>
      </text>
    </comment>
    <comment ref="S26" authorId="1" shapeId="0">
      <text>
        <r>
          <rPr>
            <sz val="9"/>
            <color indexed="81"/>
            <rFont val="Tahoma"/>
            <family val="2"/>
          </rPr>
          <t>AH64Greece</t>
        </r>
      </text>
    </comment>
    <comment ref="U26" authorId="1" shapeId="0">
      <text>
        <r>
          <rPr>
            <sz val="9"/>
            <color indexed="81"/>
            <rFont val="Tahoma"/>
            <family val="2"/>
          </rPr>
          <t>mangusta</t>
        </r>
      </text>
    </comment>
    <comment ref="V26" authorId="1" shapeId="0">
      <text>
        <r>
          <rPr>
            <sz val="9"/>
            <color indexed="81"/>
            <rFont val="Tahoma"/>
            <family val="2"/>
          </rPr>
          <t>tiger_spain</t>
        </r>
      </text>
    </comment>
    <comment ref="X26" authorId="1" shapeId="0">
      <text>
        <r>
          <rPr>
            <sz val="9"/>
            <color indexed="81"/>
            <rFont val="Tahoma"/>
            <family val="2"/>
          </rPr>
          <t>Mi8DesertTeamColor</t>
        </r>
      </text>
    </comment>
    <comment ref="Y26" authorId="1" shapeId="0">
      <text>
        <r>
          <rPr>
            <sz val="9"/>
            <color indexed="81"/>
            <rFont val="Tahoma"/>
            <family val="2"/>
          </rPr>
          <t>AH64PlainTeamColor</t>
        </r>
      </text>
    </comment>
    <comment ref="AA26" authorId="1" shapeId="0">
      <text>
        <r>
          <rPr>
            <sz val="9"/>
            <color indexed="81"/>
            <rFont val="Tahoma"/>
            <family val="2"/>
          </rPr>
          <t>Mi8Iraq</t>
        </r>
      </text>
    </comment>
    <comment ref="AB26" authorId="1" shapeId="0">
      <text>
        <r>
          <rPr>
            <sz val="9"/>
            <color indexed="81"/>
            <rFont val="Tahoma"/>
            <family val="2"/>
          </rPr>
          <t>Mi8Egypt</t>
        </r>
      </text>
    </comment>
    <comment ref="AH26" authorId="1" shapeId="0">
      <text>
        <r>
          <rPr>
            <sz val="9"/>
            <color indexed="81"/>
            <rFont val="Tahoma"/>
            <family val="2"/>
          </rPr>
          <t>Mi8Ethiopia</t>
        </r>
      </text>
    </comment>
    <comment ref="AN26" authorId="2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O26" authorId="1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P26" authorId="2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AR26" authorId="1" shapeId="0">
      <text>
        <r>
          <rPr>
            <sz val="9"/>
            <color indexed="81"/>
            <rFont val="Tahoma"/>
            <family val="2"/>
          </rPr>
          <t>AH64Japan</t>
        </r>
      </text>
    </comment>
    <comment ref="BB26" authorId="1" shapeId="0">
      <text>
        <r>
          <rPr>
            <sz val="9"/>
            <color indexed="81"/>
            <rFont val="Tahoma"/>
            <family val="2"/>
          </rPr>
          <t>Mi8Mexico</t>
        </r>
      </text>
    </comment>
    <comment ref="C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Horseman_England</t>
        </r>
      </text>
    </comment>
    <comment ref="D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Horseman_German</t>
        </r>
      </text>
    </comment>
    <comment ref="F27" authorId="1" shapeId="0">
      <text>
        <r>
          <rPr>
            <sz val="9"/>
            <color indexed="81"/>
            <rFont val="Tahoma"/>
            <family val="2"/>
          </rPr>
          <t>Horseman_England</t>
        </r>
      </text>
    </comment>
    <comment ref="G27" authorId="1" shapeId="0">
      <text>
        <r>
          <rPr>
            <sz val="9"/>
            <color indexed="81"/>
            <rFont val="Tahoma"/>
            <family val="2"/>
          </rPr>
          <t>Horseman_France</t>
        </r>
      </text>
    </comment>
    <comment ref="H27" authorId="1" shapeId="0">
      <text>
        <r>
          <rPr>
            <sz val="9"/>
            <color indexed="81"/>
            <rFont val="Tahoma"/>
            <family val="2"/>
          </rPr>
          <t>Horseman_German</t>
        </r>
      </text>
    </comment>
    <comment ref="J27" authorId="1" shapeId="0">
      <text>
        <r>
          <rPr>
            <sz val="9"/>
            <color indexed="81"/>
            <rFont val="Tahoma"/>
            <family val="2"/>
          </rPr>
          <t>Horseman_Viking</t>
        </r>
      </text>
    </comment>
    <comment ref="M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O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P27" authorId="1" shapeId="0">
      <text>
        <r>
          <rPr>
            <sz val="9"/>
            <color indexed="81"/>
            <rFont val="Tahoma"/>
            <family val="2"/>
          </rPr>
          <t>U_Greek_CompanionCavalry</t>
        </r>
      </text>
    </comment>
    <comment ref="R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Cataphract</t>
        </r>
      </text>
    </comment>
    <comment ref="S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U27" authorId="1" shapeId="0">
      <text>
        <r>
          <rPr>
            <sz val="9"/>
            <color indexed="81"/>
            <rFont val="Tahoma"/>
            <family val="2"/>
          </rPr>
          <t>Horseman_Rome</t>
        </r>
      </text>
    </comment>
    <comment ref="V27" authorId="1" shapeId="0">
      <text>
        <r>
          <rPr>
            <sz val="9"/>
            <color indexed="81"/>
            <rFont val="Tahoma"/>
            <family val="2"/>
          </rPr>
          <t>Horseman_Spain</t>
        </r>
      </text>
    </comment>
    <comment ref="X27" authorId="1" shapeId="0">
      <text>
        <r>
          <rPr>
            <sz val="9"/>
            <color indexed="81"/>
            <rFont val="Tahoma"/>
            <family val="2"/>
          </rPr>
          <t>Horseman_Arabia</t>
        </r>
      </text>
    </comment>
    <comment ref="AA27" authorId="1" shapeId="0">
      <text>
        <r>
          <rPr>
            <sz val="9"/>
            <color indexed="81"/>
            <rFont val="Tahoma"/>
            <family val="2"/>
          </rPr>
          <t>Horseman_Babylon</t>
        </r>
      </text>
    </comment>
    <comment ref="AB27" authorId="1" shapeId="0">
      <text>
        <r>
          <rPr>
            <sz val="9"/>
            <color indexed="81"/>
            <rFont val="Tahoma"/>
            <family val="2"/>
          </rPr>
          <t>Horseman_Egypt</t>
        </r>
      </text>
    </comment>
    <comment ref="AC27" authorId="1" shapeId="0">
      <text>
        <r>
          <rPr>
            <sz val="9"/>
            <color indexed="81"/>
            <rFont val="Tahoma"/>
            <family val="2"/>
          </rPr>
          <t>Horseman_Persia</t>
        </r>
      </text>
    </comment>
    <comment ref="AE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African Forest Elephant</t>
        </r>
      </text>
    </comment>
    <comment ref="AG27" authorId="1" shapeId="0">
      <text>
        <r>
          <rPr>
            <sz val="9"/>
            <color indexed="81"/>
            <rFont val="Tahoma"/>
            <family val="2"/>
          </rPr>
          <t>EthiopiaHorseman</t>
        </r>
      </text>
    </comment>
    <comment ref="AH27" authorId="1" shapeId="0">
      <text>
        <r>
          <rPr>
            <sz val="9"/>
            <color indexed="81"/>
            <rFont val="Tahoma"/>
            <family val="2"/>
          </rPr>
          <t>EthiopiaMedHorseman</t>
        </r>
      </text>
    </comment>
    <comment ref="AI27" authorId="1" shapeId="0">
      <text>
        <r>
          <rPr>
            <sz val="9"/>
            <color indexed="81"/>
            <rFont val="Tahoma"/>
            <family val="2"/>
          </rPr>
          <t>SonghaiMedHorseman</t>
        </r>
      </text>
    </comment>
    <comment ref="AK27" authorId="1" shapeId="0">
      <text>
        <r>
          <rPr>
            <sz val="9"/>
            <color indexed="81"/>
            <rFont val="Tahoma"/>
            <family val="2"/>
          </rPr>
          <t>u_cuman_chabani</t>
        </r>
      </text>
    </comment>
    <comment ref="AM27" authorId="1" shapeId="0">
      <text>
        <r>
          <rPr>
            <sz val="9"/>
            <color indexed="81"/>
            <rFont val="Tahoma"/>
            <family val="2"/>
          </rPr>
          <t>Horseman_Turkey</t>
        </r>
      </text>
    </comment>
    <comment ref="AN27" authorId="1" shapeId="0">
      <text>
        <r>
          <rPr>
            <sz val="9"/>
            <color indexed="81"/>
            <rFont val="Tahoma"/>
            <family val="2"/>
          </rPr>
          <t>Horseman_India</t>
        </r>
      </text>
    </comment>
    <comment ref="AP27" authorId="1" shapeId="0">
      <text>
        <r>
          <rPr>
            <sz val="9"/>
            <color indexed="81"/>
            <rFont val="Tahoma"/>
            <family val="2"/>
          </rPr>
          <t>Horseman_China</t>
        </r>
      </text>
    </comment>
    <comment ref="AQ27" authorId="1" shapeId="0">
      <text>
        <r>
          <rPr>
            <sz val="9"/>
            <color indexed="81"/>
            <rFont val="Tahoma"/>
            <family val="2"/>
          </rPr>
          <t>Horseman_China_v2</t>
        </r>
      </text>
    </comment>
    <comment ref="AR27" authorId="1" shapeId="0">
      <text>
        <r>
          <rPr>
            <sz val="9"/>
            <color indexed="81"/>
            <rFont val="Tahoma"/>
            <family val="2"/>
          </rPr>
          <t>Horseman_Japan</t>
        </r>
      </text>
    </comment>
    <comment ref="AS27" authorId="1" shapeId="0">
      <text>
        <r>
          <rPr>
            <sz val="9"/>
            <color indexed="81"/>
            <rFont val="Tahoma"/>
            <family val="2"/>
          </rPr>
          <t>Horseman_Korea</t>
        </r>
      </text>
    </comment>
    <comment ref="AT27" authorId="1" shapeId="0">
      <text>
        <r>
          <rPr>
            <sz val="9"/>
            <color indexed="81"/>
            <rFont val="Tahoma"/>
            <family val="2"/>
          </rPr>
          <t>Horseman_Mongol</t>
        </r>
      </text>
    </comment>
    <comment ref="AX27" authorId="1" shapeId="0">
      <text>
        <r>
          <rPr>
            <sz val="9"/>
            <color indexed="81"/>
            <rFont val="Tahoma"/>
            <family val="2"/>
          </rPr>
          <t>civ5_irohm5</t>
        </r>
      </text>
    </comment>
    <comment ref="AY27" authorId="1" shapeId="0">
      <text>
        <r>
          <rPr>
            <sz val="9"/>
            <color indexed="81"/>
            <rFont val="Tahoma"/>
            <family val="2"/>
          </rPr>
          <t>civ5_irohm1</t>
        </r>
      </text>
    </comment>
    <comment ref="BA27" authorId="1" shapeId="0">
      <text>
        <r>
          <rPr>
            <sz val="9"/>
            <color indexed="81"/>
            <rFont val="Tahoma"/>
            <family val="2"/>
          </rPr>
          <t>Horseman_Maya</t>
        </r>
      </text>
    </comment>
    <comment ref="BB27" authorId="1" shapeId="0">
      <text>
        <r>
          <rPr>
            <sz val="9"/>
            <color indexed="81"/>
            <rFont val="Tahoma"/>
            <family val="2"/>
          </rPr>
          <t>Horseman_Aztec</t>
        </r>
      </text>
    </comment>
    <comment ref="BC27" authorId="1" shapeId="0">
      <text>
        <r>
          <rPr>
            <sz val="9"/>
            <color indexed="81"/>
            <rFont val="Tahoma"/>
            <family val="2"/>
          </rPr>
          <t>Horseman_Inca</t>
        </r>
      </text>
    </comment>
    <comment ref="B28" authorId="1" shapeId="0">
      <text>
        <r>
          <rPr>
            <sz val="9"/>
            <color indexed="81"/>
            <rFont val="Tahoma"/>
            <family val="2"/>
          </rPr>
          <t>Majestic_BB</t>
        </r>
      </text>
    </comment>
    <comment ref="C28" authorId="1" shapeId="0">
      <text>
        <r>
          <rPr>
            <sz val="9"/>
            <color indexed="81"/>
            <rFont val="Tahoma"/>
            <family val="2"/>
          </rPr>
          <t>Connecticut_BB</t>
        </r>
      </text>
    </comment>
    <comment ref="D28" authorId="1" shapeId="0">
      <text>
        <r>
          <rPr>
            <sz val="9"/>
            <color indexed="81"/>
            <rFont val="Tahoma"/>
            <family val="2"/>
          </rPr>
          <t>erzherzog_karl_bb</t>
        </r>
      </text>
    </comment>
    <comment ref="F28" authorId="2" shapeId="0">
      <text>
        <r>
          <rPr>
            <sz val="9"/>
            <color indexed="81"/>
            <rFont val="Tahoma"/>
            <family val="2"/>
          </rPr>
          <t>EU: IroncladCA</t>
        </r>
      </text>
    </comment>
    <comment ref="G28" authorId="1" shapeId="0">
      <text>
        <r>
          <rPr>
            <sz val="9"/>
            <color indexed="81"/>
            <rFont val="Tahoma"/>
            <family val="2"/>
          </rPr>
          <t>Republique_BB</t>
        </r>
      </text>
    </comment>
    <comment ref="H28" authorId="1" shapeId="0">
      <text>
        <r>
          <rPr>
            <sz val="9"/>
            <color indexed="81"/>
            <rFont val="Tahoma"/>
            <family val="2"/>
          </rPr>
          <t>Braunschweig_BB</t>
        </r>
      </text>
    </comment>
    <comment ref="M28" authorId="1" shapeId="0">
      <text>
        <r>
          <rPr>
            <sz val="9"/>
            <color indexed="81"/>
            <rFont val="Tahoma"/>
            <family val="2"/>
          </rPr>
          <t>Potemkin_BB</t>
        </r>
      </text>
    </comment>
    <comment ref="P28" authorId="1" shapeId="0">
      <text>
        <r>
          <rPr>
            <sz val="9"/>
            <color indexed="81"/>
            <rFont val="Tahoma"/>
            <family val="2"/>
          </rPr>
          <t>Pelayo_bb</t>
        </r>
      </text>
    </comment>
    <comment ref="U28" authorId="1" shapeId="0">
      <text>
        <r>
          <rPr>
            <sz val="9"/>
            <color indexed="81"/>
            <rFont val="Tahoma"/>
            <family val="2"/>
          </rPr>
          <t>re_umberto_bb</t>
        </r>
      </text>
    </comment>
    <comment ref="AP28" authorId="1" shapeId="0">
      <text>
        <r>
          <rPr>
            <sz val="9"/>
            <color indexed="81"/>
            <rFont val="Tahoma"/>
            <family val="2"/>
          </rPr>
          <t>Mikasa_BB</t>
        </r>
      </text>
    </comment>
    <comment ref="C29" authorId="1" shapeId="0">
      <text>
        <r>
          <rPr>
            <sz val="9"/>
            <color indexed="81"/>
            <rFont val="Tahoma"/>
            <family val="2"/>
          </rPr>
          <t>F15</t>
        </r>
      </text>
    </comment>
    <comment ref="D29" authorId="1" shapeId="0">
      <text>
        <r>
          <rPr>
            <sz val="9"/>
            <color indexed="81"/>
            <rFont val="Tahoma"/>
            <family val="2"/>
          </rPr>
          <t>EurofighterAustria</t>
        </r>
      </text>
    </comment>
    <comment ref="F29" authorId="1" shapeId="0">
      <text>
        <r>
          <rPr>
            <sz val="9"/>
            <color indexed="81"/>
            <rFont val="Tahoma"/>
            <family val="2"/>
          </rPr>
          <t>EurofighterUK</t>
        </r>
      </text>
    </comment>
    <comment ref="G29" authorId="1" shapeId="0">
      <text>
        <r>
          <rPr>
            <sz val="9"/>
            <color indexed="81"/>
            <rFont val="Tahoma"/>
            <family val="2"/>
          </rPr>
          <t>Rafale</t>
        </r>
      </text>
    </comment>
    <comment ref="H29" authorId="1" shapeId="0">
      <text>
        <r>
          <rPr>
            <sz val="9"/>
            <color indexed="81"/>
            <rFont val="Tahoma"/>
            <family val="2"/>
          </rPr>
          <t>EurofighterGermany</t>
        </r>
      </text>
    </comment>
    <comment ref="J29" authorId="1" shapeId="0">
      <text>
        <r>
          <rPr>
            <sz val="9"/>
            <color indexed="81"/>
            <rFont val="Tahoma"/>
            <family val="2"/>
          </rPr>
          <t>draken</t>
        </r>
      </text>
    </comment>
    <comment ref="M29" authorId="1" shapeId="0">
      <text>
        <r>
          <rPr>
            <sz val="9"/>
            <color indexed="81"/>
            <rFont val="Tahoma"/>
            <family val="2"/>
          </rPr>
          <t>MiG29Soviet</t>
        </r>
      </text>
    </comment>
    <comment ref="O29" authorId="1" shapeId="0">
      <text>
        <r>
          <rPr>
            <sz val="9"/>
            <color indexed="81"/>
            <rFont val="Tahoma"/>
            <family val="2"/>
          </rPr>
          <t>MiG29Russia</t>
        </r>
      </text>
    </comment>
    <comment ref="S29" authorId="1" shapeId="0">
      <text>
        <r>
          <rPr>
            <sz val="9"/>
            <color indexed="81"/>
            <rFont val="Tahoma"/>
            <family val="2"/>
          </rPr>
          <t>F4Greece</t>
        </r>
      </text>
    </comment>
    <comment ref="T29" authorId="1" shapeId="0">
      <text>
        <r>
          <rPr>
            <sz val="9"/>
            <color indexed="81"/>
            <rFont val="Tahoma"/>
            <family val="2"/>
          </rPr>
          <t>A-7Portugal</t>
        </r>
      </text>
    </comment>
    <comment ref="U29" authorId="1" shapeId="0">
      <text>
        <r>
          <rPr>
            <sz val="9"/>
            <color indexed="81"/>
            <rFont val="Tahoma"/>
            <family val="2"/>
          </rPr>
          <t>EurofighterItaly</t>
        </r>
      </text>
    </comment>
    <comment ref="V29" authorId="1" shapeId="0">
      <text>
        <r>
          <rPr>
            <sz val="9"/>
            <color indexed="81"/>
            <rFont val="Tahoma"/>
            <family val="2"/>
          </rPr>
          <t>EurofighterSpain</t>
        </r>
      </text>
    </comment>
    <comment ref="AA29" authorId="1" shapeId="0">
      <text>
        <r>
          <rPr>
            <sz val="9"/>
            <color indexed="81"/>
            <rFont val="Tahoma"/>
            <family val="2"/>
          </rPr>
          <t>MiG29Iraq</t>
        </r>
      </text>
    </comment>
    <comment ref="AB29" authorId="1" shapeId="0">
      <text>
        <r>
          <rPr>
            <sz val="9"/>
            <color indexed="81"/>
            <rFont val="Tahoma"/>
            <family val="2"/>
          </rPr>
          <t>F4Egypt</t>
        </r>
      </text>
    </comment>
    <comment ref="AC29" authorId="1" shapeId="0">
      <text>
        <r>
          <rPr>
            <sz val="9"/>
            <color indexed="81"/>
            <rFont val="Tahoma"/>
            <family val="2"/>
          </rPr>
          <t>MiG29Iran</t>
        </r>
      </text>
    </comment>
    <comment ref="AM29" authorId="1" shapeId="0">
      <text>
        <r>
          <rPr>
            <sz val="9"/>
            <color indexed="81"/>
            <rFont val="Tahoma"/>
            <family val="2"/>
          </rPr>
          <t>F4Turkey</t>
        </r>
      </text>
    </comment>
    <comment ref="AN29" authorId="2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O29" authorId="1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R29" authorId="1" shapeId="0">
      <text>
        <r>
          <rPr>
            <sz val="9"/>
            <color indexed="81"/>
            <rFont val="Tahoma"/>
            <family val="2"/>
          </rPr>
          <t>F4Japan</t>
        </r>
      </text>
    </comment>
    <comment ref="AS29" authorId="1" shapeId="0">
      <text>
        <r>
          <rPr>
            <sz val="9"/>
            <color indexed="81"/>
            <rFont val="Tahoma"/>
            <family val="2"/>
          </rPr>
          <t>F4DKorea</t>
        </r>
      </text>
    </comment>
    <comment ref="AW29" authorId="1" shapeId="0">
      <text>
        <r>
          <rPr>
            <sz val="9"/>
            <color indexed="81"/>
            <rFont val="Tahoma"/>
            <family val="2"/>
          </rPr>
          <t>A-7</t>
        </r>
      </text>
    </comment>
    <comment ref="BA29" authorId="1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BC29" authorId="1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D3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Knight_Teutonic</t>
        </r>
      </text>
    </comment>
    <comment ref="F30" authorId="1" shapeId="0">
      <text>
        <r>
          <rPr>
            <sz val="9"/>
            <color indexed="81"/>
            <rFont val="Tahoma"/>
            <family val="2"/>
          </rPr>
          <t>Knight_England</t>
        </r>
      </text>
    </comment>
    <comment ref="G30" authorId="1" shapeId="0">
      <text>
        <r>
          <rPr>
            <sz val="9"/>
            <color indexed="81"/>
            <rFont val="Tahoma"/>
            <family val="2"/>
          </rPr>
          <t>french_knight</t>
        </r>
      </text>
    </comment>
    <comment ref="H30" authorId="1" shapeId="0">
      <text>
        <r>
          <rPr>
            <sz val="9"/>
            <color indexed="81"/>
            <rFont val="Tahoma"/>
            <family val="2"/>
          </rPr>
          <t>Knight_German</t>
        </r>
      </text>
    </comment>
    <comment ref="J30" authorId="1" shapeId="0">
      <text>
        <r>
          <rPr>
            <sz val="9"/>
            <color indexed="81"/>
            <rFont val="Tahoma"/>
            <family val="2"/>
          </rPr>
          <t>Knight_Viking</t>
        </r>
      </text>
    </comment>
    <comment ref="M30" authorId="1" shapeId="0">
      <text>
        <r>
          <rPr>
            <sz val="9"/>
            <color indexed="81"/>
            <rFont val="Tahoma"/>
            <family val="2"/>
          </rPr>
          <t>russian_knight</t>
        </r>
      </text>
    </comment>
    <comment ref="O30" authorId="1" shapeId="0">
      <text>
        <r>
          <rPr>
            <sz val="9"/>
            <color indexed="81"/>
            <rFont val="Tahoma"/>
            <family val="2"/>
          </rPr>
          <t>Knight_Russia</t>
        </r>
      </text>
    </comment>
    <comment ref="S30" authorId="1" shapeId="0">
      <text>
        <r>
          <rPr>
            <sz val="9"/>
            <color indexed="81"/>
            <rFont val="Tahoma"/>
            <family val="2"/>
          </rPr>
          <t>Knight_Greece</t>
        </r>
      </text>
    </comment>
    <comment ref="U30" authorId="1" shapeId="0">
      <text>
        <r>
          <rPr>
            <sz val="9"/>
            <color indexed="81"/>
            <rFont val="Tahoma"/>
            <family val="2"/>
          </rPr>
          <t>italian_knight</t>
        </r>
      </text>
    </comment>
    <comment ref="V30" authorId="1" shapeId="0">
      <text>
        <r>
          <rPr>
            <sz val="9"/>
            <color indexed="81"/>
            <rFont val="Tahoma"/>
            <family val="2"/>
          </rPr>
          <t>Knight_Spain</t>
        </r>
      </text>
    </comment>
    <comment ref="X30" authorId="1" shapeId="0">
      <text>
        <r>
          <rPr>
            <sz val="9"/>
            <color indexed="81"/>
            <rFont val="Tahoma"/>
            <family val="2"/>
          </rPr>
          <t>Knight_Arabia</t>
        </r>
      </text>
    </comment>
    <comment ref="Y30" authorId="2" shapeId="0">
      <text>
        <r>
          <rPr>
            <sz val="9"/>
            <color indexed="81"/>
            <rFont val="Tahoma"/>
            <family val="2"/>
          </rPr>
          <t>unique Camel Archer</t>
        </r>
      </text>
    </comment>
    <comment ref="AA30" authorId="1" shapeId="0">
      <text>
        <r>
          <rPr>
            <sz val="9"/>
            <color indexed="81"/>
            <rFont val="Tahoma"/>
            <family val="2"/>
          </rPr>
          <t>Knight_Babylon</t>
        </r>
      </text>
    </comment>
    <comment ref="AB30" authorId="1" shapeId="0">
      <text>
        <r>
          <rPr>
            <sz val="9"/>
            <color indexed="81"/>
            <rFont val="Tahoma"/>
            <family val="2"/>
          </rPr>
          <t>Knight_Egypt</t>
        </r>
      </text>
    </comment>
    <comment ref="AC30" authorId="1" shapeId="0">
      <text>
        <r>
          <rPr>
            <sz val="9"/>
            <color indexed="81"/>
            <rFont val="Tahoma"/>
            <family val="2"/>
          </rPr>
          <t>Knight_Persia</t>
        </r>
      </text>
    </comment>
    <comment ref="AG30" authorId="1" shapeId="0">
      <text>
        <r>
          <rPr>
            <sz val="9"/>
            <color indexed="81"/>
            <rFont val="Tahoma"/>
            <family val="2"/>
          </rPr>
          <t>EthiopiaKnight</t>
        </r>
      </text>
    </comment>
    <comment ref="AI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Mandekalu Cavalry</t>
        </r>
      </text>
    </comment>
    <comment ref="AK30" authorId="1" shapeId="0">
      <text>
        <r>
          <rPr>
            <sz val="9"/>
            <color indexed="81"/>
            <rFont val="Tahoma"/>
            <family val="2"/>
          </rPr>
          <t>u_cuman_mamluk</t>
        </r>
      </text>
    </comment>
    <comment ref="AM30" authorId="1" shapeId="0">
      <text>
        <r>
          <rPr>
            <sz val="9"/>
            <color indexed="81"/>
            <rFont val="Tahoma"/>
            <family val="2"/>
          </rPr>
          <t>Knight_Turkey</t>
        </r>
      </text>
    </comment>
    <comment ref="AN30" authorId="1" shapeId="0">
      <text>
        <r>
          <rPr>
            <sz val="9"/>
            <color indexed="81"/>
            <rFont val="Tahoma"/>
            <family val="2"/>
          </rPr>
          <t>Knight_India</t>
        </r>
      </text>
    </comment>
    <comment ref="AP30" authorId="1" shapeId="0">
      <text>
        <r>
          <rPr>
            <sz val="9"/>
            <color indexed="81"/>
            <rFont val="Tahoma"/>
            <family val="2"/>
          </rPr>
          <t>Knight_Mongol</t>
        </r>
      </text>
    </comment>
    <comment ref="AQ30" authorId="1" shapeId="0">
      <text>
        <r>
          <rPr>
            <sz val="9"/>
            <color indexed="81"/>
            <rFont val="Tahoma"/>
            <family val="2"/>
          </rPr>
          <t>Knight_China</t>
        </r>
      </text>
    </comment>
    <comment ref="AR30" authorId="1" shapeId="0">
      <text>
        <r>
          <rPr>
            <sz val="9"/>
            <color indexed="81"/>
            <rFont val="Tahoma"/>
            <family val="2"/>
          </rPr>
          <t>Knight_Japan</t>
        </r>
      </text>
    </comment>
    <comment ref="AS30" authorId="1" shapeId="0">
      <text>
        <r>
          <rPr>
            <sz val="9"/>
            <color indexed="81"/>
            <rFont val="Tahoma"/>
            <family val="2"/>
          </rPr>
          <t>Knight_Korea</t>
        </r>
      </text>
    </comment>
    <comment ref="AT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U30" authorId="1" shapeId="0">
      <text>
        <r>
          <rPr>
            <sz val="9"/>
            <color indexed="81"/>
            <rFont val="Tahoma"/>
            <family val="2"/>
          </rPr>
          <t>Armored_Cavalry</t>
        </r>
      </text>
    </comment>
    <comment ref="AW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AX30" authorId="1" shapeId="0">
      <text>
        <r>
          <rPr>
            <sz val="9"/>
            <color indexed="81"/>
            <rFont val="Tahoma"/>
            <family val="2"/>
          </rPr>
          <t>Sioux_Knight</t>
        </r>
      </text>
    </comment>
    <comment ref="AY30" authorId="1" shapeId="0">
      <text>
        <r>
          <rPr>
            <sz val="9"/>
            <color indexed="81"/>
            <rFont val="Tahoma"/>
            <family val="2"/>
          </rPr>
          <t>civ5_irokn1</t>
        </r>
      </text>
    </comment>
    <comment ref="BA30" authorId="1" shapeId="0">
      <text>
        <r>
          <rPr>
            <sz val="9"/>
            <color indexed="81"/>
            <rFont val="Tahoma"/>
            <family val="2"/>
          </rPr>
          <t>Knight_Maya</t>
        </r>
      </text>
    </comment>
    <comment ref="BB30" authorId="1" shapeId="0">
      <text>
        <r>
          <rPr>
            <sz val="9"/>
            <color indexed="81"/>
            <rFont val="Tahoma"/>
            <family val="2"/>
          </rPr>
          <t>Knight_Aztec</t>
        </r>
      </text>
    </comment>
    <comment ref="BC30" authorId="1" shapeId="0">
      <text>
        <r>
          <rPr>
            <sz val="9"/>
            <color indexed="81"/>
            <rFont val="Tahoma"/>
            <family val="2"/>
          </rPr>
          <t>Knight_Inca</t>
        </r>
      </text>
    </comment>
    <comment ref="G31" authorId="1" shapeId="0">
      <text>
        <r>
          <rPr>
            <sz val="9"/>
            <color indexed="81"/>
            <rFont val="Tahoma"/>
            <family val="2"/>
          </rPr>
          <t>frelr1</t>
        </r>
      </text>
    </comment>
    <comment ref="H31" authorId="1" shapeId="0">
      <text>
        <r>
          <rPr>
            <sz val="9"/>
            <color indexed="81"/>
            <rFont val="Tahoma"/>
            <family val="2"/>
          </rPr>
          <t>gerlr1</t>
        </r>
      </text>
    </comment>
    <comment ref="I31" authorId="1" shapeId="0">
      <text>
        <r>
          <rPr>
            <sz val="9"/>
            <color indexed="81"/>
            <rFont val="Tahoma"/>
            <family val="2"/>
          </rPr>
          <t>dutlr1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Hakkapeliitta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Winged Hussar</t>
        </r>
      </text>
    </comment>
    <comment ref="X31" authorId="1" shapeId="0">
      <text>
        <r>
          <rPr>
            <sz val="9"/>
            <color indexed="81"/>
            <rFont val="Tahoma"/>
            <family val="2"/>
          </rPr>
          <t>Qizilbash</t>
        </r>
      </text>
    </comment>
    <comment ref="AM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AR31" authorId="1" shapeId="0">
      <text>
        <r>
          <rPr>
            <sz val="9"/>
            <color indexed="81"/>
            <rFont val="Tahoma"/>
            <family val="2"/>
          </rPr>
          <t>Akazonae_Japan</t>
        </r>
      </text>
    </comment>
    <comment ref="C32" authorId="1" shapeId="0">
      <text>
        <r>
          <rPr>
            <sz val="9"/>
            <color indexed="81"/>
            <rFont val="Tahoma"/>
            <family val="2"/>
          </rPr>
          <t>usa_longsw7</t>
        </r>
      </text>
    </comment>
    <comment ref="D32" authorId="1" shapeId="0">
      <text>
        <r>
          <rPr>
            <sz val="9"/>
            <color indexed="81"/>
            <rFont val="Tahoma"/>
            <family val="2"/>
          </rPr>
          <t>austria_longsw2</t>
        </r>
      </text>
    </comment>
    <comment ref="E32" authorId="1" shapeId="0">
      <text>
        <r>
          <rPr>
            <sz val="9"/>
            <color indexed="81"/>
            <rFont val="Tahoma"/>
            <family val="2"/>
          </rPr>
          <t>ireland_longsw6</t>
        </r>
      </text>
    </comment>
    <comment ref="F32" authorId="1" shapeId="0">
      <text>
        <r>
          <rPr>
            <sz val="9"/>
            <color indexed="81"/>
            <rFont val="Tahoma"/>
            <family val="2"/>
          </rPr>
          <t>Longswordsman_England</t>
        </r>
      </text>
    </comment>
    <comment ref="G32" authorId="1" shapeId="0">
      <text>
        <r>
          <rPr>
            <sz val="9"/>
            <color indexed="81"/>
            <rFont val="Tahoma"/>
            <family val="2"/>
          </rPr>
          <t>frals_templar</t>
        </r>
      </text>
    </comment>
    <comment ref="H32" authorId="1" shapeId="0">
      <text>
        <r>
          <rPr>
            <sz val="9"/>
            <color indexed="81"/>
            <rFont val="Tahoma"/>
            <family val="2"/>
          </rPr>
          <t>Longswordsman_German</t>
        </r>
      </text>
    </comment>
    <comment ref="J32" authorId="1" shapeId="0">
      <text>
        <r>
          <rPr>
            <sz val="9"/>
            <color indexed="81"/>
            <rFont val="Tahoma"/>
            <family val="2"/>
          </rPr>
          <t>Longswordsman_Viking</t>
        </r>
      </text>
    </comment>
    <comment ref="K3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N32" authorId="1" shapeId="0">
      <text>
        <r>
          <rPr>
            <sz val="9"/>
            <color indexed="81"/>
            <rFont val="Tahoma"/>
            <family val="2"/>
          </rPr>
          <t>poland_longsw1</t>
        </r>
      </text>
    </comment>
    <comment ref="O32" authorId="1" shapeId="0">
      <text>
        <r>
          <rPr>
            <sz val="9"/>
            <color indexed="81"/>
            <rFont val="Tahoma"/>
            <family val="2"/>
          </rPr>
          <t>Longswordsman_Russia</t>
        </r>
      </text>
    </comment>
    <comment ref="P32" authorId="1" shapeId="0">
      <text>
        <r>
          <rPr>
            <sz val="9"/>
            <color indexed="81"/>
            <rFont val="Tahoma"/>
            <family val="2"/>
          </rPr>
          <t>spain_longsw6</t>
        </r>
      </text>
    </comment>
    <comment ref="R32" authorId="1" shapeId="0">
      <text>
        <r>
          <rPr>
            <sz val="9"/>
            <color indexed="81"/>
            <rFont val="Tahoma"/>
            <family val="2"/>
          </rPr>
          <t>byzantium_longsw1</t>
        </r>
      </text>
    </comment>
    <comment ref="S32" authorId="1" shapeId="0">
      <text>
        <r>
          <rPr>
            <sz val="9"/>
            <color indexed="81"/>
            <rFont val="Tahoma"/>
            <family val="2"/>
          </rPr>
          <t>Longswordsman_Greece</t>
        </r>
      </text>
    </comment>
    <comment ref="T32" authorId="1" shapeId="0">
      <text>
        <r>
          <rPr>
            <sz val="9"/>
            <color indexed="81"/>
            <rFont val="Tahoma"/>
            <family val="2"/>
          </rPr>
          <t>portugal_longsw8</t>
        </r>
      </text>
    </comment>
    <comment ref="U32" authorId="1" shapeId="0">
      <text>
        <r>
          <rPr>
            <sz val="9"/>
            <color indexed="81"/>
            <rFont val="Tahoma"/>
            <family val="2"/>
          </rPr>
          <t>Longswordsman_Rome</t>
        </r>
      </text>
    </comment>
    <comment ref="V32" authorId="1" shapeId="0">
      <text>
        <r>
          <rPr>
            <sz val="9"/>
            <color indexed="81"/>
            <rFont val="Tahoma"/>
            <family val="2"/>
          </rPr>
          <t>spain_longsw2</t>
        </r>
      </text>
    </comment>
    <comment ref="X32" authorId="1" shapeId="0">
      <text>
        <r>
          <rPr>
            <sz val="9"/>
            <color indexed="81"/>
            <rFont val="Tahoma"/>
            <family val="2"/>
          </rPr>
          <t>Longswordsman_Arabia</t>
        </r>
      </text>
    </comment>
    <comment ref="AA32" authorId="1" shapeId="0">
      <text>
        <r>
          <rPr>
            <sz val="9"/>
            <color indexed="81"/>
            <rFont val="Tahoma"/>
            <family val="2"/>
          </rPr>
          <t>Longswordsman_Babylon</t>
        </r>
      </text>
    </comment>
    <comment ref="AB32" authorId="1" shapeId="0">
      <text>
        <r>
          <rPr>
            <sz val="9"/>
            <color indexed="81"/>
            <rFont val="Tahoma"/>
            <family val="2"/>
          </rPr>
          <t>Longswordsman_Egypt</t>
        </r>
      </text>
    </comment>
    <comment ref="AC32" authorId="1" shapeId="0">
      <text>
        <r>
          <rPr>
            <sz val="9"/>
            <color indexed="81"/>
            <rFont val="Tahoma"/>
            <family val="2"/>
          </rPr>
          <t>Longswordsman_Persia</t>
        </r>
      </text>
    </comment>
    <comment ref="AD32" authorId="1" shapeId="0">
      <text>
        <r>
          <rPr>
            <sz val="9"/>
            <color indexed="81"/>
            <rFont val="Tahoma"/>
            <family val="2"/>
          </rPr>
          <t>SudanSwordsman</t>
        </r>
      </text>
    </comment>
    <comment ref="AF32" authorId="1" shapeId="0">
      <text>
        <r>
          <rPr>
            <sz val="9"/>
            <color indexed="81"/>
            <rFont val="Tahoma"/>
            <family val="2"/>
          </rPr>
          <t>Berber_H_Inf</t>
        </r>
      </text>
    </comment>
    <comment ref="AG32" authorId="1" shapeId="0">
      <text>
        <r>
          <rPr>
            <sz val="9"/>
            <color indexed="81"/>
            <rFont val="Tahoma"/>
            <family val="2"/>
          </rPr>
          <t>SonghaiMedSwordsman</t>
        </r>
      </text>
    </comment>
    <comment ref="AH32" authorId="1" shapeId="0">
      <text>
        <r>
          <rPr>
            <sz val="9"/>
            <color indexed="81"/>
            <rFont val="Tahoma"/>
            <family val="2"/>
          </rPr>
          <t>EthiopiaMedSwordsman</t>
        </r>
      </text>
    </comment>
    <comment ref="AI32" authorId="1" shapeId="0">
      <text>
        <r>
          <rPr>
            <sz val="9"/>
            <color indexed="81"/>
            <rFont val="Tahoma"/>
            <family val="2"/>
          </rPr>
          <t>SonghaiLongsword</t>
        </r>
      </text>
    </comment>
    <comment ref="AK32" authorId="1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L32" authorId="1" shapeId="0">
      <text>
        <r>
          <rPr>
            <sz val="9"/>
            <color indexed="81"/>
            <rFont val="Tahoma"/>
            <family val="2"/>
          </rPr>
          <t>hungary_longsw3</t>
        </r>
      </text>
    </comment>
    <comment ref="AM32" authorId="1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N32" authorId="1" shapeId="0">
      <text>
        <r>
          <rPr>
            <sz val="9"/>
            <color indexed="81"/>
            <rFont val="Tahoma"/>
            <family val="2"/>
          </rPr>
          <t>Longswordsman_India</t>
        </r>
      </text>
    </comment>
    <comment ref="AP32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Q32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R32" authorId="1" shapeId="0">
      <text>
        <r>
          <rPr>
            <sz val="9"/>
            <color indexed="81"/>
            <rFont val="Tahoma"/>
            <family val="2"/>
          </rPr>
          <t>NoDachiSamurai_Japan</t>
        </r>
      </text>
    </comment>
    <comment ref="AS32" authorId="1" shapeId="0">
      <text>
        <r>
          <rPr>
            <sz val="9"/>
            <color indexed="81"/>
            <rFont val="Tahoma"/>
            <family val="2"/>
          </rPr>
          <t>Longswordsman_Korea</t>
        </r>
      </text>
    </comment>
    <comment ref="AT32" authorId="1" shapeId="0">
      <text>
        <r>
          <rPr>
            <sz val="9"/>
            <color indexed="81"/>
            <rFont val="Tahoma"/>
            <family val="2"/>
          </rPr>
          <t>Longswordsman_Mongol</t>
        </r>
      </text>
    </comment>
    <comment ref="AX32" authorId="1" shapeId="0">
      <text>
        <r>
          <rPr>
            <sz val="9"/>
            <color indexed="81"/>
            <rFont val="Tahoma"/>
            <family val="2"/>
          </rPr>
          <t>civ5_irols4</t>
        </r>
      </text>
    </comment>
    <comment ref="AY32" authorId="1" shapeId="0">
      <text>
        <r>
          <rPr>
            <sz val="9"/>
            <color indexed="81"/>
            <rFont val="Tahoma"/>
            <family val="2"/>
          </rPr>
          <t>civ5_irols1</t>
        </r>
      </text>
    </comment>
    <comment ref="BA32" authorId="1" shapeId="0">
      <text>
        <r>
          <rPr>
            <sz val="9"/>
            <color indexed="81"/>
            <rFont val="Tahoma"/>
            <family val="2"/>
          </rPr>
          <t>Longswordsman_Maya</t>
        </r>
      </text>
    </comment>
    <comment ref="BB32" authorId="1" shapeId="0">
      <text>
        <r>
          <rPr>
            <sz val="9"/>
            <color indexed="81"/>
            <rFont val="Tahoma"/>
            <family val="2"/>
          </rPr>
          <t>Longswordsman_Aztec</t>
        </r>
      </text>
    </comment>
    <comment ref="BC32" authorId="1" shapeId="0">
      <text>
        <r>
          <rPr>
            <sz val="9"/>
            <color indexed="81"/>
            <rFont val="Tahoma"/>
            <family val="2"/>
          </rPr>
          <t>Longswordsman_Inca</t>
        </r>
      </text>
    </comment>
    <comment ref="F34" authorId="1" shapeId="0">
      <text>
        <r>
          <rPr>
            <sz val="9"/>
            <color indexed="81"/>
            <rFont val="Tahoma"/>
            <family val="2"/>
          </rPr>
          <t>RM_Commando</t>
        </r>
      </text>
    </comment>
    <comment ref="H34" authorId="0" shapeId="0">
      <text>
        <r>
          <rPr>
            <b/>
            <sz val="9"/>
            <color indexed="81"/>
            <rFont val="Tahoma"/>
            <family val="2"/>
          </rPr>
          <t>germa_mp44</t>
        </r>
        <r>
          <rPr>
            <sz val="9"/>
            <color indexed="81"/>
            <rFont val="Tahoma"/>
            <family val="2"/>
          </rPr>
          <t xml:space="preserve"> (animation issue--units lie flat on their backs)</t>
        </r>
      </text>
    </comment>
    <comment ref="J34" authorId="1" shapeId="0">
      <text>
        <r>
          <rPr>
            <sz val="9"/>
            <color indexed="81"/>
            <rFont val="Tahoma"/>
            <family val="2"/>
          </rPr>
          <t>EuropeanSF</t>
        </r>
      </text>
    </comment>
    <comment ref="M34" authorId="1" shapeId="0">
      <text>
        <r>
          <rPr>
            <sz val="9"/>
            <color indexed="81"/>
            <rFont val="Tahoma"/>
            <family val="2"/>
          </rPr>
          <t>RussianSF</t>
        </r>
      </text>
    </comment>
    <comment ref="X34" authorId="1" shapeId="0">
      <text>
        <r>
          <rPr>
            <sz val="9"/>
            <color indexed="81"/>
            <rFont val="Tahoma"/>
            <family val="2"/>
          </rPr>
          <t>Terrorist</t>
        </r>
      </text>
    </comment>
    <comment ref="AG34" authorId="1" shapeId="0">
      <text>
        <r>
          <rPr>
            <sz val="9"/>
            <color indexed="81"/>
            <rFont val="Tahoma"/>
            <family val="2"/>
          </rPr>
          <t>Civ5_AfricanSF_v2</t>
        </r>
      </text>
    </comment>
    <comment ref="AP34" authorId="1" shapeId="0">
      <text>
        <r>
          <rPr>
            <sz val="9"/>
            <color indexed="81"/>
            <rFont val="Tahoma"/>
            <family val="2"/>
          </rPr>
          <t>AsianSF</t>
        </r>
      </text>
    </comment>
    <comment ref="AU34" authorId="1" shapeId="0">
      <text>
        <r>
          <rPr>
            <sz val="9"/>
            <color indexed="81"/>
            <rFont val="Tahoma"/>
            <family val="2"/>
          </rPr>
          <t>vietcong</t>
        </r>
      </text>
    </comment>
    <comment ref="BA34" authorId="1" shapeId="0">
      <text>
        <r>
          <rPr>
            <sz val="9"/>
            <color indexed="81"/>
            <rFont val="Tahoma"/>
            <family val="2"/>
          </rPr>
          <t>SthAmericanSF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>Civ5_Bradley</t>
        </r>
      </text>
    </comment>
    <comment ref="C36" authorId="1" shapeId="0">
      <text>
        <r>
          <rPr>
            <sz val="9"/>
            <color indexed="81"/>
            <rFont val="Tahoma"/>
            <family val="2"/>
          </rPr>
          <t>Civ5_Bradley_Camo</t>
        </r>
      </text>
    </comment>
    <comment ref="F36" authorId="1" shapeId="0">
      <text>
        <r>
          <rPr>
            <sz val="9"/>
            <color indexed="81"/>
            <rFont val="Tahoma"/>
            <family val="2"/>
          </rPr>
          <t>FV510Warrior</t>
        </r>
      </text>
    </comment>
    <comment ref="H36" authorId="1" shapeId="0">
      <text>
        <r>
          <rPr>
            <sz val="9"/>
            <color indexed="81"/>
            <rFont val="Tahoma"/>
            <family val="2"/>
          </rPr>
          <t>Marder</t>
        </r>
      </text>
    </comment>
    <comment ref="M36" authorId="1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O36" authorId="1" shapeId="0">
      <text>
        <r>
          <rPr>
            <sz val="9"/>
            <color indexed="81"/>
            <rFont val="Tahoma"/>
            <family val="2"/>
          </rPr>
          <t>BMP2Russia</t>
        </r>
      </text>
    </comment>
    <comment ref="U36" authorId="1" shapeId="0">
      <text>
        <r>
          <rPr>
            <sz val="9"/>
            <color indexed="81"/>
            <rFont val="Tahoma"/>
            <family val="2"/>
          </rPr>
          <t>dardo</t>
        </r>
      </text>
    </comment>
    <comment ref="X36" authorId="1" shapeId="0">
      <text>
        <r>
          <rPr>
            <sz val="9"/>
            <color indexed="81"/>
            <rFont val="Tahoma"/>
            <family val="2"/>
          </rPr>
          <t>BMP2DesertTeam</t>
        </r>
      </text>
    </comment>
    <comment ref="Y36" authorId="1" shapeId="0">
      <text>
        <r>
          <rPr>
            <sz val="9"/>
            <color indexed="81"/>
            <rFont val="Tahoma"/>
            <family val="2"/>
          </rPr>
          <t>Civ5_Bradley_Desert</t>
        </r>
      </text>
    </comment>
    <comment ref="AA36" authorId="1" shapeId="0">
      <text>
        <r>
          <rPr>
            <sz val="9"/>
            <color indexed="81"/>
            <rFont val="Tahoma"/>
            <family val="2"/>
          </rPr>
          <t>BMP2Iraq</t>
        </r>
      </text>
    </comment>
    <comment ref="AC36" authorId="1" shapeId="0">
      <text>
        <r>
          <rPr>
            <sz val="9"/>
            <color indexed="81"/>
            <rFont val="Tahoma"/>
            <family val="2"/>
          </rPr>
          <t>BMP2Iran</t>
        </r>
      </text>
    </comment>
    <comment ref="AD36" authorId="1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E36" authorId="1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N36" authorId="2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O36" authorId="1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P36" authorId="2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ArleighBurke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M37" authorId="1" shapeId="0">
      <text>
        <r>
          <rPr>
            <sz val="9"/>
            <color indexed="81"/>
            <rFont val="Tahoma"/>
            <family val="2"/>
          </rPr>
          <t>kirov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BPK1155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G38" authorId="1" shapeId="0">
      <text>
        <r>
          <rPr>
            <sz val="9"/>
            <color indexed="81"/>
            <rFont val="Tahoma"/>
            <family val="2"/>
          </rPr>
          <t>RolandFrance</t>
        </r>
      </text>
    </comment>
    <comment ref="V38" authorId="1" shapeId="0">
      <text>
        <r>
          <rPr>
            <sz val="9"/>
            <color indexed="81"/>
            <rFont val="Tahoma"/>
            <family val="2"/>
          </rPr>
          <t>RolandSpain</t>
        </r>
      </text>
    </comment>
    <comment ref="X38" authorId="1" shapeId="0">
      <text>
        <r>
          <rPr>
            <sz val="9"/>
            <color indexed="81"/>
            <rFont val="Tahoma"/>
            <family val="2"/>
          </rPr>
          <t>RolandTanTeamColor</t>
        </r>
      </text>
    </comment>
    <comment ref="C39" authorId="1" shapeId="0">
      <text>
        <r>
          <rPr>
            <sz val="9"/>
            <color indexed="81"/>
            <rFont val="Tahoma"/>
            <family val="2"/>
          </rPr>
          <t>M1Abrams</t>
        </r>
      </text>
    </comment>
    <comment ref="F39" authorId="1" shapeId="0">
      <text>
        <r>
          <rPr>
            <sz val="9"/>
            <color indexed="81"/>
            <rFont val="Tahoma"/>
            <family val="2"/>
          </rPr>
          <t>ChallengerII</t>
        </r>
      </text>
    </comment>
    <comment ref="G39" authorId="1" shapeId="0">
      <text>
        <r>
          <rPr>
            <sz val="9"/>
            <color indexed="81"/>
            <rFont val="Tahoma"/>
            <family val="2"/>
          </rPr>
          <t>Leclerc</t>
        </r>
      </text>
    </comment>
    <comment ref="H39" authorId="1" shapeId="0">
      <text>
        <r>
          <rPr>
            <sz val="9"/>
            <color indexed="81"/>
            <rFont val="Tahoma"/>
            <family val="2"/>
          </rPr>
          <t>Leopard2</t>
        </r>
      </text>
    </comment>
    <comment ref="I39" authorId="1" shapeId="0">
      <text>
        <r>
          <rPr>
            <sz val="9"/>
            <color indexed="81"/>
            <rFont val="Tahoma"/>
            <family val="2"/>
          </rPr>
          <t>Leopard1_Netherlands</t>
        </r>
      </text>
    </comment>
    <comment ref="M39" authorId="1" shapeId="0">
      <text>
        <r>
          <rPr>
            <sz val="9"/>
            <color indexed="81"/>
            <rFont val="Tahoma"/>
            <family val="2"/>
          </rPr>
          <t>T72_USSR</t>
        </r>
      </text>
    </comment>
    <comment ref="O39" authorId="1" shapeId="0">
      <text>
        <r>
          <rPr>
            <sz val="9"/>
            <color indexed="81"/>
            <rFont val="Tahoma"/>
            <family val="2"/>
          </rPr>
          <t>T90</t>
        </r>
      </text>
    </comment>
    <comment ref="S39" authorId="1" shapeId="0">
      <text>
        <r>
          <rPr>
            <sz val="9"/>
            <color indexed="81"/>
            <rFont val="Tahoma"/>
            <family val="2"/>
          </rPr>
          <t>Leopard1_Greece</t>
        </r>
      </text>
    </comment>
    <comment ref="U39" authorId="1" shapeId="0">
      <text>
        <r>
          <rPr>
            <sz val="9"/>
            <color indexed="81"/>
            <rFont val="Tahoma"/>
            <family val="2"/>
          </rPr>
          <t>Ariete</t>
        </r>
      </text>
    </comment>
    <comment ref="X39" authorId="1" shapeId="0">
      <text>
        <r>
          <rPr>
            <sz val="9"/>
            <color indexed="81"/>
            <rFont val="Tahoma"/>
            <family val="2"/>
          </rPr>
          <t>T72</t>
        </r>
      </text>
    </comment>
    <comment ref="Y39" authorId="1" shapeId="0">
      <text>
        <r>
          <rPr>
            <sz val="9"/>
            <color indexed="81"/>
            <rFont val="Tahoma"/>
            <family val="2"/>
          </rPr>
          <t>ChallengerII_Desert</t>
        </r>
      </text>
    </comment>
    <comment ref="AA39" authorId="1" shapeId="0">
      <text>
        <r>
          <rPr>
            <sz val="9"/>
            <color indexed="81"/>
            <rFont val="Tahoma"/>
            <family val="2"/>
          </rPr>
          <t>T72_Iraq</t>
        </r>
      </text>
    </comment>
    <comment ref="AB39" authorId="1" shapeId="0">
      <text>
        <r>
          <rPr>
            <sz val="9"/>
            <color indexed="81"/>
            <rFont val="Tahoma"/>
            <family val="2"/>
          </rPr>
          <t>T55Egypt</t>
        </r>
      </text>
    </comment>
    <comment ref="AC39" authorId="1" shapeId="0">
      <text>
        <r>
          <rPr>
            <sz val="9"/>
            <color indexed="81"/>
            <rFont val="Tahoma"/>
            <family val="2"/>
          </rPr>
          <t>T72_Iran</t>
        </r>
      </text>
    </comment>
    <comment ref="AD39" authorId="1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E39" authorId="1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G39" authorId="1" shapeId="0">
      <text>
        <r>
          <rPr>
            <sz val="9"/>
            <color indexed="81"/>
            <rFont val="Tahoma"/>
            <family val="2"/>
          </rPr>
          <t>T55TanTC</t>
        </r>
      </text>
    </comment>
    <comment ref="AH39" authorId="1" shapeId="0">
      <text>
        <r>
          <rPr>
            <sz val="9"/>
            <color indexed="81"/>
            <rFont val="Tahoma"/>
            <family val="2"/>
          </rPr>
          <t>T55Ethiopia</t>
        </r>
      </text>
    </comment>
    <comment ref="AI39" authorId="1" shapeId="0">
      <text>
        <r>
          <rPr>
            <sz val="9"/>
            <color indexed="81"/>
            <rFont val="Tahoma"/>
            <family val="2"/>
          </rPr>
          <t>T55Mali</t>
        </r>
      </text>
    </comment>
    <comment ref="AM39" authorId="1" shapeId="0">
      <text>
        <r>
          <rPr>
            <sz val="9"/>
            <color indexed="81"/>
            <rFont val="Tahoma"/>
            <family val="2"/>
          </rPr>
          <t>Leopard1_Turkey</t>
        </r>
      </text>
    </comment>
    <comment ref="AO39" authorId="1" shapeId="0">
      <text>
        <r>
          <rPr>
            <sz val="9"/>
            <color indexed="81"/>
            <rFont val="Tahoma"/>
            <family val="2"/>
          </rPr>
          <t>T72_India</t>
        </r>
      </text>
    </comment>
    <comment ref="AQ39" authorId="1" shapeId="0">
      <text>
        <r>
          <rPr>
            <sz val="9"/>
            <color indexed="81"/>
            <rFont val="Tahoma"/>
            <family val="2"/>
          </rPr>
          <t>T55China</t>
        </r>
      </text>
    </comment>
    <comment ref="AT39" authorId="1" shapeId="0">
      <text>
        <r>
          <rPr>
            <sz val="9"/>
            <color indexed="81"/>
            <rFont val="Tahoma"/>
            <family val="2"/>
          </rPr>
          <t>T55Mongolia</t>
        </r>
      </text>
    </comment>
    <comment ref="AW39" authorId="1" shapeId="0">
      <text>
        <r>
          <rPr>
            <sz val="9"/>
            <color indexed="81"/>
            <rFont val="Tahoma"/>
            <family val="2"/>
          </rPr>
          <t>Armor_T-55</t>
        </r>
      </text>
    </comment>
    <comment ref="BC39" authorId="1" shapeId="0">
      <text>
        <r>
          <rPr>
            <sz val="9"/>
            <color indexed="81"/>
            <rFont val="Tahoma"/>
            <family val="2"/>
          </rPr>
          <t>T55Peru</t>
        </r>
      </text>
    </comment>
    <comment ref="C40" authorId="1" shapeId="0">
      <text>
        <r>
          <rPr>
            <sz val="9"/>
            <color indexed="81"/>
            <rFont val="Tahoma"/>
            <family val="2"/>
          </rPr>
          <t>continental_inf</t>
        </r>
      </text>
    </comment>
    <comment ref="F40" authorId="1" shapeId="0">
      <text>
        <r>
          <rPr>
            <sz val="9"/>
            <color indexed="81"/>
            <rFont val="Tahoma"/>
            <family val="2"/>
          </rPr>
          <t>redcoat</t>
        </r>
      </text>
    </comment>
    <comment ref="G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Musketeer</t>
        </r>
      </text>
    </comment>
    <comment ref="H40" authorId="1" shapeId="0">
      <text>
        <r>
          <rPr>
            <sz val="9"/>
            <color indexed="81"/>
            <rFont val="Tahoma"/>
            <family val="2"/>
          </rPr>
          <t>musketman_ger</t>
        </r>
      </text>
    </comment>
    <comment ref="I40" authorId="1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M40" authorId="2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N40" authorId="1" shapeId="0">
      <text>
        <r>
          <rPr>
            <sz val="9"/>
            <color indexed="81"/>
            <rFont val="Tahoma"/>
            <family val="2"/>
          </rPr>
          <t>Polish_Chosen</t>
        </r>
      </text>
    </comment>
    <comment ref="O40" authorId="1" shapeId="0">
      <text>
        <r>
          <rPr>
            <sz val="9"/>
            <color indexed="81"/>
            <rFont val="Tahoma"/>
            <family val="2"/>
          </rPr>
          <t>Streltsy_Black_Coat</t>
        </r>
      </text>
    </comment>
    <comment ref="Q40" authorId="1" shapeId="0">
      <text>
        <r>
          <rPr>
            <sz val="9"/>
            <color indexed="81"/>
            <rFont val="Tahoma"/>
            <family val="2"/>
          </rPr>
          <t>BrazilPretosForros</t>
        </r>
      </text>
    </comment>
    <comment ref="V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Tercio</t>
        </r>
      </text>
    </comment>
    <comment ref="AG40" authorId="1" shapeId="0">
      <text>
        <r>
          <rPr>
            <sz val="9"/>
            <color indexed="81"/>
            <rFont val="Tahoma"/>
            <family val="2"/>
          </rPr>
          <t>EthiopianOromo3</t>
        </r>
      </text>
    </comment>
    <comment ref="AH40" authorId="1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M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Janissary</t>
        </r>
      </text>
    </comment>
    <comment ref="AX40" authorId="1" shapeId="0">
      <text>
        <r>
          <rPr>
            <sz val="9"/>
            <color indexed="81"/>
            <rFont val="Tahoma"/>
            <family val="2"/>
          </rPr>
          <t>CL_Ogichidaa</t>
        </r>
      </text>
    </comment>
    <comment ref="AY40" authorId="1" shapeId="0">
      <text>
        <r>
          <rPr>
            <sz val="9"/>
            <color indexed="81"/>
            <rFont val="Tahoma"/>
            <family val="2"/>
          </rPr>
          <t>civ5_iromu1</t>
        </r>
      </text>
    </comment>
    <comment ref="AZ40" authorId="1" shapeId="0">
      <text>
        <r>
          <rPr>
            <sz val="9"/>
            <color indexed="81"/>
            <rFont val="Tahoma"/>
            <family val="2"/>
          </rPr>
          <t>native_rifleman</t>
        </r>
      </text>
    </comment>
    <comment ref="C42" authorId="1" shapeId="0">
      <text>
        <r>
          <rPr>
            <sz val="9"/>
            <color indexed="81"/>
            <rFont val="Tahoma"/>
            <family val="2"/>
          </rPr>
          <t>losangeles</t>
        </r>
      </text>
    </comment>
    <comment ref="F42" authorId="1" shapeId="0">
      <text>
        <r>
          <rPr>
            <sz val="9"/>
            <color indexed="81"/>
            <rFont val="Tahoma"/>
            <family val="2"/>
          </rPr>
          <t>astute</t>
        </r>
      </text>
    </comment>
    <comment ref="M42" authorId="1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O42" authorId="2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C43" authorId="1" shapeId="0">
      <text>
        <r>
          <rPr>
            <sz val="9"/>
            <color indexed="81"/>
            <rFont val="Tahoma"/>
            <family val="2"/>
          </rPr>
          <t>Paratrooper_USA_MG</t>
        </r>
      </text>
    </comment>
    <comment ref="D43" authorId="1" shapeId="0">
      <text>
        <r>
          <rPr>
            <sz val="9"/>
            <color indexed="81"/>
            <rFont val="Tahoma"/>
            <family val="2"/>
          </rPr>
          <t>Paratrooper_German_MG_v2</t>
        </r>
      </text>
    </comment>
    <comment ref="F43" authorId="1" shapeId="0">
      <text>
        <r>
          <rPr>
            <sz val="9"/>
            <color indexed="81"/>
            <rFont val="Tahoma"/>
            <family val="2"/>
          </rPr>
          <t>Paratrooper_UK_MG</t>
        </r>
      </text>
    </comment>
    <comment ref="G43" authorId="1" shapeId="0">
      <text>
        <r>
          <rPr>
            <sz val="9"/>
            <color indexed="81"/>
            <rFont val="Tahoma"/>
            <family val="2"/>
          </rPr>
          <t>Paratrooper_France_MG</t>
        </r>
      </text>
    </comment>
    <comment ref="H43" authorId="1" shapeId="0">
      <text>
        <r>
          <rPr>
            <sz val="9"/>
            <color indexed="81"/>
            <rFont val="Tahoma"/>
            <family val="2"/>
          </rPr>
          <t>Paratrooper_German_MG</t>
        </r>
      </text>
    </comment>
    <comment ref="I43" authorId="1" shapeId="0">
      <text>
        <r>
          <rPr>
            <sz val="9"/>
            <color indexed="81"/>
            <rFont val="Tahoma"/>
            <family val="2"/>
          </rPr>
          <t>Paratrooper_Dutch_MG</t>
        </r>
      </text>
    </comment>
    <comment ref="J43" authorId="1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L43" authorId="1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M43" authorId="1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N43" authorId="1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O43" authorId="1" shapeId="0">
      <text>
        <r>
          <rPr>
            <sz val="9"/>
            <color indexed="81"/>
            <rFont val="Tahoma"/>
            <family val="2"/>
          </rPr>
          <t>Paratrooper_Russia_MG</t>
        </r>
      </text>
    </comment>
    <comment ref="S43" authorId="1" shapeId="0">
      <text>
        <r>
          <rPr>
            <sz val="9"/>
            <color indexed="81"/>
            <rFont val="Tahoma"/>
            <family val="2"/>
          </rPr>
          <t>Paratrooper_Greece_MG</t>
        </r>
      </text>
    </comment>
    <comment ref="U43" authorId="1" shapeId="0">
      <text>
        <r>
          <rPr>
            <sz val="9"/>
            <color indexed="81"/>
            <rFont val="Tahoma"/>
            <family val="2"/>
          </rPr>
          <t>Paratrooper_Italy_MG</t>
        </r>
      </text>
    </comment>
    <comment ref="V43" authorId="1" shapeId="0">
      <text>
        <r>
          <rPr>
            <sz val="9"/>
            <color indexed="81"/>
            <rFont val="Tahoma"/>
            <family val="2"/>
          </rPr>
          <t>Paratrooper_Spain_MG</t>
        </r>
      </text>
    </comment>
    <comment ref="AL43" authorId="1" shapeId="0">
      <text>
        <r>
          <rPr>
            <sz val="9"/>
            <color indexed="81"/>
            <rFont val="Tahoma"/>
            <family val="2"/>
          </rPr>
          <t>Paratrooper_Hungary_MG</t>
        </r>
      </text>
    </comment>
    <comment ref="AP43" authorId="1" shapeId="0">
      <text>
        <r>
          <rPr>
            <sz val="9"/>
            <color indexed="81"/>
            <rFont val="Tahoma"/>
            <family val="2"/>
          </rPr>
          <t>Paratrooper_Japan_MG</t>
        </r>
      </text>
    </comment>
    <comment ref="AQ43" authorId="1" shapeId="0">
      <text>
        <r>
          <rPr>
            <sz val="9"/>
            <color indexed="81"/>
            <rFont val="Tahoma"/>
            <family val="2"/>
          </rPr>
          <t>Paratrooper_China_MG</t>
        </r>
      </text>
    </comment>
    <comment ref="BE43" authorId="1" shapeId="0">
      <text>
        <r>
          <rPr>
            <sz val="9"/>
            <color indexed="81"/>
            <rFont val="Tahoma"/>
            <family val="2"/>
          </rPr>
          <t>Paratrooper_Generic_MG</t>
        </r>
      </text>
    </comment>
    <comment ref="C44" authorId="1" shapeId="0">
      <text>
        <r>
          <rPr>
            <sz val="9"/>
            <color indexed="81"/>
            <rFont val="Tahoma"/>
            <family val="2"/>
          </rPr>
          <t>Pikeman_American</t>
        </r>
      </text>
    </comment>
    <comment ref="D44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Pikeman_German</t>
        </r>
      </text>
    </comment>
    <comment ref="F44" authorId="1" shapeId="0">
      <text>
        <r>
          <rPr>
            <sz val="9"/>
            <color indexed="81"/>
            <rFont val="Tahoma"/>
            <family val="2"/>
          </rPr>
          <t>Pikeman_England</t>
        </r>
      </text>
    </comment>
    <comment ref="G44" authorId="1" shapeId="0">
      <text>
        <r>
          <rPr>
            <sz val="9"/>
            <color indexed="81"/>
            <rFont val="Tahoma"/>
            <family val="2"/>
          </rPr>
          <t>Pikeman_France</t>
        </r>
      </text>
    </comment>
    <comment ref="H44" authorId="1" shapeId="0">
      <text>
        <r>
          <rPr>
            <sz val="9"/>
            <color indexed="81"/>
            <rFont val="Tahoma"/>
            <family val="2"/>
          </rPr>
          <t>Pikeman_German</t>
        </r>
      </text>
    </comment>
    <comment ref="J44" authorId="1" shapeId="0">
      <text>
        <r>
          <rPr>
            <sz val="9"/>
            <color indexed="81"/>
            <rFont val="Tahoma"/>
            <family val="2"/>
          </rPr>
          <t>Pikeman_Viking</t>
        </r>
      </text>
    </comment>
    <comment ref="M44" authorId="1" shapeId="0">
      <text>
        <r>
          <rPr>
            <sz val="9"/>
            <color indexed="81"/>
            <rFont val="Tahoma"/>
            <family val="2"/>
          </rPr>
          <t>Pikeman_Russia</t>
        </r>
      </text>
    </comment>
    <comment ref="P44" authorId="1" shapeId="0">
      <text>
        <r>
          <rPr>
            <sz val="9"/>
            <color indexed="81"/>
            <rFont val="Tahoma"/>
            <family val="2"/>
          </rPr>
          <t>Pikeman_Spain</t>
        </r>
      </text>
    </comment>
    <comment ref="S44" authorId="1" shapeId="0">
      <text>
        <r>
          <rPr>
            <sz val="9"/>
            <color indexed="81"/>
            <rFont val="Tahoma"/>
            <family val="2"/>
          </rPr>
          <t>Pikeman_Greece</t>
        </r>
      </text>
    </comment>
    <comment ref="U44" authorId="1" shapeId="0">
      <text>
        <r>
          <rPr>
            <sz val="9"/>
            <color indexed="81"/>
            <rFont val="Tahoma"/>
            <family val="2"/>
          </rPr>
          <t>Pikeman_Rome</t>
        </r>
      </text>
    </comment>
    <comment ref="X44" authorId="1" shapeId="0">
      <text>
        <r>
          <rPr>
            <sz val="9"/>
            <color indexed="81"/>
            <rFont val="Tahoma"/>
            <family val="2"/>
          </rPr>
          <t>Pikeman_Arabia</t>
        </r>
      </text>
    </comment>
    <comment ref="AA44" authorId="1" shapeId="0">
      <text>
        <r>
          <rPr>
            <sz val="9"/>
            <color indexed="81"/>
            <rFont val="Tahoma"/>
            <family val="2"/>
          </rPr>
          <t>Pikeman_Babylon</t>
        </r>
      </text>
    </comment>
    <comment ref="AB44" authorId="1" shapeId="0">
      <text>
        <r>
          <rPr>
            <sz val="9"/>
            <color indexed="81"/>
            <rFont val="Tahoma"/>
            <family val="2"/>
          </rPr>
          <t>Pikeman_Egypt</t>
        </r>
      </text>
    </comment>
    <comment ref="AC44" authorId="1" shapeId="0">
      <text>
        <r>
          <rPr>
            <sz val="9"/>
            <color indexed="81"/>
            <rFont val="Tahoma"/>
            <family val="2"/>
          </rPr>
          <t>Pikeman_Persia</t>
        </r>
      </text>
    </comment>
    <comment ref="AD44" authorId="1" shapeId="0">
      <text>
        <r>
          <rPr>
            <sz val="9"/>
            <color indexed="81"/>
            <rFont val="Tahoma"/>
            <family val="2"/>
          </rPr>
          <t>SonghaiPikeman</t>
        </r>
      </text>
    </comment>
    <comment ref="AE44" authorId="1" shapeId="0">
      <text>
        <r>
          <rPr>
            <sz val="9"/>
            <color indexed="81"/>
            <rFont val="Tahoma"/>
            <family val="2"/>
          </rPr>
          <t>CarthageSpearman</t>
        </r>
      </text>
    </comment>
    <comment ref="AG44" authorId="1" shapeId="0">
      <text>
        <r>
          <rPr>
            <sz val="9"/>
            <color indexed="81"/>
            <rFont val="Tahoma"/>
            <family val="2"/>
          </rPr>
          <t>EthiopianPikeman</t>
        </r>
      </text>
    </comment>
    <comment ref="AI44" authorId="1" shapeId="0">
      <text>
        <r>
          <rPr>
            <sz val="9"/>
            <color indexed="81"/>
            <rFont val="Tahoma"/>
            <family val="2"/>
          </rPr>
          <t>SonghaiPikeman2</t>
        </r>
      </text>
    </comment>
    <comment ref="AJ4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Impi</t>
        </r>
      </text>
    </comment>
    <comment ref="AK44" authorId="1" shapeId="0">
      <text>
        <r>
          <rPr>
            <sz val="9"/>
            <color indexed="81"/>
            <rFont val="Tahoma"/>
            <family val="2"/>
          </rPr>
          <t>Pikeman_Turkey</t>
        </r>
      </text>
    </comment>
    <comment ref="AN44" authorId="1" shapeId="0">
      <text>
        <r>
          <rPr>
            <sz val="9"/>
            <color indexed="81"/>
            <rFont val="Tahoma"/>
            <family val="2"/>
          </rPr>
          <t>Pikeman_India</t>
        </r>
      </text>
    </comment>
    <comment ref="AP44" authorId="1" shapeId="0">
      <text>
        <r>
          <rPr>
            <sz val="9"/>
            <color indexed="81"/>
            <rFont val="Tahoma"/>
            <family val="2"/>
          </rPr>
          <t>Halberdier_China</t>
        </r>
      </text>
    </comment>
    <comment ref="AQ44" authorId="1" shapeId="0">
      <text>
        <r>
          <rPr>
            <sz val="9"/>
            <color indexed="81"/>
            <rFont val="Tahoma"/>
            <family val="2"/>
          </rPr>
          <t>Pikeman_China</t>
        </r>
      </text>
    </comment>
    <comment ref="AR44" authorId="1" shapeId="0">
      <text>
        <r>
          <rPr>
            <sz val="9"/>
            <color indexed="81"/>
            <rFont val="Tahoma"/>
            <family val="2"/>
          </rPr>
          <t>Pikeman_Japan</t>
        </r>
      </text>
    </comment>
    <comment ref="AS44" authorId="1" shapeId="0">
      <text>
        <r>
          <rPr>
            <sz val="9"/>
            <color indexed="81"/>
            <rFont val="Tahoma"/>
            <family val="2"/>
          </rPr>
          <t>Pikeman_Korea</t>
        </r>
      </text>
    </comment>
    <comment ref="AT44" authorId="1" shapeId="0">
      <text>
        <r>
          <rPr>
            <sz val="9"/>
            <color indexed="81"/>
            <rFont val="Tahoma"/>
            <family val="2"/>
          </rPr>
          <t>Pikeman_Mongol</t>
        </r>
      </text>
    </comment>
    <comment ref="AU44" authorId="1" shapeId="0">
      <text>
        <r>
          <rPr>
            <sz val="9"/>
            <color indexed="81"/>
            <rFont val="Tahoma"/>
            <family val="2"/>
          </rPr>
          <t>u_malaysian_silat</t>
        </r>
      </text>
    </comment>
    <comment ref="AX44" authorId="1" shapeId="0">
      <text>
        <r>
          <rPr>
            <sz val="9"/>
            <color indexed="81"/>
            <rFont val="Tahoma"/>
            <family val="2"/>
          </rPr>
          <t>civ5_iropi1</t>
        </r>
      </text>
    </comment>
    <comment ref="BA44" authorId="1" shapeId="0">
      <text>
        <r>
          <rPr>
            <sz val="9"/>
            <color indexed="81"/>
            <rFont val="Tahoma"/>
            <family val="2"/>
          </rPr>
          <t>chimu_pikeman</t>
        </r>
      </text>
    </comment>
    <comment ref="BB44" authorId="1" shapeId="0">
      <text>
        <r>
          <rPr>
            <sz val="9"/>
            <color indexed="81"/>
            <rFont val="Tahoma"/>
            <family val="2"/>
          </rPr>
          <t>Pikeman_Aztec</t>
        </r>
      </text>
    </comment>
    <comment ref="BC44" authorId="1" shapeId="0">
      <text>
        <r>
          <rPr>
            <sz val="9"/>
            <color indexed="81"/>
            <rFont val="Tahoma"/>
            <family val="2"/>
          </rPr>
          <t>Pikeman_Inca</t>
        </r>
      </text>
    </comment>
    <comment ref="BD44" authorId="1" shapeId="0">
      <text>
        <r>
          <rPr>
            <sz val="9"/>
            <color indexed="81"/>
            <rFont val="Tahoma"/>
            <family val="2"/>
          </rPr>
          <t>Pikeman_Maya</t>
        </r>
      </text>
    </comment>
    <comment ref="C45" authorId="1" shapeId="0">
      <text>
        <r>
          <rPr>
            <sz val="9"/>
            <color indexed="81"/>
            <rFont val="Tahoma"/>
            <family val="2"/>
          </rPr>
          <t>civ5_usarm</t>
        </r>
      </text>
    </comment>
    <comment ref="D45" authorId="1" shapeId="0">
      <text>
        <r>
          <rPr>
            <sz val="9"/>
            <color indexed="81"/>
            <rFont val="Tahoma"/>
            <family val="2"/>
          </rPr>
          <t>civ5_ausrm1</t>
        </r>
      </text>
    </comment>
    <comment ref="E45" authorId="1" shapeId="0">
      <text>
        <r>
          <rPr>
            <sz val="9"/>
            <color indexed="81"/>
            <rFont val="Tahoma"/>
            <family val="2"/>
          </rPr>
          <t>celrm1</t>
        </r>
      </text>
    </comment>
    <comment ref="F45" authorId="1" shapeId="0">
      <text>
        <r>
          <rPr>
            <sz val="9"/>
            <color indexed="81"/>
            <rFont val="Tahoma"/>
            <family val="2"/>
          </rPr>
          <t>civ5_engrm1</t>
        </r>
      </text>
    </comment>
    <comment ref="G45" authorId="1" shapeId="0">
      <text>
        <r>
          <rPr>
            <sz val="9"/>
            <color indexed="81"/>
            <rFont val="Tahoma"/>
            <family val="2"/>
          </rPr>
          <t>civ5_frerm</t>
        </r>
      </text>
    </comment>
    <comment ref="H45" authorId="1" shapeId="0">
      <text>
        <r>
          <rPr>
            <sz val="9"/>
            <color indexed="81"/>
            <rFont val="Tahoma"/>
            <family val="2"/>
          </rPr>
          <t>civ5_gerrm</t>
        </r>
      </text>
    </comment>
    <comment ref="I45" authorId="1" shapeId="0">
      <text>
        <r>
          <rPr>
            <sz val="9"/>
            <color indexed="81"/>
            <rFont val="Tahoma"/>
            <family val="2"/>
          </rPr>
          <t>civ5_dutrm1</t>
        </r>
      </text>
    </comment>
    <comment ref="J45" authorId="1" shapeId="0">
      <text>
        <r>
          <rPr>
            <sz val="9"/>
            <color indexed="81"/>
            <rFont val="Tahoma"/>
            <family val="2"/>
          </rPr>
          <t>civ5_danrm1</t>
        </r>
      </text>
    </comment>
    <comment ref="K4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Ski Infantry</t>
        </r>
      </text>
    </comment>
    <comment ref="L45" authorId="1" shapeId="0">
      <text>
        <r>
          <rPr>
            <sz val="9"/>
            <color indexed="81"/>
            <rFont val="Tahoma"/>
            <family val="2"/>
          </rPr>
          <t>civ5_swerm1</t>
        </r>
      </text>
    </comment>
    <comment ref="O45" authorId="1" shapeId="0">
      <text>
        <r>
          <rPr>
            <sz val="9"/>
            <color indexed="81"/>
            <rFont val="Tahoma"/>
            <family val="2"/>
          </rPr>
          <t>civ5_rusrm</t>
        </r>
      </text>
    </comment>
    <comment ref="S45" authorId="1" shapeId="0">
      <text>
        <r>
          <rPr>
            <sz val="9"/>
            <color indexed="81"/>
            <rFont val="Tahoma"/>
            <family val="2"/>
          </rPr>
          <t>civ5_grerm1</t>
        </r>
      </text>
    </comment>
    <comment ref="V45" authorId="1" shapeId="0">
      <text>
        <r>
          <rPr>
            <sz val="9"/>
            <color indexed="81"/>
            <rFont val="Tahoma"/>
            <family val="2"/>
          </rPr>
          <t>civ5_sparm1</t>
        </r>
      </text>
    </comment>
    <comment ref="X45" authorId="1" shapeId="0">
      <text>
        <r>
          <rPr>
            <sz val="9"/>
            <color indexed="81"/>
            <rFont val="Tahoma"/>
            <family val="2"/>
          </rPr>
          <t>civ5_ararm_tc</t>
        </r>
      </text>
    </comment>
    <comment ref="Y45" authorId="1" shapeId="0">
      <text>
        <r>
          <rPr>
            <sz val="9"/>
            <color indexed="81"/>
            <rFont val="Tahoma"/>
            <family val="2"/>
          </rPr>
          <t>ararm1</t>
        </r>
      </text>
    </comment>
    <comment ref="AA45" authorId="1" shapeId="0">
      <text>
        <r>
          <rPr>
            <sz val="9"/>
            <color indexed="81"/>
            <rFont val="Tahoma"/>
            <family val="2"/>
          </rPr>
          <t>babrm1</t>
        </r>
      </text>
    </comment>
    <comment ref="AB45" authorId="1" shapeId="0">
      <text>
        <r>
          <rPr>
            <sz val="9"/>
            <color indexed="81"/>
            <rFont val="Tahoma"/>
            <family val="2"/>
          </rPr>
          <t>civ5_egyrm</t>
        </r>
      </text>
    </comment>
    <comment ref="AC45" authorId="1" shapeId="0">
      <text>
        <r>
          <rPr>
            <sz val="9"/>
            <color indexed="81"/>
            <rFont val="Tahoma"/>
            <family val="2"/>
          </rPr>
          <t>civ5_perrm</t>
        </r>
      </text>
    </comment>
    <comment ref="AD45" authorId="1" shapeId="0">
      <text>
        <r>
          <rPr>
            <sz val="9"/>
            <color indexed="81"/>
            <rFont val="Tahoma"/>
            <family val="2"/>
          </rPr>
          <t>babrm7</t>
        </r>
      </text>
    </comment>
    <comment ref="AE45" authorId="1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G45" authorId="1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H4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AK45" authorId="1" shapeId="0">
      <text>
        <r>
          <rPr>
            <sz val="9"/>
            <color indexed="81"/>
            <rFont val="Tahoma"/>
            <family val="2"/>
          </rPr>
          <t>civ5_ottrm</t>
        </r>
      </text>
    </comment>
    <comment ref="AL45" authorId="1" shapeId="0">
      <text>
        <r>
          <rPr>
            <sz val="9"/>
            <color indexed="81"/>
            <rFont val="Tahoma"/>
            <family val="2"/>
          </rPr>
          <t>hunrm1</t>
        </r>
      </text>
    </comment>
    <comment ref="AO45" authorId="1" shapeId="0">
      <text>
        <r>
          <rPr>
            <sz val="9"/>
            <color indexed="81"/>
            <rFont val="Tahoma"/>
            <family val="2"/>
          </rPr>
          <t>civ5_indrm1</t>
        </r>
      </text>
    </comment>
    <comment ref="AP45" authorId="1" shapeId="0">
      <text>
        <r>
          <rPr>
            <sz val="9"/>
            <color indexed="81"/>
            <rFont val="Tahoma"/>
            <family val="2"/>
          </rPr>
          <t>civ5_monrm1</t>
        </r>
      </text>
    </comment>
    <comment ref="AQ45" authorId="1" shapeId="0">
      <text>
        <r>
          <rPr>
            <sz val="9"/>
            <color indexed="81"/>
            <rFont val="Tahoma"/>
            <family val="2"/>
          </rPr>
          <t>civ5_chirm1</t>
        </r>
      </text>
    </comment>
    <comment ref="AR45" authorId="1" shapeId="0">
      <text>
        <r>
          <rPr>
            <sz val="9"/>
            <color indexed="81"/>
            <rFont val="Tahoma"/>
            <family val="2"/>
          </rPr>
          <t>civ5_japrm</t>
        </r>
      </text>
    </comment>
    <comment ref="AU45" authorId="1" shapeId="0">
      <text>
        <r>
          <rPr>
            <sz val="9"/>
            <color indexed="81"/>
            <rFont val="Tahoma"/>
            <family val="2"/>
          </rPr>
          <t>civ5_siarm1</t>
        </r>
      </text>
    </comment>
    <comment ref="AX45" authorId="1" shapeId="0">
      <text>
        <r>
          <rPr>
            <sz val="9"/>
            <color indexed="81"/>
            <rFont val="Tahoma"/>
            <family val="2"/>
          </rPr>
          <t>civ5_irorm2</t>
        </r>
      </text>
    </comment>
    <comment ref="AY45" authorId="1" shapeId="0">
      <text>
        <r>
          <rPr>
            <sz val="9"/>
            <color indexed="81"/>
            <rFont val="Tahoma"/>
            <family val="2"/>
          </rPr>
          <t>civ5_irorm</t>
        </r>
      </text>
    </comment>
    <comment ref="BA45" authorId="1" shapeId="0">
      <text>
        <r>
          <rPr>
            <sz val="9"/>
            <color indexed="81"/>
            <rFont val="Tahoma"/>
            <family val="2"/>
          </rPr>
          <t>civ5_aztrm3</t>
        </r>
      </text>
    </comment>
    <comment ref="BB45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C45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D45" authorId="1" shapeId="0">
      <text>
        <r>
          <rPr>
            <sz val="9"/>
            <color indexed="81"/>
            <rFont val="Tahoma"/>
            <family val="2"/>
          </rPr>
          <t>civ5_aztrm2</t>
        </r>
      </text>
    </comment>
    <comment ref="E47" authorId="1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F47" authorId="2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J47" authorId="1" shapeId="0">
      <text>
        <r>
          <rPr>
            <sz val="9"/>
            <color indexed="81"/>
            <rFont val="Tahoma"/>
            <family val="2"/>
          </rPr>
          <t>CIV5_Nedsc</t>
        </r>
      </text>
    </comment>
    <comment ref="P47" authorId="1" shapeId="0">
      <text>
        <r>
          <rPr>
            <sz val="9"/>
            <color indexed="81"/>
            <rFont val="Tahoma"/>
            <family val="2"/>
          </rPr>
          <t>MedScout</t>
        </r>
      </text>
    </comment>
    <comment ref="X47" authorId="1" shapeId="0">
      <text>
        <r>
          <rPr>
            <sz val="9"/>
            <color indexed="81"/>
            <rFont val="Tahoma"/>
            <family val="2"/>
          </rPr>
          <t>MidEastScout</t>
        </r>
      </text>
    </comment>
    <comment ref="Y47" authorId="1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B47" authorId="1" shapeId="0">
      <text>
        <r>
          <rPr>
            <sz val="9"/>
            <color indexed="81"/>
            <rFont val="Tahoma"/>
            <family val="2"/>
          </rPr>
          <t>egyption_scout</t>
        </r>
      </text>
    </comment>
    <comment ref="AC47" authorId="1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D47" authorId="1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G47" authorId="1" shapeId="0">
      <text>
        <r>
          <rPr>
            <sz val="9"/>
            <color indexed="81"/>
            <rFont val="Tahoma"/>
            <family val="2"/>
          </rPr>
          <t>SonghaiScout</t>
        </r>
      </text>
    </comment>
    <comment ref="AH47" authorId="1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I47" authorId="1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N47" authorId="1" shapeId="0">
      <text>
        <r>
          <rPr>
            <sz val="9"/>
            <color indexed="81"/>
            <rFont val="Tahoma"/>
            <family val="2"/>
          </rPr>
          <t>Indian_scout</t>
        </r>
      </text>
    </comment>
    <comment ref="AO47" authorId="1" shapeId="0">
      <text>
        <r>
          <rPr>
            <sz val="9"/>
            <color indexed="81"/>
            <rFont val="Tahoma"/>
            <family val="2"/>
          </rPr>
          <t>Scout_India</t>
        </r>
      </text>
    </comment>
    <comment ref="AP47" authorId="1" shapeId="0">
      <text>
        <r>
          <rPr>
            <sz val="9"/>
            <color indexed="81"/>
            <rFont val="Tahoma"/>
            <family val="2"/>
          </rPr>
          <t>Scout_Mongol</t>
        </r>
      </text>
    </comment>
    <comment ref="AX47" authorId="1" shapeId="0">
      <text>
        <r>
          <rPr>
            <sz val="9"/>
            <color indexed="81"/>
            <rFont val="Tahoma"/>
            <family val="2"/>
          </rPr>
          <t>civ5_irosc2</t>
        </r>
      </text>
    </comment>
    <comment ref="AY47" authorId="1" shapeId="0">
      <text>
        <r>
          <rPr>
            <sz val="9"/>
            <color indexed="81"/>
            <rFont val="Tahoma"/>
            <family val="2"/>
          </rPr>
          <t>civ5_irosc1</t>
        </r>
      </text>
    </comment>
    <comment ref="AZ4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BA47" authorId="1" shapeId="0">
      <text>
        <r>
          <rPr>
            <sz val="9"/>
            <color indexed="81"/>
            <rFont val="Tahoma"/>
            <family val="2"/>
          </rPr>
          <t>chimu_scout</t>
        </r>
      </text>
    </comment>
    <comment ref="BB47" authorId="1" shapeId="0">
      <text>
        <r>
          <rPr>
            <sz val="9"/>
            <color indexed="81"/>
            <rFont val="Tahoma"/>
            <family val="2"/>
          </rPr>
          <t>Scout_Aztec</t>
        </r>
      </text>
    </comment>
    <comment ref="BC47" authorId="1" shapeId="0">
      <text>
        <r>
          <rPr>
            <sz val="9"/>
            <color indexed="81"/>
            <rFont val="Tahoma"/>
            <family val="2"/>
          </rPr>
          <t>IncaScout</t>
        </r>
      </text>
    </comment>
    <comment ref="C48" authorId="1" shapeId="0">
      <text>
        <r>
          <rPr>
            <sz val="9"/>
            <color indexed="81"/>
            <rFont val="Tahoma"/>
            <family val="2"/>
          </rPr>
          <t>Spearman_American</t>
        </r>
      </text>
    </comment>
    <comment ref="D48" authorId="2" shapeId="0">
      <text>
        <r>
          <rPr>
            <sz val="9"/>
            <color indexed="81"/>
            <rFont val="Tahoma"/>
            <family val="2"/>
          </rPr>
          <t>EU: Spearman_German</t>
        </r>
      </text>
    </comment>
    <comment ref="E48" authorId="2" shapeId="0">
      <text>
        <r>
          <rPr>
            <sz val="9"/>
            <color indexed="81"/>
            <rFont val="Tahoma"/>
            <family val="2"/>
          </rPr>
          <t>unique Pictish Warrior</t>
        </r>
      </text>
    </comment>
    <comment ref="F48" authorId="1" shapeId="0">
      <text>
        <r>
          <rPr>
            <sz val="9"/>
            <color indexed="81"/>
            <rFont val="Tahoma"/>
            <family val="2"/>
          </rPr>
          <t>Spearman_England</t>
        </r>
      </text>
    </comment>
    <comment ref="G48" authorId="1" shapeId="0">
      <text>
        <r>
          <rPr>
            <sz val="9"/>
            <color indexed="81"/>
            <rFont val="Tahoma"/>
            <family val="2"/>
          </rPr>
          <t>Spearman_France</t>
        </r>
      </text>
    </comment>
    <comment ref="H48" authorId="1" shapeId="0">
      <text>
        <r>
          <rPr>
            <sz val="9"/>
            <color indexed="81"/>
            <rFont val="Tahoma"/>
            <family val="2"/>
          </rPr>
          <t>Spearman_German</t>
        </r>
      </text>
    </comment>
    <comment ref="I48" authorId="1" shapeId="0">
      <text>
        <r>
          <rPr>
            <sz val="9"/>
            <color indexed="81"/>
            <rFont val="Tahoma"/>
            <family val="2"/>
          </rPr>
          <t>BatavianSpearman</t>
        </r>
      </text>
    </comment>
    <comment ref="J48" authorId="1" shapeId="0">
      <text>
        <r>
          <rPr>
            <sz val="9"/>
            <color indexed="81"/>
            <rFont val="Tahoma"/>
            <family val="2"/>
          </rPr>
          <t>Spearman_Viking</t>
        </r>
      </text>
    </comment>
    <comment ref="M48" authorId="1" shapeId="0">
      <text>
        <r>
          <rPr>
            <sz val="9"/>
            <color indexed="81"/>
            <rFont val="Tahoma"/>
            <family val="2"/>
          </rPr>
          <t>Spearman_Russia</t>
        </r>
      </text>
    </comment>
    <comment ref="P48" authorId="1" shapeId="0">
      <text>
        <r>
          <rPr>
            <sz val="9"/>
            <color indexed="81"/>
            <rFont val="Tahoma"/>
            <family val="2"/>
          </rPr>
          <t>U_Greek_Hoplite</t>
        </r>
      </text>
    </comment>
    <comment ref="S48" authorId="1" shapeId="0">
      <text>
        <r>
          <rPr>
            <sz val="9"/>
            <color indexed="81"/>
            <rFont val="Tahoma"/>
            <family val="2"/>
          </rPr>
          <t>MycenaeSpear</t>
        </r>
      </text>
    </comment>
    <comment ref="T48" authorId="1" shapeId="0">
      <text>
        <r>
          <rPr>
            <sz val="9"/>
            <color indexed="81"/>
            <rFont val="Tahoma"/>
            <family val="2"/>
          </rPr>
          <t>PortugalSpearman</t>
        </r>
      </text>
    </comment>
    <comment ref="U48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48" authorId="1" shapeId="0">
      <text>
        <r>
          <rPr>
            <sz val="9"/>
            <color indexed="81"/>
            <rFont val="Tahoma"/>
            <family val="2"/>
          </rPr>
          <t>Spearman_Spain</t>
        </r>
      </text>
    </comment>
    <comment ref="X48" authorId="1" shapeId="0">
      <text>
        <r>
          <rPr>
            <sz val="9"/>
            <color indexed="81"/>
            <rFont val="Tahoma"/>
            <family val="2"/>
          </rPr>
          <t>Spearman_Persia</t>
        </r>
      </text>
    </comment>
    <comment ref="Y48" authorId="1" shapeId="0">
      <text>
        <r>
          <rPr>
            <sz val="9"/>
            <color indexed="81"/>
            <rFont val="Tahoma"/>
            <family val="2"/>
          </rPr>
          <t>Spearman_Arabia</t>
        </r>
      </text>
    </comment>
    <comment ref="AA48" authorId="1" shapeId="0">
      <text>
        <r>
          <rPr>
            <sz val="9"/>
            <color indexed="81"/>
            <rFont val="Tahoma"/>
            <family val="2"/>
          </rPr>
          <t>Spearman_Babylon</t>
        </r>
      </text>
    </comment>
    <comment ref="AB48" authorId="1" shapeId="0">
      <text>
        <r>
          <rPr>
            <sz val="9"/>
            <color indexed="81"/>
            <rFont val="Tahoma"/>
            <family val="2"/>
          </rPr>
          <t>Spearman_Egypt</t>
        </r>
      </text>
    </comment>
    <comment ref="AC48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AE48" authorId="1" shapeId="0">
      <text>
        <r>
          <rPr>
            <sz val="9"/>
            <color indexed="81"/>
            <rFont val="Tahoma"/>
            <family val="2"/>
          </rPr>
          <t>CitizenMilitia</t>
        </r>
      </text>
    </comment>
    <comment ref="AG48" authorId="1" shapeId="0">
      <text>
        <r>
          <rPr>
            <sz val="9"/>
            <color indexed="81"/>
            <rFont val="Tahoma"/>
            <family val="2"/>
          </rPr>
          <t>BantuSpearman</t>
        </r>
      </text>
    </comment>
    <comment ref="AH48" authorId="1" shapeId="0">
      <text>
        <r>
          <rPr>
            <sz val="9"/>
            <color indexed="81"/>
            <rFont val="Tahoma"/>
            <family val="2"/>
          </rPr>
          <t>EthiopiaMedSpearman</t>
        </r>
      </text>
    </comment>
    <comment ref="AI48" authorId="1" shapeId="0">
      <text>
        <r>
          <rPr>
            <sz val="9"/>
            <color indexed="81"/>
            <rFont val="Tahoma"/>
            <family val="2"/>
          </rPr>
          <t>SonghaiMedSpearman</t>
        </r>
      </text>
    </comment>
    <comment ref="AK48" authorId="1" shapeId="0">
      <text>
        <r>
          <rPr>
            <sz val="9"/>
            <color indexed="81"/>
            <rFont val="Tahoma"/>
            <family val="2"/>
          </rPr>
          <t>Spearman_Turkey</t>
        </r>
      </text>
    </comment>
    <comment ref="AL4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AO48" authorId="1" shapeId="0">
      <text>
        <r>
          <rPr>
            <sz val="9"/>
            <color indexed="81"/>
            <rFont val="Tahoma"/>
            <family val="2"/>
          </rPr>
          <t>Spearman_India</t>
        </r>
      </text>
    </comment>
    <comment ref="AP48" authorId="1" shapeId="0">
      <text>
        <r>
          <rPr>
            <sz val="9"/>
            <color indexed="81"/>
            <rFont val="Tahoma"/>
            <family val="2"/>
          </rPr>
          <t>Spearman_China</t>
        </r>
      </text>
    </comment>
    <comment ref="AQ48" authorId="1" shapeId="0">
      <text>
        <r>
          <rPr>
            <sz val="9"/>
            <color indexed="81"/>
            <rFont val="Tahoma"/>
            <family val="2"/>
          </rPr>
          <t>Spearman_China_v2</t>
        </r>
      </text>
    </comment>
    <comment ref="AR48" authorId="1" shapeId="0">
      <text>
        <r>
          <rPr>
            <sz val="9"/>
            <color indexed="81"/>
            <rFont val="Tahoma"/>
            <family val="2"/>
          </rPr>
          <t>Spearman_Japan</t>
        </r>
      </text>
    </comment>
    <comment ref="AS48" authorId="1" shapeId="0">
      <text>
        <r>
          <rPr>
            <sz val="9"/>
            <color indexed="81"/>
            <rFont val="Tahoma"/>
            <family val="2"/>
          </rPr>
          <t>Spearman_Korea</t>
        </r>
      </text>
    </comment>
    <comment ref="AT48" authorId="1" shapeId="0">
      <text>
        <r>
          <rPr>
            <sz val="9"/>
            <color indexed="81"/>
            <rFont val="Tahoma"/>
            <family val="2"/>
          </rPr>
          <t>Spearman_Mongol</t>
        </r>
      </text>
    </comment>
    <comment ref="AX48" authorId="1" shapeId="0">
      <text>
        <r>
          <rPr>
            <sz val="9"/>
            <color indexed="81"/>
            <rFont val="Tahoma"/>
            <family val="2"/>
          </rPr>
          <t>civ5_irosp4</t>
        </r>
      </text>
    </comment>
    <comment ref="AY48" authorId="1" shapeId="0">
      <text>
        <r>
          <rPr>
            <sz val="9"/>
            <color indexed="81"/>
            <rFont val="Tahoma"/>
            <family val="2"/>
          </rPr>
          <t>civ5_irosp1</t>
        </r>
      </text>
    </comment>
    <comment ref="BA48" authorId="1" shapeId="0">
      <text>
        <r>
          <rPr>
            <sz val="9"/>
            <color indexed="81"/>
            <rFont val="Tahoma"/>
            <family val="2"/>
          </rPr>
          <t>Spearman_Maya</t>
        </r>
      </text>
    </comment>
    <comment ref="BB48" authorId="1" shapeId="0">
      <text>
        <r>
          <rPr>
            <sz val="9"/>
            <color indexed="81"/>
            <rFont val="Tahoma"/>
            <family val="2"/>
          </rPr>
          <t>Spearman_Aztec</t>
        </r>
      </text>
    </comment>
    <comment ref="BC48" authorId="1" shapeId="0">
      <text>
        <r>
          <rPr>
            <sz val="9"/>
            <color indexed="81"/>
            <rFont val="Tahoma"/>
            <family val="2"/>
          </rPr>
          <t>Spearman_Inca</t>
        </r>
      </text>
    </comment>
    <comment ref="BD48" authorId="1" shapeId="0">
      <text>
        <r>
          <rPr>
            <sz val="9"/>
            <color indexed="81"/>
            <rFont val="Tahoma"/>
            <family val="2"/>
          </rPr>
          <t>MayaHolkan</t>
        </r>
      </text>
    </comment>
    <comment ref="H49" authorId="1" shapeId="0">
      <text>
        <r>
          <rPr>
            <sz val="9"/>
            <color indexed="81"/>
            <rFont val="Tahoma"/>
            <family val="2"/>
          </rPr>
          <t>Ho229</t>
        </r>
      </text>
    </comment>
    <comment ref="C50" authorId="1" shapeId="0">
      <text>
        <r>
          <rPr>
            <sz val="9"/>
            <color indexed="81"/>
            <rFont val="Tahoma"/>
            <family val="2"/>
          </rPr>
          <t>Submarine_Gato</t>
        </r>
      </text>
    </comment>
    <comment ref="D50" authorId="1" shapeId="0">
      <text>
        <r>
          <rPr>
            <sz val="9"/>
            <color indexed="81"/>
            <rFont val="Tahoma"/>
            <family val="2"/>
          </rPr>
          <t>U-20_Class</t>
        </r>
      </text>
    </comment>
    <comment ref="F50" authorId="1" shapeId="0">
      <text>
        <r>
          <rPr>
            <sz val="9"/>
            <color indexed="81"/>
            <rFont val="Tahoma"/>
            <family val="2"/>
          </rPr>
          <t>Submarine_T-Class</t>
        </r>
      </text>
    </comment>
    <comment ref="G50" authorId="1" shapeId="0">
      <text>
        <r>
          <rPr>
            <sz val="9"/>
            <color indexed="81"/>
            <rFont val="Tahoma"/>
            <family val="2"/>
          </rPr>
          <t>Submarine_Le_Redoutable</t>
        </r>
      </text>
    </comment>
    <comment ref="H50" authorId="1" shapeId="0">
      <text>
        <r>
          <rPr>
            <sz val="9"/>
            <color indexed="81"/>
            <rFont val="Tahoma"/>
            <family val="2"/>
          </rPr>
          <t>Submarine_U-Boat</t>
        </r>
      </text>
    </comment>
    <comment ref="I50" authorId="1" shapeId="0">
      <text>
        <r>
          <rPr>
            <sz val="9"/>
            <color indexed="81"/>
            <rFont val="Tahoma"/>
            <family val="2"/>
          </rPr>
          <t>O-19_Class</t>
        </r>
      </text>
    </comment>
    <comment ref="L50" authorId="1" shapeId="0">
      <text>
        <r>
          <rPr>
            <sz val="9"/>
            <color indexed="81"/>
            <rFont val="Tahoma"/>
            <family val="2"/>
          </rPr>
          <t>Sjolejonet_Class</t>
        </r>
      </text>
    </comment>
    <comment ref="M50" authorId="1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N50" authorId="1" shapeId="0">
      <text>
        <r>
          <rPr>
            <sz val="9"/>
            <color indexed="81"/>
            <rFont val="Tahoma"/>
            <family val="2"/>
          </rPr>
          <t>Orzel_Class</t>
        </r>
      </text>
    </comment>
    <comment ref="O50" authorId="2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Q5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S50" authorId="1" shapeId="0">
      <text>
        <r>
          <rPr>
            <sz val="9"/>
            <color indexed="81"/>
            <rFont val="Tahoma"/>
            <family val="2"/>
          </rPr>
          <t>Katsonis_Class</t>
        </r>
      </text>
    </comment>
    <comment ref="U50" authorId="1" shapeId="0">
      <text>
        <r>
          <rPr>
            <sz val="9"/>
            <color indexed="81"/>
            <rFont val="Tahoma"/>
            <family val="2"/>
          </rPr>
          <t>Submarine_Marcello</t>
        </r>
      </text>
    </comment>
    <comment ref="AL50" authorId="2" shapeId="0">
      <text>
        <r>
          <rPr>
            <sz val="9"/>
            <color indexed="81"/>
            <rFont val="Tahoma"/>
            <family val="2"/>
          </rPr>
          <t>U-20_Class
(Austria)</t>
        </r>
      </text>
    </comment>
    <comment ref="AO5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AP50" authorId="1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AR50" authorId="2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C51" authorId="1" shapeId="0">
      <text>
        <r>
          <rPr>
            <sz val="9"/>
            <color indexed="81"/>
            <rFont val="Tahoma"/>
            <family val="2"/>
          </rPr>
          <t>Swordsman_American</t>
        </r>
      </text>
    </comment>
    <comment ref="D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Swordsman_German</t>
        </r>
      </text>
    </comment>
    <comment ref="E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CelticWarrior</t>
        </r>
      </text>
    </comment>
    <comment ref="F51" authorId="1" shapeId="0">
      <text>
        <r>
          <rPr>
            <sz val="9"/>
            <color indexed="81"/>
            <rFont val="Tahoma"/>
            <family val="2"/>
          </rPr>
          <t>Swordsman_England</t>
        </r>
      </text>
    </comment>
    <comment ref="G51" authorId="1" shapeId="0">
      <text>
        <r>
          <rPr>
            <sz val="9"/>
            <color indexed="81"/>
            <rFont val="Tahoma"/>
            <family val="2"/>
          </rPr>
          <t>Swordsman_France</t>
        </r>
      </text>
    </comment>
    <comment ref="H51" authorId="1" shapeId="0">
      <text>
        <r>
          <rPr>
            <sz val="9"/>
            <color indexed="81"/>
            <rFont val="Tahoma"/>
            <family val="2"/>
          </rPr>
          <t>Swordsman_German</t>
        </r>
      </text>
    </comment>
    <comment ref="J51" authorId="1" shapeId="0">
      <text>
        <r>
          <rPr>
            <sz val="9"/>
            <color indexed="81"/>
            <rFont val="Tahoma"/>
            <family val="2"/>
          </rPr>
          <t>Swordsman_Viking</t>
        </r>
      </text>
    </comment>
    <comment ref="M51" authorId="1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N51" authorId="1" shapeId="0">
      <text>
        <r>
          <rPr>
            <sz val="9"/>
            <color indexed="81"/>
            <rFont val="Tahoma"/>
            <family val="2"/>
          </rPr>
          <t>civ5_russm1</t>
        </r>
      </text>
    </comment>
    <comment ref="O51" authorId="1" shapeId="0">
      <text>
        <r>
          <rPr>
            <sz val="9"/>
            <color indexed="81"/>
            <rFont val="Tahoma"/>
            <family val="2"/>
          </rPr>
          <t>Swordsman_Russia</t>
        </r>
      </text>
    </comment>
    <comment ref="P51" authorId="1" shapeId="0">
      <text>
        <r>
          <rPr>
            <sz val="9"/>
            <color indexed="81"/>
            <rFont val="Tahoma"/>
            <family val="2"/>
          </rPr>
          <t>SpanishSwordsman</t>
        </r>
      </text>
    </comment>
    <comment ref="S51" authorId="1" shapeId="0">
      <text>
        <r>
          <rPr>
            <sz val="9"/>
            <color indexed="81"/>
            <rFont val="Tahoma"/>
            <family val="2"/>
          </rPr>
          <t>civ5_gresm1</t>
        </r>
      </text>
    </comment>
    <comment ref="U51" authorId="1" shapeId="0">
      <text>
        <r>
          <rPr>
            <sz val="9"/>
            <color indexed="81"/>
            <rFont val="Tahoma"/>
            <family val="2"/>
          </rPr>
          <t>U_Roman_Legion</t>
        </r>
      </text>
    </comment>
    <comment ref="V51" authorId="1" shapeId="0">
      <text>
        <r>
          <rPr>
            <sz val="9"/>
            <color indexed="81"/>
            <rFont val="Tahoma"/>
            <family val="2"/>
          </rPr>
          <t>Swordsman_Spain</t>
        </r>
      </text>
    </comment>
    <comment ref="X51" authorId="1" shapeId="0">
      <text>
        <r>
          <rPr>
            <sz val="9"/>
            <color indexed="81"/>
            <rFont val="Tahoma"/>
            <family val="2"/>
          </rPr>
          <t>civ5_arasm1</t>
        </r>
      </text>
    </comment>
    <comment ref="Y51" authorId="1" shapeId="0">
      <text>
        <r>
          <rPr>
            <sz val="9"/>
            <color indexed="81"/>
            <rFont val="Tahoma"/>
            <family val="2"/>
          </rPr>
          <t>Swordsman_Arabia</t>
        </r>
      </text>
    </comment>
    <comment ref="AA51" authorId="1" shapeId="0">
      <text>
        <r>
          <rPr>
            <sz val="9"/>
            <color indexed="81"/>
            <rFont val="Tahoma"/>
            <family val="2"/>
          </rPr>
          <t>Swordsman_Babylon</t>
        </r>
      </text>
    </comment>
    <comment ref="AB51" authorId="1" shapeId="0">
      <text>
        <r>
          <rPr>
            <sz val="9"/>
            <color indexed="81"/>
            <rFont val="Tahoma"/>
            <family val="2"/>
          </rPr>
          <t>civ5_egysm1</t>
        </r>
      </text>
    </comment>
    <comment ref="AC51" authorId="1" shapeId="0">
      <text>
        <r>
          <rPr>
            <sz val="9"/>
            <color indexed="81"/>
            <rFont val="Tahoma"/>
            <family val="2"/>
          </rPr>
          <t>Swordsman_Persia</t>
        </r>
      </text>
    </comment>
    <comment ref="AD51" authorId="1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E51" authorId="1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G51" authorId="1" shapeId="0">
      <text>
        <r>
          <rPr>
            <sz val="9"/>
            <color indexed="81"/>
            <rFont val="Tahoma"/>
            <family val="2"/>
          </rPr>
          <t>NubianSwordsman</t>
        </r>
      </text>
    </comment>
    <comment ref="AH51" authorId="1" shapeId="0">
      <text>
        <r>
          <rPr>
            <sz val="9"/>
            <color indexed="81"/>
            <rFont val="Tahoma"/>
            <family val="2"/>
          </rPr>
          <t>EthiopianHeavyFootman</t>
        </r>
      </text>
    </comment>
    <comment ref="AI51" authorId="1" shapeId="0">
      <text>
        <r>
          <rPr>
            <sz val="9"/>
            <color indexed="81"/>
            <rFont val="Tahoma"/>
            <family val="2"/>
          </rPr>
          <t>MakuriaSwordsman</t>
        </r>
      </text>
    </comment>
    <comment ref="AK51" authorId="1" shapeId="0">
      <text>
        <r>
          <rPr>
            <sz val="9"/>
            <color indexed="81"/>
            <rFont val="Tahoma"/>
            <family val="2"/>
          </rPr>
          <t>civ5_ottsm1</t>
        </r>
      </text>
    </comment>
    <comment ref="AL51" authorId="1" shapeId="0">
      <text>
        <r>
          <rPr>
            <sz val="9"/>
            <color indexed="81"/>
            <rFont val="Tahoma"/>
            <family val="2"/>
          </rPr>
          <t>civ5_monsm1</t>
        </r>
      </text>
    </comment>
    <comment ref="AM51" authorId="1" shapeId="0">
      <text>
        <r>
          <rPr>
            <sz val="9"/>
            <color indexed="81"/>
            <rFont val="Tahoma"/>
            <family val="2"/>
          </rPr>
          <t>Swordsman_Turkey</t>
        </r>
      </text>
    </comment>
    <comment ref="AN51" authorId="1" shapeId="0">
      <text>
        <r>
          <rPr>
            <sz val="9"/>
            <color indexed="81"/>
            <rFont val="Tahoma"/>
            <family val="2"/>
          </rPr>
          <t>india swordsman1</t>
        </r>
      </text>
    </comment>
    <comment ref="AO51" authorId="1" shapeId="0">
      <text>
        <r>
          <rPr>
            <sz val="9"/>
            <color indexed="81"/>
            <rFont val="Tahoma"/>
            <family val="2"/>
          </rPr>
          <t>Swordsman_India</t>
        </r>
      </text>
    </comment>
    <comment ref="AP51" authorId="1" shapeId="0">
      <text>
        <r>
          <rPr>
            <sz val="9"/>
            <color indexed="81"/>
            <rFont val="Tahoma"/>
            <family val="2"/>
          </rPr>
          <t>chinese swordsman2</t>
        </r>
      </text>
    </comment>
    <comment ref="AQ51" authorId="1" shapeId="0">
      <text>
        <r>
          <rPr>
            <sz val="9"/>
            <color indexed="81"/>
            <rFont val="Tahoma"/>
            <family val="2"/>
          </rPr>
          <t>Swordsman_China</t>
        </r>
      </text>
    </comment>
    <comment ref="AR51" authorId="1" shapeId="0">
      <text>
        <r>
          <rPr>
            <sz val="9"/>
            <color indexed="81"/>
            <rFont val="Tahoma"/>
            <family val="2"/>
          </rPr>
          <t>Swordsman_Japan</t>
        </r>
      </text>
    </comment>
    <comment ref="AS51" authorId="1" shapeId="0">
      <text>
        <r>
          <rPr>
            <sz val="9"/>
            <color indexed="81"/>
            <rFont val="Tahoma"/>
            <family val="2"/>
          </rPr>
          <t>Swordsman_Korea</t>
        </r>
      </text>
    </comment>
    <comment ref="AT51" authorId="1" shapeId="0">
      <text>
        <r>
          <rPr>
            <sz val="9"/>
            <color indexed="81"/>
            <rFont val="Tahoma"/>
            <family val="2"/>
          </rPr>
          <t>Swordsman_Mongol</t>
        </r>
      </text>
    </comment>
    <comment ref="AV5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Kris Swordsman</t>
        </r>
      </text>
    </comment>
    <comment ref="AY5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Mohawk Warrior</t>
        </r>
      </text>
    </comment>
    <comment ref="BA51" authorId="1" shapeId="0">
      <text>
        <r>
          <rPr>
            <sz val="9"/>
            <color indexed="81"/>
            <rFont val="Tahoma"/>
            <family val="2"/>
          </rPr>
          <t>Swordsman_Maya</t>
        </r>
      </text>
    </comment>
    <comment ref="BB51" authorId="1" shapeId="0">
      <text>
        <r>
          <rPr>
            <sz val="9"/>
            <color indexed="81"/>
            <rFont val="Tahoma"/>
            <family val="2"/>
          </rPr>
          <t>Swordsman_Aztec</t>
        </r>
      </text>
    </comment>
    <comment ref="BC51" authorId="1" shapeId="0">
      <text>
        <r>
          <rPr>
            <sz val="9"/>
            <color indexed="81"/>
            <rFont val="Tahoma"/>
            <family val="2"/>
          </rPr>
          <t>Swordsman_Inca</t>
        </r>
      </text>
    </comment>
    <comment ref="BE51" authorId="1" shapeId="0">
      <text>
        <r>
          <rPr>
            <sz val="9"/>
            <color indexed="81"/>
            <rFont val="Tahoma"/>
            <family val="2"/>
          </rPr>
          <t>hawaii_ikaika</t>
        </r>
      </text>
    </comment>
    <comment ref="BF51" authorId="1" shapeId="0">
      <text>
        <r>
          <rPr>
            <sz val="9"/>
            <color indexed="81"/>
            <rFont val="Tahoma"/>
            <family val="2"/>
          </rPr>
          <t>PolynesianFootman</t>
        </r>
      </text>
    </comment>
    <comment ref="C52" authorId="1" shapeId="0">
      <text>
        <r>
          <rPr>
            <sz val="9"/>
            <color indexed="81"/>
            <rFont val="Tahoma"/>
            <family val="2"/>
          </rPr>
          <t>M4A3E8_Sherman_Easy_Eight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Panzer_IV_Ausf_G</t>
        </r>
      </text>
    </comment>
    <comment ref="F52" authorId="1" shapeId="0">
      <text>
        <r>
          <rPr>
            <sz val="9"/>
            <color indexed="81"/>
            <rFont val="Tahoma"/>
            <family val="2"/>
          </rPr>
          <t>A27M_Cromwell</t>
        </r>
      </text>
    </comment>
    <comment ref="G52" authorId="1" shapeId="0">
      <text>
        <r>
          <rPr>
            <sz val="9"/>
            <color indexed="81"/>
            <rFont val="Tahoma"/>
            <family val="2"/>
          </rPr>
          <t>Somua_S-35</t>
        </r>
      </text>
    </comment>
    <comment ref="H52" authorId="1" shapeId="0">
      <text>
        <r>
          <rPr>
            <sz val="9"/>
            <color indexed="81"/>
            <rFont val="Tahoma"/>
            <family val="2"/>
          </rPr>
          <t>Panzer_V_Panther</t>
        </r>
      </text>
    </comment>
    <comment ref="I52" authorId="1" shapeId="0">
      <text>
        <r>
          <rPr>
            <sz val="9"/>
            <color indexed="81"/>
            <rFont val="Tahoma"/>
            <family val="2"/>
          </rPr>
          <t>MTSL-1GI4</t>
        </r>
      </text>
    </comment>
    <comment ref="L52" authorId="1" shapeId="0">
      <text>
        <r>
          <rPr>
            <sz val="9"/>
            <color indexed="81"/>
            <rFont val="Tahoma"/>
            <family val="2"/>
          </rPr>
          <t>Strv_M41</t>
        </r>
      </text>
    </comment>
    <comment ref="M52" authorId="1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N52" authorId="1" shapeId="0">
      <text>
        <r>
          <rPr>
            <sz val="9"/>
            <color indexed="81"/>
            <rFont val="Tahoma"/>
            <family val="2"/>
          </rPr>
          <t>10TP</t>
        </r>
      </text>
    </comment>
    <comment ref="O52" authorId="2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U52" authorId="1" shapeId="0">
      <text>
        <r>
          <rPr>
            <sz val="9"/>
            <color indexed="81"/>
            <rFont val="Tahoma"/>
            <family val="2"/>
          </rPr>
          <t>M13-40</t>
        </r>
      </text>
    </comment>
    <comment ref="V52" authorId="1" shapeId="0">
      <text>
        <r>
          <rPr>
            <sz val="9"/>
            <color indexed="81"/>
            <rFont val="Tahoma"/>
            <family val="2"/>
          </rPr>
          <t>Panzer_IV_Ausf_G_Spain</t>
        </r>
      </text>
    </comment>
    <comment ref="X52" authorId="1" shapeId="0">
      <text>
        <r>
          <rPr>
            <sz val="9"/>
            <color indexed="81"/>
            <rFont val="Tahoma"/>
            <family val="2"/>
          </rPr>
          <t>MediumTank_Generic</t>
        </r>
      </text>
    </comment>
    <comment ref="AL52" authorId="1" shapeId="0">
      <text>
        <r>
          <rPr>
            <sz val="9"/>
            <color indexed="81"/>
            <rFont val="Tahoma"/>
            <family val="2"/>
          </rPr>
          <t>41M_Turan_II</t>
        </r>
      </text>
    </comment>
    <comment ref="AP52" authorId="1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Q52" authorId="2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R52" authorId="1" shapeId="0">
      <text>
        <r>
          <rPr>
            <sz val="9"/>
            <color indexed="81"/>
            <rFont val="Tahoma"/>
            <family val="2"/>
          </rPr>
          <t>Type97_Shinhoto_Chi-Ha</t>
        </r>
      </text>
    </comment>
    <comment ref="AS5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Hwach'a</t>
        </r>
      </text>
    </comment>
    <comment ref="J54" authorId="1" shapeId="0">
      <text>
        <r>
          <rPr>
            <sz val="9"/>
            <color indexed="81"/>
            <rFont val="Tahoma"/>
            <family val="2"/>
          </rPr>
          <t>battle_galley</t>
        </r>
      </text>
    </comment>
    <comment ref="R5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Dromon</t>
        </r>
      </text>
    </comment>
    <comment ref="AE5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Quinquereme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AustriaWarrior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CelticCenn</t>
        </r>
      </text>
    </comment>
    <comment ref="F55" authorId="1" shapeId="0">
      <text>
        <r>
          <rPr>
            <sz val="9"/>
            <color indexed="81"/>
            <rFont val="Tahoma"/>
            <family val="2"/>
          </rPr>
          <t>EnglandWarrior</t>
        </r>
      </text>
    </comment>
    <comment ref="G55" authorId="1" shapeId="0">
      <text>
        <r>
          <rPr>
            <sz val="9"/>
            <color indexed="81"/>
            <rFont val="Tahoma"/>
            <family val="2"/>
          </rPr>
          <t>FrankMilnaht</t>
        </r>
      </text>
    </comment>
    <comment ref="H55" authorId="1" shapeId="0">
      <text>
        <r>
          <rPr>
            <sz val="9"/>
            <color indexed="81"/>
            <rFont val="Tahoma"/>
            <family val="2"/>
          </rPr>
          <t>GermanicWarrior</t>
        </r>
      </text>
    </comment>
    <comment ref="I55" authorId="1" shapeId="0">
      <text>
        <r>
          <rPr>
            <sz val="9"/>
            <color indexed="81"/>
            <rFont val="Tahoma"/>
            <family val="2"/>
          </rPr>
          <t>DutchWarrior</t>
        </r>
      </text>
    </comment>
    <comment ref="J55" authorId="1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K55" authorId="1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L55" authorId="1" shapeId="0">
      <text>
        <r>
          <rPr>
            <sz val="9"/>
            <color indexed="81"/>
            <rFont val="Tahoma"/>
            <family val="2"/>
          </rPr>
          <t>SwedenAxe</t>
        </r>
      </text>
    </comment>
    <comment ref="M55" authorId="1" shapeId="0">
      <text>
        <r>
          <rPr>
            <sz val="9"/>
            <color indexed="81"/>
            <rFont val="Tahoma"/>
            <family val="2"/>
          </rPr>
          <t>BearWarrior</t>
        </r>
      </text>
    </comment>
    <comment ref="O55" authorId="1" shapeId="0">
      <text>
        <r>
          <rPr>
            <sz val="9"/>
            <color indexed="81"/>
            <rFont val="Tahoma"/>
            <family val="2"/>
          </rPr>
          <t>RussiaWarrior</t>
        </r>
      </text>
    </comment>
    <comment ref="P55" authorId="1" shapeId="0">
      <text>
        <r>
          <rPr>
            <sz val="9"/>
            <color indexed="81"/>
            <rFont val="Tahoma"/>
            <family val="2"/>
          </rPr>
          <t>HannibalMerc</t>
        </r>
      </text>
    </comment>
    <comment ref="R55" authorId="1" shapeId="0">
      <text>
        <r>
          <rPr>
            <sz val="9"/>
            <color indexed="81"/>
            <rFont val="Tahoma"/>
            <family val="2"/>
          </rPr>
          <t>ThraikanChosenPezoi</t>
        </r>
      </text>
    </comment>
    <comment ref="S55" authorId="1" shapeId="0">
      <text>
        <r>
          <rPr>
            <sz val="9"/>
            <color indexed="81"/>
            <rFont val="Tahoma"/>
            <family val="2"/>
          </rPr>
          <t>MycenaeSword</t>
        </r>
      </text>
    </comment>
    <comment ref="T55" authorId="1" shapeId="0">
      <text>
        <r>
          <rPr>
            <sz val="9"/>
            <color indexed="81"/>
            <rFont val="Tahoma"/>
            <family val="2"/>
          </rPr>
          <t>Caetranann</t>
        </r>
      </text>
    </comment>
    <comment ref="U55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55" authorId="1" shapeId="0">
      <text>
        <r>
          <rPr>
            <sz val="9"/>
            <color indexed="81"/>
            <rFont val="Tahoma"/>
            <family val="2"/>
          </rPr>
          <t>Caetrati</t>
        </r>
      </text>
    </comment>
    <comment ref="X55" authorId="1" shapeId="0">
      <text>
        <r>
          <rPr>
            <sz val="9"/>
            <color indexed="81"/>
            <rFont val="Tahoma"/>
            <family val="2"/>
          </rPr>
          <t>MidEastWarrior</t>
        </r>
      </text>
    </comment>
    <comment ref="Y55" authorId="1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A55" authorId="1" shapeId="0">
      <text>
        <r>
          <rPr>
            <sz val="9"/>
            <color indexed="81"/>
            <rFont val="Tahoma"/>
            <family val="2"/>
          </rPr>
          <t>Mesopotamic_warrior_tc</t>
        </r>
      </text>
    </comment>
    <comment ref="AB55" authorId="1" shapeId="0">
      <text>
        <r>
          <rPr>
            <sz val="9"/>
            <color indexed="81"/>
            <rFont val="Tahoma"/>
            <family val="2"/>
          </rPr>
          <t>egyption_warrior</t>
        </r>
      </text>
    </comment>
    <comment ref="AC55" authorId="1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D55" authorId="1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E55" authorId="1" shapeId="0">
      <text>
        <r>
          <rPr>
            <sz val="9"/>
            <color indexed="81"/>
            <rFont val="Tahoma"/>
            <family val="2"/>
          </rPr>
          <t>CarthageWarrior</t>
        </r>
      </text>
    </comment>
    <comment ref="AG55" authorId="1" shapeId="0">
      <text>
        <r>
          <rPr>
            <sz val="9"/>
            <color indexed="81"/>
            <rFont val="Tahoma"/>
            <family val="2"/>
          </rPr>
          <t>impi_1</t>
        </r>
      </text>
    </comment>
    <comment ref="AH55" authorId="1" shapeId="0">
      <text>
        <r>
          <rPr>
            <sz val="9"/>
            <color indexed="81"/>
            <rFont val="Tahoma"/>
            <family val="2"/>
          </rPr>
          <t>BA_EthiopiaSpear</t>
        </r>
      </text>
    </comment>
    <comment ref="AI55" authorId="1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K55" authorId="1" shapeId="0">
      <text>
        <r>
          <rPr>
            <sz val="9"/>
            <color indexed="81"/>
            <rFont val="Tahoma"/>
            <family val="2"/>
          </rPr>
          <t>steppe_warrior</t>
        </r>
      </text>
    </comment>
    <comment ref="AL55" authorId="1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AX55" authorId="1" shapeId="0">
      <text>
        <r>
          <rPr>
            <sz val="9"/>
            <color indexed="81"/>
            <rFont val="Tahoma"/>
            <family val="2"/>
          </rPr>
          <t>civ5_irowa1</t>
        </r>
      </text>
    </comment>
    <comment ref="BA55" authorId="1" shapeId="0">
      <text>
        <r>
          <rPr>
            <sz val="9"/>
            <color indexed="81"/>
            <rFont val="Tahoma"/>
            <family val="2"/>
          </rPr>
          <t>chimu_axeman</t>
        </r>
      </text>
    </comment>
    <comment ref="BB5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BC55" authorId="1" shapeId="0">
      <text>
        <r>
          <rPr>
            <sz val="9"/>
            <color indexed="81"/>
            <rFont val="Tahoma"/>
            <family val="2"/>
          </rPr>
          <t>Quechua</t>
        </r>
      </text>
    </comment>
    <comment ref="BD55" authorId="1" shapeId="0">
      <text>
        <r>
          <rPr>
            <sz val="9"/>
            <color indexed="81"/>
            <rFont val="Tahoma"/>
            <family val="2"/>
          </rPr>
          <t>MayaWarrior</t>
        </r>
      </text>
    </comment>
    <comment ref="BE55" authorId="1" shapeId="0">
      <text>
        <r>
          <rPr>
            <sz val="9"/>
            <color indexed="81"/>
            <rFont val="Tahoma"/>
            <family val="2"/>
          </rPr>
          <t>Oceanic_warrior</t>
        </r>
      </text>
    </comment>
    <comment ref="BF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Maori Warrior</t>
        </r>
      </text>
    </comment>
    <comment ref="BH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Brute</t>
        </r>
      </text>
    </comment>
    <comment ref="F56" authorId="1" shapeId="0">
      <text>
        <r>
          <rPr>
            <sz val="9"/>
            <color indexed="81"/>
            <rFont val="Tahoma"/>
            <family val="2"/>
          </rPr>
          <t>ShortBomber</t>
        </r>
      </text>
    </comment>
    <comment ref="C57" authorId="1" shapeId="0">
      <text>
        <r>
          <rPr>
            <sz val="9"/>
            <color indexed="81"/>
            <rFont val="Tahoma"/>
            <family val="2"/>
          </rPr>
          <t>SPAD_S.XIII</t>
        </r>
      </text>
    </comment>
    <comment ref="D57" authorId="1" shapeId="0">
      <text>
        <r>
          <rPr>
            <sz val="9"/>
            <color indexed="81"/>
            <rFont val="Tahoma"/>
            <family val="2"/>
          </rPr>
          <t>Albatros_D.III_Hungary</t>
        </r>
      </text>
    </comment>
    <comment ref="F57" authorId="1" shapeId="0">
      <text>
        <r>
          <rPr>
            <sz val="9"/>
            <color indexed="81"/>
            <rFont val="Tahoma"/>
            <family val="2"/>
          </rPr>
          <t>Spowith_Camel</t>
        </r>
      </text>
    </comment>
    <comment ref="G57" authorId="1" shapeId="0">
      <text>
        <r>
          <rPr>
            <sz val="9"/>
            <color indexed="81"/>
            <rFont val="Tahoma"/>
            <family val="2"/>
          </rPr>
          <t>Nieuport_17</t>
        </r>
      </text>
    </comment>
    <comment ref="H57" authorId="1" shapeId="0">
      <text>
        <r>
          <rPr>
            <sz val="9"/>
            <color indexed="81"/>
            <rFont val="Tahoma"/>
            <family val="2"/>
          </rPr>
          <t>Fokker_Dr.1</t>
        </r>
      </text>
    </comment>
    <comment ref="M57" authorId="1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N57" authorId="1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O57" authorId="1" shapeId="0">
      <text>
        <r>
          <rPr>
            <sz val="9"/>
            <color indexed="81"/>
            <rFont val="Tahoma"/>
            <family val="2"/>
          </rPr>
          <t>Polikarpov_Po-2</t>
        </r>
      </text>
    </comment>
    <comment ref="P57" authorId="1" shapeId="0">
      <text>
        <r>
          <rPr>
            <sz val="9"/>
            <color indexed="81"/>
            <rFont val="Tahoma"/>
            <family val="2"/>
          </rPr>
          <t>Ansaldo_SVA-5_tc</t>
        </r>
      </text>
    </comment>
    <comment ref="U57" authorId="1" shapeId="0">
      <text>
        <r>
          <rPr>
            <sz val="9"/>
            <color indexed="81"/>
            <rFont val="Tahoma"/>
            <family val="2"/>
          </rPr>
          <t>Ansaldo_SVA-5</t>
        </r>
      </text>
    </comment>
    <comment ref="AL57" authorId="1" shapeId="0">
      <text>
        <r>
          <rPr>
            <sz val="9"/>
            <color indexed="81"/>
            <rFont val="Tahoma"/>
            <family val="2"/>
          </rPr>
          <t>Fokker_D.VII</t>
        </r>
      </text>
    </comment>
    <comment ref="AM57" authorId="1" shapeId="0">
      <text>
        <r>
          <rPr>
            <sz val="9"/>
            <color indexed="81"/>
            <rFont val="Tahoma"/>
            <family val="2"/>
          </rPr>
          <t>HalberstadtDII</t>
        </r>
      </text>
    </comment>
    <comment ref="AN57" authorId="1" shapeId="0">
      <text>
        <r>
          <rPr>
            <sz val="9"/>
            <color indexed="81"/>
            <rFont val="Tahoma"/>
            <family val="2"/>
          </rPr>
          <t>Nieuport_17_tc</t>
        </r>
      </text>
    </comment>
    <comment ref="AP57" authorId="1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AQ57" authorId="1" shapeId="0">
      <text>
        <r>
          <rPr>
            <sz val="9"/>
            <color indexed="81"/>
            <rFont val="Tahoma"/>
            <family val="2"/>
          </rPr>
          <t>Polikarpov_I-15_China</t>
        </r>
      </text>
    </comment>
    <comment ref="AR57" authorId="2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C58" authorId="1" shapeId="0">
      <text>
        <r>
          <rPr>
            <sz val="9"/>
            <color indexed="81"/>
            <rFont val="Tahoma"/>
            <family val="2"/>
          </rPr>
          <t>usagw1</t>
        </r>
      </text>
    </comment>
    <comment ref="D58" authorId="1" shapeId="0">
      <text>
        <r>
          <rPr>
            <sz val="9"/>
            <color indexed="81"/>
            <rFont val="Tahoma"/>
            <family val="2"/>
          </rPr>
          <t>ausgw1</t>
        </r>
      </text>
    </comment>
    <comment ref="F58" authorId="1" shapeId="0">
      <text>
        <r>
          <rPr>
            <sz val="9"/>
            <color indexed="81"/>
            <rFont val="Tahoma"/>
            <family val="2"/>
          </rPr>
          <t>brigw1</t>
        </r>
      </text>
    </comment>
    <comment ref="G58" authorId="1" shapeId="0">
      <text>
        <r>
          <rPr>
            <sz val="9"/>
            <color indexed="81"/>
            <rFont val="Tahoma"/>
            <family val="2"/>
          </rPr>
          <t>fregw1</t>
        </r>
      </text>
    </comment>
    <comment ref="H58" authorId="1" shapeId="0">
      <text>
        <r>
          <rPr>
            <sz val="9"/>
            <color indexed="81"/>
            <rFont val="Tahoma"/>
            <family val="2"/>
          </rPr>
          <t>gergw1</t>
        </r>
      </text>
    </comment>
    <comment ref="M58" authorId="1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O58" authorId="1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P58" authorId="1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S58" authorId="1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U58" authorId="1" shapeId="0">
      <text>
        <r>
          <rPr>
            <sz val="9"/>
            <color indexed="81"/>
            <rFont val="Tahoma"/>
            <family val="2"/>
          </rPr>
          <t>itagw1</t>
        </r>
      </text>
    </comment>
    <comment ref="X58" authorId="1" shapeId="0">
      <text>
        <r>
          <rPr>
            <sz val="9"/>
            <color indexed="81"/>
            <rFont val="Tahoma"/>
            <family val="2"/>
          </rPr>
          <t>aragw1</t>
        </r>
      </text>
    </comment>
    <comment ref="AK58" authorId="1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M58" authorId="1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N58" authorId="1" shapeId="0">
      <text>
        <r>
          <rPr>
            <sz val="9"/>
            <color indexed="81"/>
            <rFont val="Tahoma"/>
            <family val="2"/>
          </rPr>
          <t>indgw1</t>
        </r>
      </text>
    </comment>
    <comment ref="AR58" authorId="1" shapeId="0">
      <text>
        <r>
          <rPr>
            <sz val="9"/>
            <color indexed="81"/>
            <rFont val="Tahoma"/>
            <family val="2"/>
          </rPr>
          <t>japgw1</t>
        </r>
      </text>
    </comment>
    <comment ref="AX58" authorId="1" shapeId="0">
      <text>
        <r>
          <rPr>
            <sz val="9"/>
            <color indexed="81"/>
            <rFont val="Tahoma"/>
            <family val="2"/>
          </rPr>
          <t>civ5_irogwi1</t>
        </r>
      </text>
    </comment>
    <comment ref="C59" authorId="1" shapeId="0">
      <text>
        <r>
          <rPr>
            <sz val="9"/>
            <color indexed="81"/>
            <rFont val="Tahoma"/>
            <family val="2"/>
          </rPr>
          <t>M1917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LK_II</t>
        </r>
      </text>
    </comment>
    <comment ref="E59" authorId="1" shapeId="0">
      <text>
        <r>
          <rPr>
            <sz val="9"/>
            <color indexed="81"/>
            <rFont val="Tahoma"/>
            <family val="2"/>
          </rPr>
          <t>MK_A_Whippet</t>
        </r>
      </text>
    </comment>
    <comment ref="F59" authorId="1" shapeId="0">
      <text>
        <r>
          <rPr>
            <sz val="9"/>
            <color indexed="81"/>
            <rFont val="Tahoma"/>
            <family val="2"/>
          </rPr>
          <t>WhippetMkABritish</t>
        </r>
      </text>
    </comment>
    <comment ref="G59" authorId="1" shapeId="0">
      <text>
        <r>
          <rPr>
            <sz val="9"/>
            <color indexed="81"/>
            <rFont val="Tahoma"/>
            <family val="2"/>
          </rPr>
          <t>Renault_FT-17</t>
        </r>
      </text>
    </comment>
    <comment ref="H59" authorId="1" shapeId="0">
      <text>
        <r>
          <rPr>
            <sz val="9"/>
            <color indexed="81"/>
            <rFont val="Tahoma"/>
            <family val="2"/>
          </rPr>
          <t>A7V</t>
        </r>
      </text>
    </comment>
    <comment ref="L59" authorId="1" shapeId="0">
      <text>
        <r>
          <rPr>
            <sz val="9"/>
            <color indexed="81"/>
            <rFont val="Tahoma"/>
            <family val="2"/>
          </rPr>
          <t>Strv_M21</t>
        </r>
      </text>
    </comment>
    <comment ref="M59" authorId="1" shapeId="0">
      <text>
        <r>
          <rPr>
            <sz val="9"/>
            <color indexed="81"/>
            <rFont val="Tahoma"/>
            <family val="2"/>
          </rPr>
          <t>RenaultFTPlainGreen</t>
        </r>
      </text>
    </comment>
    <comment ref="N59" authorId="1" shapeId="0">
      <text>
        <r>
          <rPr>
            <sz val="9"/>
            <color indexed="81"/>
            <rFont val="Tahoma"/>
            <family val="2"/>
          </rPr>
          <t>Renault_FT-17_Poland</t>
        </r>
      </text>
    </comment>
    <comment ref="O59" authorId="1" shapeId="0">
      <text>
        <r>
          <rPr>
            <sz val="9"/>
            <color indexed="81"/>
            <rFont val="Tahoma"/>
            <family val="2"/>
          </rPr>
          <t>Renault_FT-17_Russia</t>
        </r>
      </text>
    </comment>
    <comment ref="Q59" authorId="1" shapeId="0">
      <text>
        <r>
          <rPr>
            <sz val="9"/>
            <color indexed="81"/>
            <rFont val="Tahoma"/>
            <family val="2"/>
          </rPr>
          <t>RenaultFTBrazil</t>
        </r>
      </text>
    </comment>
    <comment ref="S59" authorId="1" shapeId="0">
      <text>
        <r>
          <rPr>
            <sz val="9"/>
            <color indexed="81"/>
            <rFont val="Tahoma"/>
            <family val="2"/>
          </rPr>
          <t>Renault_FT-17_Greece</t>
        </r>
      </text>
    </comment>
    <comment ref="U59" authorId="1" shapeId="0">
      <text>
        <r>
          <rPr>
            <sz val="9"/>
            <color indexed="81"/>
            <rFont val="Tahoma"/>
            <family val="2"/>
          </rPr>
          <t>Fiat_3000</t>
        </r>
      </text>
    </comment>
    <comment ref="V59" authorId="1" shapeId="0">
      <text>
        <r>
          <rPr>
            <sz val="9"/>
            <color indexed="81"/>
            <rFont val="Tahoma"/>
            <family val="2"/>
          </rPr>
          <t>Renault_FT-17_Spain</t>
        </r>
      </text>
    </comment>
    <comment ref="AL59" authorId="2" shapeId="0">
      <text>
        <r>
          <rPr>
            <sz val="9"/>
            <color indexed="81"/>
            <rFont val="Tahoma"/>
            <family val="2"/>
          </rPr>
          <t>LK_II
(Austria)</t>
        </r>
      </text>
    </comment>
    <comment ref="AQ59" authorId="1" shapeId="0">
      <text>
        <r>
          <rPr>
            <sz val="9"/>
            <color indexed="81"/>
            <rFont val="Tahoma"/>
            <family val="2"/>
          </rPr>
          <t>Renault_FT-17_China</t>
        </r>
      </text>
    </comment>
    <comment ref="AR59" authorId="1" shapeId="0">
      <text>
        <r>
          <rPr>
            <sz val="9"/>
            <color indexed="81"/>
            <rFont val="Tahoma"/>
            <family val="2"/>
          </rPr>
          <t>Type79_Ko-Gata</t>
        </r>
      </text>
    </comment>
    <comment ref="C60" authorId="1" shapeId="0">
      <text>
        <r>
          <rPr>
            <sz val="9"/>
            <color indexed="81"/>
            <rFont val="Tahoma"/>
            <family val="2"/>
          </rPr>
          <t>Infantry_USA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Infantry_German_v2</t>
        </r>
      </text>
    </comment>
    <comment ref="F60" authorId="1" shapeId="0">
      <text>
        <r>
          <rPr>
            <sz val="9"/>
            <color indexed="81"/>
            <rFont val="Tahoma"/>
            <family val="2"/>
          </rPr>
          <t>Infantry_ENG</t>
        </r>
      </text>
    </comment>
    <comment ref="G60" authorId="1" shapeId="0">
      <text>
        <r>
          <rPr>
            <sz val="9"/>
            <color indexed="81"/>
            <rFont val="Tahoma"/>
            <family val="2"/>
          </rPr>
          <t>Infantry_France</t>
        </r>
      </text>
    </comment>
    <comment ref="H60" authorId="1" shapeId="0">
      <text>
        <r>
          <rPr>
            <sz val="9"/>
            <color indexed="81"/>
            <rFont val="Tahoma"/>
            <family val="2"/>
          </rPr>
          <t>Infantry_German</t>
        </r>
      </text>
    </comment>
    <comment ref="I60" authorId="1" shapeId="0">
      <text>
        <r>
          <rPr>
            <sz val="9"/>
            <color indexed="81"/>
            <rFont val="Tahoma"/>
            <family val="2"/>
          </rPr>
          <t>Infantry_Dutch</t>
        </r>
      </text>
    </comment>
    <comment ref="L60" authorId="1" shapeId="0">
      <text>
        <r>
          <rPr>
            <sz val="9"/>
            <color indexed="81"/>
            <rFont val="Tahoma"/>
            <family val="2"/>
          </rPr>
          <t>Infantry_Sweden</t>
        </r>
      </text>
    </comment>
    <comment ref="M60" authorId="1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O60" authorId="1" shapeId="0">
      <text>
        <r>
          <rPr>
            <sz val="9"/>
            <color indexed="81"/>
            <rFont val="Tahoma"/>
            <family val="2"/>
          </rPr>
          <t>Infantry_Russia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Pracinha</t>
        </r>
      </text>
    </comment>
    <comment ref="S60" authorId="1" shapeId="0">
      <text>
        <r>
          <rPr>
            <sz val="9"/>
            <color indexed="81"/>
            <rFont val="Tahoma"/>
            <family val="2"/>
          </rPr>
          <t>Infantry_Greece</t>
        </r>
      </text>
    </comment>
    <comment ref="U60" authorId="1" shapeId="0">
      <text>
        <r>
          <rPr>
            <sz val="9"/>
            <color indexed="81"/>
            <rFont val="Tahoma"/>
            <family val="2"/>
          </rPr>
          <t>Infantry_Italy</t>
        </r>
      </text>
    </comment>
    <comment ref="V60" authorId="1" shapeId="0">
      <text>
        <r>
          <rPr>
            <sz val="9"/>
            <color indexed="81"/>
            <rFont val="Tahoma"/>
            <family val="2"/>
          </rPr>
          <t>Infantry_Spain</t>
        </r>
      </text>
    </comment>
    <comment ref="AG60" authorId="1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60" authorId="1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60" authorId="1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Q60" authorId="1" shapeId="0">
      <text>
        <r>
          <rPr>
            <sz val="9"/>
            <color indexed="81"/>
            <rFont val="Tahoma"/>
            <family val="2"/>
          </rPr>
          <t>Infantry_China_Communist</t>
        </r>
      </text>
    </comment>
    <comment ref="AR60" authorId="1" shapeId="0">
      <text>
        <r>
          <rPr>
            <sz val="9"/>
            <color indexed="81"/>
            <rFont val="Tahoma"/>
            <family val="2"/>
          </rPr>
          <t>Infantry_Japan_Sword</t>
        </r>
      </text>
    </comment>
    <comment ref="AW60" authorId="1" shapeId="0">
      <text>
        <r>
          <rPr>
            <sz val="9"/>
            <color indexed="81"/>
            <rFont val="Tahoma"/>
            <family val="2"/>
          </rPr>
          <t>Infantry_China_Communist_v2</t>
        </r>
      </text>
    </comment>
    <comment ref="AX60" authorId="1" shapeId="0">
      <text>
        <r>
          <rPr>
            <sz val="9"/>
            <color indexed="81"/>
            <rFont val="Tahoma"/>
            <family val="2"/>
          </rPr>
          <t>civ5_iroinf1</t>
        </r>
      </text>
    </comment>
    <comment ref="F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V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I6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Sea Beggar</t>
        </r>
      </text>
    </comment>
    <comment ref="E66" authorId="1" shapeId="0">
      <text>
        <r>
          <rPr>
            <sz val="9"/>
            <color indexed="81"/>
            <rFont val="Tahoma"/>
            <family val="2"/>
          </rPr>
          <t>wizard_fire</t>
        </r>
      </text>
    </comment>
    <comment ref="X66" authorId="1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D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G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K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N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P66" authorId="1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U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X66" authorId="1" shapeId="0">
      <text>
        <r>
          <rPr>
            <sz val="9"/>
            <color indexed="81"/>
            <rFont val="Tahoma"/>
            <family val="2"/>
          </rPr>
          <t>moche_maceman</t>
        </r>
      </text>
    </comment>
    <comment ref="BA66" authorId="1" shapeId="0">
      <text>
        <r>
          <rPr>
            <sz val="9"/>
            <color indexed="81"/>
            <rFont val="Tahoma"/>
            <family val="2"/>
          </rPr>
          <t>battle_priest_tc</t>
        </r>
      </text>
    </comment>
    <comment ref="E67" authorId="1" shapeId="0">
      <text>
        <r>
          <rPr>
            <sz val="9"/>
            <color indexed="81"/>
            <rFont val="Tahoma"/>
            <family val="2"/>
          </rPr>
          <t>druid</t>
        </r>
      </text>
    </comment>
    <comment ref="AG67" authorId="1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P67" authorId="1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U67" authorId="2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X67" authorId="1" shapeId="0">
      <text>
        <r>
          <rPr>
            <sz val="9"/>
            <color indexed="81"/>
            <rFont val="Tahoma"/>
            <family val="2"/>
          </rPr>
          <t>u_anishinaabe_medicine_man</t>
        </r>
      </text>
    </comment>
    <comment ref="BA67" authorId="1" shapeId="0">
      <text>
        <r>
          <rPr>
            <sz val="9"/>
            <color indexed="81"/>
            <rFont val="Tahoma"/>
            <family val="2"/>
          </rPr>
          <t>caravan_andes</t>
        </r>
      </text>
    </comment>
    <comment ref="AD68" authorId="2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G68" authorId="1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K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AP68" authorId="1" shapeId="0">
      <text>
        <r>
          <rPr>
            <sz val="9"/>
            <color indexed="81"/>
            <rFont val="Tahoma"/>
            <family val="2"/>
          </rPr>
          <t>Settlers_Asian_Ox</t>
        </r>
      </text>
    </comment>
    <comment ref="AX68" authorId="1" shapeId="0">
      <text>
        <r>
          <rPr>
            <sz val="9"/>
            <color indexed="81"/>
            <rFont val="Tahoma"/>
            <family val="2"/>
          </rPr>
          <t>SettlerAmerican_Llama</t>
        </r>
      </text>
    </comment>
    <comment ref="BE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J74" authorId="1" shapeId="0">
      <text>
        <r>
          <rPr>
            <sz val="9"/>
            <color indexed="81"/>
            <rFont val="Tahoma"/>
            <family val="2"/>
          </rPr>
          <t>U_Denmark_Longboat</t>
        </r>
      </text>
    </comment>
    <comment ref="K7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Longboat</t>
        </r>
      </text>
    </comment>
    <comment ref="M74" authorId="1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X74" authorId="1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G74" authorId="2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74" authorId="2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74" authorId="1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X74" authorId="1" shapeId="0">
      <text>
        <r>
          <rPr>
            <sz val="9"/>
            <color indexed="81"/>
            <rFont val="Tahoma"/>
            <family val="2"/>
          </rPr>
          <t>TribalAmerican_Embark</t>
        </r>
      </text>
    </comment>
    <comment ref="BA74" authorId="1" shapeId="0">
      <text>
        <r>
          <rPr>
            <sz val="9"/>
            <color indexed="81"/>
            <rFont val="Tahoma"/>
            <family val="2"/>
          </rPr>
          <t>andes_cargo_ship</t>
        </r>
      </text>
    </comment>
    <comment ref="BE74" authorId="1" shapeId="0">
      <text>
        <r>
          <rPr>
            <sz val="9"/>
            <color indexed="81"/>
            <rFont val="Tahoma"/>
            <family val="2"/>
          </rPr>
          <t>U_Polynesian_War_Canoe</t>
        </r>
      </text>
    </comment>
    <comment ref="BF74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Canoe</t>
        </r>
      </text>
    </comment>
    <comment ref="B75" authorId="1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F75" authorId="1" shapeId="0">
      <text>
        <r>
          <rPr>
            <sz val="9"/>
            <color indexed="81"/>
            <rFont val="Tahoma"/>
            <family val="2"/>
          </rPr>
          <t>english_galleon</t>
        </r>
      </text>
    </comment>
    <comment ref="G75" authorId="1" shapeId="0">
      <text>
        <r>
          <rPr>
            <sz val="9"/>
            <color indexed="81"/>
            <rFont val="Tahoma"/>
            <family val="2"/>
          </rPr>
          <t>french_galleon</t>
        </r>
      </text>
    </comment>
    <comment ref="H75" authorId="1" shapeId="0">
      <text>
        <r>
          <rPr>
            <sz val="9"/>
            <color indexed="81"/>
            <rFont val="Tahoma"/>
            <family val="2"/>
          </rPr>
          <t>prussian_galleon</t>
        </r>
      </text>
    </comment>
    <comment ref="K75" authorId="1" shapeId="0">
      <text>
        <r>
          <rPr>
            <sz val="9"/>
            <color indexed="81"/>
            <rFont val="Tahoma"/>
            <family val="2"/>
          </rPr>
          <t>danish_galleon</t>
        </r>
      </text>
    </comment>
    <comment ref="L75" authorId="1" shapeId="0">
      <text>
        <r>
          <rPr>
            <sz val="9"/>
            <color indexed="81"/>
            <rFont val="Tahoma"/>
            <family val="2"/>
          </rPr>
          <t>swedish_galleon</t>
        </r>
      </text>
    </comment>
    <comment ref="O75" authorId="1" shapeId="0">
      <text>
        <r>
          <rPr>
            <sz val="9"/>
            <color indexed="81"/>
            <rFont val="Tahoma"/>
            <family val="2"/>
          </rPr>
          <t>russian_galleon</t>
        </r>
      </text>
    </comment>
    <comment ref="P75" authorId="1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S75" authorId="1" shapeId="0">
      <text>
        <r>
          <rPr>
            <sz val="9"/>
            <color indexed="81"/>
            <rFont val="Tahoma"/>
            <family val="2"/>
          </rPr>
          <t>greek_galleon</t>
        </r>
      </text>
    </comment>
    <comment ref="T75" authorId="1" shapeId="0">
      <text>
        <r>
          <rPr>
            <sz val="9"/>
            <color indexed="81"/>
            <rFont val="Tahoma"/>
            <family val="2"/>
          </rPr>
          <t>portuguese_galleon</t>
        </r>
      </text>
    </comment>
    <comment ref="U75" authorId="1" shapeId="0">
      <text>
        <r>
          <rPr>
            <sz val="9"/>
            <color indexed="81"/>
            <rFont val="Tahoma"/>
            <family val="2"/>
          </rPr>
          <t>italian_galleon</t>
        </r>
      </text>
    </comment>
    <comment ref="V75" authorId="1" shapeId="0">
      <text>
        <r>
          <rPr>
            <sz val="9"/>
            <color indexed="81"/>
            <rFont val="Tahoma"/>
            <family val="2"/>
          </rPr>
          <t>spanish_galleon</t>
        </r>
      </text>
    </comment>
    <comment ref="AP75" authorId="1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B80" authorId="1" shapeId="0">
      <text>
        <r>
          <rPr>
            <sz val="9"/>
            <color indexed="81"/>
            <rFont val="Tahoma"/>
            <family val="2"/>
          </rPr>
          <t>SupplyTrain</t>
        </r>
      </text>
    </comment>
    <comment ref="F83" authorId="1" shapeId="0">
      <text>
        <r>
          <rPr>
            <sz val="9"/>
            <color indexed="81"/>
            <rFont val="Tahoma"/>
            <family val="2"/>
          </rPr>
          <t>carrack_eng</t>
        </r>
      </text>
    </comment>
    <comment ref="G83" authorId="1" shapeId="0">
      <text>
        <r>
          <rPr>
            <sz val="9"/>
            <color indexed="81"/>
            <rFont val="Tahoma"/>
            <family val="2"/>
          </rPr>
          <t>carrack_fra</t>
        </r>
      </text>
    </comment>
    <comment ref="H83" authorId="1" shapeId="0">
      <text>
        <r>
          <rPr>
            <sz val="9"/>
            <color indexed="81"/>
            <rFont val="Tahoma"/>
            <family val="2"/>
          </rPr>
          <t>cogge</t>
        </r>
      </text>
    </comment>
    <comment ref="L83" authorId="1" shapeId="0">
      <text>
        <r>
          <rPr>
            <sz val="9"/>
            <color indexed="81"/>
            <rFont val="Tahoma"/>
            <family val="2"/>
          </rPr>
          <t>carrack_swe</t>
        </r>
      </text>
    </comment>
    <comment ref="O83" authorId="1" shapeId="0">
      <text>
        <r>
          <rPr>
            <sz val="9"/>
            <color indexed="81"/>
            <rFont val="Tahoma"/>
            <family val="2"/>
          </rPr>
          <t>carrack_rus</t>
        </r>
      </text>
    </comment>
    <comment ref="P83" authorId="1" shapeId="0">
      <text>
        <r>
          <rPr>
            <sz val="9"/>
            <color indexed="81"/>
            <rFont val="Tahoma"/>
            <family val="2"/>
          </rPr>
          <t>carrack</t>
        </r>
      </text>
    </comment>
    <comment ref="U83" authorId="1" shapeId="0">
      <text>
        <r>
          <rPr>
            <sz val="9"/>
            <color indexed="81"/>
            <rFont val="Tahoma"/>
            <family val="2"/>
          </rPr>
          <t>carrack_ita</t>
        </r>
      </text>
    </comment>
    <comment ref="V83" authorId="1" shapeId="0">
      <text>
        <r>
          <rPr>
            <sz val="9"/>
            <color indexed="81"/>
            <rFont val="Tahoma"/>
            <family val="2"/>
          </rPr>
          <t>U_Spanish_Galleon</t>
        </r>
      </text>
    </comment>
    <comment ref="AD83" authorId="1" shapeId="0">
      <text>
        <r>
          <rPr>
            <sz val="9"/>
            <color indexed="81"/>
            <rFont val="Tahoma"/>
            <family val="2"/>
          </rPr>
          <t>carrack_alg</t>
        </r>
      </text>
    </comment>
    <comment ref="AM83" authorId="1" shapeId="0">
      <text>
        <r>
          <rPr>
            <sz val="9"/>
            <color indexed="81"/>
            <rFont val="Tahoma"/>
            <family val="2"/>
          </rPr>
          <t>carrack_ott</t>
        </r>
      </text>
    </comment>
    <comment ref="U87" authorId="1" shapeId="0">
      <text>
        <r>
          <rPr>
            <sz val="9"/>
            <color indexed="81"/>
            <rFont val="Tahoma"/>
            <family val="2"/>
          </rPr>
          <t>rom_general_d</t>
        </r>
      </text>
    </comment>
    <comment ref="AT8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Khan</t>
        </r>
      </text>
    </comment>
    <comment ref="W9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Merchant of Venice</t>
        </r>
      </text>
    </comment>
    <comment ref="I103" authorId="1" shapeId="0">
      <text>
        <r>
          <rPr>
            <sz val="9"/>
            <color indexed="81"/>
            <rFont val="Tahoma"/>
            <family val="2"/>
          </rPr>
          <t>CIV5Nedwo</t>
        </r>
      </text>
    </comment>
    <comment ref="AP103" authorId="1" shapeId="0">
      <text>
        <r>
          <rPr>
            <sz val="9"/>
            <color indexed="81"/>
            <rFont val="Tahoma"/>
            <family val="2"/>
          </rPr>
          <t>worker_buddhist</t>
        </r>
      </text>
    </comment>
    <comment ref="BA103" authorId="1" shapeId="0">
      <text>
        <r>
          <rPr>
            <sz val="9"/>
            <color indexed="81"/>
            <rFont val="Tahoma"/>
            <family val="2"/>
          </rPr>
          <t>worker_andes</t>
        </r>
      </text>
    </comment>
    <comment ref="I104" authorId="1" shapeId="0">
      <text>
        <r>
          <rPr>
            <sz val="9"/>
            <color indexed="81"/>
            <rFont val="Tahoma"/>
            <family val="2"/>
          </rPr>
          <t>CIV5Nedwo</t>
        </r>
      </text>
    </comment>
  </commentList>
</comments>
</file>

<file path=xl/comments2.xml><?xml version="1.0" encoding="utf-8"?>
<comments xmlns="http://schemas.openxmlformats.org/spreadsheetml/2006/main">
  <authors>
    <author>Eric Nussbaum</author>
    <author>Nutty</author>
  </authors>
  <commentList>
    <comment ref="R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D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G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J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P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P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A13" authorId="1" shapeId="0">
      <text>
        <r>
          <rPr>
            <sz val="9"/>
            <color indexed="81"/>
            <rFont val="Tahoma"/>
            <family val="2"/>
          </rPr>
          <t>[used by "Road to 100%" sheet]</t>
        </r>
      </text>
    </comment>
    <comment ref="B13" authorId="1" shapeId="0">
      <text>
        <r>
          <rPr>
            <sz val="9"/>
            <color indexed="81"/>
            <rFont val="Tahoma"/>
            <family val="2"/>
          </rPr>
          <t>UNIT_*
[not used]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See "Style List" tab for one of 2 suffixes that may apply to a given civ (a specific "Suffix" and a "Fallback")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You can override the general fallback suffix from "Style List" tab with a manual entry here.  Only used if fxsxml column is blank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Model reference. Do not include .fxsxml extension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
[not used]</t>
        </r>
      </text>
    </comment>
    <comment ref="J13" authorId="1" shapeId="0">
      <text>
        <r>
          <rPr>
            <sz val="9"/>
            <color indexed="81"/>
            <rFont val="Tahoma"/>
            <family val="2"/>
          </rPr>
          <t>1 for units with era variation that should also get cultural variation
[not used]</t>
        </r>
      </text>
    </comment>
    <comment ref="K13" authorId="1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Model size as a number, or one of the scaling codes listed above</t>
        </r>
      </text>
    </comment>
    <comment ref="S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  <comment ref="C322" authorId="1" shapeId="0">
      <text>
        <r>
          <rPr>
            <sz val="9"/>
            <color indexed="81"/>
            <rFont val="Tahoma"/>
            <family val="2"/>
          </rPr>
          <t>[not used]
B-1</t>
        </r>
      </text>
    </comment>
    <comment ref="A722" authorId="1" shapeId="0">
      <text>
        <r>
          <rPr>
            <sz val="9"/>
            <color indexed="81"/>
            <rFont val="Tahoma"/>
            <family val="2"/>
          </rPr>
          <t>See WW2_Infantry</t>
        </r>
      </text>
    </comment>
    <comment ref="C1417" authorId="1" shapeId="0">
      <text>
        <r>
          <rPr>
            <sz val="9"/>
            <color indexed="81"/>
            <rFont val="Tahoma"/>
            <family val="2"/>
          </rPr>
          <t>[not used]
Carolean</t>
        </r>
      </text>
    </comment>
    <comment ref="C1511" authorId="1" shapeId="0">
      <text>
        <r>
          <rPr>
            <sz val="9"/>
            <color indexed="81"/>
            <rFont val="Tahoma"/>
            <family val="2"/>
          </rPr>
          <t>[not used]
Hoplite</t>
        </r>
      </text>
    </comment>
  </commentList>
</comments>
</file>

<file path=xl/comments3.xml><?xml version="1.0" encoding="utf-8"?>
<comments xmlns="http://schemas.openxmlformats.org/spreadsheetml/2006/main">
  <authors>
    <author>Nutty</author>
  </authors>
  <commentList>
    <comment ref="B5" authorId="0" shapeId="0">
      <text>
        <r>
          <rPr>
            <sz val="9"/>
            <color indexed="81"/>
            <rFont val="Tahoma"/>
            <family val="2"/>
          </rPr>
          <t>0 for Civilizations
1 for MinorCivilizations</t>
        </r>
      </text>
    </comment>
    <comment ref="C5" authorId="0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ArtStyleType column</t>
        </r>
      </text>
    </comment>
  </commentList>
</comments>
</file>

<file path=xl/sharedStrings.xml><?xml version="1.0" encoding="utf-8"?>
<sst xmlns="http://schemas.openxmlformats.org/spreadsheetml/2006/main" count="18248" uniqueCount="2671">
  <si>
    <t>x</t>
  </si>
  <si>
    <t>-</t>
  </si>
  <si>
    <t>Caravan</t>
  </si>
  <si>
    <t>X</t>
  </si>
  <si>
    <t>Workboat</t>
  </si>
  <si>
    <t>[Denmark/Polynesia now change with era]</t>
  </si>
  <si>
    <t>Archaeologist</t>
  </si>
  <si>
    <t>Inquisitor</t>
  </si>
  <si>
    <t>Missionary</t>
  </si>
  <si>
    <t>Belgium/Swiss/East Euro. CS's</t>
  </si>
  <si>
    <t>[France former UU]</t>
  </si>
  <si>
    <t>Marine</t>
  </si>
  <si>
    <t>Levant CS's</t>
  </si>
  <si>
    <t>Trireme</t>
  </si>
  <si>
    <t>Trebuchet</t>
  </si>
  <si>
    <t>Tank</t>
  </si>
  <si>
    <t>Swordsman</t>
  </si>
  <si>
    <t>Submarine</t>
  </si>
  <si>
    <t>Garamantes</t>
  </si>
  <si>
    <t>Spearman</t>
  </si>
  <si>
    <t>Scout</t>
  </si>
  <si>
    <t>Rifleman</t>
  </si>
  <si>
    <t>Pikeman</t>
  </si>
  <si>
    <t>Paratrooper</t>
  </si>
  <si>
    <t>East Euro. CS's</t>
  </si>
  <si>
    <t>Musketman</t>
  </si>
  <si>
    <t>Longswordsman</t>
  </si>
  <si>
    <t>Lancer</t>
  </si>
  <si>
    <t>Knight</t>
  </si>
  <si>
    <t>Ironclad</t>
  </si>
  <si>
    <t>Horseman</t>
  </si>
  <si>
    <t>Frigate</t>
  </si>
  <si>
    <t>Fighter</t>
  </si>
  <si>
    <t>Destroyer</t>
  </si>
  <si>
    <t>Crossbowman</t>
  </si>
  <si>
    <t>Cavalry</t>
  </si>
  <si>
    <t>Catapult</t>
  </si>
  <si>
    <t>Carrier</t>
  </si>
  <si>
    <t>Caravel</t>
  </si>
  <si>
    <t>Cannon</t>
  </si>
  <si>
    <t>Bomber</t>
  </si>
  <si>
    <t>Battleship</t>
  </si>
  <si>
    <t>= E.U. unique (unnecessary)</t>
  </si>
  <si>
    <t>Artillery</t>
  </si>
  <si>
    <t>Archer</t>
  </si>
  <si>
    <t>= E.U. + R.E.D.</t>
  </si>
  <si>
    <t>Barbarian</t>
  </si>
  <si>
    <t>City-States</t>
  </si>
  <si>
    <t>Polynesia</t>
  </si>
  <si>
    <t>Maya</t>
  </si>
  <si>
    <t>Inca</t>
  </si>
  <si>
    <t>Aztec</t>
  </si>
  <si>
    <t>Shoshone</t>
  </si>
  <si>
    <t>Iroquois</t>
  </si>
  <si>
    <t>Siam</t>
  </si>
  <si>
    <t>Indonesia</t>
  </si>
  <si>
    <t>Korea</t>
  </si>
  <si>
    <t>Japan</t>
  </si>
  <si>
    <t>China</t>
  </si>
  <si>
    <t>India</t>
  </si>
  <si>
    <t>Ottoman</t>
  </si>
  <si>
    <t>Huns</t>
  </si>
  <si>
    <t>Songhai</t>
  </si>
  <si>
    <t>Ethiopia</t>
  </si>
  <si>
    <t>Morocco</t>
  </si>
  <si>
    <t>Assyria</t>
  </si>
  <si>
    <t>Babylon</t>
  </si>
  <si>
    <t>Persia</t>
  </si>
  <si>
    <t>Egypt</t>
  </si>
  <si>
    <t>Arabia</t>
  </si>
  <si>
    <t>Venice</t>
  </si>
  <si>
    <t>Spain</t>
  </si>
  <si>
    <t>Rome</t>
  </si>
  <si>
    <t>Portugal</t>
  </si>
  <si>
    <t>Greece</t>
  </si>
  <si>
    <t>Carthage</t>
  </si>
  <si>
    <t>Byzantium</t>
  </si>
  <si>
    <t>Brazil</t>
  </si>
  <si>
    <t>Russia</t>
  </si>
  <si>
    <t>Poland</t>
  </si>
  <si>
    <t>Sweden</t>
  </si>
  <si>
    <t>Netherlands</t>
  </si>
  <si>
    <t>Germany</t>
  </si>
  <si>
    <t>France</t>
  </si>
  <si>
    <t>England</t>
  </si>
  <si>
    <t>Denmark</t>
  </si>
  <si>
    <t>Celts</t>
  </si>
  <si>
    <t>Austria</t>
  </si>
  <si>
    <t>America</t>
  </si>
  <si>
    <t>unit type</t>
  </si>
  <si>
    <t>D</t>
  </si>
  <si>
    <t>G</t>
  </si>
  <si>
    <t>B</t>
  </si>
  <si>
    <t>key</t>
  </si>
  <si>
    <t>Ocean.</t>
  </si>
  <si>
    <t>SE Asia</t>
  </si>
  <si>
    <t>Asia</t>
  </si>
  <si>
    <t>Africa</t>
  </si>
  <si>
    <t>Middle East</t>
  </si>
  <si>
    <t>Mediterranean</t>
  </si>
  <si>
    <t>Europe</t>
  </si>
  <si>
    <t>region</t>
  </si>
  <si>
    <t>danrell</t>
  </si>
  <si>
    <t>TANK</t>
  </si>
  <si>
    <t>SWORDSMAN</t>
  </si>
  <si>
    <t>SUBMARINE</t>
  </si>
  <si>
    <t>SPEARMAN</t>
  </si>
  <si>
    <t>PIKEMAN</t>
  </si>
  <si>
    <t>PARATROOPER</t>
  </si>
  <si>
    <t>LONGSWORDSMAN</t>
  </si>
  <si>
    <t>KNIGHT</t>
  </si>
  <si>
    <t>INFANTRY</t>
  </si>
  <si>
    <t>HORSEMAN</t>
  </si>
  <si>
    <t>FIGHTER</t>
  </si>
  <si>
    <t>DESTROYER</t>
  </si>
  <si>
    <t>CROSSBOWMAN</t>
  </si>
  <si>
    <t>COMPOSITE_BOWMAN</t>
  </si>
  <si>
    <t>CARRIER</t>
  </si>
  <si>
    <t>BOMBER</t>
  </si>
  <si>
    <t>ARCHER</t>
  </si>
  <si>
    <t>snafusmith</t>
  </si>
  <si>
    <t>MODERN_ARMOR</t>
  </si>
  <si>
    <t>bernie14</t>
  </si>
  <si>
    <t>RIFLEMAN</t>
  </si>
  <si>
    <t>blazekid87</t>
  </si>
  <si>
    <t>Nutty, bernie14</t>
  </si>
  <si>
    <t>BATTLESHIP</t>
  </si>
  <si>
    <t>M13-40</t>
  </si>
  <si>
    <t>Firaxis</t>
  </si>
  <si>
    <t>MUSKETMAN</t>
  </si>
  <si>
    <t>Rabbit,White, danrell</t>
  </si>
  <si>
    <t>snafusmith, danrell</t>
  </si>
  <si>
    <t/>
  </si>
  <si>
    <t>Iowa_Class</t>
  </si>
  <si>
    <t>B-25_Mitchell</t>
  </si>
  <si>
    <t>Essex_Class</t>
  </si>
  <si>
    <t>Longbowman_American</t>
  </si>
  <si>
    <t>Fletcher_Class</t>
  </si>
  <si>
    <t>P-51_Mustang</t>
  </si>
  <si>
    <t>AH64USA</t>
  </si>
  <si>
    <t>Infantry_USA</t>
  </si>
  <si>
    <t>F15</t>
  </si>
  <si>
    <t>usa_longsw7</t>
  </si>
  <si>
    <t>Civ5_Bradley_Camo</t>
  </si>
  <si>
    <t>M1Abrams</t>
  </si>
  <si>
    <t>continental_inf</t>
  </si>
  <si>
    <t>losangeles</t>
  </si>
  <si>
    <t>Paratrooper_USA</t>
  </si>
  <si>
    <t>Pikeman_American</t>
  </si>
  <si>
    <t>civ5_usarm2</t>
  </si>
  <si>
    <t>Spearman_American</t>
  </si>
  <si>
    <t>Submarine_Gato</t>
  </si>
  <si>
    <t>Swordsman_American</t>
  </si>
  <si>
    <t>M4A3E8_Sherman_Easy_Eight</t>
  </si>
  <si>
    <t>SPAD_S.XIII</t>
  </si>
  <si>
    <t>usagw1</t>
  </si>
  <si>
    <t>M1917</t>
  </si>
  <si>
    <t>Archer_Arabia</t>
  </si>
  <si>
    <t>Composite_Bowman_Arabia</t>
  </si>
  <si>
    <t>Longbowman_Arabia</t>
  </si>
  <si>
    <t>Fighter_Default</t>
  </si>
  <si>
    <t>AH64PlainTeamColor</t>
  </si>
  <si>
    <t>Horseman_Arabia</t>
  </si>
  <si>
    <t>Knight_Arabia</t>
  </si>
  <si>
    <t>Longswordsman_Arabia</t>
  </si>
  <si>
    <t>Civ5_Bradley_Desert</t>
  </si>
  <si>
    <t>RolandTanTeamColor</t>
  </si>
  <si>
    <t>ChallengerII_Desert</t>
  </si>
  <si>
    <t>Pikeman_Arabia</t>
  </si>
  <si>
    <t>ararm3</t>
  </si>
  <si>
    <t>Spearman_Arabia</t>
  </si>
  <si>
    <t>Swordsman_Arabia_v3</t>
  </si>
  <si>
    <t>aragw1</t>
  </si>
  <si>
    <t>BMP2DesertTeam</t>
  </si>
  <si>
    <t>T72</t>
  </si>
  <si>
    <t>civ5_arasm1</t>
  </si>
  <si>
    <t>AustriaWarrior2</t>
  </si>
  <si>
    <t>Junkers_Ju-88</t>
  </si>
  <si>
    <t>Messerschmitt_Bf-109F</t>
  </si>
  <si>
    <t>tiger_austria</t>
  </si>
  <si>
    <t>Infantry_German_v2</t>
  </si>
  <si>
    <t>EurofighterAustria</t>
  </si>
  <si>
    <t>austria_longsw2</t>
  </si>
  <si>
    <t>Arquebusier</t>
  </si>
  <si>
    <t>Paratrooper_German_v2</t>
  </si>
  <si>
    <t>civ5_ausrm3</t>
  </si>
  <si>
    <t>U-20_Class</t>
  </si>
  <si>
    <t>Panzer_IV_Ausf_G</t>
  </si>
  <si>
    <t>Albatros_D.III_Hungary</t>
  </si>
  <si>
    <t>ausgw1</t>
  </si>
  <si>
    <t>LK_II</t>
  </si>
  <si>
    <t>Archer_Aztec</t>
  </si>
  <si>
    <t>Composite_Bowman_Aztec</t>
  </si>
  <si>
    <t>Longbowman_Aztec</t>
  </si>
  <si>
    <t>andes_cargo_ship</t>
  </si>
  <si>
    <t>Mi8Mexico</t>
  </si>
  <si>
    <t>Horseman_Aztec</t>
  </si>
  <si>
    <t>Knight_Aztec</t>
  </si>
  <si>
    <t>Longswordsman_Aztec</t>
  </si>
  <si>
    <t>Pikeman_Aztec</t>
  </si>
  <si>
    <t>civ5_aztrm3</t>
  </si>
  <si>
    <t>Scout_Aztec</t>
  </si>
  <si>
    <t>Spearman_Aztec</t>
  </si>
  <si>
    <t>Swordsman_Aztec</t>
  </si>
  <si>
    <t>MediumTank_Generic</t>
  </si>
  <si>
    <t>Archer_Babylon</t>
  </si>
  <si>
    <t>Composite_Bowman_Babylon</t>
  </si>
  <si>
    <t>Longbowman_Babylon</t>
  </si>
  <si>
    <t>Mi8Iraq</t>
  </si>
  <si>
    <t>Horseman_Babylon</t>
  </si>
  <si>
    <t>MiG29Iraq</t>
  </si>
  <si>
    <t>Knight_Babylon</t>
  </si>
  <si>
    <t>Longswordsman_Babylon</t>
  </si>
  <si>
    <t>BMP2Iraq</t>
  </si>
  <si>
    <t>T72_Iraq</t>
  </si>
  <si>
    <t>Pikeman_Babylon</t>
  </si>
  <si>
    <t>babrm3</t>
  </si>
  <si>
    <t>Spearman_Babylon</t>
  </si>
  <si>
    <t>Swordsman_Babylon_v3</t>
  </si>
  <si>
    <t>BelgaeMilnaht</t>
  </si>
  <si>
    <t>RenaultFTBelgium</t>
  </si>
  <si>
    <t>bohemia_longsw2</t>
  </si>
  <si>
    <t>P40Brazil</t>
  </si>
  <si>
    <t>BrazilPretosForros</t>
  </si>
  <si>
    <t>RenaultFTBrazil</t>
  </si>
  <si>
    <t>ThraikanPezoi2</t>
  </si>
  <si>
    <t>byzantium_longsw6</t>
  </si>
  <si>
    <t>CarthageWarrior</t>
  </si>
  <si>
    <t>Mi8DesertTeamColor</t>
  </si>
  <si>
    <t>BMP2Algeria</t>
  </si>
  <si>
    <t>T72_Algeria</t>
  </si>
  <si>
    <t>CarthageSpearman</t>
  </si>
  <si>
    <t>babrm6</t>
  </si>
  <si>
    <t>MedScout</t>
  </si>
  <si>
    <t>CitizenMilitia</t>
  </si>
  <si>
    <t>LibyanMerc</t>
  </si>
  <si>
    <t>EuroWarrior</t>
  </si>
  <si>
    <t>wizard_fire</t>
  </si>
  <si>
    <t>wales_longsw1</t>
  </si>
  <si>
    <t>druid</t>
  </si>
  <si>
    <t>celrm3</t>
  </si>
  <si>
    <t>EuroScout</t>
  </si>
  <si>
    <t>Archer_China</t>
  </si>
  <si>
    <t>B-25_Mitchell_China</t>
  </si>
  <si>
    <t>Composite_Bowman_China_v2</t>
  </si>
  <si>
    <t>Crossbowman_China</t>
  </si>
  <si>
    <t>P-40_Warhawk_China</t>
  </si>
  <si>
    <t>Mi8PlainTeamColor</t>
  </si>
  <si>
    <t>Horseman_China_v2</t>
  </si>
  <si>
    <t>Infantry_China_Communist_v2</t>
  </si>
  <si>
    <t>Knight_China</t>
  </si>
  <si>
    <t>Longswordsman_China_v3</t>
  </si>
  <si>
    <t>BMP2GreenTeam</t>
  </si>
  <si>
    <t>buddhist_missionary_02</t>
  </si>
  <si>
    <t>T55China</t>
  </si>
  <si>
    <t>Paratrooper_China</t>
  </si>
  <si>
    <t>Pikeman_China</t>
  </si>
  <si>
    <t>civ5_chirm3</t>
  </si>
  <si>
    <t>Spearman_China_v2</t>
  </si>
  <si>
    <t>Swordsman_China_v2</t>
  </si>
  <si>
    <t>M4A4_Sherman_V</t>
  </si>
  <si>
    <t>Polikarpov_I-15_China</t>
  </si>
  <si>
    <t>Renault_FT-17_China</t>
  </si>
  <si>
    <t>DenmarkWarrior2</t>
  </si>
  <si>
    <t>Archer_Viking</t>
  </si>
  <si>
    <t>Composite_Bowman_Viking</t>
  </si>
  <si>
    <t>Crossbowman_Viking</t>
  </si>
  <si>
    <t>Horseman_Viking</t>
  </si>
  <si>
    <t>Knight_Viking</t>
  </si>
  <si>
    <t>Longswordsman_Viking_v3</t>
  </si>
  <si>
    <t>Pikeman_Viking</t>
  </si>
  <si>
    <t>civ5_danrm1</t>
  </si>
  <si>
    <t>Spearman_Viking</t>
  </si>
  <si>
    <t>Swordsman_Viking</t>
  </si>
  <si>
    <t>Archer_Egypt</t>
  </si>
  <si>
    <t>Bomber_B-24_Egypt</t>
  </si>
  <si>
    <t>Longbowman_Egypt</t>
  </si>
  <si>
    <t>Composite_Bowman_Egypt</t>
  </si>
  <si>
    <t>P40Egypt</t>
  </si>
  <si>
    <t>Mi8Egypt</t>
  </si>
  <si>
    <t>Horseman_Egypt</t>
  </si>
  <si>
    <t>F4Egypt</t>
  </si>
  <si>
    <t>Knight_Egypt</t>
  </si>
  <si>
    <t>Longswordsman_Egypt</t>
  </si>
  <si>
    <t>T55Egypt</t>
  </si>
  <si>
    <t>Pikeman_Egypt</t>
  </si>
  <si>
    <t>civ5_egyrm2</t>
  </si>
  <si>
    <t>Spearman_Egypt</t>
  </si>
  <si>
    <t>civ5_egysm1</t>
  </si>
  <si>
    <t>EnglandWarrior2</t>
  </si>
  <si>
    <t>Archer_England</t>
  </si>
  <si>
    <t>King_George_V_Class</t>
  </si>
  <si>
    <t>Vickers_Wellington</t>
  </si>
  <si>
    <t>24_Pounder</t>
  </si>
  <si>
    <t>Illustrious_Class</t>
  </si>
  <si>
    <t>Composite_Bowman_England</t>
  </si>
  <si>
    <t>Triba_Class</t>
  </si>
  <si>
    <t>Supermarine_Spitfire_MK_V</t>
  </si>
  <si>
    <t>AH64Britain</t>
  </si>
  <si>
    <t>Horseman_England</t>
  </si>
  <si>
    <t>Infantry_ENG</t>
  </si>
  <si>
    <t>EurofighterUK</t>
  </si>
  <si>
    <t>english_knight</t>
  </si>
  <si>
    <t>england_longsw6</t>
  </si>
  <si>
    <t>RM_Commando</t>
  </si>
  <si>
    <t>ChallengerII</t>
  </si>
  <si>
    <t>redcoat</t>
  </si>
  <si>
    <t>astute</t>
  </si>
  <si>
    <t>Paratrooper_UK</t>
  </si>
  <si>
    <t>Pikeman_England</t>
  </si>
  <si>
    <t>civ5_engrm3</t>
  </si>
  <si>
    <t>Spearman_England</t>
  </si>
  <si>
    <t>Submarine_T-Class</t>
  </si>
  <si>
    <t>Swordsman_England</t>
  </si>
  <si>
    <t>A27M_Cromwell</t>
  </si>
  <si>
    <t>Spowith_Camel</t>
  </si>
  <si>
    <t>brigw1</t>
  </si>
  <si>
    <t>MK_A_Whippet</t>
  </si>
  <si>
    <t>BA_EthiopiaAxe</t>
  </si>
  <si>
    <t>EthiopiaArcher2</t>
  </si>
  <si>
    <t>EthiopiaCompBow</t>
  </si>
  <si>
    <t>EthiopiaCrossbow</t>
  </si>
  <si>
    <t>Mi8Ethiopia</t>
  </si>
  <si>
    <t>EthiopiaMedHorseman</t>
  </si>
  <si>
    <t>AfricanInfantry</t>
  </si>
  <si>
    <t>EthiopiaKnight</t>
  </si>
  <si>
    <t>EthiopianHeavyFootman</t>
  </si>
  <si>
    <t>T55Ethiopia</t>
  </si>
  <si>
    <t>EthiopianOromo3</t>
  </si>
  <si>
    <t>EthiopianPikeman</t>
  </si>
  <si>
    <t>EthiopianScout</t>
  </si>
  <si>
    <t>EthiopiaMedSpearman</t>
  </si>
  <si>
    <t>EthiopiaMedSwordsman</t>
  </si>
  <si>
    <t>FrankWarrior</t>
  </si>
  <si>
    <t>Archer_France</t>
  </si>
  <si>
    <t>Richelieu_Class</t>
  </si>
  <si>
    <t>Amiot_350</t>
  </si>
  <si>
    <t>NapoleonCannon</t>
  </si>
  <si>
    <t>Joffre_Class</t>
  </si>
  <si>
    <t>freca1</t>
  </si>
  <si>
    <t>Composite_Bowman_France</t>
  </si>
  <si>
    <t>Longbowman_France</t>
  </si>
  <si>
    <t>Fantasque_Class</t>
  </si>
  <si>
    <t>Dewoitine_D.520</t>
  </si>
  <si>
    <t>tiger_france</t>
  </si>
  <si>
    <t>Horseman_France</t>
  </si>
  <si>
    <t>Infantry_France</t>
  </si>
  <si>
    <t>Rafale</t>
  </si>
  <si>
    <t>Knight_France_v2</t>
  </si>
  <si>
    <t>frelr1</t>
  </si>
  <si>
    <t>france_longsw3</t>
  </si>
  <si>
    <t>RolandFrance</t>
  </si>
  <si>
    <t>Leclerc</t>
  </si>
  <si>
    <t>Paratrooper_France</t>
  </si>
  <si>
    <t>Pikeman_France</t>
  </si>
  <si>
    <t>civ5_frerm2</t>
  </si>
  <si>
    <t>Spearman_France</t>
  </si>
  <si>
    <t>Submarine_Le_Redoutable</t>
  </si>
  <si>
    <t>Swordsman_France</t>
  </si>
  <si>
    <t>Somua_S-35</t>
  </si>
  <si>
    <t>Nieuport_17</t>
  </si>
  <si>
    <t>fregw1</t>
  </si>
  <si>
    <t>RenaultFTFrance2</t>
  </si>
  <si>
    <t>Garamante</t>
  </si>
  <si>
    <t>GermanHvyAxe</t>
  </si>
  <si>
    <t>Archer_German</t>
  </si>
  <si>
    <t>Bismark_Class</t>
  </si>
  <si>
    <t>Heinkel_He-111</t>
  </si>
  <si>
    <t>Graf_Zeppelin_Class</t>
  </si>
  <si>
    <t>gerca1</t>
  </si>
  <si>
    <t>Composite_Bowman_German</t>
  </si>
  <si>
    <t>Crossbowman_German</t>
  </si>
  <si>
    <t>Z23_Class</t>
  </si>
  <si>
    <t>Focke-Wulf_Fw-190</t>
  </si>
  <si>
    <t>V1_Rocket</t>
  </si>
  <si>
    <t>tiger_germany</t>
  </si>
  <si>
    <t>Horseman_German</t>
  </si>
  <si>
    <t>Infantry_German</t>
  </si>
  <si>
    <t>EurofighterGermany</t>
  </si>
  <si>
    <t>gerkn5_knight</t>
  </si>
  <si>
    <t>gerlr1</t>
  </si>
  <si>
    <t>swa_longsw1</t>
  </si>
  <si>
    <t>Marder</t>
  </si>
  <si>
    <t>Leopard2</t>
  </si>
  <si>
    <t>musketman_ger2</t>
  </si>
  <si>
    <t>Paratrooper_German</t>
  </si>
  <si>
    <t>Pikeman_German</t>
  </si>
  <si>
    <t>civ5_gerrm2</t>
  </si>
  <si>
    <t>Spearman_German</t>
  </si>
  <si>
    <t>Ho229</t>
  </si>
  <si>
    <t>Submarine_U-Boat</t>
  </si>
  <si>
    <t>Swordsman_German</t>
  </si>
  <si>
    <t>Panzer_V_Panther</t>
  </si>
  <si>
    <t>Fokker_Dr.1</t>
  </si>
  <si>
    <t>gergw1</t>
  </si>
  <si>
    <t>A7V</t>
  </si>
  <si>
    <t>MycenaeSword</t>
  </si>
  <si>
    <t>Archer_Greece</t>
  </si>
  <si>
    <t>Bomber_Blenheim</t>
  </si>
  <si>
    <t>Composite_Bowman_Greek</t>
  </si>
  <si>
    <t>Longbowman_Greece</t>
  </si>
  <si>
    <t>Vasilefs_Georgios_Class</t>
  </si>
  <si>
    <t>Fighter_Spitfire_MK5c</t>
  </si>
  <si>
    <t>AH64Greece</t>
  </si>
  <si>
    <t>Infantry_Greece</t>
  </si>
  <si>
    <t>F4Greece</t>
  </si>
  <si>
    <t>Knight_Greece</t>
  </si>
  <si>
    <t>Longswordsman_Greece</t>
  </si>
  <si>
    <t>Leopard1_Greece</t>
  </si>
  <si>
    <t>Paratrooper_Greece</t>
  </si>
  <si>
    <t>Pikeman_Greece</t>
  </si>
  <si>
    <t>civ5_grerm3</t>
  </si>
  <si>
    <t>U_Greek_Hoplite</t>
  </si>
  <si>
    <t>Katsonis_Class</t>
  </si>
  <si>
    <t>civ5_gresm1</t>
  </si>
  <si>
    <t>gregw1</t>
  </si>
  <si>
    <t>Renault_FT-17_Greece</t>
  </si>
  <si>
    <t>Warrior_Inca</t>
  </si>
  <si>
    <t>Composite_Bowman_Inca</t>
  </si>
  <si>
    <t>Longbowman_Inca</t>
  </si>
  <si>
    <t>Horseman_Inca</t>
  </si>
  <si>
    <t>MiG29Peru</t>
  </si>
  <si>
    <t>Knight_Inca</t>
  </si>
  <si>
    <t>IncaAxeman</t>
  </si>
  <si>
    <t>T55Peru</t>
  </si>
  <si>
    <t>Pikeman_Inca</t>
  </si>
  <si>
    <t>civ5_aztrm1</t>
  </si>
  <si>
    <t>IncaScout</t>
  </si>
  <si>
    <t>Spearman_Inca</t>
  </si>
  <si>
    <t>Swordsman_Inca</t>
  </si>
  <si>
    <t>Archer_India</t>
  </si>
  <si>
    <t>Composite_Bowman_India</t>
  </si>
  <si>
    <t>Longbowman_India</t>
  </si>
  <si>
    <t>Mi8India</t>
  </si>
  <si>
    <t>Horseman_India</t>
  </si>
  <si>
    <t>MiG29India</t>
  </si>
  <si>
    <t>Knight_India_v5</t>
  </si>
  <si>
    <t>Longswordsman_India_v2</t>
  </si>
  <si>
    <t>BMP2India</t>
  </si>
  <si>
    <t>T72_India</t>
  </si>
  <si>
    <t>Pikeman_India</t>
  </si>
  <si>
    <t>civ5_indrm3</t>
  </si>
  <si>
    <t>Scout_India</t>
  </si>
  <si>
    <t>Spearman_India</t>
  </si>
  <si>
    <t>Swordsman_India_v2</t>
  </si>
  <si>
    <t>indgw1</t>
  </si>
  <si>
    <t>Archer_Korea</t>
  </si>
  <si>
    <t>Composite_Bowman_China</t>
  </si>
  <si>
    <t>Horseman_China</t>
  </si>
  <si>
    <t>Infantry_China</t>
  </si>
  <si>
    <t>Longswordsman_China</t>
  </si>
  <si>
    <t>T72_USSR</t>
  </si>
  <si>
    <t>u_malaysian_silat</t>
  </si>
  <si>
    <t>civ5_monrm1</t>
  </si>
  <si>
    <t>Scout_Mongol</t>
  </si>
  <si>
    <t>Spearman_China</t>
  </si>
  <si>
    <t>Swordsman_China</t>
  </si>
  <si>
    <t>civ5_irowa1</t>
  </si>
  <si>
    <t>civ5_iroar1</t>
  </si>
  <si>
    <t>civ5_iroha1</t>
  </si>
  <si>
    <t>civ5_iroco1</t>
  </si>
  <si>
    <t>civ5_irolb4</t>
  </si>
  <si>
    <t>civ5_irohm5</t>
  </si>
  <si>
    <t>civ5_iroinf1</t>
  </si>
  <si>
    <t>civ5_irokn5</t>
  </si>
  <si>
    <t>civ5_irols1</t>
  </si>
  <si>
    <t>u_anishinaabe_medicine_man</t>
  </si>
  <si>
    <t>civ5_iromu2</t>
  </si>
  <si>
    <t>civ5_iropi1</t>
  </si>
  <si>
    <t>civ5_irorm2</t>
  </si>
  <si>
    <t>civ5_irosc2</t>
  </si>
  <si>
    <t>civ5_irosp4</t>
  </si>
  <si>
    <t>civ5_irogwi1</t>
  </si>
  <si>
    <t>Archer_Japan</t>
  </si>
  <si>
    <t>Yamato_Class</t>
  </si>
  <si>
    <t>Mitsubishi_G4M_Betty</t>
  </si>
  <si>
    <t>Composite_Bowman_Japan</t>
  </si>
  <si>
    <t>Longbowman_Japan</t>
  </si>
  <si>
    <t>Kagero_Class</t>
  </si>
  <si>
    <t>AH64Japan</t>
  </si>
  <si>
    <t>Horseman_Japan</t>
  </si>
  <si>
    <t>Infantry_Japan</t>
  </si>
  <si>
    <t>F4Japan</t>
  </si>
  <si>
    <t>Knight_Japan</t>
  </si>
  <si>
    <t>Akazonae_Japan</t>
  </si>
  <si>
    <t>NoDachiSamurai_Japan</t>
  </si>
  <si>
    <t>Paratrooper_Japan</t>
  </si>
  <si>
    <t>Pikeman_Japan</t>
  </si>
  <si>
    <t>civ5_japrm2</t>
  </si>
  <si>
    <t>Spearman_Japan</t>
  </si>
  <si>
    <t>Submarine_I-15</t>
  </si>
  <si>
    <t>Swordsman_Japan</t>
  </si>
  <si>
    <t>Type97_Shinhoto_Chi-Ha</t>
  </si>
  <si>
    <t>Kawasaki_Ki-10_Perry</t>
  </si>
  <si>
    <t>japgw1</t>
  </si>
  <si>
    <t>Type79_Ko-Gata</t>
  </si>
  <si>
    <t>Composite_Bowman_Korea</t>
  </si>
  <si>
    <t>Longbowman_Korea</t>
  </si>
  <si>
    <t>Horseman_Korea</t>
  </si>
  <si>
    <t>F4DKorea</t>
  </si>
  <si>
    <t>Knight_Korea</t>
  </si>
  <si>
    <t>Longswordsman_Korea</t>
  </si>
  <si>
    <t>Pikeman_Korea</t>
  </si>
  <si>
    <t>Spearman_Korea</t>
  </si>
  <si>
    <t>Swordsman_Korea</t>
  </si>
  <si>
    <t>hebrew_warrior</t>
  </si>
  <si>
    <t>hebrew_archer</t>
  </si>
  <si>
    <t>hebrew_composite_bowman</t>
  </si>
  <si>
    <t>Crossbowman_Jerusalem</t>
  </si>
  <si>
    <t>hebrew_horseman</t>
  </si>
  <si>
    <t>F4Israel</t>
  </si>
  <si>
    <t>Knight_Jerusalem</t>
  </si>
  <si>
    <t>Longswordsman_Jerusalem</t>
  </si>
  <si>
    <t>Pikeman_Jerusalem</t>
  </si>
  <si>
    <t>MayaWarrior_green</t>
  </si>
  <si>
    <t>Composite_Bowman_Maya</t>
  </si>
  <si>
    <t>Longbowman_Maya</t>
  </si>
  <si>
    <t>Horseman_Maya</t>
  </si>
  <si>
    <t>Knight_Maya</t>
  </si>
  <si>
    <t>Longswordsman_Maya</t>
  </si>
  <si>
    <t>Pikeman_Maya</t>
  </si>
  <si>
    <t>civ5_aztrm2</t>
  </si>
  <si>
    <t>Spearman_Maya</t>
  </si>
  <si>
    <t>Swordsman_Maya</t>
  </si>
  <si>
    <t>Caetranann</t>
  </si>
  <si>
    <t>PortugalSpearman</t>
  </si>
  <si>
    <t>Archer_Mongol_v2</t>
  </si>
  <si>
    <t>Composite_Bowman_Mongol</t>
  </si>
  <si>
    <t>Longbowman_Mongol</t>
  </si>
  <si>
    <t>Horseman_Mongol</t>
  </si>
  <si>
    <t>Knight_Mongol</t>
  </si>
  <si>
    <t>Longswordsman_Mongol</t>
  </si>
  <si>
    <t>T55Mongolia</t>
  </si>
  <si>
    <t>Pikeman_Mongol</t>
  </si>
  <si>
    <t>Spearman_Mongol</t>
  </si>
  <si>
    <t>Swordsman_Mongol</t>
  </si>
  <si>
    <t>Berber_Crossbowman</t>
  </si>
  <si>
    <t>Berber_H_Inf</t>
  </si>
  <si>
    <t>Fokker_T.V</t>
  </si>
  <si>
    <t>civ5netar1</t>
  </si>
  <si>
    <t>Admiralen_Class</t>
  </si>
  <si>
    <t>Fokker_D.XXI</t>
  </si>
  <si>
    <t>tiger_netherlands</t>
  </si>
  <si>
    <t>Infantry_Dutch</t>
  </si>
  <si>
    <t>dutlr1</t>
  </si>
  <si>
    <t>Leopard1_Netherlands</t>
  </si>
  <si>
    <t>Paratrooper_Dutch</t>
  </si>
  <si>
    <t>civ5_dutrm1</t>
  </si>
  <si>
    <t>BatavianSpearman</t>
  </si>
  <si>
    <t>O-19_Class</t>
  </si>
  <si>
    <t>MTSL-1GI4</t>
  </si>
  <si>
    <t>Archer_Persia</t>
  </si>
  <si>
    <t>Composite_Bowman_Persia</t>
  </si>
  <si>
    <t>Longbowman_Persia</t>
  </si>
  <si>
    <t>Horseman_Persia</t>
  </si>
  <si>
    <t>MiG29Iran</t>
  </si>
  <si>
    <t>Knight_Persia_v2</t>
  </si>
  <si>
    <t>Qizilbash</t>
  </si>
  <si>
    <t>Longswordsman_Persia</t>
  </si>
  <si>
    <t>BMP2Iran</t>
  </si>
  <si>
    <t>T72_Iran</t>
  </si>
  <si>
    <t>Pikeman_Persia</t>
  </si>
  <si>
    <t>civ5_perrm2</t>
  </si>
  <si>
    <t>Spearman_Persia</t>
  </si>
  <si>
    <t>Swordsman_Persia</t>
  </si>
  <si>
    <t>SlavicRussia</t>
  </si>
  <si>
    <t>Archer_Russia</t>
  </si>
  <si>
    <t>PZL_P.37_Los</t>
  </si>
  <si>
    <t>Grom_Class</t>
  </si>
  <si>
    <t>PZL_P.50_Jastrzab</t>
  </si>
  <si>
    <t>Mi8Poland</t>
  </si>
  <si>
    <t>Infantry_Poland</t>
  </si>
  <si>
    <t>poland_longsw1</t>
  </si>
  <si>
    <t>Paratrooper_Poland</t>
  </si>
  <si>
    <t>Orzel_Class</t>
  </si>
  <si>
    <t>10TP</t>
  </si>
  <si>
    <t>Albatros_D.III</t>
  </si>
  <si>
    <t>Renault_FT-17_Poland</t>
  </si>
  <si>
    <t>A-7Portugal</t>
  </si>
  <si>
    <t>portugal_longsw8</t>
  </si>
  <si>
    <t>Triarii</t>
  </si>
  <si>
    <t>Archer_Rome</t>
  </si>
  <si>
    <t>Littorio_Class</t>
  </si>
  <si>
    <t>Aquila_Class</t>
  </si>
  <si>
    <t>Composite_Bowman_Rome</t>
  </si>
  <si>
    <t>Crossbowman_Rome</t>
  </si>
  <si>
    <t>Soldati_Class</t>
  </si>
  <si>
    <t>Fiat_G.55_Centauro</t>
  </si>
  <si>
    <t>mangusta</t>
  </si>
  <si>
    <t>Horseman_Rome_v2</t>
  </si>
  <si>
    <t>Infantry_Italy</t>
  </si>
  <si>
    <t>EurofighterItaly</t>
  </si>
  <si>
    <t>italian_knight2</t>
  </si>
  <si>
    <t>Longswordsman_Rome</t>
  </si>
  <si>
    <t>dardo</t>
  </si>
  <si>
    <t>Ariete</t>
  </si>
  <si>
    <t>Paratrooper_Italy</t>
  </si>
  <si>
    <t>Pikeman_Rome</t>
  </si>
  <si>
    <t>Spearman_Rome</t>
  </si>
  <si>
    <t>Submarine_Marcello</t>
  </si>
  <si>
    <t>U_Roman_Legion</t>
  </si>
  <si>
    <t>Ansaldo_SVA-5</t>
  </si>
  <si>
    <t>itagw1</t>
  </si>
  <si>
    <t>Fiat_3000</t>
  </si>
  <si>
    <t>RussiaWarrior2</t>
  </si>
  <si>
    <t>ML-20</t>
  </si>
  <si>
    <t>Sovetsky_Soyuz_Class</t>
  </si>
  <si>
    <t>Petlyakov_Pe-8</t>
  </si>
  <si>
    <t>Project_71</t>
  </si>
  <si>
    <t>Composite_Bowman_Russia</t>
  </si>
  <si>
    <t>Crossbowman_Russia</t>
  </si>
  <si>
    <t>Gnevny_Class</t>
  </si>
  <si>
    <t>Yakovlev_Yak-9</t>
  </si>
  <si>
    <t>Horseman_Russia_v2</t>
  </si>
  <si>
    <t>Infantry_Russia</t>
  </si>
  <si>
    <t>MiG29Russia</t>
  </si>
  <si>
    <t>Knight_Russia</t>
  </si>
  <si>
    <t>Longswordsman_Russia_v3</t>
  </si>
  <si>
    <t>BMP2Russia</t>
  </si>
  <si>
    <t>T90</t>
  </si>
  <si>
    <t>Streltsy_Black_Cap</t>
  </si>
  <si>
    <t>akula</t>
  </si>
  <si>
    <t>Paratrooper_Russia</t>
  </si>
  <si>
    <t>Pikeman_Russia</t>
  </si>
  <si>
    <t>civ5_rusrm2</t>
  </si>
  <si>
    <t>Spearman_Russia</t>
  </si>
  <si>
    <t>Submarine_Shchuka</t>
  </si>
  <si>
    <t>Swordsman_Russia_v3</t>
  </si>
  <si>
    <t>T-34-85</t>
  </si>
  <si>
    <t>Polikarpov_Po-2</t>
  </si>
  <si>
    <t>rusgw1</t>
  </si>
  <si>
    <t>Renault_FT-17_Russia</t>
  </si>
  <si>
    <t>civ5_iroha2</t>
  </si>
  <si>
    <t>Sioux_Knight</t>
  </si>
  <si>
    <t>civ5_irols4</t>
  </si>
  <si>
    <t>CL_Ogichidaa</t>
  </si>
  <si>
    <t>Infantry_China_Communist</t>
  </si>
  <si>
    <t>A-7</t>
  </si>
  <si>
    <t>Armor_T-55</t>
  </si>
  <si>
    <t>civ5_siarm1</t>
  </si>
  <si>
    <t>AfrWarrior</t>
  </si>
  <si>
    <t>SudanSwordsman</t>
  </si>
  <si>
    <t>T55Mali</t>
  </si>
  <si>
    <t>SonghaiPikeman</t>
  </si>
  <si>
    <t>babrm2</t>
  </si>
  <si>
    <t>AfrScout</t>
  </si>
  <si>
    <t>Scutati</t>
  </si>
  <si>
    <t>Archer_Spain</t>
  </si>
  <si>
    <t>Heinkel_He-111_Spain</t>
  </si>
  <si>
    <t>Composite_Bowman_Spain</t>
  </si>
  <si>
    <t>Crossbowman_Spain</t>
  </si>
  <si>
    <t>Fighter_Bf-109J</t>
  </si>
  <si>
    <t>tiger_spain</t>
  </si>
  <si>
    <t>Horseman_Spain</t>
  </si>
  <si>
    <t>Infantry_Spain</t>
  </si>
  <si>
    <t>EurofighterSpain</t>
  </si>
  <si>
    <t>Knight_Spain</t>
  </si>
  <si>
    <t>spain_longsw6</t>
  </si>
  <si>
    <t>RolandSpain</t>
  </si>
  <si>
    <t>Paratrooper_Spain</t>
  </si>
  <si>
    <t>Pikeman_Spain</t>
  </si>
  <si>
    <t>civ5_sparm3</t>
  </si>
  <si>
    <t>Spearman_Spain_v2</t>
  </si>
  <si>
    <t>Longswordsman_Spain</t>
  </si>
  <si>
    <t>Panzer_IV_Ausf_G_Spain</t>
  </si>
  <si>
    <t>Renault_FT-17_Spain</t>
  </si>
  <si>
    <t>SwedenAxe</t>
  </si>
  <si>
    <t>SAAB_B18</t>
  </si>
  <si>
    <t>Implacable_Class</t>
  </si>
  <si>
    <t>Goteborg_Class</t>
  </si>
  <si>
    <t>FFVS_J22</t>
  </si>
  <si>
    <t>tiger_sweden</t>
  </si>
  <si>
    <t>Infantry_Sweden</t>
  </si>
  <si>
    <t>Paratrooper_Sweden</t>
  </si>
  <si>
    <t>civ5_swerm1</t>
  </si>
  <si>
    <t>Sjolejonet_Class</t>
  </si>
  <si>
    <t>Strv_M41</t>
  </si>
  <si>
    <t>Strv_M21</t>
  </si>
  <si>
    <t>reislaufer</t>
  </si>
  <si>
    <t>Spearman_Greece_v3</t>
  </si>
  <si>
    <t>Longswordsman_Japan</t>
  </si>
  <si>
    <t>vatican_longsw8</t>
  </si>
  <si>
    <t>impi_4</t>
  </si>
  <si>
    <t>EthiopiaHorseman</t>
  </si>
  <si>
    <t>T55TanTC</t>
  </si>
  <si>
    <t>SonghaiScout</t>
  </si>
  <si>
    <t>BantuSpearman</t>
  </si>
  <si>
    <t>NubianSwordsman</t>
  </si>
  <si>
    <t>FourBigGuns</t>
  </si>
  <si>
    <t>EURO</t>
  </si>
  <si>
    <t>MIDEAST</t>
  </si>
  <si>
    <t>SOUTHAM</t>
  </si>
  <si>
    <t>MED</t>
  </si>
  <si>
    <t>ASIA</t>
  </si>
  <si>
    <t>AFRI</t>
  </si>
  <si>
    <t>SOUTHAS</t>
  </si>
  <si>
    <t>SEASIA</t>
  </si>
  <si>
    <t>AMER</t>
  </si>
  <si>
    <t>EASTEU</t>
  </si>
  <si>
    <t>AMERICA</t>
  </si>
  <si>
    <t>ARABIA</t>
  </si>
  <si>
    <t>AUSTRIA</t>
  </si>
  <si>
    <t>AZTEC</t>
  </si>
  <si>
    <t>BABYLON</t>
  </si>
  <si>
    <t>BELGIUM</t>
  </si>
  <si>
    <t>BOHEMIA</t>
  </si>
  <si>
    <t>BRAZIL</t>
  </si>
  <si>
    <t>BYZANTIUM</t>
  </si>
  <si>
    <t>CARTHAGE</t>
  </si>
  <si>
    <t>CELTS</t>
  </si>
  <si>
    <t>CHINA</t>
  </si>
  <si>
    <t>DENMARK</t>
  </si>
  <si>
    <t>EGYPT</t>
  </si>
  <si>
    <t>ENGLAND</t>
  </si>
  <si>
    <t>ETHIOPIA</t>
  </si>
  <si>
    <t>FRANCE</t>
  </si>
  <si>
    <t>GARAMANTES</t>
  </si>
  <si>
    <t>GERMANY</t>
  </si>
  <si>
    <t>GREECE</t>
  </si>
  <si>
    <t>INCA</t>
  </si>
  <si>
    <t>INDIA</t>
  </si>
  <si>
    <t>IROQUOIS</t>
  </si>
  <si>
    <t>JAPAN</t>
  </si>
  <si>
    <t>KOREA</t>
  </si>
  <si>
    <t>LEVANT</t>
  </si>
  <si>
    <t>MAYA</t>
  </si>
  <si>
    <t>MOGADISHU</t>
  </si>
  <si>
    <t>MOMBASA</t>
  </si>
  <si>
    <t>MONGOL</t>
  </si>
  <si>
    <t>MOROCCO</t>
  </si>
  <si>
    <t>NETHERLANDS</t>
  </si>
  <si>
    <t>PERSIA</t>
  </si>
  <si>
    <t>POLAND</t>
  </si>
  <si>
    <t>PORTUGAL</t>
  </si>
  <si>
    <t>ROME</t>
  </si>
  <si>
    <t>RUSSIA</t>
  </si>
  <si>
    <t>SIAM</t>
  </si>
  <si>
    <t>SONGHAI</t>
  </si>
  <si>
    <t>SPAIN</t>
  </si>
  <si>
    <t>SWEDEN</t>
  </si>
  <si>
    <t>SWISS</t>
  </si>
  <si>
    <t>VATICAN_CITY</t>
  </si>
  <si>
    <t>ZULU</t>
  </si>
  <si>
    <t>_WARRIOR</t>
  </si>
  <si>
    <t>ANTI_AIRCRAFT_GUN</t>
  </si>
  <si>
    <t>ANTI_TANK_GUN</t>
  </si>
  <si>
    <t>ARTILLERY</t>
  </si>
  <si>
    <t>ATOMIC_BOMB</t>
  </si>
  <si>
    <t>CANNON</t>
  </si>
  <si>
    <t>CARAVEL</t>
  </si>
  <si>
    <t>CATAPULT</t>
  </si>
  <si>
    <t>CAVALRY</t>
  </si>
  <si>
    <t>CHARIOT_ARCHER</t>
  </si>
  <si>
    <t>FRIGATE</t>
  </si>
  <si>
    <t>GALLEASS</t>
  </si>
  <si>
    <t>GATLINGGUN</t>
  </si>
  <si>
    <t>GREAT_PROPHET</t>
  </si>
  <si>
    <t>GUIDED_MISSILE</t>
  </si>
  <si>
    <t>HELICOPTER_GUNSHIP</t>
  </si>
  <si>
    <t>INQUISITOR</t>
  </si>
  <si>
    <t>IRONCLAD</t>
  </si>
  <si>
    <t>JET_FIGHTER</t>
  </si>
  <si>
    <t>LANCER</t>
  </si>
  <si>
    <t>MACHINEGUN</t>
  </si>
  <si>
    <t>MARINE</t>
  </si>
  <si>
    <t>MECH</t>
  </si>
  <si>
    <t>MECHANIZED_INFANTRY</t>
  </si>
  <si>
    <t>MISSILE_CRUISER</t>
  </si>
  <si>
    <t>MISSIONARY</t>
  </si>
  <si>
    <t>MOBILE_SAM</t>
  </si>
  <si>
    <t>NUCLEAR_MISSILE</t>
  </si>
  <si>
    <t>NUCLEAR_SUBMARINE</t>
  </si>
  <si>
    <t>ROCKET_ARTILLERY</t>
  </si>
  <si>
    <t>SCOUT</t>
  </si>
  <si>
    <t>STEALTH_BOMBER</t>
  </si>
  <si>
    <t>TRANSPORT</t>
  </si>
  <si>
    <t>TREBUCHET</t>
  </si>
  <si>
    <t>TRIREME</t>
  </si>
  <si>
    <t>WW1_BOMBER</t>
  </si>
  <si>
    <t>WW1_FIGHTER</t>
  </si>
  <si>
    <t>WW1_INFANTRY</t>
  </si>
  <si>
    <t>WW1_TANK</t>
  </si>
  <si>
    <t>XCOM_SQUAD</t>
  </si>
  <si>
    <t>XP_PRIVATEER</t>
  </si>
  <si>
    <t>GALLEY</t>
  </si>
  <si>
    <t>U_GREEK_HOPLITE</t>
  </si>
  <si>
    <t>U_JAPANESE_SAMURAI</t>
  </si>
  <si>
    <t>WARRIOR</t>
  </si>
  <si>
    <t>ANTIAIRCRAFTGUN</t>
  </si>
  <si>
    <t>ANTITANKGUN</t>
  </si>
  <si>
    <t>ATOMICBOMB</t>
  </si>
  <si>
    <t>CHARIOTARCHER</t>
  </si>
  <si>
    <t>GUIDEDMISSILE</t>
  </si>
  <si>
    <t>HELICOPTERGUNSHIP</t>
  </si>
  <si>
    <t>JETFIGHTER</t>
  </si>
  <si>
    <t>MECHANIZEDINFANTRY</t>
  </si>
  <si>
    <t>MISSILECRUISER</t>
  </si>
  <si>
    <t>MOBILESAM</t>
  </si>
  <si>
    <t>MODERNARMOR</t>
  </si>
  <si>
    <t>NUCLEARMISSILE</t>
  </si>
  <si>
    <t>NUCLEARSUBMARINE</t>
  </si>
  <si>
    <t>ROCKETARTILLERY</t>
  </si>
  <si>
    <t>STEALTHBOMBER</t>
  </si>
  <si>
    <t>Paratrooper_USA_MG</t>
  </si>
  <si>
    <t>civ5_usarm</t>
  </si>
  <si>
    <t>civ5_usarm_2</t>
  </si>
  <si>
    <t>Swordsman_Arabia</t>
  </si>
  <si>
    <t>Swordsman_Arabia_v2</t>
  </si>
  <si>
    <t>ararm1</t>
  </si>
  <si>
    <t>ararm2</t>
  </si>
  <si>
    <t>AustriaWarrior</t>
  </si>
  <si>
    <t>Paratrooper_German_MG_v2</t>
  </si>
  <si>
    <t>civ5_ausrm1</t>
  </si>
  <si>
    <t>civ5_ausrm2</t>
  </si>
  <si>
    <t>Swordsman_Babylon</t>
  </si>
  <si>
    <t>Swordsman_Babylon_v2</t>
  </si>
  <si>
    <t>babrm1</t>
  </si>
  <si>
    <t>ThraikanChosenPezoi</t>
  </si>
  <si>
    <t>ThraikanPezoi</t>
  </si>
  <si>
    <t>byzantium_longsw1</t>
  </si>
  <si>
    <t>babrm4</t>
  </si>
  <si>
    <t>babrm5</t>
  </si>
  <si>
    <t>AfricaMerc</t>
  </si>
  <si>
    <t>HannibalMerc</t>
  </si>
  <si>
    <t>ireland_longsw6</t>
  </si>
  <si>
    <t>celrm1</t>
  </si>
  <si>
    <t>celrm2</t>
  </si>
  <si>
    <t>CelticCenn</t>
  </si>
  <si>
    <t>CelticWarrior</t>
  </si>
  <si>
    <t>Paratrooper_China_MG</t>
  </si>
  <si>
    <t>civ5_chirm1</t>
  </si>
  <si>
    <t>civ5_chirm2</t>
  </si>
  <si>
    <t>buddhist_missionary</t>
  </si>
  <si>
    <t>buddhist_missionary_01</t>
  </si>
  <si>
    <t>Longswordsman_China_v2</t>
  </si>
  <si>
    <t>Patum333</t>
  </si>
  <si>
    <t>civ5_ararm_tc</t>
  </si>
  <si>
    <t>Longswordsman_Viking</t>
  </si>
  <si>
    <t>Longswordsman_Viking_v2</t>
  </si>
  <si>
    <t>DenmarkWarrior</t>
  </si>
  <si>
    <t>civ5_egyrm</t>
  </si>
  <si>
    <t>civ5_egyrm_2</t>
  </si>
  <si>
    <t>WarriorMonk_Japan_v2</t>
  </si>
  <si>
    <t>med_galleon</t>
  </si>
  <si>
    <t>GALLEON</t>
  </si>
  <si>
    <t>Longswordsman_India</t>
  </si>
  <si>
    <t>Knight_India_v4</t>
  </si>
  <si>
    <t>Knight_India_v3</t>
  </si>
  <si>
    <t>Knight_India_v2</t>
  </si>
  <si>
    <t>Knight_India</t>
  </si>
  <si>
    <t>euro_galleon</t>
  </si>
  <si>
    <t>MayaWarrior</t>
  </si>
  <si>
    <t>WarJunk</t>
  </si>
  <si>
    <t>MedWarrior</t>
  </si>
  <si>
    <t>SpanishSwordsman</t>
  </si>
  <si>
    <t>Civ5_Bradley</t>
  </si>
  <si>
    <t>RenaultFTPlainGreen</t>
  </si>
  <si>
    <t>Halberdier_China</t>
  </si>
  <si>
    <t>TribalAmerican_Embark</t>
  </si>
  <si>
    <t>Assassin</t>
  </si>
  <si>
    <t>impi_3</t>
  </si>
  <si>
    <t>impi_2</t>
  </si>
  <si>
    <t>impi_1</t>
  </si>
  <si>
    <t>Knight_England</t>
  </si>
  <si>
    <t>Longswordsman_England</t>
  </si>
  <si>
    <t>england_longsw1</t>
  </si>
  <si>
    <t>Paratrooper_UK_MG</t>
  </si>
  <si>
    <t>civ5_engrm1</t>
  </si>
  <si>
    <t>civ5_engrm2</t>
  </si>
  <si>
    <t>EnglandWarrior</t>
  </si>
  <si>
    <t>EthiopiaArcher</t>
  </si>
  <si>
    <t>EthiopianOromo</t>
  </si>
  <si>
    <t>EthiopianOromo2</t>
  </si>
  <si>
    <t>BA_EthiopiaSpear</t>
  </si>
  <si>
    <t>french_knight</t>
  </si>
  <si>
    <t>Knight_France</t>
  </si>
  <si>
    <t>frals_templar</t>
  </si>
  <si>
    <t>Longswordsman_France</t>
  </si>
  <si>
    <t>france_longsw2</t>
  </si>
  <si>
    <t>Paratrooper_France_MG</t>
  </si>
  <si>
    <t>civ5_frerm</t>
  </si>
  <si>
    <t>civ5_frerm_2</t>
  </si>
  <si>
    <t>FrankMilnaht</t>
  </si>
  <si>
    <t>Renault_FT-17</t>
  </si>
  <si>
    <t>RenaultFTFrance1</t>
  </si>
  <si>
    <t>GermanicWarrior</t>
  </si>
  <si>
    <t>GermanWarrior2</t>
  </si>
  <si>
    <t>BearWarrior</t>
  </si>
  <si>
    <t>Knight_German</t>
  </si>
  <si>
    <t>gerkn1_knight</t>
  </si>
  <si>
    <t>gerkn2_knight</t>
  </si>
  <si>
    <t>gerkn3_knight</t>
  </si>
  <si>
    <t>gerkn4_knight</t>
  </si>
  <si>
    <t>Longswordsman_German</t>
  </si>
  <si>
    <t>gerls1_templar</t>
  </si>
  <si>
    <t>gerls2_templar</t>
  </si>
  <si>
    <t>gerls3_templar</t>
  </si>
  <si>
    <t>teutonic_longsw4</t>
  </si>
  <si>
    <t>hre_longsw1</t>
  </si>
  <si>
    <t>musketman_ger</t>
  </si>
  <si>
    <t>musketman_ger1</t>
  </si>
  <si>
    <t>Paratrooper_German_MG</t>
  </si>
  <si>
    <t>civ5_gerrm</t>
  </si>
  <si>
    <t>civ5_gerrm_2</t>
  </si>
  <si>
    <t>HUNS</t>
  </si>
  <si>
    <t>Junkers_Ju-88_Hungary</t>
  </si>
  <si>
    <t>hunhu1</t>
  </si>
  <si>
    <t>u_cuman_chabani</t>
  </si>
  <si>
    <t>Infantry_Hungary</t>
  </si>
  <si>
    <t>u_cuman_mamluk</t>
  </si>
  <si>
    <t>hungary_longsw3</t>
  </si>
  <si>
    <t>Paratrooper_Hungary_MG</t>
  </si>
  <si>
    <t>Paratrooper_Hungary</t>
  </si>
  <si>
    <t>hunrm1</t>
  </si>
  <si>
    <t>41M_Turan_II</t>
  </si>
  <si>
    <t>ScythiaWarrior</t>
  </si>
  <si>
    <t>ScythiaWarrior2</t>
  </si>
  <si>
    <t>Fokker_D.VII</t>
  </si>
  <si>
    <t>CENTAS</t>
  </si>
  <si>
    <t>Paratrooper_Greece_MG</t>
  </si>
  <si>
    <t>civ5_grerm2</t>
  </si>
  <si>
    <t>civ5_grerm1</t>
  </si>
  <si>
    <t>Spearman_Greece</t>
  </si>
  <si>
    <t>Spearman_Greece_v2</t>
  </si>
  <si>
    <t>MycenaeSpear</t>
  </si>
  <si>
    <t>U_Greek_CompanionCavalry</t>
  </si>
  <si>
    <t>civ5_indrm1</t>
  </si>
  <si>
    <t>civ5_indrm2</t>
  </si>
  <si>
    <t>Swordsman_India</t>
  </si>
  <si>
    <t>Longswordsman_Inca</t>
  </si>
  <si>
    <t>Quechua</t>
  </si>
  <si>
    <t>civ5_irolb1</t>
  </si>
  <si>
    <t>civ5_irolb2</t>
  </si>
  <si>
    <t>civ5_irolb3</t>
  </si>
  <si>
    <t>civ5_irohm1</t>
  </si>
  <si>
    <t>civ5_irohm2</t>
  </si>
  <si>
    <t>civ5_irohm3</t>
  </si>
  <si>
    <t>civ5_irohm4</t>
  </si>
  <si>
    <t>civ5_irokn1</t>
  </si>
  <si>
    <t>civ5_irokn2</t>
  </si>
  <si>
    <t>civ5_irokn3</t>
  </si>
  <si>
    <t>civ5_irokn4</t>
  </si>
  <si>
    <t>civ5_irols2</t>
  </si>
  <si>
    <t>civ5_irols3</t>
  </si>
  <si>
    <t>civ5_iromu1</t>
  </si>
  <si>
    <t>civ5_irorm</t>
  </si>
  <si>
    <t>civ5_irorm_2</t>
  </si>
  <si>
    <t>civ5_irosc1</t>
  </si>
  <si>
    <t>civ5_irosp1</t>
  </si>
  <si>
    <t>civ5_irosp2</t>
  </si>
  <si>
    <t>civ5_irosp3</t>
  </si>
  <si>
    <t>Kwadjh</t>
  </si>
  <si>
    <t>Infantry_Japan_Sword</t>
  </si>
  <si>
    <t>Longswordsman_Japan_v2</t>
  </si>
  <si>
    <t>Paratrooper_Japan_MG</t>
  </si>
  <si>
    <t>civ5_japrm</t>
  </si>
  <si>
    <t>civ5_japrm_2</t>
  </si>
  <si>
    <t>Civitar</t>
  </si>
  <si>
    <t>u_dervish_maara_weyn</t>
  </si>
  <si>
    <t>MidEastWarrior</t>
  </si>
  <si>
    <t>Mesopotamic_Embark</t>
  </si>
  <si>
    <t>MidEastScout</t>
  </si>
  <si>
    <t>NORTHEU</t>
  </si>
  <si>
    <t>hangman</t>
  </si>
  <si>
    <t>Firaxis, Nutty</t>
  </si>
  <si>
    <t>Sukritact</t>
  </si>
  <si>
    <t>Wolfdog</t>
  </si>
  <si>
    <t>zwei833, bernie14</t>
  </si>
  <si>
    <t>Paratrooper_Dutch_MG</t>
  </si>
  <si>
    <t>Paratrooper_Poland_MG</t>
  </si>
  <si>
    <t>Paratrooper_Italy_MG</t>
  </si>
  <si>
    <t>Paratrooper_Russia_MG</t>
  </si>
  <si>
    <t>Paratrooper_Spain_MG</t>
  </si>
  <si>
    <t>Paratrooper_Sweden_MG</t>
  </si>
  <si>
    <t>MayaHolkan</t>
  </si>
  <si>
    <t>MayaWarrior_blue</t>
  </si>
  <si>
    <t>Archer_Mongol</t>
  </si>
  <si>
    <t>DutchWarrior</t>
  </si>
  <si>
    <t>Knight_Persia</t>
  </si>
  <si>
    <t>civ5_perrm</t>
  </si>
  <si>
    <t>civ5_perrm_2</t>
  </si>
  <si>
    <t>portuguese_galleon</t>
  </si>
  <si>
    <t>italian_galleon</t>
  </si>
  <si>
    <t>russian_galleon</t>
  </si>
  <si>
    <t>spanish_galleon</t>
  </si>
  <si>
    <t>swedish_galleon</t>
  </si>
  <si>
    <t>danish_galleon</t>
  </si>
  <si>
    <t>english_galleon</t>
  </si>
  <si>
    <t>french_galleon</t>
  </si>
  <si>
    <t>prussian_galleon</t>
  </si>
  <si>
    <t>greek_galleon</t>
  </si>
  <si>
    <t>JustATourist, Nutty</t>
  </si>
  <si>
    <t>U_Denmark_Longboat</t>
  </si>
  <si>
    <t>?bernie14</t>
  </si>
  <si>
    <t>OCEAN</t>
  </si>
  <si>
    <t>U_Polynesian_War_Canoe</t>
  </si>
  <si>
    <t>hawaii_ikaika</t>
  </si>
  <si>
    <t>PolynesianFootman</t>
  </si>
  <si>
    <t>Hastati</t>
  </si>
  <si>
    <t>Principes</t>
  </si>
  <si>
    <t>Horseman_Rome</t>
  </si>
  <si>
    <t>italian_knight</t>
  </si>
  <si>
    <t>Horseman_Russia</t>
  </si>
  <si>
    <t>Knight_Russia_v2</t>
  </si>
  <si>
    <t>Knight_Russia_v3</t>
  </si>
  <si>
    <t>Longswordsman_Russia</t>
  </si>
  <si>
    <t>Longswordsman_Russia_v2</t>
  </si>
  <si>
    <t>Streltsy_Black_Coat</t>
  </si>
  <si>
    <t>RussiaWarrior</t>
  </si>
  <si>
    <t>Swordsman_Russia</t>
  </si>
  <si>
    <t>Swordsman_Russia_v2</t>
  </si>
  <si>
    <t>civ5_rusrm</t>
  </si>
  <si>
    <t>civ5_rusrm_2</t>
  </si>
  <si>
    <t>Wolfdog, bernie14</t>
  </si>
  <si>
    <t>babrm7</t>
  </si>
  <si>
    <t>babrm8</t>
  </si>
  <si>
    <t>spain_longsw2</t>
  </si>
  <si>
    <t>civ5_sparm1</t>
  </si>
  <si>
    <t>civ5_sparm2</t>
  </si>
  <si>
    <t>Spearman_Spain</t>
  </si>
  <si>
    <t>Swordsman_Spain</t>
  </si>
  <si>
    <t>Caetrati</t>
  </si>
  <si>
    <t>SwedenWarrior</t>
  </si>
  <si>
    <t>SwedenWarrior2</t>
  </si>
  <si>
    <t>Nutty</t>
  </si>
  <si>
    <t>JTitan</t>
  </si>
  <si>
    <t>Archer_Turkey</t>
  </si>
  <si>
    <t>Crossbowman_Turkey</t>
  </si>
  <si>
    <t>Horseman_Turkey</t>
  </si>
  <si>
    <t>Composite_Bowman_Turkey</t>
  </si>
  <si>
    <t>Longswordsman_Turkey</t>
  </si>
  <si>
    <t>Longswordsman_Turkey_v2</t>
  </si>
  <si>
    <t>Longswordsman_Turkey_v3</t>
  </si>
  <si>
    <t>Knight_Turkey</t>
  </si>
  <si>
    <t>Pikeman_Turkey</t>
  </si>
  <si>
    <t>Spearman_Turkey</t>
  </si>
  <si>
    <t>civ5_ottsm1</t>
  </si>
  <si>
    <t>OTTOMAN</t>
  </si>
  <si>
    <t>P40Turkey</t>
  </si>
  <si>
    <t>F4Turkey</t>
  </si>
  <si>
    <t>Leopard1_Turkey</t>
  </si>
  <si>
    <t>Swordsman_Turkey</t>
  </si>
  <si>
    <t>civ5_ottrm2</t>
  </si>
  <si>
    <t>civ5_ottrm_2</t>
  </si>
  <si>
    <t>civ5_ottrm</t>
  </si>
  <si>
    <t>ottgw1</t>
  </si>
  <si>
    <t>Civitar, Nutty</t>
  </si>
  <si>
    <t>vietcong</t>
  </si>
  <si>
    <t>GeneralMatt, danrell</t>
  </si>
  <si>
    <t>asioasioasio, danrell</t>
  </si>
  <si>
    <t>TheCoyote, bernie14, Wolfdog</t>
  </si>
  <si>
    <t>snafusmith, Wolfdog</t>
  </si>
  <si>
    <t>GeneralMatt, Wolfdog</t>
  </si>
  <si>
    <t>Gagonite, Wolfdog</t>
  </si>
  <si>
    <t>Chuggi, hangman</t>
  </si>
  <si>
    <t>Ambrox62, Wolfdog</t>
  </si>
  <si>
    <t>nautil, danrell</t>
  </si>
  <si>
    <t>Zever, Wolfdog</t>
  </si>
  <si>
    <t>Refar, Wolfdog</t>
  </si>
  <si>
    <t>bernie14, Wolfdog</t>
  </si>
  <si>
    <t>Civ4 Invictus, zwei833</t>
  </si>
  <si>
    <t>snafusmith, blazekid87</t>
  </si>
  <si>
    <t>TheCoyote, Wolfdog</t>
  </si>
  <si>
    <t>Bakuel, Civitar</t>
  </si>
  <si>
    <t>GarretSidzaka, Wolfdog</t>
  </si>
  <si>
    <t>ArdRaeiss, danrell</t>
  </si>
  <si>
    <t>Bakuel, Nomad or What</t>
  </si>
  <si>
    <t>Nuvoloblu, danrell</t>
  </si>
  <si>
    <t>KrugerPritz, Wolfdog</t>
  </si>
  <si>
    <t>KrugerPritz, Nikko, Wolfdog</t>
  </si>
  <si>
    <t>danrell, Splinter13</t>
  </si>
  <si>
    <t>Bakuel, Wolfdog</t>
  </si>
  <si>
    <t>Knight_Greece_v2</t>
  </si>
  <si>
    <t>SM.79_Sparviero</t>
  </si>
  <si>
    <t>SS_BOOSTER</t>
  </si>
  <si>
    <t>SS_CAPSULE</t>
  </si>
  <si>
    <t>SS_ENGINE</t>
  </si>
  <si>
    <t>SS_STASIS_CHAMBER</t>
  </si>
  <si>
    <t>_SETTLER</t>
  </si>
  <si>
    <t>ASSYRIA</t>
  </si>
  <si>
    <t>INDONESIA</t>
  </si>
  <si>
    <t>POLYNESIA</t>
  </si>
  <si>
    <t>SHOSHONE</t>
  </si>
  <si>
    <t>VENICE</t>
  </si>
  <si>
    <t>EuroDonkey</t>
  </si>
  <si>
    <t>Settlers_AFRI_F1</t>
  </si>
  <si>
    <t>Settlers_AFRI_F2</t>
  </si>
  <si>
    <t>Settlers_AFRI_F3</t>
  </si>
  <si>
    <t>Settlers_AFRI_F4</t>
  </si>
  <si>
    <t>Settlers_AFRI_M1</t>
  </si>
  <si>
    <t>Settlers_AFRI_M2</t>
  </si>
  <si>
    <t>Settlers_AFRI_M3</t>
  </si>
  <si>
    <t>Settlers_AFRI_M4</t>
  </si>
  <si>
    <t>SettlerAmerican_F1</t>
  </si>
  <si>
    <t>SettlerAmerican_F2</t>
  </si>
  <si>
    <t>SettlerAmerican_F3</t>
  </si>
  <si>
    <t>SettlerAmerican_F4</t>
  </si>
  <si>
    <t>SettlerAmerican_M1</t>
  </si>
  <si>
    <t>SettlerAmerican_M2</t>
  </si>
  <si>
    <t>SettlerAmerican_M3</t>
  </si>
  <si>
    <t>SettlerAmerican_M4</t>
  </si>
  <si>
    <t>Me_Bf-109_Hungary</t>
  </si>
  <si>
    <t>fxsxml</t>
  </si>
  <si>
    <t>Anti_Aircraft_Gun</t>
  </si>
  <si>
    <t>Anti_Tank_Gun</t>
  </si>
  <si>
    <t>Atomic_Bomb</t>
  </si>
  <si>
    <t>Chariot_Archer</t>
  </si>
  <si>
    <t>Helicopter_Gunship</t>
  </si>
  <si>
    <t>Infantry</t>
  </si>
  <si>
    <t>Jet_Fighter</t>
  </si>
  <si>
    <t>BAZOOKA_INFANTRY</t>
  </si>
  <si>
    <t>ARCHAEOLOGIST</t>
  </si>
  <si>
    <t>Bazooka_Infantry</t>
  </si>
  <si>
    <t>Great_Prophet</t>
  </si>
  <si>
    <t>SS_Booster</t>
  </si>
  <si>
    <t>SS_Capsule</t>
  </si>
  <si>
    <t>SS_Engine</t>
  </si>
  <si>
    <t>SS_Stasis_Chamber</t>
  </si>
  <si>
    <t>Galley</t>
  </si>
  <si>
    <t>Galleon</t>
  </si>
  <si>
    <t>Transport</t>
  </si>
  <si>
    <t>Workboat_Late</t>
  </si>
  <si>
    <t>Great_Admiral</t>
  </si>
  <si>
    <t>Great_Admiral_Late</t>
  </si>
  <si>
    <t>Artist</t>
  </si>
  <si>
    <t>Artist_Late</t>
  </si>
  <si>
    <t>Caravan_Postmodern</t>
  </si>
  <si>
    <t>Cargo_Ship</t>
  </si>
  <si>
    <t>Cargo_Ship_Renaissance</t>
  </si>
  <si>
    <t>Cargo_Ship_Postmodern</t>
  </si>
  <si>
    <t>Great_Writer</t>
  </si>
  <si>
    <t>Great_Writer_Postmodern</t>
  </si>
  <si>
    <t>Great_Artist</t>
  </si>
  <si>
    <t>Engineer</t>
  </si>
  <si>
    <t>Engineer_Late</t>
  </si>
  <si>
    <t>General</t>
  </si>
  <si>
    <t>General_Late</t>
  </si>
  <si>
    <t>Great_Artist_Postmodern</t>
  </si>
  <si>
    <t>Great_Musician</t>
  </si>
  <si>
    <t>Great_Musician_Postmodern</t>
  </si>
  <si>
    <t>Merchant</t>
  </si>
  <si>
    <t>Merchant_Late</t>
  </si>
  <si>
    <t>Scientist</t>
  </si>
  <si>
    <t>Scientist_Late</t>
  </si>
  <si>
    <t>Mech</t>
  </si>
  <si>
    <t>Mechanized_Infantry</t>
  </si>
  <si>
    <t>Missile_Cruiser</t>
  </si>
  <si>
    <t>Mobile_SAM</t>
  </si>
  <si>
    <t>Modern_Armor</t>
  </si>
  <si>
    <t>Nuclear_Submarine</t>
  </si>
  <si>
    <t>Rocket_Artillery</t>
  </si>
  <si>
    <t>Stealth_Bomber</t>
  </si>
  <si>
    <t>_Warrior</t>
  </si>
  <si>
    <t>_Settler</t>
  </si>
  <si>
    <t>_Worker</t>
  </si>
  <si>
    <t>_Worker_Late</t>
  </si>
  <si>
    <t>Guided_Missile</t>
  </si>
  <si>
    <t>WW1_Tank</t>
  </si>
  <si>
    <t>WW1_Infantry</t>
  </si>
  <si>
    <t>WW1_Fighter</t>
  </si>
  <si>
    <t>WW1_Bomber</t>
  </si>
  <si>
    <t>XP_Privateer</t>
  </si>
  <si>
    <t>Central Asia and Oceania get donkeys</t>
  </si>
  <si>
    <t>_V2</t>
  </si>
  <si>
    <t>_V3</t>
  </si>
  <si>
    <t>ANTANANARIVO</t>
  </si>
  <si>
    <t>ANTWERP</t>
  </si>
  <si>
    <t>BELGRADE</t>
  </si>
  <si>
    <t>BOGOTA</t>
  </si>
  <si>
    <t>BRATISLAVA</t>
  </si>
  <si>
    <t>BRUSSELS</t>
  </si>
  <si>
    <t>BUCHAREST</t>
  </si>
  <si>
    <t>BUDAPEST</t>
  </si>
  <si>
    <t>BUENOS_AIRES</t>
  </si>
  <si>
    <t>BYBLOS</t>
  </si>
  <si>
    <t>CAHOKIA</t>
  </si>
  <si>
    <t>CAPE_TOWN</t>
  </si>
  <si>
    <t>COLOMBO</t>
  </si>
  <si>
    <t>FLORENCE</t>
  </si>
  <si>
    <t>GENEVA</t>
  </si>
  <si>
    <t>GENOA</t>
  </si>
  <si>
    <t>HANOI</t>
  </si>
  <si>
    <t>HONG_KONG</t>
  </si>
  <si>
    <t>IFE</t>
  </si>
  <si>
    <t>JERUSALEM</t>
  </si>
  <si>
    <t>KABUL</t>
  </si>
  <si>
    <t>KATHMANDU</t>
  </si>
  <si>
    <t>KIEV</t>
  </si>
  <si>
    <t>KUALA_LUMPUR</t>
  </si>
  <si>
    <t>KYZYL</t>
  </si>
  <si>
    <t>LA_VENTA</t>
  </si>
  <si>
    <t>LHASA</t>
  </si>
  <si>
    <t>MALACCA</t>
  </si>
  <si>
    <t>MANILA</t>
  </si>
  <si>
    <t>MBANZA_KONGO</t>
  </si>
  <si>
    <t>MELBOURNE</t>
  </si>
  <si>
    <t>MILAN</t>
  </si>
  <si>
    <t>MONACO</t>
  </si>
  <si>
    <t>ORMUS</t>
  </si>
  <si>
    <t>PANAMA_CITY</t>
  </si>
  <si>
    <t>PRAGUE</t>
  </si>
  <si>
    <t>QUEBEC_CITY</t>
  </si>
  <si>
    <t>RAGUSA</t>
  </si>
  <si>
    <t>RIGA</t>
  </si>
  <si>
    <t>SAMARKAND</t>
  </si>
  <si>
    <t>SIDON</t>
  </si>
  <si>
    <t>SINGAPORE</t>
  </si>
  <si>
    <t>SOFIA</t>
  </si>
  <si>
    <t>SYDNEY</t>
  </si>
  <si>
    <t>TYRE</t>
  </si>
  <si>
    <t>UR</t>
  </si>
  <si>
    <t>VALLETTA</t>
  </si>
  <si>
    <t>VANCOUVER</t>
  </si>
  <si>
    <t>VILNIUS</t>
  </si>
  <si>
    <t>WELLINGTON</t>
  </si>
  <si>
    <t>WITTENBERG</t>
  </si>
  <si>
    <t>YEREVAN</t>
  </si>
  <si>
    <t>ZANZIBAR</t>
  </si>
  <si>
    <t>ZURICH</t>
  </si>
  <si>
    <t>ALMATY</t>
  </si>
  <si>
    <t>HONIARA</t>
  </si>
  <si>
    <t>KOROR</t>
  </si>
  <si>
    <t>NAIN</t>
  </si>
  <si>
    <t>NOUMEA</t>
  </si>
  <si>
    <t>PORT_MORESBY</t>
  </si>
  <si>
    <t>SUVA</t>
  </si>
  <si>
    <t>PORT_VILA</t>
  </si>
  <si>
    <t>NEW_ZEALAND</t>
  </si>
  <si>
    <t>BAMAGA</t>
  </si>
  <si>
    <t>KAZAN</t>
  </si>
  <si>
    <t>YUGOSLAVIA</t>
  </si>
  <si>
    <t>USSR</t>
  </si>
  <si>
    <t>UAE</t>
  </si>
  <si>
    <t>SUMERIA_LS_MOD</t>
  </si>
  <si>
    <t>MC_MAORI</t>
  </si>
  <si>
    <t>MC_RAPA_NUI</t>
  </si>
  <si>
    <t>MC_TONGA</t>
  </si>
  <si>
    <t>KULINNATION</t>
  </si>
  <si>
    <t>TIWANAKU</t>
  </si>
  <si>
    <t>ZAPOTEC</t>
  </si>
  <si>
    <t>DENEFIRSTNATION</t>
  </si>
  <si>
    <t>SWITZERLAND_LS_MOD</t>
  </si>
  <si>
    <t>SABA</t>
  </si>
  <si>
    <t>swiss_sword</t>
  </si>
  <si>
    <t>zwei833, Civitar, Nutty</t>
  </si>
  <si>
    <t>Civ5_AfricanSF_v2</t>
  </si>
  <si>
    <t>Terrorist</t>
  </si>
  <si>
    <t>AsianSF</t>
  </si>
  <si>
    <t>SthAmericanSF</t>
  </si>
  <si>
    <t>mechaerik, Civitar</t>
  </si>
  <si>
    <t>Civ</t>
  </si>
  <si>
    <t>GRECO_ROMAN</t>
  </si>
  <si>
    <t>MEDITERRANEAN</t>
  </si>
  <si>
    <t>MIDDLE_EAST</t>
  </si>
  <si>
    <t>AFRICAN</t>
  </si>
  <si>
    <t>POLYNESIAN</t>
  </si>
  <si>
    <t>SOUTH_AMERICA</t>
  </si>
  <si>
    <t>MARRAKECH</t>
  </si>
  <si>
    <t>AMERICAN</t>
  </si>
  <si>
    <t>WARSAW</t>
  </si>
  <si>
    <t>HELSINKI</t>
  </si>
  <si>
    <t>STOCKHOLM</t>
  </si>
  <si>
    <t>RIO_DE_JANEIRO</t>
  </si>
  <si>
    <t>DUBLIN</t>
  </si>
  <si>
    <t>EDINBURGH</t>
  </si>
  <si>
    <t>JAKARTA</t>
  </si>
  <si>
    <t>LISBON</t>
  </si>
  <si>
    <t>OSLO</t>
  </si>
  <si>
    <t>SEOUL</t>
  </si>
  <si>
    <t>VIENNA</t>
  </si>
  <si>
    <t>Deliverator, Firaxis</t>
  </si>
  <si>
    <t>Deliverator, Oleg153, Firaxis</t>
  </si>
  <si>
    <t>?bernie14, Nutty</t>
  </si>
  <si>
    <t>Composite_Bowman</t>
  </si>
  <si>
    <t>XCOM_Squad</t>
  </si>
  <si>
    <t>Nuclear_Missile</t>
  </si>
  <si>
    <t>GatlingGun</t>
  </si>
  <si>
    <t>MachineGun</t>
  </si>
  <si>
    <t>Galleass</t>
  </si>
  <si>
    <t>Euro</t>
  </si>
  <si>
    <t>NorthEu</t>
  </si>
  <si>
    <t>EastEu</t>
  </si>
  <si>
    <t>Med</t>
  </si>
  <si>
    <t>MidEast</t>
  </si>
  <si>
    <t>Afri</t>
  </si>
  <si>
    <t>CentAs</t>
  </si>
  <si>
    <t>SouthAs</t>
  </si>
  <si>
    <t>SEASia</t>
  </si>
  <si>
    <t>Amer</t>
  </si>
  <si>
    <t>SouthAm</t>
  </si>
  <si>
    <t>Ocean</t>
  </si>
  <si>
    <t>Zulu</t>
  </si>
  <si>
    <t>Cent.Asia</t>
  </si>
  <si>
    <t>S.Asia</t>
  </si>
  <si>
    <t>N.Europe</t>
  </si>
  <si>
    <t>E.Europe</t>
  </si>
  <si>
    <t>N.America</t>
  </si>
  <si>
    <t>S.America</t>
  </si>
  <si>
    <t>regional</t>
  </si>
  <si>
    <t>totals: civ-specific</t>
  </si>
  <si>
    <t>possible</t>
  </si>
  <si>
    <t>[NB: scenario unit Heavy Chariot]</t>
  </si>
  <si>
    <t>AUSTRALIA</t>
  </si>
  <si>
    <t>tiger_australia</t>
  </si>
  <si>
    <t>MakuriaSwordsman</t>
  </si>
  <si>
    <t>JTitan, Bakuel</t>
  </si>
  <si>
    <t>BARBARIAN_ARCHER</t>
  </si>
  <si>
    <t>BARBARIAN_GALLEY</t>
  </si>
  <si>
    <t>BARBARIAN_SPEARMAN</t>
  </si>
  <si>
    <t>BARBARIAN_SWORDSMAN</t>
  </si>
  <si>
    <t>GREATARTIST_EARLY</t>
  </si>
  <si>
    <t>GREATARTIST_LATE</t>
  </si>
  <si>
    <t>ARTIST</t>
  </si>
  <si>
    <t>GREATENGINEER_EARLY</t>
  </si>
  <si>
    <t>GREATENGINEER_LATE</t>
  </si>
  <si>
    <t>ENGINEER</t>
  </si>
  <si>
    <t>_WORKER</t>
  </si>
  <si>
    <t>_WORKER_LATE</t>
  </si>
  <si>
    <t>ARTIST_LATE</t>
  </si>
  <si>
    <t>CARAVAN</t>
  </si>
  <si>
    <t>CARAVAN_POSTMODERN</t>
  </si>
  <si>
    <t>CARAVAN_LATE</t>
  </si>
  <si>
    <t>CARGO_SHIP</t>
  </si>
  <si>
    <t>CARGO_SHIP_POSTMODERN</t>
  </si>
  <si>
    <t>CARGO_SHIP_RENAISSANCE</t>
  </si>
  <si>
    <t>CARGO_SHIP_LATE</t>
  </si>
  <si>
    <t>CARGO_SHIP_MID</t>
  </si>
  <si>
    <t>CONFEDERATE_ARTILLERY_NAPOLEON</t>
  </si>
  <si>
    <t>CONFEDERATE_ARTILLERY_PARROTT</t>
  </si>
  <si>
    <t>CONFEDERATE_CAVALRY_CARBINE</t>
  </si>
  <si>
    <t>CONFEDERATE_CAVALRY_PISTOL</t>
  </si>
  <si>
    <t>CONFEDERATE_CORPS</t>
  </si>
  <si>
    <t>CONFEDERATE_DIVISION</t>
  </si>
  <si>
    <t>CONFEDERATE_RIFLEMAN</t>
  </si>
  <si>
    <t>CONFEDERATE_GENERAL</t>
  </si>
  <si>
    <t>CONFEDERATE_GREAT_GENERAL</t>
  </si>
  <si>
    <t>CONFEDERATE_IRONCLAD</t>
  </si>
  <si>
    <t>ENGINEER_LATE</t>
  </si>
  <si>
    <t>EXPLORER</t>
  </si>
  <si>
    <t>GREAT_EXPLORER</t>
  </si>
  <si>
    <t>GADRAUHTS_SWORDSMAN</t>
  </si>
  <si>
    <t>GENERAL</t>
  </si>
  <si>
    <t>GENERAL_KHAN</t>
  </si>
  <si>
    <t>GENERAL_LATE</t>
  </si>
  <si>
    <t>GREATGENERAL_EARLY</t>
  </si>
  <si>
    <t>GREATGENERAL_KHAN</t>
  </si>
  <si>
    <t>GREATGENERAL_LATE</t>
  </si>
  <si>
    <t>GREAT_ADMIRAL</t>
  </si>
  <si>
    <t>GREAT_ADMIRAL_LATE</t>
  </si>
  <si>
    <t>GREAT_ARTIST</t>
  </si>
  <si>
    <t>GREAT_ARTIST_POSTMODERN</t>
  </si>
  <si>
    <t>GREAT_MUSICIAN</t>
  </si>
  <si>
    <t>GREAT_MUSICIAN_POSTMODERN</t>
  </si>
  <si>
    <t>GREAT_WRITER</t>
  </si>
  <si>
    <t>GREAT_WRITER_POSTMODERN</t>
  </si>
  <si>
    <t>GREAT_ARTIST_LATE</t>
  </si>
  <si>
    <t>GREAT_MUSICIAN_LATE</t>
  </si>
  <si>
    <t>GREAT_WRITER_LATE</t>
  </si>
  <si>
    <t>HAND_AXE_BARBARIAN</t>
  </si>
  <si>
    <t>MERCHANT</t>
  </si>
  <si>
    <t>MERCHANT_LATE</t>
  </si>
  <si>
    <t>GREATMERCHANT_EARLY</t>
  </si>
  <si>
    <t>GREATMERCHANT_LATE</t>
  </si>
  <si>
    <t>MILITARY_ENGINEER</t>
  </si>
  <si>
    <t>PRIVATEER</t>
  </si>
  <si>
    <t>SCIENTIST</t>
  </si>
  <si>
    <t>SCIENTIST_LATE</t>
  </si>
  <si>
    <t>GREATSCIENTIST_EARLY</t>
  </si>
  <si>
    <t>GREATSCIENTIST_LATE</t>
  </si>
  <si>
    <t>SCRAMBLE_FORCE_PUBLIQUE</t>
  </si>
  <si>
    <t>SCRAMBLE_FOREIGN_VOLUNTEERS</t>
  </si>
  <si>
    <t>SMOKEY_LANDSHIP_LEVEL_1</t>
  </si>
  <si>
    <t>SMOKEY_LANDSHIP_LEVEL_2</t>
  </si>
  <si>
    <t>SMOKEY_LANDSHIP_LEVEL_3</t>
  </si>
  <si>
    <t>SMOKEY_STEAM_AIRSHIP</t>
  </si>
  <si>
    <t>SMOKEY_STEAM_AIRSHIP_LEVEL_1</t>
  </si>
  <si>
    <t>SMOKEY_STEAM_FIGHTER</t>
  </si>
  <si>
    <t>SMOKEY_BLIMP</t>
  </si>
  <si>
    <t>SMOKEY_AIRSHIP_LEVEL_1</t>
  </si>
  <si>
    <t>UNION_ARTILLERY_NAPOLEON</t>
  </si>
  <si>
    <t>UNION_ARTILLERY_PARROTT</t>
  </si>
  <si>
    <t>UNION_CAVALRY_CARBINE</t>
  </si>
  <si>
    <t>UNION_CAVALRY_PISTOL</t>
  </si>
  <si>
    <t>UNION_CORPS</t>
  </si>
  <si>
    <t>UNION_DIVISION</t>
  </si>
  <si>
    <t>UNION_GENERAL</t>
  </si>
  <si>
    <t>UNION_IRONCLAD</t>
  </si>
  <si>
    <t>UNION_GREAT_GENERAL</t>
  </si>
  <si>
    <t>WORKBOAT</t>
  </si>
  <si>
    <t>WORKBOAT_LATE</t>
  </si>
  <si>
    <t>WORKBOAT_INDUSTRIAL</t>
  </si>
  <si>
    <t>WW2_INFANTRY</t>
  </si>
  <si>
    <t>Settlers_AFRI_Camel</t>
  </si>
  <si>
    <t>SettlerAmerican_Llama</t>
  </si>
  <si>
    <t>AntiAircraftGun</t>
  </si>
  <si>
    <t>AntiTankGun</t>
  </si>
  <si>
    <t>Archeologist</t>
  </si>
  <si>
    <t>Archeologist_F1</t>
  </si>
  <si>
    <t>Archeologist_F2</t>
  </si>
  <si>
    <t>Archer_V2</t>
  </si>
  <si>
    <t>Archer_V3</t>
  </si>
  <si>
    <t>AtomicBomb</t>
  </si>
  <si>
    <t>Barbarian_Archer_01</t>
  </si>
  <si>
    <t>Barbarian_Archer_V2</t>
  </si>
  <si>
    <t>Barbarian_Archer_V3</t>
  </si>
  <si>
    <t>Barbarian_EURO_Alpha</t>
  </si>
  <si>
    <t>Barbarian_EURO_Bravo</t>
  </si>
  <si>
    <t>Barbarian_EURO_Charlie</t>
  </si>
  <si>
    <t>Barbarian_Galley</t>
  </si>
  <si>
    <t>Barbarian_Spearman</t>
  </si>
  <si>
    <t>Barbarian_Spearman_V2</t>
  </si>
  <si>
    <t>Barbarian_Spearman_V3</t>
  </si>
  <si>
    <t>Barbarian_Swordsman</t>
  </si>
  <si>
    <t>Barbarian_Swordsman_V2</t>
  </si>
  <si>
    <t>Barbarian_Swordsman_V3</t>
  </si>
  <si>
    <t>Caravan_Early</t>
  </si>
  <si>
    <t>Caravan_Early_F1</t>
  </si>
  <si>
    <t>Caravan_Early_F2</t>
  </si>
  <si>
    <t>Caravan_Late</t>
  </si>
  <si>
    <t>Caravan_Late_F1</t>
  </si>
  <si>
    <t>Caravan_Late_F2</t>
  </si>
  <si>
    <t>Cargo_Ship_Early</t>
  </si>
  <si>
    <t>Cargo_Ship_Late</t>
  </si>
  <si>
    <t>Cargo_Ship_Middle</t>
  </si>
  <si>
    <t>ChariotArcher</t>
  </si>
  <si>
    <t>Confederate_Artillery_Napoleon</t>
  </si>
  <si>
    <t>Confederate_Artillery_Parrott</t>
  </si>
  <si>
    <t>Confederate_Cavalry_Carbine</t>
  </si>
  <si>
    <t>Confederate_Cavalry_Pistol</t>
  </si>
  <si>
    <t>CW_Great_General_Confederate</t>
  </si>
  <si>
    <t>Confederate_Ironclad</t>
  </si>
  <si>
    <t>Confederate_Rifleman</t>
  </si>
  <si>
    <t>Confederate_Rifleman_V1</t>
  </si>
  <si>
    <t>Confederate_Rifleman_V2</t>
  </si>
  <si>
    <t>EuroFemale18</t>
  </si>
  <si>
    <t>EuroMale20</t>
  </si>
  <si>
    <t>EuroMale25</t>
  </si>
  <si>
    <t>EuroMale35</t>
  </si>
  <si>
    <t>EuroMale45</t>
  </si>
  <si>
    <t>EuroFemale25</t>
  </si>
  <si>
    <t>EuroFemale35</t>
  </si>
  <si>
    <t>EuroFemale40</t>
  </si>
  <si>
    <t>Gadrauhts_Swordsman</t>
  </si>
  <si>
    <t>Gatling_Gun</t>
  </si>
  <si>
    <t>Great_Admiral_Early</t>
  </si>
  <si>
    <t>Great_Artist_Early</t>
  </si>
  <si>
    <t>Great_Artist_Early_F1</t>
  </si>
  <si>
    <t>Great_Artist_Early_F2</t>
  </si>
  <si>
    <t>Great_Artist_Late_F1</t>
  </si>
  <si>
    <t>Great_Artist_Late_F2</t>
  </si>
  <si>
    <t>Great_Artist_Late</t>
  </si>
  <si>
    <t>Great_Explorer_F1</t>
  </si>
  <si>
    <t>Great_Explorer</t>
  </si>
  <si>
    <t>Great_Explorer_F2</t>
  </si>
  <si>
    <t>Great_Musician_Early_F2</t>
  </si>
  <si>
    <t>Great_Musician_Late_F2</t>
  </si>
  <si>
    <t>Great_Musician_Early</t>
  </si>
  <si>
    <t>Great_Musician_Early_F1</t>
  </si>
  <si>
    <t>Great_Musician_Late</t>
  </si>
  <si>
    <t>Great_Musician_Late_F1</t>
  </si>
  <si>
    <t>Great_Prophet_F2</t>
  </si>
  <si>
    <t>Great_Prophet_F1</t>
  </si>
  <si>
    <t>Great_Writer_Early</t>
  </si>
  <si>
    <t>Great_Writer_Early_F1</t>
  </si>
  <si>
    <t>Great_Writer_Early_F2</t>
  </si>
  <si>
    <t>Great_Writer_Late_F2</t>
  </si>
  <si>
    <t>Great_Writer_Late</t>
  </si>
  <si>
    <t>Great_Writer_Late_F1</t>
  </si>
  <si>
    <t>GreatArtist_Early_Bagpiper</t>
  </si>
  <si>
    <t>GreatArtist_Early_Bigdrummer</t>
  </si>
  <si>
    <t>GreatArtist_Early_Drummer</t>
  </si>
  <si>
    <t>GreatArtist_Early_Flagbearer</t>
  </si>
  <si>
    <t>GreatArtist_Early_Flute</t>
  </si>
  <si>
    <t>GreatArtist_Early_Tambourine</t>
  </si>
  <si>
    <t>GreatArtist_Late</t>
  </si>
  <si>
    <t>GreatGeneral_Early_Khan</t>
  </si>
  <si>
    <t>GreatGeneral_Early</t>
  </si>
  <si>
    <t>GreatGeneral_Late</t>
  </si>
  <si>
    <t>GreatMerchant_Early_Camel_V1</t>
  </si>
  <si>
    <t>GreatMerchant_Early_Camel_V2</t>
  </si>
  <si>
    <t>GreatMerchant_Early_Leader</t>
  </si>
  <si>
    <t>GreatScientist_Early</t>
  </si>
  <si>
    <t>GreatScientist_Late</t>
  </si>
  <si>
    <t>GuidedMissile</t>
  </si>
  <si>
    <t>Hand_Axe_Barbarian</t>
  </si>
  <si>
    <t>HelicopterGunship</t>
  </si>
  <si>
    <t>Inquisitor_01</t>
  </si>
  <si>
    <t>Inquisitor_02</t>
  </si>
  <si>
    <t>WW1_Machinegun</t>
  </si>
  <si>
    <t>MechanizedInfantry</t>
  </si>
  <si>
    <t>Civil_War_Engineer</t>
  </si>
  <si>
    <t>GreatMerchant_Late</t>
  </si>
  <si>
    <t>MissileCruiser</t>
  </si>
  <si>
    <t>Missionary_01</t>
  </si>
  <si>
    <t>Missionary_02</t>
  </si>
  <si>
    <t>MobileSAM</t>
  </si>
  <si>
    <t>ModernArmor</t>
  </si>
  <si>
    <t>NuclearMissile</t>
  </si>
  <si>
    <t>NuclearSubmarine</t>
  </si>
  <si>
    <t>Battleship_Generic</t>
  </si>
  <si>
    <t>Carrier_Generic</t>
  </si>
  <si>
    <t>Destroyer_Generic</t>
  </si>
  <si>
    <t>Infantry_Generic</t>
  </si>
  <si>
    <t>JetFighter_Generic</t>
  </si>
  <si>
    <t>Paratrooper_Generic_MG</t>
  </si>
  <si>
    <t>Paratrooper_Generic</t>
  </si>
  <si>
    <t>Privateer</t>
  </si>
  <si>
    <t>RocketArtillery</t>
  </si>
  <si>
    <t>U_French_ForeignLegion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</si>
  <si>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</si>
  <si>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</si>
  <si>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</si>
  <si>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</si>
  <si>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</si>
  <si>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</si>
  <si>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</si>
  <si>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</si>
  <si>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Settlers_Asian_Ox</t>
  </si>
  <si>
    <t>Warrior_V2</t>
  </si>
  <si>
    <t>Warrior</t>
  </si>
  <si>
    <t>Warrior_V4</t>
  </si>
  <si>
    <t>Steam_Airship_Level1</t>
  </si>
  <si>
    <t>Steam_Airship</t>
  </si>
  <si>
    <t>Smokey_Landship_Level1</t>
  </si>
  <si>
    <t>Smokey_Landship_Level2</t>
  </si>
  <si>
    <t>Smokey_Landship_Level3</t>
  </si>
  <si>
    <t>Steam_Fighter</t>
  </si>
  <si>
    <t>Spearman_V2</t>
  </si>
  <si>
    <t>Spearman_V3</t>
  </si>
  <si>
    <t>StealthBomber</t>
  </si>
  <si>
    <t>Swordsman_V3</t>
  </si>
  <si>
    <t>Swordsman_V2</t>
  </si>
  <si>
    <t>Union_Artillery_Napoleon</t>
  </si>
  <si>
    <t>Union_Artillery_Parrott</t>
  </si>
  <si>
    <t>Union_Cavalry_Carbine</t>
  </si>
  <si>
    <t>Union_Cavalry_Pistol</t>
  </si>
  <si>
    <t>CW_Great_General_Union</t>
  </si>
  <si>
    <t>Union_Ironclad</t>
  </si>
  <si>
    <t>Union_Rifleman</t>
  </si>
  <si>
    <t>UNION_RIFLEMAN</t>
  </si>
  <si>
    <t>Worker_EURO</t>
  </si>
  <si>
    <t>Worker_EURO_Modern</t>
  </si>
  <si>
    <t>WorkBoat_Industrial</t>
  </si>
  <si>
    <t>Heavy_Infantry_XCOM</t>
  </si>
  <si>
    <t>U_AMERICAN_B17</t>
  </si>
  <si>
    <t>U_AMERICAN_MINUTEMAN</t>
  </si>
  <si>
    <t>U_ARABIAN_CAMELARCHER</t>
  </si>
  <si>
    <t>U_ASSYRIAN_SIEGE_TOWER</t>
  </si>
  <si>
    <t>U_AUSTRIAN_HUSSAR</t>
  </si>
  <si>
    <t>U_AZTEC_JAGUAR</t>
  </si>
  <si>
    <t>U_BABYLONIAN_BOWMAN</t>
  </si>
  <si>
    <t>U_BRAZILIAN_PRACINHAS</t>
  </si>
  <si>
    <t>U_BYZANTIUM_CATAPHRACT</t>
  </si>
  <si>
    <t>U_BYZANTIUM_DROMON</t>
  </si>
  <si>
    <t>U_CARTHAGE_AFRICANFOREST_ELEPHANT</t>
  </si>
  <si>
    <t>U_CARTHAGE_QUINQUEREME</t>
  </si>
  <si>
    <t>U_CELT_PICTISH_WARRIOR</t>
  </si>
  <si>
    <t>U_CHINESE_CHUKONU</t>
  </si>
  <si>
    <t>U_DANISH_BERSERKER</t>
  </si>
  <si>
    <t>U_DANISH_LONGBOAT</t>
  </si>
  <si>
    <t>U_DANISH_SKI_INFANTRY</t>
  </si>
  <si>
    <t>U_DUTCH_SEA_BEGGARS</t>
  </si>
  <si>
    <t>U_EGYPTIAN_WARCHARIOT</t>
  </si>
  <si>
    <t>U_ENGLISH_LONGBOWMAN</t>
  </si>
  <si>
    <t>U_ENGLISH_SHIPOFTHELINE</t>
  </si>
  <si>
    <t>U_ETHIOPIA_MEHAL_SEFARI</t>
  </si>
  <si>
    <t>U_FRENCH_FOREIGNLEGION</t>
  </si>
  <si>
    <t>U_FRENCH_MUSKETEER</t>
  </si>
  <si>
    <t>U_GERMAN_LANDSKNECHT</t>
  </si>
  <si>
    <t>U_GERMAN_PANZER</t>
  </si>
  <si>
    <t>U_GREEK_COMPANIONCAVALRY</t>
  </si>
  <si>
    <t>U_HITTITE_WARCHARIOT</t>
  </si>
  <si>
    <t>U_HUNS_BATTERING_RAM</t>
  </si>
  <si>
    <t>U_HUNS_HORSE_ARCHER</t>
  </si>
  <si>
    <t>U_INCAN_SLINGER</t>
  </si>
  <si>
    <t>U_INDIAN_WARELEPHANT</t>
  </si>
  <si>
    <t>U_INDONESIAN_KRIS_SWORDSMAN</t>
  </si>
  <si>
    <t>U_IROQUOIAN_MOHAWKWARRIOR</t>
  </si>
  <si>
    <t>U_JAPANESE_ZERO</t>
  </si>
  <si>
    <t>U_KOREAN_HWACHA</t>
  </si>
  <si>
    <t>U_KOREAN_TURTLESHIP</t>
  </si>
  <si>
    <t>U_MAYAN_ATLALIST</t>
  </si>
  <si>
    <t>U_MONGOLIAN_KESHIK</t>
  </si>
  <si>
    <t>U_MORROCAN_BERBER_CAVALRY</t>
  </si>
  <si>
    <t>U_OTTOMAN_JANISSARY</t>
  </si>
  <si>
    <t>U_OTTOMAN_SIPAHI</t>
  </si>
  <si>
    <t>U_PERSIAN_IMMORTAL</t>
  </si>
  <si>
    <t>U_POLISH_WINGED_HUSSAR</t>
  </si>
  <si>
    <t>U_POLYNESIAN_MAORI_WARRIOR</t>
  </si>
  <si>
    <t>U_POLYNESIAN_WAR_CANOE</t>
  </si>
  <si>
    <t>U_PORTUGUESE_CARRACK</t>
  </si>
  <si>
    <t>U_ROMAN_BALLISTA</t>
  </si>
  <si>
    <t>U_ROMAN_LEGION</t>
  </si>
  <si>
    <t>U_RUSSIAN_COSSACK</t>
  </si>
  <si>
    <t>U_SAXON_HUSCARL</t>
  </si>
  <si>
    <t>U_SHOSHONE_COMANCHE_RIDERS</t>
  </si>
  <si>
    <t>U_SHOSHONE_PATHFINDER</t>
  </si>
  <si>
    <t>U_SIAMESE_WARELEPHANT</t>
  </si>
  <si>
    <t>U_SONGHAI_MUSLIMCAVALRY</t>
  </si>
  <si>
    <t>U_SPANISH_CONQUISTADOR</t>
  </si>
  <si>
    <t>U_SPANISH_GALLEON</t>
  </si>
  <si>
    <t>U_SPANISH_TERCIO</t>
  </si>
  <si>
    <t>U_SPANISH_TREASURE_CART</t>
  </si>
  <si>
    <t>U_SUMERIAN_PHALANX</t>
  </si>
  <si>
    <t>U_SWEDISH_CAROLEAN</t>
  </si>
  <si>
    <t>U_SWEDISH_HAKKAPELITTA</t>
  </si>
  <si>
    <t>U_VENETIAN_GALLEASS</t>
  </si>
  <si>
    <t>U_VENETIAN_MERCHANT</t>
  </si>
  <si>
    <t>U_ZULU_IMPI_WARRIOR</t>
  </si>
  <si>
    <t>U_DANISH_SKY_INFANTRY</t>
  </si>
  <si>
    <t>LooseCivilian</t>
  </si>
  <si>
    <t>ThreeBigGuns</t>
  </si>
  <si>
    <t>DefaultCavalry</t>
  </si>
  <si>
    <t>TwoBigGuns</t>
  </si>
  <si>
    <t>EarlyGreatArtist</t>
  </si>
  <si>
    <t>BomberWing</t>
  </si>
  <si>
    <t>ThreeInLine</t>
  </si>
  <si>
    <t>TheeInLineStag</t>
  </si>
  <si>
    <t>ChariotElephant</t>
  </si>
  <si>
    <t>HonorableGunpowder</t>
  </si>
  <si>
    <t>UnFormed</t>
  </si>
  <si>
    <t>FighterWing</t>
  </si>
  <si>
    <t>DefaultMelee</t>
  </si>
  <si>
    <t>Vehicle</t>
  </si>
  <si>
    <t>EarlyGreatMerchant</t>
  </si>
  <si>
    <t>Phalanx</t>
  </si>
  <si>
    <t>Samurai</t>
  </si>
  <si>
    <t>OffsetPikeman</t>
  </si>
  <si>
    <t>U_Assyrian_Siege_Tower</t>
  </si>
  <si>
    <t>U_Austrian_Hussar</t>
  </si>
  <si>
    <t>U_Babylonian_Bowman</t>
  </si>
  <si>
    <t>U_Brazil_Pracinhas</t>
  </si>
  <si>
    <t>U_Byzantium_Cataphract</t>
  </si>
  <si>
    <t>U_Byzantium_Dromon</t>
  </si>
  <si>
    <t>U_Carthage_AfricanForest_Elephant</t>
  </si>
  <si>
    <t>U_Carthage_Quinquereme</t>
  </si>
  <si>
    <t>U_Celt_PictishWarrior</t>
  </si>
  <si>
    <t>U_Denmark_Berserker</t>
  </si>
  <si>
    <t>U_Denmark_Ski_Infantry</t>
  </si>
  <si>
    <t>U_Dutch_Sea_Beggar</t>
  </si>
  <si>
    <t>Ethiopian_Mehal_Sefari</t>
  </si>
  <si>
    <t>Hititte_War_Chariot</t>
  </si>
  <si>
    <t>U_Huns_Battering_Ram</t>
  </si>
  <si>
    <t>U_Huns_HorseArcher</t>
  </si>
  <si>
    <t>U_Incan_Slinger</t>
  </si>
  <si>
    <t>U_Indonesian_Kris_Swordsman</t>
  </si>
  <si>
    <t>U_Korean_Hwacha</t>
  </si>
  <si>
    <t>U_Korean_Turtle_Ship</t>
  </si>
  <si>
    <t>Mayan_Atlalist</t>
  </si>
  <si>
    <t>U_Mongolian_Keshik</t>
  </si>
  <si>
    <t>U_Morocco_Berber</t>
  </si>
  <si>
    <t>U_Polish_Winged_Hussar</t>
  </si>
  <si>
    <t>U_Polynesian_Maori_Warrior</t>
  </si>
  <si>
    <t>U_Portugal_Carrack</t>
  </si>
  <si>
    <t>U_Saxon_Huscarl</t>
  </si>
  <si>
    <t>U_Shosone_Comanche_Rider</t>
  </si>
  <si>
    <t>U_Shosone_Pathfinder</t>
  </si>
  <si>
    <t>U_Spanish_Conquistador</t>
  </si>
  <si>
    <t>U_Spanish_Galleon</t>
  </si>
  <si>
    <t>U_Spanish_Terico_Arcabucero</t>
  </si>
  <si>
    <t>U_Spanish_Terico_Piquero</t>
  </si>
  <si>
    <t>U_Spanish_Treasure_Cart</t>
  </si>
  <si>
    <t>U_Sumerian_Phalanx</t>
  </si>
  <si>
    <t>U_Swedish_Carolean</t>
  </si>
  <si>
    <t>U_Swedish_Hakkapelitta</t>
  </si>
  <si>
    <t>U_Venetian_Galleass</t>
  </si>
  <si>
    <t>Venice_Merchant_of_Venice</t>
  </si>
  <si>
    <t>U_Zulu_Warrior_V1</t>
  </si>
  <si>
    <t>U_Zulu_Warrior_V2</t>
  </si>
  <si>
    <t>U_Zulu_Warrior_V3</t>
  </si>
  <si>
    <t>U_American_B17</t>
  </si>
  <si>
    <t>U_American_Minuteman</t>
  </si>
  <si>
    <t>U_Arabian_CamelArcher</t>
  </si>
  <si>
    <t>U_Aztec_Jaguar</t>
  </si>
  <si>
    <t>U_Chinese_ChuKoNu</t>
  </si>
  <si>
    <t>U_Egyptian_WarChariot</t>
  </si>
  <si>
    <t>U_English_Longbowman</t>
  </si>
  <si>
    <t>U_English_ShipOfTheLine</t>
  </si>
  <si>
    <t>U_French_Musketeer</t>
  </si>
  <si>
    <t>U_German_Landsknecht_A</t>
  </si>
  <si>
    <t>U_German_Landsknecht_B</t>
  </si>
  <si>
    <t>U_German_Panzer</t>
  </si>
  <si>
    <t>U_Indian_WarElephant</t>
  </si>
  <si>
    <t>U_Iroquoian_MohawkWarrior</t>
  </si>
  <si>
    <t>U_Japanese_Samurai</t>
  </si>
  <si>
    <t>U_Japanese_Zero</t>
  </si>
  <si>
    <t>U_Ottoman_Janissary</t>
  </si>
  <si>
    <t>U_Ottoman_Sipahi</t>
  </si>
  <si>
    <t>U_Persian_Immortal</t>
  </si>
  <si>
    <t>U_Roman_Ballista</t>
  </si>
  <si>
    <t>U_Russian_Cossack</t>
  </si>
  <si>
    <t>U_Russian_Cossack_V2</t>
  </si>
  <si>
    <t>U_Russian_Cossack_V3</t>
  </si>
  <si>
    <t>U_Siamese_WarElephant</t>
  </si>
  <si>
    <t>U_Songhai_MuslimCavalry</t>
  </si>
  <si>
    <t>M</t>
  </si>
  <si>
    <t>Flotilla</t>
  </si>
  <si>
    <t>CannonLine</t>
  </si>
  <si>
    <t>Colomb</t>
  </si>
  <si>
    <t>FighterDiamond</t>
  </si>
  <si>
    <t>Nelson</t>
  </si>
  <si>
    <t>WedgeCavalry</t>
  </si>
  <si>
    <t>AssaultMech</t>
  </si>
  <si>
    <t>Wolfpack</t>
  </si>
  <si>
    <t>Agincourt</t>
  </si>
  <si>
    <t>ElitePhalanx</t>
  </si>
  <si>
    <t>Square</t>
  </si>
  <si>
    <t>Tercio</t>
  </si>
  <si>
    <t>BIPED</t>
  </si>
  <si>
    <t>WHEELED</t>
  </si>
  <si>
    <t>GREAT_PERSON</t>
  </si>
  <si>
    <t>AIR_REBASE</t>
  </si>
  <si>
    <t>WOODEN_BOAT</t>
  </si>
  <si>
    <t>BOAT</t>
  </si>
  <si>
    <t>QUADRUPED</t>
  </si>
  <si>
    <t>ROBOT</t>
  </si>
  <si>
    <t>SUB</t>
  </si>
  <si>
    <t>PHANT</t>
  </si>
  <si>
    <t>HEAVY_BIPED</t>
  </si>
  <si>
    <t>GreatEngineer_Early</t>
  </si>
  <si>
    <t>GreatEngineer_Late</t>
  </si>
  <si>
    <t>Submarine_Generic</t>
  </si>
  <si>
    <t>Mongol</t>
  </si>
  <si>
    <t>Helicopter</t>
  </si>
  <si>
    <t>Domain</t>
  </si>
  <si>
    <t>Air</t>
  </si>
  <si>
    <t>Hover</t>
  </si>
  <si>
    <t>Sea</t>
  </si>
  <si>
    <t>UMove</t>
  </si>
  <si>
    <t>CMove</t>
  </si>
  <si>
    <t>MemSuffix</t>
  </si>
  <si>
    <t>Member</t>
  </si>
  <si>
    <t>Template</t>
  </si>
  <si>
    <t>Suffix</t>
  </si>
  <si>
    <t>Fallback</t>
  </si>
  <si>
    <t>Deliverator, coffee junkie</t>
  </si>
  <si>
    <t>native_rifleman</t>
  </si>
  <si>
    <t>S</t>
  </si>
  <si>
    <t>JED</t>
  </si>
  <si>
    <t>RED</t>
  </si>
  <si>
    <t>REDX</t>
  </si>
  <si>
    <t>FUG</t>
  </si>
  <si>
    <t>RUG</t>
  </si>
  <si>
    <t>SUG</t>
  </si>
  <si>
    <t>SUGL</t>
  </si>
  <si>
    <t>*=new auto-mated sheet is missing double- fallback regional units</t>
  </si>
  <si>
    <t>= E.U. only</t>
  </si>
  <si>
    <t>vs Ethnic Units v31</t>
  </si>
  <si>
    <t>[545 units, some duplicates]</t>
  </si>
  <si>
    <t>CS</t>
  </si>
  <si>
    <t>Artists</t>
  </si>
  <si>
    <t>Scale1</t>
  </si>
  <si>
    <t>Num1</t>
  </si>
  <si>
    <t>Form1</t>
  </si>
  <si>
    <t>Scale2</t>
  </si>
  <si>
    <t>Num2</t>
  </si>
  <si>
    <t>Form2</t>
  </si>
  <si>
    <t>Scale3</t>
  </si>
  <si>
    <t>Num3</t>
  </si>
  <si>
    <t>Form3</t>
  </si>
  <si>
    <t>Scale4</t>
  </si>
  <si>
    <t>Num4</t>
  </si>
  <si>
    <t>Form4</t>
  </si>
  <si>
    <t>Scale5</t>
  </si>
  <si>
    <t>Num5</t>
  </si>
  <si>
    <t>Form5</t>
  </si>
  <si>
    <t>Scale6</t>
  </si>
  <si>
    <t>Num6</t>
  </si>
  <si>
    <t>Form6</t>
  </si>
  <si>
    <t>Scale7</t>
  </si>
  <si>
    <t>Num7</t>
  </si>
  <si>
    <t>Form7</t>
  </si>
  <si>
    <t>Scale8</t>
  </si>
  <si>
    <t>Num8</t>
  </si>
  <si>
    <t>Form8</t>
  </si>
  <si>
    <t>Scale9</t>
  </si>
  <si>
    <t>Num9</t>
  </si>
  <si>
    <t>Form9</t>
  </si>
  <si>
    <t>Custom</t>
  </si>
  <si>
    <t>Custom2</t>
  </si>
  <si>
    <t>Template+Suffix</t>
  </si>
  <si>
    <t>Codes</t>
  </si>
  <si>
    <t>Fallback:</t>
  </si>
  <si>
    <t>Armored_Cavalry</t>
  </si>
  <si>
    <t>Scaling:</t>
  </si>
  <si>
    <t>egyption_warrior</t>
  </si>
  <si>
    <t>Islamic-Semitic_Warrior</t>
  </si>
  <si>
    <t>Islamic-Semitic_scout</t>
  </si>
  <si>
    <t>SAHUL</t>
  </si>
  <si>
    <t>Sahu_scout</t>
  </si>
  <si>
    <t>Oceanic_warrior</t>
  </si>
  <si>
    <t>Sahu_WARRIOR</t>
  </si>
  <si>
    <t>steppe_warrior</t>
  </si>
  <si>
    <t>Ninja_Japan</t>
  </si>
  <si>
    <t>Realism Invictus, zwei833</t>
  </si>
  <si>
    <t>danrell, zwei833</t>
  </si>
  <si>
    <t>RTW Europa Barbarorum, JTitan</t>
  </si>
  <si>
    <t>EthiopiaHorseman2</t>
  </si>
  <si>
    <t>moche_maceman</t>
  </si>
  <si>
    <t>chimu_general</t>
  </si>
  <si>
    <t>Varietas Delictat, hangman</t>
  </si>
  <si>
    <t>Chimu_Maceman</t>
  </si>
  <si>
    <t>caravan_andes</t>
  </si>
  <si>
    <t>india swordsman1</t>
  </si>
  <si>
    <t>india swordsman2</t>
  </si>
  <si>
    <t>india swordsman3</t>
  </si>
  <si>
    <t>india swordsman4</t>
  </si>
  <si>
    <t>india swordsman5</t>
  </si>
  <si>
    <t>india swordsman6</t>
  </si>
  <si>
    <t>chinese swordsman2</t>
  </si>
  <si>
    <t>civ5_monsm1</t>
  </si>
  <si>
    <t>egyption_scout</t>
  </si>
  <si>
    <t>Indian_scout</t>
  </si>
  <si>
    <t>zwei833</t>
  </si>
  <si>
    <t>Bakuel, zwei833</t>
  </si>
  <si>
    <t>chimu_pikeman</t>
  </si>
  <si>
    <t>chimu_archer</t>
  </si>
  <si>
    <t>chimu_scout</t>
  </si>
  <si>
    <t>chimu_axeman</t>
  </si>
  <si>
    <t>Bakuel, JTitan</t>
  </si>
  <si>
    <t>RTW Invasio Barbarorvm, JTitan</t>
  </si>
  <si>
    <t>Zhuge_Liang, JTitan</t>
  </si>
  <si>
    <t>Tone, JTitan</t>
  </si>
  <si>
    <t>Jarlaxe, JTitan</t>
  </si>
  <si>
    <t>Algaman, JTitan</t>
  </si>
  <si>
    <t>HebrewSwordsman</t>
  </si>
  <si>
    <t>Mods</t>
  </si>
  <si>
    <t>+</t>
  </si>
  <si>
    <t>?</t>
  </si>
  <si>
    <t>++</t>
  </si>
  <si>
    <t>=&gt;</t>
  </si>
  <si>
    <t>Num</t>
  </si>
  <si>
    <t>Scale</t>
  </si>
  <si>
    <t>Form</t>
  </si>
  <si>
    <t>Prefix</t>
  </si>
  <si>
    <t>BldgStyle</t>
  </si>
  <si>
    <t>AKKADIA</t>
  </si>
  <si>
    <t>ALBANIA</t>
  </si>
  <si>
    <t>ALGERIA</t>
  </si>
  <si>
    <t>ARMENIA</t>
  </si>
  <si>
    <t>AZERBAIJAN</t>
  </si>
  <si>
    <t>BERBER</t>
  </si>
  <si>
    <t>BOSNIA</t>
  </si>
  <si>
    <t>BULGARIA</t>
  </si>
  <si>
    <t>BULGARIA_LS_MOD</t>
  </si>
  <si>
    <t>CGF1_GH_GOLDENHORDE</t>
  </si>
  <si>
    <t>CHIMOR</t>
  </si>
  <si>
    <t>CHIMU_MOD</t>
  </si>
  <si>
    <t>CLINUIT</t>
  </si>
  <si>
    <t>CORDOBA</t>
  </si>
  <si>
    <t>CROATIA</t>
  </si>
  <si>
    <t>DURANNI_LS_MOD</t>
  </si>
  <si>
    <t>GE_SLAVS</t>
  </si>
  <si>
    <t>HAFEZ_SYRIA</t>
  </si>
  <si>
    <t>HARAPPAN</t>
  </si>
  <si>
    <t>HETMANATE_LS_MOD</t>
  </si>
  <si>
    <t>HITTITE_LS_MOD</t>
  </si>
  <si>
    <t>HUNGARY_LS_MOD</t>
  </si>
  <si>
    <t>INUIT</t>
  </si>
  <si>
    <t>IRAN</t>
  </si>
  <si>
    <t>ISRAEL</t>
  </si>
  <si>
    <t>ISRAEL_LS_MOD</t>
  </si>
  <si>
    <t>KAZAKH</t>
  </si>
  <si>
    <t>KDMBOSNIA</t>
  </si>
  <si>
    <t>KHAZARIA</t>
  </si>
  <si>
    <t>KUWAIT</t>
  </si>
  <si>
    <t>LATVIA</t>
  </si>
  <si>
    <t>LEUGI_PHILISTINE</t>
  </si>
  <si>
    <t>LIBYA</t>
  </si>
  <si>
    <t>LITHUANIA_LS_MOD</t>
  </si>
  <si>
    <t>MACEDONIA</t>
  </si>
  <si>
    <t>MAPUCHE</t>
  </si>
  <si>
    <t>MARATHA</t>
  </si>
  <si>
    <t>MAURYA</t>
  </si>
  <si>
    <t>MAURYA_LS_MOD</t>
  </si>
  <si>
    <t>MITANNI</t>
  </si>
  <si>
    <t>MOLDAVIA</t>
  </si>
  <si>
    <t>MONTENEGRO</t>
  </si>
  <si>
    <t>MUISCA</t>
  </si>
  <si>
    <t>NABATAEA</t>
  </si>
  <si>
    <t>NEPAL</t>
  </si>
  <si>
    <t>NEPAL_LS_MOD</t>
  </si>
  <si>
    <t>NUBIA</t>
  </si>
  <si>
    <t>NUMIDIA_LS_MOD</t>
  </si>
  <si>
    <t>OLMEC_LS_MOD</t>
  </si>
  <si>
    <t>PAKISTAN</t>
  </si>
  <si>
    <t>PAPUA</t>
  </si>
  <si>
    <t>PARTHIA</t>
  </si>
  <si>
    <t>PHOENICIA</t>
  </si>
  <si>
    <t>PHOENICIA_LS_MOD</t>
  </si>
  <si>
    <t>POLAND_LS_MOD</t>
  </si>
  <si>
    <t>RCUMANIA</t>
  </si>
  <si>
    <t>ROMANIA</t>
  </si>
  <si>
    <t>ROMANIA_LS_MOD</t>
  </si>
  <si>
    <t>SADAT_EGYPT</t>
  </si>
  <si>
    <t>SAMI</t>
  </si>
  <si>
    <t>SASANIAN</t>
  </si>
  <si>
    <t>SCYTHIA_LS_MOD</t>
  </si>
  <si>
    <t>SIBIR</t>
  </si>
  <si>
    <t>SIKH</t>
  </si>
  <si>
    <t>SRI_LANKA</t>
  </si>
  <si>
    <t>SWITZERLAND</t>
  </si>
  <si>
    <t>TAHITI_LS_MOD</t>
  </si>
  <si>
    <t>TCM_ALAN</t>
  </si>
  <si>
    <t>TIMURIDES</t>
  </si>
  <si>
    <t>TIMURIDS_LS_MOD</t>
  </si>
  <si>
    <t>UYGHUR</t>
  </si>
  <si>
    <t>VIJAYANAGAR</t>
  </si>
  <si>
    <t>WALLACHIA</t>
  </si>
  <si>
    <t>YAKUTIA</t>
  </si>
  <si>
    <t>YUPIK</t>
  </si>
  <si>
    <t>0</t>
  </si>
  <si>
    <t>EMBARKED UNITS</t>
  </si>
  <si>
    <t>CIVILIANS (No Era Changes)</t>
  </si>
  <si>
    <t>CIVILIANS (with Era Changes)</t>
  </si>
  <si>
    <t>Rules:</t>
  </si>
  <si>
    <t>CiV can only use maximum 32 total individuals per unit</t>
  </si>
  <si>
    <r>
      <t>expansion</t>
    </r>
    <r>
      <rPr>
        <sz val="11"/>
        <color theme="1"/>
        <rFont val="Calibri"/>
        <family val="2"/>
        <scheme val="minor"/>
      </rPr>
      <t xml:space="preserve"> (DLC/G+K/BNW)</t>
    </r>
  </si>
  <si>
    <r>
      <rPr>
        <sz val="10"/>
        <color theme="9" tint="-0.249977111117893"/>
        <rFont val="Calibri"/>
        <family val="2"/>
        <scheme val="minor"/>
      </rPr>
      <t>Levant CS's, Vatican City</t>
    </r>
    <r>
      <rPr>
        <sz val="11"/>
        <color theme="1"/>
        <rFont val="Calibri"/>
        <family val="2"/>
        <scheme val="minor"/>
      </rPr>
      <t xml:space="preserve"> [Germany former UU]</t>
    </r>
  </si>
  <si>
    <r>
      <t>Antwerp/</t>
    </r>
    <r>
      <rPr>
        <sz val="10"/>
        <color theme="9" tint="-0.249977111117893"/>
        <rFont val="Calibri"/>
        <family val="2"/>
        <scheme val="minor"/>
      </rPr>
      <t>Brussels</t>
    </r>
    <r>
      <rPr>
        <sz val="11"/>
        <color theme="1"/>
        <rFont val="Calibri"/>
        <family val="2"/>
        <scheme val="minor"/>
      </rPr>
      <t>/Mogadishu</t>
    </r>
  </si>
  <si>
    <t>Mod</t>
  </si>
  <si>
    <t>COPENHAGEN</t>
  </si>
  <si>
    <t>Don't leave blank lines between unit rows</t>
  </si>
  <si>
    <t>Ansaldo_SVA-5_tc</t>
  </si>
  <si>
    <t>danrell, Nutty</t>
  </si>
  <si>
    <t>Nieuport_17_tc</t>
  </si>
  <si>
    <t>Pelayo_bb</t>
  </si>
  <si>
    <t>Potemkin_BB</t>
  </si>
  <si>
    <t>re_umberto_bb</t>
  </si>
  <si>
    <t>Braunschweig_BB</t>
  </si>
  <si>
    <t>Republique_BB</t>
  </si>
  <si>
    <t>Majestic_BB</t>
  </si>
  <si>
    <t>erzherzog_karl_bb</t>
  </si>
  <si>
    <t>Connecticut_BB</t>
  </si>
  <si>
    <t>Mikasa_BB</t>
  </si>
  <si>
    <t>???</t>
  </si>
  <si>
    <t>Shokaku_Class</t>
  </si>
  <si>
    <t>kirov</t>
  </si>
  <si>
    <t>GeneralMatt</t>
  </si>
  <si>
    <t>MiG29Soviet</t>
  </si>
  <si>
    <t>MiG29Ukraine</t>
  </si>
  <si>
    <t>Ethnic Units</t>
  </si>
  <si>
    <t>Deliverator, Total Realism</t>
  </si>
  <si>
    <t>GeneralMatt, Adv. Naval, Tomahawk.nsk</t>
  </si>
  <si>
    <t>JTitan, Civ4</t>
  </si>
  <si>
    <t>Mi8Ukraine</t>
  </si>
  <si>
    <t>Mi8Russia</t>
  </si>
  <si>
    <t>RussianSF</t>
  </si>
  <si>
    <t>EuropeanSF</t>
  </si>
  <si>
    <t>battle_galley</t>
  </si>
  <si>
    <t>Barathor</t>
  </si>
  <si>
    <t>Streltsy_Green_Coat</t>
  </si>
  <si>
    <t>Bakuel, Wolfdog, Tomahawk.nsk</t>
  </si>
  <si>
    <t>Streltsy_green_cap</t>
  </si>
  <si>
    <t>Streltsy_blue_cap</t>
  </si>
  <si>
    <t>Swordsman_Turkey_2</t>
  </si>
  <si>
    <t>cogge</t>
  </si>
  <si>
    <t>EE2, Deliverator, W.Hawkwood, Refar</t>
  </si>
  <si>
    <t>Knight_Saxony</t>
  </si>
  <si>
    <t>zwei833, danrell, Realism Invictus</t>
  </si>
  <si>
    <t>SonghaiMedSpearman</t>
  </si>
  <si>
    <t>SonghaiPikeman2</t>
  </si>
  <si>
    <t>SonghaiLongbowman</t>
  </si>
  <si>
    <t>SonghaiChariotArcher</t>
  </si>
  <si>
    <t>SonghaiLongsword</t>
  </si>
  <si>
    <t>SonghaiLongsword2</t>
  </si>
  <si>
    <t>SonghaiCompbow</t>
  </si>
  <si>
    <t>SonghaiArcher</t>
  </si>
  <si>
    <t>SonghaiMedHorseman</t>
  </si>
  <si>
    <t>EraVar</t>
  </si>
  <si>
    <t>1</t>
  </si>
  <si>
    <t>danrell, Deliverator</t>
  </si>
  <si>
    <t>MISSIONARY_RENAISSANCE</t>
  </si>
  <si>
    <t>Firaxis (Civ4Col), Wolfdog</t>
  </si>
  <si>
    <t>Preacher</t>
  </si>
  <si>
    <t>Elder_Statesman</t>
  </si>
  <si>
    <t>MasterWeaverNoShears</t>
  </si>
  <si>
    <t>carrack_rus</t>
  </si>
  <si>
    <t>carrack_eng</t>
  </si>
  <si>
    <t>carrack_fra</t>
  </si>
  <si>
    <t>carrack_alg</t>
  </si>
  <si>
    <t>carrack_ott</t>
  </si>
  <si>
    <t>carrack_swe</t>
  </si>
  <si>
    <t>carrack_ita</t>
  </si>
  <si>
    <t>Walter Harkwood, Wolfdog</t>
  </si>
  <si>
    <t>CIV5_Nedsc</t>
  </si>
  <si>
    <t>SonghaiHorseman</t>
  </si>
  <si>
    <t>EE_LINE_INFANTRY</t>
  </si>
  <si>
    <t>civ5_genmm2</t>
  </si>
  <si>
    <t>civ5_genmm3</t>
  </si>
  <si>
    <t>civ5_genmm1</t>
  </si>
  <si>
    <t>civ5_ausmm1</t>
  </si>
  <si>
    <t>civ5_danmm1</t>
  </si>
  <si>
    <t>civ5_ausmm2</t>
  </si>
  <si>
    <t>civ5_ausmm3</t>
  </si>
  <si>
    <t>civ5_engmm1</t>
  </si>
  <si>
    <t>civ5_fremm1</t>
  </si>
  <si>
    <t>civ5_prumm1</t>
  </si>
  <si>
    <t>civ5_dutmm1</t>
  </si>
  <si>
    <t>civ5_rusmm1</t>
  </si>
  <si>
    <t>civ5_spamm1</t>
  </si>
  <si>
    <t>civ5_rusmm2</t>
  </si>
  <si>
    <t>civ5_rusmm3</t>
  </si>
  <si>
    <t>civ5_dutmm2</t>
  </si>
  <si>
    <t>civ5_dutmm3</t>
  </si>
  <si>
    <t>civ5_prumm2</t>
  </si>
  <si>
    <t>civ5_prumm3</t>
  </si>
  <si>
    <t>civ5_fremm2</t>
  </si>
  <si>
    <t>civ5_fremm3</t>
  </si>
  <si>
    <t>civ5_engmm2</t>
  </si>
  <si>
    <t>civ5_engmm3</t>
  </si>
  <si>
    <t>NORTHAF</t>
  </si>
  <si>
    <t>NorthAf</t>
  </si>
  <si>
    <t>N. Africa</t>
  </si>
  <si>
    <t>Polish_Chosen</t>
  </si>
  <si>
    <t>zwei833, Wolfdog</t>
  </si>
  <si>
    <t>rom_general_d</t>
  </si>
  <si>
    <t>CAMEL</t>
  </si>
  <si>
    <t>LLAMA</t>
  </si>
  <si>
    <t>DONKEY</t>
  </si>
  <si>
    <t>Character limit: ~34 for fxsxml, ~40 for member/memsuffix</t>
  </si>
  <si>
    <t>EE_Line_Infantry</t>
  </si>
  <si>
    <t>Unit</t>
  </si>
  <si>
    <t>StartEra</t>
  </si>
  <si>
    <t>Embark</t>
  </si>
  <si>
    <t>Cargo_Ship_RENAISSANCE</t>
  </si>
  <si>
    <t>_Worker_LATE</t>
  </si>
  <si>
    <t>Artist_LATE</t>
  </si>
  <si>
    <t>Engineer_LATE</t>
  </si>
  <si>
    <t>General_LATE</t>
  </si>
  <si>
    <t>Great_Admiral_LATE</t>
  </si>
  <si>
    <t>Merchant_LATE</t>
  </si>
  <si>
    <t>Scientist_LATE</t>
  </si>
  <si>
    <t>Workboat_LATE</t>
  </si>
  <si>
    <t>_Settler_AFRI</t>
  </si>
  <si>
    <t>_Settler_AMER</t>
  </si>
  <si>
    <t>_Settler_ASIA</t>
  </si>
  <si>
    <t xml:space="preserve"> Suffix</t>
  </si>
  <si>
    <t xml:space="preserve"> fxsxml</t>
  </si>
  <si>
    <t>OX</t>
  </si>
  <si>
    <t>F1</t>
  </si>
  <si>
    <t>F2</t>
  </si>
  <si>
    <t>F3</t>
  </si>
  <si>
    <t>F4</t>
  </si>
  <si>
    <t>M1</t>
  </si>
  <si>
    <t>M2</t>
  </si>
  <si>
    <t>M3</t>
  </si>
  <si>
    <t>V2</t>
  </si>
  <si>
    <t>V4</t>
  </si>
  <si>
    <t>V3</t>
  </si>
  <si>
    <t>FLUTE</t>
  </si>
  <si>
    <t>TAMBOURINE</t>
  </si>
  <si>
    <t>BAGPIPER</t>
  </si>
  <si>
    <t>BIGDRUMMER</t>
  </si>
  <si>
    <t>DRUMMER</t>
  </si>
  <si>
    <t>V1</t>
  </si>
  <si>
    <t>FEMALE</t>
  </si>
  <si>
    <t>MALE</t>
  </si>
  <si>
    <t>V5</t>
  </si>
  <si>
    <t>V6</t>
  </si>
  <si>
    <t>V7</t>
  </si>
  <si>
    <t>PIQUERO</t>
  </si>
  <si>
    <t>CAMEL_V1</t>
  </si>
  <si>
    <t>CAMEL_V2</t>
  </si>
  <si>
    <t>carrack</t>
  </si>
  <si>
    <t>EE_SKIRMISHER</t>
  </si>
  <si>
    <t>95thRifles</t>
  </si>
  <si>
    <t>bernie14, Nutty</t>
  </si>
  <si>
    <t>EE_FIELD_GUN</t>
  </si>
  <si>
    <t>RHA_Cannon</t>
  </si>
  <si>
    <t>u_mexican_rurales</t>
  </si>
  <si>
    <t>bernie14, Leugi</t>
  </si>
  <si>
    <t>bandeirante_1</t>
  </si>
  <si>
    <t>Deliverator, Wodhann</t>
  </si>
  <si>
    <t>bandeirante_2</t>
  </si>
  <si>
    <t>bandeirante_3</t>
  </si>
  <si>
    <t>EE_CUIRASSIER</t>
  </si>
  <si>
    <t>bernie14, zwei833</t>
  </si>
  <si>
    <t>ca_sw1</t>
  </si>
  <si>
    <t>01</t>
  </si>
  <si>
    <t>02</t>
  </si>
  <si>
    <t>WORKER</t>
  </si>
  <si>
    <t>worker_andes</t>
  </si>
  <si>
    <t>CIV5Nedwo</t>
  </si>
  <si>
    <t>WORKER_LATE</t>
  </si>
  <si>
    <t>SAVAGE</t>
  </si>
  <si>
    <t>PrimitiveArcher</t>
  </si>
  <si>
    <t>Autochthon</t>
  </si>
  <si>
    <t>Caveman</t>
  </si>
  <si>
    <t>Explorer</t>
  </si>
  <si>
    <t>Savage</t>
  </si>
  <si>
    <t>Shaman</t>
  </si>
  <si>
    <t>SA_EthiopiaAxe</t>
  </si>
  <si>
    <t>SA_EthiopiaClub</t>
  </si>
  <si>
    <t>SA_SonghaiAxe</t>
  </si>
  <si>
    <t>SonghaiSwordsman</t>
  </si>
  <si>
    <t>SonghaiSwordsman2</t>
  </si>
  <si>
    <t>worker_buddhist</t>
  </si>
  <si>
    <t>danrell, Bakuel</t>
  </si>
  <si>
    <t>russian_knight</t>
  </si>
  <si>
    <t>civ5_russm1</t>
  </si>
  <si>
    <t>EE_Skirmisher</t>
  </si>
  <si>
    <t>EE_Field_Gun</t>
  </si>
  <si>
    <t>EE_Cuirassier</t>
  </si>
  <si>
    <t>EE_Carrack</t>
  </si>
  <si>
    <t>Primitive_Archer</t>
  </si>
  <si>
    <t>Enlightenment Era</t>
  </si>
  <si>
    <t>EE_Cruiser</t>
  </si>
  <si>
    <t>EE_Explorer</t>
  </si>
  <si>
    <t>EE_First_Rate</t>
  </si>
  <si>
    <t>EE_Galleon</t>
  </si>
  <si>
    <t>EE_Ship_of_the_Line</t>
  </si>
  <si>
    <t>EE_Surveyor</t>
  </si>
  <si>
    <t>EE_Uhlan</t>
  </si>
  <si>
    <t>SupplyTrain</t>
  </si>
  <si>
    <t xml:space="preserve"> Fallback</t>
  </si>
  <si>
    <t>SonghaiMedSwordsman</t>
  </si>
  <si>
    <t>SonghaiMedSwordsman2</t>
  </si>
  <si>
    <t>LONGSWORDSMAN_AFRI</t>
  </si>
  <si>
    <t>HorseArcher_Mongol</t>
  </si>
  <si>
    <t>Paratrooper_Generic_MG_v2</t>
  </si>
  <si>
    <t>Paratrooper_Generic_MG_v3</t>
  </si>
  <si>
    <t>Paratrooper_Generic_v2</t>
  </si>
  <si>
    <t>Paratrooper_Generic_v3</t>
  </si>
  <si>
    <t>civ5_nedwa1_tc</t>
  </si>
  <si>
    <t>Patum333, Nutty</t>
  </si>
  <si>
    <t>INQUISITOR_RENAISSANCE</t>
  </si>
  <si>
    <t>GREAT_PROPHET_RENAISSANCE</t>
  </si>
  <si>
    <t>CAVEMAN_AFRI</t>
  </si>
  <si>
    <t>CAVEMAN_NORTHAF</t>
  </si>
  <si>
    <t>CAVEMAN_NORTHEU</t>
  </si>
  <si>
    <t>SAVAGE_AFRI</t>
  </si>
  <si>
    <t>SAVAGE_CELTS</t>
  </si>
  <si>
    <t>SAVAGE_NORTHEU</t>
  </si>
  <si>
    <t>SAVAGE_NORTHAF</t>
  </si>
  <si>
    <t>EE_CARRACK_OTTOMAN</t>
  </si>
  <si>
    <t>EE_CARRACK_RUSSIA</t>
  </si>
  <si>
    <t>EE_CARRACK_ENGLAND</t>
  </si>
  <si>
    <t>EE_CARRACK_FRANCE</t>
  </si>
  <si>
    <t>EE_CARRACK_ROME</t>
  </si>
  <si>
    <t>EE_CARRACK_NORTHAF</t>
  </si>
  <si>
    <t>EE_CARRACK_SWEDEN</t>
  </si>
  <si>
    <t>EE_FIELD_GUN_ENGLAND</t>
  </si>
  <si>
    <t>EE_LINE_INFANTRY_AUSTRIA</t>
  </si>
  <si>
    <t>EE_LINE_INFANTRY_DENMARK</t>
  </si>
  <si>
    <t>EE_LINE_INFANTRY_ENGLAND</t>
  </si>
  <si>
    <t>EE_LINE_INFANTRY_FRANCE</t>
  </si>
  <si>
    <t>EE_LINE_INFANTRY_GERMANY</t>
  </si>
  <si>
    <t>EE_LINE_INFANTRY_NETHERLANDS</t>
  </si>
  <si>
    <t>EE_LINE_INFANTRY_RUSSIA</t>
  </si>
  <si>
    <t>EE_LINE_INFANTRY_SPAIN</t>
  </si>
  <si>
    <t>EE_LINE_INFANTRY_WITTENBERG</t>
  </si>
  <si>
    <t>EE_SKIRMISHER_MED</t>
  </si>
  <si>
    <t>EE_SKIRMISHER_SOUTHAM</t>
  </si>
  <si>
    <t>SwedenWarrior(2)</t>
  </si>
  <si>
    <t>SonghaiSwordsman(2)</t>
  </si>
  <si>
    <t>civ5_genmm1(-3)</t>
  </si>
  <si>
    <t>civ5_ausmm1(-3)</t>
  </si>
  <si>
    <t>civ5_engmm1(-3)</t>
  </si>
  <si>
    <t>civ5_fremm1(-3)</t>
  </si>
  <si>
    <t>civ5_prumm1(-3)</t>
  </si>
  <si>
    <t>civ5_dutmm1(-3)</t>
  </si>
  <si>
    <t>civ5_rusmm1(-3)</t>
  </si>
  <si>
    <t>bandeirante_1(-3)</t>
  </si>
  <si>
    <t>2hswordsman_black</t>
  </si>
  <si>
    <t>cuirassier</t>
  </si>
  <si>
    <t>Rodeleros</t>
  </si>
  <si>
    <t>free_company_poleaxe</t>
  </si>
  <si>
    <t>free_company</t>
  </si>
  <si>
    <t>shipoftheline</t>
  </si>
  <si>
    <t>2</t>
  </si>
  <si>
    <t>3</t>
  </si>
  <si>
    <t>4</t>
  </si>
  <si>
    <t>conquistador_musket_1</t>
  </si>
  <si>
    <t>conquistador_musket_2</t>
  </si>
  <si>
    <t>conquistador_musket_3</t>
  </si>
  <si>
    <t>conquistador_musket_4</t>
  </si>
  <si>
    <t>cruiser</t>
  </si>
  <si>
    <t>battle_priest_tc</t>
  </si>
  <si>
    <t>CAVEMAN_CENTAS</t>
  </si>
  <si>
    <t>Texture issues:</t>
  </si>
  <si>
    <t>polish_knight</t>
  </si>
  <si>
    <t>POLAN D</t>
  </si>
  <si>
    <t>Mesopotamic_warrior_tc</t>
  </si>
  <si>
    <t>LONGSWORDSMAN_KOREA</t>
  </si>
  <si>
    <t>rake shadow</t>
  </si>
  <si>
    <t>rake shadow (lots of danrell's longswordsmen have this issue)</t>
  </si>
  <si>
    <t>Size Issues:</t>
  </si>
  <si>
    <t>RIFLEMAN_AFRI</t>
  </si>
  <si>
    <t>Unit Formations:</t>
  </si>
  <si>
    <t>Unit Choices:</t>
  </si>
  <si>
    <t>Causes crash! :</t>
  </si>
  <si>
    <t>LONGSWORDSMAN_EGYPT</t>
  </si>
  <si>
    <t>LONGSWORDSMAN_ROME</t>
  </si>
  <si>
    <t>LONGSWORDSMAN_ENGLAND</t>
  </si>
  <si>
    <t>LONGSWORDSMAN_ARABIA</t>
  </si>
  <si>
    <t>LONGSWORDSMAN_CHINA</t>
  </si>
  <si>
    <t>LONGSWORDSMAN_GREECE</t>
  </si>
  <si>
    <t>GREAT_GENERAL_ROME</t>
  </si>
  <si>
    <t>LONGSWORDSMAN_AMERICA</t>
  </si>
  <si>
    <t>Longswordsman_America</t>
  </si>
  <si>
    <t>WORKER_LATE_NETHERLANDS</t>
  </si>
  <si>
    <t>WORKER_ASIA</t>
  </si>
  <si>
    <t>WORKER_SOUTHAM</t>
  </si>
  <si>
    <t>CARAVAN_EURO</t>
  </si>
  <si>
    <t>Do more shifting of "stone age" units to Prehistoric Era mod?</t>
  </si>
  <si>
    <t>babrm4 &amp; 6</t>
  </si>
  <si>
    <t>carracks (various), cogge</t>
  </si>
  <si>
    <t>WhippetMkABritish</t>
  </si>
  <si>
    <t>CANADA</t>
  </si>
  <si>
    <t>Ram_MK_II</t>
  </si>
  <si>
    <t>MarkIVCanada</t>
  </si>
  <si>
    <t>AvroArrow</t>
  </si>
  <si>
    <t>Wolfdog, GeneralMatt</t>
  </si>
  <si>
    <t>A7V_2</t>
  </si>
  <si>
    <t>ANZAC</t>
  </si>
  <si>
    <t>ANZAC_Desert</t>
  </si>
  <si>
    <t>ANZAC.303_desert</t>
  </si>
  <si>
    <t>ANZAC.303</t>
  </si>
  <si>
    <t>FV510Warrior</t>
  </si>
  <si>
    <t>draken</t>
  </si>
  <si>
    <t>dutchking, danrell, Wolfdog</t>
  </si>
  <si>
    <t>French155mm</t>
  </si>
  <si>
    <t>Snafusmith, bernie14, Wolfdog</t>
  </si>
  <si>
    <t>HanriotHD1</t>
  </si>
  <si>
    <t>Snafusmith</t>
  </si>
  <si>
    <t>HalberstadtDII</t>
  </si>
  <si>
    <t>ShortBomber</t>
  </si>
  <si>
    <t>MarkIV</t>
  </si>
  <si>
    <t>FordM1918</t>
  </si>
  <si>
    <t>CL_KULIN</t>
  </si>
  <si>
    <t>VIETNAM</t>
  </si>
  <si>
    <t>VIETNAM_LS_MOD</t>
  </si>
  <si>
    <t>NEWZEALAND</t>
  </si>
  <si>
    <t>AUSTRALIA_LS_MOD</t>
  </si>
  <si>
    <t>CL_AUSTRALIA</t>
  </si>
  <si>
    <t>COLONIALCANADA</t>
  </si>
  <si>
    <t>JFD_PHILIPPINES</t>
  </si>
  <si>
    <t>SETTLER</t>
  </si>
  <si>
    <t>ARTILLERY_FRANCE</t>
  </si>
  <si>
    <t>CACBoomerang</t>
  </si>
  <si>
    <t>TCM_VISIGOTH</t>
  </si>
  <si>
    <t>TCM_OSTROGOTH</t>
  </si>
  <si>
    <t>VISIGOTHS_MOD</t>
  </si>
  <si>
    <t>GOTHS</t>
  </si>
  <si>
    <t>GOTHS_LS_MOD</t>
  </si>
  <si>
    <t>FLANDERS_LS_MOD</t>
  </si>
  <si>
    <t>GENOA_LS_MOD</t>
  </si>
  <si>
    <t>JFD_USSR_STALIN</t>
  </si>
  <si>
    <t>FINLAND</t>
  </si>
  <si>
    <t>JFD_GERMANS</t>
  </si>
  <si>
    <t>[BNW] Colonialist Legacies - Canadian Dominion</t>
  </si>
  <si>
    <t>[BNW] LS Civilization Set VIII</t>
  </si>
  <si>
    <t>ModName</t>
  </si>
  <si>
    <t>[BNW] LS Civilization Set IX</t>
  </si>
  <si>
    <t>[BNW] LS Civilization Set X</t>
  </si>
  <si>
    <t>ModAuthor</t>
  </si>
  <si>
    <t>TPangolin</t>
  </si>
  <si>
    <t>LastSword</t>
  </si>
  <si>
    <t>[BNW] LS Civilization Set III</t>
  </si>
  <si>
    <t>TIMURIDS_MOD</t>
  </si>
  <si>
    <t>The Timurids (Brave New World)</t>
  </si>
  <si>
    <t>Tomatekh</t>
  </si>
  <si>
    <t>JFD</t>
  </si>
  <si>
    <t>Leugi</t>
  </si>
  <si>
    <t>[BNW] LS Civilization Set XI</t>
  </si>
  <si>
    <t>[BNW] Colonialist Legacies - Kulin</t>
  </si>
  <si>
    <t>[BNW] Colonialist Legacies - Vietnam</t>
  </si>
  <si>
    <t>[BNW] LS Civilization Set XIII</t>
  </si>
  <si>
    <t>[BNW] LS Civilization Set XIV</t>
  </si>
  <si>
    <t>Poland is Love and Life</t>
  </si>
  <si>
    <t>[BNW] LS Civilization Set V</t>
  </si>
  <si>
    <t>[BNW] LS Civilization Set VII</t>
  </si>
  <si>
    <t>[BNW] LS Civilization Set IV</t>
  </si>
  <si>
    <t>[BNW] LS Civilization Set VI</t>
  </si>
  <si>
    <t>[BNW] LS Civilization Set I</t>
  </si>
  <si>
    <t>[BNW] LS Civilization Set XII</t>
  </si>
  <si>
    <t>[BNW] LS Civilization Set ???</t>
  </si>
  <si>
    <t>WARRIOR_NETHERLANDS</t>
  </si>
  <si>
    <t>LONGSWORDSMAN_BYZANTIUM</t>
  </si>
  <si>
    <t>LANDSHIP_GERMANY</t>
  </si>
  <si>
    <t>SWORDSMAN_PERSIA</t>
  </si>
  <si>
    <t>LONGSWORDSMAN_PERSIA</t>
  </si>
  <si>
    <t>OK</t>
  </si>
  <si>
    <t>_WARRIOR_SWEDEN</t>
  </si>
  <si>
    <t>Pouakai</t>
  </si>
  <si>
    <t>carloscodex, Novu</t>
  </si>
  <si>
    <t>Prehistoric Era, P.E. Reborn</t>
  </si>
  <si>
    <t>Invisible:</t>
  </si>
  <si>
    <t>Mod support units:</t>
  </si>
  <si>
    <t>Era Diversity units:</t>
  </si>
  <si>
    <t>fixd?</t>
  </si>
  <si>
    <t>SQL Creation  Issues:</t>
  </si>
  <si>
    <t>Issue where some NumMember entries aren't coming through properly (they're assumed 1), workaround by hardcoding a few values</t>
  </si>
  <si>
    <t>…etc.</t>
  </si>
  <si>
    <t>Other Model Issues:</t>
  </si>
  <si>
    <t>removed and swapped out</t>
  </si>
  <si>
    <t>issue/resolution</t>
  </si>
  <si>
    <t>artdef type</t>
  </si>
  <si>
    <t>*</t>
  </si>
  <si>
    <t>Disabled era diversity for religious units for the moment (only affects generic missionary)</t>
  </si>
  <si>
    <t>Jet Fighters?</t>
  </si>
  <si>
    <t>Riflemen?</t>
  </si>
  <si>
    <t>WW1 Infantry?</t>
  </si>
  <si>
    <t>Ironclads?</t>
  </si>
  <si>
    <t>WW1_BOMBER_ENGLAND</t>
  </si>
  <si>
    <t>_WARRIOR_POLYNESIA</t>
  </si>
  <si>
    <t>Polynesian settlers still have llamas</t>
  </si>
  <si>
    <t>wontfix</t>
  </si>
  <si>
    <t>fixed</t>
  </si>
  <si>
    <t>removed</t>
  </si>
  <si>
    <t>invisible</t>
  </si>
  <si>
    <t>Do NOT rename sheets or reorder columns (including inserting new columns between existing columns)</t>
  </si>
  <si>
    <t>Leave at least one MemSuffix blank per unit for default inheritance (though Num can be 0)</t>
  </si>
  <si>
    <t>BARBARIAN_WARRIOR</t>
  </si>
  <si>
    <t>BAZOOKA</t>
  </si>
  <si>
    <t>SWORDSMAN_CHINA</t>
  </si>
  <si>
    <t>GREAT_GENERAL</t>
  </si>
  <si>
    <t>MUSICIAN</t>
  </si>
  <si>
    <t>PROPHET</t>
  </si>
  <si>
    <t>WRITER</t>
  </si>
  <si>
    <t>ZULU_IMPI</t>
  </si>
  <si>
    <t>BARBARIAN_AXMAN</t>
  </si>
  <si>
    <t>MACHINE_GUN</t>
  </si>
  <si>
    <t>SS_COCKPIT</t>
  </si>
  <si>
    <t>AMERICAN_B17</t>
  </si>
  <si>
    <t>AMERICAN_MINUTEMAN</t>
  </si>
  <si>
    <t>ARABIAN_CAMELARCHER</t>
  </si>
  <si>
    <t>ASSYRIAN_SIEGE_TOWER</t>
  </si>
  <si>
    <t>AUSTRIAN_HUSSAR</t>
  </si>
  <si>
    <t>AZTEC_JAGUAR</t>
  </si>
  <si>
    <t>BABYLONIAN_BOWMAN</t>
  </si>
  <si>
    <t>CELT_PICTISH_WARRIOR</t>
  </si>
  <si>
    <t>CHINESE_CHUKONU</t>
  </si>
  <si>
    <t>DANISH_BERSERKER</t>
  </si>
  <si>
    <t>DANISH_SKI_INFANTRY</t>
  </si>
  <si>
    <t>EGYPTIAN_WARCHARIOT</t>
  </si>
  <si>
    <t>ENGLISH_LONGBOWMAN</t>
  </si>
  <si>
    <t>ENGLISH_SHIPOFTHELINE</t>
  </si>
  <si>
    <t>FRENCH_FOREIGNLEGION</t>
  </si>
  <si>
    <t>FRENCH_MUSKETEER</t>
  </si>
  <si>
    <t>GERMAN_LANDSKNECHT</t>
  </si>
  <si>
    <t>GERMAN_PANZER</t>
  </si>
  <si>
    <t>GREEK_COMPANIONCAVALRY</t>
  </si>
  <si>
    <t>GREEK_HOPLITE</t>
  </si>
  <si>
    <t>INCAN_SLINGER</t>
  </si>
  <si>
    <t>INDIAN_WARELEPHANT</t>
  </si>
  <si>
    <t>IROQUOIAN_MOHAWKWARRIOR</t>
  </si>
  <si>
    <t>JAPANESE_SAMURAI</t>
  </si>
  <si>
    <t>JAPANESE_ZERO</t>
  </si>
  <si>
    <t>KOREAN_HWACHA</t>
  </si>
  <si>
    <t>MAYAN_ATLALIST</t>
  </si>
  <si>
    <t>MONGOLIAN_KESHIK</t>
  </si>
  <si>
    <t>OTTOMAN_JANISSARY</t>
  </si>
  <si>
    <t>OTTOMAN_SIPAHI</t>
  </si>
  <si>
    <t>PERSIAN_IMMORTAL</t>
  </si>
  <si>
    <t>POLISH_WINGED_HUSSAR</t>
  </si>
  <si>
    <t>POLYNESIAN_MAORI_WARRIOR</t>
  </si>
  <si>
    <t>ROMAN_BALLISTA</t>
  </si>
  <si>
    <t>ROMAN_LEGION</t>
  </si>
  <si>
    <t>RUSSIAN_COSSACK</t>
  </si>
  <si>
    <t>SHOSHONE_COMANCHE_RIDERS</t>
  </si>
  <si>
    <t>SHOSHONE_PATHFINDER</t>
  </si>
  <si>
    <t>SIAMESE_WARELEPHANT</t>
  </si>
  <si>
    <t>SONGHAI_MUSLIMCAVALRY</t>
  </si>
  <si>
    <t>SPANISH_CONQUISTADOR</t>
  </si>
  <si>
    <t>SPANISH_TERCIO</t>
  </si>
  <si>
    <t>SWEDISH_CAROLEAN</t>
  </si>
  <si>
    <t>VENETIAN_GALLEASS</t>
  </si>
  <si>
    <t>VENETIAN_MERCHANT</t>
  </si>
  <si>
    <t>BRAZILIAN_PRACINHA</t>
  </si>
  <si>
    <t>BYZANTINE_CATAPHRACT</t>
  </si>
  <si>
    <t>BYZANTINE_DROMON</t>
  </si>
  <si>
    <t>CARTHAGINIAN_FOREST_ELEPHANT</t>
  </si>
  <si>
    <t>CARTHAGINIAN_QUINQUEREME</t>
  </si>
  <si>
    <t>DUTCH_SEA_BEGGAR</t>
  </si>
  <si>
    <t>ETHIOPIAN_MEHAL_SEFARI</t>
  </si>
  <si>
    <t>HUN_BATTERING_RAM</t>
  </si>
  <si>
    <t>HUN_HORSE_ARCHER</t>
  </si>
  <si>
    <t>KRIS_SWORDSMAN</t>
  </si>
  <si>
    <t>KOREAN_TURTLE_SHIP</t>
  </si>
  <si>
    <t>MONGOLIAN_KHAN</t>
  </si>
  <si>
    <t>BERBER_CAVALRY</t>
  </si>
  <si>
    <t>PORTUGUESE_NAU</t>
  </si>
  <si>
    <t>SWEDISH_HAKKAPELIITTA</t>
  </si>
  <si>
    <t>WWI_TANK</t>
  </si>
  <si>
    <t>WWI_BOMBER</t>
  </si>
  <si>
    <t>TRIPLANE</t>
  </si>
  <si>
    <t>GREAT_WAR_INFANTRY</t>
  </si>
  <si>
    <t>At the moment, only 2 "levels" of fallback from Style List supported (Fallback should be a basic suffix)</t>
  </si>
  <si>
    <t>If "400" error occurs, just try again</t>
  </si>
  <si>
    <t>Issue with mixed unit formations (e.g., Tercio musketmen+pikemen) in ArtDefine_CombatWeapons</t>
  </si>
  <si>
    <t>CARGO_SHIP_RENAISSANCE_POSTMODERN</t>
  </si>
  <si>
    <t>WW2_Infantry</t>
  </si>
  <si>
    <t>Levant CS's, Prague, Vatican City, [NB: scenario unit Huscarl]</t>
  </si>
  <si>
    <t>Free Company</t>
  </si>
  <si>
    <t>Reiter</t>
  </si>
  <si>
    <t>2Hander</t>
  </si>
  <si>
    <t>Cargo_Ship_POSTMODERN</t>
  </si>
  <si>
    <t>Caravan_POSTMODERN</t>
  </si>
  <si>
    <t>Great_Artist_POSTMODERN</t>
  </si>
  <si>
    <t>Great_Musician_POSTMODERN</t>
  </si>
  <si>
    <t>Great_Writer_POSTMODERN</t>
  </si>
  <si>
    <r>
      <rPr>
        <sz val="11"/>
        <color theme="1"/>
        <rFont val="Calibri"/>
        <family val="2"/>
        <scheme val="minor"/>
      </rPr>
      <t>= ethnic unit
= unique unit
= regional ethnic unit
= not applicable</t>
    </r>
  </si>
  <si>
    <r>
      <t xml:space="preserve">X
</t>
    </r>
    <r>
      <rPr>
        <b/>
        <sz val="10"/>
        <color rgb="FFFF0000"/>
        <rFont val="Calibri"/>
        <family val="2"/>
        <scheme val="minor"/>
      </rPr>
      <t>x</t>
    </r>
    <r>
      <rPr>
        <b/>
        <sz val="10"/>
        <rFont val="Calibri"/>
        <family val="2"/>
        <scheme val="minor"/>
      </rPr>
      <t xml:space="preserve">
+</t>
    </r>
    <r>
      <rPr>
        <b/>
        <sz val="10"/>
        <color rgb="FF00B0F0"/>
        <rFont val="Calibri"/>
        <family val="2"/>
        <scheme val="minor"/>
      </rPr>
      <t xml:space="preserve">
</t>
    </r>
    <r>
      <rPr>
        <b/>
        <sz val="10"/>
        <color theme="0" tint="-0.249977111117893"/>
        <rFont val="Calibri"/>
        <family val="2"/>
        <scheme val="minor"/>
      </rPr>
      <t>x</t>
    </r>
  </si>
  <si>
    <t>2hswordsman_India</t>
  </si>
  <si>
    <t>2hswordsman_denmark</t>
  </si>
  <si>
    <t>2hswordsman_Sweden</t>
  </si>
  <si>
    <t>WarGalleonDanish</t>
  </si>
  <si>
    <t>WarGalleonSpanish</t>
  </si>
  <si>
    <t>WarGalleonSwedish</t>
  </si>
  <si>
    <t>WarGalleonViking</t>
  </si>
  <si>
    <t>RussianGalleon</t>
  </si>
  <si>
    <t>JustATourist, Wolfdog</t>
  </si>
  <si>
    <t>WarGalleon</t>
  </si>
  <si>
    <t>civ5_sacmm2</t>
  </si>
  <si>
    <t>Deliverator</t>
  </si>
  <si>
    <t>Era Choices:</t>
  </si>
  <si>
    <t>embarked?</t>
  </si>
  <si>
    <t>testing only</t>
  </si>
  <si>
    <t>testing --&gt; resized</t>
  </si>
  <si>
    <t>Netherlands worker</t>
  </si>
  <si>
    <t>Late Musicians/Writers?</t>
  </si>
  <si>
    <t>Early Admirals?</t>
  </si>
  <si>
    <t>Asian Inquisitors?</t>
  </si>
  <si>
    <t>Afri/Asian Missionaries?</t>
  </si>
  <si>
    <t>NorEu Trireme?</t>
  </si>
  <si>
    <t>Galleys/Galleons (embarked)?</t>
  </si>
  <si>
    <t>not yet</t>
  </si>
  <si>
    <t>PrussianGalleon</t>
  </si>
  <si>
    <t>JustATourist, Wolfdog, Nutty</t>
  </si>
  <si>
    <t>WarGalleonGreek</t>
  </si>
  <si>
    <t>WarGalleonPortuguese</t>
  </si>
  <si>
    <t>WarGalleonItalian</t>
  </si>
  <si>
    <t>WarGalleonFrench</t>
  </si>
  <si>
    <t>WarGalleonEnglish</t>
  </si>
  <si>
    <t>FW_MUTANT</t>
  </si>
  <si>
    <t>zombie</t>
  </si>
  <si>
    <t>UAV</t>
  </si>
  <si>
    <t>FW_HYBRID_DRONE</t>
  </si>
  <si>
    <t>FW_DRONE_FIGHTER_2</t>
  </si>
  <si>
    <t>FW_SUBORBITAL_BOMBER</t>
  </si>
  <si>
    <t>FW_RAILGUN_TANK</t>
  </si>
  <si>
    <t>FW_VERTOL</t>
  </si>
  <si>
    <t>FW_HOVERTANK</t>
  </si>
  <si>
    <t>FW_CYBERSUB</t>
  </si>
  <si>
    <t>FW_NEODESTROYER</t>
  </si>
  <si>
    <t>ARSENAL_SHIP</t>
  </si>
  <si>
    <t>FW_SUPERCARRIER</t>
  </si>
  <si>
    <t>FW_MISSILE_DESTROYER</t>
  </si>
  <si>
    <t>FW_CYBORG</t>
  </si>
  <si>
    <t>FW_BATTLESUIT</t>
  </si>
  <si>
    <t>FW_CHIMERA</t>
  </si>
  <si>
    <t>FW_HYDRA</t>
  </si>
  <si>
    <t>SCORPION_GREEN</t>
  </si>
  <si>
    <t>FW_BIOINFANTRY</t>
  </si>
  <si>
    <t>FW_BIOTROOPER</t>
  </si>
  <si>
    <t>FW_ROBOT_INFANTRY</t>
  </si>
  <si>
    <t>FW_MECH_ARTILLERY</t>
  </si>
  <si>
    <t>FW_CRAWLER</t>
  </si>
  <si>
    <t>FW_NANOHIVE</t>
  </si>
  <si>
    <t>FW_NEXUS</t>
  </si>
  <si>
    <t>FW_TREX</t>
  </si>
  <si>
    <t>FW_TRICERATOPS</t>
  </si>
  <si>
    <t>FW_VELOCIRAPTOR</t>
  </si>
  <si>
    <t>SEAL_TEAM</t>
  </si>
  <si>
    <t>FW_AIRBORNE_FORCES</t>
  </si>
  <si>
    <t>FW_AUTOMATON</t>
  </si>
  <si>
    <t>HybridDrone</t>
  </si>
  <si>
    <t>DroneFighter</t>
  </si>
  <si>
    <t>SuborbitalBomber</t>
  </si>
  <si>
    <t>RailgunTank</t>
  </si>
  <si>
    <t>RailgunTank_EASTASIA</t>
  </si>
  <si>
    <t>RailgunTank_OCEANIA</t>
  </si>
  <si>
    <t>Vertol</t>
  </si>
  <si>
    <t>Vertol_EASTASIA</t>
  </si>
  <si>
    <t>Vertol_OCEANIA</t>
  </si>
  <si>
    <t>Hovertank</t>
  </si>
  <si>
    <t>Hovertank_EASTASIA</t>
  </si>
  <si>
    <t>Hovertank_OCEANIA</t>
  </si>
  <si>
    <t>Cybersub</t>
  </si>
  <si>
    <t>neodestroyer</t>
  </si>
  <si>
    <t>ArsenalShip</t>
  </si>
  <si>
    <t>Porte-Avions_2</t>
  </si>
  <si>
    <t>MissileDestroyer</t>
  </si>
  <si>
    <t>PowerArmor</t>
  </si>
  <si>
    <t>PowerArmor_EASTASIA</t>
  </si>
  <si>
    <t>PowerArmor_EURASIA</t>
  </si>
  <si>
    <t>Battlesuit</t>
  </si>
  <si>
    <t>Chimera</t>
  </si>
  <si>
    <t>Crawler</t>
  </si>
  <si>
    <t>Hydra</t>
  </si>
  <si>
    <t>Nanohive</t>
  </si>
  <si>
    <t>Nexus</t>
  </si>
  <si>
    <t>Scorpion_GREEN</t>
  </si>
  <si>
    <t>BioInfantry</t>
  </si>
  <si>
    <t>BioTrooper</t>
  </si>
  <si>
    <t>RobotInfantry</t>
  </si>
  <si>
    <t>MechArtillery</t>
  </si>
  <si>
    <t>trex</t>
  </si>
  <si>
    <t>triceratops</t>
  </si>
  <si>
    <t>velociraptor</t>
  </si>
  <si>
    <t>triceratops_v2</t>
  </si>
  <si>
    <t>velociraptor_v2</t>
  </si>
  <si>
    <t>US_Airborne</t>
  </si>
  <si>
    <t>metalgear</t>
  </si>
  <si>
    <t>TheCoyote, danrell</t>
  </si>
  <si>
    <t>Queen_Elizabeth_Class_Carrier</t>
  </si>
  <si>
    <t>USS_Nimitz</t>
  </si>
  <si>
    <t>asioasioasio, Ekmek</t>
  </si>
  <si>
    <t>Wildlife Park 2, Deliverator</t>
  </si>
  <si>
    <t>seZereth, Deliverator</t>
  </si>
  <si>
    <t>Deliverator, Nomad or What</t>
  </si>
  <si>
    <t>FUTURE_SOLDIER</t>
  </si>
  <si>
    <t>MUTANT</t>
  </si>
  <si>
    <t>FW_ARSENAL_SHIP</t>
  </si>
  <si>
    <t>FW_UAV</t>
  </si>
  <si>
    <t>FW_SWARM</t>
  </si>
  <si>
    <t>FW_SPEC_FORCES</t>
  </si>
  <si>
    <t>FW_RAPTOR</t>
  </si>
  <si>
    <t>AUTOCHTHON</t>
  </si>
  <si>
    <t>SHAMAN</t>
  </si>
  <si>
    <t>CAVEMAN</t>
  </si>
  <si>
    <t>PRIMITIVE_ARCHER</t>
  </si>
  <si>
    <t>2HANDER</t>
  </si>
  <si>
    <t>REITER</t>
  </si>
  <si>
    <t>RODELEROS</t>
  </si>
  <si>
    <t>FREE_COMPANY</t>
  </si>
  <si>
    <t>EE_CARRACK</t>
  </si>
  <si>
    <t>FREE_COMAPANY</t>
  </si>
  <si>
    <t>EE_EXPLORER</t>
  </si>
  <si>
    <t>EE_GALLEON</t>
  </si>
  <si>
    <t>EE_SHIP_OF_THE_LINE</t>
  </si>
  <si>
    <t>EE_UHLAN</t>
  </si>
  <si>
    <t>EE_CRUISER</t>
  </si>
  <si>
    <t>AFRICAMEL</t>
  </si>
  <si>
    <t>EURODONKEY</t>
  </si>
  <si>
    <t>EUROFEMALE18</t>
  </si>
  <si>
    <t>EUROFEMALE25</t>
  </si>
  <si>
    <t>EUROFEMALE35</t>
  </si>
  <si>
    <t>EUROFEMALE40</t>
  </si>
  <si>
    <t>EUROMALE20</t>
  </si>
  <si>
    <t>EUROMALE25</t>
  </si>
  <si>
    <t>EUROMALE35</t>
  </si>
  <si>
    <t>EUROMALE45</t>
  </si>
  <si>
    <t>AFRIFEMALE1</t>
  </si>
  <si>
    <t>AFRIFEMALE2</t>
  </si>
  <si>
    <t>AFRIFEMALE3</t>
  </si>
  <si>
    <t>AFRIFEMALE4</t>
  </si>
  <si>
    <t>AFRIMALE1</t>
  </si>
  <si>
    <t>AFRIMALE2</t>
  </si>
  <si>
    <t>AFRIMALE3</t>
  </si>
  <si>
    <t>AFRIMALE4</t>
  </si>
  <si>
    <t>AMERLLAMA</t>
  </si>
  <si>
    <t>AMERFEMALE1</t>
  </si>
  <si>
    <t>AMERFEMALE2</t>
  </si>
  <si>
    <t>AMERFEMALE3</t>
  </si>
  <si>
    <t>AMERFEMALE4</t>
  </si>
  <si>
    <t>AMERMALE1</t>
  </si>
  <si>
    <t>AMERMALE2</t>
  </si>
  <si>
    <t>AMERMALE3</t>
  </si>
  <si>
    <t>AMERMALE4</t>
  </si>
  <si>
    <t>SETTLERS_ASIAN_OX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</si>
  <si>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</si>
  <si>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</si>
  <si>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</si>
  <si>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</si>
  <si>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</si>
  <si>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</si>
  <si>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</si>
  <si>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</si>
  <si>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BARBARIAN_EURO</t>
  </si>
  <si>
    <t>ALPHA</t>
  </si>
  <si>
    <t>BRAVO</t>
  </si>
  <si>
    <t>CHARLIE</t>
  </si>
  <si>
    <t>FLAGBEARER</t>
  </si>
  <si>
    <t>LEADER</t>
  </si>
  <si>
    <t>A</t>
  </si>
  <si>
    <t>ARCABUCERO</t>
  </si>
  <si>
    <t>WORKER_EURO</t>
  </si>
  <si>
    <t>WORKER_EURO_LATE</t>
  </si>
  <si>
    <t>labriejp</t>
  </si>
  <si>
    <t>Vicevirtuoso</t>
  </si>
  <si>
    <t>Phaedris</t>
  </si>
  <si>
    <t>Zerver</t>
  </si>
  <si>
    <t>SAVAGE_ED</t>
  </si>
  <si>
    <t>EE_CUIRASSIER_ED</t>
  </si>
  <si>
    <t>EE_CARRACK_ED</t>
  </si>
  <si>
    <t>2HANDER_ED</t>
  </si>
  <si>
    <t>EE_FIELD_GUN_ED</t>
  </si>
  <si>
    <t>EE_GALLEON_ED</t>
  </si>
  <si>
    <t>EE_LINE_INFANTRY_ED</t>
  </si>
  <si>
    <t>EE_SKIRMISHER_ED</t>
  </si>
  <si>
    <t>FW_VERTOL_ED</t>
  </si>
  <si>
    <t>FW_SUPERCARRIER_ED</t>
  </si>
  <si>
    <t>FW_RAILGUN_TANK_ED</t>
  </si>
  <si>
    <t>FW_HOVERTANK_ED</t>
  </si>
  <si>
    <t>FW_CYBORG_ED</t>
  </si>
  <si>
    <t>EMISSARY</t>
  </si>
  <si>
    <t>ENVOY</t>
  </si>
  <si>
    <t>DIPLOMAT</t>
  </si>
  <si>
    <t>AMBASSADOR</t>
  </si>
  <si>
    <t>dopp_a</t>
  </si>
  <si>
    <t>dopp_b</t>
  </si>
  <si>
    <t>DEBUG</t>
  </si>
  <si>
    <t>FW_BIOTROOPER_ED</t>
  </si>
  <si>
    <t>FW_DRONE_FIGHTER_2_ED</t>
  </si>
  <si>
    <t>BioTrooper_EASTASIA</t>
  </si>
  <si>
    <t>BioTrooper_EURASIA</t>
  </si>
  <si>
    <t>DroneFighter_EASTASIA</t>
  </si>
  <si>
    <t>DroneFighter_EURASIA</t>
  </si>
  <si>
    <t>HybridDrone_EASTASIA</t>
  </si>
  <si>
    <t>HybridDrone_EURASIA</t>
  </si>
  <si>
    <t>FW_HYBRID_DRONE_ED</t>
  </si>
  <si>
    <t>FW_NANOHIVE_ED</t>
  </si>
  <si>
    <t>Nanohive_EURASIA</t>
  </si>
  <si>
    <t>Nanohive_OCEANIA</t>
  </si>
  <si>
    <t>SA_SonghaiAxe2</t>
  </si>
  <si>
    <t>Savage_tc</t>
  </si>
  <si>
    <t>EXPLORER_ED</t>
  </si>
  <si>
    <t>LightTank_Generic</t>
  </si>
  <si>
    <t>Strv_M31</t>
  </si>
  <si>
    <t>Panzer_I_Spain</t>
  </si>
  <si>
    <t>T-26</t>
  </si>
  <si>
    <t>L6-40</t>
  </si>
  <si>
    <t>Vickers_MK_E_TypeA</t>
  </si>
  <si>
    <t>Vickers_M1936</t>
  </si>
  <si>
    <t>Type4_Ke-Nu</t>
  </si>
  <si>
    <t>38M_Toldi_I</t>
  </si>
  <si>
    <t>Vickers_MK_E_Greece</t>
  </si>
  <si>
    <t>Panzer_I</t>
  </si>
  <si>
    <t>Renault_R-35</t>
  </si>
  <si>
    <t>Vickers_MK_VIB</t>
  </si>
  <si>
    <t>Vickers_MK_E_China</t>
  </si>
  <si>
    <t>M3_Stuart</t>
  </si>
  <si>
    <t>ARMORED_CAR</t>
  </si>
  <si>
    <t>ARMORED_CAR_ED</t>
  </si>
  <si>
    <t>L6-40_Desert</t>
  </si>
  <si>
    <t>CRUISER</t>
  </si>
  <si>
    <t>VOLLEY_GUN</t>
  </si>
  <si>
    <t>CORVETTE</t>
  </si>
  <si>
    <t>CUIRASSIER</t>
  </si>
  <si>
    <t>FIELD_GUN</t>
  </si>
  <si>
    <t>HEAVY_SKIRMISH</t>
  </si>
  <si>
    <t>GUERILLA</t>
  </si>
  <si>
    <t>MERC</t>
  </si>
  <si>
    <t>MERC_GUERILLA</t>
  </si>
  <si>
    <t>COLONIST</t>
  </si>
  <si>
    <t>EXPLORER_CBP</t>
  </si>
  <si>
    <t>PIONEER</t>
  </si>
  <si>
    <t>Keshik_Mongol</t>
  </si>
  <si>
    <t>76mmArtillery</t>
  </si>
  <si>
    <t>VolleyGun</t>
  </si>
  <si>
    <t>MOUNTED_BOWMAN</t>
  </si>
  <si>
    <t>ZEPPELIN</t>
  </si>
  <si>
    <t>ZEPPELIN_ED</t>
  </si>
  <si>
    <t>COLONIST2</t>
  </si>
  <si>
    <t>COLONIST3</t>
  </si>
  <si>
    <t>COLONIST4</t>
  </si>
  <si>
    <t>Zeppelin</t>
  </si>
  <si>
    <t>BANDEIRANTE</t>
  </si>
  <si>
    <t>GREAT_DIPLOMAT</t>
  </si>
  <si>
    <t>GREAT_DIPLOMAT_RENAISSANCE</t>
  </si>
  <si>
    <t>GREAT_DIPLOMAT_MODERN</t>
  </si>
  <si>
    <t>5</t>
  </si>
  <si>
    <t>7</t>
  </si>
  <si>
    <t>8</t>
  </si>
  <si>
    <t>6</t>
  </si>
  <si>
    <t>Future Worlds</t>
  </si>
  <si>
    <t>Drone Fighter OCEAN&amp;ASIA = spearmen</t>
  </si>
  <si>
    <t>Bio-Trooper OCEAN and Hybrid Drone ASIA cause crashes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</si>
</sst>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F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indexed="49"/>
      <name val="Calibri"/>
      <family val="2"/>
      <scheme val="minor"/>
    </font>
    <font>
      <b/>
      <sz val="10"/>
      <color indexed="8"/>
      <name val="Calibri"/>
      <family val="2"/>
      <scheme val="minor"/>
    </font>
    <font>
      <u/>
      <sz val="1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C2"/>
        <bgColor indexed="64"/>
      </patternFill>
    </fill>
    <fill>
      <patternFill patternType="solid">
        <fgColor rgb="FFFFC7CE"/>
        <bgColor rgb="FF000000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indexed="2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21"/>
      </left>
      <right/>
      <top/>
      <bottom style="thin">
        <color auto="1"/>
      </bottom>
      <diagonal/>
    </border>
    <border>
      <left style="hair">
        <color indexed="21"/>
      </left>
      <right style="hair">
        <color indexed="2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indexed="2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21"/>
      </left>
      <right/>
      <top/>
      <bottom/>
      <diagonal/>
    </border>
    <border>
      <left style="hair">
        <color indexed="21"/>
      </left>
      <right style="hair">
        <color indexed="21"/>
      </right>
      <top/>
      <bottom/>
      <diagonal/>
    </border>
    <border>
      <left/>
      <right style="hair">
        <color indexed="2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/>
      <top/>
      <bottom style="hair">
        <color theme="4" tint="0.39994506668294322"/>
      </bottom>
      <diagonal/>
    </border>
    <border>
      <left/>
      <right style="thin">
        <color auto="1"/>
      </right>
      <top/>
      <bottom style="hair">
        <color theme="4" tint="0.39994506668294322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4" tint="0.39994506668294322"/>
      </top>
      <bottom style="thin">
        <color auto="1"/>
      </bottom>
      <diagonal/>
    </border>
    <border>
      <left/>
      <right/>
      <top style="thin">
        <color theme="4" tint="0.39994506668294322"/>
      </top>
      <bottom style="thin">
        <color auto="1"/>
      </bottom>
      <diagonal/>
    </border>
    <border>
      <left/>
      <right style="thin">
        <color auto="1"/>
      </right>
      <top style="thin">
        <color theme="4" tint="0.39994506668294322"/>
      </top>
      <bottom style="thin">
        <color auto="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9" fontId="18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0" xfId="0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49" fontId="0" fillId="0" borderId="0" xfId="0" applyNumberFormat="1" applyFont="1" applyFill="1" applyBorder="1" applyProtection="1">
      <protection locked="0"/>
    </xf>
    <xf numFmtId="49" fontId="0" fillId="0" borderId="0" xfId="0" quotePrefix="1" applyNumberFormat="1" applyBorder="1" applyProtection="1">
      <protection locked="0"/>
    </xf>
    <xf numFmtId="0" fontId="0" fillId="0" borderId="0" xfId="0" applyNumberFormat="1" applyFont="1" applyBorder="1" applyAlignment="1" applyProtection="1">
      <alignment wrapText="1"/>
      <protection locked="0"/>
    </xf>
    <xf numFmtId="49" fontId="16" fillId="33" borderId="0" xfId="0" applyNumberFormat="1" applyFont="1" applyFill="1" applyBorder="1" applyProtection="1"/>
    <xf numFmtId="0" fontId="0" fillId="33" borderId="0" xfId="0" applyNumberFormat="1" applyFill="1" applyBorder="1" applyProtection="1"/>
    <xf numFmtId="49" fontId="16" fillId="33" borderId="0" xfId="0" applyNumberFormat="1" applyFont="1" applyFill="1" applyBorder="1"/>
    <xf numFmtId="49" fontId="16" fillId="33" borderId="0" xfId="0" applyNumberFormat="1" applyFont="1" applyFill="1" applyBorder="1" applyAlignment="1" applyProtection="1">
      <alignment horizontal="right"/>
    </xf>
    <xf numFmtId="0" fontId="16" fillId="33" borderId="0" xfId="0" applyFont="1" applyFill="1" applyProtection="1"/>
    <xf numFmtId="0" fontId="16" fillId="33" borderId="0" xfId="0" applyFont="1" applyFill="1"/>
    <xf numFmtId="0" fontId="0" fillId="33" borderId="0" xfId="0" applyFill="1"/>
    <xf numFmtId="49" fontId="0" fillId="0" borderId="0" xfId="0" quotePrefix="1" applyNumberFormat="1" applyFont="1" applyFill="1" applyAlignment="1" applyProtection="1">
      <alignment horizontal="center"/>
      <protection locked="0"/>
    </xf>
    <xf numFmtId="49" fontId="16" fillId="33" borderId="0" xfId="0" applyNumberFormat="1" applyFont="1" applyFill="1" applyBorder="1" applyAlignment="1" applyProtection="1">
      <alignment horizontal="center"/>
    </xf>
    <xf numFmtId="49" fontId="16" fillId="33" borderId="0" xfId="0" applyNumberFormat="1" applyFont="1" applyFill="1" applyBorder="1" applyAlignment="1">
      <alignment horizontal="center"/>
    </xf>
    <xf numFmtId="49" fontId="16" fillId="33" borderId="0" xfId="0" quotePrefix="1" applyNumberFormat="1" applyFont="1" applyFill="1" applyAlignment="1" applyProtection="1">
      <alignment horizontal="right"/>
    </xf>
    <xf numFmtId="0" fontId="0" fillId="0" borderId="0" xfId="0" applyNumberFormat="1" applyFont="1" applyFill="1" applyBorder="1" applyAlignment="1" applyProtection="1">
      <protection locked="0"/>
    </xf>
    <xf numFmtId="1" fontId="0" fillId="0" borderId="0" xfId="0" quotePrefix="1" applyNumberFormat="1" applyFont="1" applyFill="1" applyAlignment="1" applyProtection="1">
      <alignment horizontal="center"/>
      <protection locked="0"/>
    </xf>
    <xf numFmtId="49" fontId="24" fillId="33" borderId="0" xfId="0" applyNumberFormat="1" applyFont="1" applyFill="1" applyBorder="1" applyAlignment="1" applyProtection="1">
      <alignment horizontal="right"/>
    </xf>
    <xf numFmtId="49" fontId="22" fillId="0" borderId="0" xfId="0" quotePrefix="1" applyNumberFormat="1" applyFont="1" applyFill="1" applyAlignment="1" applyProtection="1">
      <alignment horizontal="center"/>
      <protection locked="0"/>
    </xf>
    <xf numFmtId="49" fontId="26" fillId="33" borderId="0" xfId="0" applyNumberFormat="1" applyFont="1" applyFill="1" applyBorder="1" applyAlignment="1" applyProtection="1">
      <alignment horizontal="right"/>
    </xf>
    <xf numFmtId="49" fontId="21" fillId="33" borderId="0" xfId="0" applyNumberFormat="1" applyFont="1" applyFill="1" applyBorder="1" applyAlignment="1" applyProtection="1">
      <alignment horizontal="right"/>
    </xf>
    <xf numFmtId="49" fontId="23" fillId="33" borderId="0" xfId="0" quotePrefix="1" applyNumberFormat="1" applyFont="1" applyFill="1" applyAlignment="1" applyProtection="1">
      <alignment horizontal="right"/>
    </xf>
    <xf numFmtId="49" fontId="24" fillId="33" borderId="0" xfId="0" applyNumberFormat="1" applyFont="1" applyFill="1" applyBorder="1" applyProtection="1"/>
    <xf numFmtId="49" fontId="0" fillId="33" borderId="0" xfId="0" applyNumberFormat="1" applyFont="1" applyFill="1" applyBorder="1" applyAlignment="1" applyProtection="1">
      <alignment horizontal="right"/>
    </xf>
    <xf numFmtId="0" fontId="27" fillId="34" borderId="32" xfId="42" applyFont="1" applyFill="1" applyBorder="1" applyAlignment="1">
      <alignment horizontal="center"/>
    </xf>
    <xf numFmtId="0" fontId="27" fillId="34" borderId="34" xfId="42" applyFont="1" applyFill="1" applyBorder="1" applyAlignment="1">
      <alignment horizontal="center"/>
    </xf>
    <xf numFmtId="0" fontId="27" fillId="0" borderId="0" xfId="42" applyFont="1" applyAlignment="1">
      <alignment horizontal="center"/>
    </xf>
    <xf numFmtId="0" fontId="27" fillId="34" borderId="10" xfId="42" applyFont="1" applyFill="1" applyBorder="1" applyAlignment="1">
      <alignment horizontal="center" vertical="top"/>
    </xf>
    <xf numFmtId="0" fontId="27" fillId="34" borderId="0" xfId="42" applyFont="1" applyFill="1" applyBorder="1" applyAlignment="1">
      <alignment horizontal="center" vertical="top"/>
    </xf>
    <xf numFmtId="0" fontId="27" fillId="34" borderId="28" xfId="42" applyFont="1" applyFill="1" applyBorder="1" applyAlignment="1">
      <alignment horizontal="center" vertical="top"/>
    </xf>
    <xf numFmtId="0" fontId="27" fillId="34" borderId="26" xfId="42" applyFont="1" applyFill="1" applyBorder="1" applyAlignment="1">
      <alignment horizontal="center" vertical="top"/>
    </xf>
    <xf numFmtId="0" fontId="27" fillId="34" borderId="23" xfId="42" applyFont="1" applyFill="1" applyBorder="1" applyAlignment="1">
      <alignment horizontal="center" vertical="top"/>
    </xf>
    <xf numFmtId="0" fontId="27" fillId="34" borderId="24" xfId="42" applyFont="1" applyFill="1" applyBorder="1" applyAlignment="1">
      <alignment horizontal="center" vertical="top"/>
    </xf>
    <xf numFmtId="0" fontId="27" fillId="34" borderId="25" xfId="42" applyFont="1" applyFill="1" applyBorder="1" applyAlignment="1">
      <alignment horizontal="center" vertical="top"/>
    </xf>
    <xf numFmtId="0" fontId="27" fillId="34" borderId="22" xfId="42" applyFont="1" applyFill="1" applyBorder="1" applyAlignment="1">
      <alignment horizontal="center" vertical="top"/>
    </xf>
    <xf numFmtId="0" fontId="27" fillId="34" borderId="38" xfId="42" applyFont="1" applyFill="1" applyBorder="1" applyAlignment="1"/>
    <xf numFmtId="0" fontId="27" fillId="34" borderId="36" xfId="42" applyFont="1" applyFill="1" applyBorder="1" applyAlignment="1"/>
    <xf numFmtId="0" fontId="29" fillId="0" borderId="0" xfId="42" applyFont="1" applyAlignment="1">
      <alignment horizontal="center" textRotation="90"/>
    </xf>
    <xf numFmtId="0" fontId="29" fillId="0" borderId="0" xfId="42" applyFont="1" applyAlignment="1">
      <alignment horizontal="center"/>
    </xf>
    <xf numFmtId="0" fontId="27" fillId="0" borderId="26" xfId="42" applyFont="1" applyFill="1" applyBorder="1" applyAlignment="1">
      <alignment horizontal="center" vertical="center"/>
    </xf>
    <xf numFmtId="0" fontId="27" fillId="0" borderId="28" xfId="42" applyFont="1" applyFill="1" applyBorder="1" applyAlignment="1">
      <alignment horizontal="center" vertical="center"/>
    </xf>
    <xf numFmtId="0" fontId="27" fillId="0" borderId="23" xfId="42" applyFont="1" applyFill="1" applyBorder="1" applyAlignment="1">
      <alignment horizontal="center" vertical="center"/>
    </xf>
    <xf numFmtId="0" fontId="29" fillId="0" borderId="0" xfId="42" applyFont="1" applyAlignment="1">
      <alignment horizontal="center" vertical="center"/>
    </xf>
    <xf numFmtId="0" fontId="29" fillId="0" borderId="0" xfId="42" applyFont="1"/>
    <xf numFmtId="0" fontId="27" fillId="0" borderId="10" xfId="42" applyFont="1" applyFill="1" applyBorder="1"/>
    <xf numFmtId="0" fontId="27" fillId="0" borderId="29" xfId="42" applyFont="1" applyFill="1" applyBorder="1" applyAlignment="1">
      <alignment horizontal="center" vertical="center"/>
    </xf>
    <xf numFmtId="0" fontId="27" fillId="35" borderId="26" xfId="42" applyFont="1" applyFill="1" applyBorder="1" applyAlignment="1">
      <alignment horizontal="center" vertical="center"/>
    </xf>
    <xf numFmtId="0" fontId="27" fillId="37" borderId="24" xfId="42" applyFont="1" applyFill="1" applyBorder="1" applyAlignment="1">
      <alignment horizontal="center" vertical="center"/>
    </xf>
    <xf numFmtId="0" fontId="27" fillId="37" borderId="26" xfId="42" applyFont="1" applyFill="1" applyBorder="1" applyAlignment="1">
      <alignment horizontal="center" vertical="center"/>
    </xf>
    <xf numFmtId="0" fontId="27" fillId="37" borderId="23" xfId="42" applyFont="1" applyFill="1" applyBorder="1" applyAlignment="1">
      <alignment horizontal="center" vertical="center"/>
    </xf>
    <xf numFmtId="0" fontId="27" fillId="0" borderId="24" xfId="42" applyFont="1" applyFill="1" applyBorder="1" applyAlignment="1">
      <alignment horizontal="center" vertical="center"/>
    </xf>
    <xf numFmtId="0" fontId="27" fillId="37" borderId="28" xfId="42" applyFont="1" applyFill="1" applyBorder="1" applyAlignment="1">
      <alignment horizontal="center" vertical="center"/>
    </xf>
    <xf numFmtId="0" fontId="35" fillId="33" borderId="24" xfId="42" applyFont="1" applyFill="1" applyBorder="1" applyAlignment="1">
      <alignment horizontal="center" vertical="center"/>
    </xf>
    <xf numFmtId="0" fontId="35" fillId="33" borderId="22" xfId="42" applyFont="1" applyFill="1" applyBorder="1" applyAlignment="1">
      <alignment horizontal="center" vertical="center"/>
    </xf>
    <xf numFmtId="0" fontId="27" fillId="35" borderId="29" xfId="42" applyFont="1" applyFill="1" applyBorder="1" applyAlignment="1">
      <alignment horizontal="center" vertical="center"/>
    </xf>
    <xf numFmtId="0" fontId="27" fillId="38" borderId="26" xfId="42" applyFont="1" applyFill="1" applyBorder="1" applyAlignment="1">
      <alignment horizontal="center" vertical="center"/>
    </xf>
    <xf numFmtId="0" fontId="27" fillId="38" borderId="24" xfId="42" quotePrefix="1" applyFont="1" applyFill="1" applyBorder="1" applyAlignment="1">
      <alignment horizontal="center" vertical="center"/>
    </xf>
    <xf numFmtId="0" fontId="27" fillId="0" borderId="26" xfId="42" quotePrefix="1" applyFont="1" applyFill="1" applyBorder="1" applyAlignment="1">
      <alignment horizontal="center" vertical="center"/>
    </xf>
    <xf numFmtId="0" fontId="27" fillId="38" borderId="23" xfId="42" applyFont="1" applyFill="1" applyBorder="1" applyAlignment="1">
      <alignment horizontal="center" vertical="center"/>
    </xf>
    <xf numFmtId="0" fontId="27" fillId="0" borderId="23" xfId="42" quotePrefix="1" applyFont="1" applyFill="1" applyBorder="1" applyAlignment="1">
      <alignment horizontal="center" vertical="center"/>
    </xf>
    <xf numFmtId="0" fontId="36" fillId="36" borderId="26" xfId="42" applyFont="1" applyFill="1" applyBorder="1" applyAlignment="1">
      <alignment horizontal="center" vertical="center"/>
    </xf>
    <xf numFmtId="0" fontId="27" fillId="38" borderId="23" xfId="42" quotePrefix="1" applyFont="1" applyFill="1" applyBorder="1" applyAlignment="1">
      <alignment horizontal="center" vertical="center"/>
    </xf>
    <xf numFmtId="0" fontId="36" fillId="0" borderId="23" xfId="42" applyFont="1" applyFill="1" applyBorder="1" applyAlignment="1">
      <alignment horizontal="center" vertical="center"/>
    </xf>
    <xf numFmtId="0" fontId="27" fillId="33" borderId="24" xfId="42" applyFont="1" applyFill="1" applyBorder="1" applyAlignment="1">
      <alignment horizontal="center" vertical="center"/>
    </xf>
    <xf numFmtId="0" fontId="32" fillId="33" borderId="22" xfId="42" applyFont="1" applyFill="1" applyBorder="1" applyAlignment="1">
      <alignment horizontal="center" vertical="center"/>
    </xf>
    <xf numFmtId="0" fontId="29" fillId="38" borderId="10" xfId="42" applyFont="1" applyFill="1" applyBorder="1" applyAlignment="1">
      <alignment horizontal="left" vertical="center"/>
    </xf>
    <xf numFmtId="0" fontId="29" fillId="0" borderId="24" xfId="42" quotePrefix="1" applyFont="1" applyBorder="1" applyAlignment="1">
      <alignment horizontal="left" vertical="center"/>
    </xf>
    <xf numFmtId="0" fontId="29" fillId="37" borderId="10" xfId="42" applyFont="1" applyFill="1" applyBorder="1" applyAlignment="1">
      <alignment horizontal="left" vertical="center"/>
    </xf>
    <xf numFmtId="0" fontId="29" fillId="36" borderId="16" xfId="42" applyFont="1" applyFill="1" applyBorder="1" applyAlignment="1">
      <alignment horizontal="left" vertical="center"/>
    </xf>
    <xf numFmtId="0" fontId="29" fillId="0" borderId="13" xfId="42" quotePrefix="1" applyFont="1" applyBorder="1" applyAlignment="1">
      <alignment horizontal="left" vertical="center"/>
    </xf>
    <xf numFmtId="0" fontId="27" fillId="38" borderId="29" xfId="42" applyFont="1" applyFill="1" applyBorder="1" applyAlignment="1">
      <alignment horizontal="center" vertical="center"/>
    </xf>
    <xf numFmtId="0" fontId="38" fillId="0" borderId="26" xfId="42" applyFont="1" applyFill="1" applyBorder="1" applyAlignment="1">
      <alignment horizontal="center" vertical="center"/>
    </xf>
    <xf numFmtId="0" fontId="27" fillId="33" borderId="22" xfId="42" applyFont="1" applyFill="1" applyBorder="1" applyAlignment="1">
      <alignment horizontal="center" vertical="center"/>
    </xf>
    <xf numFmtId="0" fontId="36" fillId="0" borderId="29" xfId="42" applyFont="1" applyFill="1" applyBorder="1" applyAlignment="1">
      <alignment horizontal="center" vertical="center"/>
    </xf>
    <xf numFmtId="0" fontId="27" fillId="38" borderId="24" xfId="42" applyFont="1" applyFill="1" applyBorder="1" applyAlignment="1">
      <alignment horizontal="center" vertical="center"/>
    </xf>
    <xf numFmtId="0" fontId="27" fillId="38" borderId="28" xfId="42" applyFont="1" applyFill="1" applyBorder="1" applyAlignment="1">
      <alignment horizontal="center" vertical="center"/>
    </xf>
    <xf numFmtId="0" fontId="32" fillId="0" borderId="28" xfId="42" applyFont="1" applyFill="1" applyBorder="1" applyAlignment="1">
      <alignment horizontal="center" vertical="center"/>
    </xf>
    <xf numFmtId="0" fontId="36" fillId="0" borderId="26" xfId="42" applyFont="1" applyFill="1" applyBorder="1" applyAlignment="1">
      <alignment horizontal="center" vertical="center"/>
    </xf>
    <xf numFmtId="0" fontId="32" fillId="0" borderId="26" xfId="42" applyFont="1" applyFill="1" applyBorder="1" applyAlignment="1">
      <alignment horizontal="center" vertical="center"/>
    </xf>
    <xf numFmtId="0" fontId="32" fillId="0" borderId="23" xfId="42" applyFont="1" applyFill="1" applyBorder="1" applyAlignment="1">
      <alignment horizontal="center" vertical="center"/>
    </xf>
    <xf numFmtId="0" fontId="36" fillId="0" borderId="28" xfId="42" applyFont="1" applyFill="1" applyBorder="1" applyAlignment="1">
      <alignment horizontal="center" vertical="center"/>
    </xf>
    <xf numFmtId="0" fontId="27" fillId="37" borderId="29" xfId="42" applyFont="1" applyFill="1" applyBorder="1" applyAlignment="1">
      <alignment horizontal="center" vertical="center"/>
    </xf>
    <xf numFmtId="0" fontId="27" fillId="38" borderId="26" xfId="42" quotePrefix="1" applyFont="1" applyFill="1" applyBorder="1" applyAlignment="1">
      <alignment horizontal="center" vertical="center"/>
    </xf>
    <xf numFmtId="0" fontId="27" fillId="33" borderId="24" xfId="42" quotePrefix="1" applyFont="1" applyFill="1" applyBorder="1" applyAlignment="1">
      <alignment horizontal="center" vertical="center"/>
    </xf>
    <xf numFmtId="0" fontId="27" fillId="33" borderId="22" xfId="42" quotePrefix="1" applyFont="1" applyFill="1" applyBorder="1" applyAlignment="1">
      <alignment horizontal="center" vertical="center"/>
    </xf>
    <xf numFmtId="0" fontId="35" fillId="33" borderId="24" xfId="42" quotePrefix="1" applyFont="1" applyFill="1" applyBorder="1" applyAlignment="1">
      <alignment horizontal="center" vertical="center"/>
    </xf>
    <xf numFmtId="0" fontId="35" fillId="33" borderId="22" xfId="42" quotePrefix="1" applyFont="1" applyFill="1" applyBorder="1" applyAlignment="1">
      <alignment horizontal="center" vertical="center"/>
    </xf>
    <xf numFmtId="0" fontId="39" fillId="38" borderId="26" xfId="42" applyFont="1" applyFill="1" applyBorder="1" applyAlignment="1">
      <alignment horizontal="center" vertical="center"/>
    </xf>
    <xf numFmtId="0" fontId="36" fillId="36" borderId="23" xfId="42" applyFont="1" applyFill="1" applyBorder="1" applyAlignment="1">
      <alignment horizontal="center" vertical="center"/>
    </xf>
    <xf numFmtId="0" fontId="36" fillId="0" borderId="24" xfId="42" applyFont="1" applyFill="1" applyBorder="1" applyAlignment="1">
      <alignment horizontal="center" vertical="center"/>
    </xf>
    <xf numFmtId="0" fontId="36" fillId="36" borderId="29" xfId="42" applyFont="1" applyFill="1" applyBorder="1" applyAlignment="1">
      <alignment horizontal="center" vertical="center"/>
    </xf>
    <xf numFmtId="0" fontId="38" fillId="38" borderId="26" xfId="42" quotePrefix="1" applyFont="1" applyFill="1" applyBorder="1" applyAlignment="1">
      <alignment horizontal="center" vertical="center"/>
    </xf>
    <xf numFmtId="0" fontId="38" fillId="38" borderId="24" xfId="42" quotePrefix="1" applyFont="1" applyFill="1" applyBorder="1" applyAlignment="1">
      <alignment horizontal="center" vertical="center"/>
    </xf>
    <xf numFmtId="0" fontId="36" fillId="36" borderId="24" xfId="42" applyFont="1" applyFill="1" applyBorder="1" applyAlignment="1">
      <alignment horizontal="center" vertical="center"/>
    </xf>
    <xf numFmtId="0" fontId="32" fillId="36" borderId="23" xfId="42" applyFont="1" applyFill="1" applyBorder="1" applyAlignment="1">
      <alignment horizontal="center" vertical="center"/>
    </xf>
    <xf numFmtId="0" fontId="36" fillId="36" borderId="28" xfId="42" applyFont="1" applyFill="1" applyBorder="1" applyAlignment="1">
      <alignment horizontal="center" vertical="center"/>
    </xf>
    <xf numFmtId="0" fontId="27" fillId="0" borderId="27" xfId="42" applyFont="1" applyFill="1" applyBorder="1"/>
    <xf numFmtId="0" fontId="27" fillId="0" borderId="16" xfId="42" applyFont="1" applyFill="1" applyBorder="1"/>
    <xf numFmtId="0" fontId="27" fillId="0" borderId="20" xfId="42" applyFont="1" applyFill="1" applyBorder="1" applyAlignment="1">
      <alignment horizontal="center" vertical="center"/>
    </xf>
    <xf numFmtId="0" fontId="27" fillId="0" borderId="15" xfId="42" applyFont="1" applyFill="1" applyBorder="1" applyAlignment="1">
      <alignment horizontal="center" vertical="center"/>
    </xf>
    <xf numFmtId="0" fontId="32" fillId="0" borderId="12" xfId="42" applyFont="1" applyFill="1" applyBorder="1" applyAlignment="1">
      <alignment horizontal="center" vertical="center"/>
    </xf>
    <xf numFmtId="0" fontId="27" fillId="0" borderId="13" xfId="42" applyFont="1" applyFill="1" applyBorder="1" applyAlignment="1">
      <alignment horizontal="center" vertical="center"/>
    </xf>
    <xf numFmtId="0" fontId="27" fillId="0" borderId="12" xfId="42" applyFont="1" applyFill="1" applyBorder="1" applyAlignment="1">
      <alignment horizontal="center" vertical="center"/>
    </xf>
    <xf numFmtId="0" fontId="27" fillId="0" borderId="19" xfId="42" applyFont="1" applyFill="1" applyBorder="1" applyAlignment="1">
      <alignment horizontal="center" vertical="center"/>
    </xf>
    <xf numFmtId="0" fontId="27" fillId="33" borderId="13" xfId="42" applyFont="1" applyFill="1" applyBorder="1" applyAlignment="1">
      <alignment horizontal="center" vertical="center"/>
    </xf>
    <xf numFmtId="0" fontId="27" fillId="33" borderId="11" xfId="42" applyFont="1" applyFill="1" applyBorder="1" applyAlignment="1">
      <alignment horizontal="center" vertical="center"/>
    </xf>
    <xf numFmtId="0" fontId="40" fillId="33" borderId="10" xfId="42" applyFont="1" applyFill="1" applyBorder="1"/>
    <xf numFmtId="0" fontId="27" fillId="33" borderId="29" xfId="42" applyFont="1" applyFill="1" applyBorder="1" applyAlignment="1">
      <alignment horizontal="center" vertical="center"/>
    </xf>
    <xf numFmtId="0" fontId="27" fillId="33" borderId="26" xfId="42" applyFont="1" applyFill="1" applyBorder="1" applyAlignment="1">
      <alignment horizontal="center" vertical="center"/>
    </xf>
    <xf numFmtId="0" fontId="27" fillId="33" borderId="28" xfId="42" applyFont="1" applyFill="1" applyBorder="1" applyAlignment="1">
      <alignment horizontal="center" vertical="center"/>
    </xf>
    <xf numFmtId="0" fontId="27" fillId="33" borderId="23" xfId="42" applyFont="1" applyFill="1" applyBorder="1" applyAlignment="1">
      <alignment horizontal="center" vertical="center"/>
    </xf>
    <xf numFmtId="0" fontId="27" fillId="33" borderId="0" xfId="42" applyFont="1" applyFill="1" applyAlignment="1">
      <alignment horizontal="center" vertical="center"/>
    </xf>
    <xf numFmtId="0" fontId="27" fillId="33" borderId="0" xfId="42" applyFont="1" applyFill="1" applyBorder="1" applyAlignment="1">
      <alignment horizontal="center" vertical="center"/>
    </xf>
    <xf numFmtId="0" fontId="27" fillId="33" borderId="25" xfId="42" applyFont="1" applyFill="1" applyBorder="1" applyAlignment="1">
      <alignment horizontal="center" vertical="center"/>
    </xf>
    <xf numFmtId="0" fontId="27" fillId="33" borderId="27" xfId="42" applyFont="1" applyFill="1" applyBorder="1"/>
    <xf numFmtId="0" fontId="29" fillId="0" borderId="0" xfId="42" applyFont="1" applyAlignment="1">
      <alignment horizontal="left" vertical="center"/>
    </xf>
    <xf numFmtId="0" fontId="27" fillId="33" borderId="10" xfId="42" applyFont="1" applyFill="1" applyBorder="1"/>
    <xf numFmtId="0" fontId="27" fillId="33" borderId="16" xfId="42" applyFont="1" applyFill="1" applyBorder="1"/>
    <xf numFmtId="0" fontId="27" fillId="33" borderId="20" xfId="42" applyFont="1" applyFill="1" applyBorder="1" applyAlignment="1">
      <alignment horizontal="center" vertical="center"/>
    </xf>
    <xf numFmtId="0" fontId="27" fillId="33" borderId="15" xfId="42" applyFont="1" applyFill="1" applyBorder="1" applyAlignment="1">
      <alignment horizontal="center" vertical="center"/>
    </xf>
    <xf numFmtId="0" fontId="27" fillId="33" borderId="12" xfId="42" applyFont="1" applyFill="1" applyBorder="1" applyAlignment="1">
      <alignment horizontal="center" vertical="center"/>
    </xf>
    <xf numFmtId="0" fontId="27" fillId="33" borderId="19" xfId="42" applyFont="1" applyFill="1" applyBorder="1" applyAlignment="1">
      <alignment horizontal="center" vertical="center"/>
    </xf>
    <xf numFmtId="0" fontId="32" fillId="33" borderId="26" xfId="42" applyFont="1" applyFill="1" applyBorder="1" applyAlignment="1">
      <alignment horizontal="center" vertical="center"/>
    </xf>
    <xf numFmtId="0" fontId="32" fillId="33" borderId="24" xfId="42" applyFont="1" applyFill="1" applyBorder="1" applyAlignment="1">
      <alignment horizontal="center" vertical="center"/>
    </xf>
    <xf numFmtId="0" fontId="35" fillId="33" borderId="13" xfId="42" applyFont="1" applyFill="1" applyBorder="1" applyAlignment="1">
      <alignment horizontal="center" vertical="center"/>
    </xf>
    <xf numFmtId="0" fontId="35" fillId="33" borderId="11" xfId="42" applyFont="1" applyFill="1" applyBorder="1" applyAlignment="1">
      <alignment horizontal="center" vertical="center"/>
    </xf>
    <xf numFmtId="0" fontId="35" fillId="33" borderId="10" xfId="42" applyFont="1" applyFill="1" applyBorder="1"/>
    <xf numFmtId="0" fontId="41" fillId="0" borderId="10" xfId="42" applyFont="1" applyBorder="1" applyAlignment="1">
      <alignment vertical="center"/>
    </xf>
    <xf numFmtId="0" fontId="41" fillId="0" borderId="0" xfId="42" applyFont="1" applyBorder="1" applyAlignment="1">
      <alignment vertical="center"/>
    </xf>
    <xf numFmtId="0" fontId="35" fillId="33" borderId="27" xfId="42" applyFont="1" applyFill="1" applyBorder="1"/>
    <xf numFmtId="0" fontId="35" fillId="33" borderId="23" xfId="42" applyFont="1" applyFill="1" applyBorder="1" applyAlignment="1">
      <alignment horizontal="center" vertic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0" xfId="42" applyFont="1" applyAlignment="1">
      <alignment vertical="center"/>
    </xf>
    <xf numFmtId="0" fontId="32" fillId="33" borderId="23" xfId="42" applyFont="1" applyFill="1" applyBorder="1" applyAlignment="1">
      <alignment horizontal="center" vertical="center"/>
    </xf>
    <xf numFmtId="0" fontId="35" fillId="33" borderId="16" xfId="42" applyFont="1" applyFill="1" applyBorder="1"/>
    <xf numFmtId="0" fontId="29" fillId="0" borderId="0" xfId="42" applyFont="1" applyFill="1" applyAlignment="1">
      <alignment horizontal="center" vertical="center"/>
    </xf>
    <xf numFmtId="0" fontId="1" fillId="0" borderId="0" xfId="0" applyFont="1"/>
    <xf numFmtId="0" fontId="1" fillId="0" borderId="0" xfId="0" applyFont="1" applyBorder="1"/>
    <xf numFmtId="0" fontId="29" fillId="0" borderId="0" xfId="42" applyFont="1" applyFill="1"/>
    <xf numFmtId="0" fontId="29" fillId="0" borderId="0" xfId="42" applyFont="1" applyAlignment="1">
      <alignment horizontal="left"/>
    </xf>
    <xf numFmtId="0" fontId="1" fillId="0" borderId="0" xfId="0" applyFont="1" applyFill="1"/>
    <xf numFmtId="0" fontId="22" fillId="0" borderId="0" xfId="42" applyNumberFormat="1" applyFont="1" applyFill="1" applyBorder="1" applyAlignment="1"/>
    <xf numFmtId="0" fontId="42" fillId="0" borderId="0" xfId="42" applyNumberFormat="1" applyFont="1" applyFill="1" applyBorder="1" applyAlignment="1"/>
    <xf numFmtId="0" fontId="0" fillId="0" borderId="0" xfId="0" applyFont="1" applyFill="1"/>
    <xf numFmtId="49" fontId="16" fillId="33" borderId="0" xfId="0" quotePrefix="1" applyNumberFormat="1" applyFont="1" applyFill="1" applyBorder="1" applyAlignment="1" applyProtection="1">
      <alignment horizontal="center"/>
    </xf>
    <xf numFmtId="0" fontId="16" fillId="33" borderId="0" xfId="0" applyFont="1" applyFill="1" applyAlignment="1" applyProtection="1">
      <alignment horizontal="center"/>
    </xf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0" fillId="33" borderId="0" xfId="0" applyNumberFormat="1" applyFill="1" applyBorder="1" applyProtection="1">
      <protection locked="0"/>
    </xf>
    <xf numFmtId="0" fontId="16" fillId="0" borderId="0" xfId="0" applyFont="1"/>
    <xf numFmtId="0" fontId="0" fillId="0" borderId="0" xfId="0" applyFont="1"/>
    <xf numFmtId="0" fontId="16" fillId="33" borderId="0" xfId="0" applyNumberFormat="1" applyFont="1" applyFill="1" applyBorder="1" applyAlignment="1" applyProtection="1">
      <alignment horizontal="center"/>
    </xf>
    <xf numFmtId="0" fontId="26" fillId="33" borderId="0" xfId="0" applyNumberFormat="1" applyFont="1" applyFill="1" applyBorder="1" applyAlignment="1" applyProtection="1">
      <alignment horizontal="right"/>
    </xf>
    <xf numFmtId="0" fontId="16" fillId="33" borderId="0" xfId="0" applyNumberFormat="1" applyFont="1" applyFill="1" applyBorder="1" applyProtection="1"/>
    <xf numFmtId="0" fontId="0" fillId="0" borderId="0" xfId="0" quotePrefix="1" applyNumberFormat="1" applyBorder="1" applyProtection="1">
      <protection locked="0"/>
    </xf>
    <xf numFmtId="0" fontId="0" fillId="0" borderId="0" xfId="0" quotePrefix="1"/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7" fillId="33" borderId="27" xfId="42" quotePrefix="1" applyFont="1" applyFill="1" applyBorder="1" applyAlignment="1">
      <alignment horizontal="center" vertical="center"/>
    </xf>
    <xf numFmtId="0" fontId="27" fillId="33" borderId="27" xfId="42" applyFont="1" applyFill="1" applyBorder="1" applyAlignment="1">
      <alignment horizontal="center" vertical="center"/>
    </xf>
    <xf numFmtId="0" fontId="27" fillId="33" borderId="17" xfId="42" applyFont="1" applyFill="1" applyBorder="1" applyAlignment="1">
      <alignment horizontal="center" vertical="center"/>
    </xf>
    <xf numFmtId="0" fontId="27" fillId="33" borderId="10" xfId="42" quotePrefix="1" applyFont="1" applyFill="1" applyBorder="1" applyAlignment="1">
      <alignment horizontal="center" vertical="center"/>
    </xf>
    <xf numFmtId="0" fontId="27" fillId="33" borderId="25" xfId="42" quotePrefix="1" applyFont="1" applyFill="1" applyBorder="1" applyAlignment="1">
      <alignment horizontal="center" vertical="center"/>
    </xf>
    <xf numFmtId="0" fontId="27" fillId="33" borderId="28" xfId="42" quotePrefix="1" applyFont="1" applyFill="1" applyBorder="1" applyAlignment="1">
      <alignment horizontal="center" vertical="center"/>
    </xf>
    <xf numFmtId="0" fontId="27" fillId="33" borderId="0" xfId="42" quotePrefix="1" applyFont="1" applyFill="1" applyBorder="1" applyAlignment="1">
      <alignment horizontal="center" vertical="center"/>
    </xf>
    <xf numFmtId="0" fontId="27" fillId="33" borderId="26" xfId="42" quotePrefix="1" applyFont="1" applyFill="1" applyBorder="1" applyAlignment="1">
      <alignment horizontal="center" vertical="center"/>
    </xf>
    <xf numFmtId="0" fontId="27" fillId="33" borderId="30" xfId="42" quotePrefix="1" applyFont="1" applyFill="1" applyBorder="1" applyAlignment="1">
      <alignment horizontal="center" vertical="center"/>
    </xf>
    <xf numFmtId="0" fontId="27" fillId="33" borderId="29" xfId="42" quotePrefix="1" applyFont="1" applyFill="1" applyBorder="1" applyAlignment="1">
      <alignment horizontal="center" vertical="center"/>
    </xf>
    <xf numFmtId="0" fontId="27" fillId="33" borderId="30" xfId="42" applyFont="1" applyFill="1" applyBorder="1" applyAlignment="1">
      <alignment horizontal="center" vertical="center"/>
    </xf>
    <xf numFmtId="0" fontId="27" fillId="33" borderId="10" xfId="42" applyFont="1" applyFill="1" applyBorder="1" applyAlignment="1">
      <alignment horizontal="center" vertical="center"/>
    </xf>
    <xf numFmtId="0" fontId="27" fillId="0" borderId="28" xfId="42" quotePrefix="1" applyFont="1" applyFill="1" applyBorder="1" applyAlignment="1">
      <alignment horizontal="center" vertical="center"/>
    </xf>
    <xf numFmtId="0" fontId="27" fillId="0" borderId="24" xfId="42" quotePrefix="1" applyFont="1" applyFill="1" applyBorder="1" applyAlignment="1">
      <alignment horizontal="center" vertical="center"/>
    </xf>
    <xf numFmtId="0" fontId="27" fillId="33" borderId="21" xfId="42" applyFont="1" applyFill="1" applyBorder="1" applyAlignment="1">
      <alignment horizontal="center" vertical="center"/>
    </xf>
    <xf numFmtId="0" fontId="27" fillId="33" borderId="14" xfId="42" applyFont="1" applyFill="1" applyBorder="1" applyAlignment="1">
      <alignment horizontal="center" vertical="center"/>
    </xf>
    <xf numFmtId="0" fontId="27" fillId="33" borderId="18" xfId="42" applyFont="1" applyFill="1" applyBorder="1" applyAlignment="1">
      <alignment horizontal="center" vertical="center"/>
    </xf>
    <xf numFmtId="0" fontId="27" fillId="33" borderId="16" xfId="42" applyFont="1" applyFill="1" applyBorder="1" applyAlignment="1">
      <alignment horizontal="center" vertical="center"/>
    </xf>
    <xf numFmtId="0" fontId="27" fillId="33" borderId="23" xfId="42" quotePrefix="1" applyFont="1" applyFill="1" applyBorder="1" applyAlignment="1">
      <alignment horizontal="center" vertical="center"/>
    </xf>
    <xf numFmtId="0" fontId="27" fillId="33" borderId="31" xfId="42" applyFont="1" applyFill="1" applyBorder="1" applyAlignment="1">
      <alignment horizontal="center" vertical="center"/>
    </xf>
    <xf numFmtId="0" fontId="27" fillId="33" borderId="41" xfId="42" applyFont="1" applyFill="1" applyBorder="1" applyAlignment="1">
      <alignment horizontal="center" vertical="center"/>
    </xf>
    <xf numFmtId="0" fontId="27" fillId="33" borderId="42" xfId="42" applyFont="1" applyFill="1" applyBorder="1" applyAlignment="1">
      <alignment horizontal="center" vertical="center"/>
    </xf>
    <xf numFmtId="0" fontId="27" fillId="33" borderId="43" xfId="42" applyFont="1" applyFill="1" applyBorder="1" applyAlignment="1">
      <alignment horizontal="center" vertical="center"/>
    </xf>
    <xf numFmtId="0" fontId="27" fillId="0" borderId="15" xfId="42" applyFont="1" applyBorder="1" applyAlignment="1">
      <alignment horizontal="left" vertical="center" textRotation="90"/>
    </xf>
    <xf numFmtId="0" fontId="27" fillId="0" borderId="12" xfId="42" applyFont="1" applyBorder="1" applyAlignment="1">
      <alignment horizontal="left" vertical="center" textRotation="90"/>
    </xf>
    <xf numFmtId="0" fontId="30" fillId="0" borderId="17" xfId="42" applyFont="1" applyBorder="1" applyAlignment="1">
      <alignment horizontal="left" vertical="center" textRotation="90"/>
    </xf>
    <xf numFmtId="0" fontId="27" fillId="0" borderId="19" xfId="42" applyFont="1" applyBorder="1" applyAlignment="1">
      <alignment horizontal="left" vertical="center" textRotation="90"/>
    </xf>
    <xf numFmtId="0" fontId="27" fillId="0" borderId="13" xfId="42" applyFont="1" applyBorder="1" applyAlignment="1">
      <alignment horizontal="left" vertical="center" textRotation="90"/>
    </xf>
    <xf numFmtId="0" fontId="30" fillId="0" borderId="14" xfId="42" applyFont="1" applyBorder="1" applyAlignment="1">
      <alignment horizontal="left" vertical="center" textRotation="90"/>
    </xf>
    <xf numFmtId="0" fontId="30" fillId="0" borderId="18" xfId="42" applyFont="1" applyBorder="1" applyAlignment="1">
      <alignment horizontal="left" vertical="center" textRotation="90"/>
    </xf>
    <xf numFmtId="0" fontId="30" fillId="0" borderId="16" xfId="42" applyFont="1" applyBorder="1" applyAlignment="1">
      <alignment horizontal="left" vertical="center" textRotation="90"/>
    </xf>
    <xf numFmtId="0" fontId="27" fillId="0" borderId="11" xfId="42" applyFont="1" applyBorder="1" applyAlignment="1">
      <alignment horizontal="left" vertical="center" textRotation="90"/>
    </xf>
    <xf numFmtId="164" fontId="31" fillId="34" borderId="44" xfId="43" applyNumberFormat="1" applyFont="1" applyFill="1" applyBorder="1" applyAlignment="1">
      <alignment horizontal="center" vertical="center"/>
    </xf>
    <xf numFmtId="164" fontId="27" fillId="34" borderId="45" xfId="43" applyNumberFormat="1" applyFont="1" applyFill="1" applyBorder="1" applyAlignment="1">
      <alignment horizontal="center" vertical="center" wrapText="1"/>
    </xf>
    <xf numFmtId="0" fontId="31" fillId="34" borderId="46" xfId="43" applyNumberFormat="1" applyFont="1" applyFill="1" applyBorder="1" applyAlignment="1">
      <alignment horizontal="center" vertical="center"/>
    </xf>
    <xf numFmtId="10" fontId="27" fillId="0" borderId="18" xfId="42" applyNumberFormat="1" applyFont="1" applyFill="1" applyBorder="1" applyAlignment="1">
      <alignment vertical="center" wrapText="1"/>
    </xf>
    <xf numFmtId="0" fontId="34" fillId="0" borderId="13" xfId="42" quotePrefix="1" applyFont="1" applyFill="1" applyBorder="1" applyAlignment="1">
      <alignment vertical="center" wrapText="1"/>
    </xf>
    <xf numFmtId="0" fontId="27" fillId="34" borderId="34" xfId="42" applyFont="1" applyFill="1" applyBorder="1" applyAlignment="1">
      <alignment horizontal="right"/>
    </xf>
    <xf numFmtId="10" fontId="29" fillId="0" borderId="11" xfId="42" applyNumberFormat="1" applyFont="1" applyBorder="1" applyAlignment="1">
      <alignment horizontal="center"/>
    </xf>
    <xf numFmtId="0" fontId="27" fillId="0" borderId="18" xfId="42" applyFont="1" applyFill="1" applyBorder="1" applyAlignment="1">
      <alignment horizontal="left" vertical="center" textRotation="90"/>
    </xf>
    <xf numFmtId="0" fontId="43" fillId="0" borderId="0" xfId="0" applyFont="1" applyProtection="1">
      <protection locked="0"/>
    </xf>
    <xf numFmtId="49" fontId="7" fillId="39" borderId="0" xfId="0" applyNumberFormat="1" applyFont="1" applyFill="1" applyProtection="1">
      <protection locked="0"/>
    </xf>
    <xf numFmtId="49" fontId="43" fillId="0" borderId="0" xfId="0" applyNumberFormat="1" applyFont="1" applyProtection="1">
      <protection locked="0"/>
    </xf>
    <xf numFmtId="0" fontId="27" fillId="34" borderId="33" xfId="42" applyFont="1" applyFill="1" applyBorder="1" applyAlignment="1">
      <alignment horizontal="center"/>
    </xf>
    <xf numFmtId="0" fontId="27" fillId="34" borderId="35" xfId="42" applyFont="1" applyFill="1" applyBorder="1" applyAlignment="1">
      <alignment horizontal="center"/>
    </xf>
    <xf numFmtId="0" fontId="27" fillId="34" borderId="32" xfId="42" applyFont="1" applyFill="1" applyBorder="1" applyAlignment="1">
      <alignment horizontal="center"/>
    </xf>
    <xf numFmtId="0" fontId="27" fillId="34" borderId="37" xfId="42" applyFont="1" applyFill="1" applyBorder="1" applyAlignment="1">
      <alignment horizontal="center"/>
    </xf>
    <xf numFmtId="0" fontId="27" fillId="34" borderId="36" xfId="42" applyFont="1" applyFill="1" applyBorder="1" applyAlignment="1">
      <alignment horizontal="center"/>
    </xf>
    <xf numFmtId="0" fontId="29" fillId="0" borderId="10" xfId="42" applyFont="1" applyFill="1" applyBorder="1" applyAlignment="1">
      <alignment horizontal="center" vertical="center"/>
    </xf>
    <xf numFmtId="0" fontId="29" fillId="0" borderId="0" xfId="42" applyFont="1" applyFill="1" applyBorder="1" applyAlignment="1">
      <alignment horizontal="center" vertical="center"/>
    </xf>
    <xf numFmtId="0" fontId="27" fillId="34" borderId="39" xfId="42" applyFont="1" applyFill="1" applyBorder="1" applyAlignment="1">
      <alignment horizontal="center"/>
    </xf>
    <xf numFmtId="0" fontId="27" fillId="34" borderId="40" xfId="42" applyFont="1" applyFill="1" applyBorder="1" applyAlignment="1">
      <alignment horizontal="center"/>
    </xf>
    <xf numFmtId="0" fontId="27" fillId="34" borderId="10" xfId="42" applyFont="1" applyFill="1" applyBorder="1" applyAlignment="1">
      <alignment horizontal="center"/>
    </xf>
    <xf numFmtId="0" fontId="27" fillId="34" borderId="24" xfId="42" applyFont="1" applyFill="1" applyBorder="1" applyAlignment="1">
      <alignment horizont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24" xfId="42" applyFont="1" applyBorder="1" applyAlignment="1">
      <alignment vertical="center"/>
    </xf>
    <xf numFmtId="0" fontId="37" fillId="0" borderId="0" xfId="42" applyFont="1" applyBorder="1" applyAlignment="1">
      <alignment vertical="center"/>
    </xf>
    <xf numFmtId="0" fontId="37" fillId="0" borderId="24" xfId="42" applyFont="1" applyBorder="1" applyAlignment="1">
      <alignment vertical="center"/>
    </xf>
    <xf numFmtId="0" fontId="28" fillId="34" borderId="33" xfId="42" applyFont="1" applyFill="1" applyBorder="1" applyAlignment="1">
      <alignment horizontal="center"/>
    </xf>
    <xf numFmtId="0" fontId="28" fillId="34" borderId="35" xfId="42" applyFont="1" applyFill="1" applyBorder="1" applyAlignment="1">
      <alignment horizontal="center"/>
    </xf>
    <xf numFmtId="0" fontId="28" fillId="34" borderId="32" xfId="42" applyFont="1" applyFill="1" applyBorder="1" applyAlignment="1">
      <alignment horizontal="center"/>
    </xf>
    <xf numFmtId="0" fontId="29" fillId="0" borderId="10" xfId="42" applyFont="1" applyBorder="1" applyAlignment="1">
      <alignment horizontal="center" vertical="center"/>
    </xf>
    <xf numFmtId="0" fontId="29" fillId="0" borderId="0" xfId="42" applyFont="1" applyBorder="1" applyAlignment="1">
      <alignment horizontal="center" vertical="center"/>
    </xf>
    <xf numFmtId="0" fontId="29" fillId="0" borderId="16" xfId="42" applyFont="1" applyBorder="1" applyAlignment="1">
      <alignment vertical="center"/>
    </xf>
    <xf numFmtId="0" fontId="37" fillId="0" borderId="18" xfId="42" applyFont="1" applyBorder="1" applyAlignment="1">
      <alignment vertical="center"/>
    </xf>
    <xf numFmtId="0" fontId="37" fillId="0" borderId="13" xfId="42" applyFont="1" applyBorder="1" applyAlignment="1">
      <alignment vertical="center"/>
    </xf>
    <xf numFmtId="0" fontId="29" fillId="0" borderId="18" xfId="42" applyFont="1" applyBorder="1" applyAlignment="1">
      <alignment vertical="center"/>
    </xf>
    <xf numFmtId="0" fontId="29" fillId="0" borderId="13" xfId="42" applyFont="1" applyBorder="1" applyAlignment="1">
      <alignment vertical="center"/>
    </xf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9" fillId="0" borderId="32" xfId="42" applyFont="1" applyBorder="1" applyAlignment="1">
      <alignment vertic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 2" xfId="43"/>
    <cellStyle name="Title" xfId="1" builtinId="15" customBuiltin="1"/>
    <cellStyle name="Total" xfId="17" builtinId="25" customBuiltin="1"/>
    <cellStyle name="Warning Text" xfId="14" builtinId="11" customBuiltin="1"/>
  </cellStyles>
  <dxfs count="67"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hair">
          <color indexed="2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indexed="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/>
        <bottom/>
      </border>
    </dxf>
    <dxf>
      <border outline="0">
        <right style="hair">
          <color indexed="21"/>
        </right>
        <bottom style="hair">
          <color indexed="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hair">
          <color indexed="21"/>
        </left>
        <right style="hair">
          <color indexed="21"/>
        </right>
        <top/>
        <bottom/>
      </border>
    </dxf>
  </dxfs>
  <tableStyles count="0" defaultTableStyle="TableStyleMedium2" defaultPivotStyle="PivotStyleLight16"/>
  <colors>
    <mruColors>
      <color rgb="FFE0E0B4"/>
      <color rgb="FF9C0006"/>
      <color rgb="FF006699"/>
      <color rgb="FF33CCCC"/>
      <color rgb="FFFFFFC2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A$3" max="9" min="1" page="8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209550</xdr:rowOff>
        </xdr:from>
        <xdr:to>
          <xdr:col>0</xdr:col>
          <xdr:colOff>1438275</xdr:colOff>
          <xdr:row>2</xdr:row>
          <xdr:rowOff>704850</xdr:rowOff>
        </xdr:to>
        <xdr:sp macro="" textlink="">
          <xdr:nvSpPr>
            <xdr:cNvPr id="24104" name="Button 17960" hidden="1">
              <a:extLst>
                <a:ext uri="{63B3BB69-23CF-44E3-9099-C40C66FF867C}">
                  <a14:compatExt spid="_x0000_s24104"/>
                </a:ext>
                <a:ext uri="{FF2B5EF4-FFF2-40B4-BE49-F238E27FC236}">
                  <a16:creationId xmlns:a16="http://schemas.microsoft.com/office/drawing/2014/main" id="{00000000-0008-0000-0000-0000285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first fxsxml as comment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4113" name="SQLBtn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4120" name="SQLBtnOneOff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4126" name="SQLBtnOneOffChg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4130" name="UnitAutosave" descr="Convert &amp; autosave in .\SQL folder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5122" name="StyleBt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5123" name="StyleAutosav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4" displayName="Table4" ref="A3:BH104" totalsRowShown="0" headerRowDxfId="66" dataDxfId="64" headerRowBorderDxfId="65" tableBorderDxfId="63">
  <autoFilter ref="A3:BH104"/>
  <tableColumns count="60">
    <tableColumn id="1" name="unit type" dataDxfId="62"/>
    <tableColumn id="49" name="Euro" dataDxfId="61"/>
    <tableColumn id="2" name="America" dataDxfId="60"/>
    <tableColumn id="27" name="Austria" dataDxfId="59"/>
    <tableColumn id="30" name="Celts" dataDxfId="58"/>
    <tableColumn id="7" name="England" dataDxfId="57"/>
    <tableColumn id="8" name="France" dataDxfId="56"/>
    <tableColumn id="9" name="Germany" dataDxfId="55"/>
    <tableColumn id="34" name="Netherlands" dataDxfId="54"/>
    <tableColumn id="59" name="NorthEu" dataDxfId="53" dataCellStyle="Normal 2"/>
    <tableColumn id="58" name="Denmark" dataDxfId="52" dataCellStyle="Normal 2"/>
    <tableColumn id="24" name="Sweden" dataDxfId="51" dataCellStyle="Normal 2"/>
    <tableColumn id="38" name="EastEu" dataDxfId="50"/>
    <tableColumn id="41" name="Poland" dataDxfId="49"/>
    <tableColumn id="17" name="Russia" dataDxfId="48"/>
    <tableColumn id="50" name="Med" dataDxfId="47"/>
    <tableColumn id="37" name="Brazil" dataDxfId="46"/>
    <tableColumn id="28" name="Byzantium" dataDxfId="45" dataCellStyle="Normal 2"/>
    <tableColumn id="10" name="Greece" dataDxfId="44" dataCellStyle="Normal 2"/>
    <tableColumn id="42" name="Portugal" dataDxfId="43"/>
    <tableColumn id="16" name="Rome" dataDxfId="42"/>
    <tableColumn id="22" name="Spain" dataDxfId="41"/>
    <tableColumn id="44" name="Venice" dataDxfId="40"/>
    <tableColumn id="51" name="MidEast" dataDxfId="39"/>
    <tableColumn id="3" name="Arabia" dataDxfId="38"/>
    <tableColumn id="36" name="Assyria" dataDxfId="37" dataCellStyle="Normal 2"/>
    <tableColumn id="20" name="Babylon" dataDxfId="36" dataCellStyle="Normal 2"/>
    <tableColumn id="6" name="Egypt" dataDxfId="35"/>
    <tableColumn id="35" name="Persia" dataDxfId="34" dataCellStyle="Normal 2"/>
    <tableColumn id="62" name="NorthAf" dataDxfId="33" dataCellStyle="Normal 2"/>
    <tableColumn id="63" name="Carthage" dataDxfId="32" dataCellStyle="Normal 2"/>
    <tableColumn id="15" name="Morocco" dataDxfId="31" dataCellStyle="Normal 2"/>
    <tableColumn id="46" name="Afri" dataDxfId="30"/>
    <tableColumn id="31" name="Ethiopia" dataDxfId="29"/>
    <tableColumn id="19" name="Songhai" dataDxfId="28"/>
    <tableColumn id="45" name="Zulu" dataDxfId="27"/>
    <tableColumn id="53" name="CentAs" dataDxfId="26"/>
    <tableColumn id="32" name="Huns" dataDxfId="25"/>
    <tableColumn id="14" name="Ottoman" dataDxfId="24"/>
    <tableColumn id="61" name="SouthAs" dataDxfId="23"/>
    <tableColumn id="60" name="India" dataDxfId="22"/>
    <tableColumn id="48" name="Asia" dataDxfId="21"/>
    <tableColumn id="5" name="China" dataDxfId="20"/>
    <tableColumn id="13" name="Japan" dataDxfId="19"/>
    <tableColumn id="26" name="Korea" dataDxfId="18"/>
    <tableColumn id="21" name="Mongol" dataDxfId="17"/>
    <tableColumn id="11" name="SEASia" dataDxfId="16"/>
    <tableColumn id="39" name="Indonesia" dataDxfId="15"/>
    <tableColumn id="18" name="Siam" dataDxfId="14"/>
    <tableColumn id="47" name="Amer" dataDxfId="13"/>
    <tableColumn id="12" name="Iroquois" dataDxfId="12"/>
    <tableColumn id="43" name="Shoshone" dataDxfId="11"/>
    <tableColumn id="52" name="SouthAm" dataDxfId="10"/>
    <tableColumn id="4" name="Aztec" dataDxfId="9"/>
    <tableColumn id="23" name="Inca" dataDxfId="8"/>
    <tableColumn id="54" name="Maya" dataDxfId="7"/>
    <tableColumn id="57" name="Ocean" dataDxfId="6"/>
    <tableColumn id="56" name="Polynesia" dataDxfId="5"/>
    <tableColumn id="33" name="City-States" dataDxfId="4"/>
    <tableColumn id="55" name="Barbarian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EG136"/>
  <sheetViews>
    <sheetView tabSelected="1"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4" sqref="C4"/>
    </sheetView>
  </sheetViews>
  <sheetFormatPr defaultColWidth="11.5703125" defaultRowHeight="15" x14ac:dyDescent="0.25"/>
  <cols>
    <col min="1" max="1" width="27.42578125" style="55" bestFit="1" customWidth="1"/>
    <col min="2" max="2" width="3.7109375" style="55" customWidth="1"/>
    <col min="3" max="3" width="3.7109375" style="151" customWidth="1"/>
    <col min="4" max="18" width="3.7109375" style="55" customWidth="1"/>
    <col min="19" max="19" width="3.7109375" style="150" customWidth="1"/>
    <col min="20" max="20" width="3.7109375" style="149" customWidth="1"/>
    <col min="21" max="23" width="3.7109375" style="55" customWidth="1"/>
    <col min="24" max="24" width="3.7109375" style="149" customWidth="1"/>
    <col min="25" max="30" width="3.7109375" style="55" customWidth="1"/>
    <col min="31" max="32" width="3.7109375" style="149" customWidth="1"/>
    <col min="33" max="60" width="3.7109375" style="55" customWidth="1"/>
    <col min="61" max="61" width="21.5703125" style="55" bestFit="1" customWidth="1"/>
    <col min="62" max="62" width="11.28515625" style="55" bestFit="1" customWidth="1"/>
    <col min="63" max="63" width="17.28515625" style="55" bestFit="1" customWidth="1"/>
    <col min="64" max="64" width="2.28515625" style="55" bestFit="1" customWidth="1"/>
    <col min="65" max="65" width="25.140625" style="55" bestFit="1" customWidth="1"/>
    <col min="66" max="126" width="3.7109375" style="55" customWidth="1"/>
    <col min="127" max="127" width="33.28515625" style="55" bestFit="1" customWidth="1"/>
    <col min="128" max="128" width="3.7109375" style="55" customWidth="1"/>
    <col min="129" max="129" width="25.140625" style="55" bestFit="1" customWidth="1"/>
    <col min="130" max="130" width="33.28515625" style="152" bestFit="1" customWidth="1"/>
    <col min="131" max="131" width="14.5703125" style="152" bestFit="1" customWidth="1"/>
    <col min="132" max="16384" width="11.5703125" style="55"/>
  </cols>
  <sheetData>
    <row r="1" spans="1:131" s="38" customFormat="1" ht="15" customHeight="1" x14ac:dyDescent="0.2">
      <c r="A1" s="208" t="s">
        <v>101</v>
      </c>
      <c r="B1" s="215" t="s">
        <v>100</v>
      </c>
      <c r="C1" s="215"/>
      <c r="D1" s="215"/>
      <c r="E1" s="215"/>
      <c r="F1" s="215"/>
      <c r="G1" s="215"/>
      <c r="H1" s="215"/>
      <c r="I1" s="216"/>
      <c r="J1" s="230" t="s">
        <v>1294</v>
      </c>
      <c r="K1" s="231"/>
      <c r="L1" s="232"/>
      <c r="M1" s="230" t="s">
        <v>1295</v>
      </c>
      <c r="N1" s="231"/>
      <c r="O1" s="232"/>
      <c r="P1" s="214" t="s">
        <v>99</v>
      </c>
      <c r="Q1" s="215"/>
      <c r="R1" s="215"/>
      <c r="S1" s="215"/>
      <c r="T1" s="215"/>
      <c r="U1" s="215"/>
      <c r="V1" s="215"/>
      <c r="W1" s="216"/>
      <c r="X1" s="214" t="s">
        <v>98</v>
      </c>
      <c r="Y1" s="215"/>
      <c r="Z1" s="215"/>
      <c r="AA1" s="215"/>
      <c r="AB1" s="215"/>
      <c r="AC1" s="216"/>
      <c r="AD1" s="214" t="s">
        <v>2013</v>
      </c>
      <c r="AE1" s="215"/>
      <c r="AF1" s="216"/>
      <c r="AG1" s="214" t="s">
        <v>97</v>
      </c>
      <c r="AH1" s="215"/>
      <c r="AI1" s="215"/>
      <c r="AJ1" s="216"/>
      <c r="AK1" s="230" t="s">
        <v>1292</v>
      </c>
      <c r="AL1" s="231"/>
      <c r="AM1" s="232"/>
      <c r="AN1" s="230" t="s">
        <v>1293</v>
      </c>
      <c r="AO1" s="232"/>
      <c r="AP1" s="214" t="s">
        <v>96</v>
      </c>
      <c r="AQ1" s="215"/>
      <c r="AR1" s="215"/>
      <c r="AS1" s="215"/>
      <c r="AT1" s="216"/>
      <c r="AU1" s="231" t="s">
        <v>95</v>
      </c>
      <c r="AV1" s="231"/>
      <c r="AW1" s="232"/>
      <c r="AX1" s="214" t="s">
        <v>1296</v>
      </c>
      <c r="AY1" s="215"/>
      <c r="AZ1" s="216"/>
      <c r="BA1" s="214" t="s">
        <v>1297</v>
      </c>
      <c r="BB1" s="215"/>
      <c r="BC1" s="215"/>
      <c r="BD1" s="216"/>
      <c r="BE1" s="230" t="s">
        <v>94</v>
      </c>
      <c r="BF1" s="232"/>
      <c r="BG1" s="36" t="s">
        <v>1</v>
      </c>
      <c r="BH1" s="37" t="s">
        <v>1</v>
      </c>
      <c r="BI1" s="37" t="s">
        <v>1299</v>
      </c>
      <c r="BJ1" s="37" t="s">
        <v>1298</v>
      </c>
      <c r="BK1" s="36" t="s">
        <v>1300</v>
      </c>
      <c r="BL1" s="215" t="s">
        <v>93</v>
      </c>
      <c r="BM1" s="216"/>
    </row>
    <row r="2" spans="1:131" s="38" customFormat="1" ht="12.75" customHeight="1" x14ac:dyDescent="0.2">
      <c r="A2" s="46" t="s">
        <v>1917</v>
      </c>
      <c r="B2" s="40" t="s">
        <v>1</v>
      </c>
      <c r="C2" s="41"/>
      <c r="D2" s="42" t="s">
        <v>91</v>
      </c>
      <c r="E2" s="42" t="s">
        <v>91</v>
      </c>
      <c r="F2" s="42"/>
      <c r="G2" s="42"/>
      <c r="H2" s="42"/>
      <c r="I2" s="43" t="s">
        <v>91</v>
      </c>
      <c r="J2" s="39"/>
      <c r="K2" s="41" t="s">
        <v>90</v>
      </c>
      <c r="L2" s="44" t="s">
        <v>91</v>
      </c>
      <c r="M2" s="45" t="s">
        <v>1</v>
      </c>
      <c r="N2" s="42" t="s">
        <v>92</v>
      </c>
      <c r="O2" s="43"/>
      <c r="P2" s="45" t="s">
        <v>1</v>
      </c>
      <c r="Q2" s="42" t="s">
        <v>92</v>
      </c>
      <c r="R2" s="42" t="s">
        <v>91</v>
      </c>
      <c r="S2" s="42"/>
      <c r="T2" s="41" t="s">
        <v>92</v>
      </c>
      <c r="U2" s="42"/>
      <c r="V2" s="42" t="s">
        <v>90</v>
      </c>
      <c r="W2" s="43" t="s">
        <v>92</v>
      </c>
      <c r="X2" s="45" t="s">
        <v>1</v>
      </c>
      <c r="Y2" s="42"/>
      <c r="Z2" s="42" t="s">
        <v>92</v>
      </c>
      <c r="AA2" s="42" t="s">
        <v>90</v>
      </c>
      <c r="AB2" s="42"/>
      <c r="AC2" s="44"/>
      <c r="AD2" s="45" t="s">
        <v>1</v>
      </c>
      <c r="AE2" s="42" t="s">
        <v>91</v>
      </c>
      <c r="AF2" s="42" t="s">
        <v>92</v>
      </c>
      <c r="AG2" s="45" t="s">
        <v>1</v>
      </c>
      <c r="AH2" s="42" t="s">
        <v>91</v>
      </c>
      <c r="AI2" s="42"/>
      <c r="AJ2" s="43" t="s">
        <v>92</v>
      </c>
      <c r="AK2" s="39" t="s">
        <v>1</v>
      </c>
      <c r="AL2" s="41" t="s">
        <v>91</v>
      </c>
      <c r="AM2" s="43"/>
      <c r="AN2" s="45" t="s">
        <v>1</v>
      </c>
      <c r="AO2" s="43"/>
      <c r="AP2" s="45" t="s">
        <v>1</v>
      </c>
      <c r="AQ2" s="42"/>
      <c r="AR2" s="42"/>
      <c r="AS2" s="42" t="s">
        <v>90</v>
      </c>
      <c r="AT2" s="43" t="s">
        <v>90</v>
      </c>
      <c r="AU2" s="45" t="s">
        <v>1</v>
      </c>
      <c r="AV2" s="42" t="s">
        <v>92</v>
      </c>
      <c r="AW2" s="43"/>
      <c r="AX2" s="45" t="s">
        <v>1</v>
      </c>
      <c r="AY2" s="42"/>
      <c r="AZ2" s="43" t="s">
        <v>92</v>
      </c>
      <c r="BA2" s="45" t="s">
        <v>1</v>
      </c>
      <c r="BB2" s="42"/>
      <c r="BC2" s="42" t="s">
        <v>90</v>
      </c>
      <c r="BD2" s="43" t="s">
        <v>91</v>
      </c>
      <c r="BE2" s="45" t="s">
        <v>1</v>
      </c>
      <c r="BF2" s="43" t="s">
        <v>90</v>
      </c>
      <c r="BG2" s="46"/>
      <c r="BH2" s="46"/>
      <c r="BI2" s="47">
        <f>COUNTIF(C4:I62,"X")+COUNTIF(K4:L62,"X")+COUNTIF(N4:O62,"X")+COUNTIF(Q4:W62,"X")+COUNTIF(Y4:AF62,"X")+COUNTIF(AH4:AJ62,"X")+COUNTIF(AL4:AM62,"X")+COUNTIF(AO4:AO62,"X")+COUNTIF(AQ4:AT62,"X")+COUNTIF(AV4:AW62,"X")+COUNTIF(AY4:AZ62,"X")+COUNTIF(BB4:BD62,"X")+COUNTIF(BF4:BF62,"X")</f>
        <v>599</v>
      </c>
      <c r="BJ2" s="47">
        <f>COUNTIF(C4:I62,"+")+COUNTIF(K4:L62,"+")+COUNTIF(N4:O62,"+")+COUNTIF(Q4:W62,"+")+COUNTIF(Y4:AF62,"+")+COUNTIF(AH4:AJ62,"+")+COUNTIF(AL4:AM62,"+")+COUNTIF(AO4:AO62,"+")+COUNTIF(AQ4:AT62,"+")+COUNTIF(AV4:AW62,"+")+COUNTIF(AY4:AZ62,"+")+COUNTIF(BB4:BD62,"+")+COUNTIF(BF4:BF62,"+")</f>
        <v>516</v>
      </c>
      <c r="BK2" s="48">
        <f>(9+2+8+6+3+2+1+4+2+2+3+1)*59</f>
        <v>2537</v>
      </c>
      <c r="BL2" s="217"/>
      <c r="BM2" s="218"/>
    </row>
    <row r="3" spans="1:131" s="50" customFormat="1" ht="112.5" customHeight="1" x14ac:dyDescent="0.2">
      <c r="A3" s="209" t="s">
        <v>89</v>
      </c>
      <c r="B3" s="199" t="s">
        <v>1279</v>
      </c>
      <c r="C3" s="210" t="s">
        <v>88</v>
      </c>
      <c r="D3" s="194" t="s">
        <v>87</v>
      </c>
      <c r="E3" s="194" t="s">
        <v>86</v>
      </c>
      <c r="F3" s="194" t="s">
        <v>84</v>
      </c>
      <c r="G3" s="194" t="s">
        <v>83</v>
      </c>
      <c r="H3" s="194" t="s">
        <v>82</v>
      </c>
      <c r="I3" s="195" t="s">
        <v>81</v>
      </c>
      <c r="J3" s="201" t="s">
        <v>1280</v>
      </c>
      <c r="K3" s="194" t="s">
        <v>85</v>
      </c>
      <c r="L3" s="198" t="s">
        <v>80</v>
      </c>
      <c r="M3" s="196" t="s">
        <v>1281</v>
      </c>
      <c r="N3" s="194" t="s">
        <v>79</v>
      </c>
      <c r="O3" s="195" t="s">
        <v>78</v>
      </c>
      <c r="P3" s="196" t="s">
        <v>1282</v>
      </c>
      <c r="Q3" s="194" t="s">
        <v>77</v>
      </c>
      <c r="R3" s="194" t="s">
        <v>76</v>
      </c>
      <c r="S3" s="194" t="s">
        <v>74</v>
      </c>
      <c r="T3" s="197" t="s">
        <v>73</v>
      </c>
      <c r="U3" s="194" t="s">
        <v>72</v>
      </c>
      <c r="V3" s="194" t="s">
        <v>71</v>
      </c>
      <c r="W3" s="195" t="s">
        <v>70</v>
      </c>
      <c r="X3" s="196" t="s">
        <v>1283</v>
      </c>
      <c r="Y3" s="194" t="s">
        <v>69</v>
      </c>
      <c r="Z3" s="194" t="s">
        <v>65</v>
      </c>
      <c r="AA3" s="194" t="s">
        <v>66</v>
      </c>
      <c r="AB3" s="194" t="s">
        <v>68</v>
      </c>
      <c r="AC3" s="198" t="s">
        <v>67</v>
      </c>
      <c r="AD3" s="196" t="s">
        <v>2012</v>
      </c>
      <c r="AE3" s="194" t="s">
        <v>75</v>
      </c>
      <c r="AF3" s="194" t="s">
        <v>64</v>
      </c>
      <c r="AG3" s="196" t="s">
        <v>1284</v>
      </c>
      <c r="AH3" s="194" t="s">
        <v>63</v>
      </c>
      <c r="AI3" s="194" t="s">
        <v>62</v>
      </c>
      <c r="AJ3" s="195" t="s">
        <v>1291</v>
      </c>
      <c r="AK3" s="196" t="s">
        <v>1285</v>
      </c>
      <c r="AL3" s="197" t="s">
        <v>61</v>
      </c>
      <c r="AM3" s="195" t="s">
        <v>60</v>
      </c>
      <c r="AN3" s="199" t="s">
        <v>1286</v>
      </c>
      <c r="AO3" s="198" t="s">
        <v>59</v>
      </c>
      <c r="AP3" s="196" t="s">
        <v>96</v>
      </c>
      <c r="AQ3" s="194" t="s">
        <v>58</v>
      </c>
      <c r="AR3" s="194" t="s">
        <v>57</v>
      </c>
      <c r="AS3" s="194" t="s">
        <v>56</v>
      </c>
      <c r="AT3" s="195" t="s">
        <v>1722</v>
      </c>
      <c r="AU3" s="200" t="s">
        <v>1287</v>
      </c>
      <c r="AV3" s="194" t="s">
        <v>55</v>
      </c>
      <c r="AW3" s="195" t="s">
        <v>54</v>
      </c>
      <c r="AX3" s="196" t="s">
        <v>1288</v>
      </c>
      <c r="AY3" s="194" t="s">
        <v>53</v>
      </c>
      <c r="AZ3" s="195" t="s">
        <v>52</v>
      </c>
      <c r="BA3" s="201" t="s">
        <v>1289</v>
      </c>
      <c r="BB3" s="194" t="s">
        <v>51</v>
      </c>
      <c r="BC3" s="194" t="s">
        <v>50</v>
      </c>
      <c r="BD3" s="195" t="s">
        <v>49</v>
      </c>
      <c r="BE3" s="199" t="s">
        <v>1290</v>
      </c>
      <c r="BF3" s="198" t="s">
        <v>48</v>
      </c>
      <c r="BG3" s="198" t="s">
        <v>47</v>
      </c>
      <c r="BH3" s="202" t="s">
        <v>46</v>
      </c>
      <c r="BI3" s="203">
        <f>$BI$2/$BK$2</f>
        <v>0.23610563657863617</v>
      </c>
      <c r="BJ3" s="204" t="s">
        <v>1745</v>
      </c>
      <c r="BK3" s="205" t="str">
        <f>CONCATENATE(ROUND(($BI$2+$BJ$2)/$BK$2,3)*100,"%*")</f>
        <v>43.9%*</v>
      </c>
      <c r="BL3" s="206" t="s">
        <v>2404</v>
      </c>
      <c r="BM3" s="207" t="s">
        <v>2403</v>
      </c>
      <c r="BN3" s="49"/>
      <c r="BO3" s="49"/>
      <c r="BP3" s="49"/>
      <c r="BQ3" s="49"/>
      <c r="BR3" s="49"/>
      <c r="BS3" s="49"/>
      <c r="BT3" s="49"/>
      <c r="BU3" s="49"/>
      <c r="BV3" s="49"/>
      <c r="BW3" s="49"/>
    </row>
    <row r="4" spans="1:131" ht="12.75" customHeight="1" x14ac:dyDescent="0.2">
      <c r="A4" s="56" t="s">
        <v>1103</v>
      </c>
      <c r="B4" s="181" t="str">
        <f>IF(ISTEXT(VLOOKUP(CONCATENATE($A4,"_",B$3),'Unit List'!$A$23:$H$3172,2,FALSE)),"+","")</f>
        <v/>
      </c>
      <c r="C4" s="57" t="str">
        <f>IF(ISTEXT(VLOOKUP(CONCATENATE($A4,"_",C$3),'Unit List'!$A$23:$H$3172,2,FALSE)),"X",$B4)</f>
        <v/>
      </c>
      <c r="D4" s="58" t="str">
        <f>IF(ISTEXT(VLOOKUP(CONCATENATE($A4,"_",D$3),'Unit List'!$A$23:$H$3172,2,FALSE)),"X",$B4)</f>
        <v/>
      </c>
      <c r="E4" s="51" t="str">
        <f>IF(ISTEXT(VLOOKUP(CONCATENATE($A4,"_",E$3),'Unit List'!$A$23:$H$3172,2,FALSE)),"X",$B4)</f>
        <v/>
      </c>
      <c r="F4" s="58" t="str">
        <f>IF(ISTEXT(VLOOKUP(CONCATENATE($A4,"_",F$3),'Unit List'!$A$23:$H$3172,2,FALSE)),"X",$B4)</f>
        <v/>
      </c>
      <c r="G4" s="58" t="str">
        <f>IF(ISTEXT(VLOOKUP(CONCATENATE($A4,"_",G$3),'Unit List'!$A$23:$H$3172,2,FALSE)),"X",$B4)</f>
        <v/>
      </c>
      <c r="H4" s="58" t="str">
        <f>IF(ISTEXT(VLOOKUP(CONCATENATE($A4,"_",H$3),'Unit List'!$A$23:$H$3172,2,FALSE)),"X",$B4)</f>
        <v/>
      </c>
      <c r="I4" s="53" t="str">
        <f>IF(ISTEXT(VLOOKUP(CONCATENATE($A4,"_",I$3),'Unit List'!$A$23:$H$3172,2,FALSE)),"X",$B4)</f>
        <v/>
      </c>
      <c r="J4" s="172" t="str">
        <f>IF(ISTEXT(VLOOKUP(CONCATENATE($A4,"_",J$3),'Unit List'!$A$23:$H$3172,2,FALSE)),"+","")</f>
        <v/>
      </c>
      <c r="K4" s="51" t="str">
        <f>IF(ISTEXT(VLOOKUP(CONCATENATE($A4,"_",K$3),'Unit List'!$A$23:$H$3172,2,FALSE)),"X",$J4)</f>
        <v/>
      </c>
      <c r="L4" s="59" t="str">
        <f>IF(ISTEXT(VLOOKUP(CONCATENATE($A4,"_",L$3),'Unit List'!$A$23:$H$3172,2,FALSE)),"X",$J4)</f>
        <v/>
      </c>
      <c r="M4" s="172" t="str">
        <f>IF(ISTEXT(VLOOKUP(CONCATENATE($A4,"_",M$3),'Unit List'!$A$23:$H$3172,2,FALSE)),"+","")</f>
        <v/>
      </c>
      <c r="N4" s="51" t="str">
        <f>IF(ISTEXT(VLOOKUP(CONCATENATE($A4,"_",N$3),'Unit List'!$A$23:$H$3172,2,FALSE)),"X",$M4)</f>
        <v/>
      </c>
      <c r="O4" s="61" t="str">
        <f>IF(ISTEXT(VLOOKUP(CONCATENATE($A4,"_",O$3),'Unit List'!$A$23:$H$3172,2,FALSE)),"X",$M4)</f>
        <v/>
      </c>
      <c r="P4" s="172" t="str">
        <f>IF(ISTEXT(VLOOKUP(CONCATENATE($A4,"_",P$3),'Unit List'!$A$23:$H$3172,2,FALSE)),"+","")</f>
        <v/>
      </c>
      <c r="Q4" s="51" t="str">
        <f>IF(ISTEXT(VLOOKUP(CONCATENATE($A4,"_",Q$3),'Unit List'!$A$23:$H$3172,2,FALSE)),"X",$P4)</f>
        <v/>
      </c>
      <c r="R4" s="51" t="str">
        <f>IF(ISTEXT(VLOOKUP(CONCATENATE($A4,"_",R$3),'Unit List'!$A$23:$H$3172,2,FALSE)),"X",$P4)</f>
        <v/>
      </c>
      <c r="S4" s="51" t="str">
        <f>IF(ISTEXT(VLOOKUP(CONCATENATE($A4,"_",S$3),'Unit List'!$A$23:$H$3172,2,FALSE)),"X",$P4)</f>
        <v/>
      </c>
      <c r="T4" s="52" t="str">
        <f>IF(ISTEXT(VLOOKUP(CONCATENATE($A4,"_",T$3),'Unit List'!$A$23:$H$3172,2,FALSE)),"X",$P4)</f>
        <v/>
      </c>
      <c r="U4" s="60" t="str">
        <f>IF(ISTEXT(VLOOKUP(CONCATENATE($A4,"_",U$3),'Unit List'!$A$23:$H$3172,2,FALSE)),"X",$P4)</f>
        <v/>
      </c>
      <c r="V4" s="51" t="str">
        <f>IF(ISTEXT(VLOOKUP(CONCATENATE($A4,"_",V$3),'Unit List'!$A$23:$H$3172,2,FALSE)),"X",$P4)</f>
        <v/>
      </c>
      <c r="W4" s="53" t="str">
        <f>IF(ISTEXT(VLOOKUP(CONCATENATE($A4,"_",W$3),'Unit List'!$A$23:$H$3172,2,FALSE)),"X",$P4)</f>
        <v/>
      </c>
      <c r="X4" s="172" t="str">
        <f>IF(ISTEXT(VLOOKUP(CONCATENATE($A4,"_",X$3),'Unit List'!$A$23:$H$3172,2,FALSE)),"+","")</f>
        <v/>
      </c>
      <c r="Y4" s="51" t="str">
        <f>IF(ISTEXT(VLOOKUP(CONCATENATE($A4,"_",Y$3),'Unit List'!$A$23:$H$3172,2,FALSE)),"X",$X4)</f>
        <v/>
      </c>
      <c r="Z4" s="51" t="str">
        <f>IF(ISTEXT(VLOOKUP(CONCATENATE($A4,"_",Z$3),'Unit List'!$A$23:$H$3172,2,FALSE)),"X",$X4)</f>
        <v/>
      </c>
      <c r="AA4" s="51" t="str">
        <f>IF(ISTEXT(VLOOKUP(CONCATENATE($A4,"_",AA$3),'Unit List'!$A$23:$H$3172,2,FALSE)),"X",$X4)</f>
        <v/>
      </c>
      <c r="AB4" s="51" t="str">
        <f>IF(ISTEXT(VLOOKUP(CONCATENATE($A4,"_",AB$3),'Unit List'!$A$23:$H$3172,2,FALSE)),"X",$X4)</f>
        <v/>
      </c>
      <c r="AC4" s="62" t="str">
        <f>IF(ISTEXT(VLOOKUP(CONCATENATE($A4,"_",AC$3),'Unit List'!$A$23:$H$3172,2,FALSE)),"X",$X4)</f>
        <v/>
      </c>
      <c r="AD4" s="172" t="str">
        <f>IF(ISTEXT(VLOOKUP(CONCATENATE($A4,"_",AD$3),'Unit List'!$A$23:$H$3172,2,FALSE)),"+","")</f>
        <v/>
      </c>
      <c r="AE4" s="51" t="str">
        <f>IF(ISTEXT(VLOOKUP(CONCATENATE($A4,"_",AE$3),'Unit List'!$A$23:$H$3172,2,FALSE)),"X",$AD4)</f>
        <v/>
      </c>
      <c r="AF4" s="51" t="str">
        <f>IF(ISTEXT(VLOOKUP(CONCATENATE($A4,"_",AF$3),'Unit List'!$A$23:$H$3172,2,FALSE)),"X",$AD4)</f>
        <v/>
      </c>
      <c r="AG4" s="172" t="str">
        <f>IF(ISTEXT(VLOOKUP(CONCATENATE($A4,"_",AG$3),'Unit List'!$A$23:$H$3172,2,FALSE)),"+","")</f>
        <v/>
      </c>
      <c r="AH4" s="51" t="str">
        <f>IF(ISTEXT(VLOOKUP(CONCATENATE($A4,"_",AH$3),'Unit List'!$A$23:$H$3172,2,FALSE)),"X",$AG4)</f>
        <v/>
      </c>
      <c r="AI4" s="51" t="str">
        <f>IF(ISTEXT(VLOOKUP(CONCATENATE($A4,"_",AI$3),'Unit List'!$A$23:$H$3172,2,FALSE)),"X",$AG4)</f>
        <v/>
      </c>
      <c r="AJ4" s="53" t="str">
        <f>IF(ISTEXT(VLOOKUP(CONCATENATE($A4,"_",AJ$3),'Unit List'!$A$23:$H$3172,2,FALSE)),"X",$AG4)</f>
        <v/>
      </c>
      <c r="AK4" s="172" t="str">
        <f>IF(ISTEXT(VLOOKUP(CONCATENATE($A4,"_",AK$3),'Unit List'!$A$23:$H$3172,2,FALSE)),"+","")</f>
        <v/>
      </c>
      <c r="AL4" s="63" t="str">
        <f>IF(ISTEXT(VLOOKUP(CONCATENATE($A4,"_",AL$3),'Unit List'!$A$23:$H$3172,2,FALSE)),"X",$AK4)</f>
        <v/>
      </c>
      <c r="AM4" s="53" t="str">
        <f>IF(ISTEXT(VLOOKUP(CONCATENATE($A4,"_",AM$3),'Unit List'!$A$23:$H$3172,2,FALSE)),"X",$AK4)</f>
        <v/>
      </c>
      <c r="AN4" s="125" t="str">
        <f>IF(ISTEXT(VLOOKUP(CONCATENATE($A4,"_",AN$3),'Unit List'!$A$23:$H$3172,2,FALSE)),"+","")</f>
        <v/>
      </c>
      <c r="AO4" s="53" t="str">
        <f>IF(ISTEXT(VLOOKUP(CONCATENATE($A4,"_",AO$3),'Unit List'!$A$23:$H$3172,2,FALSE)),"X",$AN4)</f>
        <v/>
      </c>
      <c r="AP4" s="172" t="str">
        <f>IF(ISTEXT(VLOOKUP(CONCATENATE($A4,"_",AP$3),'Unit List'!$A$23:$H$3172,2,FALSE)),"+","")</f>
        <v/>
      </c>
      <c r="AQ4" s="51" t="str">
        <f>IF(ISTEXT(VLOOKUP(CONCATENATE($A4,"_",AQ$3),'Unit List'!$A$23:$H$3172,2,FALSE)),"X",$AP4)</f>
        <v/>
      </c>
      <c r="AR4" s="60" t="str">
        <f>IF(ISTEXT(VLOOKUP(CONCATENATE($A4,"_",AR$3),'Unit List'!$A$23:$H$3172,2,FALSE)),"X",$AP4)</f>
        <v/>
      </c>
      <c r="AS4" s="51" t="str">
        <f>IF(ISTEXT(VLOOKUP(CONCATENATE($A4,"_",AS$3),'Unit List'!$A$23:$H$3172,2,FALSE)),"X",$AP4)</f>
        <v/>
      </c>
      <c r="AT4" s="53" t="str">
        <f>IF(ISTEXT(VLOOKUP(CONCATENATE($A4,"_",AT$3),'Unit List'!$A$23:$H$3172,2,FALSE)),"X",$AP4)</f>
        <v/>
      </c>
      <c r="AU4" s="124" t="str">
        <f>IF(ISTEXT(VLOOKUP(CONCATENATE($A4,"_",AU$3),'Unit List'!$A$23:$H$3172,2,FALSE)),"+","")</f>
        <v/>
      </c>
      <c r="AV4" s="51" t="str">
        <f>IF(ISTEXT(VLOOKUP(CONCATENATE($A4,"_",AV$3),'Unit List'!$A$23:$H$3172,2,FALSE)),"X",$AU4)</f>
        <v/>
      </c>
      <c r="AW4" s="53" t="str">
        <f>IF(ISTEXT(VLOOKUP(CONCATENATE($A4,"_",AW$3),'Unit List'!$A$23:$H$3172,2,FALSE)),"X",$AU4)</f>
        <v/>
      </c>
      <c r="AX4" s="172" t="str">
        <f>IF(ISTEXT(VLOOKUP(CONCATENATE($A4,"_",AX$3),'Unit List'!$A$23:$H$3172,2,FALSE)),"+","")</f>
        <v/>
      </c>
      <c r="AY4" s="51" t="str">
        <f>IF(ISTEXT(VLOOKUP(CONCATENATE($A4,"_",AY$3),'Unit List'!$A$23:$H$3172,2,FALSE)),"X",$AX4)</f>
        <v/>
      </c>
      <c r="AZ4" s="53" t="str">
        <f>IF(ISTEXT(VLOOKUP(CONCATENATE($A4,"_",AZ$3),'Unit List'!$A$23:$H$3172,2,FALSE)),"X",$AX4)</f>
        <v/>
      </c>
      <c r="BA4" s="182" t="str">
        <f>IF(ISTEXT(VLOOKUP(CONCATENATE($A4,"_",BA$3),'Unit List'!$A$23:$H$3172,2,FALSE)),"+","")</f>
        <v/>
      </c>
      <c r="BB4" s="51" t="str">
        <f>IF(ISTEXT(VLOOKUP(CONCATENATE($A4,"_",BB$3),'Unit List'!$A$23:$H$3172,2,FALSE)),"X",$BA4)</f>
        <v/>
      </c>
      <c r="BC4" s="51" t="str">
        <f>IF(ISTEXT(VLOOKUP(CONCATENATE($A4,"_",BC$3),'Unit List'!$A$23:$H$3172,2,FALSE)),"X",$BA4)</f>
        <v/>
      </c>
      <c r="BD4" s="53" t="str">
        <f>IF(ISTEXT(VLOOKUP(CONCATENATE($A4,"_",BD$3),'Unit List'!$A$23:$H$3172,2,FALSE)),"X",$BA4)</f>
        <v/>
      </c>
      <c r="BE4" s="125" t="str">
        <f>IF(ISTEXT(VLOOKUP(CONCATENATE($A4,"_",BE$3),'Unit List'!$A$23:$H$3172,2,FALSE)),"+","")</f>
        <v/>
      </c>
      <c r="BF4" s="62" t="str">
        <f>IF(ISTEXT(VLOOKUP(CONCATENATE($A4,"_",BF$3),'Unit List'!$A$23:$H$3172,2,FALSE)),"X",$BE4)</f>
        <v/>
      </c>
      <c r="BG4" s="64"/>
      <c r="BH4" s="65" t="s">
        <v>0</v>
      </c>
      <c r="BI4" s="233"/>
      <c r="BJ4" s="234"/>
      <c r="BK4" s="234"/>
      <c r="BL4" s="223" t="s">
        <v>1747</v>
      </c>
      <c r="BM4" s="224"/>
      <c r="BN4" s="54"/>
      <c r="BO4" s="54"/>
      <c r="BP4" s="54"/>
      <c r="BQ4" s="54"/>
      <c r="BR4" s="54"/>
      <c r="BS4" s="54"/>
      <c r="DZ4" s="55"/>
      <c r="EA4" s="55"/>
    </row>
    <row r="5" spans="1:131" ht="12.75" customHeight="1" x14ac:dyDescent="0.2">
      <c r="A5" s="56" t="s">
        <v>1104</v>
      </c>
      <c r="B5" s="181" t="str">
        <f>IF(ISTEXT(VLOOKUP(CONCATENATE($A5,"_",B$3),'Unit List'!$A$23:$H$3172,2,FALSE)),"+","")</f>
        <v/>
      </c>
      <c r="C5" s="57" t="str">
        <f>IF(ISTEXT(VLOOKUP(CONCATENATE($A5,"_",C$3),'Unit List'!$A$23:$H$3172,2,FALSE)),"X",$B5)</f>
        <v/>
      </c>
      <c r="D5" s="58" t="str">
        <f>IF(ISTEXT(VLOOKUP(CONCATENATE($A5,"_",D$3),'Unit List'!$A$23:$H$3172,2,FALSE)),"X",$B5)</f>
        <v/>
      </c>
      <c r="E5" s="51" t="str">
        <f>IF(ISTEXT(VLOOKUP(CONCATENATE($A5,"_",E$3),'Unit List'!$A$23:$H$3172,2,FALSE)),"X",$B5)</f>
        <v/>
      </c>
      <c r="F5" s="58" t="str">
        <f>IF(ISTEXT(VLOOKUP(CONCATENATE($A5,"_",F$3),'Unit List'!$A$23:$H$3172,2,FALSE)),"X",$B5)</f>
        <v/>
      </c>
      <c r="G5" s="58" t="str">
        <f>IF(ISTEXT(VLOOKUP(CONCATENATE($A5,"_",G$3),'Unit List'!$A$23:$H$3172,2,FALSE)),"X",$B5)</f>
        <v/>
      </c>
      <c r="H5" s="58" t="str">
        <f>IF(ISTEXT(VLOOKUP(CONCATENATE($A5,"_",H$3),'Unit List'!$A$23:$H$3172,2,FALSE)),"X",$B5)</f>
        <v/>
      </c>
      <c r="I5" s="53" t="str">
        <f>IF(ISTEXT(VLOOKUP(CONCATENATE($A5,"_",I$3),'Unit List'!$A$23:$H$3172,2,FALSE)),"X",$B5)</f>
        <v/>
      </c>
      <c r="J5" s="172" t="str">
        <f>IF(ISTEXT(VLOOKUP(CONCATENATE($A5,"_",J$3),'Unit List'!$A$23:$H$3172,2,FALSE)),"+","")</f>
        <v/>
      </c>
      <c r="K5" s="51" t="str">
        <f>IF(ISTEXT(VLOOKUP(CONCATENATE($A5,"_",K$3),'Unit List'!$A$23:$H$3172,2,FALSE)),"X",$J5)</f>
        <v/>
      </c>
      <c r="L5" s="59" t="str">
        <f>IF(ISTEXT(VLOOKUP(CONCATENATE($A5,"_",L$3),'Unit List'!$A$23:$H$3172,2,FALSE)),"X",$J5)</f>
        <v/>
      </c>
      <c r="M5" s="172" t="str">
        <f>IF(ISTEXT(VLOOKUP(CONCATENATE($A5,"_",M$3),'Unit List'!$A$23:$H$3172,2,FALSE)),"+","")</f>
        <v/>
      </c>
      <c r="N5" s="60" t="str">
        <f>IF(ISTEXT(VLOOKUP(CONCATENATE($A5,"_",N$3),'Unit List'!$A$23:$H$3172,2,FALSE)),"X",$M5)</f>
        <v/>
      </c>
      <c r="O5" s="61" t="str">
        <f>IF(ISTEXT(VLOOKUP(CONCATENATE($A5,"_",O$3),'Unit List'!$A$23:$H$3172,2,FALSE)),"X",$M5)</f>
        <v/>
      </c>
      <c r="P5" s="172" t="str">
        <f>IF(ISTEXT(VLOOKUP(CONCATENATE($A5,"_",P$3),'Unit List'!$A$23:$H$3172,2,FALSE)),"+","")</f>
        <v/>
      </c>
      <c r="Q5" s="51" t="str">
        <f>IF(ISTEXT(VLOOKUP(CONCATENATE($A5,"_",Q$3),'Unit List'!$A$23:$H$3172,2,FALSE)),"X",$P5)</f>
        <v/>
      </c>
      <c r="R5" s="51" t="str">
        <f>IF(ISTEXT(VLOOKUP(CONCATENATE($A5,"_",R$3),'Unit List'!$A$23:$H$3172,2,FALSE)),"X",$P5)</f>
        <v/>
      </c>
      <c r="S5" s="51" t="str">
        <f>IF(ISTEXT(VLOOKUP(CONCATENATE($A5,"_",S$3),'Unit List'!$A$23:$H$3172,2,FALSE)),"X",$P5)</f>
        <v/>
      </c>
      <c r="T5" s="52" t="str">
        <f>IF(ISTEXT(VLOOKUP(CONCATENATE($A5,"_",T$3),'Unit List'!$A$23:$H$3172,2,FALSE)),"X",$P5)</f>
        <v/>
      </c>
      <c r="U5" s="60" t="str">
        <f>IF(ISTEXT(VLOOKUP(CONCATENATE($A5,"_",U$3),'Unit List'!$A$23:$H$3172,2,FALSE)),"X",$P5)</f>
        <v/>
      </c>
      <c r="V5" s="60" t="str">
        <f>IF(ISTEXT(VLOOKUP(CONCATENATE($A5,"_",V$3),'Unit List'!$A$23:$H$3172,2,FALSE)),"X",$P5)</f>
        <v/>
      </c>
      <c r="W5" s="53" t="str">
        <f>IF(ISTEXT(VLOOKUP(CONCATENATE($A5,"_",W$3),'Unit List'!$A$23:$H$3172,2,FALSE)),"X",$P5)</f>
        <v/>
      </c>
      <c r="X5" s="172" t="str">
        <f>IF(ISTEXT(VLOOKUP(CONCATENATE($A5,"_",X$3),'Unit List'!$A$23:$H$3172,2,FALSE)),"+","")</f>
        <v/>
      </c>
      <c r="Y5" s="51" t="str">
        <f>IF(ISTEXT(VLOOKUP(CONCATENATE($A5,"_",Y$3),'Unit List'!$A$23:$H$3172,2,FALSE)),"X",$X5)</f>
        <v/>
      </c>
      <c r="Z5" s="51" t="str">
        <f>IF(ISTEXT(VLOOKUP(CONCATENATE($A5,"_",Z$3),'Unit List'!$A$23:$H$3172,2,FALSE)),"X",$X5)</f>
        <v/>
      </c>
      <c r="AA5" s="51" t="str">
        <f>IF(ISTEXT(VLOOKUP(CONCATENATE($A5,"_",AA$3),'Unit List'!$A$23:$H$3172,2,FALSE)),"X",$X5)</f>
        <v/>
      </c>
      <c r="AB5" s="51" t="str">
        <f>IF(ISTEXT(VLOOKUP(CONCATENATE($A5,"_",AB$3),'Unit List'!$A$23:$H$3172,2,FALSE)),"X",$X5)</f>
        <v/>
      </c>
      <c r="AC5" s="62" t="str">
        <f>IF(ISTEXT(VLOOKUP(CONCATENATE($A5,"_",AC$3),'Unit List'!$A$23:$H$3172,2,FALSE)),"X",$X5)</f>
        <v/>
      </c>
      <c r="AD5" s="172" t="str">
        <f>IF(ISTEXT(VLOOKUP(CONCATENATE($A5,"_",AD$3),'Unit List'!$A$23:$H$3172,2,FALSE)),"+","")</f>
        <v/>
      </c>
      <c r="AE5" s="51" t="str">
        <f>IF(ISTEXT(VLOOKUP(CONCATENATE($A5,"_",AE$3),'Unit List'!$A$23:$H$3172,2,FALSE)),"X",$AD5)</f>
        <v/>
      </c>
      <c r="AF5" s="51" t="str">
        <f>IF(ISTEXT(VLOOKUP(CONCATENATE($A5,"_",AF$3),'Unit List'!$A$23:$H$3172,2,FALSE)),"X",$AD5)</f>
        <v/>
      </c>
      <c r="AG5" s="172" t="str">
        <f>IF(ISTEXT(VLOOKUP(CONCATENATE($A5,"_",AG$3),'Unit List'!$A$23:$H$3172,2,FALSE)),"+","")</f>
        <v/>
      </c>
      <c r="AH5" s="51" t="str">
        <f>IF(ISTEXT(VLOOKUP(CONCATENATE($A5,"_",AH$3),'Unit List'!$A$23:$H$3172,2,FALSE)),"X",$AG5)</f>
        <v/>
      </c>
      <c r="AI5" s="51" t="str">
        <f>IF(ISTEXT(VLOOKUP(CONCATENATE($A5,"_",AI$3),'Unit List'!$A$23:$H$3172,2,FALSE)),"X",$AG5)</f>
        <v/>
      </c>
      <c r="AJ5" s="53" t="str">
        <f>IF(ISTEXT(VLOOKUP(CONCATENATE($A5,"_",AJ$3),'Unit List'!$A$23:$H$3172,2,FALSE)),"X",$AG5)</f>
        <v/>
      </c>
      <c r="AK5" s="172" t="str">
        <f>IF(ISTEXT(VLOOKUP(CONCATENATE($A5,"_",AK$3),'Unit List'!$A$23:$H$3172,2,FALSE)),"+","")</f>
        <v/>
      </c>
      <c r="AL5" s="63" t="str">
        <f>IF(ISTEXT(VLOOKUP(CONCATENATE($A5,"_",AL$3),'Unit List'!$A$23:$H$3172,2,FALSE)),"X",$AK5)</f>
        <v/>
      </c>
      <c r="AM5" s="53" t="str">
        <f>IF(ISTEXT(VLOOKUP(CONCATENATE($A5,"_",AM$3),'Unit List'!$A$23:$H$3172,2,FALSE)),"X",$AK5)</f>
        <v/>
      </c>
      <c r="AN5" s="125" t="str">
        <f>IF(ISTEXT(VLOOKUP(CONCATENATE($A5,"_",AN$3),'Unit List'!$A$23:$H$3172,2,FALSE)),"+","")</f>
        <v/>
      </c>
      <c r="AO5" s="53" t="str">
        <f>IF(ISTEXT(VLOOKUP(CONCATENATE($A5,"_",AO$3),'Unit List'!$A$23:$H$3172,2,FALSE)),"X",$AN5)</f>
        <v/>
      </c>
      <c r="AP5" s="172" t="str">
        <f>IF(ISTEXT(VLOOKUP(CONCATENATE($A5,"_",AP$3),'Unit List'!$A$23:$H$3172,2,FALSE)),"+","")</f>
        <v/>
      </c>
      <c r="AQ5" s="60" t="str">
        <f>IF(ISTEXT(VLOOKUP(CONCATENATE($A5,"_",AQ$3),'Unit List'!$A$23:$H$3172,2,FALSE)),"X",$AP5)</f>
        <v/>
      </c>
      <c r="AR5" s="60" t="str">
        <f>IF(ISTEXT(VLOOKUP(CONCATENATE($A5,"_",AR$3),'Unit List'!$A$23:$H$3172,2,FALSE)),"X",$AP5)</f>
        <v/>
      </c>
      <c r="AS5" s="51" t="str">
        <f>IF(ISTEXT(VLOOKUP(CONCATENATE($A5,"_",AS$3),'Unit List'!$A$23:$H$3172,2,FALSE)),"X",$AP5)</f>
        <v/>
      </c>
      <c r="AT5" s="53" t="str">
        <f>IF(ISTEXT(VLOOKUP(CONCATENATE($A5,"_",AT$3),'Unit List'!$A$23:$H$3172,2,FALSE)),"X",$AP5)</f>
        <v/>
      </c>
      <c r="AU5" s="124" t="str">
        <f>IF(ISTEXT(VLOOKUP(CONCATENATE($A5,"_",AU$3),'Unit List'!$A$23:$H$3172,2,FALSE)),"+","")</f>
        <v/>
      </c>
      <c r="AV5" s="51" t="str">
        <f>IF(ISTEXT(VLOOKUP(CONCATENATE($A5,"_",AV$3),'Unit List'!$A$23:$H$3172,2,FALSE)),"X",$AU5)</f>
        <v/>
      </c>
      <c r="AW5" s="53" t="str">
        <f>IF(ISTEXT(VLOOKUP(CONCATENATE($A5,"_",AW$3),'Unit List'!$A$23:$H$3172,2,FALSE)),"X",$AU5)</f>
        <v/>
      </c>
      <c r="AX5" s="172" t="str">
        <f>IF(ISTEXT(VLOOKUP(CONCATENATE($A5,"_",AX$3),'Unit List'!$A$23:$H$3172,2,FALSE)),"+","")</f>
        <v/>
      </c>
      <c r="AY5" s="51" t="str">
        <f>IF(ISTEXT(VLOOKUP(CONCATENATE($A5,"_",AY$3),'Unit List'!$A$23:$H$3172,2,FALSE)),"X",$AX5)</f>
        <v/>
      </c>
      <c r="AZ5" s="53" t="str">
        <f>IF(ISTEXT(VLOOKUP(CONCATENATE($A5,"_",AZ$3),'Unit List'!$A$23:$H$3172,2,FALSE)),"X",$AX5)</f>
        <v/>
      </c>
      <c r="BA5" s="182" t="str">
        <f>IF(ISTEXT(VLOOKUP(CONCATENATE($A5,"_",BA$3),'Unit List'!$A$23:$H$3172,2,FALSE)),"+","")</f>
        <v/>
      </c>
      <c r="BB5" s="51" t="str">
        <f>IF(ISTEXT(VLOOKUP(CONCATENATE($A5,"_",BB$3),'Unit List'!$A$23:$H$3172,2,FALSE)),"X",$BA5)</f>
        <v/>
      </c>
      <c r="BC5" s="51" t="str">
        <f>IF(ISTEXT(VLOOKUP(CONCATENATE($A5,"_",BC$3),'Unit List'!$A$23:$H$3172,2,FALSE)),"X",$BA5)</f>
        <v/>
      </c>
      <c r="BD5" s="53" t="str">
        <f>IF(ISTEXT(VLOOKUP(CONCATENATE($A5,"_",BD$3),'Unit List'!$A$23:$H$3172,2,FALSE)),"X",$BA5)</f>
        <v/>
      </c>
      <c r="BE5" s="125" t="str">
        <f>IF(ISTEXT(VLOOKUP(CONCATENATE($A5,"_",BE$3),'Unit List'!$A$23:$H$3172,2,FALSE)),"+","")</f>
        <v/>
      </c>
      <c r="BF5" s="62" t="str">
        <f>IF(ISTEXT(VLOOKUP(CONCATENATE($A5,"_",BF$3),'Unit List'!$A$23:$H$3172,2,FALSE)),"X",$BE5)</f>
        <v/>
      </c>
      <c r="BG5" s="64"/>
      <c r="BH5" s="65" t="s">
        <v>0</v>
      </c>
      <c r="BI5" s="225"/>
      <c r="BJ5" s="226"/>
      <c r="BK5" s="226"/>
      <c r="BL5" s="221" t="s">
        <v>1748</v>
      </c>
      <c r="BM5" s="222"/>
      <c r="BN5" s="54"/>
      <c r="BO5" s="54"/>
      <c r="BP5" s="54"/>
      <c r="BQ5" s="54"/>
      <c r="BR5" s="54"/>
      <c r="BS5" s="54"/>
      <c r="DZ5" s="55"/>
      <c r="EA5" s="55"/>
    </row>
    <row r="6" spans="1:131" ht="12.75" customHeight="1" x14ac:dyDescent="0.2">
      <c r="A6" s="56" t="s">
        <v>44</v>
      </c>
      <c r="B6" s="181" t="str">
        <f>IF(ISTEXT(VLOOKUP(CONCATENATE($A6,"_",B$3),'Unit List'!$A$23:$H$3172,2,FALSE)),"+","")</f>
        <v/>
      </c>
      <c r="C6" s="66" t="str">
        <f>IF(ISTEXT(VLOOKUP(CONCATENATE($A6,"_",C$3),'Unit List'!$A$23:$H$3172,2,FALSE)),"X",$B6)</f>
        <v/>
      </c>
      <c r="D6" s="67" t="str">
        <f>IF(ISTEXT(VLOOKUP(CONCATENATE($A6,"_",D$3),'Unit List'!$A$23:$H$3172,2,FALSE)),"X",$B6)</f>
        <v>X</v>
      </c>
      <c r="E6" s="51" t="str">
        <f>IF(ISTEXT(VLOOKUP(CONCATENATE($A6,"_",E$3),'Unit List'!$A$23:$H$3172,2,FALSE)),"X",$B6)</f>
        <v/>
      </c>
      <c r="F6" s="67" t="str">
        <f>IF(ISTEXT(VLOOKUP(CONCATENATE($A6,"_",F$3),'Unit List'!$A$23:$H$3172,2,FALSE)),"X",$B6)</f>
        <v>X</v>
      </c>
      <c r="G6" s="67" t="str">
        <f>IF(ISTEXT(VLOOKUP(CONCATENATE($A6,"_",G$3),'Unit List'!$A$23:$H$3172,2,FALSE)),"X",$B6)</f>
        <v>X</v>
      </c>
      <c r="H6" s="67" t="str">
        <f>IF(ISTEXT(VLOOKUP(CONCATENATE($A6,"_",H$3),'Unit List'!$A$23:$H$3172,2,FALSE)),"X",$B6)</f>
        <v>X</v>
      </c>
      <c r="I6" s="61" t="str">
        <f>IF(ISTEXT(VLOOKUP(CONCATENATE($A6,"_",I$3),'Unit List'!$A$23:$H$3172,2,FALSE)),"X",$B6)</f>
        <v/>
      </c>
      <c r="J6" s="172" t="str">
        <f>IF(ISTEXT(VLOOKUP(CONCATENATE($A6,"_",J$3),'Unit List'!$A$23:$H$3172,2,FALSE)),"+","")</f>
        <v>+</v>
      </c>
      <c r="K6" s="67" t="str">
        <f>IF(ISTEXT(VLOOKUP(CONCATENATE($A6,"_",K$3),'Unit List'!$A$23:$H$3172,2,FALSE)),"X",$J6)</f>
        <v>+</v>
      </c>
      <c r="L6" s="68" t="str">
        <f>IF(ISTEXT(VLOOKUP(CONCATENATE($A6,"_",L$3),'Unit List'!$A$23:$H$3172,2,FALSE)),"X",$J6)</f>
        <v>+</v>
      </c>
      <c r="M6" s="172" t="str">
        <f>IF(ISTEXT(VLOOKUP(CONCATENATE($A6,"_",M$3),'Unit List'!$A$23:$H$3172,2,FALSE)),"+","")</f>
        <v>+</v>
      </c>
      <c r="N6" s="69" t="str">
        <f>IF(ISTEXT(VLOOKUP(CONCATENATE($A6,"_",N$3),'Unit List'!$A$23:$H$3172,2,FALSE)),"X",$M6)</f>
        <v>+</v>
      </c>
      <c r="O6" s="70" t="str">
        <f>IF(ISTEXT(VLOOKUP(CONCATENATE($A6,"_",O$3),'Unit List'!$A$23:$H$3172,2,FALSE)),"X",$M6)</f>
        <v>+</v>
      </c>
      <c r="P6" s="171" t="str">
        <f>IF(ISTEXT(VLOOKUP(CONCATENATE($A6,"_",P$3),'Unit List'!$A$23:$H$3172,2,FALSE)),"+","")</f>
        <v>+</v>
      </c>
      <c r="Q6" s="69" t="str">
        <f>IF(ISTEXT(VLOOKUP(CONCATENATE($A6,"_",Q$3),'Unit List'!$A$23:$H$3172,2,FALSE)),"X",$P6)</f>
        <v>+</v>
      </c>
      <c r="R6" s="69" t="str">
        <f>IF(ISTEXT(VLOOKUP(CONCATENATE($A6,"_",R$3),'Unit List'!$A$23:$H$3172,2,FALSE)),"X",$P6)</f>
        <v>+</v>
      </c>
      <c r="S6" s="67" t="str">
        <f>IF(ISTEXT(VLOOKUP(CONCATENATE($A6,"_",S$3),'Unit List'!$A$23:$H$3172,2,FALSE)),"X",$P6)</f>
        <v>X</v>
      </c>
      <c r="T6" s="183" t="str">
        <f>IF(ISTEXT(VLOOKUP(CONCATENATE($A6,"_",T$3),'Unit List'!$A$23:$H$3172,2,FALSE)),"X",$P6)</f>
        <v>+</v>
      </c>
      <c r="U6" s="67" t="str">
        <f>IF(ISTEXT(VLOOKUP(CONCATENATE($A6,"_",U$3),'Unit List'!$A$23:$H$3172,2,FALSE)),"X",$P6)</f>
        <v>X</v>
      </c>
      <c r="V6" s="67" t="str">
        <f>IF(ISTEXT(VLOOKUP(CONCATENATE($A6,"_",V$3),'Unit List'!$A$23:$H$3172,2,FALSE)),"X",$P6)</f>
        <v>X</v>
      </c>
      <c r="W6" s="71" t="str">
        <f>IF(ISTEXT(VLOOKUP(CONCATENATE($A6,"_",W$3),'Unit List'!$A$23:$H$3172,2,FALSE)),"X",$P6)</f>
        <v>+</v>
      </c>
      <c r="X6" s="171" t="str">
        <f>IF(ISTEXT(VLOOKUP(CONCATENATE($A6,"_",X$3),'Unit List'!$A$23:$H$3172,2,FALSE)),"+","")</f>
        <v>+</v>
      </c>
      <c r="Y6" s="67" t="str">
        <f>IF(ISTEXT(VLOOKUP(CONCATENATE($A6,"_",Y$3),'Unit List'!$A$23:$H$3172,2,FALSE)),"X",$X6)</f>
        <v>X</v>
      </c>
      <c r="Z6" s="69" t="str">
        <f>IF(ISTEXT(VLOOKUP(CONCATENATE($A6,"_",Z$3),'Unit List'!$A$23:$H$3172,2,FALSE)),"X",$X6)</f>
        <v>+</v>
      </c>
      <c r="AA6" s="72" t="s">
        <v>0</v>
      </c>
      <c r="AB6" s="67" t="str">
        <f>IF(ISTEXT(VLOOKUP(CONCATENATE($A6,"_",AB$3),'Unit List'!$A$23:$H$3172,2,FALSE)),"X",$X6)</f>
        <v>X</v>
      </c>
      <c r="AC6" s="68" t="str">
        <f>IF(ISTEXT(VLOOKUP(CONCATENATE($A6,"_",AC$3),'Unit List'!$A$23:$H$3172,2,FALSE)),"X",$X6)</f>
        <v>X</v>
      </c>
      <c r="AD6" s="171" t="str">
        <f>IF(ISTEXT(VLOOKUP(CONCATENATE($A6,"_",AD$3),'Unit List'!$A$23:$H$3172,2,FALSE)),"+","")</f>
        <v/>
      </c>
      <c r="AE6" s="51" t="str">
        <f>IF(ISTEXT(VLOOKUP(CONCATENATE($A6,"_",AE$3),'Unit List'!$A$23:$H$3172,2,FALSE)),"X",$AD6)</f>
        <v/>
      </c>
      <c r="AF6" s="51" t="str">
        <f>IF(ISTEXT(VLOOKUP(CONCATENATE($A6,"_",AF$3),'Unit List'!$A$23:$H$3172,2,FALSE)),"X",$AD6)</f>
        <v/>
      </c>
      <c r="AG6" s="171" t="str">
        <f>IF(ISTEXT(VLOOKUP(CONCATENATE($A6,"_",AG$3),'Unit List'!$A$23:$H$3172,2,FALSE)),"+","")</f>
        <v>+</v>
      </c>
      <c r="AH6" s="67" t="str">
        <f>IF(ISTEXT(VLOOKUP(CONCATENATE($A6,"_",AH$3),'Unit List'!$A$23:$H$3172,2,FALSE)),"X",$AG6)</f>
        <v>X</v>
      </c>
      <c r="AI6" s="69" t="str">
        <f>IF(ISTEXT(VLOOKUP(CONCATENATE($A6,"_",AI$3),'Unit List'!$A$23:$H$3172,2,FALSE)),"X",$AG6)</f>
        <v>X</v>
      </c>
      <c r="AJ6" s="73" t="str">
        <f>IF(ISTEXT(VLOOKUP(CONCATENATE($A6,"_",AJ$3),'Unit List'!$A$23:$H$3172,2,FALSE)),"X",$AG6)</f>
        <v>+</v>
      </c>
      <c r="AK6" s="171" t="str">
        <f>IF(ISTEXT(VLOOKUP(CONCATENATE($A6,"_",AK$3),'Unit List'!$A$23:$H$3172,2,FALSE)),"+","")</f>
        <v>+</v>
      </c>
      <c r="AL6" s="183" t="str">
        <f>IF(ISTEXT(VLOOKUP(CONCATENATE($A6,"_",AL$3),'Unit List'!$A$23:$H$3172,2,FALSE)),"X",$AK6)</f>
        <v>+</v>
      </c>
      <c r="AM6" s="73" t="str">
        <f>IF(ISTEXT(VLOOKUP(CONCATENATE($A6,"_",AM$3),'Unit List'!$A$23:$H$3172,2,FALSE)),"X",$AK6)</f>
        <v>+</v>
      </c>
      <c r="AN6" s="125" t="str">
        <f>IF(ISTEXT(VLOOKUP(CONCATENATE($A6,"_",AN$3),'Unit List'!$A$23:$H$3172,2,FALSE)),"+","")</f>
        <v>+</v>
      </c>
      <c r="AO6" s="70" t="str">
        <f>IF(ISTEXT(VLOOKUP(CONCATENATE($A6,"_",AO$3),'Unit List'!$A$23:$H$3172,2,FALSE)),"X",$AN6)</f>
        <v>X</v>
      </c>
      <c r="AP6" s="171" t="str">
        <f>IF(ISTEXT(VLOOKUP(CONCATENATE($A6,"_",AP$3),'Unit List'!$A$23:$H$3172,2,FALSE)),"+","")</f>
        <v>+</v>
      </c>
      <c r="AQ6" s="67" t="str">
        <f>IF(ISTEXT(VLOOKUP(CONCATENATE($A6,"_",AQ$3),'Unit List'!$A$23:$H$3172,2,FALSE)),"X",$AP6)</f>
        <v>X</v>
      </c>
      <c r="AR6" s="67" t="str">
        <f>IF(ISTEXT(VLOOKUP(CONCATENATE($A6,"_",AR$3),'Unit List'!$A$23:$H$3172,2,FALSE)),"X",$AP6)</f>
        <v>X</v>
      </c>
      <c r="AS6" s="67" t="str">
        <f>IF(ISTEXT(VLOOKUP(CONCATENATE($A6,"_",AS$3),'Unit List'!$A$23:$H$3172,2,FALSE)),"X",$AP6)</f>
        <v>X</v>
      </c>
      <c r="AT6" s="73" t="str">
        <f>IF(ISTEXT(VLOOKUP(CONCATENATE($A6,"_",AT$3),'Unit List'!$A$23:$H$3172,2,FALSE)),"X",$AP6)</f>
        <v>X</v>
      </c>
      <c r="AU6" s="177" t="str">
        <f>IF(ISTEXT(VLOOKUP(CONCATENATE($A6,"_",AU$3),'Unit List'!$A$23:$H$3172,2,FALSE)),"+","")</f>
        <v>+</v>
      </c>
      <c r="AV6" s="69" t="str">
        <f>IF(ISTEXT(VLOOKUP(CONCATENATE($A6,"_",AV$3),'Unit List'!$A$23:$H$3172,2,FALSE)),"X",$AU6)</f>
        <v>+</v>
      </c>
      <c r="AW6" s="71" t="str">
        <f>IF(ISTEXT(VLOOKUP(CONCATENATE($A6,"_",AW$3),'Unit List'!$A$23:$H$3172,2,FALSE)),"X",$AU6)</f>
        <v>+</v>
      </c>
      <c r="AX6" s="171" t="str">
        <f>IF(ISTEXT(VLOOKUP(CONCATENATE($A6,"_",AX$3),'Unit List'!$A$23:$H$3172,2,FALSE)),"+","")</f>
        <v>+</v>
      </c>
      <c r="AY6" s="67" t="str">
        <f>IF(ISTEXT(VLOOKUP(CONCATENATE($A6,"_",AY$3),'Unit List'!$A$23:$H$3172,2,FALSE)),"X",$AX6)</f>
        <v>+</v>
      </c>
      <c r="AZ6" s="70" t="str">
        <f>IF(ISTEXT(VLOOKUP(CONCATENATE($A6,"_",AZ$3),'Unit List'!$A$23:$H$3172,2,FALSE)),"X",$AX6)</f>
        <v>+</v>
      </c>
      <c r="BA6" s="174" t="str">
        <f>IF(ISTEXT(VLOOKUP(CONCATENATE($A6,"_",BA$3),'Unit List'!$A$23:$H$3172,2,FALSE)),"+","")</f>
        <v>+</v>
      </c>
      <c r="BB6" s="67" t="str">
        <f>IF(ISTEXT(VLOOKUP(CONCATENATE($A6,"_",BB$3),'Unit List'!$A$23:$H$3172,2,FALSE)),"X",$BA6)</f>
        <v>X</v>
      </c>
      <c r="BC6" s="72" t="s">
        <v>0</v>
      </c>
      <c r="BD6" s="74" t="s">
        <v>0</v>
      </c>
      <c r="BE6" s="125" t="str">
        <f>IF(ISTEXT(VLOOKUP(CONCATENATE($A6,"_",BE$3),'Unit List'!$A$23:$H$3172,2,FALSE)),"+","")</f>
        <v>+</v>
      </c>
      <c r="BF6" s="184" t="str">
        <f>IF(ISTEXT(VLOOKUP(CONCATENATE($A6,"_",BF$3),'Unit List'!$A$23:$H$3172,2,FALSE)),"X",$BE6)</f>
        <v>+</v>
      </c>
      <c r="BG6" s="75"/>
      <c r="BH6" s="76" t="s">
        <v>0</v>
      </c>
      <c r="BI6" s="225" t="s">
        <v>12</v>
      </c>
      <c r="BJ6" s="228"/>
      <c r="BK6" s="228"/>
      <c r="BL6" s="77"/>
      <c r="BM6" s="78" t="s">
        <v>45</v>
      </c>
      <c r="BN6" s="54"/>
      <c r="BO6" s="54"/>
      <c r="BP6" s="54"/>
      <c r="BQ6" s="54"/>
      <c r="BR6" s="54"/>
      <c r="BS6" s="54"/>
      <c r="DZ6" s="55"/>
      <c r="EA6" s="55"/>
    </row>
    <row r="7" spans="1:131" ht="12.75" customHeight="1" x14ac:dyDescent="0.2">
      <c r="A7" s="56" t="s">
        <v>43</v>
      </c>
      <c r="B7" s="181" t="str">
        <f>IF(ISTEXT(VLOOKUP(CONCATENATE($A7,"_",B$3),'Unit List'!$A$23:$H$3172,2,FALSE)),"+","")</f>
        <v/>
      </c>
      <c r="C7" s="57" t="str">
        <f>IF(ISTEXT(VLOOKUP(CONCATENATE($A7,"_",C$3),'Unit List'!$A$23:$H$3172,2,FALSE)),"X",$B7)</f>
        <v/>
      </c>
      <c r="D7" s="51" t="str">
        <f>IF(ISTEXT(VLOOKUP(CONCATENATE($A7,"_",D$3),'Unit List'!$A$23:$H$3172,2,FALSE)),"X",$B7)</f>
        <v/>
      </c>
      <c r="E7" s="51" t="str">
        <f>IF(ISTEXT(VLOOKUP(CONCATENATE($A7,"_",E$3),'Unit List'!$A$23:$H$3172,2,FALSE)),"X",$B7)</f>
        <v/>
      </c>
      <c r="F7" s="51" t="str">
        <f>IF(ISTEXT(VLOOKUP(CONCATENATE($A7,"_",F$3),'Unit List'!$A$23:$H$3172,2,FALSE)),"X",$B7)</f>
        <v/>
      </c>
      <c r="G7" s="51" t="str">
        <f>IF(ISTEXT(VLOOKUP(CONCATENATE($A7,"_",G$3),'Unit List'!$A$23:$H$3172,2,FALSE)),"X",$B7)</f>
        <v>X</v>
      </c>
      <c r="H7" s="51" t="str">
        <f>IF(ISTEXT(VLOOKUP(CONCATENATE($A7,"_",H$3),'Unit List'!$A$23:$H$3172,2,FALSE)),"X",$B7)</f>
        <v/>
      </c>
      <c r="I7" s="53" t="str">
        <f>IF(ISTEXT(VLOOKUP(CONCATENATE($A7,"_",I$3),'Unit List'!$A$23:$H$3172,2,FALSE)),"X",$B7)</f>
        <v/>
      </c>
      <c r="J7" s="172" t="str">
        <f>IF(ISTEXT(VLOOKUP(CONCATENATE($A7,"_",J$3),'Unit List'!$A$23:$H$3172,2,FALSE)),"+","")</f>
        <v/>
      </c>
      <c r="K7" s="51" t="str">
        <f>IF(ISTEXT(VLOOKUP(CONCATENATE($A7,"_",K$3),'Unit List'!$A$23:$H$3172,2,FALSE)),"X",$J7)</f>
        <v/>
      </c>
      <c r="L7" s="62" t="str">
        <f>IF(ISTEXT(VLOOKUP(CONCATENATE($A7,"_",L$3),'Unit List'!$A$23:$H$3172,2,FALSE)),"X",$J7)</f>
        <v/>
      </c>
      <c r="M7" s="172" t="str">
        <f>IF(ISTEXT(VLOOKUP(CONCATENATE($A7,"_",M$3),'Unit List'!$A$23:$H$3172,2,FALSE)),"+","")</f>
        <v>+</v>
      </c>
      <c r="N7" s="51" t="str">
        <f>IF(ISTEXT(VLOOKUP(CONCATENATE($A7,"_",N$3),'Unit List'!$A$23:$H$3172,2,FALSE)),"X",$M7)</f>
        <v>+</v>
      </c>
      <c r="O7" s="70" t="str">
        <f>IF(ISTEXT(VLOOKUP(CONCATENATE($A7,"_",O$3),'Unit List'!$A$23:$H$3172,2,FALSE)),"X",$M7)</f>
        <v>+</v>
      </c>
      <c r="P7" s="171" t="str">
        <f>IF(ISTEXT(VLOOKUP(CONCATENATE($A7,"_",P$3),'Unit List'!$A$23:$H$3172,2,FALSE)),"+","")</f>
        <v/>
      </c>
      <c r="Q7" s="51" t="str">
        <f>IF(ISTEXT(VLOOKUP(CONCATENATE($A7,"_",Q$3),'Unit List'!$A$23:$H$3172,2,FALSE)),"X",$P7)</f>
        <v/>
      </c>
      <c r="R7" s="51" t="str">
        <f>IF(ISTEXT(VLOOKUP(CONCATENATE($A7,"_",R$3),'Unit List'!$A$23:$H$3172,2,FALSE)),"X",$P7)</f>
        <v/>
      </c>
      <c r="S7" s="51" t="str">
        <f>IF(ISTEXT(VLOOKUP(CONCATENATE($A7,"_",S$3),'Unit List'!$A$23:$H$3172,2,FALSE)),"X",$P7)</f>
        <v/>
      </c>
      <c r="T7" s="52" t="str">
        <f>IF(ISTEXT(VLOOKUP(CONCATENATE($A7,"_",T$3),'Unit List'!$A$23:$H$3172,2,FALSE)),"X",$P7)</f>
        <v/>
      </c>
      <c r="U7" s="51" t="str">
        <f>IF(ISTEXT(VLOOKUP(CONCATENATE($A7,"_",U$3),'Unit List'!$A$23:$H$3172,2,FALSE)),"X",$P7)</f>
        <v/>
      </c>
      <c r="V7" s="51" t="str">
        <f>IF(ISTEXT(VLOOKUP(CONCATENATE($A7,"_",V$3),'Unit List'!$A$23:$H$3172,2,FALSE)),"X",$P7)</f>
        <v/>
      </c>
      <c r="W7" s="53" t="str">
        <f>IF(ISTEXT(VLOOKUP(CONCATENATE($A7,"_",W$3),'Unit List'!$A$23:$H$3172,2,FALSE)),"X",$P7)</f>
        <v/>
      </c>
      <c r="X7" s="172" t="str">
        <f>IF(ISTEXT(VLOOKUP(CONCATENATE($A7,"_",X$3),'Unit List'!$A$23:$H$3172,2,FALSE)),"+","")</f>
        <v/>
      </c>
      <c r="Y7" s="51" t="str">
        <f>IF(ISTEXT(VLOOKUP(CONCATENATE($A7,"_",Y$3),'Unit List'!$A$23:$H$3172,2,FALSE)),"X",$X7)</f>
        <v/>
      </c>
      <c r="Z7" s="51" t="str">
        <f>IF(ISTEXT(VLOOKUP(CONCATENATE($A7,"_",Z$3),'Unit List'!$A$23:$H$3172,2,FALSE)),"X",$X7)</f>
        <v/>
      </c>
      <c r="AA7" s="51" t="str">
        <f>IF(ISTEXT(VLOOKUP(CONCATENATE($A7,"_",AA$3),'Unit List'!$A$23:$H$3172,2,FALSE)),"X",$X7)</f>
        <v/>
      </c>
      <c r="AB7" s="51" t="str">
        <f>IF(ISTEXT(VLOOKUP(CONCATENATE($A7,"_",AB$3),'Unit List'!$A$23:$H$3172,2,FALSE)),"X",$X7)</f>
        <v/>
      </c>
      <c r="AC7" s="62" t="str">
        <f>IF(ISTEXT(VLOOKUP(CONCATENATE($A7,"_",AC$3),'Unit List'!$A$23:$H$3172,2,FALSE)),"X",$X7)</f>
        <v/>
      </c>
      <c r="AD7" s="172" t="str">
        <f>IF(ISTEXT(VLOOKUP(CONCATENATE($A7,"_",AD$3),'Unit List'!$A$23:$H$3172,2,FALSE)),"+","")</f>
        <v/>
      </c>
      <c r="AE7" s="51" t="str">
        <f>IF(ISTEXT(VLOOKUP(CONCATENATE($A7,"_",AE$3),'Unit List'!$A$23:$H$3172,2,FALSE)),"X",$AD7)</f>
        <v/>
      </c>
      <c r="AF7" s="51" t="str">
        <f>IF(ISTEXT(VLOOKUP(CONCATENATE($A7,"_",AF$3),'Unit List'!$A$23:$H$3172,2,FALSE)),"X",$AD7)</f>
        <v/>
      </c>
      <c r="AG7" s="172" t="str">
        <f>IF(ISTEXT(VLOOKUP(CONCATENATE($A7,"_",AG$3),'Unit List'!$A$23:$H$3172,2,FALSE)),"+","")</f>
        <v/>
      </c>
      <c r="AH7" s="51" t="str">
        <f>IF(ISTEXT(VLOOKUP(CONCATENATE($A7,"_",AH$3),'Unit List'!$A$23:$H$3172,2,FALSE)),"X",$AG7)</f>
        <v/>
      </c>
      <c r="AI7" s="51" t="str">
        <f>IF(ISTEXT(VLOOKUP(CONCATENATE($A7,"_",AI$3),'Unit List'!$A$23:$H$3172,2,FALSE)),"X",$AG7)</f>
        <v/>
      </c>
      <c r="AJ7" s="53" t="str">
        <f>IF(ISTEXT(VLOOKUP(CONCATENATE($A7,"_",AJ$3),'Unit List'!$A$23:$H$3172,2,FALSE)),"X",$AG7)</f>
        <v/>
      </c>
      <c r="AK7" s="172" t="str">
        <f>IF(ISTEXT(VLOOKUP(CONCATENATE($A7,"_",AK$3),'Unit List'!$A$23:$H$3172,2,FALSE)),"+","")</f>
        <v/>
      </c>
      <c r="AL7" s="52" t="str">
        <f>IF(ISTEXT(VLOOKUP(CONCATENATE($A7,"_",AL$3),'Unit List'!$A$23:$H$3172,2,FALSE)),"X",$AK7)</f>
        <v/>
      </c>
      <c r="AM7" s="53" t="str">
        <f>IF(ISTEXT(VLOOKUP(CONCATENATE($A7,"_",AM$3),'Unit List'!$A$23:$H$3172,2,FALSE)),"X",$AK7)</f>
        <v/>
      </c>
      <c r="AN7" s="125" t="str">
        <f>IF(ISTEXT(VLOOKUP(CONCATENATE($A7,"_",AN$3),'Unit List'!$A$23:$H$3172,2,FALSE)),"+","")</f>
        <v/>
      </c>
      <c r="AO7" s="53" t="str">
        <f>IF(ISTEXT(VLOOKUP(CONCATENATE($A7,"_",AO$3),'Unit List'!$A$23:$H$3172,2,FALSE)),"X",$AN7)</f>
        <v/>
      </c>
      <c r="AP7" s="172" t="str">
        <f>IF(ISTEXT(VLOOKUP(CONCATENATE($A7,"_",AP$3),'Unit List'!$A$23:$H$3172,2,FALSE)),"+","")</f>
        <v/>
      </c>
      <c r="AQ7" s="51" t="str">
        <f>IF(ISTEXT(VLOOKUP(CONCATENATE($A7,"_",AQ$3),'Unit List'!$A$23:$H$3172,2,FALSE)),"X",$AP7)</f>
        <v/>
      </c>
      <c r="AR7" s="51" t="str">
        <f>IF(ISTEXT(VLOOKUP(CONCATENATE($A7,"_",AR$3),'Unit List'!$A$23:$H$3172,2,FALSE)),"X",$AP7)</f>
        <v/>
      </c>
      <c r="AS7" s="51" t="str">
        <f>IF(ISTEXT(VLOOKUP(CONCATENATE($A7,"_",AS$3),'Unit List'!$A$23:$H$3172,2,FALSE)),"X",$AP7)</f>
        <v/>
      </c>
      <c r="AT7" s="53" t="str">
        <f>IF(ISTEXT(VLOOKUP(CONCATENATE($A7,"_",AT$3),'Unit List'!$A$23:$H$3172,2,FALSE)),"X",$AP7)</f>
        <v/>
      </c>
      <c r="AU7" s="124" t="str">
        <f>IF(ISTEXT(VLOOKUP(CONCATENATE($A7,"_",AU$3),'Unit List'!$A$23:$H$3172,2,FALSE)),"+","")</f>
        <v/>
      </c>
      <c r="AV7" s="51" t="str">
        <f>IF(ISTEXT(VLOOKUP(CONCATENATE($A7,"_",AV$3),'Unit List'!$A$23:$H$3172,2,FALSE)),"X",$AU7)</f>
        <v/>
      </c>
      <c r="AW7" s="53" t="str">
        <f>IF(ISTEXT(VLOOKUP(CONCATENATE($A7,"_",AW$3),'Unit List'!$A$23:$H$3172,2,FALSE)),"X",$AU7)</f>
        <v/>
      </c>
      <c r="AX7" s="172" t="str">
        <f>IF(ISTEXT(VLOOKUP(CONCATENATE($A7,"_",AX$3),'Unit List'!$A$23:$H$3172,2,FALSE)),"+","")</f>
        <v/>
      </c>
      <c r="AY7" s="51" t="str">
        <f>IF(ISTEXT(VLOOKUP(CONCATENATE($A7,"_",AY$3),'Unit List'!$A$23:$H$3172,2,FALSE)),"X",$AX7)</f>
        <v/>
      </c>
      <c r="AZ7" s="53" t="str">
        <f>IF(ISTEXT(VLOOKUP(CONCATENATE($A7,"_",AZ$3),'Unit List'!$A$23:$H$3172,2,FALSE)),"X",$AX7)</f>
        <v/>
      </c>
      <c r="BA7" s="182" t="str">
        <f>IF(ISTEXT(VLOOKUP(CONCATENATE($A7,"_",BA$3),'Unit List'!$A$23:$H$3172,2,FALSE)),"+","")</f>
        <v/>
      </c>
      <c r="BB7" s="51" t="str">
        <f>IF(ISTEXT(VLOOKUP(CONCATENATE($A7,"_",BB$3),'Unit List'!$A$23:$H$3172,2,FALSE)),"X",$BA7)</f>
        <v/>
      </c>
      <c r="BC7" s="51" t="str">
        <f>IF(ISTEXT(VLOOKUP(CONCATENATE($A7,"_",BC$3),'Unit List'!$A$23:$H$3172,2,FALSE)),"X",$BA7)</f>
        <v/>
      </c>
      <c r="BD7" s="53" t="str">
        <f>IF(ISTEXT(VLOOKUP(CONCATENATE($A7,"_",BD$3),'Unit List'!$A$23:$H$3172,2,FALSE)),"X",$BA7)</f>
        <v/>
      </c>
      <c r="BE7" s="125" t="str">
        <f>IF(ISTEXT(VLOOKUP(CONCATENATE($A7,"_",BE$3),'Unit List'!$A$23:$H$3172,2,FALSE)),"+","")</f>
        <v/>
      </c>
      <c r="BF7" s="62" t="str">
        <f>IF(ISTEXT(VLOOKUP(CONCATENATE($A7,"_",BF$3),'Unit List'!$A$23:$H$3172,2,FALSE)),"X",$BE7)</f>
        <v/>
      </c>
      <c r="BG7" s="64"/>
      <c r="BH7" s="65" t="s">
        <v>0</v>
      </c>
      <c r="BI7" s="225"/>
      <c r="BJ7" s="226"/>
      <c r="BK7" s="226"/>
      <c r="BL7" s="79"/>
      <c r="BM7" s="78" t="s">
        <v>1746</v>
      </c>
      <c r="BN7" s="54"/>
      <c r="BO7" s="54"/>
      <c r="BP7" s="54"/>
      <c r="BQ7" s="54"/>
      <c r="BR7" s="54"/>
      <c r="BS7" s="54"/>
      <c r="DZ7" s="55"/>
      <c r="EA7" s="55"/>
    </row>
    <row r="8" spans="1:131" ht="12.75" customHeight="1" x14ac:dyDescent="0.2">
      <c r="A8" s="56" t="s">
        <v>1105</v>
      </c>
      <c r="B8" s="181" t="str">
        <f>IF(ISTEXT(VLOOKUP(CONCATENATE($A8,"_",B$3),'Unit List'!$A$23:$H$3172,2,FALSE)),"+","")</f>
        <v/>
      </c>
      <c r="C8" s="57" t="str">
        <f>IF(ISTEXT(VLOOKUP(CONCATENATE($A8,"_",C$3),'Unit List'!$A$23:$H$3172,2,FALSE)),"X",$B8)</f>
        <v/>
      </c>
      <c r="D8" s="51" t="str">
        <f>IF(ISTEXT(VLOOKUP(CONCATENATE($A8,"_",D$3),'Unit List'!$A$23:$H$3172,2,FALSE)),"X",$B8)</f>
        <v/>
      </c>
      <c r="E8" s="51" t="str">
        <f>IF(ISTEXT(VLOOKUP(CONCATENATE($A8,"_",E$3),'Unit List'!$A$23:$H$3172,2,FALSE)),"X",$B8)</f>
        <v/>
      </c>
      <c r="F8" s="51" t="str">
        <f>IF(ISTEXT(VLOOKUP(CONCATENATE($A8,"_",F$3),'Unit List'!$A$23:$H$3172,2,FALSE)),"X",$B8)</f>
        <v/>
      </c>
      <c r="G8" s="51" t="str">
        <f>IF(ISTEXT(VLOOKUP(CONCATENATE($A8,"_",G$3),'Unit List'!$A$23:$H$3172,2,FALSE)),"X",$B8)</f>
        <v/>
      </c>
      <c r="H8" s="51" t="str">
        <f>IF(ISTEXT(VLOOKUP(CONCATENATE($A8,"_",H$3),'Unit List'!$A$23:$H$3172,2,FALSE)),"X",$B8)</f>
        <v/>
      </c>
      <c r="I8" s="53" t="str">
        <f>IF(ISTEXT(VLOOKUP(CONCATENATE($A8,"_",I$3),'Unit List'!$A$23:$H$3172,2,FALSE)),"X",$B8)</f>
        <v/>
      </c>
      <c r="J8" s="172" t="str">
        <f>IF(ISTEXT(VLOOKUP(CONCATENATE($A8,"_",J$3),'Unit List'!$A$23:$H$3172,2,FALSE)),"+","")</f>
        <v/>
      </c>
      <c r="K8" s="51" t="str">
        <f>IF(ISTEXT(VLOOKUP(CONCATENATE($A8,"_",K$3),'Unit List'!$A$23:$H$3172,2,FALSE)),"X",$J8)</f>
        <v/>
      </c>
      <c r="L8" s="62" t="str">
        <f>IF(ISTEXT(VLOOKUP(CONCATENATE($A8,"_",L$3),'Unit List'!$A$23:$H$3172,2,FALSE)),"X",$J8)</f>
        <v/>
      </c>
      <c r="M8" s="172" t="str">
        <f>IF(ISTEXT(VLOOKUP(CONCATENATE($A8,"_",M$3),'Unit List'!$A$23:$H$3172,2,FALSE)),"+","")</f>
        <v/>
      </c>
      <c r="N8" s="51" t="str">
        <f>IF(ISTEXT(VLOOKUP(CONCATENATE($A8,"_",N$3),'Unit List'!$A$23:$H$3172,2,FALSE)),"X",$M8)</f>
        <v/>
      </c>
      <c r="O8" s="53" t="str">
        <f>IF(ISTEXT(VLOOKUP(CONCATENATE($A8,"_",O$3),'Unit List'!$A$23:$H$3172,2,FALSE)),"X",$M8)</f>
        <v/>
      </c>
      <c r="P8" s="172" t="str">
        <f>IF(ISTEXT(VLOOKUP(CONCATENATE($A8,"_",P$3),'Unit List'!$A$23:$H$3172,2,FALSE)),"+","")</f>
        <v/>
      </c>
      <c r="Q8" s="51" t="str">
        <f>IF(ISTEXT(VLOOKUP(CONCATENATE($A8,"_",Q$3),'Unit List'!$A$23:$H$3172,2,FALSE)),"X",$P8)</f>
        <v/>
      </c>
      <c r="R8" s="51" t="str">
        <f>IF(ISTEXT(VLOOKUP(CONCATENATE($A8,"_",R$3),'Unit List'!$A$23:$H$3172,2,FALSE)),"X",$P8)</f>
        <v/>
      </c>
      <c r="S8" s="51" t="str">
        <f>IF(ISTEXT(VLOOKUP(CONCATENATE($A8,"_",S$3),'Unit List'!$A$23:$H$3172,2,FALSE)),"X",$P8)</f>
        <v/>
      </c>
      <c r="T8" s="52" t="str">
        <f>IF(ISTEXT(VLOOKUP(CONCATENATE($A8,"_",T$3),'Unit List'!$A$23:$H$3172,2,FALSE)),"X",$P8)</f>
        <v/>
      </c>
      <c r="U8" s="51" t="str">
        <f>IF(ISTEXT(VLOOKUP(CONCATENATE($A8,"_",U$3),'Unit List'!$A$23:$H$3172,2,FALSE)),"X",$P8)</f>
        <v/>
      </c>
      <c r="V8" s="51" t="str">
        <f>IF(ISTEXT(VLOOKUP(CONCATENATE($A8,"_",V$3),'Unit List'!$A$23:$H$3172,2,FALSE)),"X",$P8)</f>
        <v/>
      </c>
      <c r="W8" s="53" t="str">
        <f>IF(ISTEXT(VLOOKUP(CONCATENATE($A8,"_",W$3),'Unit List'!$A$23:$H$3172,2,FALSE)),"X",$P8)</f>
        <v/>
      </c>
      <c r="X8" s="172" t="str">
        <f>IF(ISTEXT(VLOOKUP(CONCATENATE($A8,"_",X$3),'Unit List'!$A$23:$H$3172,2,FALSE)),"+","")</f>
        <v/>
      </c>
      <c r="Y8" s="51" t="str">
        <f>IF(ISTEXT(VLOOKUP(CONCATENATE($A8,"_",Y$3),'Unit List'!$A$23:$H$3172,2,FALSE)),"X",$X8)</f>
        <v/>
      </c>
      <c r="Z8" s="51" t="str">
        <f>IF(ISTEXT(VLOOKUP(CONCATENATE($A8,"_",Z$3),'Unit List'!$A$23:$H$3172,2,FALSE)),"X",$X8)</f>
        <v/>
      </c>
      <c r="AA8" s="51" t="str">
        <f>IF(ISTEXT(VLOOKUP(CONCATENATE($A8,"_",AA$3),'Unit List'!$A$23:$H$3172,2,FALSE)),"X",$X8)</f>
        <v/>
      </c>
      <c r="AB8" s="51" t="str">
        <f>IF(ISTEXT(VLOOKUP(CONCATENATE($A8,"_",AB$3),'Unit List'!$A$23:$H$3172,2,FALSE)),"X",$X8)</f>
        <v/>
      </c>
      <c r="AC8" s="62" t="str">
        <f>IF(ISTEXT(VLOOKUP(CONCATENATE($A8,"_",AC$3),'Unit List'!$A$23:$H$3172,2,FALSE)),"X",$X8)</f>
        <v/>
      </c>
      <c r="AD8" s="172" t="str">
        <f>IF(ISTEXT(VLOOKUP(CONCATENATE($A8,"_",AD$3),'Unit List'!$A$23:$H$3172,2,FALSE)),"+","")</f>
        <v/>
      </c>
      <c r="AE8" s="51" t="str">
        <f>IF(ISTEXT(VLOOKUP(CONCATENATE($A8,"_",AE$3),'Unit List'!$A$23:$H$3172,2,FALSE)),"X",$AD8)</f>
        <v/>
      </c>
      <c r="AF8" s="51" t="str">
        <f>IF(ISTEXT(VLOOKUP(CONCATENATE($A8,"_",AF$3),'Unit List'!$A$23:$H$3172,2,FALSE)),"X",$AD8)</f>
        <v/>
      </c>
      <c r="AG8" s="172" t="str">
        <f>IF(ISTEXT(VLOOKUP(CONCATENATE($A8,"_",AG$3),'Unit List'!$A$23:$H$3172,2,FALSE)),"+","")</f>
        <v/>
      </c>
      <c r="AH8" s="51" t="str">
        <f>IF(ISTEXT(VLOOKUP(CONCATENATE($A8,"_",AH$3),'Unit List'!$A$23:$H$3172,2,FALSE)),"X",$AG8)</f>
        <v/>
      </c>
      <c r="AI8" s="51" t="str">
        <f>IF(ISTEXT(VLOOKUP(CONCATENATE($A8,"_",AI$3),'Unit List'!$A$23:$H$3172,2,FALSE)),"X",$AG8)</f>
        <v/>
      </c>
      <c r="AJ8" s="53" t="str">
        <f>IF(ISTEXT(VLOOKUP(CONCATENATE($A8,"_",AJ$3),'Unit List'!$A$23:$H$3172,2,FALSE)),"X",$AG8)</f>
        <v/>
      </c>
      <c r="AK8" s="172" t="str">
        <f>IF(ISTEXT(VLOOKUP(CONCATENATE($A8,"_",AK$3),'Unit List'!$A$23:$H$3172,2,FALSE)),"+","")</f>
        <v/>
      </c>
      <c r="AL8" s="52" t="str">
        <f>IF(ISTEXT(VLOOKUP(CONCATENATE($A8,"_",AL$3),'Unit List'!$A$23:$H$3172,2,FALSE)),"X",$AK8)</f>
        <v/>
      </c>
      <c r="AM8" s="53" t="str">
        <f>IF(ISTEXT(VLOOKUP(CONCATENATE($A8,"_",AM$3),'Unit List'!$A$23:$H$3172,2,FALSE)),"X",$AK8)</f>
        <v/>
      </c>
      <c r="AN8" s="125" t="str">
        <f>IF(ISTEXT(VLOOKUP(CONCATENATE($A8,"_",AN$3),'Unit List'!$A$23:$H$3172,2,FALSE)),"+","")</f>
        <v/>
      </c>
      <c r="AO8" s="53" t="str">
        <f>IF(ISTEXT(VLOOKUP(CONCATENATE($A8,"_",AO$3),'Unit List'!$A$23:$H$3172,2,FALSE)),"X",$AN8)</f>
        <v/>
      </c>
      <c r="AP8" s="172" t="str">
        <f>IF(ISTEXT(VLOOKUP(CONCATENATE($A8,"_",AP$3),'Unit List'!$A$23:$H$3172,2,FALSE)),"+","")</f>
        <v/>
      </c>
      <c r="AQ8" s="51" t="str">
        <f>IF(ISTEXT(VLOOKUP(CONCATENATE($A8,"_",AQ$3),'Unit List'!$A$23:$H$3172,2,FALSE)),"X",$AP8)</f>
        <v/>
      </c>
      <c r="AR8" s="51" t="str">
        <f>IF(ISTEXT(VLOOKUP(CONCATENATE($A8,"_",AR$3),'Unit List'!$A$23:$H$3172,2,FALSE)),"X",$AP8)</f>
        <v/>
      </c>
      <c r="AS8" s="51" t="str">
        <f>IF(ISTEXT(VLOOKUP(CONCATENATE($A8,"_",AS$3),'Unit List'!$A$23:$H$3172,2,FALSE)),"X",$AP8)</f>
        <v/>
      </c>
      <c r="AT8" s="53" t="str">
        <f>IF(ISTEXT(VLOOKUP(CONCATENATE($A8,"_",AT$3),'Unit List'!$A$23:$H$3172,2,FALSE)),"X",$AP8)</f>
        <v/>
      </c>
      <c r="AU8" s="124" t="str">
        <f>IF(ISTEXT(VLOOKUP(CONCATENATE($A8,"_",AU$3),'Unit List'!$A$23:$H$3172,2,FALSE)),"+","")</f>
        <v/>
      </c>
      <c r="AV8" s="51" t="str">
        <f>IF(ISTEXT(VLOOKUP(CONCATENATE($A8,"_",AV$3),'Unit List'!$A$23:$H$3172,2,FALSE)),"X",$AU8)</f>
        <v/>
      </c>
      <c r="AW8" s="53" t="str">
        <f>IF(ISTEXT(VLOOKUP(CONCATENATE($A8,"_",AW$3),'Unit List'!$A$23:$H$3172,2,FALSE)),"X",$AU8)</f>
        <v/>
      </c>
      <c r="AX8" s="172" t="str">
        <f>IF(ISTEXT(VLOOKUP(CONCATENATE($A8,"_",AX$3),'Unit List'!$A$23:$H$3172,2,FALSE)),"+","")</f>
        <v/>
      </c>
      <c r="AY8" s="51" t="str">
        <f>IF(ISTEXT(VLOOKUP(CONCATENATE($A8,"_",AY$3),'Unit List'!$A$23:$H$3172,2,FALSE)),"X",$AX8)</f>
        <v/>
      </c>
      <c r="AZ8" s="53" t="str">
        <f>IF(ISTEXT(VLOOKUP(CONCATENATE($A8,"_",AZ$3),'Unit List'!$A$23:$H$3172,2,FALSE)),"X",$AX8)</f>
        <v/>
      </c>
      <c r="BA8" s="182" t="str">
        <f>IF(ISTEXT(VLOOKUP(CONCATENATE($A8,"_",BA$3),'Unit List'!$A$23:$H$3172,2,FALSE)),"+","")</f>
        <v/>
      </c>
      <c r="BB8" s="51" t="str">
        <f>IF(ISTEXT(VLOOKUP(CONCATENATE($A8,"_",BB$3),'Unit List'!$A$23:$H$3172,2,FALSE)),"X",$BA8)</f>
        <v/>
      </c>
      <c r="BC8" s="51" t="str">
        <f>IF(ISTEXT(VLOOKUP(CONCATENATE($A8,"_",BC$3),'Unit List'!$A$23:$H$3172,2,FALSE)),"X",$BA8)</f>
        <v/>
      </c>
      <c r="BD8" s="53" t="str">
        <f>IF(ISTEXT(VLOOKUP(CONCATENATE($A8,"_",BD$3),'Unit List'!$A$23:$H$3172,2,FALSE)),"X",$BA8)</f>
        <v/>
      </c>
      <c r="BE8" s="125" t="str">
        <f>IF(ISTEXT(VLOOKUP(CONCATENATE($A8,"_",BE$3),'Unit List'!$A$23:$H$3172,2,FALSE)),"+","")</f>
        <v/>
      </c>
      <c r="BF8" s="62" t="str">
        <f>IF(ISTEXT(VLOOKUP(CONCATENATE($A8,"_",BF$3),'Unit List'!$A$23:$H$3172,2,FALSE)),"X",$BE8)</f>
        <v/>
      </c>
      <c r="BG8" s="64" t="s">
        <v>0</v>
      </c>
      <c r="BH8" s="65" t="s">
        <v>0</v>
      </c>
      <c r="BI8" s="219"/>
      <c r="BJ8" s="220"/>
      <c r="BK8" s="220"/>
      <c r="BL8" s="80"/>
      <c r="BM8" s="81" t="s">
        <v>42</v>
      </c>
      <c r="BN8" s="54"/>
      <c r="BO8" s="54"/>
      <c r="BP8" s="54"/>
      <c r="BQ8" s="54"/>
      <c r="BR8" s="54"/>
      <c r="BS8" s="54"/>
      <c r="DZ8" s="55"/>
      <c r="EA8" s="55"/>
    </row>
    <row r="9" spans="1:131" ht="12.75" customHeight="1" x14ac:dyDescent="0.2">
      <c r="A9" s="56" t="s">
        <v>41</v>
      </c>
      <c r="B9" s="181" t="str">
        <f>IF(ISTEXT(VLOOKUP(CONCATENATE($A9,"_",B$3),'Unit List'!$A$23:$H$3172,2,FALSE)),"+","")</f>
        <v/>
      </c>
      <c r="C9" s="82" t="str">
        <f>IF(ISTEXT(VLOOKUP(CONCATENATE($A9,"_",C$3),'Unit List'!$A$23:$H$3172,2,FALSE)),"X",$B9)</f>
        <v>X</v>
      </c>
      <c r="D9" s="51" t="str">
        <f>IF(ISTEXT(VLOOKUP(CONCATENATE($A9,"_",D$3),'Unit List'!$A$23:$H$3172,2,FALSE)),"X",$B9)</f>
        <v/>
      </c>
      <c r="E9" s="51" t="str">
        <f>IF(ISTEXT(VLOOKUP(CONCATENATE($A9,"_",E$3),'Unit List'!$A$23:$H$3172,2,FALSE)),"X",$B9)</f>
        <v>X</v>
      </c>
      <c r="F9" s="67" t="str">
        <f>IF(ISTEXT(VLOOKUP(CONCATENATE($A9,"_",F$3),'Unit List'!$A$23:$H$3172,2,FALSE)),"X",$B9)</f>
        <v>X</v>
      </c>
      <c r="G9" s="67" t="str">
        <f>IF(ISTEXT(VLOOKUP(CONCATENATE($A9,"_",G$3),'Unit List'!$A$23:$H$3172,2,FALSE)),"X",$B9)</f>
        <v>X</v>
      </c>
      <c r="H9" s="67" t="str">
        <f>IF(ISTEXT(VLOOKUP(CONCATENATE($A9,"_",H$3),'Unit List'!$A$23:$H$3172,2,FALSE)),"X",$B9)</f>
        <v>X</v>
      </c>
      <c r="I9" s="53" t="str">
        <f>IF(ISTEXT(VLOOKUP(CONCATENATE($A9,"_",I$3),'Unit List'!$A$23:$H$3172,2,FALSE)),"X",$B9)</f>
        <v/>
      </c>
      <c r="J9" s="172" t="str">
        <f>IF(ISTEXT(VLOOKUP(CONCATENATE($A9,"_",J$3),'Unit List'!$A$23:$H$3172,2,FALSE)),"+","")</f>
        <v/>
      </c>
      <c r="K9" s="51" t="str">
        <f>IF(ISTEXT(VLOOKUP(CONCATENATE($A9,"_",K$3),'Unit List'!$A$23:$H$3172,2,FALSE)),"X",$J9)</f>
        <v/>
      </c>
      <c r="L9" s="62" t="str">
        <f>IF(ISTEXT(VLOOKUP(CONCATENATE($A9,"_",L$3),'Unit List'!$A$23:$H$3172,2,FALSE)),"X",$J9)</f>
        <v/>
      </c>
      <c r="M9" s="172" t="str">
        <f>IF(ISTEXT(VLOOKUP(CONCATENATE($A9,"_",M$3),'Unit List'!$A$23:$H$3172,2,FALSE)),"+","")</f>
        <v>+</v>
      </c>
      <c r="N9" s="60" t="str">
        <f>IF(ISTEXT(VLOOKUP(CONCATENATE($A9,"_",N$3),'Unit List'!$A$23:$H$3172,2,FALSE)),"X",$M9)</f>
        <v>+</v>
      </c>
      <c r="O9" s="70" t="str">
        <f>IF(ISTEXT(VLOOKUP(CONCATENATE($A9,"_",O$3),'Unit List'!$A$23:$H$3172,2,FALSE)),"X",$M9)</f>
        <v>X</v>
      </c>
      <c r="P9" s="172" t="str">
        <f>IF(ISTEXT(VLOOKUP(CONCATENATE($A9,"_",P$3),'Unit List'!$A$23:$H$3172,2,FALSE)),"+","")</f>
        <v/>
      </c>
      <c r="Q9" s="51" t="str">
        <f>IF(ISTEXT(VLOOKUP(CONCATENATE($A9,"_",Q$3),'Unit List'!$A$23:$H$3172,2,FALSE)),"X",$P9)</f>
        <v/>
      </c>
      <c r="R9" s="51" t="str">
        <f>IF(ISTEXT(VLOOKUP(CONCATENATE($A9,"_",R$3),'Unit List'!$A$23:$H$3172,2,FALSE)),"X",$P9)</f>
        <v/>
      </c>
      <c r="S9" s="51" t="str">
        <f>IF(ISTEXT(VLOOKUP(CONCATENATE($A9,"_",S$3),'Unit List'!$A$23:$H$3172,2,FALSE)),"X",$P9)</f>
        <v/>
      </c>
      <c r="T9" s="52" t="str">
        <f>IF(ISTEXT(VLOOKUP(CONCATENATE($A9,"_",T$3),'Unit List'!$A$23:$H$3172,2,FALSE)),"X",$P9)</f>
        <v/>
      </c>
      <c r="U9" s="67" t="str">
        <f>IF(ISTEXT(VLOOKUP(CONCATENATE($A9,"_",U$3),'Unit List'!$A$23:$H$3172,2,FALSE)),"X",$P9)</f>
        <v>X</v>
      </c>
      <c r="V9" s="51" t="str">
        <f>IF(ISTEXT(VLOOKUP(CONCATENATE($A9,"_",V$3),'Unit List'!$A$23:$H$3172,2,FALSE)),"X",$P9)</f>
        <v/>
      </c>
      <c r="W9" s="53" t="str">
        <f>IF(ISTEXT(VLOOKUP(CONCATENATE($A9,"_",W$3),'Unit List'!$A$23:$H$3172,2,FALSE)),"X",$P9)</f>
        <v/>
      </c>
      <c r="X9" s="172" t="str">
        <f>IF(ISTEXT(VLOOKUP(CONCATENATE($A9,"_",X$3),'Unit List'!$A$23:$H$3172,2,FALSE)),"+","")</f>
        <v/>
      </c>
      <c r="Y9" s="51" t="str">
        <f>IF(ISTEXT(VLOOKUP(CONCATENATE($A9,"_",Y$3),'Unit List'!$A$23:$H$3172,2,FALSE)),"X",$X9)</f>
        <v/>
      </c>
      <c r="Z9" s="51" t="str">
        <f>IF(ISTEXT(VLOOKUP(CONCATENATE($A9,"_",Z$3),'Unit List'!$A$23:$H$3172,2,FALSE)),"X",$X9)</f>
        <v/>
      </c>
      <c r="AA9" s="51" t="str">
        <f>IF(ISTEXT(VLOOKUP(CONCATENATE($A9,"_",AA$3),'Unit List'!$A$23:$H$3172,2,FALSE)),"X",$X9)</f>
        <v/>
      </c>
      <c r="AB9" s="51" t="str">
        <f>IF(ISTEXT(VLOOKUP(CONCATENATE($A9,"_",AB$3),'Unit List'!$A$23:$H$3172,2,FALSE)),"X",$X9)</f>
        <v/>
      </c>
      <c r="AC9" s="62" t="str">
        <f>IF(ISTEXT(VLOOKUP(CONCATENATE($A9,"_",AC$3),'Unit List'!$A$23:$H$3172,2,FALSE)),"X",$X9)</f>
        <v/>
      </c>
      <c r="AD9" s="172" t="str">
        <f>IF(ISTEXT(VLOOKUP(CONCATENATE($A9,"_",AD$3),'Unit List'!$A$23:$H$3172,2,FALSE)),"+","")</f>
        <v>+</v>
      </c>
      <c r="AE9" s="51" t="str">
        <f>IF(ISTEXT(VLOOKUP(CONCATENATE($A9,"_",AE$3),'Unit List'!$A$23:$H$3172,2,FALSE)),"X",$AD9)</f>
        <v>+</v>
      </c>
      <c r="AF9" s="51" t="str">
        <f>IF(ISTEXT(VLOOKUP(CONCATENATE($A9,"_",AF$3),'Unit List'!$A$23:$H$3172,2,FALSE)),"X",$AD9)</f>
        <v>+</v>
      </c>
      <c r="AG9" s="172" t="str">
        <f>IF(ISTEXT(VLOOKUP(CONCATENATE($A9,"_",AG$3),'Unit List'!$A$23:$H$3172,2,FALSE)),"+","")</f>
        <v/>
      </c>
      <c r="AH9" s="51" t="str">
        <f>IF(ISTEXT(VLOOKUP(CONCATENATE($A9,"_",AH$3),'Unit List'!$A$23:$H$3172,2,FALSE)),"X",$AG9)</f>
        <v/>
      </c>
      <c r="AI9" s="51" t="str">
        <f>IF(ISTEXT(VLOOKUP(CONCATENATE($A9,"_",AI$3),'Unit List'!$A$23:$H$3172,2,FALSE)),"X",$AG9)</f>
        <v/>
      </c>
      <c r="AJ9" s="53" t="str">
        <f>IF(ISTEXT(VLOOKUP(CONCATENATE($A9,"_",AJ$3),'Unit List'!$A$23:$H$3172,2,FALSE)),"X",$AG9)</f>
        <v>X</v>
      </c>
      <c r="AK9" s="172" t="str">
        <f>IF(ISTEXT(VLOOKUP(CONCATENATE($A9,"_",AK$3),'Unit List'!$A$23:$H$3172,2,FALSE)),"+","")</f>
        <v/>
      </c>
      <c r="AL9" s="52" t="str">
        <f>IF(ISTEXT(VLOOKUP(CONCATENATE($A9,"_",AL$3),'Unit List'!$A$23:$H$3172,2,FALSE)),"X",$AK9)</f>
        <v/>
      </c>
      <c r="AM9" s="53" t="str">
        <f>IF(ISTEXT(VLOOKUP(CONCATENATE($A9,"_",AM$3),'Unit List'!$A$23:$H$3172,2,FALSE)),"X",$AK9)</f>
        <v/>
      </c>
      <c r="AN9" s="125" t="str">
        <f>IF(ISTEXT(VLOOKUP(CONCATENATE($A9,"_",AN$3),'Unit List'!$A$23:$H$3172,2,FALSE)),"+","")</f>
        <v>+</v>
      </c>
      <c r="AO9" s="53" t="str">
        <f>IF(ISTEXT(VLOOKUP(CONCATENATE($A9,"_",AO$3),'Unit List'!$A$23:$H$3172,2,FALSE)),"X",$AN9)</f>
        <v>+</v>
      </c>
      <c r="AP9" s="172" t="str">
        <f>IF(ISTEXT(VLOOKUP(CONCATENATE($A9,"_",AP$3),'Unit List'!$A$23:$H$3172,2,FALSE)),"+","")</f>
        <v>+</v>
      </c>
      <c r="AQ9" s="51" t="str">
        <f>IF(ISTEXT(VLOOKUP(CONCATENATE($A9,"_",AQ$3),'Unit List'!$A$23:$H$3172,2,FALSE)),"X",$AP9)</f>
        <v>+</v>
      </c>
      <c r="AR9" s="67" t="str">
        <f>IF(ISTEXT(VLOOKUP(CONCATENATE($A9,"_",AR$3),'Unit List'!$A$23:$H$3172,2,FALSE)),"X",$AP9)</f>
        <v>X</v>
      </c>
      <c r="AS9" s="51" t="str">
        <f>IF(ISTEXT(VLOOKUP(CONCATENATE($A9,"_",AS$3),'Unit List'!$A$23:$H$3172,2,FALSE)),"X",$AP9)</f>
        <v>X</v>
      </c>
      <c r="AT9" s="53" t="str">
        <f>IF(ISTEXT(VLOOKUP(CONCATENATE($A9,"_",AT$3),'Unit List'!$A$23:$H$3172,2,FALSE)),"X",$AP9)</f>
        <v>+</v>
      </c>
      <c r="AU9" s="124" t="str">
        <f>IF(ISTEXT(VLOOKUP(CONCATENATE($A9,"_",AU$3),'Unit List'!$A$23:$H$3172,2,FALSE)),"+","")</f>
        <v>+</v>
      </c>
      <c r="AV9" s="51" t="str">
        <f>IF(ISTEXT(VLOOKUP(CONCATENATE($A9,"_",AV$3),'Unit List'!$A$23:$H$3172,2,FALSE)),"X",$AU9)</f>
        <v>+</v>
      </c>
      <c r="AW9" s="53" t="str">
        <f>IF(ISTEXT(VLOOKUP(CONCATENATE($A9,"_",AW$3),'Unit List'!$A$23:$H$3172,2,FALSE)),"X",$AU9)</f>
        <v>+</v>
      </c>
      <c r="AX9" s="172" t="str">
        <f>IF(ISTEXT(VLOOKUP(CONCATENATE($A9,"_",AX$3),'Unit List'!$A$23:$H$3172,2,FALSE)),"+","")</f>
        <v>+</v>
      </c>
      <c r="AY9" s="51" t="str">
        <f>IF(ISTEXT(VLOOKUP(CONCATENATE($A9,"_",AY$3),'Unit List'!$A$23:$H$3172,2,FALSE)),"X",$AX9)</f>
        <v>+</v>
      </c>
      <c r="AZ9" s="53" t="str">
        <f>IF(ISTEXT(VLOOKUP(CONCATENATE($A9,"_",AZ$3),'Unit List'!$A$23:$H$3172,2,FALSE)),"X",$AX9)</f>
        <v>+</v>
      </c>
      <c r="BA9" s="182" t="str">
        <f>IF(ISTEXT(VLOOKUP(CONCATENATE($A9,"_",BA$3),'Unit List'!$A$23:$H$3172,2,FALSE)),"+","")</f>
        <v/>
      </c>
      <c r="BB9" s="51" t="str">
        <f>IF(ISTEXT(VLOOKUP(CONCATENATE($A9,"_",BB$3),'Unit List'!$A$23:$H$3172,2,FALSE)),"X",$BA9)</f>
        <v/>
      </c>
      <c r="BC9" s="51" t="str">
        <f>IF(ISTEXT(VLOOKUP(CONCATENATE($A9,"_",BC$3),'Unit List'!$A$23:$H$3172,2,FALSE)),"X",$BA9)</f>
        <v/>
      </c>
      <c r="BD9" s="53" t="str">
        <f>IF(ISTEXT(VLOOKUP(CONCATENATE($A9,"_",BD$3),'Unit List'!$A$23:$H$3172,2,FALSE)),"X",$BA9)</f>
        <v/>
      </c>
      <c r="BE9" s="125" t="str">
        <f>IF(ISTEXT(VLOOKUP(CONCATENATE($A9,"_",BE$3),'Unit List'!$A$23:$H$3172,2,FALSE)),"+","")</f>
        <v>+</v>
      </c>
      <c r="BF9" s="62" t="str">
        <f>IF(ISTEXT(VLOOKUP(CONCATENATE($A9,"_",BF$3),'Unit List'!$A$23:$H$3172,2,FALSE)),"X",$BE9)</f>
        <v>+</v>
      </c>
      <c r="BG9" s="64"/>
      <c r="BH9" s="65" t="s">
        <v>0</v>
      </c>
      <c r="BI9" s="225"/>
      <c r="BJ9" s="226"/>
      <c r="BK9" s="226"/>
      <c r="BL9" s="226"/>
      <c r="BM9" s="227"/>
      <c r="BN9" s="54"/>
      <c r="BO9" s="54"/>
      <c r="BP9" s="54"/>
      <c r="BQ9" s="54"/>
      <c r="BR9" s="54"/>
      <c r="BS9" s="54"/>
      <c r="DZ9" s="55"/>
      <c r="EA9" s="55"/>
    </row>
    <row r="10" spans="1:131" ht="12.75" customHeight="1" x14ac:dyDescent="0.2">
      <c r="A10" s="56" t="s">
        <v>1112</v>
      </c>
      <c r="B10" s="181" t="str">
        <f>IF(ISTEXT(VLOOKUP(CONCATENATE($A10,"_",B$3),'Unit List'!$A$23:$H$3172,2,FALSE)),"+","")</f>
        <v/>
      </c>
      <c r="C10" s="57" t="str">
        <f>IF(ISTEXT(VLOOKUP(CONCATENATE($A10,"_",C$3),'Unit List'!$A$23:$H$3172,2,FALSE)),"X",$B10)</f>
        <v/>
      </c>
      <c r="D10" s="51" t="str">
        <f>IF(ISTEXT(VLOOKUP(CONCATENATE($A10,"_",D$3),'Unit List'!$A$23:$H$3172,2,FALSE)),"X",$B10)</f>
        <v/>
      </c>
      <c r="E10" s="51" t="str">
        <f>IF(ISTEXT(VLOOKUP(CONCATENATE($A10,"_",E$3),'Unit List'!$A$23:$H$3172,2,FALSE)),"X",$B10)</f>
        <v/>
      </c>
      <c r="F10" s="51" t="str">
        <f>IF(ISTEXT(VLOOKUP(CONCATENATE($A10,"_",F$3),'Unit List'!$A$23:$H$3172,2,FALSE)),"X",$B10)</f>
        <v/>
      </c>
      <c r="G10" s="51" t="str">
        <f>IF(ISTEXT(VLOOKUP(CONCATENATE($A10,"_",G$3),'Unit List'!$A$23:$H$3172,2,FALSE)),"X",$B10)</f>
        <v/>
      </c>
      <c r="H10" s="51" t="str">
        <f>IF(ISTEXT(VLOOKUP(CONCATENATE($A10,"_",H$3),'Unit List'!$A$23:$H$3172,2,FALSE)),"X",$B10)</f>
        <v/>
      </c>
      <c r="I10" s="53" t="str">
        <f>IF(ISTEXT(VLOOKUP(CONCATENATE($A10,"_",I$3),'Unit List'!$A$23:$H$3172,2,FALSE)),"X",$B10)</f>
        <v/>
      </c>
      <c r="J10" s="172" t="str">
        <f>IF(ISTEXT(VLOOKUP(CONCATENATE($A10,"_",J$3),'Unit List'!$A$23:$H$3172,2,FALSE)),"+","")</f>
        <v/>
      </c>
      <c r="K10" s="51" t="str">
        <f>IF(ISTEXT(VLOOKUP(CONCATENATE($A10,"_",K$3),'Unit List'!$A$23:$H$3172,2,FALSE)),"X",$J10)</f>
        <v/>
      </c>
      <c r="L10" s="62" t="str">
        <f>IF(ISTEXT(VLOOKUP(CONCATENATE($A10,"_",L$3),'Unit List'!$A$23:$H$3172,2,FALSE)),"X",$J10)</f>
        <v/>
      </c>
      <c r="M10" s="172" t="str">
        <f>IF(ISTEXT(VLOOKUP(CONCATENATE($A10,"_",M$3),'Unit List'!$A$23:$H$3172,2,FALSE)),"+","")</f>
        <v/>
      </c>
      <c r="N10" s="51" t="str">
        <f>IF(ISTEXT(VLOOKUP(CONCATENATE($A10,"_",N$3),'Unit List'!$A$23:$H$3172,2,FALSE)),"X",$M10)</f>
        <v/>
      </c>
      <c r="O10" s="53" t="str">
        <f>IF(ISTEXT(VLOOKUP(CONCATENATE($A10,"_",O$3),'Unit List'!$A$23:$H$3172,2,FALSE)),"X",$M10)</f>
        <v/>
      </c>
      <c r="P10" s="172" t="str">
        <f>IF(ISTEXT(VLOOKUP(CONCATENATE($A10,"_",P$3),'Unit List'!$A$23:$H$3172,2,FALSE)),"+","")</f>
        <v/>
      </c>
      <c r="Q10" s="51" t="str">
        <f>IF(ISTEXT(VLOOKUP(CONCATENATE($A10,"_",Q$3),'Unit List'!$A$23:$H$3172,2,FALSE)),"X",$P10)</f>
        <v/>
      </c>
      <c r="R10" s="51" t="str">
        <f>IF(ISTEXT(VLOOKUP(CONCATENATE($A10,"_",R$3),'Unit List'!$A$23:$H$3172,2,FALSE)),"X",$P10)</f>
        <v/>
      </c>
      <c r="S10" s="51" t="str">
        <f>IF(ISTEXT(VLOOKUP(CONCATENATE($A10,"_",S$3),'Unit List'!$A$23:$H$3172,2,FALSE)),"X",$P10)</f>
        <v/>
      </c>
      <c r="T10" s="52" t="str">
        <f>IF(ISTEXT(VLOOKUP(CONCATENATE($A10,"_",T$3),'Unit List'!$A$23:$H$3172,2,FALSE)),"X",$P10)</f>
        <v/>
      </c>
      <c r="U10" s="51" t="str">
        <f>IF(ISTEXT(VLOOKUP(CONCATENATE($A10,"_",U$3),'Unit List'!$A$23:$H$3172,2,FALSE)),"X",$P10)</f>
        <v/>
      </c>
      <c r="V10" s="51" t="str">
        <f>IF(ISTEXT(VLOOKUP(CONCATENATE($A10,"_",V$3),'Unit List'!$A$23:$H$3172,2,FALSE)),"X",$P10)</f>
        <v/>
      </c>
      <c r="W10" s="53" t="str">
        <f>IF(ISTEXT(VLOOKUP(CONCATENATE($A10,"_",W$3),'Unit List'!$A$23:$H$3172,2,FALSE)),"X",$P10)</f>
        <v/>
      </c>
      <c r="X10" s="172" t="str">
        <f>IF(ISTEXT(VLOOKUP(CONCATENATE($A10,"_",X$3),'Unit List'!$A$23:$H$3172,2,FALSE)),"+","")</f>
        <v/>
      </c>
      <c r="Y10" s="51" t="str">
        <f>IF(ISTEXT(VLOOKUP(CONCATENATE($A10,"_",Y$3),'Unit List'!$A$23:$H$3172,2,FALSE)),"X",$X10)</f>
        <v/>
      </c>
      <c r="Z10" s="51" t="str">
        <f>IF(ISTEXT(VLOOKUP(CONCATENATE($A10,"_",Z$3),'Unit List'!$A$23:$H$3172,2,FALSE)),"X",$X10)</f>
        <v/>
      </c>
      <c r="AA10" s="51" t="str">
        <f>IF(ISTEXT(VLOOKUP(CONCATENATE($A10,"_",AA$3),'Unit List'!$A$23:$H$3172,2,FALSE)),"X",$X10)</f>
        <v/>
      </c>
      <c r="AB10" s="51" t="str">
        <f>IF(ISTEXT(VLOOKUP(CONCATENATE($A10,"_",AB$3),'Unit List'!$A$23:$H$3172,2,FALSE)),"X",$X10)</f>
        <v/>
      </c>
      <c r="AC10" s="62" t="str">
        <f>IF(ISTEXT(VLOOKUP(CONCATENATE($A10,"_",AC$3),'Unit List'!$A$23:$H$3172,2,FALSE)),"X",$X10)</f>
        <v/>
      </c>
      <c r="AD10" s="172" t="str">
        <f>IF(ISTEXT(VLOOKUP(CONCATENATE($A10,"_",AD$3),'Unit List'!$A$23:$H$3172,2,FALSE)),"+","")</f>
        <v/>
      </c>
      <c r="AE10" s="51" t="str">
        <f>IF(ISTEXT(VLOOKUP(CONCATENATE($A10,"_",AE$3),'Unit List'!$A$23:$H$3172,2,FALSE)),"X",$AD10)</f>
        <v/>
      </c>
      <c r="AF10" s="51" t="str">
        <f>IF(ISTEXT(VLOOKUP(CONCATENATE($A10,"_",AF$3),'Unit List'!$A$23:$H$3172,2,FALSE)),"X",$AD10)</f>
        <v/>
      </c>
      <c r="AG10" s="172" t="str">
        <f>IF(ISTEXT(VLOOKUP(CONCATENATE($A10,"_",AG$3),'Unit List'!$A$23:$H$3172,2,FALSE)),"+","")</f>
        <v/>
      </c>
      <c r="AH10" s="83" t="str">
        <f>IF(ISTEXT(VLOOKUP(CONCATENATE($A10,"_",AH$3),'Unit List'!$A$23:$H$3172,2,FALSE)),"X",$AG10)</f>
        <v/>
      </c>
      <c r="AI10" s="83" t="str">
        <f>IF(ISTEXT(VLOOKUP(CONCATENATE($A10,"_",AI$3),'Unit List'!$A$23:$H$3172,2,FALSE)),"X",$AG10)</f>
        <v/>
      </c>
      <c r="AJ10" s="53" t="str">
        <f>IF(ISTEXT(VLOOKUP(CONCATENATE($A10,"_",AJ$3),'Unit List'!$A$23:$H$3172,2,FALSE)),"X",$AG10)</f>
        <v/>
      </c>
      <c r="AK10" s="172" t="str">
        <f>IF(ISTEXT(VLOOKUP(CONCATENATE($A10,"_",AK$3),'Unit List'!$A$23:$H$3172,2,FALSE)),"+","")</f>
        <v/>
      </c>
      <c r="AL10" s="52" t="str">
        <f>IF(ISTEXT(VLOOKUP(CONCATENATE($A10,"_",AL$3),'Unit List'!$A$23:$H$3172,2,FALSE)),"X",$AK10)</f>
        <v/>
      </c>
      <c r="AM10" s="53" t="str">
        <f>IF(ISTEXT(VLOOKUP(CONCATENATE($A10,"_",AM$3),'Unit List'!$A$23:$H$3172,2,FALSE)),"X",$AK10)</f>
        <v/>
      </c>
      <c r="AN10" s="125" t="str">
        <f>IF(ISTEXT(VLOOKUP(CONCATENATE($A10,"_",AN$3),'Unit List'!$A$23:$H$3172,2,FALSE)),"+","")</f>
        <v/>
      </c>
      <c r="AO10" s="53" t="str">
        <f>IF(ISTEXT(VLOOKUP(CONCATENATE($A10,"_",AO$3),'Unit List'!$A$23:$H$3172,2,FALSE)),"X",$AN10)</f>
        <v/>
      </c>
      <c r="AP10" s="172" t="str">
        <f>IF(ISTEXT(VLOOKUP(CONCATENATE($A10,"_",AP$3),'Unit List'!$A$23:$H$3172,2,FALSE)),"+","")</f>
        <v/>
      </c>
      <c r="AQ10" s="51" t="str">
        <f>IF(ISTEXT(VLOOKUP(CONCATENATE($A10,"_",AQ$3),'Unit List'!$A$23:$H$3172,2,FALSE)),"X",$AP10)</f>
        <v/>
      </c>
      <c r="AR10" s="51" t="str">
        <f>IF(ISTEXT(VLOOKUP(CONCATENATE($A10,"_",AR$3),'Unit List'!$A$23:$H$3172,2,FALSE)),"X",$AP10)</f>
        <v/>
      </c>
      <c r="AS10" s="51" t="str">
        <f>IF(ISTEXT(VLOOKUP(CONCATENATE($A10,"_",AS$3),'Unit List'!$A$23:$H$3172,2,FALSE)),"X",$AP10)</f>
        <v/>
      </c>
      <c r="AT10" s="53" t="str">
        <f>IF(ISTEXT(VLOOKUP(CONCATENATE($A10,"_",AT$3),'Unit List'!$A$23:$H$3172,2,FALSE)),"X",$AP10)</f>
        <v/>
      </c>
      <c r="AU10" s="124" t="str">
        <f>IF(ISTEXT(VLOOKUP(CONCATENATE($A10,"_",AU$3),'Unit List'!$A$23:$H$3172,2,FALSE)),"+","")</f>
        <v/>
      </c>
      <c r="AV10" s="51" t="str">
        <f>IF(ISTEXT(VLOOKUP(CONCATENATE($A10,"_",AV$3),'Unit List'!$A$23:$H$3172,2,FALSE)),"X",$AU10)</f>
        <v/>
      </c>
      <c r="AW10" s="53" t="str">
        <f>IF(ISTEXT(VLOOKUP(CONCATENATE($A10,"_",AW$3),'Unit List'!$A$23:$H$3172,2,FALSE)),"X",$AU10)</f>
        <v/>
      </c>
      <c r="AX10" s="172" t="str">
        <f>IF(ISTEXT(VLOOKUP(CONCATENATE($A10,"_",AX$3),'Unit List'!$A$23:$H$3172,2,FALSE)),"+","")</f>
        <v/>
      </c>
      <c r="AY10" s="51" t="str">
        <f>IF(ISTEXT(VLOOKUP(CONCATENATE($A10,"_",AY$3),'Unit List'!$A$23:$H$3172,2,FALSE)),"X",$AX10)</f>
        <v/>
      </c>
      <c r="AZ10" s="53" t="str">
        <f>IF(ISTEXT(VLOOKUP(CONCATENATE($A10,"_",AZ$3),'Unit List'!$A$23:$H$3172,2,FALSE)),"X",$AX10)</f>
        <v/>
      </c>
      <c r="BA10" s="182" t="str">
        <f>IF(ISTEXT(VLOOKUP(CONCATENATE($A10,"_",BA$3),'Unit List'!$A$23:$H$3172,2,FALSE)),"+","")</f>
        <v/>
      </c>
      <c r="BB10" s="51" t="str">
        <f>IF(ISTEXT(VLOOKUP(CONCATENATE($A10,"_",BB$3),'Unit List'!$A$23:$H$3172,2,FALSE)),"X",$BA10)</f>
        <v/>
      </c>
      <c r="BC10" s="51" t="str">
        <f>IF(ISTEXT(VLOOKUP(CONCATENATE($A10,"_",BC$3),'Unit List'!$A$23:$H$3172,2,FALSE)),"X",$BA10)</f>
        <v/>
      </c>
      <c r="BD10" s="53" t="str">
        <f>IF(ISTEXT(VLOOKUP(CONCATENATE($A10,"_",BD$3),'Unit List'!$A$23:$H$3172,2,FALSE)),"X",$BA10)</f>
        <v/>
      </c>
      <c r="BE10" s="125" t="str">
        <f>IF(ISTEXT(VLOOKUP(CONCATENATE($A10,"_",BE$3),'Unit List'!$A$23:$H$3172,2,FALSE)),"+","")</f>
        <v/>
      </c>
      <c r="BF10" s="62" t="str">
        <f>IF(ISTEXT(VLOOKUP(CONCATENATE($A10,"_",BF$3),'Unit List'!$A$23:$H$3172,2,FALSE)),"X",$BE10)</f>
        <v/>
      </c>
      <c r="BG10" s="75"/>
      <c r="BH10" s="84"/>
      <c r="BI10" s="225"/>
      <c r="BJ10" s="226"/>
      <c r="BK10" s="226"/>
      <c r="BL10" s="226"/>
      <c r="BM10" s="227"/>
      <c r="BN10" s="54"/>
      <c r="BO10" s="54"/>
      <c r="BP10" s="54"/>
      <c r="BQ10" s="54"/>
      <c r="BR10" s="54"/>
      <c r="BS10" s="54"/>
      <c r="DZ10" s="55"/>
      <c r="EA10" s="55"/>
    </row>
    <row r="11" spans="1:131" ht="12.75" customHeight="1" x14ac:dyDescent="0.2">
      <c r="A11" s="56" t="s">
        <v>40</v>
      </c>
      <c r="B11" s="181" t="str">
        <f>IF(ISTEXT(VLOOKUP(CONCATENATE($A11,"_",B$3),'Unit List'!$A$23:$H$3172,2,FALSE)),"+","")</f>
        <v/>
      </c>
      <c r="C11" s="85" t="str">
        <f>IF(ISTEXT(VLOOKUP(CONCATENATE($A11,"_",C$3),'Unit List'!$A$23:$H$3172,2,FALSE)),"X",$B11)</f>
        <v>X</v>
      </c>
      <c r="D11" s="67" t="str">
        <f>IF(ISTEXT(VLOOKUP(CONCATENATE($A11,"_",D$3),'Unit List'!$A$23:$H$3172,2,FALSE)),"X",$B11)</f>
        <v>X</v>
      </c>
      <c r="E11" s="51" t="str">
        <f>IF(ISTEXT(VLOOKUP(CONCATENATE($A11,"_",E$3),'Unit List'!$A$23:$H$3172,2,FALSE)),"X",$B11)</f>
        <v>X</v>
      </c>
      <c r="F11" s="67" t="str">
        <f>IF(ISTEXT(VLOOKUP(CONCATENATE($A11,"_",F$3),'Unit List'!$A$23:$H$3172,2,FALSE)),"X",$B11)</f>
        <v>X</v>
      </c>
      <c r="G11" s="67" t="str">
        <f>IF(ISTEXT(VLOOKUP(CONCATENATE($A11,"_",G$3),'Unit List'!$A$23:$H$3172,2,FALSE)),"X",$B11)</f>
        <v>X</v>
      </c>
      <c r="H11" s="51" t="str">
        <f>IF(ISTEXT(VLOOKUP(CONCATENATE($A11,"_",H$3),'Unit List'!$A$23:$H$3172,2,FALSE)),"X",$B11)</f>
        <v>X</v>
      </c>
      <c r="I11" s="70" t="str">
        <f>IF(ISTEXT(VLOOKUP(CONCATENATE($A11,"_",I$3),'Unit List'!$A$23:$H$3172,2,FALSE)),"X",$B11)</f>
        <v>X</v>
      </c>
      <c r="J11" s="172" t="str">
        <f>IF(ISTEXT(VLOOKUP(CONCATENATE($A11,"_",J$3),'Unit List'!$A$23:$H$3172,2,FALSE)),"+","")</f>
        <v/>
      </c>
      <c r="K11" s="51" t="str">
        <f>IF(ISTEXT(VLOOKUP(CONCATENATE($A11,"_",K$3),'Unit List'!$A$23:$H$3172,2,FALSE)),"X",$J11)</f>
        <v/>
      </c>
      <c r="L11" s="86" t="str">
        <f>IF(ISTEXT(VLOOKUP(CONCATENATE($A11,"_",L$3),'Unit List'!$A$23:$H$3172,2,FALSE)),"X",$J11)</f>
        <v>X</v>
      </c>
      <c r="M11" s="172" t="str">
        <f>IF(ISTEXT(VLOOKUP(CONCATENATE($A11,"_",M$3),'Unit List'!$A$23:$H$3172,2,FALSE)),"+","")</f>
        <v>+</v>
      </c>
      <c r="N11" s="67" t="str">
        <f>IF(ISTEXT(VLOOKUP(CONCATENATE($A11,"_",N$3),'Unit List'!$A$23:$H$3172,2,FALSE)),"X",$M11)</f>
        <v>X</v>
      </c>
      <c r="O11" s="70" t="str">
        <f>IF(ISTEXT(VLOOKUP(CONCATENATE($A11,"_",O$3),'Unit List'!$A$23:$H$3172,2,FALSE)),"X",$M11)</f>
        <v>X</v>
      </c>
      <c r="P11" s="172" t="str">
        <f>IF(ISTEXT(VLOOKUP(CONCATENATE($A11,"_",P$3),'Unit List'!$A$23:$H$3172,2,FALSE)),"+","")</f>
        <v/>
      </c>
      <c r="Q11" s="51" t="str">
        <f>IF(ISTEXT(VLOOKUP(CONCATENATE($A11,"_",Q$3),'Unit List'!$A$23:$H$3172,2,FALSE)),"X",$P11)</f>
        <v/>
      </c>
      <c r="R11" s="51" t="str">
        <f>IF(ISTEXT(VLOOKUP(CONCATENATE($A11,"_",R$3),'Unit List'!$A$23:$H$3172,2,FALSE)),"X",$P11)</f>
        <v/>
      </c>
      <c r="S11" s="67" t="str">
        <f>IF(ISTEXT(VLOOKUP(CONCATENATE($A11,"_",S$3),'Unit List'!$A$23:$H$3172,2,FALSE)),"X",$P11)</f>
        <v>X</v>
      </c>
      <c r="T11" s="52" t="str">
        <f>IF(ISTEXT(VLOOKUP(CONCATENATE($A11,"_",T$3),'Unit List'!$A$23:$H$3172,2,FALSE)),"X",$P11)</f>
        <v/>
      </c>
      <c r="U11" s="67" t="str">
        <f>IF(ISTEXT(VLOOKUP(CONCATENATE($A11,"_",U$3),'Unit List'!$A$23:$H$3172,2,FALSE)),"X",$P11)</f>
        <v>X</v>
      </c>
      <c r="V11" s="67" t="str">
        <f>IF(ISTEXT(VLOOKUP(CONCATENATE($A11,"_",V$3),'Unit List'!$A$23:$H$3172,2,FALSE)),"X",$P11)</f>
        <v>X</v>
      </c>
      <c r="W11" s="53" t="str">
        <f>IF(ISTEXT(VLOOKUP(CONCATENATE($A11,"_",W$3),'Unit List'!$A$23:$H$3172,2,FALSE)),"X",$P11)</f>
        <v/>
      </c>
      <c r="X11" s="172" t="str">
        <f>IF(ISTEXT(VLOOKUP(CONCATENATE($A11,"_",X$3),'Unit List'!$A$23:$H$3172,2,FALSE)),"+","")</f>
        <v/>
      </c>
      <c r="Y11" s="51" t="str">
        <f>IF(ISTEXT(VLOOKUP(CONCATENATE($A11,"_",Y$3),'Unit List'!$A$23:$H$3172,2,FALSE)),"X",$X11)</f>
        <v/>
      </c>
      <c r="Z11" s="51" t="str">
        <f>IF(ISTEXT(VLOOKUP(CONCATENATE($A11,"_",Z$3),'Unit List'!$A$23:$H$3172,2,FALSE)),"X",$X11)</f>
        <v/>
      </c>
      <c r="AA11" s="51" t="str">
        <f>IF(ISTEXT(VLOOKUP(CONCATENATE($A11,"_",AA$3),'Unit List'!$A$23:$H$3172,2,FALSE)),"X",$X11)</f>
        <v/>
      </c>
      <c r="AB11" s="67" t="str">
        <f>IF(ISTEXT(VLOOKUP(CONCATENATE($A11,"_",AB$3),'Unit List'!$A$23:$H$3172,2,FALSE)),"X",$X11)</f>
        <v>X</v>
      </c>
      <c r="AC11" s="62" t="str">
        <f>IF(ISTEXT(VLOOKUP(CONCATENATE($A11,"_",AC$3),'Unit List'!$A$23:$H$3172,2,FALSE)),"X",$X11)</f>
        <v/>
      </c>
      <c r="AD11" s="172" t="str">
        <f>IF(ISTEXT(VLOOKUP(CONCATENATE($A11,"_",AD$3),'Unit List'!$A$23:$H$3172,2,FALSE)),"+","")</f>
        <v>+</v>
      </c>
      <c r="AE11" s="51" t="str">
        <f>IF(ISTEXT(VLOOKUP(CONCATENATE($A11,"_",AE$3),'Unit List'!$A$23:$H$3172,2,FALSE)),"X",$AD11)</f>
        <v>+</v>
      </c>
      <c r="AF11" s="51" t="str">
        <f>IF(ISTEXT(VLOOKUP(CONCATENATE($A11,"_",AF$3),'Unit List'!$A$23:$H$3172,2,FALSE)),"X",$AD11)</f>
        <v>+</v>
      </c>
      <c r="AG11" s="172" t="str">
        <f>IF(ISTEXT(VLOOKUP(CONCATENATE($A11,"_",AG$3),'Unit List'!$A$23:$H$3172,2,FALSE)),"+","")</f>
        <v/>
      </c>
      <c r="AH11" s="51" t="str">
        <f>IF(ISTEXT(VLOOKUP(CONCATENATE($A11,"_",AH$3),'Unit List'!$A$23:$H$3172,2,FALSE)),"X",$AG11)</f>
        <v/>
      </c>
      <c r="AI11" s="51" t="str">
        <f>IF(ISTEXT(VLOOKUP(CONCATENATE($A11,"_",AI$3),'Unit List'!$A$23:$H$3172,2,FALSE)),"X",$AG11)</f>
        <v/>
      </c>
      <c r="AJ11" s="53" t="str">
        <f>IF(ISTEXT(VLOOKUP(CONCATENATE($A11,"_",AJ$3),'Unit List'!$A$23:$H$3172,2,FALSE)),"X",$AG11)</f>
        <v>X</v>
      </c>
      <c r="AK11" s="172" t="str">
        <f>IF(ISTEXT(VLOOKUP(CONCATENATE($A11,"_",AK$3),'Unit List'!$A$23:$H$3172,2,FALSE)),"+","")</f>
        <v/>
      </c>
      <c r="AL11" s="87" t="str">
        <f>IF(ISTEXT(VLOOKUP(CONCATENATE($A11,"_",AL$3),'Unit List'!$A$23:$H$3172,2,FALSE)),"X",$AK11)</f>
        <v>X</v>
      </c>
      <c r="AM11" s="53" t="str">
        <f>IF(ISTEXT(VLOOKUP(CONCATENATE($A11,"_",AM$3),'Unit List'!$A$23:$H$3172,2,FALSE)),"X",$AK11)</f>
        <v/>
      </c>
      <c r="AN11" s="125" t="str">
        <f>IF(ISTEXT(VLOOKUP(CONCATENATE($A11,"_",AN$3),'Unit List'!$A$23:$H$3172,2,FALSE)),"+","")</f>
        <v>+</v>
      </c>
      <c r="AO11" s="53" t="str">
        <f>IF(ISTEXT(VLOOKUP(CONCATENATE($A11,"_",AO$3),'Unit List'!$A$23:$H$3172,2,FALSE)),"X",$AN11)</f>
        <v>+</v>
      </c>
      <c r="AP11" s="172" t="str">
        <f>IF(ISTEXT(VLOOKUP(CONCATENATE($A11,"_",AP$3),'Unit List'!$A$23:$H$3172,2,FALSE)),"+","")</f>
        <v>+</v>
      </c>
      <c r="AQ11" s="67" t="str">
        <f>IF(ISTEXT(VLOOKUP(CONCATENATE($A11,"_",AQ$3),'Unit List'!$A$23:$H$3172,2,FALSE)),"X",$AP11)</f>
        <v>X</v>
      </c>
      <c r="AR11" s="67" t="str">
        <f>IF(ISTEXT(VLOOKUP(CONCATENATE($A11,"_",AR$3),'Unit List'!$A$23:$H$3172,2,FALSE)),"X",$AP11)</f>
        <v>X</v>
      </c>
      <c r="AS11" s="51" t="str">
        <f>IF(ISTEXT(VLOOKUP(CONCATENATE($A11,"_",AS$3),'Unit List'!$A$23:$H$3172,2,FALSE)),"X",$AP11)</f>
        <v>+</v>
      </c>
      <c r="AT11" s="53" t="str">
        <f>IF(ISTEXT(VLOOKUP(CONCATENATE($A11,"_",AT$3),'Unit List'!$A$23:$H$3172,2,FALSE)),"X",$AP11)</f>
        <v>+</v>
      </c>
      <c r="AU11" s="124" t="str">
        <f>IF(ISTEXT(VLOOKUP(CONCATENATE($A11,"_",AU$3),'Unit List'!$A$23:$H$3172,2,FALSE)),"+","")</f>
        <v>+</v>
      </c>
      <c r="AV11" s="51" t="str">
        <f>IF(ISTEXT(VLOOKUP(CONCATENATE($A11,"_",AV$3),'Unit List'!$A$23:$H$3172,2,FALSE)),"X",$AU11)</f>
        <v>+</v>
      </c>
      <c r="AW11" s="53" t="str">
        <f>IF(ISTEXT(VLOOKUP(CONCATENATE($A11,"_",AW$3),'Unit List'!$A$23:$H$3172,2,FALSE)),"X",$AU11)</f>
        <v>+</v>
      </c>
      <c r="AX11" s="172" t="str">
        <f>IF(ISTEXT(VLOOKUP(CONCATENATE($A11,"_",AX$3),'Unit List'!$A$23:$H$3172,2,FALSE)),"+","")</f>
        <v>+</v>
      </c>
      <c r="AY11" s="51" t="str">
        <f>IF(ISTEXT(VLOOKUP(CONCATENATE($A11,"_",AY$3),'Unit List'!$A$23:$H$3172,2,FALSE)),"X",$AX11)</f>
        <v>+</v>
      </c>
      <c r="AZ11" s="53" t="str">
        <f>IF(ISTEXT(VLOOKUP(CONCATENATE($A11,"_",AZ$3),'Unit List'!$A$23:$H$3172,2,FALSE)),"X",$AX11)</f>
        <v>+</v>
      </c>
      <c r="BA11" s="182" t="str">
        <f>IF(ISTEXT(VLOOKUP(CONCATENATE($A11,"_",BA$3),'Unit List'!$A$23:$H$3172,2,FALSE)),"+","")</f>
        <v/>
      </c>
      <c r="BB11" s="51" t="str">
        <f>IF(ISTEXT(VLOOKUP(CONCATENATE($A11,"_",BB$3),'Unit List'!$A$23:$H$3172,2,FALSE)),"X",$BA11)</f>
        <v/>
      </c>
      <c r="BC11" s="51" t="str">
        <f>IF(ISTEXT(VLOOKUP(CONCATENATE($A11,"_",BC$3),'Unit List'!$A$23:$H$3172,2,FALSE)),"X",$BA11)</f>
        <v/>
      </c>
      <c r="BD11" s="53" t="str">
        <f>IF(ISTEXT(VLOOKUP(CONCATENATE($A11,"_",BD$3),'Unit List'!$A$23:$H$3172,2,FALSE)),"X",$BA11)</f>
        <v/>
      </c>
      <c r="BE11" s="125" t="str">
        <f>IF(ISTEXT(VLOOKUP(CONCATENATE($A11,"_",BE$3),'Unit List'!$A$23:$H$3172,2,FALSE)),"+","")</f>
        <v>+</v>
      </c>
      <c r="BF11" s="62" t="str">
        <f>IF(ISTEXT(VLOOKUP(CONCATENATE($A11,"_",BF$3),'Unit List'!$A$23:$H$3172,2,FALSE)),"X",$BE11)</f>
        <v>+</v>
      </c>
      <c r="BG11" s="64"/>
      <c r="BH11" s="65" t="s">
        <v>0</v>
      </c>
      <c r="BI11" s="225"/>
      <c r="BJ11" s="226"/>
      <c r="BK11" s="226"/>
      <c r="BL11" s="226"/>
      <c r="BM11" s="227"/>
      <c r="BN11" s="54"/>
      <c r="BO11" s="54"/>
      <c r="BP11" s="54"/>
      <c r="BQ11" s="54"/>
      <c r="BR11" s="54"/>
      <c r="BS11" s="54"/>
      <c r="DZ11" s="55"/>
      <c r="EA11" s="55"/>
    </row>
    <row r="12" spans="1:131" ht="12.75" customHeight="1" x14ac:dyDescent="0.2">
      <c r="A12" s="56" t="s">
        <v>39</v>
      </c>
      <c r="B12" s="181" t="str">
        <f>IF(ISTEXT(VLOOKUP(CONCATENATE($A12,"_",B$3),'Unit List'!$A$23:$H$3172,2,FALSE)),"+","")</f>
        <v/>
      </c>
      <c r="C12" s="57" t="str">
        <f>IF(ISTEXT(VLOOKUP(CONCATENATE($A12,"_",C$3),'Unit List'!$A$23:$H$3172,2,FALSE)),"X",$B12)</f>
        <v/>
      </c>
      <c r="D12" s="51" t="str">
        <f>IF(ISTEXT(VLOOKUP(CONCATENATE($A12,"_",D$3),'Unit List'!$A$23:$H$3172,2,FALSE)),"X",$B12)</f>
        <v/>
      </c>
      <c r="E12" s="51" t="str">
        <f>IF(ISTEXT(VLOOKUP(CONCATENATE($A12,"_",E$3),'Unit List'!$A$23:$H$3172,2,FALSE)),"X",$B12)</f>
        <v/>
      </c>
      <c r="F12" s="51" t="str">
        <f>IF(ISTEXT(VLOOKUP(CONCATENATE($A12,"_",F$3),'Unit List'!$A$23:$H$3172,2,FALSE)),"X",$B12)</f>
        <v>X</v>
      </c>
      <c r="G12" s="67" t="str">
        <f>IF(ISTEXT(VLOOKUP(CONCATENATE($A12,"_",G$3),'Unit List'!$A$23:$H$3172,2,FALSE)),"X",$B12)</f>
        <v>X</v>
      </c>
      <c r="H12" s="51" t="str">
        <f>IF(ISTEXT(VLOOKUP(CONCATENATE($A12,"_",H$3),'Unit List'!$A$23:$H$3172,2,FALSE)),"X",$B12)</f>
        <v/>
      </c>
      <c r="I12" s="53" t="str">
        <f>IF(ISTEXT(VLOOKUP(CONCATENATE($A12,"_",I$3),'Unit List'!$A$23:$H$3172,2,FALSE)),"X",$B12)</f>
        <v/>
      </c>
      <c r="J12" s="172" t="str">
        <f>IF(ISTEXT(VLOOKUP(CONCATENATE($A12,"_",J$3),'Unit List'!$A$23:$H$3172,2,FALSE)),"+","")</f>
        <v/>
      </c>
      <c r="K12" s="51" t="str">
        <f>IF(ISTEXT(VLOOKUP(CONCATENATE($A12,"_",K$3),'Unit List'!$A$23:$H$3172,2,FALSE)),"X",$J12)</f>
        <v/>
      </c>
      <c r="L12" s="62" t="str">
        <f>IF(ISTEXT(VLOOKUP(CONCATENATE($A12,"_",L$3),'Unit List'!$A$23:$H$3172,2,FALSE)),"X",$J12)</f>
        <v/>
      </c>
      <c r="M12" s="172" t="str">
        <f>IF(ISTEXT(VLOOKUP(CONCATENATE($A12,"_",M$3),'Unit List'!$A$23:$H$3172,2,FALSE)),"+","")</f>
        <v/>
      </c>
      <c r="N12" s="51" t="str">
        <f>IF(ISTEXT(VLOOKUP(CONCATENATE($A12,"_",N$3),'Unit List'!$A$23:$H$3172,2,FALSE)),"X",$M12)</f>
        <v/>
      </c>
      <c r="O12" s="53" t="str">
        <f>IF(ISTEXT(VLOOKUP(CONCATENATE($A12,"_",O$3),'Unit List'!$A$23:$H$3172,2,FALSE)),"X",$M12)</f>
        <v/>
      </c>
      <c r="P12" s="172" t="str">
        <f>IF(ISTEXT(VLOOKUP(CONCATENATE($A12,"_",P$3),'Unit List'!$A$23:$H$3172,2,FALSE)),"+","")</f>
        <v/>
      </c>
      <c r="Q12" s="51" t="str">
        <f>IF(ISTEXT(VLOOKUP(CONCATENATE($A12,"_",Q$3),'Unit List'!$A$23:$H$3172,2,FALSE)),"X",$P12)</f>
        <v/>
      </c>
      <c r="R12" s="51" t="str">
        <f>IF(ISTEXT(VLOOKUP(CONCATENATE($A12,"_",R$3),'Unit List'!$A$23:$H$3172,2,FALSE)),"X",$P12)</f>
        <v/>
      </c>
      <c r="S12" s="51" t="str">
        <f>IF(ISTEXT(VLOOKUP(CONCATENATE($A12,"_",S$3),'Unit List'!$A$23:$H$3172,2,FALSE)),"X",$P12)</f>
        <v/>
      </c>
      <c r="T12" s="52" t="str">
        <f>IF(ISTEXT(VLOOKUP(CONCATENATE($A12,"_",T$3),'Unit List'!$A$23:$H$3172,2,FALSE)),"X",$P12)</f>
        <v/>
      </c>
      <c r="U12" s="51" t="str">
        <f>IF(ISTEXT(VLOOKUP(CONCATENATE($A12,"_",U$3),'Unit List'!$A$23:$H$3172,2,FALSE)),"X",$P12)</f>
        <v/>
      </c>
      <c r="V12" s="51" t="str">
        <f>IF(ISTEXT(VLOOKUP(CONCATENATE($A12,"_",V$3),'Unit List'!$A$23:$H$3172,2,FALSE)),"X",$P12)</f>
        <v/>
      </c>
      <c r="W12" s="53" t="str">
        <f>IF(ISTEXT(VLOOKUP(CONCATENATE($A12,"_",W$3),'Unit List'!$A$23:$H$3172,2,FALSE)),"X",$P12)</f>
        <v/>
      </c>
      <c r="X12" s="172" t="str">
        <f>IF(ISTEXT(VLOOKUP(CONCATENATE($A12,"_",X$3),'Unit List'!$A$23:$H$3172,2,FALSE)),"+","")</f>
        <v/>
      </c>
      <c r="Y12" s="51" t="str">
        <f>IF(ISTEXT(VLOOKUP(CONCATENATE($A12,"_",Y$3),'Unit List'!$A$23:$H$3172,2,FALSE)),"X",$X12)</f>
        <v/>
      </c>
      <c r="Z12" s="51" t="str">
        <f>IF(ISTEXT(VLOOKUP(CONCATENATE($A12,"_",Z$3),'Unit List'!$A$23:$H$3172,2,FALSE)),"X",$X12)</f>
        <v/>
      </c>
      <c r="AA12" s="51" t="str">
        <f>IF(ISTEXT(VLOOKUP(CONCATENATE($A12,"_",AA$3),'Unit List'!$A$23:$H$3172,2,FALSE)),"X",$X12)</f>
        <v/>
      </c>
      <c r="AB12" s="51" t="str">
        <f>IF(ISTEXT(VLOOKUP(CONCATENATE($A12,"_",AB$3),'Unit List'!$A$23:$H$3172,2,FALSE)),"X",$X12)</f>
        <v/>
      </c>
      <c r="AC12" s="62" t="str">
        <f>IF(ISTEXT(VLOOKUP(CONCATENATE($A12,"_",AC$3),'Unit List'!$A$23:$H$3172,2,FALSE)),"X",$X12)</f>
        <v/>
      </c>
      <c r="AD12" s="172" t="str">
        <f>IF(ISTEXT(VLOOKUP(CONCATENATE($A12,"_",AD$3),'Unit List'!$A$23:$H$3172,2,FALSE)),"+","")</f>
        <v/>
      </c>
      <c r="AE12" s="51" t="str">
        <f>IF(ISTEXT(VLOOKUP(CONCATENATE($A12,"_",AE$3),'Unit List'!$A$23:$H$3172,2,FALSE)),"X",$AD12)</f>
        <v/>
      </c>
      <c r="AF12" s="51" t="str">
        <f>IF(ISTEXT(VLOOKUP(CONCATENATE($A12,"_",AF$3),'Unit List'!$A$23:$H$3172,2,FALSE)),"X",$AD12)</f>
        <v/>
      </c>
      <c r="AG12" s="172" t="str">
        <f>IF(ISTEXT(VLOOKUP(CONCATENATE($A12,"_",AG$3),'Unit List'!$A$23:$H$3172,2,FALSE)),"+","")</f>
        <v/>
      </c>
      <c r="AH12" s="51" t="str">
        <f>IF(ISTEXT(VLOOKUP(CONCATENATE($A12,"_",AH$3),'Unit List'!$A$23:$H$3172,2,FALSE)),"X",$AG12)</f>
        <v/>
      </c>
      <c r="AI12" s="51" t="str">
        <f>IF(ISTEXT(VLOOKUP(CONCATENATE($A12,"_",AI$3),'Unit List'!$A$23:$H$3172,2,FALSE)),"X",$AG12)</f>
        <v/>
      </c>
      <c r="AJ12" s="53" t="str">
        <f>IF(ISTEXT(VLOOKUP(CONCATENATE($A12,"_",AJ$3),'Unit List'!$A$23:$H$3172,2,FALSE)),"X",$AG12)</f>
        <v/>
      </c>
      <c r="AK12" s="172" t="str">
        <f>IF(ISTEXT(VLOOKUP(CONCATENATE($A12,"_",AK$3),'Unit List'!$A$23:$H$3172,2,FALSE)),"+","")</f>
        <v/>
      </c>
      <c r="AL12" s="52" t="str">
        <f>IF(ISTEXT(VLOOKUP(CONCATENATE($A12,"_",AL$3),'Unit List'!$A$23:$H$3172,2,FALSE)),"X",$AK12)</f>
        <v/>
      </c>
      <c r="AM12" s="61" t="str">
        <f>IF(ISTEXT(VLOOKUP(CONCATENATE($A12,"_",AM$3),'Unit List'!$A$23:$H$3172,2,FALSE)),"X",$AK12)</f>
        <v/>
      </c>
      <c r="AN12" s="125" t="str">
        <f>IF(ISTEXT(VLOOKUP(CONCATENATE($A12,"_",AN$3),'Unit List'!$A$23:$H$3172,2,FALSE)),"+","")</f>
        <v/>
      </c>
      <c r="AO12" s="53" t="str">
        <f>IF(ISTEXT(VLOOKUP(CONCATENATE($A12,"_",AO$3),'Unit List'!$A$23:$H$3172,2,FALSE)),"X",$AN12)</f>
        <v/>
      </c>
      <c r="AP12" s="172" t="str">
        <f>IF(ISTEXT(VLOOKUP(CONCATENATE($A12,"_",AP$3),'Unit List'!$A$23:$H$3172,2,FALSE)),"+","")</f>
        <v/>
      </c>
      <c r="AQ12" s="51" t="str">
        <f>IF(ISTEXT(VLOOKUP(CONCATENATE($A12,"_",AQ$3),'Unit List'!$A$23:$H$3172,2,FALSE)),"X",$AP12)</f>
        <v/>
      </c>
      <c r="AR12" s="51" t="str">
        <f>IF(ISTEXT(VLOOKUP(CONCATENATE($A12,"_",AR$3),'Unit List'!$A$23:$H$3172,2,FALSE)),"X",$AP12)</f>
        <v/>
      </c>
      <c r="AS12" s="51" t="str">
        <f>IF(ISTEXT(VLOOKUP(CONCATENATE($A12,"_",AS$3),'Unit List'!$A$23:$H$3172,2,FALSE)),"X",$AP12)</f>
        <v/>
      </c>
      <c r="AT12" s="53" t="str">
        <f>IF(ISTEXT(VLOOKUP(CONCATENATE($A12,"_",AT$3),'Unit List'!$A$23:$H$3172,2,FALSE)),"X",$AP12)</f>
        <v/>
      </c>
      <c r="AU12" s="124" t="str">
        <f>IF(ISTEXT(VLOOKUP(CONCATENATE($A12,"_",AU$3),'Unit List'!$A$23:$H$3172,2,FALSE)),"+","")</f>
        <v/>
      </c>
      <c r="AV12" s="51" t="str">
        <f>IF(ISTEXT(VLOOKUP(CONCATENATE($A12,"_",AV$3),'Unit List'!$A$23:$H$3172,2,FALSE)),"X",$AU12)</f>
        <v/>
      </c>
      <c r="AW12" s="53" t="str">
        <f>IF(ISTEXT(VLOOKUP(CONCATENATE($A12,"_",AW$3),'Unit List'!$A$23:$H$3172,2,FALSE)),"X",$AU12)</f>
        <v/>
      </c>
      <c r="AX12" s="172" t="str">
        <f>IF(ISTEXT(VLOOKUP(CONCATENATE($A12,"_",AX$3),'Unit List'!$A$23:$H$3172,2,FALSE)),"+","")</f>
        <v/>
      </c>
      <c r="AY12" s="51" t="str">
        <f>IF(ISTEXT(VLOOKUP(CONCATENATE($A12,"_",AY$3),'Unit List'!$A$23:$H$3172,2,FALSE)),"X",$AX12)</f>
        <v/>
      </c>
      <c r="AZ12" s="53" t="str">
        <f>IF(ISTEXT(VLOOKUP(CONCATENATE($A12,"_",AZ$3),'Unit List'!$A$23:$H$3172,2,FALSE)),"X",$AX12)</f>
        <v/>
      </c>
      <c r="BA12" s="182" t="str">
        <f>IF(ISTEXT(VLOOKUP(CONCATENATE($A12,"_",BA$3),'Unit List'!$A$23:$H$3172,2,FALSE)),"+","")</f>
        <v/>
      </c>
      <c r="BB12" s="51" t="str">
        <f>IF(ISTEXT(VLOOKUP(CONCATENATE($A12,"_",BB$3),'Unit List'!$A$23:$H$3172,2,FALSE)),"X",$BA12)</f>
        <v/>
      </c>
      <c r="BC12" s="51" t="str">
        <f>IF(ISTEXT(VLOOKUP(CONCATENATE($A12,"_",BC$3),'Unit List'!$A$23:$H$3172,2,FALSE)),"X",$BA12)</f>
        <v/>
      </c>
      <c r="BD12" s="53" t="str">
        <f>IF(ISTEXT(VLOOKUP(CONCATENATE($A12,"_",BD$3),'Unit List'!$A$23:$H$3172,2,FALSE)),"X",$BA12)</f>
        <v/>
      </c>
      <c r="BE12" s="125" t="str">
        <f>IF(ISTEXT(VLOOKUP(CONCATENATE($A12,"_",BE$3),'Unit List'!$A$23:$H$3172,2,FALSE)),"+","")</f>
        <v/>
      </c>
      <c r="BF12" s="62" t="str">
        <f>IF(ISTEXT(VLOOKUP(CONCATENATE($A12,"_",BF$3),'Unit List'!$A$23:$H$3172,2,FALSE)),"X",$BE12)</f>
        <v/>
      </c>
      <c r="BG12" s="64"/>
      <c r="BH12" s="65" t="s">
        <v>0</v>
      </c>
      <c r="BI12" s="225"/>
      <c r="BJ12" s="226"/>
      <c r="BK12" s="226"/>
      <c r="BL12" s="226"/>
      <c r="BM12" s="227"/>
      <c r="BN12" s="54"/>
      <c r="BO12" s="54"/>
      <c r="BP12" s="54"/>
      <c r="BQ12" s="54"/>
      <c r="BR12" s="54"/>
      <c r="BS12" s="54"/>
      <c r="DZ12" s="55"/>
      <c r="EA12" s="55"/>
    </row>
    <row r="13" spans="1:131" ht="12.75" customHeight="1" x14ac:dyDescent="0.2">
      <c r="A13" s="56" t="s">
        <v>38</v>
      </c>
      <c r="B13" s="181" t="str">
        <f>IF(ISTEXT(VLOOKUP(CONCATENATE($A13,"_",B$3),'Unit List'!$A$23:$H$3172,2,FALSE)),"+","")</f>
        <v/>
      </c>
      <c r="C13" s="57" t="str">
        <f>IF(ISTEXT(VLOOKUP(CONCATENATE($A13,"_",C$3),'Unit List'!$A$23:$H$3172,2,FALSE)),"X",$B13)</f>
        <v/>
      </c>
      <c r="D13" s="51" t="str">
        <f>IF(ISTEXT(VLOOKUP(CONCATENATE($A13,"_",D$3),'Unit List'!$A$23:$H$3172,2,FALSE)),"X",$B13)</f>
        <v/>
      </c>
      <c r="E13" s="51" t="str">
        <f>IF(ISTEXT(VLOOKUP(CONCATENATE($A13,"_",E$3),'Unit List'!$A$23:$H$3172,2,FALSE)),"X",$B13)</f>
        <v/>
      </c>
      <c r="F13" s="51" t="str">
        <f>IF(ISTEXT(VLOOKUP(CONCATENATE($A13,"_",F$3),'Unit List'!$A$23:$H$3172,2,FALSE)),"X",$B13)</f>
        <v/>
      </c>
      <c r="G13" s="51" t="str">
        <f>IF(ISTEXT(VLOOKUP(CONCATENATE($A13,"_",G$3),'Unit List'!$A$23:$H$3172,2,FALSE)),"X",$B13)</f>
        <v/>
      </c>
      <c r="H13" s="51" t="str">
        <f>IF(ISTEXT(VLOOKUP(CONCATENATE($A13,"_",H$3),'Unit List'!$A$23:$H$3172,2,FALSE)),"X",$B13)</f>
        <v/>
      </c>
      <c r="I13" s="53" t="str">
        <f>IF(ISTEXT(VLOOKUP(CONCATENATE($A13,"_",I$3),'Unit List'!$A$23:$H$3172,2,FALSE)),"X",$B13)</f>
        <v/>
      </c>
      <c r="J13" s="172" t="str">
        <f>IF(ISTEXT(VLOOKUP(CONCATENATE($A13,"_",J$3),'Unit List'!$A$23:$H$3172,2,FALSE)),"+","")</f>
        <v/>
      </c>
      <c r="K13" s="51" t="str">
        <f>IF(ISTEXT(VLOOKUP(CONCATENATE($A13,"_",K$3),'Unit List'!$A$23:$H$3172,2,FALSE)),"X",$J13)</f>
        <v/>
      </c>
      <c r="L13" s="62" t="str">
        <f>IF(ISTEXT(VLOOKUP(CONCATENATE($A13,"_",L$3),'Unit List'!$A$23:$H$3172,2,FALSE)),"X",$J13)</f>
        <v/>
      </c>
      <c r="M13" s="172" t="str">
        <f>IF(ISTEXT(VLOOKUP(CONCATENATE($A13,"_",M$3),'Unit List'!$A$23:$H$3172,2,FALSE)),"+","")</f>
        <v/>
      </c>
      <c r="N13" s="51" t="str">
        <f>IF(ISTEXT(VLOOKUP(CONCATENATE($A13,"_",N$3),'Unit List'!$A$23:$H$3172,2,FALSE)),"X",$M13)</f>
        <v/>
      </c>
      <c r="O13" s="53" t="str">
        <f>IF(ISTEXT(VLOOKUP(CONCATENATE($A13,"_",O$3),'Unit List'!$A$23:$H$3172,2,FALSE)),"X",$M13)</f>
        <v/>
      </c>
      <c r="P13" s="172" t="str">
        <f>IF(ISTEXT(VLOOKUP(CONCATENATE($A13,"_",P$3),'Unit List'!$A$23:$H$3172,2,FALSE)),"+","")</f>
        <v/>
      </c>
      <c r="Q13" s="51" t="str">
        <f>IF(ISTEXT(VLOOKUP(CONCATENATE($A13,"_",Q$3),'Unit List'!$A$23:$H$3172,2,FALSE)),"X",$P13)</f>
        <v/>
      </c>
      <c r="R13" s="51" t="str">
        <f>IF(ISTEXT(VLOOKUP(CONCATENATE($A13,"_",R$3),'Unit List'!$A$23:$H$3172,2,FALSE)),"X",$P13)</f>
        <v/>
      </c>
      <c r="S13" s="51" t="str">
        <f>IF(ISTEXT(VLOOKUP(CONCATENATE($A13,"_",S$3),'Unit List'!$A$23:$H$3172,2,FALSE)),"X",$P13)</f>
        <v/>
      </c>
      <c r="T13" s="88" t="s">
        <v>0</v>
      </c>
      <c r="U13" s="51" t="str">
        <f>IF(ISTEXT(VLOOKUP(CONCATENATE($A13,"_",U$3),'Unit List'!$A$23:$H$3172,2,FALSE)),"X",$P13)</f>
        <v/>
      </c>
      <c r="V13" s="51" t="str">
        <f>IF(ISTEXT(VLOOKUP(CONCATENATE($A13,"_",V$3),'Unit List'!$A$23:$H$3172,2,FALSE)),"X",$P13)</f>
        <v/>
      </c>
      <c r="W13" s="53" t="str">
        <f>IF(ISTEXT(VLOOKUP(CONCATENATE($A13,"_",W$3),'Unit List'!$A$23:$H$3172,2,FALSE)),"X",$P13)</f>
        <v/>
      </c>
      <c r="X13" s="172" t="str">
        <f>IF(ISTEXT(VLOOKUP(CONCATENATE($A13,"_",X$3),'Unit List'!$A$23:$H$3172,2,FALSE)),"+","")</f>
        <v/>
      </c>
      <c r="Y13" s="51" t="str">
        <f>IF(ISTEXT(VLOOKUP(CONCATENATE($A13,"_",Y$3),'Unit List'!$A$23:$H$3172,2,FALSE)),"X",$X13)</f>
        <v/>
      </c>
      <c r="Z13" s="51" t="str">
        <f>IF(ISTEXT(VLOOKUP(CONCATENATE($A13,"_",Z$3),'Unit List'!$A$23:$H$3172,2,FALSE)),"X",$X13)</f>
        <v/>
      </c>
      <c r="AA13" s="51" t="str">
        <f>IF(ISTEXT(VLOOKUP(CONCATENATE($A13,"_",AA$3),'Unit List'!$A$23:$H$3172,2,FALSE)),"X",$X13)</f>
        <v/>
      </c>
      <c r="AB13" s="51" t="str">
        <f>IF(ISTEXT(VLOOKUP(CONCATENATE($A13,"_",AB$3),'Unit List'!$A$23:$H$3172,2,FALSE)),"X",$X13)</f>
        <v/>
      </c>
      <c r="AC13" s="62" t="str">
        <f>IF(ISTEXT(VLOOKUP(CONCATENATE($A13,"_",AC$3),'Unit List'!$A$23:$H$3172,2,FALSE)),"X",$X13)</f>
        <v/>
      </c>
      <c r="AD13" s="172" t="str">
        <f>IF(ISTEXT(VLOOKUP(CONCATENATE($A13,"_",AD$3),'Unit List'!$A$23:$H$3172,2,FALSE)),"+","")</f>
        <v/>
      </c>
      <c r="AE13" s="51" t="str">
        <f>IF(ISTEXT(VLOOKUP(CONCATENATE($A13,"_",AE$3),'Unit List'!$A$23:$H$3172,2,FALSE)),"X",$AD13)</f>
        <v/>
      </c>
      <c r="AF13" s="51" t="str">
        <f>IF(ISTEXT(VLOOKUP(CONCATENATE($A13,"_",AF$3),'Unit List'!$A$23:$H$3172,2,FALSE)),"X",$AD13)</f>
        <v/>
      </c>
      <c r="AG13" s="172" t="str">
        <f>IF(ISTEXT(VLOOKUP(CONCATENATE($A13,"_",AG$3),'Unit List'!$A$23:$H$3172,2,FALSE)),"+","")</f>
        <v/>
      </c>
      <c r="AH13" s="51" t="str">
        <f>IF(ISTEXT(VLOOKUP(CONCATENATE($A13,"_",AH$3),'Unit List'!$A$23:$H$3172,2,FALSE)),"X",$AG13)</f>
        <v/>
      </c>
      <c r="AI13" s="51" t="str">
        <f>IF(ISTEXT(VLOOKUP(CONCATENATE($A13,"_",AI$3),'Unit List'!$A$23:$H$3172,2,FALSE)),"X",$AG13)</f>
        <v/>
      </c>
      <c r="AJ13" s="53" t="str">
        <f>IF(ISTEXT(VLOOKUP(CONCATENATE($A13,"_",AJ$3),'Unit List'!$A$23:$H$3172,2,FALSE)),"X",$AG13)</f>
        <v/>
      </c>
      <c r="AK13" s="172" t="str">
        <f>IF(ISTEXT(VLOOKUP(CONCATENATE($A13,"_",AK$3),'Unit List'!$A$23:$H$3172,2,FALSE)),"+","")</f>
        <v/>
      </c>
      <c r="AL13" s="52" t="str">
        <f>IF(ISTEXT(VLOOKUP(CONCATENATE($A13,"_",AL$3),'Unit List'!$A$23:$H$3172,2,FALSE)),"X",$AK13)</f>
        <v/>
      </c>
      <c r="AM13" s="53" t="str">
        <f>IF(ISTEXT(VLOOKUP(CONCATENATE($A13,"_",AM$3),'Unit List'!$A$23:$H$3172,2,FALSE)),"X",$AK13)</f>
        <v/>
      </c>
      <c r="AN13" s="125" t="str">
        <f>IF(ISTEXT(VLOOKUP(CONCATENATE($A13,"_",AN$3),'Unit List'!$A$23:$H$3172,2,FALSE)),"+","")</f>
        <v/>
      </c>
      <c r="AO13" s="53" t="str">
        <f>IF(ISTEXT(VLOOKUP(CONCATENATE($A13,"_",AO$3),'Unit List'!$A$23:$H$3172,2,FALSE)),"X",$AN13)</f>
        <v/>
      </c>
      <c r="AP13" s="172" t="str">
        <f>IF(ISTEXT(VLOOKUP(CONCATENATE($A13,"_",AP$3),'Unit List'!$A$23:$H$3172,2,FALSE)),"+","")</f>
        <v/>
      </c>
      <c r="AQ13" s="51" t="str">
        <f>IF(ISTEXT(VLOOKUP(CONCATENATE($A13,"_",AQ$3),'Unit List'!$A$23:$H$3172,2,FALSE)),"X",$AP13)</f>
        <v/>
      </c>
      <c r="AR13" s="51" t="str">
        <f>IF(ISTEXT(VLOOKUP(CONCATENATE($A13,"_",AR$3),'Unit List'!$A$23:$H$3172,2,FALSE)),"X",$AP13)</f>
        <v/>
      </c>
      <c r="AS13" s="89" t="s">
        <v>0</v>
      </c>
      <c r="AT13" s="53" t="str">
        <f>IF(ISTEXT(VLOOKUP(CONCATENATE($A13,"_",AT$3),'Unit List'!$A$23:$H$3172,2,FALSE)),"X",$AP13)</f>
        <v/>
      </c>
      <c r="AU13" s="124" t="str">
        <f>IF(ISTEXT(VLOOKUP(CONCATENATE($A13,"_",AU$3),'Unit List'!$A$23:$H$3172,2,FALSE)),"+","")</f>
        <v/>
      </c>
      <c r="AV13" s="51" t="str">
        <f>IF(ISTEXT(VLOOKUP(CONCATENATE($A13,"_",AV$3),'Unit List'!$A$23:$H$3172,2,FALSE)),"X",$AU13)</f>
        <v/>
      </c>
      <c r="AW13" s="53" t="str">
        <f>IF(ISTEXT(VLOOKUP(CONCATENATE($A13,"_",AW$3),'Unit List'!$A$23:$H$3172,2,FALSE)),"X",$AU13)</f>
        <v/>
      </c>
      <c r="AX13" s="172" t="str">
        <f>IF(ISTEXT(VLOOKUP(CONCATENATE($A13,"_",AX$3),'Unit List'!$A$23:$H$3172,2,FALSE)),"+","")</f>
        <v/>
      </c>
      <c r="AY13" s="51" t="str">
        <f>IF(ISTEXT(VLOOKUP(CONCATENATE($A13,"_",AY$3),'Unit List'!$A$23:$H$3172,2,FALSE)),"X",$AX13)</f>
        <v/>
      </c>
      <c r="AZ13" s="53" t="str">
        <f>IF(ISTEXT(VLOOKUP(CONCATENATE($A13,"_",AZ$3),'Unit List'!$A$23:$H$3172,2,FALSE)),"X",$AX13)</f>
        <v/>
      </c>
      <c r="BA13" s="182" t="str">
        <f>IF(ISTEXT(VLOOKUP(CONCATENATE($A13,"_",BA$3),'Unit List'!$A$23:$H$3172,2,FALSE)),"+","")</f>
        <v/>
      </c>
      <c r="BB13" s="51" t="str">
        <f>IF(ISTEXT(VLOOKUP(CONCATENATE($A13,"_",BB$3),'Unit List'!$A$23:$H$3172,2,FALSE)),"X",$BA13)</f>
        <v/>
      </c>
      <c r="BC13" s="51" t="str">
        <f>IF(ISTEXT(VLOOKUP(CONCATENATE($A13,"_",BC$3),'Unit List'!$A$23:$H$3172,2,FALSE)),"X",$BA13)</f>
        <v/>
      </c>
      <c r="BD13" s="53" t="str">
        <f>IF(ISTEXT(VLOOKUP(CONCATENATE($A13,"_",BD$3),'Unit List'!$A$23:$H$3172,2,FALSE)),"X",$BA13)</f>
        <v/>
      </c>
      <c r="BE13" s="125" t="str">
        <f>IF(ISTEXT(VLOOKUP(CONCATENATE($A13,"_",BE$3),'Unit List'!$A$23:$H$3172,2,FALSE)),"+","")</f>
        <v/>
      </c>
      <c r="BF13" s="62" t="str">
        <f>IF(ISTEXT(VLOOKUP(CONCATENATE($A13,"_",BF$3),'Unit List'!$A$23:$H$3172,2,FALSE)),"X",$BE13)</f>
        <v/>
      </c>
      <c r="BG13" s="75"/>
      <c r="BH13" s="84"/>
      <c r="BI13" s="225"/>
      <c r="BJ13" s="226"/>
      <c r="BK13" s="226"/>
      <c r="BL13" s="226"/>
      <c r="BM13" s="227"/>
      <c r="BN13" s="54"/>
      <c r="BO13" s="54"/>
      <c r="BP13" s="54"/>
      <c r="BQ13" s="54"/>
      <c r="BR13" s="54"/>
      <c r="BS13" s="54"/>
      <c r="DZ13" s="55"/>
      <c r="EA13" s="55"/>
    </row>
    <row r="14" spans="1:131" ht="12.75" customHeight="1" x14ac:dyDescent="0.2">
      <c r="A14" s="56" t="s">
        <v>37</v>
      </c>
      <c r="B14" s="181" t="str">
        <f>IF(ISTEXT(VLOOKUP(CONCATENATE($A14,"_",B$3),'Unit List'!$A$23:$H$3172,2,FALSE)),"+","")</f>
        <v/>
      </c>
      <c r="C14" s="82" t="str">
        <f>IF(ISTEXT(VLOOKUP(CONCATENATE($A14,"_",C$3),'Unit List'!$A$23:$H$3172,2,FALSE)),"X",$B14)</f>
        <v>X</v>
      </c>
      <c r="D14" s="51" t="str">
        <f>IF(ISTEXT(VLOOKUP(CONCATENATE($A14,"_",D$3),'Unit List'!$A$23:$H$3172,2,FALSE)),"X",$B14)</f>
        <v>X</v>
      </c>
      <c r="E14" s="51" t="str">
        <f>IF(ISTEXT(VLOOKUP(CONCATENATE($A14,"_",E$3),'Unit List'!$A$23:$H$3172,2,FALSE)),"X",$B14)</f>
        <v>X</v>
      </c>
      <c r="F14" s="67" t="str">
        <f>IF(ISTEXT(VLOOKUP(CONCATENATE($A14,"_",F$3),'Unit List'!$A$23:$H$3172,2,FALSE)),"X",$B14)</f>
        <v>X</v>
      </c>
      <c r="G14" s="67" t="str">
        <f>IF(ISTEXT(VLOOKUP(CONCATENATE($A14,"_",G$3),'Unit List'!$A$23:$H$3172,2,FALSE)),"X",$B14)</f>
        <v>X</v>
      </c>
      <c r="H14" s="67" t="str">
        <f>IF(ISTEXT(VLOOKUP(CONCATENATE($A14,"_",H$3),'Unit List'!$A$23:$H$3172,2,FALSE)),"X",$B14)</f>
        <v>X</v>
      </c>
      <c r="I14" s="53" t="str">
        <f>IF(ISTEXT(VLOOKUP(CONCATENATE($A14,"_",I$3),'Unit List'!$A$23:$H$3172,2,FALSE)),"X",$B14)</f>
        <v/>
      </c>
      <c r="J14" s="172" t="str">
        <f>IF(ISTEXT(VLOOKUP(CONCATENATE($A14,"_",J$3),'Unit List'!$A$23:$H$3172,2,FALSE)),"+","")</f>
        <v/>
      </c>
      <c r="K14" s="51" t="str">
        <f>IF(ISTEXT(VLOOKUP(CONCATENATE($A14,"_",K$3),'Unit List'!$A$23:$H$3172,2,FALSE)),"X",$J14)</f>
        <v/>
      </c>
      <c r="L14" s="86" t="str">
        <f>IF(ISTEXT(VLOOKUP(CONCATENATE($A14,"_",L$3),'Unit List'!$A$23:$H$3172,2,FALSE)),"X",$J14)</f>
        <v>X</v>
      </c>
      <c r="M14" s="172" t="str">
        <f>IF(ISTEXT(VLOOKUP(CONCATENATE($A14,"_",M$3),'Unit List'!$A$23:$H$3172,2,FALSE)),"+","")</f>
        <v>+</v>
      </c>
      <c r="N14" s="51" t="str">
        <f>IF(ISTEXT(VLOOKUP(CONCATENATE($A14,"_",N$3),'Unit List'!$A$23:$H$3172,2,FALSE)),"X",$M14)</f>
        <v>+</v>
      </c>
      <c r="O14" s="70" t="str">
        <f>IF(ISTEXT(VLOOKUP(CONCATENATE($A14,"_",O$3),'Unit List'!$A$23:$H$3172,2,FALSE)),"X",$M14)</f>
        <v>X</v>
      </c>
      <c r="P14" s="172" t="str">
        <f>IF(ISTEXT(VLOOKUP(CONCATENATE($A14,"_",P$3),'Unit List'!$A$23:$H$3172,2,FALSE)),"+","")</f>
        <v/>
      </c>
      <c r="Q14" s="51" t="str">
        <f>IF(ISTEXT(VLOOKUP(CONCATENATE($A14,"_",Q$3),'Unit List'!$A$23:$H$3172,2,FALSE)),"X",$P14)</f>
        <v/>
      </c>
      <c r="R14" s="51" t="str">
        <f>IF(ISTEXT(VLOOKUP(CONCATENATE($A14,"_",R$3),'Unit List'!$A$23:$H$3172,2,FALSE)),"X",$P14)</f>
        <v/>
      </c>
      <c r="S14" s="51" t="str">
        <f>IF(ISTEXT(VLOOKUP(CONCATENATE($A14,"_",S$3),'Unit List'!$A$23:$H$3172,2,FALSE)),"X",$P14)</f>
        <v/>
      </c>
      <c r="T14" s="52" t="str">
        <f>IF(ISTEXT(VLOOKUP(CONCATENATE($A14,"_",T$3),'Unit List'!$A$23:$H$3172,2,FALSE)),"X",$P14)</f>
        <v/>
      </c>
      <c r="U14" s="67" t="str">
        <f>IF(ISTEXT(VLOOKUP(CONCATENATE($A14,"_",U$3),'Unit List'!$A$23:$H$3172,2,FALSE)),"X",$P14)</f>
        <v>X</v>
      </c>
      <c r="V14" s="51" t="str">
        <f>IF(ISTEXT(VLOOKUP(CONCATENATE($A14,"_",V$3),'Unit List'!$A$23:$H$3172,2,FALSE)),"X",$P14)</f>
        <v/>
      </c>
      <c r="W14" s="53" t="str">
        <f>IF(ISTEXT(VLOOKUP(CONCATENATE($A14,"_",W$3),'Unit List'!$A$23:$H$3172,2,FALSE)),"X",$P14)</f>
        <v/>
      </c>
      <c r="X14" s="172" t="str">
        <f>IF(ISTEXT(VLOOKUP(CONCATENATE($A14,"_",X$3),'Unit List'!$A$23:$H$3172,2,FALSE)),"+","")</f>
        <v/>
      </c>
      <c r="Y14" s="51" t="str">
        <f>IF(ISTEXT(VLOOKUP(CONCATENATE($A14,"_",Y$3),'Unit List'!$A$23:$H$3172,2,FALSE)),"X",$X14)</f>
        <v/>
      </c>
      <c r="Z14" s="51" t="str">
        <f>IF(ISTEXT(VLOOKUP(CONCATENATE($A14,"_",Z$3),'Unit List'!$A$23:$H$3172,2,FALSE)),"X",$X14)</f>
        <v/>
      </c>
      <c r="AA14" s="51" t="str">
        <f>IF(ISTEXT(VLOOKUP(CONCATENATE($A14,"_",AA$3),'Unit List'!$A$23:$H$3172,2,FALSE)),"X",$X14)</f>
        <v/>
      </c>
      <c r="AB14" s="51" t="str">
        <f>IF(ISTEXT(VLOOKUP(CONCATENATE($A14,"_",AB$3),'Unit List'!$A$23:$H$3172,2,FALSE)),"X",$X14)</f>
        <v/>
      </c>
      <c r="AC14" s="62" t="str">
        <f>IF(ISTEXT(VLOOKUP(CONCATENATE($A14,"_",AC$3),'Unit List'!$A$23:$H$3172,2,FALSE)),"X",$X14)</f>
        <v/>
      </c>
      <c r="AD14" s="172" t="str">
        <f>IF(ISTEXT(VLOOKUP(CONCATENATE($A14,"_",AD$3),'Unit List'!$A$23:$H$3172,2,FALSE)),"+","")</f>
        <v>+</v>
      </c>
      <c r="AE14" s="51" t="str">
        <f>IF(ISTEXT(VLOOKUP(CONCATENATE($A14,"_",AE$3),'Unit List'!$A$23:$H$3172,2,FALSE)),"X",$AD14)</f>
        <v>+</v>
      </c>
      <c r="AF14" s="51" t="str">
        <f>IF(ISTEXT(VLOOKUP(CONCATENATE($A14,"_",AF$3),'Unit List'!$A$23:$H$3172,2,FALSE)),"X",$AD14)</f>
        <v>+</v>
      </c>
      <c r="AG14" s="172" t="str">
        <f>IF(ISTEXT(VLOOKUP(CONCATENATE($A14,"_",AG$3),'Unit List'!$A$23:$H$3172,2,FALSE)),"+","")</f>
        <v/>
      </c>
      <c r="AH14" s="51" t="str">
        <f>IF(ISTEXT(VLOOKUP(CONCATENATE($A14,"_",AH$3),'Unit List'!$A$23:$H$3172,2,FALSE)),"X",$AG14)</f>
        <v/>
      </c>
      <c r="AI14" s="51" t="str">
        <f>IF(ISTEXT(VLOOKUP(CONCATENATE($A14,"_",AI$3),'Unit List'!$A$23:$H$3172,2,FALSE)),"X",$AG14)</f>
        <v/>
      </c>
      <c r="AJ14" s="53" t="str">
        <f>IF(ISTEXT(VLOOKUP(CONCATENATE($A14,"_",AJ$3),'Unit List'!$A$23:$H$3172,2,FALSE)),"X",$AG14)</f>
        <v>X</v>
      </c>
      <c r="AK14" s="172" t="str">
        <f>IF(ISTEXT(VLOOKUP(CONCATENATE($A14,"_",AK$3),'Unit List'!$A$23:$H$3172,2,FALSE)),"+","")</f>
        <v/>
      </c>
      <c r="AL14" s="52" t="str">
        <f>IF(ISTEXT(VLOOKUP(CONCATENATE($A14,"_",AL$3),'Unit List'!$A$23:$H$3172,2,FALSE)),"X",$AK14)</f>
        <v/>
      </c>
      <c r="AM14" s="53" t="str">
        <f>IF(ISTEXT(VLOOKUP(CONCATENATE($A14,"_",AM$3),'Unit List'!$A$23:$H$3172,2,FALSE)),"X",$AK14)</f>
        <v/>
      </c>
      <c r="AN14" s="125" t="str">
        <f>IF(ISTEXT(VLOOKUP(CONCATENATE($A14,"_",AN$3),'Unit List'!$A$23:$H$3172,2,FALSE)),"+","")</f>
        <v>+</v>
      </c>
      <c r="AO14" s="53" t="str">
        <f>IF(ISTEXT(VLOOKUP(CONCATENATE($A14,"_",AO$3),'Unit List'!$A$23:$H$3172,2,FALSE)),"X",$AN14)</f>
        <v>+</v>
      </c>
      <c r="AP14" s="172" t="str">
        <f>IF(ISTEXT(VLOOKUP(CONCATENATE($A14,"_",AP$3),'Unit List'!$A$23:$H$3172,2,FALSE)),"+","")</f>
        <v>+</v>
      </c>
      <c r="AQ14" s="51" t="str">
        <f>IF(ISTEXT(VLOOKUP(CONCATENATE($A14,"_",AQ$3),'Unit List'!$A$23:$H$3172,2,FALSE)),"X",$AP14)</f>
        <v>+</v>
      </c>
      <c r="AR14" s="67" t="str">
        <f>IF(ISTEXT(VLOOKUP(CONCATENATE($A14,"_",AR$3),'Unit List'!$A$23:$H$3172,2,FALSE)),"X",$AP14)</f>
        <v>X</v>
      </c>
      <c r="AS14" s="51" t="str">
        <f>IF(ISTEXT(VLOOKUP(CONCATENATE($A14,"_",AS$3),'Unit List'!$A$23:$H$3172,2,FALSE)),"X",$AP14)</f>
        <v>X</v>
      </c>
      <c r="AT14" s="53" t="str">
        <f>IF(ISTEXT(VLOOKUP(CONCATENATE($A14,"_",AT$3),'Unit List'!$A$23:$H$3172,2,FALSE)),"X",$AP14)</f>
        <v>+</v>
      </c>
      <c r="AU14" s="124" t="str">
        <f>IF(ISTEXT(VLOOKUP(CONCATENATE($A14,"_",AU$3),'Unit List'!$A$23:$H$3172,2,FALSE)),"+","")</f>
        <v>+</v>
      </c>
      <c r="AV14" s="51" t="str">
        <f>IF(ISTEXT(VLOOKUP(CONCATENATE($A14,"_",AV$3),'Unit List'!$A$23:$H$3172,2,FALSE)),"X",$AU14)</f>
        <v>+</v>
      </c>
      <c r="AW14" s="53" t="str">
        <f>IF(ISTEXT(VLOOKUP(CONCATENATE($A14,"_",AW$3),'Unit List'!$A$23:$H$3172,2,FALSE)),"X",$AU14)</f>
        <v>+</v>
      </c>
      <c r="AX14" s="172" t="str">
        <f>IF(ISTEXT(VLOOKUP(CONCATENATE($A14,"_",AX$3),'Unit List'!$A$23:$H$3172,2,FALSE)),"+","")</f>
        <v>+</v>
      </c>
      <c r="AY14" s="51" t="str">
        <f>IF(ISTEXT(VLOOKUP(CONCATENATE($A14,"_",AY$3),'Unit List'!$A$23:$H$3172,2,FALSE)),"X",$AX14)</f>
        <v>+</v>
      </c>
      <c r="AZ14" s="53" t="str">
        <f>IF(ISTEXT(VLOOKUP(CONCATENATE($A14,"_",AZ$3),'Unit List'!$A$23:$H$3172,2,FALSE)),"X",$AX14)</f>
        <v>+</v>
      </c>
      <c r="BA14" s="182" t="str">
        <f>IF(ISTEXT(VLOOKUP(CONCATENATE($A14,"_",BA$3),'Unit List'!$A$23:$H$3172,2,FALSE)),"+","")</f>
        <v/>
      </c>
      <c r="BB14" s="51" t="str">
        <f>IF(ISTEXT(VLOOKUP(CONCATENATE($A14,"_",BB$3),'Unit List'!$A$23:$H$3172,2,FALSE)),"X",$BA14)</f>
        <v/>
      </c>
      <c r="BC14" s="51" t="str">
        <f>IF(ISTEXT(VLOOKUP(CONCATENATE($A14,"_",BC$3),'Unit List'!$A$23:$H$3172,2,FALSE)),"X",$BA14)</f>
        <v/>
      </c>
      <c r="BD14" s="53" t="str">
        <f>IF(ISTEXT(VLOOKUP(CONCATENATE($A14,"_",BD$3),'Unit List'!$A$23:$H$3172,2,FALSE)),"X",$BA14)</f>
        <v/>
      </c>
      <c r="BE14" s="125" t="str">
        <f>IF(ISTEXT(VLOOKUP(CONCATENATE($A14,"_",BE$3),'Unit List'!$A$23:$H$3172,2,FALSE)),"+","")</f>
        <v>+</v>
      </c>
      <c r="BF14" s="62" t="str">
        <f>IF(ISTEXT(VLOOKUP(CONCATENATE($A14,"_",BF$3),'Unit List'!$A$23:$H$3172,2,FALSE)),"X",$BE14)</f>
        <v>+</v>
      </c>
      <c r="BG14" s="64" t="s">
        <v>0</v>
      </c>
      <c r="BH14" s="65" t="s">
        <v>0</v>
      </c>
      <c r="BI14" s="225"/>
      <c r="BJ14" s="226"/>
      <c r="BK14" s="226"/>
      <c r="BL14" s="226"/>
      <c r="BM14" s="227"/>
      <c r="BN14" s="54"/>
      <c r="BO14" s="54"/>
      <c r="BP14" s="54"/>
      <c r="BQ14" s="54"/>
      <c r="BR14" s="54"/>
      <c r="BS14" s="54"/>
      <c r="DZ14" s="55"/>
      <c r="EA14" s="55"/>
    </row>
    <row r="15" spans="1:131" ht="12.75" customHeight="1" x14ac:dyDescent="0.2">
      <c r="A15" s="56" t="s">
        <v>36</v>
      </c>
      <c r="B15" s="181" t="str">
        <f>IF(ISTEXT(VLOOKUP(CONCATENATE($A15,"_",B$3),'Unit List'!$A$23:$H$3172,2,FALSE)),"+","")</f>
        <v/>
      </c>
      <c r="C15" s="57" t="str">
        <f>IF(ISTEXT(VLOOKUP(CONCATENATE($A15,"_",C$3),'Unit List'!$A$23:$H$3172,2,FALSE)),"X",$B15)</f>
        <v/>
      </c>
      <c r="D15" s="51" t="str">
        <f>IF(ISTEXT(VLOOKUP(CONCATENATE($A15,"_",D$3),'Unit List'!$A$23:$H$3172,2,FALSE)),"X",$B15)</f>
        <v/>
      </c>
      <c r="E15" s="51" t="str">
        <f>IF(ISTEXT(VLOOKUP(CONCATENATE($A15,"_",E$3),'Unit List'!$A$23:$H$3172,2,FALSE)),"X",$B15)</f>
        <v/>
      </c>
      <c r="F15" s="51" t="str">
        <f>IF(ISTEXT(VLOOKUP(CONCATENATE($A15,"_",F$3),'Unit List'!$A$23:$H$3172,2,FALSE)),"X",$B15)</f>
        <v/>
      </c>
      <c r="G15" s="51" t="str">
        <f>IF(ISTEXT(VLOOKUP(CONCATENATE($A15,"_",G$3),'Unit List'!$A$23:$H$3172,2,FALSE)),"X",$B15)</f>
        <v/>
      </c>
      <c r="H15" s="51" t="str">
        <f>IF(ISTEXT(VLOOKUP(CONCATENATE($A15,"_",H$3),'Unit List'!$A$23:$H$3172,2,FALSE)),"X",$B15)</f>
        <v/>
      </c>
      <c r="I15" s="53" t="str">
        <f>IF(ISTEXT(VLOOKUP(CONCATENATE($A15,"_",I$3),'Unit List'!$A$23:$H$3172,2,FALSE)),"X",$B15)</f>
        <v/>
      </c>
      <c r="J15" s="172" t="str">
        <f>IF(ISTEXT(VLOOKUP(CONCATENATE($A15,"_",J$3),'Unit List'!$A$23:$H$3172,2,FALSE)),"+","")</f>
        <v/>
      </c>
      <c r="K15" s="51" t="str">
        <f>IF(ISTEXT(VLOOKUP(CONCATENATE($A15,"_",K$3),'Unit List'!$A$23:$H$3172,2,FALSE)),"X",$J15)</f>
        <v/>
      </c>
      <c r="L15" s="62" t="str">
        <f>IF(ISTEXT(VLOOKUP(CONCATENATE($A15,"_",L$3),'Unit List'!$A$23:$H$3172,2,FALSE)),"X",$J15)</f>
        <v/>
      </c>
      <c r="M15" s="172" t="str">
        <f>IF(ISTEXT(VLOOKUP(CONCATENATE($A15,"_",M$3),'Unit List'!$A$23:$H$3172,2,FALSE)),"+","")</f>
        <v/>
      </c>
      <c r="N15" s="51" t="str">
        <f>IF(ISTEXT(VLOOKUP(CONCATENATE($A15,"_",N$3),'Unit List'!$A$23:$H$3172,2,FALSE)),"X",$M15)</f>
        <v/>
      </c>
      <c r="O15" s="53" t="str">
        <f>IF(ISTEXT(VLOOKUP(CONCATENATE($A15,"_",O$3),'Unit List'!$A$23:$H$3172,2,FALSE)),"X",$M15)</f>
        <v/>
      </c>
      <c r="P15" s="172" t="str">
        <f>IF(ISTEXT(VLOOKUP(CONCATENATE($A15,"_",P$3),'Unit List'!$A$23:$H$3172,2,FALSE)),"+","")</f>
        <v/>
      </c>
      <c r="Q15" s="51" t="str">
        <f>IF(ISTEXT(VLOOKUP(CONCATENATE($A15,"_",Q$3),'Unit List'!$A$23:$H$3172,2,FALSE)),"X",$P15)</f>
        <v/>
      </c>
      <c r="R15" s="51" t="str">
        <f>IF(ISTEXT(VLOOKUP(CONCATENATE($A15,"_",R$3),'Unit List'!$A$23:$H$3172,2,FALSE)),"X",$P15)</f>
        <v/>
      </c>
      <c r="S15" s="51" t="str">
        <f>IF(ISTEXT(VLOOKUP(CONCATENATE($A15,"_",S$3),'Unit List'!$A$23:$H$3172,2,FALSE)),"X",$P15)</f>
        <v/>
      </c>
      <c r="T15" s="52" t="str">
        <f>IF(ISTEXT(VLOOKUP(CONCATENATE($A15,"_",T$3),'Unit List'!$A$23:$H$3172,2,FALSE)),"X",$P15)</f>
        <v/>
      </c>
      <c r="U15" s="89" t="s">
        <v>0</v>
      </c>
      <c r="V15" s="51" t="str">
        <f>IF(ISTEXT(VLOOKUP(CONCATENATE($A15,"_",V$3),'Unit List'!$A$23:$H$3172,2,FALSE)),"X",$P15)</f>
        <v/>
      </c>
      <c r="W15" s="53" t="str">
        <f>IF(ISTEXT(VLOOKUP(CONCATENATE($A15,"_",W$3),'Unit List'!$A$23:$H$3172,2,FALSE)),"X",$P15)</f>
        <v/>
      </c>
      <c r="X15" s="172" t="str">
        <f>IF(ISTEXT(VLOOKUP(CONCATENATE($A15,"_",X$3),'Unit List'!$A$23:$H$3172,2,FALSE)),"+","")</f>
        <v/>
      </c>
      <c r="Y15" s="51" t="str">
        <f>IF(ISTEXT(VLOOKUP(CONCATENATE($A15,"_",Y$3),'Unit List'!$A$23:$H$3172,2,FALSE)),"X",$X15)</f>
        <v/>
      </c>
      <c r="Z15" s="90" t="s">
        <v>0</v>
      </c>
      <c r="AA15" s="51" t="str">
        <f>IF(ISTEXT(VLOOKUP(CONCATENATE($A15,"_",AA$3),'Unit List'!$A$23:$H$3172,2,FALSE)),"X",$X15)</f>
        <v/>
      </c>
      <c r="AB15" s="51" t="str">
        <f>IF(ISTEXT(VLOOKUP(CONCATENATE($A15,"_",AB$3),'Unit List'!$A$23:$H$3172,2,FALSE)),"X",$X15)</f>
        <v/>
      </c>
      <c r="AC15" s="62" t="str">
        <f>IF(ISTEXT(VLOOKUP(CONCATENATE($A15,"_",AC$3),'Unit List'!$A$23:$H$3172,2,FALSE)),"X",$X15)</f>
        <v/>
      </c>
      <c r="AD15" s="172" t="str">
        <f>IF(ISTEXT(VLOOKUP(CONCATENATE($A15,"_",AD$3),'Unit List'!$A$23:$H$3172,2,FALSE)),"+","")</f>
        <v/>
      </c>
      <c r="AE15" s="51" t="str">
        <f>IF(ISTEXT(VLOOKUP(CONCATENATE($A15,"_",AE$3),'Unit List'!$A$23:$H$3172,2,FALSE)),"X",$AD15)</f>
        <v/>
      </c>
      <c r="AF15" s="51" t="str">
        <f>IF(ISTEXT(VLOOKUP(CONCATENATE($A15,"_",AF$3),'Unit List'!$A$23:$H$3172,2,FALSE)),"X",$AD15)</f>
        <v/>
      </c>
      <c r="AG15" s="172" t="str">
        <f>IF(ISTEXT(VLOOKUP(CONCATENATE($A15,"_",AG$3),'Unit List'!$A$23:$H$3172,2,FALSE)),"+","")</f>
        <v/>
      </c>
      <c r="AH15" s="51" t="str">
        <f>IF(ISTEXT(VLOOKUP(CONCATENATE($A15,"_",AH$3),'Unit List'!$A$23:$H$3172,2,FALSE)),"X",$AG15)</f>
        <v/>
      </c>
      <c r="AI15" s="51" t="str">
        <f>IF(ISTEXT(VLOOKUP(CONCATENATE($A15,"_",AI$3),'Unit List'!$A$23:$H$3172,2,FALSE)),"X",$AG15)</f>
        <v/>
      </c>
      <c r="AJ15" s="53" t="str">
        <f>IF(ISTEXT(VLOOKUP(CONCATENATE($A15,"_",AJ$3),'Unit List'!$A$23:$H$3172,2,FALSE)),"X",$AG15)</f>
        <v/>
      </c>
      <c r="AK15" s="172" t="str">
        <f>IF(ISTEXT(VLOOKUP(CONCATENATE($A15,"_",AK$3),'Unit List'!$A$23:$H$3172,2,FALSE)),"+","")</f>
        <v/>
      </c>
      <c r="AL15" s="52" t="str">
        <f>IF(ISTEXT(VLOOKUP(CONCATENATE($A15,"_",AL$3),'Unit List'!$A$23:$H$3172,2,FALSE)),"X",$AK15)</f>
        <v/>
      </c>
      <c r="AM15" s="53" t="str">
        <f>IF(ISTEXT(VLOOKUP(CONCATENATE($A15,"_",AM$3),'Unit List'!$A$23:$H$3172,2,FALSE)),"X",$AK15)</f>
        <v/>
      </c>
      <c r="AN15" s="125" t="str">
        <f>IF(ISTEXT(VLOOKUP(CONCATENATE($A15,"_",AN$3),'Unit List'!$A$23:$H$3172,2,FALSE)),"+","")</f>
        <v/>
      </c>
      <c r="AO15" s="53" t="str">
        <f>IF(ISTEXT(VLOOKUP(CONCATENATE($A15,"_",AO$3),'Unit List'!$A$23:$H$3172,2,FALSE)),"X",$AN15)</f>
        <v/>
      </c>
      <c r="AP15" s="172" t="str">
        <f>IF(ISTEXT(VLOOKUP(CONCATENATE($A15,"_",AP$3),'Unit List'!$A$23:$H$3172,2,FALSE)),"+","")</f>
        <v/>
      </c>
      <c r="AQ15" s="51" t="str">
        <f>IF(ISTEXT(VLOOKUP(CONCATENATE($A15,"_",AQ$3),'Unit List'!$A$23:$H$3172,2,FALSE)),"X",$AP15)</f>
        <v/>
      </c>
      <c r="AR15" s="51" t="str">
        <f>IF(ISTEXT(VLOOKUP(CONCATENATE($A15,"_",AR$3),'Unit List'!$A$23:$H$3172,2,FALSE)),"X",$AP15)</f>
        <v/>
      </c>
      <c r="AS15" s="51" t="str">
        <f>IF(ISTEXT(VLOOKUP(CONCATENATE($A15,"_",AS$3),'Unit List'!$A$23:$H$3172,2,FALSE)),"X",$AP15)</f>
        <v/>
      </c>
      <c r="AT15" s="53" t="str">
        <f>IF(ISTEXT(VLOOKUP(CONCATENATE($A15,"_",AT$3),'Unit List'!$A$23:$H$3172,2,FALSE)),"X",$AP15)</f>
        <v/>
      </c>
      <c r="AU15" s="124" t="str">
        <f>IF(ISTEXT(VLOOKUP(CONCATENATE($A15,"_",AU$3),'Unit List'!$A$23:$H$3172,2,FALSE)),"+","")</f>
        <v/>
      </c>
      <c r="AV15" s="51" t="str">
        <f>IF(ISTEXT(VLOOKUP(CONCATENATE($A15,"_",AV$3),'Unit List'!$A$23:$H$3172,2,FALSE)),"X",$AU15)</f>
        <v/>
      </c>
      <c r="AW15" s="53" t="str">
        <f>IF(ISTEXT(VLOOKUP(CONCATENATE($A15,"_",AW$3),'Unit List'!$A$23:$H$3172,2,FALSE)),"X",$AU15)</f>
        <v/>
      </c>
      <c r="AX15" s="172" t="str">
        <f>IF(ISTEXT(VLOOKUP(CONCATENATE($A15,"_",AX$3),'Unit List'!$A$23:$H$3172,2,FALSE)),"+","")</f>
        <v/>
      </c>
      <c r="AY15" s="51" t="str">
        <f>IF(ISTEXT(VLOOKUP(CONCATENATE($A15,"_",AY$3),'Unit List'!$A$23:$H$3172,2,FALSE)),"X",$AX15)</f>
        <v/>
      </c>
      <c r="AZ15" s="53" t="str">
        <f>IF(ISTEXT(VLOOKUP(CONCATENATE($A15,"_",AZ$3),'Unit List'!$A$23:$H$3172,2,FALSE)),"X",$AX15)</f>
        <v/>
      </c>
      <c r="BA15" s="182" t="str">
        <f>IF(ISTEXT(VLOOKUP(CONCATENATE($A15,"_",BA$3),'Unit List'!$A$23:$H$3172,2,FALSE)),"+","")</f>
        <v/>
      </c>
      <c r="BB15" s="51" t="str">
        <f>IF(ISTEXT(VLOOKUP(CONCATENATE($A15,"_",BB$3),'Unit List'!$A$23:$H$3172,2,FALSE)),"X",$BA15)</f>
        <v/>
      </c>
      <c r="BC15" s="51" t="str">
        <f>IF(ISTEXT(VLOOKUP(CONCATENATE($A15,"_",BC$3),'Unit List'!$A$23:$H$3172,2,FALSE)),"X",$BA15)</f>
        <v/>
      </c>
      <c r="BD15" s="53" t="str">
        <f>IF(ISTEXT(VLOOKUP(CONCATENATE($A15,"_",BD$3),'Unit List'!$A$23:$H$3172,2,FALSE)),"X",$BA15)</f>
        <v/>
      </c>
      <c r="BE15" s="125" t="str">
        <f>IF(ISTEXT(VLOOKUP(CONCATENATE($A15,"_",BE$3),'Unit List'!$A$23:$H$3172,2,FALSE)),"+","")</f>
        <v/>
      </c>
      <c r="BF15" s="62" t="str">
        <f>IF(ISTEXT(VLOOKUP(CONCATENATE($A15,"_",BF$3),'Unit List'!$A$23:$H$3172,2,FALSE)),"X",$BE15)</f>
        <v/>
      </c>
      <c r="BG15" s="64"/>
      <c r="BH15" s="65" t="s">
        <v>0</v>
      </c>
      <c r="BI15" s="225"/>
      <c r="BJ15" s="226"/>
      <c r="BK15" s="226"/>
      <c r="BL15" s="226"/>
      <c r="BM15" s="227"/>
      <c r="BN15" s="54"/>
      <c r="BO15" s="54"/>
      <c r="BP15" s="54"/>
      <c r="BQ15" s="54"/>
      <c r="BR15" s="54"/>
      <c r="BS15" s="54"/>
      <c r="DZ15" s="55"/>
      <c r="EA15" s="55"/>
    </row>
    <row r="16" spans="1:131" ht="12.75" customHeight="1" x14ac:dyDescent="0.2">
      <c r="A16" s="56" t="s">
        <v>35</v>
      </c>
      <c r="B16" s="181" t="str">
        <f>IF(ISTEXT(VLOOKUP(CONCATENATE($A16,"_",B$3),'Unit List'!$A$23:$H$3172,2,FALSE)),"+","")</f>
        <v/>
      </c>
      <c r="C16" s="57" t="str">
        <f>IF(ISTEXT(VLOOKUP(CONCATENATE($A16,"_",C$3),'Unit List'!$A$23:$H$3172,2,FALSE)),"X",$B16)</f>
        <v/>
      </c>
      <c r="D16" s="89" t="s">
        <v>0</v>
      </c>
      <c r="E16" s="51" t="str">
        <f>IF(ISTEXT(VLOOKUP(CONCATENATE($A16,"_",E$3),'Unit List'!$A$23:$H$3172,2,FALSE)),"X",$B16)</f>
        <v/>
      </c>
      <c r="F16" s="51" t="str">
        <f>IF(ISTEXT(VLOOKUP(CONCATENATE($A16,"_",F$3),'Unit List'!$A$23:$H$3172,2,FALSE)),"X",$B16)</f>
        <v/>
      </c>
      <c r="G16" s="67" t="str">
        <f>IF(ISTEXT(VLOOKUP(CONCATENATE($A16,"_",G$3),'Unit List'!$A$23:$H$3172,2,FALSE)),"X",$B16)</f>
        <v>X</v>
      </c>
      <c r="H16" s="67" t="str">
        <f>IF(ISTEXT(VLOOKUP(CONCATENATE($A16,"_",H$3),'Unit List'!$A$23:$H$3172,2,FALSE)),"X",$B16)</f>
        <v>X</v>
      </c>
      <c r="I16" s="53" t="str">
        <f>IF(ISTEXT(VLOOKUP(CONCATENATE($A16,"_",I$3),'Unit List'!$A$23:$H$3172,2,FALSE)),"X",$B16)</f>
        <v/>
      </c>
      <c r="J16" s="172" t="str">
        <f>IF(ISTEXT(VLOOKUP(CONCATENATE($A16,"_",J$3),'Unit List'!$A$23:$H$3172,2,FALSE)),"+","")</f>
        <v/>
      </c>
      <c r="K16" s="51" t="str">
        <f>IF(ISTEXT(VLOOKUP(CONCATENATE($A16,"_",K$3),'Unit List'!$A$23:$H$3172,2,FALSE)),"X",$J16)</f>
        <v/>
      </c>
      <c r="L16" s="62" t="str">
        <f>IF(ISTEXT(VLOOKUP(CONCATENATE($A16,"_",L$3),'Unit List'!$A$23:$H$3172,2,FALSE)),"X",$J16)</f>
        <v/>
      </c>
      <c r="M16" s="172" t="str">
        <f>IF(ISTEXT(VLOOKUP(CONCATENATE($A16,"_",M$3),'Unit List'!$A$23:$H$3172,2,FALSE)),"+","")</f>
        <v/>
      </c>
      <c r="N16" s="51" t="str">
        <f>IF(ISTEXT(VLOOKUP(CONCATENATE($A16,"_",N$3),'Unit List'!$A$23:$H$3172,2,FALSE)),"X",$M16)</f>
        <v/>
      </c>
      <c r="O16" s="74" t="s">
        <v>0</v>
      </c>
      <c r="P16" s="172" t="str">
        <f>IF(ISTEXT(VLOOKUP(CONCATENATE($A16,"_",P$3),'Unit List'!$A$23:$H$3172,2,FALSE)),"+","")</f>
        <v/>
      </c>
      <c r="Q16" s="51" t="str">
        <f>IF(ISTEXT(VLOOKUP(CONCATENATE($A16,"_",Q$3),'Unit List'!$A$23:$H$3172,2,FALSE)),"X",$P16)</f>
        <v/>
      </c>
      <c r="R16" s="51" t="str">
        <f>IF(ISTEXT(VLOOKUP(CONCATENATE($A16,"_",R$3),'Unit List'!$A$23:$H$3172,2,FALSE)),"X",$P16)</f>
        <v/>
      </c>
      <c r="S16" s="51" t="str">
        <f>IF(ISTEXT(VLOOKUP(CONCATENATE($A16,"_",S$3),'Unit List'!$A$23:$H$3172,2,FALSE)),"X",$P16)</f>
        <v/>
      </c>
      <c r="T16" s="52" t="str">
        <f>IF(ISTEXT(VLOOKUP(CONCATENATE($A16,"_",T$3),'Unit List'!$A$23:$H$3172,2,FALSE)),"X",$P16)</f>
        <v/>
      </c>
      <c r="U16" s="51" t="str">
        <f>IF(ISTEXT(VLOOKUP(CONCATENATE($A16,"_",U$3),'Unit List'!$A$23:$H$3172,2,FALSE)),"X",$P16)</f>
        <v/>
      </c>
      <c r="V16" s="51" t="str">
        <f>IF(ISTEXT(VLOOKUP(CONCATENATE($A16,"_",V$3),'Unit List'!$A$23:$H$3172,2,FALSE)),"X",$P16)</f>
        <v/>
      </c>
      <c r="W16" s="53" t="str">
        <f>IF(ISTEXT(VLOOKUP(CONCATENATE($A16,"_",W$3),'Unit List'!$A$23:$H$3172,2,FALSE)),"X",$P16)</f>
        <v/>
      </c>
      <c r="X16" s="172" t="str">
        <f>IF(ISTEXT(VLOOKUP(CONCATENATE($A16,"_",X$3),'Unit List'!$A$23:$H$3172,2,FALSE)),"+","")</f>
        <v>+</v>
      </c>
      <c r="Y16" s="51" t="str">
        <f>IF(ISTEXT(VLOOKUP(CONCATENATE($A16,"_",Y$3),'Unit List'!$A$23:$H$3172,2,FALSE)),"X",$X16)</f>
        <v>+</v>
      </c>
      <c r="Z16" s="51" t="str">
        <f>IF(ISTEXT(VLOOKUP(CONCATENATE($A16,"_",Z$3),'Unit List'!$A$23:$H$3172,2,FALSE)),"X",$X16)</f>
        <v>+</v>
      </c>
      <c r="AA16" s="51" t="str">
        <f>IF(ISTEXT(VLOOKUP(CONCATENATE($A16,"_",AA$3),'Unit List'!$A$23:$H$3172,2,FALSE)),"X",$X16)</f>
        <v>+</v>
      </c>
      <c r="AB16" s="51" t="str">
        <f>IF(ISTEXT(VLOOKUP(CONCATENATE($A16,"_",AB$3),'Unit List'!$A$23:$H$3172,2,FALSE)),"X",$X16)</f>
        <v>+</v>
      </c>
      <c r="AC16" s="62" t="str">
        <f>IF(ISTEXT(VLOOKUP(CONCATENATE($A16,"_",AC$3),'Unit List'!$A$23:$H$3172,2,FALSE)),"X",$X16)</f>
        <v>+</v>
      </c>
      <c r="AD16" s="172" t="str">
        <f>IF(ISTEXT(VLOOKUP(CONCATENATE($A16,"_",AD$3),'Unit List'!$A$23:$H$3172,2,FALSE)),"+","")</f>
        <v>+</v>
      </c>
      <c r="AE16" s="51" t="str">
        <f>IF(ISTEXT(VLOOKUP(CONCATENATE($A16,"_",AE$3),'Unit List'!$A$23:$H$3172,2,FALSE)),"X",$AD16)</f>
        <v>+</v>
      </c>
      <c r="AF16" s="90" t="s">
        <v>0</v>
      </c>
      <c r="AG16" s="172" t="str">
        <f>IF(ISTEXT(VLOOKUP(CONCATENATE($A16,"_",AG$3),'Unit List'!$A$23:$H$3172,2,FALSE)),"+","")</f>
        <v/>
      </c>
      <c r="AH16" s="51" t="str">
        <f>IF(ISTEXT(VLOOKUP(CONCATENATE($A16,"_",AH$3),'Unit List'!$A$23:$H$3172,2,FALSE)),"X",$AG16)</f>
        <v/>
      </c>
      <c r="AI16" s="51" t="str">
        <f>IF(ISTEXT(VLOOKUP(CONCATENATE($A16,"_",AI$3),'Unit List'!$A$23:$H$3172,2,FALSE)),"X",$AG16)</f>
        <v/>
      </c>
      <c r="AJ16" s="53" t="str">
        <f>IF(ISTEXT(VLOOKUP(CONCATENATE($A16,"_",AJ$3),'Unit List'!$A$23:$H$3172,2,FALSE)),"X",$AG16)</f>
        <v/>
      </c>
      <c r="AK16" s="172" t="str">
        <f>IF(ISTEXT(VLOOKUP(CONCATENATE($A16,"_",AK$3),'Unit List'!$A$23:$H$3172,2,FALSE)),"+","")</f>
        <v/>
      </c>
      <c r="AL16" s="52" t="str">
        <f>IF(ISTEXT(VLOOKUP(CONCATENATE($A16,"_",AL$3),'Unit List'!$A$23:$H$3172,2,FALSE)),"X",$AK16)</f>
        <v>X</v>
      </c>
      <c r="AM16" s="53" t="str">
        <f>IF(ISTEXT(VLOOKUP(CONCATENATE($A16,"_",AM$3),'Unit List'!$A$23:$H$3172,2,FALSE)),"X",$AK16)</f>
        <v/>
      </c>
      <c r="AN16" s="125" t="str">
        <f>IF(ISTEXT(VLOOKUP(CONCATENATE($A16,"_",AN$3),'Unit List'!$A$23:$H$3172,2,FALSE)),"+","")</f>
        <v/>
      </c>
      <c r="AO16" s="53" t="str">
        <f>IF(ISTEXT(VLOOKUP(CONCATENATE($A16,"_",AO$3),'Unit List'!$A$23:$H$3172,2,FALSE)),"X",$AN16)</f>
        <v/>
      </c>
      <c r="AP16" s="172" t="str">
        <f>IF(ISTEXT(VLOOKUP(CONCATENATE($A16,"_",AP$3),'Unit List'!$A$23:$H$3172,2,FALSE)),"+","")</f>
        <v/>
      </c>
      <c r="AQ16" s="51" t="str">
        <f>IF(ISTEXT(VLOOKUP(CONCATENATE($A16,"_",AQ$3),'Unit List'!$A$23:$H$3172,2,FALSE)),"X",$AP16)</f>
        <v/>
      </c>
      <c r="AR16" s="51" t="str">
        <f>IF(ISTEXT(VLOOKUP(CONCATENATE($A16,"_",AR$3),'Unit List'!$A$23:$H$3172,2,FALSE)),"X",$AP16)</f>
        <v/>
      </c>
      <c r="AS16" s="51" t="str">
        <f>IF(ISTEXT(VLOOKUP(CONCATENATE($A16,"_",AS$3),'Unit List'!$A$23:$H$3172,2,FALSE)),"X",$AP16)</f>
        <v/>
      </c>
      <c r="AT16" s="53" t="str">
        <f>IF(ISTEXT(VLOOKUP(CONCATENATE($A16,"_",AT$3),'Unit List'!$A$23:$H$3172,2,FALSE)),"X",$AP16)</f>
        <v/>
      </c>
      <c r="AU16" s="124" t="str">
        <f>IF(ISTEXT(VLOOKUP(CONCATENATE($A16,"_",AU$3),'Unit List'!$A$23:$H$3172,2,FALSE)),"+","")</f>
        <v/>
      </c>
      <c r="AV16" s="51" t="str">
        <f>IF(ISTEXT(VLOOKUP(CONCATENATE($A16,"_",AV$3),'Unit List'!$A$23:$H$3172,2,FALSE)),"X",$AU16)</f>
        <v/>
      </c>
      <c r="AW16" s="53" t="str">
        <f>IF(ISTEXT(VLOOKUP(CONCATENATE($A16,"_",AW$3),'Unit List'!$A$23:$H$3172,2,FALSE)),"X",$AU16)</f>
        <v/>
      </c>
      <c r="AX16" s="172" t="str">
        <f>IF(ISTEXT(VLOOKUP(CONCATENATE($A16,"_",AX$3),'Unit List'!$A$23:$H$3172,2,FALSE)),"+","")</f>
        <v/>
      </c>
      <c r="AY16" s="51" t="str">
        <f>IF(ISTEXT(VLOOKUP(CONCATENATE($A16,"_",AY$3),'Unit List'!$A$23:$H$3172,2,FALSE)),"X",$AX16)</f>
        <v/>
      </c>
      <c r="AZ16" s="91" t="s">
        <v>0</v>
      </c>
      <c r="BA16" s="182" t="str">
        <f>IF(ISTEXT(VLOOKUP(CONCATENATE($A16,"_",BA$3),'Unit List'!$A$23:$H$3172,2,FALSE)),"+","")</f>
        <v/>
      </c>
      <c r="BB16" s="51" t="str">
        <f>IF(ISTEXT(VLOOKUP(CONCATENATE($A16,"_",BB$3),'Unit List'!$A$23:$H$3172,2,FALSE)),"X",$BA16)</f>
        <v/>
      </c>
      <c r="BC16" s="51" t="str">
        <f>IF(ISTEXT(VLOOKUP(CONCATENATE($A16,"_",BC$3),'Unit List'!$A$23:$H$3172,2,FALSE)),"X",$BA16)</f>
        <v/>
      </c>
      <c r="BD16" s="53" t="str">
        <f>IF(ISTEXT(VLOOKUP(CONCATENATE($A16,"_",BD$3),'Unit List'!$A$23:$H$3172,2,FALSE)),"X",$BA16)</f>
        <v/>
      </c>
      <c r="BE16" s="125" t="str">
        <f>IF(ISTEXT(VLOOKUP(CONCATENATE($A16,"_",BE$3),'Unit List'!$A$23:$H$3172,2,FALSE)),"+","")</f>
        <v/>
      </c>
      <c r="BF16" s="62" t="str">
        <f>IF(ISTEXT(VLOOKUP(CONCATENATE($A16,"_",BF$3),'Unit List'!$A$23:$H$3172,2,FALSE)),"X",$BE16)</f>
        <v/>
      </c>
      <c r="BG16" s="64"/>
      <c r="BH16" s="65" t="s">
        <v>0</v>
      </c>
      <c r="BI16" s="225"/>
      <c r="BJ16" s="226"/>
      <c r="BK16" s="226"/>
      <c r="BL16" s="226"/>
      <c r="BM16" s="227"/>
      <c r="BN16" s="54"/>
      <c r="BO16" s="54"/>
      <c r="BP16" s="54"/>
      <c r="BQ16" s="54"/>
      <c r="BR16" s="54"/>
      <c r="BS16" s="54"/>
      <c r="DZ16" s="55"/>
      <c r="EA16" s="55"/>
    </row>
    <row r="17" spans="1:131" ht="12.75" customHeight="1" x14ac:dyDescent="0.2">
      <c r="A17" s="56" t="s">
        <v>1106</v>
      </c>
      <c r="B17" s="181" t="str">
        <f>IF(ISTEXT(VLOOKUP(CONCATENATE($A17,"_",B$3),'Unit List'!$A$23:$H$3172,2,FALSE)),"+","")</f>
        <v/>
      </c>
      <c r="C17" s="57" t="str">
        <f>IF(ISTEXT(VLOOKUP(CONCATENATE($A17,"_",C$3),'Unit List'!$A$23:$H$3172,2,FALSE)),"X",$B17)</f>
        <v/>
      </c>
      <c r="D17" s="51" t="str">
        <f>IF(ISTEXT(VLOOKUP(CONCATENATE($A17,"_",D$3),'Unit List'!$A$23:$H$3172,2,FALSE)),"X",$B17)</f>
        <v/>
      </c>
      <c r="E17" s="51" t="str">
        <f>IF(ISTEXT(VLOOKUP(CONCATENATE($A17,"_",E$3),'Unit List'!$A$23:$H$3172,2,FALSE)),"X",$B17)</f>
        <v/>
      </c>
      <c r="F17" s="51" t="str">
        <f>IF(ISTEXT(VLOOKUP(CONCATENATE($A17,"_",F$3),'Unit List'!$A$23:$H$3172,2,FALSE)),"X",$B17)</f>
        <v/>
      </c>
      <c r="G17" s="51" t="str">
        <f>IF(ISTEXT(VLOOKUP(CONCATENATE($A17,"_",G$3),'Unit List'!$A$23:$H$3172,2,FALSE)),"X",$B17)</f>
        <v/>
      </c>
      <c r="H17" s="51" t="str">
        <f>IF(ISTEXT(VLOOKUP(CONCATENATE($A17,"_",H$3),'Unit List'!$A$23:$H$3172,2,FALSE)),"X",$B17)</f>
        <v/>
      </c>
      <c r="I17" s="53" t="str">
        <f>IF(ISTEXT(VLOOKUP(CONCATENATE($A17,"_",I$3),'Unit List'!$A$23:$H$3172,2,FALSE)),"X",$B17)</f>
        <v/>
      </c>
      <c r="J17" s="172" t="str">
        <f>IF(ISTEXT(VLOOKUP(CONCATENATE($A17,"_",J$3),'Unit List'!$A$23:$H$3172,2,FALSE)),"+","")</f>
        <v/>
      </c>
      <c r="K17" s="51" t="str">
        <f>IF(ISTEXT(VLOOKUP(CONCATENATE($A17,"_",K$3),'Unit List'!$A$23:$H$3172,2,FALSE)),"X",$J17)</f>
        <v/>
      </c>
      <c r="L17" s="62" t="str">
        <f>IF(ISTEXT(VLOOKUP(CONCATENATE($A17,"_",L$3),'Unit List'!$A$23:$H$3172,2,FALSE)),"X",$J17)</f>
        <v/>
      </c>
      <c r="M17" s="172" t="str">
        <f>IF(ISTEXT(VLOOKUP(CONCATENATE($A17,"_",M$3),'Unit List'!$A$23:$H$3172,2,FALSE)),"+","")</f>
        <v/>
      </c>
      <c r="N17" s="51" t="str">
        <f>IF(ISTEXT(VLOOKUP(CONCATENATE($A17,"_",N$3),'Unit List'!$A$23:$H$3172,2,FALSE)),"X",$M17)</f>
        <v/>
      </c>
      <c r="O17" s="53" t="str">
        <f>IF(ISTEXT(VLOOKUP(CONCATENATE($A17,"_",O$3),'Unit List'!$A$23:$H$3172,2,FALSE)),"X",$M17)</f>
        <v/>
      </c>
      <c r="P17" s="172" t="str">
        <f>IF(ISTEXT(VLOOKUP(CONCATENATE($A17,"_",P$3),'Unit List'!$A$23:$H$3172,2,FALSE)),"+","")</f>
        <v/>
      </c>
      <c r="Q17" s="51" t="str">
        <f>IF(ISTEXT(VLOOKUP(CONCATENATE($A17,"_",Q$3),'Unit List'!$A$23:$H$3172,2,FALSE)),"X",$P17)</f>
        <v/>
      </c>
      <c r="R17" s="51" t="str">
        <f>IF(ISTEXT(VLOOKUP(CONCATENATE($A17,"_",R$3),'Unit List'!$A$23:$H$3172,2,FALSE)),"X",$P17)</f>
        <v/>
      </c>
      <c r="S17" s="51" t="str">
        <f>IF(ISTEXT(VLOOKUP(CONCATENATE($A17,"_",S$3),'Unit List'!$A$23:$H$3172,2,FALSE)),"X",$P17)</f>
        <v/>
      </c>
      <c r="T17" s="52" t="str">
        <f>IF(ISTEXT(VLOOKUP(CONCATENATE($A17,"_",T$3),'Unit List'!$A$23:$H$3172,2,FALSE)),"X",$P17)</f>
        <v/>
      </c>
      <c r="U17" s="51" t="str">
        <f>IF(ISTEXT(VLOOKUP(CONCATENATE($A17,"_",U$3),'Unit List'!$A$23:$H$3172,2,FALSE)),"X",$P17)</f>
        <v/>
      </c>
      <c r="V17" s="51" t="str">
        <f>IF(ISTEXT(VLOOKUP(CONCATENATE($A17,"_",V$3),'Unit List'!$A$23:$H$3172,2,FALSE)),"X",$P17)</f>
        <v/>
      </c>
      <c r="W17" s="53" t="str">
        <f>IF(ISTEXT(VLOOKUP(CONCATENATE($A17,"_",W$3),'Unit List'!$A$23:$H$3172,2,FALSE)),"X",$P17)</f>
        <v/>
      </c>
      <c r="X17" s="172" t="str">
        <f>IF(ISTEXT(VLOOKUP(CONCATENATE($A17,"_",X$3),'Unit List'!$A$23:$H$3172,2,FALSE)),"+","")</f>
        <v/>
      </c>
      <c r="Y17" s="51" t="str">
        <f>IF(ISTEXT(VLOOKUP(CONCATENATE($A17,"_",Y$3),'Unit List'!$A$23:$H$3172,2,FALSE)),"X",$X17)</f>
        <v/>
      </c>
      <c r="Z17" s="51" t="str">
        <f>IF(ISTEXT(VLOOKUP(CONCATENATE($A17,"_",Z$3),'Unit List'!$A$23:$H$3172,2,FALSE)),"X",$X17)</f>
        <v/>
      </c>
      <c r="AA17" s="51" t="str">
        <f>IF(ISTEXT(VLOOKUP(CONCATENATE($A17,"_",AA$3),'Unit List'!$A$23:$H$3172,2,FALSE)),"X",$X17)</f>
        <v/>
      </c>
      <c r="AB17" s="89" t="s">
        <v>0</v>
      </c>
      <c r="AC17" s="62" t="str">
        <f>IF(ISTEXT(VLOOKUP(CONCATENATE($A17,"_",AC$3),'Unit List'!$A$23:$H$3172,2,FALSE)),"X",$X17)</f>
        <v/>
      </c>
      <c r="AD17" s="172" t="str">
        <f>IF(ISTEXT(VLOOKUP(CONCATENATE($A17,"_",AD$3),'Unit List'!$A$23:$H$3172,2,FALSE)),"+","")</f>
        <v>+</v>
      </c>
      <c r="AE17" s="51" t="str">
        <f>IF(ISTEXT(VLOOKUP(CONCATENATE($A17,"_",AE$3),'Unit List'!$A$23:$H$3172,2,FALSE)),"X",$AD17)</f>
        <v>+</v>
      </c>
      <c r="AF17" s="51" t="str">
        <f>IF(ISTEXT(VLOOKUP(CONCATENATE($A17,"_",AF$3),'Unit List'!$A$23:$H$3172,2,FALSE)),"X",$AD17)</f>
        <v>+</v>
      </c>
      <c r="AG17" s="172" t="str">
        <f>IF(ISTEXT(VLOOKUP(CONCATENATE($A17,"_",AG$3),'Unit List'!$A$23:$H$3172,2,FALSE)),"+","")</f>
        <v>+</v>
      </c>
      <c r="AH17" s="51" t="str">
        <f>IF(ISTEXT(VLOOKUP(CONCATENATE($A17,"_",AH$3),'Unit List'!$A$23:$H$3172,2,FALSE)),"X",$AG17)</f>
        <v>+</v>
      </c>
      <c r="AI17" s="51" t="str">
        <f>IF(ISTEXT(VLOOKUP(CONCATENATE($A17,"_",AI$3),'Unit List'!$A$23:$H$3172,2,FALSE)),"X",$AG17)</f>
        <v>+</v>
      </c>
      <c r="AJ17" s="53" t="str">
        <f>IF(ISTEXT(VLOOKUP(CONCATENATE($A17,"_",AJ$3),'Unit List'!$A$23:$H$3172,2,FALSE)),"X",$AG17)</f>
        <v>+</v>
      </c>
      <c r="AK17" s="172" t="str">
        <f>IF(ISTEXT(VLOOKUP(CONCATENATE($A17,"_",AK$3),'Unit List'!$A$23:$H$3172,2,FALSE)),"+","")</f>
        <v/>
      </c>
      <c r="AL17" s="92" t="s">
        <v>0</v>
      </c>
      <c r="AM17" s="53" t="str">
        <f>IF(ISTEXT(VLOOKUP(CONCATENATE($A17,"_",AM$3),'Unit List'!$A$23:$H$3172,2,FALSE)),"X",$AK17)</f>
        <v/>
      </c>
      <c r="AN17" s="125" t="str">
        <f>IF(ISTEXT(VLOOKUP(CONCATENATE($A17,"_",AN$3),'Unit List'!$A$23:$H$3172,2,FALSE)),"+","")</f>
        <v/>
      </c>
      <c r="AO17" s="74" t="s">
        <v>0</v>
      </c>
      <c r="AP17" s="172" t="str">
        <f>IF(ISTEXT(VLOOKUP(CONCATENATE($A17,"_",AP$3),'Unit List'!$A$23:$H$3172,2,FALSE)),"+","")</f>
        <v>+</v>
      </c>
      <c r="AQ17" s="51" t="str">
        <f>IF(ISTEXT(VLOOKUP(CONCATENATE($A17,"_",AQ$3),'Unit List'!$A$23:$H$3172,2,FALSE)),"X",$AP17)</f>
        <v>+</v>
      </c>
      <c r="AR17" s="51" t="str">
        <f>IF(ISTEXT(VLOOKUP(CONCATENATE($A17,"_",AR$3),'Unit List'!$A$23:$H$3172,2,FALSE)),"X",$AP17)</f>
        <v>+</v>
      </c>
      <c r="AS17" s="51" t="str">
        <f>IF(ISTEXT(VLOOKUP(CONCATENATE($A17,"_",AS$3),'Unit List'!$A$23:$H$3172,2,FALSE)),"X",$AP17)</f>
        <v>+</v>
      </c>
      <c r="AT17" s="53" t="str">
        <f>IF(ISTEXT(VLOOKUP(CONCATENATE($A17,"_",AT$3),'Unit List'!$A$23:$H$3172,2,FALSE)),"X",$AP17)</f>
        <v>+</v>
      </c>
      <c r="AU17" s="124" t="str">
        <f>IF(ISTEXT(VLOOKUP(CONCATENATE($A17,"_",AU$3),'Unit List'!$A$23:$H$3172,2,FALSE)),"+","")</f>
        <v/>
      </c>
      <c r="AV17" s="51" t="str">
        <f>IF(ISTEXT(VLOOKUP(CONCATENATE($A17,"_",AV$3),'Unit List'!$A$23:$H$3172,2,FALSE)),"X",$AU17)</f>
        <v/>
      </c>
      <c r="AW17" s="53" t="str">
        <f>IF(ISTEXT(VLOOKUP(CONCATENATE($A17,"_",AW$3),'Unit List'!$A$23:$H$3172,2,FALSE)),"X",$AU17)</f>
        <v/>
      </c>
      <c r="AX17" s="171" t="str">
        <f>IF(ISTEXT(VLOOKUP(CONCATENATE($A17,"_",AX$3),'Unit List'!$A$23:$H$3172,2,FALSE)),"+","")</f>
        <v>+</v>
      </c>
      <c r="AY17" s="67" t="str">
        <f>IF(ISTEXT(VLOOKUP(CONCATENATE($A17,"_",AY$3),'Unit List'!$A$23:$H$3172,2,FALSE)),"X",$AX17)</f>
        <v>+</v>
      </c>
      <c r="AZ17" s="70" t="str">
        <f>IF(ISTEXT(VLOOKUP(CONCATENATE($A17,"_",AZ$3),'Unit List'!$A$23:$H$3172,2,FALSE)),"X",$AX17)</f>
        <v>+</v>
      </c>
      <c r="BA17" s="182" t="str">
        <f>IF(ISTEXT(VLOOKUP(CONCATENATE($A17,"_",BA$3),'Unit List'!$A$23:$H$3172,2,FALSE)),"+","")</f>
        <v/>
      </c>
      <c r="BB17" s="51" t="str">
        <f>IF(ISTEXT(VLOOKUP(CONCATENATE($A17,"_",BB$3),'Unit List'!$A$23:$H$3172,2,FALSE)),"X",$BA17)</f>
        <v/>
      </c>
      <c r="BC17" s="51" t="str">
        <f>IF(ISTEXT(VLOOKUP(CONCATENATE($A17,"_",BC$3),'Unit List'!$A$23:$H$3172,2,FALSE)),"X",$BA17)</f>
        <v/>
      </c>
      <c r="BD17" s="53" t="str">
        <f>IF(ISTEXT(VLOOKUP(CONCATENATE($A17,"_",BD$3),'Unit List'!$A$23:$H$3172,2,FALSE)),"X",$BA17)</f>
        <v/>
      </c>
      <c r="BE17" s="125" t="str">
        <f>IF(ISTEXT(VLOOKUP(CONCATENATE($A17,"_",BE$3),'Unit List'!$A$23:$H$3172,2,FALSE)),"+","")</f>
        <v/>
      </c>
      <c r="BF17" s="62" t="str">
        <f>IF(ISTEXT(VLOOKUP(CONCATENATE($A17,"_",BF$3),'Unit List'!$A$23:$H$3172,2,FALSE)),"X",$BE17)</f>
        <v/>
      </c>
      <c r="BG17" s="75"/>
      <c r="BH17" s="76" t="s">
        <v>0</v>
      </c>
      <c r="BI17" s="225" t="s">
        <v>1301</v>
      </c>
      <c r="BJ17" s="226"/>
      <c r="BK17" s="226"/>
      <c r="BL17" s="226"/>
      <c r="BM17" s="227"/>
      <c r="BN17" s="54"/>
      <c r="BO17" s="54"/>
      <c r="BP17" s="54"/>
      <c r="BQ17" s="54"/>
      <c r="BR17" s="54"/>
      <c r="BS17" s="54"/>
      <c r="DZ17" s="55"/>
      <c r="EA17" s="55"/>
    </row>
    <row r="18" spans="1:131" ht="12.75" customHeight="1" x14ac:dyDescent="0.2">
      <c r="A18" s="56" t="s">
        <v>1273</v>
      </c>
      <c r="B18" s="181" t="str">
        <f>IF(ISTEXT(VLOOKUP(CONCATENATE($A18,"_",B$3),'Unit List'!$A$23:$H$3172,2,FALSE)),"+","")</f>
        <v/>
      </c>
      <c r="C18" s="93" t="str">
        <f>IF(ISTEXT(VLOOKUP(CONCATENATE($A18,"_",C$3),'Unit List'!$A$23:$H$3172,2,FALSE)),"X",$B18)</f>
        <v/>
      </c>
      <c r="D18" s="60" t="str">
        <f>IF(ISTEXT(VLOOKUP(CONCATENATE($A18,"_",D$3),'Unit List'!$A$23:$H$3172,2,FALSE)),"X",$B18)</f>
        <v/>
      </c>
      <c r="E18" s="51" t="str">
        <f>IF(ISTEXT(VLOOKUP(CONCATENATE($A18,"_",E$3),'Unit List'!$A$23:$H$3172,2,FALSE)),"X",$B18)</f>
        <v/>
      </c>
      <c r="F18" s="67" t="str">
        <f>IF(ISTEXT(VLOOKUP(CONCATENATE($A18,"_",F$3),'Unit List'!$A$23:$H$3172,2,FALSE)),"X",$B18)</f>
        <v>X</v>
      </c>
      <c r="G18" s="67" t="str">
        <f>IF(ISTEXT(VLOOKUP(CONCATENATE($A18,"_",G$3),'Unit List'!$A$23:$H$3172,2,FALSE)),"X",$B18)</f>
        <v>X</v>
      </c>
      <c r="H18" s="67" t="str">
        <f>IF(ISTEXT(VLOOKUP(CONCATENATE($A18,"_",H$3),'Unit List'!$A$23:$H$3172,2,FALSE)),"X",$B18)</f>
        <v>X</v>
      </c>
      <c r="I18" s="53" t="str">
        <f>IF(ISTEXT(VLOOKUP(CONCATENATE($A18,"_",I$3),'Unit List'!$A$23:$H$3172,2,FALSE)),"X",$B18)</f>
        <v>X</v>
      </c>
      <c r="J18" s="172" t="str">
        <f>IF(ISTEXT(VLOOKUP(CONCATENATE($A18,"_",J$3),'Unit List'!$A$23:$H$3172,2,FALSE)),"+","")</f>
        <v>+</v>
      </c>
      <c r="K18" s="94" t="str">
        <f>IF(ISTEXT(VLOOKUP(CONCATENATE($A18,"_",K$3),'Unit List'!$A$23:$H$3172,2,FALSE)),"X",$J18)</f>
        <v>+</v>
      </c>
      <c r="L18" s="68" t="str">
        <f>IF(ISTEXT(VLOOKUP(CONCATENATE($A18,"_",L$3),'Unit List'!$A$23:$H$3172,2,FALSE)),"X",$J18)</f>
        <v>+</v>
      </c>
      <c r="M18" s="172" t="str">
        <f>IF(ISTEXT(VLOOKUP(CONCATENATE($A18,"_",M$3),'Unit List'!$A$23:$H$3172,2,FALSE)),"+","")</f>
        <v>+</v>
      </c>
      <c r="N18" s="51" t="str">
        <f>IF(ISTEXT(VLOOKUP(CONCATENATE($A18,"_",N$3),'Unit List'!$A$23:$H$3172,2,FALSE)),"X",$M18)</f>
        <v>+</v>
      </c>
      <c r="O18" s="70" t="str">
        <f>IF(ISTEXT(VLOOKUP(CONCATENATE($A18,"_",O$3),'Unit List'!$A$23:$H$3172,2,FALSE)),"X",$M18)</f>
        <v>X</v>
      </c>
      <c r="P18" s="172" t="str">
        <f>IF(ISTEXT(VLOOKUP(CONCATENATE($A18,"_",P$3),'Unit List'!$A$23:$H$3172,2,FALSE)),"+","")</f>
        <v>+</v>
      </c>
      <c r="Q18" s="51" t="str">
        <f>IF(ISTEXT(VLOOKUP(CONCATENATE($A18,"_",Q$3),'Unit List'!$A$23:$H$3172,2,FALSE)),"X",$P18)</f>
        <v>+</v>
      </c>
      <c r="R18" s="51" t="str">
        <f>IF(ISTEXT(VLOOKUP(CONCATENATE($A18,"_",R$3),'Unit List'!$A$23:$H$3172,2,FALSE)),"X",$P18)</f>
        <v>+</v>
      </c>
      <c r="S18" s="67" t="str">
        <f>IF(ISTEXT(VLOOKUP(CONCATENATE($A18,"_",S$3),'Unit List'!$A$23:$H$3172,2,FALSE)),"X",$P18)</f>
        <v>X</v>
      </c>
      <c r="T18" s="52" t="str">
        <f>IF(ISTEXT(VLOOKUP(CONCATENATE($A18,"_",T$3),'Unit List'!$A$23:$H$3172,2,FALSE)),"X",$P18)</f>
        <v>+</v>
      </c>
      <c r="U18" s="67" t="str">
        <f>IF(ISTEXT(VLOOKUP(CONCATENATE($A18,"_",U$3),'Unit List'!$A$23:$H$3172,2,FALSE)),"X",$P18)</f>
        <v>X</v>
      </c>
      <c r="V18" s="67" t="str">
        <f>IF(ISTEXT(VLOOKUP(CONCATENATE($A18,"_",V$3),'Unit List'!$A$23:$H$3172,2,FALSE)),"X",$P18)</f>
        <v>X</v>
      </c>
      <c r="W18" s="53" t="str">
        <f>IF(ISTEXT(VLOOKUP(CONCATENATE($A18,"_",W$3),'Unit List'!$A$23:$H$3172,2,FALSE)),"X",$P18)</f>
        <v>+</v>
      </c>
      <c r="X18" s="171" t="str">
        <f>IF(ISTEXT(VLOOKUP(CONCATENATE($A18,"_",X$3),'Unit List'!$A$23:$H$3172,2,FALSE)),"+","")</f>
        <v>+</v>
      </c>
      <c r="Y18" s="67" t="str">
        <f>IF(ISTEXT(VLOOKUP(CONCATENATE($A18,"_",Y$3),'Unit List'!$A$23:$H$3172,2,FALSE)),"X",$X18)</f>
        <v>+</v>
      </c>
      <c r="Z18" s="51" t="str">
        <f>IF(ISTEXT(VLOOKUP(CONCATENATE($A18,"_",Z$3),'Unit List'!$A$23:$H$3172,2,FALSE)),"X",$X18)</f>
        <v>+</v>
      </c>
      <c r="AA18" s="67" t="str">
        <f>IF(ISTEXT(VLOOKUP(CONCATENATE($A18,"_",AA$3),'Unit List'!$A$23:$H$3172,2,FALSE)),"X",$X18)</f>
        <v>X</v>
      </c>
      <c r="AB18" s="67" t="str">
        <f>IF(ISTEXT(VLOOKUP(CONCATENATE($A18,"_",AB$3),'Unit List'!$A$23:$H$3172,2,FALSE)),"X",$X18)</f>
        <v>X</v>
      </c>
      <c r="AC18" s="86" t="str">
        <f>IF(ISTEXT(VLOOKUP(CONCATENATE($A18,"_",AC$3),'Unit List'!$A$23:$H$3172,2,FALSE)),"X",$X18)</f>
        <v>X</v>
      </c>
      <c r="AD18" s="171" t="str">
        <f>IF(ISTEXT(VLOOKUP(CONCATENATE($A18,"_",AD$3),'Unit List'!$A$23:$H$3172,2,FALSE)),"+","")</f>
        <v/>
      </c>
      <c r="AE18" s="51" t="str">
        <f>IF(ISTEXT(VLOOKUP(CONCATENATE($A18,"_",AE$3),'Unit List'!$A$23:$H$3172,2,FALSE)),"X",$AD18)</f>
        <v/>
      </c>
      <c r="AF18" s="51" t="str">
        <f>IF(ISTEXT(VLOOKUP(CONCATENATE($A18,"_",AF$3),'Unit List'!$A$23:$H$3172,2,FALSE)),"X",$AD18)</f>
        <v/>
      </c>
      <c r="AG18" s="171" t="str">
        <f>IF(ISTEXT(VLOOKUP(CONCATENATE($A18,"_",AG$3),'Unit List'!$A$23:$H$3172,2,FALSE)),"+","")</f>
        <v>+</v>
      </c>
      <c r="AH18" s="67" t="str">
        <f>IF(ISTEXT(VLOOKUP(CONCATENATE($A18,"_",AH$3),'Unit List'!$A$23:$H$3172,2,FALSE)),"X",$AG18)</f>
        <v>+</v>
      </c>
      <c r="AI18" s="51" t="str">
        <f>IF(ISTEXT(VLOOKUP(CONCATENATE($A18,"_",AI$3),'Unit List'!$A$23:$H$3172,2,FALSE)),"X",$AG18)</f>
        <v>X</v>
      </c>
      <c r="AJ18" s="53" t="str">
        <f>IF(ISTEXT(VLOOKUP(CONCATENATE($A18,"_",AJ$3),'Unit List'!$A$23:$H$3172,2,FALSE)),"X",$AG18)</f>
        <v>+</v>
      </c>
      <c r="AK18" s="171" t="str">
        <f>IF(ISTEXT(VLOOKUP(CONCATENATE($A18,"_",AK$3),'Unit List'!$A$23:$H$3172,2,FALSE)),"+","")</f>
        <v>+</v>
      </c>
      <c r="AL18" s="52" t="str">
        <f>IF(ISTEXT(VLOOKUP(CONCATENATE($A18,"_",AL$3),'Unit List'!$A$23:$H$3172,2,FALSE)),"X",$AK18)</f>
        <v>+</v>
      </c>
      <c r="AM18" s="70" t="str">
        <f>IF(ISTEXT(VLOOKUP(CONCATENATE($A18,"_",AM$3),'Unit List'!$A$23:$H$3172,2,FALSE)),"X",$AK18)</f>
        <v>+</v>
      </c>
      <c r="AN18" s="125" t="str">
        <f>IF(ISTEXT(VLOOKUP(CONCATENATE($A18,"_",AN$3),'Unit List'!$A$23:$H$3172,2,FALSE)),"+","")</f>
        <v>+</v>
      </c>
      <c r="AO18" s="70" t="str">
        <f>IF(ISTEXT(VLOOKUP(CONCATENATE($A18,"_",AO$3),'Unit List'!$A$23:$H$3172,2,FALSE)),"X",$AN18)</f>
        <v>X</v>
      </c>
      <c r="AP18" s="171" t="str">
        <f>IF(ISTEXT(VLOOKUP(CONCATENATE($A18,"_",AP$3),'Unit List'!$A$23:$H$3172,2,FALSE)),"+","")</f>
        <v>+</v>
      </c>
      <c r="AQ18" s="67" t="str">
        <f>IF(ISTEXT(VLOOKUP(CONCATENATE($A18,"_",AQ$3),'Unit List'!$A$23:$H$3172,2,FALSE)),"X",$AP18)</f>
        <v>X</v>
      </c>
      <c r="AR18" s="67" t="str">
        <f>IF(ISTEXT(VLOOKUP(CONCATENATE($A18,"_",AR$3),'Unit List'!$A$23:$H$3172,2,FALSE)),"X",$AP18)</f>
        <v>X</v>
      </c>
      <c r="AS18" s="67" t="str">
        <f>IF(ISTEXT(VLOOKUP(CONCATENATE($A18,"_",AS$3),'Unit List'!$A$23:$H$3172,2,FALSE)),"X",$AP18)</f>
        <v>X</v>
      </c>
      <c r="AT18" s="70" t="str">
        <f>IF(ISTEXT(VLOOKUP(CONCATENATE($A18,"_",AT$3),'Unit List'!$A$23:$H$3172,2,FALSE)),"X",$AP18)</f>
        <v>X</v>
      </c>
      <c r="AU18" s="124" t="str">
        <f>IF(ISTEXT(VLOOKUP(CONCATENATE($A18,"_",AU$3),'Unit List'!$A$23:$H$3172,2,FALSE)),"+","")</f>
        <v>+</v>
      </c>
      <c r="AV18" s="51" t="str">
        <f>IF(ISTEXT(VLOOKUP(CONCATENATE($A18,"_",AV$3),'Unit List'!$A$23:$H$3172,2,FALSE)),"X",$AU18)</f>
        <v>+</v>
      </c>
      <c r="AW18" s="53" t="str">
        <f>IF(ISTEXT(VLOOKUP(CONCATENATE($A18,"_",AW$3),'Unit List'!$A$23:$H$3172,2,FALSE)),"X",$AU18)</f>
        <v>+</v>
      </c>
      <c r="AX18" s="171" t="str">
        <f>IF(ISTEXT(VLOOKUP(CONCATENATE($A18,"_",AX$3),'Unit List'!$A$23:$H$3172,2,FALSE)),"+","")</f>
        <v>+</v>
      </c>
      <c r="AY18" s="67" t="str">
        <f>IF(ISTEXT(VLOOKUP(CONCATENATE($A18,"_",AY$3),'Unit List'!$A$23:$H$3172,2,FALSE)),"X",$AX18)</f>
        <v>+</v>
      </c>
      <c r="AZ18" s="70" t="str">
        <f>IF(ISTEXT(VLOOKUP(CONCATENATE($A18,"_",AZ$3),'Unit List'!$A$23:$H$3172,2,FALSE)),"X",$AX18)</f>
        <v>+</v>
      </c>
      <c r="BA18" s="171" t="str">
        <f>IF(ISTEXT(VLOOKUP(CONCATENATE($A18,"_",BA$3),'Unit List'!$A$23:$H$3172,2,FALSE)),"+","")</f>
        <v>+</v>
      </c>
      <c r="BB18" s="67" t="str">
        <f>IF(ISTEXT(VLOOKUP(CONCATENATE($A18,"_",BB$3),'Unit List'!$A$23:$H$3172,2,FALSE)),"X",$BA18)</f>
        <v>X</v>
      </c>
      <c r="BC18" s="67" t="str">
        <f>IF(ISTEXT(VLOOKUP(CONCATENATE($A18,"_",BC$3),'Unit List'!$A$23:$H$3172,2,FALSE)),"X",$BA18)</f>
        <v>X</v>
      </c>
      <c r="BD18" s="70" t="str">
        <f>IF(ISTEXT(VLOOKUP(CONCATENATE($A18,"_",BD$3),'Unit List'!$A$23:$H$3172,2,FALSE)),"X",$BA18)</f>
        <v>X</v>
      </c>
      <c r="BE18" s="125" t="str">
        <f>IF(ISTEXT(VLOOKUP(CONCATENATE($A18,"_",BE$3),'Unit List'!$A$23:$H$3172,2,FALSE)),"+","")</f>
        <v>+</v>
      </c>
      <c r="BF18" s="62" t="str">
        <f>IF(ISTEXT(VLOOKUP(CONCATENATE($A18,"_",BF$3),'Unit List'!$A$23:$H$3172,2,FALSE)),"X",$BE18)</f>
        <v>+</v>
      </c>
      <c r="BG18" s="75"/>
      <c r="BH18" s="84"/>
      <c r="BI18" s="225" t="s">
        <v>12</v>
      </c>
      <c r="BJ18" s="228"/>
      <c r="BK18" s="228"/>
      <c r="BL18" s="228"/>
      <c r="BM18" s="229"/>
      <c r="BN18" s="54"/>
      <c r="BO18" s="54"/>
      <c r="BP18" s="54"/>
      <c r="BQ18" s="54"/>
      <c r="BR18" s="54"/>
      <c r="BS18" s="54"/>
      <c r="DZ18" s="55"/>
      <c r="EA18" s="55"/>
    </row>
    <row r="19" spans="1:131" ht="12.75" customHeight="1" x14ac:dyDescent="0.2">
      <c r="A19" s="56" t="s">
        <v>34</v>
      </c>
      <c r="B19" s="181" t="str">
        <f>IF(ISTEXT(VLOOKUP(CONCATENATE($A19,"_",B$3),'Unit List'!$A$23:$H$3172,2,FALSE)),"+","")</f>
        <v/>
      </c>
      <c r="C19" s="82" t="str">
        <f>IF(ISTEXT(VLOOKUP(CONCATENATE($A19,"_",C$3),'Unit List'!$A$23:$H$3172,2,FALSE)),"X",$B19)</f>
        <v>X</v>
      </c>
      <c r="D19" s="60" t="str">
        <f>IF(ISTEXT(VLOOKUP(CONCATENATE($A19,"_",D$3),'Unit List'!$A$23:$H$3172,2,FALSE)),"X",$B19)</f>
        <v/>
      </c>
      <c r="E19" s="51" t="str">
        <f>IF(ISTEXT(VLOOKUP(CONCATENATE($A19,"_",E$3),'Unit List'!$A$23:$H$3172,2,FALSE)),"X",$B19)</f>
        <v/>
      </c>
      <c r="F19" s="72" t="s">
        <v>0</v>
      </c>
      <c r="G19" s="67" t="str">
        <f>IF(ISTEXT(VLOOKUP(CONCATENATE($A19,"_",G$3),'Unit List'!$A$23:$H$3172,2,FALSE)),"X",$B19)</f>
        <v>X</v>
      </c>
      <c r="H19" s="67" t="str">
        <f>IF(ISTEXT(VLOOKUP(CONCATENATE($A19,"_",H$3),'Unit List'!$A$23:$H$3172,2,FALSE)),"X",$B19)</f>
        <v>X</v>
      </c>
      <c r="I19" s="53" t="str">
        <f>IF(ISTEXT(VLOOKUP(CONCATENATE($A19,"_",I$3),'Unit List'!$A$23:$H$3172,2,FALSE)),"X",$B19)</f>
        <v/>
      </c>
      <c r="J19" s="172" t="str">
        <f>IF(ISTEXT(VLOOKUP(CONCATENATE($A19,"_",J$3),'Unit List'!$A$23:$H$3172,2,FALSE)),"+","")</f>
        <v>+</v>
      </c>
      <c r="K19" s="94" t="str">
        <f>IF(ISTEXT(VLOOKUP(CONCATENATE($A19,"_",K$3),'Unit List'!$A$23:$H$3172,2,FALSE)),"X",$J19)</f>
        <v>+</v>
      </c>
      <c r="L19" s="68" t="str">
        <f>IF(ISTEXT(VLOOKUP(CONCATENATE($A19,"_",L$3),'Unit List'!$A$23:$H$3172,2,FALSE)),"X",$J19)</f>
        <v>+</v>
      </c>
      <c r="M19" s="172" t="str">
        <f>IF(ISTEXT(VLOOKUP(CONCATENATE($A19,"_",M$3),'Unit List'!$A$23:$H$3172,2,FALSE)),"+","")</f>
        <v/>
      </c>
      <c r="N19" s="51" t="str">
        <f>IF(ISTEXT(VLOOKUP(CONCATENATE($A19,"_",N$3),'Unit List'!$A$23:$H$3172,2,FALSE)),"X",$M19)</f>
        <v/>
      </c>
      <c r="O19" s="70" t="str">
        <f>IF(ISTEXT(VLOOKUP(CONCATENATE($A19,"_",O$3),'Unit List'!$A$23:$H$3172,2,FALSE)),"X",$M19)</f>
        <v>X</v>
      </c>
      <c r="P19" s="172" t="str">
        <f>IF(ISTEXT(VLOOKUP(CONCATENATE($A19,"_",P$3),'Unit List'!$A$23:$H$3172,2,FALSE)),"+","")</f>
        <v>+</v>
      </c>
      <c r="Q19" s="69" t="str">
        <f>IF(ISTEXT(VLOOKUP(CONCATENATE($A19,"_",Q$3),'Unit List'!$A$23:$H$3172,2,FALSE)),"X",$P19)</f>
        <v>+</v>
      </c>
      <c r="R19" s="69" t="str">
        <f>IF(ISTEXT(VLOOKUP(CONCATENATE($A19,"_",R$3),'Unit List'!$A$23:$H$3172,2,FALSE)),"X",$P19)</f>
        <v>+</v>
      </c>
      <c r="S19" s="51" t="str">
        <f>IF(ISTEXT(VLOOKUP(CONCATENATE($A19,"_",S$3),'Unit List'!$A$23:$H$3172,2,FALSE)),"X",$P19)</f>
        <v>X</v>
      </c>
      <c r="T19" s="183" t="str">
        <f>IF(ISTEXT(VLOOKUP(CONCATENATE($A19,"_",T$3),'Unit List'!$A$23:$H$3172,2,FALSE)),"X",$P19)</f>
        <v>+</v>
      </c>
      <c r="U19" s="67" t="str">
        <f>IF(ISTEXT(VLOOKUP(CONCATENATE($A19,"_",U$3),'Unit List'!$A$23:$H$3172,2,FALSE)),"X",$P19)</f>
        <v>X</v>
      </c>
      <c r="V19" s="67" t="str">
        <f>IF(ISTEXT(VLOOKUP(CONCATENATE($A19,"_",V$3),'Unit List'!$A$23:$H$3172,2,FALSE)),"X",$P19)</f>
        <v>X</v>
      </c>
      <c r="W19" s="71" t="str">
        <f>IF(ISTEXT(VLOOKUP(CONCATENATE($A19,"_",W$3),'Unit List'!$A$23:$H$3172,2,FALSE)),"X",$P19)</f>
        <v>+</v>
      </c>
      <c r="X19" s="171" t="str">
        <f>IF(ISTEXT(VLOOKUP(CONCATENATE($A19,"_",X$3),'Unit List'!$A$23:$H$3172,2,FALSE)),"+","")</f>
        <v>+</v>
      </c>
      <c r="Y19" s="67" t="str">
        <f>IF(ISTEXT(VLOOKUP(CONCATENATE($A19,"_",Y$3),'Unit List'!$A$23:$H$3172,2,FALSE)),"X",$X19)</f>
        <v>X</v>
      </c>
      <c r="Z19" s="69" t="str">
        <f>IF(ISTEXT(VLOOKUP(CONCATENATE($A19,"_",Z$3),'Unit List'!$A$23:$H$3172,2,FALSE)),"X",$X19)</f>
        <v>+</v>
      </c>
      <c r="AA19" s="67" t="str">
        <f>IF(ISTEXT(VLOOKUP(CONCATENATE($A19,"_",AA$3),'Unit List'!$A$23:$H$3172,2,FALSE)),"X",$X19)</f>
        <v>X</v>
      </c>
      <c r="AB19" s="67" t="str">
        <f>IF(ISTEXT(VLOOKUP(CONCATENATE($A19,"_",AB$3),'Unit List'!$A$23:$H$3172,2,FALSE)),"X",$X19)</f>
        <v>X</v>
      </c>
      <c r="AC19" s="68" t="str">
        <f>IF(ISTEXT(VLOOKUP(CONCATENATE($A19,"_",AC$3),'Unit List'!$A$23:$H$3172,2,FALSE)),"X",$X19)</f>
        <v>X</v>
      </c>
      <c r="AD19" s="171" t="str">
        <f>IF(ISTEXT(VLOOKUP(CONCATENATE($A19,"_",AD$3),'Unit List'!$A$23:$H$3172,2,FALSE)),"+","")</f>
        <v>+</v>
      </c>
      <c r="AE19" s="51" t="str">
        <f>IF(ISTEXT(VLOOKUP(CONCATENATE($A19,"_",AE$3),'Unit List'!$A$23:$H$3172,2,FALSE)),"X",$AD19)</f>
        <v>+</v>
      </c>
      <c r="AF19" s="51" t="str">
        <f>IF(ISTEXT(VLOOKUP(CONCATENATE($A19,"_",AF$3),'Unit List'!$A$23:$H$3172,2,FALSE)),"X",$AD19)</f>
        <v>+</v>
      </c>
      <c r="AG19" s="171" t="str">
        <f>IF(ISTEXT(VLOOKUP(CONCATENATE($A19,"_",AG$3),'Unit List'!$A$23:$H$3172,2,FALSE)),"+","")</f>
        <v>+</v>
      </c>
      <c r="AH19" s="67" t="str">
        <f>IF(ISTEXT(VLOOKUP(CONCATENATE($A19,"_",AH$3),'Unit List'!$A$23:$H$3172,2,FALSE)),"X",$AG19)</f>
        <v>+</v>
      </c>
      <c r="AI19" s="69" t="str">
        <f>IF(ISTEXT(VLOOKUP(CONCATENATE($A19,"_",AI$3),'Unit List'!$A$23:$H$3172,2,FALSE)),"X",$AG19)</f>
        <v>X</v>
      </c>
      <c r="AJ19" s="71" t="str">
        <f>IF(ISTEXT(VLOOKUP(CONCATENATE($A19,"_",AJ$3),'Unit List'!$A$23:$H$3172,2,FALSE)),"X",$AG19)</f>
        <v>+</v>
      </c>
      <c r="AK19" s="171" t="str">
        <f>IF(ISTEXT(VLOOKUP(CONCATENATE($A19,"_",AK$3),'Unit List'!$A$23:$H$3172,2,FALSE)),"+","")</f>
        <v>+</v>
      </c>
      <c r="AL19" s="183" t="str">
        <f>IF(ISTEXT(VLOOKUP(CONCATENATE($A19,"_",AL$3),'Unit List'!$A$23:$H$3172,2,FALSE)),"X",$AK19)</f>
        <v>+</v>
      </c>
      <c r="AM19" s="73" t="str">
        <f>IF(ISTEXT(VLOOKUP(CONCATENATE($A19,"_",AM$3),'Unit List'!$A$23:$H$3172,2,FALSE)),"X",$AK19)</f>
        <v>+</v>
      </c>
      <c r="AN19" s="175" t="str">
        <f>IF(ISTEXT(VLOOKUP(CONCATENATE($A19,"_",AN$3),'Unit List'!$A$23:$H$3172,2,FALSE)),"+","")</f>
        <v>+</v>
      </c>
      <c r="AO19" s="70" t="str">
        <f>IF(ISTEXT(VLOOKUP(CONCATENATE($A19,"_",AO$3),'Unit List'!$A$23:$H$3172,2,FALSE)),"X",$AN19)</f>
        <v>+</v>
      </c>
      <c r="AP19" s="171" t="str">
        <f>IF(ISTEXT(VLOOKUP(CONCATENATE($A19,"_",AP$3),'Unit List'!$A$23:$H$3172,2,FALSE)),"+","")</f>
        <v>+</v>
      </c>
      <c r="AQ19" s="89" t="s">
        <v>0</v>
      </c>
      <c r="AR19" s="67" t="str">
        <f>IF(ISTEXT(VLOOKUP(CONCATENATE($A19,"_",AR$3),'Unit List'!$A$23:$H$3172,2,FALSE)),"X",$AP19)</f>
        <v>X</v>
      </c>
      <c r="AS19" s="67" t="str">
        <f>IF(ISTEXT(VLOOKUP(CONCATENATE($A19,"_",AS$3),'Unit List'!$A$23:$H$3172,2,FALSE)),"X",$AP19)</f>
        <v>+</v>
      </c>
      <c r="AT19" s="73" t="str">
        <f>IF(ISTEXT(VLOOKUP(CONCATENATE($A19,"_",AT$3),'Unit List'!$A$23:$H$3172,2,FALSE)),"X",$AP19)</f>
        <v>X</v>
      </c>
      <c r="AU19" s="177" t="str">
        <f>IF(ISTEXT(VLOOKUP(CONCATENATE($A19,"_",AU$3),'Unit List'!$A$23:$H$3172,2,FALSE)),"+","")</f>
        <v>+</v>
      </c>
      <c r="AV19" s="69" t="str">
        <f>IF(ISTEXT(VLOOKUP(CONCATENATE($A19,"_",AV$3),'Unit List'!$A$23:$H$3172,2,FALSE)),"X",$AU19)</f>
        <v>+</v>
      </c>
      <c r="AW19" s="71" t="str">
        <f>IF(ISTEXT(VLOOKUP(CONCATENATE($A19,"_",AW$3),'Unit List'!$A$23:$H$3172,2,FALSE)),"X",$AU19)</f>
        <v>+</v>
      </c>
      <c r="AX19" s="171" t="str">
        <f>IF(ISTEXT(VLOOKUP(CONCATENATE($A19,"_",AX$3),'Unit List'!$A$23:$H$3172,2,FALSE)),"+","")</f>
        <v>+</v>
      </c>
      <c r="AY19" s="67" t="str">
        <f>IF(ISTEXT(VLOOKUP(CONCATENATE($A19,"_",AY$3),'Unit List'!$A$23:$H$3172,2,FALSE)),"X",$AX19)</f>
        <v>X</v>
      </c>
      <c r="AZ19" s="70" t="str">
        <f>IF(ISTEXT(VLOOKUP(CONCATENATE($A19,"_",AZ$3),'Unit List'!$A$23:$H$3172,2,FALSE)),"X",$AX19)</f>
        <v>+</v>
      </c>
      <c r="BA19" s="171" t="str">
        <f>IF(ISTEXT(VLOOKUP(CONCATENATE($A19,"_",BA$3),'Unit List'!$A$23:$H$3172,2,FALSE)),"+","")</f>
        <v>+</v>
      </c>
      <c r="BB19" s="67" t="str">
        <f>IF(ISTEXT(VLOOKUP(CONCATENATE($A19,"_",BB$3),'Unit List'!$A$23:$H$3172,2,FALSE)),"X",$BA19)</f>
        <v>X</v>
      </c>
      <c r="BC19" s="94" t="str">
        <f>IF(ISTEXT(VLOOKUP(CONCATENATE($A19,"_",BC$3),'Unit List'!$A$23:$H$3172,2,FALSE)),"X",$BA19)</f>
        <v>X</v>
      </c>
      <c r="BD19" s="73" t="str">
        <f>IF(ISTEXT(VLOOKUP(CONCATENATE($A19,"_",BD$3),'Unit List'!$A$23:$H$3172,2,FALSE)),"X",$BA19)</f>
        <v>X</v>
      </c>
      <c r="BE19" s="175" t="str">
        <f>IF(ISTEXT(VLOOKUP(CONCATENATE($A19,"_",BE$3),'Unit List'!$A$23:$H$3172,2,FALSE)),"+","")</f>
        <v>+</v>
      </c>
      <c r="BF19" s="184" t="str">
        <f>IF(ISTEXT(VLOOKUP(CONCATENATE($A19,"_",BF$3),'Unit List'!$A$23:$H$3172,2,FALSE)),"X",$BE19)</f>
        <v>+</v>
      </c>
      <c r="BG19" s="95"/>
      <c r="BH19" s="96"/>
      <c r="BI19" s="225" t="s">
        <v>12</v>
      </c>
      <c r="BJ19" s="228"/>
      <c r="BK19" s="228"/>
      <c r="BL19" s="228"/>
      <c r="BM19" s="229"/>
      <c r="BN19" s="54"/>
      <c r="BO19" s="54"/>
      <c r="BP19" s="54"/>
      <c r="BQ19" s="54"/>
      <c r="BR19" s="54"/>
      <c r="BS19" s="54"/>
      <c r="DZ19" s="55"/>
      <c r="EA19" s="55"/>
    </row>
    <row r="20" spans="1:131" ht="12.75" customHeight="1" x14ac:dyDescent="0.2">
      <c r="A20" s="56" t="s">
        <v>33</v>
      </c>
      <c r="B20" s="181" t="str">
        <f>IF(ISTEXT(VLOOKUP(CONCATENATE($A20,"_",B$3),'Unit List'!$A$23:$H$3172,2,FALSE)),"+","")</f>
        <v/>
      </c>
      <c r="C20" s="82" t="str">
        <f>IF(ISTEXT(VLOOKUP(CONCATENATE($A20,"_",C$3),'Unit List'!$A$23:$H$3172,2,FALSE)),"X",$B20)</f>
        <v>X</v>
      </c>
      <c r="D20" s="51" t="str">
        <f>IF(ISTEXT(VLOOKUP(CONCATENATE($A20,"_",D$3),'Unit List'!$A$23:$H$3172,2,FALSE)),"X",$B20)</f>
        <v>X</v>
      </c>
      <c r="E20" s="51" t="str">
        <f>IF(ISTEXT(VLOOKUP(CONCATENATE($A20,"_",E$3),'Unit List'!$A$23:$H$3172,2,FALSE)),"X",$B20)</f>
        <v>X</v>
      </c>
      <c r="F20" s="67" t="str">
        <f>IF(ISTEXT(VLOOKUP(CONCATENATE($A20,"_",F$3),'Unit List'!$A$23:$H$3172,2,FALSE)),"X",$B20)</f>
        <v>X</v>
      </c>
      <c r="G20" s="67" t="str">
        <f>IF(ISTEXT(VLOOKUP(CONCATENATE($A20,"_",G$3),'Unit List'!$A$23:$H$3172,2,FALSE)),"X",$B20)</f>
        <v>X</v>
      </c>
      <c r="H20" s="67" t="str">
        <f>IF(ISTEXT(VLOOKUP(CONCATENATE($A20,"_",H$3),'Unit List'!$A$23:$H$3172,2,FALSE)),"X",$B20)</f>
        <v>X</v>
      </c>
      <c r="I20" s="70" t="str">
        <f>IF(ISTEXT(VLOOKUP(CONCATENATE($A20,"_",I$3),'Unit List'!$A$23:$H$3172,2,FALSE)),"X",$B20)</f>
        <v>X</v>
      </c>
      <c r="J20" s="172" t="str">
        <f>IF(ISTEXT(VLOOKUP(CONCATENATE($A20,"_",J$3),'Unit List'!$A$23:$H$3172,2,FALSE)),"+","")</f>
        <v/>
      </c>
      <c r="K20" s="51" t="str">
        <f>IF(ISTEXT(VLOOKUP(CONCATENATE($A20,"_",K$3),'Unit List'!$A$23:$H$3172,2,FALSE)),"X",$J20)</f>
        <v/>
      </c>
      <c r="L20" s="86" t="str">
        <f>IF(ISTEXT(VLOOKUP(CONCATENATE($A20,"_",L$3),'Unit List'!$A$23:$H$3172,2,FALSE)),"X",$J20)</f>
        <v>X</v>
      </c>
      <c r="M20" s="172" t="str">
        <f>IF(ISTEXT(VLOOKUP(CONCATENATE($A20,"_",M$3),'Unit List'!$A$23:$H$3172,2,FALSE)),"+","")</f>
        <v>+</v>
      </c>
      <c r="N20" s="67" t="str">
        <f>IF(ISTEXT(VLOOKUP(CONCATENATE($A20,"_",N$3),'Unit List'!$A$23:$H$3172,2,FALSE)),"X",$M20)</f>
        <v>X</v>
      </c>
      <c r="O20" s="70" t="str">
        <f>IF(ISTEXT(VLOOKUP(CONCATENATE($A20,"_",O$3),'Unit List'!$A$23:$H$3172,2,FALSE)),"X",$M20)</f>
        <v>X</v>
      </c>
      <c r="P20" s="172" t="str">
        <f>IF(ISTEXT(VLOOKUP(CONCATENATE($A20,"_",P$3),'Unit List'!$A$23:$H$3172,2,FALSE)),"+","")</f>
        <v/>
      </c>
      <c r="Q20" s="51" t="str">
        <f>IF(ISTEXT(VLOOKUP(CONCATENATE($A20,"_",Q$3),'Unit List'!$A$23:$H$3172,2,FALSE)),"X",$P20)</f>
        <v/>
      </c>
      <c r="R20" s="51" t="str">
        <f>IF(ISTEXT(VLOOKUP(CONCATENATE($A20,"_",R$3),'Unit List'!$A$23:$H$3172,2,FALSE)),"X",$P20)</f>
        <v/>
      </c>
      <c r="S20" s="67" t="str">
        <f>IF(ISTEXT(VLOOKUP(CONCATENATE($A20,"_",S$3),'Unit List'!$A$23:$H$3172,2,FALSE)),"X",$P20)</f>
        <v>X</v>
      </c>
      <c r="T20" s="52" t="str">
        <f>IF(ISTEXT(VLOOKUP(CONCATENATE($A20,"_",T$3),'Unit List'!$A$23:$H$3172,2,FALSE)),"X",$P20)</f>
        <v/>
      </c>
      <c r="U20" s="67" t="str">
        <f>IF(ISTEXT(VLOOKUP(CONCATENATE($A20,"_",U$3),'Unit List'!$A$23:$H$3172,2,FALSE)),"X",$P20)</f>
        <v>X</v>
      </c>
      <c r="V20" s="51" t="str">
        <f>IF(ISTEXT(VLOOKUP(CONCATENATE($A20,"_",V$3),'Unit List'!$A$23:$H$3172,2,FALSE)),"X",$P20)</f>
        <v/>
      </c>
      <c r="W20" s="53" t="str">
        <f>IF(ISTEXT(VLOOKUP(CONCATENATE($A20,"_",W$3),'Unit List'!$A$23:$H$3172,2,FALSE)),"X",$P20)</f>
        <v/>
      </c>
      <c r="X20" s="172" t="str">
        <f>IF(ISTEXT(VLOOKUP(CONCATENATE($A20,"_",X$3),'Unit List'!$A$23:$H$3172,2,FALSE)),"+","")</f>
        <v/>
      </c>
      <c r="Y20" s="51" t="str">
        <f>IF(ISTEXT(VLOOKUP(CONCATENATE($A20,"_",Y$3),'Unit List'!$A$23:$H$3172,2,FALSE)),"X",$X20)</f>
        <v/>
      </c>
      <c r="Z20" s="51" t="str">
        <f>IF(ISTEXT(VLOOKUP(CONCATENATE($A20,"_",Z$3),'Unit List'!$A$23:$H$3172,2,FALSE)),"X",$X20)</f>
        <v/>
      </c>
      <c r="AA20" s="51" t="str">
        <f>IF(ISTEXT(VLOOKUP(CONCATENATE($A20,"_",AA$3),'Unit List'!$A$23:$H$3172,2,FALSE)),"X",$X20)</f>
        <v/>
      </c>
      <c r="AB20" s="51" t="str">
        <f>IF(ISTEXT(VLOOKUP(CONCATENATE($A20,"_",AB$3),'Unit List'!$A$23:$H$3172,2,FALSE)),"X",$X20)</f>
        <v/>
      </c>
      <c r="AC20" s="62" t="str">
        <f>IF(ISTEXT(VLOOKUP(CONCATENATE($A20,"_",AC$3),'Unit List'!$A$23:$H$3172,2,FALSE)),"X",$X20)</f>
        <v/>
      </c>
      <c r="AD20" s="172" t="str">
        <f>IF(ISTEXT(VLOOKUP(CONCATENATE($A20,"_",AD$3),'Unit List'!$A$23:$H$3172,2,FALSE)),"+","")</f>
        <v>+</v>
      </c>
      <c r="AE20" s="51" t="str">
        <f>IF(ISTEXT(VLOOKUP(CONCATENATE($A20,"_",AE$3),'Unit List'!$A$23:$H$3172,2,FALSE)),"X",$AD20)</f>
        <v>+</v>
      </c>
      <c r="AF20" s="51" t="str">
        <f>IF(ISTEXT(VLOOKUP(CONCATENATE($A20,"_",AF$3),'Unit List'!$A$23:$H$3172,2,FALSE)),"X",$AD20)</f>
        <v>+</v>
      </c>
      <c r="AG20" s="172" t="str">
        <f>IF(ISTEXT(VLOOKUP(CONCATENATE($A20,"_",AG$3),'Unit List'!$A$23:$H$3172,2,FALSE)),"+","")</f>
        <v/>
      </c>
      <c r="AH20" s="51" t="str">
        <f>IF(ISTEXT(VLOOKUP(CONCATENATE($A20,"_",AH$3),'Unit List'!$A$23:$H$3172,2,FALSE)),"X",$AG20)</f>
        <v/>
      </c>
      <c r="AI20" s="51" t="str">
        <f>IF(ISTEXT(VLOOKUP(CONCATENATE($A20,"_",AI$3),'Unit List'!$A$23:$H$3172,2,FALSE)),"X",$AG20)</f>
        <v/>
      </c>
      <c r="AJ20" s="53" t="str">
        <f>IF(ISTEXT(VLOOKUP(CONCATENATE($A20,"_",AJ$3),'Unit List'!$A$23:$H$3172,2,FALSE)),"X",$AG20)</f>
        <v>X</v>
      </c>
      <c r="AK20" s="172" t="str">
        <f>IF(ISTEXT(VLOOKUP(CONCATENATE($A20,"_",AK$3),'Unit List'!$A$23:$H$3172,2,FALSE)),"+","")</f>
        <v/>
      </c>
      <c r="AL20" s="52" t="str">
        <f>IF(ISTEXT(VLOOKUP(CONCATENATE($A20,"_",AL$3),'Unit List'!$A$23:$H$3172,2,FALSE)),"X",$AK20)</f>
        <v/>
      </c>
      <c r="AM20" s="53" t="str">
        <f>IF(ISTEXT(VLOOKUP(CONCATENATE($A20,"_",AM$3),'Unit List'!$A$23:$H$3172,2,FALSE)),"X",$AK20)</f>
        <v/>
      </c>
      <c r="AN20" s="125" t="str">
        <f>IF(ISTEXT(VLOOKUP(CONCATENATE($A20,"_",AN$3),'Unit List'!$A$23:$H$3172,2,FALSE)),"+","")</f>
        <v>+</v>
      </c>
      <c r="AO20" s="53" t="str">
        <f>IF(ISTEXT(VLOOKUP(CONCATENATE($A20,"_",AO$3),'Unit List'!$A$23:$H$3172,2,FALSE)),"X",$AN20)</f>
        <v>+</v>
      </c>
      <c r="AP20" s="172" t="str">
        <f>IF(ISTEXT(VLOOKUP(CONCATENATE($A20,"_",AP$3),'Unit List'!$A$23:$H$3172,2,FALSE)),"+","")</f>
        <v>+</v>
      </c>
      <c r="AQ20" s="51" t="str">
        <f>IF(ISTEXT(VLOOKUP(CONCATENATE($A20,"_",AQ$3),'Unit List'!$A$23:$H$3172,2,FALSE)),"X",$AP20)</f>
        <v>+</v>
      </c>
      <c r="AR20" s="67" t="str">
        <f>IF(ISTEXT(VLOOKUP(CONCATENATE($A20,"_",AR$3),'Unit List'!$A$23:$H$3172,2,FALSE)),"X",$AP20)</f>
        <v>X</v>
      </c>
      <c r="AS20" s="51" t="str">
        <f>IF(ISTEXT(VLOOKUP(CONCATENATE($A20,"_",AS$3),'Unit List'!$A$23:$H$3172,2,FALSE)),"X",$AP20)</f>
        <v>X</v>
      </c>
      <c r="AT20" s="53" t="str">
        <f>IF(ISTEXT(VLOOKUP(CONCATENATE($A20,"_",AT$3),'Unit List'!$A$23:$H$3172,2,FALSE)),"X",$AP20)</f>
        <v>+</v>
      </c>
      <c r="AU20" s="124" t="str">
        <f>IF(ISTEXT(VLOOKUP(CONCATENATE($A20,"_",AU$3),'Unit List'!$A$23:$H$3172,2,FALSE)),"+","")</f>
        <v>+</v>
      </c>
      <c r="AV20" s="51" t="str">
        <f>IF(ISTEXT(VLOOKUP(CONCATENATE($A20,"_",AV$3),'Unit List'!$A$23:$H$3172,2,FALSE)),"X",$AU20)</f>
        <v>+</v>
      </c>
      <c r="AW20" s="53" t="str">
        <f>IF(ISTEXT(VLOOKUP(CONCATENATE($A20,"_",AW$3),'Unit List'!$A$23:$H$3172,2,FALSE)),"X",$AU20)</f>
        <v>+</v>
      </c>
      <c r="AX20" s="172" t="str">
        <f>IF(ISTEXT(VLOOKUP(CONCATENATE($A20,"_",AX$3),'Unit List'!$A$23:$H$3172,2,FALSE)),"+","")</f>
        <v>+</v>
      </c>
      <c r="AY20" s="51" t="str">
        <f>IF(ISTEXT(VLOOKUP(CONCATENATE($A20,"_",AY$3),'Unit List'!$A$23:$H$3172,2,FALSE)),"X",$AX20)</f>
        <v>+</v>
      </c>
      <c r="AZ20" s="53" t="str">
        <f>IF(ISTEXT(VLOOKUP(CONCATENATE($A20,"_",AZ$3),'Unit List'!$A$23:$H$3172,2,FALSE)),"X",$AX20)</f>
        <v>+</v>
      </c>
      <c r="BA20" s="182" t="str">
        <f>IF(ISTEXT(VLOOKUP(CONCATENATE($A20,"_",BA$3),'Unit List'!$A$23:$H$3172,2,FALSE)),"+","")</f>
        <v/>
      </c>
      <c r="BB20" s="51" t="str">
        <f>IF(ISTEXT(VLOOKUP(CONCATENATE($A20,"_",BB$3),'Unit List'!$A$23:$H$3172,2,FALSE)),"X",$BA20)</f>
        <v/>
      </c>
      <c r="BC20" s="51" t="str">
        <f>IF(ISTEXT(VLOOKUP(CONCATENATE($A20,"_",BC$3),'Unit List'!$A$23:$H$3172,2,FALSE)),"X",$BA20)</f>
        <v/>
      </c>
      <c r="BD20" s="53" t="str">
        <f>IF(ISTEXT(VLOOKUP(CONCATENATE($A20,"_",BD$3),'Unit List'!$A$23:$H$3172,2,FALSE)),"X",$BA20)</f>
        <v/>
      </c>
      <c r="BE20" s="125" t="str">
        <f>IF(ISTEXT(VLOOKUP(CONCATENATE($A20,"_",BE$3),'Unit List'!$A$23:$H$3172,2,FALSE)),"+","")</f>
        <v>+</v>
      </c>
      <c r="BF20" s="62" t="str">
        <f>IF(ISTEXT(VLOOKUP(CONCATENATE($A20,"_",BF$3),'Unit List'!$A$23:$H$3172,2,FALSE)),"X",$BE20)</f>
        <v>+</v>
      </c>
      <c r="BG20" s="75"/>
      <c r="BH20" s="84"/>
      <c r="BI20" s="225"/>
      <c r="BJ20" s="226"/>
      <c r="BK20" s="226"/>
      <c r="BL20" s="226"/>
      <c r="BM20" s="227"/>
      <c r="BN20" s="54"/>
      <c r="BO20" s="54"/>
      <c r="BP20" s="54"/>
      <c r="BQ20" s="54"/>
      <c r="BR20" s="54"/>
      <c r="BS20" s="54"/>
      <c r="DZ20" s="55"/>
      <c r="EA20" s="55"/>
    </row>
    <row r="21" spans="1:131" ht="12.75" customHeight="1" x14ac:dyDescent="0.2">
      <c r="A21" s="56" t="s">
        <v>32</v>
      </c>
      <c r="B21" s="181" t="str">
        <f>IF(ISTEXT(VLOOKUP(CONCATENATE($A21,"_",B$3),'Unit List'!$A$23:$H$3172,2,FALSE)),"+","")</f>
        <v/>
      </c>
      <c r="C21" s="82" t="str">
        <f>IF(ISTEXT(VLOOKUP(CONCATENATE($A21,"_",C$3),'Unit List'!$A$23:$H$3172,2,FALSE)),"X",$B21)</f>
        <v>X</v>
      </c>
      <c r="D21" s="67" t="str">
        <f>IF(ISTEXT(VLOOKUP(CONCATENATE($A21,"_",D$3),'Unit List'!$A$23:$H$3172,2,FALSE)),"X",$B21)</f>
        <v>X</v>
      </c>
      <c r="E21" s="51" t="str">
        <f>IF(ISTEXT(VLOOKUP(CONCATENATE($A21,"_",E$3),'Unit List'!$A$23:$H$3172,2,FALSE)),"X",$B21)</f>
        <v>X</v>
      </c>
      <c r="F21" s="67" t="str">
        <f>IF(ISTEXT(VLOOKUP(CONCATENATE($A21,"_",F$3),'Unit List'!$A$23:$H$3172,2,FALSE)),"X",$B21)</f>
        <v>X</v>
      </c>
      <c r="G21" s="67" t="str">
        <f>IF(ISTEXT(VLOOKUP(CONCATENATE($A21,"_",G$3),'Unit List'!$A$23:$H$3172,2,FALSE)),"X",$B21)</f>
        <v>X</v>
      </c>
      <c r="H21" s="67" t="str">
        <f>IF(ISTEXT(VLOOKUP(CONCATENATE($A21,"_",H$3),'Unit List'!$A$23:$H$3172,2,FALSE)),"X",$B21)</f>
        <v>X</v>
      </c>
      <c r="I21" s="70" t="str">
        <f>IF(ISTEXT(VLOOKUP(CONCATENATE($A21,"_",I$3),'Unit List'!$A$23:$H$3172,2,FALSE)),"X",$B21)</f>
        <v>X</v>
      </c>
      <c r="J21" s="172" t="str">
        <f>IF(ISTEXT(VLOOKUP(CONCATENATE($A21,"_",J$3),'Unit List'!$A$23:$H$3172,2,FALSE)),"+","")</f>
        <v/>
      </c>
      <c r="K21" s="51" t="str">
        <f>IF(ISTEXT(VLOOKUP(CONCATENATE($A21,"_",K$3),'Unit List'!$A$23:$H$3172,2,FALSE)),"X",$J21)</f>
        <v/>
      </c>
      <c r="L21" s="86" t="str">
        <f>IF(ISTEXT(VLOOKUP(CONCATENATE($A21,"_",L$3),'Unit List'!$A$23:$H$3172,2,FALSE)),"X",$J21)</f>
        <v>X</v>
      </c>
      <c r="M21" s="172" t="str">
        <f>IF(ISTEXT(VLOOKUP(CONCATENATE($A21,"_",M$3),'Unit List'!$A$23:$H$3172,2,FALSE)),"+","")</f>
        <v>+</v>
      </c>
      <c r="N21" s="67" t="str">
        <f>IF(ISTEXT(VLOOKUP(CONCATENATE($A21,"_",N$3),'Unit List'!$A$23:$H$3172,2,FALSE)),"X",$M21)</f>
        <v>X</v>
      </c>
      <c r="O21" s="70" t="str">
        <f>IF(ISTEXT(VLOOKUP(CONCATENATE($A21,"_",O$3),'Unit List'!$A$23:$H$3172,2,FALSE)),"X",$M21)</f>
        <v>X</v>
      </c>
      <c r="P21" s="172" t="str">
        <f>IF(ISTEXT(VLOOKUP(CONCATENATE($A21,"_",P$3),'Unit List'!$A$23:$H$3172,2,FALSE)),"+","")</f>
        <v/>
      </c>
      <c r="Q21" s="51" t="str">
        <f>IF(ISTEXT(VLOOKUP(CONCATENATE($A21,"_",Q$3),'Unit List'!$A$23:$H$3172,2,FALSE)),"X",$P21)</f>
        <v>X</v>
      </c>
      <c r="R21" s="51" t="str">
        <f>IF(ISTEXT(VLOOKUP(CONCATENATE($A21,"_",R$3),'Unit List'!$A$23:$H$3172,2,FALSE)),"X",$P21)</f>
        <v/>
      </c>
      <c r="S21" s="67" t="str">
        <f>IF(ISTEXT(VLOOKUP(CONCATENATE($A21,"_",S$3),'Unit List'!$A$23:$H$3172,2,FALSE)),"X",$P21)</f>
        <v>X</v>
      </c>
      <c r="T21" s="52" t="str">
        <f>IF(ISTEXT(VLOOKUP(CONCATENATE($A21,"_",T$3),'Unit List'!$A$23:$H$3172,2,FALSE)),"X",$P21)</f>
        <v/>
      </c>
      <c r="U21" s="67" t="str">
        <f>IF(ISTEXT(VLOOKUP(CONCATENATE($A21,"_",U$3),'Unit List'!$A$23:$H$3172,2,FALSE)),"X",$P21)</f>
        <v>X</v>
      </c>
      <c r="V21" s="67" t="str">
        <f>IF(ISTEXT(VLOOKUP(CONCATENATE($A21,"_",V$3),'Unit List'!$A$23:$H$3172,2,FALSE)),"X",$P21)</f>
        <v>X</v>
      </c>
      <c r="W21" s="53" t="str">
        <f>IF(ISTEXT(VLOOKUP(CONCATENATE($A21,"_",W$3),'Unit List'!$A$23:$H$3172,2,FALSE)),"X",$P21)</f>
        <v/>
      </c>
      <c r="X21" s="171" t="str">
        <f>IF(ISTEXT(VLOOKUP(CONCATENATE($A21,"_",X$3),'Unit List'!$A$23:$H$3172,2,FALSE)),"+","")</f>
        <v>+</v>
      </c>
      <c r="Y21" s="69" t="str">
        <f>IF(ISTEXT(VLOOKUP(CONCATENATE($A21,"_",Y$3),'Unit List'!$A$23:$H$3172,2,FALSE)),"X",$X21)</f>
        <v>+</v>
      </c>
      <c r="Z21" s="69" t="str">
        <f>IF(ISTEXT(VLOOKUP(CONCATENATE($A21,"_",Z$3),'Unit List'!$A$23:$H$3172,2,FALSE)),"X",$X21)</f>
        <v>+</v>
      </c>
      <c r="AA21" s="69" t="str">
        <f>IF(ISTEXT(VLOOKUP(CONCATENATE($A21,"_",AA$3),'Unit List'!$A$23:$H$3172,2,FALSE)),"X",$X21)</f>
        <v>+</v>
      </c>
      <c r="AB21" s="67" t="str">
        <f>IF(ISTEXT(VLOOKUP(CONCATENATE($A21,"_",AB$3),'Unit List'!$A$23:$H$3172,2,FALSE)),"X",$X21)</f>
        <v>X</v>
      </c>
      <c r="AC21" s="184" t="str">
        <f>IF(ISTEXT(VLOOKUP(CONCATENATE($A21,"_",AC$3),'Unit List'!$A$23:$H$3172,2,FALSE)),"X",$X21)</f>
        <v>+</v>
      </c>
      <c r="AD21" s="171" t="str">
        <f>IF(ISTEXT(VLOOKUP(CONCATENATE($A21,"_",AD$3),'Unit List'!$A$23:$H$3172,2,FALSE)),"+","")</f>
        <v>+</v>
      </c>
      <c r="AE21" s="51" t="str">
        <f>IF(ISTEXT(VLOOKUP(CONCATENATE($A21,"_",AE$3),'Unit List'!$A$23:$H$3172,2,FALSE)),"X",$AD21)</f>
        <v>+</v>
      </c>
      <c r="AF21" s="51" t="str">
        <f>IF(ISTEXT(VLOOKUP(CONCATENATE($A21,"_",AF$3),'Unit List'!$A$23:$H$3172,2,FALSE)),"X",$AD21)</f>
        <v>+</v>
      </c>
      <c r="AG21" s="171" t="str">
        <f>IF(ISTEXT(VLOOKUP(CONCATENATE($A21,"_",AG$3),'Unit List'!$A$23:$H$3172,2,FALSE)),"+","")</f>
        <v>+</v>
      </c>
      <c r="AH21" s="69" t="str">
        <f>IF(ISTEXT(VLOOKUP(CONCATENATE($A21,"_",AH$3),'Unit List'!$A$23:$H$3172,2,FALSE)),"X",$AG21)</f>
        <v>+</v>
      </c>
      <c r="AI21" s="69" t="str">
        <f>IF(ISTEXT(VLOOKUP(CONCATENATE($A21,"_",AI$3),'Unit List'!$A$23:$H$3172,2,FALSE)),"X",$AG21)</f>
        <v>+</v>
      </c>
      <c r="AJ21" s="53" t="str">
        <f>IF(ISTEXT(VLOOKUP(CONCATENATE($A21,"_",AJ$3),'Unit List'!$A$23:$H$3172,2,FALSE)),"X",$AG21)</f>
        <v>X</v>
      </c>
      <c r="AK21" s="171" t="str">
        <f>IF(ISTEXT(VLOOKUP(CONCATENATE($A21,"_",AK$3),'Unit List'!$A$23:$H$3172,2,FALSE)),"+","")</f>
        <v/>
      </c>
      <c r="AL21" s="87" t="str">
        <f>IF(ISTEXT(VLOOKUP(CONCATENATE($A21,"_",AL$3),'Unit List'!$A$23:$H$3172,2,FALSE)),"X",$AK21)</f>
        <v>X</v>
      </c>
      <c r="AM21" s="53" t="str">
        <f>IF(ISTEXT(VLOOKUP(CONCATENATE($A21,"_",AM$3),'Unit List'!$A$23:$H$3172,2,FALSE)),"X",$AK21)</f>
        <v>X</v>
      </c>
      <c r="AN21" s="175" t="str">
        <f>IF(ISTEXT(VLOOKUP(CONCATENATE($A21,"_",AN$3),'Unit List'!$A$23:$H$3172,2,FALSE)),"+","")</f>
        <v>+</v>
      </c>
      <c r="AO21" s="53" t="str">
        <f>IF(ISTEXT(VLOOKUP(CONCATENATE($A21,"_",AO$3),'Unit List'!$A$23:$H$3172,2,FALSE)),"X",$AN21)</f>
        <v>+</v>
      </c>
      <c r="AP21" s="172" t="str">
        <f>IF(ISTEXT(VLOOKUP(CONCATENATE($A21,"_",AP$3),'Unit List'!$A$23:$H$3172,2,FALSE)),"+","")</f>
        <v/>
      </c>
      <c r="AQ21" s="67" t="str">
        <f>IF(ISTEXT(VLOOKUP(CONCATENATE($A21,"_",AQ$3),'Unit List'!$A$23:$H$3172,2,FALSE)),"X",$AP21)</f>
        <v>X</v>
      </c>
      <c r="AR21" s="89" t="s">
        <v>0</v>
      </c>
      <c r="AS21" s="51" t="str">
        <f>IF(ISTEXT(VLOOKUP(CONCATENATE($A21,"_",AS$3),'Unit List'!$A$23:$H$3172,2,FALSE)),"X",$AP21)</f>
        <v/>
      </c>
      <c r="AT21" s="53" t="str">
        <f>IF(ISTEXT(VLOOKUP(CONCATENATE($A21,"_",AT$3),'Unit List'!$A$23:$H$3172,2,FALSE)),"X",$AP21)</f>
        <v/>
      </c>
      <c r="AU21" s="124" t="str">
        <f>IF(ISTEXT(VLOOKUP(CONCATENATE($A21,"_",AU$3),'Unit List'!$A$23:$H$3172,2,FALSE)),"+","")</f>
        <v>+</v>
      </c>
      <c r="AV21" s="51" t="str">
        <f>IF(ISTEXT(VLOOKUP(CONCATENATE($A21,"_",AV$3),'Unit List'!$A$23:$H$3172,2,FALSE)),"X",$AU21)</f>
        <v>+</v>
      </c>
      <c r="AW21" s="53" t="str">
        <f>IF(ISTEXT(VLOOKUP(CONCATENATE($A21,"_",AW$3),'Unit List'!$A$23:$H$3172,2,FALSE)),"X",$AU21)</f>
        <v>+</v>
      </c>
      <c r="AX21" s="171" t="str">
        <f>IF(ISTEXT(VLOOKUP(CONCATENATE($A21,"_",AX$3),'Unit List'!$A$23:$H$3172,2,FALSE)),"+","")</f>
        <v>+</v>
      </c>
      <c r="AY21" s="69" t="str">
        <f>IF(ISTEXT(VLOOKUP(CONCATENATE($A21,"_",AY$3),'Unit List'!$A$23:$H$3172,2,FALSE)),"X",$AX21)</f>
        <v>+</v>
      </c>
      <c r="AZ21" s="53" t="str">
        <f>IF(ISTEXT(VLOOKUP(CONCATENATE($A21,"_",AZ$3),'Unit List'!$A$23:$H$3172,2,FALSE)),"X",$AX21)</f>
        <v>+</v>
      </c>
      <c r="BA21" s="171" t="str">
        <f>IF(ISTEXT(VLOOKUP(CONCATENATE($A21,"_",BA$3),'Unit List'!$A$23:$H$3172,2,FALSE)),"+","")</f>
        <v>+</v>
      </c>
      <c r="BB21" s="69" t="str">
        <f>IF(ISTEXT(VLOOKUP(CONCATENATE($A21,"_",BB$3),'Unit List'!$A$23:$H$3172,2,FALSE)),"X",$BA21)</f>
        <v>+</v>
      </c>
      <c r="BC21" s="69" t="str">
        <f>IF(ISTEXT(VLOOKUP(CONCATENATE($A21,"_",BC$3),'Unit List'!$A$23:$H$3172,2,FALSE)),"X",$BA21)</f>
        <v>+</v>
      </c>
      <c r="BD21" s="71" t="str">
        <f>IF(ISTEXT(VLOOKUP(CONCATENATE($A21,"_",BD$3),'Unit List'!$A$23:$H$3172,2,FALSE)),"X",$BA21)</f>
        <v>+</v>
      </c>
      <c r="BE21" s="175" t="str">
        <f>IF(ISTEXT(VLOOKUP(CONCATENATE($A21,"_",BE$3),'Unit List'!$A$23:$H$3172,2,FALSE)),"+","")</f>
        <v>+</v>
      </c>
      <c r="BF21" s="62" t="str">
        <f>IF(ISTEXT(VLOOKUP(CONCATENATE($A21,"_",BF$3),'Unit List'!$A$23:$H$3172,2,FALSE)),"X",$BE21)</f>
        <v>+</v>
      </c>
      <c r="BG21" s="97"/>
      <c r="BH21" s="98" t="s">
        <v>0</v>
      </c>
      <c r="BI21" s="225"/>
      <c r="BJ21" s="226"/>
      <c r="BK21" s="226"/>
      <c r="BL21" s="226"/>
      <c r="BM21" s="227"/>
      <c r="BN21" s="54"/>
      <c r="BO21" s="54"/>
      <c r="BP21" s="54"/>
      <c r="BQ21" s="54"/>
      <c r="BR21" s="54"/>
      <c r="BS21" s="54"/>
      <c r="DZ21" s="55"/>
      <c r="EA21" s="55"/>
    </row>
    <row r="22" spans="1:131" ht="12.75" customHeight="1" x14ac:dyDescent="0.2">
      <c r="A22" s="56" t="s">
        <v>31</v>
      </c>
      <c r="B22" s="181" t="str">
        <f>IF(ISTEXT(VLOOKUP(CONCATENATE($A22,"_",B$3),'Unit List'!$A$23:$H$3172,2,FALSE)),"+","")</f>
        <v/>
      </c>
      <c r="C22" s="57" t="str">
        <f>IF(ISTEXT(VLOOKUP(CONCATENATE($A22,"_",C$3),'Unit List'!$A$23:$H$3172,2,FALSE)),"X",$B22)</f>
        <v/>
      </c>
      <c r="D22" s="51" t="str">
        <f>IF(ISTEXT(VLOOKUP(CONCATENATE($A22,"_",D$3),'Unit List'!$A$23:$H$3172,2,FALSE)),"X",$B22)</f>
        <v/>
      </c>
      <c r="E22" s="51" t="str">
        <f>IF(ISTEXT(VLOOKUP(CONCATENATE($A22,"_",E$3),'Unit List'!$A$23:$H$3172,2,FALSE)),"X",$B22)</f>
        <v/>
      </c>
      <c r="F22" s="89" t="s">
        <v>0</v>
      </c>
      <c r="G22" s="51" t="str">
        <f>IF(ISTEXT(VLOOKUP(CONCATENATE($A22,"_",G$3),'Unit List'!$A$23:$H$3172,2,FALSE)),"X",$B22)</f>
        <v/>
      </c>
      <c r="H22" s="51" t="str">
        <f>IF(ISTEXT(VLOOKUP(CONCATENATE($A22,"_",H$3),'Unit List'!$A$23:$H$3172,2,FALSE)),"X",$B22)</f>
        <v/>
      </c>
      <c r="I22" s="53" t="str">
        <f>IF(ISTEXT(VLOOKUP(CONCATENATE($A22,"_",I$3),'Unit List'!$A$23:$H$3172,2,FALSE)),"X",$B22)</f>
        <v/>
      </c>
      <c r="J22" s="172" t="str">
        <f>IF(ISTEXT(VLOOKUP(CONCATENATE($A22,"_",J$3),'Unit List'!$A$23:$H$3172,2,FALSE)),"+","")</f>
        <v/>
      </c>
      <c r="K22" s="51" t="str">
        <f>IF(ISTEXT(VLOOKUP(CONCATENATE($A22,"_",K$3),'Unit List'!$A$23:$H$3172,2,FALSE)),"X",$J22)</f>
        <v/>
      </c>
      <c r="L22" s="62" t="str">
        <f>IF(ISTEXT(VLOOKUP(CONCATENATE($A22,"_",L$3),'Unit List'!$A$23:$H$3172,2,FALSE)),"X",$J22)</f>
        <v/>
      </c>
      <c r="M22" s="172" t="str">
        <f>IF(ISTEXT(VLOOKUP(CONCATENATE($A22,"_",M$3),'Unit List'!$A$23:$H$3172,2,FALSE)),"+","")</f>
        <v/>
      </c>
      <c r="N22" s="51" t="str">
        <f>IF(ISTEXT(VLOOKUP(CONCATENATE($A22,"_",N$3),'Unit List'!$A$23:$H$3172,2,FALSE)),"X",$M22)</f>
        <v/>
      </c>
      <c r="O22" s="53" t="str">
        <f>IF(ISTEXT(VLOOKUP(CONCATENATE($A22,"_",O$3),'Unit List'!$A$23:$H$3172,2,FALSE)),"X",$M22)</f>
        <v/>
      </c>
      <c r="P22" s="172" t="str">
        <f>IF(ISTEXT(VLOOKUP(CONCATENATE($A22,"_",P$3),'Unit List'!$A$23:$H$3172,2,FALSE)),"+","")</f>
        <v/>
      </c>
      <c r="Q22" s="51" t="str">
        <f>IF(ISTEXT(VLOOKUP(CONCATENATE($A22,"_",Q$3),'Unit List'!$A$23:$H$3172,2,FALSE)),"X",$P22)</f>
        <v/>
      </c>
      <c r="R22" s="51" t="str">
        <f>IF(ISTEXT(VLOOKUP(CONCATENATE($A22,"_",R$3),'Unit List'!$A$23:$H$3172,2,FALSE)),"X",$P22)</f>
        <v/>
      </c>
      <c r="S22" s="51" t="str">
        <f>IF(ISTEXT(VLOOKUP(CONCATENATE($A22,"_",S$3),'Unit List'!$A$23:$H$3172,2,FALSE)),"X",$P22)</f>
        <v/>
      </c>
      <c r="T22" s="52" t="str">
        <f>IF(ISTEXT(VLOOKUP(CONCATENATE($A22,"_",T$3),'Unit List'!$A$23:$H$3172,2,FALSE)),"X",$P22)</f>
        <v/>
      </c>
      <c r="U22" s="51" t="str">
        <f>IF(ISTEXT(VLOOKUP(CONCATENATE($A22,"_",U$3),'Unit List'!$A$23:$H$3172,2,FALSE)),"X",$P22)</f>
        <v/>
      </c>
      <c r="V22" s="51" t="str">
        <f>IF(ISTEXT(VLOOKUP(CONCATENATE($A22,"_",V$3),'Unit List'!$A$23:$H$3172,2,FALSE)),"X",$P22)</f>
        <v/>
      </c>
      <c r="W22" s="53" t="str">
        <f>IF(ISTEXT(VLOOKUP(CONCATENATE($A22,"_",W$3),'Unit List'!$A$23:$H$3172,2,FALSE)),"X",$P22)</f>
        <v/>
      </c>
      <c r="X22" s="172" t="str">
        <f>IF(ISTEXT(VLOOKUP(CONCATENATE($A22,"_",X$3),'Unit List'!$A$23:$H$3172,2,FALSE)),"+","")</f>
        <v/>
      </c>
      <c r="Y22" s="51" t="str">
        <f>IF(ISTEXT(VLOOKUP(CONCATENATE($A22,"_",Y$3),'Unit List'!$A$23:$H$3172,2,FALSE)),"X",$X22)</f>
        <v/>
      </c>
      <c r="Z22" s="51" t="str">
        <f>IF(ISTEXT(VLOOKUP(CONCATENATE($A22,"_",Z$3),'Unit List'!$A$23:$H$3172,2,FALSE)),"X",$X22)</f>
        <v/>
      </c>
      <c r="AA22" s="51" t="str">
        <f>IF(ISTEXT(VLOOKUP(CONCATENATE($A22,"_",AA$3),'Unit List'!$A$23:$H$3172,2,FALSE)),"X",$X22)</f>
        <v/>
      </c>
      <c r="AB22" s="51" t="str">
        <f>IF(ISTEXT(VLOOKUP(CONCATENATE($A22,"_",AB$3),'Unit List'!$A$23:$H$3172,2,FALSE)),"X",$X22)</f>
        <v/>
      </c>
      <c r="AC22" s="62" t="str">
        <f>IF(ISTEXT(VLOOKUP(CONCATENATE($A22,"_",AC$3),'Unit List'!$A$23:$H$3172,2,FALSE)),"X",$X22)</f>
        <v/>
      </c>
      <c r="AD22" s="172" t="str">
        <f>IF(ISTEXT(VLOOKUP(CONCATENATE($A22,"_",AD$3),'Unit List'!$A$23:$H$3172,2,FALSE)),"+","")</f>
        <v/>
      </c>
      <c r="AE22" s="51" t="str">
        <f>IF(ISTEXT(VLOOKUP(CONCATENATE($A22,"_",AE$3),'Unit List'!$A$23:$H$3172,2,FALSE)),"X",$AD22)</f>
        <v/>
      </c>
      <c r="AF22" s="51" t="str">
        <f>IF(ISTEXT(VLOOKUP(CONCATENATE($A22,"_",AF$3),'Unit List'!$A$23:$H$3172,2,FALSE)),"X",$AD22)</f>
        <v/>
      </c>
      <c r="AG22" s="172" t="str">
        <f>IF(ISTEXT(VLOOKUP(CONCATENATE($A22,"_",AG$3),'Unit List'!$A$23:$H$3172,2,FALSE)),"+","")</f>
        <v/>
      </c>
      <c r="AH22" s="51" t="str">
        <f>IF(ISTEXT(VLOOKUP(CONCATENATE($A22,"_",AH$3),'Unit List'!$A$23:$H$3172,2,FALSE)),"X",$AG22)</f>
        <v/>
      </c>
      <c r="AI22" s="51" t="str">
        <f>IF(ISTEXT(VLOOKUP(CONCATENATE($A22,"_",AI$3),'Unit List'!$A$23:$H$3172,2,FALSE)),"X",$AG22)</f>
        <v/>
      </c>
      <c r="AJ22" s="53" t="str">
        <f>IF(ISTEXT(VLOOKUP(CONCATENATE($A22,"_",AJ$3),'Unit List'!$A$23:$H$3172,2,FALSE)),"X",$AG22)</f>
        <v/>
      </c>
      <c r="AK22" s="172" t="str">
        <f>IF(ISTEXT(VLOOKUP(CONCATENATE($A22,"_",AK$3),'Unit List'!$A$23:$H$3172,2,FALSE)),"+","")</f>
        <v/>
      </c>
      <c r="AL22" s="52" t="str">
        <f>IF(ISTEXT(VLOOKUP(CONCATENATE($A22,"_",AL$3),'Unit List'!$A$23:$H$3172,2,FALSE)),"X",$AK22)</f>
        <v/>
      </c>
      <c r="AM22" s="53" t="str">
        <f>IF(ISTEXT(VLOOKUP(CONCATENATE($A22,"_",AM$3),'Unit List'!$A$23:$H$3172,2,FALSE)),"X",$AK22)</f>
        <v/>
      </c>
      <c r="AN22" s="125" t="str">
        <f>IF(ISTEXT(VLOOKUP(CONCATENATE($A22,"_",AN$3),'Unit List'!$A$23:$H$3172,2,FALSE)),"+","")</f>
        <v/>
      </c>
      <c r="AO22" s="53" t="str">
        <f>IF(ISTEXT(VLOOKUP(CONCATENATE($A22,"_",AO$3),'Unit List'!$A$23:$H$3172,2,FALSE)),"X",$AN22)</f>
        <v/>
      </c>
      <c r="AP22" s="172" t="str">
        <f>IF(ISTEXT(VLOOKUP(CONCATENATE($A22,"_",AP$3),'Unit List'!$A$23:$H$3172,2,FALSE)),"+","")</f>
        <v/>
      </c>
      <c r="AQ22" s="51" t="str">
        <f>IF(ISTEXT(VLOOKUP(CONCATENATE($A22,"_",AQ$3),'Unit List'!$A$23:$H$3172,2,FALSE)),"X",$AP22)</f>
        <v/>
      </c>
      <c r="AR22" s="51" t="str">
        <f>IF(ISTEXT(VLOOKUP(CONCATENATE($A22,"_",AR$3),'Unit List'!$A$23:$H$3172,2,FALSE)),"X",$AP22)</f>
        <v/>
      </c>
      <c r="AS22" s="51" t="str">
        <f>IF(ISTEXT(VLOOKUP(CONCATENATE($A22,"_",AS$3),'Unit List'!$A$23:$H$3172,2,FALSE)),"X",$AP22)</f>
        <v/>
      </c>
      <c r="AT22" s="53" t="str">
        <f>IF(ISTEXT(VLOOKUP(CONCATENATE($A22,"_",AT$3),'Unit List'!$A$23:$H$3172,2,FALSE)),"X",$AP22)</f>
        <v/>
      </c>
      <c r="AU22" s="124" t="str">
        <f>IF(ISTEXT(VLOOKUP(CONCATENATE($A22,"_",AU$3),'Unit List'!$A$23:$H$3172,2,FALSE)),"+","")</f>
        <v/>
      </c>
      <c r="AV22" s="51" t="str">
        <f>IF(ISTEXT(VLOOKUP(CONCATENATE($A22,"_",AV$3),'Unit List'!$A$23:$H$3172,2,FALSE)),"X",$AU22)</f>
        <v/>
      </c>
      <c r="AW22" s="53" t="str">
        <f>IF(ISTEXT(VLOOKUP(CONCATENATE($A22,"_",AW$3),'Unit List'!$A$23:$H$3172,2,FALSE)),"X",$AU22)</f>
        <v/>
      </c>
      <c r="AX22" s="172" t="str">
        <f>IF(ISTEXT(VLOOKUP(CONCATENATE($A22,"_",AX$3),'Unit List'!$A$23:$H$3172,2,FALSE)),"+","")</f>
        <v/>
      </c>
      <c r="AY22" s="51" t="str">
        <f>IF(ISTEXT(VLOOKUP(CONCATENATE($A22,"_",AY$3),'Unit List'!$A$23:$H$3172,2,FALSE)),"X",$AX22)</f>
        <v/>
      </c>
      <c r="AZ22" s="53" t="str">
        <f>IF(ISTEXT(VLOOKUP(CONCATENATE($A22,"_",AZ$3),'Unit List'!$A$23:$H$3172,2,FALSE)),"X",$AX22)</f>
        <v/>
      </c>
      <c r="BA22" s="182" t="str">
        <f>IF(ISTEXT(VLOOKUP(CONCATENATE($A22,"_",BA$3),'Unit List'!$A$23:$H$3172,2,FALSE)),"+","")</f>
        <v/>
      </c>
      <c r="BB22" s="51" t="str">
        <f>IF(ISTEXT(VLOOKUP(CONCATENATE($A22,"_",BB$3),'Unit List'!$A$23:$H$3172,2,FALSE)),"X",$BA22)</f>
        <v/>
      </c>
      <c r="BC22" s="51" t="str">
        <f>IF(ISTEXT(VLOOKUP(CONCATENATE($A22,"_",BC$3),'Unit List'!$A$23:$H$3172,2,FALSE)),"X",$BA22)</f>
        <v/>
      </c>
      <c r="BD22" s="53" t="str">
        <f>IF(ISTEXT(VLOOKUP(CONCATENATE($A22,"_",BD$3),'Unit List'!$A$23:$H$3172,2,FALSE)),"X",$BA22)</f>
        <v/>
      </c>
      <c r="BE22" s="125" t="str">
        <f>IF(ISTEXT(VLOOKUP(CONCATENATE($A22,"_",BE$3),'Unit List'!$A$23:$H$3172,2,FALSE)),"+","")</f>
        <v/>
      </c>
      <c r="BF22" s="62" t="str">
        <f>IF(ISTEXT(VLOOKUP(CONCATENATE($A22,"_",BF$3),'Unit List'!$A$23:$H$3172,2,FALSE)),"X",$BE22)</f>
        <v/>
      </c>
      <c r="BG22" s="75"/>
      <c r="BH22" s="84"/>
      <c r="BI22" s="225"/>
      <c r="BJ22" s="226"/>
      <c r="BK22" s="226"/>
      <c r="BL22" s="226"/>
      <c r="BM22" s="227"/>
      <c r="BN22" s="54"/>
      <c r="BO22" s="54"/>
      <c r="BP22" s="54"/>
      <c r="BQ22" s="54"/>
      <c r="BR22" s="54"/>
      <c r="BS22" s="54"/>
      <c r="DZ22" s="55"/>
      <c r="EA22" s="55"/>
    </row>
    <row r="23" spans="1:131" ht="12.75" customHeight="1" x14ac:dyDescent="0.2">
      <c r="A23" s="56" t="s">
        <v>1278</v>
      </c>
      <c r="B23" s="181" t="str">
        <f>IF(ISTEXT(VLOOKUP(CONCATENATE($A23,"_",B$3),'Unit List'!$A$23:$H$3172,2,FALSE)),"+","")</f>
        <v/>
      </c>
      <c r="C23" s="57" t="str">
        <f>IF(ISTEXT(VLOOKUP(CONCATENATE($A23,"_",C$3),'Unit List'!$A$23:$H$3172,2,FALSE)),"X",$B23)</f>
        <v/>
      </c>
      <c r="D23" s="51" t="str">
        <f>IF(ISTEXT(VLOOKUP(CONCATENATE($A23,"_",D$3),'Unit List'!$A$23:$H$3172,2,FALSE)),"X",$B23)</f>
        <v/>
      </c>
      <c r="E23" s="51" t="str">
        <f>IF(ISTEXT(VLOOKUP(CONCATENATE($A23,"_",E$3),'Unit List'!$A$23:$H$3172,2,FALSE)),"X",$B23)</f>
        <v/>
      </c>
      <c r="F23" s="51" t="str">
        <f>IF(ISTEXT(VLOOKUP(CONCATENATE($A23,"_",F$3),'Unit List'!$A$23:$H$3172,2,FALSE)),"X",$B23)</f>
        <v/>
      </c>
      <c r="G23" s="51" t="str">
        <f>IF(ISTEXT(VLOOKUP(CONCATENATE($A23,"_",G$3),'Unit List'!$A$23:$H$3172,2,FALSE)),"X",$B23)</f>
        <v/>
      </c>
      <c r="H23" s="51" t="str">
        <f>IF(ISTEXT(VLOOKUP(CONCATENATE($A23,"_",H$3),'Unit List'!$A$23:$H$3172,2,FALSE)),"X",$B23)</f>
        <v/>
      </c>
      <c r="I23" s="53" t="str">
        <f>IF(ISTEXT(VLOOKUP(CONCATENATE($A23,"_",I$3),'Unit List'!$A$23:$H$3172,2,FALSE)),"X",$B23)</f>
        <v/>
      </c>
      <c r="J23" s="172" t="str">
        <f>IF(ISTEXT(VLOOKUP(CONCATENATE($A23,"_",J$3),'Unit List'!$A$23:$H$3172,2,FALSE)),"+","")</f>
        <v/>
      </c>
      <c r="K23" s="51" t="str">
        <f>IF(ISTEXT(VLOOKUP(CONCATENATE($A23,"_",K$3),'Unit List'!$A$23:$H$3172,2,FALSE)),"X",$J23)</f>
        <v/>
      </c>
      <c r="L23" s="62" t="str">
        <f>IF(ISTEXT(VLOOKUP(CONCATENATE($A23,"_",L$3),'Unit List'!$A$23:$H$3172,2,FALSE)),"X",$J23)</f>
        <v/>
      </c>
      <c r="M23" s="172" t="str">
        <f>IF(ISTEXT(VLOOKUP(CONCATENATE($A23,"_",M$3),'Unit List'!$A$23:$H$3172,2,FALSE)),"+","")</f>
        <v/>
      </c>
      <c r="N23" s="51" t="str">
        <f>IF(ISTEXT(VLOOKUP(CONCATENATE($A23,"_",N$3),'Unit List'!$A$23:$H$3172,2,FALSE)),"X",$M23)</f>
        <v/>
      </c>
      <c r="O23" s="53" t="str">
        <f>IF(ISTEXT(VLOOKUP(CONCATENATE($A23,"_",O$3),'Unit List'!$A$23:$H$3172,2,FALSE)),"X",$M23)</f>
        <v/>
      </c>
      <c r="P23" s="172" t="str">
        <f>IF(ISTEXT(VLOOKUP(CONCATENATE($A23,"_",P$3),'Unit List'!$A$23:$H$3172,2,FALSE)),"+","")</f>
        <v/>
      </c>
      <c r="Q23" s="51" t="str">
        <f>IF(ISTEXT(VLOOKUP(CONCATENATE($A23,"_",Q$3),'Unit List'!$A$23:$H$3172,2,FALSE)),"X",$P23)</f>
        <v/>
      </c>
      <c r="R23" s="51" t="str">
        <f>IF(ISTEXT(VLOOKUP(CONCATENATE($A23,"_",R$3),'Unit List'!$A$23:$H$3172,2,FALSE)),"X",$P23)</f>
        <v/>
      </c>
      <c r="S23" s="51" t="str">
        <f>IF(ISTEXT(VLOOKUP(CONCATENATE($A23,"_",S$3),'Unit List'!$A$23:$H$3172,2,FALSE)),"X",$P23)</f>
        <v/>
      </c>
      <c r="T23" s="52" t="str">
        <f>IF(ISTEXT(VLOOKUP(CONCATENATE($A23,"_",T$3),'Unit List'!$A$23:$H$3172,2,FALSE)),"X",$P23)</f>
        <v/>
      </c>
      <c r="U23" s="51" t="str">
        <f>IF(ISTEXT(VLOOKUP(CONCATENATE($A23,"_",U$3),'Unit List'!$A$23:$H$3172,2,FALSE)),"X",$P23)</f>
        <v/>
      </c>
      <c r="V23" s="51" t="str">
        <f>IF(ISTEXT(VLOOKUP(CONCATENATE($A23,"_",V$3),'Unit List'!$A$23:$H$3172,2,FALSE)),"X",$P23)</f>
        <v/>
      </c>
      <c r="W23" s="91" t="s">
        <v>0</v>
      </c>
      <c r="X23" s="172" t="str">
        <f>IF(ISTEXT(VLOOKUP(CONCATENATE($A23,"_",X$3),'Unit List'!$A$23:$H$3172,2,FALSE)),"+","")</f>
        <v/>
      </c>
      <c r="Y23" s="51" t="str">
        <f>IF(ISTEXT(VLOOKUP(CONCATENATE($A23,"_",Y$3),'Unit List'!$A$23:$H$3172,2,FALSE)),"X",$X23)</f>
        <v/>
      </c>
      <c r="Z23" s="51" t="str">
        <f>IF(ISTEXT(VLOOKUP(CONCATENATE($A23,"_",Z$3),'Unit List'!$A$23:$H$3172,2,FALSE)),"X",$X23)</f>
        <v/>
      </c>
      <c r="AA23" s="51" t="str">
        <f>IF(ISTEXT(VLOOKUP(CONCATENATE($A23,"_",AA$3),'Unit List'!$A$23:$H$3172,2,FALSE)),"X",$X23)</f>
        <v/>
      </c>
      <c r="AB23" s="51" t="str">
        <f>IF(ISTEXT(VLOOKUP(CONCATENATE($A23,"_",AB$3),'Unit List'!$A$23:$H$3172,2,FALSE)),"X",$X23)</f>
        <v/>
      </c>
      <c r="AC23" s="62" t="str">
        <f>IF(ISTEXT(VLOOKUP(CONCATENATE($A23,"_",AC$3),'Unit List'!$A$23:$H$3172,2,FALSE)),"X",$X23)</f>
        <v/>
      </c>
      <c r="AD23" s="172" t="str">
        <f>IF(ISTEXT(VLOOKUP(CONCATENATE($A23,"_",AD$3),'Unit List'!$A$23:$H$3172,2,FALSE)),"+","")</f>
        <v/>
      </c>
      <c r="AE23" s="51" t="str">
        <f>IF(ISTEXT(VLOOKUP(CONCATENATE($A23,"_",AE$3),'Unit List'!$A$23:$H$3172,2,FALSE)),"X",$AD23)</f>
        <v/>
      </c>
      <c r="AF23" s="51" t="str">
        <f>IF(ISTEXT(VLOOKUP(CONCATENATE($A23,"_",AF$3),'Unit List'!$A$23:$H$3172,2,FALSE)),"X",$AD23)</f>
        <v/>
      </c>
      <c r="AG23" s="172" t="str">
        <f>IF(ISTEXT(VLOOKUP(CONCATENATE($A23,"_",AG$3),'Unit List'!$A$23:$H$3172,2,FALSE)),"+","")</f>
        <v/>
      </c>
      <c r="AH23" s="51" t="str">
        <f>IF(ISTEXT(VLOOKUP(CONCATENATE($A23,"_",AH$3),'Unit List'!$A$23:$H$3172,2,FALSE)),"X",$AG23)</f>
        <v/>
      </c>
      <c r="AI23" s="51" t="str">
        <f>IF(ISTEXT(VLOOKUP(CONCATENATE($A23,"_",AI$3),'Unit List'!$A$23:$H$3172,2,FALSE)),"X",$AG23)</f>
        <v/>
      </c>
      <c r="AJ23" s="53" t="str">
        <f>IF(ISTEXT(VLOOKUP(CONCATENATE($A23,"_",AJ$3),'Unit List'!$A$23:$H$3172,2,FALSE)),"X",$AG23)</f>
        <v/>
      </c>
      <c r="AK23" s="172" t="str">
        <f>IF(ISTEXT(VLOOKUP(CONCATENATE($A23,"_",AK$3),'Unit List'!$A$23:$H$3172,2,FALSE)),"+","")</f>
        <v/>
      </c>
      <c r="AL23" s="52" t="str">
        <f>IF(ISTEXT(VLOOKUP(CONCATENATE($A23,"_",AL$3),'Unit List'!$A$23:$H$3172,2,FALSE)),"X",$AK23)</f>
        <v/>
      </c>
      <c r="AM23" s="53" t="str">
        <f>IF(ISTEXT(VLOOKUP(CONCATENATE($A23,"_",AM$3),'Unit List'!$A$23:$H$3172,2,FALSE)),"X",$AK23)</f>
        <v/>
      </c>
      <c r="AN23" s="125" t="str">
        <f>IF(ISTEXT(VLOOKUP(CONCATENATE($A23,"_",AN$3),'Unit List'!$A$23:$H$3172,2,FALSE)),"+","")</f>
        <v/>
      </c>
      <c r="AO23" s="53" t="str">
        <f>IF(ISTEXT(VLOOKUP(CONCATENATE($A23,"_",AO$3),'Unit List'!$A$23:$H$3172,2,FALSE)),"X",$AN23)</f>
        <v/>
      </c>
      <c r="AP23" s="172" t="str">
        <f>IF(ISTEXT(VLOOKUP(CONCATENATE($A23,"_",AP$3),'Unit List'!$A$23:$H$3172,2,FALSE)),"+","")</f>
        <v/>
      </c>
      <c r="AQ23" s="51" t="str">
        <f>IF(ISTEXT(VLOOKUP(CONCATENATE($A23,"_",AQ$3),'Unit List'!$A$23:$H$3172,2,FALSE)),"X",$AP23)</f>
        <v/>
      </c>
      <c r="AR23" s="51" t="str">
        <f>IF(ISTEXT(VLOOKUP(CONCATENATE($A23,"_",AR$3),'Unit List'!$A$23:$H$3172,2,FALSE)),"X",$AP23)</f>
        <v/>
      </c>
      <c r="AS23" s="51" t="str">
        <f>IF(ISTEXT(VLOOKUP(CONCATENATE($A23,"_",AS$3),'Unit List'!$A$23:$H$3172,2,FALSE)),"X",$AP23)</f>
        <v/>
      </c>
      <c r="AT23" s="53" t="str">
        <f>IF(ISTEXT(VLOOKUP(CONCATENATE($A23,"_",AT$3),'Unit List'!$A$23:$H$3172,2,FALSE)),"X",$AP23)</f>
        <v/>
      </c>
      <c r="AU23" s="124" t="str">
        <f>IF(ISTEXT(VLOOKUP(CONCATENATE($A23,"_",AU$3),'Unit List'!$A$23:$H$3172,2,FALSE)),"+","")</f>
        <v/>
      </c>
      <c r="AV23" s="51" t="str">
        <f>IF(ISTEXT(VLOOKUP(CONCATENATE($A23,"_",AV$3),'Unit List'!$A$23:$H$3172,2,FALSE)),"X",$AU23)</f>
        <v/>
      </c>
      <c r="AW23" s="53" t="str">
        <f>IF(ISTEXT(VLOOKUP(CONCATENATE($A23,"_",AW$3),'Unit List'!$A$23:$H$3172,2,FALSE)),"X",$AU23)</f>
        <v/>
      </c>
      <c r="AX23" s="172" t="str">
        <f>IF(ISTEXT(VLOOKUP(CONCATENATE($A23,"_",AX$3),'Unit List'!$A$23:$H$3172,2,FALSE)),"+","")</f>
        <v/>
      </c>
      <c r="AY23" s="51" t="str">
        <f>IF(ISTEXT(VLOOKUP(CONCATENATE($A23,"_",AY$3),'Unit List'!$A$23:$H$3172,2,FALSE)),"X",$AX23)</f>
        <v/>
      </c>
      <c r="AZ23" s="53" t="str">
        <f>IF(ISTEXT(VLOOKUP(CONCATENATE($A23,"_",AZ$3),'Unit List'!$A$23:$H$3172,2,FALSE)),"X",$AX23)</f>
        <v/>
      </c>
      <c r="BA23" s="182" t="str">
        <f>IF(ISTEXT(VLOOKUP(CONCATENATE($A23,"_",BA$3),'Unit List'!$A$23:$H$3172,2,FALSE)),"+","")</f>
        <v/>
      </c>
      <c r="BB23" s="51" t="str">
        <f>IF(ISTEXT(VLOOKUP(CONCATENATE($A23,"_",BB$3),'Unit List'!$A$23:$H$3172,2,FALSE)),"X",$BA23)</f>
        <v/>
      </c>
      <c r="BC23" s="51" t="str">
        <f>IF(ISTEXT(VLOOKUP(CONCATENATE($A23,"_",BC$3),'Unit List'!$A$23:$H$3172,2,FALSE)),"X",$BA23)</f>
        <v/>
      </c>
      <c r="BD23" s="53" t="str">
        <f>IF(ISTEXT(VLOOKUP(CONCATENATE($A23,"_",BD$3),'Unit List'!$A$23:$H$3172,2,FALSE)),"X",$BA23)</f>
        <v/>
      </c>
      <c r="BE23" s="125" t="str">
        <f>IF(ISTEXT(VLOOKUP(CONCATENATE($A23,"_",BE$3),'Unit List'!$A$23:$H$3172,2,FALSE)),"+","")</f>
        <v/>
      </c>
      <c r="BF23" s="62" t="str">
        <f>IF(ISTEXT(VLOOKUP(CONCATENATE($A23,"_",BF$3),'Unit List'!$A$23:$H$3172,2,FALSE)),"X",$BE23)</f>
        <v/>
      </c>
      <c r="BG23" s="75"/>
      <c r="BH23" s="84"/>
      <c r="BI23" s="225"/>
      <c r="BJ23" s="226"/>
      <c r="BK23" s="226"/>
      <c r="BL23" s="226"/>
      <c r="BM23" s="227"/>
      <c r="BN23" s="54"/>
      <c r="BO23" s="54"/>
      <c r="BP23" s="54"/>
      <c r="BQ23" s="54"/>
      <c r="BR23" s="54"/>
      <c r="BS23" s="54"/>
      <c r="DZ23" s="55"/>
      <c r="EA23" s="55"/>
    </row>
    <row r="24" spans="1:131" ht="12.75" customHeight="1" x14ac:dyDescent="0.2">
      <c r="A24" s="56" t="s">
        <v>1276</v>
      </c>
      <c r="B24" s="181" t="str">
        <f>IF(ISTEXT(VLOOKUP(CONCATENATE($A24,"_",B$3),'Unit List'!$A$23:$H$3172,2,FALSE)),"+","")</f>
        <v/>
      </c>
      <c r="C24" s="57" t="str">
        <f>IF(ISTEXT(VLOOKUP(CONCATENATE($A24,"_",C$3),'Unit List'!$A$23:$H$3172,2,FALSE)),"X",$B24)</f>
        <v/>
      </c>
      <c r="D24" s="51" t="str">
        <f>IF(ISTEXT(VLOOKUP(CONCATENATE($A24,"_",D$3),'Unit List'!$A$23:$H$3172,2,FALSE)),"X",$B24)</f>
        <v/>
      </c>
      <c r="E24" s="51" t="str">
        <f>IF(ISTEXT(VLOOKUP(CONCATENATE($A24,"_",E$3),'Unit List'!$A$23:$H$3172,2,FALSE)),"X",$B24)</f>
        <v/>
      </c>
      <c r="F24" s="51" t="str">
        <f>IF(ISTEXT(VLOOKUP(CONCATENATE($A24,"_",F$3),'Unit List'!$A$23:$H$3172,2,FALSE)),"X",$B24)</f>
        <v/>
      </c>
      <c r="G24" s="51" t="str">
        <f>IF(ISTEXT(VLOOKUP(CONCATENATE($A24,"_",G$3),'Unit List'!$A$23:$H$3172,2,FALSE)),"X",$B24)</f>
        <v/>
      </c>
      <c r="H24" s="51" t="str">
        <f>IF(ISTEXT(VLOOKUP(CONCATENATE($A24,"_",H$3),'Unit List'!$A$23:$H$3172,2,FALSE)),"X",$B24)</f>
        <v/>
      </c>
      <c r="I24" s="53" t="str">
        <f>IF(ISTEXT(VLOOKUP(CONCATENATE($A24,"_",I$3),'Unit List'!$A$23:$H$3172,2,FALSE)),"X",$B24)</f>
        <v/>
      </c>
      <c r="J24" s="172" t="str">
        <f>IF(ISTEXT(VLOOKUP(CONCATENATE($A24,"_",J$3),'Unit List'!$A$23:$H$3172,2,FALSE)),"+","")</f>
        <v/>
      </c>
      <c r="K24" s="51" t="str">
        <f>IF(ISTEXT(VLOOKUP(CONCATENATE($A24,"_",K$3),'Unit List'!$A$23:$H$3172,2,FALSE)),"X",$J24)</f>
        <v/>
      </c>
      <c r="L24" s="62" t="str">
        <f>IF(ISTEXT(VLOOKUP(CONCATENATE($A24,"_",L$3),'Unit List'!$A$23:$H$3172,2,FALSE)),"X",$J24)</f>
        <v/>
      </c>
      <c r="M24" s="172" t="str">
        <f>IF(ISTEXT(VLOOKUP(CONCATENATE($A24,"_",M$3),'Unit List'!$A$23:$H$3172,2,FALSE)),"+","")</f>
        <v/>
      </c>
      <c r="N24" s="51" t="str">
        <f>IF(ISTEXT(VLOOKUP(CONCATENATE($A24,"_",N$3),'Unit List'!$A$23:$H$3172,2,FALSE)),"X",$M24)</f>
        <v/>
      </c>
      <c r="O24" s="53" t="str">
        <f>IF(ISTEXT(VLOOKUP(CONCATENATE($A24,"_",O$3),'Unit List'!$A$23:$H$3172,2,FALSE)),"X",$M24)</f>
        <v/>
      </c>
      <c r="P24" s="172" t="str">
        <f>IF(ISTEXT(VLOOKUP(CONCATENATE($A24,"_",P$3),'Unit List'!$A$23:$H$3172,2,FALSE)),"+","")</f>
        <v/>
      </c>
      <c r="Q24" s="51" t="str">
        <f>IF(ISTEXT(VLOOKUP(CONCATENATE($A24,"_",Q$3),'Unit List'!$A$23:$H$3172,2,FALSE)),"X",$P24)</f>
        <v/>
      </c>
      <c r="R24" s="51" t="str">
        <f>IF(ISTEXT(VLOOKUP(CONCATENATE($A24,"_",R$3),'Unit List'!$A$23:$H$3172,2,FALSE)),"X",$P24)</f>
        <v/>
      </c>
      <c r="S24" s="51" t="str">
        <f>IF(ISTEXT(VLOOKUP(CONCATENATE($A24,"_",S$3),'Unit List'!$A$23:$H$3172,2,FALSE)),"X",$P24)</f>
        <v/>
      </c>
      <c r="T24" s="52" t="str">
        <f>IF(ISTEXT(VLOOKUP(CONCATENATE($A24,"_",T$3),'Unit List'!$A$23:$H$3172,2,FALSE)),"X",$P24)</f>
        <v/>
      </c>
      <c r="U24" s="51" t="str">
        <f>IF(ISTEXT(VLOOKUP(CONCATENATE($A24,"_",U$3),'Unit List'!$A$23:$H$3172,2,FALSE)),"X",$P24)</f>
        <v/>
      </c>
      <c r="V24" s="51" t="str">
        <f>IF(ISTEXT(VLOOKUP(CONCATENATE($A24,"_",V$3),'Unit List'!$A$23:$H$3172,2,FALSE)),"X",$P24)</f>
        <v/>
      </c>
      <c r="W24" s="53" t="str">
        <f>IF(ISTEXT(VLOOKUP(CONCATENATE($A24,"_",W$3),'Unit List'!$A$23:$H$3172,2,FALSE)),"X",$P24)</f>
        <v/>
      </c>
      <c r="X24" s="172" t="str">
        <f>IF(ISTEXT(VLOOKUP(CONCATENATE($A24,"_",X$3),'Unit List'!$A$23:$H$3172,2,FALSE)),"+","")</f>
        <v/>
      </c>
      <c r="Y24" s="51" t="str">
        <f>IF(ISTEXT(VLOOKUP(CONCATENATE($A24,"_",Y$3),'Unit List'!$A$23:$H$3172,2,FALSE)),"X",$X24)</f>
        <v/>
      </c>
      <c r="Z24" s="51" t="str">
        <f>IF(ISTEXT(VLOOKUP(CONCATENATE($A24,"_",Z$3),'Unit List'!$A$23:$H$3172,2,FALSE)),"X",$X24)</f>
        <v/>
      </c>
      <c r="AA24" s="51" t="str">
        <f>IF(ISTEXT(VLOOKUP(CONCATENATE($A24,"_",AA$3),'Unit List'!$A$23:$H$3172,2,FALSE)),"X",$X24)</f>
        <v/>
      </c>
      <c r="AB24" s="51" t="str">
        <f>IF(ISTEXT(VLOOKUP(CONCATENATE($A24,"_",AB$3),'Unit List'!$A$23:$H$3172,2,FALSE)),"X",$X24)</f>
        <v/>
      </c>
      <c r="AC24" s="62" t="str">
        <f>IF(ISTEXT(VLOOKUP(CONCATENATE($A24,"_",AC$3),'Unit List'!$A$23:$H$3172,2,FALSE)),"X",$X24)</f>
        <v/>
      </c>
      <c r="AD24" s="172" t="str">
        <f>IF(ISTEXT(VLOOKUP(CONCATENATE($A24,"_",AD$3),'Unit List'!$A$23:$H$3172,2,FALSE)),"+","")</f>
        <v/>
      </c>
      <c r="AE24" s="51" t="str">
        <f>IF(ISTEXT(VLOOKUP(CONCATENATE($A24,"_",AE$3),'Unit List'!$A$23:$H$3172,2,FALSE)),"X",$AD24)</f>
        <v/>
      </c>
      <c r="AF24" s="51" t="str">
        <f>IF(ISTEXT(VLOOKUP(CONCATENATE($A24,"_",AF$3),'Unit List'!$A$23:$H$3172,2,FALSE)),"X",$AD24)</f>
        <v/>
      </c>
      <c r="AG24" s="172" t="str">
        <f>IF(ISTEXT(VLOOKUP(CONCATENATE($A24,"_",AG$3),'Unit List'!$A$23:$H$3172,2,FALSE)),"+","")</f>
        <v/>
      </c>
      <c r="AH24" s="51" t="str">
        <f>IF(ISTEXT(VLOOKUP(CONCATENATE($A24,"_",AH$3),'Unit List'!$A$23:$H$3172,2,FALSE)),"X",$AG24)</f>
        <v/>
      </c>
      <c r="AI24" s="51" t="str">
        <f>IF(ISTEXT(VLOOKUP(CONCATENATE($A24,"_",AI$3),'Unit List'!$A$23:$H$3172,2,FALSE)),"X",$AG24)</f>
        <v/>
      </c>
      <c r="AJ24" s="53" t="str">
        <f>IF(ISTEXT(VLOOKUP(CONCATENATE($A24,"_",AJ$3),'Unit List'!$A$23:$H$3172,2,FALSE)),"X",$AG24)</f>
        <v/>
      </c>
      <c r="AK24" s="172" t="str">
        <f>IF(ISTEXT(VLOOKUP(CONCATENATE($A24,"_",AK$3),'Unit List'!$A$23:$H$3172,2,FALSE)),"+","")</f>
        <v/>
      </c>
      <c r="AL24" s="52" t="str">
        <f>IF(ISTEXT(VLOOKUP(CONCATENATE($A24,"_",AL$3),'Unit List'!$A$23:$H$3172,2,FALSE)),"X",$AK24)</f>
        <v/>
      </c>
      <c r="AM24" s="53" t="str">
        <f>IF(ISTEXT(VLOOKUP(CONCATENATE($A24,"_",AM$3),'Unit List'!$A$23:$H$3172,2,FALSE)),"X",$AK24)</f>
        <v/>
      </c>
      <c r="AN24" s="125" t="str">
        <f>IF(ISTEXT(VLOOKUP(CONCATENATE($A24,"_",AN$3),'Unit List'!$A$23:$H$3172,2,FALSE)),"+","")</f>
        <v/>
      </c>
      <c r="AO24" s="53" t="str">
        <f>IF(ISTEXT(VLOOKUP(CONCATENATE($A24,"_",AO$3),'Unit List'!$A$23:$H$3172,2,FALSE)),"X",$AN24)</f>
        <v/>
      </c>
      <c r="AP24" s="172" t="str">
        <f>IF(ISTEXT(VLOOKUP(CONCATENATE($A24,"_",AP$3),'Unit List'!$A$23:$H$3172,2,FALSE)),"+","")</f>
        <v/>
      </c>
      <c r="AQ24" s="51" t="str">
        <f>IF(ISTEXT(VLOOKUP(CONCATENATE($A24,"_",AQ$3),'Unit List'!$A$23:$H$3172,2,FALSE)),"X",$AP24)</f>
        <v/>
      </c>
      <c r="AR24" s="51" t="str">
        <f>IF(ISTEXT(VLOOKUP(CONCATENATE($A24,"_",AR$3),'Unit List'!$A$23:$H$3172,2,FALSE)),"X",$AP24)</f>
        <v/>
      </c>
      <c r="AS24" s="51" t="str">
        <f>IF(ISTEXT(VLOOKUP(CONCATENATE($A24,"_",AS$3),'Unit List'!$A$23:$H$3172,2,FALSE)),"X",$AP24)</f>
        <v/>
      </c>
      <c r="AT24" s="53" t="str">
        <f>IF(ISTEXT(VLOOKUP(CONCATENATE($A24,"_",AT$3),'Unit List'!$A$23:$H$3172,2,FALSE)),"X",$AP24)</f>
        <v/>
      </c>
      <c r="AU24" s="124" t="str">
        <f>IF(ISTEXT(VLOOKUP(CONCATENATE($A24,"_",AU$3),'Unit List'!$A$23:$H$3172,2,FALSE)),"+","")</f>
        <v/>
      </c>
      <c r="AV24" s="51" t="str">
        <f>IF(ISTEXT(VLOOKUP(CONCATENATE($A24,"_",AV$3),'Unit List'!$A$23:$H$3172,2,FALSE)),"X",$AU24)</f>
        <v/>
      </c>
      <c r="AW24" s="53" t="str">
        <f>IF(ISTEXT(VLOOKUP(CONCATENATE($A24,"_",AW$3),'Unit List'!$A$23:$H$3172,2,FALSE)),"X",$AU24)</f>
        <v/>
      </c>
      <c r="AX24" s="172" t="str">
        <f>IF(ISTEXT(VLOOKUP(CONCATENATE($A24,"_",AX$3),'Unit List'!$A$23:$H$3172,2,FALSE)),"+","")</f>
        <v/>
      </c>
      <c r="AY24" s="51" t="str">
        <f>IF(ISTEXT(VLOOKUP(CONCATENATE($A24,"_",AY$3),'Unit List'!$A$23:$H$3172,2,FALSE)),"X",$AX24)</f>
        <v/>
      </c>
      <c r="AZ24" s="53" t="str">
        <f>IF(ISTEXT(VLOOKUP(CONCATENATE($A24,"_",AZ$3),'Unit List'!$A$23:$H$3172,2,FALSE)),"X",$AX24)</f>
        <v/>
      </c>
      <c r="BA24" s="182" t="str">
        <f>IF(ISTEXT(VLOOKUP(CONCATENATE($A24,"_",BA$3),'Unit List'!$A$23:$H$3172,2,FALSE)),"+","")</f>
        <v/>
      </c>
      <c r="BB24" s="51" t="str">
        <f>IF(ISTEXT(VLOOKUP(CONCATENATE($A24,"_",BB$3),'Unit List'!$A$23:$H$3172,2,FALSE)),"X",$BA24)</f>
        <v/>
      </c>
      <c r="BC24" s="51" t="str">
        <f>IF(ISTEXT(VLOOKUP(CONCATENATE($A24,"_",BC$3),'Unit List'!$A$23:$H$3172,2,FALSE)),"X",$BA24)</f>
        <v/>
      </c>
      <c r="BD24" s="53" t="str">
        <f>IF(ISTEXT(VLOOKUP(CONCATENATE($A24,"_",BD$3),'Unit List'!$A$23:$H$3172,2,FALSE)),"X",$BA24)</f>
        <v/>
      </c>
      <c r="BE24" s="125" t="str">
        <f>IF(ISTEXT(VLOOKUP(CONCATENATE($A24,"_",BE$3),'Unit List'!$A$23:$H$3172,2,FALSE)),"+","")</f>
        <v/>
      </c>
      <c r="BF24" s="62" t="str">
        <f>IF(ISTEXT(VLOOKUP(CONCATENATE($A24,"_",BF$3),'Unit List'!$A$23:$H$3172,2,FALSE)),"X",$BE24)</f>
        <v/>
      </c>
      <c r="BG24" s="75"/>
      <c r="BH24" s="84"/>
      <c r="BI24" s="225"/>
      <c r="BJ24" s="226"/>
      <c r="BK24" s="226"/>
      <c r="BL24" s="226"/>
      <c r="BM24" s="227"/>
      <c r="BN24" s="54"/>
      <c r="BO24" s="54"/>
      <c r="BP24" s="54"/>
      <c r="BQ24" s="54"/>
      <c r="BR24" s="54"/>
      <c r="BS24" s="54"/>
      <c r="DZ24" s="55"/>
      <c r="EA24" s="55"/>
    </row>
    <row r="25" spans="1:131" ht="12.75" customHeight="1" x14ac:dyDescent="0.2">
      <c r="A25" s="56" t="s">
        <v>1156</v>
      </c>
      <c r="B25" s="181" t="str">
        <f>IF(ISTEXT(VLOOKUP(CONCATENATE($A25,"_",B$3),'Unit List'!$A$23:$H$3172,2,FALSE)),"+","")</f>
        <v/>
      </c>
      <c r="C25" s="57" t="str">
        <f>IF(ISTEXT(VLOOKUP(CONCATENATE($A25,"_",C$3),'Unit List'!$A$23:$H$3172,2,FALSE)),"X",$B25)</f>
        <v/>
      </c>
      <c r="D25" s="51" t="str">
        <f>IF(ISTEXT(VLOOKUP(CONCATENATE($A25,"_",D$3),'Unit List'!$A$23:$H$3172,2,FALSE)),"X",$B25)</f>
        <v>X</v>
      </c>
      <c r="E25" s="51" t="str">
        <f>IF(ISTEXT(VLOOKUP(CONCATENATE($A25,"_",E$3),'Unit List'!$A$23:$H$3172,2,FALSE)),"X",$B25)</f>
        <v/>
      </c>
      <c r="F25" s="51" t="str">
        <f>IF(ISTEXT(VLOOKUP(CONCATENATE($A25,"_",F$3),'Unit List'!$A$23:$H$3172,2,FALSE)),"X",$B25)</f>
        <v/>
      </c>
      <c r="G25" s="51" t="str">
        <f>IF(ISTEXT(VLOOKUP(CONCATENATE($A25,"_",G$3),'Unit List'!$A$23:$H$3172,2,FALSE)),"X",$B25)</f>
        <v/>
      </c>
      <c r="H25" s="67" t="str">
        <f>IF(ISTEXT(VLOOKUP(CONCATENATE($A25,"_",H$3),'Unit List'!$A$23:$H$3172,2,FALSE)),"X",$B25)</f>
        <v>X</v>
      </c>
      <c r="I25" s="53" t="str">
        <f>IF(ISTEXT(VLOOKUP(CONCATENATE($A25,"_",I$3),'Unit List'!$A$23:$H$3172,2,FALSE)),"X",$B25)</f>
        <v/>
      </c>
      <c r="J25" s="172" t="str">
        <f>IF(ISTEXT(VLOOKUP(CONCATENATE($A25,"_",J$3),'Unit List'!$A$23:$H$3172,2,FALSE)),"+","")</f>
        <v/>
      </c>
      <c r="K25" s="51" t="str">
        <f>IF(ISTEXT(VLOOKUP(CONCATENATE($A25,"_",K$3),'Unit List'!$A$23:$H$3172,2,FALSE)),"X",$J25)</f>
        <v/>
      </c>
      <c r="L25" s="62" t="str">
        <f>IF(ISTEXT(VLOOKUP(CONCATENATE($A25,"_",L$3),'Unit List'!$A$23:$H$3172,2,FALSE)),"X",$J25)</f>
        <v/>
      </c>
      <c r="M25" s="172" t="str">
        <f>IF(ISTEXT(VLOOKUP(CONCATENATE($A25,"_",M$3),'Unit List'!$A$23:$H$3172,2,FALSE)),"+","")</f>
        <v/>
      </c>
      <c r="N25" s="51" t="str">
        <f>IF(ISTEXT(VLOOKUP(CONCATENATE($A25,"_",N$3),'Unit List'!$A$23:$H$3172,2,FALSE)),"X",$M25)</f>
        <v/>
      </c>
      <c r="O25" s="53" t="str">
        <f>IF(ISTEXT(VLOOKUP(CONCATENATE($A25,"_",O$3),'Unit List'!$A$23:$H$3172,2,FALSE)),"X",$M25)</f>
        <v/>
      </c>
      <c r="P25" s="172" t="str">
        <f>IF(ISTEXT(VLOOKUP(CONCATENATE($A25,"_",P$3),'Unit List'!$A$23:$H$3172,2,FALSE)),"+","")</f>
        <v/>
      </c>
      <c r="Q25" s="51" t="str">
        <f>IF(ISTEXT(VLOOKUP(CONCATENATE($A25,"_",Q$3),'Unit List'!$A$23:$H$3172,2,FALSE)),"X",$P25)</f>
        <v/>
      </c>
      <c r="R25" s="51" t="str">
        <f>IF(ISTEXT(VLOOKUP(CONCATENATE($A25,"_",R$3),'Unit List'!$A$23:$H$3172,2,FALSE)),"X",$P25)</f>
        <v/>
      </c>
      <c r="S25" s="51" t="str">
        <f>IF(ISTEXT(VLOOKUP(CONCATENATE($A25,"_",S$3),'Unit List'!$A$23:$H$3172,2,FALSE)),"X",$P25)</f>
        <v/>
      </c>
      <c r="T25" s="52" t="str">
        <f>IF(ISTEXT(VLOOKUP(CONCATENATE($A25,"_",T$3),'Unit List'!$A$23:$H$3172,2,FALSE)),"X",$P25)</f>
        <v/>
      </c>
      <c r="U25" s="51" t="str">
        <f>IF(ISTEXT(VLOOKUP(CONCATENATE($A25,"_",U$3),'Unit List'!$A$23:$H$3172,2,FALSE)),"X",$P25)</f>
        <v/>
      </c>
      <c r="V25" s="51" t="str">
        <f>IF(ISTEXT(VLOOKUP(CONCATENATE($A25,"_",V$3),'Unit List'!$A$23:$H$3172,2,FALSE)),"X",$P25)</f>
        <v/>
      </c>
      <c r="W25" s="53" t="str">
        <f>IF(ISTEXT(VLOOKUP(CONCATENATE($A25,"_",W$3),'Unit List'!$A$23:$H$3172,2,FALSE)),"X",$P25)</f>
        <v/>
      </c>
      <c r="X25" s="172" t="str">
        <f>IF(ISTEXT(VLOOKUP(CONCATENATE($A25,"_",X$3),'Unit List'!$A$23:$H$3172,2,FALSE)),"+","")</f>
        <v/>
      </c>
      <c r="Y25" s="51" t="str">
        <f>IF(ISTEXT(VLOOKUP(CONCATENATE($A25,"_",Y$3),'Unit List'!$A$23:$H$3172,2,FALSE)),"X",$X25)</f>
        <v/>
      </c>
      <c r="Z25" s="51" t="str">
        <f>IF(ISTEXT(VLOOKUP(CONCATENATE($A25,"_",Z$3),'Unit List'!$A$23:$H$3172,2,FALSE)),"X",$X25)</f>
        <v/>
      </c>
      <c r="AA25" s="51" t="str">
        <f>IF(ISTEXT(VLOOKUP(CONCATENATE($A25,"_",AA$3),'Unit List'!$A$23:$H$3172,2,FALSE)),"X",$X25)</f>
        <v/>
      </c>
      <c r="AB25" s="51" t="str">
        <f>IF(ISTEXT(VLOOKUP(CONCATENATE($A25,"_",AB$3),'Unit List'!$A$23:$H$3172,2,FALSE)),"X",$X25)</f>
        <v/>
      </c>
      <c r="AC25" s="62" t="str">
        <f>IF(ISTEXT(VLOOKUP(CONCATENATE($A25,"_",AC$3),'Unit List'!$A$23:$H$3172,2,FALSE)),"X",$X25)</f>
        <v/>
      </c>
      <c r="AD25" s="172" t="str">
        <f>IF(ISTEXT(VLOOKUP(CONCATENATE($A25,"_",AD$3),'Unit List'!$A$23:$H$3172,2,FALSE)),"+","")</f>
        <v/>
      </c>
      <c r="AE25" s="51" t="str">
        <f>IF(ISTEXT(VLOOKUP(CONCATENATE($A25,"_",AE$3),'Unit List'!$A$23:$H$3172,2,FALSE)),"X",$AD25)</f>
        <v/>
      </c>
      <c r="AF25" s="51" t="str">
        <f>IF(ISTEXT(VLOOKUP(CONCATENATE($A25,"_",AF$3),'Unit List'!$A$23:$H$3172,2,FALSE)),"X",$AD25)</f>
        <v/>
      </c>
      <c r="AG25" s="172" t="str">
        <f>IF(ISTEXT(VLOOKUP(CONCATENATE($A25,"_",AG$3),'Unit List'!$A$23:$H$3172,2,FALSE)),"+","")</f>
        <v/>
      </c>
      <c r="AH25" s="83" t="str">
        <f>IF(ISTEXT(VLOOKUP(CONCATENATE($A25,"_",AH$3),'Unit List'!$A$23:$H$3172,2,FALSE)),"X",$AG25)</f>
        <v/>
      </c>
      <c r="AI25" s="83" t="str">
        <f>IF(ISTEXT(VLOOKUP(CONCATENATE($A25,"_",AI$3),'Unit List'!$A$23:$H$3172,2,FALSE)),"X",$AG25)</f>
        <v/>
      </c>
      <c r="AJ25" s="53" t="str">
        <f>IF(ISTEXT(VLOOKUP(CONCATENATE($A25,"_",AJ$3),'Unit List'!$A$23:$H$3172,2,FALSE)),"X",$AG25)</f>
        <v/>
      </c>
      <c r="AK25" s="172" t="str">
        <f>IF(ISTEXT(VLOOKUP(CONCATENATE($A25,"_",AK$3),'Unit List'!$A$23:$H$3172,2,FALSE)),"+","")</f>
        <v/>
      </c>
      <c r="AL25" s="52" t="str">
        <f>IF(ISTEXT(VLOOKUP(CONCATENATE($A25,"_",AL$3),'Unit List'!$A$23:$H$3172,2,FALSE)),"X",$AK25)</f>
        <v/>
      </c>
      <c r="AM25" s="53" t="str">
        <f>IF(ISTEXT(VLOOKUP(CONCATENATE($A25,"_",AM$3),'Unit List'!$A$23:$H$3172,2,FALSE)),"X",$AK25)</f>
        <v/>
      </c>
      <c r="AN25" s="125" t="str">
        <f>IF(ISTEXT(VLOOKUP(CONCATENATE($A25,"_",AN$3),'Unit List'!$A$23:$H$3172,2,FALSE)),"+","")</f>
        <v/>
      </c>
      <c r="AO25" s="53" t="str">
        <f>IF(ISTEXT(VLOOKUP(CONCATENATE($A25,"_",AO$3),'Unit List'!$A$23:$H$3172,2,FALSE)),"X",$AN25)</f>
        <v/>
      </c>
      <c r="AP25" s="172" t="str">
        <f>IF(ISTEXT(VLOOKUP(CONCATENATE($A25,"_",AP$3),'Unit List'!$A$23:$H$3172,2,FALSE)),"+","")</f>
        <v/>
      </c>
      <c r="AQ25" s="51" t="str">
        <f>IF(ISTEXT(VLOOKUP(CONCATENATE($A25,"_",AQ$3),'Unit List'!$A$23:$H$3172,2,FALSE)),"X",$AP25)</f>
        <v/>
      </c>
      <c r="AR25" s="51" t="str">
        <f>IF(ISTEXT(VLOOKUP(CONCATENATE($A25,"_",AR$3),'Unit List'!$A$23:$H$3172,2,FALSE)),"X",$AP25)</f>
        <v/>
      </c>
      <c r="AS25" s="51" t="str">
        <f>IF(ISTEXT(VLOOKUP(CONCATENATE($A25,"_",AS$3),'Unit List'!$A$23:$H$3172,2,FALSE)),"X",$AP25)</f>
        <v/>
      </c>
      <c r="AT25" s="53" t="str">
        <f>IF(ISTEXT(VLOOKUP(CONCATENATE($A25,"_",AT$3),'Unit List'!$A$23:$H$3172,2,FALSE)),"X",$AP25)</f>
        <v/>
      </c>
      <c r="AU25" s="124" t="str">
        <f>IF(ISTEXT(VLOOKUP(CONCATENATE($A25,"_",AU$3),'Unit List'!$A$23:$H$3172,2,FALSE)),"+","")</f>
        <v/>
      </c>
      <c r="AV25" s="51" t="str">
        <f>IF(ISTEXT(VLOOKUP(CONCATENATE($A25,"_",AV$3),'Unit List'!$A$23:$H$3172,2,FALSE)),"X",$AU25)</f>
        <v/>
      </c>
      <c r="AW25" s="53" t="str">
        <f>IF(ISTEXT(VLOOKUP(CONCATENATE($A25,"_",AW$3),'Unit List'!$A$23:$H$3172,2,FALSE)),"X",$AU25)</f>
        <v/>
      </c>
      <c r="AX25" s="172" t="str">
        <f>IF(ISTEXT(VLOOKUP(CONCATENATE($A25,"_",AX$3),'Unit List'!$A$23:$H$3172,2,FALSE)),"+","")</f>
        <v/>
      </c>
      <c r="AY25" s="51" t="str">
        <f>IF(ISTEXT(VLOOKUP(CONCATENATE($A25,"_",AY$3),'Unit List'!$A$23:$H$3172,2,FALSE)),"X",$AX25)</f>
        <v/>
      </c>
      <c r="AZ25" s="53" t="str">
        <f>IF(ISTEXT(VLOOKUP(CONCATENATE($A25,"_",AZ$3),'Unit List'!$A$23:$H$3172,2,FALSE)),"X",$AX25)</f>
        <v/>
      </c>
      <c r="BA25" s="182" t="str">
        <f>IF(ISTEXT(VLOOKUP(CONCATENATE($A25,"_",BA$3),'Unit List'!$A$23:$H$3172,2,FALSE)),"+","")</f>
        <v/>
      </c>
      <c r="BB25" s="51" t="str">
        <f>IF(ISTEXT(VLOOKUP(CONCATENATE($A25,"_",BB$3),'Unit List'!$A$23:$H$3172,2,FALSE)),"X",$BA25)</f>
        <v/>
      </c>
      <c r="BC25" s="51" t="str">
        <f>IF(ISTEXT(VLOOKUP(CONCATENATE($A25,"_",BC$3),'Unit List'!$A$23:$H$3172,2,FALSE)),"X",$BA25)</f>
        <v/>
      </c>
      <c r="BD25" s="53" t="str">
        <f>IF(ISTEXT(VLOOKUP(CONCATENATE($A25,"_",BD$3),'Unit List'!$A$23:$H$3172,2,FALSE)),"X",$BA25)</f>
        <v/>
      </c>
      <c r="BE25" s="125" t="str">
        <f>IF(ISTEXT(VLOOKUP(CONCATENATE($A25,"_",BE$3),'Unit List'!$A$23:$H$3172,2,FALSE)),"+","")</f>
        <v/>
      </c>
      <c r="BF25" s="62" t="str">
        <f>IF(ISTEXT(VLOOKUP(CONCATENATE($A25,"_",BF$3),'Unit List'!$A$23:$H$3172,2,FALSE)),"X",$BE25)</f>
        <v/>
      </c>
      <c r="BG25" s="64"/>
      <c r="BH25" s="65" t="s">
        <v>0</v>
      </c>
      <c r="BI25" s="225"/>
      <c r="BJ25" s="226"/>
      <c r="BK25" s="226"/>
      <c r="BL25" s="226"/>
      <c r="BM25" s="227"/>
      <c r="BN25" s="54"/>
      <c r="BO25" s="54"/>
      <c r="BP25" s="54"/>
      <c r="BQ25" s="54"/>
      <c r="BR25" s="54"/>
      <c r="BS25" s="54"/>
      <c r="DZ25" s="55"/>
      <c r="EA25" s="55"/>
    </row>
    <row r="26" spans="1:131" ht="12.75" customHeight="1" x14ac:dyDescent="0.2">
      <c r="A26" s="56" t="s">
        <v>1107</v>
      </c>
      <c r="B26" s="181" t="str">
        <f>IF(ISTEXT(VLOOKUP(CONCATENATE($A26,"_",B$3),'Unit List'!$A$23:$H$3172,2,FALSE)),"+","")</f>
        <v/>
      </c>
      <c r="C26" s="82" t="str">
        <f>IF(ISTEXT(VLOOKUP(CONCATENATE($A26,"_",C$3),'Unit List'!$A$23:$H$3172,2,FALSE)),"X",$B26)</f>
        <v>X</v>
      </c>
      <c r="D26" s="51" t="str">
        <f>IF(ISTEXT(VLOOKUP(CONCATENATE($A26,"_",D$3),'Unit List'!$A$23:$H$3172,2,FALSE)),"X",$B26)</f>
        <v>X</v>
      </c>
      <c r="E26" s="51" t="str">
        <f>IF(ISTEXT(VLOOKUP(CONCATENATE($A26,"_",E$3),'Unit List'!$A$23:$H$3172,2,FALSE)),"X",$B26)</f>
        <v>X</v>
      </c>
      <c r="F26" s="67" t="str">
        <f>IF(ISTEXT(VLOOKUP(CONCATENATE($A26,"_",F$3),'Unit List'!$A$23:$H$3172,2,FALSE)),"X",$B26)</f>
        <v>X</v>
      </c>
      <c r="G26" s="67" t="str">
        <f>IF(ISTEXT(VLOOKUP(CONCATENATE($A26,"_",G$3),'Unit List'!$A$23:$H$3172,2,FALSE)),"X",$B26)</f>
        <v>X</v>
      </c>
      <c r="H26" s="67" t="str">
        <f>IF(ISTEXT(VLOOKUP(CONCATENATE($A26,"_",H$3),'Unit List'!$A$23:$H$3172,2,FALSE)),"X",$B26)</f>
        <v>X</v>
      </c>
      <c r="I26" s="70" t="str">
        <f>IF(ISTEXT(VLOOKUP(CONCATENATE($A26,"_",I$3),'Unit List'!$A$23:$H$3172,2,FALSE)),"X",$B26)</f>
        <v>X</v>
      </c>
      <c r="J26" s="172" t="str">
        <f>IF(ISTEXT(VLOOKUP(CONCATENATE($A26,"_",J$3),'Unit List'!$A$23:$H$3172,2,FALSE)),"+","")</f>
        <v/>
      </c>
      <c r="K26" s="51" t="str">
        <f>IF(ISTEXT(VLOOKUP(CONCATENATE($A26,"_",K$3),'Unit List'!$A$23:$H$3172,2,FALSE)),"X",$J26)</f>
        <v/>
      </c>
      <c r="L26" s="62" t="str">
        <f>IF(ISTEXT(VLOOKUP(CONCATENATE($A26,"_",L$3),'Unit List'!$A$23:$H$3172,2,FALSE)),"X",$J26)</f>
        <v>X</v>
      </c>
      <c r="M26" s="172" t="str">
        <f>IF(ISTEXT(VLOOKUP(CONCATENATE($A26,"_",M$3),'Unit List'!$A$23:$H$3172,2,FALSE)),"+","")</f>
        <v>+</v>
      </c>
      <c r="N26" s="51" t="str">
        <f>IF(ISTEXT(VLOOKUP(CONCATENATE($A26,"_",N$3),'Unit List'!$A$23:$H$3172,2,FALSE)),"X",$M26)</f>
        <v>X</v>
      </c>
      <c r="O26" s="53" t="str">
        <f>IF(ISTEXT(VLOOKUP(CONCATENATE($A26,"_",O$3),'Unit List'!$A$23:$H$3172,2,FALSE)),"X",$M26)</f>
        <v>X</v>
      </c>
      <c r="P26" s="172" t="str">
        <f>IF(ISTEXT(VLOOKUP(CONCATENATE($A26,"_",P$3),'Unit List'!$A$23:$H$3172,2,FALSE)),"+","")</f>
        <v/>
      </c>
      <c r="Q26" s="51" t="str">
        <f>IF(ISTEXT(VLOOKUP(CONCATENATE($A26,"_",Q$3),'Unit List'!$A$23:$H$3172,2,FALSE)),"X",$P26)</f>
        <v/>
      </c>
      <c r="R26" s="51" t="str">
        <f>IF(ISTEXT(VLOOKUP(CONCATENATE($A26,"_",R$3),'Unit List'!$A$23:$H$3172,2,FALSE)),"X",$P26)</f>
        <v/>
      </c>
      <c r="S26" s="67" t="str">
        <f>IF(ISTEXT(VLOOKUP(CONCATENATE($A26,"_",S$3),'Unit List'!$A$23:$H$3172,2,FALSE)),"X",$P26)</f>
        <v>X</v>
      </c>
      <c r="T26" s="52" t="str">
        <f>IF(ISTEXT(VLOOKUP(CONCATENATE($A26,"_",T$3),'Unit List'!$A$23:$H$3172,2,FALSE)),"X",$P26)</f>
        <v/>
      </c>
      <c r="U26" s="67" t="str">
        <f>IF(ISTEXT(VLOOKUP(CONCATENATE($A26,"_",U$3),'Unit List'!$A$23:$H$3172,2,FALSE)),"X",$P26)</f>
        <v>X</v>
      </c>
      <c r="V26" s="67" t="str">
        <f>IF(ISTEXT(VLOOKUP(CONCATENATE($A26,"_",V$3),'Unit List'!$A$23:$H$3172,2,FALSE)),"X",$P26)</f>
        <v>X</v>
      </c>
      <c r="W26" s="53" t="str">
        <f>IF(ISTEXT(VLOOKUP(CONCATENATE($A26,"_",W$3),'Unit List'!$A$23:$H$3172,2,FALSE)),"X",$P26)</f>
        <v/>
      </c>
      <c r="X26" s="172" t="str">
        <f>IF(ISTEXT(VLOOKUP(CONCATENATE($A26,"_",X$3),'Unit List'!$A$23:$H$3172,2,FALSE)),"+","")</f>
        <v>+</v>
      </c>
      <c r="Y26" s="69" t="str">
        <f>IF(ISTEXT(VLOOKUP(CONCATENATE($A26,"_",Y$3),'Unit List'!$A$23:$H$3172,2,FALSE)),"X",$X26)</f>
        <v>X</v>
      </c>
      <c r="Z26" s="51" t="str">
        <f>IF(ISTEXT(VLOOKUP(CONCATENATE($A26,"_",Z$3),'Unit List'!$A$23:$H$3172,2,FALSE)),"X",$X26)</f>
        <v>+</v>
      </c>
      <c r="AA26" s="51" t="str">
        <f>IF(ISTEXT(VLOOKUP(CONCATENATE($A26,"_",AA$3),'Unit List'!$A$23:$H$3172,2,FALSE)),"X",$X26)</f>
        <v>X</v>
      </c>
      <c r="AB26" s="51" t="str">
        <f>IF(ISTEXT(VLOOKUP(CONCATENATE($A26,"_",AB$3),'Unit List'!$A$23:$H$3172,2,FALSE)),"X",$X26)</f>
        <v>X</v>
      </c>
      <c r="AC26" s="62" t="str">
        <f>IF(ISTEXT(VLOOKUP(CONCATENATE($A26,"_",AC$3),'Unit List'!$A$23:$H$3172,2,FALSE)),"X",$X26)</f>
        <v>+</v>
      </c>
      <c r="AD26" s="172" t="str">
        <f>IF(ISTEXT(VLOOKUP(CONCATENATE($A26,"_",AD$3),'Unit List'!$A$23:$H$3172,2,FALSE)),"+","")</f>
        <v>+</v>
      </c>
      <c r="AE26" s="51" t="str">
        <f>IF(ISTEXT(VLOOKUP(CONCATENATE($A26,"_",AE$3),'Unit List'!$A$23:$H$3172,2,FALSE)),"X",$AD26)</f>
        <v>+</v>
      </c>
      <c r="AF26" s="51" t="str">
        <f>IF(ISTEXT(VLOOKUP(CONCATENATE($A26,"_",AF$3),'Unit List'!$A$23:$H$3172,2,FALSE)),"X",$AD26)</f>
        <v>+</v>
      </c>
      <c r="AG26" s="172" t="str">
        <f>IF(ISTEXT(VLOOKUP(CONCATENATE($A26,"_",AG$3),'Unit List'!$A$23:$H$3172,2,FALSE)),"+","")</f>
        <v>+</v>
      </c>
      <c r="AH26" s="51" t="str">
        <f>IF(ISTEXT(VLOOKUP(CONCATENATE($A26,"_",AH$3),'Unit List'!$A$23:$H$3172,2,FALSE)),"X",$AG26)</f>
        <v>X</v>
      </c>
      <c r="AI26" s="51" t="str">
        <f>IF(ISTEXT(VLOOKUP(CONCATENATE($A26,"_",AI$3),'Unit List'!$A$23:$H$3172,2,FALSE)),"X",$AG26)</f>
        <v>+</v>
      </c>
      <c r="AJ26" s="53" t="str">
        <f>IF(ISTEXT(VLOOKUP(CONCATENATE($A26,"_",AJ$3),'Unit List'!$A$23:$H$3172,2,FALSE)),"X",$AG26)</f>
        <v>X</v>
      </c>
      <c r="AK26" s="172" t="str">
        <f>IF(ISTEXT(VLOOKUP(CONCATENATE($A26,"_",AK$3),'Unit List'!$A$23:$H$3172,2,FALSE)),"+","")</f>
        <v/>
      </c>
      <c r="AL26" s="52" t="str">
        <f>IF(ISTEXT(VLOOKUP(CONCATENATE($A26,"_",AL$3),'Unit List'!$A$23:$H$3172,2,FALSE)),"X",$AK26)</f>
        <v/>
      </c>
      <c r="AM26" s="53" t="str">
        <f>IF(ISTEXT(VLOOKUP(CONCATENATE($A26,"_",AM$3),'Unit List'!$A$23:$H$3172,2,FALSE)),"X",$AK26)</f>
        <v/>
      </c>
      <c r="AN26" s="125" t="str">
        <f>IF(ISTEXT(VLOOKUP(CONCATENATE($A26,"_",AN$3),'Unit List'!$A$23:$H$3172,2,FALSE)),"+","")</f>
        <v>+</v>
      </c>
      <c r="AO26" s="53" t="str">
        <f>IF(ISTEXT(VLOOKUP(CONCATENATE($A26,"_",AO$3),'Unit List'!$A$23:$H$3172,2,FALSE)),"X",$AN26)</f>
        <v>X</v>
      </c>
      <c r="AP26" s="172" t="str">
        <f>IF(ISTEXT(VLOOKUP(CONCATENATE($A26,"_",AP$3),'Unit List'!$A$23:$H$3172,2,FALSE)),"+","")</f>
        <v>+</v>
      </c>
      <c r="AQ26" s="51" t="str">
        <f>IF(ISTEXT(VLOOKUP(CONCATENATE($A26,"_",AQ$3),'Unit List'!$A$23:$H$3172,2,FALSE)),"X",$AP26)</f>
        <v>+</v>
      </c>
      <c r="AR26" s="67" t="str">
        <f>IF(ISTEXT(VLOOKUP(CONCATENATE($A26,"_",AR$3),'Unit List'!$A$23:$H$3172,2,FALSE)),"X",$AP26)</f>
        <v>X</v>
      </c>
      <c r="AS26" s="51" t="str">
        <f>IF(ISTEXT(VLOOKUP(CONCATENATE($A26,"_",AS$3),'Unit List'!$A$23:$H$3172,2,FALSE)),"X",$AP26)</f>
        <v>+</v>
      </c>
      <c r="AT26" s="53" t="str">
        <f>IF(ISTEXT(VLOOKUP(CONCATENATE($A26,"_",AT$3),'Unit List'!$A$23:$H$3172,2,FALSE)),"X",$AP26)</f>
        <v>+</v>
      </c>
      <c r="AU26" s="124" t="str">
        <f>IF(ISTEXT(VLOOKUP(CONCATENATE($A26,"_",AU$3),'Unit List'!$A$23:$H$3172,2,FALSE)),"+","")</f>
        <v>+</v>
      </c>
      <c r="AV26" s="51" t="str">
        <f>IF(ISTEXT(VLOOKUP(CONCATENATE($A26,"_",AV$3),'Unit List'!$A$23:$H$3172,2,FALSE)),"X",$AU26)</f>
        <v>+</v>
      </c>
      <c r="AW26" s="53" t="str">
        <f>IF(ISTEXT(VLOOKUP(CONCATENATE($A26,"_",AW$3),'Unit List'!$A$23:$H$3172,2,FALSE)),"X",$AU26)</f>
        <v>+</v>
      </c>
      <c r="AX26" s="172" t="str">
        <f>IF(ISTEXT(VLOOKUP(CONCATENATE($A26,"_",AX$3),'Unit List'!$A$23:$H$3172,2,FALSE)),"+","")</f>
        <v>+</v>
      </c>
      <c r="AY26" s="51" t="str">
        <f>IF(ISTEXT(VLOOKUP(CONCATENATE($A26,"_",AY$3),'Unit List'!$A$23:$H$3172,2,FALSE)),"X",$AX26)</f>
        <v>+</v>
      </c>
      <c r="AZ26" s="53" t="str">
        <f>IF(ISTEXT(VLOOKUP(CONCATENATE($A26,"_",AZ$3),'Unit List'!$A$23:$H$3172,2,FALSE)),"X",$AX26)</f>
        <v>+</v>
      </c>
      <c r="BA26" s="182" t="str">
        <f>IF(ISTEXT(VLOOKUP(CONCATENATE($A26,"_",BA$3),'Unit List'!$A$23:$H$3172,2,FALSE)),"+","")</f>
        <v>+</v>
      </c>
      <c r="BB26" s="51" t="str">
        <f>IF(ISTEXT(VLOOKUP(CONCATENATE($A26,"_",BB$3),'Unit List'!$A$23:$H$3172,2,FALSE)),"X",$BA26)</f>
        <v>X</v>
      </c>
      <c r="BC26" s="51" t="str">
        <f>IF(ISTEXT(VLOOKUP(CONCATENATE($A26,"_",BC$3),'Unit List'!$A$23:$H$3172,2,FALSE)),"X",$BA26)</f>
        <v>+</v>
      </c>
      <c r="BD26" s="53" t="str">
        <f>IF(ISTEXT(VLOOKUP(CONCATENATE($A26,"_",BD$3),'Unit List'!$A$23:$H$3172,2,FALSE)),"X",$BA26)</f>
        <v>+</v>
      </c>
      <c r="BE26" s="125" t="str">
        <f>IF(ISTEXT(VLOOKUP(CONCATENATE($A26,"_",BE$3),'Unit List'!$A$23:$H$3172,2,FALSE)),"+","")</f>
        <v>+</v>
      </c>
      <c r="BF26" s="62" t="str">
        <f>IF(ISTEXT(VLOOKUP(CONCATENATE($A26,"_",BF$3),'Unit List'!$A$23:$H$3172,2,FALSE)),"X",$BE26)</f>
        <v>+</v>
      </c>
      <c r="BG26" s="64"/>
      <c r="BH26" s="65" t="s">
        <v>0</v>
      </c>
      <c r="BI26" s="225"/>
      <c r="BJ26" s="226"/>
      <c r="BK26" s="226"/>
      <c r="BL26" s="226"/>
      <c r="BM26" s="227"/>
      <c r="BN26" s="54"/>
      <c r="BO26" s="54"/>
      <c r="BP26" s="54"/>
      <c r="BQ26" s="54"/>
      <c r="BR26" s="54"/>
      <c r="BS26" s="54"/>
      <c r="DZ26" s="55"/>
      <c r="EA26" s="55"/>
    </row>
    <row r="27" spans="1:131" ht="12.75" customHeight="1" x14ac:dyDescent="0.2">
      <c r="A27" s="56" t="s">
        <v>30</v>
      </c>
      <c r="B27" s="181" t="str">
        <f>IF(ISTEXT(VLOOKUP(CONCATENATE($A27,"_",B$3),'Unit List'!$A$23:$H$3172,2,FALSE)),"+","")</f>
        <v/>
      </c>
      <c r="C27" s="93" t="str">
        <f>IF(ISTEXT(VLOOKUP(CONCATENATE($A27,"_",C$3),'Unit List'!$A$23:$H$3172,2,FALSE)),"X",$B27)</f>
        <v/>
      </c>
      <c r="D27" s="60" t="str">
        <f>IF(ISTEXT(VLOOKUP(CONCATENATE($A27,"_",D$3),'Unit List'!$A$23:$H$3172,2,FALSE)),"X",$B27)</f>
        <v/>
      </c>
      <c r="E27" s="51" t="str">
        <f>IF(ISTEXT(VLOOKUP(CONCATENATE($A27,"_",E$3),'Unit List'!$A$23:$H$3172,2,FALSE)),"X",$B27)</f>
        <v/>
      </c>
      <c r="F27" s="67" t="str">
        <f>IF(ISTEXT(VLOOKUP(CONCATENATE($A27,"_",F$3),'Unit List'!$A$23:$H$3172,2,FALSE)),"X",$B27)</f>
        <v>X</v>
      </c>
      <c r="G27" s="67" t="str">
        <f>IF(ISTEXT(VLOOKUP(CONCATENATE($A27,"_",G$3),'Unit List'!$A$23:$H$3172,2,FALSE)),"X",$B27)</f>
        <v>X</v>
      </c>
      <c r="H27" s="67" t="str">
        <f>IF(ISTEXT(VLOOKUP(CONCATENATE($A27,"_",H$3),'Unit List'!$A$23:$H$3172,2,FALSE)),"X",$B27)</f>
        <v>X</v>
      </c>
      <c r="I27" s="53" t="str">
        <f>IF(ISTEXT(VLOOKUP(CONCATENATE($A27,"_",I$3),'Unit List'!$A$23:$H$3172,2,FALSE)),"X",$B27)</f>
        <v/>
      </c>
      <c r="J27" s="172" t="str">
        <f>IF(ISTEXT(VLOOKUP(CONCATENATE($A27,"_",J$3),'Unit List'!$A$23:$H$3172,2,FALSE)),"+","")</f>
        <v>+</v>
      </c>
      <c r="K27" s="94" t="str">
        <f>IF(ISTEXT(VLOOKUP(CONCATENATE($A27,"_",K$3),'Unit List'!$A$23:$H$3172,2,FALSE)),"X",$J27)</f>
        <v>+</v>
      </c>
      <c r="L27" s="68" t="str">
        <f>IF(ISTEXT(VLOOKUP(CONCATENATE($A27,"_",L$3),'Unit List'!$A$23:$H$3172,2,FALSE)),"X",$J27)</f>
        <v>+</v>
      </c>
      <c r="M27" s="172" t="str">
        <f>IF(ISTEXT(VLOOKUP(CONCATENATE($A27,"_",M$3),'Unit List'!$A$23:$H$3172,2,FALSE)),"+","")</f>
        <v>+</v>
      </c>
      <c r="N27" s="51" t="str">
        <f>IF(ISTEXT(VLOOKUP(CONCATENATE($A27,"_",N$3),'Unit List'!$A$23:$H$3172,2,FALSE)),"X",$M27)</f>
        <v>+</v>
      </c>
      <c r="O27" s="70" t="str">
        <f>IF(ISTEXT(VLOOKUP(CONCATENATE($A27,"_",O$3),'Unit List'!$A$23:$H$3172,2,FALSE)),"X",$M27)</f>
        <v>X</v>
      </c>
      <c r="P27" s="171" t="str">
        <f>IF(ISTEXT(VLOOKUP(CONCATENATE($A27,"_",P$3),'Unit List'!$A$23:$H$3172,2,FALSE)),"+","")</f>
        <v>+</v>
      </c>
      <c r="Q27" s="51" t="str">
        <f>IF(ISTEXT(VLOOKUP(CONCATENATE($A27,"_",Q$3),'Unit List'!$A$23:$H$3172,2,FALSE)),"X",$P27)</f>
        <v>+</v>
      </c>
      <c r="R27" s="89" t="s">
        <v>0</v>
      </c>
      <c r="S27" s="72" t="s">
        <v>0</v>
      </c>
      <c r="T27" s="52" t="str">
        <f>IF(ISTEXT(VLOOKUP(CONCATENATE($A27,"_",T$3),'Unit List'!$A$23:$H$3172,2,FALSE)),"X",$P27)</f>
        <v>+</v>
      </c>
      <c r="U27" s="67" t="str">
        <f>IF(ISTEXT(VLOOKUP(CONCATENATE($A27,"_",U$3),'Unit List'!$A$23:$H$3172,2,FALSE)),"X",$P27)</f>
        <v>X</v>
      </c>
      <c r="V27" s="67" t="str">
        <f>IF(ISTEXT(VLOOKUP(CONCATENATE($A27,"_",V$3),'Unit List'!$A$23:$H$3172,2,FALSE)),"X",$P27)</f>
        <v>X</v>
      </c>
      <c r="W27" s="53" t="str">
        <f>IF(ISTEXT(VLOOKUP(CONCATENATE($A27,"_",W$3),'Unit List'!$A$23:$H$3172,2,FALSE)),"X",$P27)</f>
        <v>+</v>
      </c>
      <c r="X27" s="171" t="str">
        <f>IF(ISTEXT(VLOOKUP(CONCATENATE($A27,"_",X$3),'Unit List'!$A$23:$H$3172,2,FALSE)),"+","")</f>
        <v>+</v>
      </c>
      <c r="Y27" s="67" t="str">
        <f>IF(ISTEXT(VLOOKUP(CONCATENATE($A27,"_",Y$3),'Unit List'!$A$23:$H$3172,2,FALSE)),"X",$X27)</f>
        <v>X</v>
      </c>
      <c r="Z27" s="51" t="str">
        <f>IF(ISTEXT(VLOOKUP(CONCATENATE($A27,"_",Z$3),'Unit List'!$A$23:$H$3172,2,FALSE)),"X",$X27)</f>
        <v>+</v>
      </c>
      <c r="AA27" s="67" t="str">
        <f>IF(ISTEXT(VLOOKUP(CONCATENATE($A27,"_",AA$3),'Unit List'!$A$23:$H$3172,2,FALSE)),"X",$X27)</f>
        <v>X</v>
      </c>
      <c r="AB27" s="67" t="str">
        <f>IF(ISTEXT(VLOOKUP(CONCATENATE($A27,"_",AB$3),'Unit List'!$A$23:$H$3172,2,FALSE)),"X",$X27)</f>
        <v>X</v>
      </c>
      <c r="AC27" s="86" t="str">
        <f>IF(ISTEXT(VLOOKUP(CONCATENATE($A27,"_",AC$3),'Unit List'!$A$23:$H$3172,2,FALSE)),"X",$X27)</f>
        <v>X</v>
      </c>
      <c r="AD27" s="171" t="str">
        <f>IF(ISTEXT(VLOOKUP(CONCATENATE($A27,"_",AD$3),'Unit List'!$A$23:$H$3172,2,FALSE)),"+","")</f>
        <v/>
      </c>
      <c r="AE27" s="89" t="s">
        <v>0</v>
      </c>
      <c r="AF27" s="51" t="str">
        <f>IF(ISTEXT(VLOOKUP(CONCATENATE($A27,"_",AF$3),'Unit List'!$A$23:$H$3172,2,FALSE)),"X",$AD27)</f>
        <v/>
      </c>
      <c r="AG27" s="171" t="str">
        <f>IF(ISTEXT(VLOOKUP(CONCATENATE($A27,"_",AG$3),'Unit List'!$A$23:$H$3172,2,FALSE)),"+","")</f>
        <v>+</v>
      </c>
      <c r="AH27" s="67" t="str">
        <f>IF(ISTEXT(VLOOKUP(CONCATENATE($A27,"_",AH$3),'Unit List'!$A$23:$H$3172,2,FALSE)),"X",$AG27)</f>
        <v>X</v>
      </c>
      <c r="AI27" s="51" t="str">
        <f>IF(ISTEXT(VLOOKUP(CONCATENATE($A27,"_",AI$3),'Unit List'!$A$23:$H$3172,2,FALSE)),"X",$AG27)</f>
        <v>X</v>
      </c>
      <c r="AJ27" s="71" t="str">
        <f>IF(ISTEXT(VLOOKUP(CONCATENATE($A27,"_",AJ$3),'Unit List'!$A$23:$H$3172,2,FALSE)),"X",$AG27)</f>
        <v>+</v>
      </c>
      <c r="AK27" s="171" t="str">
        <f>IF(ISTEXT(VLOOKUP(CONCATENATE($A27,"_",AK$3),'Unit List'!$A$23:$H$3172,2,FALSE)),"+","")</f>
        <v>+</v>
      </c>
      <c r="AL27" s="52" t="str">
        <f>IF(ISTEXT(VLOOKUP(CONCATENATE($A27,"_",AL$3),'Unit List'!$A$23:$H$3172,2,FALSE)),"X",$AK27)</f>
        <v>+</v>
      </c>
      <c r="AM27" s="70" t="str">
        <f>IF(ISTEXT(VLOOKUP(CONCATENATE($A27,"_",AM$3),'Unit List'!$A$23:$H$3172,2,FALSE)),"X",$AK27)</f>
        <v>X</v>
      </c>
      <c r="AN27" s="125" t="str">
        <f>IF(ISTEXT(VLOOKUP(CONCATENATE($A27,"_",AN$3),'Unit List'!$A$23:$H$3172,2,FALSE)),"+","")</f>
        <v>+</v>
      </c>
      <c r="AO27" s="70" t="str">
        <f>IF(ISTEXT(VLOOKUP(CONCATENATE($A27,"_",AO$3),'Unit List'!$A$23:$H$3172,2,FALSE)),"X",$AN27)</f>
        <v>+</v>
      </c>
      <c r="AP27" s="171" t="str">
        <f>IF(ISTEXT(VLOOKUP(CONCATENATE($A27,"_",AP$3),'Unit List'!$A$23:$H$3172,2,FALSE)),"+","")</f>
        <v>+</v>
      </c>
      <c r="AQ27" s="67" t="str">
        <f>IF(ISTEXT(VLOOKUP(CONCATENATE($A27,"_",AQ$3),'Unit List'!$A$23:$H$3172,2,FALSE)),"X",$AP27)</f>
        <v>X</v>
      </c>
      <c r="AR27" s="67" t="str">
        <f>IF(ISTEXT(VLOOKUP(CONCATENATE($A27,"_",AR$3),'Unit List'!$A$23:$H$3172,2,FALSE)),"X",$AP27)</f>
        <v>X</v>
      </c>
      <c r="AS27" s="67" t="str">
        <f>IF(ISTEXT(VLOOKUP(CONCATENATE($A27,"_",AS$3),'Unit List'!$A$23:$H$3172,2,FALSE)),"X",$AP27)</f>
        <v>X</v>
      </c>
      <c r="AT27" s="70" t="str">
        <f>IF(ISTEXT(VLOOKUP(CONCATENATE($A27,"_",AT$3),'Unit List'!$A$23:$H$3172,2,FALSE)),"X",$AP27)</f>
        <v>X</v>
      </c>
      <c r="AU27" s="124" t="str">
        <f>IF(ISTEXT(VLOOKUP(CONCATENATE($A27,"_",AU$3),'Unit List'!$A$23:$H$3172,2,FALSE)),"+","")</f>
        <v>+</v>
      </c>
      <c r="AV27" s="69" t="str">
        <f>IF(ISTEXT(VLOOKUP(CONCATENATE($A27,"_",AV$3),'Unit List'!$A$23:$H$3172,2,FALSE)),"X",$AU27)</f>
        <v>+</v>
      </c>
      <c r="AW27" s="53" t="str">
        <f>IF(ISTEXT(VLOOKUP(CONCATENATE($A27,"_",AW$3),'Unit List'!$A$23:$H$3172,2,FALSE)),"X",$AU27)</f>
        <v>+</v>
      </c>
      <c r="AX27" s="172" t="str">
        <f>IF(ISTEXT(VLOOKUP(CONCATENATE($A27,"_",AX$3),'Unit List'!$A$23:$H$3172,2,FALSE)),"+","")</f>
        <v>+</v>
      </c>
      <c r="AY27" s="67" t="str">
        <f>IF(ISTEXT(VLOOKUP(CONCATENATE($A27,"_",AY$3),'Unit List'!$A$23:$H$3172,2,FALSE)),"X",$AX27)</f>
        <v>X</v>
      </c>
      <c r="AZ27" s="70" t="str">
        <f>IF(ISTEXT(VLOOKUP(CONCATENATE($A27,"_",AZ$3),'Unit List'!$A$23:$H$3172,2,FALSE)),"X",$AX27)</f>
        <v>+</v>
      </c>
      <c r="BA27" s="171" t="str">
        <f>IF(ISTEXT(VLOOKUP(CONCATENATE($A27,"_",BA$3),'Unit List'!$A$23:$H$3172,2,FALSE)),"+","")</f>
        <v>+</v>
      </c>
      <c r="BB27" s="67" t="str">
        <f>IF(ISTEXT(VLOOKUP(CONCATENATE($A27,"_",BB$3),'Unit List'!$A$23:$H$3172,2,FALSE)),"X",$BA27)</f>
        <v>X</v>
      </c>
      <c r="BC27" s="67" t="str">
        <f>IF(ISTEXT(VLOOKUP(CONCATENATE($A27,"_",BC$3),'Unit List'!$A$23:$H$3172,2,FALSE)),"X",$BA27)</f>
        <v>X</v>
      </c>
      <c r="BD27" s="70" t="str">
        <f>IF(ISTEXT(VLOOKUP(CONCATENATE($A27,"_",BD$3),'Unit List'!$A$23:$H$3172,2,FALSE)),"X",$BA27)</f>
        <v>X</v>
      </c>
      <c r="BE27" s="125" t="str">
        <f>IF(ISTEXT(VLOOKUP(CONCATENATE($A27,"_",BE$3),'Unit List'!$A$23:$H$3172,2,FALSE)),"+","")</f>
        <v>+</v>
      </c>
      <c r="BF27" s="62" t="str">
        <f>IF(ISTEXT(VLOOKUP(CONCATENATE($A27,"_",BF$3),'Unit List'!$A$23:$H$3172,2,FALSE)),"X",$BE27)</f>
        <v>+</v>
      </c>
      <c r="BG27" s="75"/>
      <c r="BH27" s="76" t="s">
        <v>0</v>
      </c>
      <c r="BI27" s="225" t="s">
        <v>12</v>
      </c>
      <c r="BJ27" s="228"/>
      <c r="BK27" s="228"/>
      <c r="BL27" s="228"/>
      <c r="BM27" s="229"/>
      <c r="BN27" s="54"/>
      <c r="BO27" s="54"/>
      <c r="BP27" s="54"/>
      <c r="BQ27" s="54"/>
      <c r="BR27" s="54"/>
      <c r="BS27" s="54"/>
      <c r="DZ27" s="55"/>
      <c r="EA27" s="55"/>
    </row>
    <row r="28" spans="1:131" ht="12.75" customHeight="1" x14ac:dyDescent="0.2">
      <c r="A28" s="56" t="s">
        <v>29</v>
      </c>
      <c r="B28" s="181" t="str">
        <f>IF(ISTEXT(VLOOKUP(CONCATENATE($A28,"_",B$3),'Unit List'!$A$23:$H$3172,2,FALSE)),"+","")</f>
        <v>+</v>
      </c>
      <c r="C28" s="57" t="str">
        <f>IF(ISTEXT(VLOOKUP(CONCATENATE($A28,"_",C$3),'Unit List'!$A$23:$H$3172,2,FALSE)),"X",$B28)</f>
        <v>X</v>
      </c>
      <c r="D28" s="51" t="str">
        <f>IF(ISTEXT(VLOOKUP(CONCATENATE($A28,"_",D$3),'Unit List'!$A$23:$H$3172,2,FALSE)),"X",$B28)</f>
        <v>X</v>
      </c>
      <c r="E28" s="51" t="str">
        <f>IF(ISTEXT(VLOOKUP(CONCATENATE($A28,"_",E$3),'Unit List'!$A$23:$H$3172,2,FALSE)),"X",$B28)</f>
        <v>X</v>
      </c>
      <c r="F28" s="60" t="str">
        <f>IF(ISTEXT(VLOOKUP(CONCATENATE($A28,"_",F$3),'Unit List'!$A$23:$H$3172,2,FALSE)),"X",$B28)</f>
        <v>X</v>
      </c>
      <c r="G28" s="51" t="str">
        <f>IF(ISTEXT(VLOOKUP(CONCATENATE($A28,"_",G$3),'Unit List'!$A$23:$H$3172,2,FALSE)),"X",$B28)</f>
        <v>X</v>
      </c>
      <c r="H28" s="51" t="str">
        <f>IF(ISTEXT(VLOOKUP(CONCATENATE($A28,"_",H$3),'Unit List'!$A$23:$H$3172,2,FALSE)),"X",$B28)</f>
        <v>X</v>
      </c>
      <c r="I28" s="53" t="str">
        <f>IF(ISTEXT(VLOOKUP(CONCATENATE($A28,"_",I$3),'Unit List'!$A$23:$H$3172,2,FALSE)),"X",$B28)</f>
        <v>+</v>
      </c>
      <c r="J28" s="172" t="str">
        <f>IF(ISTEXT(VLOOKUP(CONCATENATE($A28,"_",J$3),'Unit List'!$A$23:$H$3172,2,FALSE)),"+","")</f>
        <v/>
      </c>
      <c r="K28" s="51" t="str">
        <f>IF(ISTEXT(VLOOKUP(CONCATENATE($A28,"_",K$3),'Unit List'!$A$23:$H$3172,2,FALSE)),"X",$J28)</f>
        <v/>
      </c>
      <c r="L28" s="62" t="str">
        <f>IF(ISTEXT(VLOOKUP(CONCATENATE($A28,"_",L$3),'Unit List'!$A$23:$H$3172,2,FALSE)),"X",$J28)</f>
        <v/>
      </c>
      <c r="M28" s="172" t="str">
        <f>IF(ISTEXT(VLOOKUP(CONCATENATE($A28,"_",M$3),'Unit List'!$A$23:$H$3172,2,FALSE)),"+","")</f>
        <v>+</v>
      </c>
      <c r="N28" s="51" t="str">
        <f>IF(ISTEXT(VLOOKUP(CONCATENATE($A28,"_",N$3),'Unit List'!$A$23:$H$3172,2,FALSE)),"X",$M28)</f>
        <v>+</v>
      </c>
      <c r="O28" s="53" t="str">
        <f>IF(ISTEXT(VLOOKUP(CONCATENATE($A28,"_",O$3),'Unit List'!$A$23:$H$3172,2,FALSE)),"X",$M28)</f>
        <v>X</v>
      </c>
      <c r="P28" s="172" t="str">
        <f>IF(ISTEXT(VLOOKUP(CONCATENATE($A28,"_",P$3),'Unit List'!$A$23:$H$3172,2,FALSE)),"+","")</f>
        <v>+</v>
      </c>
      <c r="Q28" s="51" t="str">
        <f>IF(ISTEXT(VLOOKUP(CONCATENATE($A28,"_",Q$3),'Unit List'!$A$23:$H$3172,2,FALSE)),"X",$P28)</f>
        <v>+</v>
      </c>
      <c r="R28" s="51" t="str">
        <f>IF(ISTEXT(VLOOKUP(CONCATENATE($A28,"_",R$3),'Unit List'!$A$23:$H$3172,2,FALSE)),"X",$P28)</f>
        <v>+</v>
      </c>
      <c r="S28" s="51" t="str">
        <f>IF(ISTEXT(VLOOKUP(CONCATENATE($A28,"_",S$3),'Unit List'!$A$23:$H$3172,2,FALSE)),"X",$P28)</f>
        <v>+</v>
      </c>
      <c r="T28" s="52" t="str">
        <f>IF(ISTEXT(VLOOKUP(CONCATENATE($A28,"_",T$3),'Unit List'!$A$23:$H$3172,2,FALSE)),"X",$P28)</f>
        <v>+</v>
      </c>
      <c r="U28" s="51" t="str">
        <f>IF(ISTEXT(VLOOKUP(CONCATENATE($A28,"_",U$3),'Unit List'!$A$23:$H$3172,2,FALSE)),"X",$P28)</f>
        <v>X</v>
      </c>
      <c r="V28" s="51" t="str">
        <f>IF(ISTEXT(VLOOKUP(CONCATENATE($A28,"_",V$3),'Unit List'!$A$23:$H$3172,2,FALSE)),"X",$P28)</f>
        <v>X</v>
      </c>
      <c r="W28" s="53" t="str">
        <f>IF(ISTEXT(VLOOKUP(CONCATENATE($A28,"_",W$3),'Unit List'!$A$23:$H$3172,2,FALSE)),"X",$P28)</f>
        <v>+</v>
      </c>
      <c r="X28" s="172" t="str">
        <f>IF(ISTEXT(VLOOKUP(CONCATENATE($A28,"_",X$3),'Unit List'!$A$23:$H$3172,2,FALSE)),"+","")</f>
        <v/>
      </c>
      <c r="Y28" s="51" t="str">
        <f>IF(ISTEXT(VLOOKUP(CONCATENATE($A28,"_",Y$3),'Unit List'!$A$23:$H$3172,2,FALSE)),"X",$X28)</f>
        <v/>
      </c>
      <c r="Z28" s="51" t="str">
        <f>IF(ISTEXT(VLOOKUP(CONCATENATE($A28,"_",Z$3),'Unit List'!$A$23:$H$3172,2,FALSE)),"X",$X28)</f>
        <v/>
      </c>
      <c r="AA28" s="51" t="str">
        <f>IF(ISTEXT(VLOOKUP(CONCATENATE($A28,"_",AA$3),'Unit List'!$A$23:$H$3172,2,FALSE)),"X",$X28)</f>
        <v/>
      </c>
      <c r="AB28" s="51" t="str">
        <f>IF(ISTEXT(VLOOKUP(CONCATENATE($A28,"_",AB$3),'Unit List'!$A$23:$H$3172,2,FALSE)),"X",$X28)</f>
        <v/>
      </c>
      <c r="AC28" s="62" t="str">
        <f>IF(ISTEXT(VLOOKUP(CONCATENATE($A28,"_",AC$3),'Unit List'!$A$23:$H$3172,2,FALSE)),"X",$X28)</f>
        <v/>
      </c>
      <c r="AD28" s="172" t="str">
        <f>IF(ISTEXT(VLOOKUP(CONCATENATE($A28,"_",AD$3),'Unit List'!$A$23:$H$3172,2,FALSE)),"+","")</f>
        <v>+</v>
      </c>
      <c r="AE28" s="51" t="str">
        <f>IF(ISTEXT(VLOOKUP(CONCATENATE($A28,"_",AE$3),'Unit List'!$A$23:$H$3172,2,FALSE)),"X",$AD28)</f>
        <v>+</v>
      </c>
      <c r="AF28" s="51" t="str">
        <f>IF(ISTEXT(VLOOKUP(CONCATENATE($A28,"_",AF$3),'Unit List'!$A$23:$H$3172,2,FALSE)),"X",$AD28)</f>
        <v>+</v>
      </c>
      <c r="AG28" s="172" t="str">
        <f>IF(ISTEXT(VLOOKUP(CONCATENATE($A28,"_",AG$3),'Unit List'!$A$23:$H$3172,2,FALSE)),"+","")</f>
        <v/>
      </c>
      <c r="AH28" s="51" t="str">
        <f>IF(ISTEXT(VLOOKUP(CONCATENATE($A28,"_",AH$3),'Unit List'!$A$23:$H$3172,2,FALSE)),"X",$AG28)</f>
        <v/>
      </c>
      <c r="AI28" s="51" t="str">
        <f>IF(ISTEXT(VLOOKUP(CONCATENATE($A28,"_",AI$3),'Unit List'!$A$23:$H$3172,2,FALSE)),"X",$AG28)</f>
        <v/>
      </c>
      <c r="AJ28" s="53" t="str">
        <f>IF(ISTEXT(VLOOKUP(CONCATENATE($A28,"_",AJ$3),'Unit List'!$A$23:$H$3172,2,FALSE)),"X",$AG28)</f>
        <v/>
      </c>
      <c r="AK28" s="172" t="str">
        <f>IF(ISTEXT(VLOOKUP(CONCATENATE($A28,"_",AK$3),'Unit List'!$A$23:$H$3172,2,FALSE)),"+","")</f>
        <v>+</v>
      </c>
      <c r="AL28" s="52" t="str">
        <f>IF(ISTEXT(VLOOKUP(CONCATENATE($A28,"_",AL$3),'Unit List'!$A$23:$H$3172,2,FALSE)),"X",$AK28)</f>
        <v>+</v>
      </c>
      <c r="AM28" s="53" t="str">
        <f>IF(ISTEXT(VLOOKUP(CONCATENATE($A28,"_",AM$3),'Unit List'!$A$23:$H$3172,2,FALSE)),"X",$AK28)</f>
        <v>+</v>
      </c>
      <c r="AN28" s="125" t="str">
        <f>IF(ISTEXT(VLOOKUP(CONCATENATE($A28,"_",AN$3),'Unit List'!$A$23:$H$3172,2,FALSE)),"+","")</f>
        <v>+</v>
      </c>
      <c r="AO28" s="53" t="str">
        <f>IF(ISTEXT(VLOOKUP(CONCATENATE($A28,"_",AO$3),'Unit List'!$A$23:$H$3172,2,FALSE)),"X",$AN28)</f>
        <v>+</v>
      </c>
      <c r="AP28" s="172" t="str">
        <f>IF(ISTEXT(VLOOKUP(CONCATENATE($A28,"_",AP$3),'Unit List'!$A$23:$H$3172,2,FALSE)),"+","")</f>
        <v>+</v>
      </c>
      <c r="AQ28" s="51" t="str">
        <f>IF(ISTEXT(VLOOKUP(CONCATENATE($A28,"_",AQ$3),'Unit List'!$A$23:$H$3172,2,FALSE)),"X",$AP28)</f>
        <v>+</v>
      </c>
      <c r="AR28" s="51" t="str">
        <f>IF(ISTEXT(VLOOKUP(CONCATENATE($A28,"_",AR$3),'Unit List'!$A$23:$H$3172,2,FALSE)),"X",$AP28)</f>
        <v>X</v>
      </c>
      <c r="AS28" s="51" t="str">
        <f>IF(ISTEXT(VLOOKUP(CONCATENATE($A28,"_",AS$3),'Unit List'!$A$23:$H$3172,2,FALSE)),"X",$AP28)</f>
        <v>+</v>
      </c>
      <c r="AT28" s="53" t="str">
        <f>IF(ISTEXT(VLOOKUP(CONCATENATE($A28,"_",AT$3),'Unit List'!$A$23:$H$3172,2,FALSE)),"X",$AP28)</f>
        <v>+</v>
      </c>
      <c r="AU28" s="124" t="str">
        <f>IF(ISTEXT(VLOOKUP(CONCATENATE($A28,"_",AU$3),'Unit List'!$A$23:$H$3172,2,FALSE)),"+","")</f>
        <v>+</v>
      </c>
      <c r="AV28" s="51" t="str">
        <f>IF(ISTEXT(VLOOKUP(CONCATENATE($A28,"_",AV$3),'Unit List'!$A$23:$H$3172,2,FALSE)),"X",$AU28)</f>
        <v>+</v>
      </c>
      <c r="AW28" s="53" t="str">
        <f>IF(ISTEXT(VLOOKUP(CONCATENATE($A28,"_",AW$3),'Unit List'!$A$23:$H$3172,2,FALSE)),"X",$AU28)</f>
        <v>+</v>
      </c>
      <c r="AX28" s="172" t="str">
        <f>IF(ISTEXT(VLOOKUP(CONCATENATE($A28,"_",AX$3),'Unit List'!$A$23:$H$3172,2,FALSE)),"+","")</f>
        <v>+</v>
      </c>
      <c r="AY28" s="51" t="str">
        <f>IF(ISTEXT(VLOOKUP(CONCATENATE($A28,"_",AY$3),'Unit List'!$A$23:$H$3172,2,FALSE)),"X",$AX28)</f>
        <v>+</v>
      </c>
      <c r="AZ28" s="53" t="str">
        <f>IF(ISTEXT(VLOOKUP(CONCATENATE($A28,"_",AZ$3),'Unit List'!$A$23:$H$3172,2,FALSE)),"X",$AX28)</f>
        <v>+</v>
      </c>
      <c r="BA28" s="182" t="str">
        <f>IF(ISTEXT(VLOOKUP(CONCATENATE($A28,"_",BA$3),'Unit List'!$A$23:$H$3172,2,FALSE)),"+","")</f>
        <v/>
      </c>
      <c r="BB28" s="51" t="str">
        <f>IF(ISTEXT(VLOOKUP(CONCATENATE($A28,"_",BB$3),'Unit List'!$A$23:$H$3172,2,FALSE)),"X",$BA28)</f>
        <v/>
      </c>
      <c r="BC28" s="51" t="str">
        <f>IF(ISTEXT(VLOOKUP(CONCATENATE($A28,"_",BC$3),'Unit List'!$A$23:$H$3172,2,FALSE)),"X",$BA28)</f>
        <v/>
      </c>
      <c r="BD28" s="53" t="str">
        <f>IF(ISTEXT(VLOOKUP(CONCATENATE($A28,"_",BD$3),'Unit List'!$A$23:$H$3172,2,FALSE)),"X",$BA28)</f>
        <v/>
      </c>
      <c r="BE28" s="125" t="str">
        <f>IF(ISTEXT(VLOOKUP(CONCATENATE($A28,"_",BE$3),'Unit List'!$A$23:$H$3172,2,FALSE)),"+","")</f>
        <v/>
      </c>
      <c r="BF28" s="62" t="str">
        <f>IF(ISTEXT(VLOOKUP(CONCATENATE($A28,"_",BF$3),'Unit List'!$A$23:$H$3172,2,FALSE)),"X",$BE28)</f>
        <v/>
      </c>
      <c r="BG28" s="64"/>
      <c r="BH28" s="65" t="s">
        <v>0</v>
      </c>
      <c r="BI28" s="225"/>
      <c r="BJ28" s="226"/>
      <c r="BK28" s="226"/>
      <c r="BL28" s="226"/>
      <c r="BM28" s="227"/>
      <c r="BN28" s="54"/>
      <c r="BO28" s="54"/>
      <c r="BP28" s="54"/>
      <c r="BQ28" s="54"/>
      <c r="BR28" s="54"/>
      <c r="BS28" s="54"/>
      <c r="DZ28" s="55"/>
      <c r="EA28" s="55"/>
    </row>
    <row r="29" spans="1:131" ht="12.75" customHeight="1" x14ac:dyDescent="0.2">
      <c r="A29" s="56" t="s">
        <v>1109</v>
      </c>
      <c r="B29" s="181" t="str">
        <f>IF(ISTEXT(VLOOKUP(CONCATENATE($A29,"_",B$3),'Unit List'!$A$23:$H$3172,2,FALSE)),"+","")</f>
        <v/>
      </c>
      <c r="C29" s="82" t="str">
        <f>IF(ISTEXT(VLOOKUP(CONCATENATE($A29,"_",C$3),'Unit List'!$A$23:$H$3172,2,FALSE)),"X",$B29)</f>
        <v>X</v>
      </c>
      <c r="D29" s="67" t="str">
        <f>IF(ISTEXT(VLOOKUP(CONCATENATE($A29,"_",D$3),'Unit List'!$A$23:$H$3172,2,FALSE)),"X",$B29)</f>
        <v>X</v>
      </c>
      <c r="E29" s="51" t="str">
        <f>IF(ISTEXT(VLOOKUP(CONCATENATE($A29,"_",E$3),'Unit List'!$A$23:$H$3172,2,FALSE)),"X",$B29)</f>
        <v>X</v>
      </c>
      <c r="F29" s="67" t="str">
        <f>IF(ISTEXT(VLOOKUP(CONCATENATE($A29,"_",F$3),'Unit List'!$A$23:$H$3172,2,FALSE)),"X",$B29)</f>
        <v>X</v>
      </c>
      <c r="G29" s="51" t="str">
        <f>IF(ISTEXT(VLOOKUP(CONCATENATE($A29,"_",G$3),'Unit List'!$A$23:$H$3172,2,FALSE)),"X",$B29)</f>
        <v>X</v>
      </c>
      <c r="H29" s="67" t="str">
        <f>IF(ISTEXT(VLOOKUP(CONCATENATE($A29,"_",H$3),'Unit List'!$A$23:$H$3172,2,FALSE)),"X",$B29)</f>
        <v>X</v>
      </c>
      <c r="I29" s="53" t="str">
        <f>IF(ISTEXT(VLOOKUP(CONCATENATE($A29,"_",I$3),'Unit List'!$A$23:$H$3172,2,FALSE)),"X",$B29)</f>
        <v/>
      </c>
      <c r="J29" s="172" t="str">
        <f>IF(ISTEXT(VLOOKUP(CONCATENATE($A29,"_",J$3),'Unit List'!$A$23:$H$3172,2,FALSE)),"+","")</f>
        <v>+</v>
      </c>
      <c r="K29" s="51" t="str">
        <f>IF(ISTEXT(VLOOKUP(CONCATENATE($A29,"_",K$3),'Unit List'!$A$23:$H$3172,2,FALSE)),"X",$J29)</f>
        <v>+</v>
      </c>
      <c r="L29" s="62" t="str">
        <f>IF(ISTEXT(VLOOKUP(CONCATENATE($A29,"_",L$3),'Unit List'!$A$23:$H$3172,2,FALSE)),"X",$J29)</f>
        <v>+</v>
      </c>
      <c r="M29" s="172" t="str">
        <f>IF(ISTEXT(VLOOKUP(CONCATENATE($A29,"_",M$3),'Unit List'!$A$23:$H$3172,2,FALSE)),"+","")</f>
        <v>+</v>
      </c>
      <c r="N29" s="51" t="str">
        <f>IF(ISTEXT(VLOOKUP(CONCATENATE($A29,"_",N$3),'Unit List'!$A$23:$H$3172,2,FALSE)),"X",$M29)</f>
        <v>+</v>
      </c>
      <c r="O29" s="70" t="str">
        <f>IF(ISTEXT(VLOOKUP(CONCATENATE($A29,"_",O$3),'Unit List'!$A$23:$H$3172,2,FALSE)),"X",$M29)</f>
        <v>X</v>
      </c>
      <c r="P29" s="172" t="str">
        <f>IF(ISTEXT(VLOOKUP(CONCATENATE($A29,"_",P$3),'Unit List'!$A$23:$H$3172,2,FALSE)),"+","")</f>
        <v/>
      </c>
      <c r="Q29" s="51" t="str">
        <f>IF(ISTEXT(VLOOKUP(CONCATENATE($A29,"_",Q$3),'Unit List'!$A$23:$H$3172,2,FALSE)),"X",$P29)</f>
        <v/>
      </c>
      <c r="R29" s="51" t="str">
        <f>IF(ISTEXT(VLOOKUP(CONCATENATE($A29,"_",R$3),'Unit List'!$A$23:$H$3172,2,FALSE)),"X",$P29)</f>
        <v/>
      </c>
      <c r="S29" s="67" t="str">
        <f>IF(ISTEXT(VLOOKUP(CONCATENATE($A29,"_",S$3),'Unit List'!$A$23:$H$3172,2,FALSE)),"X",$P29)</f>
        <v>X</v>
      </c>
      <c r="T29" s="87" t="str">
        <f>IF(ISTEXT(VLOOKUP(CONCATENATE($A29,"_",T$3),'Unit List'!$A$23:$H$3172,2,FALSE)),"X",$P29)</f>
        <v>X</v>
      </c>
      <c r="U29" s="67" t="str">
        <f>IF(ISTEXT(VLOOKUP(CONCATENATE($A29,"_",U$3),'Unit List'!$A$23:$H$3172,2,FALSE)),"X",$P29)</f>
        <v>X</v>
      </c>
      <c r="V29" s="67" t="str">
        <f>IF(ISTEXT(VLOOKUP(CONCATENATE($A29,"_",V$3),'Unit List'!$A$23:$H$3172,2,FALSE)),"X",$P29)</f>
        <v>X</v>
      </c>
      <c r="W29" s="53" t="str">
        <f>IF(ISTEXT(VLOOKUP(CONCATENATE($A29,"_",W$3),'Unit List'!$A$23:$H$3172,2,FALSE)),"X",$P29)</f>
        <v/>
      </c>
      <c r="X29" s="172" t="str">
        <f>IF(ISTEXT(VLOOKUP(CONCATENATE($A29,"_",X$3),'Unit List'!$A$23:$H$3172,2,FALSE)),"+","")</f>
        <v/>
      </c>
      <c r="Y29" s="51" t="str">
        <f>IF(ISTEXT(VLOOKUP(CONCATENATE($A29,"_",Y$3),'Unit List'!$A$23:$H$3172,2,FALSE)),"X",$X29)</f>
        <v/>
      </c>
      <c r="Z29" s="51" t="str">
        <f>IF(ISTEXT(VLOOKUP(CONCATENATE($A29,"_",Z$3),'Unit List'!$A$23:$H$3172,2,FALSE)),"X",$X29)</f>
        <v/>
      </c>
      <c r="AA29" s="67" t="str">
        <f>IF(ISTEXT(VLOOKUP(CONCATENATE($A29,"_",AA$3),'Unit List'!$A$23:$H$3172,2,FALSE)),"X",$X29)</f>
        <v>X</v>
      </c>
      <c r="AB29" s="67" t="str">
        <f>IF(ISTEXT(VLOOKUP(CONCATENATE($A29,"_",AB$3),'Unit List'!$A$23:$H$3172,2,FALSE)),"X",$X29)</f>
        <v>X</v>
      </c>
      <c r="AC29" s="86" t="str">
        <f>IF(ISTEXT(VLOOKUP(CONCATENATE($A29,"_",AC$3),'Unit List'!$A$23:$H$3172,2,FALSE)),"X",$X29)</f>
        <v>X</v>
      </c>
      <c r="AD29" s="172" t="str">
        <f>IF(ISTEXT(VLOOKUP(CONCATENATE($A29,"_",AD$3),'Unit List'!$A$23:$H$3172,2,FALSE)),"+","")</f>
        <v>+</v>
      </c>
      <c r="AE29" s="51" t="str">
        <f>IF(ISTEXT(VLOOKUP(CONCATENATE($A29,"_",AE$3),'Unit List'!$A$23:$H$3172,2,FALSE)),"X",$AD29)</f>
        <v>+</v>
      </c>
      <c r="AF29" s="51" t="str">
        <f>IF(ISTEXT(VLOOKUP(CONCATENATE($A29,"_",AF$3),'Unit List'!$A$23:$H$3172,2,FALSE)),"X",$AD29)</f>
        <v>+</v>
      </c>
      <c r="AG29" s="172" t="str">
        <f>IF(ISTEXT(VLOOKUP(CONCATENATE($A29,"_",AG$3),'Unit List'!$A$23:$H$3172,2,FALSE)),"+","")</f>
        <v/>
      </c>
      <c r="AH29" s="51" t="str">
        <f>IF(ISTEXT(VLOOKUP(CONCATENATE($A29,"_",AH$3),'Unit List'!$A$23:$H$3172,2,FALSE)),"X",$AG29)</f>
        <v/>
      </c>
      <c r="AI29" s="51" t="str">
        <f>IF(ISTEXT(VLOOKUP(CONCATENATE($A29,"_",AI$3),'Unit List'!$A$23:$H$3172,2,FALSE)),"X",$AG29)</f>
        <v/>
      </c>
      <c r="AJ29" s="53" t="str">
        <f>IF(ISTEXT(VLOOKUP(CONCATENATE($A29,"_",AJ$3),'Unit List'!$A$23:$H$3172,2,FALSE)),"X",$AG29)</f>
        <v>X</v>
      </c>
      <c r="AK29" s="172" t="str">
        <f>IF(ISTEXT(VLOOKUP(CONCATENATE($A29,"_",AK$3),'Unit List'!$A$23:$H$3172,2,FALSE)),"+","")</f>
        <v/>
      </c>
      <c r="AL29" s="52" t="str">
        <f>IF(ISTEXT(VLOOKUP(CONCATENATE($A29,"_",AL$3),'Unit List'!$A$23:$H$3172,2,FALSE)),"X",$AK29)</f>
        <v/>
      </c>
      <c r="AM29" s="70" t="str">
        <f>IF(ISTEXT(VLOOKUP(CONCATENATE($A29,"_",AM$3),'Unit List'!$A$23:$H$3172,2,FALSE)),"X",$AK29)</f>
        <v>X</v>
      </c>
      <c r="AN29" s="125" t="str">
        <f>IF(ISTEXT(VLOOKUP(CONCATENATE($A29,"_",AN$3),'Unit List'!$A$23:$H$3172,2,FALSE)),"+","")</f>
        <v>+</v>
      </c>
      <c r="AO29" s="70" t="str">
        <f>IF(ISTEXT(VLOOKUP(CONCATENATE($A29,"_",AO$3),'Unit List'!$A$23:$H$3172,2,FALSE)),"X",$AN29)</f>
        <v>X</v>
      </c>
      <c r="AP29" s="172" t="str">
        <f>IF(ISTEXT(VLOOKUP(CONCATENATE($A29,"_",AP$3),'Unit List'!$A$23:$H$3172,2,FALSE)),"+","")</f>
        <v>+</v>
      </c>
      <c r="AQ29" s="51" t="str">
        <f>IF(ISTEXT(VLOOKUP(CONCATENATE($A29,"_",AQ$3),'Unit List'!$A$23:$H$3172,2,FALSE)),"X",$AP29)</f>
        <v>+</v>
      </c>
      <c r="AR29" s="67" t="str">
        <f>IF(ISTEXT(VLOOKUP(CONCATENATE($A29,"_",AR$3),'Unit List'!$A$23:$H$3172,2,FALSE)),"X",$AP29)</f>
        <v>X</v>
      </c>
      <c r="AS29" s="67" t="str">
        <f>IF(ISTEXT(VLOOKUP(CONCATENATE($A29,"_",AS$3),'Unit List'!$A$23:$H$3172,2,FALSE)),"X",$AP29)</f>
        <v>X</v>
      </c>
      <c r="AT29" s="53" t="str">
        <f>IF(ISTEXT(VLOOKUP(CONCATENATE($A29,"_",AT$3),'Unit List'!$A$23:$H$3172,2,FALSE)),"X",$AP29)</f>
        <v>+</v>
      </c>
      <c r="AU29" s="124" t="str">
        <f>IF(ISTEXT(VLOOKUP(CONCATENATE($A29,"_",AU$3),'Unit List'!$A$23:$H$3172,2,FALSE)),"+","")</f>
        <v/>
      </c>
      <c r="AV29" s="51" t="str">
        <f>IF(ISTEXT(VLOOKUP(CONCATENATE($A29,"_",AV$3),'Unit List'!$A$23:$H$3172,2,FALSE)),"X",$AU29)</f>
        <v/>
      </c>
      <c r="AW29" s="53" t="str">
        <f>IF(ISTEXT(VLOOKUP(CONCATENATE($A29,"_",AW$3),'Unit List'!$A$23:$H$3172,2,FALSE)),"X",$AU29)</f>
        <v>X</v>
      </c>
      <c r="AX29" s="172" t="str">
        <f>IF(ISTEXT(VLOOKUP(CONCATENATE($A29,"_",AX$3),'Unit List'!$A$23:$H$3172,2,FALSE)),"+","")</f>
        <v>+</v>
      </c>
      <c r="AY29" s="51" t="str">
        <f>IF(ISTEXT(VLOOKUP(CONCATENATE($A29,"_",AY$3),'Unit List'!$A$23:$H$3172,2,FALSE)),"X",$AX29)</f>
        <v>X</v>
      </c>
      <c r="AZ29" s="53" t="str">
        <f>IF(ISTEXT(VLOOKUP(CONCATENATE($A29,"_",AZ$3),'Unit List'!$A$23:$H$3172,2,FALSE)),"X",$AX29)</f>
        <v>+</v>
      </c>
      <c r="BA29" s="182" t="str">
        <f>IF(ISTEXT(VLOOKUP(CONCATENATE($A29,"_",BA$3),'Unit List'!$A$23:$H$3172,2,FALSE)),"+","")</f>
        <v>+</v>
      </c>
      <c r="BB29" s="51" t="str">
        <f>IF(ISTEXT(VLOOKUP(CONCATENATE($A29,"_",BB$3),'Unit List'!$A$23:$H$3172,2,FALSE)),"X",$BA29)</f>
        <v>+</v>
      </c>
      <c r="BC29" s="51" t="str">
        <f>IF(ISTEXT(VLOOKUP(CONCATENATE($A29,"_",BC$3),'Unit List'!$A$23:$H$3172,2,FALSE)),"X",$BA29)</f>
        <v>+</v>
      </c>
      <c r="BD29" s="53" t="str">
        <f>IF(ISTEXT(VLOOKUP(CONCATENATE($A29,"_",BD$3),'Unit List'!$A$23:$H$3172,2,FALSE)),"X",$BA29)</f>
        <v>+</v>
      </c>
      <c r="BE29" s="125" t="str">
        <f>IF(ISTEXT(VLOOKUP(CONCATENATE($A29,"_",BE$3),'Unit List'!$A$23:$H$3172,2,FALSE)),"+","")</f>
        <v>+</v>
      </c>
      <c r="BF29" s="62" t="str">
        <f>IF(ISTEXT(VLOOKUP(CONCATENATE($A29,"_",BF$3),'Unit List'!$A$23:$H$3172,2,FALSE)),"X",$BE29)</f>
        <v>+</v>
      </c>
      <c r="BG29" s="64"/>
      <c r="BH29" s="65" t="s">
        <v>0</v>
      </c>
      <c r="BI29" s="225" t="s">
        <v>12</v>
      </c>
      <c r="BJ29" s="228"/>
      <c r="BK29" s="228"/>
      <c r="BL29" s="228"/>
      <c r="BM29" s="229"/>
      <c r="BN29" s="54"/>
      <c r="BO29" s="54"/>
      <c r="BP29" s="54"/>
      <c r="BQ29" s="54"/>
      <c r="BR29" s="54"/>
      <c r="BS29" s="54"/>
      <c r="DZ29" s="55"/>
      <c r="EA29" s="55"/>
    </row>
    <row r="30" spans="1:131" ht="12.75" customHeight="1" x14ac:dyDescent="0.2">
      <c r="A30" s="56" t="s">
        <v>28</v>
      </c>
      <c r="B30" s="181" t="str">
        <f>IF(ISTEXT(VLOOKUP(CONCATENATE($A30,"_",B$3),'Unit List'!$A$23:$H$3172,2,FALSE)),"+","")</f>
        <v/>
      </c>
      <c r="C30" s="57" t="str">
        <f>IF(ISTEXT(VLOOKUP(CONCATENATE($A30,"_",C$3),'Unit List'!$A$23:$H$3172,2,FALSE)),"X",$B30)</f>
        <v/>
      </c>
      <c r="D30" s="60" t="str">
        <f>IF(ISTEXT(VLOOKUP(CONCATENATE($A30,"_",D$3),'Unit List'!$A$23:$H$3172,2,FALSE)),"X",$B30)</f>
        <v/>
      </c>
      <c r="E30" s="51" t="str">
        <f>IF(ISTEXT(VLOOKUP(CONCATENATE($A30,"_",E$3),'Unit List'!$A$23:$H$3172,2,FALSE)),"X",$B30)</f>
        <v/>
      </c>
      <c r="F30" s="67" t="str">
        <f>IF(ISTEXT(VLOOKUP(CONCATENATE($A30,"_",F$3),'Unit List'!$A$23:$H$3172,2,FALSE)),"X",$B30)</f>
        <v>X</v>
      </c>
      <c r="G30" s="51" t="str">
        <f>IF(ISTEXT(VLOOKUP(CONCATENATE($A30,"_",G$3),'Unit List'!$A$23:$H$3172,2,FALSE)),"X",$B30)</f>
        <v>X</v>
      </c>
      <c r="H30" s="67" t="str">
        <f>IF(ISTEXT(VLOOKUP(CONCATENATE($A30,"_",H$3),'Unit List'!$A$23:$H$3172,2,FALSE)),"X",$B30)</f>
        <v>X</v>
      </c>
      <c r="I30" s="53" t="str">
        <f>IF(ISTEXT(VLOOKUP(CONCATENATE($A30,"_",I$3),'Unit List'!$A$23:$H$3172,2,FALSE)),"X",$B30)</f>
        <v/>
      </c>
      <c r="J30" s="172" t="str">
        <f>IF(ISTEXT(VLOOKUP(CONCATENATE($A30,"_",J$3),'Unit List'!$A$23:$H$3172,2,FALSE)),"+","")</f>
        <v>+</v>
      </c>
      <c r="K30" s="94" t="str">
        <f>IF(ISTEXT(VLOOKUP(CONCATENATE($A30,"_",K$3),'Unit List'!$A$23:$H$3172,2,FALSE)),"X",$J30)</f>
        <v>+</v>
      </c>
      <c r="L30" s="86" t="str">
        <f>IF(ISTEXT(VLOOKUP(CONCATENATE($A30,"_",L$3),'Unit List'!$A$23:$H$3172,2,FALSE)),"X",$J30)</f>
        <v>+</v>
      </c>
      <c r="M30" s="172" t="str">
        <f>IF(ISTEXT(VLOOKUP(CONCATENATE($A30,"_",M$3),'Unit List'!$A$23:$H$3172,2,FALSE)),"+","")</f>
        <v>+</v>
      </c>
      <c r="N30" s="51" t="str">
        <f>IF(ISTEXT(VLOOKUP(CONCATENATE($A30,"_",N$3),'Unit List'!$A$23:$H$3172,2,FALSE)),"X",$M30)</f>
        <v>+</v>
      </c>
      <c r="O30" s="70" t="str">
        <f>IF(ISTEXT(VLOOKUP(CONCATENATE($A30,"_",O$3),'Unit List'!$A$23:$H$3172,2,FALSE)),"X",$M30)</f>
        <v>X</v>
      </c>
      <c r="P30" s="172" t="str">
        <f>IF(ISTEXT(VLOOKUP(CONCATENATE($A30,"_",P$3),'Unit List'!$A$23:$H$3172,2,FALSE)),"+","")</f>
        <v/>
      </c>
      <c r="Q30" s="51" t="str">
        <f>IF(ISTEXT(VLOOKUP(CONCATENATE($A30,"_",Q$3),'Unit List'!$A$23:$H$3172,2,FALSE)),"X",$P30)</f>
        <v/>
      </c>
      <c r="R30" s="51" t="str">
        <f>IF(ISTEXT(VLOOKUP(CONCATENATE($A30,"_",R$3),'Unit List'!$A$23:$H$3172,2,FALSE)),"X",$P30)</f>
        <v/>
      </c>
      <c r="S30" s="67" t="str">
        <f>IF(ISTEXT(VLOOKUP(CONCATENATE($A30,"_",S$3),'Unit List'!$A$23:$H$3172,2,FALSE)),"X",$P30)</f>
        <v>X</v>
      </c>
      <c r="T30" s="52" t="str">
        <f>IF(ISTEXT(VLOOKUP(CONCATENATE($A30,"_",T$3),'Unit List'!$A$23:$H$3172,2,FALSE)),"X",$P30)</f>
        <v/>
      </c>
      <c r="U30" s="67" t="str">
        <f>IF(ISTEXT(VLOOKUP(CONCATENATE($A30,"_",U$3),'Unit List'!$A$23:$H$3172,2,FALSE)),"X",$P30)</f>
        <v>X</v>
      </c>
      <c r="V30" s="89" t="s">
        <v>3</v>
      </c>
      <c r="W30" s="53" t="str">
        <f>IF(ISTEXT(VLOOKUP(CONCATENATE($A30,"_",W$3),'Unit List'!$A$23:$H$3172,2,FALSE)),"X",$P30)</f>
        <v/>
      </c>
      <c r="X30" s="171" t="str">
        <f>IF(ISTEXT(VLOOKUP(CONCATENATE($A30,"_",X$3),'Unit List'!$A$23:$H$3172,2,FALSE)),"+","")</f>
        <v>+</v>
      </c>
      <c r="Y30" s="72" t="s">
        <v>0</v>
      </c>
      <c r="Z30" s="51" t="str">
        <f>IF(ISTEXT(VLOOKUP(CONCATENATE($A30,"_",Z$3),'Unit List'!$A$23:$H$3172,2,FALSE)),"X",$X30)</f>
        <v>+</v>
      </c>
      <c r="AA30" s="67" t="str">
        <f>IF(ISTEXT(VLOOKUP(CONCATENATE($A30,"_",AA$3),'Unit List'!$A$23:$H$3172,2,FALSE)),"X",$X30)</f>
        <v>X</v>
      </c>
      <c r="AB30" s="67" t="str">
        <f>IF(ISTEXT(VLOOKUP(CONCATENATE($A30,"_",AB$3),'Unit List'!$A$23:$H$3172,2,FALSE)),"X",$X30)</f>
        <v>X</v>
      </c>
      <c r="AC30" s="86" t="str">
        <f>IF(ISTEXT(VLOOKUP(CONCATENATE($A30,"_",AC$3),'Unit List'!$A$23:$H$3172,2,FALSE)),"X",$X30)</f>
        <v>X</v>
      </c>
      <c r="AD30" s="171" t="str">
        <f>IF(ISTEXT(VLOOKUP(CONCATENATE($A30,"_",AD$3),'Unit List'!$A$23:$H$3172,2,FALSE)),"+","")</f>
        <v/>
      </c>
      <c r="AE30" s="51" t="str">
        <f>IF(ISTEXT(VLOOKUP(CONCATENATE($A30,"_",AE$3),'Unit List'!$A$23:$H$3172,2,FALSE)),"X",$AD30)</f>
        <v/>
      </c>
      <c r="AF30" s="51" t="str">
        <f>IF(ISTEXT(VLOOKUP(CONCATENATE($A30,"_",AF$3),'Unit List'!$A$23:$H$3172,2,FALSE)),"X",$AD30)</f>
        <v/>
      </c>
      <c r="AG30" s="171" t="str">
        <f>IF(ISTEXT(VLOOKUP(CONCATENATE($A30,"_",AG$3),'Unit List'!$A$23:$H$3172,2,FALSE)),"+","")</f>
        <v>+</v>
      </c>
      <c r="AH30" s="67" t="str">
        <f>IF(ISTEXT(VLOOKUP(CONCATENATE($A30,"_",AH$3),'Unit List'!$A$23:$H$3172,2,FALSE)),"X",$AG30)</f>
        <v>+</v>
      </c>
      <c r="AI30" s="89" t="s">
        <v>0</v>
      </c>
      <c r="AJ30" s="71" t="str">
        <f>IF(ISTEXT(VLOOKUP(CONCATENATE($A30,"_",AJ$3),'Unit List'!$A$23:$H$3172,2,FALSE)),"X",$AG30)</f>
        <v>+</v>
      </c>
      <c r="AK30" s="171" t="str">
        <f>IF(ISTEXT(VLOOKUP(CONCATENATE($A30,"_",AK$3),'Unit List'!$A$23:$H$3172,2,FALSE)),"+","")</f>
        <v>+</v>
      </c>
      <c r="AL30" s="52" t="str">
        <f>IF(ISTEXT(VLOOKUP(CONCATENATE($A30,"_",AL$3),'Unit List'!$A$23:$H$3172,2,FALSE)),"X",$AK30)</f>
        <v>+</v>
      </c>
      <c r="AM30" s="70" t="str">
        <f>IF(ISTEXT(VLOOKUP(CONCATENATE($A30,"_",AM$3),'Unit List'!$A$23:$H$3172,2,FALSE)),"X",$AK30)</f>
        <v>X</v>
      </c>
      <c r="AN30" s="125" t="str">
        <f>IF(ISTEXT(VLOOKUP(CONCATENATE($A30,"_",AN$3),'Unit List'!$A$23:$H$3172,2,FALSE)),"+","")</f>
        <v>+</v>
      </c>
      <c r="AO30" s="70" t="str">
        <f>IF(ISTEXT(VLOOKUP(CONCATENATE($A30,"_",AO$3),'Unit List'!$A$23:$H$3172,2,FALSE)),"X",$AN30)</f>
        <v>+</v>
      </c>
      <c r="AP30" s="171" t="str">
        <f>IF(ISTEXT(VLOOKUP(CONCATENATE($A30,"_",AP$3),'Unit List'!$A$23:$H$3172,2,FALSE)),"+","")</f>
        <v>+</v>
      </c>
      <c r="AQ30" s="51" t="str">
        <f>IF(ISTEXT(VLOOKUP(CONCATENATE($A30,"_",AQ$3),'Unit List'!$A$23:$H$3172,2,FALSE)),"X",$AP30)</f>
        <v>X</v>
      </c>
      <c r="AR30" s="67" t="str">
        <f>IF(ISTEXT(VLOOKUP(CONCATENATE($A30,"_",AR$3),'Unit List'!$A$23:$H$3172,2,FALSE)),"X",$AP30)</f>
        <v>X</v>
      </c>
      <c r="AS30" s="67" t="str">
        <f>IF(ISTEXT(VLOOKUP(CONCATENATE($A30,"_",AS$3),'Unit List'!$A$23:$H$3172,2,FALSE)),"X",$AP30)</f>
        <v>X</v>
      </c>
      <c r="AT30" s="100" t="s">
        <v>0</v>
      </c>
      <c r="AU30" s="124" t="str">
        <f>IF(ISTEXT(VLOOKUP(CONCATENATE($A30,"_",AU$3),'Unit List'!$A$23:$H$3172,2,FALSE)),"+","")</f>
        <v>+</v>
      </c>
      <c r="AV30" s="51" t="str">
        <f>IF(ISTEXT(VLOOKUP(CONCATENATE($A30,"_",AV$3),'Unit List'!$A$23:$H$3172,2,FALSE)),"X",$AU30)</f>
        <v>+</v>
      </c>
      <c r="AW30" s="74" t="s">
        <v>0</v>
      </c>
      <c r="AX30" s="171" t="str">
        <f>IF(ISTEXT(VLOOKUP(CONCATENATE($A30,"_",AX$3),'Unit List'!$A$23:$H$3172,2,FALSE)),"+","")</f>
        <v>+</v>
      </c>
      <c r="AY30" s="67" t="str">
        <f>IF(ISTEXT(VLOOKUP(CONCATENATE($A30,"_",AY$3),'Unit List'!$A$23:$H$3172,2,FALSE)),"X",$AX30)</f>
        <v>X</v>
      </c>
      <c r="AZ30" s="70" t="str">
        <f>IF(ISTEXT(VLOOKUP(CONCATENATE($A30,"_",AZ$3),'Unit List'!$A$23:$H$3172,2,FALSE)),"X",$AX30)</f>
        <v>+</v>
      </c>
      <c r="BA30" s="171" t="str">
        <f>IF(ISTEXT(VLOOKUP(CONCATENATE($A30,"_",BA$3),'Unit List'!$A$23:$H$3172,2,FALSE)),"+","")</f>
        <v>+</v>
      </c>
      <c r="BB30" s="67" t="str">
        <f>IF(ISTEXT(VLOOKUP(CONCATENATE($A30,"_",BB$3),'Unit List'!$A$23:$H$3172,2,FALSE)),"X",$BA30)</f>
        <v>X</v>
      </c>
      <c r="BC30" s="67" t="str">
        <f>IF(ISTEXT(VLOOKUP(CONCATENATE($A30,"_",BC$3),'Unit List'!$A$23:$H$3172,2,FALSE)),"X",$BA30)</f>
        <v>X</v>
      </c>
      <c r="BD30" s="70" t="str">
        <f>IF(ISTEXT(VLOOKUP(CONCATENATE($A30,"_",BD$3),'Unit List'!$A$23:$H$3172,2,FALSE)),"X",$BA30)</f>
        <v>X</v>
      </c>
      <c r="BE30" s="125" t="str">
        <f>IF(ISTEXT(VLOOKUP(CONCATENATE($A30,"_",BE$3),'Unit List'!$A$23:$H$3172,2,FALSE)),"+","")</f>
        <v>+</v>
      </c>
      <c r="BF30" s="62" t="str">
        <f>IF(ISTEXT(VLOOKUP(CONCATENATE($A30,"_",BF$3),'Unit List'!$A$23:$H$3172,2,FALSE)),"X",$BE30)</f>
        <v>+</v>
      </c>
      <c r="BG30" s="64"/>
      <c r="BH30" s="65" t="s">
        <v>0</v>
      </c>
      <c r="BI30" s="225" t="s">
        <v>12</v>
      </c>
      <c r="BJ30" s="228"/>
      <c r="BK30" s="228"/>
      <c r="BL30" s="228"/>
      <c r="BM30" s="229"/>
      <c r="BN30" s="54"/>
      <c r="BO30" s="54"/>
      <c r="BP30" s="54"/>
      <c r="BQ30" s="54"/>
      <c r="BR30" s="54"/>
      <c r="BS30" s="54"/>
      <c r="DZ30" s="55"/>
      <c r="EA30" s="55"/>
    </row>
    <row r="31" spans="1:131" ht="12.75" customHeight="1" x14ac:dyDescent="0.2">
      <c r="A31" s="56" t="s">
        <v>27</v>
      </c>
      <c r="B31" s="181" t="str">
        <f>IF(ISTEXT(VLOOKUP(CONCATENATE($A31,"_",B$3),'Unit List'!$A$23:$H$3172,2,FALSE)),"+","")</f>
        <v/>
      </c>
      <c r="C31" s="57" t="str">
        <f>IF(ISTEXT(VLOOKUP(CONCATENATE($A31,"_",C$3),'Unit List'!$A$23:$H$3172,2,FALSE)),"X",$B31)</f>
        <v/>
      </c>
      <c r="D31" s="51" t="str">
        <f>IF(ISTEXT(VLOOKUP(CONCATENATE($A31,"_",D$3),'Unit List'!$A$23:$H$3172,2,FALSE)),"X",$B31)</f>
        <v/>
      </c>
      <c r="E31" s="51" t="str">
        <f>IF(ISTEXT(VLOOKUP(CONCATENATE($A31,"_",E$3),'Unit List'!$A$23:$H$3172,2,FALSE)),"X",$B31)</f>
        <v/>
      </c>
      <c r="F31" s="51" t="str">
        <f>IF(ISTEXT(VLOOKUP(CONCATENATE($A31,"_",F$3),'Unit List'!$A$23:$H$3172,2,FALSE)),"X",$B31)</f>
        <v/>
      </c>
      <c r="G31" s="67" t="str">
        <f>IF(ISTEXT(VLOOKUP(CONCATENATE($A31,"_",G$3),'Unit List'!$A$23:$H$3172,2,FALSE)),"X",$B31)</f>
        <v>X</v>
      </c>
      <c r="H31" s="67" t="str">
        <f>IF(ISTEXT(VLOOKUP(CONCATENATE($A31,"_",H$3),'Unit List'!$A$23:$H$3172,2,FALSE)),"X",$B31)</f>
        <v>X</v>
      </c>
      <c r="I31" s="70" t="str">
        <f>IF(ISTEXT(VLOOKUP(CONCATENATE($A31,"_",I$3),'Unit List'!$A$23:$H$3172,2,FALSE)),"X",$B31)</f>
        <v>X</v>
      </c>
      <c r="J31" s="172" t="str">
        <f>IF(ISTEXT(VLOOKUP(CONCATENATE($A31,"_",J$3),'Unit List'!$A$23:$H$3172,2,FALSE)),"+","")</f>
        <v/>
      </c>
      <c r="K31" s="51" t="str">
        <f>IF(ISTEXT(VLOOKUP(CONCATENATE($A31,"_",K$3),'Unit List'!$A$23:$H$3172,2,FALSE)),"X",$J31)</f>
        <v/>
      </c>
      <c r="L31" s="101" t="s">
        <v>0</v>
      </c>
      <c r="M31" s="172" t="str">
        <f>IF(ISTEXT(VLOOKUP(CONCATENATE($A31,"_",M$3),'Unit List'!$A$23:$H$3172,2,FALSE)),"+","")</f>
        <v/>
      </c>
      <c r="N31" s="90" t="s">
        <v>0</v>
      </c>
      <c r="O31" s="53" t="str">
        <f>IF(ISTEXT(VLOOKUP(CONCATENATE($A31,"_",O$3),'Unit List'!$A$23:$H$3172,2,FALSE)),"X",$M31)</f>
        <v/>
      </c>
      <c r="P31" s="172" t="str">
        <f>IF(ISTEXT(VLOOKUP(CONCATENATE($A31,"_",P$3),'Unit List'!$A$23:$H$3172,2,FALSE)),"+","")</f>
        <v/>
      </c>
      <c r="Q31" s="51" t="str">
        <f>IF(ISTEXT(VLOOKUP(CONCATENATE($A31,"_",Q$3),'Unit List'!$A$23:$H$3172,2,FALSE)),"X",$P31)</f>
        <v/>
      </c>
      <c r="R31" s="51" t="str">
        <f>IF(ISTEXT(VLOOKUP(CONCATENATE($A31,"_",R$3),'Unit List'!$A$23:$H$3172,2,FALSE)),"X",$P31)</f>
        <v/>
      </c>
      <c r="S31" s="51" t="str">
        <f>IF(ISTEXT(VLOOKUP(CONCATENATE($A31,"_",S$3),'Unit List'!$A$23:$H$3172,2,FALSE)),"X",$P31)</f>
        <v/>
      </c>
      <c r="T31" s="52" t="str">
        <f>IF(ISTEXT(VLOOKUP(CONCATENATE($A31,"_",T$3),'Unit List'!$A$23:$H$3172,2,FALSE)),"X",$P31)</f>
        <v/>
      </c>
      <c r="U31" s="51" t="str">
        <f>IF(ISTEXT(VLOOKUP(CONCATENATE($A31,"_",U$3),'Unit List'!$A$23:$H$3172,2,FALSE)),"X",$P31)</f>
        <v/>
      </c>
      <c r="V31" s="51" t="str">
        <f>IF(ISTEXT(VLOOKUP(CONCATENATE($A31,"_",V$3),'Unit List'!$A$23:$H$3172,2,FALSE)),"X",$P31)</f>
        <v/>
      </c>
      <c r="W31" s="53" t="str">
        <f>IF(ISTEXT(VLOOKUP(CONCATENATE($A31,"_",W$3),'Unit List'!$A$23:$H$3172,2,FALSE)),"X",$P31)</f>
        <v/>
      </c>
      <c r="X31" s="172" t="str">
        <f>IF(ISTEXT(VLOOKUP(CONCATENATE($A31,"_",X$3),'Unit List'!$A$23:$H$3172,2,FALSE)),"+","")</f>
        <v>+</v>
      </c>
      <c r="Y31" s="51" t="str">
        <f>IF(ISTEXT(VLOOKUP(CONCATENATE($A31,"_",Y$3),'Unit List'!$A$23:$H$3172,2,FALSE)),"X",$X31)</f>
        <v>+</v>
      </c>
      <c r="Z31" s="51" t="str">
        <f>IF(ISTEXT(VLOOKUP(CONCATENATE($A31,"_",Z$3),'Unit List'!$A$23:$H$3172,2,FALSE)),"X",$X31)</f>
        <v>+</v>
      </c>
      <c r="AA31" s="51" t="str">
        <f>IF(ISTEXT(VLOOKUP(CONCATENATE($A31,"_",AA$3),'Unit List'!$A$23:$H$3172,2,FALSE)),"X",$X31)</f>
        <v>+</v>
      </c>
      <c r="AB31" s="51" t="str">
        <f>IF(ISTEXT(VLOOKUP(CONCATENATE($A31,"_",AB$3),'Unit List'!$A$23:$H$3172,2,FALSE)),"X",$X31)</f>
        <v>+</v>
      </c>
      <c r="AC31" s="62" t="str">
        <f>IF(ISTEXT(VLOOKUP(CONCATENATE($A31,"_",AC$3),'Unit List'!$A$23:$H$3172,2,FALSE)),"X",$X31)</f>
        <v>+</v>
      </c>
      <c r="AD31" s="172" t="str">
        <f>IF(ISTEXT(VLOOKUP(CONCATENATE($A31,"_",AD$3),'Unit List'!$A$23:$H$3172,2,FALSE)),"+","")</f>
        <v/>
      </c>
      <c r="AE31" s="51" t="str">
        <f>IF(ISTEXT(VLOOKUP(CONCATENATE($A31,"_",AE$3),'Unit List'!$A$23:$H$3172,2,FALSE)),"X",$AD31)</f>
        <v/>
      </c>
      <c r="AF31" s="51" t="str">
        <f>IF(ISTEXT(VLOOKUP(CONCATENATE($A31,"_",AF$3),'Unit List'!$A$23:$H$3172,2,FALSE)),"X",$AD31)</f>
        <v/>
      </c>
      <c r="AG31" s="172" t="str">
        <f>IF(ISTEXT(VLOOKUP(CONCATENATE($A31,"_",AG$3),'Unit List'!$A$23:$H$3172,2,FALSE)),"+","")</f>
        <v/>
      </c>
      <c r="AH31" s="51" t="str">
        <f>IF(ISTEXT(VLOOKUP(CONCATENATE($A31,"_",AH$3),'Unit List'!$A$23:$H$3172,2,FALSE)),"X",$AG31)</f>
        <v/>
      </c>
      <c r="AI31" s="51" t="str">
        <f>IF(ISTEXT(VLOOKUP(CONCATENATE($A31,"_",AI$3),'Unit List'!$A$23:$H$3172,2,FALSE)),"X",$AG31)</f>
        <v/>
      </c>
      <c r="AJ31" s="53" t="str">
        <f>IF(ISTEXT(VLOOKUP(CONCATENATE($A31,"_",AJ$3),'Unit List'!$A$23:$H$3172,2,FALSE)),"X",$AG31)</f>
        <v/>
      </c>
      <c r="AK31" s="172" t="str">
        <f>IF(ISTEXT(VLOOKUP(CONCATENATE($A31,"_",AK$3),'Unit List'!$A$23:$H$3172,2,FALSE)),"+","")</f>
        <v>+</v>
      </c>
      <c r="AL31" s="52" t="str">
        <f>IF(ISTEXT(VLOOKUP(CONCATENATE($A31,"_",AL$3),'Unit List'!$A$23:$H$3172,2,FALSE)),"X",$AK31)</f>
        <v>+</v>
      </c>
      <c r="AM31" s="74" t="s">
        <v>0</v>
      </c>
      <c r="AN31" s="125" t="str">
        <f>IF(ISTEXT(VLOOKUP(CONCATENATE($A31,"_",AN$3),'Unit List'!$A$23:$H$3172,2,FALSE)),"+","")</f>
        <v/>
      </c>
      <c r="AO31" s="53" t="str">
        <f>IF(ISTEXT(VLOOKUP(CONCATENATE($A31,"_",AO$3),'Unit List'!$A$23:$H$3172,2,FALSE)),"X",$AN31)</f>
        <v/>
      </c>
      <c r="AP31" s="172" t="str">
        <f>IF(ISTEXT(VLOOKUP(CONCATENATE($A31,"_",AP$3),'Unit List'!$A$23:$H$3172,2,FALSE)),"+","")</f>
        <v/>
      </c>
      <c r="AQ31" s="51" t="str">
        <f>IF(ISTEXT(VLOOKUP(CONCATENATE($A31,"_",AQ$3),'Unit List'!$A$23:$H$3172,2,FALSE)),"X",$AP31)</f>
        <v/>
      </c>
      <c r="AR31" s="67" t="str">
        <f>IF(ISTEXT(VLOOKUP(CONCATENATE($A31,"_",AR$3),'Unit List'!$A$23:$H$3172,2,FALSE)),"X",$AP31)</f>
        <v>X</v>
      </c>
      <c r="AS31" s="51" t="str">
        <f>IF(ISTEXT(VLOOKUP(CONCATENATE($A31,"_",AS$3),'Unit List'!$A$23:$H$3172,2,FALSE)),"X",$AP31)</f>
        <v/>
      </c>
      <c r="AT31" s="53" t="str">
        <f>IF(ISTEXT(VLOOKUP(CONCATENATE($A31,"_",AT$3),'Unit List'!$A$23:$H$3172,2,FALSE)),"X",$AP31)</f>
        <v/>
      </c>
      <c r="AU31" s="124" t="str">
        <f>IF(ISTEXT(VLOOKUP(CONCATENATE($A31,"_",AU$3),'Unit List'!$A$23:$H$3172,2,FALSE)),"+","")</f>
        <v/>
      </c>
      <c r="AV31" s="51" t="str">
        <f>IF(ISTEXT(VLOOKUP(CONCATENATE($A31,"_",AV$3),'Unit List'!$A$23:$H$3172,2,FALSE)),"X",$AU31)</f>
        <v/>
      </c>
      <c r="AW31" s="53" t="str">
        <f>IF(ISTEXT(VLOOKUP(CONCATENATE($A31,"_",AW$3),'Unit List'!$A$23:$H$3172,2,FALSE)),"X",$AU31)</f>
        <v/>
      </c>
      <c r="AX31" s="172" t="str">
        <f>IF(ISTEXT(VLOOKUP(CONCATENATE($A31,"_",AX$3),'Unit List'!$A$23:$H$3172,2,FALSE)),"+","")</f>
        <v/>
      </c>
      <c r="AY31" s="51" t="str">
        <f>IF(ISTEXT(VLOOKUP(CONCATENATE($A31,"_",AY$3),'Unit List'!$A$23:$H$3172,2,FALSE)),"X",$AX31)</f>
        <v/>
      </c>
      <c r="AZ31" s="53" t="str">
        <f>IF(ISTEXT(VLOOKUP(CONCATENATE($A31,"_",AZ$3),'Unit List'!$A$23:$H$3172,2,FALSE)),"X",$AX31)</f>
        <v/>
      </c>
      <c r="BA31" s="182" t="str">
        <f>IF(ISTEXT(VLOOKUP(CONCATENATE($A31,"_",BA$3),'Unit List'!$A$23:$H$3172,2,FALSE)),"+","")</f>
        <v/>
      </c>
      <c r="BB31" s="51" t="str">
        <f>IF(ISTEXT(VLOOKUP(CONCATENATE($A31,"_",BB$3),'Unit List'!$A$23:$H$3172,2,FALSE)),"X",$BA31)</f>
        <v/>
      </c>
      <c r="BC31" s="51" t="str">
        <f>IF(ISTEXT(VLOOKUP(CONCATENATE($A31,"_",BC$3),'Unit List'!$A$23:$H$3172,2,FALSE)),"X",$BA31)</f>
        <v/>
      </c>
      <c r="BD31" s="53" t="str">
        <f>IF(ISTEXT(VLOOKUP(CONCATENATE($A31,"_",BD$3),'Unit List'!$A$23:$H$3172,2,FALSE)),"X",$BA31)</f>
        <v/>
      </c>
      <c r="BE31" s="125" t="str">
        <f>IF(ISTEXT(VLOOKUP(CONCATENATE($A31,"_",BE$3),'Unit List'!$A$23:$H$3172,2,FALSE)),"+","")</f>
        <v/>
      </c>
      <c r="BF31" s="62" t="str">
        <f>IF(ISTEXT(VLOOKUP(CONCATENATE($A31,"_",BF$3),'Unit List'!$A$23:$H$3172,2,FALSE)),"X",$BE31)</f>
        <v/>
      </c>
      <c r="BG31" s="64"/>
      <c r="BH31" s="65" t="s">
        <v>0</v>
      </c>
      <c r="BI31" s="225"/>
      <c r="BJ31" s="228"/>
      <c r="BK31" s="228"/>
      <c r="BL31" s="228"/>
      <c r="BM31" s="229"/>
      <c r="BN31" s="54"/>
      <c r="BO31" s="54"/>
      <c r="BP31" s="54"/>
      <c r="BQ31" s="54"/>
      <c r="BR31" s="54"/>
      <c r="BS31" s="54"/>
      <c r="DZ31" s="55"/>
      <c r="EA31" s="55"/>
    </row>
    <row r="32" spans="1:131" ht="12.75" customHeight="1" x14ac:dyDescent="0.2">
      <c r="A32" s="56" t="s">
        <v>26</v>
      </c>
      <c r="B32" s="181" t="str">
        <f>IF(ISTEXT(VLOOKUP(CONCATENATE($A32,"_",B$3),'Unit List'!$A$23:$H$3172,2,FALSE)),"+","")</f>
        <v/>
      </c>
      <c r="C32" s="82" t="str">
        <f>IF(ISTEXT(VLOOKUP(CONCATENATE($A32,"_",C$3),'Unit List'!$A$23:$H$3172,2,FALSE)),"X",$B32)</f>
        <v>X</v>
      </c>
      <c r="D32" s="67" t="str">
        <f>IF(ISTEXT(VLOOKUP(CONCATENATE($A32,"_",D$3),'Unit List'!$A$23:$H$3172,2,FALSE)),"X",$B32)</f>
        <v>X</v>
      </c>
      <c r="E32" s="51" t="str">
        <f>IF(ISTEXT(VLOOKUP(CONCATENATE($A32,"_",E$3),'Unit List'!$A$23:$H$3172,2,FALSE)),"X",$B32)</f>
        <v>X</v>
      </c>
      <c r="F32" s="67" t="str">
        <f>IF(ISTEXT(VLOOKUP(CONCATENATE($A32,"_",F$3),'Unit List'!$A$23:$H$3172,2,FALSE)),"X",$B32)</f>
        <v>X</v>
      </c>
      <c r="G32" s="67" t="str">
        <f>IF(ISTEXT(VLOOKUP(CONCATENATE($A32,"_",G$3),'Unit List'!$A$23:$H$3172,2,FALSE)),"X",$B32)</f>
        <v>X</v>
      </c>
      <c r="H32" s="67" t="str">
        <f>IF(ISTEXT(VLOOKUP(CONCATENATE($A32,"_",H$3),'Unit List'!$A$23:$H$3172,2,FALSE)),"X",$B32)</f>
        <v>X</v>
      </c>
      <c r="I32" s="53" t="str">
        <f>IF(ISTEXT(VLOOKUP(CONCATENATE($A32,"_",I$3),'Unit List'!$A$23:$H$3172,2,FALSE)),"X",$B32)</f>
        <v/>
      </c>
      <c r="J32" s="172" t="str">
        <f>IF(ISTEXT(VLOOKUP(CONCATENATE($A32,"_",J$3),'Unit List'!$A$23:$H$3172,2,FALSE)),"+","")</f>
        <v>+</v>
      </c>
      <c r="K32" s="72" t="s">
        <v>0</v>
      </c>
      <c r="L32" s="86" t="str">
        <f>IF(ISTEXT(VLOOKUP(CONCATENATE($A32,"_",L$3),'Unit List'!$A$23:$H$3172,2,FALSE)),"X",$J32)</f>
        <v>+</v>
      </c>
      <c r="M32" s="172" t="str">
        <f>IF(ISTEXT(VLOOKUP(CONCATENATE($A32,"_",M$3),'Unit List'!$A$23:$H$3172,2,FALSE)),"+","")</f>
        <v/>
      </c>
      <c r="N32" s="51" t="str">
        <f>IF(ISTEXT(VLOOKUP(CONCATENATE($A32,"_",N$3),'Unit List'!$A$23:$H$3172,2,FALSE)),"X",$M32)</f>
        <v>X</v>
      </c>
      <c r="O32" s="70" t="str">
        <f>IF(ISTEXT(VLOOKUP(CONCATENATE($A32,"_",O$3),'Unit List'!$A$23:$H$3172,2,FALSE)),"X",$M32)</f>
        <v>X</v>
      </c>
      <c r="P32" s="171" t="str">
        <f>IF(ISTEXT(VLOOKUP(CONCATENATE($A32,"_",P$3),'Unit List'!$A$23:$H$3172,2,FALSE)),"+","")</f>
        <v>+</v>
      </c>
      <c r="Q32" s="51" t="str">
        <f>IF(ISTEXT(VLOOKUP(CONCATENATE($A32,"_",Q$3),'Unit List'!$A$23:$H$3172,2,FALSE)),"X",$P32)</f>
        <v>+</v>
      </c>
      <c r="R32" s="67" t="str">
        <f>IF(ISTEXT(VLOOKUP(CONCATENATE($A32,"_",R$3),'Unit List'!$A$23:$H$3172,2,FALSE)),"X",$P32)</f>
        <v>X</v>
      </c>
      <c r="S32" s="67" t="str">
        <f>IF(ISTEXT(VLOOKUP(CONCATENATE($A32,"_",S$3),'Unit List'!$A$23:$H$3172,2,FALSE)),"X",$P32)</f>
        <v>X</v>
      </c>
      <c r="T32" s="52" t="str">
        <f>IF(ISTEXT(VLOOKUP(CONCATENATE($A32,"_",T$3),'Unit List'!$A$23:$H$3172,2,FALSE)),"X",$P32)</f>
        <v>X</v>
      </c>
      <c r="U32" s="67" t="str">
        <f>IF(ISTEXT(VLOOKUP(CONCATENATE($A32,"_",U$3),'Unit List'!$A$23:$H$3172,2,FALSE)),"X",$P32)</f>
        <v>X</v>
      </c>
      <c r="V32" s="67" t="str">
        <f>IF(ISTEXT(VLOOKUP(CONCATENATE($A32,"_",V$3),'Unit List'!$A$23:$H$3172,2,FALSE)),"X",$P32)</f>
        <v>X</v>
      </c>
      <c r="W32" s="53" t="str">
        <f>IF(ISTEXT(VLOOKUP(CONCATENATE($A32,"_",W$3),'Unit List'!$A$23:$H$3172,2,FALSE)),"X",$P32)</f>
        <v>+</v>
      </c>
      <c r="X32" s="171" t="str">
        <f>IF(ISTEXT(VLOOKUP(CONCATENATE($A32,"_",X$3),'Unit List'!$A$23:$H$3172,2,FALSE)),"+","")</f>
        <v>+</v>
      </c>
      <c r="Y32" s="67" t="str">
        <f>IF(ISTEXT(VLOOKUP(CONCATENATE($A32,"_",Y$3),'Unit List'!$A$23:$H$3172,2,FALSE)),"X",$X32)</f>
        <v>X</v>
      </c>
      <c r="Z32" s="51" t="str">
        <f>IF(ISTEXT(VLOOKUP(CONCATENATE($A32,"_",Z$3),'Unit List'!$A$23:$H$3172,2,FALSE)),"X",$X32)</f>
        <v>+</v>
      </c>
      <c r="AA32" s="67" t="str">
        <f>IF(ISTEXT(VLOOKUP(CONCATENATE($A32,"_",AA$3),'Unit List'!$A$23:$H$3172,2,FALSE)),"X",$X32)</f>
        <v>X</v>
      </c>
      <c r="AB32" s="67" t="str">
        <f>IF(ISTEXT(VLOOKUP(CONCATENATE($A32,"_",AB$3),'Unit List'!$A$23:$H$3172,2,FALSE)),"X",$X32)</f>
        <v>X</v>
      </c>
      <c r="AC32" s="86" t="str">
        <f>IF(ISTEXT(VLOOKUP(CONCATENATE($A32,"_",AC$3),'Unit List'!$A$23:$H$3172,2,FALSE)),"X",$X32)</f>
        <v>X</v>
      </c>
      <c r="AD32" s="171" t="str">
        <f>IF(ISTEXT(VLOOKUP(CONCATENATE($A32,"_",AD$3),'Unit List'!$A$23:$H$3172,2,FALSE)),"+","")</f>
        <v>+</v>
      </c>
      <c r="AE32" s="51" t="str">
        <f>IF(ISTEXT(VLOOKUP(CONCATENATE($A32,"_",AE$3),'Unit List'!$A$23:$H$3172,2,FALSE)),"X",$AD32)</f>
        <v>+</v>
      </c>
      <c r="AF32" s="51" t="str">
        <f>IF(ISTEXT(VLOOKUP(CONCATENATE($A32,"_",AF$3),'Unit List'!$A$23:$H$3172,2,FALSE)),"X",$AD32)</f>
        <v>X</v>
      </c>
      <c r="AG32" s="171" t="str">
        <f>IF(ISTEXT(VLOOKUP(CONCATENATE($A32,"_",AG$3),'Unit List'!$A$23:$H$3172,2,FALSE)),"+","")</f>
        <v>+</v>
      </c>
      <c r="AH32" s="67" t="str">
        <f>IF(ISTEXT(VLOOKUP(CONCATENATE($A32,"_",AH$3),'Unit List'!$A$23:$H$3172,2,FALSE)),"X",$AG32)</f>
        <v>X</v>
      </c>
      <c r="AI32" s="67" t="str">
        <f>IF(ISTEXT(VLOOKUP(CONCATENATE($A32,"_",AI$3),'Unit List'!$A$23:$H$3172,2,FALSE)),"X",$AG32)</f>
        <v>X</v>
      </c>
      <c r="AJ32" s="53" t="str">
        <f>IF(ISTEXT(VLOOKUP(CONCATENATE($A32,"_",AJ$3),'Unit List'!$A$23:$H$3172,2,FALSE)),"X",$AG32)</f>
        <v>+</v>
      </c>
      <c r="AK32" s="171" t="str">
        <f>IF(ISTEXT(VLOOKUP(CONCATENATE($A32,"_",AK$3),'Unit List'!$A$23:$H$3172,2,FALSE)),"+","")</f>
        <v>+</v>
      </c>
      <c r="AL32" s="52" t="str">
        <f>IF(ISTEXT(VLOOKUP(CONCATENATE($A32,"_",AL$3),'Unit List'!$A$23:$H$3172,2,FALSE)),"X",$AK32)</f>
        <v>X</v>
      </c>
      <c r="AM32" s="70" t="str">
        <f>IF(ISTEXT(VLOOKUP(CONCATENATE($A32,"_",AM$3),'Unit List'!$A$23:$H$3172,2,FALSE)),"X",$AK32)</f>
        <v>X</v>
      </c>
      <c r="AN32" s="125" t="str">
        <f>IF(ISTEXT(VLOOKUP(CONCATENATE($A32,"_",AN$3),'Unit List'!$A$23:$H$3172,2,FALSE)),"+","")</f>
        <v>+</v>
      </c>
      <c r="AO32" s="70" t="str">
        <f>IF(ISTEXT(VLOOKUP(CONCATENATE($A32,"_",AO$3),'Unit List'!$A$23:$H$3172,2,FALSE)),"X",$AN32)</f>
        <v>+</v>
      </c>
      <c r="AP32" s="171" t="str">
        <f>IF(ISTEXT(VLOOKUP(CONCATENATE($A32,"_",AP$3),'Unit List'!$A$23:$H$3172,2,FALSE)),"+","")</f>
        <v>+</v>
      </c>
      <c r="AQ32" s="67" t="str">
        <f>IF(ISTEXT(VLOOKUP(CONCATENATE($A32,"_",AQ$3),'Unit List'!$A$23:$H$3172,2,FALSE)),"X",$AP32)</f>
        <v>X</v>
      </c>
      <c r="AR32" s="89" t="s">
        <v>3</v>
      </c>
      <c r="AS32" s="67" t="str">
        <f>IF(ISTEXT(VLOOKUP(CONCATENATE($A32,"_",AS$3),'Unit List'!$A$23:$H$3172,2,FALSE)),"X",$AP32)</f>
        <v>X</v>
      </c>
      <c r="AT32" s="70" t="str">
        <f>IF(ISTEXT(VLOOKUP(CONCATENATE($A32,"_",AT$3),'Unit List'!$A$23:$H$3172,2,FALSE)),"X",$AP32)</f>
        <v>X</v>
      </c>
      <c r="AU32" s="124" t="str">
        <f>IF(ISTEXT(VLOOKUP(CONCATENATE($A32,"_",AU$3),'Unit List'!$A$23:$H$3172,2,FALSE)),"+","")</f>
        <v>+</v>
      </c>
      <c r="AV32" s="51" t="str">
        <f>IF(ISTEXT(VLOOKUP(CONCATENATE($A32,"_",AV$3),'Unit List'!$A$23:$H$3172,2,FALSE)),"X",$AU32)</f>
        <v>+</v>
      </c>
      <c r="AW32" s="53" t="str">
        <f>IF(ISTEXT(VLOOKUP(CONCATENATE($A32,"_",AW$3),'Unit List'!$A$23:$H$3172,2,FALSE)),"X",$AU32)</f>
        <v>+</v>
      </c>
      <c r="AX32" s="171" t="str">
        <f>IF(ISTEXT(VLOOKUP(CONCATENATE($A32,"_",AX$3),'Unit List'!$A$23:$H$3172,2,FALSE)),"+","")</f>
        <v>+</v>
      </c>
      <c r="AY32" s="67" t="str">
        <f>IF(ISTEXT(VLOOKUP(CONCATENATE($A32,"_",AY$3),'Unit List'!$A$23:$H$3172,2,FALSE)),"X",$AX32)</f>
        <v>X</v>
      </c>
      <c r="AZ32" s="70" t="str">
        <f>IF(ISTEXT(VLOOKUP(CONCATENATE($A32,"_",AZ$3),'Unit List'!$A$23:$H$3172,2,FALSE)),"X",$AX32)</f>
        <v>+</v>
      </c>
      <c r="BA32" s="171" t="str">
        <f>IF(ISTEXT(VLOOKUP(CONCATENATE($A32,"_",BA$3),'Unit List'!$A$23:$H$3172,2,FALSE)),"+","")</f>
        <v>+</v>
      </c>
      <c r="BB32" s="67" t="str">
        <f>IF(ISTEXT(VLOOKUP(CONCATENATE($A32,"_",BB$3),'Unit List'!$A$23:$H$3172,2,FALSE)),"X",$BA32)</f>
        <v>X</v>
      </c>
      <c r="BC32" s="67" t="str">
        <f>IF(ISTEXT(VLOOKUP(CONCATENATE($A32,"_",BC$3),'Unit List'!$A$23:$H$3172,2,FALSE)),"X",$BA32)</f>
        <v>X</v>
      </c>
      <c r="BD32" s="70" t="str">
        <f>IF(ISTEXT(VLOOKUP(CONCATENATE($A32,"_",BD$3),'Unit List'!$A$23:$H$3172,2,FALSE)),"X",$BA32)</f>
        <v>X</v>
      </c>
      <c r="BE32" s="125" t="str">
        <f>IF(ISTEXT(VLOOKUP(CONCATENATE($A32,"_",BE$3),'Unit List'!$A$23:$H$3172,2,FALSE)),"+","")</f>
        <v>+</v>
      </c>
      <c r="BF32" s="86" t="str">
        <f>IF(ISTEXT(VLOOKUP(CONCATENATE($A32,"_",BF$3),'Unit List'!$A$23:$H$3172,2,FALSE)),"X",$BE32)</f>
        <v>+</v>
      </c>
      <c r="BG32" s="75"/>
      <c r="BH32" s="84"/>
      <c r="BI32" s="225" t="s">
        <v>2394</v>
      </c>
      <c r="BJ32" s="228"/>
      <c r="BK32" s="228"/>
      <c r="BL32" s="228"/>
      <c r="BM32" s="229"/>
      <c r="BN32" s="54"/>
      <c r="BO32" s="54"/>
      <c r="BP32" s="54"/>
      <c r="BQ32" s="54"/>
      <c r="BR32" s="54"/>
      <c r="BS32" s="54"/>
      <c r="DZ32" s="55"/>
      <c r="EA32" s="55"/>
    </row>
    <row r="33" spans="1:131" ht="12.75" customHeight="1" x14ac:dyDescent="0.2">
      <c r="A33" s="56" t="s">
        <v>1277</v>
      </c>
      <c r="B33" s="181" t="str">
        <f>IF(ISTEXT(VLOOKUP(CONCATENATE($A33,"_",B$3),'Unit List'!$A$23:$H$3172,2,FALSE)),"+","")</f>
        <v/>
      </c>
      <c r="C33" s="57" t="str">
        <f>IF(ISTEXT(VLOOKUP(CONCATENATE($A33,"_",C$3),'Unit List'!$A$23:$H$3172,2,FALSE)),"X",$B33)</f>
        <v/>
      </c>
      <c r="D33" s="51" t="str">
        <f>IF(ISTEXT(VLOOKUP(CONCATENATE($A33,"_",D$3),'Unit List'!$A$23:$H$3172,2,FALSE)),"X",$B33)</f>
        <v/>
      </c>
      <c r="E33" s="51" t="str">
        <f>IF(ISTEXT(VLOOKUP(CONCATENATE($A33,"_",E$3),'Unit List'!$A$23:$H$3172,2,FALSE)),"X",$B33)</f>
        <v/>
      </c>
      <c r="F33" s="51" t="str">
        <f>IF(ISTEXT(VLOOKUP(CONCATENATE($A33,"_",F$3),'Unit List'!$A$23:$H$3172,2,FALSE)),"X",$B33)</f>
        <v/>
      </c>
      <c r="G33" s="51" t="str">
        <f>IF(ISTEXT(VLOOKUP(CONCATENATE($A33,"_",G$3),'Unit List'!$A$23:$H$3172,2,FALSE)),"X",$B33)</f>
        <v/>
      </c>
      <c r="H33" s="51" t="str">
        <f>IF(ISTEXT(VLOOKUP(CONCATENATE($A33,"_",H$3),'Unit List'!$A$23:$H$3172,2,FALSE)),"X",$B33)</f>
        <v/>
      </c>
      <c r="I33" s="53" t="str">
        <f>IF(ISTEXT(VLOOKUP(CONCATENATE($A33,"_",I$3),'Unit List'!$A$23:$H$3172,2,FALSE)),"X",$B33)</f>
        <v/>
      </c>
      <c r="J33" s="172" t="str">
        <f>IF(ISTEXT(VLOOKUP(CONCATENATE($A33,"_",J$3),'Unit List'!$A$23:$H$3172,2,FALSE)),"+","")</f>
        <v/>
      </c>
      <c r="K33" s="51" t="str">
        <f>IF(ISTEXT(VLOOKUP(CONCATENATE($A33,"_",K$3),'Unit List'!$A$23:$H$3172,2,FALSE)),"X",$J33)</f>
        <v/>
      </c>
      <c r="L33" s="62" t="str">
        <f>IF(ISTEXT(VLOOKUP(CONCATENATE($A33,"_",L$3),'Unit List'!$A$23:$H$3172,2,FALSE)),"X",$J33)</f>
        <v/>
      </c>
      <c r="M33" s="172" t="str">
        <f>IF(ISTEXT(VLOOKUP(CONCATENATE($A33,"_",M$3),'Unit List'!$A$23:$H$3172,2,FALSE)),"+","")</f>
        <v/>
      </c>
      <c r="N33" s="51" t="str">
        <f>IF(ISTEXT(VLOOKUP(CONCATENATE($A33,"_",N$3),'Unit List'!$A$23:$H$3172,2,FALSE)),"X",$M33)</f>
        <v/>
      </c>
      <c r="O33" s="53" t="str">
        <f>IF(ISTEXT(VLOOKUP(CONCATENATE($A33,"_",O$3),'Unit List'!$A$23:$H$3172,2,FALSE)),"X",$M33)</f>
        <v/>
      </c>
      <c r="P33" s="172" t="str">
        <f>IF(ISTEXT(VLOOKUP(CONCATENATE($A33,"_",P$3),'Unit List'!$A$23:$H$3172,2,FALSE)),"+","")</f>
        <v/>
      </c>
      <c r="Q33" s="51" t="str">
        <f>IF(ISTEXT(VLOOKUP(CONCATENATE($A33,"_",Q$3),'Unit List'!$A$23:$H$3172,2,FALSE)),"X",$P33)</f>
        <v/>
      </c>
      <c r="R33" s="51" t="str">
        <f>IF(ISTEXT(VLOOKUP(CONCATENATE($A33,"_",R$3),'Unit List'!$A$23:$H$3172,2,FALSE)),"X",$P33)</f>
        <v/>
      </c>
      <c r="S33" s="51" t="str">
        <f>IF(ISTEXT(VLOOKUP(CONCATENATE($A33,"_",S$3),'Unit List'!$A$23:$H$3172,2,FALSE)),"X",$P33)</f>
        <v/>
      </c>
      <c r="T33" s="52" t="str">
        <f>IF(ISTEXT(VLOOKUP(CONCATENATE($A33,"_",T$3),'Unit List'!$A$23:$H$3172,2,FALSE)),"X",$P33)</f>
        <v/>
      </c>
      <c r="U33" s="51" t="str">
        <f>IF(ISTEXT(VLOOKUP(CONCATENATE($A33,"_",U$3),'Unit List'!$A$23:$H$3172,2,FALSE)),"X",$P33)</f>
        <v/>
      </c>
      <c r="V33" s="51" t="str">
        <f>IF(ISTEXT(VLOOKUP(CONCATENATE($A33,"_",V$3),'Unit List'!$A$23:$H$3172,2,FALSE)),"X",$P33)</f>
        <v/>
      </c>
      <c r="W33" s="53" t="str">
        <f>IF(ISTEXT(VLOOKUP(CONCATENATE($A33,"_",W$3),'Unit List'!$A$23:$H$3172,2,FALSE)),"X",$P33)</f>
        <v/>
      </c>
      <c r="X33" s="172" t="str">
        <f>IF(ISTEXT(VLOOKUP(CONCATENATE($A33,"_",X$3),'Unit List'!$A$23:$H$3172,2,FALSE)),"+","")</f>
        <v/>
      </c>
      <c r="Y33" s="51" t="str">
        <f>IF(ISTEXT(VLOOKUP(CONCATENATE($A33,"_",Y$3),'Unit List'!$A$23:$H$3172,2,FALSE)),"X",$X33)</f>
        <v/>
      </c>
      <c r="Z33" s="51" t="str">
        <f>IF(ISTEXT(VLOOKUP(CONCATENATE($A33,"_",Z$3),'Unit List'!$A$23:$H$3172,2,FALSE)),"X",$X33)</f>
        <v/>
      </c>
      <c r="AA33" s="51" t="str">
        <f>IF(ISTEXT(VLOOKUP(CONCATENATE($A33,"_",AA$3),'Unit List'!$A$23:$H$3172,2,FALSE)),"X",$X33)</f>
        <v/>
      </c>
      <c r="AB33" s="51" t="str">
        <f>IF(ISTEXT(VLOOKUP(CONCATENATE($A33,"_",AB$3),'Unit List'!$A$23:$H$3172,2,FALSE)),"X",$X33)</f>
        <v/>
      </c>
      <c r="AC33" s="62" t="str">
        <f>IF(ISTEXT(VLOOKUP(CONCATENATE($A33,"_",AC$3),'Unit List'!$A$23:$H$3172,2,FALSE)),"X",$X33)</f>
        <v/>
      </c>
      <c r="AD33" s="172" t="str">
        <f>IF(ISTEXT(VLOOKUP(CONCATENATE($A33,"_",AD$3),'Unit List'!$A$23:$H$3172,2,FALSE)),"+","")</f>
        <v/>
      </c>
      <c r="AE33" s="51" t="str">
        <f>IF(ISTEXT(VLOOKUP(CONCATENATE($A33,"_",AE$3),'Unit List'!$A$23:$H$3172,2,FALSE)),"X",$AD33)</f>
        <v/>
      </c>
      <c r="AF33" s="51" t="str">
        <f>IF(ISTEXT(VLOOKUP(CONCATENATE($A33,"_",AF$3),'Unit List'!$A$23:$H$3172,2,FALSE)),"X",$AD33)</f>
        <v/>
      </c>
      <c r="AG33" s="172" t="str">
        <f>IF(ISTEXT(VLOOKUP(CONCATENATE($A33,"_",AG$3),'Unit List'!$A$23:$H$3172,2,FALSE)),"+","")</f>
        <v/>
      </c>
      <c r="AH33" s="51" t="str">
        <f>IF(ISTEXT(VLOOKUP(CONCATENATE($A33,"_",AH$3),'Unit List'!$A$23:$H$3172,2,FALSE)),"X",$AG33)</f>
        <v/>
      </c>
      <c r="AI33" s="51" t="str">
        <f>IF(ISTEXT(VLOOKUP(CONCATENATE($A33,"_",AI$3),'Unit List'!$A$23:$H$3172,2,FALSE)),"X",$AG33)</f>
        <v/>
      </c>
      <c r="AJ33" s="53" t="str">
        <f>IF(ISTEXT(VLOOKUP(CONCATENATE($A33,"_",AJ$3),'Unit List'!$A$23:$H$3172,2,FALSE)),"X",$AG33)</f>
        <v/>
      </c>
      <c r="AK33" s="172" t="str">
        <f>IF(ISTEXT(VLOOKUP(CONCATENATE($A33,"_",AK$3),'Unit List'!$A$23:$H$3172,2,FALSE)),"+","")</f>
        <v/>
      </c>
      <c r="AL33" s="52" t="str">
        <f>IF(ISTEXT(VLOOKUP(CONCATENATE($A33,"_",AL$3),'Unit List'!$A$23:$H$3172,2,FALSE)),"X",$AK33)</f>
        <v/>
      </c>
      <c r="AM33" s="53" t="str">
        <f>IF(ISTEXT(VLOOKUP(CONCATENATE($A33,"_",AM$3),'Unit List'!$A$23:$H$3172,2,FALSE)),"X",$AK33)</f>
        <v/>
      </c>
      <c r="AN33" s="125" t="str">
        <f>IF(ISTEXT(VLOOKUP(CONCATENATE($A33,"_",AN$3),'Unit List'!$A$23:$H$3172,2,FALSE)),"+","")</f>
        <v/>
      </c>
      <c r="AO33" s="53" t="str">
        <f>IF(ISTEXT(VLOOKUP(CONCATENATE($A33,"_",AO$3),'Unit List'!$A$23:$H$3172,2,FALSE)),"X",$AN33)</f>
        <v/>
      </c>
      <c r="AP33" s="172" t="str">
        <f>IF(ISTEXT(VLOOKUP(CONCATENATE($A33,"_",AP$3),'Unit List'!$A$23:$H$3172,2,FALSE)),"+","")</f>
        <v/>
      </c>
      <c r="AQ33" s="51" t="str">
        <f>IF(ISTEXT(VLOOKUP(CONCATENATE($A33,"_",AQ$3),'Unit List'!$A$23:$H$3172,2,FALSE)),"X",$AP33)</f>
        <v/>
      </c>
      <c r="AR33" s="51" t="str">
        <f>IF(ISTEXT(VLOOKUP(CONCATENATE($A33,"_",AR$3),'Unit List'!$A$23:$H$3172,2,FALSE)),"X",$AP33)</f>
        <v/>
      </c>
      <c r="AS33" s="51" t="str">
        <f>IF(ISTEXT(VLOOKUP(CONCATENATE($A33,"_",AS$3),'Unit List'!$A$23:$H$3172,2,FALSE)),"X",$AP33)</f>
        <v/>
      </c>
      <c r="AT33" s="53" t="str">
        <f>IF(ISTEXT(VLOOKUP(CONCATENATE($A33,"_",AT$3),'Unit List'!$A$23:$H$3172,2,FALSE)),"X",$AP33)</f>
        <v/>
      </c>
      <c r="AU33" s="124" t="str">
        <f>IF(ISTEXT(VLOOKUP(CONCATENATE($A33,"_",AU$3),'Unit List'!$A$23:$H$3172,2,FALSE)),"+","")</f>
        <v/>
      </c>
      <c r="AV33" s="51" t="str">
        <f>IF(ISTEXT(VLOOKUP(CONCATENATE($A33,"_",AV$3),'Unit List'!$A$23:$H$3172,2,FALSE)),"X",$AU33)</f>
        <v/>
      </c>
      <c r="AW33" s="53" t="str">
        <f>IF(ISTEXT(VLOOKUP(CONCATENATE($A33,"_",AW$3),'Unit List'!$A$23:$H$3172,2,FALSE)),"X",$AU33)</f>
        <v/>
      </c>
      <c r="AX33" s="172" t="str">
        <f>IF(ISTEXT(VLOOKUP(CONCATENATE($A33,"_",AX$3),'Unit List'!$A$23:$H$3172,2,FALSE)),"+","")</f>
        <v/>
      </c>
      <c r="AY33" s="51" t="str">
        <f>IF(ISTEXT(VLOOKUP(CONCATENATE($A33,"_",AY$3),'Unit List'!$A$23:$H$3172,2,FALSE)),"X",$AX33)</f>
        <v/>
      </c>
      <c r="AZ33" s="53" t="str">
        <f>IF(ISTEXT(VLOOKUP(CONCATENATE($A33,"_",AZ$3),'Unit List'!$A$23:$H$3172,2,FALSE)),"X",$AX33)</f>
        <v/>
      </c>
      <c r="BA33" s="182" t="str">
        <f>IF(ISTEXT(VLOOKUP(CONCATENATE($A33,"_",BA$3),'Unit List'!$A$23:$H$3172,2,FALSE)),"+","")</f>
        <v/>
      </c>
      <c r="BB33" s="51" t="str">
        <f>IF(ISTEXT(VLOOKUP(CONCATENATE($A33,"_",BB$3),'Unit List'!$A$23:$H$3172,2,FALSE)),"X",$BA33)</f>
        <v/>
      </c>
      <c r="BC33" s="51" t="str">
        <f>IF(ISTEXT(VLOOKUP(CONCATENATE($A33,"_",BC$3),'Unit List'!$A$23:$H$3172,2,FALSE)),"X",$BA33)</f>
        <v/>
      </c>
      <c r="BD33" s="53" t="str">
        <f>IF(ISTEXT(VLOOKUP(CONCATENATE($A33,"_",BD$3),'Unit List'!$A$23:$H$3172,2,FALSE)),"X",$BA33)</f>
        <v/>
      </c>
      <c r="BE33" s="125" t="str">
        <f>IF(ISTEXT(VLOOKUP(CONCATENATE($A33,"_",BE$3),'Unit List'!$A$23:$H$3172,2,FALSE)),"+","")</f>
        <v/>
      </c>
      <c r="BF33" s="62" t="str">
        <f>IF(ISTEXT(VLOOKUP(CONCATENATE($A33,"_",BF$3),'Unit List'!$A$23:$H$3172,2,FALSE)),"X",$BE33)</f>
        <v/>
      </c>
      <c r="BG33" s="75"/>
      <c r="BH33" s="84"/>
      <c r="BI33" s="225"/>
      <c r="BJ33" s="226"/>
      <c r="BK33" s="226"/>
      <c r="BL33" s="226"/>
      <c r="BM33" s="227"/>
      <c r="BN33" s="54"/>
      <c r="BO33" s="54"/>
      <c r="BP33" s="54"/>
      <c r="BQ33" s="54"/>
      <c r="BR33" s="54"/>
      <c r="BS33" s="54"/>
      <c r="DZ33" s="55"/>
      <c r="EA33" s="55"/>
    </row>
    <row r="34" spans="1:131" ht="12.75" customHeight="1" x14ac:dyDescent="0.2">
      <c r="A34" s="56" t="s">
        <v>11</v>
      </c>
      <c r="B34" s="181" t="str">
        <f>IF(ISTEXT(VLOOKUP(CONCATENATE($A34,"_",B$3),'Unit List'!$A$23:$H$3172,2,FALSE)),"+","")</f>
        <v/>
      </c>
      <c r="C34" s="57" t="str">
        <f>IF(ISTEXT(VLOOKUP(CONCATENATE($A34,"_",C$3),'Unit List'!$A$23:$H$3172,2,FALSE)),"X",$B34)</f>
        <v/>
      </c>
      <c r="D34" s="51" t="str">
        <f>IF(ISTEXT(VLOOKUP(CONCATENATE($A34,"_",D$3),'Unit List'!$A$23:$H$3172,2,FALSE)),"X",$B34)</f>
        <v/>
      </c>
      <c r="E34" s="51" t="str">
        <f>IF(ISTEXT(VLOOKUP(CONCATENATE($A34,"_",E$3),'Unit List'!$A$23:$H$3172,2,FALSE)),"X",$B34)</f>
        <v>X</v>
      </c>
      <c r="F34" s="51" t="str">
        <f>IF(ISTEXT(VLOOKUP(CONCATENATE($A34,"_",F$3),'Unit List'!$A$23:$H$3172,2,FALSE)),"X",$B34)</f>
        <v>X</v>
      </c>
      <c r="G34" s="51" t="str">
        <f>IF(ISTEXT(VLOOKUP(CONCATENATE($A34,"_",G$3),'Unit List'!$A$23:$H$3172,2,FALSE)),"X",$B34)</f>
        <v/>
      </c>
      <c r="H34" s="67" t="str">
        <f>IF(ISTEXT(VLOOKUP(CONCATENATE($A34,"_",H$3),'Unit List'!$A$23:$H$3172,2,FALSE)),"X",$B34)</f>
        <v/>
      </c>
      <c r="I34" s="53" t="str">
        <f>IF(ISTEXT(VLOOKUP(CONCATENATE($A34,"_",I$3),'Unit List'!$A$23:$H$3172,2,FALSE)),"X",$B34)</f>
        <v/>
      </c>
      <c r="J34" s="172" t="str">
        <f>IF(ISTEXT(VLOOKUP(CONCATENATE($A34,"_",J$3),'Unit List'!$A$23:$H$3172,2,FALSE)),"+","")</f>
        <v>+</v>
      </c>
      <c r="K34" s="51" t="str">
        <f>IF(ISTEXT(VLOOKUP(CONCATENATE($A34,"_",K$3),'Unit List'!$A$23:$H$3172,2,FALSE)),"X",$J34)</f>
        <v>+</v>
      </c>
      <c r="L34" s="62" t="str">
        <f>IF(ISTEXT(VLOOKUP(CONCATENATE($A34,"_",L$3),'Unit List'!$A$23:$H$3172,2,FALSE)),"X",$J34)</f>
        <v>+</v>
      </c>
      <c r="M34" s="172" t="str">
        <f>IF(ISTEXT(VLOOKUP(CONCATENATE($A34,"_",M$3),'Unit List'!$A$23:$H$3172,2,FALSE)),"+","")</f>
        <v>+</v>
      </c>
      <c r="N34" s="51" t="str">
        <f>IF(ISTEXT(VLOOKUP(CONCATENATE($A34,"_",N$3),'Unit List'!$A$23:$H$3172,2,FALSE)),"X",$M34)</f>
        <v>+</v>
      </c>
      <c r="O34" s="53" t="str">
        <f>IF(ISTEXT(VLOOKUP(CONCATENATE($A34,"_",O$3),'Unit List'!$A$23:$H$3172,2,FALSE)),"X",$M34)</f>
        <v>X</v>
      </c>
      <c r="P34" s="172" t="str">
        <f>IF(ISTEXT(VLOOKUP(CONCATENATE($A34,"_",P$3),'Unit List'!$A$23:$H$3172,2,FALSE)),"+","")</f>
        <v/>
      </c>
      <c r="Q34" s="51" t="str">
        <f>IF(ISTEXT(VLOOKUP(CONCATENATE($A34,"_",Q$3),'Unit List'!$A$23:$H$3172,2,FALSE)),"X",$P34)</f>
        <v/>
      </c>
      <c r="R34" s="51" t="str">
        <f>IF(ISTEXT(VLOOKUP(CONCATENATE($A34,"_",R$3),'Unit List'!$A$23:$H$3172,2,FALSE)),"X",$P34)</f>
        <v/>
      </c>
      <c r="S34" s="51" t="str">
        <f>IF(ISTEXT(VLOOKUP(CONCATENATE($A34,"_",S$3),'Unit List'!$A$23:$H$3172,2,FALSE)),"X",$P34)</f>
        <v/>
      </c>
      <c r="T34" s="52" t="str">
        <f>IF(ISTEXT(VLOOKUP(CONCATENATE($A34,"_",T$3),'Unit List'!$A$23:$H$3172,2,FALSE)),"X",$P34)</f>
        <v/>
      </c>
      <c r="U34" s="51" t="str">
        <f>IF(ISTEXT(VLOOKUP(CONCATENATE($A34,"_",U$3),'Unit List'!$A$23:$H$3172,2,FALSE)),"X",$P34)</f>
        <v/>
      </c>
      <c r="V34" s="51" t="str">
        <f>IF(ISTEXT(VLOOKUP(CONCATENATE($A34,"_",V$3),'Unit List'!$A$23:$H$3172,2,FALSE)),"X",$P34)</f>
        <v/>
      </c>
      <c r="W34" s="53" t="str">
        <f>IF(ISTEXT(VLOOKUP(CONCATENATE($A34,"_",W$3),'Unit List'!$A$23:$H$3172,2,FALSE)),"X",$P34)</f>
        <v/>
      </c>
      <c r="X34" s="172" t="str">
        <f>IF(ISTEXT(VLOOKUP(CONCATENATE($A34,"_",X$3),'Unit List'!$A$23:$H$3172,2,FALSE)),"+","")</f>
        <v>+</v>
      </c>
      <c r="Y34" s="51" t="str">
        <f>IF(ISTEXT(VLOOKUP(CONCATENATE($A34,"_",Y$3),'Unit List'!$A$23:$H$3172,2,FALSE)),"X",$X34)</f>
        <v>+</v>
      </c>
      <c r="Z34" s="51" t="str">
        <f>IF(ISTEXT(VLOOKUP(CONCATENATE($A34,"_",Z$3),'Unit List'!$A$23:$H$3172,2,FALSE)),"X",$X34)</f>
        <v>+</v>
      </c>
      <c r="AA34" s="51" t="str">
        <f>IF(ISTEXT(VLOOKUP(CONCATENATE($A34,"_",AA$3),'Unit List'!$A$23:$H$3172,2,FALSE)),"X",$X34)</f>
        <v>+</v>
      </c>
      <c r="AB34" s="51" t="str">
        <f>IF(ISTEXT(VLOOKUP(CONCATENATE($A34,"_",AB$3),'Unit List'!$A$23:$H$3172,2,FALSE)),"X",$X34)</f>
        <v>+</v>
      </c>
      <c r="AC34" s="62" t="str">
        <f>IF(ISTEXT(VLOOKUP(CONCATENATE($A34,"_",AC$3),'Unit List'!$A$23:$H$3172,2,FALSE)),"X",$X34)</f>
        <v>+</v>
      </c>
      <c r="AD34" s="172" t="str">
        <f>IF(ISTEXT(VLOOKUP(CONCATENATE($A34,"_",AD$3),'Unit List'!$A$23:$H$3172,2,FALSE)),"+","")</f>
        <v/>
      </c>
      <c r="AE34" s="51" t="str">
        <f>IF(ISTEXT(VLOOKUP(CONCATENATE($A34,"_",AE$3),'Unit List'!$A$23:$H$3172,2,FALSE)),"X",$AD34)</f>
        <v/>
      </c>
      <c r="AF34" s="51" t="str">
        <f>IF(ISTEXT(VLOOKUP(CONCATENATE($A34,"_",AF$3),'Unit List'!$A$23:$H$3172,2,FALSE)),"X",$AD34)</f>
        <v/>
      </c>
      <c r="AG34" s="172" t="str">
        <f>IF(ISTEXT(VLOOKUP(CONCATENATE($A34,"_",AG$3),'Unit List'!$A$23:$H$3172,2,FALSE)),"+","")</f>
        <v>+</v>
      </c>
      <c r="AH34" s="51" t="str">
        <f>IF(ISTEXT(VLOOKUP(CONCATENATE($A34,"_",AH$3),'Unit List'!$A$23:$H$3172,2,FALSE)),"X",$AG34)</f>
        <v>+</v>
      </c>
      <c r="AI34" s="51" t="str">
        <f>IF(ISTEXT(VLOOKUP(CONCATENATE($A34,"_",AI$3),'Unit List'!$A$23:$H$3172,2,FALSE)),"X",$AG34)</f>
        <v>+</v>
      </c>
      <c r="AJ34" s="53" t="str">
        <f>IF(ISTEXT(VLOOKUP(CONCATENATE($A34,"_",AJ$3),'Unit List'!$A$23:$H$3172,2,FALSE)),"X",$AG34)</f>
        <v>+</v>
      </c>
      <c r="AK34" s="172" t="str">
        <f>IF(ISTEXT(VLOOKUP(CONCATENATE($A34,"_",AK$3),'Unit List'!$A$23:$H$3172,2,FALSE)),"+","")</f>
        <v>+</v>
      </c>
      <c r="AL34" s="52" t="str">
        <f>IF(ISTEXT(VLOOKUP(CONCATENATE($A34,"_",AL$3),'Unit List'!$A$23:$H$3172,2,FALSE)),"X",$AK34)</f>
        <v>+</v>
      </c>
      <c r="AM34" s="53" t="str">
        <f>IF(ISTEXT(VLOOKUP(CONCATENATE($A34,"_",AM$3),'Unit List'!$A$23:$H$3172,2,FALSE)),"X",$AK34)</f>
        <v>+</v>
      </c>
      <c r="AN34" s="125" t="str">
        <f>IF(ISTEXT(VLOOKUP(CONCATENATE($A34,"_",AN$3),'Unit List'!$A$23:$H$3172,2,FALSE)),"+","")</f>
        <v/>
      </c>
      <c r="AO34" s="53" t="str">
        <f>IF(ISTEXT(VLOOKUP(CONCATENATE($A34,"_",AO$3),'Unit List'!$A$23:$H$3172,2,FALSE)),"X",$AN34)</f>
        <v/>
      </c>
      <c r="AP34" s="172" t="str">
        <f>IF(ISTEXT(VLOOKUP(CONCATENATE($A34,"_",AP$3),'Unit List'!$A$23:$H$3172,2,FALSE)),"+","")</f>
        <v>+</v>
      </c>
      <c r="AQ34" s="51" t="str">
        <f>IF(ISTEXT(VLOOKUP(CONCATENATE($A34,"_",AQ$3),'Unit List'!$A$23:$H$3172,2,FALSE)),"X",$AP34)</f>
        <v>+</v>
      </c>
      <c r="AR34" s="51" t="str">
        <f>IF(ISTEXT(VLOOKUP(CONCATENATE($A34,"_",AR$3),'Unit List'!$A$23:$H$3172,2,FALSE)),"X",$AP34)</f>
        <v>+</v>
      </c>
      <c r="AS34" s="51" t="str">
        <f>IF(ISTEXT(VLOOKUP(CONCATENATE($A34,"_",AS$3),'Unit List'!$A$23:$H$3172,2,FALSE)),"X",$AP34)</f>
        <v>+</v>
      </c>
      <c r="AT34" s="53" t="str">
        <f>IF(ISTEXT(VLOOKUP(CONCATENATE($A34,"_",AT$3),'Unit List'!$A$23:$H$3172,2,FALSE)),"X",$AP34)</f>
        <v>+</v>
      </c>
      <c r="AU34" s="124" t="str">
        <f>IF(ISTEXT(VLOOKUP(CONCATENATE($A34,"_",AU$3),'Unit List'!$A$23:$H$3172,2,FALSE)),"+","")</f>
        <v>+</v>
      </c>
      <c r="AV34" s="51" t="str">
        <f>IF(ISTEXT(VLOOKUP(CONCATENATE($A34,"_",AV$3),'Unit List'!$A$23:$H$3172,2,FALSE)),"X",$AU34)</f>
        <v>+</v>
      </c>
      <c r="AW34" s="53" t="str">
        <f>IF(ISTEXT(VLOOKUP(CONCATENATE($A34,"_",AW$3),'Unit List'!$A$23:$H$3172,2,FALSE)),"X",$AU34)</f>
        <v>+</v>
      </c>
      <c r="AX34" s="172" t="str">
        <f>IF(ISTEXT(VLOOKUP(CONCATENATE($A34,"_",AX$3),'Unit List'!$A$23:$H$3172,2,FALSE)),"+","")</f>
        <v>+</v>
      </c>
      <c r="AY34" s="51" t="str">
        <f>IF(ISTEXT(VLOOKUP(CONCATENATE($A34,"_",AY$3),'Unit List'!$A$23:$H$3172,2,FALSE)),"X",$AX34)</f>
        <v>+</v>
      </c>
      <c r="AZ34" s="53" t="str">
        <f>IF(ISTEXT(VLOOKUP(CONCATENATE($A34,"_",AZ$3),'Unit List'!$A$23:$H$3172,2,FALSE)),"X",$AX34)</f>
        <v>+</v>
      </c>
      <c r="BA34" s="182" t="str">
        <f>IF(ISTEXT(VLOOKUP(CONCATENATE($A34,"_",BA$3),'Unit List'!$A$23:$H$3172,2,FALSE)),"+","")</f>
        <v>+</v>
      </c>
      <c r="BB34" s="51" t="str">
        <f>IF(ISTEXT(VLOOKUP(CONCATENATE($A34,"_",BB$3),'Unit List'!$A$23:$H$3172,2,FALSE)),"X",$BA34)</f>
        <v>+</v>
      </c>
      <c r="BC34" s="51" t="str">
        <f>IF(ISTEXT(VLOOKUP(CONCATENATE($A34,"_",BC$3),'Unit List'!$A$23:$H$3172,2,FALSE)),"X",$BA34)</f>
        <v>+</v>
      </c>
      <c r="BD34" s="53" t="str">
        <f>IF(ISTEXT(VLOOKUP(CONCATENATE($A34,"_",BD$3),'Unit List'!$A$23:$H$3172,2,FALSE)),"X",$BA34)</f>
        <v>+</v>
      </c>
      <c r="BE34" s="125" t="str">
        <f>IF(ISTEXT(VLOOKUP(CONCATENATE($A34,"_",BE$3),'Unit List'!$A$23:$H$3172,2,FALSE)),"+","")</f>
        <v>+</v>
      </c>
      <c r="BF34" s="62" t="str">
        <f>IF(ISTEXT(VLOOKUP(CONCATENATE($A34,"_",BF$3),'Unit List'!$A$23:$H$3172,2,FALSE)),"X",$BE34)</f>
        <v>+</v>
      </c>
      <c r="BG34" s="75"/>
      <c r="BH34" s="84"/>
      <c r="BI34" s="225"/>
      <c r="BJ34" s="226"/>
      <c r="BK34" s="226"/>
      <c r="BL34" s="226"/>
      <c r="BM34" s="227"/>
      <c r="BN34" s="54"/>
      <c r="BO34" s="54"/>
      <c r="BP34" s="54"/>
      <c r="BQ34" s="54"/>
      <c r="BR34" s="54"/>
      <c r="BS34" s="54"/>
      <c r="DZ34" s="55"/>
      <c r="EA34" s="55"/>
    </row>
    <row r="35" spans="1:131" ht="12.75" customHeight="1" x14ac:dyDescent="0.2">
      <c r="A35" s="56" t="s">
        <v>1144</v>
      </c>
      <c r="B35" s="181" t="str">
        <f>IF(ISTEXT(VLOOKUP(CONCATENATE($A35,"_",B$3),'Unit List'!$A$23:$H$3172,2,FALSE)),"+","")</f>
        <v/>
      </c>
      <c r="C35" s="57" t="str">
        <f>IF(ISTEXT(VLOOKUP(CONCATENATE($A35,"_",C$3),'Unit List'!$A$23:$H$3172,2,FALSE)),"X",$B35)</f>
        <v/>
      </c>
      <c r="D35" s="51" t="str">
        <f>IF(ISTEXT(VLOOKUP(CONCATENATE($A35,"_",D$3),'Unit List'!$A$23:$H$3172,2,FALSE)),"X",$B35)</f>
        <v/>
      </c>
      <c r="E35" s="51" t="str">
        <f>IF(ISTEXT(VLOOKUP(CONCATENATE($A35,"_",E$3),'Unit List'!$A$23:$H$3172,2,FALSE)),"X",$B35)</f>
        <v/>
      </c>
      <c r="F35" s="51" t="str">
        <f>IF(ISTEXT(VLOOKUP(CONCATENATE($A35,"_",F$3),'Unit List'!$A$23:$H$3172,2,FALSE)),"X",$B35)</f>
        <v/>
      </c>
      <c r="G35" s="51" t="str">
        <f>IF(ISTEXT(VLOOKUP(CONCATENATE($A35,"_",G$3),'Unit List'!$A$23:$H$3172,2,FALSE)),"X",$B35)</f>
        <v/>
      </c>
      <c r="H35" s="51" t="str">
        <f>IF(ISTEXT(VLOOKUP(CONCATENATE($A35,"_",H$3),'Unit List'!$A$23:$H$3172,2,FALSE)),"X",$B35)</f>
        <v/>
      </c>
      <c r="I35" s="53" t="str">
        <f>IF(ISTEXT(VLOOKUP(CONCATENATE($A35,"_",I$3),'Unit List'!$A$23:$H$3172,2,FALSE)),"X",$B35)</f>
        <v/>
      </c>
      <c r="J35" s="172" t="str">
        <f>IF(ISTEXT(VLOOKUP(CONCATENATE($A35,"_",J$3),'Unit List'!$A$23:$H$3172,2,FALSE)),"+","")</f>
        <v/>
      </c>
      <c r="K35" s="51" t="str">
        <f>IF(ISTEXT(VLOOKUP(CONCATENATE($A35,"_",K$3),'Unit List'!$A$23:$H$3172,2,FALSE)),"X",$J35)</f>
        <v/>
      </c>
      <c r="L35" s="62" t="str">
        <f>IF(ISTEXT(VLOOKUP(CONCATENATE($A35,"_",L$3),'Unit List'!$A$23:$H$3172,2,FALSE)),"X",$J35)</f>
        <v/>
      </c>
      <c r="M35" s="172" t="str">
        <f>IF(ISTEXT(VLOOKUP(CONCATENATE($A35,"_",M$3),'Unit List'!$A$23:$H$3172,2,FALSE)),"+","")</f>
        <v/>
      </c>
      <c r="N35" s="51" t="str">
        <f>IF(ISTEXT(VLOOKUP(CONCATENATE($A35,"_",N$3),'Unit List'!$A$23:$H$3172,2,FALSE)),"X",$M35)</f>
        <v/>
      </c>
      <c r="O35" s="53" t="str">
        <f>IF(ISTEXT(VLOOKUP(CONCATENATE($A35,"_",O$3),'Unit List'!$A$23:$H$3172,2,FALSE)),"X",$M35)</f>
        <v/>
      </c>
      <c r="P35" s="172" t="str">
        <f>IF(ISTEXT(VLOOKUP(CONCATENATE($A35,"_",P$3),'Unit List'!$A$23:$H$3172,2,FALSE)),"+","")</f>
        <v/>
      </c>
      <c r="Q35" s="51" t="str">
        <f>IF(ISTEXT(VLOOKUP(CONCATENATE($A35,"_",Q$3),'Unit List'!$A$23:$H$3172,2,FALSE)),"X",$P35)</f>
        <v/>
      </c>
      <c r="R35" s="51" t="str">
        <f>IF(ISTEXT(VLOOKUP(CONCATENATE($A35,"_",R$3),'Unit List'!$A$23:$H$3172,2,FALSE)),"X",$P35)</f>
        <v/>
      </c>
      <c r="S35" s="51" t="str">
        <f>IF(ISTEXT(VLOOKUP(CONCATENATE($A35,"_",S$3),'Unit List'!$A$23:$H$3172,2,FALSE)),"X",$P35)</f>
        <v/>
      </c>
      <c r="T35" s="52" t="str">
        <f>IF(ISTEXT(VLOOKUP(CONCATENATE($A35,"_",T$3),'Unit List'!$A$23:$H$3172,2,FALSE)),"X",$P35)</f>
        <v/>
      </c>
      <c r="U35" s="51" t="str">
        <f>IF(ISTEXT(VLOOKUP(CONCATENATE($A35,"_",U$3),'Unit List'!$A$23:$H$3172,2,FALSE)),"X",$P35)</f>
        <v/>
      </c>
      <c r="V35" s="51" t="str">
        <f>IF(ISTEXT(VLOOKUP(CONCATENATE($A35,"_",V$3),'Unit List'!$A$23:$H$3172,2,FALSE)),"X",$P35)</f>
        <v/>
      </c>
      <c r="W35" s="53" t="str">
        <f>IF(ISTEXT(VLOOKUP(CONCATENATE($A35,"_",W$3),'Unit List'!$A$23:$H$3172,2,FALSE)),"X",$P35)</f>
        <v/>
      </c>
      <c r="X35" s="172" t="str">
        <f>IF(ISTEXT(VLOOKUP(CONCATENATE($A35,"_",X$3),'Unit List'!$A$23:$H$3172,2,FALSE)),"+","")</f>
        <v/>
      </c>
      <c r="Y35" s="51" t="str">
        <f>IF(ISTEXT(VLOOKUP(CONCATENATE($A35,"_",Y$3),'Unit List'!$A$23:$H$3172,2,FALSE)),"X",$X35)</f>
        <v/>
      </c>
      <c r="Z35" s="51" t="str">
        <f>IF(ISTEXT(VLOOKUP(CONCATENATE($A35,"_",Z$3),'Unit List'!$A$23:$H$3172,2,FALSE)),"X",$X35)</f>
        <v/>
      </c>
      <c r="AA35" s="51" t="str">
        <f>IF(ISTEXT(VLOOKUP(CONCATENATE($A35,"_",AA$3),'Unit List'!$A$23:$H$3172,2,FALSE)),"X",$X35)</f>
        <v/>
      </c>
      <c r="AB35" s="51" t="str">
        <f>IF(ISTEXT(VLOOKUP(CONCATENATE($A35,"_",AB$3),'Unit List'!$A$23:$H$3172,2,FALSE)),"X",$X35)</f>
        <v/>
      </c>
      <c r="AC35" s="62" t="str">
        <f>IF(ISTEXT(VLOOKUP(CONCATENATE($A35,"_",AC$3),'Unit List'!$A$23:$H$3172,2,FALSE)),"X",$X35)</f>
        <v/>
      </c>
      <c r="AD35" s="172" t="str">
        <f>IF(ISTEXT(VLOOKUP(CONCATENATE($A35,"_",AD$3),'Unit List'!$A$23:$H$3172,2,FALSE)),"+","")</f>
        <v/>
      </c>
      <c r="AE35" s="51" t="str">
        <f>IF(ISTEXT(VLOOKUP(CONCATENATE($A35,"_",AE$3),'Unit List'!$A$23:$H$3172,2,FALSE)),"X",$AD35)</f>
        <v/>
      </c>
      <c r="AF35" s="51" t="str">
        <f>IF(ISTEXT(VLOOKUP(CONCATENATE($A35,"_",AF$3),'Unit List'!$A$23:$H$3172,2,FALSE)),"X",$AD35)</f>
        <v/>
      </c>
      <c r="AG35" s="172" t="str">
        <f>IF(ISTEXT(VLOOKUP(CONCATENATE($A35,"_",AG$3),'Unit List'!$A$23:$H$3172,2,FALSE)),"+","")</f>
        <v/>
      </c>
      <c r="AH35" s="51" t="str">
        <f>IF(ISTEXT(VLOOKUP(CONCATENATE($A35,"_",AH$3),'Unit List'!$A$23:$H$3172,2,FALSE)),"X",$AG35)</f>
        <v/>
      </c>
      <c r="AI35" s="51" t="str">
        <f>IF(ISTEXT(VLOOKUP(CONCATENATE($A35,"_",AI$3),'Unit List'!$A$23:$H$3172,2,FALSE)),"X",$AG35)</f>
        <v/>
      </c>
      <c r="AJ35" s="53" t="str">
        <f>IF(ISTEXT(VLOOKUP(CONCATENATE($A35,"_",AJ$3),'Unit List'!$A$23:$H$3172,2,FALSE)),"X",$AG35)</f>
        <v/>
      </c>
      <c r="AK35" s="172" t="str">
        <f>IF(ISTEXT(VLOOKUP(CONCATENATE($A35,"_",AK$3),'Unit List'!$A$23:$H$3172,2,FALSE)),"+","")</f>
        <v/>
      </c>
      <c r="AL35" s="52" t="str">
        <f>IF(ISTEXT(VLOOKUP(CONCATENATE($A35,"_",AL$3),'Unit List'!$A$23:$H$3172,2,FALSE)),"X",$AK35)</f>
        <v/>
      </c>
      <c r="AM35" s="53" t="str">
        <f>IF(ISTEXT(VLOOKUP(CONCATENATE($A35,"_",AM$3),'Unit List'!$A$23:$H$3172,2,FALSE)),"X",$AK35)</f>
        <v/>
      </c>
      <c r="AN35" s="125" t="str">
        <f>IF(ISTEXT(VLOOKUP(CONCATENATE($A35,"_",AN$3),'Unit List'!$A$23:$H$3172,2,FALSE)),"+","")</f>
        <v/>
      </c>
      <c r="AO35" s="53" t="str">
        <f>IF(ISTEXT(VLOOKUP(CONCATENATE($A35,"_",AO$3),'Unit List'!$A$23:$H$3172,2,FALSE)),"X",$AN35)</f>
        <v/>
      </c>
      <c r="AP35" s="172" t="str">
        <f>IF(ISTEXT(VLOOKUP(CONCATENATE($A35,"_",AP$3),'Unit List'!$A$23:$H$3172,2,FALSE)),"+","")</f>
        <v/>
      </c>
      <c r="AQ35" s="51" t="str">
        <f>IF(ISTEXT(VLOOKUP(CONCATENATE($A35,"_",AQ$3),'Unit List'!$A$23:$H$3172,2,FALSE)),"X",$AP35)</f>
        <v/>
      </c>
      <c r="AR35" s="51" t="str">
        <f>IF(ISTEXT(VLOOKUP(CONCATENATE($A35,"_",AR$3),'Unit List'!$A$23:$H$3172,2,FALSE)),"X",$AP35)</f>
        <v/>
      </c>
      <c r="AS35" s="51" t="str">
        <f>IF(ISTEXT(VLOOKUP(CONCATENATE($A35,"_",AS$3),'Unit List'!$A$23:$H$3172,2,FALSE)),"X",$AP35)</f>
        <v/>
      </c>
      <c r="AT35" s="53" t="str">
        <f>IF(ISTEXT(VLOOKUP(CONCATENATE($A35,"_",AT$3),'Unit List'!$A$23:$H$3172,2,FALSE)),"X",$AP35)</f>
        <v/>
      </c>
      <c r="AU35" s="124" t="str">
        <f>IF(ISTEXT(VLOOKUP(CONCATENATE($A35,"_",AU$3),'Unit List'!$A$23:$H$3172,2,FALSE)),"+","")</f>
        <v/>
      </c>
      <c r="AV35" s="51" t="str">
        <f>IF(ISTEXT(VLOOKUP(CONCATENATE($A35,"_",AV$3),'Unit List'!$A$23:$H$3172,2,FALSE)),"X",$AU35)</f>
        <v/>
      </c>
      <c r="AW35" s="53" t="str">
        <f>IF(ISTEXT(VLOOKUP(CONCATENATE($A35,"_",AW$3),'Unit List'!$A$23:$H$3172,2,FALSE)),"X",$AU35)</f>
        <v/>
      </c>
      <c r="AX35" s="172" t="str">
        <f>IF(ISTEXT(VLOOKUP(CONCATENATE($A35,"_",AX$3),'Unit List'!$A$23:$H$3172,2,FALSE)),"+","")</f>
        <v/>
      </c>
      <c r="AY35" s="51" t="str">
        <f>IF(ISTEXT(VLOOKUP(CONCATENATE($A35,"_",AY$3),'Unit List'!$A$23:$H$3172,2,FALSE)),"X",$AX35)</f>
        <v/>
      </c>
      <c r="AZ35" s="53" t="str">
        <f>IF(ISTEXT(VLOOKUP(CONCATENATE($A35,"_",AZ$3),'Unit List'!$A$23:$H$3172,2,FALSE)),"X",$AX35)</f>
        <v/>
      </c>
      <c r="BA35" s="182" t="str">
        <f>IF(ISTEXT(VLOOKUP(CONCATENATE($A35,"_",BA$3),'Unit List'!$A$23:$H$3172,2,FALSE)),"+","")</f>
        <v/>
      </c>
      <c r="BB35" s="51" t="str">
        <f>IF(ISTEXT(VLOOKUP(CONCATENATE($A35,"_",BB$3),'Unit List'!$A$23:$H$3172,2,FALSE)),"X",$BA35)</f>
        <v/>
      </c>
      <c r="BC35" s="51" t="str">
        <f>IF(ISTEXT(VLOOKUP(CONCATENATE($A35,"_",BC$3),'Unit List'!$A$23:$H$3172,2,FALSE)),"X",$BA35)</f>
        <v/>
      </c>
      <c r="BD35" s="53" t="str">
        <f>IF(ISTEXT(VLOOKUP(CONCATENATE($A35,"_",BD$3),'Unit List'!$A$23:$H$3172,2,FALSE)),"X",$BA35)</f>
        <v/>
      </c>
      <c r="BE35" s="125" t="str">
        <f>IF(ISTEXT(VLOOKUP(CONCATENATE($A35,"_",BE$3),'Unit List'!$A$23:$H$3172,2,FALSE)),"+","")</f>
        <v/>
      </c>
      <c r="BF35" s="62" t="str">
        <f>IF(ISTEXT(VLOOKUP(CONCATENATE($A35,"_",BF$3),'Unit List'!$A$23:$H$3172,2,FALSE)),"X",$BE35)</f>
        <v/>
      </c>
      <c r="BG35" s="75"/>
      <c r="BH35" s="84"/>
      <c r="BI35" s="225"/>
      <c r="BJ35" s="226"/>
      <c r="BK35" s="226"/>
      <c r="BL35" s="226"/>
      <c r="BM35" s="227"/>
      <c r="BN35" s="54"/>
      <c r="BO35" s="54"/>
      <c r="BP35" s="54"/>
      <c r="BQ35" s="54"/>
      <c r="BR35" s="54"/>
      <c r="BS35" s="54"/>
      <c r="DZ35" s="55"/>
      <c r="EA35" s="55"/>
    </row>
    <row r="36" spans="1:131" ht="12.75" customHeight="1" x14ac:dyDescent="0.2">
      <c r="A36" s="56" t="s">
        <v>1145</v>
      </c>
      <c r="B36" s="181" t="str">
        <f>IF(ISTEXT(VLOOKUP(CONCATENATE($A36,"_",B$3),'Unit List'!$A$23:$H$3172,2,FALSE)),"+","")</f>
        <v>+</v>
      </c>
      <c r="C36" s="57" t="str">
        <f>IF(ISTEXT(VLOOKUP(CONCATENATE($A36,"_",C$3),'Unit List'!$A$23:$H$3172,2,FALSE)),"X",$B36)</f>
        <v>X</v>
      </c>
      <c r="D36" s="51" t="str">
        <f>IF(ISTEXT(VLOOKUP(CONCATENATE($A36,"_",D$3),'Unit List'!$A$23:$H$3172,2,FALSE)),"X",$B36)</f>
        <v>X</v>
      </c>
      <c r="E36" s="51" t="str">
        <f>IF(ISTEXT(VLOOKUP(CONCATENATE($A36,"_",E$3),'Unit List'!$A$23:$H$3172,2,FALSE)),"X",$B36)</f>
        <v>X</v>
      </c>
      <c r="F36" s="51" t="str">
        <f>IF(ISTEXT(VLOOKUP(CONCATENATE($A36,"_",F$3),'Unit List'!$A$23:$H$3172,2,FALSE)),"X",$B36)</f>
        <v>X</v>
      </c>
      <c r="G36" s="51" t="str">
        <f>IF(ISTEXT(VLOOKUP(CONCATENATE($A36,"_",G$3),'Unit List'!$A$23:$H$3172,2,FALSE)),"X",$B36)</f>
        <v>+</v>
      </c>
      <c r="H36" s="67" t="str">
        <f>IF(ISTEXT(VLOOKUP(CONCATENATE($A36,"_",H$3),'Unit List'!$A$23:$H$3172,2,FALSE)),"X",$B36)</f>
        <v>X</v>
      </c>
      <c r="I36" s="53" t="str">
        <f>IF(ISTEXT(VLOOKUP(CONCATENATE($A36,"_",I$3),'Unit List'!$A$23:$H$3172,2,FALSE)),"X",$B36)</f>
        <v>+</v>
      </c>
      <c r="J36" s="171" t="str">
        <f>IF(ISTEXT(VLOOKUP(CONCATENATE($A36,"_",J$3),'Unit List'!$A$23:$H$3172,2,FALSE)),"+","")</f>
        <v/>
      </c>
      <c r="K36" s="51" t="str">
        <f>IF(ISTEXT(VLOOKUP(CONCATENATE($A36,"_",K$3),'Unit List'!$A$23:$H$3172,2,FALSE)),"X",$J36)</f>
        <v/>
      </c>
      <c r="L36" s="62" t="str">
        <f>IF(ISTEXT(VLOOKUP(CONCATENATE($A36,"_",L$3),'Unit List'!$A$23:$H$3172,2,FALSE)),"X",$J36)</f>
        <v/>
      </c>
      <c r="M36" s="171" t="str">
        <f>IF(ISTEXT(VLOOKUP(CONCATENATE($A36,"_",M$3),'Unit List'!$A$23:$H$3172,2,FALSE)),"+","")</f>
        <v>+</v>
      </c>
      <c r="N36" s="69" t="str">
        <f>IF(ISTEXT(VLOOKUP(CONCATENATE($A36,"_",N$3),'Unit List'!$A$23:$H$3172,2,FALSE)),"X",$M36)</f>
        <v>+</v>
      </c>
      <c r="O36" s="70" t="str">
        <f>IF(ISTEXT(VLOOKUP(CONCATENATE($A36,"_",O$3),'Unit List'!$A$23:$H$3172,2,FALSE)),"X",$M36)</f>
        <v>X</v>
      </c>
      <c r="P36" s="172" t="str">
        <f>IF(ISTEXT(VLOOKUP(CONCATENATE($A36,"_",P$3),'Unit List'!$A$23:$H$3172,2,FALSE)),"+","")</f>
        <v/>
      </c>
      <c r="Q36" s="51" t="str">
        <f>IF(ISTEXT(VLOOKUP(CONCATENATE($A36,"_",Q$3),'Unit List'!$A$23:$H$3172,2,FALSE)),"X",$P36)</f>
        <v/>
      </c>
      <c r="R36" s="51" t="str">
        <f>IF(ISTEXT(VLOOKUP(CONCATENATE($A36,"_",R$3),'Unit List'!$A$23:$H$3172,2,FALSE)),"X",$P36)</f>
        <v/>
      </c>
      <c r="S36" s="51" t="str">
        <f>IF(ISTEXT(VLOOKUP(CONCATENATE($A36,"_",S$3),'Unit List'!$A$23:$H$3172,2,FALSE)),"X",$P36)</f>
        <v/>
      </c>
      <c r="T36" s="52" t="str">
        <f>IF(ISTEXT(VLOOKUP(CONCATENATE($A36,"_",T$3),'Unit List'!$A$23:$H$3172,2,FALSE)),"X",$P36)</f>
        <v/>
      </c>
      <c r="U36" s="67" t="str">
        <f>IF(ISTEXT(VLOOKUP(CONCATENATE($A36,"_",U$3),'Unit List'!$A$23:$H$3172,2,FALSE)),"X",$P36)</f>
        <v>X</v>
      </c>
      <c r="V36" s="51" t="str">
        <f>IF(ISTEXT(VLOOKUP(CONCATENATE($A36,"_",V$3),'Unit List'!$A$23:$H$3172,2,FALSE)),"X",$P36)</f>
        <v/>
      </c>
      <c r="W36" s="53" t="str">
        <f>IF(ISTEXT(VLOOKUP(CONCATENATE($A36,"_",W$3),'Unit List'!$A$23:$H$3172,2,FALSE)),"X",$P36)</f>
        <v/>
      </c>
      <c r="X36" s="171" t="str">
        <f>IF(ISTEXT(VLOOKUP(CONCATENATE($A36,"_",X$3),'Unit List'!$A$23:$H$3172,2,FALSE)),"+","")</f>
        <v>+</v>
      </c>
      <c r="Y36" s="51" t="str">
        <f>IF(ISTEXT(VLOOKUP(CONCATENATE($A36,"_",Y$3),'Unit List'!$A$23:$H$3172,2,FALSE)),"X",$X36)</f>
        <v>X</v>
      </c>
      <c r="Z36" s="51" t="str">
        <f>IF(ISTEXT(VLOOKUP(CONCATENATE($A36,"_",Z$3),'Unit List'!$A$23:$H$3172,2,FALSE)),"X",$X36)</f>
        <v>+</v>
      </c>
      <c r="AA36" s="67" t="str">
        <f>IF(ISTEXT(VLOOKUP(CONCATENATE($A36,"_",AA$3),'Unit List'!$A$23:$H$3172,2,FALSE)),"X",$X36)</f>
        <v>X</v>
      </c>
      <c r="AB36" s="51" t="str">
        <f>IF(ISTEXT(VLOOKUP(CONCATENATE($A36,"_",AB$3),'Unit List'!$A$23:$H$3172,2,FALSE)),"X",$X36)</f>
        <v>+</v>
      </c>
      <c r="AC36" s="86" t="str">
        <f>IF(ISTEXT(VLOOKUP(CONCATENATE($A36,"_",AC$3),'Unit List'!$A$23:$H$3172,2,FALSE)),"X",$X36)</f>
        <v>X</v>
      </c>
      <c r="AD36" s="171" t="str">
        <f>IF(ISTEXT(VLOOKUP(CONCATENATE($A36,"_",AD$3),'Unit List'!$A$23:$H$3172,2,FALSE)),"+","")</f>
        <v>+</v>
      </c>
      <c r="AE36" s="51" t="str">
        <f>IF(ISTEXT(VLOOKUP(CONCATENATE($A36,"_",AE$3),'Unit List'!$A$23:$H$3172,2,FALSE)),"X",$AD36)</f>
        <v>+</v>
      </c>
      <c r="AF36" s="51" t="str">
        <f>IF(ISTEXT(VLOOKUP(CONCATENATE($A36,"_",AF$3),'Unit List'!$A$23:$H$3172,2,FALSE)),"X",$AD36)</f>
        <v>+</v>
      </c>
      <c r="AG36" s="171" t="str">
        <f>IF(ISTEXT(VLOOKUP(CONCATENATE($A36,"_",AG$3),'Unit List'!$A$23:$H$3172,2,FALSE)),"+","")</f>
        <v>+</v>
      </c>
      <c r="AH36" s="51" t="str">
        <f>IF(ISTEXT(VLOOKUP(CONCATENATE($A36,"_",AH$3),'Unit List'!$A$23:$H$3172,2,FALSE)),"X",$AG36)</f>
        <v>+</v>
      </c>
      <c r="AI36" s="51" t="str">
        <f>IF(ISTEXT(VLOOKUP(CONCATENATE($A36,"_",AI$3),'Unit List'!$A$23:$H$3172,2,FALSE)),"X",$AG36)</f>
        <v>+</v>
      </c>
      <c r="AJ36" s="53" t="str">
        <f>IF(ISTEXT(VLOOKUP(CONCATENATE($A36,"_",AJ$3),'Unit List'!$A$23:$H$3172,2,FALSE)),"X",$AG36)</f>
        <v>X</v>
      </c>
      <c r="AK36" s="172" t="str">
        <f>IF(ISTEXT(VLOOKUP(CONCATENATE($A36,"_",AK$3),'Unit List'!$A$23:$H$3172,2,FALSE)),"+","")</f>
        <v/>
      </c>
      <c r="AL36" s="52" t="str">
        <f>IF(ISTEXT(VLOOKUP(CONCATENATE($A36,"_",AL$3),'Unit List'!$A$23:$H$3172,2,FALSE)),"X",$AK36)</f>
        <v/>
      </c>
      <c r="AM36" s="53" t="str">
        <f>IF(ISTEXT(VLOOKUP(CONCATENATE($A36,"_",AM$3),'Unit List'!$A$23:$H$3172,2,FALSE)),"X",$AK36)</f>
        <v/>
      </c>
      <c r="AN36" s="125" t="str">
        <f>IF(ISTEXT(VLOOKUP(CONCATENATE($A36,"_",AN$3),'Unit List'!$A$23:$H$3172,2,FALSE)),"+","")</f>
        <v>+</v>
      </c>
      <c r="AO36" s="70" t="str">
        <f>IF(ISTEXT(VLOOKUP(CONCATENATE($A36,"_",AO$3),'Unit List'!$A$23:$H$3172,2,FALSE)),"X",$AN36)</f>
        <v>X</v>
      </c>
      <c r="AP36" s="172" t="str">
        <f>IF(ISTEXT(VLOOKUP(CONCATENATE($A36,"_",AP$3),'Unit List'!$A$23:$H$3172,2,FALSE)),"+","")</f>
        <v>+</v>
      </c>
      <c r="AQ36" s="69" t="str">
        <f>IF(ISTEXT(VLOOKUP(CONCATENATE($A36,"_",AQ$3),'Unit List'!$A$23:$H$3172,2,FALSE)),"X",$AP36)</f>
        <v>+</v>
      </c>
      <c r="AR36" s="51" t="str">
        <f>IF(ISTEXT(VLOOKUP(CONCATENATE($A36,"_",AR$3),'Unit List'!$A$23:$H$3172,2,FALSE)),"X",$AP36)</f>
        <v>+</v>
      </c>
      <c r="AS36" s="51" t="str">
        <f>IF(ISTEXT(VLOOKUP(CONCATENATE($A36,"_",AS$3),'Unit List'!$A$23:$H$3172,2,FALSE)),"X",$AP36)</f>
        <v>+</v>
      </c>
      <c r="AT36" s="53" t="str">
        <f>IF(ISTEXT(VLOOKUP(CONCATENATE($A36,"_",AT$3),'Unit List'!$A$23:$H$3172,2,FALSE)),"X",$AP36)</f>
        <v>+</v>
      </c>
      <c r="AU36" s="124" t="str">
        <f>IF(ISTEXT(VLOOKUP(CONCATENATE($A36,"_",AU$3),'Unit List'!$A$23:$H$3172,2,FALSE)),"+","")</f>
        <v>+</v>
      </c>
      <c r="AV36" s="51" t="str">
        <f>IF(ISTEXT(VLOOKUP(CONCATENATE($A36,"_",AV$3),'Unit List'!$A$23:$H$3172,2,FALSE)),"X",$AU36)</f>
        <v>+</v>
      </c>
      <c r="AW36" s="53" t="str">
        <f>IF(ISTEXT(VLOOKUP(CONCATENATE($A36,"_",AW$3),'Unit List'!$A$23:$H$3172,2,FALSE)),"X",$AU36)</f>
        <v>+</v>
      </c>
      <c r="AX36" s="172" t="str">
        <f>IF(ISTEXT(VLOOKUP(CONCATENATE($A36,"_",AX$3),'Unit List'!$A$23:$H$3172,2,FALSE)),"+","")</f>
        <v>+</v>
      </c>
      <c r="AY36" s="51" t="str">
        <f>IF(ISTEXT(VLOOKUP(CONCATENATE($A36,"_",AY$3),'Unit List'!$A$23:$H$3172,2,FALSE)),"X",$AX36)</f>
        <v>+</v>
      </c>
      <c r="AZ36" s="53" t="str">
        <f>IF(ISTEXT(VLOOKUP(CONCATENATE($A36,"_",AZ$3),'Unit List'!$A$23:$H$3172,2,FALSE)),"X",$AX36)</f>
        <v>+</v>
      </c>
      <c r="BA36" s="182" t="str">
        <f>IF(ISTEXT(VLOOKUP(CONCATENATE($A36,"_",BA$3),'Unit List'!$A$23:$H$3172,2,FALSE)),"+","")</f>
        <v/>
      </c>
      <c r="BB36" s="51" t="str">
        <f>IF(ISTEXT(VLOOKUP(CONCATENATE($A36,"_",BB$3),'Unit List'!$A$23:$H$3172,2,FALSE)),"X",$BA36)</f>
        <v/>
      </c>
      <c r="BC36" s="51" t="str">
        <f>IF(ISTEXT(VLOOKUP(CONCATENATE($A36,"_",BC$3),'Unit List'!$A$23:$H$3172,2,FALSE)),"X",$BA36)</f>
        <v/>
      </c>
      <c r="BD36" s="53" t="str">
        <f>IF(ISTEXT(VLOOKUP(CONCATENATE($A36,"_",BD$3),'Unit List'!$A$23:$H$3172,2,FALSE)),"X",$BA36)</f>
        <v/>
      </c>
      <c r="BE36" s="125" t="str">
        <f>IF(ISTEXT(VLOOKUP(CONCATENATE($A36,"_",BE$3),'Unit List'!$A$23:$H$3172,2,FALSE)),"+","")</f>
        <v>+</v>
      </c>
      <c r="BF36" s="62" t="str">
        <f>IF(ISTEXT(VLOOKUP(CONCATENATE($A36,"_",BF$3),'Unit List'!$A$23:$H$3172,2,FALSE)),"X",$BE36)</f>
        <v>+</v>
      </c>
      <c r="BG36" s="64"/>
      <c r="BH36" s="65" t="s">
        <v>0</v>
      </c>
      <c r="BI36" s="225"/>
      <c r="BJ36" s="226"/>
      <c r="BK36" s="226"/>
      <c r="BL36" s="226"/>
      <c r="BM36" s="227"/>
      <c r="BN36" s="54"/>
      <c r="BO36" s="54"/>
      <c r="BP36" s="54"/>
      <c r="BQ36" s="54"/>
      <c r="BR36" s="54"/>
      <c r="BS36" s="54"/>
      <c r="DZ36" s="55"/>
      <c r="EA36" s="55"/>
    </row>
    <row r="37" spans="1:131" ht="12.75" customHeight="1" x14ac:dyDescent="0.2">
      <c r="A37" s="56" t="s">
        <v>1146</v>
      </c>
      <c r="B37" s="181" t="str">
        <f>IF(ISTEXT(VLOOKUP(CONCATENATE($A37,"_",B$3),'Unit List'!$A$23:$H$3172,2,FALSE)),"+","")</f>
        <v/>
      </c>
      <c r="C37" s="93" t="str">
        <f>IF(ISTEXT(VLOOKUP(CONCATENATE($A37,"_",C$3),'Unit List'!$A$23:$H$3172,2,FALSE)),"X",$B37)</f>
        <v/>
      </c>
      <c r="D37" s="51" t="str">
        <f>IF(ISTEXT(VLOOKUP(CONCATENATE($A37,"_",D$3),'Unit List'!$A$23:$H$3172,2,FALSE)),"X",$B37)</f>
        <v/>
      </c>
      <c r="E37" s="51" t="str">
        <f>IF(ISTEXT(VLOOKUP(CONCATENATE($A37,"_",E$3),'Unit List'!$A$23:$H$3172,2,FALSE)),"X",$B37)</f>
        <v/>
      </c>
      <c r="F37" s="51" t="str">
        <f>IF(ISTEXT(VLOOKUP(CONCATENATE($A37,"_",F$3),'Unit List'!$A$23:$H$3172,2,FALSE)),"X",$B37)</f>
        <v/>
      </c>
      <c r="G37" s="51" t="str">
        <f>IF(ISTEXT(VLOOKUP(CONCATENATE($A37,"_",G$3),'Unit List'!$A$23:$H$3172,2,FALSE)),"X",$B37)</f>
        <v/>
      </c>
      <c r="H37" s="51" t="str">
        <f>IF(ISTEXT(VLOOKUP(CONCATENATE($A37,"_",H$3),'Unit List'!$A$23:$H$3172,2,FALSE)),"X",$B37)</f>
        <v/>
      </c>
      <c r="I37" s="53" t="str">
        <f>IF(ISTEXT(VLOOKUP(CONCATENATE($A37,"_",I$3),'Unit List'!$A$23:$H$3172,2,FALSE)),"X",$B37)</f>
        <v/>
      </c>
      <c r="J37" s="172" t="str">
        <f>IF(ISTEXT(VLOOKUP(CONCATENATE($A37,"_",J$3),'Unit List'!$A$23:$H$3172,2,FALSE)),"+","")</f>
        <v/>
      </c>
      <c r="K37" s="51" t="str">
        <f>IF(ISTEXT(VLOOKUP(CONCATENATE($A37,"_",K$3),'Unit List'!$A$23:$H$3172,2,FALSE)),"X",$J37)</f>
        <v/>
      </c>
      <c r="L37" s="62" t="str">
        <f>IF(ISTEXT(VLOOKUP(CONCATENATE($A37,"_",L$3),'Unit List'!$A$23:$H$3172,2,FALSE)),"X",$J37)</f>
        <v/>
      </c>
      <c r="M37" s="172" t="str">
        <f>IF(ISTEXT(VLOOKUP(CONCATENATE($A37,"_",M$3),'Unit List'!$A$23:$H$3172,2,FALSE)),"+","")</f>
        <v>+</v>
      </c>
      <c r="N37" s="51" t="str">
        <f>IF(ISTEXT(VLOOKUP(CONCATENATE($A37,"_",N$3),'Unit List'!$A$23:$H$3172,2,FALSE)),"X",$M37)</f>
        <v>+</v>
      </c>
      <c r="O37" s="61" t="str">
        <f>IF(ISTEXT(VLOOKUP(CONCATENATE($A37,"_",O$3),'Unit List'!$A$23:$H$3172,2,FALSE)),"X",$M37)</f>
        <v>+</v>
      </c>
      <c r="P37" s="172" t="str">
        <f>IF(ISTEXT(VLOOKUP(CONCATENATE($A37,"_",P$3),'Unit List'!$A$23:$H$3172,2,FALSE)),"+","")</f>
        <v/>
      </c>
      <c r="Q37" s="51" t="str">
        <f>IF(ISTEXT(VLOOKUP(CONCATENATE($A37,"_",Q$3),'Unit List'!$A$23:$H$3172,2,FALSE)),"X",$P37)</f>
        <v/>
      </c>
      <c r="R37" s="51" t="str">
        <f>IF(ISTEXT(VLOOKUP(CONCATENATE($A37,"_",R$3),'Unit List'!$A$23:$H$3172,2,FALSE)),"X",$P37)</f>
        <v/>
      </c>
      <c r="S37" s="51" t="str">
        <f>IF(ISTEXT(VLOOKUP(CONCATENATE($A37,"_",S$3),'Unit List'!$A$23:$H$3172,2,FALSE)),"X",$P37)</f>
        <v/>
      </c>
      <c r="T37" s="52" t="str">
        <f>IF(ISTEXT(VLOOKUP(CONCATENATE($A37,"_",T$3),'Unit List'!$A$23:$H$3172,2,FALSE)),"X",$P37)</f>
        <v/>
      </c>
      <c r="U37" s="51" t="str">
        <f>IF(ISTEXT(VLOOKUP(CONCATENATE($A37,"_",U$3),'Unit List'!$A$23:$H$3172,2,FALSE)),"X",$P37)</f>
        <v/>
      </c>
      <c r="V37" s="51" t="str">
        <f>IF(ISTEXT(VLOOKUP(CONCATENATE($A37,"_",V$3),'Unit List'!$A$23:$H$3172,2,FALSE)),"X",$P37)</f>
        <v/>
      </c>
      <c r="W37" s="53" t="str">
        <f>IF(ISTEXT(VLOOKUP(CONCATENATE($A37,"_",W$3),'Unit List'!$A$23:$H$3172,2,FALSE)),"X",$P37)</f>
        <v/>
      </c>
      <c r="X37" s="172" t="str">
        <f>IF(ISTEXT(VLOOKUP(CONCATENATE($A37,"_",X$3),'Unit List'!$A$23:$H$3172,2,FALSE)),"+","")</f>
        <v/>
      </c>
      <c r="Y37" s="51" t="str">
        <f>IF(ISTEXT(VLOOKUP(CONCATENATE($A37,"_",Y$3),'Unit List'!$A$23:$H$3172,2,FALSE)),"X",$X37)</f>
        <v/>
      </c>
      <c r="Z37" s="51" t="str">
        <f>IF(ISTEXT(VLOOKUP(CONCATENATE($A37,"_",Z$3),'Unit List'!$A$23:$H$3172,2,FALSE)),"X",$X37)</f>
        <v/>
      </c>
      <c r="AA37" s="51" t="str">
        <f>IF(ISTEXT(VLOOKUP(CONCATENATE($A37,"_",AA$3),'Unit List'!$A$23:$H$3172,2,FALSE)),"X",$X37)</f>
        <v/>
      </c>
      <c r="AB37" s="51" t="str">
        <f>IF(ISTEXT(VLOOKUP(CONCATENATE($A37,"_",AB$3),'Unit List'!$A$23:$H$3172,2,FALSE)),"X",$X37)</f>
        <v/>
      </c>
      <c r="AC37" s="62" t="str">
        <f>IF(ISTEXT(VLOOKUP(CONCATENATE($A37,"_",AC$3),'Unit List'!$A$23:$H$3172,2,FALSE)),"X",$X37)</f>
        <v/>
      </c>
      <c r="AD37" s="172" t="str">
        <f>IF(ISTEXT(VLOOKUP(CONCATENATE($A37,"_",AD$3),'Unit List'!$A$23:$H$3172,2,FALSE)),"+","")</f>
        <v/>
      </c>
      <c r="AE37" s="51" t="str">
        <f>IF(ISTEXT(VLOOKUP(CONCATENATE($A37,"_",AE$3),'Unit List'!$A$23:$H$3172,2,FALSE)),"X",$AD37)</f>
        <v/>
      </c>
      <c r="AF37" s="51" t="str">
        <f>IF(ISTEXT(VLOOKUP(CONCATENATE($A37,"_",AF$3),'Unit List'!$A$23:$H$3172,2,FALSE)),"X",$AD37)</f>
        <v/>
      </c>
      <c r="AG37" s="172" t="str">
        <f>IF(ISTEXT(VLOOKUP(CONCATENATE($A37,"_",AG$3),'Unit List'!$A$23:$H$3172,2,FALSE)),"+","")</f>
        <v/>
      </c>
      <c r="AH37" s="51" t="str">
        <f>IF(ISTEXT(VLOOKUP(CONCATENATE($A37,"_",AH$3),'Unit List'!$A$23:$H$3172,2,FALSE)),"X",$AG37)</f>
        <v/>
      </c>
      <c r="AI37" s="51" t="str">
        <f>IF(ISTEXT(VLOOKUP(CONCATENATE($A37,"_",AI$3),'Unit List'!$A$23:$H$3172,2,FALSE)),"X",$AG37)</f>
        <v/>
      </c>
      <c r="AJ37" s="53" t="str">
        <f>IF(ISTEXT(VLOOKUP(CONCATENATE($A37,"_",AJ$3),'Unit List'!$A$23:$H$3172,2,FALSE)),"X",$AG37)</f>
        <v/>
      </c>
      <c r="AK37" s="172" t="str">
        <f>IF(ISTEXT(VLOOKUP(CONCATENATE($A37,"_",AK$3),'Unit List'!$A$23:$H$3172,2,FALSE)),"+","")</f>
        <v>+</v>
      </c>
      <c r="AL37" s="52" t="str">
        <f>IF(ISTEXT(VLOOKUP(CONCATENATE($A37,"_",AL$3),'Unit List'!$A$23:$H$3172,2,FALSE)),"X",$AK37)</f>
        <v>+</v>
      </c>
      <c r="AM37" s="53" t="str">
        <f>IF(ISTEXT(VLOOKUP(CONCATENATE($A37,"_",AM$3),'Unit List'!$A$23:$H$3172,2,FALSE)),"X",$AK37)</f>
        <v>+</v>
      </c>
      <c r="AN37" s="125" t="str">
        <f>IF(ISTEXT(VLOOKUP(CONCATENATE($A37,"_",AN$3),'Unit List'!$A$23:$H$3172,2,FALSE)),"+","")</f>
        <v/>
      </c>
      <c r="AO37" s="53" t="str">
        <f>IF(ISTEXT(VLOOKUP(CONCATENATE($A37,"_",AO$3),'Unit List'!$A$23:$H$3172,2,FALSE)),"X",$AN37)</f>
        <v/>
      </c>
      <c r="AP37" s="172" t="str">
        <f>IF(ISTEXT(VLOOKUP(CONCATENATE($A37,"_",AP$3),'Unit List'!$A$23:$H$3172,2,FALSE)),"+","")</f>
        <v>+</v>
      </c>
      <c r="AQ37" s="51" t="str">
        <f>IF(ISTEXT(VLOOKUP(CONCATENATE($A37,"_",AQ$3),'Unit List'!$A$23:$H$3172,2,FALSE)),"X",$AP37)</f>
        <v>+</v>
      </c>
      <c r="AR37" s="51" t="str">
        <f>IF(ISTEXT(VLOOKUP(CONCATENATE($A37,"_",AR$3),'Unit List'!$A$23:$H$3172,2,FALSE)),"X",$AP37)</f>
        <v>+</v>
      </c>
      <c r="AS37" s="51" t="str">
        <f>IF(ISTEXT(VLOOKUP(CONCATENATE($A37,"_",AS$3),'Unit List'!$A$23:$H$3172,2,FALSE)),"X",$AP37)</f>
        <v>+</v>
      </c>
      <c r="AT37" s="53" t="str">
        <f>IF(ISTEXT(VLOOKUP(CONCATENATE($A37,"_",AT$3),'Unit List'!$A$23:$H$3172,2,FALSE)),"X",$AP37)</f>
        <v>+</v>
      </c>
      <c r="AU37" s="124" t="str">
        <f>IF(ISTEXT(VLOOKUP(CONCATENATE($A37,"_",AU$3),'Unit List'!$A$23:$H$3172,2,FALSE)),"+","")</f>
        <v/>
      </c>
      <c r="AV37" s="51" t="str">
        <f>IF(ISTEXT(VLOOKUP(CONCATENATE($A37,"_",AV$3),'Unit List'!$A$23:$H$3172,2,FALSE)),"X",$AU37)</f>
        <v/>
      </c>
      <c r="AW37" s="53" t="str">
        <f>IF(ISTEXT(VLOOKUP(CONCATENATE($A37,"_",AW$3),'Unit List'!$A$23:$H$3172,2,FALSE)),"X",$AU37)</f>
        <v/>
      </c>
      <c r="AX37" s="172" t="str">
        <f>IF(ISTEXT(VLOOKUP(CONCATENATE($A37,"_",AX$3),'Unit List'!$A$23:$H$3172,2,FALSE)),"+","")</f>
        <v/>
      </c>
      <c r="AY37" s="51" t="str">
        <f>IF(ISTEXT(VLOOKUP(CONCATENATE($A37,"_",AY$3),'Unit List'!$A$23:$H$3172,2,FALSE)),"X",$AX37)</f>
        <v/>
      </c>
      <c r="AZ37" s="53" t="str">
        <f>IF(ISTEXT(VLOOKUP(CONCATENATE($A37,"_",AZ$3),'Unit List'!$A$23:$H$3172,2,FALSE)),"X",$AX37)</f>
        <v/>
      </c>
      <c r="BA37" s="182" t="str">
        <f>IF(ISTEXT(VLOOKUP(CONCATENATE($A37,"_",BA$3),'Unit List'!$A$23:$H$3172,2,FALSE)),"+","")</f>
        <v/>
      </c>
      <c r="BB37" s="51" t="str">
        <f>IF(ISTEXT(VLOOKUP(CONCATENATE($A37,"_",BB$3),'Unit List'!$A$23:$H$3172,2,FALSE)),"X",$BA37)</f>
        <v/>
      </c>
      <c r="BC37" s="51" t="str">
        <f>IF(ISTEXT(VLOOKUP(CONCATENATE($A37,"_",BC$3),'Unit List'!$A$23:$H$3172,2,FALSE)),"X",$BA37)</f>
        <v/>
      </c>
      <c r="BD37" s="53" t="str">
        <f>IF(ISTEXT(VLOOKUP(CONCATENATE($A37,"_",BD$3),'Unit List'!$A$23:$H$3172,2,FALSE)),"X",$BA37)</f>
        <v/>
      </c>
      <c r="BE37" s="125" t="str">
        <f>IF(ISTEXT(VLOOKUP(CONCATENATE($A37,"_",BE$3),'Unit List'!$A$23:$H$3172,2,FALSE)),"+","")</f>
        <v/>
      </c>
      <c r="BF37" s="62" t="str">
        <f>IF(ISTEXT(VLOOKUP(CONCATENATE($A37,"_",BF$3),'Unit List'!$A$23:$H$3172,2,FALSE)),"X",$BE37)</f>
        <v/>
      </c>
      <c r="BG37" s="64"/>
      <c r="BH37" s="65" t="s">
        <v>0</v>
      </c>
      <c r="BI37" s="225"/>
      <c r="BJ37" s="226"/>
      <c r="BK37" s="226"/>
      <c r="BL37" s="226"/>
      <c r="BM37" s="227"/>
      <c r="BN37" s="54"/>
      <c r="BO37" s="54"/>
      <c r="BP37" s="54"/>
      <c r="BQ37" s="54"/>
      <c r="BR37" s="54"/>
      <c r="BS37" s="54"/>
      <c r="DZ37" s="55"/>
      <c r="EA37" s="55"/>
    </row>
    <row r="38" spans="1:131" ht="12.75" customHeight="1" x14ac:dyDescent="0.2">
      <c r="A38" s="56" t="s">
        <v>1147</v>
      </c>
      <c r="B38" s="181" t="str">
        <f>IF(ISTEXT(VLOOKUP(CONCATENATE($A38,"_",B$3),'Unit List'!$A$23:$H$3172,2,FALSE)),"+","")</f>
        <v/>
      </c>
      <c r="C38" s="57" t="str">
        <f>IF(ISTEXT(VLOOKUP(CONCATENATE($A38,"_",C$3),'Unit List'!$A$23:$H$3172,2,FALSE)),"X",$B38)</f>
        <v/>
      </c>
      <c r="D38" s="51" t="str">
        <f>IF(ISTEXT(VLOOKUP(CONCATENATE($A38,"_",D$3),'Unit List'!$A$23:$H$3172,2,FALSE)),"X",$B38)</f>
        <v/>
      </c>
      <c r="E38" s="51" t="str">
        <f>IF(ISTEXT(VLOOKUP(CONCATENATE($A38,"_",E$3),'Unit List'!$A$23:$H$3172,2,FALSE)),"X",$B38)</f>
        <v/>
      </c>
      <c r="F38" s="51" t="str">
        <f>IF(ISTEXT(VLOOKUP(CONCATENATE($A38,"_",F$3),'Unit List'!$A$23:$H$3172,2,FALSE)),"X",$B38)</f>
        <v/>
      </c>
      <c r="G38" s="67" t="str">
        <f>IF(ISTEXT(VLOOKUP(CONCATENATE($A38,"_",G$3),'Unit List'!$A$23:$H$3172,2,FALSE)),"X",$B38)</f>
        <v>X</v>
      </c>
      <c r="H38" s="51" t="str">
        <f>IF(ISTEXT(VLOOKUP(CONCATENATE($A38,"_",H$3),'Unit List'!$A$23:$H$3172,2,FALSE)),"X",$B38)</f>
        <v>X</v>
      </c>
      <c r="I38" s="53" t="str">
        <f>IF(ISTEXT(VLOOKUP(CONCATENATE($A38,"_",I$3),'Unit List'!$A$23:$H$3172,2,FALSE)),"X",$B38)</f>
        <v/>
      </c>
      <c r="J38" s="172" t="str">
        <f>IF(ISTEXT(VLOOKUP(CONCATENATE($A38,"_",J$3),'Unit List'!$A$23:$H$3172,2,FALSE)),"+","")</f>
        <v/>
      </c>
      <c r="K38" s="51" t="str">
        <f>IF(ISTEXT(VLOOKUP(CONCATENATE($A38,"_",K$3),'Unit List'!$A$23:$H$3172,2,FALSE)),"X",$J38)</f>
        <v/>
      </c>
      <c r="L38" s="62" t="str">
        <f>IF(ISTEXT(VLOOKUP(CONCATENATE($A38,"_",L$3),'Unit List'!$A$23:$H$3172,2,FALSE)),"X",$J38)</f>
        <v/>
      </c>
      <c r="M38" s="172" t="str">
        <f>IF(ISTEXT(VLOOKUP(CONCATENATE($A38,"_",M$3),'Unit List'!$A$23:$H$3172,2,FALSE)),"+","")</f>
        <v/>
      </c>
      <c r="N38" s="51" t="str">
        <f>IF(ISTEXT(VLOOKUP(CONCATENATE($A38,"_",N$3),'Unit List'!$A$23:$H$3172,2,FALSE)),"X",$M38)</f>
        <v/>
      </c>
      <c r="O38" s="53" t="str">
        <f>IF(ISTEXT(VLOOKUP(CONCATENATE($A38,"_",O$3),'Unit List'!$A$23:$H$3172,2,FALSE)),"X",$M38)</f>
        <v/>
      </c>
      <c r="P38" s="172" t="str">
        <f>IF(ISTEXT(VLOOKUP(CONCATENATE($A38,"_",P$3),'Unit List'!$A$23:$H$3172,2,FALSE)),"+","")</f>
        <v/>
      </c>
      <c r="Q38" s="51" t="str">
        <f>IF(ISTEXT(VLOOKUP(CONCATENATE($A38,"_",Q$3),'Unit List'!$A$23:$H$3172,2,FALSE)),"X",$P38)</f>
        <v/>
      </c>
      <c r="R38" s="51" t="str">
        <f>IF(ISTEXT(VLOOKUP(CONCATENATE($A38,"_",R$3),'Unit List'!$A$23:$H$3172,2,FALSE)),"X",$P38)</f>
        <v/>
      </c>
      <c r="S38" s="51" t="str">
        <f>IF(ISTEXT(VLOOKUP(CONCATENATE($A38,"_",S$3),'Unit List'!$A$23:$H$3172,2,FALSE)),"X",$P38)</f>
        <v/>
      </c>
      <c r="T38" s="52" t="str">
        <f>IF(ISTEXT(VLOOKUP(CONCATENATE($A38,"_",T$3),'Unit List'!$A$23:$H$3172,2,FALSE)),"X",$P38)</f>
        <v/>
      </c>
      <c r="U38" s="51" t="str">
        <f>IF(ISTEXT(VLOOKUP(CONCATENATE($A38,"_",U$3),'Unit List'!$A$23:$H$3172,2,FALSE)),"X",$P38)</f>
        <v/>
      </c>
      <c r="V38" s="67" t="str">
        <f>IF(ISTEXT(VLOOKUP(CONCATENATE($A38,"_",V$3),'Unit List'!$A$23:$H$3172,2,FALSE)),"X",$P38)</f>
        <v>X</v>
      </c>
      <c r="W38" s="53" t="str">
        <f>IF(ISTEXT(VLOOKUP(CONCATENATE($A38,"_",W$3),'Unit List'!$A$23:$H$3172,2,FALSE)),"X",$P38)</f>
        <v/>
      </c>
      <c r="X38" s="172" t="str">
        <f>IF(ISTEXT(VLOOKUP(CONCATENATE($A38,"_",X$3),'Unit List'!$A$23:$H$3172,2,FALSE)),"+","")</f>
        <v>+</v>
      </c>
      <c r="Y38" s="51" t="str">
        <f>IF(ISTEXT(VLOOKUP(CONCATENATE($A38,"_",Y$3),'Unit List'!$A$23:$H$3172,2,FALSE)),"X",$X38)</f>
        <v>+</v>
      </c>
      <c r="Z38" s="51" t="str">
        <f>IF(ISTEXT(VLOOKUP(CONCATENATE($A38,"_",Z$3),'Unit List'!$A$23:$H$3172,2,FALSE)),"X",$X38)</f>
        <v>+</v>
      </c>
      <c r="AA38" s="51" t="str">
        <f>IF(ISTEXT(VLOOKUP(CONCATENATE($A38,"_",AA$3),'Unit List'!$A$23:$H$3172,2,FALSE)),"X",$X38)</f>
        <v>+</v>
      </c>
      <c r="AB38" s="51" t="str">
        <f>IF(ISTEXT(VLOOKUP(CONCATENATE($A38,"_",AB$3),'Unit List'!$A$23:$H$3172,2,FALSE)),"X",$X38)</f>
        <v>+</v>
      </c>
      <c r="AC38" s="62" t="str">
        <f>IF(ISTEXT(VLOOKUP(CONCATENATE($A38,"_",AC$3),'Unit List'!$A$23:$H$3172,2,FALSE)),"X",$X38)</f>
        <v>+</v>
      </c>
      <c r="AD38" s="172" t="str">
        <f>IF(ISTEXT(VLOOKUP(CONCATENATE($A38,"_",AD$3),'Unit List'!$A$23:$H$3172,2,FALSE)),"+","")</f>
        <v>+</v>
      </c>
      <c r="AE38" s="51" t="str">
        <f>IF(ISTEXT(VLOOKUP(CONCATENATE($A38,"_",AE$3),'Unit List'!$A$23:$H$3172,2,FALSE)),"X",$AD38)</f>
        <v>+</v>
      </c>
      <c r="AF38" s="51" t="str">
        <f>IF(ISTEXT(VLOOKUP(CONCATENATE($A38,"_",AF$3),'Unit List'!$A$23:$H$3172,2,FALSE)),"X",$AD38)</f>
        <v>+</v>
      </c>
      <c r="AG38" s="172" t="str">
        <f>IF(ISTEXT(VLOOKUP(CONCATENATE($A38,"_",AG$3),'Unit List'!$A$23:$H$3172,2,FALSE)),"+","")</f>
        <v/>
      </c>
      <c r="AH38" s="51" t="str">
        <f>IF(ISTEXT(VLOOKUP(CONCATENATE($A38,"_",AH$3),'Unit List'!$A$23:$H$3172,2,FALSE)),"X",$AG38)</f>
        <v/>
      </c>
      <c r="AI38" s="51" t="str">
        <f>IF(ISTEXT(VLOOKUP(CONCATENATE($A38,"_",AI$3),'Unit List'!$A$23:$H$3172,2,FALSE)),"X",$AG38)</f>
        <v/>
      </c>
      <c r="AJ38" s="53" t="str">
        <f>IF(ISTEXT(VLOOKUP(CONCATENATE($A38,"_",AJ$3),'Unit List'!$A$23:$H$3172,2,FALSE)),"X",$AG38)</f>
        <v/>
      </c>
      <c r="AK38" s="172" t="str">
        <f>IF(ISTEXT(VLOOKUP(CONCATENATE($A38,"_",AK$3),'Unit List'!$A$23:$H$3172,2,FALSE)),"+","")</f>
        <v/>
      </c>
      <c r="AL38" s="52" t="str">
        <f>IF(ISTEXT(VLOOKUP(CONCATENATE($A38,"_",AL$3),'Unit List'!$A$23:$H$3172,2,FALSE)),"X",$AK38)</f>
        <v/>
      </c>
      <c r="AM38" s="53" t="str">
        <f>IF(ISTEXT(VLOOKUP(CONCATENATE($A38,"_",AM$3),'Unit List'!$A$23:$H$3172,2,FALSE)),"X",$AK38)</f>
        <v/>
      </c>
      <c r="AN38" s="125" t="str">
        <f>IF(ISTEXT(VLOOKUP(CONCATENATE($A38,"_",AN$3),'Unit List'!$A$23:$H$3172,2,FALSE)),"+","")</f>
        <v>+</v>
      </c>
      <c r="AO38" s="53" t="str">
        <f>IF(ISTEXT(VLOOKUP(CONCATENATE($A38,"_",AO$3),'Unit List'!$A$23:$H$3172,2,FALSE)),"X",$AN38)</f>
        <v>+</v>
      </c>
      <c r="AP38" s="172" t="str">
        <f>IF(ISTEXT(VLOOKUP(CONCATENATE($A38,"_",AP$3),'Unit List'!$A$23:$H$3172,2,FALSE)),"+","")</f>
        <v/>
      </c>
      <c r="AQ38" s="51" t="str">
        <f>IF(ISTEXT(VLOOKUP(CONCATENATE($A38,"_",AQ$3),'Unit List'!$A$23:$H$3172,2,FALSE)),"X",$AP38)</f>
        <v/>
      </c>
      <c r="AR38" s="51" t="str">
        <f>IF(ISTEXT(VLOOKUP(CONCATENATE($A38,"_",AR$3),'Unit List'!$A$23:$H$3172,2,FALSE)),"X",$AP38)</f>
        <v/>
      </c>
      <c r="AS38" s="51" t="str">
        <f>IF(ISTEXT(VLOOKUP(CONCATENATE($A38,"_",AS$3),'Unit List'!$A$23:$H$3172,2,FALSE)),"X",$AP38)</f>
        <v/>
      </c>
      <c r="AT38" s="53" t="str">
        <f>IF(ISTEXT(VLOOKUP(CONCATENATE($A38,"_",AT$3),'Unit List'!$A$23:$H$3172,2,FALSE)),"X",$AP38)</f>
        <v/>
      </c>
      <c r="AU38" s="124" t="str">
        <f>IF(ISTEXT(VLOOKUP(CONCATENATE($A38,"_",AU$3),'Unit List'!$A$23:$H$3172,2,FALSE)),"+","")</f>
        <v>+</v>
      </c>
      <c r="AV38" s="51" t="str">
        <f>IF(ISTEXT(VLOOKUP(CONCATENATE($A38,"_",AV$3),'Unit List'!$A$23:$H$3172,2,FALSE)),"X",$AU38)</f>
        <v>+</v>
      </c>
      <c r="AW38" s="53" t="str">
        <f>IF(ISTEXT(VLOOKUP(CONCATENATE($A38,"_",AW$3),'Unit List'!$A$23:$H$3172,2,FALSE)),"X",$AU38)</f>
        <v>+</v>
      </c>
      <c r="AX38" s="172" t="str">
        <f>IF(ISTEXT(VLOOKUP(CONCATENATE($A38,"_",AX$3),'Unit List'!$A$23:$H$3172,2,FALSE)),"+","")</f>
        <v/>
      </c>
      <c r="AY38" s="51" t="str">
        <f>IF(ISTEXT(VLOOKUP(CONCATENATE($A38,"_",AY$3),'Unit List'!$A$23:$H$3172,2,FALSE)),"X",$AX38)</f>
        <v/>
      </c>
      <c r="AZ38" s="53" t="str">
        <f>IF(ISTEXT(VLOOKUP(CONCATENATE($A38,"_",AZ$3),'Unit List'!$A$23:$H$3172,2,FALSE)),"X",$AX38)</f>
        <v/>
      </c>
      <c r="BA38" s="182" t="str">
        <f>IF(ISTEXT(VLOOKUP(CONCATENATE($A38,"_",BA$3),'Unit List'!$A$23:$H$3172,2,FALSE)),"+","")</f>
        <v>+</v>
      </c>
      <c r="BB38" s="51" t="str">
        <f>IF(ISTEXT(VLOOKUP(CONCATENATE($A38,"_",BB$3),'Unit List'!$A$23:$H$3172,2,FALSE)),"X",$BA38)</f>
        <v>+</v>
      </c>
      <c r="BC38" s="51" t="str">
        <f>IF(ISTEXT(VLOOKUP(CONCATENATE($A38,"_",BC$3),'Unit List'!$A$23:$H$3172,2,FALSE)),"X",$BA38)</f>
        <v>+</v>
      </c>
      <c r="BD38" s="53" t="str">
        <f>IF(ISTEXT(VLOOKUP(CONCATENATE($A38,"_",BD$3),'Unit List'!$A$23:$H$3172,2,FALSE)),"X",$BA38)</f>
        <v>+</v>
      </c>
      <c r="BE38" s="125" t="str">
        <f>IF(ISTEXT(VLOOKUP(CONCATENATE($A38,"_",BE$3),'Unit List'!$A$23:$H$3172,2,FALSE)),"+","")</f>
        <v/>
      </c>
      <c r="BF38" s="62" t="str">
        <f>IF(ISTEXT(VLOOKUP(CONCATENATE($A38,"_",BF$3),'Unit List'!$A$23:$H$3172,2,FALSE)),"X",$BE38)</f>
        <v/>
      </c>
      <c r="BG38" s="64"/>
      <c r="BH38" s="65" t="s">
        <v>0</v>
      </c>
      <c r="BI38" s="225"/>
      <c r="BJ38" s="226"/>
      <c r="BK38" s="226"/>
      <c r="BL38" s="226"/>
      <c r="BM38" s="227"/>
      <c r="BN38" s="54"/>
      <c r="BO38" s="54"/>
      <c r="BP38" s="54"/>
      <c r="BQ38" s="54"/>
      <c r="BR38" s="54"/>
      <c r="BS38" s="54"/>
      <c r="DZ38" s="55"/>
      <c r="EA38" s="55"/>
    </row>
    <row r="39" spans="1:131" ht="12.75" customHeight="1" x14ac:dyDescent="0.2">
      <c r="A39" s="56" t="s">
        <v>1148</v>
      </c>
      <c r="B39" s="181" t="str">
        <f>IF(ISTEXT(VLOOKUP(CONCATENATE($A39,"_",B$3),'Unit List'!$A$23:$H$3172,2,FALSE)),"+","")</f>
        <v/>
      </c>
      <c r="C39" s="82" t="str">
        <f>IF(ISTEXT(VLOOKUP(CONCATENATE($A39,"_",C$3),'Unit List'!$A$23:$H$3172,2,FALSE)),"X",$B39)</f>
        <v>X</v>
      </c>
      <c r="D39" s="51" t="str">
        <f>IF(ISTEXT(VLOOKUP(CONCATENATE($A39,"_",D$3),'Unit List'!$A$23:$H$3172,2,FALSE)),"X",$B39)</f>
        <v>X</v>
      </c>
      <c r="E39" s="51" t="str">
        <f>IF(ISTEXT(VLOOKUP(CONCATENATE($A39,"_",E$3),'Unit List'!$A$23:$H$3172,2,FALSE)),"X",$B39)</f>
        <v>X</v>
      </c>
      <c r="F39" s="67" t="str">
        <f>IF(ISTEXT(VLOOKUP(CONCATENATE($A39,"_",F$3),'Unit List'!$A$23:$H$3172,2,FALSE)),"X",$B39)</f>
        <v>X</v>
      </c>
      <c r="G39" s="67" t="str">
        <f>IF(ISTEXT(VLOOKUP(CONCATENATE($A39,"_",G$3),'Unit List'!$A$23:$H$3172,2,FALSE)),"X",$B39)</f>
        <v>X</v>
      </c>
      <c r="H39" s="67" t="str">
        <f>IF(ISTEXT(VLOOKUP(CONCATENATE($A39,"_",H$3),'Unit List'!$A$23:$H$3172,2,FALSE)),"X",$B39)</f>
        <v>X</v>
      </c>
      <c r="I39" s="53" t="str">
        <f>IF(ISTEXT(VLOOKUP(CONCATENATE($A39,"_",I$3),'Unit List'!$A$23:$H$3172,2,FALSE)),"X",$B39)</f>
        <v>X</v>
      </c>
      <c r="J39" s="171" t="str">
        <f>IF(ISTEXT(VLOOKUP(CONCATENATE($A39,"_",J$3),'Unit List'!$A$23:$H$3172,2,FALSE)),"+","")</f>
        <v/>
      </c>
      <c r="K39" s="51" t="str">
        <f>IF(ISTEXT(VLOOKUP(CONCATENATE($A39,"_",K$3),'Unit List'!$A$23:$H$3172,2,FALSE)),"X",$J39)</f>
        <v/>
      </c>
      <c r="L39" s="62" t="str">
        <f>IF(ISTEXT(VLOOKUP(CONCATENATE($A39,"_",L$3),'Unit List'!$A$23:$H$3172,2,FALSE)),"X",$J39)</f>
        <v/>
      </c>
      <c r="M39" s="171" t="str">
        <f>IF(ISTEXT(VLOOKUP(CONCATENATE($A39,"_",M$3),'Unit List'!$A$23:$H$3172,2,FALSE)),"+","")</f>
        <v>+</v>
      </c>
      <c r="N39" s="69" t="str">
        <f>IF(ISTEXT(VLOOKUP(CONCATENATE($A39,"_",N$3),'Unit List'!$A$23:$H$3172,2,FALSE)),"X",$M39)</f>
        <v>+</v>
      </c>
      <c r="O39" s="73" t="str">
        <f>IF(ISTEXT(VLOOKUP(CONCATENATE($A39,"_",O$3),'Unit List'!$A$23:$H$3172,2,FALSE)),"X",$M39)</f>
        <v>X</v>
      </c>
      <c r="P39" s="172" t="str">
        <f>IF(ISTEXT(VLOOKUP(CONCATENATE($A39,"_",P$3),'Unit List'!$A$23:$H$3172,2,FALSE)),"+","")</f>
        <v/>
      </c>
      <c r="Q39" s="51" t="str">
        <f>IF(ISTEXT(VLOOKUP(CONCATENATE($A39,"_",Q$3),'Unit List'!$A$23:$H$3172,2,FALSE)),"X",$P39)</f>
        <v/>
      </c>
      <c r="R39" s="51" t="str">
        <f>IF(ISTEXT(VLOOKUP(CONCATENATE($A39,"_",R$3),'Unit List'!$A$23:$H$3172,2,FALSE)),"X",$P39)</f>
        <v/>
      </c>
      <c r="S39" s="51" t="str">
        <f>IF(ISTEXT(VLOOKUP(CONCATENATE($A39,"_",S$3),'Unit List'!$A$23:$H$3172,2,FALSE)),"X",$P39)</f>
        <v>X</v>
      </c>
      <c r="T39" s="52" t="str">
        <f>IF(ISTEXT(VLOOKUP(CONCATENATE($A39,"_",T$3),'Unit List'!$A$23:$H$3172,2,FALSE)),"X",$P39)</f>
        <v/>
      </c>
      <c r="U39" s="67" t="str">
        <f>IF(ISTEXT(VLOOKUP(CONCATENATE($A39,"_",U$3),'Unit List'!$A$23:$H$3172,2,FALSE)),"X",$P39)</f>
        <v>X</v>
      </c>
      <c r="V39" s="51" t="str">
        <f>IF(ISTEXT(VLOOKUP(CONCATENATE($A39,"_",V$3),'Unit List'!$A$23:$H$3172,2,FALSE)),"X",$P39)</f>
        <v/>
      </c>
      <c r="W39" s="53" t="str">
        <f>IF(ISTEXT(VLOOKUP(CONCATENATE($A39,"_",W$3),'Unit List'!$A$23:$H$3172,2,FALSE)),"X",$P39)</f>
        <v/>
      </c>
      <c r="X39" s="171" t="str">
        <f>IF(ISTEXT(VLOOKUP(CONCATENATE($A39,"_",X$3),'Unit List'!$A$23:$H$3172,2,FALSE)),"+","")</f>
        <v>+</v>
      </c>
      <c r="Y39" s="67" t="str">
        <f>IF(ISTEXT(VLOOKUP(CONCATENATE($A39,"_",Y$3),'Unit List'!$A$23:$H$3172,2,FALSE)),"X",$X39)</f>
        <v>X</v>
      </c>
      <c r="Z39" s="51" t="str">
        <f>IF(ISTEXT(VLOOKUP(CONCATENATE($A39,"_",Z$3),'Unit List'!$A$23:$H$3172,2,FALSE)),"X",$X39)</f>
        <v>+</v>
      </c>
      <c r="AA39" s="67" t="str">
        <f>IF(ISTEXT(VLOOKUP(CONCATENATE($A39,"_",AA$3),'Unit List'!$A$23:$H$3172,2,FALSE)),"X",$X39)</f>
        <v>X</v>
      </c>
      <c r="AB39" s="67" t="str">
        <f>IF(ISTEXT(VLOOKUP(CONCATENATE($A39,"_",AB$3),'Unit List'!$A$23:$H$3172,2,FALSE)),"X",$X39)</f>
        <v>X</v>
      </c>
      <c r="AC39" s="68" t="str">
        <f>IF(ISTEXT(VLOOKUP(CONCATENATE($A39,"_",AC$3),'Unit List'!$A$23:$H$3172,2,FALSE)),"X",$X39)</f>
        <v>X</v>
      </c>
      <c r="AD39" s="171" t="str">
        <f>IF(ISTEXT(VLOOKUP(CONCATENATE($A39,"_",AD$3),'Unit List'!$A$23:$H$3172,2,FALSE)),"+","")</f>
        <v>+</v>
      </c>
      <c r="AE39" s="51" t="str">
        <f>IF(ISTEXT(VLOOKUP(CONCATENATE($A39,"_",AE$3),'Unit List'!$A$23:$H$3172,2,FALSE)),"X",$AD39)</f>
        <v>+</v>
      </c>
      <c r="AF39" s="51" t="str">
        <f>IF(ISTEXT(VLOOKUP(CONCATENATE($A39,"_",AF$3),'Unit List'!$A$23:$H$3172,2,FALSE)),"X",$AD39)</f>
        <v>+</v>
      </c>
      <c r="AG39" s="171" t="str">
        <f>IF(ISTEXT(VLOOKUP(CONCATENATE($A39,"_",AG$3),'Unit List'!$A$23:$H$3172,2,FALSE)),"+","")</f>
        <v>+</v>
      </c>
      <c r="AH39" s="67" t="str">
        <f>IF(ISTEXT(VLOOKUP(CONCATENATE($A39,"_",AH$3),'Unit List'!$A$23:$H$3172,2,FALSE)),"X",$AG39)</f>
        <v>X</v>
      </c>
      <c r="AI39" s="67" t="str">
        <f>IF(ISTEXT(VLOOKUP(CONCATENATE($A39,"_",AI$3),'Unit List'!$A$23:$H$3172,2,FALSE)),"X",$AG39)</f>
        <v>X</v>
      </c>
      <c r="AJ39" s="71" t="str">
        <f>IF(ISTEXT(VLOOKUP(CONCATENATE($A39,"_",AJ$3),'Unit List'!$A$23:$H$3172,2,FALSE)),"X",$AG39)</f>
        <v>X</v>
      </c>
      <c r="AK39" s="171" t="str">
        <f>IF(ISTEXT(VLOOKUP(CONCATENATE($A39,"_",AK$3),'Unit List'!$A$23:$H$3172,2,FALSE)),"+","")</f>
        <v>+</v>
      </c>
      <c r="AL39" s="52" t="str">
        <f>IF(ISTEXT(VLOOKUP(CONCATENATE($A39,"_",AL$3),'Unit List'!$A$23:$H$3172,2,FALSE)),"X",$AK39)</f>
        <v>+</v>
      </c>
      <c r="AM39" s="71" t="str">
        <f>IF(ISTEXT(VLOOKUP(CONCATENATE($A39,"_",AM$3),'Unit List'!$A$23:$H$3172,2,FALSE)),"X",$AK39)</f>
        <v>X</v>
      </c>
      <c r="AN39" s="125" t="str">
        <f>IF(ISTEXT(VLOOKUP(CONCATENATE($A39,"_",AN$3),'Unit List'!$A$23:$H$3172,2,FALSE)),"+","")</f>
        <v>+</v>
      </c>
      <c r="AO39" s="70" t="str">
        <f>IF(ISTEXT(VLOOKUP(CONCATENATE($A39,"_",AO$3),'Unit List'!$A$23:$H$3172,2,FALSE)),"X",$AN39)</f>
        <v>X</v>
      </c>
      <c r="AP39" s="171" t="str">
        <f>IF(ISTEXT(VLOOKUP(CONCATENATE($A39,"_",AP$3),'Unit List'!$A$23:$H$3172,2,FALSE)),"+","")</f>
        <v>+</v>
      </c>
      <c r="AQ39" s="67" t="str">
        <f>IF(ISTEXT(VLOOKUP(CONCATENATE($A39,"_",AQ$3),'Unit List'!$A$23:$H$3172,2,FALSE)),"X",$AP39)</f>
        <v>X</v>
      </c>
      <c r="AR39" s="51" t="str">
        <f>IF(ISTEXT(VLOOKUP(CONCATENATE($A39,"_",AR$3),'Unit List'!$A$23:$H$3172,2,FALSE)),"X",$AP39)</f>
        <v>+</v>
      </c>
      <c r="AS39" s="51" t="str">
        <f>IF(ISTEXT(VLOOKUP(CONCATENATE($A39,"_",AS$3),'Unit List'!$A$23:$H$3172,2,FALSE)),"X",$AP39)</f>
        <v>+</v>
      </c>
      <c r="AT39" s="70" t="str">
        <f>IF(ISTEXT(VLOOKUP(CONCATENATE($A39,"_",AT$3),'Unit List'!$A$23:$H$3172,2,FALSE)),"X",$AP39)</f>
        <v>X</v>
      </c>
      <c r="AU39" s="124" t="str">
        <f>IF(ISTEXT(VLOOKUP(CONCATENATE($A39,"_",AU$3),'Unit List'!$A$23:$H$3172,2,FALSE)),"+","")</f>
        <v>+</v>
      </c>
      <c r="AV39" s="51" t="str">
        <f>IF(ISTEXT(VLOOKUP(CONCATENATE($A39,"_",AV$3),'Unit List'!$A$23:$H$3172,2,FALSE)),"X",$AU39)</f>
        <v>+</v>
      </c>
      <c r="AW39" s="70" t="str">
        <f>IF(ISTEXT(VLOOKUP(CONCATENATE($A39,"_",AW$3),'Unit List'!$A$23:$H$3172,2,FALSE)),"X",$AU39)</f>
        <v>X</v>
      </c>
      <c r="AX39" s="172" t="str">
        <f>IF(ISTEXT(VLOOKUP(CONCATENATE($A39,"_",AX$3),'Unit List'!$A$23:$H$3172,2,FALSE)),"+","")</f>
        <v>+</v>
      </c>
      <c r="AY39" s="51" t="str">
        <f>IF(ISTEXT(VLOOKUP(CONCATENATE($A39,"_",AY$3),'Unit List'!$A$23:$H$3172,2,FALSE)),"X",$AX39)</f>
        <v>+</v>
      </c>
      <c r="AZ39" s="53" t="str">
        <f>IF(ISTEXT(VLOOKUP(CONCATENATE($A39,"_",AZ$3),'Unit List'!$A$23:$H$3172,2,FALSE)),"X",$AX39)</f>
        <v>+</v>
      </c>
      <c r="BA39" s="182" t="str">
        <f>IF(ISTEXT(VLOOKUP(CONCATENATE($A39,"_",BA$3),'Unit List'!$A$23:$H$3172,2,FALSE)),"+","")</f>
        <v/>
      </c>
      <c r="BB39" s="51" t="str">
        <f>IF(ISTEXT(VLOOKUP(CONCATENATE($A39,"_",BB$3),'Unit List'!$A$23:$H$3172,2,FALSE)),"X",$BA39)</f>
        <v/>
      </c>
      <c r="BC39" s="67" t="str">
        <f>IF(ISTEXT(VLOOKUP(CONCATENATE($A39,"_",BC$3),'Unit List'!$A$23:$H$3172,2,FALSE)),"X",$BA39)</f>
        <v>X</v>
      </c>
      <c r="BD39" s="53" t="str">
        <f>IF(ISTEXT(VLOOKUP(CONCATENATE($A39,"_",BD$3),'Unit List'!$A$23:$H$3172,2,FALSE)),"X",$BA39)</f>
        <v/>
      </c>
      <c r="BE39" s="125" t="str">
        <f>IF(ISTEXT(VLOOKUP(CONCATENATE($A39,"_",BE$3),'Unit List'!$A$23:$H$3172,2,FALSE)),"+","")</f>
        <v>+</v>
      </c>
      <c r="BF39" s="62" t="str">
        <f>IF(ISTEXT(VLOOKUP(CONCATENATE($A39,"_",BF$3),'Unit List'!$A$23:$H$3172,2,FALSE)),"X",$BE39)</f>
        <v>+</v>
      </c>
      <c r="BG39" s="64"/>
      <c r="BH39" s="65" t="s">
        <v>0</v>
      </c>
      <c r="BI39" s="225"/>
      <c r="BJ39" s="226"/>
      <c r="BK39" s="226"/>
      <c r="BL39" s="226"/>
      <c r="BM39" s="227"/>
      <c r="BN39" s="54"/>
      <c r="BO39" s="54"/>
      <c r="BP39" s="54"/>
      <c r="BQ39" s="54"/>
      <c r="BR39" s="54"/>
      <c r="BS39" s="54"/>
      <c r="DZ39" s="55"/>
      <c r="EA39" s="55"/>
    </row>
    <row r="40" spans="1:131" ht="12.75" customHeight="1" x14ac:dyDescent="0.2">
      <c r="A40" s="56" t="s">
        <v>25</v>
      </c>
      <c r="B40" s="181" t="str">
        <f>IF(ISTEXT(VLOOKUP(CONCATENATE($A40,"_",B$3),'Unit List'!$A$23:$H$3172,2,FALSE)),"+","")</f>
        <v/>
      </c>
      <c r="C40" s="102" t="s">
        <v>3</v>
      </c>
      <c r="D40" s="51" t="str">
        <f>IF(ISTEXT(VLOOKUP(CONCATENATE($A40,"_",D$3),'Unit List'!$A$23:$H$3172,2,FALSE)),"X",$B40)</f>
        <v>X</v>
      </c>
      <c r="E40" s="51" t="str">
        <f>IF(ISTEXT(VLOOKUP(CONCATENATE($A40,"_",E$3),'Unit List'!$A$23:$H$3172,2,FALSE)),"X",$B40)</f>
        <v/>
      </c>
      <c r="F40" s="67" t="str">
        <f>IF(ISTEXT(VLOOKUP(CONCATENATE($A40,"_",F$3),'Unit List'!$A$23:$H$3172,2,FALSE)),"X",$B40)</f>
        <v>X</v>
      </c>
      <c r="G40" s="89" t="s">
        <v>0</v>
      </c>
      <c r="H40" s="51" t="str">
        <f>IF(ISTEXT(VLOOKUP(CONCATENATE($A40,"_",H$3),'Unit List'!$A$23:$H$3172,2,FALSE)),"X",$B40)</f>
        <v>X</v>
      </c>
      <c r="I40" s="70" t="str">
        <f>IF(ISTEXT(VLOOKUP(CONCATENATE($A40,"_",I$3),'Unit List'!$A$23:$H$3172,2,FALSE)),"X",$B40)</f>
        <v>X</v>
      </c>
      <c r="J40" s="171" t="str">
        <f>IF(ISTEXT(VLOOKUP(CONCATENATE($A40,"_",J$3),'Unit List'!$A$23:$H$3172,2,FALSE)),"+","")</f>
        <v/>
      </c>
      <c r="K40" s="51" t="str">
        <f>IF(ISTEXT(VLOOKUP(CONCATENATE($A40,"_",K$3),'Unit List'!$A$23:$H$3172,2,FALSE)),"X",$J40)</f>
        <v/>
      </c>
      <c r="L40" s="62" t="str">
        <f>IF(ISTEXT(VLOOKUP(CONCATENATE($A40,"_",L$3),'Unit List'!$A$23:$H$3172,2,FALSE)),"X",$J40)</f>
        <v/>
      </c>
      <c r="M40" s="171" t="str">
        <f>IF(ISTEXT(VLOOKUP(CONCATENATE($A40,"_",M$3),'Unit List'!$A$23:$H$3172,2,FALSE)),"+","")</f>
        <v>+</v>
      </c>
      <c r="N40" s="51" t="str">
        <f>IF(ISTEXT(VLOOKUP(CONCATENATE($A40,"_",N$3),'Unit List'!$A$23:$H$3172,2,FALSE)),"X",$M40)</f>
        <v>X</v>
      </c>
      <c r="O40" s="53" t="str">
        <f>IF(ISTEXT(VLOOKUP(CONCATENATE($A40,"_",O$3),'Unit List'!$A$23:$H$3172,2,FALSE)),"X",$M40)</f>
        <v>X</v>
      </c>
      <c r="P40" s="172" t="str">
        <f>IF(ISTEXT(VLOOKUP(CONCATENATE($A40,"_",P$3),'Unit List'!$A$23:$H$3172,2,FALSE)),"+","")</f>
        <v/>
      </c>
      <c r="Q40" s="67" t="str">
        <f>IF(ISTEXT(VLOOKUP(CONCATENATE($A40,"_",Q$3),'Unit List'!$A$23:$H$3172,2,FALSE)),"X",$P40)</f>
        <v>X</v>
      </c>
      <c r="R40" s="51" t="str">
        <f>IF(ISTEXT(VLOOKUP(CONCATENATE($A40,"_",R$3),'Unit List'!$A$23:$H$3172,2,FALSE)),"X",$P40)</f>
        <v/>
      </c>
      <c r="S40" s="51" t="str">
        <f>IF(ISTEXT(VLOOKUP(CONCATENATE($A40,"_",S$3),'Unit List'!$A$23:$H$3172,2,FALSE)),"X",$P40)</f>
        <v/>
      </c>
      <c r="T40" s="52" t="str">
        <f>IF(ISTEXT(VLOOKUP(CONCATENATE($A40,"_",T$3),'Unit List'!$A$23:$H$3172,2,FALSE)),"X",$P40)</f>
        <v/>
      </c>
      <c r="U40" s="51" t="str">
        <f>IF(ISTEXT(VLOOKUP(CONCATENATE($A40,"_",U$3),'Unit List'!$A$23:$H$3172,2,FALSE)),"X",$P40)</f>
        <v/>
      </c>
      <c r="V40" s="72" t="s">
        <v>0</v>
      </c>
      <c r="W40" s="53" t="str">
        <f>IF(ISTEXT(VLOOKUP(CONCATENATE($A40,"_",W$3),'Unit List'!$A$23:$H$3172,2,FALSE)),"X",$P40)</f>
        <v/>
      </c>
      <c r="X40" s="172" t="str">
        <f>IF(ISTEXT(VLOOKUP(CONCATENATE($A40,"_",X$3),'Unit List'!$A$23:$H$3172,2,FALSE)),"+","")</f>
        <v/>
      </c>
      <c r="Y40" s="51" t="str">
        <f>IF(ISTEXT(VLOOKUP(CONCATENATE($A40,"_",Y$3),'Unit List'!$A$23:$H$3172,2,FALSE)),"X",$X40)</f>
        <v/>
      </c>
      <c r="Z40" s="51" t="str">
        <f>IF(ISTEXT(VLOOKUP(CONCATENATE($A40,"_",Z$3),'Unit List'!$A$23:$H$3172,2,FALSE)),"X",$X40)</f>
        <v/>
      </c>
      <c r="AA40" s="51" t="str">
        <f>IF(ISTEXT(VLOOKUP(CONCATENATE($A40,"_",AA$3),'Unit List'!$A$23:$H$3172,2,FALSE)),"X",$X40)</f>
        <v/>
      </c>
      <c r="AB40" s="51" t="str">
        <f>IF(ISTEXT(VLOOKUP(CONCATENATE($A40,"_",AB$3),'Unit List'!$A$23:$H$3172,2,FALSE)),"X",$X40)</f>
        <v/>
      </c>
      <c r="AC40" s="62" t="str">
        <f>IF(ISTEXT(VLOOKUP(CONCATENATE($A40,"_",AC$3),'Unit List'!$A$23:$H$3172,2,FALSE)),"X",$X40)</f>
        <v/>
      </c>
      <c r="AD40" s="171" t="str">
        <f>IF(ISTEXT(VLOOKUP(CONCATENATE($A40,"_",AD$3),'Unit List'!$A$23:$H$3172,2,FALSE)),"+","")</f>
        <v/>
      </c>
      <c r="AE40" s="51" t="str">
        <f>IF(ISTEXT(VLOOKUP(CONCATENATE($A40,"_",AE$3),'Unit List'!$A$23:$H$3172,2,FALSE)),"X",$AD40)</f>
        <v/>
      </c>
      <c r="AF40" s="51" t="str">
        <f>IF(ISTEXT(VLOOKUP(CONCATENATE($A40,"_",AF$3),'Unit List'!$A$23:$H$3172,2,FALSE)),"X",$AD40)</f>
        <v/>
      </c>
      <c r="AG40" s="171" t="str">
        <f>IF(ISTEXT(VLOOKUP(CONCATENATE($A40,"_",AG$3),'Unit List'!$A$23:$H$3172,2,FALSE)),"+","")</f>
        <v/>
      </c>
      <c r="AH40" s="67" t="str">
        <f>IF(ISTEXT(VLOOKUP(CONCATENATE($A40,"_",AH$3),'Unit List'!$A$23:$H$3172,2,FALSE)),"X",$AG40)</f>
        <v>X</v>
      </c>
      <c r="AI40" s="69" t="str">
        <f>IF(ISTEXT(VLOOKUP(CONCATENATE($A40,"_",AI$3),'Unit List'!$A$23:$H$3172,2,FALSE)),"X",$AG40)</f>
        <v/>
      </c>
      <c r="AJ40" s="71" t="str">
        <f>IF(ISTEXT(VLOOKUP(CONCATENATE($A40,"_",AJ$3),'Unit List'!$A$23:$H$3172,2,FALSE)),"X",$AG40)</f>
        <v/>
      </c>
      <c r="AK40" s="172" t="str">
        <f>IF(ISTEXT(VLOOKUP(CONCATENATE($A40,"_",AK$3),'Unit List'!$A$23:$H$3172,2,FALSE)),"+","")</f>
        <v/>
      </c>
      <c r="AL40" s="52" t="str">
        <f>IF(ISTEXT(VLOOKUP(CONCATENATE($A40,"_",AL$3),'Unit List'!$A$23:$H$3172,2,FALSE)),"X",$AK40)</f>
        <v/>
      </c>
      <c r="AM40" s="74" t="s">
        <v>0</v>
      </c>
      <c r="AN40" s="125" t="str">
        <f>IF(ISTEXT(VLOOKUP(CONCATENATE($A40,"_",AN$3),'Unit List'!$A$23:$H$3172,2,FALSE)),"+","")</f>
        <v/>
      </c>
      <c r="AO40" s="53" t="str">
        <f>IF(ISTEXT(VLOOKUP(CONCATENATE($A40,"_",AO$3),'Unit List'!$A$23:$H$3172,2,FALSE)),"X",$AN40)</f>
        <v/>
      </c>
      <c r="AP40" s="172" t="str">
        <f>IF(ISTEXT(VLOOKUP(CONCATENATE($A40,"_",AP$3),'Unit List'!$A$23:$H$3172,2,FALSE)),"+","")</f>
        <v/>
      </c>
      <c r="AQ40" s="51" t="str">
        <f>IF(ISTEXT(VLOOKUP(CONCATENATE($A40,"_",AQ$3),'Unit List'!$A$23:$H$3172,2,FALSE)),"X",$AP40)</f>
        <v/>
      </c>
      <c r="AR40" s="51" t="str">
        <f>IF(ISTEXT(VLOOKUP(CONCATENATE($A40,"_",AR$3),'Unit List'!$A$23:$H$3172,2,FALSE)),"X",$AP40)</f>
        <v/>
      </c>
      <c r="AS40" s="51" t="str">
        <f>IF(ISTEXT(VLOOKUP(CONCATENATE($A40,"_",AS$3),'Unit List'!$A$23:$H$3172,2,FALSE)),"X",$AP40)</f>
        <v/>
      </c>
      <c r="AT40" s="53" t="str">
        <f>IF(ISTEXT(VLOOKUP(CONCATENATE($A40,"_",AT$3),'Unit List'!$A$23:$H$3172,2,FALSE)),"X",$AP40)</f>
        <v/>
      </c>
      <c r="AU40" s="124" t="str">
        <f>IF(ISTEXT(VLOOKUP(CONCATENATE($A40,"_",AU$3),'Unit List'!$A$23:$H$3172,2,FALSE)),"+","")</f>
        <v/>
      </c>
      <c r="AV40" s="51" t="str">
        <f>IF(ISTEXT(VLOOKUP(CONCATENATE($A40,"_",AV$3),'Unit List'!$A$23:$H$3172,2,FALSE)),"X",$AU40)</f>
        <v/>
      </c>
      <c r="AW40" s="53" t="str">
        <f>IF(ISTEXT(VLOOKUP(CONCATENATE($A40,"_",AW$3),'Unit List'!$A$23:$H$3172,2,FALSE)),"X",$AU40)</f>
        <v/>
      </c>
      <c r="AX40" s="171" t="str">
        <f>IF(ISTEXT(VLOOKUP(CONCATENATE($A40,"_",AX$3),'Unit List'!$A$23:$H$3172,2,FALSE)),"+","")</f>
        <v>+</v>
      </c>
      <c r="AY40" s="67" t="str">
        <f>IF(ISTEXT(VLOOKUP(CONCATENATE($A40,"_",AY$3),'Unit List'!$A$23:$H$3172,2,FALSE)),"X",$AX40)</f>
        <v>X</v>
      </c>
      <c r="AZ40" s="70" t="str">
        <f>IF(ISTEXT(VLOOKUP(CONCATENATE($A40,"_",AZ$3),'Unit List'!$A$23:$H$3172,2,FALSE)),"X",$AX40)</f>
        <v>X</v>
      </c>
      <c r="BA40" s="182" t="str">
        <f>IF(ISTEXT(VLOOKUP(CONCATENATE($A40,"_",BA$3),'Unit List'!$A$23:$H$3172,2,FALSE)),"+","")</f>
        <v/>
      </c>
      <c r="BB40" s="51" t="str">
        <f>IF(ISTEXT(VLOOKUP(CONCATENATE($A40,"_",BB$3),'Unit List'!$A$23:$H$3172,2,FALSE)),"X",$BA40)</f>
        <v/>
      </c>
      <c r="BC40" s="51" t="str">
        <f>IF(ISTEXT(VLOOKUP(CONCATENATE($A40,"_",BC$3),'Unit List'!$A$23:$H$3172,2,FALSE)),"X",$BA40)</f>
        <v/>
      </c>
      <c r="BD40" s="53" t="str">
        <f>IF(ISTEXT(VLOOKUP(CONCATENATE($A40,"_",BD$3),'Unit List'!$A$23:$H$3172,2,FALSE)),"X",$BA40)</f>
        <v/>
      </c>
      <c r="BE40" s="125" t="str">
        <f>IF(ISTEXT(VLOOKUP(CONCATENATE($A40,"_",BE$3),'Unit List'!$A$23:$H$3172,2,FALSE)),"+","")</f>
        <v/>
      </c>
      <c r="BF40" s="62" t="str">
        <f>IF(ISTEXT(VLOOKUP(CONCATENATE($A40,"_",BF$3),'Unit List'!$A$23:$H$3172,2,FALSE)),"X",$BE40)</f>
        <v/>
      </c>
      <c r="BG40" s="75"/>
      <c r="BH40" s="84"/>
      <c r="BI40" s="225" t="s">
        <v>24</v>
      </c>
      <c r="BJ40" s="228"/>
      <c r="BK40" s="228"/>
      <c r="BL40" s="228"/>
      <c r="BM40" s="229"/>
      <c r="BN40" s="54"/>
      <c r="BO40" s="54"/>
      <c r="BP40" s="54"/>
      <c r="BQ40" s="54"/>
      <c r="BR40" s="54"/>
      <c r="BS40" s="54"/>
      <c r="DZ40" s="55"/>
      <c r="EA40" s="55"/>
    </row>
    <row r="41" spans="1:131" ht="12.75" customHeight="1" x14ac:dyDescent="0.2">
      <c r="A41" s="56" t="s">
        <v>1275</v>
      </c>
      <c r="B41" s="181" t="str">
        <f>IF(ISTEXT(VLOOKUP(CONCATENATE($A41,"_",B$3),'Unit List'!$A$23:$H$3172,2,FALSE)),"+","")</f>
        <v/>
      </c>
      <c r="C41" s="57" t="str">
        <f>IF(ISTEXT(VLOOKUP(CONCATENATE($A41,"_",C$3),'Unit List'!$A$23:$H$3172,2,FALSE)),"X",$B41)</f>
        <v/>
      </c>
      <c r="D41" s="51" t="str">
        <f>IF(ISTEXT(VLOOKUP(CONCATENATE($A41,"_",D$3),'Unit List'!$A$23:$H$3172,2,FALSE)),"X",$B41)</f>
        <v/>
      </c>
      <c r="E41" s="51" t="str">
        <f>IF(ISTEXT(VLOOKUP(CONCATENATE($A41,"_",E$3),'Unit List'!$A$23:$H$3172,2,FALSE)),"X",$B41)</f>
        <v/>
      </c>
      <c r="F41" s="51" t="str">
        <f>IF(ISTEXT(VLOOKUP(CONCATENATE($A41,"_",F$3),'Unit List'!$A$23:$H$3172,2,FALSE)),"X",$B41)</f>
        <v/>
      </c>
      <c r="G41" s="51" t="str">
        <f>IF(ISTEXT(VLOOKUP(CONCATENATE($A41,"_",G$3),'Unit List'!$A$23:$H$3172,2,FALSE)),"X",$B41)</f>
        <v/>
      </c>
      <c r="H41" s="51" t="str">
        <f>IF(ISTEXT(VLOOKUP(CONCATENATE($A41,"_",H$3),'Unit List'!$A$23:$H$3172,2,FALSE)),"X",$B41)</f>
        <v/>
      </c>
      <c r="I41" s="53" t="str">
        <f>IF(ISTEXT(VLOOKUP(CONCATENATE($A41,"_",I$3),'Unit List'!$A$23:$H$3172,2,FALSE)),"X",$B41)</f>
        <v/>
      </c>
      <c r="J41" s="172" t="str">
        <f>IF(ISTEXT(VLOOKUP(CONCATENATE($A41,"_",J$3),'Unit List'!$A$23:$H$3172,2,FALSE)),"+","")</f>
        <v/>
      </c>
      <c r="K41" s="51" t="str">
        <f>IF(ISTEXT(VLOOKUP(CONCATENATE($A41,"_",K$3),'Unit List'!$A$23:$H$3172,2,FALSE)),"X",$J41)</f>
        <v/>
      </c>
      <c r="L41" s="62" t="str">
        <f>IF(ISTEXT(VLOOKUP(CONCATENATE($A41,"_",L$3),'Unit List'!$A$23:$H$3172,2,FALSE)),"X",$J41)</f>
        <v/>
      </c>
      <c r="M41" s="172" t="str">
        <f>IF(ISTEXT(VLOOKUP(CONCATENATE($A41,"_",M$3),'Unit List'!$A$23:$H$3172,2,FALSE)),"+","")</f>
        <v/>
      </c>
      <c r="N41" s="51" t="str">
        <f>IF(ISTEXT(VLOOKUP(CONCATENATE($A41,"_",N$3),'Unit List'!$A$23:$H$3172,2,FALSE)),"X",$M41)</f>
        <v/>
      </c>
      <c r="O41" s="53" t="str">
        <f>IF(ISTEXT(VLOOKUP(CONCATENATE($A41,"_",O$3),'Unit List'!$A$23:$H$3172,2,FALSE)),"X",$M41)</f>
        <v/>
      </c>
      <c r="P41" s="172" t="str">
        <f>IF(ISTEXT(VLOOKUP(CONCATENATE($A41,"_",P$3),'Unit List'!$A$23:$H$3172,2,FALSE)),"+","")</f>
        <v/>
      </c>
      <c r="Q41" s="51" t="str">
        <f>IF(ISTEXT(VLOOKUP(CONCATENATE($A41,"_",Q$3),'Unit List'!$A$23:$H$3172,2,FALSE)),"X",$P41)</f>
        <v/>
      </c>
      <c r="R41" s="51" t="str">
        <f>IF(ISTEXT(VLOOKUP(CONCATENATE($A41,"_",R$3),'Unit List'!$A$23:$H$3172,2,FALSE)),"X",$P41)</f>
        <v/>
      </c>
      <c r="S41" s="51" t="str">
        <f>IF(ISTEXT(VLOOKUP(CONCATENATE($A41,"_",S$3),'Unit List'!$A$23:$H$3172,2,FALSE)),"X",$P41)</f>
        <v/>
      </c>
      <c r="T41" s="52" t="str">
        <f>IF(ISTEXT(VLOOKUP(CONCATENATE($A41,"_",T$3),'Unit List'!$A$23:$H$3172,2,FALSE)),"X",$P41)</f>
        <v/>
      </c>
      <c r="U41" s="51" t="str">
        <f>IF(ISTEXT(VLOOKUP(CONCATENATE($A41,"_",U$3),'Unit List'!$A$23:$H$3172,2,FALSE)),"X",$P41)</f>
        <v/>
      </c>
      <c r="V41" s="51" t="str">
        <f>IF(ISTEXT(VLOOKUP(CONCATENATE($A41,"_",V$3),'Unit List'!$A$23:$H$3172,2,FALSE)),"X",$P41)</f>
        <v/>
      </c>
      <c r="W41" s="53" t="str">
        <f>IF(ISTEXT(VLOOKUP(CONCATENATE($A41,"_",W$3),'Unit List'!$A$23:$H$3172,2,FALSE)),"X",$P41)</f>
        <v/>
      </c>
      <c r="X41" s="172" t="str">
        <f>IF(ISTEXT(VLOOKUP(CONCATENATE($A41,"_",X$3),'Unit List'!$A$23:$H$3172,2,FALSE)),"+","")</f>
        <v/>
      </c>
      <c r="Y41" s="51" t="str">
        <f>IF(ISTEXT(VLOOKUP(CONCATENATE($A41,"_",Y$3),'Unit List'!$A$23:$H$3172,2,FALSE)),"X",$X41)</f>
        <v/>
      </c>
      <c r="Z41" s="51" t="str">
        <f>IF(ISTEXT(VLOOKUP(CONCATENATE($A41,"_",Z$3),'Unit List'!$A$23:$H$3172,2,FALSE)),"X",$X41)</f>
        <v/>
      </c>
      <c r="AA41" s="51" t="str">
        <f>IF(ISTEXT(VLOOKUP(CONCATENATE($A41,"_",AA$3),'Unit List'!$A$23:$H$3172,2,FALSE)),"X",$X41)</f>
        <v/>
      </c>
      <c r="AB41" s="51" t="str">
        <f>IF(ISTEXT(VLOOKUP(CONCATENATE($A41,"_",AB$3),'Unit List'!$A$23:$H$3172,2,FALSE)),"X",$X41)</f>
        <v/>
      </c>
      <c r="AC41" s="62" t="str">
        <f>IF(ISTEXT(VLOOKUP(CONCATENATE($A41,"_",AC$3),'Unit List'!$A$23:$H$3172,2,FALSE)),"X",$X41)</f>
        <v/>
      </c>
      <c r="AD41" s="172" t="str">
        <f>IF(ISTEXT(VLOOKUP(CONCATENATE($A41,"_",AD$3),'Unit List'!$A$23:$H$3172,2,FALSE)),"+","")</f>
        <v/>
      </c>
      <c r="AE41" s="51" t="str">
        <f>IF(ISTEXT(VLOOKUP(CONCATENATE($A41,"_",AE$3),'Unit List'!$A$23:$H$3172,2,FALSE)),"X",$AD41)</f>
        <v/>
      </c>
      <c r="AF41" s="51" t="str">
        <f>IF(ISTEXT(VLOOKUP(CONCATENATE($A41,"_",AF$3),'Unit List'!$A$23:$H$3172,2,FALSE)),"X",$AD41)</f>
        <v/>
      </c>
      <c r="AG41" s="172" t="str">
        <f>IF(ISTEXT(VLOOKUP(CONCATENATE($A41,"_",AG$3),'Unit List'!$A$23:$H$3172,2,FALSE)),"+","")</f>
        <v/>
      </c>
      <c r="AH41" s="83" t="str">
        <f>IF(ISTEXT(VLOOKUP(CONCATENATE($A41,"_",AH$3),'Unit List'!$A$23:$H$3172,2,FALSE)),"X",$AG41)</f>
        <v/>
      </c>
      <c r="AI41" s="83" t="str">
        <f>IF(ISTEXT(VLOOKUP(CONCATENATE($A41,"_",AI$3),'Unit List'!$A$23:$H$3172,2,FALSE)),"X",$AG41)</f>
        <v/>
      </c>
      <c r="AJ41" s="53" t="str">
        <f>IF(ISTEXT(VLOOKUP(CONCATENATE($A41,"_",AJ$3),'Unit List'!$A$23:$H$3172,2,FALSE)),"X",$AG41)</f>
        <v/>
      </c>
      <c r="AK41" s="172" t="str">
        <f>IF(ISTEXT(VLOOKUP(CONCATENATE($A41,"_",AK$3),'Unit List'!$A$23:$H$3172,2,FALSE)),"+","")</f>
        <v/>
      </c>
      <c r="AL41" s="52" t="str">
        <f>IF(ISTEXT(VLOOKUP(CONCATENATE($A41,"_",AL$3),'Unit List'!$A$23:$H$3172,2,FALSE)),"X",$AK41)</f>
        <v/>
      </c>
      <c r="AM41" s="53" t="str">
        <f>IF(ISTEXT(VLOOKUP(CONCATENATE($A41,"_",AM$3),'Unit List'!$A$23:$H$3172,2,FALSE)),"X",$AK41)</f>
        <v/>
      </c>
      <c r="AN41" s="125" t="str">
        <f>IF(ISTEXT(VLOOKUP(CONCATENATE($A41,"_",AN$3),'Unit List'!$A$23:$H$3172,2,FALSE)),"+","")</f>
        <v/>
      </c>
      <c r="AO41" s="53" t="str">
        <f>IF(ISTEXT(VLOOKUP(CONCATENATE($A41,"_",AO$3),'Unit List'!$A$23:$H$3172,2,FALSE)),"X",$AN41)</f>
        <v/>
      </c>
      <c r="AP41" s="172" t="str">
        <f>IF(ISTEXT(VLOOKUP(CONCATENATE($A41,"_",AP$3),'Unit List'!$A$23:$H$3172,2,FALSE)),"+","")</f>
        <v/>
      </c>
      <c r="AQ41" s="51" t="str">
        <f>IF(ISTEXT(VLOOKUP(CONCATENATE($A41,"_",AQ$3),'Unit List'!$A$23:$H$3172,2,FALSE)),"X",$AP41)</f>
        <v/>
      </c>
      <c r="AR41" s="51" t="str">
        <f>IF(ISTEXT(VLOOKUP(CONCATENATE($A41,"_",AR$3),'Unit List'!$A$23:$H$3172,2,FALSE)),"X",$AP41)</f>
        <v/>
      </c>
      <c r="AS41" s="51" t="str">
        <f>IF(ISTEXT(VLOOKUP(CONCATENATE($A41,"_",AS$3),'Unit List'!$A$23:$H$3172,2,FALSE)),"X",$AP41)</f>
        <v/>
      </c>
      <c r="AT41" s="53" t="str">
        <f>IF(ISTEXT(VLOOKUP(CONCATENATE($A41,"_",AT$3),'Unit List'!$A$23:$H$3172,2,FALSE)),"X",$AP41)</f>
        <v/>
      </c>
      <c r="AU41" s="124" t="str">
        <f>IF(ISTEXT(VLOOKUP(CONCATENATE($A41,"_",AU$3),'Unit List'!$A$23:$H$3172,2,FALSE)),"+","")</f>
        <v/>
      </c>
      <c r="AV41" s="51" t="str">
        <f>IF(ISTEXT(VLOOKUP(CONCATENATE($A41,"_",AV$3),'Unit List'!$A$23:$H$3172,2,FALSE)),"X",$AU41)</f>
        <v/>
      </c>
      <c r="AW41" s="53" t="str">
        <f>IF(ISTEXT(VLOOKUP(CONCATENATE($A41,"_",AW$3),'Unit List'!$A$23:$H$3172,2,FALSE)),"X",$AU41)</f>
        <v/>
      </c>
      <c r="AX41" s="172" t="str">
        <f>IF(ISTEXT(VLOOKUP(CONCATENATE($A41,"_",AX$3),'Unit List'!$A$23:$H$3172,2,FALSE)),"+","")</f>
        <v/>
      </c>
      <c r="AY41" s="51" t="str">
        <f>IF(ISTEXT(VLOOKUP(CONCATENATE($A41,"_",AY$3),'Unit List'!$A$23:$H$3172,2,FALSE)),"X",$AX41)</f>
        <v/>
      </c>
      <c r="AZ41" s="53" t="str">
        <f>IF(ISTEXT(VLOOKUP(CONCATENATE($A41,"_",AZ$3),'Unit List'!$A$23:$H$3172,2,FALSE)),"X",$AX41)</f>
        <v/>
      </c>
      <c r="BA41" s="182" t="str">
        <f>IF(ISTEXT(VLOOKUP(CONCATENATE($A41,"_",BA$3),'Unit List'!$A$23:$H$3172,2,FALSE)),"+","")</f>
        <v/>
      </c>
      <c r="BB41" s="51" t="str">
        <f>IF(ISTEXT(VLOOKUP(CONCATENATE($A41,"_",BB$3),'Unit List'!$A$23:$H$3172,2,FALSE)),"X",$BA41)</f>
        <v/>
      </c>
      <c r="BC41" s="51" t="str">
        <f>IF(ISTEXT(VLOOKUP(CONCATENATE($A41,"_",BC$3),'Unit List'!$A$23:$H$3172,2,FALSE)),"X",$BA41)</f>
        <v/>
      </c>
      <c r="BD41" s="53" t="str">
        <f>IF(ISTEXT(VLOOKUP(CONCATENATE($A41,"_",BD$3),'Unit List'!$A$23:$H$3172,2,FALSE)),"X",$BA41)</f>
        <v/>
      </c>
      <c r="BE41" s="125" t="str">
        <f>IF(ISTEXT(VLOOKUP(CONCATENATE($A41,"_",BE$3),'Unit List'!$A$23:$H$3172,2,FALSE)),"+","")</f>
        <v/>
      </c>
      <c r="BF41" s="62" t="str">
        <f>IF(ISTEXT(VLOOKUP(CONCATENATE($A41,"_",BF$3),'Unit List'!$A$23:$H$3172,2,FALSE)),"X",$BE41)</f>
        <v/>
      </c>
      <c r="BG41" s="64" t="s">
        <v>0</v>
      </c>
      <c r="BH41" s="65" t="s">
        <v>0</v>
      </c>
      <c r="BI41" s="225"/>
      <c r="BJ41" s="226"/>
      <c r="BK41" s="226"/>
      <c r="BL41" s="226"/>
      <c r="BM41" s="227"/>
      <c r="BN41" s="54"/>
      <c r="BO41" s="54"/>
      <c r="BP41" s="54"/>
      <c r="BQ41" s="54"/>
      <c r="BR41" s="54"/>
      <c r="BS41" s="54"/>
      <c r="DZ41" s="55"/>
      <c r="EA41" s="55"/>
    </row>
    <row r="42" spans="1:131" ht="12.75" customHeight="1" x14ac:dyDescent="0.2">
      <c r="A42" s="56" t="s">
        <v>1149</v>
      </c>
      <c r="B42" s="181" t="str">
        <f>IF(ISTEXT(VLOOKUP(CONCATENATE($A42,"_",B$3),'Unit List'!$A$23:$H$3172,2,FALSE)),"+","")</f>
        <v/>
      </c>
      <c r="C42" s="57" t="str">
        <f>IF(ISTEXT(VLOOKUP(CONCATENATE($A42,"_",C$3),'Unit List'!$A$23:$H$3172,2,FALSE)),"X",$B42)</f>
        <v>X</v>
      </c>
      <c r="D42" s="51" t="str">
        <f>IF(ISTEXT(VLOOKUP(CONCATENATE($A42,"_",D$3),'Unit List'!$A$23:$H$3172,2,FALSE)),"X",$B42)</f>
        <v/>
      </c>
      <c r="E42" s="51" t="str">
        <f>IF(ISTEXT(VLOOKUP(CONCATENATE($A42,"_",E$3),'Unit List'!$A$23:$H$3172,2,FALSE)),"X",$B42)</f>
        <v>X</v>
      </c>
      <c r="F42" s="51" t="str">
        <f>IF(ISTEXT(VLOOKUP(CONCATENATE($A42,"_",F$3),'Unit List'!$A$23:$H$3172,2,FALSE)),"X",$B42)</f>
        <v>X</v>
      </c>
      <c r="G42" s="51" t="str">
        <f>IF(ISTEXT(VLOOKUP(CONCATENATE($A42,"_",G$3),'Unit List'!$A$23:$H$3172,2,FALSE)),"X",$B42)</f>
        <v/>
      </c>
      <c r="H42" s="51" t="str">
        <f>IF(ISTEXT(VLOOKUP(CONCATENATE($A42,"_",H$3),'Unit List'!$A$23:$H$3172,2,FALSE)),"X",$B42)</f>
        <v/>
      </c>
      <c r="I42" s="53" t="str">
        <f>IF(ISTEXT(VLOOKUP(CONCATENATE($A42,"_",I$3),'Unit List'!$A$23:$H$3172,2,FALSE)),"X",$B42)</f>
        <v/>
      </c>
      <c r="J42" s="172" t="str">
        <f>IF(ISTEXT(VLOOKUP(CONCATENATE($A42,"_",J$3),'Unit List'!$A$23:$H$3172,2,FALSE)),"+","")</f>
        <v/>
      </c>
      <c r="K42" s="51" t="str">
        <f>IF(ISTEXT(VLOOKUP(CONCATENATE($A42,"_",K$3),'Unit List'!$A$23:$H$3172,2,FALSE)),"X",$J42)</f>
        <v/>
      </c>
      <c r="L42" s="62" t="str">
        <f>IF(ISTEXT(VLOOKUP(CONCATENATE($A42,"_",L$3),'Unit List'!$A$23:$H$3172,2,FALSE)),"X",$J42)</f>
        <v/>
      </c>
      <c r="M42" s="172" t="str">
        <f>IF(ISTEXT(VLOOKUP(CONCATENATE($A42,"_",M$3),'Unit List'!$A$23:$H$3172,2,FALSE)),"+","")</f>
        <v>+</v>
      </c>
      <c r="N42" s="51" t="str">
        <f>IF(ISTEXT(VLOOKUP(CONCATENATE($A42,"_",N$3),'Unit List'!$A$23:$H$3172,2,FALSE)),"X",$M42)</f>
        <v>+</v>
      </c>
      <c r="O42" s="70" t="str">
        <f>IF(ISTEXT(VLOOKUP(CONCATENATE($A42,"_",O$3),'Unit List'!$A$23:$H$3172,2,FALSE)),"X",$M42)</f>
        <v>X</v>
      </c>
      <c r="P42" s="172" t="str">
        <f>IF(ISTEXT(VLOOKUP(CONCATENATE($A42,"_",P$3),'Unit List'!$A$23:$H$3172,2,FALSE)),"+","")</f>
        <v/>
      </c>
      <c r="Q42" s="51" t="str">
        <f>IF(ISTEXT(VLOOKUP(CONCATENATE($A42,"_",Q$3),'Unit List'!$A$23:$H$3172,2,FALSE)),"X",$P42)</f>
        <v/>
      </c>
      <c r="R42" s="51" t="str">
        <f>IF(ISTEXT(VLOOKUP(CONCATENATE($A42,"_",R$3),'Unit List'!$A$23:$H$3172,2,FALSE)),"X",$P42)</f>
        <v/>
      </c>
      <c r="S42" s="51" t="str">
        <f>IF(ISTEXT(VLOOKUP(CONCATENATE($A42,"_",S$3),'Unit List'!$A$23:$H$3172,2,FALSE)),"X",$P42)</f>
        <v/>
      </c>
      <c r="T42" s="52" t="str">
        <f>IF(ISTEXT(VLOOKUP(CONCATENATE($A42,"_",T$3),'Unit List'!$A$23:$H$3172,2,FALSE)),"X",$P42)</f>
        <v/>
      </c>
      <c r="U42" s="51" t="str">
        <f>IF(ISTEXT(VLOOKUP(CONCATENATE($A42,"_",U$3),'Unit List'!$A$23:$H$3172,2,FALSE)),"X",$P42)</f>
        <v/>
      </c>
      <c r="V42" s="51" t="str">
        <f>IF(ISTEXT(VLOOKUP(CONCATENATE($A42,"_",V$3),'Unit List'!$A$23:$H$3172,2,FALSE)),"X",$P42)</f>
        <v/>
      </c>
      <c r="W42" s="53" t="str">
        <f>IF(ISTEXT(VLOOKUP(CONCATENATE($A42,"_",W$3),'Unit List'!$A$23:$H$3172,2,FALSE)),"X",$P42)</f>
        <v/>
      </c>
      <c r="X42" s="172" t="str">
        <f>IF(ISTEXT(VLOOKUP(CONCATENATE($A42,"_",X$3),'Unit List'!$A$23:$H$3172,2,FALSE)),"+","")</f>
        <v/>
      </c>
      <c r="Y42" s="51" t="str">
        <f>IF(ISTEXT(VLOOKUP(CONCATENATE($A42,"_",Y$3),'Unit List'!$A$23:$H$3172,2,FALSE)),"X",$X42)</f>
        <v/>
      </c>
      <c r="Z42" s="51" t="str">
        <f>IF(ISTEXT(VLOOKUP(CONCATENATE($A42,"_",Z$3),'Unit List'!$A$23:$H$3172,2,FALSE)),"X",$X42)</f>
        <v/>
      </c>
      <c r="AA42" s="51" t="str">
        <f>IF(ISTEXT(VLOOKUP(CONCATENATE($A42,"_",AA$3),'Unit List'!$A$23:$H$3172,2,FALSE)),"X",$X42)</f>
        <v/>
      </c>
      <c r="AB42" s="51" t="str">
        <f>IF(ISTEXT(VLOOKUP(CONCATENATE($A42,"_",AB$3),'Unit List'!$A$23:$H$3172,2,FALSE)),"X",$X42)</f>
        <v/>
      </c>
      <c r="AC42" s="62" t="str">
        <f>IF(ISTEXT(VLOOKUP(CONCATENATE($A42,"_",AC$3),'Unit List'!$A$23:$H$3172,2,FALSE)),"X",$X42)</f>
        <v/>
      </c>
      <c r="AD42" s="172" t="str">
        <f>IF(ISTEXT(VLOOKUP(CONCATENATE($A42,"_",AD$3),'Unit List'!$A$23:$H$3172,2,FALSE)),"+","")</f>
        <v/>
      </c>
      <c r="AE42" s="51" t="str">
        <f>IF(ISTEXT(VLOOKUP(CONCATENATE($A42,"_",AE$3),'Unit List'!$A$23:$H$3172,2,FALSE)),"X",$AD42)</f>
        <v/>
      </c>
      <c r="AF42" s="51" t="str">
        <f>IF(ISTEXT(VLOOKUP(CONCATENATE($A42,"_",AF$3),'Unit List'!$A$23:$H$3172,2,FALSE)),"X",$AD42)</f>
        <v/>
      </c>
      <c r="AG42" s="172" t="str">
        <f>IF(ISTEXT(VLOOKUP(CONCATENATE($A42,"_",AG$3),'Unit List'!$A$23:$H$3172,2,FALSE)),"+","")</f>
        <v/>
      </c>
      <c r="AH42" s="51" t="str">
        <f>IF(ISTEXT(VLOOKUP(CONCATENATE($A42,"_",AH$3),'Unit List'!$A$23:$H$3172,2,FALSE)),"X",$AG42)</f>
        <v/>
      </c>
      <c r="AI42" s="51" t="str">
        <f>IF(ISTEXT(VLOOKUP(CONCATENATE($A42,"_",AI$3),'Unit List'!$A$23:$H$3172,2,FALSE)),"X",$AG42)</f>
        <v/>
      </c>
      <c r="AJ42" s="53" t="str">
        <f>IF(ISTEXT(VLOOKUP(CONCATENATE($A42,"_",AJ$3),'Unit List'!$A$23:$H$3172,2,FALSE)),"X",$AG42)</f>
        <v/>
      </c>
      <c r="AK42" s="172" t="str">
        <f>IF(ISTEXT(VLOOKUP(CONCATENATE($A42,"_",AK$3),'Unit List'!$A$23:$H$3172,2,FALSE)),"+","")</f>
        <v/>
      </c>
      <c r="AL42" s="52" t="str">
        <f>IF(ISTEXT(VLOOKUP(CONCATENATE($A42,"_",AL$3),'Unit List'!$A$23:$H$3172,2,FALSE)),"X",$AK42)</f>
        <v/>
      </c>
      <c r="AM42" s="53" t="str">
        <f>IF(ISTEXT(VLOOKUP(CONCATENATE($A42,"_",AM$3),'Unit List'!$A$23:$H$3172,2,FALSE)),"X",$AK42)</f>
        <v/>
      </c>
      <c r="AN42" s="125" t="str">
        <f>IF(ISTEXT(VLOOKUP(CONCATENATE($A42,"_",AN$3),'Unit List'!$A$23:$H$3172,2,FALSE)),"+","")</f>
        <v/>
      </c>
      <c r="AO42" s="53" t="str">
        <f>IF(ISTEXT(VLOOKUP(CONCATENATE($A42,"_",AO$3),'Unit List'!$A$23:$H$3172,2,FALSE)),"X",$AN42)</f>
        <v/>
      </c>
      <c r="AP42" s="172" t="str">
        <f>IF(ISTEXT(VLOOKUP(CONCATENATE($A42,"_",AP$3),'Unit List'!$A$23:$H$3172,2,FALSE)),"+","")</f>
        <v>+</v>
      </c>
      <c r="AQ42" s="51" t="str">
        <f>IF(ISTEXT(VLOOKUP(CONCATENATE($A42,"_",AQ$3),'Unit List'!$A$23:$H$3172,2,FALSE)),"X",$AP42)</f>
        <v>+</v>
      </c>
      <c r="AR42" s="51" t="str">
        <f>IF(ISTEXT(VLOOKUP(CONCATENATE($A42,"_",AR$3),'Unit List'!$A$23:$H$3172,2,FALSE)),"X",$AP42)</f>
        <v>+</v>
      </c>
      <c r="AS42" s="51" t="str">
        <f>IF(ISTEXT(VLOOKUP(CONCATENATE($A42,"_",AS$3),'Unit List'!$A$23:$H$3172,2,FALSE)),"X",$AP42)</f>
        <v>+</v>
      </c>
      <c r="AT42" s="53" t="str">
        <f>IF(ISTEXT(VLOOKUP(CONCATENATE($A42,"_",AT$3),'Unit List'!$A$23:$H$3172,2,FALSE)),"X",$AP42)</f>
        <v>+</v>
      </c>
      <c r="AU42" s="124" t="str">
        <f>IF(ISTEXT(VLOOKUP(CONCATENATE($A42,"_",AU$3),'Unit List'!$A$23:$H$3172,2,FALSE)),"+","")</f>
        <v/>
      </c>
      <c r="AV42" s="51" t="str">
        <f>IF(ISTEXT(VLOOKUP(CONCATENATE($A42,"_",AV$3),'Unit List'!$A$23:$H$3172,2,FALSE)),"X",$AU42)</f>
        <v/>
      </c>
      <c r="AW42" s="53" t="str">
        <f>IF(ISTEXT(VLOOKUP(CONCATENATE($A42,"_",AW$3),'Unit List'!$A$23:$H$3172,2,FALSE)),"X",$AU42)</f>
        <v/>
      </c>
      <c r="AX42" s="172" t="str">
        <f>IF(ISTEXT(VLOOKUP(CONCATENATE($A42,"_",AX$3),'Unit List'!$A$23:$H$3172,2,FALSE)),"+","")</f>
        <v>+</v>
      </c>
      <c r="AY42" s="51" t="str">
        <f>IF(ISTEXT(VLOOKUP(CONCATENATE($A42,"_",AY$3),'Unit List'!$A$23:$H$3172,2,FALSE)),"X",$AX42)</f>
        <v>+</v>
      </c>
      <c r="AZ42" s="53" t="str">
        <f>IF(ISTEXT(VLOOKUP(CONCATENATE($A42,"_",AZ$3),'Unit List'!$A$23:$H$3172,2,FALSE)),"X",$AX42)</f>
        <v>+</v>
      </c>
      <c r="BA42" s="182" t="str">
        <f>IF(ISTEXT(VLOOKUP(CONCATENATE($A42,"_",BA$3),'Unit List'!$A$23:$H$3172,2,FALSE)),"+","")</f>
        <v/>
      </c>
      <c r="BB42" s="51" t="str">
        <f>IF(ISTEXT(VLOOKUP(CONCATENATE($A42,"_",BB$3),'Unit List'!$A$23:$H$3172,2,FALSE)),"X",$BA42)</f>
        <v/>
      </c>
      <c r="BC42" s="51" t="str">
        <f>IF(ISTEXT(VLOOKUP(CONCATENATE($A42,"_",BC$3),'Unit List'!$A$23:$H$3172,2,FALSE)),"X",$BA42)</f>
        <v/>
      </c>
      <c r="BD42" s="53" t="str">
        <f>IF(ISTEXT(VLOOKUP(CONCATENATE($A42,"_",BD$3),'Unit List'!$A$23:$H$3172,2,FALSE)),"X",$BA42)</f>
        <v/>
      </c>
      <c r="BE42" s="125" t="str">
        <f>IF(ISTEXT(VLOOKUP(CONCATENATE($A42,"_",BE$3),'Unit List'!$A$23:$H$3172,2,FALSE)),"+","")</f>
        <v>+</v>
      </c>
      <c r="BF42" s="62" t="str">
        <f>IF(ISTEXT(VLOOKUP(CONCATENATE($A42,"_",BF$3),'Unit List'!$A$23:$H$3172,2,FALSE)),"X",$BE42)</f>
        <v>+</v>
      </c>
      <c r="BG42" s="64"/>
      <c r="BH42" s="65" t="s">
        <v>0</v>
      </c>
      <c r="BI42" s="225"/>
      <c r="BJ42" s="226"/>
      <c r="BK42" s="226"/>
      <c r="BL42" s="226"/>
      <c r="BM42" s="227"/>
      <c r="BN42" s="54"/>
      <c r="BO42" s="54"/>
      <c r="BP42" s="54"/>
      <c r="BQ42" s="54"/>
      <c r="BR42" s="54"/>
      <c r="BS42" s="54"/>
      <c r="DZ42" s="55"/>
      <c r="EA42" s="55"/>
    </row>
    <row r="43" spans="1:131" ht="12.75" customHeight="1" x14ac:dyDescent="0.2">
      <c r="A43" s="56" t="s">
        <v>23</v>
      </c>
      <c r="B43" s="181" t="str">
        <f>IF(ISTEXT(VLOOKUP(CONCATENATE($A43,"_",B$3),'Unit List'!$A$23:$H$3172,2,FALSE)),"+","")</f>
        <v/>
      </c>
      <c r="C43" s="82" t="str">
        <f>IF(ISTEXT(VLOOKUP(CONCATENATE($A43,"_",C$3),'Unit List'!$A$23:$H$3172,2,FALSE)),"X",$B43)</f>
        <v>X</v>
      </c>
      <c r="D43" s="67" t="str">
        <f>IF(ISTEXT(VLOOKUP(CONCATENATE($A43,"_",D$3),'Unit List'!$A$23:$H$3172,2,FALSE)),"X",$B43)</f>
        <v>X</v>
      </c>
      <c r="E43" s="51" t="str">
        <f>IF(ISTEXT(VLOOKUP(CONCATENATE($A43,"_",E$3),'Unit List'!$A$23:$H$3172,2,FALSE)),"X",$B43)</f>
        <v/>
      </c>
      <c r="F43" s="67" t="str">
        <f>IF(ISTEXT(VLOOKUP(CONCATENATE($A43,"_",F$3),'Unit List'!$A$23:$H$3172,2,FALSE)),"X",$B43)</f>
        <v>X</v>
      </c>
      <c r="G43" s="67" t="str">
        <f>IF(ISTEXT(VLOOKUP(CONCATENATE($A43,"_",G$3),'Unit List'!$A$23:$H$3172,2,FALSE)),"X",$B43)</f>
        <v>X</v>
      </c>
      <c r="H43" s="67" t="str">
        <f>IF(ISTEXT(VLOOKUP(CONCATENATE($A43,"_",H$3),'Unit List'!$A$23:$H$3172,2,FALSE)),"X",$B43)</f>
        <v>X</v>
      </c>
      <c r="I43" s="70" t="str">
        <f>IF(ISTEXT(VLOOKUP(CONCATENATE($A43,"_",I$3),'Unit List'!$A$23:$H$3172,2,FALSE)),"X",$B43)</f>
        <v>X</v>
      </c>
      <c r="J43" s="172" t="str">
        <f>IF(ISTEXT(VLOOKUP(CONCATENATE($A43,"_",J$3),'Unit List'!$A$23:$H$3172,2,FALSE)),"+","")</f>
        <v>+</v>
      </c>
      <c r="K43" s="51" t="str">
        <f>IF(ISTEXT(VLOOKUP(CONCATENATE($A43,"_",K$3),'Unit List'!$A$23:$H$3172,2,FALSE)),"X",$J43)</f>
        <v>+</v>
      </c>
      <c r="L43" s="86" t="str">
        <f>IF(ISTEXT(VLOOKUP(CONCATENATE($A43,"_",L$3),'Unit List'!$A$23:$H$3172,2,FALSE)),"X",$J43)</f>
        <v>+</v>
      </c>
      <c r="M43" s="172" t="str">
        <f>IF(ISTEXT(VLOOKUP(CONCATENATE($A43,"_",M$3),'Unit List'!$A$23:$H$3172,2,FALSE)),"+","")</f>
        <v>+</v>
      </c>
      <c r="N43" s="67" t="str">
        <f>IF(ISTEXT(VLOOKUP(CONCATENATE($A43,"_",N$3),'Unit List'!$A$23:$H$3172,2,FALSE)),"X",$M43)</f>
        <v>+</v>
      </c>
      <c r="O43" s="70" t="str">
        <f>IF(ISTEXT(VLOOKUP(CONCATENATE($A43,"_",O$3),'Unit List'!$A$23:$H$3172,2,FALSE)),"X",$M43)</f>
        <v>X</v>
      </c>
      <c r="P43" s="172" t="str">
        <f>IF(ISTEXT(VLOOKUP(CONCATENATE($A43,"_",P$3),'Unit List'!$A$23:$H$3172,2,FALSE)),"+","")</f>
        <v/>
      </c>
      <c r="Q43" s="51" t="str">
        <f>IF(ISTEXT(VLOOKUP(CONCATENATE($A43,"_",Q$3),'Unit List'!$A$23:$H$3172,2,FALSE)),"X",$P43)</f>
        <v/>
      </c>
      <c r="R43" s="51" t="str">
        <f>IF(ISTEXT(VLOOKUP(CONCATENATE($A43,"_",R$3),'Unit List'!$A$23:$H$3172,2,FALSE)),"X",$P43)</f>
        <v/>
      </c>
      <c r="S43" s="67" t="str">
        <f>IF(ISTEXT(VLOOKUP(CONCATENATE($A43,"_",S$3),'Unit List'!$A$23:$H$3172,2,FALSE)),"X",$P43)</f>
        <v>X</v>
      </c>
      <c r="T43" s="52" t="str">
        <f>IF(ISTEXT(VLOOKUP(CONCATENATE($A43,"_",T$3),'Unit List'!$A$23:$H$3172,2,FALSE)),"X",$P43)</f>
        <v/>
      </c>
      <c r="U43" s="67" t="str">
        <f>IF(ISTEXT(VLOOKUP(CONCATENATE($A43,"_",U$3),'Unit List'!$A$23:$H$3172,2,FALSE)),"X",$P43)</f>
        <v>X</v>
      </c>
      <c r="V43" s="67" t="str">
        <f>IF(ISTEXT(VLOOKUP(CONCATENATE($A43,"_",V$3),'Unit List'!$A$23:$H$3172,2,FALSE)),"X",$P43)</f>
        <v>X</v>
      </c>
      <c r="W43" s="53" t="str">
        <f>IF(ISTEXT(VLOOKUP(CONCATENATE($A43,"_",W$3),'Unit List'!$A$23:$H$3172,2,FALSE)),"X",$P43)</f>
        <v/>
      </c>
      <c r="X43" s="172" t="str">
        <f>IF(ISTEXT(VLOOKUP(CONCATENATE($A43,"_",X$3),'Unit List'!$A$23:$H$3172,2,FALSE)),"+","")</f>
        <v/>
      </c>
      <c r="Y43" s="51" t="str">
        <f>IF(ISTEXT(VLOOKUP(CONCATENATE($A43,"_",Y$3),'Unit List'!$A$23:$H$3172,2,FALSE)),"X",$X43)</f>
        <v/>
      </c>
      <c r="Z43" s="51" t="str">
        <f>IF(ISTEXT(VLOOKUP(CONCATENATE($A43,"_",Z$3),'Unit List'!$A$23:$H$3172,2,FALSE)),"X",$X43)</f>
        <v/>
      </c>
      <c r="AA43" s="51" t="str">
        <f>IF(ISTEXT(VLOOKUP(CONCATENATE($A43,"_",AA$3),'Unit List'!$A$23:$H$3172,2,FALSE)),"X",$X43)</f>
        <v/>
      </c>
      <c r="AB43" s="51" t="str">
        <f>IF(ISTEXT(VLOOKUP(CONCATENATE($A43,"_",AB$3),'Unit List'!$A$23:$H$3172,2,FALSE)),"X",$X43)</f>
        <v/>
      </c>
      <c r="AC43" s="62" t="str">
        <f>IF(ISTEXT(VLOOKUP(CONCATENATE($A43,"_",AC$3),'Unit List'!$A$23:$H$3172,2,FALSE)),"X",$X43)</f>
        <v/>
      </c>
      <c r="AD43" s="172" t="str">
        <f>IF(ISTEXT(VLOOKUP(CONCATENATE($A43,"_",AD$3),'Unit List'!$A$23:$H$3172,2,FALSE)),"+","")</f>
        <v/>
      </c>
      <c r="AE43" s="51" t="str">
        <f>IF(ISTEXT(VLOOKUP(CONCATENATE($A43,"_",AE$3),'Unit List'!$A$23:$H$3172,2,FALSE)),"X",$AD43)</f>
        <v/>
      </c>
      <c r="AF43" s="51" t="str">
        <f>IF(ISTEXT(VLOOKUP(CONCATENATE($A43,"_",AF$3),'Unit List'!$A$23:$H$3172,2,FALSE)),"X",$AD43)</f>
        <v/>
      </c>
      <c r="AG43" s="172" t="str">
        <f>IF(ISTEXT(VLOOKUP(CONCATENATE($A43,"_",AG$3),'Unit List'!$A$23:$H$3172,2,FALSE)),"+","")</f>
        <v/>
      </c>
      <c r="AH43" s="51" t="str">
        <f>IF(ISTEXT(VLOOKUP(CONCATENATE($A43,"_",AH$3),'Unit List'!$A$23:$H$3172,2,FALSE)),"X",$AG43)</f>
        <v/>
      </c>
      <c r="AI43" s="51" t="str">
        <f>IF(ISTEXT(VLOOKUP(CONCATENATE($A43,"_",AI$3),'Unit List'!$A$23:$H$3172,2,FALSE)),"X",$AG43)</f>
        <v/>
      </c>
      <c r="AJ43" s="53" t="str">
        <f>IF(ISTEXT(VLOOKUP(CONCATENATE($A43,"_",AJ$3),'Unit List'!$A$23:$H$3172,2,FALSE)),"X",$AG43)</f>
        <v/>
      </c>
      <c r="AK43" s="172" t="str">
        <f>IF(ISTEXT(VLOOKUP(CONCATENATE($A43,"_",AK$3),'Unit List'!$A$23:$H$3172,2,FALSE)),"+","")</f>
        <v/>
      </c>
      <c r="AL43" s="87" t="str">
        <f>IF(ISTEXT(VLOOKUP(CONCATENATE($A43,"_",AL$3),'Unit List'!$A$23:$H$3172,2,FALSE)),"X",$AK43)</f>
        <v>X</v>
      </c>
      <c r="AM43" s="53" t="str">
        <f>IF(ISTEXT(VLOOKUP(CONCATENATE($A43,"_",AM$3),'Unit List'!$A$23:$H$3172,2,FALSE)),"X",$AK43)</f>
        <v/>
      </c>
      <c r="AN43" s="125" t="str">
        <f>IF(ISTEXT(VLOOKUP(CONCATENATE($A43,"_",AN$3),'Unit List'!$A$23:$H$3172,2,FALSE)),"+","")</f>
        <v>+</v>
      </c>
      <c r="AO43" s="53" t="str">
        <f>IF(ISTEXT(VLOOKUP(CONCATENATE($A43,"_",AO$3),'Unit List'!$A$23:$H$3172,2,FALSE)),"X",$AN43)</f>
        <v>+</v>
      </c>
      <c r="AP43" s="172" t="str">
        <f>IF(ISTEXT(VLOOKUP(CONCATENATE($A43,"_",AP$3),'Unit List'!$A$23:$H$3172,2,FALSE)),"+","")</f>
        <v>+</v>
      </c>
      <c r="AQ43" s="51" t="str">
        <f>IF(ISTEXT(VLOOKUP(CONCATENATE($A43,"_",AQ$3),'Unit List'!$A$23:$H$3172,2,FALSE)),"X",$AP43)</f>
        <v>X</v>
      </c>
      <c r="AR43" s="67" t="str">
        <f>IF(ISTEXT(VLOOKUP(CONCATENATE($A43,"_",AR$3),'Unit List'!$A$23:$H$3172,2,FALSE)),"X",$AP43)</f>
        <v>X</v>
      </c>
      <c r="AS43" s="51" t="str">
        <f>IF(ISTEXT(VLOOKUP(CONCATENATE($A43,"_",AS$3),'Unit List'!$A$23:$H$3172,2,FALSE)),"X",$AP43)</f>
        <v>+</v>
      </c>
      <c r="AT43" s="53" t="str">
        <f>IF(ISTEXT(VLOOKUP(CONCATENATE($A43,"_",AT$3),'Unit List'!$A$23:$H$3172,2,FALSE)),"X",$AP43)</f>
        <v>+</v>
      </c>
      <c r="AU43" s="124" t="str">
        <f>IF(ISTEXT(VLOOKUP(CONCATENATE($A43,"_",AU$3),'Unit List'!$A$23:$H$3172,2,FALSE)),"+","")</f>
        <v>+</v>
      </c>
      <c r="AV43" s="51" t="str">
        <f>IF(ISTEXT(VLOOKUP(CONCATENATE($A43,"_",AV$3),'Unit List'!$A$23:$H$3172,2,FALSE)),"X",$AU43)</f>
        <v>+</v>
      </c>
      <c r="AW43" s="53" t="str">
        <f>IF(ISTEXT(VLOOKUP(CONCATENATE($A43,"_",AW$3),'Unit List'!$A$23:$H$3172,2,FALSE)),"X",$AU43)</f>
        <v>+</v>
      </c>
      <c r="AX43" s="172" t="str">
        <f>IF(ISTEXT(VLOOKUP(CONCATENATE($A43,"_",AX$3),'Unit List'!$A$23:$H$3172,2,FALSE)),"+","")</f>
        <v>+</v>
      </c>
      <c r="AY43" s="51" t="str">
        <f>IF(ISTEXT(VLOOKUP(CONCATENATE($A43,"_",AY$3),'Unit List'!$A$23:$H$3172,2,FALSE)),"X",$AX43)</f>
        <v>+</v>
      </c>
      <c r="AZ43" s="53" t="str">
        <f>IF(ISTEXT(VLOOKUP(CONCATENATE($A43,"_",AZ$3),'Unit List'!$A$23:$H$3172,2,FALSE)),"X",$AX43)</f>
        <v>+</v>
      </c>
      <c r="BA43" s="182" t="str">
        <f>IF(ISTEXT(VLOOKUP(CONCATENATE($A43,"_",BA$3),'Unit List'!$A$23:$H$3172,2,FALSE)),"+","")</f>
        <v>+</v>
      </c>
      <c r="BB43" s="51" t="str">
        <f>IF(ISTEXT(VLOOKUP(CONCATENATE($A43,"_",BB$3),'Unit List'!$A$23:$H$3172,2,FALSE)),"X",$BA43)</f>
        <v>+</v>
      </c>
      <c r="BC43" s="51" t="str">
        <f>IF(ISTEXT(VLOOKUP(CONCATENATE($A43,"_",BC$3),'Unit List'!$A$23:$H$3172,2,FALSE)),"X",$BA43)</f>
        <v>+</v>
      </c>
      <c r="BD43" s="53" t="str">
        <f>IF(ISTEXT(VLOOKUP(CONCATENATE($A43,"_",BD$3),'Unit List'!$A$23:$H$3172,2,FALSE)),"X",$BA43)</f>
        <v>+</v>
      </c>
      <c r="BE43" s="125" t="str">
        <f>IF(ISTEXT(VLOOKUP(CONCATENATE($A43,"_",BE$3),'Unit List'!$A$23:$H$3172,2,FALSE)),"+","")</f>
        <v>+</v>
      </c>
      <c r="BF43" s="62" t="str">
        <f>IF(ISTEXT(VLOOKUP(CONCATENATE($A43,"_",BF$3),'Unit List'!$A$23:$H$3172,2,FALSE)),"X",$BE43)</f>
        <v>+</v>
      </c>
      <c r="BG43" s="75"/>
      <c r="BH43" s="84"/>
      <c r="BI43" s="225"/>
      <c r="BJ43" s="226"/>
      <c r="BK43" s="226"/>
      <c r="BL43" s="226"/>
      <c r="BM43" s="227"/>
      <c r="BN43" s="54"/>
      <c r="BO43" s="54"/>
      <c r="BP43" s="54"/>
      <c r="BQ43" s="54"/>
      <c r="BR43" s="54"/>
      <c r="BS43" s="54"/>
      <c r="DZ43" s="55"/>
      <c r="EA43" s="55"/>
    </row>
    <row r="44" spans="1:131" ht="12.75" customHeight="1" x14ac:dyDescent="0.2">
      <c r="A44" s="56" t="s">
        <v>22</v>
      </c>
      <c r="B44" s="181" t="str">
        <f>IF(ISTEXT(VLOOKUP(CONCATENATE($A44,"_",B$3),'Unit List'!$A$23:$H$3172,2,FALSE)),"+","")</f>
        <v/>
      </c>
      <c r="C44" s="82" t="str">
        <f>IF(ISTEXT(VLOOKUP(CONCATENATE($A44,"_",C$3),'Unit List'!$A$23:$H$3172,2,FALSE)),"X",$B44)</f>
        <v>X</v>
      </c>
      <c r="D44" s="60" t="str">
        <f>IF(ISTEXT(VLOOKUP(CONCATENATE($A44,"_",D$3),'Unit List'!$A$23:$H$3172,2,FALSE)),"X",$B44)</f>
        <v/>
      </c>
      <c r="E44" s="51" t="str">
        <f>IF(ISTEXT(VLOOKUP(CONCATENATE($A44,"_",E$3),'Unit List'!$A$23:$H$3172,2,FALSE)),"X",$B44)</f>
        <v/>
      </c>
      <c r="F44" s="67" t="str">
        <f>IF(ISTEXT(VLOOKUP(CONCATENATE($A44,"_",F$3),'Unit List'!$A$23:$H$3172,2,FALSE)),"X",$B44)</f>
        <v>X</v>
      </c>
      <c r="G44" s="67" t="str">
        <f>IF(ISTEXT(VLOOKUP(CONCATENATE($A44,"_",G$3),'Unit List'!$A$23:$H$3172,2,FALSE)),"X",$B44)</f>
        <v>X</v>
      </c>
      <c r="H44" s="67" t="str">
        <f>IF(ISTEXT(VLOOKUP(CONCATENATE($A44,"_",H$3),'Unit List'!$A$23:$H$3172,2,FALSE)),"X",$B44)</f>
        <v>X</v>
      </c>
      <c r="I44" s="53" t="str">
        <f>IF(ISTEXT(VLOOKUP(CONCATENATE($A44,"_",I$3),'Unit List'!$A$23:$H$3172,2,FALSE)),"X",$B44)</f>
        <v/>
      </c>
      <c r="J44" s="172" t="str">
        <f>IF(ISTEXT(VLOOKUP(CONCATENATE($A44,"_",J$3),'Unit List'!$A$23:$H$3172,2,FALSE)),"+","")</f>
        <v>+</v>
      </c>
      <c r="K44" s="103" t="str">
        <f>IF(ISTEXT(VLOOKUP(CONCATENATE($A44,"_",K$3),'Unit List'!$A$23:$H$3172,2,FALSE)),"X",$J44)</f>
        <v>+</v>
      </c>
      <c r="L44" s="104" t="str">
        <f>IF(ISTEXT(VLOOKUP(CONCATENATE($A44,"_",L$3),'Unit List'!$A$23:$H$3172,2,FALSE)),"X",$J44)</f>
        <v>+</v>
      </c>
      <c r="M44" s="172" t="str">
        <f>IF(ISTEXT(VLOOKUP(CONCATENATE($A44,"_",M$3),'Unit List'!$A$23:$H$3172,2,FALSE)),"+","")</f>
        <v>+</v>
      </c>
      <c r="N44" s="51" t="str">
        <f>IF(ISTEXT(VLOOKUP(CONCATENATE($A44,"_",N$3),'Unit List'!$A$23:$H$3172,2,FALSE)),"X",$M44)</f>
        <v>+</v>
      </c>
      <c r="O44" s="70" t="str">
        <f>IF(ISTEXT(VLOOKUP(CONCATENATE($A44,"_",O$3),'Unit List'!$A$23:$H$3172,2,FALSE)),"X",$M44)</f>
        <v>+</v>
      </c>
      <c r="P44" s="171" t="str">
        <f>IF(ISTEXT(VLOOKUP(CONCATENATE($A44,"_",P$3),'Unit List'!$A$23:$H$3172,2,FALSE)),"+","")</f>
        <v>+</v>
      </c>
      <c r="Q44" s="51" t="str">
        <f>IF(ISTEXT(VLOOKUP(CONCATENATE($A44,"_",Q$3),'Unit List'!$A$23:$H$3172,2,FALSE)),"X",$P44)</f>
        <v>+</v>
      </c>
      <c r="R44" s="51" t="str">
        <f>IF(ISTEXT(VLOOKUP(CONCATENATE($A44,"_",R$3),'Unit List'!$A$23:$H$3172,2,FALSE)),"X",$P44)</f>
        <v>+</v>
      </c>
      <c r="S44" s="67" t="str">
        <f>IF(ISTEXT(VLOOKUP(CONCATENATE($A44,"_",S$3),'Unit List'!$A$23:$H$3172,2,FALSE)),"X",$P44)</f>
        <v>X</v>
      </c>
      <c r="T44" s="52" t="str">
        <f>IF(ISTEXT(VLOOKUP(CONCATENATE($A44,"_",T$3),'Unit List'!$A$23:$H$3172,2,FALSE)),"X",$P44)</f>
        <v>+</v>
      </c>
      <c r="U44" s="67" t="str">
        <f>IF(ISTEXT(VLOOKUP(CONCATENATE($A44,"_",U$3),'Unit List'!$A$23:$H$3172,2,FALSE)),"X",$P44)</f>
        <v>X</v>
      </c>
      <c r="V44" s="67" t="str">
        <f>IF(ISTEXT(VLOOKUP(CONCATENATE($A44,"_",V$3),'Unit List'!$A$23:$H$3172,2,FALSE)),"X",$P44)</f>
        <v>X</v>
      </c>
      <c r="W44" s="53" t="str">
        <f>IF(ISTEXT(VLOOKUP(CONCATENATE($A44,"_",W$3),'Unit List'!$A$23:$H$3172,2,FALSE)),"X",$P44)</f>
        <v>+</v>
      </c>
      <c r="X44" s="171" t="str">
        <f>IF(ISTEXT(VLOOKUP(CONCATENATE($A44,"_",X$3),'Unit List'!$A$23:$H$3172,2,FALSE)),"+","")</f>
        <v>+</v>
      </c>
      <c r="Y44" s="67" t="str">
        <f>IF(ISTEXT(VLOOKUP(CONCATENATE($A44,"_",Y$3),'Unit List'!$A$23:$H$3172,2,FALSE)),"X",$X44)</f>
        <v>X</v>
      </c>
      <c r="Z44" s="51" t="str">
        <f>IF(ISTEXT(VLOOKUP(CONCATENATE($A44,"_",Z$3),'Unit List'!$A$23:$H$3172,2,FALSE)),"X",$X44)</f>
        <v>+</v>
      </c>
      <c r="AA44" s="67" t="str">
        <f>IF(ISTEXT(VLOOKUP(CONCATENATE($A44,"_",AA$3),'Unit List'!$A$23:$H$3172,2,FALSE)),"X",$X44)</f>
        <v>X</v>
      </c>
      <c r="AB44" s="67" t="str">
        <f>IF(ISTEXT(VLOOKUP(CONCATENATE($A44,"_",AB$3),'Unit List'!$A$23:$H$3172,2,FALSE)),"X",$X44)</f>
        <v>X</v>
      </c>
      <c r="AC44" s="86" t="str">
        <f>IF(ISTEXT(VLOOKUP(CONCATENATE($A44,"_",AC$3),'Unit List'!$A$23:$H$3172,2,FALSE)),"X",$X44)</f>
        <v>X</v>
      </c>
      <c r="AD44" s="171" t="str">
        <f>IF(ISTEXT(VLOOKUP(CONCATENATE($A44,"_",AD$3),'Unit List'!$A$23:$H$3172,2,FALSE)),"+","")</f>
        <v>+</v>
      </c>
      <c r="AE44" s="51" t="str">
        <f>IF(ISTEXT(VLOOKUP(CONCATENATE($A44,"_",AE$3),'Unit List'!$A$23:$H$3172,2,FALSE)),"X",$AD44)</f>
        <v>X</v>
      </c>
      <c r="AF44" s="51" t="str">
        <f>IF(ISTEXT(VLOOKUP(CONCATENATE($A44,"_",AF$3),'Unit List'!$A$23:$H$3172,2,FALSE)),"X",$AD44)</f>
        <v>+</v>
      </c>
      <c r="AG44" s="171" t="str">
        <f>IF(ISTEXT(VLOOKUP(CONCATENATE($A44,"_",AG$3),'Unit List'!$A$23:$H$3172,2,FALSE)),"+","")</f>
        <v>+</v>
      </c>
      <c r="AH44" s="67" t="str">
        <f>IF(ISTEXT(VLOOKUP(CONCATENATE($A44,"_",AH$3),'Unit List'!$A$23:$H$3172,2,FALSE)),"X",$AG44)</f>
        <v>+</v>
      </c>
      <c r="AI44" s="67" t="str">
        <f>IF(ISTEXT(VLOOKUP(CONCATENATE($A44,"_",AI$3),'Unit List'!$A$23:$H$3172,2,FALSE)),"X",$AG44)</f>
        <v>X</v>
      </c>
      <c r="AJ44" s="91" t="s">
        <v>0</v>
      </c>
      <c r="AK44" s="171" t="str">
        <f>IF(ISTEXT(VLOOKUP(CONCATENATE($A44,"_",AK$3),'Unit List'!$A$23:$H$3172,2,FALSE)),"+","")</f>
        <v>+</v>
      </c>
      <c r="AL44" s="52" t="str">
        <f>IF(ISTEXT(VLOOKUP(CONCATENATE($A44,"_",AL$3),'Unit List'!$A$23:$H$3172,2,FALSE)),"X",$AK44)</f>
        <v>+</v>
      </c>
      <c r="AM44" s="70" t="str">
        <f>IF(ISTEXT(VLOOKUP(CONCATENATE($A44,"_",AM$3),'Unit List'!$A$23:$H$3172,2,FALSE)),"X",$AK44)</f>
        <v>+</v>
      </c>
      <c r="AN44" s="125" t="str">
        <f>IF(ISTEXT(VLOOKUP(CONCATENATE($A44,"_",AN$3),'Unit List'!$A$23:$H$3172,2,FALSE)),"+","")</f>
        <v>+</v>
      </c>
      <c r="AO44" s="70" t="str">
        <f>IF(ISTEXT(VLOOKUP(CONCATENATE($A44,"_",AO$3),'Unit List'!$A$23:$H$3172,2,FALSE)),"X",$AN44)</f>
        <v>+</v>
      </c>
      <c r="AP44" s="171" t="str">
        <f>IF(ISTEXT(VLOOKUP(CONCATENATE($A44,"_",AP$3),'Unit List'!$A$23:$H$3172,2,FALSE)),"+","")</f>
        <v>+</v>
      </c>
      <c r="AQ44" s="67" t="str">
        <f>IF(ISTEXT(VLOOKUP(CONCATENATE($A44,"_",AQ$3),'Unit List'!$A$23:$H$3172,2,FALSE)),"X",$AP44)</f>
        <v>X</v>
      </c>
      <c r="AR44" s="67" t="str">
        <f>IF(ISTEXT(VLOOKUP(CONCATENATE($A44,"_",AR$3),'Unit List'!$A$23:$H$3172,2,FALSE)),"X",$AP44)</f>
        <v>X</v>
      </c>
      <c r="AS44" s="67" t="str">
        <f>IF(ISTEXT(VLOOKUP(CONCATENATE($A44,"_",AS$3),'Unit List'!$A$23:$H$3172,2,FALSE)),"X",$AP44)</f>
        <v>X</v>
      </c>
      <c r="AT44" s="70" t="str">
        <f>IF(ISTEXT(VLOOKUP(CONCATENATE($A44,"_",AT$3),'Unit List'!$A$23:$H$3172,2,FALSE)),"X",$AP44)</f>
        <v>X</v>
      </c>
      <c r="AU44" s="124" t="str">
        <f>IF(ISTEXT(VLOOKUP(CONCATENATE($A44,"_",AU$3),'Unit List'!$A$23:$H$3172,2,FALSE)),"+","")</f>
        <v>+</v>
      </c>
      <c r="AV44" s="51" t="str">
        <f>IF(ISTEXT(VLOOKUP(CONCATENATE($A44,"_",AV$3),'Unit List'!$A$23:$H$3172,2,FALSE)),"X",$AU44)</f>
        <v>+</v>
      </c>
      <c r="AW44" s="53" t="str">
        <f>IF(ISTEXT(VLOOKUP(CONCATENATE($A44,"_",AW$3),'Unit List'!$A$23:$H$3172,2,FALSE)),"X",$AU44)</f>
        <v>+</v>
      </c>
      <c r="AX44" s="171" t="str">
        <f>IF(ISTEXT(VLOOKUP(CONCATENATE($A44,"_",AX$3),'Unit List'!$A$23:$H$3172,2,FALSE)),"+","")</f>
        <v>+</v>
      </c>
      <c r="AY44" s="67" t="str">
        <f>IF(ISTEXT(VLOOKUP(CONCATENATE($A44,"_",AY$3),'Unit List'!$A$23:$H$3172,2,FALSE)),"X",$AX44)</f>
        <v>+</v>
      </c>
      <c r="AZ44" s="70" t="str">
        <f>IF(ISTEXT(VLOOKUP(CONCATENATE($A44,"_",AZ$3),'Unit List'!$A$23:$H$3172,2,FALSE)),"X",$AX44)</f>
        <v>+</v>
      </c>
      <c r="BA44" s="171" t="str">
        <f>IF(ISTEXT(VLOOKUP(CONCATENATE($A44,"_",BA$3),'Unit List'!$A$23:$H$3172,2,FALSE)),"+","")</f>
        <v>+</v>
      </c>
      <c r="BB44" s="67" t="str">
        <f>IF(ISTEXT(VLOOKUP(CONCATENATE($A44,"_",BB$3),'Unit List'!$A$23:$H$3172,2,FALSE)),"X",$BA44)</f>
        <v>X</v>
      </c>
      <c r="BC44" s="67" t="str">
        <f>IF(ISTEXT(VLOOKUP(CONCATENATE($A44,"_",BC$3),'Unit List'!$A$23:$H$3172,2,FALSE)),"X",$BA44)</f>
        <v>X</v>
      </c>
      <c r="BD44" s="70" t="str">
        <f>IF(ISTEXT(VLOOKUP(CONCATENATE($A44,"_",BD$3),'Unit List'!$A$23:$H$3172,2,FALSE)),"X",$BA44)</f>
        <v>X</v>
      </c>
      <c r="BE44" s="125" t="str">
        <f>IF(ISTEXT(VLOOKUP(CONCATENATE($A44,"_",BE$3),'Unit List'!$A$23:$H$3172,2,FALSE)),"+","")</f>
        <v>+</v>
      </c>
      <c r="BF44" s="62" t="str">
        <f>IF(ISTEXT(VLOOKUP(CONCATENATE($A44,"_",BF$3),'Unit List'!$A$23:$H$3172,2,FALSE)),"X",$BE44)</f>
        <v>+</v>
      </c>
      <c r="BG44" s="75"/>
      <c r="BH44" s="84"/>
      <c r="BI44" s="225" t="s">
        <v>1918</v>
      </c>
      <c r="BJ44" s="226"/>
      <c r="BK44" s="226"/>
      <c r="BL44" s="226"/>
      <c r="BM44" s="227"/>
      <c r="BN44" s="54"/>
      <c r="BO44" s="54"/>
      <c r="BP44" s="54"/>
      <c r="BQ44" s="54"/>
      <c r="BR44" s="54"/>
      <c r="BS44" s="54"/>
      <c r="DZ44" s="55"/>
      <c r="EA44" s="55"/>
    </row>
    <row r="45" spans="1:131" ht="12.75" customHeight="1" x14ac:dyDescent="0.2">
      <c r="A45" s="56" t="s">
        <v>21</v>
      </c>
      <c r="B45" s="181" t="str">
        <f>IF(ISTEXT(VLOOKUP(CONCATENATE($A45,"_",B$3),'Unit List'!$A$23:$H$3172,2,FALSE)),"+","")</f>
        <v/>
      </c>
      <c r="C45" s="82" t="str">
        <f>IF(ISTEXT(VLOOKUP(CONCATENATE($A45,"_",C$3),'Unit List'!$A$23:$H$3172,2,FALSE)),"X",$B45)</f>
        <v>X</v>
      </c>
      <c r="D45" s="67" t="str">
        <f>IF(ISTEXT(VLOOKUP(CONCATENATE($A45,"_",D$3),'Unit List'!$A$23:$H$3172,2,FALSE)),"X",$B45)</f>
        <v>X</v>
      </c>
      <c r="E45" s="67" t="str">
        <f>IF(ISTEXT(VLOOKUP(CONCATENATE($A45,"_",E$3),'Unit List'!$A$23:$H$3172,2,FALSE)),"X",$B45)</f>
        <v>X</v>
      </c>
      <c r="F45" s="67" t="str">
        <f>IF(ISTEXT(VLOOKUP(CONCATENATE($A45,"_",F$3),'Unit List'!$A$23:$H$3172,2,FALSE)),"X",$B45)</f>
        <v>X</v>
      </c>
      <c r="G45" s="67" t="str">
        <f>IF(ISTEXT(VLOOKUP(CONCATENATE($A45,"_",G$3),'Unit List'!$A$23:$H$3172,2,FALSE)),"X",$B45)</f>
        <v>X</v>
      </c>
      <c r="H45" s="67" t="str">
        <f>IF(ISTEXT(VLOOKUP(CONCATENATE($A45,"_",H$3),'Unit List'!$A$23:$H$3172,2,FALSE)),"X",$B45)</f>
        <v>X</v>
      </c>
      <c r="I45" s="70" t="str">
        <f>IF(ISTEXT(VLOOKUP(CONCATENATE($A45,"_",I$3),'Unit List'!$A$23:$H$3172,2,FALSE)),"X",$B45)</f>
        <v>X</v>
      </c>
      <c r="J45" s="172" t="str">
        <f>IF(ISTEXT(VLOOKUP(CONCATENATE($A45,"_",J$3),'Unit List'!$A$23:$H$3172,2,FALSE)),"+","")</f>
        <v>+</v>
      </c>
      <c r="K45" s="72" t="s">
        <v>0</v>
      </c>
      <c r="L45" s="105" t="s">
        <v>3</v>
      </c>
      <c r="M45" s="172" t="str">
        <f>IF(ISTEXT(VLOOKUP(CONCATENATE($A45,"_",M$3),'Unit List'!$A$23:$H$3172,2,FALSE)),"+","")</f>
        <v/>
      </c>
      <c r="N45" s="51" t="str">
        <f>IF(ISTEXT(VLOOKUP(CONCATENATE($A45,"_",N$3),'Unit List'!$A$23:$H$3172,2,FALSE)),"X",$M45)</f>
        <v/>
      </c>
      <c r="O45" s="70" t="str">
        <f>IF(ISTEXT(VLOOKUP(CONCATENATE($A45,"_",O$3),'Unit List'!$A$23:$H$3172,2,FALSE)),"X",$M45)</f>
        <v>X</v>
      </c>
      <c r="P45" s="172" t="str">
        <f>IF(ISTEXT(VLOOKUP(CONCATENATE($A45,"_",P$3),'Unit List'!$A$23:$H$3172,2,FALSE)),"+","")</f>
        <v/>
      </c>
      <c r="Q45" s="51" t="str">
        <f>IF(ISTEXT(VLOOKUP(CONCATENATE($A45,"_",Q$3),'Unit List'!$A$23:$H$3172,2,FALSE)),"X",$P45)</f>
        <v/>
      </c>
      <c r="R45" s="51" t="str">
        <f>IF(ISTEXT(VLOOKUP(CONCATENATE($A45,"_",R$3),'Unit List'!$A$23:$H$3172,2,FALSE)),"X",$P45)</f>
        <v/>
      </c>
      <c r="S45" s="67" t="str">
        <f>IF(ISTEXT(VLOOKUP(CONCATENATE($A45,"_",S$3),'Unit List'!$A$23:$H$3172,2,FALSE)),"X",$P45)</f>
        <v>X</v>
      </c>
      <c r="T45" s="52" t="str">
        <f>IF(ISTEXT(VLOOKUP(CONCATENATE($A45,"_",T$3),'Unit List'!$A$23:$H$3172,2,FALSE)),"X",$P45)</f>
        <v/>
      </c>
      <c r="U45" s="51" t="str">
        <f>IF(ISTEXT(VLOOKUP(CONCATENATE($A45,"_",U$3),'Unit List'!$A$23:$H$3172,2,FALSE)),"X",$P45)</f>
        <v/>
      </c>
      <c r="V45" s="67" t="str">
        <f>IF(ISTEXT(VLOOKUP(CONCATENATE($A45,"_",V$3),'Unit List'!$A$23:$H$3172,2,FALSE)),"X",$P45)</f>
        <v>X</v>
      </c>
      <c r="W45" s="53" t="str">
        <f>IF(ISTEXT(VLOOKUP(CONCATENATE($A45,"_",W$3),'Unit List'!$A$23:$H$3172,2,FALSE)),"X",$P45)</f>
        <v/>
      </c>
      <c r="X45" s="171" t="str">
        <f>IF(ISTEXT(VLOOKUP(CONCATENATE($A45,"_",X$3),'Unit List'!$A$23:$H$3172,2,FALSE)),"+","")</f>
        <v>+</v>
      </c>
      <c r="Y45" s="67" t="str">
        <f>IF(ISTEXT(VLOOKUP(CONCATENATE($A45,"_",Y$3),'Unit List'!$A$23:$H$3172,2,FALSE)),"X",$X45)</f>
        <v>X</v>
      </c>
      <c r="Z45" s="51" t="str">
        <f>IF(ISTEXT(VLOOKUP(CONCATENATE($A45,"_",Z$3),'Unit List'!$A$23:$H$3172,2,FALSE)),"X",$X45)</f>
        <v>+</v>
      </c>
      <c r="AA45" s="67" t="str">
        <f>IF(ISTEXT(VLOOKUP(CONCATENATE($A45,"_",AA$3),'Unit List'!$A$23:$H$3172,2,FALSE)),"X",$X45)</f>
        <v>X</v>
      </c>
      <c r="AB45" s="67" t="str">
        <f>IF(ISTEXT(VLOOKUP(CONCATENATE($A45,"_",AB$3),'Unit List'!$A$23:$H$3172,2,FALSE)),"X",$X45)</f>
        <v>X</v>
      </c>
      <c r="AC45" s="86" t="str">
        <f>IF(ISTEXT(VLOOKUP(CONCATENATE($A45,"_",AC$3),'Unit List'!$A$23:$H$3172,2,FALSE)),"X",$X45)</f>
        <v>X</v>
      </c>
      <c r="AD45" s="172" t="str">
        <f>IF(ISTEXT(VLOOKUP(CONCATENATE($A45,"_",AD$3),'Unit List'!$A$23:$H$3172,2,FALSE)),"+","")</f>
        <v>+</v>
      </c>
      <c r="AE45" s="51" t="str">
        <f>IF(ISTEXT(VLOOKUP(CONCATENATE($A45,"_",AE$3),'Unit List'!$A$23:$H$3172,2,FALSE)),"X",$AD45)</f>
        <v>+</v>
      </c>
      <c r="AF45" s="51" t="str">
        <f>IF(ISTEXT(VLOOKUP(CONCATENATE($A45,"_",AF$3),'Unit List'!$A$23:$H$3172,2,FALSE)),"X",$AD45)</f>
        <v>+</v>
      </c>
      <c r="AG45" s="172" t="str">
        <f>IF(ISTEXT(VLOOKUP(CONCATENATE($A45,"_",AG$3),'Unit List'!$A$23:$H$3172,2,FALSE)),"+","")</f>
        <v>+</v>
      </c>
      <c r="AH45" s="89" t="s">
        <v>0</v>
      </c>
      <c r="AI45" s="51" t="str">
        <f>IF(ISTEXT(VLOOKUP(CONCATENATE($A45,"_",AI$3),'Unit List'!$A$23:$H$3172,2,FALSE)),"X",$AG45)</f>
        <v>+</v>
      </c>
      <c r="AJ45" s="53" t="str">
        <f>IF(ISTEXT(VLOOKUP(CONCATENATE($A45,"_",AJ$3),'Unit List'!$A$23:$H$3172,2,FALSE)),"X",$AG45)</f>
        <v>+</v>
      </c>
      <c r="AK45" s="171" t="str">
        <f>IF(ISTEXT(VLOOKUP(CONCATENATE($A45,"_",AK$3),'Unit List'!$A$23:$H$3172,2,FALSE)),"+","")</f>
        <v>+</v>
      </c>
      <c r="AL45" s="52" t="str">
        <f>IF(ISTEXT(VLOOKUP(CONCATENATE($A45,"_",AL$3),'Unit List'!$A$23:$H$3172,2,FALSE)),"X",$AK45)</f>
        <v>X</v>
      </c>
      <c r="AM45" s="70" t="str">
        <f>IF(ISTEXT(VLOOKUP(CONCATENATE($A45,"_",AM$3),'Unit List'!$A$23:$H$3172,2,FALSE)),"X",$AK45)</f>
        <v>+</v>
      </c>
      <c r="AN45" s="125" t="str">
        <f>IF(ISTEXT(VLOOKUP(CONCATENATE($A45,"_",AN$3),'Unit List'!$A$23:$H$3172,2,FALSE)),"+","")</f>
        <v>+</v>
      </c>
      <c r="AO45" s="70" t="str">
        <f>IF(ISTEXT(VLOOKUP(CONCATENATE($A45,"_",AO$3),'Unit List'!$A$23:$H$3172,2,FALSE)),"X",$AN45)</f>
        <v>X</v>
      </c>
      <c r="AP45" s="171" t="str">
        <f>IF(ISTEXT(VLOOKUP(CONCATENATE($A45,"_",AP$3),'Unit List'!$A$23:$H$3172,2,FALSE)),"+","")</f>
        <v>+</v>
      </c>
      <c r="AQ45" s="67" t="str">
        <f>IF(ISTEXT(VLOOKUP(CONCATENATE($A45,"_",AQ$3),'Unit List'!$A$23:$H$3172,2,FALSE)),"X",$AP45)</f>
        <v>X</v>
      </c>
      <c r="AR45" s="67" t="str">
        <f>IF(ISTEXT(VLOOKUP(CONCATENATE($A45,"_",AR$3),'Unit List'!$A$23:$H$3172,2,FALSE)),"X",$AP45)</f>
        <v>X</v>
      </c>
      <c r="AS45" s="51" t="str">
        <f>IF(ISTEXT(VLOOKUP(CONCATENATE($A45,"_",AS$3),'Unit List'!$A$23:$H$3172,2,FALSE)),"X",$AP45)</f>
        <v>+</v>
      </c>
      <c r="AT45" s="70" t="str">
        <f>IF(ISTEXT(VLOOKUP(CONCATENATE($A45,"_",AT$3),'Unit List'!$A$23:$H$3172,2,FALSE)),"X",$AP45)</f>
        <v>+</v>
      </c>
      <c r="AU45" s="124" t="str">
        <f>IF(ISTEXT(VLOOKUP(CONCATENATE($A45,"_",AU$3),'Unit List'!$A$23:$H$3172,2,FALSE)),"+","")</f>
        <v>+</v>
      </c>
      <c r="AV45" s="51" t="str">
        <f>IF(ISTEXT(VLOOKUP(CONCATENATE($A45,"_",AV$3),'Unit List'!$A$23:$H$3172,2,FALSE)),"X",$AU45)</f>
        <v>+</v>
      </c>
      <c r="AW45" s="70" t="str">
        <f>IF(ISTEXT(VLOOKUP(CONCATENATE($A45,"_",AW$3),'Unit List'!$A$23:$H$3172,2,FALSE)),"X",$AU45)</f>
        <v>+</v>
      </c>
      <c r="AX45" s="171" t="str">
        <f>IF(ISTEXT(VLOOKUP(CONCATENATE($A45,"_",AX$3),'Unit List'!$A$23:$H$3172,2,FALSE)),"+","")</f>
        <v>+</v>
      </c>
      <c r="AY45" s="67" t="str">
        <f>IF(ISTEXT(VLOOKUP(CONCATENATE($A45,"_",AY$3),'Unit List'!$A$23:$H$3172,2,FALSE)),"X",$AX45)</f>
        <v>X</v>
      </c>
      <c r="AZ45" s="70" t="str">
        <f>IF(ISTEXT(VLOOKUP(CONCATENATE($A45,"_",AZ$3),'Unit List'!$A$23:$H$3172,2,FALSE)),"X",$AX45)</f>
        <v>+</v>
      </c>
      <c r="BA45" s="171" t="str">
        <f>IF(ISTEXT(VLOOKUP(CONCATENATE($A45,"_",BA$3),'Unit List'!$A$23:$H$3172,2,FALSE)),"+","")</f>
        <v>+</v>
      </c>
      <c r="BB45" s="67" t="str">
        <f>IF(ISTEXT(VLOOKUP(CONCATENATE($A45,"_",BB$3),'Unit List'!$A$23:$H$3172,2,FALSE)),"X",$BA45)</f>
        <v>X</v>
      </c>
      <c r="BC45" s="51" t="str">
        <f>IF(ISTEXT(VLOOKUP(CONCATENATE($A45,"_",BC$3),'Unit List'!$A$23:$H$3172,2,FALSE)),"X",$BA45)</f>
        <v>X</v>
      </c>
      <c r="BD45" s="53" t="str">
        <f>IF(ISTEXT(VLOOKUP(CONCATENATE($A45,"_",BD$3),'Unit List'!$A$23:$H$3172,2,FALSE)),"X",$BA45)</f>
        <v>X</v>
      </c>
      <c r="BE45" s="125" t="str">
        <f>IF(ISTEXT(VLOOKUP(CONCATENATE($A45,"_",BE$3),'Unit List'!$A$23:$H$3172,2,FALSE)),"+","")</f>
        <v>+</v>
      </c>
      <c r="BF45" s="62" t="str">
        <f>IF(ISTEXT(VLOOKUP(CONCATENATE($A45,"_",BF$3),'Unit List'!$A$23:$H$3172,2,FALSE)),"X",$BE45)</f>
        <v>+</v>
      </c>
      <c r="BG45" s="75"/>
      <c r="BH45" s="84"/>
      <c r="BI45" s="225"/>
      <c r="BJ45" s="226"/>
      <c r="BK45" s="226"/>
      <c r="BL45" s="226"/>
      <c r="BM45" s="227"/>
      <c r="BN45" s="54"/>
      <c r="BO45" s="54"/>
      <c r="BP45" s="54"/>
      <c r="BQ45" s="54"/>
      <c r="BR45" s="54"/>
      <c r="BS45" s="54"/>
      <c r="DZ45" s="55"/>
      <c r="EA45" s="55"/>
    </row>
    <row r="46" spans="1:131" ht="12.75" customHeight="1" x14ac:dyDescent="0.2">
      <c r="A46" s="56" t="s">
        <v>1150</v>
      </c>
      <c r="B46" s="181" t="str">
        <f>IF(ISTEXT(VLOOKUP(CONCATENATE($A46,"_",B$3),'Unit List'!$A$23:$H$3172,2,FALSE)),"+","")</f>
        <v/>
      </c>
      <c r="C46" s="57" t="str">
        <f>IF(ISTEXT(VLOOKUP(CONCATENATE($A46,"_",C$3),'Unit List'!$A$23:$H$3172,2,FALSE)),"X",$B46)</f>
        <v/>
      </c>
      <c r="D46" s="51" t="str">
        <f>IF(ISTEXT(VLOOKUP(CONCATENATE($A46,"_",D$3),'Unit List'!$A$23:$H$3172,2,FALSE)),"X",$B46)</f>
        <v/>
      </c>
      <c r="E46" s="51" t="str">
        <f>IF(ISTEXT(VLOOKUP(CONCATENATE($A46,"_",E$3),'Unit List'!$A$23:$H$3172,2,FALSE)),"X",$B46)</f>
        <v/>
      </c>
      <c r="F46" s="51" t="str">
        <f>IF(ISTEXT(VLOOKUP(CONCATENATE($A46,"_",F$3),'Unit List'!$A$23:$H$3172,2,FALSE)),"X",$B46)</f>
        <v/>
      </c>
      <c r="G46" s="51" t="str">
        <f>IF(ISTEXT(VLOOKUP(CONCATENATE($A46,"_",G$3),'Unit List'!$A$23:$H$3172,2,FALSE)),"X",$B46)</f>
        <v/>
      </c>
      <c r="H46" s="51" t="str">
        <f>IF(ISTEXT(VLOOKUP(CONCATENATE($A46,"_",H$3),'Unit List'!$A$23:$H$3172,2,FALSE)),"X",$B46)</f>
        <v/>
      </c>
      <c r="I46" s="53" t="str">
        <f>IF(ISTEXT(VLOOKUP(CONCATENATE($A46,"_",I$3),'Unit List'!$A$23:$H$3172,2,FALSE)),"X",$B46)</f>
        <v/>
      </c>
      <c r="J46" s="172" t="str">
        <f>IF(ISTEXT(VLOOKUP(CONCATENATE($A46,"_",J$3),'Unit List'!$A$23:$H$3172,2,FALSE)),"+","")</f>
        <v/>
      </c>
      <c r="K46" s="51" t="str">
        <f>IF(ISTEXT(VLOOKUP(CONCATENATE($A46,"_",K$3),'Unit List'!$A$23:$H$3172,2,FALSE)),"X",$J46)</f>
        <v/>
      </c>
      <c r="L46" s="62" t="str">
        <f>IF(ISTEXT(VLOOKUP(CONCATENATE($A46,"_",L$3),'Unit List'!$A$23:$H$3172,2,FALSE)),"X",$J46)</f>
        <v/>
      </c>
      <c r="M46" s="172" t="str">
        <f>IF(ISTEXT(VLOOKUP(CONCATENATE($A46,"_",M$3),'Unit List'!$A$23:$H$3172,2,FALSE)),"+","")</f>
        <v/>
      </c>
      <c r="N46" s="51" t="str">
        <f>IF(ISTEXT(VLOOKUP(CONCATENATE($A46,"_",N$3),'Unit List'!$A$23:$H$3172,2,FALSE)),"X",$M46)</f>
        <v/>
      </c>
      <c r="O46" s="53" t="str">
        <f>IF(ISTEXT(VLOOKUP(CONCATENATE($A46,"_",O$3),'Unit List'!$A$23:$H$3172,2,FALSE)),"X",$M46)</f>
        <v/>
      </c>
      <c r="P46" s="172" t="str">
        <f>IF(ISTEXT(VLOOKUP(CONCATENATE($A46,"_",P$3),'Unit List'!$A$23:$H$3172,2,FALSE)),"+","")</f>
        <v/>
      </c>
      <c r="Q46" s="51" t="str">
        <f>IF(ISTEXT(VLOOKUP(CONCATENATE($A46,"_",Q$3),'Unit List'!$A$23:$H$3172,2,FALSE)),"X",$P46)</f>
        <v/>
      </c>
      <c r="R46" s="51" t="str">
        <f>IF(ISTEXT(VLOOKUP(CONCATENATE($A46,"_",R$3),'Unit List'!$A$23:$H$3172,2,FALSE)),"X",$P46)</f>
        <v/>
      </c>
      <c r="S46" s="51" t="str">
        <f>IF(ISTEXT(VLOOKUP(CONCATENATE($A46,"_",S$3),'Unit List'!$A$23:$H$3172,2,FALSE)),"X",$P46)</f>
        <v/>
      </c>
      <c r="T46" s="52" t="str">
        <f>IF(ISTEXT(VLOOKUP(CONCATENATE($A46,"_",T$3),'Unit List'!$A$23:$H$3172,2,FALSE)),"X",$P46)</f>
        <v/>
      </c>
      <c r="U46" s="51" t="str">
        <f>IF(ISTEXT(VLOOKUP(CONCATENATE($A46,"_",U$3),'Unit List'!$A$23:$H$3172,2,FALSE)),"X",$P46)</f>
        <v/>
      </c>
      <c r="V46" s="51" t="str">
        <f>IF(ISTEXT(VLOOKUP(CONCATENATE($A46,"_",V$3),'Unit List'!$A$23:$H$3172,2,FALSE)),"X",$P46)</f>
        <v/>
      </c>
      <c r="W46" s="53" t="str">
        <f>IF(ISTEXT(VLOOKUP(CONCATENATE($A46,"_",W$3),'Unit List'!$A$23:$H$3172,2,FALSE)),"X",$P46)</f>
        <v/>
      </c>
      <c r="X46" s="172" t="str">
        <f>IF(ISTEXT(VLOOKUP(CONCATENATE($A46,"_",X$3),'Unit List'!$A$23:$H$3172,2,FALSE)),"+","")</f>
        <v/>
      </c>
      <c r="Y46" s="51" t="str">
        <f>IF(ISTEXT(VLOOKUP(CONCATENATE($A46,"_",Y$3),'Unit List'!$A$23:$H$3172,2,FALSE)),"X",$X46)</f>
        <v/>
      </c>
      <c r="Z46" s="51" t="str">
        <f>IF(ISTEXT(VLOOKUP(CONCATENATE($A46,"_",Z$3),'Unit List'!$A$23:$H$3172,2,FALSE)),"X",$X46)</f>
        <v/>
      </c>
      <c r="AA46" s="51" t="str">
        <f>IF(ISTEXT(VLOOKUP(CONCATENATE($A46,"_",AA$3),'Unit List'!$A$23:$H$3172,2,FALSE)),"X",$X46)</f>
        <v/>
      </c>
      <c r="AB46" s="51" t="str">
        <f>IF(ISTEXT(VLOOKUP(CONCATENATE($A46,"_",AB$3),'Unit List'!$A$23:$H$3172,2,FALSE)),"X",$X46)</f>
        <v/>
      </c>
      <c r="AC46" s="62" t="str">
        <f>IF(ISTEXT(VLOOKUP(CONCATENATE($A46,"_",AC$3),'Unit List'!$A$23:$H$3172,2,FALSE)),"X",$X46)</f>
        <v/>
      </c>
      <c r="AD46" s="172" t="str">
        <f>IF(ISTEXT(VLOOKUP(CONCATENATE($A46,"_",AD$3),'Unit List'!$A$23:$H$3172,2,FALSE)),"+","")</f>
        <v/>
      </c>
      <c r="AE46" s="51" t="str">
        <f>IF(ISTEXT(VLOOKUP(CONCATENATE($A46,"_",AE$3),'Unit List'!$A$23:$H$3172,2,FALSE)),"X",$AD46)</f>
        <v/>
      </c>
      <c r="AF46" s="51" t="str">
        <f>IF(ISTEXT(VLOOKUP(CONCATENATE($A46,"_",AF$3),'Unit List'!$A$23:$H$3172,2,FALSE)),"X",$AD46)</f>
        <v/>
      </c>
      <c r="AG46" s="172" t="str">
        <f>IF(ISTEXT(VLOOKUP(CONCATENATE($A46,"_",AG$3),'Unit List'!$A$23:$H$3172,2,FALSE)),"+","")</f>
        <v/>
      </c>
      <c r="AH46" s="51" t="str">
        <f>IF(ISTEXT(VLOOKUP(CONCATENATE($A46,"_",AH$3),'Unit List'!$A$23:$H$3172,2,FALSE)),"X",$AG46)</f>
        <v/>
      </c>
      <c r="AI46" s="51" t="str">
        <f>IF(ISTEXT(VLOOKUP(CONCATENATE($A46,"_",AI$3),'Unit List'!$A$23:$H$3172,2,FALSE)),"X",$AG46)</f>
        <v/>
      </c>
      <c r="AJ46" s="53" t="str">
        <f>IF(ISTEXT(VLOOKUP(CONCATENATE($A46,"_",AJ$3),'Unit List'!$A$23:$H$3172,2,FALSE)),"X",$AG46)</f>
        <v/>
      </c>
      <c r="AK46" s="172" t="str">
        <f>IF(ISTEXT(VLOOKUP(CONCATENATE($A46,"_",AK$3),'Unit List'!$A$23:$H$3172,2,FALSE)),"+","")</f>
        <v/>
      </c>
      <c r="AL46" s="52" t="str">
        <f>IF(ISTEXT(VLOOKUP(CONCATENATE($A46,"_",AL$3),'Unit List'!$A$23:$H$3172,2,FALSE)),"X",$AK46)</f>
        <v/>
      </c>
      <c r="AM46" s="53" t="str">
        <f>IF(ISTEXT(VLOOKUP(CONCATENATE($A46,"_",AM$3),'Unit List'!$A$23:$H$3172,2,FALSE)),"X",$AK46)</f>
        <v/>
      </c>
      <c r="AN46" s="125" t="str">
        <f>IF(ISTEXT(VLOOKUP(CONCATENATE($A46,"_",AN$3),'Unit List'!$A$23:$H$3172,2,FALSE)),"+","")</f>
        <v/>
      </c>
      <c r="AO46" s="53" t="str">
        <f>IF(ISTEXT(VLOOKUP(CONCATENATE($A46,"_",AO$3),'Unit List'!$A$23:$H$3172,2,FALSE)),"X",$AN46)</f>
        <v/>
      </c>
      <c r="AP46" s="172" t="str">
        <f>IF(ISTEXT(VLOOKUP(CONCATENATE($A46,"_",AP$3),'Unit List'!$A$23:$H$3172,2,FALSE)),"+","")</f>
        <v/>
      </c>
      <c r="AQ46" s="51" t="str">
        <f>IF(ISTEXT(VLOOKUP(CONCATENATE($A46,"_",AQ$3),'Unit List'!$A$23:$H$3172,2,FALSE)),"X",$AP46)</f>
        <v/>
      </c>
      <c r="AR46" s="51" t="str">
        <f>IF(ISTEXT(VLOOKUP(CONCATENATE($A46,"_",AR$3),'Unit List'!$A$23:$H$3172,2,FALSE)),"X",$AP46)</f>
        <v/>
      </c>
      <c r="AS46" s="51" t="str">
        <f>IF(ISTEXT(VLOOKUP(CONCATENATE($A46,"_",AS$3),'Unit List'!$A$23:$H$3172,2,FALSE)),"X",$AP46)</f>
        <v/>
      </c>
      <c r="AT46" s="53" t="str">
        <f>IF(ISTEXT(VLOOKUP(CONCATENATE($A46,"_",AT$3),'Unit List'!$A$23:$H$3172,2,FALSE)),"X",$AP46)</f>
        <v/>
      </c>
      <c r="AU46" s="124" t="str">
        <f>IF(ISTEXT(VLOOKUP(CONCATENATE($A46,"_",AU$3),'Unit List'!$A$23:$H$3172,2,FALSE)),"+","")</f>
        <v/>
      </c>
      <c r="AV46" s="51" t="str">
        <f>IF(ISTEXT(VLOOKUP(CONCATENATE($A46,"_",AV$3),'Unit List'!$A$23:$H$3172,2,FALSE)),"X",$AU46)</f>
        <v/>
      </c>
      <c r="AW46" s="53" t="str">
        <f>IF(ISTEXT(VLOOKUP(CONCATENATE($A46,"_",AW$3),'Unit List'!$A$23:$H$3172,2,FALSE)),"X",$AU46)</f>
        <v/>
      </c>
      <c r="AX46" s="172" t="str">
        <f>IF(ISTEXT(VLOOKUP(CONCATENATE($A46,"_",AX$3),'Unit List'!$A$23:$H$3172,2,FALSE)),"+","")</f>
        <v/>
      </c>
      <c r="AY46" s="51" t="str">
        <f>IF(ISTEXT(VLOOKUP(CONCATENATE($A46,"_",AY$3),'Unit List'!$A$23:$H$3172,2,FALSE)),"X",$AX46)</f>
        <v/>
      </c>
      <c r="AZ46" s="53" t="str">
        <f>IF(ISTEXT(VLOOKUP(CONCATENATE($A46,"_",AZ$3),'Unit List'!$A$23:$H$3172,2,FALSE)),"X",$AX46)</f>
        <v/>
      </c>
      <c r="BA46" s="182" t="str">
        <f>IF(ISTEXT(VLOOKUP(CONCATENATE($A46,"_",BA$3),'Unit List'!$A$23:$H$3172,2,FALSE)),"+","")</f>
        <v/>
      </c>
      <c r="BB46" s="51" t="str">
        <f>IF(ISTEXT(VLOOKUP(CONCATENATE($A46,"_",BB$3),'Unit List'!$A$23:$H$3172,2,FALSE)),"X",$BA46)</f>
        <v/>
      </c>
      <c r="BC46" s="51" t="str">
        <f>IF(ISTEXT(VLOOKUP(CONCATENATE($A46,"_",BC$3),'Unit List'!$A$23:$H$3172,2,FALSE)),"X",$BA46)</f>
        <v/>
      </c>
      <c r="BD46" s="53" t="str">
        <f>IF(ISTEXT(VLOOKUP(CONCATENATE($A46,"_",BD$3),'Unit List'!$A$23:$H$3172,2,FALSE)),"X",$BA46)</f>
        <v/>
      </c>
      <c r="BE46" s="125" t="str">
        <f>IF(ISTEXT(VLOOKUP(CONCATENATE($A46,"_",BE$3),'Unit List'!$A$23:$H$3172,2,FALSE)),"+","")</f>
        <v/>
      </c>
      <c r="BF46" s="62" t="str">
        <f>IF(ISTEXT(VLOOKUP(CONCATENATE($A46,"_",BF$3),'Unit List'!$A$23:$H$3172,2,FALSE)),"X",$BE46)</f>
        <v/>
      </c>
      <c r="BG46" s="64"/>
      <c r="BH46" s="65" t="s">
        <v>0</v>
      </c>
      <c r="BI46" s="225"/>
      <c r="BJ46" s="226"/>
      <c r="BK46" s="226"/>
      <c r="BL46" s="226"/>
      <c r="BM46" s="227"/>
      <c r="BN46" s="54"/>
      <c r="BO46" s="54"/>
      <c r="BP46" s="54"/>
      <c r="BQ46" s="54"/>
      <c r="BR46" s="54"/>
      <c r="BS46" s="54"/>
      <c r="DZ46" s="55"/>
      <c r="EA46" s="55"/>
    </row>
    <row r="47" spans="1:131" ht="12.75" customHeight="1" x14ac:dyDescent="0.2">
      <c r="A47" s="56" t="s">
        <v>20</v>
      </c>
      <c r="B47" s="181" t="str">
        <f>IF(ISTEXT(VLOOKUP(CONCATENATE($A47,"_",B$3),'Unit List'!$A$23:$H$3172,2,FALSE)),"+","")</f>
        <v/>
      </c>
      <c r="C47" s="57" t="str">
        <f>IF(ISTEXT(VLOOKUP(CONCATENATE($A47,"_",C$3),'Unit List'!$A$23:$H$3172,2,FALSE)),"X",$B47)</f>
        <v/>
      </c>
      <c r="D47" s="51" t="str">
        <f>IF(ISTEXT(VLOOKUP(CONCATENATE($A47,"_",D$3),'Unit List'!$A$23:$H$3172,2,FALSE)),"X",$B47)</f>
        <v/>
      </c>
      <c r="E47" s="51" t="str">
        <f>IF(ISTEXT(VLOOKUP(CONCATENATE($A47,"_",E$3),'Unit List'!$A$23:$H$3172,2,FALSE)),"X",$B47)</f>
        <v>X</v>
      </c>
      <c r="F47" s="51" t="str">
        <f>IF(ISTEXT(VLOOKUP(CONCATENATE($A47,"_",F$3),'Unit List'!$A$23:$H$3172,2,FALSE)),"X",$B47)</f>
        <v>X</v>
      </c>
      <c r="G47" s="51" t="str">
        <f>IF(ISTEXT(VLOOKUP(CONCATENATE($A47,"_",G$3),'Unit List'!$A$23:$H$3172,2,FALSE)),"X",$B47)</f>
        <v>X</v>
      </c>
      <c r="H47" s="51" t="str">
        <f>IF(ISTEXT(VLOOKUP(CONCATENATE($A47,"_",H$3),'Unit List'!$A$23:$H$3172,2,FALSE)),"X",$B47)</f>
        <v/>
      </c>
      <c r="I47" s="53" t="str">
        <f>IF(ISTEXT(VLOOKUP(CONCATENATE($A47,"_",I$3),'Unit List'!$A$23:$H$3172,2,FALSE)),"X",$B47)</f>
        <v>X</v>
      </c>
      <c r="J47" s="172" t="str">
        <f>IF(ISTEXT(VLOOKUP(CONCATENATE($A47,"_",J$3),'Unit List'!$A$23:$H$3172,2,FALSE)),"+","")</f>
        <v>+</v>
      </c>
      <c r="K47" s="51" t="str">
        <f>IF(ISTEXT(VLOOKUP(CONCATENATE($A47,"_",K$3),'Unit List'!$A$23:$H$3172,2,FALSE)),"X",$J47)</f>
        <v>+</v>
      </c>
      <c r="L47" s="62" t="str">
        <f>IF(ISTEXT(VLOOKUP(CONCATENATE($A47,"_",L$3),'Unit List'!$A$23:$H$3172,2,FALSE)),"X",$J47)</f>
        <v>+</v>
      </c>
      <c r="M47" s="172" t="str">
        <f>IF(ISTEXT(VLOOKUP(CONCATENATE($A47,"_",M$3),'Unit List'!$A$23:$H$3172,2,FALSE)),"+","")</f>
        <v/>
      </c>
      <c r="N47" s="51" t="str">
        <f>IF(ISTEXT(VLOOKUP(CONCATENATE($A47,"_",N$3),'Unit List'!$A$23:$H$3172,2,FALSE)),"X",$M47)</f>
        <v/>
      </c>
      <c r="O47" s="53" t="str">
        <f>IF(ISTEXT(VLOOKUP(CONCATENATE($A47,"_",O$3),'Unit List'!$A$23:$H$3172,2,FALSE)),"X",$M47)</f>
        <v/>
      </c>
      <c r="P47" s="172" t="str">
        <f>IF(ISTEXT(VLOOKUP(CONCATENATE($A47,"_",P$3),'Unit List'!$A$23:$H$3172,2,FALSE)),"+","")</f>
        <v>+</v>
      </c>
      <c r="Q47" s="51" t="str">
        <f>IF(ISTEXT(VLOOKUP(CONCATENATE($A47,"_",Q$3),'Unit List'!$A$23:$H$3172,2,FALSE)),"X",$P47)</f>
        <v>+</v>
      </c>
      <c r="R47" s="51" t="str">
        <f>IF(ISTEXT(VLOOKUP(CONCATENATE($A47,"_",R$3),'Unit List'!$A$23:$H$3172,2,FALSE)),"X",$P47)</f>
        <v>+</v>
      </c>
      <c r="S47" s="51" t="str">
        <f>IF(ISTEXT(VLOOKUP(CONCATENATE($A47,"_",S$3),'Unit List'!$A$23:$H$3172,2,FALSE)),"X",$P47)</f>
        <v>+</v>
      </c>
      <c r="T47" s="52" t="str">
        <f>IF(ISTEXT(VLOOKUP(CONCATENATE($A47,"_",T$3),'Unit List'!$A$23:$H$3172,2,FALSE)),"X",$P47)</f>
        <v>+</v>
      </c>
      <c r="U47" s="51" t="str">
        <f>IF(ISTEXT(VLOOKUP(CONCATENATE($A47,"_",U$3),'Unit List'!$A$23:$H$3172,2,FALSE)),"X",$P47)</f>
        <v>+</v>
      </c>
      <c r="V47" s="51" t="str">
        <f>IF(ISTEXT(VLOOKUP(CONCATENATE($A47,"_",V$3),'Unit List'!$A$23:$H$3172,2,FALSE)),"X",$P47)</f>
        <v>+</v>
      </c>
      <c r="W47" s="53" t="str">
        <f>IF(ISTEXT(VLOOKUP(CONCATENATE($A47,"_",W$3),'Unit List'!$A$23:$H$3172,2,FALSE)),"X",$P47)</f>
        <v>+</v>
      </c>
      <c r="X47" s="172" t="str">
        <f>IF(ISTEXT(VLOOKUP(CONCATENATE($A47,"_",X$3),'Unit List'!$A$23:$H$3172,2,FALSE)),"+","")</f>
        <v>+</v>
      </c>
      <c r="Y47" s="51" t="str">
        <f>IF(ISTEXT(VLOOKUP(CONCATENATE($A47,"_",Y$3),'Unit List'!$A$23:$H$3172,2,FALSE)),"X",$X47)</f>
        <v>+</v>
      </c>
      <c r="Z47" s="51" t="str">
        <f>IF(ISTEXT(VLOOKUP(CONCATENATE($A47,"_",Z$3),'Unit List'!$A$23:$H$3172,2,FALSE)),"X",$X47)</f>
        <v>+</v>
      </c>
      <c r="AA47" s="51" t="str">
        <f>IF(ISTEXT(VLOOKUP(CONCATENATE($A47,"_",AA$3),'Unit List'!$A$23:$H$3172,2,FALSE)),"X",$X47)</f>
        <v>+</v>
      </c>
      <c r="AB47" s="51" t="str">
        <f>IF(ISTEXT(VLOOKUP(CONCATENATE($A47,"_",AB$3),'Unit List'!$A$23:$H$3172,2,FALSE)),"X",$X47)</f>
        <v>X</v>
      </c>
      <c r="AC47" s="62" t="str">
        <f>IF(ISTEXT(VLOOKUP(CONCATENATE($A47,"_",AC$3),'Unit List'!$A$23:$H$3172,2,FALSE)),"X",$X47)</f>
        <v>X</v>
      </c>
      <c r="AD47" s="171" t="str">
        <f>IF(ISTEXT(VLOOKUP(CONCATENATE($A47,"_",AD$3),'Unit List'!$A$23:$H$3172,2,FALSE)),"+","")</f>
        <v>+</v>
      </c>
      <c r="AE47" s="51" t="str">
        <f>IF(ISTEXT(VLOOKUP(CONCATENATE($A47,"_",AE$3),'Unit List'!$A$23:$H$3172,2,FALSE)),"X",$AD47)</f>
        <v>+</v>
      </c>
      <c r="AF47" s="51" t="str">
        <f>IF(ISTEXT(VLOOKUP(CONCATENATE($A47,"_",AF$3),'Unit List'!$A$23:$H$3172,2,FALSE)),"X",$AD47)</f>
        <v>+</v>
      </c>
      <c r="AG47" s="171" t="str">
        <f>IF(ISTEXT(VLOOKUP(CONCATENATE($A47,"_",AG$3),'Unit List'!$A$23:$H$3172,2,FALSE)),"+","")</f>
        <v>+</v>
      </c>
      <c r="AH47" s="67" t="str">
        <f>IF(ISTEXT(VLOOKUP(CONCATENATE($A47,"_",AH$3),'Unit List'!$A$23:$H$3172,2,FALSE)),"X",$AG47)</f>
        <v>+</v>
      </c>
      <c r="AI47" s="67" t="str">
        <f>IF(ISTEXT(VLOOKUP(CONCATENATE($A47,"_",AI$3),'Unit List'!$A$23:$H$3172,2,FALSE)),"X",$AG47)</f>
        <v>+</v>
      </c>
      <c r="AJ47" s="70" t="str">
        <f>IF(ISTEXT(VLOOKUP(CONCATENATE($A47,"_",AJ$3),'Unit List'!$A$23:$H$3172,2,FALSE)),"X",$AG47)</f>
        <v>+</v>
      </c>
      <c r="AK47" s="172" t="str">
        <f>IF(ISTEXT(VLOOKUP(CONCATENATE($A47,"_",AK$3),'Unit List'!$A$23:$H$3172,2,FALSE)),"+","")</f>
        <v/>
      </c>
      <c r="AL47" s="52" t="str">
        <f>IF(ISTEXT(VLOOKUP(CONCATENATE($A47,"_",AL$3),'Unit List'!$A$23:$H$3172,2,FALSE)),"X",$AK47)</f>
        <v/>
      </c>
      <c r="AM47" s="53" t="str">
        <f>IF(ISTEXT(VLOOKUP(CONCATENATE($A47,"_",AM$3),'Unit List'!$A$23:$H$3172,2,FALSE)),"X",$AK47)</f>
        <v/>
      </c>
      <c r="AN47" s="125" t="str">
        <f>IF(ISTEXT(VLOOKUP(CONCATENATE($A47,"_",AN$3),'Unit List'!$A$23:$H$3172,2,FALSE)),"+","")</f>
        <v>+</v>
      </c>
      <c r="AO47" s="70" t="str">
        <f>IF(ISTEXT(VLOOKUP(CONCATENATE($A47,"_",AO$3),'Unit List'!$A$23:$H$3172,2,FALSE)),"X",$AN47)</f>
        <v>X</v>
      </c>
      <c r="AP47" s="171" t="str">
        <f>IF(ISTEXT(VLOOKUP(CONCATENATE($A47,"_",AP$3),'Unit List'!$A$23:$H$3172,2,FALSE)),"+","")</f>
        <v>+</v>
      </c>
      <c r="AQ47" s="67" t="str">
        <f>IF(ISTEXT(VLOOKUP(CONCATENATE($A47,"_",AQ$3),'Unit List'!$A$23:$H$3172,2,FALSE)),"X",$AP47)</f>
        <v>+</v>
      </c>
      <c r="AR47" s="67" t="str">
        <f>IF(ISTEXT(VLOOKUP(CONCATENATE($A47,"_",AR$3),'Unit List'!$A$23:$H$3172,2,FALSE)),"X",$AP47)</f>
        <v>+</v>
      </c>
      <c r="AS47" s="67" t="str">
        <f>IF(ISTEXT(VLOOKUP(CONCATENATE($A47,"_",AS$3),'Unit List'!$A$23:$H$3172,2,FALSE)),"X",$AP47)</f>
        <v>+</v>
      </c>
      <c r="AT47" s="70" t="str">
        <f>IF(ISTEXT(VLOOKUP(CONCATENATE($A47,"_",AT$3),'Unit List'!$A$23:$H$3172,2,FALSE)),"X",$AP47)</f>
        <v>+</v>
      </c>
      <c r="AU47" s="124" t="str">
        <f>IF(ISTEXT(VLOOKUP(CONCATENATE($A47,"_",AU$3),'Unit List'!$A$23:$H$3172,2,FALSE)),"+","")</f>
        <v>+</v>
      </c>
      <c r="AV47" s="51" t="str">
        <f>IF(ISTEXT(VLOOKUP(CONCATENATE($A47,"_",AV$3),'Unit List'!$A$23:$H$3172,2,FALSE)),"X",$AU47)</f>
        <v>+</v>
      </c>
      <c r="AW47" s="53" t="str">
        <f>IF(ISTEXT(VLOOKUP(CONCATENATE($A47,"_",AW$3),'Unit List'!$A$23:$H$3172,2,FALSE)),"X",$AU47)</f>
        <v>+</v>
      </c>
      <c r="AX47" s="171" t="str">
        <f>IF(ISTEXT(VLOOKUP(CONCATENATE($A47,"_",AX$3),'Unit List'!$A$23:$H$3172,2,FALSE)),"+","")</f>
        <v>+</v>
      </c>
      <c r="AY47" s="67" t="str">
        <f>IF(ISTEXT(VLOOKUP(CONCATENATE($A47,"_",AY$3),'Unit List'!$A$23:$H$3172,2,FALSE)),"X",$AX47)</f>
        <v>X</v>
      </c>
      <c r="AZ47" s="106" t="s">
        <v>0</v>
      </c>
      <c r="BA47" s="171" t="str">
        <f>IF(ISTEXT(VLOOKUP(CONCATENATE($A47,"_",BA$3),'Unit List'!$A$23:$H$3172,2,FALSE)),"+","")</f>
        <v>+</v>
      </c>
      <c r="BB47" s="67" t="str">
        <f>IF(ISTEXT(VLOOKUP(CONCATENATE($A47,"_",BB$3),'Unit List'!$A$23:$H$3172,2,FALSE)),"X",$BA47)</f>
        <v>X</v>
      </c>
      <c r="BC47" s="67" t="str">
        <f>IF(ISTEXT(VLOOKUP(CONCATENATE($A47,"_",BC$3),'Unit List'!$A$23:$H$3172,2,FALSE)),"X",$BA47)</f>
        <v>X</v>
      </c>
      <c r="BD47" s="53" t="str">
        <f>IF(ISTEXT(VLOOKUP(CONCATENATE($A47,"_",BD$3),'Unit List'!$A$23:$H$3172,2,FALSE)),"X",$BA47)</f>
        <v>+</v>
      </c>
      <c r="BE47" s="125" t="str">
        <f>IF(ISTEXT(VLOOKUP(CONCATENATE($A47,"_",BE$3),'Unit List'!$A$23:$H$3172,2,FALSE)),"+","")</f>
        <v>+</v>
      </c>
      <c r="BF47" s="62" t="str">
        <f>IF(ISTEXT(VLOOKUP(CONCATENATE($A47,"_",BF$3),'Unit List'!$A$23:$H$3172,2,FALSE)),"X",$BE47)</f>
        <v>+</v>
      </c>
      <c r="BG47" s="64" t="s">
        <v>0</v>
      </c>
      <c r="BH47" s="65" t="s">
        <v>0</v>
      </c>
      <c r="BI47" s="225"/>
      <c r="BJ47" s="226"/>
      <c r="BK47" s="226"/>
      <c r="BL47" s="226"/>
      <c r="BM47" s="227"/>
      <c r="BN47" s="54"/>
      <c r="BO47" s="54"/>
      <c r="BP47" s="54"/>
      <c r="BQ47" s="54"/>
      <c r="BR47" s="54"/>
      <c r="BS47" s="54"/>
      <c r="DZ47" s="55"/>
      <c r="EA47" s="55"/>
    </row>
    <row r="48" spans="1:131" ht="12.75" customHeight="1" x14ac:dyDescent="0.2">
      <c r="A48" s="56" t="s">
        <v>19</v>
      </c>
      <c r="B48" s="181" t="str">
        <f>IF(ISTEXT(VLOOKUP(CONCATENATE($A48,"_",B$3),'Unit List'!$A$23:$H$3172,2,FALSE)),"+","")</f>
        <v/>
      </c>
      <c r="C48" s="82" t="str">
        <f>IF(ISTEXT(VLOOKUP(CONCATENATE($A48,"_",C$3),'Unit List'!$A$23:$H$3172,2,FALSE)),"X",$B48)</f>
        <v>X</v>
      </c>
      <c r="D48" s="60" t="str">
        <f>IF(ISTEXT(VLOOKUP(CONCATENATE($A48,"_",D$3),'Unit List'!$A$23:$H$3172,2,FALSE)),"X",$B48)</f>
        <v>X</v>
      </c>
      <c r="E48" s="89" t="s">
        <v>0</v>
      </c>
      <c r="F48" s="67" t="str">
        <f>IF(ISTEXT(VLOOKUP(CONCATENATE($A48,"_",F$3),'Unit List'!$A$23:$H$3172,2,FALSE)),"X",$B48)</f>
        <v>X</v>
      </c>
      <c r="G48" s="67" t="str">
        <f>IF(ISTEXT(VLOOKUP(CONCATENATE($A48,"_",G$3),'Unit List'!$A$23:$H$3172,2,FALSE)),"X",$B48)</f>
        <v>X</v>
      </c>
      <c r="H48" s="67" t="str">
        <f>IF(ISTEXT(VLOOKUP(CONCATENATE($A48,"_",H$3),'Unit List'!$A$23:$H$3172,2,FALSE)),"X",$B48)</f>
        <v>X</v>
      </c>
      <c r="I48" s="53" t="str">
        <f>IF(ISTEXT(VLOOKUP(CONCATENATE($A48,"_",I$3),'Unit List'!$A$23:$H$3172,2,FALSE)),"X",$B48)</f>
        <v>X</v>
      </c>
      <c r="J48" s="172" t="str">
        <f>IF(ISTEXT(VLOOKUP(CONCATENATE($A48,"_",J$3),'Unit List'!$A$23:$H$3172,2,FALSE)),"+","")</f>
        <v>+</v>
      </c>
      <c r="K48" s="94" t="str">
        <f>IF(ISTEXT(VLOOKUP(CONCATENATE($A48,"_",K$3),'Unit List'!$A$23:$H$3172,2,FALSE)),"X",$J48)</f>
        <v>+</v>
      </c>
      <c r="L48" s="68" t="str">
        <f>IF(ISTEXT(VLOOKUP(CONCATENATE($A48,"_",L$3),'Unit List'!$A$23:$H$3172,2,FALSE)),"X",$J48)</f>
        <v>+</v>
      </c>
      <c r="M48" s="172" t="str">
        <f>IF(ISTEXT(VLOOKUP(CONCATENATE($A48,"_",M$3),'Unit List'!$A$23:$H$3172,2,FALSE)),"+","")</f>
        <v>+</v>
      </c>
      <c r="N48" s="51" t="str">
        <f>IF(ISTEXT(VLOOKUP(CONCATENATE($A48,"_",N$3),'Unit List'!$A$23:$H$3172,2,FALSE)),"X",$M48)</f>
        <v>+</v>
      </c>
      <c r="O48" s="70" t="str">
        <f>IF(ISTEXT(VLOOKUP(CONCATENATE($A48,"_",O$3),'Unit List'!$A$23:$H$3172,2,FALSE)),"X",$M48)</f>
        <v>+</v>
      </c>
      <c r="P48" s="171" t="str">
        <f>IF(ISTEXT(VLOOKUP(CONCATENATE($A48,"_",P$3),'Unit List'!$A$23:$H$3172,2,FALSE)),"+","")</f>
        <v>+</v>
      </c>
      <c r="Q48" s="51" t="str">
        <f>IF(ISTEXT(VLOOKUP(CONCATENATE($A48,"_",Q$3),'Unit List'!$A$23:$H$3172,2,FALSE)),"X",$P48)</f>
        <v>+</v>
      </c>
      <c r="R48" s="51" t="str">
        <f>IF(ISTEXT(VLOOKUP(CONCATENATE($A48,"_",R$3),'Unit List'!$A$23:$H$3172,2,FALSE)),"X",$P48)</f>
        <v>+</v>
      </c>
      <c r="S48" s="72" t="str">
        <f>IF(ISTEXT(VLOOKUP(CONCATENATE($A48,"_",S$3),'Unit List'!$A$23:$H$3172,2,FALSE)),"X",$P48)</f>
        <v>X</v>
      </c>
      <c r="T48" s="52" t="str">
        <f>IF(ISTEXT(VLOOKUP(CONCATENATE($A48,"_",T$3),'Unit List'!$A$23:$H$3172,2,FALSE)),"X",$P48)</f>
        <v>X</v>
      </c>
      <c r="U48" s="67" t="str">
        <f>IF(ISTEXT(VLOOKUP(CONCATENATE($A48,"_",U$3),'Unit List'!$A$23:$H$3172,2,FALSE)),"X",$P48)</f>
        <v>X</v>
      </c>
      <c r="V48" s="67" t="str">
        <f>IF(ISTEXT(VLOOKUP(CONCATENATE($A48,"_",V$3),'Unit List'!$A$23:$H$3172,2,FALSE)),"X",$P48)</f>
        <v>X</v>
      </c>
      <c r="W48" s="53" t="str">
        <f>IF(ISTEXT(VLOOKUP(CONCATENATE($A48,"_",W$3),'Unit List'!$A$23:$H$3172,2,FALSE)),"X",$P48)</f>
        <v>+</v>
      </c>
      <c r="X48" s="171" t="str">
        <f>IF(ISTEXT(VLOOKUP(CONCATENATE($A48,"_",X$3),'Unit List'!$A$23:$H$3172,2,FALSE)),"+","")</f>
        <v>+</v>
      </c>
      <c r="Y48" s="67" t="str">
        <f>IF(ISTEXT(VLOOKUP(CONCATENATE($A48,"_",Y$3),'Unit List'!$A$23:$H$3172,2,FALSE)),"X",$X48)</f>
        <v>X</v>
      </c>
      <c r="Z48" s="51" t="str">
        <f>IF(ISTEXT(VLOOKUP(CONCATENATE($A48,"_",Z$3),'Unit List'!$A$23:$H$3172,2,FALSE)),"X",$X48)</f>
        <v>+</v>
      </c>
      <c r="AA48" s="67" t="str">
        <f>IF(ISTEXT(VLOOKUP(CONCATENATE($A48,"_",AA$3),'Unit List'!$A$23:$H$3172,2,FALSE)),"X",$X48)</f>
        <v>X</v>
      </c>
      <c r="AB48" s="67" t="str">
        <f>IF(ISTEXT(VLOOKUP(CONCATENATE($A48,"_",AB$3),'Unit List'!$A$23:$H$3172,2,FALSE)),"X",$X48)</f>
        <v>X</v>
      </c>
      <c r="AC48" s="105" t="s">
        <v>0</v>
      </c>
      <c r="AD48" s="171" t="str">
        <f>IF(ISTEXT(VLOOKUP(CONCATENATE($A48,"_",AD$3),'Unit List'!$A$23:$H$3172,2,FALSE)),"+","")</f>
        <v/>
      </c>
      <c r="AE48" s="51" t="str">
        <f>IF(ISTEXT(VLOOKUP(CONCATENATE($A48,"_",AE$3),'Unit List'!$A$23:$H$3172,2,FALSE)),"X",$AD48)</f>
        <v>X</v>
      </c>
      <c r="AF48" s="51" t="str">
        <f>IF(ISTEXT(VLOOKUP(CONCATENATE($A48,"_",AF$3),'Unit List'!$A$23:$H$3172,2,FALSE)),"X",$AD48)</f>
        <v/>
      </c>
      <c r="AG48" s="171" t="str">
        <f>IF(ISTEXT(VLOOKUP(CONCATENATE($A48,"_",AG$3),'Unit List'!$A$23:$H$3172,2,FALSE)),"+","")</f>
        <v>+</v>
      </c>
      <c r="AH48" s="67" t="str">
        <f>IF(ISTEXT(VLOOKUP(CONCATENATE($A48,"_",AH$3),'Unit List'!$A$23:$H$3172,2,FALSE)),"X",$AG48)</f>
        <v>X</v>
      </c>
      <c r="AI48" s="67" t="str">
        <f>IF(ISTEXT(VLOOKUP(CONCATENATE($A48,"_",AI$3),'Unit List'!$A$23:$H$3172,2,FALSE)),"X",$AG48)</f>
        <v>X</v>
      </c>
      <c r="AJ48" s="53" t="str">
        <f>IF(ISTEXT(VLOOKUP(CONCATENATE($A48,"_",AJ$3),'Unit List'!$A$23:$H$3172,2,FALSE)),"X",$AG48)</f>
        <v>+</v>
      </c>
      <c r="AK48" s="171" t="str">
        <f>IF(ISTEXT(VLOOKUP(CONCATENATE($A48,"_",AK$3),'Unit List'!$A$23:$H$3172,2,FALSE)),"+","")</f>
        <v>+</v>
      </c>
      <c r="AL48" s="107" t="s">
        <v>0</v>
      </c>
      <c r="AM48" s="70" t="str">
        <f>IF(ISTEXT(VLOOKUP(CONCATENATE($A48,"_",AM$3),'Unit List'!$A$23:$H$3172,2,FALSE)),"X",$AK48)</f>
        <v>+</v>
      </c>
      <c r="AN48" s="125" t="str">
        <f>IF(ISTEXT(VLOOKUP(CONCATENATE($A48,"_",AN$3),'Unit List'!$A$23:$H$3172,2,FALSE)),"+","")</f>
        <v>+</v>
      </c>
      <c r="AO48" s="70" t="str">
        <f>IF(ISTEXT(VLOOKUP(CONCATENATE($A48,"_",AO$3),'Unit List'!$A$23:$H$3172,2,FALSE)),"X",$AN48)</f>
        <v>X</v>
      </c>
      <c r="AP48" s="171" t="str">
        <f>IF(ISTEXT(VLOOKUP(CONCATENATE($A48,"_",AP$3),'Unit List'!$A$23:$H$3172,2,FALSE)),"+","")</f>
        <v>+</v>
      </c>
      <c r="AQ48" s="67" t="str">
        <f>IF(ISTEXT(VLOOKUP(CONCATENATE($A48,"_",AQ$3),'Unit List'!$A$23:$H$3172,2,FALSE)),"X",$AP48)</f>
        <v>X</v>
      </c>
      <c r="AR48" s="67" t="str">
        <f>IF(ISTEXT(VLOOKUP(CONCATENATE($A48,"_",AR$3),'Unit List'!$A$23:$H$3172,2,FALSE)),"X",$AP48)</f>
        <v>X</v>
      </c>
      <c r="AS48" s="67" t="str">
        <f>IF(ISTEXT(VLOOKUP(CONCATENATE($A48,"_",AS$3),'Unit List'!$A$23:$H$3172,2,FALSE)),"X",$AP48)</f>
        <v>X</v>
      </c>
      <c r="AT48" s="70" t="str">
        <f>IF(ISTEXT(VLOOKUP(CONCATENATE($A48,"_",AT$3),'Unit List'!$A$23:$H$3172,2,FALSE)),"X",$AP48)</f>
        <v>X</v>
      </c>
      <c r="AU48" s="124" t="str">
        <f>IF(ISTEXT(VLOOKUP(CONCATENATE($A48,"_",AU$3),'Unit List'!$A$23:$H$3172,2,FALSE)),"+","")</f>
        <v>+</v>
      </c>
      <c r="AV48" s="51" t="str">
        <f>IF(ISTEXT(VLOOKUP(CONCATENATE($A48,"_",AV$3),'Unit List'!$A$23:$H$3172,2,FALSE)),"X",$AU48)</f>
        <v>+</v>
      </c>
      <c r="AW48" s="53" t="str">
        <f>IF(ISTEXT(VLOOKUP(CONCATENATE($A48,"_",AW$3),'Unit List'!$A$23:$H$3172,2,FALSE)),"X",$AU48)</f>
        <v>+</v>
      </c>
      <c r="AX48" s="171" t="str">
        <f>IF(ISTEXT(VLOOKUP(CONCATENATE($A48,"_",AX$3),'Unit List'!$A$23:$H$3172,2,FALSE)),"+","")</f>
        <v>+</v>
      </c>
      <c r="AY48" s="67" t="str">
        <f>IF(ISTEXT(VLOOKUP(CONCATENATE($A48,"_",AY$3),'Unit List'!$A$23:$H$3172,2,FALSE)),"X",$AX48)</f>
        <v>X</v>
      </c>
      <c r="AZ48" s="70" t="str">
        <f>IF(ISTEXT(VLOOKUP(CONCATENATE($A48,"_",AZ$3),'Unit List'!$A$23:$H$3172,2,FALSE)),"X",$AX48)</f>
        <v>+</v>
      </c>
      <c r="BA48" s="171" t="str">
        <f>IF(ISTEXT(VLOOKUP(CONCATENATE($A48,"_",BA$3),'Unit List'!$A$23:$H$3172,2,FALSE)),"+","")</f>
        <v>+</v>
      </c>
      <c r="BB48" s="67" t="str">
        <f>IF(ISTEXT(VLOOKUP(CONCATENATE($A48,"_",BB$3),'Unit List'!$A$23:$H$3172,2,FALSE)),"X",$BA48)</f>
        <v>X</v>
      </c>
      <c r="BC48" s="51" t="str">
        <f>IF(ISTEXT(VLOOKUP(CONCATENATE($A48,"_",BC$3),'Unit List'!$A$23:$H$3172,2,FALSE)),"X",$BA48)</f>
        <v>X</v>
      </c>
      <c r="BD48" s="70" t="str">
        <f>IF(ISTEXT(VLOOKUP(CONCATENATE($A48,"_",BD$3),'Unit List'!$A$23:$H$3172,2,FALSE)),"X",$BA48)</f>
        <v>X</v>
      </c>
      <c r="BE48" s="125" t="str">
        <f>IF(ISTEXT(VLOOKUP(CONCATENATE($A48,"_",BE$3),'Unit List'!$A$23:$H$3172,2,FALSE)),"+","")</f>
        <v>+</v>
      </c>
      <c r="BF48" s="62" t="str">
        <f>IF(ISTEXT(VLOOKUP(CONCATENATE($A48,"_",BF$3),'Unit List'!$A$23:$H$3172,2,FALSE)),"X",$BE48)</f>
        <v>+</v>
      </c>
      <c r="BG48" s="75"/>
      <c r="BH48" s="76" t="s">
        <v>0</v>
      </c>
      <c r="BI48" s="225" t="s">
        <v>18</v>
      </c>
      <c r="BJ48" s="226"/>
      <c r="BK48" s="226"/>
      <c r="BL48" s="226"/>
      <c r="BM48" s="227"/>
      <c r="BN48" s="54"/>
      <c r="BO48" s="54"/>
      <c r="BP48" s="54"/>
      <c r="BQ48" s="54"/>
      <c r="BR48" s="54"/>
      <c r="BS48" s="54"/>
      <c r="DZ48" s="55"/>
      <c r="EA48" s="55"/>
    </row>
    <row r="49" spans="1:131" ht="12.75" customHeight="1" x14ac:dyDescent="0.2">
      <c r="A49" s="56" t="s">
        <v>1151</v>
      </c>
      <c r="B49" s="181" t="str">
        <f>IF(ISTEXT(VLOOKUP(CONCATENATE($A49,"_",B$3),'Unit List'!$A$23:$H$3172,2,FALSE)),"+","")</f>
        <v/>
      </c>
      <c r="C49" s="57" t="str">
        <f>IF(ISTEXT(VLOOKUP(CONCATENATE($A49,"_",C$3),'Unit List'!$A$23:$H$3172,2,FALSE)),"X",$B49)</f>
        <v/>
      </c>
      <c r="D49" s="51" t="str">
        <f>IF(ISTEXT(VLOOKUP(CONCATENATE($A49,"_",D$3),'Unit List'!$A$23:$H$3172,2,FALSE)),"X",$B49)</f>
        <v>X</v>
      </c>
      <c r="E49" s="51" t="str">
        <f>IF(ISTEXT(VLOOKUP(CONCATENATE($A49,"_",E$3),'Unit List'!$A$23:$H$3172,2,FALSE)),"X",$B49)</f>
        <v/>
      </c>
      <c r="F49" s="51" t="str">
        <f>IF(ISTEXT(VLOOKUP(CONCATENATE($A49,"_",F$3),'Unit List'!$A$23:$H$3172,2,FALSE)),"X",$B49)</f>
        <v/>
      </c>
      <c r="G49" s="51" t="str">
        <f>IF(ISTEXT(VLOOKUP(CONCATENATE($A49,"_",G$3),'Unit List'!$A$23:$H$3172,2,FALSE)),"X",$B49)</f>
        <v/>
      </c>
      <c r="H49" s="67" t="str">
        <f>IF(ISTEXT(VLOOKUP(CONCATENATE($A49,"_",H$3),'Unit List'!$A$23:$H$3172,2,FALSE)),"X",$B49)</f>
        <v>X</v>
      </c>
      <c r="I49" s="53" t="str">
        <f>IF(ISTEXT(VLOOKUP(CONCATENATE($A49,"_",I$3),'Unit List'!$A$23:$H$3172,2,FALSE)),"X",$B49)</f>
        <v/>
      </c>
      <c r="J49" s="172" t="str">
        <f>IF(ISTEXT(VLOOKUP(CONCATENATE($A49,"_",J$3),'Unit List'!$A$23:$H$3172,2,FALSE)),"+","")</f>
        <v/>
      </c>
      <c r="K49" s="51" t="str">
        <f>IF(ISTEXT(VLOOKUP(CONCATENATE($A49,"_",K$3),'Unit List'!$A$23:$H$3172,2,FALSE)),"X",$J49)</f>
        <v/>
      </c>
      <c r="L49" s="62" t="str">
        <f>IF(ISTEXT(VLOOKUP(CONCATENATE($A49,"_",L$3),'Unit List'!$A$23:$H$3172,2,FALSE)),"X",$J49)</f>
        <v/>
      </c>
      <c r="M49" s="172" t="str">
        <f>IF(ISTEXT(VLOOKUP(CONCATENATE($A49,"_",M$3),'Unit List'!$A$23:$H$3172,2,FALSE)),"+","")</f>
        <v/>
      </c>
      <c r="N49" s="51" t="str">
        <f>IF(ISTEXT(VLOOKUP(CONCATENATE($A49,"_",N$3),'Unit List'!$A$23:$H$3172,2,FALSE)),"X",$M49)</f>
        <v/>
      </c>
      <c r="O49" s="53" t="str">
        <f>IF(ISTEXT(VLOOKUP(CONCATENATE($A49,"_",O$3),'Unit List'!$A$23:$H$3172,2,FALSE)),"X",$M49)</f>
        <v/>
      </c>
      <c r="P49" s="172" t="str">
        <f>IF(ISTEXT(VLOOKUP(CONCATENATE($A49,"_",P$3),'Unit List'!$A$23:$H$3172,2,FALSE)),"+","")</f>
        <v/>
      </c>
      <c r="Q49" s="51" t="str">
        <f>IF(ISTEXT(VLOOKUP(CONCATENATE($A49,"_",Q$3),'Unit List'!$A$23:$H$3172,2,FALSE)),"X",$P49)</f>
        <v/>
      </c>
      <c r="R49" s="51" t="str">
        <f>IF(ISTEXT(VLOOKUP(CONCATENATE($A49,"_",R$3),'Unit List'!$A$23:$H$3172,2,FALSE)),"X",$P49)</f>
        <v/>
      </c>
      <c r="S49" s="51" t="str">
        <f>IF(ISTEXT(VLOOKUP(CONCATENATE($A49,"_",S$3),'Unit List'!$A$23:$H$3172,2,FALSE)),"X",$P49)</f>
        <v/>
      </c>
      <c r="T49" s="52" t="str">
        <f>IF(ISTEXT(VLOOKUP(CONCATENATE($A49,"_",T$3),'Unit List'!$A$23:$H$3172,2,FALSE)),"X",$P49)</f>
        <v/>
      </c>
      <c r="U49" s="51" t="str">
        <f>IF(ISTEXT(VLOOKUP(CONCATENATE($A49,"_",U$3),'Unit List'!$A$23:$H$3172,2,FALSE)),"X",$P49)</f>
        <v/>
      </c>
      <c r="V49" s="51" t="str">
        <f>IF(ISTEXT(VLOOKUP(CONCATENATE($A49,"_",V$3),'Unit List'!$A$23:$H$3172,2,FALSE)),"X",$P49)</f>
        <v/>
      </c>
      <c r="W49" s="53" t="str">
        <f>IF(ISTEXT(VLOOKUP(CONCATENATE($A49,"_",W$3),'Unit List'!$A$23:$H$3172,2,FALSE)),"X",$P49)</f>
        <v/>
      </c>
      <c r="X49" s="172" t="str">
        <f>IF(ISTEXT(VLOOKUP(CONCATENATE($A49,"_",X$3),'Unit List'!$A$23:$H$3172,2,FALSE)),"+","")</f>
        <v/>
      </c>
      <c r="Y49" s="51" t="str">
        <f>IF(ISTEXT(VLOOKUP(CONCATENATE($A49,"_",Y$3),'Unit List'!$A$23:$H$3172,2,FALSE)),"X",$X49)</f>
        <v/>
      </c>
      <c r="Z49" s="51" t="str">
        <f>IF(ISTEXT(VLOOKUP(CONCATENATE($A49,"_",Z$3),'Unit List'!$A$23:$H$3172,2,FALSE)),"X",$X49)</f>
        <v/>
      </c>
      <c r="AA49" s="51" t="str">
        <f>IF(ISTEXT(VLOOKUP(CONCATENATE($A49,"_",AA$3),'Unit List'!$A$23:$H$3172,2,FALSE)),"X",$X49)</f>
        <v/>
      </c>
      <c r="AB49" s="51" t="str">
        <f>IF(ISTEXT(VLOOKUP(CONCATENATE($A49,"_",AB$3),'Unit List'!$A$23:$H$3172,2,FALSE)),"X",$X49)</f>
        <v/>
      </c>
      <c r="AC49" s="62" t="str">
        <f>IF(ISTEXT(VLOOKUP(CONCATENATE($A49,"_",AC$3),'Unit List'!$A$23:$H$3172,2,FALSE)),"X",$X49)</f>
        <v/>
      </c>
      <c r="AD49" s="172" t="str">
        <f>IF(ISTEXT(VLOOKUP(CONCATENATE($A49,"_",AD$3),'Unit List'!$A$23:$H$3172,2,FALSE)),"+","")</f>
        <v/>
      </c>
      <c r="AE49" s="51" t="str">
        <f>IF(ISTEXT(VLOOKUP(CONCATENATE($A49,"_",AE$3),'Unit List'!$A$23:$H$3172,2,FALSE)),"X",$AD49)</f>
        <v/>
      </c>
      <c r="AF49" s="51" t="str">
        <f>IF(ISTEXT(VLOOKUP(CONCATENATE($A49,"_",AF$3),'Unit List'!$A$23:$H$3172,2,FALSE)),"X",$AD49)</f>
        <v/>
      </c>
      <c r="AG49" s="172" t="str">
        <f>IF(ISTEXT(VLOOKUP(CONCATENATE($A49,"_",AG$3),'Unit List'!$A$23:$H$3172,2,FALSE)),"+","")</f>
        <v/>
      </c>
      <c r="AH49" s="51" t="str">
        <f>IF(ISTEXT(VLOOKUP(CONCATENATE($A49,"_",AH$3),'Unit List'!$A$23:$H$3172,2,FALSE)),"X",$AG49)</f>
        <v/>
      </c>
      <c r="AI49" s="51" t="str">
        <f>IF(ISTEXT(VLOOKUP(CONCATENATE($A49,"_",AI$3),'Unit List'!$A$23:$H$3172,2,FALSE)),"X",$AG49)</f>
        <v/>
      </c>
      <c r="AJ49" s="53" t="str">
        <f>IF(ISTEXT(VLOOKUP(CONCATENATE($A49,"_",AJ$3),'Unit List'!$A$23:$H$3172,2,FALSE)),"X",$AG49)</f>
        <v/>
      </c>
      <c r="AK49" s="172" t="str">
        <f>IF(ISTEXT(VLOOKUP(CONCATENATE($A49,"_",AK$3),'Unit List'!$A$23:$H$3172,2,FALSE)),"+","")</f>
        <v/>
      </c>
      <c r="AL49" s="52" t="str">
        <f>IF(ISTEXT(VLOOKUP(CONCATENATE($A49,"_",AL$3),'Unit List'!$A$23:$H$3172,2,FALSE)),"X",$AK49)</f>
        <v/>
      </c>
      <c r="AM49" s="53" t="str">
        <f>IF(ISTEXT(VLOOKUP(CONCATENATE($A49,"_",AM$3),'Unit List'!$A$23:$H$3172,2,FALSE)),"X",$AK49)</f>
        <v/>
      </c>
      <c r="AN49" s="125" t="str">
        <f>IF(ISTEXT(VLOOKUP(CONCATENATE($A49,"_",AN$3),'Unit List'!$A$23:$H$3172,2,FALSE)),"+","")</f>
        <v/>
      </c>
      <c r="AO49" s="53" t="str">
        <f>IF(ISTEXT(VLOOKUP(CONCATENATE($A49,"_",AO$3),'Unit List'!$A$23:$H$3172,2,FALSE)),"X",$AN49)</f>
        <v/>
      </c>
      <c r="AP49" s="172" t="str">
        <f>IF(ISTEXT(VLOOKUP(CONCATENATE($A49,"_",AP$3),'Unit List'!$A$23:$H$3172,2,FALSE)),"+","")</f>
        <v/>
      </c>
      <c r="AQ49" s="51" t="str">
        <f>IF(ISTEXT(VLOOKUP(CONCATENATE($A49,"_",AQ$3),'Unit List'!$A$23:$H$3172,2,FALSE)),"X",$AP49)</f>
        <v/>
      </c>
      <c r="AR49" s="51" t="str">
        <f>IF(ISTEXT(VLOOKUP(CONCATENATE($A49,"_",AR$3),'Unit List'!$A$23:$H$3172,2,FALSE)),"X",$AP49)</f>
        <v/>
      </c>
      <c r="AS49" s="51" t="str">
        <f>IF(ISTEXT(VLOOKUP(CONCATENATE($A49,"_",AS$3),'Unit List'!$A$23:$H$3172,2,FALSE)),"X",$AP49)</f>
        <v/>
      </c>
      <c r="AT49" s="53" t="str">
        <f>IF(ISTEXT(VLOOKUP(CONCATENATE($A49,"_",AT$3),'Unit List'!$A$23:$H$3172,2,FALSE)),"X",$AP49)</f>
        <v/>
      </c>
      <c r="AU49" s="124" t="str">
        <f>IF(ISTEXT(VLOOKUP(CONCATENATE($A49,"_",AU$3),'Unit List'!$A$23:$H$3172,2,FALSE)),"+","")</f>
        <v/>
      </c>
      <c r="AV49" s="51" t="str">
        <f>IF(ISTEXT(VLOOKUP(CONCATENATE($A49,"_",AV$3),'Unit List'!$A$23:$H$3172,2,FALSE)),"X",$AU49)</f>
        <v/>
      </c>
      <c r="AW49" s="53" t="str">
        <f>IF(ISTEXT(VLOOKUP(CONCATENATE($A49,"_",AW$3),'Unit List'!$A$23:$H$3172,2,FALSE)),"X",$AU49)</f>
        <v/>
      </c>
      <c r="AX49" s="172" t="str">
        <f>IF(ISTEXT(VLOOKUP(CONCATENATE($A49,"_",AX$3),'Unit List'!$A$23:$H$3172,2,FALSE)),"+","")</f>
        <v/>
      </c>
      <c r="AY49" s="51" t="str">
        <f>IF(ISTEXT(VLOOKUP(CONCATENATE($A49,"_",AY$3),'Unit List'!$A$23:$H$3172,2,FALSE)),"X",$AX49)</f>
        <v/>
      </c>
      <c r="AZ49" s="53" t="str">
        <f>IF(ISTEXT(VLOOKUP(CONCATENATE($A49,"_",AZ$3),'Unit List'!$A$23:$H$3172,2,FALSE)),"X",$AX49)</f>
        <v/>
      </c>
      <c r="BA49" s="182" t="str">
        <f>IF(ISTEXT(VLOOKUP(CONCATENATE($A49,"_",BA$3),'Unit List'!$A$23:$H$3172,2,FALSE)),"+","")</f>
        <v/>
      </c>
      <c r="BB49" s="51" t="str">
        <f>IF(ISTEXT(VLOOKUP(CONCATENATE($A49,"_",BB$3),'Unit List'!$A$23:$H$3172,2,FALSE)),"X",$BA49)</f>
        <v/>
      </c>
      <c r="BC49" s="51" t="str">
        <f>IF(ISTEXT(VLOOKUP(CONCATENATE($A49,"_",BC$3),'Unit List'!$A$23:$H$3172,2,FALSE)),"X",$BA49)</f>
        <v/>
      </c>
      <c r="BD49" s="53" t="str">
        <f>IF(ISTEXT(VLOOKUP(CONCATENATE($A49,"_",BD$3),'Unit List'!$A$23:$H$3172,2,FALSE)),"X",$BA49)</f>
        <v/>
      </c>
      <c r="BE49" s="125" t="str">
        <f>IF(ISTEXT(VLOOKUP(CONCATENATE($A49,"_",BE$3),'Unit List'!$A$23:$H$3172,2,FALSE)),"+","")</f>
        <v/>
      </c>
      <c r="BF49" s="62" t="str">
        <f>IF(ISTEXT(VLOOKUP(CONCATENATE($A49,"_",BF$3),'Unit List'!$A$23:$H$3172,2,FALSE)),"X",$BE49)</f>
        <v/>
      </c>
      <c r="BG49" s="64"/>
      <c r="BH49" s="65" t="s">
        <v>0</v>
      </c>
      <c r="BI49" s="225"/>
      <c r="BJ49" s="226"/>
      <c r="BK49" s="226"/>
      <c r="BL49" s="226"/>
      <c r="BM49" s="227"/>
      <c r="BN49" s="54"/>
      <c r="BO49" s="54"/>
      <c r="BP49" s="54"/>
      <c r="BQ49" s="54"/>
      <c r="BR49" s="54"/>
      <c r="BS49" s="54"/>
      <c r="DZ49" s="55"/>
      <c r="EA49" s="55"/>
    </row>
    <row r="50" spans="1:131" ht="12.75" customHeight="1" x14ac:dyDescent="0.2">
      <c r="A50" s="56" t="s">
        <v>17</v>
      </c>
      <c r="B50" s="181" t="str">
        <f>IF(ISTEXT(VLOOKUP(CONCATENATE($A50,"_",B$3),'Unit List'!$A$23:$H$3172,2,FALSE)),"+","")</f>
        <v/>
      </c>
      <c r="C50" s="82" t="str">
        <f>IF(ISTEXT(VLOOKUP(CONCATENATE($A50,"_",C$3),'Unit List'!$A$23:$H$3172,2,FALSE)),"X",$B50)</f>
        <v>X</v>
      </c>
      <c r="D50" s="67" t="str">
        <f>IF(ISTEXT(VLOOKUP(CONCATENATE($A50,"_",D$3),'Unit List'!$A$23:$H$3172,2,FALSE)),"X",$B50)</f>
        <v>X</v>
      </c>
      <c r="E50" s="51" t="str">
        <f>IF(ISTEXT(VLOOKUP(CONCATENATE($A50,"_",E$3),'Unit List'!$A$23:$H$3172,2,FALSE)),"X",$B50)</f>
        <v>X</v>
      </c>
      <c r="F50" s="51" t="str">
        <f>IF(ISTEXT(VLOOKUP(CONCATENATE($A50,"_",F$3),'Unit List'!$A$23:$H$3172,2,FALSE)),"X",$B50)</f>
        <v>X</v>
      </c>
      <c r="G50" s="51" t="str">
        <f>IF(ISTEXT(VLOOKUP(CONCATENATE($A50,"_",G$3),'Unit List'!$A$23:$H$3172,2,FALSE)),"X",$B50)</f>
        <v>X</v>
      </c>
      <c r="H50" s="51" t="str">
        <f>IF(ISTEXT(VLOOKUP(CONCATENATE($A50,"_",H$3),'Unit List'!$A$23:$H$3172,2,FALSE)),"X",$B50)</f>
        <v>X</v>
      </c>
      <c r="I50" s="70" t="str">
        <f>IF(ISTEXT(VLOOKUP(CONCATENATE($A50,"_",I$3),'Unit List'!$A$23:$H$3172,2,FALSE)),"X",$B50)</f>
        <v>X</v>
      </c>
      <c r="J50" s="172" t="str">
        <f>IF(ISTEXT(VLOOKUP(CONCATENATE($A50,"_",J$3),'Unit List'!$A$23:$H$3172,2,FALSE)),"+","")</f>
        <v/>
      </c>
      <c r="K50" s="51" t="str">
        <f>IF(ISTEXT(VLOOKUP(CONCATENATE($A50,"_",K$3),'Unit List'!$A$23:$H$3172,2,FALSE)),"X",$J50)</f>
        <v/>
      </c>
      <c r="L50" s="86" t="str">
        <f>IF(ISTEXT(VLOOKUP(CONCATENATE($A50,"_",L$3),'Unit List'!$A$23:$H$3172,2,FALSE)),"X",$J50)</f>
        <v>X</v>
      </c>
      <c r="M50" s="172" t="str">
        <f>IF(ISTEXT(VLOOKUP(CONCATENATE($A50,"_",M$3),'Unit List'!$A$23:$H$3172,2,FALSE)),"+","")</f>
        <v>+</v>
      </c>
      <c r="N50" s="67" t="str">
        <f>IF(ISTEXT(VLOOKUP(CONCATENATE($A50,"_",N$3),'Unit List'!$A$23:$H$3172,2,FALSE)),"X",$M50)</f>
        <v>X</v>
      </c>
      <c r="O50" s="70" t="str">
        <f>IF(ISTEXT(VLOOKUP(CONCATENATE($A50,"_",O$3),'Unit List'!$A$23:$H$3172,2,FALSE)),"X",$M50)</f>
        <v>X</v>
      </c>
      <c r="P50" s="172" t="str">
        <f>IF(ISTEXT(VLOOKUP(CONCATENATE($A50,"_",P$3),'Unit List'!$A$23:$H$3172,2,FALSE)),"+","")</f>
        <v/>
      </c>
      <c r="Q50" s="60" t="str">
        <f>IF(ISTEXT(VLOOKUP(CONCATENATE($A50,"_",Q$3),'Unit List'!$A$23:$H$3172,2,FALSE)),"X",$P50)</f>
        <v/>
      </c>
      <c r="R50" s="51" t="str">
        <f>IF(ISTEXT(VLOOKUP(CONCATENATE($A50,"_",R$3),'Unit List'!$A$23:$H$3172,2,FALSE)),"X",$P50)</f>
        <v/>
      </c>
      <c r="S50" s="67" t="str">
        <f>IF(ISTEXT(VLOOKUP(CONCATENATE($A50,"_",S$3),'Unit List'!$A$23:$H$3172,2,FALSE)),"X",$P50)</f>
        <v>X</v>
      </c>
      <c r="T50" s="52" t="str">
        <f>IF(ISTEXT(VLOOKUP(CONCATENATE($A50,"_",T$3),'Unit List'!$A$23:$H$3172,2,FALSE)),"X",$P50)</f>
        <v/>
      </c>
      <c r="U50" s="67" t="str">
        <f>IF(ISTEXT(VLOOKUP(CONCATENATE($A50,"_",U$3),'Unit List'!$A$23:$H$3172,2,FALSE)),"X",$P50)</f>
        <v>X</v>
      </c>
      <c r="V50" s="51" t="str">
        <f>IF(ISTEXT(VLOOKUP(CONCATENATE($A50,"_",V$3),'Unit List'!$A$23:$H$3172,2,FALSE)),"X",$P50)</f>
        <v/>
      </c>
      <c r="W50" s="53" t="str">
        <f>IF(ISTEXT(VLOOKUP(CONCATENATE($A50,"_",W$3),'Unit List'!$A$23:$H$3172,2,FALSE)),"X",$P50)</f>
        <v/>
      </c>
      <c r="X50" s="172" t="str">
        <f>IF(ISTEXT(VLOOKUP(CONCATENATE($A50,"_",X$3),'Unit List'!$A$23:$H$3172,2,FALSE)),"+","")</f>
        <v/>
      </c>
      <c r="Y50" s="51" t="str">
        <f>IF(ISTEXT(VLOOKUP(CONCATENATE($A50,"_",Y$3),'Unit List'!$A$23:$H$3172,2,FALSE)),"X",$X50)</f>
        <v/>
      </c>
      <c r="Z50" s="51" t="str">
        <f>IF(ISTEXT(VLOOKUP(CONCATENATE($A50,"_",Z$3),'Unit List'!$A$23:$H$3172,2,FALSE)),"X",$X50)</f>
        <v/>
      </c>
      <c r="AA50" s="51" t="str">
        <f>IF(ISTEXT(VLOOKUP(CONCATENATE($A50,"_",AA$3),'Unit List'!$A$23:$H$3172,2,FALSE)),"X",$X50)</f>
        <v/>
      </c>
      <c r="AB50" s="51" t="str">
        <f>IF(ISTEXT(VLOOKUP(CONCATENATE($A50,"_",AB$3),'Unit List'!$A$23:$H$3172,2,FALSE)),"X",$X50)</f>
        <v/>
      </c>
      <c r="AC50" s="62" t="str">
        <f>IF(ISTEXT(VLOOKUP(CONCATENATE($A50,"_",AC$3),'Unit List'!$A$23:$H$3172,2,FALSE)),"X",$X50)</f>
        <v/>
      </c>
      <c r="AD50" s="172" t="str">
        <f>IF(ISTEXT(VLOOKUP(CONCATENATE($A50,"_",AD$3),'Unit List'!$A$23:$H$3172,2,FALSE)),"+","")</f>
        <v>+</v>
      </c>
      <c r="AE50" s="51" t="str">
        <f>IF(ISTEXT(VLOOKUP(CONCATENATE($A50,"_",AE$3),'Unit List'!$A$23:$H$3172,2,FALSE)),"X",$AD50)</f>
        <v>+</v>
      </c>
      <c r="AF50" s="51" t="str">
        <f>IF(ISTEXT(VLOOKUP(CONCATENATE($A50,"_",AF$3),'Unit List'!$A$23:$H$3172,2,FALSE)),"X",$AD50)</f>
        <v>+</v>
      </c>
      <c r="AG50" s="172" t="str">
        <f>IF(ISTEXT(VLOOKUP(CONCATENATE($A50,"_",AG$3),'Unit List'!$A$23:$H$3172,2,FALSE)),"+","")</f>
        <v/>
      </c>
      <c r="AH50" s="51" t="str">
        <f>IF(ISTEXT(VLOOKUP(CONCATENATE($A50,"_",AH$3),'Unit List'!$A$23:$H$3172,2,FALSE)),"X",$AG50)</f>
        <v/>
      </c>
      <c r="AI50" s="51" t="str">
        <f>IF(ISTEXT(VLOOKUP(CONCATENATE($A50,"_",AI$3),'Unit List'!$A$23:$H$3172,2,FALSE)),"X",$AG50)</f>
        <v/>
      </c>
      <c r="AJ50" s="53" t="str">
        <f>IF(ISTEXT(VLOOKUP(CONCATENATE($A50,"_",AJ$3),'Unit List'!$A$23:$H$3172,2,FALSE)),"X",$AG50)</f>
        <v>X</v>
      </c>
      <c r="AK50" s="172" t="str">
        <f>IF(ISTEXT(VLOOKUP(CONCATENATE($A50,"_",AK$3),'Unit List'!$A$23:$H$3172,2,FALSE)),"+","")</f>
        <v/>
      </c>
      <c r="AL50" s="87" t="str">
        <f>IF(ISTEXT(VLOOKUP(CONCATENATE($A50,"_",AL$3),'Unit List'!$A$23:$H$3172,2,FALSE)),"X",$AK50)</f>
        <v>X</v>
      </c>
      <c r="AM50" s="53" t="str">
        <f>IF(ISTEXT(VLOOKUP(CONCATENATE($A50,"_",AM$3),'Unit List'!$A$23:$H$3172,2,FALSE)),"X",$AK50)</f>
        <v/>
      </c>
      <c r="AN50" s="125" t="str">
        <f>IF(ISTEXT(VLOOKUP(CONCATENATE($A50,"_",AN$3),'Unit List'!$A$23:$H$3172,2,FALSE)),"+","")</f>
        <v>+</v>
      </c>
      <c r="AO50" s="61" t="str">
        <f>IF(ISTEXT(VLOOKUP(CONCATENATE($A50,"_",AO$3),'Unit List'!$A$23:$H$3172,2,FALSE)),"X",$AN50)</f>
        <v>+</v>
      </c>
      <c r="AP50" s="172" t="str">
        <f>IF(ISTEXT(VLOOKUP(CONCATENATE($A50,"_",AP$3),'Unit List'!$A$23:$H$3172,2,FALSE)),"+","")</f>
        <v>+</v>
      </c>
      <c r="AQ50" s="51" t="str">
        <f>IF(ISTEXT(VLOOKUP(CONCATENATE($A50,"_",AQ$3),'Unit List'!$A$23:$H$3172,2,FALSE)),"X",$AP50)</f>
        <v>+</v>
      </c>
      <c r="AR50" s="67" t="str">
        <f>IF(ISTEXT(VLOOKUP(CONCATENATE($A50,"_",AR$3),'Unit List'!$A$23:$H$3172,2,FALSE)),"X",$AP50)</f>
        <v>X</v>
      </c>
      <c r="AS50" s="51" t="str">
        <f>IF(ISTEXT(VLOOKUP(CONCATENATE($A50,"_",AS$3),'Unit List'!$A$23:$H$3172,2,FALSE)),"X",$AP50)</f>
        <v>+</v>
      </c>
      <c r="AT50" s="53" t="str">
        <f>IF(ISTEXT(VLOOKUP(CONCATENATE($A50,"_",AT$3),'Unit List'!$A$23:$H$3172,2,FALSE)),"X",$AP50)</f>
        <v>+</v>
      </c>
      <c r="AU50" s="124" t="str">
        <f>IF(ISTEXT(VLOOKUP(CONCATENATE($A50,"_",AU$3),'Unit List'!$A$23:$H$3172,2,FALSE)),"+","")</f>
        <v>+</v>
      </c>
      <c r="AV50" s="51" t="str">
        <f>IF(ISTEXT(VLOOKUP(CONCATENATE($A50,"_",AV$3),'Unit List'!$A$23:$H$3172,2,FALSE)),"X",$AU50)</f>
        <v>+</v>
      </c>
      <c r="AW50" s="53" t="str">
        <f>IF(ISTEXT(VLOOKUP(CONCATENATE($A50,"_",AW$3),'Unit List'!$A$23:$H$3172,2,FALSE)),"X",$AU50)</f>
        <v>+</v>
      </c>
      <c r="AX50" s="172" t="str">
        <f>IF(ISTEXT(VLOOKUP(CONCATENATE($A50,"_",AX$3),'Unit List'!$A$23:$H$3172,2,FALSE)),"+","")</f>
        <v>+</v>
      </c>
      <c r="AY50" s="51" t="str">
        <f>IF(ISTEXT(VLOOKUP(CONCATENATE($A50,"_",AY$3),'Unit List'!$A$23:$H$3172,2,FALSE)),"X",$AX50)</f>
        <v>+</v>
      </c>
      <c r="AZ50" s="53" t="str">
        <f>IF(ISTEXT(VLOOKUP(CONCATENATE($A50,"_",AZ$3),'Unit List'!$A$23:$H$3172,2,FALSE)),"X",$AX50)</f>
        <v>+</v>
      </c>
      <c r="BA50" s="182" t="str">
        <f>IF(ISTEXT(VLOOKUP(CONCATENATE($A50,"_",BA$3),'Unit List'!$A$23:$H$3172,2,FALSE)),"+","")</f>
        <v/>
      </c>
      <c r="BB50" s="51" t="str">
        <f>IF(ISTEXT(VLOOKUP(CONCATENATE($A50,"_",BB$3),'Unit List'!$A$23:$H$3172,2,FALSE)),"X",$BA50)</f>
        <v/>
      </c>
      <c r="BC50" s="51" t="str">
        <f>IF(ISTEXT(VLOOKUP(CONCATENATE($A50,"_",BC$3),'Unit List'!$A$23:$H$3172,2,FALSE)),"X",$BA50)</f>
        <v/>
      </c>
      <c r="BD50" s="53" t="str">
        <f>IF(ISTEXT(VLOOKUP(CONCATENATE($A50,"_",BD$3),'Unit List'!$A$23:$H$3172,2,FALSE)),"X",$BA50)</f>
        <v/>
      </c>
      <c r="BE50" s="125" t="str">
        <f>IF(ISTEXT(VLOOKUP(CONCATENATE($A50,"_",BE$3),'Unit List'!$A$23:$H$3172,2,FALSE)),"+","")</f>
        <v>+</v>
      </c>
      <c r="BF50" s="62" t="str">
        <f>IF(ISTEXT(VLOOKUP(CONCATENATE($A50,"_",BF$3),'Unit List'!$A$23:$H$3172,2,FALSE)),"X",$BE50)</f>
        <v>+</v>
      </c>
      <c r="BG50" s="64"/>
      <c r="BH50" s="65" t="s">
        <v>0</v>
      </c>
      <c r="BI50" s="225"/>
      <c r="BJ50" s="226"/>
      <c r="BK50" s="226"/>
      <c r="BL50" s="226"/>
      <c r="BM50" s="227"/>
      <c r="BN50" s="54"/>
      <c r="BO50" s="54"/>
      <c r="BP50" s="54"/>
      <c r="BQ50" s="54"/>
      <c r="BR50" s="54"/>
      <c r="BS50" s="54"/>
      <c r="DZ50" s="55"/>
      <c r="EA50" s="55"/>
    </row>
    <row r="51" spans="1:131" ht="12.75" customHeight="1" x14ac:dyDescent="0.2">
      <c r="A51" s="56" t="s">
        <v>16</v>
      </c>
      <c r="B51" s="181" t="str">
        <f>IF(ISTEXT(VLOOKUP(CONCATENATE($A51,"_",B$3),'Unit List'!$A$23:$H$3172,2,FALSE)),"+","")</f>
        <v/>
      </c>
      <c r="C51" s="82" t="str">
        <f>IF(ISTEXT(VLOOKUP(CONCATENATE($A51,"_",C$3),'Unit List'!$A$23:$H$3172,2,FALSE)),"X",$B51)</f>
        <v>X</v>
      </c>
      <c r="D51" s="60" t="str">
        <f>IF(ISTEXT(VLOOKUP(CONCATENATE($A51,"_",D$3),'Unit List'!$A$23:$H$3172,2,FALSE)),"X",$B51)</f>
        <v/>
      </c>
      <c r="E51" s="58" t="str">
        <f>IF(ISTEXT(VLOOKUP(CONCATENATE($A51,"_",E$3),'Unit List'!$A$23:$H$3172,2,FALSE)),"X",$B51)</f>
        <v/>
      </c>
      <c r="F51" s="67" t="str">
        <f>IF(ISTEXT(VLOOKUP(CONCATENATE($A51,"_",F$3),'Unit List'!$A$23:$H$3172,2,FALSE)),"X",$B51)</f>
        <v>X</v>
      </c>
      <c r="G51" s="67" t="str">
        <f>IF(ISTEXT(VLOOKUP(CONCATENATE($A51,"_",G$3),'Unit List'!$A$23:$H$3172,2,FALSE)),"X",$B51)</f>
        <v>X</v>
      </c>
      <c r="H51" s="67" t="str">
        <f>IF(ISTEXT(VLOOKUP(CONCATENATE($A51,"_",H$3),'Unit List'!$A$23:$H$3172,2,FALSE)),"X",$B51)</f>
        <v>X</v>
      </c>
      <c r="I51" s="53" t="str">
        <f>IF(ISTEXT(VLOOKUP(CONCATENATE($A51,"_",I$3),'Unit List'!$A$23:$H$3172,2,FALSE)),"X",$B51)</f>
        <v/>
      </c>
      <c r="J51" s="172" t="str">
        <f>IF(ISTEXT(VLOOKUP(CONCATENATE($A51,"_",J$3),'Unit List'!$A$23:$H$3172,2,FALSE)),"+","")</f>
        <v>+</v>
      </c>
      <c r="K51" s="94" t="str">
        <f>IF(ISTEXT(VLOOKUP(CONCATENATE($A51,"_",K$3),'Unit List'!$A$23:$H$3172,2,FALSE)),"X",$J51)</f>
        <v>+</v>
      </c>
      <c r="L51" s="68" t="str">
        <f>IF(ISTEXT(VLOOKUP(CONCATENATE($A51,"_",L$3),'Unit List'!$A$23:$H$3172,2,FALSE)),"X",$J51)</f>
        <v>+</v>
      </c>
      <c r="M51" s="172" t="str">
        <f>IF(ISTEXT(VLOOKUP(CONCATENATE($A51,"_",M$3),'Unit List'!$A$23:$H$3172,2,FALSE)),"+","")</f>
        <v>+</v>
      </c>
      <c r="N51" s="51" t="str">
        <f>IF(ISTEXT(VLOOKUP(CONCATENATE($A51,"_",N$3),'Unit List'!$A$23:$H$3172,2,FALSE)),"X",$M51)</f>
        <v>X</v>
      </c>
      <c r="O51" s="53" t="str">
        <f>IF(ISTEXT(VLOOKUP(CONCATENATE($A51,"_",O$3),'Unit List'!$A$23:$H$3172,2,FALSE)),"X",$M51)</f>
        <v>X</v>
      </c>
      <c r="P51" s="171" t="str">
        <f>IF(ISTEXT(VLOOKUP(CONCATENATE($A51,"_",P$3),'Unit List'!$A$23:$H$3172,2,FALSE)),"+","")</f>
        <v>+</v>
      </c>
      <c r="Q51" s="51" t="str">
        <f>IF(ISTEXT(VLOOKUP(CONCATENATE($A51,"_",Q$3),'Unit List'!$A$23:$H$3172,2,FALSE)),"X",$P51)</f>
        <v>+</v>
      </c>
      <c r="R51" s="51" t="str">
        <f>IF(ISTEXT(VLOOKUP(CONCATENATE($A51,"_",R$3),'Unit List'!$A$23:$H$3172,2,FALSE)),"X",$P51)</f>
        <v>+</v>
      </c>
      <c r="S51" s="67" t="str">
        <f>IF(ISTEXT(VLOOKUP(CONCATENATE($A51,"_",S$3),'Unit List'!$A$23:$H$3172,2,FALSE)),"X",$P51)</f>
        <v>X</v>
      </c>
      <c r="T51" s="52" t="str">
        <f>IF(ISTEXT(VLOOKUP(CONCATENATE($A51,"_",T$3),'Unit List'!$A$23:$H$3172,2,FALSE)),"X",$P51)</f>
        <v>+</v>
      </c>
      <c r="U51" s="89" t="s">
        <v>3</v>
      </c>
      <c r="V51" s="67" t="str">
        <f>IF(ISTEXT(VLOOKUP(CONCATENATE($A51,"_",V$3),'Unit List'!$A$23:$H$3172,2,FALSE)),"X",$P51)</f>
        <v>X</v>
      </c>
      <c r="W51" s="53" t="str">
        <f>IF(ISTEXT(VLOOKUP(CONCATENATE($A51,"_",W$3),'Unit List'!$A$23:$H$3172,2,FALSE)),"X",$P51)</f>
        <v>+</v>
      </c>
      <c r="X51" s="171" t="str">
        <f>IF(ISTEXT(VLOOKUP(CONCATENATE($A51,"_",X$3),'Unit List'!$A$23:$H$3172,2,FALSE)),"+","")</f>
        <v>+</v>
      </c>
      <c r="Y51" s="51" t="str">
        <f>IF(ISTEXT(VLOOKUP(CONCATENATE($A51,"_",Y$3),'Unit List'!$A$23:$H$3172,2,FALSE)),"X",$X51)</f>
        <v>X</v>
      </c>
      <c r="Z51" s="51" t="str">
        <f>IF(ISTEXT(VLOOKUP(CONCATENATE($A51,"_",Z$3),'Unit List'!$A$23:$H$3172,2,FALSE)),"X",$X51)</f>
        <v>+</v>
      </c>
      <c r="AA51" s="67" t="str">
        <f>IF(ISTEXT(VLOOKUP(CONCATENATE($A51,"_",AA$3),'Unit List'!$A$23:$H$3172,2,FALSE)),"X",$X51)</f>
        <v>X</v>
      </c>
      <c r="AB51" s="67" t="str">
        <f>IF(ISTEXT(VLOOKUP(CONCATENATE($A51,"_",AB$3),'Unit List'!$A$23:$H$3172,2,FALSE)),"X",$X51)</f>
        <v>X</v>
      </c>
      <c r="AC51" s="86" t="str">
        <f>IF(ISTEXT(VLOOKUP(CONCATENATE($A51,"_",AC$3),'Unit List'!$A$23:$H$3172,2,FALSE)),"X",$X51)</f>
        <v>X</v>
      </c>
      <c r="AD51" s="171" t="str">
        <f>IF(ISTEXT(VLOOKUP(CONCATENATE($A51,"_",AD$3),'Unit List'!$A$23:$H$3172,2,FALSE)),"+","")</f>
        <v>+</v>
      </c>
      <c r="AE51" s="51" t="str">
        <f>IF(ISTEXT(VLOOKUP(CONCATENATE($A51,"_",AE$3),'Unit List'!$A$23:$H$3172,2,FALSE)),"X",$AD51)</f>
        <v>+</v>
      </c>
      <c r="AF51" s="51" t="str">
        <f>IF(ISTEXT(VLOOKUP(CONCATENATE($A51,"_",AF$3),'Unit List'!$A$23:$H$3172,2,FALSE)),"X",$AD51)</f>
        <v>+</v>
      </c>
      <c r="AG51" s="171" t="str">
        <f>IF(ISTEXT(VLOOKUP(CONCATENATE($A51,"_",AG$3),'Unit List'!$A$23:$H$3172,2,FALSE)),"+","")</f>
        <v>+</v>
      </c>
      <c r="AH51" s="67" t="str">
        <f>IF(ISTEXT(VLOOKUP(CONCATENATE($A51,"_",AH$3),'Unit List'!$A$23:$H$3172,2,FALSE)),"X",$AG51)</f>
        <v>X</v>
      </c>
      <c r="AI51" s="67" t="str">
        <f>IF(ISTEXT(VLOOKUP(CONCATENATE($A51,"_",AI$3),'Unit List'!$A$23:$H$3172,2,FALSE)),"X",$AG51)</f>
        <v>X</v>
      </c>
      <c r="AJ51" s="70" t="str">
        <f>IF(ISTEXT(VLOOKUP(CONCATENATE($A51,"_",AJ$3),'Unit List'!$A$23:$H$3172,2,FALSE)),"X",$AG51)</f>
        <v>+</v>
      </c>
      <c r="AK51" s="171" t="str">
        <f>IF(ISTEXT(VLOOKUP(CONCATENATE($A51,"_",AK$3),'Unit List'!$A$23:$H$3172,2,FALSE)),"+","")</f>
        <v>+</v>
      </c>
      <c r="AL51" s="52" t="str">
        <f>IF(ISTEXT(VLOOKUP(CONCATENATE($A51,"_",AL$3),'Unit List'!$A$23:$H$3172,2,FALSE)),"X",$AK51)</f>
        <v>X</v>
      </c>
      <c r="AM51" s="70" t="str">
        <f>IF(ISTEXT(VLOOKUP(CONCATENATE($A51,"_",AM$3),'Unit List'!$A$23:$H$3172,2,FALSE)),"X",$AK51)</f>
        <v>X</v>
      </c>
      <c r="AN51" s="125" t="str">
        <f>IF(ISTEXT(VLOOKUP(CONCATENATE($A51,"_",AN$3),'Unit List'!$A$23:$H$3172,2,FALSE)),"+","")</f>
        <v>+</v>
      </c>
      <c r="AO51" s="70" t="str">
        <f>IF(ISTEXT(VLOOKUP(CONCATENATE($A51,"_",AO$3),'Unit List'!$A$23:$H$3172,2,FALSE)),"X",$AN51)</f>
        <v>X</v>
      </c>
      <c r="AP51" s="171" t="str">
        <f>IF(ISTEXT(VLOOKUP(CONCATENATE($A51,"_",AP$3),'Unit List'!$A$23:$H$3172,2,FALSE)),"+","")</f>
        <v>+</v>
      </c>
      <c r="AQ51" s="67" t="str">
        <f>IF(ISTEXT(VLOOKUP(CONCATENATE($A51,"_",AQ$3),'Unit List'!$A$23:$H$3172,2,FALSE)),"X",$AP51)</f>
        <v>X</v>
      </c>
      <c r="AR51" s="67" t="str">
        <f>IF(ISTEXT(VLOOKUP(CONCATENATE($A51,"_",AR$3),'Unit List'!$A$23:$H$3172,2,FALSE)),"X",$AP51)</f>
        <v>X</v>
      </c>
      <c r="AS51" s="67" t="str">
        <f>IF(ISTEXT(VLOOKUP(CONCATENATE($A51,"_",AS$3),'Unit List'!$A$23:$H$3172,2,FALSE)),"X",$AP51)</f>
        <v>X</v>
      </c>
      <c r="AT51" s="70" t="str">
        <f>IF(ISTEXT(VLOOKUP(CONCATENATE($A51,"_",AT$3),'Unit List'!$A$23:$H$3172,2,FALSE)),"X",$AP51)</f>
        <v>X</v>
      </c>
      <c r="AU51" s="124" t="str">
        <f>IF(ISTEXT(VLOOKUP(CONCATENATE($A51,"_",AU$3),'Unit List'!$A$23:$H$3172,2,FALSE)),"+","")</f>
        <v>+</v>
      </c>
      <c r="AV51" s="90" t="s">
        <v>0</v>
      </c>
      <c r="AW51" s="53" t="str">
        <f>IF(ISTEXT(VLOOKUP(CONCATENATE($A51,"_",AW$3),'Unit List'!$A$23:$H$3172,2,FALSE)),"X",$AU51)</f>
        <v>+</v>
      </c>
      <c r="AX51" s="172" t="str">
        <f>IF(ISTEXT(VLOOKUP(CONCATENATE($A51,"_",AX$3),'Unit List'!$A$23:$H$3172,2,FALSE)),"+","")</f>
        <v/>
      </c>
      <c r="AY51" s="89" t="s">
        <v>0</v>
      </c>
      <c r="AZ51" s="53" t="str">
        <f>IF(ISTEXT(VLOOKUP(CONCATENATE($A51,"_",AZ$3),'Unit List'!$A$23:$H$3172,2,FALSE)),"X",$AX51)</f>
        <v/>
      </c>
      <c r="BA51" s="171" t="str">
        <f>IF(ISTEXT(VLOOKUP(CONCATENATE($A51,"_",BA$3),'Unit List'!$A$23:$H$3172,2,FALSE)),"+","")</f>
        <v>+</v>
      </c>
      <c r="BB51" s="67" t="str">
        <f>IF(ISTEXT(VLOOKUP(CONCATENATE($A51,"_",BB$3),'Unit List'!$A$23:$H$3172,2,FALSE)),"X",$BA51)</f>
        <v>X</v>
      </c>
      <c r="BC51" s="67" t="str">
        <f>IF(ISTEXT(VLOOKUP(CONCATENATE($A51,"_",BC$3),'Unit List'!$A$23:$H$3172,2,FALSE)),"X",$BA51)</f>
        <v>X</v>
      </c>
      <c r="BD51" s="70" t="str">
        <f>IF(ISTEXT(VLOOKUP(CONCATENATE($A51,"_",BD$3),'Unit List'!$A$23:$H$3172,2,FALSE)),"X",$BA51)</f>
        <v>X</v>
      </c>
      <c r="BE51" s="125" t="str">
        <f>IF(ISTEXT(VLOOKUP(CONCATENATE($A51,"_",BE$3),'Unit List'!$A$23:$H$3172,2,FALSE)),"+","")</f>
        <v>+</v>
      </c>
      <c r="BF51" s="86" t="str">
        <f>IF(ISTEXT(VLOOKUP(CONCATENATE($A51,"_",BF$3),'Unit List'!$A$23:$H$3172,2,FALSE)),"X",$BE51)</f>
        <v>X</v>
      </c>
      <c r="BG51" s="75"/>
      <c r="BH51" s="76" t="s">
        <v>0</v>
      </c>
      <c r="BI51" s="225" t="s">
        <v>12</v>
      </c>
      <c r="BJ51" s="228"/>
      <c r="BK51" s="228"/>
      <c r="BL51" s="228"/>
      <c r="BM51" s="229"/>
      <c r="BN51" s="54"/>
      <c r="BO51" s="54"/>
      <c r="BP51" s="54"/>
      <c r="BQ51" s="54"/>
      <c r="BR51" s="54"/>
      <c r="BS51" s="54"/>
      <c r="DZ51" s="55"/>
      <c r="EA51" s="55"/>
    </row>
    <row r="52" spans="1:131" ht="12.75" customHeight="1" x14ac:dyDescent="0.2">
      <c r="A52" s="56" t="s">
        <v>15</v>
      </c>
      <c r="B52" s="181" t="str">
        <f>IF(ISTEXT(VLOOKUP(CONCATENATE($A52,"_",B$3),'Unit List'!$A$23:$H$3172,2,FALSE)),"+","")</f>
        <v/>
      </c>
      <c r="C52" s="82" t="str">
        <f>IF(ISTEXT(VLOOKUP(CONCATENATE($A52,"_",C$3),'Unit List'!$A$23:$H$3172,2,FALSE)),"X",$B52)</f>
        <v>X</v>
      </c>
      <c r="D52" s="67" t="str">
        <f>IF(ISTEXT(VLOOKUP(CONCATENATE($A52,"_",D$3),'Unit List'!$A$23:$H$3172,2,FALSE)),"X",$B52)</f>
        <v>X</v>
      </c>
      <c r="E52" s="51" t="str">
        <f>IF(ISTEXT(VLOOKUP(CONCATENATE($A52,"_",E$3),'Unit List'!$A$23:$H$3172,2,FALSE)),"X",$B52)</f>
        <v>X</v>
      </c>
      <c r="F52" s="67" t="str">
        <f>IF(ISTEXT(VLOOKUP(CONCATENATE($A52,"_",F$3),'Unit List'!$A$23:$H$3172,2,FALSE)),"X",$B52)</f>
        <v>X</v>
      </c>
      <c r="G52" s="67" t="str">
        <f>IF(ISTEXT(VLOOKUP(CONCATENATE($A52,"_",G$3),'Unit List'!$A$23:$H$3172,2,FALSE)),"X",$B52)</f>
        <v>X</v>
      </c>
      <c r="H52" s="89" t="s">
        <v>3</v>
      </c>
      <c r="I52" s="70" t="str">
        <f>IF(ISTEXT(VLOOKUP(CONCATENATE($A52,"_",I$3),'Unit List'!$A$23:$H$3172,2,FALSE)),"X",$B52)</f>
        <v>X</v>
      </c>
      <c r="J52" s="172" t="str">
        <f>IF(ISTEXT(VLOOKUP(CONCATENATE($A52,"_",J$3),'Unit List'!$A$23:$H$3172,2,FALSE)),"+","")</f>
        <v/>
      </c>
      <c r="K52" s="51" t="str">
        <f>IF(ISTEXT(VLOOKUP(CONCATENATE($A52,"_",K$3),'Unit List'!$A$23:$H$3172,2,FALSE)),"X",$J52)</f>
        <v/>
      </c>
      <c r="L52" s="86" t="str">
        <f>IF(ISTEXT(VLOOKUP(CONCATENATE($A52,"_",L$3),'Unit List'!$A$23:$H$3172,2,FALSE)),"X",$J52)</f>
        <v>X</v>
      </c>
      <c r="M52" s="172" t="str">
        <f>IF(ISTEXT(VLOOKUP(CONCATENATE($A52,"_",M$3),'Unit List'!$A$23:$H$3172,2,FALSE)),"+","")</f>
        <v>+</v>
      </c>
      <c r="N52" s="67" t="str">
        <f>IF(ISTEXT(VLOOKUP(CONCATENATE($A52,"_",N$3),'Unit List'!$A$23:$H$3172,2,FALSE)),"X",$M52)</f>
        <v>X</v>
      </c>
      <c r="O52" s="70" t="str">
        <f>IF(ISTEXT(VLOOKUP(CONCATENATE($A52,"_",O$3),'Unit List'!$A$23:$H$3172,2,FALSE)),"X",$M52)</f>
        <v>X</v>
      </c>
      <c r="P52" s="172" t="str">
        <f>IF(ISTEXT(VLOOKUP(CONCATENATE($A52,"_",P$3),'Unit List'!$A$23:$H$3172,2,FALSE)),"+","")</f>
        <v/>
      </c>
      <c r="Q52" s="51" t="str">
        <f>IF(ISTEXT(VLOOKUP(CONCATENATE($A52,"_",Q$3),'Unit List'!$A$23:$H$3172,2,FALSE)),"X",$P52)</f>
        <v/>
      </c>
      <c r="R52" s="51" t="str">
        <f>IF(ISTEXT(VLOOKUP(CONCATENATE($A52,"_",R$3),'Unit List'!$A$23:$H$3172,2,FALSE)),"X",$P52)</f>
        <v/>
      </c>
      <c r="S52" s="51" t="str">
        <f>IF(ISTEXT(VLOOKUP(CONCATENATE($A52,"_",S$3),'Unit List'!$A$23:$H$3172,2,FALSE)),"X",$P52)</f>
        <v/>
      </c>
      <c r="T52" s="52" t="str">
        <f>IF(ISTEXT(VLOOKUP(CONCATENATE($A52,"_",T$3),'Unit List'!$A$23:$H$3172,2,FALSE)),"X",$P52)</f>
        <v/>
      </c>
      <c r="U52" s="67" t="str">
        <f>IF(ISTEXT(VLOOKUP(CONCATENATE($A52,"_",U$3),'Unit List'!$A$23:$H$3172,2,FALSE)),"X",$P52)</f>
        <v>X</v>
      </c>
      <c r="V52" s="51" t="str">
        <f>IF(ISTEXT(VLOOKUP(CONCATENATE($A52,"_",V$3),'Unit List'!$A$23:$H$3172,2,FALSE)),"X",$P52)</f>
        <v>X</v>
      </c>
      <c r="W52" s="53" t="str">
        <f>IF(ISTEXT(VLOOKUP(CONCATENATE($A52,"_",W$3),'Unit List'!$A$23:$H$3172,2,FALSE)),"X",$P52)</f>
        <v/>
      </c>
      <c r="X52" s="172" t="str">
        <f>IF(ISTEXT(VLOOKUP(CONCATENATE($A52,"_",X$3),'Unit List'!$A$23:$H$3172,2,FALSE)),"+","")</f>
        <v>+</v>
      </c>
      <c r="Y52" s="51" t="str">
        <f>IF(ISTEXT(VLOOKUP(CONCATENATE($A52,"_",Y$3),'Unit List'!$A$23:$H$3172,2,FALSE)),"X",$X52)</f>
        <v>+</v>
      </c>
      <c r="Z52" s="51" t="str">
        <f>IF(ISTEXT(VLOOKUP(CONCATENATE($A52,"_",Z$3),'Unit List'!$A$23:$H$3172,2,FALSE)),"X",$X52)</f>
        <v>+</v>
      </c>
      <c r="AA52" s="51" t="str">
        <f>IF(ISTEXT(VLOOKUP(CONCATENATE($A52,"_",AA$3),'Unit List'!$A$23:$H$3172,2,FALSE)),"X",$X52)</f>
        <v>+</v>
      </c>
      <c r="AB52" s="51" t="str">
        <f>IF(ISTEXT(VLOOKUP(CONCATENATE($A52,"_",AB$3),'Unit List'!$A$23:$H$3172,2,FALSE)),"X",$X52)</f>
        <v>+</v>
      </c>
      <c r="AC52" s="62" t="str">
        <f>IF(ISTEXT(VLOOKUP(CONCATENATE($A52,"_",AC$3),'Unit List'!$A$23:$H$3172,2,FALSE)),"X",$X52)</f>
        <v>+</v>
      </c>
      <c r="AD52" s="171" t="str">
        <f>IF(ISTEXT(VLOOKUP(CONCATENATE($A52,"_",AD$3),'Unit List'!$A$23:$H$3172,2,FALSE)),"+","")</f>
        <v>+</v>
      </c>
      <c r="AE52" s="51" t="str">
        <f>IF(ISTEXT(VLOOKUP(CONCATENATE($A52,"_",AE$3),'Unit List'!$A$23:$H$3172,2,FALSE)),"X",$AD52)</f>
        <v>+</v>
      </c>
      <c r="AF52" s="51" t="str">
        <f>IF(ISTEXT(VLOOKUP(CONCATENATE($A52,"_",AF$3),'Unit List'!$A$23:$H$3172,2,FALSE)),"X",$AD52)</f>
        <v>+</v>
      </c>
      <c r="AG52" s="171" t="str">
        <f>IF(ISTEXT(VLOOKUP(CONCATENATE($A52,"_",AG$3),'Unit List'!$A$23:$H$3172,2,FALSE)),"+","")</f>
        <v>+</v>
      </c>
      <c r="AH52" s="51" t="str">
        <f>IF(ISTEXT(VLOOKUP(CONCATENATE($A52,"_",AH$3),'Unit List'!$A$23:$H$3172,2,FALSE)),"X",$AG52)</f>
        <v>+</v>
      </c>
      <c r="AI52" s="51" t="str">
        <f>IF(ISTEXT(VLOOKUP(CONCATENATE($A52,"_",AI$3),'Unit List'!$A$23:$H$3172,2,FALSE)),"X",$AG52)</f>
        <v>+</v>
      </c>
      <c r="AJ52" s="53" t="str">
        <f>IF(ISTEXT(VLOOKUP(CONCATENATE($A52,"_",AJ$3),'Unit List'!$A$23:$H$3172,2,FALSE)),"X",$AG52)</f>
        <v>X</v>
      </c>
      <c r="AK52" s="172" t="str">
        <f>IF(ISTEXT(VLOOKUP(CONCATENATE($A52,"_",AK$3),'Unit List'!$A$23:$H$3172,2,FALSE)),"+","")</f>
        <v/>
      </c>
      <c r="AL52" s="87" t="str">
        <f>IF(ISTEXT(VLOOKUP(CONCATENATE($A52,"_",AL$3),'Unit List'!$A$23:$H$3172,2,FALSE)),"X",$AK52)</f>
        <v>X</v>
      </c>
      <c r="AM52" s="53" t="str">
        <f>IF(ISTEXT(VLOOKUP(CONCATENATE($A52,"_",AM$3),'Unit List'!$A$23:$H$3172,2,FALSE)),"X",$AK52)</f>
        <v/>
      </c>
      <c r="AN52" s="125" t="str">
        <f>IF(ISTEXT(VLOOKUP(CONCATENATE($A52,"_",AN$3),'Unit List'!$A$23:$H$3172,2,FALSE)),"+","")</f>
        <v>+</v>
      </c>
      <c r="AO52" s="53" t="str">
        <f>IF(ISTEXT(VLOOKUP(CONCATENATE($A52,"_",AO$3),'Unit List'!$A$23:$H$3172,2,FALSE)),"X",$AN52)</f>
        <v>+</v>
      </c>
      <c r="AP52" s="172" t="str">
        <f>IF(ISTEXT(VLOOKUP(CONCATENATE($A52,"_",AP$3),'Unit List'!$A$23:$H$3172,2,FALSE)),"+","")</f>
        <v>+</v>
      </c>
      <c r="AQ52" s="67" t="str">
        <f>IF(ISTEXT(VLOOKUP(CONCATENATE($A52,"_",AQ$3),'Unit List'!$A$23:$H$3172,2,FALSE)),"X",$AP52)</f>
        <v>X</v>
      </c>
      <c r="AR52" s="67" t="str">
        <f>IF(ISTEXT(VLOOKUP(CONCATENATE($A52,"_",AR$3),'Unit List'!$A$23:$H$3172,2,FALSE)),"X",$AP52)</f>
        <v>X</v>
      </c>
      <c r="AS52" s="51" t="str">
        <f>IF(ISTEXT(VLOOKUP(CONCATENATE($A52,"_",AS$3),'Unit List'!$A$23:$H$3172,2,FALSE)),"X",$AP52)</f>
        <v>X</v>
      </c>
      <c r="AT52" s="53" t="str">
        <f>IF(ISTEXT(VLOOKUP(CONCATENATE($A52,"_",AT$3),'Unit List'!$A$23:$H$3172,2,FALSE)),"X",$AP52)</f>
        <v>+</v>
      </c>
      <c r="AU52" s="124" t="str">
        <f>IF(ISTEXT(VLOOKUP(CONCATENATE($A52,"_",AU$3),'Unit List'!$A$23:$H$3172,2,FALSE)),"+","")</f>
        <v>+</v>
      </c>
      <c r="AV52" s="51" t="str">
        <f>IF(ISTEXT(VLOOKUP(CONCATENATE($A52,"_",AV$3),'Unit List'!$A$23:$H$3172,2,FALSE)),"X",$AU52)</f>
        <v>+</v>
      </c>
      <c r="AW52" s="53" t="str">
        <f>IF(ISTEXT(VLOOKUP(CONCATENATE($A52,"_",AW$3),'Unit List'!$A$23:$H$3172,2,FALSE)),"X",$AU52)</f>
        <v>+</v>
      </c>
      <c r="AX52" s="171" t="str">
        <f>IF(ISTEXT(VLOOKUP(CONCATENATE($A52,"_",AX$3),'Unit List'!$A$23:$H$3172,2,FALSE)),"+","")</f>
        <v>+</v>
      </c>
      <c r="AY52" s="69" t="str">
        <f>IF(ISTEXT(VLOOKUP(CONCATENATE($A52,"_",AY$3),'Unit List'!$A$23:$H$3172,2,FALSE)),"X",$AX52)</f>
        <v>X</v>
      </c>
      <c r="AZ52" s="53" t="str">
        <f>IF(ISTEXT(VLOOKUP(CONCATENATE($A52,"_",AZ$3),'Unit List'!$A$23:$H$3172,2,FALSE)),"X",$AX52)</f>
        <v>+</v>
      </c>
      <c r="BA52" s="171" t="str">
        <f>IF(ISTEXT(VLOOKUP(CONCATENATE($A52,"_",BA$3),'Unit List'!$A$23:$H$3172,2,FALSE)),"+","")</f>
        <v>+</v>
      </c>
      <c r="BB52" s="51" t="str">
        <f>IF(ISTEXT(VLOOKUP(CONCATENATE($A52,"_",BB$3),'Unit List'!$A$23:$H$3172,2,FALSE)),"X",$BA52)</f>
        <v>+</v>
      </c>
      <c r="BC52" s="69" t="str">
        <f>IF(ISTEXT(VLOOKUP(CONCATENATE($A52,"_",BC$3),'Unit List'!$A$23:$H$3172,2,FALSE)),"X",$BA52)</f>
        <v>+</v>
      </c>
      <c r="BD52" s="53" t="str">
        <f>IF(ISTEXT(VLOOKUP(CONCATENATE($A52,"_",BD$3),'Unit List'!$A$23:$H$3172,2,FALSE)),"X",$BA52)</f>
        <v>+</v>
      </c>
      <c r="BE52" s="125" t="str">
        <f>IF(ISTEXT(VLOOKUP(CONCATENATE($A52,"_",BE$3),'Unit List'!$A$23:$H$3172,2,FALSE)),"+","")</f>
        <v>+</v>
      </c>
      <c r="BF52" s="62" t="str">
        <f>IF(ISTEXT(VLOOKUP(CONCATENATE($A52,"_",BF$3),'Unit List'!$A$23:$H$3172,2,FALSE)),"X",$BE52)</f>
        <v>+</v>
      </c>
      <c r="BG52" s="64"/>
      <c r="BH52" s="65" t="s">
        <v>0</v>
      </c>
      <c r="BI52" s="225"/>
      <c r="BJ52" s="226"/>
      <c r="BK52" s="226"/>
      <c r="BL52" s="226"/>
      <c r="BM52" s="227"/>
      <c r="BN52" s="54"/>
      <c r="BO52" s="54"/>
      <c r="BP52" s="54"/>
      <c r="BQ52" s="54"/>
      <c r="BR52" s="54"/>
      <c r="BS52" s="54"/>
      <c r="DZ52" s="55"/>
      <c r="EA52" s="55"/>
    </row>
    <row r="53" spans="1:131" ht="12.75" customHeight="1" x14ac:dyDescent="0.2">
      <c r="A53" s="56" t="s">
        <v>14</v>
      </c>
      <c r="B53" s="181" t="str">
        <f>IF(ISTEXT(VLOOKUP(CONCATENATE($A53,"_",B$3),'Unit List'!$A$23:$H$3172,2,FALSE)),"+","")</f>
        <v/>
      </c>
      <c r="C53" s="57" t="str">
        <f>IF(ISTEXT(VLOOKUP(CONCATENATE($A53,"_",C$3),'Unit List'!$A$23:$H$3172,2,FALSE)),"X",$B53)</f>
        <v/>
      </c>
      <c r="D53" s="51" t="str">
        <f>IF(ISTEXT(VLOOKUP(CONCATENATE($A53,"_",D$3),'Unit List'!$A$23:$H$3172,2,FALSE)),"X",$B53)</f>
        <v/>
      </c>
      <c r="E53" s="51" t="str">
        <f>IF(ISTEXT(VLOOKUP(CONCATENATE($A53,"_",E$3),'Unit List'!$A$23:$H$3172,2,FALSE)),"X",$B53)</f>
        <v/>
      </c>
      <c r="F53" s="51" t="str">
        <f>IF(ISTEXT(VLOOKUP(CONCATENATE($A53,"_",F$3),'Unit List'!$A$23:$H$3172,2,FALSE)),"X",$B53)</f>
        <v/>
      </c>
      <c r="G53" s="51" t="str">
        <f>IF(ISTEXT(VLOOKUP(CONCATENATE($A53,"_",G$3),'Unit List'!$A$23:$H$3172,2,FALSE)),"X",$B53)</f>
        <v/>
      </c>
      <c r="H53" s="51" t="str">
        <f>IF(ISTEXT(VLOOKUP(CONCATENATE($A53,"_",H$3),'Unit List'!$A$23:$H$3172,2,FALSE)),"X",$B53)</f>
        <v/>
      </c>
      <c r="I53" s="53" t="str">
        <f>IF(ISTEXT(VLOOKUP(CONCATENATE($A53,"_",I$3),'Unit List'!$A$23:$H$3172,2,FALSE)),"X",$B53)</f>
        <v/>
      </c>
      <c r="J53" s="172" t="str">
        <f>IF(ISTEXT(VLOOKUP(CONCATENATE($A53,"_",J$3),'Unit List'!$A$23:$H$3172,2,FALSE)),"+","")</f>
        <v/>
      </c>
      <c r="K53" s="51" t="str">
        <f>IF(ISTEXT(VLOOKUP(CONCATENATE($A53,"_",K$3),'Unit List'!$A$23:$H$3172,2,FALSE)),"X",$J53)</f>
        <v/>
      </c>
      <c r="L53" s="62" t="str">
        <f>IF(ISTEXT(VLOOKUP(CONCATENATE($A53,"_",L$3),'Unit List'!$A$23:$H$3172,2,FALSE)),"X",$J53)</f>
        <v/>
      </c>
      <c r="M53" s="172" t="str">
        <f>IF(ISTEXT(VLOOKUP(CONCATENATE($A53,"_",M$3),'Unit List'!$A$23:$H$3172,2,FALSE)),"+","")</f>
        <v/>
      </c>
      <c r="N53" s="51" t="str">
        <f>IF(ISTEXT(VLOOKUP(CONCATENATE($A53,"_",N$3),'Unit List'!$A$23:$H$3172,2,FALSE)),"X",$M53)</f>
        <v/>
      </c>
      <c r="O53" s="53" t="str">
        <f>IF(ISTEXT(VLOOKUP(CONCATENATE($A53,"_",O$3),'Unit List'!$A$23:$H$3172,2,FALSE)),"X",$M53)</f>
        <v/>
      </c>
      <c r="P53" s="172" t="str">
        <f>IF(ISTEXT(VLOOKUP(CONCATENATE($A53,"_",P$3),'Unit List'!$A$23:$H$3172,2,FALSE)),"+","")</f>
        <v/>
      </c>
      <c r="Q53" s="51" t="str">
        <f>IF(ISTEXT(VLOOKUP(CONCATENATE($A53,"_",Q$3),'Unit List'!$A$23:$H$3172,2,FALSE)),"X",$P53)</f>
        <v/>
      </c>
      <c r="R53" s="51" t="str">
        <f>IF(ISTEXT(VLOOKUP(CONCATENATE($A53,"_",R$3),'Unit List'!$A$23:$H$3172,2,FALSE)),"X",$P53)</f>
        <v/>
      </c>
      <c r="S53" s="51" t="str">
        <f>IF(ISTEXT(VLOOKUP(CONCATENATE($A53,"_",S$3),'Unit List'!$A$23:$H$3172,2,FALSE)),"X",$P53)</f>
        <v/>
      </c>
      <c r="T53" s="52" t="str">
        <f>IF(ISTEXT(VLOOKUP(CONCATENATE($A53,"_",T$3),'Unit List'!$A$23:$H$3172,2,FALSE)),"X",$P53)</f>
        <v/>
      </c>
      <c r="U53" s="51" t="str">
        <f>IF(ISTEXT(VLOOKUP(CONCATENATE($A53,"_",U$3),'Unit List'!$A$23:$H$3172,2,FALSE)),"X",$P53)</f>
        <v/>
      </c>
      <c r="V53" s="51" t="str">
        <f>IF(ISTEXT(VLOOKUP(CONCATENATE($A53,"_",V$3),'Unit List'!$A$23:$H$3172,2,FALSE)),"X",$P53)</f>
        <v/>
      </c>
      <c r="W53" s="53" t="str">
        <f>IF(ISTEXT(VLOOKUP(CONCATENATE($A53,"_",W$3),'Unit List'!$A$23:$H$3172,2,FALSE)),"X",$P53)</f>
        <v/>
      </c>
      <c r="X53" s="172" t="str">
        <f>IF(ISTEXT(VLOOKUP(CONCATENATE($A53,"_",X$3),'Unit List'!$A$23:$H$3172,2,FALSE)),"+","")</f>
        <v/>
      </c>
      <c r="Y53" s="51" t="str">
        <f>IF(ISTEXT(VLOOKUP(CONCATENATE($A53,"_",Y$3),'Unit List'!$A$23:$H$3172,2,FALSE)),"X",$X53)</f>
        <v/>
      </c>
      <c r="Z53" s="51" t="str">
        <f>IF(ISTEXT(VLOOKUP(CONCATENATE($A53,"_",Z$3),'Unit List'!$A$23:$H$3172,2,FALSE)),"X",$X53)</f>
        <v/>
      </c>
      <c r="AA53" s="51" t="str">
        <f>IF(ISTEXT(VLOOKUP(CONCATENATE($A53,"_",AA$3),'Unit List'!$A$23:$H$3172,2,FALSE)),"X",$X53)</f>
        <v/>
      </c>
      <c r="AB53" s="51" t="str">
        <f>IF(ISTEXT(VLOOKUP(CONCATENATE($A53,"_",AB$3),'Unit List'!$A$23:$H$3172,2,FALSE)),"X",$X53)</f>
        <v/>
      </c>
      <c r="AC53" s="62" t="str">
        <f>IF(ISTEXT(VLOOKUP(CONCATENATE($A53,"_",AC$3),'Unit List'!$A$23:$H$3172,2,FALSE)),"X",$X53)</f>
        <v/>
      </c>
      <c r="AD53" s="172" t="str">
        <f>IF(ISTEXT(VLOOKUP(CONCATENATE($A53,"_",AD$3),'Unit List'!$A$23:$H$3172,2,FALSE)),"+","")</f>
        <v/>
      </c>
      <c r="AE53" s="51" t="str">
        <f>IF(ISTEXT(VLOOKUP(CONCATENATE($A53,"_",AE$3),'Unit List'!$A$23:$H$3172,2,FALSE)),"X",$AD53)</f>
        <v/>
      </c>
      <c r="AF53" s="51" t="str">
        <f>IF(ISTEXT(VLOOKUP(CONCATENATE($A53,"_",AF$3),'Unit List'!$A$23:$H$3172,2,FALSE)),"X",$AD53)</f>
        <v/>
      </c>
      <c r="AG53" s="172" t="str">
        <f>IF(ISTEXT(VLOOKUP(CONCATENATE($A53,"_",AG$3),'Unit List'!$A$23:$H$3172,2,FALSE)),"+","")</f>
        <v/>
      </c>
      <c r="AH53" s="51" t="str">
        <f>IF(ISTEXT(VLOOKUP(CONCATENATE($A53,"_",AH$3),'Unit List'!$A$23:$H$3172,2,FALSE)),"X",$AG53)</f>
        <v/>
      </c>
      <c r="AI53" s="51" t="str">
        <f>IF(ISTEXT(VLOOKUP(CONCATENATE($A53,"_",AI$3),'Unit List'!$A$23:$H$3172,2,FALSE)),"X",$AG53)</f>
        <v/>
      </c>
      <c r="AJ53" s="53" t="str">
        <f>IF(ISTEXT(VLOOKUP(CONCATENATE($A53,"_",AJ$3),'Unit List'!$A$23:$H$3172,2,FALSE)),"X",$AG53)</f>
        <v/>
      </c>
      <c r="AK53" s="172" t="str">
        <f>IF(ISTEXT(VLOOKUP(CONCATENATE($A53,"_",AK$3),'Unit List'!$A$23:$H$3172,2,FALSE)),"+","")</f>
        <v/>
      </c>
      <c r="AL53" s="52" t="str">
        <f>IF(ISTEXT(VLOOKUP(CONCATENATE($A53,"_",AL$3),'Unit List'!$A$23:$H$3172,2,FALSE)),"X",$AK53)</f>
        <v/>
      </c>
      <c r="AM53" s="53" t="str">
        <f>IF(ISTEXT(VLOOKUP(CONCATENATE($A53,"_",AM$3),'Unit List'!$A$23:$H$3172,2,FALSE)),"X",$AK53)</f>
        <v/>
      </c>
      <c r="AN53" s="125" t="str">
        <f>IF(ISTEXT(VLOOKUP(CONCATENATE($A53,"_",AN$3),'Unit List'!$A$23:$H$3172,2,FALSE)),"+","")</f>
        <v/>
      </c>
      <c r="AO53" s="53" t="str">
        <f>IF(ISTEXT(VLOOKUP(CONCATENATE($A53,"_",AO$3),'Unit List'!$A$23:$H$3172,2,FALSE)),"X",$AN53)</f>
        <v/>
      </c>
      <c r="AP53" s="172" t="str">
        <f>IF(ISTEXT(VLOOKUP(CONCATENATE($A53,"_",AP$3),'Unit List'!$A$23:$H$3172,2,FALSE)),"+","")</f>
        <v/>
      </c>
      <c r="AQ53" s="51" t="str">
        <f>IF(ISTEXT(VLOOKUP(CONCATENATE($A53,"_",AQ$3),'Unit List'!$A$23:$H$3172,2,FALSE)),"X",$AP53)</f>
        <v/>
      </c>
      <c r="AR53" s="51" t="str">
        <f>IF(ISTEXT(VLOOKUP(CONCATENATE($A53,"_",AR$3),'Unit List'!$A$23:$H$3172,2,FALSE)),"X",$AP53)</f>
        <v/>
      </c>
      <c r="AS53" s="89" t="s">
        <v>0</v>
      </c>
      <c r="AT53" s="53" t="str">
        <f>IF(ISTEXT(VLOOKUP(CONCATENATE($A53,"_",AT$3),'Unit List'!$A$23:$H$3172,2,FALSE)),"X",$AP53)</f>
        <v/>
      </c>
      <c r="AU53" s="124" t="str">
        <f>IF(ISTEXT(VLOOKUP(CONCATENATE($A53,"_",AU$3),'Unit List'!$A$23:$H$3172,2,FALSE)),"+","")</f>
        <v/>
      </c>
      <c r="AV53" s="51" t="str">
        <f>IF(ISTEXT(VLOOKUP(CONCATENATE($A53,"_",AV$3),'Unit List'!$A$23:$H$3172,2,FALSE)),"X",$AU53)</f>
        <v/>
      </c>
      <c r="AW53" s="53" t="str">
        <f>IF(ISTEXT(VLOOKUP(CONCATENATE($A53,"_",AW$3),'Unit List'!$A$23:$H$3172,2,FALSE)),"X",$AU53)</f>
        <v/>
      </c>
      <c r="AX53" s="172" t="str">
        <f>IF(ISTEXT(VLOOKUP(CONCATENATE($A53,"_",AX$3),'Unit List'!$A$23:$H$3172,2,FALSE)),"+","")</f>
        <v/>
      </c>
      <c r="AY53" s="51" t="str">
        <f>IF(ISTEXT(VLOOKUP(CONCATENATE($A53,"_",AY$3),'Unit List'!$A$23:$H$3172,2,FALSE)),"X",$AX53)</f>
        <v/>
      </c>
      <c r="AZ53" s="53" t="str">
        <f>IF(ISTEXT(VLOOKUP(CONCATENATE($A53,"_",AZ$3),'Unit List'!$A$23:$H$3172,2,FALSE)),"X",$AX53)</f>
        <v/>
      </c>
      <c r="BA53" s="182" t="str">
        <f>IF(ISTEXT(VLOOKUP(CONCATENATE($A53,"_",BA$3),'Unit List'!$A$23:$H$3172,2,FALSE)),"+","")</f>
        <v/>
      </c>
      <c r="BB53" s="51" t="str">
        <f>IF(ISTEXT(VLOOKUP(CONCATENATE($A53,"_",BB$3),'Unit List'!$A$23:$H$3172,2,FALSE)),"X",$BA53)</f>
        <v/>
      </c>
      <c r="BC53" s="51" t="str">
        <f>IF(ISTEXT(VLOOKUP(CONCATENATE($A53,"_",BC$3),'Unit List'!$A$23:$H$3172,2,FALSE)),"X",$BA53)</f>
        <v/>
      </c>
      <c r="BD53" s="53" t="str">
        <f>IF(ISTEXT(VLOOKUP(CONCATENATE($A53,"_",BD$3),'Unit List'!$A$23:$H$3172,2,FALSE)),"X",$BA53)</f>
        <v/>
      </c>
      <c r="BE53" s="125" t="str">
        <f>IF(ISTEXT(VLOOKUP(CONCATENATE($A53,"_",BE$3),'Unit List'!$A$23:$H$3172,2,FALSE)),"+","")</f>
        <v/>
      </c>
      <c r="BF53" s="62" t="str">
        <f>IF(ISTEXT(VLOOKUP(CONCATENATE($A53,"_",BF$3),'Unit List'!$A$23:$H$3172,2,FALSE)),"X",$BE53)</f>
        <v/>
      </c>
      <c r="BG53" s="64"/>
      <c r="BH53" s="65" t="s">
        <v>0</v>
      </c>
      <c r="BI53" s="225"/>
      <c r="BJ53" s="226"/>
      <c r="BK53" s="226"/>
      <c r="BL53" s="226"/>
      <c r="BM53" s="227"/>
      <c r="BN53" s="54"/>
      <c r="BO53" s="54"/>
      <c r="BP53" s="54"/>
      <c r="BQ53" s="54"/>
      <c r="BR53" s="54"/>
      <c r="BS53" s="54"/>
      <c r="DZ53" s="55"/>
      <c r="EA53" s="55"/>
    </row>
    <row r="54" spans="1:131" ht="12.75" customHeight="1" x14ac:dyDescent="0.2">
      <c r="A54" s="108" t="s">
        <v>13</v>
      </c>
      <c r="B54" s="181" t="str">
        <f>IF(ISTEXT(VLOOKUP(CONCATENATE($A54,"_",B$3),'Unit List'!$A$23:$H$3172,2,FALSE)),"+","")</f>
        <v/>
      </c>
      <c r="C54" s="57" t="str">
        <f>IF(ISTEXT(VLOOKUP(CONCATENATE($A54,"_",C$3),'Unit List'!$A$23:$H$3172,2,FALSE)),"X",$B54)</f>
        <v/>
      </c>
      <c r="D54" s="51" t="str">
        <f>IF(ISTEXT(VLOOKUP(CONCATENATE($A54,"_",D$3),'Unit List'!$A$23:$H$3172,2,FALSE)),"X",$B54)</f>
        <v/>
      </c>
      <c r="E54" s="51" t="str">
        <f>IF(ISTEXT(VLOOKUP(CONCATENATE($A54,"_",E$3),'Unit List'!$A$23:$H$3172,2,FALSE)),"X",$B54)</f>
        <v/>
      </c>
      <c r="F54" s="51" t="str">
        <f>IF(ISTEXT(VLOOKUP(CONCATENATE($A54,"_",F$3),'Unit List'!$A$23:$H$3172,2,FALSE)),"X",$B54)</f>
        <v/>
      </c>
      <c r="G54" s="51" t="str">
        <f>IF(ISTEXT(VLOOKUP(CONCATENATE($A54,"_",G$3),'Unit List'!$A$23:$H$3172,2,FALSE)),"X",$B54)</f>
        <v/>
      </c>
      <c r="H54" s="51" t="str">
        <f>IF(ISTEXT(VLOOKUP(CONCATENATE($A54,"_",H$3),'Unit List'!$A$23:$H$3172,2,FALSE)),"X",$B54)</f>
        <v/>
      </c>
      <c r="I54" s="53" t="str">
        <f>IF(ISTEXT(VLOOKUP(CONCATENATE($A54,"_",I$3),'Unit List'!$A$23:$H$3172,2,FALSE)),"X",$B54)</f>
        <v/>
      </c>
      <c r="J54" s="172" t="str">
        <f>IF(ISTEXT(VLOOKUP(CONCATENATE($A54,"_",J$3),'Unit List'!$A$23:$H$3172,2,FALSE)),"+","")</f>
        <v>+</v>
      </c>
      <c r="K54" s="51" t="str">
        <f>IF(ISTEXT(VLOOKUP(CONCATENATE($A54,"_",K$3),'Unit List'!$A$23:$H$3172,2,FALSE)),"X",$J54)</f>
        <v>+</v>
      </c>
      <c r="L54" s="62" t="str">
        <f>IF(ISTEXT(VLOOKUP(CONCATENATE($A54,"_",L$3),'Unit List'!$A$23:$H$3172,2,FALSE)),"X",$J54)</f>
        <v>+</v>
      </c>
      <c r="M54" s="172" t="str">
        <f>IF(ISTEXT(VLOOKUP(CONCATENATE($A54,"_",M$3),'Unit List'!$A$23:$H$3172,2,FALSE)),"+","")</f>
        <v/>
      </c>
      <c r="N54" s="51" t="str">
        <f>IF(ISTEXT(VLOOKUP(CONCATENATE($A54,"_",N$3),'Unit List'!$A$23:$H$3172,2,FALSE)),"X",$M54)</f>
        <v/>
      </c>
      <c r="O54" s="53" t="str">
        <f>IF(ISTEXT(VLOOKUP(CONCATENATE($A54,"_",O$3),'Unit List'!$A$23:$H$3172,2,FALSE)),"X",$M54)</f>
        <v/>
      </c>
      <c r="P54" s="172" t="str">
        <f>IF(ISTEXT(VLOOKUP(CONCATENATE($A54,"_",P$3),'Unit List'!$A$23:$H$3172,2,FALSE)),"+","")</f>
        <v/>
      </c>
      <c r="Q54" s="51" t="str">
        <f>IF(ISTEXT(VLOOKUP(CONCATENATE($A54,"_",Q$3),'Unit List'!$A$23:$H$3172,2,FALSE)),"X",$P54)</f>
        <v/>
      </c>
      <c r="R54" s="89" t="s">
        <v>0</v>
      </c>
      <c r="S54" s="51" t="str">
        <f>IF(ISTEXT(VLOOKUP(CONCATENATE($A54,"_",S$3),'Unit List'!$A$23:$H$3172,2,FALSE)),"X",$P54)</f>
        <v/>
      </c>
      <c r="T54" s="52" t="str">
        <f>IF(ISTEXT(VLOOKUP(CONCATENATE($A54,"_",T$3),'Unit List'!$A$23:$H$3172,2,FALSE)),"X",$P54)</f>
        <v/>
      </c>
      <c r="U54" s="51" t="str">
        <f>IF(ISTEXT(VLOOKUP(CONCATENATE($A54,"_",U$3),'Unit List'!$A$23:$H$3172,2,FALSE)),"X",$P54)</f>
        <v/>
      </c>
      <c r="V54" s="51" t="str">
        <f>IF(ISTEXT(VLOOKUP(CONCATENATE($A54,"_",V$3),'Unit List'!$A$23:$H$3172,2,FALSE)),"X",$P54)</f>
        <v/>
      </c>
      <c r="W54" s="53" t="str">
        <f>IF(ISTEXT(VLOOKUP(CONCATENATE($A54,"_",W$3),'Unit List'!$A$23:$H$3172,2,FALSE)),"X",$P54)</f>
        <v/>
      </c>
      <c r="X54" s="172" t="str">
        <f>IF(ISTEXT(VLOOKUP(CONCATENATE($A54,"_",X$3),'Unit List'!$A$23:$H$3172,2,FALSE)),"+","")</f>
        <v/>
      </c>
      <c r="Y54" s="51" t="str">
        <f>IF(ISTEXT(VLOOKUP(CONCATENATE($A54,"_",Y$3),'Unit List'!$A$23:$H$3172,2,FALSE)),"X",$X54)</f>
        <v/>
      </c>
      <c r="Z54" s="51" t="str">
        <f>IF(ISTEXT(VLOOKUP(CONCATENATE($A54,"_",Z$3),'Unit List'!$A$23:$H$3172,2,FALSE)),"X",$X54)</f>
        <v/>
      </c>
      <c r="AA54" s="51" t="str">
        <f>IF(ISTEXT(VLOOKUP(CONCATENATE($A54,"_",AA$3),'Unit List'!$A$23:$H$3172,2,FALSE)),"X",$X54)</f>
        <v/>
      </c>
      <c r="AB54" s="51" t="str">
        <f>IF(ISTEXT(VLOOKUP(CONCATENATE($A54,"_",AB$3),'Unit List'!$A$23:$H$3172,2,FALSE)),"X",$X54)</f>
        <v/>
      </c>
      <c r="AC54" s="62" t="str">
        <f>IF(ISTEXT(VLOOKUP(CONCATENATE($A54,"_",AC$3),'Unit List'!$A$23:$H$3172,2,FALSE)),"X",$X54)</f>
        <v/>
      </c>
      <c r="AD54" s="172" t="str">
        <f>IF(ISTEXT(VLOOKUP(CONCATENATE($A54,"_",AD$3),'Unit List'!$A$23:$H$3172,2,FALSE)),"+","")</f>
        <v/>
      </c>
      <c r="AE54" s="89" t="s">
        <v>0</v>
      </c>
      <c r="AF54" s="51" t="str">
        <f>IF(ISTEXT(VLOOKUP(CONCATENATE($A54,"_",AF$3),'Unit List'!$A$23:$H$3172,2,FALSE)),"X",$AD54)</f>
        <v/>
      </c>
      <c r="AG54" s="172" t="str">
        <f>IF(ISTEXT(VLOOKUP(CONCATENATE($A54,"_",AG$3),'Unit List'!$A$23:$H$3172,2,FALSE)),"+","")</f>
        <v/>
      </c>
      <c r="AH54" s="51" t="str">
        <f>IF(ISTEXT(VLOOKUP(CONCATENATE($A54,"_",AH$3),'Unit List'!$A$23:$H$3172,2,FALSE)),"X",$AG54)</f>
        <v/>
      </c>
      <c r="AI54" s="51" t="str">
        <f>IF(ISTEXT(VLOOKUP(CONCATENATE($A54,"_",AI$3),'Unit List'!$A$23:$H$3172,2,FALSE)),"X",$AG54)</f>
        <v/>
      </c>
      <c r="AJ54" s="53" t="str">
        <f>IF(ISTEXT(VLOOKUP(CONCATENATE($A54,"_",AJ$3),'Unit List'!$A$23:$H$3172,2,FALSE)),"X",$AG54)</f>
        <v/>
      </c>
      <c r="AK54" s="172" t="str">
        <f>IF(ISTEXT(VLOOKUP(CONCATENATE($A54,"_",AK$3),'Unit List'!$A$23:$H$3172,2,FALSE)),"+","")</f>
        <v/>
      </c>
      <c r="AL54" s="52" t="str">
        <f>IF(ISTEXT(VLOOKUP(CONCATENATE($A54,"_",AL$3),'Unit List'!$A$23:$H$3172,2,FALSE)),"X",$AK54)</f>
        <v/>
      </c>
      <c r="AM54" s="53" t="str">
        <f>IF(ISTEXT(VLOOKUP(CONCATENATE($A54,"_",AM$3),'Unit List'!$A$23:$H$3172,2,FALSE)),"X",$AK54)</f>
        <v/>
      </c>
      <c r="AN54" s="125" t="str">
        <f>IF(ISTEXT(VLOOKUP(CONCATENATE($A54,"_",AN$3),'Unit List'!$A$23:$H$3172,2,FALSE)),"+","")</f>
        <v/>
      </c>
      <c r="AO54" s="53" t="str">
        <f>IF(ISTEXT(VLOOKUP(CONCATENATE($A54,"_",AO$3),'Unit List'!$A$23:$H$3172,2,FALSE)),"X",$AN54)</f>
        <v/>
      </c>
      <c r="AP54" s="172" t="str">
        <f>IF(ISTEXT(VLOOKUP(CONCATENATE($A54,"_",AP$3),'Unit List'!$A$23:$H$3172,2,FALSE)),"+","")</f>
        <v/>
      </c>
      <c r="AQ54" s="51" t="str">
        <f>IF(ISTEXT(VLOOKUP(CONCATENATE($A54,"_",AQ$3),'Unit List'!$A$23:$H$3172,2,FALSE)),"X",$AP54)</f>
        <v/>
      </c>
      <c r="AR54" s="51" t="str">
        <f>IF(ISTEXT(VLOOKUP(CONCATENATE($A54,"_",AR$3),'Unit List'!$A$23:$H$3172,2,FALSE)),"X",$AP54)</f>
        <v/>
      </c>
      <c r="AS54" s="51" t="str">
        <f>IF(ISTEXT(VLOOKUP(CONCATENATE($A54,"_",AS$3),'Unit List'!$A$23:$H$3172,2,FALSE)),"X",$AP54)</f>
        <v/>
      </c>
      <c r="AT54" s="53" t="str">
        <f>IF(ISTEXT(VLOOKUP(CONCATENATE($A54,"_",AT$3),'Unit List'!$A$23:$H$3172,2,FALSE)),"X",$AP54)</f>
        <v/>
      </c>
      <c r="AU54" s="124" t="str">
        <f>IF(ISTEXT(VLOOKUP(CONCATENATE($A54,"_",AU$3),'Unit List'!$A$23:$H$3172,2,FALSE)),"+","")</f>
        <v/>
      </c>
      <c r="AV54" s="51" t="str">
        <f>IF(ISTEXT(VLOOKUP(CONCATENATE($A54,"_",AV$3),'Unit List'!$A$23:$H$3172,2,FALSE)),"X",$AU54)</f>
        <v/>
      </c>
      <c r="AW54" s="53" t="str">
        <f>IF(ISTEXT(VLOOKUP(CONCATENATE($A54,"_",AW$3),'Unit List'!$A$23:$H$3172,2,FALSE)),"X",$AU54)</f>
        <v/>
      </c>
      <c r="AX54" s="172" t="str">
        <f>IF(ISTEXT(VLOOKUP(CONCATENATE($A54,"_",AX$3),'Unit List'!$A$23:$H$3172,2,FALSE)),"+","")</f>
        <v/>
      </c>
      <c r="AY54" s="51" t="str">
        <f>IF(ISTEXT(VLOOKUP(CONCATENATE($A54,"_",AY$3),'Unit List'!$A$23:$H$3172,2,FALSE)),"X",$AX54)</f>
        <v/>
      </c>
      <c r="AZ54" s="53" t="str">
        <f>IF(ISTEXT(VLOOKUP(CONCATENATE($A54,"_",AZ$3),'Unit List'!$A$23:$H$3172,2,FALSE)),"X",$AX54)</f>
        <v/>
      </c>
      <c r="BA54" s="182" t="str">
        <f>IF(ISTEXT(VLOOKUP(CONCATENATE($A54,"_",BA$3),'Unit List'!$A$23:$H$3172,2,FALSE)),"+","")</f>
        <v/>
      </c>
      <c r="BB54" s="51" t="str">
        <f>IF(ISTEXT(VLOOKUP(CONCATENATE($A54,"_",BB$3),'Unit List'!$A$23:$H$3172,2,FALSE)),"X",$BA54)</f>
        <v/>
      </c>
      <c r="BC54" s="51" t="str">
        <f>IF(ISTEXT(VLOOKUP(CONCATENATE($A54,"_",BC$3),'Unit List'!$A$23:$H$3172,2,FALSE)),"X",$BA54)</f>
        <v/>
      </c>
      <c r="BD54" s="53" t="str">
        <f>IF(ISTEXT(VLOOKUP(CONCATENATE($A54,"_",BD$3),'Unit List'!$A$23:$H$3172,2,FALSE)),"X",$BA54)</f>
        <v/>
      </c>
      <c r="BE54" s="125" t="str">
        <f>IF(ISTEXT(VLOOKUP(CONCATENATE($A54,"_",BE$3),'Unit List'!$A$23:$H$3172,2,FALSE)),"+","")</f>
        <v/>
      </c>
      <c r="BF54" s="62" t="str">
        <f>IF(ISTEXT(VLOOKUP(CONCATENATE($A54,"_",BF$3),'Unit List'!$A$23:$H$3172,2,FALSE)),"X",$BE54)</f>
        <v/>
      </c>
      <c r="BG54" s="75"/>
      <c r="BH54" s="84"/>
      <c r="BI54" s="225"/>
      <c r="BJ54" s="226"/>
      <c r="BK54" s="226"/>
      <c r="BL54" s="226"/>
      <c r="BM54" s="227"/>
      <c r="BN54" s="54"/>
      <c r="BO54" s="54"/>
      <c r="BP54" s="54"/>
      <c r="BQ54" s="54"/>
      <c r="BR54" s="54"/>
      <c r="BS54" s="54"/>
      <c r="DZ54" s="55"/>
      <c r="EA54" s="55"/>
    </row>
    <row r="55" spans="1:131" ht="12.75" customHeight="1" x14ac:dyDescent="0.2">
      <c r="A55" s="56" t="s">
        <v>1152</v>
      </c>
      <c r="B55" s="181" t="str">
        <f>IF(ISTEXT(VLOOKUP(CONCATENATE($A55,"_",B$3),'Unit List'!$A$23:$H$3172,2,FALSE)),"+","")</f>
        <v/>
      </c>
      <c r="C55" s="57" t="str">
        <f>IF(ISTEXT(VLOOKUP(CONCATENATE($A55,"_",C$3),'Unit List'!$A$23:$H$3172,2,FALSE)),"X",$B55)</f>
        <v/>
      </c>
      <c r="D55" s="51" t="str">
        <f>IF(ISTEXT(VLOOKUP(CONCATENATE($A55,"_",D$3),'Unit List'!$A$23:$H$3172,2,FALSE)),"X",$B55)</f>
        <v>X</v>
      </c>
      <c r="E55" s="67" t="str">
        <f>IF(ISTEXT(VLOOKUP(CONCATENATE($A55,"_",E$3),'Unit List'!$A$23:$H$3172,2,FALSE)),"X",$B55)</f>
        <v>X</v>
      </c>
      <c r="F55" s="51" t="str">
        <f>IF(ISTEXT(VLOOKUP(CONCATENATE($A55,"_",F$3),'Unit List'!$A$23:$H$3172,2,FALSE)),"X",$B55)</f>
        <v>X</v>
      </c>
      <c r="G55" s="51" t="str">
        <f>IF(ISTEXT(VLOOKUP(CONCATENATE($A55,"_",G$3),'Unit List'!$A$23:$H$3172,2,FALSE)),"X",$B55)</f>
        <v>X</v>
      </c>
      <c r="H55" s="51" t="str">
        <f>IF(ISTEXT(VLOOKUP(CONCATENATE($A55,"_",H$3),'Unit List'!$A$23:$H$3172,2,FALSE)),"X",$B55)</f>
        <v>X</v>
      </c>
      <c r="I55" s="53" t="str">
        <f>IF(ISTEXT(VLOOKUP(CONCATENATE($A55,"_",I$3),'Unit List'!$A$23:$H$3172,2,FALSE)),"X",$B55)</f>
        <v>X</v>
      </c>
      <c r="J55" s="171" t="str">
        <f>IF(ISTEXT(VLOOKUP(CONCATENATE($A55,"_",J$3),'Unit List'!$A$23:$H$3172,2,FALSE)),"+","")</f>
        <v>+</v>
      </c>
      <c r="K55" s="51" t="str">
        <f>IF(ISTEXT(VLOOKUP(CONCATENATE($A55,"_",K$3),'Unit List'!$A$23:$H$3172,2,FALSE)),"X",$J55)</f>
        <v>+</v>
      </c>
      <c r="L55" s="62" t="str">
        <f>IF(ISTEXT(VLOOKUP(CONCATENATE($A55,"_",L$3),'Unit List'!$A$23:$H$3172,2,FALSE)),"X",$J55)</f>
        <v>X</v>
      </c>
      <c r="M55" s="171" t="str">
        <f>IF(ISTEXT(VLOOKUP(CONCATENATE($A55,"_",M$3),'Unit List'!$A$23:$H$3172,2,FALSE)),"+","")</f>
        <v>+</v>
      </c>
      <c r="N55" s="51" t="str">
        <f>IF(ISTEXT(VLOOKUP(CONCATENATE($A55,"_",N$3),'Unit List'!$A$23:$H$3172,2,FALSE)),"X",$M55)</f>
        <v>+</v>
      </c>
      <c r="O55" s="53" t="str">
        <f>IF(ISTEXT(VLOOKUP(CONCATENATE($A55,"_",O$3),'Unit List'!$A$23:$H$3172,2,FALSE)),"X",$M55)</f>
        <v>X</v>
      </c>
      <c r="P55" s="171" t="str">
        <f>IF(ISTEXT(VLOOKUP(CONCATENATE($A55,"_",P$3),'Unit List'!$A$23:$H$3172,2,FALSE)),"+","")</f>
        <v/>
      </c>
      <c r="Q55" s="51" t="str">
        <f>IF(ISTEXT(VLOOKUP(CONCATENATE($A55,"_",Q$3),'Unit List'!$A$23:$H$3172,2,FALSE)),"X",$P55)</f>
        <v/>
      </c>
      <c r="R55" s="51" t="str">
        <f>IF(ISTEXT(VLOOKUP(CONCATENATE($A55,"_",R$3),'Unit List'!$A$23:$H$3172,2,FALSE)),"X",$P55)</f>
        <v>X</v>
      </c>
      <c r="S55" s="51" t="str">
        <f>IF(ISTEXT(VLOOKUP(CONCATENATE($A55,"_",S$3),'Unit List'!$A$23:$H$3172,2,FALSE)),"X",$P55)</f>
        <v>X</v>
      </c>
      <c r="T55" s="52" t="str">
        <f>IF(ISTEXT(VLOOKUP(CONCATENATE($A55,"_",T$3),'Unit List'!$A$23:$H$3172,2,FALSE)),"X",$P55)</f>
        <v>X</v>
      </c>
      <c r="U55" s="51" t="str">
        <f>IF(ISTEXT(VLOOKUP(CONCATENATE($A55,"_",U$3),'Unit List'!$A$23:$H$3172,2,FALSE)),"X",$P55)</f>
        <v>X</v>
      </c>
      <c r="V55" s="51" t="str">
        <f>IF(ISTEXT(VLOOKUP(CONCATENATE($A55,"_",V$3),'Unit List'!$A$23:$H$3172,2,FALSE)),"X",$P55)</f>
        <v>X</v>
      </c>
      <c r="W55" s="53" t="str">
        <f>IF(ISTEXT(VLOOKUP(CONCATENATE($A55,"_",W$3),'Unit List'!$A$23:$H$3172,2,FALSE)),"X",$P55)</f>
        <v/>
      </c>
      <c r="X55" s="172" t="str">
        <f>IF(ISTEXT(VLOOKUP(CONCATENATE($A55,"_",X$3),'Unit List'!$A$23:$H$3172,2,FALSE)),"+","")</f>
        <v>+</v>
      </c>
      <c r="Y55" s="51" t="str">
        <f>IF(ISTEXT(VLOOKUP(CONCATENATE($A55,"_",Y$3),'Unit List'!$A$23:$H$3172,2,FALSE)),"X",$X55)</f>
        <v>+</v>
      </c>
      <c r="Z55" s="51" t="str">
        <f>IF(ISTEXT(VLOOKUP(CONCATENATE($A55,"_",Z$3),'Unit List'!$A$23:$H$3172,2,FALSE)),"X",$X55)</f>
        <v>+</v>
      </c>
      <c r="AA55" s="51" t="str">
        <f>IF(ISTEXT(VLOOKUP(CONCATENATE($A55,"_",AA$3),'Unit List'!$A$23:$H$3172,2,FALSE)),"X",$X55)</f>
        <v>X</v>
      </c>
      <c r="AB55" s="51" t="str">
        <f>IF(ISTEXT(VLOOKUP(CONCATENATE($A55,"_",AB$3),'Unit List'!$A$23:$H$3172,2,FALSE)),"X",$X55)</f>
        <v>X</v>
      </c>
      <c r="AC55" s="62" t="str">
        <f>IF(ISTEXT(VLOOKUP(CONCATENATE($A55,"_",AC$3),'Unit List'!$A$23:$H$3172,2,FALSE)),"X",$X55)</f>
        <v>X</v>
      </c>
      <c r="AD55" s="171" t="str">
        <f>IF(ISTEXT(VLOOKUP(CONCATENATE($A55,"_",AD$3),'Unit List'!$A$23:$H$3172,2,FALSE)),"+","")</f>
        <v>+</v>
      </c>
      <c r="AE55" s="51" t="str">
        <f>IF(ISTEXT(VLOOKUP(CONCATENATE($A55,"_",AE$3),'Unit List'!$A$23:$H$3172,2,FALSE)),"X",$AD55)</f>
        <v>X</v>
      </c>
      <c r="AF55" s="51" t="str">
        <f>IF(ISTEXT(VLOOKUP(CONCATENATE($A55,"_",AF$3),'Unit List'!$A$23:$H$3172,2,FALSE)),"X",$AD55)</f>
        <v>+</v>
      </c>
      <c r="AG55" s="171" t="str">
        <f>IF(ISTEXT(VLOOKUP(CONCATENATE($A55,"_",AG$3),'Unit List'!$A$23:$H$3172,2,FALSE)),"+","")</f>
        <v>+</v>
      </c>
      <c r="AH55" s="67" t="str">
        <f>IF(ISTEXT(VLOOKUP(CONCATENATE($A55,"_",AH$3),'Unit List'!$A$23:$H$3172,2,FALSE)),"X",$AG55)</f>
        <v>X</v>
      </c>
      <c r="AI55" s="67" t="str">
        <f>IF(ISTEXT(VLOOKUP(CONCATENATE($A55,"_",AI$3),'Unit List'!$A$23:$H$3172,2,FALSE)),"X",$AG55)</f>
        <v>X</v>
      </c>
      <c r="AJ55" s="70" t="str">
        <f>IF(ISTEXT(VLOOKUP(CONCATENATE($A55,"_",AJ$3),'Unit List'!$A$23:$H$3172,2,FALSE)),"X",$AG55)</f>
        <v>+</v>
      </c>
      <c r="AK55" s="172" t="str">
        <f>IF(ISTEXT(VLOOKUP(CONCATENATE($A55,"_",AK$3),'Unit List'!$A$23:$H$3172,2,FALSE)),"+","")</f>
        <v/>
      </c>
      <c r="AL55" s="52" t="str">
        <f>IF(ISTEXT(VLOOKUP(CONCATENATE($A55,"_",AL$3),'Unit List'!$A$23:$H$3172,2,FALSE)),"X",$AK55)</f>
        <v/>
      </c>
      <c r="AM55" s="53" t="str">
        <f>IF(ISTEXT(VLOOKUP(CONCATENATE($A55,"_",AM$3),'Unit List'!$A$23:$H$3172,2,FALSE)),"X",$AK55)</f>
        <v/>
      </c>
      <c r="AN55" s="125" t="str">
        <f>IF(ISTEXT(VLOOKUP(CONCATENATE($A55,"_",AN$3),'Unit List'!$A$23:$H$3172,2,FALSE)),"+","")</f>
        <v/>
      </c>
      <c r="AO55" s="53" t="str">
        <f>IF(ISTEXT(VLOOKUP(CONCATENATE($A55,"_",AO$3),'Unit List'!$A$23:$H$3172,2,FALSE)),"X",$AN55)</f>
        <v/>
      </c>
      <c r="AP55" s="172" t="str">
        <f>IF(ISTEXT(VLOOKUP(CONCATENATE($A55,"_",AP$3),'Unit List'!$A$23:$H$3172,2,FALSE)),"+","")</f>
        <v/>
      </c>
      <c r="AQ55" s="51" t="str">
        <f>IF(ISTEXT(VLOOKUP(CONCATENATE($A55,"_",AQ$3),'Unit List'!$A$23:$H$3172,2,FALSE)),"X",$AP55)</f>
        <v/>
      </c>
      <c r="AR55" s="51" t="str">
        <f>IF(ISTEXT(VLOOKUP(CONCATENATE($A55,"_",AR$3),'Unit List'!$A$23:$H$3172,2,FALSE)),"X",$AP55)</f>
        <v/>
      </c>
      <c r="AS55" s="51" t="str">
        <f>IF(ISTEXT(VLOOKUP(CONCATENATE($A55,"_",AS$3),'Unit List'!$A$23:$H$3172,2,FALSE)),"X",$AP55)</f>
        <v/>
      </c>
      <c r="AT55" s="53" t="str">
        <f>IF(ISTEXT(VLOOKUP(CONCATENATE($A55,"_",AT$3),'Unit List'!$A$23:$H$3172,2,FALSE)),"X",$AP55)</f>
        <v/>
      </c>
      <c r="AU55" s="124" t="str">
        <f>IF(ISTEXT(VLOOKUP(CONCATENATE($A55,"_",AU$3),'Unit List'!$A$23:$H$3172,2,FALSE)),"+","")</f>
        <v/>
      </c>
      <c r="AV55" s="51" t="str">
        <f>IF(ISTEXT(VLOOKUP(CONCATENATE($A55,"_",AV$3),'Unit List'!$A$23:$H$3172,2,FALSE)),"X",$AU55)</f>
        <v/>
      </c>
      <c r="AW55" s="53" t="str">
        <f>IF(ISTEXT(VLOOKUP(CONCATENATE($A55,"_",AW$3),'Unit List'!$A$23:$H$3172,2,FALSE)),"X",$AU55)</f>
        <v/>
      </c>
      <c r="AX55" s="171" t="str">
        <f>IF(ISTEXT(VLOOKUP(CONCATENATE($A55,"_",AX$3),'Unit List'!$A$23:$H$3172,2,FALSE)),"+","")</f>
        <v>+</v>
      </c>
      <c r="AY55" s="67" t="str">
        <f>IF(ISTEXT(VLOOKUP(CONCATENATE($A55,"_",AY$3),'Unit List'!$A$23:$H$3172,2,FALSE)),"X",$AX55)</f>
        <v>+</v>
      </c>
      <c r="AZ55" s="70" t="str">
        <f>IF(ISTEXT(VLOOKUP(CONCATENATE($A55,"_",AZ$3),'Unit List'!$A$23:$H$3172,2,FALSE)),"X",$AX55)</f>
        <v>+</v>
      </c>
      <c r="BA55" s="171" t="str">
        <f>IF(ISTEXT(VLOOKUP(CONCATENATE($A55,"_",BA$3),'Unit List'!$A$23:$H$3172,2,FALSE)),"+","")</f>
        <v>+</v>
      </c>
      <c r="BB55" s="89" t="s">
        <v>0</v>
      </c>
      <c r="BC55" s="51" t="str">
        <f>IF(ISTEXT(VLOOKUP(CONCATENATE($A55,"_",BC$3),'Unit List'!$A$23:$H$3172,2,FALSE)),"X",$BA55)</f>
        <v>X</v>
      </c>
      <c r="BD55" s="70" t="str">
        <f>IF(ISTEXT(VLOOKUP(CONCATENATE($A55,"_",BD$3),'Unit List'!$A$23:$H$3172,2,FALSE)),"X",$BA55)</f>
        <v>X</v>
      </c>
      <c r="BE55" s="125" t="str">
        <f>IF(ISTEXT(VLOOKUP(CONCATENATE($A55,"_",BE$3),'Unit List'!$A$23:$H$3172,2,FALSE)),"+","")</f>
        <v>+</v>
      </c>
      <c r="BF55" s="101" t="s">
        <v>0</v>
      </c>
      <c r="BG55" s="75"/>
      <c r="BH55" s="76" t="s">
        <v>0</v>
      </c>
      <c r="BI55" s="225" t="s">
        <v>1919</v>
      </c>
      <c r="BJ55" s="226"/>
      <c r="BK55" s="226"/>
      <c r="BL55" s="226"/>
      <c r="BM55" s="227"/>
      <c r="BN55" s="54"/>
      <c r="BO55" s="54"/>
      <c r="BP55" s="54"/>
      <c r="BQ55" s="54"/>
      <c r="BR55" s="54"/>
      <c r="BS55" s="54"/>
      <c r="DZ55" s="55"/>
      <c r="EA55" s="55"/>
    </row>
    <row r="56" spans="1:131" ht="12.75" customHeight="1" x14ac:dyDescent="0.2">
      <c r="A56" s="56" t="s">
        <v>1160</v>
      </c>
      <c r="B56" s="181" t="str">
        <f>IF(ISTEXT(VLOOKUP(CONCATENATE($A56,"_",B$3),'Unit List'!$A$23:$H$3172,2,FALSE)),"+","")</f>
        <v/>
      </c>
      <c r="C56" s="57" t="str">
        <f>IF(ISTEXT(VLOOKUP(CONCATENATE($A56,"_",C$3),'Unit List'!$A$23:$H$3172,2,FALSE)),"X",$B56)</f>
        <v/>
      </c>
      <c r="D56" s="51" t="str">
        <f>IF(ISTEXT(VLOOKUP(CONCATENATE($A56,"_",D$3),'Unit List'!$A$23:$H$3172,2,FALSE)),"X",$B56)</f>
        <v/>
      </c>
      <c r="E56" s="51" t="str">
        <f>IF(ISTEXT(VLOOKUP(CONCATENATE($A56,"_",E$3),'Unit List'!$A$23:$H$3172,2,FALSE)),"X",$B56)</f>
        <v>X</v>
      </c>
      <c r="F56" s="51" t="str">
        <f>IF(ISTEXT(VLOOKUP(CONCATENATE($A56,"_",F$3),'Unit List'!$A$23:$H$3172,2,FALSE)),"X",$B56)</f>
        <v>X</v>
      </c>
      <c r="G56" s="51" t="str">
        <f>IF(ISTEXT(VLOOKUP(CONCATENATE($A56,"_",G$3),'Unit List'!$A$23:$H$3172,2,FALSE)),"X",$B56)</f>
        <v/>
      </c>
      <c r="H56" s="51" t="str">
        <f>IF(ISTEXT(VLOOKUP(CONCATENATE($A56,"_",H$3),'Unit List'!$A$23:$H$3172,2,FALSE)),"X",$B56)</f>
        <v/>
      </c>
      <c r="I56" s="53" t="str">
        <f>IF(ISTEXT(VLOOKUP(CONCATENATE($A56,"_",I$3),'Unit List'!$A$23:$H$3172,2,FALSE)),"X",$B56)</f>
        <v/>
      </c>
      <c r="J56" s="172" t="str">
        <f>IF(ISTEXT(VLOOKUP(CONCATENATE($A56,"_",J$3),'Unit List'!$A$23:$H$3172,2,FALSE)),"+","")</f>
        <v/>
      </c>
      <c r="K56" s="51" t="str">
        <f>IF(ISTEXT(VLOOKUP(CONCATENATE($A56,"_",K$3),'Unit List'!$A$23:$H$3172,2,FALSE)),"X",$J56)</f>
        <v/>
      </c>
      <c r="L56" s="62" t="str">
        <f>IF(ISTEXT(VLOOKUP(CONCATENATE($A56,"_",L$3),'Unit List'!$A$23:$H$3172,2,FALSE)),"X",$J56)</f>
        <v/>
      </c>
      <c r="M56" s="172" t="str">
        <f>IF(ISTEXT(VLOOKUP(CONCATENATE($A56,"_",M$3),'Unit List'!$A$23:$H$3172,2,FALSE)),"+","")</f>
        <v/>
      </c>
      <c r="N56" s="51" t="str">
        <f>IF(ISTEXT(VLOOKUP(CONCATENATE($A56,"_",N$3),'Unit List'!$A$23:$H$3172,2,FALSE)),"X",$M56)</f>
        <v/>
      </c>
      <c r="O56" s="53" t="str">
        <f>IF(ISTEXT(VLOOKUP(CONCATENATE($A56,"_",O$3),'Unit List'!$A$23:$H$3172,2,FALSE)),"X",$M56)</f>
        <v/>
      </c>
      <c r="P56" s="172" t="str">
        <f>IF(ISTEXT(VLOOKUP(CONCATENATE($A56,"_",P$3),'Unit List'!$A$23:$H$3172,2,FALSE)),"+","")</f>
        <v/>
      </c>
      <c r="Q56" s="51" t="str">
        <f>IF(ISTEXT(VLOOKUP(CONCATENATE($A56,"_",Q$3),'Unit List'!$A$23:$H$3172,2,FALSE)),"X",$P56)</f>
        <v/>
      </c>
      <c r="R56" s="51" t="str">
        <f>IF(ISTEXT(VLOOKUP(CONCATENATE($A56,"_",R$3),'Unit List'!$A$23:$H$3172,2,FALSE)),"X",$P56)</f>
        <v/>
      </c>
      <c r="S56" s="51" t="str">
        <f>IF(ISTEXT(VLOOKUP(CONCATENATE($A56,"_",S$3),'Unit List'!$A$23:$H$3172,2,FALSE)),"X",$P56)</f>
        <v/>
      </c>
      <c r="T56" s="52" t="str">
        <f>IF(ISTEXT(VLOOKUP(CONCATENATE($A56,"_",T$3),'Unit List'!$A$23:$H$3172,2,FALSE)),"X",$P56)</f>
        <v/>
      </c>
      <c r="U56" s="51" t="str">
        <f>IF(ISTEXT(VLOOKUP(CONCATENATE($A56,"_",U$3),'Unit List'!$A$23:$H$3172,2,FALSE)),"X",$P56)</f>
        <v/>
      </c>
      <c r="V56" s="51" t="str">
        <f>IF(ISTEXT(VLOOKUP(CONCATENATE($A56,"_",V$3),'Unit List'!$A$23:$H$3172,2,FALSE)),"X",$P56)</f>
        <v/>
      </c>
      <c r="W56" s="53" t="str">
        <f>IF(ISTEXT(VLOOKUP(CONCATENATE($A56,"_",W$3),'Unit List'!$A$23:$H$3172,2,FALSE)),"X",$P56)</f>
        <v/>
      </c>
      <c r="X56" s="172" t="str">
        <f>IF(ISTEXT(VLOOKUP(CONCATENATE($A56,"_",X$3),'Unit List'!$A$23:$H$3172,2,FALSE)),"+","")</f>
        <v/>
      </c>
      <c r="Y56" s="51" t="str">
        <f>IF(ISTEXT(VLOOKUP(CONCATENATE($A56,"_",Y$3),'Unit List'!$A$23:$H$3172,2,FALSE)),"X",$X56)</f>
        <v/>
      </c>
      <c r="Z56" s="51" t="str">
        <f>IF(ISTEXT(VLOOKUP(CONCATENATE($A56,"_",Z$3),'Unit List'!$A$23:$H$3172,2,FALSE)),"X",$X56)</f>
        <v/>
      </c>
      <c r="AA56" s="51" t="str">
        <f>IF(ISTEXT(VLOOKUP(CONCATENATE($A56,"_",AA$3),'Unit List'!$A$23:$H$3172,2,FALSE)),"X",$X56)</f>
        <v/>
      </c>
      <c r="AB56" s="51" t="str">
        <f>IF(ISTEXT(VLOOKUP(CONCATENATE($A56,"_",AB$3),'Unit List'!$A$23:$H$3172,2,FALSE)),"X",$X56)</f>
        <v/>
      </c>
      <c r="AC56" s="62" t="str">
        <f>IF(ISTEXT(VLOOKUP(CONCATENATE($A56,"_",AC$3),'Unit List'!$A$23:$H$3172,2,FALSE)),"X",$X56)</f>
        <v/>
      </c>
      <c r="AD56" s="172" t="str">
        <f>IF(ISTEXT(VLOOKUP(CONCATENATE($A56,"_",AD$3),'Unit List'!$A$23:$H$3172,2,FALSE)),"+","")</f>
        <v/>
      </c>
      <c r="AE56" s="51" t="str">
        <f>IF(ISTEXT(VLOOKUP(CONCATENATE($A56,"_",AE$3),'Unit List'!$A$23:$H$3172,2,FALSE)),"X",$AD56)</f>
        <v/>
      </c>
      <c r="AF56" s="51" t="str">
        <f>IF(ISTEXT(VLOOKUP(CONCATENATE($A56,"_",AF$3),'Unit List'!$A$23:$H$3172,2,FALSE)),"X",$AD56)</f>
        <v/>
      </c>
      <c r="AG56" s="172" t="str">
        <f>IF(ISTEXT(VLOOKUP(CONCATENATE($A56,"_",AG$3),'Unit List'!$A$23:$H$3172,2,FALSE)),"+","")</f>
        <v/>
      </c>
      <c r="AH56" s="51" t="str">
        <f>IF(ISTEXT(VLOOKUP(CONCATENATE($A56,"_",AH$3),'Unit List'!$A$23:$H$3172,2,FALSE)),"X",$AG56)</f>
        <v/>
      </c>
      <c r="AI56" s="51" t="str">
        <f>IF(ISTEXT(VLOOKUP(CONCATENATE($A56,"_",AI$3),'Unit List'!$A$23:$H$3172,2,FALSE)),"X",$AG56)</f>
        <v/>
      </c>
      <c r="AJ56" s="53" t="str">
        <f>IF(ISTEXT(VLOOKUP(CONCATENATE($A56,"_",AJ$3),'Unit List'!$A$23:$H$3172,2,FALSE)),"X",$AG56)</f>
        <v>X</v>
      </c>
      <c r="AK56" s="172" t="str">
        <f>IF(ISTEXT(VLOOKUP(CONCATENATE($A56,"_",AK$3),'Unit List'!$A$23:$H$3172,2,FALSE)),"+","")</f>
        <v/>
      </c>
      <c r="AL56" s="52" t="str">
        <f>IF(ISTEXT(VLOOKUP(CONCATENATE($A56,"_",AL$3),'Unit List'!$A$23:$H$3172,2,FALSE)),"X",$AK56)</f>
        <v/>
      </c>
      <c r="AM56" s="53" t="str">
        <f>IF(ISTEXT(VLOOKUP(CONCATENATE($A56,"_",AM$3),'Unit List'!$A$23:$H$3172,2,FALSE)),"X",$AK56)</f>
        <v/>
      </c>
      <c r="AN56" s="125" t="str">
        <f>IF(ISTEXT(VLOOKUP(CONCATENATE($A56,"_",AN$3),'Unit List'!$A$23:$H$3172,2,FALSE)),"+","")</f>
        <v>+</v>
      </c>
      <c r="AO56" s="53" t="str">
        <f>IF(ISTEXT(VLOOKUP(CONCATENATE($A56,"_",AO$3),'Unit List'!$A$23:$H$3172,2,FALSE)),"X",$AN56)</f>
        <v>+</v>
      </c>
      <c r="AP56" s="172" t="str">
        <f>IF(ISTEXT(VLOOKUP(CONCATENATE($A56,"_",AP$3),'Unit List'!$A$23:$H$3172,2,FALSE)),"+","")</f>
        <v/>
      </c>
      <c r="AQ56" s="51" t="str">
        <f>IF(ISTEXT(VLOOKUP(CONCATENATE($A56,"_",AQ$3),'Unit List'!$A$23:$H$3172,2,FALSE)),"X",$AP56)</f>
        <v/>
      </c>
      <c r="AR56" s="51" t="str">
        <f>IF(ISTEXT(VLOOKUP(CONCATENATE($A56,"_",AR$3),'Unit List'!$A$23:$H$3172,2,FALSE)),"X",$AP56)</f>
        <v/>
      </c>
      <c r="AS56" s="51" t="str">
        <f>IF(ISTEXT(VLOOKUP(CONCATENATE($A56,"_",AS$3),'Unit List'!$A$23:$H$3172,2,FALSE)),"X",$AP56)</f>
        <v/>
      </c>
      <c r="AT56" s="53" t="str">
        <f>IF(ISTEXT(VLOOKUP(CONCATENATE($A56,"_",AT$3),'Unit List'!$A$23:$H$3172,2,FALSE)),"X",$AP56)</f>
        <v/>
      </c>
      <c r="AU56" s="124" t="str">
        <f>IF(ISTEXT(VLOOKUP(CONCATENATE($A56,"_",AU$3),'Unit List'!$A$23:$H$3172,2,FALSE)),"+","")</f>
        <v/>
      </c>
      <c r="AV56" s="51" t="str">
        <f>IF(ISTEXT(VLOOKUP(CONCATENATE($A56,"_",AV$3),'Unit List'!$A$23:$H$3172,2,FALSE)),"X",$AU56)</f>
        <v/>
      </c>
      <c r="AW56" s="53" t="str">
        <f>IF(ISTEXT(VLOOKUP(CONCATENATE($A56,"_",AW$3),'Unit List'!$A$23:$H$3172,2,FALSE)),"X",$AU56)</f>
        <v/>
      </c>
      <c r="AX56" s="172" t="str">
        <f>IF(ISTEXT(VLOOKUP(CONCATENATE($A56,"_",AX$3),'Unit List'!$A$23:$H$3172,2,FALSE)),"+","")</f>
        <v/>
      </c>
      <c r="AY56" s="51" t="str">
        <f>IF(ISTEXT(VLOOKUP(CONCATENATE($A56,"_",AY$3),'Unit List'!$A$23:$H$3172,2,FALSE)),"X",$AX56)</f>
        <v/>
      </c>
      <c r="AZ56" s="53" t="str">
        <f>IF(ISTEXT(VLOOKUP(CONCATENATE($A56,"_",AZ$3),'Unit List'!$A$23:$H$3172,2,FALSE)),"X",$AX56)</f>
        <v/>
      </c>
      <c r="BA56" s="182" t="str">
        <f>IF(ISTEXT(VLOOKUP(CONCATENATE($A56,"_",BA$3),'Unit List'!$A$23:$H$3172,2,FALSE)),"+","")</f>
        <v/>
      </c>
      <c r="BB56" s="51" t="str">
        <f>IF(ISTEXT(VLOOKUP(CONCATENATE($A56,"_",BB$3),'Unit List'!$A$23:$H$3172,2,FALSE)),"X",$BA56)</f>
        <v/>
      </c>
      <c r="BC56" s="51" t="str">
        <f>IF(ISTEXT(VLOOKUP(CONCATENATE($A56,"_",BC$3),'Unit List'!$A$23:$H$3172,2,FALSE)),"X",$BA56)</f>
        <v/>
      </c>
      <c r="BD56" s="53" t="str">
        <f>IF(ISTEXT(VLOOKUP(CONCATENATE($A56,"_",BD$3),'Unit List'!$A$23:$H$3172,2,FALSE)),"X",$BA56)</f>
        <v/>
      </c>
      <c r="BE56" s="125" t="str">
        <f>IF(ISTEXT(VLOOKUP(CONCATENATE($A56,"_",BE$3),'Unit List'!$A$23:$H$3172,2,FALSE)),"+","")</f>
        <v/>
      </c>
      <c r="BF56" s="62" t="str">
        <f>IF(ISTEXT(VLOOKUP(CONCATENATE($A56,"_",BF$3),'Unit List'!$A$23:$H$3172,2,FALSE)),"X",$BE56)</f>
        <v/>
      </c>
      <c r="BG56" s="75"/>
      <c r="BH56" s="84"/>
      <c r="BI56" s="225"/>
      <c r="BJ56" s="226"/>
      <c r="BK56" s="226"/>
      <c r="BL56" s="226"/>
      <c r="BM56" s="227"/>
      <c r="BN56" s="54"/>
      <c r="BO56" s="54"/>
      <c r="BP56" s="54"/>
      <c r="BQ56" s="54"/>
      <c r="BR56" s="54"/>
      <c r="BS56" s="54"/>
      <c r="DZ56" s="55"/>
      <c r="EA56" s="55"/>
    </row>
    <row r="57" spans="1:131" ht="12.75" customHeight="1" x14ac:dyDescent="0.2">
      <c r="A57" s="56" t="s">
        <v>1159</v>
      </c>
      <c r="B57" s="181" t="str">
        <f>IF(ISTEXT(VLOOKUP(CONCATENATE($A57,"_",B$3),'Unit List'!$A$23:$H$3172,2,FALSE)),"+","")</f>
        <v/>
      </c>
      <c r="C57" s="82" t="str">
        <f>IF(ISTEXT(VLOOKUP(CONCATENATE($A57,"_",C$3),'Unit List'!$A$23:$H$3172,2,FALSE)),"X",$B57)</f>
        <v>X</v>
      </c>
      <c r="D57" s="67" t="str">
        <f>IF(ISTEXT(VLOOKUP(CONCATENATE($A57,"_",D$3),'Unit List'!$A$23:$H$3172,2,FALSE)),"X",$B57)</f>
        <v>X</v>
      </c>
      <c r="E57" s="51" t="str">
        <f>IF(ISTEXT(VLOOKUP(CONCATENATE($A57,"_",E$3),'Unit List'!$A$23:$H$3172,2,FALSE)),"X",$B57)</f>
        <v>X</v>
      </c>
      <c r="F57" s="67" t="str">
        <f>IF(ISTEXT(VLOOKUP(CONCATENATE($A57,"_",F$3),'Unit List'!$A$23:$H$3172,2,FALSE)),"X",$B57)</f>
        <v>X</v>
      </c>
      <c r="G57" s="67" t="str">
        <f>IF(ISTEXT(VLOOKUP(CONCATENATE($A57,"_",G$3),'Unit List'!$A$23:$H$3172,2,FALSE)),"X",$B57)</f>
        <v>X</v>
      </c>
      <c r="H57" s="67" t="str">
        <f>IF(ISTEXT(VLOOKUP(CONCATENATE($A57,"_",H$3),'Unit List'!$A$23:$H$3172,2,FALSE)),"X",$B57)</f>
        <v>X</v>
      </c>
      <c r="I57" s="53" t="str">
        <f>IF(ISTEXT(VLOOKUP(CONCATENATE($A57,"_",I$3),'Unit List'!$A$23:$H$3172,2,FALSE)),"X",$B57)</f>
        <v/>
      </c>
      <c r="J57" s="172" t="str">
        <f>IF(ISTEXT(VLOOKUP(CONCATENATE($A57,"_",J$3),'Unit List'!$A$23:$H$3172,2,FALSE)),"+","")</f>
        <v/>
      </c>
      <c r="K57" s="51" t="str">
        <f>IF(ISTEXT(VLOOKUP(CONCATENATE($A57,"_",K$3),'Unit List'!$A$23:$H$3172,2,FALSE)),"X",$J57)</f>
        <v/>
      </c>
      <c r="L57" s="62" t="str">
        <f>IF(ISTEXT(VLOOKUP(CONCATENATE($A57,"_",L$3),'Unit List'!$A$23:$H$3172,2,FALSE)),"X",$J57)</f>
        <v/>
      </c>
      <c r="M57" s="172" t="str">
        <f>IF(ISTEXT(VLOOKUP(CONCATENATE($A57,"_",M$3),'Unit List'!$A$23:$H$3172,2,FALSE)),"+","")</f>
        <v>+</v>
      </c>
      <c r="N57" s="67" t="str">
        <f>IF(ISTEXT(VLOOKUP(CONCATENATE($A57,"_",N$3),'Unit List'!$A$23:$H$3172,2,FALSE)),"X",$M57)</f>
        <v>+</v>
      </c>
      <c r="O57" s="70" t="str">
        <f>IF(ISTEXT(VLOOKUP(CONCATENATE($A57,"_",O$3),'Unit List'!$A$23:$H$3172,2,FALSE)),"X",$M57)</f>
        <v>X</v>
      </c>
      <c r="P57" s="172" t="str">
        <f>IF(ISTEXT(VLOOKUP(CONCATENATE($A57,"_",P$3),'Unit List'!$A$23:$H$3172,2,FALSE)),"+","")</f>
        <v>+</v>
      </c>
      <c r="Q57" s="51" t="str">
        <f>IF(ISTEXT(VLOOKUP(CONCATENATE($A57,"_",Q$3),'Unit List'!$A$23:$H$3172,2,FALSE)),"X",$P57)</f>
        <v>+</v>
      </c>
      <c r="R57" s="51" t="str">
        <f>IF(ISTEXT(VLOOKUP(CONCATENATE($A57,"_",R$3),'Unit List'!$A$23:$H$3172,2,FALSE)),"X",$P57)</f>
        <v>+</v>
      </c>
      <c r="S57" s="51" t="str">
        <f>IF(ISTEXT(VLOOKUP(CONCATENATE($A57,"_",S$3),'Unit List'!$A$23:$H$3172,2,FALSE)),"X",$P57)</f>
        <v>+</v>
      </c>
      <c r="T57" s="52" t="str">
        <f>IF(ISTEXT(VLOOKUP(CONCATENATE($A57,"_",T$3),'Unit List'!$A$23:$H$3172,2,FALSE)),"X",$P57)</f>
        <v>+</v>
      </c>
      <c r="U57" s="67" t="str">
        <f>IF(ISTEXT(VLOOKUP(CONCATENATE($A57,"_",U$3),'Unit List'!$A$23:$H$3172,2,FALSE)),"X",$P57)</f>
        <v>X</v>
      </c>
      <c r="V57" s="51" t="str">
        <f>IF(ISTEXT(VLOOKUP(CONCATENATE($A57,"_",V$3),'Unit List'!$A$23:$H$3172,2,FALSE)),"X",$P57)</f>
        <v>+</v>
      </c>
      <c r="W57" s="53" t="str">
        <f>IF(ISTEXT(VLOOKUP(CONCATENATE($A57,"_",W$3),'Unit List'!$A$23:$H$3172,2,FALSE)),"X",$P57)</f>
        <v>+</v>
      </c>
      <c r="X57" s="172" t="str">
        <f>IF(ISTEXT(VLOOKUP(CONCATENATE($A57,"_",X$3),'Unit List'!$A$23:$H$3172,2,FALSE)),"+","")</f>
        <v/>
      </c>
      <c r="Y57" s="51" t="str">
        <f>IF(ISTEXT(VLOOKUP(CONCATENATE($A57,"_",Y$3),'Unit List'!$A$23:$H$3172,2,FALSE)),"X",$X57)</f>
        <v/>
      </c>
      <c r="Z57" s="51" t="str">
        <f>IF(ISTEXT(VLOOKUP(CONCATENATE($A57,"_",Z$3),'Unit List'!$A$23:$H$3172,2,FALSE)),"X",$X57)</f>
        <v/>
      </c>
      <c r="AA57" s="51" t="str">
        <f>IF(ISTEXT(VLOOKUP(CONCATENATE($A57,"_",AA$3),'Unit List'!$A$23:$H$3172,2,FALSE)),"X",$X57)</f>
        <v/>
      </c>
      <c r="AB57" s="51" t="str">
        <f>IF(ISTEXT(VLOOKUP(CONCATENATE($A57,"_",AB$3),'Unit List'!$A$23:$H$3172,2,FALSE)),"X",$X57)</f>
        <v/>
      </c>
      <c r="AC57" s="62" t="str">
        <f>IF(ISTEXT(VLOOKUP(CONCATENATE($A57,"_",AC$3),'Unit List'!$A$23:$H$3172,2,FALSE)),"X",$X57)</f>
        <v/>
      </c>
      <c r="AD57" s="172" t="str">
        <f>IF(ISTEXT(VLOOKUP(CONCATENATE($A57,"_",AD$3),'Unit List'!$A$23:$H$3172,2,FALSE)),"+","")</f>
        <v>+</v>
      </c>
      <c r="AE57" s="51" t="str">
        <f>IF(ISTEXT(VLOOKUP(CONCATENATE($A57,"_",AE$3),'Unit List'!$A$23:$H$3172,2,FALSE)),"X",$AD57)</f>
        <v>+</v>
      </c>
      <c r="AF57" s="51" t="str">
        <f>IF(ISTEXT(VLOOKUP(CONCATENATE($A57,"_",AF$3),'Unit List'!$A$23:$H$3172,2,FALSE)),"X",$AD57)</f>
        <v>+</v>
      </c>
      <c r="AG57" s="172" t="str">
        <f>IF(ISTEXT(VLOOKUP(CONCATENATE($A57,"_",AG$3),'Unit List'!$A$23:$H$3172,2,FALSE)),"+","")</f>
        <v/>
      </c>
      <c r="AH57" s="51" t="str">
        <f>IF(ISTEXT(VLOOKUP(CONCATENATE($A57,"_",AH$3),'Unit List'!$A$23:$H$3172,2,FALSE)),"X",$AG57)</f>
        <v/>
      </c>
      <c r="AI57" s="51" t="str">
        <f>IF(ISTEXT(VLOOKUP(CONCATENATE($A57,"_",AI$3),'Unit List'!$A$23:$H$3172,2,FALSE)),"X",$AG57)</f>
        <v/>
      </c>
      <c r="AJ57" s="53" t="str">
        <f>IF(ISTEXT(VLOOKUP(CONCATENATE($A57,"_",AJ$3),'Unit List'!$A$23:$H$3172,2,FALSE)),"X",$AG57)</f>
        <v>X</v>
      </c>
      <c r="AK57" s="172" t="str">
        <f>IF(ISTEXT(VLOOKUP(CONCATENATE($A57,"_",AK$3),'Unit List'!$A$23:$H$3172,2,FALSE)),"+","")</f>
        <v>+</v>
      </c>
      <c r="AL57" s="87" t="str">
        <f>IF(ISTEXT(VLOOKUP(CONCATENATE($A57,"_",AL$3),'Unit List'!$A$23:$H$3172,2,FALSE)),"X",$AK57)</f>
        <v>X</v>
      </c>
      <c r="AM57" s="53" t="str">
        <f>IF(ISTEXT(VLOOKUP(CONCATENATE($A57,"_",AM$3),'Unit List'!$A$23:$H$3172,2,FALSE)),"X",$AK57)</f>
        <v>X</v>
      </c>
      <c r="AN57" s="125" t="str">
        <f>IF(ISTEXT(VLOOKUP(CONCATENATE($A57,"_",AN$3),'Unit List'!$A$23:$H$3172,2,FALSE)),"+","")</f>
        <v>+</v>
      </c>
      <c r="AO57" s="53" t="str">
        <f>IF(ISTEXT(VLOOKUP(CONCATENATE($A57,"_",AO$3),'Unit List'!$A$23:$H$3172,2,FALSE)),"X",$AN57)</f>
        <v>+</v>
      </c>
      <c r="AP57" s="172" t="str">
        <f>IF(ISTEXT(VLOOKUP(CONCATENATE($A57,"_",AP$3),'Unit List'!$A$23:$H$3172,2,FALSE)),"+","")</f>
        <v>+</v>
      </c>
      <c r="AQ57" s="67" t="str">
        <f>IF(ISTEXT(VLOOKUP(CONCATENATE($A57,"_",AQ$3),'Unit List'!$A$23:$H$3172,2,FALSE)),"X",$AP57)</f>
        <v>X</v>
      </c>
      <c r="AR57" s="67" t="str">
        <f>IF(ISTEXT(VLOOKUP(CONCATENATE($A57,"_",AR$3),'Unit List'!$A$23:$H$3172,2,FALSE)),"X",$AP57)</f>
        <v>X</v>
      </c>
      <c r="AS57" s="51" t="str">
        <f>IF(ISTEXT(VLOOKUP(CONCATENATE($A57,"_",AS$3),'Unit List'!$A$23:$H$3172,2,FALSE)),"X",$AP57)</f>
        <v>+</v>
      </c>
      <c r="AT57" s="53" t="str">
        <f>IF(ISTEXT(VLOOKUP(CONCATENATE($A57,"_",AT$3),'Unit List'!$A$23:$H$3172,2,FALSE)),"X",$AP57)</f>
        <v>+</v>
      </c>
      <c r="AU57" s="124" t="str">
        <f>IF(ISTEXT(VLOOKUP(CONCATENATE($A57,"_",AU$3),'Unit List'!$A$23:$H$3172,2,FALSE)),"+","")</f>
        <v>+</v>
      </c>
      <c r="AV57" s="51" t="str">
        <f>IF(ISTEXT(VLOOKUP(CONCATENATE($A57,"_",AV$3),'Unit List'!$A$23:$H$3172,2,FALSE)),"X",$AU57)</f>
        <v>+</v>
      </c>
      <c r="AW57" s="53" t="str">
        <f>IF(ISTEXT(VLOOKUP(CONCATENATE($A57,"_",AW$3),'Unit List'!$A$23:$H$3172,2,FALSE)),"X",$AU57)</f>
        <v>+</v>
      </c>
      <c r="AX57" s="172" t="str">
        <f>IF(ISTEXT(VLOOKUP(CONCATENATE($A57,"_",AX$3),'Unit List'!$A$23:$H$3172,2,FALSE)),"+","")</f>
        <v>+</v>
      </c>
      <c r="AY57" s="51" t="str">
        <f>IF(ISTEXT(VLOOKUP(CONCATENATE($A57,"_",AY$3),'Unit List'!$A$23:$H$3172,2,FALSE)),"X",$AX57)</f>
        <v>+</v>
      </c>
      <c r="AZ57" s="53" t="str">
        <f>IF(ISTEXT(VLOOKUP(CONCATENATE($A57,"_",AZ$3),'Unit List'!$A$23:$H$3172,2,FALSE)),"X",$AX57)</f>
        <v>+</v>
      </c>
      <c r="BA57" s="182" t="str">
        <f>IF(ISTEXT(VLOOKUP(CONCATENATE($A57,"_",BA$3),'Unit List'!$A$23:$H$3172,2,FALSE)),"+","")</f>
        <v>+</v>
      </c>
      <c r="BB57" s="51" t="str">
        <f>IF(ISTEXT(VLOOKUP(CONCATENATE($A57,"_",BB$3),'Unit List'!$A$23:$H$3172,2,FALSE)),"X",$BA57)</f>
        <v>+</v>
      </c>
      <c r="BC57" s="51" t="str">
        <f>IF(ISTEXT(VLOOKUP(CONCATENATE($A57,"_",BC$3),'Unit List'!$A$23:$H$3172,2,FALSE)),"X",$BA57)</f>
        <v>+</v>
      </c>
      <c r="BD57" s="53" t="str">
        <f>IF(ISTEXT(VLOOKUP(CONCATENATE($A57,"_",BD$3),'Unit List'!$A$23:$H$3172,2,FALSE)),"X",$BA57)</f>
        <v>+</v>
      </c>
      <c r="BE57" s="125" t="str">
        <f>IF(ISTEXT(VLOOKUP(CONCATENATE($A57,"_",BE$3),'Unit List'!$A$23:$H$3172,2,FALSE)),"+","")</f>
        <v/>
      </c>
      <c r="BF57" s="62" t="str">
        <f>IF(ISTEXT(VLOOKUP(CONCATENATE($A57,"_",BF$3),'Unit List'!$A$23:$H$3172,2,FALSE)),"X",$BE57)</f>
        <v/>
      </c>
      <c r="BG57" s="75"/>
      <c r="BH57" s="84"/>
      <c r="BI57" s="225"/>
      <c r="BJ57" s="226"/>
      <c r="BK57" s="226"/>
      <c r="BL57" s="226"/>
      <c r="BM57" s="227"/>
      <c r="BN57" s="54"/>
      <c r="BO57" s="54"/>
      <c r="BP57" s="54"/>
      <c r="BQ57" s="54"/>
      <c r="BR57" s="54"/>
      <c r="BS57" s="54"/>
      <c r="DZ57" s="55"/>
      <c r="EA57" s="55"/>
    </row>
    <row r="58" spans="1:131" ht="12.75" customHeight="1" x14ac:dyDescent="0.2">
      <c r="A58" s="56" t="s">
        <v>1158</v>
      </c>
      <c r="B58" s="181" t="str">
        <f>IF(ISTEXT(VLOOKUP(CONCATENATE($A58,"_",B$3),'Unit List'!$A$23:$H$3172,2,FALSE)),"+","")</f>
        <v/>
      </c>
      <c r="C58" s="82" t="str">
        <f>IF(ISTEXT(VLOOKUP(CONCATENATE($A58,"_",C$3),'Unit List'!$A$23:$H$3172,2,FALSE)),"X",$B58)</f>
        <v>X</v>
      </c>
      <c r="D58" s="67" t="str">
        <f>IF(ISTEXT(VLOOKUP(CONCATENATE($A58,"_",D$3),'Unit List'!$A$23:$H$3172,2,FALSE)),"X",$B58)</f>
        <v>X</v>
      </c>
      <c r="E58" s="51" t="str">
        <f>IF(ISTEXT(VLOOKUP(CONCATENATE($A58,"_",E$3),'Unit List'!$A$23:$H$3172,2,FALSE)),"X",$B58)</f>
        <v>X</v>
      </c>
      <c r="F58" s="67" t="str">
        <f>IF(ISTEXT(VLOOKUP(CONCATENATE($A58,"_",F$3),'Unit List'!$A$23:$H$3172,2,FALSE)),"X",$B58)</f>
        <v>X</v>
      </c>
      <c r="G58" s="67" t="str">
        <f>IF(ISTEXT(VLOOKUP(CONCATENATE($A58,"_",G$3),'Unit List'!$A$23:$H$3172,2,FALSE)),"X",$B58)</f>
        <v>X</v>
      </c>
      <c r="H58" s="67" t="str">
        <f>IF(ISTEXT(VLOOKUP(CONCATENATE($A58,"_",H$3),'Unit List'!$A$23:$H$3172,2,FALSE)),"X",$B58)</f>
        <v>X</v>
      </c>
      <c r="I58" s="53" t="str">
        <f>IF(ISTEXT(VLOOKUP(CONCATENATE($A58,"_",I$3),'Unit List'!$A$23:$H$3172,2,FALSE)),"X",$B58)</f>
        <v/>
      </c>
      <c r="J58" s="172" t="str">
        <f>IF(ISTEXT(VLOOKUP(CONCATENATE($A58,"_",J$3),'Unit List'!$A$23:$H$3172,2,FALSE)),"+","")</f>
        <v/>
      </c>
      <c r="K58" s="51" t="str">
        <f>IF(ISTEXT(VLOOKUP(CONCATENATE($A58,"_",K$3),'Unit List'!$A$23:$H$3172,2,FALSE)),"X",$J58)</f>
        <v/>
      </c>
      <c r="L58" s="62" t="str">
        <f>IF(ISTEXT(VLOOKUP(CONCATENATE($A58,"_",L$3),'Unit List'!$A$23:$H$3172,2,FALSE)),"X",$J58)</f>
        <v/>
      </c>
      <c r="M58" s="172" t="str">
        <f>IF(ISTEXT(VLOOKUP(CONCATENATE($A58,"_",M$3),'Unit List'!$A$23:$H$3172,2,FALSE)),"+","")</f>
        <v>+</v>
      </c>
      <c r="N58" s="51" t="str">
        <f>IF(ISTEXT(VLOOKUP(CONCATENATE($A58,"_",N$3),'Unit List'!$A$23:$H$3172,2,FALSE)),"X",$M58)</f>
        <v>+</v>
      </c>
      <c r="O58" s="70" t="str">
        <f>IF(ISTEXT(VLOOKUP(CONCATENATE($A58,"_",O$3),'Unit List'!$A$23:$H$3172,2,FALSE)),"X",$M58)</f>
        <v>+</v>
      </c>
      <c r="P58" s="172" t="str">
        <f>IF(ISTEXT(VLOOKUP(CONCATENATE($A58,"_",P$3),'Unit List'!$A$23:$H$3172,2,FALSE)),"+","")</f>
        <v>+</v>
      </c>
      <c r="Q58" s="51" t="str">
        <f>IF(ISTEXT(VLOOKUP(CONCATENATE($A58,"_",Q$3),'Unit List'!$A$23:$H$3172,2,FALSE)),"X",$P58)</f>
        <v>+</v>
      </c>
      <c r="R58" s="51" t="str">
        <f>IF(ISTEXT(VLOOKUP(CONCATENATE($A58,"_",R$3),'Unit List'!$A$23:$H$3172,2,FALSE)),"X",$P58)</f>
        <v>+</v>
      </c>
      <c r="S58" s="67" t="str">
        <f>IF(ISTEXT(VLOOKUP(CONCATENATE($A58,"_",S$3),'Unit List'!$A$23:$H$3172,2,FALSE)),"X",$P58)</f>
        <v>+</v>
      </c>
      <c r="T58" s="52" t="str">
        <f>IF(ISTEXT(VLOOKUP(CONCATENATE($A58,"_",T$3),'Unit List'!$A$23:$H$3172,2,FALSE)),"X",$P58)</f>
        <v>+</v>
      </c>
      <c r="U58" s="67" t="str">
        <f>IF(ISTEXT(VLOOKUP(CONCATENATE($A58,"_",U$3),'Unit List'!$A$23:$H$3172,2,FALSE)),"X",$P58)</f>
        <v>X</v>
      </c>
      <c r="V58" s="51" t="str">
        <f>IF(ISTEXT(VLOOKUP(CONCATENATE($A58,"_",V$3),'Unit List'!$A$23:$H$3172,2,FALSE)),"X",$P58)</f>
        <v>+</v>
      </c>
      <c r="W58" s="53" t="str">
        <f>IF(ISTEXT(VLOOKUP(CONCATENATE($A58,"_",W$3),'Unit List'!$A$23:$H$3172,2,FALSE)),"X",$P58)</f>
        <v>+</v>
      </c>
      <c r="X58" s="172" t="str">
        <f>IF(ISTEXT(VLOOKUP(CONCATENATE($A58,"_",X$3),'Unit List'!$A$23:$H$3172,2,FALSE)),"+","")</f>
        <v>+</v>
      </c>
      <c r="Y58" s="67" t="str">
        <f>IF(ISTEXT(VLOOKUP(CONCATENATE($A58,"_",Y$3),'Unit List'!$A$23:$H$3172,2,FALSE)),"X",$X58)</f>
        <v>+</v>
      </c>
      <c r="Z58" s="51" t="str">
        <f>IF(ISTEXT(VLOOKUP(CONCATENATE($A58,"_",Z$3),'Unit List'!$A$23:$H$3172,2,FALSE)),"X",$X58)</f>
        <v>+</v>
      </c>
      <c r="AA58" s="51" t="str">
        <f>IF(ISTEXT(VLOOKUP(CONCATENATE($A58,"_",AA$3),'Unit List'!$A$23:$H$3172,2,FALSE)),"X",$X58)</f>
        <v>+</v>
      </c>
      <c r="AB58" s="51" t="str">
        <f>IF(ISTEXT(VLOOKUP(CONCATENATE($A58,"_",AB$3),'Unit List'!$A$23:$H$3172,2,FALSE)),"X",$X58)</f>
        <v>+</v>
      </c>
      <c r="AC58" s="62" t="str">
        <f>IF(ISTEXT(VLOOKUP(CONCATENATE($A58,"_",AC$3),'Unit List'!$A$23:$H$3172,2,FALSE)),"X",$X58)</f>
        <v>+</v>
      </c>
      <c r="AD58" s="172" t="str">
        <f>IF(ISTEXT(VLOOKUP(CONCATENATE($A58,"_",AD$3),'Unit List'!$A$23:$H$3172,2,FALSE)),"+","")</f>
        <v/>
      </c>
      <c r="AE58" s="51" t="str">
        <f>IF(ISTEXT(VLOOKUP(CONCATENATE($A58,"_",AE$3),'Unit List'!$A$23:$H$3172,2,FALSE)),"X",$AD58)</f>
        <v/>
      </c>
      <c r="AF58" s="51" t="str">
        <f>IF(ISTEXT(VLOOKUP(CONCATENATE($A58,"_",AF$3),'Unit List'!$A$23:$H$3172,2,FALSE)),"X",$AD58)</f>
        <v/>
      </c>
      <c r="AG58" s="172" t="str">
        <f>IF(ISTEXT(VLOOKUP(CONCATENATE($A58,"_",AG$3),'Unit List'!$A$23:$H$3172,2,FALSE)),"+","")</f>
        <v/>
      </c>
      <c r="AH58" s="51" t="str">
        <f>IF(ISTEXT(VLOOKUP(CONCATENATE($A58,"_",AH$3),'Unit List'!$A$23:$H$3172,2,FALSE)),"X",$AG58)</f>
        <v/>
      </c>
      <c r="AI58" s="51" t="str">
        <f>IF(ISTEXT(VLOOKUP(CONCATENATE($A58,"_",AI$3),'Unit List'!$A$23:$H$3172,2,FALSE)),"X",$AG58)</f>
        <v/>
      </c>
      <c r="AJ58" s="53" t="str">
        <f>IF(ISTEXT(VLOOKUP(CONCATENATE($A58,"_",AJ$3),'Unit List'!$A$23:$H$3172,2,FALSE)),"X",$AG58)</f>
        <v/>
      </c>
      <c r="AK58" s="172" t="str">
        <f>IF(ISTEXT(VLOOKUP(CONCATENATE($A58,"_",AK$3),'Unit List'!$A$23:$H$3172,2,FALSE)),"+","")</f>
        <v>+</v>
      </c>
      <c r="AL58" s="52" t="str">
        <f>IF(ISTEXT(VLOOKUP(CONCATENATE($A58,"_",AL$3),'Unit List'!$A$23:$H$3172,2,FALSE)),"X",$AK58)</f>
        <v>X</v>
      </c>
      <c r="AM58" s="70" t="str">
        <f>IF(ISTEXT(VLOOKUP(CONCATENATE($A58,"_",AM$3),'Unit List'!$A$23:$H$3172,2,FALSE)),"X",$AK58)</f>
        <v>+</v>
      </c>
      <c r="AN58" s="125" t="str">
        <f>IF(ISTEXT(VLOOKUP(CONCATENATE($A58,"_",AN$3),'Unit List'!$A$23:$H$3172,2,FALSE)),"+","")</f>
        <v>+</v>
      </c>
      <c r="AO58" s="70" t="str">
        <f>IF(ISTEXT(VLOOKUP(CONCATENATE($A58,"_",AO$3),'Unit List'!$A$23:$H$3172,2,FALSE)),"X",$AN58)</f>
        <v>+</v>
      </c>
      <c r="AP58" s="172" t="str">
        <f>IF(ISTEXT(VLOOKUP(CONCATENATE($A58,"_",AP$3),'Unit List'!$A$23:$H$3172,2,FALSE)),"+","")</f>
        <v/>
      </c>
      <c r="AQ58" s="51" t="str">
        <f>IF(ISTEXT(VLOOKUP(CONCATENATE($A58,"_",AQ$3),'Unit List'!$A$23:$H$3172,2,FALSE)),"X",$AP58)</f>
        <v/>
      </c>
      <c r="AR58" s="67" t="str">
        <f>IF(ISTEXT(VLOOKUP(CONCATENATE($A58,"_",AR$3),'Unit List'!$A$23:$H$3172,2,FALSE)),"X",$AP58)</f>
        <v>X</v>
      </c>
      <c r="AS58" s="51" t="str">
        <f>IF(ISTEXT(VLOOKUP(CONCATENATE($A58,"_",AS$3),'Unit List'!$A$23:$H$3172,2,FALSE)),"X",$AP58)</f>
        <v/>
      </c>
      <c r="AT58" s="53" t="str">
        <f>IF(ISTEXT(VLOOKUP(CONCATENATE($A58,"_",AT$3),'Unit List'!$A$23:$H$3172,2,FALSE)),"X",$AP58)</f>
        <v/>
      </c>
      <c r="AU58" s="124" t="str">
        <f>IF(ISTEXT(VLOOKUP(CONCATENATE($A58,"_",AU$3),'Unit List'!$A$23:$H$3172,2,FALSE)),"+","")</f>
        <v/>
      </c>
      <c r="AV58" s="51" t="str">
        <f>IF(ISTEXT(VLOOKUP(CONCATENATE($A58,"_",AV$3),'Unit List'!$A$23:$H$3172,2,FALSE)),"X",$AU58)</f>
        <v/>
      </c>
      <c r="AW58" s="53" t="str">
        <f>IF(ISTEXT(VLOOKUP(CONCATENATE($A58,"_",AW$3),'Unit List'!$A$23:$H$3172,2,FALSE)),"X",$AU58)</f>
        <v/>
      </c>
      <c r="AX58" s="171" t="str">
        <f>IF(ISTEXT(VLOOKUP(CONCATENATE($A58,"_",AX$3),'Unit List'!$A$23:$H$3172,2,FALSE)),"+","")</f>
        <v>+</v>
      </c>
      <c r="AY58" s="67" t="str">
        <f>IF(ISTEXT(VLOOKUP(CONCATENATE($A58,"_",AY$3),'Unit List'!$A$23:$H$3172,2,FALSE)),"X",$AX58)</f>
        <v>+</v>
      </c>
      <c r="AZ58" s="70" t="str">
        <f>IF(ISTEXT(VLOOKUP(CONCATENATE($A58,"_",AZ$3),'Unit List'!$A$23:$H$3172,2,FALSE)),"X",$AX58)</f>
        <v>+</v>
      </c>
      <c r="BA58" s="182" t="str">
        <f>IF(ISTEXT(VLOOKUP(CONCATENATE($A58,"_",BA$3),'Unit List'!$A$23:$H$3172,2,FALSE)),"+","")</f>
        <v/>
      </c>
      <c r="BB58" s="51" t="str">
        <f>IF(ISTEXT(VLOOKUP(CONCATENATE($A58,"_",BB$3),'Unit List'!$A$23:$H$3172,2,FALSE)),"X",$BA58)</f>
        <v/>
      </c>
      <c r="BC58" s="51" t="str">
        <f>IF(ISTEXT(VLOOKUP(CONCATENATE($A58,"_",BC$3),'Unit List'!$A$23:$H$3172,2,FALSE)),"X",$BA58)</f>
        <v/>
      </c>
      <c r="BD58" s="53" t="str">
        <f>IF(ISTEXT(VLOOKUP(CONCATENATE($A58,"_",BD$3),'Unit List'!$A$23:$H$3172,2,FALSE)),"X",$BA58)</f>
        <v/>
      </c>
      <c r="BE58" s="125" t="str">
        <f>IF(ISTEXT(VLOOKUP(CONCATENATE($A58,"_",BE$3),'Unit List'!$A$23:$H$3172,2,FALSE)),"+","")</f>
        <v/>
      </c>
      <c r="BF58" s="62" t="str">
        <f>IF(ISTEXT(VLOOKUP(CONCATENATE($A58,"_",BF$3),'Unit List'!$A$23:$H$3172,2,FALSE)),"X",$BE58)</f>
        <v/>
      </c>
      <c r="BG58" s="75"/>
      <c r="BH58" s="84"/>
      <c r="BI58" s="225" t="s">
        <v>10</v>
      </c>
      <c r="BJ58" s="226"/>
      <c r="BK58" s="226"/>
      <c r="BL58" s="226"/>
      <c r="BM58" s="227"/>
      <c r="BN58" s="54"/>
      <c r="BO58" s="54"/>
      <c r="BP58" s="54"/>
      <c r="BQ58" s="54"/>
      <c r="BR58" s="54"/>
      <c r="BS58" s="54"/>
      <c r="DZ58" s="55"/>
      <c r="EA58" s="55"/>
    </row>
    <row r="59" spans="1:131" ht="12.75" customHeight="1" x14ac:dyDescent="0.2">
      <c r="A59" s="56" t="s">
        <v>1157</v>
      </c>
      <c r="B59" s="181" t="str">
        <f>IF(ISTEXT(VLOOKUP(CONCATENATE($A59,"_",B$3),'Unit List'!$A$23:$H$3172,2,FALSE)),"+","")</f>
        <v/>
      </c>
      <c r="C59" s="82" t="str">
        <f>IF(ISTEXT(VLOOKUP(CONCATENATE($A59,"_",C$3),'Unit List'!$A$23:$H$3172,2,FALSE)),"X",$B59)</f>
        <v>X</v>
      </c>
      <c r="D59" s="67" t="str">
        <f>IF(ISTEXT(VLOOKUP(CONCATENATE($A59,"_",D$3),'Unit List'!$A$23:$H$3172,2,FALSE)),"X",$B59)</f>
        <v>X</v>
      </c>
      <c r="E59" s="51" t="str">
        <f>IF(ISTEXT(VLOOKUP(CONCATENATE($A59,"_",E$3),'Unit List'!$A$23:$H$3172,2,FALSE)),"X",$B59)</f>
        <v>X</v>
      </c>
      <c r="F59" s="67" t="str">
        <f>IF(ISTEXT(VLOOKUP(CONCATENATE($A59,"_",F$3),'Unit List'!$A$23:$H$3172,2,FALSE)),"X",$B59)</f>
        <v>X</v>
      </c>
      <c r="G59" s="67" t="str">
        <f>IF(ISTEXT(VLOOKUP(CONCATENATE($A59,"_",G$3),'Unit List'!$A$23:$H$3172,2,FALSE)),"X",$B59)</f>
        <v>X</v>
      </c>
      <c r="H59" s="67" t="str">
        <f>IF(ISTEXT(VLOOKUP(CONCATENATE($A59,"_",H$3),'Unit List'!$A$23:$H$3172,2,FALSE)),"X",$B59)</f>
        <v>X</v>
      </c>
      <c r="I59" s="53" t="str">
        <f>IF(ISTEXT(VLOOKUP(CONCATENATE($A59,"_",I$3),'Unit List'!$A$23:$H$3172,2,FALSE)),"X",$B59)</f>
        <v/>
      </c>
      <c r="J59" s="171" t="str">
        <f>IF(ISTEXT(VLOOKUP(CONCATENATE($A59,"_",J$3),'Unit List'!$A$23:$H$3172,2,FALSE)),"+","")</f>
        <v/>
      </c>
      <c r="K59" s="51" t="str">
        <f>IF(ISTEXT(VLOOKUP(CONCATENATE($A59,"_",K$3),'Unit List'!$A$23:$H$3172,2,FALSE)),"X",$J59)</f>
        <v/>
      </c>
      <c r="L59" s="86" t="str">
        <f>IF(ISTEXT(VLOOKUP(CONCATENATE($A59,"_",L$3),'Unit List'!$A$23:$H$3172,2,FALSE)),"X",$J59)</f>
        <v>X</v>
      </c>
      <c r="M59" s="171" t="str">
        <f>IF(ISTEXT(VLOOKUP(CONCATENATE($A59,"_",M$3),'Unit List'!$A$23:$H$3172,2,FALSE)),"+","")</f>
        <v>+</v>
      </c>
      <c r="N59" s="67" t="str">
        <f>IF(ISTEXT(VLOOKUP(CONCATENATE($A59,"_",N$3),'Unit List'!$A$23:$H$3172,2,FALSE)),"X",$M59)</f>
        <v>X</v>
      </c>
      <c r="O59" s="70" t="str">
        <f>IF(ISTEXT(VLOOKUP(CONCATENATE($A59,"_",O$3),'Unit List'!$A$23:$H$3172,2,FALSE)),"X",$M59)</f>
        <v>X</v>
      </c>
      <c r="P59" s="172" t="str">
        <f>IF(ISTEXT(VLOOKUP(CONCATENATE($A59,"_",P$3),'Unit List'!$A$23:$H$3172,2,FALSE)),"+","")</f>
        <v/>
      </c>
      <c r="Q59" s="51" t="str">
        <f>IF(ISTEXT(VLOOKUP(CONCATENATE($A59,"_",Q$3),'Unit List'!$A$23:$H$3172,2,FALSE)),"X",$P59)</f>
        <v>X</v>
      </c>
      <c r="R59" s="51" t="str">
        <f>IF(ISTEXT(VLOOKUP(CONCATENATE($A59,"_",R$3),'Unit List'!$A$23:$H$3172,2,FALSE)),"X",$P59)</f>
        <v/>
      </c>
      <c r="S59" s="67" t="str">
        <f>IF(ISTEXT(VLOOKUP(CONCATENATE($A59,"_",S$3),'Unit List'!$A$23:$H$3172,2,FALSE)),"X",$P59)</f>
        <v>X</v>
      </c>
      <c r="T59" s="52" t="str">
        <f>IF(ISTEXT(VLOOKUP(CONCATENATE($A59,"_",T$3),'Unit List'!$A$23:$H$3172,2,FALSE)),"X",$P59)</f>
        <v/>
      </c>
      <c r="U59" s="67" t="str">
        <f>IF(ISTEXT(VLOOKUP(CONCATENATE($A59,"_",U$3),'Unit List'!$A$23:$H$3172,2,FALSE)),"X",$P59)</f>
        <v>X</v>
      </c>
      <c r="V59" s="51" t="str">
        <f>IF(ISTEXT(VLOOKUP(CONCATENATE($A59,"_",V$3),'Unit List'!$A$23:$H$3172,2,FALSE)),"X",$P59)</f>
        <v>X</v>
      </c>
      <c r="W59" s="53" t="str">
        <f>IF(ISTEXT(VLOOKUP(CONCATENATE($A59,"_",W$3),'Unit List'!$A$23:$H$3172,2,FALSE)),"X",$P59)</f>
        <v/>
      </c>
      <c r="X59" s="172" t="str">
        <f>IF(ISTEXT(VLOOKUP(CONCATENATE($A59,"_",X$3),'Unit List'!$A$23:$H$3172,2,FALSE)),"+","")</f>
        <v/>
      </c>
      <c r="Y59" s="51" t="str">
        <f>IF(ISTEXT(VLOOKUP(CONCATENATE($A59,"_",Y$3),'Unit List'!$A$23:$H$3172,2,FALSE)),"X",$X59)</f>
        <v/>
      </c>
      <c r="Z59" s="51" t="str">
        <f>IF(ISTEXT(VLOOKUP(CONCATENATE($A59,"_",Z$3),'Unit List'!$A$23:$H$3172,2,FALSE)),"X",$X59)</f>
        <v/>
      </c>
      <c r="AA59" s="51" t="str">
        <f>IF(ISTEXT(VLOOKUP(CONCATENATE($A59,"_",AA$3),'Unit List'!$A$23:$H$3172,2,FALSE)),"X",$X59)</f>
        <v/>
      </c>
      <c r="AB59" s="51" t="str">
        <f>IF(ISTEXT(VLOOKUP(CONCATENATE($A59,"_",AB$3),'Unit List'!$A$23:$H$3172,2,FALSE)),"X",$X59)</f>
        <v/>
      </c>
      <c r="AC59" s="62" t="str">
        <f>IF(ISTEXT(VLOOKUP(CONCATENATE($A59,"_",AC$3),'Unit List'!$A$23:$H$3172,2,FALSE)),"X",$X59)</f>
        <v/>
      </c>
      <c r="AD59" s="172" t="str">
        <f>IF(ISTEXT(VLOOKUP(CONCATENATE($A59,"_",AD$3),'Unit List'!$A$23:$H$3172,2,FALSE)),"+","")</f>
        <v>+</v>
      </c>
      <c r="AE59" s="51" t="str">
        <f>IF(ISTEXT(VLOOKUP(CONCATENATE($A59,"_",AE$3),'Unit List'!$A$23:$H$3172,2,FALSE)),"X",$AD59)</f>
        <v>+</v>
      </c>
      <c r="AF59" s="51" t="str">
        <f>IF(ISTEXT(VLOOKUP(CONCATENATE($A59,"_",AF$3),'Unit List'!$A$23:$H$3172,2,FALSE)),"X",$AD59)</f>
        <v>+</v>
      </c>
      <c r="AG59" s="172" t="str">
        <f>IF(ISTEXT(VLOOKUP(CONCATENATE($A59,"_",AG$3),'Unit List'!$A$23:$H$3172,2,FALSE)),"+","")</f>
        <v/>
      </c>
      <c r="AH59" s="51" t="str">
        <f>IF(ISTEXT(VLOOKUP(CONCATENATE($A59,"_",AH$3),'Unit List'!$A$23:$H$3172,2,FALSE)),"X",$AG59)</f>
        <v/>
      </c>
      <c r="AI59" s="51" t="str">
        <f>IF(ISTEXT(VLOOKUP(CONCATENATE($A59,"_",AI$3),'Unit List'!$A$23:$H$3172,2,FALSE)),"X",$AG59)</f>
        <v/>
      </c>
      <c r="AJ59" s="53" t="str">
        <f>IF(ISTEXT(VLOOKUP(CONCATENATE($A59,"_",AJ$3),'Unit List'!$A$23:$H$3172,2,FALSE)),"X",$AG59)</f>
        <v>X</v>
      </c>
      <c r="AK59" s="172" t="str">
        <f>IF(ISTEXT(VLOOKUP(CONCATENATE($A59,"_",AK$3),'Unit List'!$A$23:$H$3172,2,FALSE)),"+","")</f>
        <v/>
      </c>
      <c r="AL59" s="87" t="str">
        <f>IF(ISTEXT(VLOOKUP(CONCATENATE($A59,"_",AL$3),'Unit List'!$A$23:$H$3172,2,FALSE)),"X",$AK59)</f>
        <v>X</v>
      </c>
      <c r="AM59" s="53" t="str">
        <f>IF(ISTEXT(VLOOKUP(CONCATENATE($A59,"_",AM$3),'Unit List'!$A$23:$H$3172,2,FALSE)),"X",$AK59)</f>
        <v/>
      </c>
      <c r="AN59" s="125" t="str">
        <f>IF(ISTEXT(VLOOKUP(CONCATENATE($A59,"_",AN$3),'Unit List'!$A$23:$H$3172,2,FALSE)),"+","")</f>
        <v>+</v>
      </c>
      <c r="AO59" s="53" t="str">
        <f>IF(ISTEXT(VLOOKUP(CONCATENATE($A59,"_",AO$3),'Unit List'!$A$23:$H$3172,2,FALSE)),"X",$AN59)</f>
        <v>+</v>
      </c>
      <c r="AP59" s="172" t="str">
        <f>IF(ISTEXT(VLOOKUP(CONCATENATE($A59,"_",AP$3),'Unit List'!$A$23:$H$3172,2,FALSE)),"+","")</f>
        <v/>
      </c>
      <c r="AQ59" s="51" t="str">
        <f>IF(ISTEXT(VLOOKUP(CONCATENATE($A59,"_",AQ$3),'Unit List'!$A$23:$H$3172,2,FALSE)),"X",$AP59)</f>
        <v>X</v>
      </c>
      <c r="AR59" s="67" t="str">
        <f>IF(ISTEXT(VLOOKUP(CONCATENATE($A59,"_",AR$3),'Unit List'!$A$23:$H$3172,2,FALSE)),"X",$AP59)</f>
        <v>X</v>
      </c>
      <c r="AS59" s="51" t="str">
        <f>IF(ISTEXT(VLOOKUP(CONCATENATE($A59,"_",AS$3),'Unit List'!$A$23:$H$3172,2,FALSE)),"X",$AP59)</f>
        <v>X</v>
      </c>
      <c r="AT59" s="53" t="str">
        <f>IF(ISTEXT(VLOOKUP(CONCATENATE($A59,"_",AT$3),'Unit List'!$A$23:$H$3172,2,FALSE)),"X",$AP59)</f>
        <v/>
      </c>
      <c r="AU59" s="124" t="str">
        <f>IF(ISTEXT(VLOOKUP(CONCATENATE($A59,"_",AU$3),'Unit List'!$A$23:$H$3172,2,FALSE)),"+","")</f>
        <v>+</v>
      </c>
      <c r="AV59" s="51" t="str">
        <f>IF(ISTEXT(VLOOKUP(CONCATENATE($A59,"_",AV$3),'Unit List'!$A$23:$H$3172,2,FALSE)),"X",$AU59)</f>
        <v>+</v>
      </c>
      <c r="AW59" s="53" t="str">
        <f>IF(ISTEXT(VLOOKUP(CONCATENATE($A59,"_",AW$3),'Unit List'!$A$23:$H$3172,2,FALSE)),"X",$AU59)</f>
        <v>+</v>
      </c>
      <c r="AX59" s="172" t="str">
        <f>IF(ISTEXT(VLOOKUP(CONCATENATE($A59,"_",AX$3),'Unit List'!$A$23:$H$3172,2,FALSE)),"+","")</f>
        <v>+</v>
      </c>
      <c r="AY59" s="51" t="str">
        <f>IF(ISTEXT(VLOOKUP(CONCATENATE($A59,"_",AY$3),'Unit List'!$A$23:$H$3172,2,FALSE)),"X",$AX59)</f>
        <v>+</v>
      </c>
      <c r="AZ59" s="53" t="str">
        <f>IF(ISTEXT(VLOOKUP(CONCATENATE($A59,"_",AZ$3),'Unit List'!$A$23:$H$3172,2,FALSE)),"X",$AX59)</f>
        <v>+</v>
      </c>
      <c r="BA59" s="182" t="str">
        <f>IF(ISTEXT(VLOOKUP(CONCATENATE($A59,"_",BA$3),'Unit List'!$A$23:$H$3172,2,FALSE)),"+","")</f>
        <v/>
      </c>
      <c r="BB59" s="51" t="str">
        <f>IF(ISTEXT(VLOOKUP(CONCATENATE($A59,"_",BB$3),'Unit List'!$A$23:$H$3172,2,FALSE)),"X",$BA59)</f>
        <v/>
      </c>
      <c r="BC59" s="51" t="str">
        <f>IF(ISTEXT(VLOOKUP(CONCATENATE($A59,"_",BC$3),'Unit List'!$A$23:$H$3172,2,FALSE)),"X",$BA59)</f>
        <v/>
      </c>
      <c r="BD59" s="53" t="str">
        <f>IF(ISTEXT(VLOOKUP(CONCATENATE($A59,"_",BD$3),'Unit List'!$A$23:$H$3172,2,FALSE)),"X",$BA59)</f>
        <v/>
      </c>
      <c r="BE59" s="125" t="str">
        <f>IF(ISTEXT(VLOOKUP(CONCATENATE($A59,"_",BE$3),'Unit List'!$A$23:$H$3172,2,FALSE)),"+","")</f>
        <v/>
      </c>
      <c r="BF59" s="62" t="str">
        <f>IF(ISTEXT(VLOOKUP(CONCATENATE($A59,"_",BF$3),'Unit List'!$A$23:$H$3172,2,FALSE)),"X",$BE59)</f>
        <v/>
      </c>
      <c r="BG59" s="75"/>
      <c r="BH59" s="84"/>
      <c r="BI59" s="225" t="s">
        <v>9</v>
      </c>
      <c r="BJ59" s="228"/>
      <c r="BK59" s="228"/>
      <c r="BL59" s="228"/>
      <c r="BM59" s="229"/>
      <c r="BN59" s="54"/>
      <c r="BO59" s="54"/>
      <c r="BP59" s="54"/>
      <c r="BQ59" s="54"/>
      <c r="BR59" s="54"/>
      <c r="BS59" s="54"/>
      <c r="DZ59" s="55"/>
      <c r="EA59" s="55"/>
    </row>
    <row r="60" spans="1:131" ht="12.75" customHeight="1" x14ac:dyDescent="0.2">
      <c r="A60" s="56" t="s">
        <v>2393</v>
      </c>
      <c r="B60" s="181" t="str">
        <f>IF(ISTEXT(VLOOKUP(CONCATENATE($A60,"_",B$3),'Unit List'!$A$23:$H$3172,2,FALSE)),"+","")</f>
        <v/>
      </c>
      <c r="C60" s="82" t="str">
        <f>IF(ISTEXT(VLOOKUP(CONCATENATE($A60,"_",C$3),'Unit List'!$A$23:$H$3172,2,FALSE)),"X",$B60)</f>
        <v>X</v>
      </c>
      <c r="D60" s="67" t="str">
        <f>IF(ISTEXT(VLOOKUP(CONCATENATE($A60,"_",D$3),'Unit List'!$A$23:$H$3172,2,FALSE)),"X",$B60)</f>
        <v>X</v>
      </c>
      <c r="E60" s="51" t="str">
        <f>IF(ISTEXT(VLOOKUP(CONCATENATE($A60,"_",E$3),'Unit List'!$A$23:$H$3172,2,FALSE)),"X",$B60)</f>
        <v>X</v>
      </c>
      <c r="F60" s="67" t="str">
        <f>IF(ISTEXT(VLOOKUP(CONCATENATE($A60,"_",F$3),'Unit List'!$A$23:$H$3172,2,FALSE)),"X",$B60)</f>
        <v>X</v>
      </c>
      <c r="G60" s="99" t="str">
        <f>IF(ISTEXT(VLOOKUP(CONCATENATE($A60,"_",G$3),'Unit List'!$A$23:$H$3172,2,FALSE)),"X",$B60)</f>
        <v>X</v>
      </c>
      <c r="H60" s="67" t="str">
        <f>IF(ISTEXT(VLOOKUP(CONCATENATE($A60,"_",H$3),'Unit List'!$A$23:$H$3172,2,FALSE)),"X",$B60)</f>
        <v>X</v>
      </c>
      <c r="I60" s="70" t="str">
        <f>IF(ISTEXT(VLOOKUP(CONCATENATE($A60,"_",I$3),'Unit List'!$A$23:$H$3172,2,FALSE)),"X",$B60)</f>
        <v>X</v>
      </c>
      <c r="J60" s="171" t="str">
        <f>IF(ISTEXT(VLOOKUP(CONCATENATE($A60,"_",J$3),'Unit List'!$A$23:$H$3172,2,FALSE)),"+","")</f>
        <v/>
      </c>
      <c r="K60" s="51" t="str">
        <f>IF(ISTEXT(VLOOKUP(CONCATENATE($A60,"_",K$3),'Unit List'!$A$23:$H$3172,2,FALSE)),"X",$J60)</f>
        <v/>
      </c>
      <c r="L60" s="86" t="str">
        <f>IF(ISTEXT(VLOOKUP(CONCATENATE($A60,"_",L$3),'Unit List'!$A$23:$H$3172,2,FALSE)),"X",$J60)</f>
        <v>X</v>
      </c>
      <c r="M60" s="171" t="str">
        <f>IF(ISTEXT(VLOOKUP(CONCATENATE($A60,"_",M$3),'Unit List'!$A$23:$H$3172,2,FALSE)),"+","")</f>
        <v>+</v>
      </c>
      <c r="N60" s="67" t="str">
        <f>IF(ISTEXT(VLOOKUP(CONCATENATE($A60,"_",N$3),'Unit List'!$A$23:$H$3172,2,FALSE)),"X",$M60)</f>
        <v>+</v>
      </c>
      <c r="O60" s="70" t="str">
        <f>IF(ISTEXT(VLOOKUP(CONCATENATE($A60,"_",O$3),'Unit List'!$A$23:$H$3172,2,FALSE)),"X",$M60)</f>
        <v>X</v>
      </c>
      <c r="P60" s="172" t="str">
        <f>IF(ISTEXT(VLOOKUP(CONCATENATE($A60,"_",P$3),'Unit List'!$A$23:$H$3172,2,FALSE)),"+","")</f>
        <v/>
      </c>
      <c r="Q60" s="90" t="s">
        <v>0</v>
      </c>
      <c r="R60" s="51" t="str">
        <f>IF(ISTEXT(VLOOKUP(CONCATENATE($A60,"_",R$3),'Unit List'!$A$23:$H$3172,2,FALSE)),"X",$P60)</f>
        <v/>
      </c>
      <c r="S60" s="67" t="str">
        <f>IF(ISTEXT(VLOOKUP(CONCATENATE($A60,"_",S$3),'Unit List'!$A$23:$H$3172,2,FALSE)),"X",$P60)</f>
        <v>X</v>
      </c>
      <c r="T60" s="52" t="str">
        <f>IF(ISTEXT(VLOOKUP(CONCATENATE($A60,"_",T$3),'Unit List'!$A$23:$H$3172,2,FALSE)),"X",$P60)</f>
        <v/>
      </c>
      <c r="U60" s="67" t="str">
        <f>IF(ISTEXT(VLOOKUP(CONCATENATE($A60,"_",U$3),'Unit List'!$A$23:$H$3172,2,FALSE)),"X",$P60)</f>
        <v>X</v>
      </c>
      <c r="V60" s="67" t="str">
        <f>IF(ISTEXT(VLOOKUP(CONCATENATE($A60,"_",V$3),'Unit List'!$A$23:$H$3172,2,FALSE)),"X",$P60)</f>
        <v>X</v>
      </c>
      <c r="W60" s="53" t="str">
        <f>IF(ISTEXT(VLOOKUP(CONCATENATE($A60,"_",W$3),'Unit List'!$A$23:$H$3172,2,FALSE)),"X",$P60)</f>
        <v/>
      </c>
      <c r="X60" s="172" t="str">
        <f>IF(ISTEXT(VLOOKUP(CONCATENATE($A60,"_",X$3),'Unit List'!$A$23:$H$3172,2,FALSE)),"+","")</f>
        <v/>
      </c>
      <c r="Y60" s="51" t="str">
        <f>IF(ISTEXT(VLOOKUP(CONCATENATE($A60,"_",Y$3),'Unit List'!$A$23:$H$3172,2,FALSE)),"X",$X60)</f>
        <v/>
      </c>
      <c r="Z60" s="51" t="str">
        <f>IF(ISTEXT(VLOOKUP(CONCATENATE($A60,"_",Z$3),'Unit List'!$A$23:$H$3172,2,FALSE)),"X",$X60)</f>
        <v/>
      </c>
      <c r="AA60" s="51" t="str">
        <f>IF(ISTEXT(VLOOKUP(CONCATENATE($A60,"_",AA$3),'Unit List'!$A$23:$H$3172,2,FALSE)),"X",$X60)</f>
        <v/>
      </c>
      <c r="AB60" s="51" t="str">
        <f>IF(ISTEXT(VLOOKUP(CONCATENATE($A60,"_",AB$3),'Unit List'!$A$23:$H$3172,2,FALSE)),"X",$X60)</f>
        <v/>
      </c>
      <c r="AC60" s="62" t="str">
        <f>IF(ISTEXT(VLOOKUP(CONCATENATE($A60,"_",AC$3),'Unit List'!$A$23:$H$3172,2,FALSE)),"X",$X60)</f>
        <v/>
      </c>
      <c r="AD60" s="171" t="str">
        <f>IF(ISTEXT(VLOOKUP(CONCATENATE($A60,"_",AD$3),'Unit List'!$A$23:$H$3172,2,FALSE)),"+","")</f>
        <v/>
      </c>
      <c r="AE60" s="51" t="str">
        <f>IF(ISTEXT(VLOOKUP(CONCATENATE($A60,"_",AE$3),'Unit List'!$A$23:$H$3172,2,FALSE)),"X",$AD60)</f>
        <v/>
      </c>
      <c r="AF60" s="51" t="str">
        <f>IF(ISTEXT(VLOOKUP(CONCATENATE($A60,"_",AF$3),'Unit List'!$A$23:$H$3172,2,FALSE)),"X",$AD60)</f>
        <v/>
      </c>
      <c r="AG60" s="171" t="str">
        <f>IF(ISTEXT(VLOOKUP(CONCATENATE($A60,"_",AG$3),'Unit List'!$A$23:$H$3172,2,FALSE)),"+","")</f>
        <v>+</v>
      </c>
      <c r="AH60" s="67" t="str">
        <f>IF(ISTEXT(VLOOKUP(CONCATENATE($A60,"_",AH$3),'Unit List'!$A$23:$H$3172,2,FALSE)),"X",$AG60)</f>
        <v>+</v>
      </c>
      <c r="AI60" s="67" t="str">
        <f>IF(ISTEXT(VLOOKUP(CONCATENATE($A60,"_",AI$3),'Unit List'!$A$23:$H$3172,2,FALSE)),"X",$AG60)</f>
        <v>+</v>
      </c>
      <c r="AJ60" s="70" t="str">
        <f>IF(ISTEXT(VLOOKUP(CONCATENATE($A60,"_",AJ$3),'Unit List'!$A$23:$H$3172,2,FALSE)),"X",$AG60)</f>
        <v>+</v>
      </c>
      <c r="AK60" s="172" t="str">
        <f>IF(ISTEXT(VLOOKUP(CONCATENATE($A60,"_",AK$3),'Unit List'!$A$23:$H$3172,2,FALSE)),"+","")</f>
        <v>+</v>
      </c>
      <c r="AL60" s="87" t="str">
        <f>IF(ISTEXT(VLOOKUP(CONCATENATE($A60,"_",AL$3),'Unit List'!$A$23:$H$3172,2,FALSE)),"X",$AK60)</f>
        <v>+</v>
      </c>
      <c r="AM60" s="53" t="str">
        <f>IF(ISTEXT(VLOOKUP(CONCATENATE($A60,"_",AM$3),'Unit List'!$A$23:$H$3172,2,FALSE)),"X",$AK60)</f>
        <v>+</v>
      </c>
      <c r="AN60" s="125" t="str">
        <f>IF(ISTEXT(VLOOKUP(CONCATENATE($A60,"_",AN$3),'Unit List'!$A$23:$H$3172,2,FALSE)),"+","")</f>
        <v/>
      </c>
      <c r="AO60" s="53" t="str">
        <f>IF(ISTEXT(VLOOKUP(CONCATENATE($A60,"_",AO$3),'Unit List'!$A$23:$H$3172,2,FALSE)),"X",$AN60)</f>
        <v/>
      </c>
      <c r="AP60" s="171" t="str">
        <f>IF(ISTEXT(VLOOKUP(CONCATENATE($A60,"_",AP$3),'Unit List'!$A$23:$H$3172,2,FALSE)),"+","")</f>
        <v>+</v>
      </c>
      <c r="AQ60" s="67" t="str">
        <f>IF(ISTEXT(VLOOKUP(CONCATENATE($A60,"_",AQ$3),'Unit List'!$A$23:$H$3172,2,FALSE)),"X",$AP60)</f>
        <v>X</v>
      </c>
      <c r="AR60" s="67" t="str">
        <f>IF(ISTEXT(VLOOKUP(CONCATENATE($A60,"_",AR$3),'Unit List'!$A$23:$H$3172,2,FALSE)),"X",$AP60)</f>
        <v>X</v>
      </c>
      <c r="AS60" s="94" t="str">
        <f>IF(ISTEXT(VLOOKUP(CONCATENATE($A60,"_",AS$3),'Unit List'!$A$23:$H$3172,2,FALSE)),"X",$AP60)</f>
        <v>+</v>
      </c>
      <c r="AT60" s="53" t="str">
        <f>IF(ISTEXT(VLOOKUP(CONCATENATE($A60,"_",AT$3),'Unit List'!$A$23:$H$3172,2,FALSE)),"X",$AP60)</f>
        <v>+</v>
      </c>
      <c r="AU60" s="124" t="str">
        <f>IF(ISTEXT(VLOOKUP(CONCATENATE($A60,"_",AU$3),'Unit List'!$A$23:$H$3172,2,FALSE)),"+","")</f>
        <v>+</v>
      </c>
      <c r="AV60" s="51" t="str">
        <f>IF(ISTEXT(VLOOKUP(CONCATENATE($A60,"_",AV$3),'Unit List'!$A$23:$H$3172,2,FALSE)),"X",$AU60)</f>
        <v>+</v>
      </c>
      <c r="AW60" s="70" t="str">
        <f>IF(ISTEXT(VLOOKUP(CONCATENATE($A60,"_",AW$3),'Unit List'!$A$23:$H$3172,2,FALSE)),"X",$AU60)</f>
        <v>X</v>
      </c>
      <c r="AX60" s="171" t="str">
        <f>IF(ISTEXT(VLOOKUP(CONCATENATE($A60,"_",AX$3),'Unit List'!$A$23:$H$3172,2,FALSE)),"+","")</f>
        <v>+</v>
      </c>
      <c r="AY60" s="67" t="str">
        <f>IF(ISTEXT(VLOOKUP(CONCATENATE($A60,"_",AY$3),'Unit List'!$A$23:$H$3172,2,FALSE)),"X",$AX60)</f>
        <v>+</v>
      </c>
      <c r="AZ60" s="70" t="str">
        <f>IF(ISTEXT(VLOOKUP(CONCATENATE($A60,"_",AZ$3),'Unit List'!$A$23:$H$3172,2,FALSE)),"X",$AX60)</f>
        <v>+</v>
      </c>
      <c r="BA60" s="182" t="str">
        <f>IF(ISTEXT(VLOOKUP(CONCATENATE($A60,"_",BA$3),'Unit List'!$A$23:$H$3172,2,FALSE)),"+","")</f>
        <v/>
      </c>
      <c r="BB60" s="51" t="str">
        <f>IF(ISTEXT(VLOOKUP(CONCATENATE($A60,"_",BB$3),'Unit List'!$A$23:$H$3172,2,FALSE)),"X",$BA60)</f>
        <v/>
      </c>
      <c r="BC60" s="51" t="str">
        <f>IF(ISTEXT(VLOOKUP(CONCATENATE($A60,"_",BC$3),'Unit List'!$A$23:$H$3172,2,FALSE)),"X",$BA60)</f>
        <v/>
      </c>
      <c r="BD60" s="53" t="str">
        <f>IF(ISTEXT(VLOOKUP(CONCATENATE($A60,"_",BD$3),'Unit List'!$A$23:$H$3172,2,FALSE)),"X",$BA60)</f>
        <v/>
      </c>
      <c r="BE60" s="125" t="str">
        <f>IF(ISTEXT(VLOOKUP(CONCATENATE($A60,"_",BE$3),'Unit List'!$A$23:$H$3172,2,FALSE)),"+","")</f>
        <v/>
      </c>
      <c r="BF60" s="68" t="str">
        <f>IF(ISTEXT(VLOOKUP(CONCATENATE($A60,"_",BF$3),'Unit List'!$A$23:$H$3172,2,FALSE)),"X",$BE60)</f>
        <v/>
      </c>
      <c r="BG60" s="75"/>
      <c r="BH60" s="84"/>
      <c r="BI60" s="225"/>
      <c r="BJ60" s="226"/>
      <c r="BK60" s="226"/>
      <c r="BL60" s="226"/>
      <c r="BM60" s="227"/>
      <c r="BN60" s="54"/>
      <c r="BO60" s="54"/>
      <c r="BP60" s="54"/>
      <c r="BQ60" s="54"/>
      <c r="BR60" s="54"/>
      <c r="BS60" s="54"/>
      <c r="DZ60" s="55"/>
      <c r="EA60" s="55"/>
    </row>
    <row r="61" spans="1:131" ht="12.75" customHeight="1" x14ac:dyDescent="0.2">
      <c r="A61" s="56" t="s">
        <v>1274</v>
      </c>
      <c r="B61" s="181" t="str">
        <f>IF(ISTEXT(VLOOKUP(CONCATENATE($A61,"_",B$3),'Unit List'!$A$23:$H$3172,2,FALSE)),"+","")</f>
        <v/>
      </c>
      <c r="C61" s="57" t="str">
        <f>IF(ISTEXT(VLOOKUP(CONCATENATE($A61,"_",C$3),'Unit List'!$A$23:$H$3172,2,FALSE)),"X",$B61)</f>
        <v/>
      </c>
      <c r="D61" s="51" t="str">
        <f>IF(ISTEXT(VLOOKUP(CONCATENATE($A61,"_",D$3),'Unit List'!$A$23:$H$3172,2,FALSE)),"X",$B61)</f>
        <v/>
      </c>
      <c r="E61" s="51" t="str">
        <f>IF(ISTEXT(VLOOKUP(CONCATENATE($A61,"_",E$3),'Unit List'!$A$23:$H$3172,2,FALSE)),"X",$B61)</f>
        <v/>
      </c>
      <c r="F61" s="60" t="str">
        <f>IF(ISTEXT(VLOOKUP(CONCATENATE($A61,"_",F$3),'Unit List'!$A$23:$H$3172,2,FALSE)),"X",$B61)</f>
        <v/>
      </c>
      <c r="G61" s="51" t="str">
        <f>IF(ISTEXT(VLOOKUP(CONCATENATE($A61,"_",G$3),'Unit List'!$A$23:$H$3172,2,FALSE)),"X",$B61)</f>
        <v/>
      </c>
      <c r="H61" s="51" t="str">
        <f>IF(ISTEXT(VLOOKUP(CONCATENATE($A61,"_",H$3),'Unit List'!$A$23:$H$3172,2,FALSE)),"X",$B61)</f>
        <v/>
      </c>
      <c r="I61" s="53" t="str">
        <f>IF(ISTEXT(VLOOKUP(CONCATENATE($A61,"_",I$3),'Unit List'!$A$23:$H$3172,2,FALSE)),"X",$B61)</f>
        <v/>
      </c>
      <c r="J61" s="172" t="str">
        <f>IF(ISTEXT(VLOOKUP(CONCATENATE($A61,"_",J$3),'Unit List'!$A$23:$H$3172,2,FALSE)),"+","")</f>
        <v/>
      </c>
      <c r="K61" s="51" t="str">
        <f>IF(ISTEXT(VLOOKUP(CONCATENATE($A61,"_",K$3),'Unit List'!$A$23:$H$3172,2,FALSE)),"X",$J61)</f>
        <v/>
      </c>
      <c r="L61" s="62" t="str">
        <f>IF(ISTEXT(VLOOKUP(CONCATENATE($A61,"_",L$3),'Unit List'!$A$23:$H$3172,2,FALSE)),"X",$J61)</f>
        <v/>
      </c>
      <c r="M61" s="172" t="str">
        <f>IF(ISTEXT(VLOOKUP(CONCATENATE($A61,"_",M$3),'Unit List'!$A$23:$H$3172,2,FALSE)),"+","")</f>
        <v/>
      </c>
      <c r="N61" s="51" t="str">
        <f>IF(ISTEXT(VLOOKUP(CONCATENATE($A61,"_",N$3),'Unit List'!$A$23:$H$3172,2,FALSE)),"X",$M61)</f>
        <v/>
      </c>
      <c r="O61" s="53" t="str">
        <f>IF(ISTEXT(VLOOKUP(CONCATENATE($A61,"_",O$3),'Unit List'!$A$23:$H$3172,2,FALSE)),"X",$M61)</f>
        <v/>
      </c>
      <c r="P61" s="172" t="str">
        <f>IF(ISTEXT(VLOOKUP(CONCATENATE($A61,"_",P$3),'Unit List'!$A$23:$H$3172,2,FALSE)),"+","")</f>
        <v/>
      </c>
      <c r="Q61" s="51" t="str">
        <f>IF(ISTEXT(VLOOKUP(CONCATENATE($A61,"_",Q$3),'Unit List'!$A$23:$H$3172,2,FALSE)),"X",$P61)</f>
        <v/>
      </c>
      <c r="R61" s="51" t="str">
        <f>IF(ISTEXT(VLOOKUP(CONCATENATE($A61,"_",R$3),'Unit List'!$A$23:$H$3172,2,FALSE)),"X",$P61)</f>
        <v/>
      </c>
      <c r="S61" s="51" t="str">
        <f>IF(ISTEXT(VLOOKUP(CONCATENATE($A61,"_",S$3),'Unit List'!$A$23:$H$3172,2,FALSE)),"X",$P61)</f>
        <v/>
      </c>
      <c r="T61" s="52" t="str">
        <f>IF(ISTEXT(VLOOKUP(CONCATENATE($A61,"_",T$3),'Unit List'!$A$23:$H$3172,2,FALSE)),"X",$P61)</f>
        <v/>
      </c>
      <c r="U61" s="51" t="str">
        <f>IF(ISTEXT(VLOOKUP(CONCATENATE($A61,"_",U$3),'Unit List'!$A$23:$H$3172,2,FALSE)),"X",$P61)</f>
        <v/>
      </c>
      <c r="V61" s="60" t="str">
        <f>IF(ISTEXT(VLOOKUP(CONCATENATE($A61,"_",V$3),'Unit List'!$A$23:$H$3172,2,FALSE)),"X",$P61)</f>
        <v/>
      </c>
      <c r="W61" s="53" t="str">
        <f>IF(ISTEXT(VLOOKUP(CONCATENATE($A61,"_",W$3),'Unit List'!$A$23:$H$3172,2,FALSE)),"X",$P61)</f>
        <v/>
      </c>
      <c r="X61" s="172" t="str">
        <f>IF(ISTEXT(VLOOKUP(CONCATENATE($A61,"_",X$3),'Unit List'!$A$23:$H$3172,2,FALSE)),"+","")</f>
        <v/>
      </c>
      <c r="Y61" s="51" t="str">
        <f>IF(ISTEXT(VLOOKUP(CONCATENATE($A61,"_",Y$3),'Unit List'!$A$23:$H$3172,2,FALSE)),"X",$X61)</f>
        <v/>
      </c>
      <c r="Z61" s="51" t="str">
        <f>IF(ISTEXT(VLOOKUP(CONCATENATE($A61,"_",Z$3),'Unit List'!$A$23:$H$3172,2,FALSE)),"X",$X61)</f>
        <v/>
      </c>
      <c r="AA61" s="51" t="str">
        <f>IF(ISTEXT(VLOOKUP(CONCATENATE($A61,"_",AA$3),'Unit List'!$A$23:$H$3172,2,FALSE)),"X",$X61)</f>
        <v/>
      </c>
      <c r="AB61" s="51" t="str">
        <f>IF(ISTEXT(VLOOKUP(CONCATENATE($A61,"_",AB$3),'Unit List'!$A$23:$H$3172,2,FALSE)),"X",$X61)</f>
        <v/>
      </c>
      <c r="AC61" s="62" t="str">
        <f>IF(ISTEXT(VLOOKUP(CONCATENATE($A61,"_",AC$3),'Unit List'!$A$23:$H$3172,2,FALSE)),"X",$X61)</f>
        <v/>
      </c>
      <c r="AD61" s="172" t="str">
        <f>IF(ISTEXT(VLOOKUP(CONCATENATE($A61,"_",AD$3),'Unit List'!$A$23:$H$3172,2,FALSE)),"+","")</f>
        <v/>
      </c>
      <c r="AE61" s="51" t="str">
        <f>IF(ISTEXT(VLOOKUP(CONCATENATE($A61,"_",AE$3),'Unit List'!$A$23:$H$3172,2,FALSE)),"X",$AD61)</f>
        <v/>
      </c>
      <c r="AF61" s="51" t="str">
        <f>IF(ISTEXT(VLOOKUP(CONCATENATE($A61,"_",AF$3),'Unit List'!$A$23:$H$3172,2,FALSE)),"X",$AD61)</f>
        <v/>
      </c>
      <c r="AG61" s="172" t="str">
        <f>IF(ISTEXT(VLOOKUP(CONCATENATE($A61,"_",AG$3),'Unit List'!$A$23:$H$3172,2,FALSE)),"+","")</f>
        <v/>
      </c>
      <c r="AH61" s="51" t="str">
        <f>IF(ISTEXT(VLOOKUP(CONCATENATE($A61,"_",AH$3),'Unit List'!$A$23:$H$3172,2,FALSE)),"X",$AG61)</f>
        <v/>
      </c>
      <c r="AI61" s="51" t="str">
        <f>IF(ISTEXT(VLOOKUP(CONCATENATE($A61,"_",AI$3),'Unit List'!$A$23:$H$3172,2,FALSE)),"X",$AG61)</f>
        <v/>
      </c>
      <c r="AJ61" s="53" t="str">
        <f>IF(ISTEXT(VLOOKUP(CONCATENATE($A61,"_",AJ$3),'Unit List'!$A$23:$H$3172,2,FALSE)),"X",$AG61)</f>
        <v/>
      </c>
      <c r="AK61" s="172" t="str">
        <f>IF(ISTEXT(VLOOKUP(CONCATENATE($A61,"_",AK$3),'Unit List'!$A$23:$H$3172,2,FALSE)),"+","")</f>
        <v/>
      </c>
      <c r="AL61" s="52" t="str">
        <f>IF(ISTEXT(VLOOKUP(CONCATENATE($A61,"_",AL$3),'Unit List'!$A$23:$H$3172,2,FALSE)),"X",$AK61)</f>
        <v/>
      </c>
      <c r="AM61" s="53" t="str">
        <f>IF(ISTEXT(VLOOKUP(CONCATENATE($A61,"_",AM$3),'Unit List'!$A$23:$H$3172,2,FALSE)),"X",$AK61)</f>
        <v/>
      </c>
      <c r="AN61" s="125" t="str">
        <f>IF(ISTEXT(VLOOKUP(CONCATENATE($A61,"_",AN$3),'Unit List'!$A$23:$H$3172,2,FALSE)),"+","")</f>
        <v/>
      </c>
      <c r="AO61" s="53" t="str">
        <f>IF(ISTEXT(VLOOKUP(CONCATENATE($A61,"_",AO$3),'Unit List'!$A$23:$H$3172,2,FALSE)),"X",$AN61)</f>
        <v/>
      </c>
      <c r="AP61" s="172" t="str">
        <f>IF(ISTEXT(VLOOKUP(CONCATENATE($A61,"_",AP$3),'Unit List'!$A$23:$H$3172,2,FALSE)),"+","")</f>
        <v/>
      </c>
      <c r="AQ61" s="51" t="str">
        <f>IF(ISTEXT(VLOOKUP(CONCATENATE($A61,"_",AQ$3),'Unit List'!$A$23:$H$3172,2,FALSE)),"X",$AP61)</f>
        <v/>
      </c>
      <c r="AR61" s="51" t="str">
        <f>IF(ISTEXT(VLOOKUP(CONCATENATE($A61,"_",AR$3),'Unit List'!$A$23:$H$3172,2,FALSE)),"X",$AP61)</f>
        <v/>
      </c>
      <c r="AS61" s="51" t="str">
        <f>IF(ISTEXT(VLOOKUP(CONCATENATE($A61,"_",AS$3),'Unit List'!$A$23:$H$3172,2,FALSE)),"X",$AP61)</f>
        <v/>
      </c>
      <c r="AT61" s="53" t="str">
        <f>IF(ISTEXT(VLOOKUP(CONCATENATE($A61,"_",AT$3),'Unit List'!$A$23:$H$3172,2,FALSE)),"X",$AP61)</f>
        <v/>
      </c>
      <c r="AU61" s="124" t="str">
        <f>IF(ISTEXT(VLOOKUP(CONCATENATE($A61,"_",AU$3),'Unit List'!$A$23:$H$3172,2,FALSE)),"+","")</f>
        <v/>
      </c>
      <c r="AV61" s="51" t="str">
        <f>IF(ISTEXT(VLOOKUP(CONCATENATE($A61,"_",AV$3),'Unit List'!$A$23:$H$3172,2,FALSE)),"X",$AU61)</f>
        <v/>
      </c>
      <c r="AW61" s="53" t="str">
        <f>IF(ISTEXT(VLOOKUP(CONCATENATE($A61,"_",AW$3),'Unit List'!$A$23:$H$3172,2,FALSE)),"X",$AU61)</f>
        <v/>
      </c>
      <c r="AX61" s="172" t="str">
        <f>IF(ISTEXT(VLOOKUP(CONCATENATE($A61,"_",AX$3),'Unit List'!$A$23:$H$3172,2,FALSE)),"+","")</f>
        <v/>
      </c>
      <c r="AY61" s="51" t="str">
        <f>IF(ISTEXT(VLOOKUP(CONCATENATE($A61,"_",AY$3),'Unit List'!$A$23:$H$3172,2,FALSE)),"X",$AX61)</f>
        <v/>
      </c>
      <c r="AZ61" s="53" t="str">
        <f>IF(ISTEXT(VLOOKUP(CONCATENATE($A61,"_",AZ$3),'Unit List'!$A$23:$H$3172,2,FALSE)),"X",$AX61)</f>
        <v/>
      </c>
      <c r="BA61" s="182" t="str">
        <f>IF(ISTEXT(VLOOKUP(CONCATENATE($A61,"_",BA$3),'Unit List'!$A$23:$H$3172,2,FALSE)),"+","")</f>
        <v/>
      </c>
      <c r="BB61" s="51" t="str">
        <f>IF(ISTEXT(VLOOKUP(CONCATENATE($A61,"_",BB$3),'Unit List'!$A$23:$H$3172,2,FALSE)),"X",$BA61)</f>
        <v/>
      </c>
      <c r="BC61" s="51" t="str">
        <f>IF(ISTEXT(VLOOKUP(CONCATENATE($A61,"_",BC$3),'Unit List'!$A$23:$H$3172,2,FALSE)),"X",$BA61)</f>
        <v/>
      </c>
      <c r="BD61" s="53" t="str">
        <f>IF(ISTEXT(VLOOKUP(CONCATENATE($A61,"_",BD$3),'Unit List'!$A$23:$H$3172,2,FALSE)),"X",$BA61)</f>
        <v/>
      </c>
      <c r="BE61" s="125" t="str">
        <f>IF(ISTEXT(VLOOKUP(CONCATENATE($A61,"_",BE$3),'Unit List'!$A$23:$H$3172,2,FALSE)),"+","")</f>
        <v/>
      </c>
      <c r="BF61" s="62" t="str">
        <f>IF(ISTEXT(VLOOKUP(CONCATENATE($A61,"_",BF$3),'Unit List'!$A$23:$H$3172,2,FALSE)),"X",$BE61)</f>
        <v/>
      </c>
      <c r="BG61" s="75"/>
      <c r="BH61" s="84"/>
      <c r="BI61" s="225"/>
      <c r="BJ61" s="226"/>
      <c r="BK61" s="226"/>
      <c r="BL61" s="226"/>
      <c r="BM61" s="227"/>
      <c r="BN61" s="54"/>
      <c r="BO61" s="54"/>
      <c r="BP61" s="54"/>
      <c r="BQ61" s="54"/>
      <c r="BR61" s="54"/>
      <c r="BS61" s="54"/>
      <c r="DZ61" s="55"/>
      <c r="EA61" s="55"/>
    </row>
    <row r="62" spans="1:131" ht="12.75" customHeight="1" x14ac:dyDescent="0.2">
      <c r="A62" s="109" t="s">
        <v>1161</v>
      </c>
      <c r="B62" s="185" t="str">
        <f>IF(ISTEXT(VLOOKUP(CONCATENATE($A62,"_",B$3),'Unit List'!$A$23:$H$3172,2,FALSE)),"+","")</f>
        <v/>
      </c>
      <c r="C62" s="110" t="str">
        <f>IF(ISTEXT(VLOOKUP(CONCATENATE($A62,"_",C$3),'Unit List'!$A$23:$H$3172,2,FALSE)),"X",$B62)</f>
        <v/>
      </c>
      <c r="D62" s="111" t="str">
        <f>IF(ISTEXT(VLOOKUP(CONCATENATE($A62,"_",D$3),'Unit List'!$A$23:$H$3172,2,FALSE)),"X",$B62)</f>
        <v/>
      </c>
      <c r="E62" s="111" t="str">
        <f>IF(ISTEXT(VLOOKUP(CONCATENATE($A62,"_",E$3),'Unit List'!$A$23:$H$3172,2,FALSE)),"X",$B62)</f>
        <v/>
      </c>
      <c r="F62" s="111" t="str">
        <f>IF(ISTEXT(VLOOKUP(CONCATENATE($A62,"_",F$3),'Unit List'!$A$23:$H$3172,2,FALSE)),"X",$B62)</f>
        <v/>
      </c>
      <c r="G62" s="111" t="str">
        <f>IF(ISTEXT(VLOOKUP(CONCATENATE($A62,"_",G$3),'Unit List'!$A$23:$H$3172,2,FALSE)),"X",$B62)</f>
        <v/>
      </c>
      <c r="H62" s="111" t="str">
        <f>IF(ISTEXT(VLOOKUP(CONCATENATE($A62,"_",H$3),'Unit List'!$A$23:$H$3172,2,FALSE)),"X",$B62)</f>
        <v/>
      </c>
      <c r="I62" s="112" t="s">
        <v>0</v>
      </c>
      <c r="J62" s="173" t="str">
        <f>IF(ISTEXT(VLOOKUP(CONCATENATE($A62,"_",J$3),'Unit List'!$A$23:$H$3172,2,FALSE)),"+","")</f>
        <v/>
      </c>
      <c r="K62" s="111" t="str">
        <f>IF(ISTEXT(VLOOKUP(CONCATENATE($A62,"_",K$3),'Unit List'!$A$23:$H$3172,2,FALSE)),"X",$J62)</f>
        <v/>
      </c>
      <c r="L62" s="113" t="str">
        <f>IF(ISTEXT(VLOOKUP(CONCATENATE($A62,"_",L$3),'Unit List'!$A$23:$H$3172,2,FALSE)),"X",$J62)</f>
        <v/>
      </c>
      <c r="M62" s="173" t="str">
        <f>IF(ISTEXT(VLOOKUP(CONCATENATE($A62,"_",M$3),'Unit List'!$A$23:$H$3172,2,FALSE)),"+","")</f>
        <v/>
      </c>
      <c r="N62" s="111" t="str">
        <f>IF(ISTEXT(VLOOKUP(CONCATENATE($A62,"_",N$3),'Unit List'!$A$23:$H$3172,2,FALSE)),"X",$M62)</f>
        <v/>
      </c>
      <c r="O62" s="114" t="str">
        <f>IF(ISTEXT(VLOOKUP(CONCATENATE($A62,"_",O$3),'Unit List'!$A$23:$H$3172,2,FALSE)),"X",$M62)</f>
        <v/>
      </c>
      <c r="P62" s="173" t="str">
        <f>IF(ISTEXT(VLOOKUP(CONCATENATE($A62,"_",P$3),'Unit List'!$A$23:$H$3172,2,FALSE)),"+","")</f>
        <v/>
      </c>
      <c r="Q62" s="111" t="str">
        <f>IF(ISTEXT(VLOOKUP(CONCATENATE($A62,"_",Q$3),'Unit List'!$A$23:$H$3172,2,FALSE)),"X",$P62)</f>
        <v/>
      </c>
      <c r="R62" s="111" t="str">
        <f>IF(ISTEXT(VLOOKUP(CONCATENATE($A62,"_",R$3),'Unit List'!$A$23:$H$3172,2,FALSE)),"X",$P62)</f>
        <v/>
      </c>
      <c r="S62" s="111" t="str">
        <f>IF(ISTEXT(VLOOKUP(CONCATENATE($A62,"_",S$3),'Unit List'!$A$23:$H$3172,2,FALSE)),"X",$P62)</f>
        <v/>
      </c>
      <c r="T62" s="115" t="str">
        <f>IF(ISTEXT(VLOOKUP(CONCATENATE($A62,"_",T$3),'Unit List'!$A$23:$H$3172,2,FALSE)),"X",$P62)</f>
        <v/>
      </c>
      <c r="U62" s="111" t="str">
        <f>IF(ISTEXT(VLOOKUP(CONCATENATE($A62,"_",U$3),'Unit List'!$A$23:$H$3172,2,FALSE)),"X",$P62)</f>
        <v/>
      </c>
      <c r="V62" s="111" t="str">
        <f>IF(ISTEXT(VLOOKUP(CONCATENATE($A62,"_",V$3),'Unit List'!$A$23:$H$3172,2,FALSE)),"X",$P62)</f>
        <v/>
      </c>
      <c r="W62" s="114" t="str">
        <f>IF(ISTEXT(VLOOKUP(CONCATENATE($A62,"_",W$3),'Unit List'!$A$23:$H$3172,2,FALSE)),"X",$P62)</f>
        <v/>
      </c>
      <c r="X62" s="173" t="str">
        <f>IF(ISTEXT(VLOOKUP(CONCATENATE($A62,"_",X$3),'Unit List'!$A$23:$H$3172,2,FALSE)),"+","")</f>
        <v/>
      </c>
      <c r="Y62" s="111" t="str">
        <f>IF(ISTEXT(VLOOKUP(CONCATENATE($A62,"_",Y$3),'Unit List'!$A$23:$H$3172,2,FALSE)),"X",$X62)</f>
        <v/>
      </c>
      <c r="Z62" s="111" t="str">
        <f>IF(ISTEXT(VLOOKUP(CONCATENATE($A62,"_",Z$3),'Unit List'!$A$23:$H$3172,2,FALSE)),"X",$X62)</f>
        <v/>
      </c>
      <c r="AA62" s="111" t="str">
        <f>IF(ISTEXT(VLOOKUP(CONCATENATE($A62,"_",AA$3),'Unit List'!$A$23:$H$3172,2,FALSE)),"X",$X62)</f>
        <v/>
      </c>
      <c r="AB62" s="111" t="str">
        <f>IF(ISTEXT(VLOOKUP(CONCATENATE($A62,"_",AB$3),'Unit List'!$A$23:$H$3172,2,FALSE)),"X",$X62)</f>
        <v/>
      </c>
      <c r="AC62" s="113" t="str">
        <f>IF(ISTEXT(VLOOKUP(CONCATENATE($A62,"_",AC$3),'Unit List'!$A$23:$H$3172,2,FALSE)),"X",$X62)</f>
        <v/>
      </c>
      <c r="AD62" s="173" t="str">
        <f>IF(ISTEXT(VLOOKUP(CONCATENATE($A62,"_",AD$3),'Unit List'!$A$23:$H$3172,2,FALSE)),"+","")</f>
        <v/>
      </c>
      <c r="AE62" s="111" t="str">
        <f>IF(ISTEXT(VLOOKUP(CONCATENATE($A62,"_",AE$3),'Unit List'!$A$23:$H$3172,2,FALSE)),"X",$AD62)</f>
        <v/>
      </c>
      <c r="AF62" s="114" t="str">
        <f>IF(ISTEXT(VLOOKUP(CONCATENATE($A62,"_",AF$3),'Unit List'!$A$23:$H$3172,2,FALSE)),"X",$AD62)</f>
        <v/>
      </c>
      <c r="AG62" s="173" t="str">
        <f>IF(ISTEXT(VLOOKUP(CONCATENATE($A62,"_",AG$3),'Unit List'!$A$23:$H$3172,2,FALSE)),"+","")</f>
        <v/>
      </c>
      <c r="AH62" s="111" t="str">
        <f>IF(ISTEXT(VLOOKUP(CONCATENATE($A62,"_",AH$3),'Unit List'!$A$23:$H$3172,2,FALSE)),"X",$AG62)</f>
        <v/>
      </c>
      <c r="AI62" s="111" t="str">
        <f>IF(ISTEXT(VLOOKUP(CONCATENATE($A62,"_",AI$3),'Unit List'!$A$23:$H$3172,2,FALSE)),"X",$AG62)</f>
        <v/>
      </c>
      <c r="AJ62" s="114" t="str">
        <f>IF(ISTEXT(VLOOKUP(CONCATENATE($A62,"_",AJ$3),'Unit List'!$A$23:$H$3172,2,FALSE)),"X",$AG62)</f>
        <v/>
      </c>
      <c r="AK62" s="173" t="str">
        <f>IF(ISTEXT(VLOOKUP(CONCATENATE($A62,"_",AK$3),'Unit List'!$A$23:$H$3172,2,FALSE)),"+","")</f>
        <v/>
      </c>
      <c r="AL62" s="115" t="str">
        <f>IF(ISTEXT(VLOOKUP(CONCATENATE($A62,"_",AL$3),'Unit List'!$A$23:$H$3172,2,FALSE)),"X",$AK62)</f>
        <v/>
      </c>
      <c r="AM62" s="114" t="str">
        <f>IF(ISTEXT(VLOOKUP(CONCATENATE($A62,"_",AM$3),'Unit List'!$A$23:$H$3172,2,FALSE)),"X",$AK62)</f>
        <v/>
      </c>
      <c r="AN62" s="186" t="str">
        <f>IF(ISTEXT(VLOOKUP(CONCATENATE($A62,"_",AN$3),'Unit List'!$A$23:$H$3172,2,FALSE)),"+","")</f>
        <v/>
      </c>
      <c r="AO62" s="114" t="str">
        <f>IF(ISTEXT(VLOOKUP(CONCATENATE($A62,"_",AO$3),'Unit List'!$A$23:$H$3172,2,FALSE)),"X",$AN62)</f>
        <v/>
      </c>
      <c r="AP62" s="173" t="str">
        <f>IF(ISTEXT(VLOOKUP(CONCATENATE($A62,"_",AP$3),'Unit List'!$A$23:$H$3172,2,FALSE)),"+","")</f>
        <v/>
      </c>
      <c r="AQ62" s="111" t="str">
        <f>IF(ISTEXT(VLOOKUP(CONCATENATE($A62,"_",AQ$3),'Unit List'!$A$23:$H$3172,2,FALSE)),"X",$AP62)</f>
        <v/>
      </c>
      <c r="AR62" s="111" t="str">
        <f>IF(ISTEXT(VLOOKUP(CONCATENATE($A62,"_",AR$3),'Unit List'!$A$23:$H$3172,2,FALSE)),"X",$AP62)</f>
        <v/>
      </c>
      <c r="AS62" s="111" t="str">
        <f>IF(ISTEXT(VLOOKUP(CONCATENATE($A62,"_",AS$3),'Unit List'!$A$23:$H$3172,2,FALSE)),"X",$AP62)</f>
        <v/>
      </c>
      <c r="AT62" s="114" t="str">
        <f>IF(ISTEXT(VLOOKUP(CONCATENATE($A62,"_",AT$3),'Unit List'!$A$23:$H$3172,2,FALSE)),"X",$AP62)</f>
        <v/>
      </c>
      <c r="AU62" s="187" t="str">
        <f>IF(ISTEXT(VLOOKUP(CONCATENATE($A62,"_",AU$3),'Unit List'!$A$23:$H$3172,2,FALSE)),"+","")</f>
        <v/>
      </c>
      <c r="AV62" s="111" t="str">
        <f>IF(ISTEXT(VLOOKUP(CONCATENATE($A62,"_",AV$3),'Unit List'!$A$23:$H$3172,2,FALSE)),"X",$AU62)</f>
        <v/>
      </c>
      <c r="AW62" s="114" t="str">
        <f>IF(ISTEXT(VLOOKUP(CONCATENATE($A62,"_",AW$3),'Unit List'!$A$23:$H$3172,2,FALSE)),"X",$AU62)</f>
        <v/>
      </c>
      <c r="AX62" s="173" t="str">
        <f>IF(ISTEXT(VLOOKUP(CONCATENATE($A62,"_",AX$3),'Unit List'!$A$23:$H$3172,2,FALSE)),"+","")</f>
        <v/>
      </c>
      <c r="AY62" s="111" t="str">
        <f>IF(ISTEXT(VLOOKUP(CONCATENATE($A62,"_",AY$3),'Unit List'!$A$23:$H$3172,2,FALSE)),"X",$AX62)</f>
        <v/>
      </c>
      <c r="AZ62" s="114" t="str">
        <f>IF(ISTEXT(VLOOKUP(CONCATENATE($A62,"_",AZ$3),'Unit List'!$A$23:$H$3172,2,FALSE)),"X",$AX62)</f>
        <v/>
      </c>
      <c r="BA62" s="188" t="str">
        <f>IF(ISTEXT(VLOOKUP(CONCATENATE($A62,"_",BA$3),'Unit List'!$A$23:$H$3172,2,FALSE)),"+","")</f>
        <v/>
      </c>
      <c r="BB62" s="111" t="str">
        <f>IF(ISTEXT(VLOOKUP(CONCATENATE($A62,"_",BB$3),'Unit List'!$A$23:$H$3172,2,FALSE)),"X",$BA62)</f>
        <v/>
      </c>
      <c r="BC62" s="111" t="str">
        <f>IF(ISTEXT(VLOOKUP(CONCATENATE($A62,"_",BC$3),'Unit List'!$A$23:$H$3172,2,FALSE)),"X",$BA62)</f>
        <v/>
      </c>
      <c r="BD62" s="114" t="str">
        <f>IF(ISTEXT(VLOOKUP(CONCATENATE($A62,"_",BD$3),'Unit List'!$A$23:$H$3172,2,FALSE)),"X",$BA62)</f>
        <v/>
      </c>
      <c r="BE62" s="186" t="str">
        <f>IF(ISTEXT(VLOOKUP(CONCATENATE($A62,"_",BE$3),'Unit List'!$A$23:$H$3172,2,FALSE)),"+","")</f>
        <v/>
      </c>
      <c r="BF62" s="113" t="str">
        <f>IF(ISTEXT(VLOOKUP(CONCATENATE($A62,"_",BF$3),'Unit List'!$A$23:$H$3172,2,FALSE)),"X",$BE62)</f>
        <v/>
      </c>
      <c r="BG62" s="116"/>
      <c r="BH62" s="117"/>
      <c r="BI62" s="235"/>
      <c r="BJ62" s="238"/>
      <c r="BK62" s="238"/>
      <c r="BL62" s="238"/>
      <c r="BM62" s="239"/>
      <c r="BN62" s="54"/>
      <c r="BO62" s="54"/>
      <c r="BP62" s="54"/>
      <c r="BQ62" s="54"/>
      <c r="BR62" s="54"/>
      <c r="BS62" s="54"/>
      <c r="DZ62" s="55"/>
      <c r="EA62" s="55"/>
    </row>
    <row r="63" spans="1:131" ht="12.75" customHeight="1" x14ac:dyDescent="0.2">
      <c r="A63" s="118" t="s">
        <v>1913</v>
      </c>
      <c r="B63" s="181"/>
      <c r="C63" s="119"/>
      <c r="D63" s="120"/>
      <c r="E63" s="120"/>
      <c r="F63" s="120"/>
      <c r="G63" s="120"/>
      <c r="H63" s="120"/>
      <c r="I63" s="75"/>
      <c r="J63" s="172"/>
      <c r="K63" s="121"/>
      <c r="L63" s="122"/>
      <c r="M63" s="182" t="str">
        <f>IF(ISTEXT(VLOOKUP(CONCATENATE($A63,"_",M$3),'Unit List'!$A$23:$H$3172,2,FALSE)),"+","")</f>
        <v/>
      </c>
      <c r="N63" s="120"/>
      <c r="O63" s="75"/>
      <c r="P63" s="182"/>
      <c r="Q63" s="120"/>
      <c r="R63" s="120"/>
      <c r="S63" s="121"/>
      <c r="T63" s="121"/>
      <c r="U63" s="120"/>
      <c r="V63" s="120"/>
      <c r="W63" s="75"/>
      <c r="X63" s="182"/>
      <c r="Y63" s="120"/>
      <c r="Z63" s="191"/>
      <c r="AA63" s="191"/>
      <c r="AB63" s="120"/>
      <c r="AC63" s="75"/>
      <c r="AD63" s="182"/>
      <c r="AE63" s="120"/>
      <c r="AF63" s="123"/>
      <c r="AG63" s="182"/>
      <c r="AH63" s="120"/>
      <c r="AI63" s="120"/>
      <c r="AJ63" s="75"/>
      <c r="AK63" s="192"/>
      <c r="AL63" s="191"/>
      <c r="AM63" s="75"/>
      <c r="AN63" s="192"/>
      <c r="AO63" s="193"/>
      <c r="AP63" s="182"/>
      <c r="AQ63" s="120"/>
      <c r="AR63" s="120"/>
      <c r="AS63" s="120"/>
      <c r="AT63" s="75"/>
      <c r="AU63" s="124"/>
      <c r="AV63" s="120"/>
      <c r="AW63" s="122"/>
      <c r="AX63" s="182"/>
      <c r="AY63" s="120"/>
      <c r="AZ63" s="75"/>
      <c r="BA63" s="182"/>
      <c r="BB63" s="120"/>
      <c r="BC63" s="120"/>
      <c r="BD63" s="122"/>
      <c r="BE63" s="125"/>
      <c r="BF63" s="122"/>
      <c r="BG63" s="75"/>
      <c r="BH63" s="65"/>
      <c r="BI63" s="240"/>
      <c r="BJ63" s="241"/>
      <c r="BK63" s="241"/>
      <c r="BL63" s="241"/>
      <c r="BM63" s="242"/>
      <c r="BN63" s="54"/>
      <c r="BO63" s="54"/>
      <c r="BP63" s="54"/>
      <c r="BQ63" s="54"/>
      <c r="BR63" s="54"/>
      <c r="BS63" s="54"/>
      <c r="DZ63" s="55"/>
      <c r="EA63" s="55"/>
    </row>
    <row r="64" spans="1:131" ht="12.75" customHeight="1" x14ac:dyDescent="0.2">
      <c r="A64" s="126" t="s">
        <v>6</v>
      </c>
      <c r="B64" s="181" t="str">
        <f>IF(ISTEXT(VLOOKUP(CONCATENATE($A64,"_",B$3),'Unit List'!$A$23:$H$3172,2,FALSE)),"+","")</f>
        <v/>
      </c>
      <c r="C64" s="119" t="str">
        <f>IF(ISTEXT(VLOOKUP(CONCATENATE($A64,"_",C$3),'Unit List'!$A$23:$H$3172,2,FALSE)),"X",$B64)</f>
        <v/>
      </c>
      <c r="D64" s="120" t="str">
        <f>IF(ISTEXT(VLOOKUP(CONCATENATE($A64,"_",D$3),'Unit List'!$A$23:$H$3172,2,FALSE)),"X",$B64)</f>
        <v/>
      </c>
      <c r="E64" s="120" t="str">
        <f>IF(ISTEXT(VLOOKUP(CONCATENATE($A64,"_",E$3),'Unit List'!$A$23:$H$3172,2,FALSE)),"X",$B64)</f>
        <v/>
      </c>
      <c r="F64" s="120" t="str">
        <f>IF(ISTEXT(VLOOKUP(CONCATENATE($A64,"_",F$3),'Unit List'!$A$23:$H$3172,2,FALSE)),"X",$B64)</f>
        <v/>
      </c>
      <c r="G64" s="120" t="str">
        <f>IF(ISTEXT(VLOOKUP(CONCATENATE($A64,"_",G$3),'Unit List'!$A$23:$H$3172,2,FALSE)),"X",$B64)</f>
        <v/>
      </c>
      <c r="H64" s="120" t="str">
        <f>IF(ISTEXT(VLOOKUP(CONCATENATE($A64,"_",H$3),'Unit List'!$A$23:$H$3172,2,FALSE)),"X",$B64)</f>
        <v/>
      </c>
      <c r="I64" s="122" t="str">
        <f>IF(ISTEXT(VLOOKUP(CONCATENATE($A64,"_",I$3),'Unit List'!$A$23:$H$3172,2,FALSE)),"X",$B64)</f>
        <v/>
      </c>
      <c r="J64" s="172" t="str">
        <f>IF(ISTEXT(VLOOKUP(CONCATENATE($A64,"_",J$3),'Unit List'!$A$23:$H$3172,2,FALSE)),"+","")</f>
        <v/>
      </c>
      <c r="K64" s="120" t="str">
        <f>IF(ISTEXT(VLOOKUP(CONCATENATE($A64,"_",K$3),'Unit List'!$A$23:$H$3172,2,FALSE)),"X",$J64)</f>
        <v/>
      </c>
      <c r="L64" s="75" t="str">
        <f>IF(ISTEXT(VLOOKUP(CONCATENATE($A64,"_",L$3),'Unit List'!$A$23:$H$3172,2,FALSE)),"X",$J64)</f>
        <v/>
      </c>
      <c r="M64" s="172" t="str">
        <f>IF(ISTEXT(VLOOKUP(CONCATENATE($A64,"_",M$3),'Unit List'!$A$23:$H$3172,2,FALSE)),"+","")</f>
        <v/>
      </c>
      <c r="N64" s="120" t="str">
        <f>IF(ISTEXT(VLOOKUP(CONCATENATE($A64,"_",N$3),'Unit List'!$A$23:$H$3172,2,FALSE)),"X",$M64)</f>
        <v/>
      </c>
      <c r="O64" s="122" t="str">
        <f>IF(ISTEXT(VLOOKUP(CONCATENATE($A64,"_",O$3),'Unit List'!$A$23:$H$3172,2,FALSE)),"X",$M64)</f>
        <v/>
      </c>
      <c r="P64" s="172" t="str">
        <f>IF(ISTEXT(VLOOKUP(CONCATENATE($A64,"_",P$3),'Unit List'!$A$23:$H$3172,2,FALSE)),"+","")</f>
        <v/>
      </c>
      <c r="Q64" s="120" t="str">
        <f>IF(ISTEXT(VLOOKUP(CONCATENATE($A64,"_",Q$3),'Unit List'!$A$23:$H$3172,2,FALSE)),"X",$P64)</f>
        <v/>
      </c>
      <c r="R64" s="120" t="str">
        <f>IF(ISTEXT(VLOOKUP(CONCATENATE($A64,"_",R$3),'Unit List'!$A$23:$H$3172,2,FALSE)),"X",$P64)</f>
        <v/>
      </c>
      <c r="S64" s="120" t="str">
        <f>IF(ISTEXT(VLOOKUP(CONCATENATE($A64,"_",S$3),'Unit List'!$A$23:$H$3172,2,FALSE)),"X",$P64)</f>
        <v/>
      </c>
      <c r="T64" s="121" t="str">
        <f>IF(ISTEXT(VLOOKUP(CONCATENATE($A64,"_",T$3),'Unit List'!$A$23:$H$3172,2,FALSE)),"X",$P64)</f>
        <v/>
      </c>
      <c r="U64" s="120" t="str">
        <f>IF(ISTEXT(VLOOKUP(CONCATENATE($A64,"_",U$3),'Unit List'!$A$23:$H$3172,2,FALSE)),"X",$P64)</f>
        <v/>
      </c>
      <c r="V64" s="120" t="str">
        <f>IF(ISTEXT(VLOOKUP(CONCATENATE($A64,"_",V$3),'Unit List'!$A$23:$H$3172,2,FALSE)),"X",$P64)</f>
        <v/>
      </c>
      <c r="W64" s="122" t="str">
        <f>IF(ISTEXT(VLOOKUP(CONCATENATE($A64,"_",W$3),'Unit List'!$A$23:$H$3172,2,FALSE)),"X",$P64)</f>
        <v/>
      </c>
      <c r="X64" s="172" t="str">
        <f>IF(ISTEXT(VLOOKUP(CONCATENATE($A64,"_",X$3),'Unit List'!$A$23:$H$3172,2,FALSE)),"+","")</f>
        <v/>
      </c>
      <c r="Y64" s="120" t="str">
        <f>IF(ISTEXT(VLOOKUP(CONCATENATE($A64,"_",Y$3),'Unit List'!$A$23:$H$3172,2,FALSE)),"X",$X64)</f>
        <v/>
      </c>
      <c r="Z64" s="120" t="str">
        <f>IF(ISTEXT(VLOOKUP(CONCATENATE($A64,"_",Z$3),'Unit List'!$A$23:$H$3172,2,FALSE)),"X",$X64)</f>
        <v/>
      </c>
      <c r="AA64" s="120" t="str">
        <f>IF(ISTEXT(VLOOKUP(CONCATENATE($A64,"_",AA$3),'Unit List'!$A$23:$H$3172,2,FALSE)),"X",$X64)</f>
        <v/>
      </c>
      <c r="AB64" s="120" t="str">
        <f>IF(ISTEXT(VLOOKUP(CONCATENATE($A64,"_",AB$3),'Unit List'!$A$23:$H$3172,2,FALSE)),"X",$X64)</f>
        <v/>
      </c>
      <c r="AC64" s="75" t="str">
        <f>IF(ISTEXT(VLOOKUP(CONCATENATE($A64,"_",AC$3),'Unit List'!$A$23:$H$3172,2,FALSE)),"X",$X64)</f>
        <v/>
      </c>
      <c r="AD64" s="172" t="str">
        <f>IF(ISTEXT(VLOOKUP(CONCATENATE($A64,"_",AD$3),'Unit List'!$A$23:$H$3172,2,FALSE)),"+","")</f>
        <v/>
      </c>
      <c r="AE64" s="120" t="str">
        <f>IF(ISTEXT(VLOOKUP(CONCATENATE($A64,"_",AE$3),'Unit List'!$A$23:$H$3172,2,FALSE)),"X",$AD64)</f>
        <v/>
      </c>
      <c r="AF64" s="120" t="str">
        <f>IF(ISTEXT(VLOOKUP(CONCATENATE($A64,"_",AF$3),'Unit List'!$A$23:$H$3172,2,FALSE)),"X",$AD64)</f>
        <v/>
      </c>
      <c r="AG64" s="172" t="str">
        <f>IF(ISTEXT(VLOOKUP(CONCATENATE($A64,"_",AG$3),'Unit List'!$A$23:$H$3172,2,FALSE)),"+","")</f>
        <v/>
      </c>
      <c r="AH64" s="120" t="str">
        <f>IF(ISTEXT(VLOOKUP(CONCATENATE($A64,"_",AH$3),'Unit List'!$A$23:$H$3172,2,FALSE)),"X",$AG64)</f>
        <v/>
      </c>
      <c r="AI64" s="120" t="str">
        <f>IF(ISTEXT(VLOOKUP(CONCATENATE($A64,"_",AI$3),'Unit List'!$A$23:$H$3172,2,FALSE)),"X",$AG64)</f>
        <v/>
      </c>
      <c r="AJ64" s="122" t="str">
        <f>IF(ISTEXT(VLOOKUP(CONCATENATE($A64,"_",AJ$3),'Unit List'!$A$23:$H$3172,2,FALSE)),"X",$AG64)</f>
        <v/>
      </c>
      <c r="AK64" s="172" t="str">
        <f>IF(ISTEXT(VLOOKUP(CONCATENATE($A64,"_",AK$3),'Unit List'!$A$23:$H$3172,2,FALSE)),"+","")</f>
        <v/>
      </c>
      <c r="AL64" s="121" t="str">
        <f>IF(ISTEXT(VLOOKUP(CONCATENATE($A64,"_",AL$3),'Unit List'!$A$23:$H$3172,2,FALSE)),"X",$AK64)</f>
        <v/>
      </c>
      <c r="AM64" s="122" t="str">
        <f>IF(ISTEXT(VLOOKUP(CONCATENATE($A64,"_",AM$3),'Unit List'!$A$23:$H$3172,2,FALSE)),"X",$AK64)</f>
        <v/>
      </c>
      <c r="AN64" s="125" t="str">
        <f>IF(ISTEXT(VLOOKUP(CONCATENATE($A64,"_",AN$3),'Unit List'!$A$23:$H$3172,2,FALSE)),"+","")</f>
        <v/>
      </c>
      <c r="AO64" s="122" t="str">
        <f>IF(ISTEXT(VLOOKUP(CONCATENATE($A64,"_",AO$3),'Unit List'!$A$23:$H$3172,2,FALSE)),"X",$AN64)</f>
        <v/>
      </c>
      <c r="AP64" s="172" t="str">
        <f>IF(ISTEXT(VLOOKUP(CONCATENATE($A64,"_",AP$3),'Unit List'!$A$23:$H$3172,2,FALSE)),"+","")</f>
        <v/>
      </c>
      <c r="AQ64" s="120" t="str">
        <f>IF(ISTEXT(VLOOKUP(CONCATENATE($A64,"_",AQ$3),'Unit List'!$A$23:$H$3172,2,FALSE)),"X",$AP64)</f>
        <v/>
      </c>
      <c r="AR64" s="120" t="str">
        <f>IF(ISTEXT(VLOOKUP(CONCATENATE($A64,"_",AR$3),'Unit List'!$A$23:$H$3172,2,FALSE)),"X",$AP64)</f>
        <v/>
      </c>
      <c r="AS64" s="120" t="str">
        <f>IF(ISTEXT(VLOOKUP(CONCATENATE($A64,"_",AS$3),'Unit List'!$A$23:$H$3172,2,FALSE)),"X",$AP64)</f>
        <v/>
      </c>
      <c r="AT64" s="122" t="str">
        <f>IF(ISTEXT(VLOOKUP(CONCATENATE($A64,"_",AT$3),'Unit List'!$A$23:$H$3172,2,FALSE)),"X",$AP64)</f>
        <v/>
      </c>
      <c r="AU64" s="124" t="str">
        <f>IF(ISTEXT(VLOOKUP(CONCATENATE($A64,"_",AU$3),'Unit List'!$A$23:$H$3172,2,FALSE)),"+","")</f>
        <v/>
      </c>
      <c r="AV64" s="120" t="str">
        <f>IF(ISTEXT(VLOOKUP(CONCATENATE($A64,"_",AV$3),'Unit List'!$A$23:$H$3172,2,FALSE)),"X",$AU64)</f>
        <v/>
      </c>
      <c r="AW64" s="122" t="str">
        <f>IF(ISTEXT(VLOOKUP(CONCATENATE($A64,"_",AW$3),'Unit List'!$A$23:$H$3172,2,FALSE)),"X",$AU64)</f>
        <v/>
      </c>
      <c r="AX64" s="172" t="str">
        <f>IF(ISTEXT(VLOOKUP(CONCATENATE($A64,"_",AX$3),'Unit List'!$A$23:$H$3172,2,FALSE)),"+","")</f>
        <v/>
      </c>
      <c r="AY64" s="120" t="str">
        <f>IF(ISTEXT(VLOOKUP(CONCATENATE($A64,"_",AY$3),'Unit List'!$A$23:$H$3172,2,FALSE)),"X",$AX64)</f>
        <v/>
      </c>
      <c r="AZ64" s="122" t="str">
        <f>IF(ISTEXT(VLOOKUP(CONCATENATE($A64,"_",AZ$3),'Unit List'!$A$23:$H$3172,2,FALSE)),"X",$AX64)</f>
        <v/>
      </c>
      <c r="BA64" s="172" t="str">
        <f>IF(ISTEXT(VLOOKUP(CONCATENATE($A64,"_",BA$3),'Unit List'!$A$23:$H$3172,2,FALSE)),"+","")</f>
        <v/>
      </c>
      <c r="BB64" s="120" t="str">
        <f>IF(ISTEXT(VLOOKUP(CONCATENATE($A64,"_",BB$3),'Unit List'!$A$23:$H$3172,2,FALSE)),"X",$BA64)</f>
        <v/>
      </c>
      <c r="BC64" s="120" t="str">
        <f>IF(ISTEXT(VLOOKUP(CONCATENATE($A64,"_",BC$3),'Unit List'!$A$23:$H$3172,2,FALSE)),"X",$BA64)</f>
        <v/>
      </c>
      <c r="BD64" s="122" t="str">
        <f>IF(ISTEXT(VLOOKUP(CONCATENATE($A64,"_",BD$3),'Unit List'!$A$23:$H$3172,2,FALSE)),"X",$BA64)</f>
        <v/>
      </c>
      <c r="BE64" s="125" t="str">
        <f>IF(ISTEXT(VLOOKUP(CONCATENATE($A64,"_",BE$3),'Unit List'!$A$23:$H$3172,2,FALSE)),"+","")</f>
        <v/>
      </c>
      <c r="BF64" s="75" t="str">
        <f>IF(ISTEXT(VLOOKUP(CONCATENATE($A64,"_",BF$3),'Unit List'!$A$23:$H$3172,2,FALSE)),"X",$BE64)</f>
        <v/>
      </c>
      <c r="BG64" s="64" t="s">
        <v>0</v>
      </c>
      <c r="BH64" s="65" t="s">
        <v>0</v>
      </c>
      <c r="BI64" s="225"/>
      <c r="BJ64" s="226"/>
      <c r="BK64" s="226"/>
      <c r="BL64" s="226"/>
      <c r="BM64" s="227"/>
      <c r="BN64" s="127"/>
      <c r="BO64" s="127"/>
      <c r="BP64" s="54"/>
      <c r="BQ64" s="54"/>
      <c r="BR64" s="54"/>
      <c r="BS64" s="54"/>
      <c r="BT64" s="54"/>
      <c r="BU64" s="54"/>
      <c r="DZ64" s="55"/>
      <c r="EA64" s="55"/>
    </row>
    <row r="65" spans="1:131" ht="12.75" customHeight="1" x14ac:dyDescent="0.2">
      <c r="A65" s="128" t="s">
        <v>1113</v>
      </c>
      <c r="B65" s="181" t="str">
        <f>IF(ISTEXT(VLOOKUP(CONCATENATE($A65,"_",B$3),'Unit List'!$A$23:$H$3172,2,FALSE)),"+","")</f>
        <v/>
      </c>
      <c r="C65" s="119" t="str">
        <f>IF(ISTEXT(VLOOKUP(CONCATENATE($A65,"_",C$3),'Unit List'!$A$23:$H$3172,2,FALSE)),"X",$B65)</f>
        <v/>
      </c>
      <c r="D65" s="120" t="str">
        <f>IF(ISTEXT(VLOOKUP(CONCATENATE($A65,"_",D$3),'Unit List'!$A$23:$H$3172,2,FALSE)),"X",$B65)</f>
        <v/>
      </c>
      <c r="E65" s="120" t="str">
        <f>IF(ISTEXT(VLOOKUP(CONCATENATE($A65,"_",E$3),'Unit List'!$A$23:$H$3172,2,FALSE)),"X",$B65)</f>
        <v/>
      </c>
      <c r="F65" s="120" t="str">
        <f>IF(ISTEXT(VLOOKUP(CONCATENATE($A65,"_",F$3),'Unit List'!$A$23:$H$3172,2,FALSE)),"X",$B65)</f>
        <v/>
      </c>
      <c r="G65" s="120" t="str">
        <f>IF(ISTEXT(VLOOKUP(CONCATENATE($A65,"_",G$3),'Unit List'!$A$23:$H$3172,2,FALSE)),"X",$B65)</f>
        <v/>
      </c>
      <c r="H65" s="120" t="str">
        <f>IF(ISTEXT(VLOOKUP(CONCATENATE($A65,"_",H$3),'Unit List'!$A$23:$H$3172,2,FALSE)),"X",$B65)</f>
        <v/>
      </c>
      <c r="I65" s="122" t="str">
        <f>IF(ISTEXT(VLOOKUP(CONCATENATE($A65,"_",I$3),'Unit List'!$A$23:$H$3172,2,FALSE)),"X",$B65)</f>
        <v/>
      </c>
      <c r="J65" s="172" t="str">
        <f>IF(ISTEXT(VLOOKUP(CONCATENATE($A65,"_",J$3),'Unit List'!$A$23:$H$3172,2,FALSE)),"+","")</f>
        <v/>
      </c>
      <c r="K65" s="120" t="str">
        <f>IF(ISTEXT(VLOOKUP(CONCATENATE($A65,"_",K$3),'Unit List'!$A$23:$H$3172,2,FALSE)),"X",$J65)</f>
        <v/>
      </c>
      <c r="L65" s="75" t="str">
        <f>IF(ISTEXT(VLOOKUP(CONCATENATE($A65,"_",L$3),'Unit List'!$A$23:$H$3172,2,FALSE)),"X",$J65)</f>
        <v/>
      </c>
      <c r="M65" s="172" t="str">
        <f>IF(ISTEXT(VLOOKUP(CONCATENATE($A65,"_",M$3),'Unit List'!$A$23:$H$3172,2,FALSE)),"+","")</f>
        <v/>
      </c>
      <c r="N65" s="120" t="str">
        <f>IF(ISTEXT(VLOOKUP(CONCATENATE($A65,"_",N$3),'Unit List'!$A$23:$H$3172,2,FALSE)),"X",$M65)</f>
        <v/>
      </c>
      <c r="O65" s="122" t="str">
        <f>IF(ISTEXT(VLOOKUP(CONCATENATE($A65,"_",O$3),'Unit List'!$A$23:$H$3172,2,FALSE)),"X",$M65)</f>
        <v/>
      </c>
      <c r="P65" s="172" t="str">
        <f>IF(ISTEXT(VLOOKUP(CONCATENATE($A65,"_",P$3),'Unit List'!$A$23:$H$3172,2,FALSE)),"+","")</f>
        <v/>
      </c>
      <c r="Q65" s="120" t="str">
        <f>IF(ISTEXT(VLOOKUP(CONCATENATE($A65,"_",Q$3),'Unit List'!$A$23:$H$3172,2,FALSE)),"X",$P65)</f>
        <v/>
      </c>
      <c r="R65" s="120" t="str">
        <f>IF(ISTEXT(VLOOKUP(CONCATENATE($A65,"_",R$3),'Unit List'!$A$23:$H$3172,2,FALSE)),"X",$P65)</f>
        <v/>
      </c>
      <c r="S65" s="120" t="str">
        <f>IF(ISTEXT(VLOOKUP(CONCATENATE($A65,"_",S$3),'Unit List'!$A$23:$H$3172,2,FALSE)),"X",$P65)</f>
        <v/>
      </c>
      <c r="T65" s="121" t="str">
        <f>IF(ISTEXT(VLOOKUP(CONCATENATE($A65,"_",T$3),'Unit List'!$A$23:$H$3172,2,FALSE)),"X",$P65)</f>
        <v/>
      </c>
      <c r="U65" s="120" t="str">
        <f>IF(ISTEXT(VLOOKUP(CONCATENATE($A65,"_",U$3),'Unit List'!$A$23:$H$3172,2,FALSE)),"X",$P65)</f>
        <v/>
      </c>
      <c r="V65" s="120" t="str">
        <f>IF(ISTEXT(VLOOKUP(CONCATENATE($A65,"_",V$3),'Unit List'!$A$23:$H$3172,2,FALSE)),"X",$P65)</f>
        <v/>
      </c>
      <c r="W65" s="122" t="str">
        <f>IF(ISTEXT(VLOOKUP(CONCATENATE($A65,"_",W$3),'Unit List'!$A$23:$H$3172,2,FALSE)),"X",$P65)</f>
        <v/>
      </c>
      <c r="X65" s="172" t="str">
        <f>IF(ISTEXT(VLOOKUP(CONCATENATE($A65,"_",X$3),'Unit List'!$A$23:$H$3172,2,FALSE)),"+","")</f>
        <v/>
      </c>
      <c r="Y65" s="120" t="str">
        <f>IF(ISTEXT(VLOOKUP(CONCATENATE($A65,"_",Y$3),'Unit List'!$A$23:$H$3172,2,FALSE)),"X",$X65)</f>
        <v/>
      </c>
      <c r="Z65" s="120" t="str">
        <f>IF(ISTEXT(VLOOKUP(CONCATENATE($A65,"_",Z$3),'Unit List'!$A$23:$H$3172,2,FALSE)),"X",$X65)</f>
        <v/>
      </c>
      <c r="AA65" s="120" t="str">
        <f>IF(ISTEXT(VLOOKUP(CONCATENATE($A65,"_",AA$3),'Unit List'!$A$23:$H$3172,2,FALSE)),"X",$X65)</f>
        <v/>
      </c>
      <c r="AB65" s="120" t="str">
        <f>IF(ISTEXT(VLOOKUP(CONCATENATE($A65,"_",AB$3),'Unit List'!$A$23:$H$3172,2,FALSE)),"X",$X65)</f>
        <v/>
      </c>
      <c r="AC65" s="75" t="str">
        <f>IF(ISTEXT(VLOOKUP(CONCATENATE($A65,"_",AC$3),'Unit List'!$A$23:$H$3172,2,FALSE)),"X",$X65)</f>
        <v/>
      </c>
      <c r="AD65" s="172" t="str">
        <f>IF(ISTEXT(VLOOKUP(CONCATENATE($A65,"_",AD$3),'Unit List'!$A$23:$H$3172,2,FALSE)),"+","")</f>
        <v/>
      </c>
      <c r="AE65" s="120" t="str">
        <f>IF(ISTEXT(VLOOKUP(CONCATENATE($A65,"_",AE$3),'Unit List'!$A$23:$H$3172,2,FALSE)),"X",$AD65)</f>
        <v/>
      </c>
      <c r="AF65" s="120" t="str">
        <f>IF(ISTEXT(VLOOKUP(CONCATENATE($A65,"_",AF$3),'Unit List'!$A$23:$H$3172,2,FALSE)),"X",$AD65)</f>
        <v/>
      </c>
      <c r="AG65" s="172" t="str">
        <f>IF(ISTEXT(VLOOKUP(CONCATENATE($A65,"_",AG$3),'Unit List'!$A$23:$H$3172,2,FALSE)),"+","")</f>
        <v/>
      </c>
      <c r="AH65" s="120" t="str">
        <f>IF(ISTEXT(VLOOKUP(CONCATENATE($A65,"_",AH$3),'Unit List'!$A$23:$H$3172,2,FALSE)),"X",$AG65)</f>
        <v/>
      </c>
      <c r="AI65" s="120" t="str">
        <f>IF(ISTEXT(VLOOKUP(CONCATENATE($A65,"_",AI$3),'Unit List'!$A$23:$H$3172,2,FALSE)),"X",$AG65)</f>
        <v/>
      </c>
      <c r="AJ65" s="122" t="str">
        <f>IF(ISTEXT(VLOOKUP(CONCATENATE($A65,"_",AJ$3),'Unit List'!$A$23:$H$3172,2,FALSE)),"X",$AG65)</f>
        <v/>
      </c>
      <c r="AK65" s="172" t="str">
        <f>IF(ISTEXT(VLOOKUP(CONCATENATE($A65,"_",AK$3),'Unit List'!$A$23:$H$3172,2,FALSE)),"+","")</f>
        <v/>
      </c>
      <c r="AL65" s="121" t="str">
        <f>IF(ISTEXT(VLOOKUP(CONCATENATE($A65,"_",AL$3),'Unit List'!$A$23:$H$3172,2,FALSE)),"X",$AK65)</f>
        <v/>
      </c>
      <c r="AM65" s="122" t="str">
        <f>IF(ISTEXT(VLOOKUP(CONCATENATE($A65,"_",AM$3),'Unit List'!$A$23:$H$3172,2,FALSE)),"X",$AK65)</f>
        <v/>
      </c>
      <c r="AN65" s="125" t="str">
        <f>IF(ISTEXT(VLOOKUP(CONCATENATE($A65,"_",AN$3),'Unit List'!$A$23:$H$3172,2,FALSE)),"+","")</f>
        <v/>
      </c>
      <c r="AO65" s="122" t="str">
        <f>IF(ISTEXT(VLOOKUP(CONCATENATE($A65,"_",AO$3),'Unit List'!$A$23:$H$3172,2,FALSE)),"X",$AN65)</f>
        <v/>
      </c>
      <c r="AP65" s="172" t="str">
        <f>IF(ISTEXT(VLOOKUP(CONCATENATE($A65,"_",AP$3),'Unit List'!$A$23:$H$3172,2,FALSE)),"+","")</f>
        <v/>
      </c>
      <c r="AQ65" s="120" t="str">
        <f>IF(ISTEXT(VLOOKUP(CONCATENATE($A65,"_",AQ$3),'Unit List'!$A$23:$H$3172,2,FALSE)),"X",$AP65)</f>
        <v/>
      </c>
      <c r="AR65" s="120" t="str">
        <f>IF(ISTEXT(VLOOKUP(CONCATENATE($A65,"_",AR$3),'Unit List'!$A$23:$H$3172,2,FALSE)),"X",$AP65)</f>
        <v/>
      </c>
      <c r="AS65" s="120" t="str">
        <f>IF(ISTEXT(VLOOKUP(CONCATENATE($A65,"_",AS$3),'Unit List'!$A$23:$H$3172,2,FALSE)),"X",$AP65)</f>
        <v/>
      </c>
      <c r="AT65" s="122" t="str">
        <f>IF(ISTEXT(VLOOKUP(CONCATENATE($A65,"_",AT$3),'Unit List'!$A$23:$H$3172,2,FALSE)),"X",$AP65)</f>
        <v/>
      </c>
      <c r="AU65" s="124" t="str">
        <f>IF(ISTEXT(VLOOKUP(CONCATENATE($A65,"_",AU$3),'Unit List'!$A$23:$H$3172,2,FALSE)),"+","")</f>
        <v/>
      </c>
      <c r="AV65" s="120" t="str">
        <f>IF(ISTEXT(VLOOKUP(CONCATENATE($A65,"_",AV$3),'Unit List'!$A$23:$H$3172,2,FALSE)),"X",$AU65)</f>
        <v/>
      </c>
      <c r="AW65" s="122" t="str">
        <f>IF(ISTEXT(VLOOKUP(CONCATENATE($A65,"_",AW$3),'Unit List'!$A$23:$H$3172,2,FALSE)),"X",$AU65)</f>
        <v/>
      </c>
      <c r="AX65" s="172" t="str">
        <f>IF(ISTEXT(VLOOKUP(CONCATENATE($A65,"_",AX$3),'Unit List'!$A$23:$H$3172,2,FALSE)),"+","")</f>
        <v/>
      </c>
      <c r="AY65" s="120" t="str">
        <f>IF(ISTEXT(VLOOKUP(CONCATENATE($A65,"_",AY$3),'Unit List'!$A$23:$H$3172,2,FALSE)),"X",$AX65)</f>
        <v/>
      </c>
      <c r="AZ65" s="122" t="str">
        <f>IF(ISTEXT(VLOOKUP(CONCATENATE($A65,"_",AZ$3),'Unit List'!$A$23:$H$3172,2,FALSE)),"X",$AX65)</f>
        <v/>
      </c>
      <c r="BA65" s="182" t="str">
        <f>IF(ISTEXT(VLOOKUP(CONCATENATE($A65,"_",BA$3),'Unit List'!$A$23:$H$3172,2,FALSE)),"+","")</f>
        <v/>
      </c>
      <c r="BB65" s="120" t="str">
        <f>IF(ISTEXT(VLOOKUP(CONCATENATE($A65,"_",BB$3),'Unit List'!$A$23:$H$3172,2,FALSE)),"X",$BA65)</f>
        <v/>
      </c>
      <c r="BC65" s="120" t="str">
        <f>IF(ISTEXT(VLOOKUP(CONCATENATE($A65,"_",BC$3),'Unit List'!$A$23:$H$3172,2,FALSE)),"X",$BA65)</f>
        <v/>
      </c>
      <c r="BD65" s="122" t="str">
        <f>IF(ISTEXT(VLOOKUP(CONCATENATE($A65,"_",BD$3),'Unit List'!$A$23:$H$3172,2,FALSE)),"X",$BA65)</f>
        <v/>
      </c>
      <c r="BE65" s="125" t="str">
        <f>IF(ISTEXT(VLOOKUP(CONCATENATE($A65,"_",BE$3),'Unit List'!$A$23:$H$3172,2,FALSE)),"+","")</f>
        <v/>
      </c>
      <c r="BF65" s="75" t="str">
        <f>IF(ISTEXT(VLOOKUP(CONCATENATE($A65,"_",BF$3),'Unit List'!$A$23:$H$3172,2,FALSE)),"X",$BE65)</f>
        <v/>
      </c>
      <c r="BG65" s="75"/>
      <c r="BH65" s="84"/>
      <c r="BI65" s="225"/>
      <c r="BJ65" s="226"/>
      <c r="BK65" s="226"/>
      <c r="BL65" s="226"/>
      <c r="BM65" s="227"/>
      <c r="BN65" s="54"/>
      <c r="BO65" s="54"/>
      <c r="BP65" s="54"/>
      <c r="BQ65" s="54"/>
      <c r="BR65" s="54"/>
      <c r="BS65" s="54"/>
      <c r="DZ65" s="55"/>
      <c r="EA65" s="55"/>
    </row>
    <row r="66" spans="1:131" ht="12.75" customHeight="1" x14ac:dyDescent="0.2">
      <c r="A66" s="126" t="s">
        <v>7</v>
      </c>
      <c r="B66" s="181" t="str">
        <f>IF(ISTEXT(VLOOKUP(CONCATENATE($A66,"_",B$3),'Unit List'!$A$23:$H$3172,2,FALSE)),"+","")</f>
        <v/>
      </c>
      <c r="C66" s="119" t="str">
        <f>IF(ISTEXT(VLOOKUP(CONCATENATE($A66,"_",C$3),'Unit List'!$A$23:$H$3172,2,FALSE)),"X",$B66)</f>
        <v/>
      </c>
      <c r="D66" s="120" t="str">
        <f>IF(ISTEXT(VLOOKUP(CONCATENATE($A66,"_",D$3),'Unit List'!$A$23:$H$3172,2,FALSE)),"X",$B66)</f>
        <v/>
      </c>
      <c r="E66" s="120" t="str">
        <f>IF(ISTEXT(VLOOKUP(CONCATENATE($A66,"_",E$3),'Unit List'!$A$23:$H$3172,2,FALSE)),"X",$B66)</f>
        <v>X</v>
      </c>
      <c r="F66" s="120" t="str">
        <f>IF(ISTEXT(VLOOKUP(CONCATENATE($A66,"_",F$3),'Unit List'!$A$23:$H$3172,2,FALSE)),"X",$B66)</f>
        <v/>
      </c>
      <c r="G66" s="120" t="str">
        <f>IF(ISTEXT(VLOOKUP(CONCATENATE($A66,"_",G$3),'Unit List'!$A$23:$H$3172,2,FALSE)),"X",$B66)</f>
        <v/>
      </c>
      <c r="H66" s="120" t="str">
        <f>IF(ISTEXT(VLOOKUP(CONCATENATE($A66,"_",H$3),'Unit List'!$A$23:$H$3172,2,FALSE)),"X",$B66)</f>
        <v/>
      </c>
      <c r="I66" s="122" t="str">
        <f>IF(ISTEXT(VLOOKUP(CONCATENATE($A66,"_",I$3),'Unit List'!$A$23:$H$3172,2,FALSE)),"X",$B66)</f>
        <v/>
      </c>
      <c r="J66" s="172" t="str">
        <f>IF(ISTEXT(VLOOKUP(CONCATENATE($A66,"_",J$3),'Unit List'!$A$23:$H$3172,2,FALSE)),"+","")</f>
        <v/>
      </c>
      <c r="K66" s="120" t="str">
        <f>IF(ISTEXT(VLOOKUP(CONCATENATE($A66,"_",K$3),'Unit List'!$A$23:$H$3172,2,FALSE)),"X",$J66)</f>
        <v/>
      </c>
      <c r="L66" s="75" t="str">
        <f>IF(ISTEXT(VLOOKUP(CONCATENATE($A66,"_",L$3),'Unit List'!$A$23:$H$3172,2,FALSE)),"X",$J66)</f>
        <v/>
      </c>
      <c r="M66" s="172" t="str">
        <f>IF(ISTEXT(VLOOKUP(CONCATENATE($A66,"_",M$3),'Unit List'!$A$23:$H$3172,2,FALSE)),"+","")</f>
        <v/>
      </c>
      <c r="N66" s="120" t="str">
        <f>IF(ISTEXT(VLOOKUP(CONCATENATE($A66,"_",N$3),'Unit List'!$A$23:$H$3172,2,FALSE)),"X",$M66)</f>
        <v/>
      </c>
      <c r="O66" s="122" t="str">
        <f>IF(ISTEXT(VLOOKUP(CONCATENATE($A66,"_",O$3),'Unit List'!$A$23:$H$3172,2,FALSE)),"X",$M66)</f>
        <v/>
      </c>
      <c r="P66" s="172" t="str">
        <f>IF(ISTEXT(VLOOKUP(CONCATENATE($A66,"_",P$3),'Unit List'!$A$23:$H$3172,2,FALSE)),"+","")</f>
        <v/>
      </c>
      <c r="Q66" s="120" t="str">
        <f>IF(ISTEXT(VLOOKUP(CONCATENATE($A66,"_",Q$3),'Unit List'!$A$23:$H$3172,2,FALSE)),"X",$P66)</f>
        <v/>
      </c>
      <c r="R66" s="120" t="str">
        <f>IF(ISTEXT(VLOOKUP(CONCATENATE($A66,"_",R$3),'Unit List'!$A$23:$H$3172,2,FALSE)),"X",$P66)</f>
        <v/>
      </c>
      <c r="S66" s="120" t="str">
        <f>IF(ISTEXT(VLOOKUP(CONCATENATE($A66,"_",S$3),'Unit List'!$A$23:$H$3172,2,FALSE)),"X",$P66)</f>
        <v/>
      </c>
      <c r="T66" s="121" t="str">
        <f>IF(ISTEXT(VLOOKUP(CONCATENATE($A66,"_",T$3),'Unit List'!$A$23:$H$3172,2,FALSE)),"X",$P66)</f>
        <v/>
      </c>
      <c r="U66" s="120" t="str">
        <f>IF(ISTEXT(VLOOKUP(CONCATENATE($A66,"_",U$3),'Unit List'!$A$23:$H$3172,2,FALSE)),"X",$P66)</f>
        <v/>
      </c>
      <c r="V66" s="120" t="str">
        <f>IF(ISTEXT(VLOOKUP(CONCATENATE($A66,"_",V$3),'Unit List'!$A$23:$H$3172,2,FALSE)),"X",$P66)</f>
        <v/>
      </c>
      <c r="W66" s="122" t="str">
        <f>IF(ISTEXT(VLOOKUP(CONCATENATE($A66,"_",W$3),'Unit List'!$A$23:$H$3172,2,FALSE)),"X",$P66)</f>
        <v/>
      </c>
      <c r="X66" s="172" t="str">
        <f>IF(ISTEXT(VLOOKUP(CONCATENATE($A66,"_",X$3),'Unit List'!$A$23:$H$3172,2,FALSE)),"+","")</f>
        <v>+</v>
      </c>
      <c r="Y66" s="120" t="str">
        <f>IF(ISTEXT(VLOOKUP(CONCATENATE($A66,"_",Y$3),'Unit List'!$A$23:$H$3172,2,FALSE)),"X",$X66)</f>
        <v>+</v>
      </c>
      <c r="Z66" s="120" t="str">
        <f>IF(ISTEXT(VLOOKUP(CONCATENATE($A66,"_",Z$3),'Unit List'!$A$23:$H$3172,2,FALSE)),"X",$X66)</f>
        <v>+</v>
      </c>
      <c r="AA66" s="120" t="str">
        <f>IF(ISTEXT(VLOOKUP(CONCATENATE($A66,"_",AA$3),'Unit List'!$A$23:$H$3172,2,FALSE)),"X",$X66)</f>
        <v>+</v>
      </c>
      <c r="AB66" s="120" t="str">
        <f>IF(ISTEXT(VLOOKUP(CONCATENATE($A66,"_",AB$3),'Unit List'!$A$23:$H$3172,2,FALSE)),"X",$X66)</f>
        <v>+</v>
      </c>
      <c r="AC66" s="75" t="str">
        <f>IF(ISTEXT(VLOOKUP(CONCATENATE($A66,"_",AC$3),'Unit List'!$A$23:$H$3172,2,FALSE)),"X",$X66)</f>
        <v>+</v>
      </c>
      <c r="AD66" s="172" t="s">
        <v>2299</v>
      </c>
      <c r="AE66" s="120" t="str">
        <f>IF(ISTEXT(VLOOKUP(CONCATENATE($A66,"_",AE$3),'Unit List'!$A$23:$H$3172,2,FALSE)),"X",$AD66)</f>
        <v>*</v>
      </c>
      <c r="AF66" s="120" t="str">
        <f>IF(ISTEXT(VLOOKUP(CONCATENATE($A66,"_",AF$3),'Unit List'!$A$23:$H$3172,2,FALSE)),"X",$AD66)</f>
        <v>*</v>
      </c>
      <c r="AG66" s="172" t="str">
        <f>IF(ISTEXT(VLOOKUP(CONCATENATE($A66,"_",AG$3),'Unit List'!$A$23:$H$3172,2,FALSE)),"+","")</f>
        <v>+</v>
      </c>
      <c r="AH66" s="120" t="str">
        <f>IF(ISTEXT(VLOOKUP(CONCATENATE($A66,"_",AH$3),'Unit List'!$A$23:$H$3172,2,FALSE)),"X",$AG66)</f>
        <v>+</v>
      </c>
      <c r="AI66" s="120" t="str">
        <f>IF(ISTEXT(VLOOKUP(CONCATENATE($A66,"_",AI$3),'Unit List'!$A$23:$H$3172,2,FALSE)),"X",$AG66)</f>
        <v>+</v>
      </c>
      <c r="AJ66" s="122" t="str">
        <f>IF(ISTEXT(VLOOKUP(CONCATENATE($A66,"_",AJ$3),'Unit List'!$A$23:$H$3172,2,FALSE)),"X",$AG66)</f>
        <v>+</v>
      </c>
      <c r="AK66" s="172" t="str">
        <f>IF(ISTEXT(VLOOKUP(CONCATENATE($A66,"_",AK$3),'Unit List'!$A$23:$H$3172,2,FALSE)),"+","")</f>
        <v>+</v>
      </c>
      <c r="AL66" s="121" t="str">
        <f>IF(ISTEXT(VLOOKUP(CONCATENATE($A66,"_",AL$3),'Unit List'!$A$23:$H$3172,2,FALSE)),"X",$AK66)</f>
        <v>+</v>
      </c>
      <c r="AM66" s="122" t="str">
        <f>IF(ISTEXT(VLOOKUP(CONCATENATE($A66,"_",AM$3),'Unit List'!$A$23:$H$3172,2,FALSE)),"X",$AK66)</f>
        <v>+</v>
      </c>
      <c r="AN66" s="125" t="str">
        <f>IF(ISTEXT(VLOOKUP(CONCATENATE($A66,"_",AN$3),'Unit List'!$A$23:$H$3172,2,FALSE)),"+","")</f>
        <v>+</v>
      </c>
      <c r="AO66" s="122" t="str">
        <f>IF(ISTEXT(VLOOKUP(CONCATENATE($A66,"_",AO$3),'Unit List'!$A$23:$H$3172,2,FALSE)),"X",$AN66)</f>
        <v>+</v>
      </c>
      <c r="AP66" s="172" t="str">
        <f>IF(ISTEXT(VLOOKUP(CONCATENATE($A66,"_",AP$3),'Unit List'!$A$23:$H$3172,2,FALSE)),"+","")</f>
        <v>+</v>
      </c>
      <c r="AQ66" s="120" t="str">
        <f>IF(ISTEXT(VLOOKUP(CONCATENATE($A66,"_",AQ$3),'Unit List'!$A$23:$H$3172,2,FALSE)),"X",$AP66)</f>
        <v>+</v>
      </c>
      <c r="AR66" s="120" t="str">
        <f>IF(ISTEXT(VLOOKUP(CONCATENATE($A66,"_",AR$3),'Unit List'!$A$23:$H$3172,2,FALSE)),"X",$AP66)</f>
        <v>+</v>
      </c>
      <c r="AS66" s="120" t="str">
        <f>IF(ISTEXT(VLOOKUP(CONCATENATE($A66,"_",AS$3),'Unit List'!$A$23:$H$3172,2,FALSE)),"X",$AP66)</f>
        <v>+</v>
      </c>
      <c r="AT66" s="122" t="str">
        <f>IF(ISTEXT(VLOOKUP(CONCATENATE($A66,"_",AT$3),'Unit List'!$A$23:$H$3172,2,FALSE)),"X",$AP66)</f>
        <v>+</v>
      </c>
      <c r="AU66" s="124" t="str">
        <f>IF(ISTEXT(VLOOKUP(CONCATENATE($A66,"_",AU$3),'Unit List'!$A$23:$H$3172,2,FALSE)),"+","")</f>
        <v>+</v>
      </c>
      <c r="AV66" s="120" t="str">
        <f>IF(ISTEXT(VLOOKUP(CONCATENATE($A66,"_",AV$3),'Unit List'!$A$23:$H$3172,2,FALSE)),"X",$AU66)</f>
        <v>+</v>
      </c>
      <c r="AW66" s="122" t="str">
        <f>IF(ISTEXT(VLOOKUP(CONCATENATE($A66,"_",AW$3),'Unit List'!$A$23:$H$3172,2,FALSE)),"X",$AU66)</f>
        <v>+</v>
      </c>
      <c r="AX66" s="171" t="str">
        <f>IF(ISTEXT(VLOOKUP(CONCATENATE($A66,"_",AX$3),'Unit List'!$A$23:$H$3172,2,FALSE)),"+","")</f>
        <v>+</v>
      </c>
      <c r="AY66" s="120" t="str">
        <f>IF(ISTEXT(VLOOKUP(CONCATENATE($A66,"_",AY$3),'Unit List'!$A$23:$H$3172,2,FALSE)),"X",$AX66)</f>
        <v>+</v>
      </c>
      <c r="AZ66" s="122" t="str">
        <f>IF(ISTEXT(VLOOKUP(CONCATENATE($A66,"_",AZ$3),'Unit List'!$A$23:$H$3172,2,FALSE)),"X",$AX66)</f>
        <v>+</v>
      </c>
      <c r="BA66" s="174" t="str">
        <f>IF(ISTEXT(VLOOKUP(CONCATENATE($A66,"_",BA$3),'Unit List'!$A$23:$H$3172,2,FALSE)),"+","")</f>
        <v>+</v>
      </c>
      <c r="BB66" s="120" t="str">
        <f>IF(ISTEXT(VLOOKUP(CONCATENATE($A66,"_",BB$3),'Unit List'!$A$23:$H$3172,2,FALSE)),"X",$BA66)</f>
        <v>+</v>
      </c>
      <c r="BC66" s="120" t="str">
        <f>IF(ISTEXT(VLOOKUP(CONCATENATE($A66,"_",BC$3),'Unit List'!$A$23:$H$3172,2,FALSE)),"X",$BA66)</f>
        <v>+</v>
      </c>
      <c r="BD66" s="122" t="str">
        <f>IF(ISTEXT(VLOOKUP(CONCATENATE($A66,"_",BD$3),'Unit List'!$A$23:$H$3172,2,FALSE)),"X",$BA66)</f>
        <v>+</v>
      </c>
      <c r="BE66" s="175" t="str">
        <f>IF(ISTEXT(VLOOKUP(CONCATENATE($A66,"_",BE$3),'Unit List'!$A$23:$H$3172,2,FALSE)),"+","")</f>
        <v>+</v>
      </c>
      <c r="BF66" s="75" t="str">
        <f>IF(ISTEXT(VLOOKUP(CONCATENATE($A66,"_",BF$3),'Unit List'!$A$23:$H$3172,2,FALSE)),"X",$BE66)</f>
        <v>+</v>
      </c>
      <c r="BG66" s="75"/>
      <c r="BH66" s="84"/>
      <c r="BI66" s="225"/>
      <c r="BJ66" s="226"/>
      <c r="BK66" s="226"/>
      <c r="BL66" s="226"/>
      <c r="BM66" s="227"/>
      <c r="BN66" s="54"/>
      <c r="BO66" s="54"/>
      <c r="BP66" s="54"/>
      <c r="BQ66" s="54"/>
      <c r="BR66" s="54"/>
      <c r="BS66" s="54"/>
      <c r="DZ66" s="55"/>
      <c r="EA66" s="55"/>
    </row>
    <row r="67" spans="1:131" ht="12.75" customHeight="1" x14ac:dyDescent="0.2">
      <c r="A67" s="128" t="s">
        <v>8</v>
      </c>
      <c r="B67" s="181" t="str">
        <f>IF(ISTEXT(VLOOKUP(CONCATENATE($A67,"_",B$3),'Unit List'!$A$23:$H$3172,2,FALSE)),"+","")</f>
        <v/>
      </c>
      <c r="C67" s="119" t="str">
        <f>IF(ISTEXT(VLOOKUP(CONCATENATE($A67,"_",C$3),'Unit List'!$A$23:$H$3172,2,FALSE)),"X",$B67)</f>
        <v/>
      </c>
      <c r="D67" s="120" t="str">
        <f>IF(ISTEXT(VLOOKUP(CONCATENATE($A67,"_",D$3),'Unit List'!$A$23:$H$3172,2,FALSE)),"X",$B67)</f>
        <v/>
      </c>
      <c r="E67" s="120" t="str">
        <f>IF(ISTEXT(VLOOKUP(CONCATENATE($A67,"_",E$3),'Unit List'!$A$23:$H$3172,2,FALSE)),"X",$B67)</f>
        <v>X</v>
      </c>
      <c r="F67" s="120" t="str">
        <f>IF(ISTEXT(VLOOKUP(CONCATENATE($A67,"_",F$3),'Unit List'!$A$23:$H$3172,2,FALSE)),"X",$B67)</f>
        <v/>
      </c>
      <c r="G67" s="120" t="str">
        <f>IF(ISTEXT(VLOOKUP(CONCATENATE($A67,"_",G$3),'Unit List'!$A$23:$H$3172,2,FALSE)),"X",$B67)</f>
        <v/>
      </c>
      <c r="H67" s="120" t="str">
        <f>IF(ISTEXT(VLOOKUP(CONCATENATE($A67,"_",H$3),'Unit List'!$A$23:$H$3172,2,FALSE)),"X",$B67)</f>
        <v/>
      </c>
      <c r="I67" s="122" t="str">
        <f>IF(ISTEXT(VLOOKUP(CONCATENATE($A67,"_",I$3),'Unit List'!$A$23:$H$3172,2,FALSE)),"X",$B67)</f>
        <v/>
      </c>
      <c r="J67" s="172" t="str">
        <f>IF(ISTEXT(VLOOKUP(CONCATENATE($A67,"_",J$3),'Unit List'!$A$23:$H$3172,2,FALSE)),"+","")</f>
        <v/>
      </c>
      <c r="K67" s="120" t="str">
        <f>IF(ISTEXT(VLOOKUP(CONCATENATE($A67,"_",K$3),'Unit List'!$A$23:$H$3172,2,FALSE)),"X",$J67)</f>
        <v/>
      </c>
      <c r="L67" s="75" t="str">
        <f>IF(ISTEXT(VLOOKUP(CONCATENATE($A67,"_",L$3),'Unit List'!$A$23:$H$3172,2,FALSE)),"X",$J67)</f>
        <v/>
      </c>
      <c r="M67" s="172" t="str">
        <f>IF(ISTEXT(VLOOKUP(CONCATENATE($A67,"_",M$3),'Unit List'!$A$23:$H$3172,2,FALSE)),"+","")</f>
        <v/>
      </c>
      <c r="N67" s="120" t="str">
        <f>IF(ISTEXT(VLOOKUP(CONCATENATE($A67,"_",N$3),'Unit List'!$A$23:$H$3172,2,FALSE)),"X",$M67)</f>
        <v/>
      </c>
      <c r="O67" s="122" t="str">
        <f>IF(ISTEXT(VLOOKUP(CONCATENATE($A67,"_",O$3),'Unit List'!$A$23:$H$3172,2,FALSE)),"X",$M67)</f>
        <v/>
      </c>
      <c r="P67" s="172" t="str">
        <f>IF(ISTEXT(VLOOKUP(CONCATENATE($A67,"_",P$3),'Unit List'!$A$23:$H$3172,2,FALSE)),"+","")</f>
        <v/>
      </c>
      <c r="Q67" s="120" t="str">
        <f>IF(ISTEXT(VLOOKUP(CONCATENATE($A67,"_",Q$3),'Unit List'!$A$23:$H$3172,2,FALSE)),"X",$P67)</f>
        <v/>
      </c>
      <c r="R67" s="120" t="str">
        <f>IF(ISTEXT(VLOOKUP(CONCATENATE($A67,"_",R$3),'Unit List'!$A$23:$H$3172,2,FALSE)),"X",$P67)</f>
        <v/>
      </c>
      <c r="S67" s="120" t="str">
        <f>IF(ISTEXT(VLOOKUP(CONCATENATE($A67,"_",S$3),'Unit List'!$A$23:$H$3172,2,FALSE)),"X",$P67)</f>
        <v/>
      </c>
      <c r="T67" s="121" t="str">
        <f>IF(ISTEXT(VLOOKUP(CONCATENATE($A67,"_",T$3),'Unit List'!$A$23:$H$3172,2,FALSE)),"X",$P67)</f>
        <v/>
      </c>
      <c r="U67" s="120" t="str">
        <f>IF(ISTEXT(VLOOKUP(CONCATENATE($A67,"_",U$3),'Unit List'!$A$23:$H$3172,2,FALSE)),"X",$P67)</f>
        <v/>
      </c>
      <c r="V67" s="120" t="str">
        <f>IF(ISTEXT(VLOOKUP(CONCATENATE($A67,"_",V$3),'Unit List'!$A$23:$H$3172,2,FALSE)),"X",$P67)</f>
        <v/>
      </c>
      <c r="W67" s="122" t="str">
        <f>IF(ISTEXT(VLOOKUP(CONCATENATE($A67,"_",W$3),'Unit List'!$A$23:$H$3172,2,FALSE)),"X",$P67)</f>
        <v/>
      </c>
      <c r="X67" s="172" t="str">
        <f>IF(ISTEXT(VLOOKUP(CONCATENATE($A67,"_",X$3),'Unit List'!$A$23:$H$3172,2,FALSE)),"+","")</f>
        <v/>
      </c>
      <c r="Y67" s="120" t="str">
        <f>IF(ISTEXT(VLOOKUP(CONCATENATE($A67,"_",Y$3),'Unit List'!$A$23:$H$3172,2,FALSE)),"X",$X67)</f>
        <v/>
      </c>
      <c r="Z67" s="120" t="str">
        <f>IF(ISTEXT(VLOOKUP(CONCATENATE($A67,"_",Z$3),'Unit List'!$A$23:$H$3172,2,FALSE)),"X",$X67)</f>
        <v/>
      </c>
      <c r="AA67" s="120" t="str">
        <f>IF(ISTEXT(VLOOKUP(CONCATENATE($A67,"_",AA$3),'Unit List'!$A$23:$H$3172,2,FALSE)),"X",$X67)</f>
        <v/>
      </c>
      <c r="AB67" s="120" t="str">
        <f>IF(ISTEXT(VLOOKUP(CONCATENATE($A67,"_",AB$3),'Unit List'!$A$23:$H$3172,2,FALSE)),"X",$X67)</f>
        <v/>
      </c>
      <c r="AC67" s="75" t="str">
        <f>IF(ISTEXT(VLOOKUP(CONCATENATE($A67,"_",AC$3),'Unit List'!$A$23:$H$3172,2,FALSE)),"X",$X67)</f>
        <v/>
      </c>
      <c r="AD67" s="172" t="str">
        <f>IF(ISTEXT(VLOOKUP(CONCATENATE($A67,"_",AD$3),'Unit List'!$A$23:$H$3172,2,FALSE)),"+","")</f>
        <v/>
      </c>
      <c r="AE67" s="120" t="str">
        <f>IF(ISTEXT(VLOOKUP(CONCATENATE($A67,"_",AE$3),'Unit List'!$A$23:$H$3172,2,FALSE)),"X",$AD67)</f>
        <v/>
      </c>
      <c r="AF67" s="120" t="str">
        <f>IF(ISTEXT(VLOOKUP(CONCATENATE($A67,"_",AF$3),'Unit List'!$A$23:$H$3172,2,FALSE)),"X",$AD67)</f>
        <v/>
      </c>
      <c r="AG67" s="172" t="str">
        <f>IF(ISTEXT(VLOOKUP(CONCATENATE($A67,"_",AG$3),'Unit List'!$A$23:$H$3172,2,FALSE)),"+","")</f>
        <v>+</v>
      </c>
      <c r="AH67" s="120" t="str">
        <f>IF(ISTEXT(VLOOKUP(CONCATENATE($A67,"_",AH$3),'Unit List'!$A$23:$H$3172,2,FALSE)),"X",$AG67)</f>
        <v>+</v>
      </c>
      <c r="AI67" s="120" t="str">
        <f>IF(ISTEXT(VLOOKUP(CONCATENATE($A67,"_",AI$3),'Unit List'!$A$23:$H$3172,2,FALSE)),"X",$AG67)</f>
        <v>+</v>
      </c>
      <c r="AJ67" s="122" t="str">
        <f>IF(ISTEXT(VLOOKUP(CONCATENATE($A67,"_",AJ$3),'Unit List'!$A$23:$H$3172,2,FALSE)),"X",$AG67)</f>
        <v>+</v>
      </c>
      <c r="AK67" s="172" t="str">
        <f>IF(ISTEXT(VLOOKUP(CONCATENATE($A67,"_",AK$3),'Unit List'!$A$23:$H$3172,2,FALSE)),"+","")</f>
        <v/>
      </c>
      <c r="AL67" s="176" t="str">
        <f>IF(ISTEXT(VLOOKUP(CONCATENATE($A67,"_",AL$3),'Unit List'!$A$23:$H$3172,2,FALSE)),"X",$AK67)</f>
        <v/>
      </c>
      <c r="AM67" s="122" t="str">
        <f>IF(ISTEXT(VLOOKUP(CONCATENATE($A67,"_",AM$3),'Unit List'!$A$23:$H$3172,2,FALSE)),"X",$AK67)</f>
        <v/>
      </c>
      <c r="AN67" s="125" t="str">
        <f>IF(ISTEXT(VLOOKUP(CONCATENATE($A67,"_",AN$3),'Unit List'!$A$23:$H$3172,2,FALSE)),"+","")</f>
        <v>+</v>
      </c>
      <c r="AO67" s="189" t="str">
        <f>IF(ISTEXT(VLOOKUP(CONCATENATE($A67,"_",AO$3),'Unit List'!$A$23:$H$3172,2,FALSE)),"X",$AN67)</f>
        <v>+</v>
      </c>
      <c r="AP67" s="171" t="str">
        <f>IF(ISTEXT(VLOOKUP(CONCATENATE($A67,"_",AP$3),'Unit List'!$A$23:$H$3172,2,FALSE)),"+","")</f>
        <v>+</v>
      </c>
      <c r="AQ67" s="178" t="str">
        <f>IF(ISTEXT(VLOOKUP(CONCATENATE($A67,"_",AQ$3),'Unit List'!$A$23:$H$3172,2,FALSE)),"X",$AP67)</f>
        <v>+</v>
      </c>
      <c r="AR67" s="178" t="str">
        <f>IF(ISTEXT(VLOOKUP(CONCATENATE($A67,"_",AR$3),'Unit List'!$A$23:$H$3172,2,FALSE)),"X",$AP67)</f>
        <v>+</v>
      </c>
      <c r="AS67" s="178" t="str">
        <f>IF(ISTEXT(VLOOKUP(CONCATENATE($A67,"_",AS$3),'Unit List'!$A$23:$H$3172,2,FALSE)),"X",$AP67)</f>
        <v>+</v>
      </c>
      <c r="AT67" s="189" t="str">
        <f>IF(ISTEXT(VLOOKUP(CONCATENATE($A67,"_",AT$3),'Unit List'!$A$23:$H$3172,2,FALSE)),"X",$AP67)</f>
        <v>+</v>
      </c>
      <c r="AU67" s="177" t="str">
        <f>IF(ISTEXT(VLOOKUP(CONCATENATE($A67,"_",AU$3),'Unit List'!$A$23:$H$3172,2,FALSE)),"+","")</f>
        <v>+</v>
      </c>
      <c r="AV67" s="178" t="str">
        <f>IF(ISTEXT(VLOOKUP(CONCATENATE($A67,"_",AV$3),'Unit List'!$A$23:$H$3172,2,FALSE)),"X",$AU67)</f>
        <v>+</v>
      </c>
      <c r="AW67" s="189" t="str">
        <f>IF(ISTEXT(VLOOKUP(CONCATENATE($A67,"_",AW$3),'Unit List'!$A$23:$H$3172,2,FALSE)),"X",$AU67)</f>
        <v>+</v>
      </c>
      <c r="AX67" s="171" t="str">
        <f>IF(ISTEXT(VLOOKUP(CONCATENATE($A67,"_",AX$3),'Unit List'!$A$23:$H$3172,2,FALSE)),"+","")</f>
        <v>+</v>
      </c>
      <c r="AY67" s="120" t="str">
        <f>IF(ISTEXT(VLOOKUP(CONCATENATE($A67,"_",AY$3),'Unit List'!$A$23:$H$3172,2,FALSE)),"X",$AX67)</f>
        <v>+</v>
      </c>
      <c r="AZ67" s="122" t="str">
        <f>IF(ISTEXT(VLOOKUP(CONCATENATE($A67,"_",AZ$3),'Unit List'!$A$23:$H$3172,2,FALSE)),"X",$AX67)</f>
        <v>+</v>
      </c>
      <c r="BA67" s="174" t="str">
        <f>IF(ISTEXT(VLOOKUP(CONCATENATE($A67,"_",BA$3),'Unit List'!$A$23:$H$3172,2,FALSE)),"+","")</f>
        <v>+</v>
      </c>
      <c r="BB67" s="120" t="str">
        <f>IF(ISTEXT(VLOOKUP(CONCATENATE($A67,"_",BB$3),'Unit List'!$A$23:$H$3172,2,FALSE)),"X",$BA67)</f>
        <v>+</v>
      </c>
      <c r="BC67" s="120" t="str">
        <f>IF(ISTEXT(VLOOKUP(CONCATENATE($A67,"_",BC$3),'Unit List'!$A$23:$H$3172,2,FALSE)),"X",$BA67)</f>
        <v>+</v>
      </c>
      <c r="BD67" s="122" t="str">
        <f>IF(ISTEXT(VLOOKUP(CONCATENATE($A67,"_",BD$3),'Unit List'!$A$23:$H$3172,2,FALSE)),"X",$BA67)</f>
        <v>+</v>
      </c>
      <c r="BE67" s="175" t="str">
        <f>IF(ISTEXT(VLOOKUP(CONCATENATE($A67,"_",BE$3),'Unit List'!$A$23:$H$3172,2,FALSE)),"+","")</f>
        <v>+</v>
      </c>
      <c r="BF67" s="75" t="str">
        <f>IF(ISTEXT(VLOOKUP(CONCATENATE($A67,"_",BF$3),'Unit List'!$A$23:$H$3172,2,FALSE)),"X",$BE67)</f>
        <v>+</v>
      </c>
      <c r="BG67" s="75"/>
      <c r="BH67" s="84"/>
      <c r="BI67" s="225"/>
      <c r="BJ67" s="226"/>
      <c r="BK67" s="226"/>
      <c r="BL67" s="226"/>
      <c r="BM67" s="227"/>
      <c r="BN67" s="54"/>
      <c r="BO67" s="54"/>
      <c r="BP67" s="54"/>
      <c r="BQ67" s="54"/>
      <c r="BR67" s="54"/>
      <c r="BS67" s="54"/>
      <c r="DZ67" s="55"/>
      <c r="EA67" s="55"/>
    </row>
    <row r="68" spans="1:131" ht="12.75" customHeight="1" x14ac:dyDescent="0.2">
      <c r="A68" s="128" t="s">
        <v>1153</v>
      </c>
      <c r="B68" s="179" t="str">
        <f>IF(ISTEXT(VLOOKUP(CONCATENATE($A68,"_",B$3),'Unit List'!$A$23:$H$3172,2,FALSE)),"+","")</f>
        <v/>
      </c>
      <c r="C68" s="180" t="str">
        <f>IF(ISTEXT(VLOOKUP(CONCATENATE($A68,"_",C$3),'Unit List'!$A$23:$H$3172,2,FALSE)),"X",$B68)</f>
        <v/>
      </c>
      <c r="D68" s="178" t="str">
        <f>IF(ISTEXT(VLOOKUP(CONCATENATE($A68,"_",D$3),'Unit List'!$A$23:$H$3172,2,FALSE)),"X",$B68)</f>
        <v/>
      </c>
      <c r="E68" s="178" t="str">
        <f>IF(ISTEXT(VLOOKUP(CONCATENATE($A68,"_",E$3),'Unit List'!$A$23:$H$3172,2,FALSE)),"X",$B68)</f>
        <v/>
      </c>
      <c r="F68" s="178" t="str">
        <f>IF(ISTEXT(VLOOKUP(CONCATENATE($A68,"_",F$3),'Unit List'!$A$23:$H$3172,2,FALSE)),"X",$B68)</f>
        <v/>
      </c>
      <c r="G68" s="178" t="str">
        <f>IF(ISTEXT(VLOOKUP(CONCATENATE($A68,"_",G$3),'Unit List'!$A$23:$H$3172,2,FALSE)),"X",$B68)</f>
        <v/>
      </c>
      <c r="H68" s="178" t="str">
        <f>IF(ISTEXT(VLOOKUP(CONCATENATE($A68,"_",H$3),'Unit List'!$A$23:$H$3172,2,FALSE)),"X",$B68)</f>
        <v/>
      </c>
      <c r="I68" s="189" t="str">
        <f>IF(ISTEXT(VLOOKUP(CONCATENATE($A68,"_",I$3),'Unit List'!$A$23:$H$3172,2,FALSE)),"X",$B68)</f>
        <v/>
      </c>
      <c r="J68" s="171" t="str">
        <f>IF(ISTEXT(VLOOKUP(CONCATENATE($A68,"_",J$3),'Unit List'!$A$23:$H$3172,2,FALSE)),"+","")</f>
        <v/>
      </c>
      <c r="K68" s="178" t="str">
        <f>IF(ISTEXT(VLOOKUP(CONCATENATE($A68,"_",K$3),'Unit List'!$A$23:$H$3172,2,FALSE)),"X",$J68)</f>
        <v/>
      </c>
      <c r="L68" s="95" t="str">
        <f>IF(ISTEXT(VLOOKUP(CONCATENATE($A68,"_",L$3),'Unit List'!$A$23:$H$3172,2,FALSE)),"X",$J68)</f>
        <v/>
      </c>
      <c r="M68" s="171" t="str">
        <f>IF(ISTEXT(VLOOKUP(CONCATENATE($A68,"_",M$3),'Unit List'!$A$23:$H$3172,2,FALSE)),"+","")</f>
        <v/>
      </c>
      <c r="N68" s="178" t="str">
        <f>IF(ISTEXT(VLOOKUP(CONCATENATE($A68,"_",N$3),'Unit List'!$A$23:$H$3172,2,FALSE)),"X",$M68)</f>
        <v/>
      </c>
      <c r="O68" s="189" t="str">
        <f>IF(ISTEXT(VLOOKUP(CONCATENATE($A68,"_",O$3),'Unit List'!$A$23:$H$3172,2,FALSE)),"X",$M68)</f>
        <v/>
      </c>
      <c r="P68" s="171" t="str">
        <f>IF(ISTEXT(VLOOKUP(CONCATENATE($A68,"_",P$3),'Unit List'!$A$23:$H$3172,2,FALSE)),"+","")</f>
        <v/>
      </c>
      <c r="Q68" s="178" t="str">
        <f>IF(ISTEXT(VLOOKUP(CONCATENATE($A68,"_",Q$3),'Unit List'!$A$23:$H$3172,2,FALSE)),"X",$P68)</f>
        <v/>
      </c>
      <c r="R68" s="178" t="str">
        <f>IF(ISTEXT(VLOOKUP(CONCATENATE($A68,"_",R$3),'Unit List'!$A$23:$H$3172,2,FALSE)),"X",$P68)</f>
        <v/>
      </c>
      <c r="S68" s="178" t="str">
        <f>IF(ISTEXT(VLOOKUP(CONCATENATE($A68,"_",S$3),'Unit List'!$A$23:$H$3172,2,FALSE)),"X",$P68)</f>
        <v/>
      </c>
      <c r="T68" s="176" t="str">
        <f>IF(ISTEXT(VLOOKUP(CONCATENATE($A68,"_",T$3),'Unit List'!$A$23:$H$3172,2,FALSE)),"X",$P68)</f>
        <v/>
      </c>
      <c r="U68" s="178" t="str">
        <f>IF(ISTEXT(VLOOKUP(CONCATENATE($A68,"_",U$3),'Unit List'!$A$23:$H$3172,2,FALSE)),"X",$P68)</f>
        <v/>
      </c>
      <c r="V68" s="178" t="str">
        <f>IF(ISTEXT(VLOOKUP(CONCATENATE($A68,"_",V$3),'Unit List'!$A$23:$H$3172,2,FALSE)),"X",$P68)</f>
        <v/>
      </c>
      <c r="W68" s="189" t="str">
        <f>IF(ISTEXT(VLOOKUP(CONCATENATE($A68,"_",W$3),'Unit List'!$A$23:$H$3172,2,FALSE)),"X",$P68)</f>
        <v/>
      </c>
      <c r="X68" s="171" t="str">
        <f>IF(ISTEXT(VLOOKUP(CONCATENATE($A68,"_",X$3),'Unit List'!$A$23:$H$3172,2,FALSE)),"+","")</f>
        <v>+</v>
      </c>
      <c r="Y68" s="178" t="str">
        <f>IF(ISTEXT(VLOOKUP(CONCATENATE($A68,"_",Y$3),'Unit List'!$A$23:$H$3172,2,FALSE)),"X",$X68)</f>
        <v>+</v>
      </c>
      <c r="Z68" s="178" t="str">
        <f>IF(ISTEXT(VLOOKUP(CONCATENATE($A68,"_",Z$3),'Unit List'!$A$23:$H$3172,2,FALSE)),"X",$X68)</f>
        <v>+</v>
      </c>
      <c r="AA68" s="178" t="str">
        <f>IF(ISTEXT(VLOOKUP(CONCATENATE($A68,"_",AA$3),'Unit List'!$A$23:$H$3172,2,FALSE)),"X",$X68)</f>
        <v>+</v>
      </c>
      <c r="AB68" s="178" t="str">
        <f>IF(ISTEXT(VLOOKUP(CONCATENATE($A68,"_",AB$3),'Unit List'!$A$23:$H$3172,2,FALSE)),"X",$X68)</f>
        <v>+</v>
      </c>
      <c r="AC68" s="95" t="str">
        <f>IF(ISTEXT(VLOOKUP(CONCATENATE($A68,"_",AC$3),'Unit List'!$A$23:$H$3172,2,FALSE)),"X",$X68)</f>
        <v>+</v>
      </c>
      <c r="AD68" s="171" t="str">
        <f>IF(ISTEXT(VLOOKUP(CONCATENATE($A68,"_",AD$3),'Unit List'!$A$23:$H$3172,2,FALSE)),"+","")</f>
        <v>+</v>
      </c>
      <c r="AE68" s="120" t="str">
        <f>IF(ISTEXT(VLOOKUP(CONCATENATE($A68,"_",AE$3),'Unit List'!$A$23:$H$3172,2,FALSE)),"X",$AD68)</f>
        <v>+</v>
      </c>
      <c r="AF68" s="120" t="str">
        <f>IF(ISTEXT(VLOOKUP(CONCATENATE($A68,"_",AF$3),'Unit List'!$A$23:$H$3172,2,FALSE)),"X",$AD68)</f>
        <v>+</v>
      </c>
      <c r="AG68" s="171" t="str">
        <f>IF(ISTEXT(VLOOKUP(CONCATENATE($A68,"_",AG$3),'Unit List'!$A$23:$H$3172,2,FALSE)),"+","")</f>
        <v>+</v>
      </c>
      <c r="AH68" s="178" t="str">
        <f>IF(ISTEXT(VLOOKUP(CONCATENATE($A68,"_",AH$3),'Unit List'!$A$23:$H$3172,2,FALSE)),"X",$AG68)</f>
        <v>+</v>
      </c>
      <c r="AI68" s="178" t="str">
        <f>IF(ISTEXT(VLOOKUP(CONCATENATE($A68,"_",AI$3),'Unit List'!$A$23:$H$3172,2,FALSE)),"X",$AG68)</f>
        <v>+</v>
      </c>
      <c r="AJ68" s="189" t="str">
        <f>IF(ISTEXT(VLOOKUP(CONCATENATE($A68,"_",AJ$3),'Unit List'!$A$23:$H$3172,2,FALSE)),"X",$AG68)</f>
        <v>+</v>
      </c>
      <c r="AK68" s="171" t="str">
        <f>IF(ISTEXT(VLOOKUP(CONCATENATE($A68,"_",AK$3),'Unit List'!$A$23:$H$3172,2,FALSE)),"+","")</f>
        <v>+</v>
      </c>
      <c r="AL68" s="176" t="str">
        <f>IF(ISTEXT(VLOOKUP(CONCATENATE($A68,"_",AL$3),'Unit List'!$A$23:$H$3172,2,FALSE)),"X",$AK68)</f>
        <v>+</v>
      </c>
      <c r="AM68" s="189" t="str">
        <f>IF(ISTEXT(VLOOKUP(CONCATENATE($A68,"_",AM$3),'Unit List'!$A$23:$H$3172,2,FALSE)),"X",$AK68)</f>
        <v>+</v>
      </c>
      <c r="AN68" s="175" t="str">
        <f>IF(ISTEXT(VLOOKUP(CONCATENATE($A68,"_",AN$3),'Unit List'!$A$23:$H$3172,2,FALSE)),"+","")</f>
        <v>+</v>
      </c>
      <c r="AO68" s="189" t="str">
        <f>IF(ISTEXT(VLOOKUP(CONCATENATE($A68,"_",AO$3),'Unit List'!$A$23:$H$3172,2,FALSE)),"X",$AN68)</f>
        <v>+</v>
      </c>
      <c r="AP68" s="171" t="str">
        <f>IF(ISTEXT(VLOOKUP(CONCATENATE($A68,"_",AP$3),'Unit List'!$A$23:$H$3172,2,FALSE)),"+","")</f>
        <v>+</v>
      </c>
      <c r="AQ68" s="178" t="str">
        <f>IF(ISTEXT(VLOOKUP(CONCATENATE($A68,"_",AQ$3),'Unit List'!$A$23:$H$3172,2,FALSE)),"X",$AP68)</f>
        <v>+</v>
      </c>
      <c r="AR68" s="178" t="str">
        <f>IF(ISTEXT(VLOOKUP(CONCATENATE($A68,"_",AR$3),'Unit List'!$A$23:$H$3172,2,FALSE)),"X",$AP68)</f>
        <v>+</v>
      </c>
      <c r="AS68" s="178" t="str">
        <f>IF(ISTEXT(VLOOKUP(CONCATENATE($A68,"_",AS$3),'Unit List'!$A$23:$H$3172,2,FALSE)),"X",$AP68)</f>
        <v>+</v>
      </c>
      <c r="AT68" s="189" t="str">
        <f>IF(ISTEXT(VLOOKUP(CONCATENATE($A68,"_",AT$3),'Unit List'!$A$23:$H$3172,2,FALSE)),"X",$AP68)</f>
        <v>+</v>
      </c>
      <c r="AU68" s="177" t="str">
        <f>IF(ISTEXT(VLOOKUP(CONCATENATE($A68,"_",AU$3),'Unit List'!$A$23:$H$3172,2,FALSE)),"+","")</f>
        <v>+</v>
      </c>
      <c r="AV68" s="178" t="str">
        <f>IF(ISTEXT(VLOOKUP(CONCATENATE($A68,"_",AV$3),'Unit List'!$A$23:$H$3172,2,FALSE)),"X",$AU68)</f>
        <v>+</v>
      </c>
      <c r="AW68" s="189" t="str">
        <f>IF(ISTEXT(VLOOKUP(CONCATENATE($A68,"_",AW$3),'Unit List'!$A$23:$H$3172,2,FALSE)),"X",$AU68)</f>
        <v>+</v>
      </c>
      <c r="AX68" s="171" t="str">
        <f>IF(ISTEXT(VLOOKUP(CONCATENATE($A68,"_",AX$3),'Unit List'!$A$23:$H$3172,2,FALSE)),"+","")</f>
        <v>+</v>
      </c>
      <c r="AY68" s="178" t="str">
        <f>IF(ISTEXT(VLOOKUP(CONCATENATE($A68,"_",AY$3),'Unit List'!$A$23:$H$3172,2,FALSE)),"X",$AX68)</f>
        <v>+</v>
      </c>
      <c r="AZ68" s="189" t="str">
        <f>IF(ISTEXT(VLOOKUP(CONCATENATE($A68,"_",AZ$3),'Unit List'!$A$23:$H$3172,2,FALSE)),"X",$AX68)</f>
        <v>+</v>
      </c>
      <c r="BA68" s="171" t="str">
        <f>IF(ISTEXT(VLOOKUP(CONCATENATE($A68,"_",BA$3),'Unit List'!$A$23:$H$3172,2,FALSE)),"+","")</f>
        <v>+</v>
      </c>
      <c r="BB68" s="178" t="str">
        <f>IF(ISTEXT(VLOOKUP(CONCATENATE($A68,"_",BB$3),'Unit List'!$A$23:$H$3172,2,FALSE)),"X",$BA68)</f>
        <v>+</v>
      </c>
      <c r="BC68" s="178" t="str">
        <f>IF(ISTEXT(VLOOKUP(CONCATENATE($A68,"_",BC$3),'Unit List'!$A$23:$H$3172,2,FALSE)),"X",$BA68)</f>
        <v>+</v>
      </c>
      <c r="BD68" s="189" t="str">
        <f>IF(ISTEXT(VLOOKUP(CONCATENATE($A68,"_",BD$3),'Unit List'!$A$23:$H$3172,2,FALSE)),"X",$BA68)</f>
        <v>+</v>
      </c>
      <c r="BE68" s="175" t="str">
        <f>IF(ISTEXT(VLOOKUP(CONCATENATE($A68,"_",BE$3),'Unit List'!$A$23:$H$3172,2,FALSE)),"+","")</f>
        <v>+</v>
      </c>
      <c r="BF68" s="95" t="str">
        <f>IF(ISTEXT(VLOOKUP(CONCATENATE($A68,"_",BF$3),'Unit List'!$A$23:$H$3172,2,FALSE)),"X",$BE68)</f>
        <v>+</v>
      </c>
      <c r="BG68" s="97"/>
      <c r="BH68" s="98" t="s">
        <v>0</v>
      </c>
      <c r="BI68" s="225" t="s">
        <v>1162</v>
      </c>
      <c r="BJ68" s="228"/>
      <c r="BK68" s="228"/>
      <c r="BL68" s="228"/>
      <c r="BM68" s="229"/>
      <c r="BN68" s="54"/>
      <c r="BO68" s="54"/>
      <c r="BP68" s="54"/>
      <c r="BQ68" s="54"/>
      <c r="BR68" s="54"/>
      <c r="BS68" s="54"/>
      <c r="DZ68" s="55"/>
      <c r="EA68" s="55"/>
    </row>
    <row r="69" spans="1:131" ht="12.75" customHeight="1" x14ac:dyDescent="0.2">
      <c r="A69" s="128" t="s">
        <v>1114</v>
      </c>
      <c r="B69" s="181" t="str">
        <f>IF(ISTEXT(VLOOKUP(CONCATENATE($A69,"_",B$3),'Unit List'!$A$23:$H$3172,2,FALSE)),"+","")</f>
        <v/>
      </c>
      <c r="C69" s="119" t="str">
        <f>IF(ISTEXT(VLOOKUP(CONCATENATE($A69,"_",C$3),'Unit List'!$A$23:$H$3172,2,FALSE)),"X",$B69)</f>
        <v/>
      </c>
      <c r="D69" s="120" t="str">
        <f>IF(ISTEXT(VLOOKUP(CONCATENATE($A69,"_",D$3),'Unit List'!$A$23:$H$3172,2,FALSE)),"X",$B69)</f>
        <v/>
      </c>
      <c r="E69" s="120" t="str">
        <f>IF(ISTEXT(VLOOKUP(CONCATENATE($A69,"_",E$3),'Unit List'!$A$23:$H$3172,2,FALSE)),"X",$B69)</f>
        <v/>
      </c>
      <c r="F69" s="120" t="str">
        <f>IF(ISTEXT(VLOOKUP(CONCATENATE($A69,"_",F$3),'Unit List'!$A$23:$H$3172,2,FALSE)),"X",$B69)</f>
        <v/>
      </c>
      <c r="G69" s="120" t="str">
        <f>IF(ISTEXT(VLOOKUP(CONCATENATE($A69,"_",G$3),'Unit List'!$A$23:$H$3172,2,FALSE)),"X",$B69)</f>
        <v/>
      </c>
      <c r="H69" s="120" t="str">
        <f>IF(ISTEXT(VLOOKUP(CONCATENATE($A69,"_",H$3),'Unit List'!$A$23:$H$3172,2,FALSE)),"X",$B69)</f>
        <v/>
      </c>
      <c r="I69" s="122" t="str">
        <f>IF(ISTEXT(VLOOKUP(CONCATENATE($A69,"_",I$3),'Unit List'!$A$23:$H$3172,2,FALSE)),"X",$B69)</f>
        <v/>
      </c>
      <c r="J69" s="172" t="str">
        <f>IF(ISTEXT(VLOOKUP(CONCATENATE($A69,"_",J$3),'Unit List'!$A$23:$H$3172,2,FALSE)),"+","")</f>
        <v/>
      </c>
      <c r="K69" s="120" t="str">
        <f>IF(ISTEXT(VLOOKUP(CONCATENATE($A69,"_",K$3),'Unit List'!$A$23:$H$3172,2,FALSE)),"X",$J69)</f>
        <v/>
      </c>
      <c r="L69" s="75" t="str">
        <f>IF(ISTEXT(VLOOKUP(CONCATENATE($A69,"_",L$3),'Unit List'!$A$23:$H$3172,2,FALSE)),"X",$J69)</f>
        <v/>
      </c>
      <c r="M69" s="172" t="str">
        <f>IF(ISTEXT(VLOOKUP(CONCATENATE($A69,"_",M$3),'Unit List'!$A$23:$H$3172,2,FALSE)),"+","")</f>
        <v/>
      </c>
      <c r="N69" s="120" t="str">
        <f>IF(ISTEXT(VLOOKUP(CONCATENATE($A69,"_",N$3),'Unit List'!$A$23:$H$3172,2,FALSE)),"X",$M69)</f>
        <v/>
      </c>
      <c r="O69" s="122" t="str">
        <f>IF(ISTEXT(VLOOKUP(CONCATENATE($A69,"_",O$3),'Unit List'!$A$23:$H$3172,2,FALSE)),"X",$M69)</f>
        <v/>
      </c>
      <c r="P69" s="172" t="str">
        <f>IF(ISTEXT(VLOOKUP(CONCATENATE($A69,"_",P$3),'Unit List'!$A$23:$H$3172,2,FALSE)),"+","")</f>
        <v/>
      </c>
      <c r="Q69" s="120" t="str">
        <f>IF(ISTEXT(VLOOKUP(CONCATENATE($A69,"_",Q$3),'Unit List'!$A$23:$H$3172,2,FALSE)),"X",$P69)</f>
        <v/>
      </c>
      <c r="R69" s="120" t="str">
        <f>IF(ISTEXT(VLOOKUP(CONCATENATE($A69,"_",R$3),'Unit List'!$A$23:$H$3172,2,FALSE)),"X",$P69)</f>
        <v/>
      </c>
      <c r="S69" s="120" t="str">
        <f>IF(ISTEXT(VLOOKUP(CONCATENATE($A69,"_",S$3),'Unit List'!$A$23:$H$3172,2,FALSE)),"X",$P69)</f>
        <v/>
      </c>
      <c r="T69" s="121" t="str">
        <f>IF(ISTEXT(VLOOKUP(CONCATENATE($A69,"_",T$3),'Unit List'!$A$23:$H$3172,2,FALSE)),"X",$P69)</f>
        <v/>
      </c>
      <c r="U69" s="120" t="str">
        <f>IF(ISTEXT(VLOOKUP(CONCATENATE($A69,"_",U$3),'Unit List'!$A$23:$H$3172,2,FALSE)),"X",$P69)</f>
        <v/>
      </c>
      <c r="V69" s="120" t="str">
        <f>IF(ISTEXT(VLOOKUP(CONCATENATE($A69,"_",V$3),'Unit List'!$A$23:$H$3172,2,FALSE)),"X",$P69)</f>
        <v/>
      </c>
      <c r="W69" s="122" t="str">
        <f>IF(ISTEXT(VLOOKUP(CONCATENATE($A69,"_",W$3),'Unit List'!$A$23:$H$3172,2,FALSE)),"X",$P69)</f>
        <v/>
      </c>
      <c r="X69" s="172" t="str">
        <f>IF(ISTEXT(VLOOKUP(CONCATENATE($A69,"_",X$3),'Unit List'!$A$23:$H$3172,2,FALSE)),"+","")</f>
        <v/>
      </c>
      <c r="Y69" s="120" t="str">
        <f>IF(ISTEXT(VLOOKUP(CONCATENATE($A69,"_",Y$3),'Unit List'!$A$23:$H$3172,2,FALSE)),"X",$X69)</f>
        <v/>
      </c>
      <c r="Z69" s="120" t="str">
        <f>IF(ISTEXT(VLOOKUP(CONCATENATE($A69,"_",Z$3),'Unit List'!$A$23:$H$3172,2,FALSE)),"X",$X69)</f>
        <v/>
      </c>
      <c r="AA69" s="120" t="str">
        <f>IF(ISTEXT(VLOOKUP(CONCATENATE($A69,"_",AA$3),'Unit List'!$A$23:$H$3172,2,FALSE)),"X",$X69)</f>
        <v/>
      </c>
      <c r="AB69" s="120" t="str">
        <f>IF(ISTEXT(VLOOKUP(CONCATENATE($A69,"_",AB$3),'Unit List'!$A$23:$H$3172,2,FALSE)),"X",$X69)</f>
        <v/>
      </c>
      <c r="AC69" s="75" t="str">
        <f>IF(ISTEXT(VLOOKUP(CONCATENATE($A69,"_",AC$3),'Unit List'!$A$23:$H$3172,2,FALSE)),"X",$X69)</f>
        <v/>
      </c>
      <c r="AD69" s="172" t="str">
        <f>IF(ISTEXT(VLOOKUP(CONCATENATE($A69,"_",AD$3),'Unit List'!$A$23:$H$3172,2,FALSE)),"+","")</f>
        <v/>
      </c>
      <c r="AE69" s="120" t="str">
        <f>IF(ISTEXT(VLOOKUP(CONCATENATE($A69,"_",AE$3),'Unit List'!$A$23:$H$3172,2,FALSE)),"X",$AD69)</f>
        <v/>
      </c>
      <c r="AF69" s="120" t="str">
        <f>IF(ISTEXT(VLOOKUP(CONCATENATE($A69,"_",AF$3),'Unit List'!$A$23:$H$3172,2,FALSE)),"X",$AD69)</f>
        <v/>
      </c>
      <c r="AG69" s="172" t="str">
        <f>IF(ISTEXT(VLOOKUP(CONCATENATE($A69,"_",AG$3),'Unit List'!$A$23:$H$3172,2,FALSE)),"+","")</f>
        <v/>
      </c>
      <c r="AH69" s="120" t="str">
        <f>IF(ISTEXT(VLOOKUP(CONCATENATE($A69,"_",AH$3),'Unit List'!$A$23:$H$3172,2,FALSE)),"X",$AG69)</f>
        <v/>
      </c>
      <c r="AI69" s="120" t="str">
        <f>IF(ISTEXT(VLOOKUP(CONCATENATE($A69,"_",AI$3),'Unit List'!$A$23:$H$3172,2,FALSE)),"X",$AG69)</f>
        <v/>
      </c>
      <c r="AJ69" s="122" t="str">
        <f>IF(ISTEXT(VLOOKUP(CONCATENATE($A69,"_",AJ$3),'Unit List'!$A$23:$H$3172,2,FALSE)),"X",$AG69)</f>
        <v/>
      </c>
      <c r="AK69" s="172" t="str">
        <f>IF(ISTEXT(VLOOKUP(CONCATENATE($A69,"_",AK$3),'Unit List'!$A$23:$H$3172,2,FALSE)),"+","")</f>
        <v/>
      </c>
      <c r="AL69" s="121" t="str">
        <f>IF(ISTEXT(VLOOKUP(CONCATENATE($A69,"_",AL$3),'Unit List'!$A$23:$H$3172,2,FALSE)),"X",$AK69)</f>
        <v/>
      </c>
      <c r="AM69" s="122" t="str">
        <f>IF(ISTEXT(VLOOKUP(CONCATENATE($A69,"_",AM$3),'Unit List'!$A$23:$H$3172,2,FALSE)),"X",$AK69)</f>
        <v/>
      </c>
      <c r="AN69" s="125" t="str">
        <f>IF(ISTEXT(VLOOKUP(CONCATENATE($A69,"_",AN$3),'Unit List'!$A$23:$H$3172,2,FALSE)),"+","")</f>
        <v/>
      </c>
      <c r="AO69" s="122" t="str">
        <f>IF(ISTEXT(VLOOKUP(CONCATENATE($A69,"_",AO$3),'Unit List'!$A$23:$H$3172,2,FALSE)),"X",$AN69)</f>
        <v/>
      </c>
      <c r="AP69" s="172" t="str">
        <f>IF(ISTEXT(VLOOKUP(CONCATENATE($A69,"_",AP$3),'Unit List'!$A$23:$H$3172,2,FALSE)),"+","")</f>
        <v/>
      </c>
      <c r="AQ69" s="120" t="str">
        <f>IF(ISTEXT(VLOOKUP(CONCATENATE($A69,"_",AQ$3),'Unit List'!$A$23:$H$3172,2,FALSE)),"X",$AP69)</f>
        <v/>
      </c>
      <c r="AR69" s="120" t="str">
        <f>IF(ISTEXT(VLOOKUP(CONCATENATE($A69,"_",AR$3),'Unit List'!$A$23:$H$3172,2,FALSE)),"X",$AP69)</f>
        <v/>
      </c>
      <c r="AS69" s="120" t="str">
        <f>IF(ISTEXT(VLOOKUP(CONCATENATE($A69,"_",AS$3),'Unit List'!$A$23:$H$3172,2,FALSE)),"X",$AP69)</f>
        <v/>
      </c>
      <c r="AT69" s="122" t="str">
        <f>IF(ISTEXT(VLOOKUP(CONCATENATE($A69,"_",AT$3),'Unit List'!$A$23:$H$3172,2,FALSE)),"X",$AP69)</f>
        <v/>
      </c>
      <c r="AU69" s="124" t="str">
        <f>IF(ISTEXT(VLOOKUP(CONCATENATE($A69,"_",AU$3),'Unit List'!$A$23:$H$3172,2,FALSE)),"+","")</f>
        <v/>
      </c>
      <c r="AV69" s="120" t="str">
        <f>IF(ISTEXT(VLOOKUP(CONCATENATE($A69,"_",AV$3),'Unit List'!$A$23:$H$3172,2,FALSE)),"X",$AU69)</f>
        <v/>
      </c>
      <c r="AW69" s="122" t="str">
        <f>IF(ISTEXT(VLOOKUP(CONCATENATE($A69,"_",AW$3),'Unit List'!$A$23:$H$3172,2,FALSE)),"X",$AU69)</f>
        <v/>
      </c>
      <c r="AX69" s="172" t="str">
        <f>IF(ISTEXT(VLOOKUP(CONCATENATE($A69,"_",AX$3),'Unit List'!$A$23:$H$3172,2,FALSE)),"+","")</f>
        <v/>
      </c>
      <c r="AY69" s="120" t="str">
        <f>IF(ISTEXT(VLOOKUP(CONCATENATE($A69,"_",AY$3),'Unit List'!$A$23:$H$3172,2,FALSE)),"X",$AX69)</f>
        <v/>
      </c>
      <c r="AZ69" s="122" t="str">
        <f>IF(ISTEXT(VLOOKUP(CONCATENATE($A69,"_",AZ$3),'Unit List'!$A$23:$H$3172,2,FALSE)),"X",$AX69)</f>
        <v/>
      </c>
      <c r="BA69" s="182" t="str">
        <f>IF(ISTEXT(VLOOKUP(CONCATENATE($A69,"_",BA$3),'Unit List'!$A$23:$H$3172,2,FALSE)),"+","")</f>
        <v/>
      </c>
      <c r="BB69" s="120" t="str">
        <f>IF(ISTEXT(VLOOKUP(CONCATENATE($A69,"_",BB$3),'Unit List'!$A$23:$H$3172,2,FALSE)),"X",$BA69)</f>
        <v/>
      </c>
      <c r="BC69" s="120" t="str">
        <f>IF(ISTEXT(VLOOKUP(CONCATENATE($A69,"_",BC$3),'Unit List'!$A$23:$H$3172,2,FALSE)),"X",$BA69)</f>
        <v/>
      </c>
      <c r="BD69" s="122" t="str">
        <f>IF(ISTEXT(VLOOKUP(CONCATENATE($A69,"_",BD$3),'Unit List'!$A$23:$H$3172,2,FALSE)),"X",$BA69)</f>
        <v/>
      </c>
      <c r="BE69" s="125" t="str">
        <f>IF(ISTEXT(VLOOKUP(CONCATENATE($A69,"_",BE$3),'Unit List'!$A$23:$H$3172,2,FALSE)),"+","")</f>
        <v/>
      </c>
      <c r="BF69" s="75" t="str">
        <f>IF(ISTEXT(VLOOKUP(CONCATENATE($A69,"_",BF$3),'Unit List'!$A$23:$H$3172,2,FALSE)),"X",$BE69)</f>
        <v/>
      </c>
      <c r="BG69" s="75"/>
      <c r="BH69" s="84"/>
      <c r="BI69" s="225"/>
      <c r="BJ69" s="226"/>
      <c r="BK69" s="226"/>
      <c r="BL69" s="226"/>
      <c r="BM69" s="227"/>
      <c r="BN69" s="54"/>
      <c r="BO69" s="54"/>
      <c r="BP69" s="54"/>
      <c r="BQ69" s="54"/>
      <c r="BR69" s="54"/>
      <c r="BS69" s="54"/>
      <c r="DZ69" s="55"/>
      <c r="EA69" s="55"/>
    </row>
    <row r="70" spans="1:131" ht="12.75" customHeight="1" x14ac:dyDescent="0.2">
      <c r="A70" s="128" t="s">
        <v>1115</v>
      </c>
      <c r="B70" s="181" t="str">
        <f>IF(ISTEXT(VLOOKUP(CONCATENATE($A70,"_",B$3),'Unit List'!$A$23:$H$3172,2,FALSE)),"+","")</f>
        <v/>
      </c>
      <c r="C70" s="119" t="str">
        <f>IF(ISTEXT(VLOOKUP(CONCATENATE($A70,"_",C$3),'Unit List'!$A$23:$H$3172,2,FALSE)),"X",$B70)</f>
        <v/>
      </c>
      <c r="D70" s="120" t="str">
        <f>IF(ISTEXT(VLOOKUP(CONCATENATE($A70,"_",D$3),'Unit List'!$A$23:$H$3172,2,FALSE)),"X",$B70)</f>
        <v/>
      </c>
      <c r="E70" s="120" t="str">
        <f>IF(ISTEXT(VLOOKUP(CONCATENATE($A70,"_",E$3),'Unit List'!$A$23:$H$3172,2,FALSE)),"X",$B70)</f>
        <v/>
      </c>
      <c r="F70" s="120" t="str">
        <f>IF(ISTEXT(VLOOKUP(CONCATENATE($A70,"_",F$3),'Unit List'!$A$23:$H$3172,2,FALSE)),"X",$B70)</f>
        <v/>
      </c>
      <c r="G70" s="120" t="str">
        <f>IF(ISTEXT(VLOOKUP(CONCATENATE($A70,"_",G$3),'Unit List'!$A$23:$H$3172,2,FALSE)),"X",$B70)</f>
        <v/>
      </c>
      <c r="H70" s="120" t="str">
        <f>IF(ISTEXT(VLOOKUP(CONCATENATE($A70,"_",H$3),'Unit List'!$A$23:$H$3172,2,FALSE)),"X",$B70)</f>
        <v/>
      </c>
      <c r="I70" s="122" t="str">
        <f>IF(ISTEXT(VLOOKUP(CONCATENATE($A70,"_",I$3),'Unit List'!$A$23:$H$3172,2,FALSE)),"X",$B70)</f>
        <v/>
      </c>
      <c r="J70" s="172" t="str">
        <f>IF(ISTEXT(VLOOKUP(CONCATENATE($A70,"_",J$3),'Unit List'!$A$23:$H$3172,2,FALSE)),"+","")</f>
        <v/>
      </c>
      <c r="K70" s="120" t="str">
        <f>IF(ISTEXT(VLOOKUP(CONCATENATE($A70,"_",K$3),'Unit List'!$A$23:$H$3172,2,FALSE)),"X",$J70)</f>
        <v/>
      </c>
      <c r="L70" s="75" t="str">
        <f>IF(ISTEXT(VLOOKUP(CONCATENATE($A70,"_",L$3),'Unit List'!$A$23:$H$3172,2,FALSE)),"X",$J70)</f>
        <v/>
      </c>
      <c r="M70" s="172" t="str">
        <f>IF(ISTEXT(VLOOKUP(CONCATENATE($A70,"_",M$3),'Unit List'!$A$23:$H$3172,2,FALSE)),"+","")</f>
        <v/>
      </c>
      <c r="N70" s="120" t="str">
        <f>IF(ISTEXT(VLOOKUP(CONCATENATE($A70,"_",N$3),'Unit List'!$A$23:$H$3172,2,FALSE)),"X",$M70)</f>
        <v/>
      </c>
      <c r="O70" s="122" t="str">
        <f>IF(ISTEXT(VLOOKUP(CONCATENATE($A70,"_",O$3),'Unit List'!$A$23:$H$3172,2,FALSE)),"X",$M70)</f>
        <v/>
      </c>
      <c r="P70" s="172" t="str">
        <f>IF(ISTEXT(VLOOKUP(CONCATENATE($A70,"_",P$3),'Unit List'!$A$23:$H$3172,2,FALSE)),"+","")</f>
        <v/>
      </c>
      <c r="Q70" s="120" t="str">
        <f>IF(ISTEXT(VLOOKUP(CONCATENATE($A70,"_",Q$3),'Unit List'!$A$23:$H$3172,2,FALSE)),"X",$P70)</f>
        <v/>
      </c>
      <c r="R70" s="120" t="str">
        <f>IF(ISTEXT(VLOOKUP(CONCATENATE($A70,"_",R$3),'Unit List'!$A$23:$H$3172,2,FALSE)),"X",$P70)</f>
        <v/>
      </c>
      <c r="S70" s="120" t="str">
        <f>IF(ISTEXT(VLOOKUP(CONCATENATE($A70,"_",S$3),'Unit List'!$A$23:$H$3172,2,FALSE)),"X",$P70)</f>
        <v/>
      </c>
      <c r="T70" s="121" t="str">
        <f>IF(ISTEXT(VLOOKUP(CONCATENATE($A70,"_",T$3),'Unit List'!$A$23:$H$3172,2,FALSE)),"X",$P70)</f>
        <v/>
      </c>
      <c r="U70" s="120" t="str">
        <f>IF(ISTEXT(VLOOKUP(CONCATENATE($A70,"_",U$3),'Unit List'!$A$23:$H$3172,2,FALSE)),"X",$P70)</f>
        <v/>
      </c>
      <c r="V70" s="120" t="str">
        <f>IF(ISTEXT(VLOOKUP(CONCATENATE($A70,"_",V$3),'Unit List'!$A$23:$H$3172,2,FALSE)),"X",$P70)</f>
        <v/>
      </c>
      <c r="W70" s="122" t="str">
        <f>IF(ISTEXT(VLOOKUP(CONCATENATE($A70,"_",W$3),'Unit List'!$A$23:$H$3172,2,FALSE)),"X",$P70)</f>
        <v/>
      </c>
      <c r="X70" s="172" t="str">
        <f>IF(ISTEXT(VLOOKUP(CONCATENATE($A70,"_",X$3),'Unit List'!$A$23:$H$3172,2,FALSE)),"+","")</f>
        <v/>
      </c>
      <c r="Y70" s="120" t="str">
        <f>IF(ISTEXT(VLOOKUP(CONCATENATE($A70,"_",Y$3),'Unit List'!$A$23:$H$3172,2,FALSE)),"X",$X70)</f>
        <v/>
      </c>
      <c r="Z70" s="120" t="str">
        <f>IF(ISTEXT(VLOOKUP(CONCATENATE($A70,"_",Z$3),'Unit List'!$A$23:$H$3172,2,FALSE)),"X",$X70)</f>
        <v/>
      </c>
      <c r="AA70" s="120" t="str">
        <f>IF(ISTEXT(VLOOKUP(CONCATENATE($A70,"_",AA$3),'Unit List'!$A$23:$H$3172,2,FALSE)),"X",$X70)</f>
        <v/>
      </c>
      <c r="AB70" s="120" t="str">
        <f>IF(ISTEXT(VLOOKUP(CONCATENATE($A70,"_",AB$3),'Unit List'!$A$23:$H$3172,2,FALSE)),"X",$X70)</f>
        <v/>
      </c>
      <c r="AC70" s="75" t="str">
        <f>IF(ISTEXT(VLOOKUP(CONCATENATE($A70,"_",AC$3),'Unit List'!$A$23:$H$3172,2,FALSE)),"X",$X70)</f>
        <v/>
      </c>
      <c r="AD70" s="172" t="str">
        <f>IF(ISTEXT(VLOOKUP(CONCATENATE($A70,"_",AD$3),'Unit List'!$A$23:$H$3172,2,FALSE)),"+","")</f>
        <v/>
      </c>
      <c r="AE70" s="120" t="str">
        <f>IF(ISTEXT(VLOOKUP(CONCATENATE($A70,"_",AE$3),'Unit List'!$A$23:$H$3172,2,FALSE)),"X",$AD70)</f>
        <v/>
      </c>
      <c r="AF70" s="120" t="str">
        <f>IF(ISTEXT(VLOOKUP(CONCATENATE($A70,"_",AF$3),'Unit List'!$A$23:$H$3172,2,FALSE)),"X",$AD70)</f>
        <v/>
      </c>
      <c r="AG70" s="172" t="str">
        <f>IF(ISTEXT(VLOOKUP(CONCATENATE($A70,"_",AG$3),'Unit List'!$A$23:$H$3172,2,FALSE)),"+","")</f>
        <v/>
      </c>
      <c r="AH70" s="120" t="str">
        <f>IF(ISTEXT(VLOOKUP(CONCATENATE($A70,"_",AH$3),'Unit List'!$A$23:$H$3172,2,FALSE)),"X",$AG70)</f>
        <v/>
      </c>
      <c r="AI70" s="120" t="str">
        <f>IF(ISTEXT(VLOOKUP(CONCATENATE($A70,"_",AI$3),'Unit List'!$A$23:$H$3172,2,FALSE)),"X",$AG70)</f>
        <v/>
      </c>
      <c r="AJ70" s="122" t="str">
        <f>IF(ISTEXT(VLOOKUP(CONCATENATE($A70,"_",AJ$3),'Unit List'!$A$23:$H$3172,2,FALSE)),"X",$AG70)</f>
        <v/>
      </c>
      <c r="AK70" s="172" t="str">
        <f>IF(ISTEXT(VLOOKUP(CONCATENATE($A70,"_",AK$3),'Unit List'!$A$23:$H$3172,2,FALSE)),"+","")</f>
        <v/>
      </c>
      <c r="AL70" s="121" t="str">
        <f>IF(ISTEXT(VLOOKUP(CONCATENATE($A70,"_",AL$3),'Unit List'!$A$23:$H$3172,2,FALSE)),"X",$AK70)</f>
        <v/>
      </c>
      <c r="AM70" s="122" t="str">
        <f>IF(ISTEXT(VLOOKUP(CONCATENATE($A70,"_",AM$3),'Unit List'!$A$23:$H$3172,2,FALSE)),"X",$AK70)</f>
        <v/>
      </c>
      <c r="AN70" s="125" t="str">
        <f>IF(ISTEXT(VLOOKUP(CONCATENATE($A70,"_",AN$3),'Unit List'!$A$23:$H$3172,2,FALSE)),"+","")</f>
        <v/>
      </c>
      <c r="AO70" s="122" t="str">
        <f>IF(ISTEXT(VLOOKUP(CONCATENATE($A70,"_",AO$3),'Unit List'!$A$23:$H$3172,2,FALSE)),"X",$AN70)</f>
        <v/>
      </c>
      <c r="AP70" s="172" t="str">
        <f>IF(ISTEXT(VLOOKUP(CONCATENATE($A70,"_",AP$3),'Unit List'!$A$23:$H$3172,2,FALSE)),"+","")</f>
        <v/>
      </c>
      <c r="AQ70" s="120" t="str">
        <f>IF(ISTEXT(VLOOKUP(CONCATENATE($A70,"_",AQ$3),'Unit List'!$A$23:$H$3172,2,FALSE)),"X",$AP70)</f>
        <v/>
      </c>
      <c r="AR70" s="120" t="str">
        <f>IF(ISTEXT(VLOOKUP(CONCATENATE($A70,"_",AR$3),'Unit List'!$A$23:$H$3172,2,FALSE)),"X",$AP70)</f>
        <v/>
      </c>
      <c r="AS70" s="120" t="str">
        <f>IF(ISTEXT(VLOOKUP(CONCATENATE($A70,"_",AS$3),'Unit List'!$A$23:$H$3172,2,FALSE)),"X",$AP70)</f>
        <v/>
      </c>
      <c r="AT70" s="122" t="str">
        <f>IF(ISTEXT(VLOOKUP(CONCATENATE($A70,"_",AT$3),'Unit List'!$A$23:$H$3172,2,FALSE)),"X",$AP70)</f>
        <v/>
      </c>
      <c r="AU70" s="124" t="str">
        <f>IF(ISTEXT(VLOOKUP(CONCATENATE($A70,"_",AU$3),'Unit List'!$A$23:$H$3172,2,FALSE)),"+","")</f>
        <v/>
      </c>
      <c r="AV70" s="120" t="str">
        <f>IF(ISTEXT(VLOOKUP(CONCATENATE($A70,"_",AV$3),'Unit List'!$A$23:$H$3172,2,FALSE)),"X",$AU70)</f>
        <v/>
      </c>
      <c r="AW70" s="122" t="str">
        <f>IF(ISTEXT(VLOOKUP(CONCATENATE($A70,"_",AW$3),'Unit List'!$A$23:$H$3172,2,FALSE)),"X",$AU70)</f>
        <v/>
      </c>
      <c r="AX70" s="172" t="str">
        <f>IF(ISTEXT(VLOOKUP(CONCATENATE($A70,"_",AX$3),'Unit List'!$A$23:$H$3172,2,FALSE)),"+","")</f>
        <v/>
      </c>
      <c r="AY70" s="120" t="str">
        <f>IF(ISTEXT(VLOOKUP(CONCATENATE($A70,"_",AY$3),'Unit List'!$A$23:$H$3172,2,FALSE)),"X",$AX70)</f>
        <v/>
      </c>
      <c r="AZ70" s="122" t="str">
        <f>IF(ISTEXT(VLOOKUP(CONCATENATE($A70,"_",AZ$3),'Unit List'!$A$23:$H$3172,2,FALSE)),"X",$AX70)</f>
        <v/>
      </c>
      <c r="BA70" s="182" t="str">
        <f>IF(ISTEXT(VLOOKUP(CONCATENATE($A70,"_",BA$3),'Unit List'!$A$23:$H$3172,2,FALSE)),"+","")</f>
        <v/>
      </c>
      <c r="BB70" s="120" t="str">
        <f>IF(ISTEXT(VLOOKUP(CONCATENATE($A70,"_",BB$3),'Unit List'!$A$23:$H$3172,2,FALSE)),"X",$BA70)</f>
        <v/>
      </c>
      <c r="BC70" s="120" t="str">
        <f>IF(ISTEXT(VLOOKUP(CONCATENATE($A70,"_",BC$3),'Unit List'!$A$23:$H$3172,2,FALSE)),"X",$BA70)</f>
        <v/>
      </c>
      <c r="BD70" s="122" t="str">
        <f>IF(ISTEXT(VLOOKUP(CONCATENATE($A70,"_",BD$3),'Unit List'!$A$23:$H$3172,2,FALSE)),"X",$BA70)</f>
        <v/>
      </c>
      <c r="BE70" s="125" t="str">
        <f>IF(ISTEXT(VLOOKUP(CONCATENATE($A70,"_",BE$3),'Unit List'!$A$23:$H$3172,2,FALSE)),"+","")</f>
        <v/>
      </c>
      <c r="BF70" s="75" t="str">
        <f>IF(ISTEXT(VLOOKUP(CONCATENATE($A70,"_",BF$3),'Unit List'!$A$23:$H$3172,2,FALSE)),"X",$BE70)</f>
        <v/>
      </c>
      <c r="BG70" s="75"/>
      <c r="BH70" s="84"/>
      <c r="BI70" s="225"/>
      <c r="BJ70" s="226"/>
      <c r="BK70" s="226"/>
      <c r="BL70" s="226"/>
      <c r="BM70" s="227"/>
      <c r="BN70" s="54"/>
      <c r="BO70" s="54"/>
      <c r="BP70" s="54"/>
      <c r="BQ70" s="54"/>
      <c r="BR70" s="54"/>
      <c r="BS70" s="54"/>
      <c r="DZ70" s="55"/>
      <c r="EA70" s="55"/>
    </row>
    <row r="71" spans="1:131" ht="12.75" customHeight="1" x14ac:dyDescent="0.2">
      <c r="A71" s="128" t="s">
        <v>1116</v>
      </c>
      <c r="B71" s="181" t="str">
        <f>IF(ISTEXT(VLOOKUP(CONCATENATE($A71,"_",B$3),'Unit List'!$A$23:$H$3172,2,FALSE)),"+","")</f>
        <v/>
      </c>
      <c r="C71" s="119" t="str">
        <f>IF(ISTEXT(VLOOKUP(CONCATENATE($A71,"_",C$3),'Unit List'!$A$23:$H$3172,2,FALSE)),"X",$B71)</f>
        <v/>
      </c>
      <c r="D71" s="120" t="str">
        <f>IF(ISTEXT(VLOOKUP(CONCATENATE($A71,"_",D$3),'Unit List'!$A$23:$H$3172,2,FALSE)),"X",$B71)</f>
        <v/>
      </c>
      <c r="E71" s="120" t="str">
        <f>IF(ISTEXT(VLOOKUP(CONCATENATE($A71,"_",E$3),'Unit List'!$A$23:$H$3172,2,FALSE)),"X",$B71)</f>
        <v/>
      </c>
      <c r="F71" s="120" t="str">
        <f>IF(ISTEXT(VLOOKUP(CONCATENATE($A71,"_",F$3),'Unit List'!$A$23:$H$3172,2,FALSE)),"X",$B71)</f>
        <v/>
      </c>
      <c r="G71" s="120" t="str">
        <f>IF(ISTEXT(VLOOKUP(CONCATENATE($A71,"_",G$3),'Unit List'!$A$23:$H$3172,2,FALSE)),"X",$B71)</f>
        <v/>
      </c>
      <c r="H71" s="120" t="str">
        <f>IF(ISTEXT(VLOOKUP(CONCATENATE($A71,"_",H$3),'Unit List'!$A$23:$H$3172,2,FALSE)),"X",$B71)</f>
        <v/>
      </c>
      <c r="I71" s="122" t="str">
        <f>IF(ISTEXT(VLOOKUP(CONCATENATE($A71,"_",I$3),'Unit List'!$A$23:$H$3172,2,FALSE)),"X",$B71)</f>
        <v/>
      </c>
      <c r="J71" s="172" t="str">
        <f>IF(ISTEXT(VLOOKUP(CONCATENATE($A71,"_",J$3),'Unit List'!$A$23:$H$3172,2,FALSE)),"+","")</f>
        <v/>
      </c>
      <c r="K71" s="120" t="str">
        <f>IF(ISTEXT(VLOOKUP(CONCATENATE($A71,"_",K$3),'Unit List'!$A$23:$H$3172,2,FALSE)),"X",$J71)</f>
        <v/>
      </c>
      <c r="L71" s="75" t="str">
        <f>IF(ISTEXT(VLOOKUP(CONCATENATE($A71,"_",L$3),'Unit List'!$A$23:$H$3172,2,FALSE)),"X",$J71)</f>
        <v/>
      </c>
      <c r="M71" s="172" t="str">
        <f>IF(ISTEXT(VLOOKUP(CONCATENATE($A71,"_",M$3),'Unit List'!$A$23:$H$3172,2,FALSE)),"+","")</f>
        <v/>
      </c>
      <c r="N71" s="120" t="str">
        <f>IF(ISTEXT(VLOOKUP(CONCATENATE($A71,"_",N$3),'Unit List'!$A$23:$H$3172,2,FALSE)),"X",$M71)</f>
        <v/>
      </c>
      <c r="O71" s="122" t="str">
        <f>IF(ISTEXT(VLOOKUP(CONCATENATE($A71,"_",O$3),'Unit List'!$A$23:$H$3172,2,FALSE)),"X",$M71)</f>
        <v/>
      </c>
      <c r="P71" s="172" t="str">
        <f>IF(ISTEXT(VLOOKUP(CONCATENATE($A71,"_",P$3),'Unit List'!$A$23:$H$3172,2,FALSE)),"+","")</f>
        <v/>
      </c>
      <c r="Q71" s="120" t="str">
        <f>IF(ISTEXT(VLOOKUP(CONCATENATE($A71,"_",Q$3),'Unit List'!$A$23:$H$3172,2,FALSE)),"X",$P71)</f>
        <v/>
      </c>
      <c r="R71" s="120" t="str">
        <f>IF(ISTEXT(VLOOKUP(CONCATENATE($A71,"_",R$3),'Unit List'!$A$23:$H$3172,2,FALSE)),"X",$P71)</f>
        <v/>
      </c>
      <c r="S71" s="120" t="str">
        <f>IF(ISTEXT(VLOOKUP(CONCATENATE($A71,"_",S$3),'Unit List'!$A$23:$H$3172,2,FALSE)),"X",$P71)</f>
        <v/>
      </c>
      <c r="T71" s="121" t="str">
        <f>IF(ISTEXT(VLOOKUP(CONCATENATE($A71,"_",T$3),'Unit List'!$A$23:$H$3172,2,FALSE)),"X",$P71)</f>
        <v/>
      </c>
      <c r="U71" s="120" t="str">
        <f>IF(ISTEXT(VLOOKUP(CONCATENATE($A71,"_",U$3),'Unit List'!$A$23:$H$3172,2,FALSE)),"X",$P71)</f>
        <v/>
      </c>
      <c r="V71" s="120" t="str">
        <f>IF(ISTEXT(VLOOKUP(CONCATENATE($A71,"_",V$3),'Unit List'!$A$23:$H$3172,2,FALSE)),"X",$P71)</f>
        <v/>
      </c>
      <c r="W71" s="122" t="str">
        <f>IF(ISTEXT(VLOOKUP(CONCATENATE($A71,"_",W$3),'Unit List'!$A$23:$H$3172,2,FALSE)),"X",$P71)</f>
        <v/>
      </c>
      <c r="X71" s="172" t="str">
        <f>IF(ISTEXT(VLOOKUP(CONCATENATE($A71,"_",X$3),'Unit List'!$A$23:$H$3172,2,FALSE)),"+","")</f>
        <v/>
      </c>
      <c r="Y71" s="120" t="str">
        <f>IF(ISTEXT(VLOOKUP(CONCATENATE($A71,"_",Y$3),'Unit List'!$A$23:$H$3172,2,FALSE)),"X",$X71)</f>
        <v/>
      </c>
      <c r="Z71" s="120" t="str">
        <f>IF(ISTEXT(VLOOKUP(CONCATENATE($A71,"_",Z$3),'Unit List'!$A$23:$H$3172,2,FALSE)),"X",$X71)</f>
        <v/>
      </c>
      <c r="AA71" s="120" t="str">
        <f>IF(ISTEXT(VLOOKUP(CONCATENATE($A71,"_",AA$3),'Unit List'!$A$23:$H$3172,2,FALSE)),"X",$X71)</f>
        <v/>
      </c>
      <c r="AB71" s="120" t="str">
        <f>IF(ISTEXT(VLOOKUP(CONCATENATE($A71,"_",AB$3),'Unit List'!$A$23:$H$3172,2,FALSE)),"X",$X71)</f>
        <v/>
      </c>
      <c r="AC71" s="75" t="str">
        <f>IF(ISTEXT(VLOOKUP(CONCATENATE($A71,"_",AC$3),'Unit List'!$A$23:$H$3172,2,FALSE)),"X",$X71)</f>
        <v/>
      </c>
      <c r="AD71" s="172" t="str">
        <f>IF(ISTEXT(VLOOKUP(CONCATENATE($A71,"_",AD$3),'Unit List'!$A$23:$H$3172,2,FALSE)),"+","")</f>
        <v/>
      </c>
      <c r="AE71" s="120" t="str">
        <f>IF(ISTEXT(VLOOKUP(CONCATENATE($A71,"_",AE$3),'Unit List'!$A$23:$H$3172,2,FALSE)),"X",$AD71)</f>
        <v/>
      </c>
      <c r="AF71" s="120" t="str">
        <f>IF(ISTEXT(VLOOKUP(CONCATENATE($A71,"_",AF$3),'Unit List'!$A$23:$H$3172,2,FALSE)),"X",$AD71)</f>
        <v/>
      </c>
      <c r="AG71" s="172" t="str">
        <f>IF(ISTEXT(VLOOKUP(CONCATENATE($A71,"_",AG$3),'Unit List'!$A$23:$H$3172,2,FALSE)),"+","")</f>
        <v/>
      </c>
      <c r="AH71" s="120" t="str">
        <f>IF(ISTEXT(VLOOKUP(CONCATENATE($A71,"_",AH$3),'Unit List'!$A$23:$H$3172,2,FALSE)),"X",$AG71)</f>
        <v/>
      </c>
      <c r="AI71" s="120" t="str">
        <f>IF(ISTEXT(VLOOKUP(CONCATENATE($A71,"_",AI$3),'Unit List'!$A$23:$H$3172,2,FALSE)),"X",$AG71)</f>
        <v/>
      </c>
      <c r="AJ71" s="122" t="str">
        <f>IF(ISTEXT(VLOOKUP(CONCATENATE($A71,"_",AJ$3),'Unit List'!$A$23:$H$3172,2,FALSE)),"X",$AG71)</f>
        <v/>
      </c>
      <c r="AK71" s="172" t="str">
        <f>IF(ISTEXT(VLOOKUP(CONCATENATE($A71,"_",AK$3),'Unit List'!$A$23:$H$3172,2,FALSE)),"+","")</f>
        <v/>
      </c>
      <c r="AL71" s="121" t="str">
        <f>IF(ISTEXT(VLOOKUP(CONCATENATE($A71,"_",AL$3),'Unit List'!$A$23:$H$3172,2,FALSE)),"X",$AK71)</f>
        <v/>
      </c>
      <c r="AM71" s="122" t="str">
        <f>IF(ISTEXT(VLOOKUP(CONCATENATE($A71,"_",AM$3),'Unit List'!$A$23:$H$3172,2,FALSE)),"X",$AK71)</f>
        <v/>
      </c>
      <c r="AN71" s="125" t="str">
        <f>IF(ISTEXT(VLOOKUP(CONCATENATE($A71,"_",AN$3),'Unit List'!$A$23:$H$3172,2,FALSE)),"+","")</f>
        <v/>
      </c>
      <c r="AO71" s="122" t="str">
        <f>IF(ISTEXT(VLOOKUP(CONCATENATE($A71,"_",AO$3),'Unit List'!$A$23:$H$3172,2,FALSE)),"X",$AN71)</f>
        <v/>
      </c>
      <c r="AP71" s="172" t="str">
        <f>IF(ISTEXT(VLOOKUP(CONCATENATE($A71,"_",AP$3),'Unit List'!$A$23:$H$3172,2,FALSE)),"+","")</f>
        <v/>
      </c>
      <c r="AQ71" s="120" t="str">
        <f>IF(ISTEXT(VLOOKUP(CONCATENATE($A71,"_",AQ$3),'Unit List'!$A$23:$H$3172,2,FALSE)),"X",$AP71)</f>
        <v/>
      </c>
      <c r="AR71" s="120" t="str">
        <f>IF(ISTEXT(VLOOKUP(CONCATENATE($A71,"_",AR$3),'Unit List'!$A$23:$H$3172,2,FALSE)),"X",$AP71)</f>
        <v/>
      </c>
      <c r="AS71" s="120" t="str">
        <f>IF(ISTEXT(VLOOKUP(CONCATENATE($A71,"_",AS$3),'Unit List'!$A$23:$H$3172,2,FALSE)),"X",$AP71)</f>
        <v/>
      </c>
      <c r="AT71" s="122" t="str">
        <f>IF(ISTEXT(VLOOKUP(CONCATENATE($A71,"_",AT$3),'Unit List'!$A$23:$H$3172,2,FALSE)),"X",$AP71)</f>
        <v/>
      </c>
      <c r="AU71" s="124" t="str">
        <f>IF(ISTEXT(VLOOKUP(CONCATENATE($A71,"_",AU$3),'Unit List'!$A$23:$H$3172,2,FALSE)),"+","")</f>
        <v/>
      </c>
      <c r="AV71" s="120" t="str">
        <f>IF(ISTEXT(VLOOKUP(CONCATENATE($A71,"_",AV$3),'Unit List'!$A$23:$H$3172,2,FALSE)),"X",$AU71)</f>
        <v/>
      </c>
      <c r="AW71" s="122" t="str">
        <f>IF(ISTEXT(VLOOKUP(CONCATENATE($A71,"_",AW$3),'Unit List'!$A$23:$H$3172,2,FALSE)),"X",$AU71)</f>
        <v/>
      </c>
      <c r="AX71" s="172" t="str">
        <f>IF(ISTEXT(VLOOKUP(CONCATENATE($A71,"_",AX$3),'Unit List'!$A$23:$H$3172,2,FALSE)),"+","")</f>
        <v/>
      </c>
      <c r="AY71" s="120" t="str">
        <f>IF(ISTEXT(VLOOKUP(CONCATENATE($A71,"_",AY$3),'Unit List'!$A$23:$H$3172,2,FALSE)),"X",$AX71)</f>
        <v/>
      </c>
      <c r="AZ71" s="122" t="str">
        <f>IF(ISTEXT(VLOOKUP(CONCATENATE($A71,"_",AZ$3),'Unit List'!$A$23:$H$3172,2,FALSE)),"X",$AX71)</f>
        <v/>
      </c>
      <c r="BA71" s="182" t="str">
        <f>IF(ISTEXT(VLOOKUP(CONCATENATE($A71,"_",BA$3),'Unit List'!$A$23:$H$3172,2,FALSE)),"+","")</f>
        <v/>
      </c>
      <c r="BB71" s="120" t="str">
        <f>IF(ISTEXT(VLOOKUP(CONCATENATE($A71,"_",BB$3),'Unit List'!$A$23:$H$3172,2,FALSE)),"X",$BA71)</f>
        <v/>
      </c>
      <c r="BC71" s="120" t="str">
        <f>IF(ISTEXT(VLOOKUP(CONCATENATE($A71,"_",BC$3),'Unit List'!$A$23:$H$3172,2,FALSE)),"X",$BA71)</f>
        <v/>
      </c>
      <c r="BD71" s="122" t="str">
        <f>IF(ISTEXT(VLOOKUP(CONCATENATE($A71,"_",BD$3),'Unit List'!$A$23:$H$3172,2,FALSE)),"X",$BA71)</f>
        <v/>
      </c>
      <c r="BE71" s="125" t="str">
        <f>IF(ISTEXT(VLOOKUP(CONCATENATE($A71,"_",BE$3),'Unit List'!$A$23:$H$3172,2,FALSE)),"+","")</f>
        <v/>
      </c>
      <c r="BF71" s="75" t="str">
        <f>IF(ISTEXT(VLOOKUP(CONCATENATE($A71,"_",BF$3),'Unit List'!$A$23:$H$3172,2,FALSE)),"X",$BE71)</f>
        <v/>
      </c>
      <c r="BG71" s="75"/>
      <c r="BH71" s="84"/>
      <c r="BI71" s="225"/>
      <c r="BJ71" s="226"/>
      <c r="BK71" s="226"/>
      <c r="BL71" s="226"/>
      <c r="BM71" s="227"/>
      <c r="BN71" s="54"/>
      <c r="BO71" s="54"/>
      <c r="BP71" s="54"/>
      <c r="BQ71" s="54"/>
      <c r="BR71" s="54"/>
      <c r="BS71" s="54"/>
      <c r="DZ71" s="55"/>
      <c r="EA71" s="55"/>
    </row>
    <row r="72" spans="1:131" ht="12.75" customHeight="1" x14ac:dyDescent="0.2">
      <c r="A72" s="129" t="s">
        <v>1117</v>
      </c>
      <c r="B72" s="185" t="str">
        <f>IF(ISTEXT(VLOOKUP(CONCATENATE($A72,"_",B$3),'Unit List'!$A$23:$H$3172,2,FALSE)),"+","")</f>
        <v/>
      </c>
      <c r="C72" s="130" t="str">
        <f>IF(ISTEXT(VLOOKUP(CONCATENATE($A72,"_",C$3),'Unit List'!$A$23:$H$3172,2,FALSE)),"X",$B72)</f>
        <v/>
      </c>
      <c r="D72" s="131" t="str">
        <f>IF(ISTEXT(VLOOKUP(CONCATENATE($A72,"_",D$3),'Unit List'!$A$23:$H$3172,2,FALSE)),"X",$B72)</f>
        <v/>
      </c>
      <c r="E72" s="131" t="str">
        <f>IF(ISTEXT(VLOOKUP(CONCATENATE($A72,"_",E$3),'Unit List'!$A$23:$H$3172,2,FALSE)),"X",$B72)</f>
        <v/>
      </c>
      <c r="F72" s="131" t="str">
        <f>IF(ISTEXT(VLOOKUP(CONCATENATE($A72,"_",F$3),'Unit List'!$A$23:$H$3172,2,FALSE)),"X",$B72)</f>
        <v/>
      </c>
      <c r="G72" s="131" t="str">
        <f>IF(ISTEXT(VLOOKUP(CONCATENATE($A72,"_",G$3),'Unit List'!$A$23:$H$3172,2,FALSE)),"X",$B72)</f>
        <v/>
      </c>
      <c r="H72" s="131" t="str">
        <f>IF(ISTEXT(VLOOKUP(CONCATENATE($A72,"_",H$3),'Unit List'!$A$23:$H$3172,2,FALSE)),"X",$B72)</f>
        <v/>
      </c>
      <c r="I72" s="132" t="str">
        <f>IF(ISTEXT(VLOOKUP(CONCATENATE($A72,"_",I$3),'Unit List'!$A$23:$H$3172,2,FALSE)),"X",$B72)</f>
        <v/>
      </c>
      <c r="J72" s="173" t="str">
        <f>IF(ISTEXT(VLOOKUP(CONCATENATE($A72,"_",J$3),'Unit List'!$A$23:$H$3172,2,FALSE)),"+","")</f>
        <v/>
      </c>
      <c r="K72" s="131" t="str">
        <f>IF(ISTEXT(VLOOKUP(CONCATENATE($A72,"_",K$3),'Unit List'!$A$23:$H$3172,2,FALSE)),"X",$J72)</f>
        <v/>
      </c>
      <c r="L72" s="116" t="str">
        <f>IF(ISTEXT(VLOOKUP(CONCATENATE($A72,"_",L$3),'Unit List'!$A$23:$H$3172,2,FALSE)),"X",$J72)</f>
        <v/>
      </c>
      <c r="M72" s="173" t="str">
        <f>IF(ISTEXT(VLOOKUP(CONCATENATE($A72,"_",M$3),'Unit List'!$A$23:$H$3172,2,FALSE)),"+","")</f>
        <v/>
      </c>
      <c r="N72" s="131" t="str">
        <f>IF(ISTEXT(VLOOKUP(CONCATENATE($A72,"_",N$3),'Unit List'!$A$23:$H$3172,2,FALSE)),"X",$M72)</f>
        <v/>
      </c>
      <c r="O72" s="132" t="str">
        <f>IF(ISTEXT(VLOOKUP(CONCATENATE($A72,"_",O$3),'Unit List'!$A$23:$H$3172,2,FALSE)),"X",$M72)</f>
        <v/>
      </c>
      <c r="P72" s="173" t="str">
        <f>IF(ISTEXT(VLOOKUP(CONCATENATE($A72,"_",P$3),'Unit List'!$A$23:$H$3172,2,FALSE)),"+","")</f>
        <v/>
      </c>
      <c r="Q72" s="131" t="str">
        <f>IF(ISTEXT(VLOOKUP(CONCATENATE($A72,"_",Q$3),'Unit List'!$A$23:$H$3172,2,FALSE)),"X",$P72)</f>
        <v/>
      </c>
      <c r="R72" s="131" t="str">
        <f>IF(ISTEXT(VLOOKUP(CONCATENATE($A72,"_",R$3),'Unit List'!$A$23:$H$3172,2,FALSE)),"X",$P72)</f>
        <v/>
      </c>
      <c r="S72" s="131" t="str">
        <f>IF(ISTEXT(VLOOKUP(CONCATENATE($A72,"_",S$3),'Unit List'!$A$23:$H$3172,2,FALSE)),"X",$P72)</f>
        <v/>
      </c>
      <c r="T72" s="133" t="str">
        <f>IF(ISTEXT(VLOOKUP(CONCATENATE($A72,"_",T$3),'Unit List'!$A$23:$H$3172,2,FALSE)),"X",$P72)</f>
        <v/>
      </c>
      <c r="U72" s="131" t="str">
        <f>IF(ISTEXT(VLOOKUP(CONCATENATE($A72,"_",U$3),'Unit List'!$A$23:$H$3172,2,FALSE)),"X",$P72)</f>
        <v/>
      </c>
      <c r="V72" s="131" t="str">
        <f>IF(ISTEXT(VLOOKUP(CONCATENATE($A72,"_",V$3),'Unit List'!$A$23:$H$3172,2,FALSE)),"X",$P72)</f>
        <v/>
      </c>
      <c r="W72" s="132" t="str">
        <f>IF(ISTEXT(VLOOKUP(CONCATENATE($A72,"_",W$3),'Unit List'!$A$23:$H$3172,2,FALSE)),"X",$P72)</f>
        <v/>
      </c>
      <c r="X72" s="173" t="str">
        <f>IF(ISTEXT(VLOOKUP(CONCATENATE($A72,"_",X$3),'Unit List'!$A$23:$H$3172,2,FALSE)),"+","")</f>
        <v/>
      </c>
      <c r="Y72" s="131" t="str">
        <f>IF(ISTEXT(VLOOKUP(CONCATENATE($A72,"_",Y$3),'Unit List'!$A$23:$H$3172,2,FALSE)),"X",$X72)</f>
        <v/>
      </c>
      <c r="Z72" s="131" t="str">
        <f>IF(ISTEXT(VLOOKUP(CONCATENATE($A72,"_",Z$3),'Unit List'!$A$23:$H$3172,2,FALSE)),"X",$X72)</f>
        <v/>
      </c>
      <c r="AA72" s="131" t="str">
        <f>IF(ISTEXT(VLOOKUP(CONCATENATE($A72,"_",AA$3),'Unit List'!$A$23:$H$3172,2,FALSE)),"X",$X72)</f>
        <v/>
      </c>
      <c r="AB72" s="131" t="str">
        <f>IF(ISTEXT(VLOOKUP(CONCATENATE($A72,"_",AB$3),'Unit List'!$A$23:$H$3172,2,FALSE)),"X",$X72)</f>
        <v/>
      </c>
      <c r="AC72" s="116" t="str">
        <f>IF(ISTEXT(VLOOKUP(CONCATENATE($A72,"_",AC$3),'Unit List'!$A$23:$H$3172,2,FALSE)),"X",$X72)</f>
        <v/>
      </c>
      <c r="AD72" s="173" t="str">
        <f>IF(ISTEXT(VLOOKUP(CONCATENATE($A72,"_",AD$3),'Unit List'!$A$23:$H$3172,2,FALSE)),"+","")</f>
        <v/>
      </c>
      <c r="AE72" s="131" t="str">
        <f>IF(ISTEXT(VLOOKUP(CONCATENATE($A72,"_",AE$3),'Unit List'!$A$23:$H$3172,2,FALSE)),"X",$AD72)</f>
        <v/>
      </c>
      <c r="AF72" s="132" t="str">
        <f>IF(ISTEXT(VLOOKUP(CONCATENATE($A72,"_",AF$3),'Unit List'!$A$23:$H$3172,2,FALSE)),"X",$AD72)</f>
        <v/>
      </c>
      <c r="AG72" s="173" t="str">
        <f>IF(ISTEXT(VLOOKUP(CONCATENATE($A72,"_",AG$3),'Unit List'!$A$23:$H$3172,2,FALSE)),"+","")</f>
        <v/>
      </c>
      <c r="AH72" s="131" t="str">
        <f>IF(ISTEXT(VLOOKUP(CONCATENATE($A72,"_",AH$3),'Unit List'!$A$23:$H$3172,2,FALSE)),"X",$AG72)</f>
        <v/>
      </c>
      <c r="AI72" s="131" t="str">
        <f>IF(ISTEXT(VLOOKUP(CONCATENATE($A72,"_",AI$3),'Unit List'!$A$23:$H$3172,2,FALSE)),"X",$AG72)</f>
        <v/>
      </c>
      <c r="AJ72" s="132" t="str">
        <f>IF(ISTEXT(VLOOKUP(CONCATENATE($A72,"_",AJ$3),'Unit List'!$A$23:$H$3172,2,FALSE)),"X",$AG72)</f>
        <v/>
      </c>
      <c r="AK72" s="173" t="str">
        <f>IF(ISTEXT(VLOOKUP(CONCATENATE($A72,"_",AK$3),'Unit List'!$A$23:$H$3172,2,FALSE)),"+","")</f>
        <v/>
      </c>
      <c r="AL72" s="133" t="str">
        <f>IF(ISTEXT(VLOOKUP(CONCATENATE($A72,"_",AL$3),'Unit List'!$A$23:$H$3172,2,FALSE)),"X",$AK72)</f>
        <v/>
      </c>
      <c r="AM72" s="132" t="str">
        <f>IF(ISTEXT(VLOOKUP(CONCATENATE($A72,"_",AM$3),'Unit List'!$A$23:$H$3172,2,FALSE)),"X",$AK72)</f>
        <v/>
      </c>
      <c r="AN72" s="186" t="str">
        <f>IF(ISTEXT(VLOOKUP(CONCATENATE($A72,"_",AN$3),'Unit List'!$A$23:$H$3172,2,FALSE)),"+","")</f>
        <v/>
      </c>
      <c r="AO72" s="132" t="str">
        <f>IF(ISTEXT(VLOOKUP(CONCATENATE($A72,"_",AO$3),'Unit List'!$A$23:$H$3172,2,FALSE)),"X",$AN72)</f>
        <v/>
      </c>
      <c r="AP72" s="173" t="str">
        <f>IF(ISTEXT(VLOOKUP(CONCATENATE($A72,"_",AP$3),'Unit List'!$A$23:$H$3172,2,FALSE)),"+","")</f>
        <v/>
      </c>
      <c r="AQ72" s="131" t="str">
        <f>IF(ISTEXT(VLOOKUP(CONCATENATE($A72,"_",AQ$3),'Unit List'!$A$23:$H$3172,2,FALSE)),"X",$AP72)</f>
        <v/>
      </c>
      <c r="AR72" s="131" t="str">
        <f>IF(ISTEXT(VLOOKUP(CONCATENATE($A72,"_",AR$3),'Unit List'!$A$23:$H$3172,2,FALSE)),"X",$AP72)</f>
        <v/>
      </c>
      <c r="AS72" s="131" t="str">
        <f>IF(ISTEXT(VLOOKUP(CONCATENATE($A72,"_",AS$3),'Unit List'!$A$23:$H$3172,2,FALSE)),"X",$AP72)</f>
        <v/>
      </c>
      <c r="AT72" s="132" t="str">
        <f>IF(ISTEXT(VLOOKUP(CONCATENATE($A72,"_",AT$3),'Unit List'!$A$23:$H$3172,2,FALSE)),"X",$AP72)</f>
        <v/>
      </c>
      <c r="AU72" s="187" t="str">
        <f>IF(ISTEXT(VLOOKUP(CONCATENATE($A72,"_",AU$3),'Unit List'!$A$23:$H$3172,2,FALSE)),"+","")</f>
        <v/>
      </c>
      <c r="AV72" s="131" t="str">
        <f>IF(ISTEXT(VLOOKUP(CONCATENATE($A72,"_",AV$3),'Unit List'!$A$23:$H$3172,2,FALSE)),"X",$AU72)</f>
        <v/>
      </c>
      <c r="AW72" s="132" t="str">
        <f>IF(ISTEXT(VLOOKUP(CONCATENATE($A72,"_",AW$3),'Unit List'!$A$23:$H$3172,2,FALSE)),"X",$AU72)</f>
        <v/>
      </c>
      <c r="AX72" s="173" t="str">
        <f>IF(ISTEXT(VLOOKUP(CONCATENATE($A72,"_",AX$3),'Unit List'!$A$23:$H$3172,2,FALSE)),"+","")</f>
        <v/>
      </c>
      <c r="AY72" s="131" t="str">
        <f>IF(ISTEXT(VLOOKUP(CONCATENATE($A72,"_",AY$3),'Unit List'!$A$23:$H$3172,2,FALSE)),"X",$AX72)</f>
        <v/>
      </c>
      <c r="AZ72" s="132" t="str">
        <f>IF(ISTEXT(VLOOKUP(CONCATENATE($A72,"_",AZ$3),'Unit List'!$A$23:$H$3172,2,FALSE)),"X",$AX72)</f>
        <v/>
      </c>
      <c r="BA72" s="188" t="str">
        <f>IF(ISTEXT(VLOOKUP(CONCATENATE($A72,"_",BA$3),'Unit List'!$A$23:$H$3172,2,FALSE)),"+","")</f>
        <v/>
      </c>
      <c r="BB72" s="131" t="str">
        <f>IF(ISTEXT(VLOOKUP(CONCATENATE($A72,"_",BB$3),'Unit List'!$A$23:$H$3172,2,FALSE)),"X",$BA72)</f>
        <v/>
      </c>
      <c r="BC72" s="131" t="str">
        <f>IF(ISTEXT(VLOOKUP(CONCATENATE($A72,"_",BC$3),'Unit List'!$A$23:$H$3172,2,FALSE)),"X",$BA72)</f>
        <v/>
      </c>
      <c r="BD72" s="132" t="str">
        <f>IF(ISTEXT(VLOOKUP(CONCATENATE($A72,"_",BD$3),'Unit List'!$A$23:$H$3172,2,FALSE)),"X",$BA72)</f>
        <v/>
      </c>
      <c r="BE72" s="186" t="str">
        <f>IF(ISTEXT(VLOOKUP(CONCATENATE($A72,"_",BE$3),'Unit List'!$A$23:$H$3172,2,FALSE)),"+","")</f>
        <v/>
      </c>
      <c r="BF72" s="116" t="str">
        <f>IF(ISTEXT(VLOOKUP(CONCATENATE($A72,"_",BF$3),'Unit List'!$A$23:$H$3172,2,FALSE)),"X",$BE72)</f>
        <v/>
      </c>
      <c r="BG72" s="116"/>
      <c r="BH72" s="117"/>
      <c r="BI72" s="235"/>
      <c r="BJ72" s="238"/>
      <c r="BK72" s="238"/>
      <c r="BL72" s="238"/>
      <c r="BM72" s="239"/>
      <c r="BN72" s="54"/>
      <c r="BO72" s="54"/>
      <c r="BP72" s="54"/>
      <c r="BQ72" s="54"/>
      <c r="BR72" s="54"/>
      <c r="BS72" s="54"/>
      <c r="DZ72" s="55"/>
      <c r="EA72" s="55"/>
    </row>
    <row r="73" spans="1:131" ht="12.75" customHeight="1" x14ac:dyDescent="0.2">
      <c r="A73" s="118" t="s">
        <v>1912</v>
      </c>
      <c r="B73" s="181"/>
      <c r="C73" s="119"/>
      <c r="D73" s="120"/>
      <c r="E73" s="120"/>
      <c r="F73" s="120"/>
      <c r="G73" s="120"/>
      <c r="H73" s="120"/>
      <c r="I73" s="75"/>
      <c r="J73" s="172"/>
      <c r="K73" s="121"/>
      <c r="L73" s="122"/>
      <c r="M73" s="182" t="str">
        <f>IF(ISTEXT(VLOOKUP(CONCATENATE($A73,"_",M$3),'Unit List'!$A$23:$H$3172,2,FALSE)),"+","")</f>
        <v/>
      </c>
      <c r="N73" s="120"/>
      <c r="O73" s="75"/>
      <c r="P73" s="182"/>
      <c r="Q73" s="120"/>
      <c r="R73" s="120"/>
      <c r="S73" s="121"/>
      <c r="T73" s="121"/>
      <c r="U73" s="120"/>
      <c r="V73" s="120"/>
      <c r="W73" s="75"/>
      <c r="X73" s="182"/>
      <c r="Y73" s="120"/>
      <c r="Z73" s="191"/>
      <c r="AA73" s="191"/>
      <c r="AB73" s="120"/>
      <c r="AC73" s="75"/>
      <c r="AD73" s="182"/>
      <c r="AE73" s="120"/>
      <c r="AF73" s="123"/>
      <c r="AG73" s="182"/>
      <c r="AH73" s="120"/>
      <c r="AI73" s="120"/>
      <c r="AJ73" s="75"/>
      <c r="AK73" s="192"/>
      <c r="AL73" s="191"/>
      <c r="AM73" s="75"/>
      <c r="AN73" s="192"/>
      <c r="AO73" s="193"/>
      <c r="AP73" s="182"/>
      <c r="AQ73" s="120"/>
      <c r="AR73" s="120"/>
      <c r="AS73" s="120"/>
      <c r="AT73" s="75"/>
      <c r="AU73" s="124"/>
      <c r="AV73" s="120"/>
      <c r="AW73" s="122"/>
      <c r="AX73" s="182"/>
      <c r="AY73" s="120"/>
      <c r="AZ73" s="75"/>
      <c r="BA73" s="182"/>
      <c r="BB73" s="120"/>
      <c r="BC73" s="120"/>
      <c r="BD73" s="122"/>
      <c r="BE73" s="125"/>
      <c r="BF73" s="122"/>
      <c r="BG73" s="75"/>
      <c r="BH73" s="65"/>
      <c r="BI73" s="240"/>
      <c r="BJ73" s="241"/>
      <c r="BK73" s="241"/>
      <c r="BL73" s="241"/>
      <c r="BM73" s="242"/>
      <c r="BN73" s="54"/>
      <c r="BO73" s="54"/>
      <c r="BP73" s="54"/>
      <c r="BQ73" s="54"/>
      <c r="BR73" s="54"/>
      <c r="BS73" s="54"/>
      <c r="DZ73" s="55"/>
      <c r="EA73" s="55"/>
    </row>
    <row r="74" spans="1:131" ht="12.75" customHeight="1" x14ac:dyDescent="0.2">
      <c r="A74" s="128" t="s">
        <v>1118</v>
      </c>
      <c r="B74" s="181" t="str">
        <f>IF(ISTEXT(VLOOKUP(CONCATENATE($A74,"_",B$3),'Unit List'!$A$23:$H$3172,2,FALSE)),"+","")</f>
        <v/>
      </c>
      <c r="C74" s="119" t="str">
        <f>IF(ISTEXT(VLOOKUP(CONCATENATE($A74,"_",C$3),'Unit List'!$A$23:$H$3172,2,FALSE)),"X",$B74)</f>
        <v/>
      </c>
      <c r="D74" s="120" t="str">
        <f>IF(ISTEXT(VLOOKUP(CONCATENATE($A74,"_",D$3),'Unit List'!$A$23:$H$3172,2,FALSE)),"X",$B74)</f>
        <v/>
      </c>
      <c r="E74" s="120" t="str">
        <f>IF(ISTEXT(VLOOKUP(CONCATENATE($A74,"_",E$3),'Unit List'!$A$23:$H$3172,2,FALSE)),"X",$B74)</f>
        <v/>
      </c>
      <c r="F74" s="120" t="str">
        <f>IF(ISTEXT(VLOOKUP(CONCATENATE($A74,"_",F$3),'Unit List'!$A$23:$H$3172,2,FALSE)),"X",$B74)</f>
        <v/>
      </c>
      <c r="G74" s="120" t="str">
        <f>IF(ISTEXT(VLOOKUP(CONCATENATE($A74,"_",G$3),'Unit List'!$A$23:$H$3172,2,FALSE)),"X",$B74)</f>
        <v/>
      </c>
      <c r="H74" s="120" t="str">
        <f>IF(ISTEXT(VLOOKUP(CONCATENATE($A74,"_",H$3),'Unit List'!$A$23:$H$3172,2,FALSE)),"X",$B74)</f>
        <v/>
      </c>
      <c r="I74" s="122" t="str">
        <f>IF(ISTEXT(VLOOKUP(CONCATENATE($A74,"_",I$3),'Unit List'!$A$23:$H$3172,2,FALSE)),"X",$B74)</f>
        <v/>
      </c>
      <c r="J74" s="171" t="str">
        <f>IF(ISTEXT(VLOOKUP(CONCATENATE($A74,"_",J$3),'Unit List'!$A$23:$H$3172,2,FALSE)),"+","")</f>
        <v/>
      </c>
      <c r="K74" s="134" t="s">
        <v>0</v>
      </c>
      <c r="L74" s="75" t="str">
        <f>IF(ISTEXT(VLOOKUP(CONCATENATE($A74,"_",L$3),'Unit List'!$A$23:$H$3172,2,FALSE)),"X",$J74)</f>
        <v/>
      </c>
      <c r="M74" s="171" t="str">
        <f>IF(ISTEXT(VLOOKUP(CONCATENATE($A74,"_",M$3),'Unit List'!$A$23:$H$3172,2,FALSE)),"+","")</f>
        <v/>
      </c>
      <c r="N74" s="120" t="str">
        <f>IF(ISTEXT(VLOOKUP(CONCATENATE($A74,"_",N$3),'Unit List'!$A$23:$H$3172,2,FALSE)),"X",$M74)</f>
        <v/>
      </c>
      <c r="O74" s="122" t="str">
        <f>IF(ISTEXT(VLOOKUP(CONCATENATE($A74,"_",O$3),'Unit List'!$A$23:$H$3172,2,FALSE)),"X",$M74)</f>
        <v/>
      </c>
      <c r="P74" s="172" t="str">
        <f>IF(ISTEXT(VLOOKUP(CONCATENATE($A74,"_",P$3),'Unit List'!$A$23:$H$3172,2,FALSE)),"+","")</f>
        <v/>
      </c>
      <c r="Q74" s="120" t="str">
        <f>IF(ISTEXT(VLOOKUP(CONCATENATE($A74,"_",Q$3),'Unit List'!$A$23:$H$3172,2,FALSE)),"X",$P74)</f>
        <v/>
      </c>
      <c r="R74" s="120" t="str">
        <f>IF(ISTEXT(VLOOKUP(CONCATENATE($A74,"_",R$3),'Unit List'!$A$23:$H$3172,2,FALSE)),"X",$P74)</f>
        <v/>
      </c>
      <c r="S74" s="120" t="str">
        <f>IF(ISTEXT(VLOOKUP(CONCATENATE($A74,"_",S$3),'Unit List'!$A$23:$H$3172,2,FALSE)),"X",$P74)</f>
        <v/>
      </c>
      <c r="T74" s="121" t="str">
        <f>IF(ISTEXT(VLOOKUP(CONCATENATE($A74,"_",T$3),'Unit List'!$A$23:$H$3172,2,FALSE)),"X",$P74)</f>
        <v/>
      </c>
      <c r="U74" s="120" t="str">
        <f>IF(ISTEXT(VLOOKUP(CONCATENATE($A74,"_",U$3),'Unit List'!$A$23:$H$3172,2,FALSE)),"X",$P74)</f>
        <v/>
      </c>
      <c r="V74" s="120" t="str">
        <f>IF(ISTEXT(VLOOKUP(CONCATENATE($A74,"_",V$3),'Unit List'!$A$23:$H$3172,2,FALSE)),"X",$P74)</f>
        <v/>
      </c>
      <c r="W74" s="122" t="str">
        <f>IF(ISTEXT(VLOOKUP(CONCATENATE($A74,"_",W$3),'Unit List'!$A$23:$H$3172,2,FALSE)),"X",$P74)</f>
        <v/>
      </c>
      <c r="X74" s="172" t="str">
        <f>IF(ISTEXT(VLOOKUP(CONCATENATE($A74,"_",X$3),'Unit List'!$A$23:$H$3172,2,FALSE)),"+","")</f>
        <v/>
      </c>
      <c r="Y74" s="120" t="str">
        <f>IF(ISTEXT(VLOOKUP(CONCATENATE($A74,"_",Y$3),'Unit List'!$A$23:$H$3172,2,FALSE)),"X",$X74)</f>
        <v/>
      </c>
      <c r="Z74" s="120" t="str">
        <f>IF(ISTEXT(VLOOKUP(CONCATENATE($A74,"_",Z$3),'Unit List'!$A$23:$H$3172,2,FALSE)),"X",$X74)</f>
        <v/>
      </c>
      <c r="AA74" s="120" t="str">
        <f>IF(ISTEXT(VLOOKUP(CONCATENATE($A74,"_",AA$3),'Unit List'!$A$23:$H$3172,2,FALSE)),"X",$X74)</f>
        <v/>
      </c>
      <c r="AB74" s="120" t="str">
        <f>IF(ISTEXT(VLOOKUP(CONCATENATE($A74,"_",AB$3),'Unit List'!$A$23:$H$3172,2,FALSE)),"X",$X74)</f>
        <v/>
      </c>
      <c r="AC74" s="75" t="str">
        <f>IF(ISTEXT(VLOOKUP(CONCATENATE($A74,"_",AC$3),'Unit List'!$A$23:$H$3172,2,FALSE)),"X",$X74)</f>
        <v/>
      </c>
      <c r="AD74" s="171" t="str">
        <f>IF(ISTEXT(VLOOKUP(CONCATENATE($A74,"_",AD$3),'Unit List'!$A$23:$H$3172,2,FALSE)),"+","")</f>
        <v/>
      </c>
      <c r="AE74" s="120" t="str">
        <f>IF(ISTEXT(VLOOKUP(CONCATENATE($A74,"_",AE$3),'Unit List'!$A$23:$H$3172,2,FALSE)),"X",$AD74)</f>
        <v/>
      </c>
      <c r="AF74" s="120" t="str">
        <f>IF(ISTEXT(VLOOKUP(CONCATENATE($A74,"_",AF$3),'Unit List'!$A$23:$H$3172,2,FALSE)),"X",$AD74)</f>
        <v/>
      </c>
      <c r="AG74" s="171" t="str">
        <f>IF(ISTEXT(VLOOKUP(CONCATENATE($A74,"_",AG$3),'Unit List'!$A$23:$H$3172,2,FALSE)),"+","")</f>
        <v/>
      </c>
      <c r="AH74" s="120" t="str">
        <f>IF(ISTEXT(VLOOKUP(CONCATENATE($A74,"_",AH$3),'Unit List'!$A$23:$H$3172,2,FALSE)),"X",$AG74)</f>
        <v/>
      </c>
      <c r="AI74" s="120" t="str">
        <f>IF(ISTEXT(VLOOKUP(CONCATENATE($A74,"_",AI$3),'Unit List'!$A$23:$H$3172,2,FALSE)),"X",$AG74)</f>
        <v/>
      </c>
      <c r="AJ74" s="122" t="str">
        <f>IF(ISTEXT(VLOOKUP(CONCATENATE($A74,"_",AJ$3),'Unit List'!$A$23:$H$3172,2,FALSE)),"X",$AG74)</f>
        <v/>
      </c>
      <c r="AK74" s="172" t="str">
        <f>IF(ISTEXT(VLOOKUP(CONCATENATE($A74,"_",AK$3),'Unit List'!$A$23:$H$3172,2,FALSE)),"+","")</f>
        <v/>
      </c>
      <c r="AL74" s="121" t="str">
        <f>IF(ISTEXT(VLOOKUP(CONCATENATE($A74,"_",AL$3),'Unit List'!$A$23:$H$3172,2,FALSE)),"X",$AK74)</f>
        <v/>
      </c>
      <c r="AM74" s="122" t="str">
        <f>IF(ISTEXT(VLOOKUP(CONCATENATE($A74,"_",AM$3),'Unit List'!$A$23:$H$3172,2,FALSE)),"X",$AK74)</f>
        <v/>
      </c>
      <c r="AN74" s="125" t="str">
        <f>IF(ISTEXT(VLOOKUP(CONCATENATE($A74,"_",AN$3),'Unit List'!$A$23:$H$3172,2,FALSE)),"+","")</f>
        <v/>
      </c>
      <c r="AO74" s="122" t="str">
        <f>IF(ISTEXT(VLOOKUP(CONCATENATE($A74,"_",AO$3),'Unit List'!$A$23:$H$3172,2,FALSE)),"X",$AN74)</f>
        <v/>
      </c>
      <c r="AP74" s="171" t="str">
        <f>IF(ISTEXT(VLOOKUP(CONCATENATE($A74,"_",AP$3),'Unit List'!$A$23:$H$3172,2,FALSE)),"+","")</f>
        <v/>
      </c>
      <c r="AQ74" s="120" t="str">
        <f>IF(ISTEXT(VLOOKUP(CONCATENATE($A74,"_",AQ$3),'Unit List'!$A$23:$H$3172,2,FALSE)),"X",$AP74)</f>
        <v/>
      </c>
      <c r="AR74" s="120" t="str">
        <f>IF(ISTEXT(VLOOKUP(CONCATENATE($A74,"_",AR$3),'Unit List'!$A$23:$H$3172,2,FALSE)),"X",$AP74)</f>
        <v/>
      </c>
      <c r="AS74" s="120" t="str">
        <f>IF(ISTEXT(VLOOKUP(CONCATENATE($A74,"_",AS$3),'Unit List'!$A$23:$H$3172,2,FALSE)),"X",$AP74)</f>
        <v/>
      </c>
      <c r="AT74" s="122" t="str">
        <f>IF(ISTEXT(VLOOKUP(CONCATENATE($A74,"_",AT$3),'Unit List'!$A$23:$H$3172,2,FALSE)),"X",$AP74)</f>
        <v/>
      </c>
      <c r="AU74" s="124" t="str">
        <f>IF(ISTEXT(VLOOKUP(CONCATENATE($A74,"_",AU$3),'Unit List'!$A$23:$H$3172,2,FALSE)),"+","")</f>
        <v/>
      </c>
      <c r="AV74" s="120" t="str">
        <f>IF(ISTEXT(VLOOKUP(CONCATENATE($A74,"_",AV$3),'Unit List'!$A$23:$H$3172,2,FALSE)),"X",$AU74)</f>
        <v/>
      </c>
      <c r="AW74" s="122" t="str">
        <f>IF(ISTEXT(VLOOKUP(CONCATENATE($A74,"_",AW$3),'Unit List'!$A$23:$H$3172,2,FALSE)),"X",$AU74)</f>
        <v/>
      </c>
      <c r="AX74" s="171" t="str">
        <f>IF(ISTEXT(VLOOKUP(CONCATENATE($A74,"_",AX$3),'Unit List'!$A$23:$H$3172,2,FALSE)),"+","")</f>
        <v/>
      </c>
      <c r="AY74" s="120" t="str">
        <f>IF(ISTEXT(VLOOKUP(CONCATENATE($A74,"_",AY$3),'Unit List'!$A$23:$H$3172,2,FALSE)),"X",$AX74)</f>
        <v/>
      </c>
      <c r="AZ74" s="122" t="str">
        <f>IF(ISTEXT(VLOOKUP(CONCATENATE($A74,"_",AZ$3),'Unit List'!$A$23:$H$3172,2,FALSE)),"X",$AX74)</f>
        <v/>
      </c>
      <c r="BA74" s="182" t="str">
        <f>IF(ISTEXT(VLOOKUP(CONCATENATE($A74,"_",BA$3),'Unit List'!$A$23:$H$3172,2,FALSE)),"+","")</f>
        <v/>
      </c>
      <c r="BB74" s="178" t="str">
        <f>IF(ISTEXT(VLOOKUP(CONCATENATE($A74,"_",BB$3),'Unit List'!$A$23:$H$3172,2,FALSE)),"X",$BA74)</f>
        <v/>
      </c>
      <c r="BC74" s="178" t="str">
        <f>IF(ISTEXT(VLOOKUP(CONCATENATE($A74,"_",BC$3),'Unit List'!$A$23:$H$3172,2,FALSE)),"X",$BA74)</f>
        <v/>
      </c>
      <c r="BD74" s="122" t="str">
        <f>IF(ISTEXT(VLOOKUP(CONCATENATE($A74,"_",BD$3),'Unit List'!$A$23:$H$3172,2,FALSE)),"X",$BA74)</f>
        <v/>
      </c>
      <c r="BE74" s="125" t="str">
        <f>IF(ISTEXT(VLOOKUP(CONCATENATE($A74,"_",BE$3),'Unit List'!$A$23:$H$3172,2,FALSE)),"+","")</f>
        <v/>
      </c>
      <c r="BF74" s="135" t="s">
        <v>0</v>
      </c>
      <c r="BG74" s="75"/>
      <c r="BH74" s="65" t="s">
        <v>0</v>
      </c>
      <c r="BI74" s="225"/>
      <c r="BJ74" s="226"/>
      <c r="BK74" s="226"/>
      <c r="BL74" s="226"/>
      <c r="BM74" s="227"/>
      <c r="BN74" s="54"/>
      <c r="BO74" s="54"/>
      <c r="BP74" s="54"/>
      <c r="BQ74" s="54"/>
      <c r="BR74" s="54"/>
      <c r="BS74" s="54"/>
      <c r="DZ74" s="55"/>
      <c r="EA74" s="55"/>
    </row>
    <row r="75" spans="1:131" ht="12.75" customHeight="1" x14ac:dyDescent="0.2">
      <c r="A75" s="128" t="s">
        <v>1119</v>
      </c>
      <c r="B75" s="179" t="str">
        <f>IF(ISTEXT(VLOOKUP(CONCATENATE($A75,"_",B$3),'Unit List'!$A$23:$H$3172,2,FALSE)),"+","")</f>
        <v/>
      </c>
      <c r="C75" s="180" t="str">
        <f>IF(ISTEXT(VLOOKUP(CONCATENATE($A75,"_",C$3),'Unit List'!$A$23:$H$3172,2,FALSE)),"X",$B75)</f>
        <v/>
      </c>
      <c r="D75" s="120" t="str">
        <f>IF(ISTEXT(VLOOKUP(CONCATENATE($A75,"_",D$3),'Unit List'!$A$23:$H$3172,2,FALSE)),"X",$B75)</f>
        <v/>
      </c>
      <c r="E75" s="120" t="str">
        <f>IF(ISTEXT(VLOOKUP(CONCATENATE($A75,"_",E$3),'Unit List'!$A$23:$H$3172,2,FALSE)),"X",$B75)</f>
        <v/>
      </c>
      <c r="F75" s="120" t="str">
        <f>IF(ISTEXT(VLOOKUP(CONCATENATE($A75,"_",F$3),'Unit List'!$A$23:$H$3172,2,FALSE)),"X",$B75)</f>
        <v/>
      </c>
      <c r="G75" s="120" t="str">
        <f>IF(ISTEXT(VLOOKUP(CONCATENATE($A75,"_",G$3),'Unit List'!$A$23:$H$3172,2,FALSE)),"X",$B75)</f>
        <v/>
      </c>
      <c r="H75" s="120" t="str">
        <f>IF(ISTEXT(VLOOKUP(CONCATENATE($A75,"_",H$3),'Unit List'!$A$23:$H$3172,2,FALSE)),"X",$B75)</f>
        <v/>
      </c>
      <c r="I75" s="122" t="str">
        <f>IF(ISTEXT(VLOOKUP(CONCATENATE($A75,"_",I$3),'Unit List'!$A$23:$H$3172,2,FALSE)),"X",$B75)</f>
        <v/>
      </c>
      <c r="J75" s="172" t="str">
        <f>IF(ISTEXT(VLOOKUP(CONCATENATE($A75,"_",J$3),'Unit List'!$A$23:$H$3172,2,FALSE)),"+","")</f>
        <v/>
      </c>
      <c r="K75" s="120" t="str">
        <f>IF(ISTEXT(VLOOKUP(CONCATENATE($A75,"_",K$3),'Unit List'!$A$23:$H$3172,2,FALSE)),"X",$J75)</f>
        <v/>
      </c>
      <c r="L75" s="75" t="str">
        <f>IF(ISTEXT(VLOOKUP(CONCATENATE($A75,"_",L$3),'Unit List'!$A$23:$H$3172,2,FALSE)),"X",$J75)</f>
        <v/>
      </c>
      <c r="M75" s="172" t="str">
        <f>IF(ISTEXT(VLOOKUP(CONCATENATE($A75,"_",M$3),'Unit List'!$A$23:$H$3172,2,FALSE)),"+","")</f>
        <v/>
      </c>
      <c r="N75" s="120" t="str">
        <f>IF(ISTEXT(VLOOKUP(CONCATENATE($A75,"_",N$3),'Unit List'!$A$23:$H$3172,2,FALSE)),"X",$M75)</f>
        <v/>
      </c>
      <c r="O75" s="122" t="str">
        <f>IF(ISTEXT(VLOOKUP(CONCATENATE($A75,"_",O$3),'Unit List'!$A$23:$H$3172,2,FALSE)),"X",$M75)</f>
        <v/>
      </c>
      <c r="P75" s="172" t="str">
        <f>IF(ISTEXT(VLOOKUP(CONCATENATE($A75,"_",P$3),'Unit List'!$A$23:$H$3172,2,FALSE)),"+","")</f>
        <v/>
      </c>
      <c r="Q75" s="120" t="str">
        <f>IF(ISTEXT(VLOOKUP(CONCATENATE($A75,"_",Q$3),'Unit List'!$A$23:$H$3172,2,FALSE)),"X",$P75)</f>
        <v/>
      </c>
      <c r="R75" s="120" t="str">
        <f>IF(ISTEXT(VLOOKUP(CONCATENATE($A75,"_",R$3),'Unit List'!$A$23:$H$3172,2,FALSE)),"X",$P75)</f>
        <v/>
      </c>
      <c r="S75" s="120" t="str">
        <f>IF(ISTEXT(VLOOKUP(CONCATENATE($A75,"_",S$3),'Unit List'!$A$23:$H$3172,2,FALSE)),"X",$P75)</f>
        <v/>
      </c>
      <c r="T75" s="121" t="str">
        <f>IF(ISTEXT(VLOOKUP(CONCATENATE($A75,"_",T$3),'Unit List'!$A$23:$H$3172,2,FALSE)),"X",$P75)</f>
        <v/>
      </c>
      <c r="U75" s="120" t="str">
        <f>IF(ISTEXT(VLOOKUP(CONCATENATE($A75,"_",U$3),'Unit List'!$A$23:$H$3172,2,FALSE)),"X",$P75)</f>
        <v/>
      </c>
      <c r="V75" s="120" t="str">
        <f>IF(ISTEXT(VLOOKUP(CONCATENATE($A75,"_",V$3),'Unit List'!$A$23:$H$3172,2,FALSE)),"X",$P75)</f>
        <v/>
      </c>
      <c r="W75" s="122" t="str">
        <f>IF(ISTEXT(VLOOKUP(CONCATENATE($A75,"_",W$3),'Unit List'!$A$23:$H$3172,2,FALSE)),"X",$P75)</f>
        <v/>
      </c>
      <c r="X75" s="172" t="str">
        <f>IF(ISTEXT(VLOOKUP(CONCATENATE($A75,"_",X$3),'Unit List'!$A$23:$H$3172,2,FALSE)),"+","")</f>
        <v/>
      </c>
      <c r="Y75" s="120" t="str">
        <f>IF(ISTEXT(VLOOKUP(CONCATENATE($A75,"_",Y$3),'Unit List'!$A$23:$H$3172,2,FALSE)),"X",$X75)</f>
        <v/>
      </c>
      <c r="Z75" s="120" t="str">
        <f>IF(ISTEXT(VLOOKUP(CONCATENATE($A75,"_",Z$3),'Unit List'!$A$23:$H$3172,2,FALSE)),"X",$X75)</f>
        <v/>
      </c>
      <c r="AA75" s="120" t="str">
        <f>IF(ISTEXT(VLOOKUP(CONCATENATE($A75,"_",AA$3),'Unit List'!$A$23:$H$3172,2,FALSE)),"X",$X75)</f>
        <v/>
      </c>
      <c r="AB75" s="120" t="str">
        <f>IF(ISTEXT(VLOOKUP(CONCATENATE($A75,"_",AB$3),'Unit List'!$A$23:$H$3172,2,FALSE)),"X",$X75)</f>
        <v/>
      </c>
      <c r="AC75" s="75" t="str">
        <f>IF(ISTEXT(VLOOKUP(CONCATENATE($A75,"_",AC$3),'Unit List'!$A$23:$H$3172,2,FALSE)),"X",$X75)</f>
        <v/>
      </c>
      <c r="AD75" s="172" t="str">
        <f>IF(ISTEXT(VLOOKUP(CONCATENATE($A75,"_",AD$3),'Unit List'!$A$23:$H$3172,2,FALSE)),"+","")</f>
        <v/>
      </c>
      <c r="AE75" s="120" t="str">
        <f>IF(ISTEXT(VLOOKUP(CONCATENATE($A75,"_",AE$3),'Unit List'!$A$23:$H$3172,2,FALSE)),"X",$AD75)</f>
        <v/>
      </c>
      <c r="AF75" s="120" t="str">
        <f>IF(ISTEXT(VLOOKUP(CONCATENATE($A75,"_",AF$3),'Unit List'!$A$23:$H$3172,2,FALSE)),"X",$AD75)</f>
        <v/>
      </c>
      <c r="AG75" s="172" t="str">
        <f>IF(ISTEXT(VLOOKUP(CONCATENATE($A75,"_",AG$3),'Unit List'!$A$23:$H$3172,2,FALSE)),"+","")</f>
        <v/>
      </c>
      <c r="AH75" s="120" t="str">
        <f>IF(ISTEXT(VLOOKUP(CONCATENATE($A75,"_",AH$3),'Unit List'!$A$23:$H$3172,2,FALSE)),"X",$AG75)</f>
        <v/>
      </c>
      <c r="AI75" s="120" t="str">
        <f>IF(ISTEXT(VLOOKUP(CONCATENATE($A75,"_",AI$3),'Unit List'!$A$23:$H$3172,2,FALSE)),"X",$AG75)</f>
        <v/>
      </c>
      <c r="AJ75" s="122" t="str">
        <f>IF(ISTEXT(VLOOKUP(CONCATENATE($A75,"_",AJ$3),'Unit List'!$A$23:$H$3172,2,FALSE)),"X",$AG75)</f>
        <v/>
      </c>
      <c r="AK75" s="172" t="str">
        <f>IF(ISTEXT(VLOOKUP(CONCATENATE($A75,"_",AK$3),'Unit List'!$A$23:$H$3172,2,FALSE)),"+","")</f>
        <v/>
      </c>
      <c r="AL75" s="121" t="str">
        <f>IF(ISTEXT(VLOOKUP(CONCATENATE($A75,"_",AL$3),'Unit List'!$A$23:$H$3172,2,FALSE)),"X",$AK75)</f>
        <v/>
      </c>
      <c r="AM75" s="122" t="str">
        <f>IF(ISTEXT(VLOOKUP(CONCATENATE($A75,"_",AM$3),'Unit List'!$A$23:$H$3172,2,FALSE)),"X",$AK75)</f>
        <v/>
      </c>
      <c r="AN75" s="125" t="str">
        <f>IF(ISTEXT(VLOOKUP(CONCATENATE($A75,"_",AN$3),'Unit List'!$A$23:$H$3172,2,FALSE)),"+","")</f>
        <v/>
      </c>
      <c r="AO75" s="122" t="str">
        <f>IF(ISTEXT(VLOOKUP(CONCATENATE($A75,"_",AO$3),'Unit List'!$A$23:$H$3172,2,FALSE)),"X",$AN75)</f>
        <v/>
      </c>
      <c r="AP75" s="172" t="str">
        <f>IF(ISTEXT(VLOOKUP(CONCATENATE($A75,"_",AP$3),'Unit List'!$A$23:$H$3172,2,FALSE)),"+","")</f>
        <v/>
      </c>
      <c r="AQ75" s="120" t="str">
        <f>IF(ISTEXT(VLOOKUP(CONCATENATE($A75,"_",AQ$3),'Unit List'!$A$23:$H$3172,2,FALSE)),"X",$AP75)</f>
        <v/>
      </c>
      <c r="AR75" s="120" t="str">
        <f>IF(ISTEXT(VLOOKUP(CONCATENATE($A75,"_",AR$3),'Unit List'!$A$23:$H$3172,2,FALSE)),"X",$AP75)</f>
        <v/>
      </c>
      <c r="AS75" s="120" t="str">
        <f>IF(ISTEXT(VLOOKUP(CONCATENATE($A75,"_",AS$3),'Unit List'!$A$23:$H$3172,2,FALSE)),"X",$AP75)</f>
        <v/>
      </c>
      <c r="AT75" s="122" t="str">
        <f>IF(ISTEXT(VLOOKUP(CONCATENATE($A75,"_",AT$3),'Unit List'!$A$23:$H$3172,2,FALSE)),"X",$AP75)</f>
        <v/>
      </c>
      <c r="AU75" s="124" t="str">
        <f>IF(ISTEXT(VLOOKUP(CONCATENATE($A75,"_",AU$3),'Unit List'!$A$23:$H$3172,2,FALSE)),"+","")</f>
        <v/>
      </c>
      <c r="AV75" s="120" t="str">
        <f>IF(ISTEXT(VLOOKUP(CONCATENATE($A75,"_",AV$3),'Unit List'!$A$23:$H$3172,2,FALSE)),"X",$AU75)</f>
        <v/>
      </c>
      <c r="AW75" s="122" t="str">
        <f>IF(ISTEXT(VLOOKUP(CONCATENATE($A75,"_",AW$3),'Unit List'!$A$23:$H$3172,2,FALSE)),"X",$AU75)</f>
        <v/>
      </c>
      <c r="AX75" s="172" t="str">
        <f>IF(ISTEXT(VLOOKUP(CONCATENATE($A75,"_",AX$3),'Unit List'!$A$23:$H$3172,2,FALSE)),"+","")</f>
        <v/>
      </c>
      <c r="AY75" s="120" t="str">
        <f>IF(ISTEXT(VLOOKUP(CONCATENATE($A75,"_",AY$3),'Unit List'!$A$23:$H$3172,2,FALSE)),"X",$AX75)</f>
        <v/>
      </c>
      <c r="AZ75" s="122" t="str">
        <f>IF(ISTEXT(VLOOKUP(CONCATENATE($A75,"_",AZ$3),'Unit List'!$A$23:$H$3172,2,FALSE)),"X",$AX75)</f>
        <v/>
      </c>
      <c r="BA75" s="182" t="str">
        <f>IF(ISTEXT(VLOOKUP(CONCATENATE($A75,"_",BA$3),'Unit List'!$A$23:$H$3172,2,FALSE)),"+","")</f>
        <v/>
      </c>
      <c r="BB75" s="120" t="str">
        <f>IF(ISTEXT(VLOOKUP(CONCATENATE($A75,"_",BB$3),'Unit List'!$A$23:$H$3172,2,FALSE)),"X",$BA75)</f>
        <v/>
      </c>
      <c r="BC75" s="120" t="str">
        <f>IF(ISTEXT(VLOOKUP(CONCATENATE($A75,"_",BC$3),'Unit List'!$A$23:$H$3172,2,FALSE)),"X",$BA75)</f>
        <v/>
      </c>
      <c r="BD75" s="122" t="str">
        <f>IF(ISTEXT(VLOOKUP(CONCATENATE($A75,"_",BD$3),'Unit List'!$A$23:$H$3172,2,FALSE)),"X",$BA75)</f>
        <v/>
      </c>
      <c r="BE75" s="125" t="str">
        <f>IF(ISTEXT(VLOOKUP(CONCATENATE($A75,"_",BE$3),'Unit List'!$A$23:$H$3172,2,FALSE)),"+","")</f>
        <v/>
      </c>
      <c r="BF75" s="75" t="str">
        <f>IF(ISTEXT(VLOOKUP(CONCATENATE($A75,"_",BF$3),'Unit List'!$A$23:$H$3172,2,FALSE)),"X",$BE75)</f>
        <v/>
      </c>
      <c r="BG75" s="64"/>
      <c r="BH75" s="65" t="s">
        <v>0</v>
      </c>
      <c r="BI75" s="225" t="s">
        <v>5</v>
      </c>
      <c r="BJ75" s="228"/>
      <c r="BK75" s="228"/>
      <c r="BL75" s="228"/>
      <c r="BM75" s="229"/>
      <c r="BN75" s="54"/>
      <c r="BO75" s="54"/>
      <c r="BP75" s="54"/>
      <c r="BQ75" s="54"/>
      <c r="BR75" s="54"/>
      <c r="BS75" s="54"/>
      <c r="DZ75" s="55"/>
      <c r="EA75" s="55"/>
    </row>
    <row r="76" spans="1:131" ht="12.75" customHeight="1" x14ac:dyDescent="0.2">
      <c r="A76" s="129" t="s">
        <v>1120</v>
      </c>
      <c r="B76" s="185" t="str">
        <f>IF(ISTEXT(VLOOKUP(CONCATENATE($A76,"_",B$3),'Unit List'!$A$23:$H$3172,2,FALSE)),"+","")</f>
        <v/>
      </c>
      <c r="C76" s="130" t="str">
        <f>IF(ISTEXT(VLOOKUP(CONCATENATE($A76,"_",C$3),'Unit List'!$A$23:$H$3172,2,FALSE)),"X",$B76)</f>
        <v/>
      </c>
      <c r="D76" s="131" t="str">
        <f>IF(ISTEXT(VLOOKUP(CONCATENATE($A76,"_",D$3),'Unit List'!$A$23:$H$3172,2,FALSE)),"X",$B76)</f>
        <v/>
      </c>
      <c r="E76" s="131" t="str">
        <f>IF(ISTEXT(VLOOKUP(CONCATENATE($A76,"_",E$3),'Unit List'!$A$23:$H$3172,2,FALSE)),"X",$B76)</f>
        <v/>
      </c>
      <c r="F76" s="131" t="str">
        <f>IF(ISTEXT(VLOOKUP(CONCATENATE($A76,"_",F$3),'Unit List'!$A$23:$H$3172,2,FALSE)),"X",$B76)</f>
        <v/>
      </c>
      <c r="G76" s="131" t="str">
        <f>IF(ISTEXT(VLOOKUP(CONCATENATE($A76,"_",G$3),'Unit List'!$A$23:$H$3172,2,FALSE)),"X",$B76)</f>
        <v/>
      </c>
      <c r="H76" s="131" t="str">
        <f>IF(ISTEXT(VLOOKUP(CONCATENATE($A76,"_",H$3),'Unit List'!$A$23:$H$3172,2,FALSE)),"X",$B76)</f>
        <v/>
      </c>
      <c r="I76" s="132" t="str">
        <f>IF(ISTEXT(VLOOKUP(CONCATENATE($A76,"_",I$3),'Unit List'!$A$23:$H$3172,2,FALSE)),"X",$B76)</f>
        <v/>
      </c>
      <c r="J76" s="173" t="str">
        <f>IF(ISTEXT(VLOOKUP(CONCATENATE($A76,"_",J$3),'Unit List'!$A$23:$H$3172,2,FALSE)),"+","")</f>
        <v/>
      </c>
      <c r="K76" s="131" t="str">
        <f>IF(ISTEXT(VLOOKUP(CONCATENATE($A76,"_",K$3),'Unit List'!$A$23:$H$3172,2,FALSE)),"X",$J76)</f>
        <v/>
      </c>
      <c r="L76" s="116" t="str">
        <f>IF(ISTEXT(VLOOKUP(CONCATENATE($A76,"_",L$3),'Unit List'!$A$23:$H$3172,2,FALSE)),"X",$J76)</f>
        <v/>
      </c>
      <c r="M76" s="173" t="str">
        <f>IF(ISTEXT(VLOOKUP(CONCATENATE($A76,"_",M$3),'Unit List'!$A$23:$H$3172,2,FALSE)),"+","")</f>
        <v/>
      </c>
      <c r="N76" s="131" t="str">
        <f>IF(ISTEXT(VLOOKUP(CONCATENATE($A76,"_",N$3),'Unit List'!$A$23:$H$3172,2,FALSE)),"X",$M76)</f>
        <v/>
      </c>
      <c r="O76" s="132" t="str">
        <f>IF(ISTEXT(VLOOKUP(CONCATENATE($A76,"_",O$3),'Unit List'!$A$23:$H$3172,2,FALSE)),"X",$M76)</f>
        <v/>
      </c>
      <c r="P76" s="173" t="str">
        <f>IF(ISTEXT(VLOOKUP(CONCATENATE($A76,"_",P$3),'Unit List'!$A$23:$H$3172,2,FALSE)),"+","")</f>
        <v/>
      </c>
      <c r="Q76" s="131" t="str">
        <f>IF(ISTEXT(VLOOKUP(CONCATENATE($A76,"_",Q$3),'Unit List'!$A$23:$H$3172,2,FALSE)),"X",$P76)</f>
        <v/>
      </c>
      <c r="R76" s="131" t="str">
        <f>IF(ISTEXT(VLOOKUP(CONCATENATE($A76,"_",R$3),'Unit List'!$A$23:$H$3172,2,FALSE)),"X",$P76)</f>
        <v/>
      </c>
      <c r="S76" s="131" t="str">
        <f>IF(ISTEXT(VLOOKUP(CONCATENATE($A76,"_",S$3),'Unit List'!$A$23:$H$3172,2,FALSE)),"X",$P76)</f>
        <v/>
      </c>
      <c r="T76" s="133" t="str">
        <f>IF(ISTEXT(VLOOKUP(CONCATENATE($A76,"_",T$3),'Unit List'!$A$23:$H$3172,2,FALSE)),"X",$P76)</f>
        <v/>
      </c>
      <c r="U76" s="131" t="str">
        <f>IF(ISTEXT(VLOOKUP(CONCATENATE($A76,"_",U$3),'Unit List'!$A$23:$H$3172,2,FALSE)),"X",$P76)</f>
        <v/>
      </c>
      <c r="V76" s="131" t="str">
        <f>IF(ISTEXT(VLOOKUP(CONCATENATE($A76,"_",V$3),'Unit List'!$A$23:$H$3172,2,FALSE)),"X",$P76)</f>
        <v/>
      </c>
      <c r="W76" s="132" t="str">
        <f>IF(ISTEXT(VLOOKUP(CONCATENATE($A76,"_",W$3),'Unit List'!$A$23:$H$3172,2,FALSE)),"X",$P76)</f>
        <v/>
      </c>
      <c r="X76" s="173" t="str">
        <f>IF(ISTEXT(VLOOKUP(CONCATENATE($A76,"_",X$3),'Unit List'!$A$23:$H$3172,2,FALSE)),"+","")</f>
        <v/>
      </c>
      <c r="Y76" s="131" t="str">
        <f>IF(ISTEXT(VLOOKUP(CONCATENATE($A76,"_",Y$3),'Unit List'!$A$23:$H$3172,2,FALSE)),"X",$X76)</f>
        <v/>
      </c>
      <c r="Z76" s="131" t="str">
        <f>IF(ISTEXT(VLOOKUP(CONCATENATE($A76,"_",Z$3),'Unit List'!$A$23:$H$3172,2,FALSE)),"X",$X76)</f>
        <v/>
      </c>
      <c r="AA76" s="131" t="str">
        <f>IF(ISTEXT(VLOOKUP(CONCATENATE($A76,"_",AA$3),'Unit List'!$A$23:$H$3172,2,FALSE)),"X",$X76)</f>
        <v/>
      </c>
      <c r="AB76" s="131" t="str">
        <f>IF(ISTEXT(VLOOKUP(CONCATENATE($A76,"_",AB$3),'Unit List'!$A$23:$H$3172,2,FALSE)),"X",$X76)</f>
        <v/>
      </c>
      <c r="AC76" s="116" t="str">
        <f>IF(ISTEXT(VLOOKUP(CONCATENATE($A76,"_",AC$3),'Unit List'!$A$23:$H$3172,2,FALSE)),"X",$X76)</f>
        <v/>
      </c>
      <c r="AD76" s="173" t="str">
        <f>IF(ISTEXT(VLOOKUP(CONCATENATE($A76,"_",AD$3),'Unit List'!$A$23:$H$3172,2,FALSE)),"+","")</f>
        <v/>
      </c>
      <c r="AE76" s="131" t="str">
        <f>IF(ISTEXT(VLOOKUP(CONCATENATE($A76,"_",AE$3),'Unit List'!$A$23:$H$3172,2,FALSE)),"X",$AD76)</f>
        <v/>
      </c>
      <c r="AF76" s="131" t="str">
        <f>IF(ISTEXT(VLOOKUP(CONCATENATE($A76,"_",AF$3),'Unit List'!$A$23:$H$3172,2,FALSE)),"X",$AD76)</f>
        <v/>
      </c>
      <c r="AG76" s="173" t="str">
        <f>IF(ISTEXT(VLOOKUP(CONCATENATE($A76,"_",AG$3),'Unit List'!$A$23:$H$3172,2,FALSE)),"+","")</f>
        <v/>
      </c>
      <c r="AH76" s="131" t="str">
        <f>IF(ISTEXT(VLOOKUP(CONCATENATE($A76,"_",AH$3),'Unit List'!$A$23:$H$3172,2,FALSE)),"X",$AG76)</f>
        <v/>
      </c>
      <c r="AI76" s="131" t="str">
        <f>IF(ISTEXT(VLOOKUP(CONCATENATE($A76,"_",AI$3),'Unit List'!$A$23:$H$3172,2,FALSE)),"X",$AG76)</f>
        <v/>
      </c>
      <c r="AJ76" s="132" t="str">
        <f>IF(ISTEXT(VLOOKUP(CONCATENATE($A76,"_",AJ$3),'Unit List'!$A$23:$H$3172,2,FALSE)),"X",$AG76)</f>
        <v/>
      </c>
      <c r="AK76" s="173" t="str">
        <f>IF(ISTEXT(VLOOKUP(CONCATENATE($A76,"_",AK$3),'Unit List'!$A$23:$H$3172,2,FALSE)),"+","")</f>
        <v/>
      </c>
      <c r="AL76" s="133" t="str">
        <f>IF(ISTEXT(VLOOKUP(CONCATENATE($A76,"_",AL$3),'Unit List'!$A$23:$H$3172,2,FALSE)),"X",$AK76)</f>
        <v/>
      </c>
      <c r="AM76" s="132" t="str">
        <f>IF(ISTEXT(VLOOKUP(CONCATENATE($A76,"_",AM$3),'Unit List'!$A$23:$H$3172,2,FALSE)),"X",$AK76)</f>
        <v/>
      </c>
      <c r="AN76" s="186" t="str">
        <f>IF(ISTEXT(VLOOKUP(CONCATENATE($A76,"_",AN$3),'Unit List'!$A$23:$H$3172,2,FALSE)),"+","")</f>
        <v/>
      </c>
      <c r="AO76" s="132" t="str">
        <f>IF(ISTEXT(VLOOKUP(CONCATENATE($A76,"_",AO$3),'Unit List'!$A$23:$H$3172,2,FALSE)),"X",$AN76)</f>
        <v/>
      </c>
      <c r="AP76" s="173" t="str">
        <f>IF(ISTEXT(VLOOKUP(CONCATENATE($A76,"_",AP$3),'Unit List'!$A$23:$H$3172,2,FALSE)),"+","")</f>
        <v/>
      </c>
      <c r="AQ76" s="131" t="str">
        <f>IF(ISTEXT(VLOOKUP(CONCATENATE($A76,"_",AQ$3),'Unit List'!$A$23:$H$3172,2,FALSE)),"X",$AP76)</f>
        <v/>
      </c>
      <c r="AR76" s="131" t="str">
        <f>IF(ISTEXT(VLOOKUP(CONCATENATE($A76,"_",AR$3),'Unit List'!$A$23:$H$3172,2,FALSE)),"X",$AP76)</f>
        <v/>
      </c>
      <c r="AS76" s="131" t="str">
        <f>IF(ISTEXT(VLOOKUP(CONCATENATE($A76,"_",AS$3),'Unit List'!$A$23:$H$3172,2,FALSE)),"X",$AP76)</f>
        <v/>
      </c>
      <c r="AT76" s="132" t="str">
        <f>IF(ISTEXT(VLOOKUP(CONCATENATE($A76,"_",AT$3),'Unit List'!$A$23:$H$3172,2,FALSE)),"X",$AP76)</f>
        <v/>
      </c>
      <c r="AU76" s="187" t="str">
        <f>IF(ISTEXT(VLOOKUP(CONCATENATE($A76,"_",AU$3),'Unit List'!$A$23:$H$3172,2,FALSE)),"+","")</f>
        <v/>
      </c>
      <c r="AV76" s="131" t="str">
        <f>IF(ISTEXT(VLOOKUP(CONCATENATE($A76,"_",AV$3),'Unit List'!$A$23:$H$3172,2,FALSE)),"X",$AU76)</f>
        <v/>
      </c>
      <c r="AW76" s="132" t="str">
        <f>IF(ISTEXT(VLOOKUP(CONCATENATE($A76,"_",AW$3),'Unit List'!$A$23:$H$3172,2,FALSE)),"X",$AU76)</f>
        <v/>
      </c>
      <c r="AX76" s="173" t="str">
        <f>IF(ISTEXT(VLOOKUP(CONCATENATE($A76,"_",AX$3),'Unit List'!$A$23:$H$3172,2,FALSE)),"+","")</f>
        <v/>
      </c>
      <c r="AY76" s="131" t="str">
        <f>IF(ISTEXT(VLOOKUP(CONCATENATE($A76,"_",AY$3),'Unit List'!$A$23:$H$3172,2,FALSE)),"X",$AX76)</f>
        <v/>
      </c>
      <c r="AZ76" s="132" t="str">
        <f>IF(ISTEXT(VLOOKUP(CONCATENATE($A76,"_",AZ$3),'Unit List'!$A$23:$H$3172,2,FALSE)),"X",$AX76)</f>
        <v/>
      </c>
      <c r="BA76" s="188" t="str">
        <f>IF(ISTEXT(VLOOKUP(CONCATENATE($A76,"_",BA$3),'Unit List'!$A$23:$H$3172,2,FALSE)),"+","")</f>
        <v/>
      </c>
      <c r="BB76" s="131" t="str">
        <f>IF(ISTEXT(VLOOKUP(CONCATENATE($A76,"_",BB$3),'Unit List'!$A$23:$H$3172,2,FALSE)),"X",$BA76)</f>
        <v/>
      </c>
      <c r="BC76" s="131" t="str">
        <f>IF(ISTEXT(VLOOKUP(CONCATENATE($A76,"_",BC$3),'Unit List'!$A$23:$H$3172,2,FALSE)),"X",$BA76)</f>
        <v/>
      </c>
      <c r="BD76" s="132" t="str">
        <f>IF(ISTEXT(VLOOKUP(CONCATENATE($A76,"_",BD$3),'Unit List'!$A$23:$H$3172,2,FALSE)),"X",$BA76)</f>
        <v/>
      </c>
      <c r="BE76" s="186" t="str">
        <f>IF(ISTEXT(VLOOKUP(CONCATENATE($A76,"_",BE$3),'Unit List'!$A$23:$H$3172,2,FALSE)),"+","")</f>
        <v/>
      </c>
      <c r="BF76" s="116" t="str">
        <f>IF(ISTEXT(VLOOKUP(CONCATENATE($A76,"_",BF$3),'Unit List'!$A$23:$H$3172,2,FALSE)),"X",$BE76)</f>
        <v/>
      </c>
      <c r="BG76" s="136"/>
      <c r="BH76" s="137" t="s">
        <v>0</v>
      </c>
      <c r="BI76" s="235"/>
      <c r="BJ76" s="236"/>
      <c r="BK76" s="236"/>
      <c r="BL76" s="236"/>
      <c r="BM76" s="237"/>
      <c r="BN76" s="54"/>
      <c r="BO76" s="54"/>
      <c r="BP76" s="54"/>
      <c r="BQ76" s="54"/>
      <c r="BR76" s="54"/>
      <c r="BS76" s="54"/>
      <c r="DZ76" s="55"/>
      <c r="EA76" s="55"/>
    </row>
    <row r="77" spans="1:131" ht="12.75" customHeight="1" x14ac:dyDescent="0.2">
      <c r="A77" s="118" t="s">
        <v>1914</v>
      </c>
      <c r="B77" s="181"/>
      <c r="C77" s="119"/>
      <c r="D77" s="120"/>
      <c r="E77" s="120"/>
      <c r="F77" s="120"/>
      <c r="G77" s="120"/>
      <c r="H77" s="120"/>
      <c r="I77" s="75"/>
      <c r="J77" s="172"/>
      <c r="K77" s="121"/>
      <c r="L77" s="122"/>
      <c r="M77" s="182"/>
      <c r="N77" s="120"/>
      <c r="O77" s="75"/>
      <c r="P77" s="182"/>
      <c r="Q77" s="120"/>
      <c r="R77" s="120"/>
      <c r="S77" s="121"/>
      <c r="T77" s="121"/>
      <c r="U77" s="120"/>
      <c r="V77" s="120"/>
      <c r="W77" s="75"/>
      <c r="X77" s="182"/>
      <c r="Y77" s="120"/>
      <c r="Z77" s="191"/>
      <c r="AA77" s="191"/>
      <c r="AB77" s="120"/>
      <c r="AC77" s="75"/>
      <c r="AD77" s="182"/>
      <c r="AE77" s="120"/>
      <c r="AF77" s="123"/>
      <c r="AG77" s="182"/>
      <c r="AH77" s="120"/>
      <c r="AI77" s="120"/>
      <c r="AJ77" s="75"/>
      <c r="AK77" s="192"/>
      <c r="AL77" s="191"/>
      <c r="AM77" s="75"/>
      <c r="AN77" s="192"/>
      <c r="AO77" s="193"/>
      <c r="AP77" s="182"/>
      <c r="AQ77" s="120"/>
      <c r="AR77" s="120"/>
      <c r="AS77" s="120"/>
      <c r="AT77" s="75"/>
      <c r="AU77" s="124"/>
      <c r="AV77" s="120"/>
      <c r="AW77" s="122"/>
      <c r="AX77" s="182"/>
      <c r="AY77" s="120"/>
      <c r="AZ77" s="75"/>
      <c r="BA77" s="182"/>
      <c r="BB77" s="120"/>
      <c r="BC77" s="120"/>
      <c r="BD77" s="122"/>
      <c r="BE77" s="125"/>
      <c r="BF77" s="122"/>
      <c r="BG77" s="75"/>
      <c r="BH77" s="65"/>
      <c r="BI77" s="169"/>
      <c r="BJ77" s="170"/>
      <c r="BK77" s="170"/>
      <c r="BL77" s="170"/>
      <c r="BM77" s="170"/>
      <c r="BN77" s="54"/>
      <c r="BO77" s="54"/>
      <c r="BP77" s="54"/>
      <c r="BQ77" s="54"/>
      <c r="BR77" s="54"/>
      <c r="BS77" s="54"/>
      <c r="DZ77" s="55"/>
      <c r="EA77" s="55"/>
    </row>
    <row r="78" spans="1:131" ht="12.75" customHeight="1" x14ac:dyDescent="0.2">
      <c r="A78" s="138" t="s">
        <v>1124</v>
      </c>
      <c r="B78" s="181" t="str">
        <f>IF(ISTEXT(VLOOKUP(CONCATENATE($A78,"_",B$3),'Unit List'!$A$23:$H$3172,2,FALSE)),"+","")</f>
        <v/>
      </c>
      <c r="C78" s="119" t="str">
        <f>IF(ISTEXT(VLOOKUP(CONCATENATE($A78,"_",C$3),'Unit List'!$A$23:$H$3172,2,FALSE)),"X",$B78)</f>
        <v/>
      </c>
      <c r="D78" s="120" t="str">
        <f>IF(ISTEXT(VLOOKUP(CONCATENATE($A78,"_",D$3),'Unit List'!$A$23:$H$3172,2,FALSE)),"X",$B78)</f>
        <v/>
      </c>
      <c r="E78" s="120" t="str">
        <f>IF(ISTEXT(VLOOKUP(CONCATENATE($A78,"_",E$3),'Unit List'!$A$23:$H$3172,2,FALSE)),"X",$B78)</f>
        <v/>
      </c>
      <c r="F78" s="120" t="str">
        <f>IF(ISTEXT(VLOOKUP(CONCATENATE($A78,"_",F$3),'Unit List'!$A$23:$H$3172,2,FALSE)),"X",$B78)</f>
        <v/>
      </c>
      <c r="G78" s="120" t="str">
        <f>IF(ISTEXT(VLOOKUP(CONCATENATE($A78,"_",G$3),'Unit List'!$A$23:$H$3172,2,FALSE)),"X",$B78)</f>
        <v/>
      </c>
      <c r="H78" s="120" t="str">
        <f>IF(ISTEXT(VLOOKUP(CONCATENATE($A78,"_",H$3),'Unit List'!$A$23:$H$3172,2,FALSE)),"X",$B78)</f>
        <v/>
      </c>
      <c r="I78" s="122" t="str">
        <f>IF(ISTEXT(VLOOKUP(CONCATENATE($A78,"_",I$3),'Unit List'!$A$23:$H$3172,2,FALSE)),"X",$B78)</f>
        <v/>
      </c>
      <c r="J78" s="172" t="str">
        <f>IF(ISTEXT(VLOOKUP(CONCATENATE($A78,"_",J$3),'Unit List'!$A$23:$H$3172,2,FALSE)),"+","")</f>
        <v/>
      </c>
      <c r="K78" s="120" t="str">
        <f>IF(ISTEXT(VLOOKUP(CONCATENATE($A78,"_",K$3),'Unit List'!$A$23:$H$3172,2,FALSE)),"X",$J78)</f>
        <v/>
      </c>
      <c r="L78" s="75" t="str">
        <f>IF(ISTEXT(VLOOKUP(CONCATENATE($A78,"_",L$3),'Unit List'!$A$23:$H$3172,2,FALSE)),"X",$J78)</f>
        <v/>
      </c>
      <c r="M78" s="172" t="str">
        <f>IF(ISTEXT(VLOOKUP(CONCATENATE($A78,"_",M$3),'Unit List'!$A$23:$H$3172,2,FALSE)),"+","")</f>
        <v/>
      </c>
      <c r="N78" s="120" t="str">
        <f>IF(ISTEXT(VLOOKUP(CONCATENATE($A78,"_",N$3),'Unit List'!$A$23:$H$3172,2,FALSE)),"X",$M78)</f>
        <v/>
      </c>
      <c r="O78" s="122" t="str">
        <f>IF(ISTEXT(VLOOKUP(CONCATENATE($A78,"_",O$3),'Unit List'!$A$23:$H$3172,2,FALSE)),"X",$M78)</f>
        <v/>
      </c>
      <c r="P78" s="172" t="str">
        <f>IF(ISTEXT(VLOOKUP(CONCATENATE($A78,"_",P$3),'Unit List'!$A$23:$H$3172,2,FALSE)),"+","")</f>
        <v/>
      </c>
      <c r="Q78" s="120" t="str">
        <f>IF(ISTEXT(VLOOKUP(CONCATENATE($A78,"_",Q$3),'Unit List'!$A$23:$H$3172,2,FALSE)),"X",$P78)</f>
        <v/>
      </c>
      <c r="R78" s="120" t="str">
        <f>IF(ISTEXT(VLOOKUP(CONCATENATE($A78,"_",R$3),'Unit List'!$A$23:$H$3172,2,FALSE)),"X",$P78)</f>
        <v/>
      </c>
      <c r="S78" s="120" t="str">
        <f>IF(ISTEXT(VLOOKUP(CONCATENATE($A78,"_",S$3),'Unit List'!$A$23:$H$3172,2,FALSE)),"X",$P78)</f>
        <v/>
      </c>
      <c r="T78" s="121" t="str">
        <f>IF(ISTEXT(VLOOKUP(CONCATENATE($A78,"_",T$3),'Unit List'!$A$23:$H$3172,2,FALSE)),"X",$P78)</f>
        <v/>
      </c>
      <c r="U78" s="120" t="str">
        <f>IF(ISTEXT(VLOOKUP(CONCATENATE($A78,"_",U$3),'Unit List'!$A$23:$H$3172,2,FALSE)),"X",$P78)</f>
        <v/>
      </c>
      <c r="V78" s="120" t="str">
        <f>IF(ISTEXT(VLOOKUP(CONCATENATE($A78,"_",V$3),'Unit List'!$A$23:$H$3172,2,FALSE)),"X",$P78)</f>
        <v/>
      </c>
      <c r="W78" s="122" t="str">
        <f>IF(ISTEXT(VLOOKUP(CONCATENATE($A78,"_",W$3),'Unit List'!$A$23:$H$3172,2,FALSE)),"X",$P78)</f>
        <v/>
      </c>
      <c r="X78" s="172" t="str">
        <f>IF(ISTEXT(VLOOKUP(CONCATENATE($A78,"_",X$3),'Unit List'!$A$23:$H$3172,2,FALSE)),"+","")</f>
        <v/>
      </c>
      <c r="Y78" s="120" t="str">
        <f>IF(ISTEXT(VLOOKUP(CONCATENATE($A78,"_",Y$3),'Unit List'!$A$23:$H$3172,2,FALSE)),"X",$X78)</f>
        <v/>
      </c>
      <c r="Z78" s="120" t="str">
        <f>IF(ISTEXT(VLOOKUP(CONCATENATE($A78,"_",Z$3),'Unit List'!$A$23:$H$3172,2,FALSE)),"X",$X78)</f>
        <v/>
      </c>
      <c r="AA78" s="120" t="str">
        <f>IF(ISTEXT(VLOOKUP(CONCATENATE($A78,"_",AA$3),'Unit List'!$A$23:$H$3172,2,FALSE)),"X",$X78)</f>
        <v/>
      </c>
      <c r="AB78" s="120" t="str">
        <f>IF(ISTEXT(VLOOKUP(CONCATENATE($A78,"_",AB$3),'Unit List'!$A$23:$H$3172,2,FALSE)),"X",$X78)</f>
        <v/>
      </c>
      <c r="AC78" s="75" t="str">
        <f>IF(ISTEXT(VLOOKUP(CONCATENATE($A78,"_",AC$3),'Unit List'!$A$23:$H$3172,2,FALSE)),"X",$X78)</f>
        <v/>
      </c>
      <c r="AD78" s="172" t="str">
        <f>IF(ISTEXT(VLOOKUP(CONCATENATE($A78,"_",AD$3),'Unit List'!$A$23:$H$3172,2,FALSE)),"+","")</f>
        <v/>
      </c>
      <c r="AE78" s="120" t="str">
        <f>IF(ISTEXT(VLOOKUP(CONCATENATE($A78,"_",AE$3),'Unit List'!$A$23:$H$3172,2,FALSE)),"X",$AD78)</f>
        <v/>
      </c>
      <c r="AF78" s="120" t="str">
        <f>IF(ISTEXT(VLOOKUP(CONCATENATE($A78,"_",AF$3),'Unit List'!$A$23:$H$3172,2,FALSE)),"X",$AD78)</f>
        <v/>
      </c>
      <c r="AG78" s="172" t="str">
        <f>IF(ISTEXT(VLOOKUP(CONCATENATE($A78,"_",AG$3),'Unit List'!$A$23:$H$3172,2,FALSE)),"+","")</f>
        <v/>
      </c>
      <c r="AH78" s="120" t="str">
        <f>IF(ISTEXT(VLOOKUP(CONCATENATE($A78,"_",AH$3),'Unit List'!$A$23:$H$3172,2,FALSE)),"X",$AG78)</f>
        <v/>
      </c>
      <c r="AI78" s="120" t="str">
        <f>IF(ISTEXT(VLOOKUP(CONCATENATE($A78,"_",AI$3),'Unit List'!$A$23:$H$3172,2,FALSE)),"X",$AG78)</f>
        <v/>
      </c>
      <c r="AJ78" s="122" t="str">
        <f>IF(ISTEXT(VLOOKUP(CONCATENATE($A78,"_",AJ$3),'Unit List'!$A$23:$H$3172,2,FALSE)),"X",$AG78)</f>
        <v/>
      </c>
      <c r="AK78" s="172" t="str">
        <f>IF(ISTEXT(VLOOKUP(CONCATENATE($A78,"_",AK$3),'Unit List'!$A$23:$H$3172,2,FALSE)),"+","")</f>
        <v/>
      </c>
      <c r="AL78" s="121" t="str">
        <f>IF(ISTEXT(VLOOKUP(CONCATENATE($A78,"_",AL$3),'Unit List'!$A$23:$H$3172,2,FALSE)),"X",$AK78)</f>
        <v/>
      </c>
      <c r="AM78" s="122" t="str">
        <f>IF(ISTEXT(VLOOKUP(CONCATENATE($A78,"_",AM$3),'Unit List'!$A$23:$H$3172,2,FALSE)),"X",$AK78)</f>
        <v/>
      </c>
      <c r="AN78" s="125" t="str">
        <f>IF(ISTEXT(VLOOKUP(CONCATENATE($A78,"_",AN$3),'Unit List'!$A$23:$H$3172,2,FALSE)),"+","")</f>
        <v/>
      </c>
      <c r="AO78" s="122" t="str">
        <f>IF(ISTEXT(VLOOKUP(CONCATENATE($A78,"_",AO$3),'Unit List'!$A$23:$H$3172,2,FALSE)),"X",$AN78)</f>
        <v/>
      </c>
      <c r="AP78" s="172" t="str">
        <f>IF(ISTEXT(VLOOKUP(CONCATENATE($A78,"_",AP$3),'Unit List'!$A$23:$H$3172,2,FALSE)),"+","")</f>
        <v/>
      </c>
      <c r="AQ78" s="120" t="str">
        <f>IF(ISTEXT(VLOOKUP(CONCATENATE($A78,"_",AQ$3),'Unit List'!$A$23:$H$3172,2,FALSE)),"X",$AP78)</f>
        <v/>
      </c>
      <c r="AR78" s="120" t="str">
        <f>IF(ISTEXT(VLOOKUP(CONCATENATE($A78,"_",AR$3),'Unit List'!$A$23:$H$3172,2,FALSE)),"X",$AP78)</f>
        <v/>
      </c>
      <c r="AS78" s="120" t="str">
        <f>IF(ISTEXT(VLOOKUP(CONCATENATE($A78,"_",AS$3),'Unit List'!$A$23:$H$3172,2,FALSE)),"X",$AP78)</f>
        <v/>
      </c>
      <c r="AT78" s="122" t="str">
        <f>IF(ISTEXT(VLOOKUP(CONCATENATE($A78,"_",AT$3),'Unit List'!$A$23:$H$3172,2,FALSE)),"X",$AP78)</f>
        <v/>
      </c>
      <c r="AU78" s="124" t="str">
        <f>IF(ISTEXT(VLOOKUP(CONCATENATE($A78,"_",AU$3),'Unit List'!$A$23:$H$3172,2,FALSE)),"+","")</f>
        <v/>
      </c>
      <c r="AV78" s="120" t="str">
        <f>IF(ISTEXT(VLOOKUP(CONCATENATE($A78,"_",AV$3),'Unit List'!$A$23:$H$3172,2,FALSE)),"X",$AU78)</f>
        <v/>
      </c>
      <c r="AW78" s="122" t="str">
        <f>IF(ISTEXT(VLOOKUP(CONCATENATE($A78,"_",AW$3),'Unit List'!$A$23:$H$3172,2,FALSE)),"X",$AU78)</f>
        <v/>
      </c>
      <c r="AX78" s="172" t="str">
        <f>IF(ISTEXT(VLOOKUP(CONCATENATE($A78,"_",AX$3),'Unit List'!$A$23:$H$3172,2,FALSE)),"+","")</f>
        <v/>
      </c>
      <c r="AY78" s="120" t="str">
        <f>IF(ISTEXT(VLOOKUP(CONCATENATE($A78,"_",AY$3),'Unit List'!$A$23:$H$3172,2,FALSE)),"X",$AX78)</f>
        <v/>
      </c>
      <c r="AZ78" s="122" t="str">
        <f>IF(ISTEXT(VLOOKUP(CONCATENATE($A78,"_",AZ$3),'Unit List'!$A$23:$H$3172,2,FALSE)),"X",$AX78)</f>
        <v/>
      </c>
      <c r="BA78" s="182" t="str">
        <f>IF(ISTEXT(VLOOKUP(CONCATENATE($A78,"_",BA$3),'Unit List'!$A$23:$H$3172,2,FALSE)),"+","")</f>
        <v/>
      </c>
      <c r="BB78" s="120" t="str">
        <f>IF(ISTEXT(VLOOKUP(CONCATENATE($A78,"_",BB$3),'Unit List'!$A$23:$H$3172,2,FALSE)),"X",$BA78)</f>
        <v/>
      </c>
      <c r="BC78" s="120" t="str">
        <f>IF(ISTEXT(VLOOKUP(CONCATENATE($A78,"_",BC$3),'Unit List'!$A$23:$H$3172,2,FALSE)),"X",$BA78)</f>
        <v/>
      </c>
      <c r="BD78" s="122" t="str">
        <f>IF(ISTEXT(VLOOKUP(CONCATENATE($A78,"_",BD$3),'Unit List'!$A$23:$H$3172,2,FALSE)),"X",$BA78)</f>
        <v/>
      </c>
      <c r="BE78" s="125" t="str">
        <f>IF(ISTEXT(VLOOKUP(CONCATENATE($A78,"_",BE$3),'Unit List'!$A$23:$H$3172,2,FALSE)),"+","")</f>
        <v/>
      </c>
      <c r="BF78" s="75" t="str">
        <f>IF(ISTEXT(VLOOKUP(CONCATENATE($A78,"_",BF$3),'Unit List'!$A$23:$H$3172,2,FALSE)),"X",$BE78)</f>
        <v/>
      </c>
      <c r="BG78" s="122"/>
      <c r="BH78" s="65" t="s">
        <v>0</v>
      </c>
      <c r="BI78" s="139"/>
      <c r="BJ78" s="140"/>
      <c r="BK78" s="140"/>
      <c r="BL78" s="140"/>
      <c r="BM78" s="140"/>
      <c r="BN78" s="54"/>
      <c r="BO78" s="54"/>
      <c r="BP78" s="54"/>
      <c r="BQ78" s="54"/>
      <c r="BR78" s="54"/>
      <c r="BS78" s="54"/>
      <c r="DZ78" s="55"/>
      <c r="EA78" s="55"/>
    </row>
    <row r="79" spans="1:131" ht="12.75" customHeight="1" x14ac:dyDescent="0.2">
      <c r="A79" s="138" t="s">
        <v>1125</v>
      </c>
      <c r="B79" s="190" t="str">
        <f>IF(ISTEXT(VLOOKUP(CONCATENATE($A79,"_",B$3),'Unit List'!$A$23:$H$3172,2,FALSE)),"+","")</f>
        <v/>
      </c>
      <c r="C79" s="119" t="str">
        <f>IF(ISTEXT(VLOOKUP(CONCATENATE($A79,"_",C$3),'Unit List'!$A$23:$H$3172,2,FALSE)),"X",$B79)</f>
        <v/>
      </c>
      <c r="D79" s="120" t="str">
        <f>IF(ISTEXT(VLOOKUP(CONCATENATE($A79,"_",D$3),'Unit List'!$A$23:$H$3172,2,FALSE)),"X",$B79)</f>
        <v/>
      </c>
      <c r="E79" s="120" t="str">
        <f>IF(ISTEXT(VLOOKUP(CONCATENATE($A79,"_",E$3),'Unit List'!$A$23:$H$3172,2,FALSE)),"X",$B79)</f>
        <v/>
      </c>
      <c r="F79" s="120" t="str">
        <f>IF(ISTEXT(VLOOKUP(CONCATENATE($A79,"_",F$3),'Unit List'!$A$23:$H$3172,2,FALSE)),"X",$B79)</f>
        <v/>
      </c>
      <c r="G79" s="120" t="str">
        <f>IF(ISTEXT(VLOOKUP(CONCATENATE($A79,"_",G$3),'Unit List'!$A$23:$H$3172,2,FALSE)),"X",$B79)</f>
        <v/>
      </c>
      <c r="H79" s="120" t="str">
        <f>IF(ISTEXT(VLOOKUP(CONCATENATE($A79,"_",H$3),'Unit List'!$A$23:$H$3172,2,FALSE)),"X",$B79)</f>
        <v/>
      </c>
      <c r="I79" s="122" t="str">
        <f>IF(ISTEXT(VLOOKUP(CONCATENATE($A79,"_",I$3),'Unit List'!$A$23:$H$3172,2,FALSE)),"X",$B79)</f>
        <v/>
      </c>
      <c r="J79" s="172" t="str">
        <f>IF(ISTEXT(VLOOKUP(CONCATENATE($A79,"_",J$3),'Unit List'!$A$23:$H$3172,2,FALSE)),"+","")</f>
        <v/>
      </c>
      <c r="K79" s="120" t="str">
        <f>IF(ISTEXT(VLOOKUP(CONCATENATE($A79,"_",K$3),'Unit List'!$A$23:$H$3172,2,FALSE)),"X",$J79)</f>
        <v/>
      </c>
      <c r="L79" s="75" t="str">
        <f>IF(ISTEXT(VLOOKUP(CONCATENATE($A79,"_",L$3),'Unit List'!$A$23:$H$3172,2,FALSE)),"X",$J79)</f>
        <v/>
      </c>
      <c r="M79" s="172" t="str">
        <f>IF(ISTEXT(VLOOKUP(CONCATENATE($A79,"_",M$3),'Unit List'!$A$23:$H$3172,2,FALSE)),"+","")</f>
        <v/>
      </c>
      <c r="N79" s="120" t="str">
        <f>IF(ISTEXT(VLOOKUP(CONCATENATE($A79,"_",N$3),'Unit List'!$A$23:$H$3172,2,FALSE)),"X",$M79)</f>
        <v/>
      </c>
      <c r="O79" s="122" t="str">
        <f>IF(ISTEXT(VLOOKUP(CONCATENATE($A79,"_",O$3),'Unit List'!$A$23:$H$3172,2,FALSE)),"X",$M79)</f>
        <v/>
      </c>
      <c r="P79" s="172" t="str">
        <f>IF(ISTEXT(VLOOKUP(CONCATENATE($A79,"_",P$3),'Unit List'!$A$23:$H$3172,2,FALSE)),"+","")</f>
        <v/>
      </c>
      <c r="Q79" s="120" t="str">
        <f>IF(ISTEXT(VLOOKUP(CONCATENATE($A79,"_",Q$3),'Unit List'!$A$23:$H$3172,2,FALSE)),"X",$P79)</f>
        <v/>
      </c>
      <c r="R79" s="120" t="str">
        <f>IF(ISTEXT(VLOOKUP(CONCATENATE($A79,"_",R$3),'Unit List'!$A$23:$H$3172,2,FALSE)),"X",$P79)</f>
        <v/>
      </c>
      <c r="S79" s="120" t="str">
        <f>IF(ISTEXT(VLOOKUP(CONCATENATE($A79,"_",S$3),'Unit List'!$A$23:$H$3172,2,FALSE)),"X",$P79)</f>
        <v/>
      </c>
      <c r="T79" s="121" t="str">
        <f>IF(ISTEXT(VLOOKUP(CONCATENATE($A79,"_",T$3),'Unit List'!$A$23:$H$3172,2,FALSE)),"X",$P79)</f>
        <v/>
      </c>
      <c r="U79" s="120" t="str">
        <f>IF(ISTEXT(VLOOKUP(CONCATENATE($A79,"_",U$3),'Unit List'!$A$23:$H$3172,2,FALSE)),"X",$P79)</f>
        <v/>
      </c>
      <c r="V79" s="120" t="str">
        <f>IF(ISTEXT(VLOOKUP(CONCATENATE($A79,"_",V$3),'Unit List'!$A$23:$H$3172,2,FALSE)),"X",$P79)</f>
        <v/>
      </c>
      <c r="W79" s="122" t="str">
        <f>IF(ISTEXT(VLOOKUP(CONCATENATE($A79,"_",W$3),'Unit List'!$A$23:$H$3172,2,FALSE)),"X",$P79)</f>
        <v/>
      </c>
      <c r="X79" s="172" t="str">
        <f>IF(ISTEXT(VLOOKUP(CONCATENATE($A79,"_",X$3),'Unit List'!$A$23:$H$3172,2,FALSE)),"+","")</f>
        <v/>
      </c>
      <c r="Y79" s="120" t="str">
        <f>IF(ISTEXT(VLOOKUP(CONCATENATE($A79,"_",Y$3),'Unit List'!$A$23:$H$3172,2,FALSE)),"X",$X79)</f>
        <v/>
      </c>
      <c r="Z79" s="120" t="str">
        <f>IF(ISTEXT(VLOOKUP(CONCATENATE($A79,"_",Z$3),'Unit List'!$A$23:$H$3172,2,FALSE)),"X",$X79)</f>
        <v/>
      </c>
      <c r="AA79" s="120" t="str">
        <f>IF(ISTEXT(VLOOKUP(CONCATENATE($A79,"_",AA$3),'Unit List'!$A$23:$H$3172,2,FALSE)),"X",$X79)</f>
        <v/>
      </c>
      <c r="AB79" s="120" t="str">
        <f>IF(ISTEXT(VLOOKUP(CONCATENATE($A79,"_",AB$3),'Unit List'!$A$23:$H$3172,2,FALSE)),"X",$X79)</f>
        <v/>
      </c>
      <c r="AC79" s="75" t="str">
        <f>IF(ISTEXT(VLOOKUP(CONCATENATE($A79,"_",AC$3),'Unit List'!$A$23:$H$3172,2,FALSE)),"X",$X79)</f>
        <v/>
      </c>
      <c r="AD79" s="172" t="str">
        <f>IF(ISTEXT(VLOOKUP(CONCATENATE($A79,"_",AD$3),'Unit List'!$A$23:$H$3172,2,FALSE)),"+","")</f>
        <v/>
      </c>
      <c r="AE79" s="120" t="str">
        <f>IF(ISTEXT(VLOOKUP(CONCATENATE($A79,"_",AE$3),'Unit List'!$A$23:$H$3172,2,FALSE)),"X",$AD79)</f>
        <v/>
      </c>
      <c r="AF79" s="120" t="str">
        <f>IF(ISTEXT(VLOOKUP(CONCATENATE($A79,"_",AF$3),'Unit List'!$A$23:$H$3172,2,FALSE)),"X",$AD79)</f>
        <v/>
      </c>
      <c r="AG79" s="172" t="str">
        <f>IF(ISTEXT(VLOOKUP(CONCATENATE($A79,"_",AG$3),'Unit List'!$A$23:$H$3172,2,FALSE)),"+","")</f>
        <v/>
      </c>
      <c r="AH79" s="120" t="str">
        <f>IF(ISTEXT(VLOOKUP(CONCATENATE($A79,"_",AH$3),'Unit List'!$A$23:$H$3172,2,FALSE)),"X",$AG79)</f>
        <v/>
      </c>
      <c r="AI79" s="120" t="str">
        <f>IF(ISTEXT(VLOOKUP(CONCATENATE($A79,"_",AI$3),'Unit List'!$A$23:$H$3172,2,FALSE)),"X",$AG79)</f>
        <v/>
      </c>
      <c r="AJ79" s="122" t="str">
        <f>IF(ISTEXT(VLOOKUP(CONCATENATE($A79,"_",AJ$3),'Unit List'!$A$23:$H$3172,2,FALSE)),"X",$AG79)</f>
        <v/>
      </c>
      <c r="AK79" s="172" t="str">
        <f>IF(ISTEXT(VLOOKUP(CONCATENATE($A79,"_",AK$3),'Unit List'!$A$23:$H$3172,2,FALSE)),"+","")</f>
        <v/>
      </c>
      <c r="AL79" s="121" t="str">
        <f>IF(ISTEXT(VLOOKUP(CONCATENATE($A79,"_",AL$3),'Unit List'!$A$23:$H$3172,2,FALSE)),"X",$AK79)</f>
        <v/>
      </c>
      <c r="AM79" s="122" t="str">
        <f>IF(ISTEXT(VLOOKUP(CONCATENATE($A79,"_",AM$3),'Unit List'!$A$23:$H$3172,2,FALSE)),"X",$AK79)</f>
        <v/>
      </c>
      <c r="AN79" s="125" t="str">
        <f>IF(ISTEXT(VLOOKUP(CONCATENATE($A79,"_",AN$3),'Unit List'!$A$23:$H$3172,2,FALSE)),"+","")</f>
        <v/>
      </c>
      <c r="AO79" s="122" t="str">
        <f>IF(ISTEXT(VLOOKUP(CONCATENATE($A79,"_",AO$3),'Unit List'!$A$23:$H$3172,2,FALSE)),"X",$AN79)</f>
        <v/>
      </c>
      <c r="AP79" s="172" t="str">
        <f>IF(ISTEXT(VLOOKUP(CONCATENATE($A79,"_",AP$3),'Unit List'!$A$23:$H$3172,2,FALSE)),"+","")</f>
        <v/>
      </c>
      <c r="AQ79" s="120" t="str">
        <f>IF(ISTEXT(VLOOKUP(CONCATENATE($A79,"_",AQ$3),'Unit List'!$A$23:$H$3172,2,FALSE)),"X",$AP79)</f>
        <v/>
      </c>
      <c r="AR79" s="120" t="str">
        <f>IF(ISTEXT(VLOOKUP(CONCATENATE($A79,"_",AR$3),'Unit List'!$A$23:$H$3172,2,FALSE)),"X",$AP79)</f>
        <v/>
      </c>
      <c r="AS79" s="120" t="str">
        <f>IF(ISTEXT(VLOOKUP(CONCATENATE($A79,"_",AS$3),'Unit List'!$A$23:$H$3172,2,FALSE)),"X",$AP79)</f>
        <v/>
      </c>
      <c r="AT79" s="122" t="str">
        <f>IF(ISTEXT(VLOOKUP(CONCATENATE($A79,"_",AT$3),'Unit List'!$A$23:$H$3172,2,FALSE)),"X",$AP79)</f>
        <v/>
      </c>
      <c r="AU79" s="124" t="str">
        <f>IF(ISTEXT(VLOOKUP(CONCATENATE($A79,"_",AU$3),'Unit List'!$A$23:$H$3172,2,FALSE)),"+","")</f>
        <v/>
      </c>
      <c r="AV79" s="120" t="str">
        <f>IF(ISTEXT(VLOOKUP(CONCATENATE($A79,"_",AV$3),'Unit List'!$A$23:$H$3172,2,FALSE)),"X",$AU79)</f>
        <v/>
      </c>
      <c r="AW79" s="122" t="str">
        <f>IF(ISTEXT(VLOOKUP(CONCATENATE($A79,"_",AW$3),'Unit List'!$A$23:$H$3172,2,FALSE)),"X",$AU79)</f>
        <v/>
      </c>
      <c r="AX79" s="172" t="str">
        <f>IF(ISTEXT(VLOOKUP(CONCATENATE($A79,"_",AX$3),'Unit List'!$A$23:$H$3172,2,FALSE)),"+","")</f>
        <v/>
      </c>
      <c r="AY79" s="120" t="str">
        <f>IF(ISTEXT(VLOOKUP(CONCATENATE($A79,"_",AY$3),'Unit List'!$A$23:$H$3172,2,FALSE)),"X",$AX79)</f>
        <v/>
      </c>
      <c r="AZ79" s="122" t="str">
        <f>IF(ISTEXT(VLOOKUP(CONCATENATE($A79,"_",AZ$3),'Unit List'!$A$23:$H$3172,2,FALSE)),"X",$AX79)</f>
        <v/>
      </c>
      <c r="BA79" s="182" t="str">
        <f>IF(ISTEXT(VLOOKUP(CONCATENATE($A79,"_",BA$3),'Unit List'!$A$23:$H$3172,2,FALSE)),"+","")</f>
        <v/>
      </c>
      <c r="BB79" s="120" t="str">
        <f>IF(ISTEXT(VLOOKUP(CONCATENATE($A79,"_",BB$3),'Unit List'!$A$23:$H$3172,2,FALSE)),"X",$BA79)</f>
        <v/>
      </c>
      <c r="BC79" s="120" t="str">
        <f>IF(ISTEXT(VLOOKUP(CONCATENATE($A79,"_",BC$3),'Unit List'!$A$23:$H$3172,2,FALSE)),"X",$BA79)</f>
        <v/>
      </c>
      <c r="BD79" s="122" t="str">
        <f>IF(ISTEXT(VLOOKUP(CONCATENATE($A79,"_",BD$3),'Unit List'!$A$23:$H$3172,2,FALSE)),"X",$BA79)</f>
        <v/>
      </c>
      <c r="BE79" s="125" t="str">
        <f>IF(ISTEXT(VLOOKUP(CONCATENATE($A79,"_",BE$3),'Unit List'!$A$23:$H$3172,2,FALSE)),"+","")</f>
        <v/>
      </c>
      <c r="BF79" s="75" t="str">
        <f>IF(ISTEXT(VLOOKUP(CONCATENATE($A79,"_",BF$3),'Unit List'!$A$23:$H$3172,2,FALSE)),"X",$BE79)</f>
        <v/>
      </c>
      <c r="BG79" s="122"/>
      <c r="BH79" s="65" t="s">
        <v>0</v>
      </c>
      <c r="BI79" s="139"/>
      <c r="BJ79" s="140"/>
      <c r="BK79" s="140"/>
      <c r="BL79" s="140"/>
      <c r="BM79" s="140"/>
      <c r="BN79" s="54"/>
      <c r="BO79" s="54"/>
      <c r="BP79" s="54"/>
      <c r="BQ79" s="54"/>
      <c r="BR79" s="54"/>
      <c r="BS79" s="54"/>
      <c r="DZ79" s="55"/>
      <c r="EA79" s="55"/>
    </row>
    <row r="80" spans="1:131" ht="12.75" customHeight="1" x14ac:dyDescent="0.2">
      <c r="A80" s="141" t="s">
        <v>2</v>
      </c>
      <c r="B80" s="181" t="str">
        <f>IF(ISTEXT(VLOOKUP(CONCATENATE($A80,"_",B$3),'Unit List'!$A$23:$H$3172,2,FALSE)),"+","")</f>
        <v>+</v>
      </c>
      <c r="C80" s="119" t="str">
        <f>IF(ISTEXT(VLOOKUP(CONCATENATE($A80,"_",C$3),'Unit List'!$A$23:$H$3172,2,FALSE)),"X",$B80)</f>
        <v>+</v>
      </c>
      <c r="D80" s="120" t="str">
        <f>IF(ISTEXT(VLOOKUP(CONCATENATE($A80,"_",D$3),'Unit List'!$A$23:$H$3172,2,FALSE)),"X",$B80)</f>
        <v>+</v>
      </c>
      <c r="E80" s="120" t="str">
        <f>IF(ISTEXT(VLOOKUP(CONCATENATE($A80,"_",E$3),'Unit List'!$A$23:$H$3172,2,FALSE)),"X",$B80)</f>
        <v>+</v>
      </c>
      <c r="F80" s="120" t="str">
        <f>IF(ISTEXT(VLOOKUP(CONCATENATE($A80,"_",F$3),'Unit List'!$A$23:$H$3172,2,FALSE)),"X",$B80)</f>
        <v>+</v>
      </c>
      <c r="G80" s="120" t="str">
        <f>IF(ISTEXT(VLOOKUP(CONCATENATE($A80,"_",G$3),'Unit List'!$A$23:$H$3172,2,FALSE)),"X",$B80)</f>
        <v>+</v>
      </c>
      <c r="H80" s="120" t="str">
        <f>IF(ISTEXT(VLOOKUP(CONCATENATE($A80,"_",H$3),'Unit List'!$A$23:$H$3172,2,FALSE)),"X",$B80)</f>
        <v>+</v>
      </c>
      <c r="I80" s="122" t="str">
        <f>IF(ISTEXT(VLOOKUP(CONCATENATE($A80,"_",I$3),'Unit List'!$A$23:$H$3172,2,FALSE)),"X",$B80)</f>
        <v>+</v>
      </c>
      <c r="J80" s="172" t="str">
        <f>IF(ISTEXT(VLOOKUP(CONCATENATE($A80,"_",J$3),'Unit List'!$A$23:$H$3172,2,FALSE)),"+","")</f>
        <v>+</v>
      </c>
      <c r="K80" s="120" t="str">
        <f>IF(ISTEXT(VLOOKUP(CONCATENATE($A80,"_",K$3),'Unit List'!$A$23:$H$3172,2,FALSE)),"X",$J80)</f>
        <v>+</v>
      </c>
      <c r="L80" s="75" t="str">
        <f>IF(ISTEXT(VLOOKUP(CONCATENATE($A80,"_",L$3),'Unit List'!$A$23:$H$3172,2,FALSE)),"X",$J80)</f>
        <v>+</v>
      </c>
      <c r="M80" s="172" t="str">
        <f>IF(ISTEXT(VLOOKUP(CONCATENATE($A80,"_",M$3),'Unit List'!$A$23:$H$3172,2,FALSE)),"+","")</f>
        <v>+</v>
      </c>
      <c r="N80" s="120" t="str">
        <f>IF(ISTEXT(VLOOKUP(CONCATENATE($A80,"_",N$3),'Unit List'!$A$23:$H$3172,2,FALSE)),"X",$M80)</f>
        <v>+</v>
      </c>
      <c r="O80" s="122" t="str">
        <f>IF(ISTEXT(VLOOKUP(CONCATENATE($A80,"_",O$3),'Unit List'!$A$23:$H$3172,2,FALSE)),"X",$M80)</f>
        <v>+</v>
      </c>
      <c r="P80" s="172" t="str">
        <f>IF(ISTEXT(VLOOKUP(CONCATENATE($A80,"_",P$3),'Unit List'!$A$23:$H$3172,2,FALSE)),"+","")</f>
        <v/>
      </c>
      <c r="Q80" s="120" t="str">
        <f>IF(ISTEXT(VLOOKUP(CONCATENATE($A80,"_",Q$3),'Unit List'!$A$23:$H$3172,2,FALSE)),"X",$P80)</f>
        <v/>
      </c>
      <c r="R80" s="120" t="str">
        <f>IF(ISTEXT(VLOOKUP(CONCATENATE($A80,"_",R$3),'Unit List'!$A$23:$H$3172,2,FALSE)),"X",$P80)</f>
        <v/>
      </c>
      <c r="S80" s="120" t="str">
        <f>IF(ISTEXT(VLOOKUP(CONCATENATE($A80,"_",S$3),'Unit List'!$A$23:$H$3172,2,FALSE)),"X",$P80)</f>
        <v/>
      </c>
      <c r="T80" s="121" t="str">
        <f>IF(ISTEXT(VLOOKUP(CONCATENATE($A80,"_",T$3),'Unit List'!$A$23:$H$3172,2,FALSE)),"X",$P80)</f>
        <v/>
      </c>
      <c r="U80" s="120" t="str">
        <f>IF(ISTEXT(VLOOKUP(CONCATENATE($A80,"_",U$3),'Unit List'!$A$23:$H$3172,2,FALSE)),"X",$P80)</f>
        <v/>
      </c>
      <c r="V80" s="120" t="str">
        <f>IF(ISTEXT(VLOOKUP(CONCATENATE($A80,"_",V$3),'Unit List'!$A$23:$H$3172,2,FALSE)),"X",$P80)</f>
        <v/>
      </c>
      <c r="W80" s="122" t="str">
        <f>IF(ISTEXT(VLOOKUP(CONCATENATE($A80,"_",W$3),'Unit List'!$A$23:$H$3172,2,FALSE)),"X",$P80)</f>
        <v/>
      </c>
      <c r="X80" s="172" t="str">
        <f>IF(ISTEXT(VLOOKUP(CONCATENATE($A80,"_",X$3),'Unit List'!$A$23:$H$3172,2,FALSE)),"+","")</f>
        <v/>
      </c>
      <c r="Y80" s="120" t="str">
        <f>IF(ISTEXT(VLOOKUP(CONCATENATE($A80,"_",Y$3),'Unit List'!$A$23:$H$3172,2,FALSE)),"X",$X80)</f>
        <v/>
      </c>
      <c r="Z80" s="120" t="str">
        <f>IF(ISTEXT(VLOOKUP(CONCATENATE($A80,"_",Z$3),'Unit List'!$A$23:$H$3172,2,FALSE)),"X",$X80)</f>
        <v/>
      </c>
      <c r="AA80" s="120" t="str">
        <f>IF(ISTEXT(VLOOKUP(CONCATENATE($A80,"_",AA$3),'Unit List'!$A$23:$H$3172,2,FALSE)),"X",$X80)</f>
        <v/>
      </c>
      <c r="AB80" s="120" t="str">
        <f>IF(ISTEXT(VLOOKUP(CONCATENATE($A80,"_",AB$3),'Unit List'!$A$23:$H$3172,2,FALSE)),"X",$X80)</f>
        <v/>
      </c>
      <c r="AC80" s="75" t="str">
        <f>IF(ISTEXT(VLOOKUP(CONCATENATE($A80,"_",AC$3),'Unit List'!$A$23:$H$3172,2,FALSE)),"X",$X80)</f>
        <v/>
      </c>
      <c r="AD80" s="172" t="str">
        <f>IF(ISTEXT(VLOOKUP(CONCATENATE($A80,"_",AD$3),'Unit List'!$A$23:$H$3172,2,FALSE)),"+","")</f>
        <v/>
      </c>
      <c r="AE80" s="120" t="str">
        <f>IF(ISTEXT(VLOOKUP(CONCATENATE($A80,"_",AE$3),'Unit List'!$A$23:$H$3172,2,FALSE)),"X",$AD80)</f>
        <v/>
      </c>
      <c r="AF80" s="120" t="str">
        <f>IF(ISTEXT(VLOOKUP(CONCATENATE($A80,"_",AF$3),'Unit List'!$A$23:$H$3172,2,FALSE)),"X",$AD80)</f>
        <v/>
      </c>
      <c r="AG80" s="172" t="str">
        <f>IF(ISTEXT(VLOOKUP(CONCATENATE($A80,"_",AG$3),'Unit List'!$A$23:$H$3172,2,FALSE)),"+","")</f>
        <v/>
      </c>
      <c r="AH80" s="120" t="str">
        <f>IF(ISTEXT(VLOOKUP(CONCATENATE($A80,"_",AH$3),'Unit List'!$A$23:$H$3172,2,FALSE)),"X",$AG80)</f>
        <v/>
      </c>
      <c r="AI80" s="120" t="str">
        <f>IF(ISTEXT(VLOOKUP(CONCATENATE($A80,"_",AI$3),'Unit List'!$A$23:$H$3172,2,FALSE)),"X",$AG80)</f>
        <v/>
      </c>
      <c r="AJ80" s="122" t="str">
        <f>IF(ISTEXT(VLOOKUP(CONCATENATE($A80,"_",AJ$3),'Unit List'!$A$23:$H$3172,2,FALSE)),"X",$AG80)</f>
        <v/>
      </c>
      <c r="AK80" s="172" t="str">
        <f>IF(ISTEXT(VLOOKUP(CONCATENATE($A80,"_",AK$3),'Unit List'!$A$23:$H$3172,2,FALSE)),"+","")</f>
        <v>+</v>
      </c>
      <c r="AL80" s="121" t="str">
        <f>IF(ISTEXT(VLOOKUP(CONCATENATE($A80,"_",AL$3),'Unit List'!$A$23:$H$3172,2,FALSE)),"X",$AK80)</f>
        <v>+</v>
      </c>
      <c r="AM80" s="122" t="str">
        <f>IF(ISTEXT(VLOOKUP(CONCATENATE($A80,"_",AM$3),'Unit List'!$A$23:$H$3172,2,FALSE)),"X",$AK80)</f>
        <v>+</v>
      </c>
      <c r="AN80" s="125" t="str">
        <f>IF(ISTEXT(VLOOKUP(CONCATENATE($A80,"_",AN$3),'Unit List'!$A$23:$H$3172,2,FALSE)),"+","")</f>
        <v/>
      </c>
      <c r="AO80" s="122" t="str">
        <f>IF(ISTEXT(VLOOKUP(CONCATENATE($A80,"_",AO$3),'Unit List'!$A$23:$H$3172,2,FALSE)),"X",$AN80)</f>
        <v/>
      </c>
      <c r="AP80" s="172" t="str">
        <f>IF(ISTEXT(VLOOKUP(CONCATENATE($A80,"_",AP$3),'Unit List'!$A$23:$H$3172,2,FALSE)),"+","")</f>
        <v/>
      </c>
      <c r="AQ80" s="120" t="str">
        <f>IF(ISTEXT(VLOOKUP(CONCATENATE($A80,"_",AQ$3),'Unit List'!$A$23:$H$3172,2,FALSE)),"X",$AP80)</f>
        <v/>
      </c>
      <c r="AR80" s="120" t="str">
        <f>IF(ISTEXT(VLOOKUP(CONCATENATE($A80,"_",AR$3),'Unit List'!$A$23:$H$3172,2,FALSE)),"X",$AP80)</f>
        <v/>
      </c>
      <c r="AS80" s="120" t="str">
        <f>IF(ISTEXT(VLOOKUP(CONCATENATE($A80,"_",AS$3),'Unit List'!$A$23:$H$3172,2,FALSE)),"X",$AP80)</f>
        <v/>
      </c>
      <c r="AT80" s="122" t="str">
        <f>IF(ISTEXT(VLOOKUP(CONCATENATE($A80,"_",AT$3),'Unit List'!$A$23:$H$3172,2,FALSE)),"X",$AP80)</f>
        <v/>
      </c>
      <c r="AU80" s="124" t="str">
        <f>IF(ISTEXT(VLOOKUP(CONCATENATE($A80,"_",AU$3),'Unit List'!$A$23:$H$3172,2,FALSE)),"+","")</f>
        <v/>
      </c>
      <c r="AV80" s="120" t="str">
        <f>IF(ISTEXT(VLOOKUP(CONCATENATE($A80,"_",AV$3),'Unit List'!$A$23:$H$3172,2,FALSE)),"X",$AU80)</f>
        <v/>
      </c>
      <c r="AW80" s="122" t="str">
        <f>IF(ISTEXT(VLOOKUP(CONCATENATE($A80,"_",AW$3),'Unit List'!$A$23:$H$3172,2,FALSE)),"X",$AU80)</f>
        <v/>
      </c>
      <c r="AX80" s="172" t="str">
        <f>IF(ISTEXT(VLOOKUP(CONCATENATE($A80,"_",AX$3),'Unit List'!$A$23:$H$3172,2,FALSE)),"+","")</f>
        <v/>
      </c>
      <c r="AY80" s="120" t="str">
        <f>IF(ISTEXT(VLOOKUP(CONCATENATE($A80,"_",AY$3),'Unit List'!$A$23:$H$3172,2,FALSE)),"X",$AX80)</f>
        <v/>
      </c>
      <c r="AZ80" s="122" t="str">
        <f>IF(ISTEXT(VLOOKUP(CONCATENATE($A80,"_",AZ$3),'Unit List'!$A$23:$H$3172,2,FALSE)),"X",$AX80)</f>
        <v/>
      </c>
      <c r="BA80" s="182" t="str">
        <f>IF(ISTEXT(VLOOKUP(CONCATENATE($A80,"_",BA$3),'Unit List'!$A$23:$H$3172,2,FALSE)),"+","")</f>
        <v/>
      </c>
      <c r="BB80" s="120" t="str">
        <f>IF(ISTEXT(VLOOKUP(CONCATENATE($A80,"_",BB$3),'Unit List'!$A$23:$H$3172,2,FALSE)),"X",$BA80)</f>
        <v/>
      </c>
      <c r="BC80" s="120" t="str">
        <f>IF(ISTEXT(VLOOKUP(CONCATENATE($A80,"_",BC$3),'Unit List'!$A$23:$H$3172,2,FALSE)),"X",$BA80)</f>
        <v/>
      </c>
      <c r="BD80" s="122" t="str">
        <f>IF(ISTEXT(VLOOKUP(CONCATENATE($A80,"_",BD$3),'Unit List'!$A$23:$H$3172,2,FALSE)),"X",$BA80)</f>
        <v/>
      </c>
      <c r="BE80" s="125" t="str">
        <f>IF(ISTEXT(VLOOKUP(CONCATENATE($A80,"_",BE$3),'Unit List'!$A$23:$H$3172,2,FALSE)),"+","")</f>
        <v/>
      </c>
      <c r="BF80" s="75" t="str">
        <f>IF(ISTEXT(VLOOKUP(CONCATENATE($A80,"_",BF$3),'Unit List'!$A$23:$H$3172,2,FALSE)),"X",$BE80)</f>
        <v/>
      </c>
      <c r="BG80" s="142" t="s">
        <v>0</v>
      </c>
      <c r="BH80" s="84"/>
      <c r="BI80" s="143"/>
      <c r="BJ80" s="144"/>
      <c r="BK80" s="144"/>
      <c r="BL80" s="145"/>
      <c r="BM80" s="145"/>
      <c r="BN80" s="54"/>
      <c r="BO80" s="54"/>
      <c r="BP80" s="54"/>
      <c r="BQ80" s="54"/>
      <c r="BR80" s="54"/>
      <c r="BS80" s="54"/>
      <c r="DZ80" s="55"/>
      <c r="EA80" s="55"/>
    </row>
    <row r="81" spans="1:131" ht="12.75" customHeight="1" x14ac:dyDescent="0.2">
      <c r="A81" s="138" t="s">
        <v>1126</v>
      </c>
      <c r="B81" s="181" t="str">
        <f>IF(ISTEXT(VLOOKUP(CONCATENATE($A81,"_",B$3),'Unit List'!$A$23:$H$3172,2,FALSE)),"+","")</f>
        <v/>
      </c>
      <c r="C81" s="119" t="str">
        <f>IF(ISTEXT(VLOOKUP(CONCATENATE($A81,"_",C$3),'Unit List'!$A$23:$H$3172,2,FALSE)),"X",$B81)</f>
        <v/>
      </c>
      <c r="D81" s="120" t="str">
        <f>IF(ISTEXT(VLOOKUP(CONCATENATE($A81,"_",D$3),'Unit List'!$A$23:$H$3172,2,FALSE)),"X",$B81)</f>
        <v/>
      </c>
      <c r="E81" s="120" t="str">
        <f>IF(ISTEXT(VLOOKUP(CONCATENATE($A81,"_",E$3),'Unit List'!$A$23:$H$3172,2,FALSE)),"X",$B81)</f>
        <v/>
      </c>
      <c r="F81" s="120" t="str">
        <f>IF(ISTEXT(VLOOKUP(CONCATENATE($A81,"_",F$3),'Unit List'!$A$23:$H$3172,2,FALSE)),"X",$B81)</f>
        <v/>
      </c>
      <c r="G81" s="120" t="str">
        <f>IF(ISTEXT(VLOOKUP(CONCATENATE($A81,"_",G$3),'Unit List'!$A$23:$H$3172,2,FALSE)),"X",$B81)</f>
        <v/>
      </c>
      <c r="H81" s="120" t="str">
        <f>IF(ISTEXT(VLOOKUP(CONCATENATE($A81,"_",H$3),'Unit List'!$A$23:$H$3172,2,FALSE)),"X",$B81)</f>
        <v/>
      </c>
      <c r="I81" s="122" t="str">
        <f>IF(ISTEXT(VLOOKUP(CONCATENATE($A81,"_",I$3),'Unit List'!$A$23:$H$3172,2,FALSE)),"X",$B81)</f>
        <v/>
      </c>
      <c r="J81" s="172" t="str">
        <f>IF(ISTEXT(VLOOKUP(CONCATENATE($A81,"_",J$3),'Unit List'!$A$23:$H$3172,2,FALSE)),"+","")</f>
        <v/>
      </c>
      <c r="K81" s="120" t="str">
        <f>IF(ISTEXT(VLOOKUP(CONCATENATE($A81,"_",K$3),'Unit List'!$A$23:$H$3172,2,FALSE)),"X",$J81)</f>
        <v/>
      </c>
      <c r="L81" s="75" t="str">
        <f>IF(ISTEXT(VLOOKUP(CONCATENATE($A81,"_",L$3),'Unit List'!$A$23:$H$3172,2,FALSE)),"X",$J81)</f>
        <v/>
      </c>
      <c r="M81" s="172" t="str">
        <f>IF(ISTEXT(VLOOKUP(CONCATENATE($A81,"_",M$3),'Unit List'!$A$23:$H$3172,2,FALSE)),"+","")</f>
        <v/>
      </c>
      <c r="N81" s="120" t="str">
        <f>IF(ISTEXT(VLOOKUP(CONCATENATE($A81,"_",N$3),'Unit List'!$A$23:$H$3172,2,FALSE)),"X",$M81)</f>
        <v/>
      </c>
      <c r="O81" s="122" t="str">
        <f>IF(ISTEXT(VLOOKUP(CONCATENATE($A81,"_",O$3),'Unit List'!$A$23:$H$3172,2,FALSE)),"X",$M81)</f>
        <v/>
      </c>
      <c r="P81" s="172" t="str">
        <f>IF(ISTEXT(VLOOKUP(CONCATENATE($A81,"_",P$3),'Unit List'!$A$23:$H$3172,2,FALSE)),"+","")</f>
        <v/>
      </c>
      <c r="Q81" s="120" t="str">
        <f>IF(ISTEXT(VLOOKUP(CONCATENATE($A81,"_",Q$3),'Unit List'!$A$23:$H$3172,2,FALSE)),"X",$P81)</f>
        <v/>
      </c>
      <c r="R81" s="120" t="str">
        <f>IF(ISTEXT(VLOOKUP(CONCATENATE($A81,"_",R$3),'Unit List'!$A$23:$H$3172,2,FALSE)),"X",$P81)</f>
        <v/>
      </c>
      <c r="S81" s="120" t="str">
        <f>IF(ISTEXT(VLOOKUP(CONCATENATE($A81,"_",S$3),'Unit List'!$A$23:$H$3172,2,FALSE)),"X",$P81)</f>
        <v/>
      </c>
      <c r="T81" s="121" t="str">
        <f>IF(ISTEXT(VLOOKUP(CONCATENATE($A81,"_",T$3),'Unit List'!$A$23:$H$3172,2,FALSE)),"X",$P81)</f>
        <v/>
      </c>
      <c r="U81" s="120" t="str">
        <f>IF(ISTEXT(VLOOKUP(CONCATENATE($A81,"_",U$3),'Unit List'!$A$23:$H$3172,2,FALSE)),"X",$P81)</f>
        <v/>
      </c>
      <c r="V81" s="120" t="str">
        <f>IF(ISTEXT(VLOOKUP(CONCATENATE($A81,"_",V$3),'Unit List'!$A$23:$H$3172,2,FALSE)),"X",$P81)</f>
        <v/>
      </c>
      <c r="W81" s="122" t="str">
        <f>IF(ISTEXT(VLOOKUP(CONCATENATE($A81,"_",W$3),'Unit List'!$A$23:$H$3172,2,FALSE)),"X",$P81)</f>
        <v/>
      </c>
      <c r="X81" s="172" t="str">
        <f>IF(ISTEXT(VLOOKUP(CONCATENATE($A81,"_",X$3),'Unit List'!$A$23:$H$3172,2,FALSE)),"+","")</f>
        <v/>
      </c>
      <c r="Y81" s="120" t="str">
        <f>IF(ISTEXT(VLOOKUP(CONCATENATE($A81,"_",Y$3),'Unit List'!$A$23:$H$3172,2,FALSE)),"X",$X81)</f>
        <v/>
      </c>
      <c r="Z81" s="120" t="str">
        <f>IF(ISTEXT(VLOOKUP(CONCATENATE($A81,"_",Z$3),'Unit List'!$A$23:$H$3172,2,FALSE)),"X",$X81)</f>
        <v/>
      </c>
      <c r="AA81" s="120" t="str">
        <f>IF(ISTEXT(VLOOKUP(CONCATENATE($A81,"_",AA$3),'Unit List'!$A$23:$H$3172,2,FALSE)),"X",$X81)</f>
        <v/>
      </c>
      <c r="AB81" s="120" t="str">
        <f>IF(ISTEXT(VLOOKUP(CONCATENATE($A81,"_",AB$3),'Unit List'!$A$23:$H$3172,2,FALSE)),"X",$X81)</f>
        <v/>
      </c>
      <c r="AC81" s="75" t="str">
        <f>IF(ISTEXT(VLOOKUP(CONCATENATE($A81,"_",AC$3),'Unit List'!$A$23:$H$3172,2,FALSE)),"X",$X81)</f>
        <v/>
      </c>
      <c r="AD81" s="172" t="str">
        <f>IF(ISTEXT(VLOOKUP(CONCATENATE($A81,"_",AD$3),'Unit List'!$A$23:$H$3172,2,FALSE)),"+","")</f>
        <v/>
      </c>
      <c r="AE81" s="120" t="str">
        <f>IF(ISTEXT(VLOOKUP(CONCATENATE($A81,"_",AE$3),'Unit List'!$A$23:$H$3172,2,FALSE)),"X",$AD81)</f>
        <v/>
      </c>
      <c r="AF81" s="120" t="str">
        <f>IF(ISTEXT(VLOOKUP(CONCATENATE($A81,"_",AF$3),'Unit List'!$A$23:$H$3172,2,FALSE)),"X",$AD81)</f>
        <v/>
      </c>
      <c r="AG81" s="172" t="str">
        <f>IF(ISTEXT(VLOOKUP(CONCATENATE($A81,"_",AG$3),'Unit List'!$A$23:$H$3172,2,FALSE)),"+","")</f>
        <v/>
      </c>
      <c r="AH81" s="120" t="str">
        <f>IF(ISTEXT(VLOOKUP(CONCATENATE($A81,"_",AH$3),'Unit List'!$A$23:$H$3172,2,FALSE)),"X",$AG81)</f>
        <v/>
      </c>
      <c r="AI81" s="120" t="str">
        <f>IF(ISTEXT(VLOOKUP(CONCATENATE($A81,"_",AI$3),'Unit List'!$A$23:$H$3172,2,FALSE)),"X",$AG81)</f>
        <v/>
      </c>
      <c r="AJ81" s="122" t="str">
        <f>IF(ISTEXT(VLOOKUP(CONCATENATE($A81,"_",AJ$3),'Unit List'!$A$23:$H$3172,2,FALSE)),"X",$AG81)</f>
        <v/>
      </c>
      <c r="AK81" s="172" t="str">
        <f>IF(ISTEXT(VLOOKUP(CONCATENATE($A81,"_",AK$3),'Unit List'!$A$23:$H$3172,2,FALSE)),"+","")</f>
        <v/>
      </c>
      <c r="AL81" s="121" t="str">
        <f>IF(ISTEXT(VLOOKUP(CONCATENATE($A81,"_",AL$3),'Unit List'!$A$23:$H$3172,2,FALSE)),"X",$AK81)</f>
        <v/>
      </c>
      <c r="AM81" s="122" t="str">
        <f>IF(ISTEXT(VLOOKUP(CONCATENATE($A81,"_",AM$3),'Unit List'!$A$23:$H$3172,2,FALSE)),"X",$AK81)</f>
        <v/>
      </c>
      <c r="AN81" s="125" t="str">
        <f>IF(ISTEXT(VLOOKUP(CONCATENATE($A81,"_",AN$3),'Unit List'!$A$23:$H$3172,2,FALSE)),"+","")</f>
        <v/>
      </c>
      <c r="AO81" s="122" t="str">
        <f>IF(ISTEXT(VLOOKUP(CONCATENATE($A81,"_",AO$3),'Unit List'!$A$23:$H$3172,2,FALSE)),"X",$AN81)</f>
        <v/>
      </c>
      <c r="AP81" s="172" t="str">
        <f>IF(ISTEXT(VLOOKUP(CONCATENATE($A81,"_",AP$3),'Unit List'!$A$23:$H$3172,2,FALSE)),"+","")</f>
        <v/>
      </c>
      <c r="AQ81" s="120" t="str">
        <f>IF(ISTEXT(VLOOKUP(CONCATENATE($A81,"_",AQ$3),'Unit List'!$A$23:$H$3172,2,FALSE)),"X",$AP81)</f>
        <v/>
      </c>
      <c r="AR81" s="120" t="str">
        <f>IF(ISTEXT(VLOOKUP(CONCATENATE($A81,"_",AR$3),'Unit List'!$A$23:$H$3172,2,FALSE)),"X",$AP81)</f>
        <v/>
      </c>
      <c r="AS81" s="120" t="str">
        <f>IF(ISTEXT(VLOOKUP(CONCATENATE($A81,"_",AS$3),'Unit List'!$A$23:$H$3172,2,FALSE)),"X",$AP81)</f>
        <v/>
      </c>
      <c r="AT81" s="122" t="str">
        <f>IF(ISTEXT(VLOOKUP(CONCATENATE($A81,"_",AT$3),'Unit List'!$A$23:$H$3172,2,FALSE)),"X",$AP81)</f>
        <v/>
      </c>
      <c r="AU81" s="124" t="str">
        <f>IF(ISTEXT(VLOOKUP(CONCATENATE($A81,"_",AU$3),'Unit List'!$A$23:$H$3172,2,FALSE)),"+","")</f>
        <v/>
      </c>
      <c r="AV81" s="120" t="str">
        <f>IF(ISTEXT(VLOOKUP(CONCATENATE($A81,"_",AV$3),'Unit List'!$A$23:$H$3172,2,FALSE)),"X",$AU81)</f>
        <v/>
      </c>
      <c r="AW81" s="122" t="str">
        <f>IF(ISTEXT(VLOOKUP(CONCATENATE($A81,"_",AW$3),'Unit List'!$A$23:$H$3172,2,FALSE)),"X",$AU81)</f>
        <v/>
      </c>
      <c r="AX81" s="172" t="str">
        <f>IF(ISTEXT(VLOOKUP(CONCATENATE($A81,"_",AX$3),'Unit List'!$A$23:$H$3172,2,FALSE)),"+","")</f>
        <v/>
      </c>
      <c r="AY81" s="120" t="str">
        <f>IF(ISTEXT(VLOOKUP(CONCATENATE($A81,"_",AY$3),'Unit List'!$A$23:$H$3172,2,FALSE)),"X",$AX81)</f>
        <v/>
      </c>
      <c r="AZ81" s="122" t="str">
        <f>IF(ISTEXT(VLOOKUP(CONCATENATE($A81,"_",AZ$3),'Unit List'!$A$23:$H$3172,2,FALSE)),"X",$AX81)</f>
        <v/>
      </c>
      <c r="BA81" s="182" t="str">
        <f>IF(ISTEXT(VLOOKUP(CONCATENATE($A81,"_",BA$3),'Unit List'!$A$23:$H$3172,2,FALSE)),"+","")</f>
        <v/>
      </c>
      <c r="BB81" s="120" t="str">
        <f>IF(ISTEXT(VLOOKUP(CONCATENATE($A81,"_",BB$3),'Unit List'!$A$23:$H$3172,2,FALSE)),"X",$BA81)</f>
        <v/>
      </c>
      <c r="BC81" s="120" t="str">
        <f>IF(ISTEXT(VLOOKUP(CONCATENATE($A81,"_",BC$3),'Unit List'!$A$23:$H$3172,2,FALSE)),"X",$BA81)</f>
        <v/>
      </c>
      <c r="BD81" s="122" t="str">
        <f>IF(ISTEXT(VLOOKUP(CONCATENATE($A81,"_",BD$3),'Unit List'!$A$23:$H$3172,2,FALSE)),"X",$BA81)</f>
        <v/>
      </c>
      <c r="BE81" s="125" t="str">
        <f>IF(ISTEXT(VLOOKUP(CONCATENATE($A81,"_",BE$3),'Unit List'!$A$23:$H$3172,2,FALSE)),"+","")</f>
        <v/>
      </c>
      <c r="BF81" s="75" t="str">
        <f>IF(ISTEXT(VLOOKUP(CONCATENATE($A81,"_",BF$3),'Unit List'!$A$23:$H$3172,2,FALSE)),"X",$BE81)</f>
        <v/>
      </c>
      <c r="BG81" s="142" t="s">
        <v>0</v>
      </c>
      <c r="BH81" s="84"/>
      <c r="BI81" s="143"/>
      <c r="BJ81" s="144"/>
      <c r="BK81" s="144"/>
      <c r="BL81" s="145"/>
      <c r="BM81" s="145"/>
      <c r="BN81" s="54"/>
      <c r="BO81" s="54"/>
      <c r="BP81" s="54"/>
      <c r="BQ81" s="54"/>
      <c r="BR81" s="54"/>
      <c r="BS81" s="54"/>
      <c r="DZ81" s="55"/>
      <c r="EA81" s="55"/>
    </row>
    <row r="82" spans="1:131" ht="12.75" customHeight="1" x14ac:dyDescent="0.2">
      <c r="A82" s="138" t="s">
        <v>1127</v>
      </c>
      <c r="B82" s="181" t="str">
        <f>IF(ISTEXT(VLOOKUP(CONCATENATE($A82,"_",B$3),'Unit List'!$A$23:$H$3172,2,FALSE)),"+","")</f>
        <v/>
      </c>
      <c r="C82" s="119" t="str">
        <f>IF(ISTEXT(VLOOKUP(CONCATENATE($A82,"_",C$3),'Unit List'!$A$23:$H$3172,2,FALSE)),"X",$B82)</f>
        <v/>
      </c>
      <c r="D82" s="120" t="str">
        <f>IF(ISTEXT(VLOOKUP(CONCATENATE($A82,"_",D$3),'Unit List'!$A$23:$H$3172,2,FALSE)),"X",$B82)</f>
        <v/>
      </c>
      <c r="E82" s="120" t="str">
        <f>IF(ISTEXT(VLOOKUP(CONCATENATE($A82,"_",E$3),'Unit List'!$A$23:$H$3172,2,FALSE)),"X",$B82)</f>
        <v/>
      </c>
      <c r="F82" s="120" t="str">
        <f>IF(ISTEXT(VLOOKUP(CONCATENATE($A82,"_",F$3),'Unit List'!$A$23:$H$3172,2,FALSE)),"X",$B82)</f>
        <v/>
      </c>
      <c r="G82" s="120" t="str">
        <f>IF(ISTEXT(VLOOKUP(CONCATENATE($A82,"_",G$3),'Unit List'!$A$23:$H$3172,2,FALSE)),"X",$B82)</f>
        <v/>
      </c>
      <c r="H82" s="120" t="str">
        <f>IF(ISTEXT(VLOOKUP(CONCATENATE($A82,"_",H$3),'Unit List'!$A$23:$H$3172,2,FALSE)),"X",$B82)</f>
        <v/>
      </c>
      <c r="I82" s="122" t="str">
        <f>IF(ISTEXT(VLOOKUP(CONCATENATE($A82,"_",I$3),'Unit List'!$A$23:$H$3172,2,FALSE)),"X",$B82)</f>
        <v/>
      </c>
      <c r="J82" s="172" t="str">
        <f>IF(ISTEXT(VLOOKUP(CONCATENATE($A82,"_",J$3),'Unit List'!$A$23:$H$3172,2,FALSE)),"+","")</f>
        <v/>
      </c>
      <c r="K82" s="120" t="str">
        <f>IF(ISTEXT(VLOOKUP(CONCATENATE($A82,"_",K$3),'Unit List'!$A$23:$H$3172,2,FALSE)),"X",$J82)</f>
        <v/>
      </c>
      <c r="L82" s="75" t="str">
        <f>IF(ISTEXT(VLOOKUP(CONCATENATE($A82,"_",L$3),'Unit List'!$A$23:$H$3172,2,FALSE)),"X",$J82)</f>
        <v/>
      </c>
      <c r="M82" s="172" t="str">
        <f>IF(ISTEXT(VLOOKUP(CONCATENATE($A82,"_",M$3),'Unit List'!$A$23:$H$3172,2,FALSE)),"+","")</f>
        <v/>
      </c>
      <c r="N82" s="120" t="str">
        <f>IF(ISTEXT(VLOOKUP(CONCATENATE($A82,"_",N$3),'Unit List'!$A$23:$H$3172,2,FALSE)),"X",$M82)</f>
        <v/>
      </c>
      <c r="O82" s="122" t="str">
        <f>IF(ISTEXT(VLOOKUP(CONCATENATE($A82,"_",O$3),'Unit List'!$A$23:$H$3172,2,FALSE)),"X",$M82)</f>
        <v/>
      </c>
      <c r="P82" s="172" t="str">
        <f>IF(ISTEXT(VLOOKUP(CONCATENATE($A82,"_",P$3),'Unit List'!$A$23:$H$3172,2,FALSE)),"+","")</f>
        <v/>
      </c>
      <c r="Q82" s="120" t="str">
        <f>IF(ISTEXT(VLOOKUP(CONCATENATE($A82,"_",Q$3),'Unit List'!$A$23:$H$3172,2,FALSE)),"X",$P82)</f>
        <v/>
      </c>
      <c r="R82" s="120" t="str">
        <f>IF(ISTEXT(VLOOKUP(CONCATENATE($A82,"_",R$3),'Unit List'!$A$23:$H$3172,2,FALSE)),"X",$P82)</f>
        <v/>
      </c>
      <c r="S82" s="120" t="str">
        <f>IF(ISTEXT(VLOOKUP(CONCATENATE($A82,"_",S$3),'Unit List'!$A$23:$H$3172,2,FALSE)),"X",$P82)</f>
        <v/>
      </c>
      <c r="T82" s="121" t="str">
        <f>IF(ISTEXT(VLOOKUP(CONCATENATE($A82,"_",T$3),'Unit List'!$A$23:$H$3172,2,FALSE)),"X",$P82)</f>
        <v/>
      </c>
      <c r="U82" s="120" t="str">
        <f>IF(ISTEXT(VLOOKUP(CONCATENATE($A82,"_",U$3),'Unit List'!$A$23:$H$3172,2,FALSE)),"X",$P82)</f>
        <v/>
      </c>
      <c r="V82" s="120" t="str">
        <f>IF(ISTEXT(VLOOKUP(CONCATENATE($A82,"_",V$3),'Unit List'!$A$23:$H$3172,2,FALSE)),"X",$P82)</f>
        <v/>
      </c>
      <c r="W82" s="122" t="str">
        <f>IF(ISTEXT(VLOOKUP(CONCATENATE($A82,"_",W$3),'Unit List'!$A$23:$H$3172,2,FALSE)),"X",$P82)</f>
        <v/>
      </c>
      <c r="X82" s="172" t="str">
        <f>IF(ISTEXT(VLOOKUP(CONCATENATE($A82,"_",X$3),'Unit List'!$A$23:$H$3172,2,FALSE)),"+","")</f>
        <v/>
      </c>
      <c r="Y82" s="120" t="str">
        <f>IF(ISTEXT(VLOOKUP(CONCATENATE($A82,"_",Y$3),'Unit List'!$A$23:$H$3172,2,FALSE)),"X",$X82)</f>
        <v/>
      </c>
      <c r="Z82" s="120" t="str">
        <f>IF(ISTEXT(VLOOKUP(CONCATENATE($A82,"_",Z$3),'Unit List'!$A$23:$H$3172,2,FALSE)),"X",$X82)</f>
        <v/>
      </c>
      <c r="AA82" s="120" t="str">
        <f>IF(ISTEXT(VLOOKUP(CONCATENATE($A82,"_",AA$3),'Unit List'!$A$23:$H$3172,2,FALSE)),"X",$X82)</f>
        <v/>
      </c>
      <c r="AB82" s="120" t="str">
        <f>IF(ISTEXT(VLOOKUP(CONCATENATE($A82,"_",AB$3),'Unit List'!$A$23:$H$3172,2,FALSE)),"X",$X82)</f>
        <v/>
      </c>
      <c r="AC82" s="75" t="str">
        <f>IF(ISTEXT(VLOOKUP(CONCATENATE($A82,"_",AC$3),'Unit List'!$A$23:$H$3172,2,FALSE)),"X",$X82)</f>
        <v/>
      </c>
      <c r="AD82" s="172" t="str">
        <f>IF(ISTEXT(VLOOKUP(CONCATENATE($A82,"_",AD$3),'Unit List'!$A$23:$H$3172,2,FALSE)),"+","")</f>
        <v/>
      </c>
      <c r="AE82" s="120" t="str">
        <f>IF(ISTEXT(VLOOKUP(CONCATENATE($A82,"_",AE$3),'Unit List'!$A$23:$H$3172,2,FALSE)),"X",$AD82)</f>
        <v/>
      </c>
      <c r="AF82" s="120" t="str">
        <f>IF(ISTEXT(VLOOKUP(CONCATENATE($A82,"_",AF$3),'Unit List'!$A$23:$H$3172,2,FALSE)),"X",$AD82)</f>
        <v/>
      </c>
      <c r="AG82" s="172" t="str">
        <f>IF(ISTEXT(VLOOKUP(CONCATENATE($A82,"_",AG$3),'Unit List'!$A$23:$H$3172,2,FALSE)),"+","")</f>
        <v/>
      </c>
      <c r="AH82" s="120" t="str">
        <f>IF(ISTEXT(VLOOKUP(CONCATENATE($A82,"_",AH$3),'Unit List'!$A$23:$H$3172,2,FALSE)),"X",$AG82)</f>
        <v/>
      </c>
      <c r="AI82" s="120" t="str">
        <f>IF(ISTEXT(VLOOKUP(CONCATENATE($A82,"_",AI$3),'Unit List'!$A$23:$H$3172,2,FALSE)),"X",$AG82)</f>
        <v/>
      </c>
      <c r="AJ82" s="122" t="str">
        <f>IF(ISTEXT(VLOOKUP(CONCATENATE($A82,"_",AJ$3),'Unit List'!$A$23:$H$3172,2,FALSE)),"X",$AG82)</f>
        <v/>
      </c>
      <c r="AK82" s="172" t="str">
        <f>IF(ISTEXT(VLOOKUP(CONCATENATE($A82,"_",AK$3),'Unit List'!$A$23:$H$3172,2,FALSE)),"+","")</f>
        <v/>
      </c>
      <c r="AL82" s="121" t="str">
        <f>IF(ISTEXT(VLOOKUP(CONCATENATE($A82,"_",AL$3),'Unit List'!$A$23:$H$3172,2,FALSE)),"X",$AK82)</f>
        <v/>
      </c>
      <c r="AM82" s="122" t="str">
        <f>IF(ISTEXT(VLOOKUP(CONCATENATE($A82,"_",AM$3),'Unit List'!$A$23:$H$3172,2,FALSE)),"X",$AK82)</f>
        <v/>
      </c>
      <c r="AN82" s="125" t="str">
        <f>IF(ISTEXT(VLOOKUP(CONCATENATE($A82,"_",AN$3),'Unit List'!$A$23:$H$3172,2,FALSE)),"+","")</f>
        <v/>
      </c>
      <c r="AO82" s="122" t="str">
        <f>IF(ISTEXT(VLOOKUP(CONCATENATE($A82,"_",AO$3),'Unit List'!$A$23:$H$3172,2,FALSE)),"X",$AN82)</f>
        <v/>
      </c>
      <c r="AP82" s="172" t="str">
        <f>IF(ISTEXT(VLOOKUP(CONCATENATE($A82,"_",AP$3),'Unit List'!$A$23:$H$3172,2,FALSE)),"+","")</f>
        <v/>
      </c>
      <c r="AQ82" s="120" t="str">
        <f>IF(ISTEXT(VLOOKUP(CONCATENATE($A82,"_",AQ$3),'Unit List'!$A$23:$H$3172,2,FALSE)),"X",$AP82)</f>
        <v/>
      </c>
      <c r="AR82" s="120" t="str">
        <f>IF(ISTEXT(VLOOKUP(CONCATENATE($A82,"_",AR$3),'Unit List'!$A$23:$H$3172,2,FALSE)),"X",$AP82)</f>
        <v/>
      </c>
      <c r="AS82" s="120" t="str">
        <f>IF(ISTEXT(VLOOKUP(CONCATENATE($A82,"_",AS$3),'Unit List'!$A$23:$H$3172,2,FALSE)),"X",$AP82)</f>
        <v/>
      </c>
      <c r="AT82" s="122" t="str">
        <f>IF(ISTEXT(VLOOKUP(CONCATENATE($A82,"_",AT$3),'Unit List'!$A$23:$H$3172,2,FALSE)),"X",$AP82)</f>
        <v/>
      </c>
      <c r="AU82" s="124" t="str">
        <f>IF(ISTEXT(VLOOKUP(CONCATENATE($A82,"_",AU$3),'Unit List'!$A$23:$H$3172,2,FALSE)),"+","")</f>
        <v/>
      </c>
      <c r="AV82" s="120" t="str">
        <f>IF(ISTEXT(VLOOKUP(CONCATENATE($A82,"_",AV$3),'Unit List'!$A$23:$H$3172,2,FALSE)),"X",$AU82)</f>
        <v/>
      </c>
      <c r="AW82" s="122" t="str">
        <f>IF(ISTEXT(VLOOKUP(CONCATENATE($A82,"_",AW$3),'Unit List'!$A$23:$H$3172,2,FALSE)),"X",$AU82)</f>
        <v/>
      </c>
      <c r="AX82" s="172" t="str">
        <f>IF(ISTEXT(VLOOKUP(CONCATENATE($A82,"_",AX$3),'Unit List'!$A$23:$H$3172,2,FALSE)),"+","")</f>
        <v/>
      </c>
      <c r="AY82" s="120" t="str">
        <f>IF(ISTEXT(VLOOKUP(CONCATENATE($A82,"_",AY$3),'Unit List'!$A$23:$H$3172,2,FALSE)),"X",$AX82)</f>
        <v/>
      </c>
      <c r="AZ82" s="122" t="str">
        <f>IF(ISTEXT(VLOOKUP(CONCATENATE($A82,"_",AZ$3),'Unit List'!$A$23:$H$3172,2,FALSE)),"X",$AX82)</f>
        <v/>
      </c>
      <c r="BA82" s="182" t="str">
        <f>IF(ISTEXT(VLOOKUP(CONCATENATE($A82,"_",BA$3),'Unit List'!$A$23:$H$3172,2,FALSE)),"+","")</f>
        <v/>
      </c>
      <c r="BB82" s="120" t="str">
        <f>IF(ISTEXT(VLOOKUP(CONCATENATE($A82,"_",BB$3),'Unit List'!$A$23:$H$3172,2,FALSE)),"X",$BA82)</f>
        <v/>
      </c>
      <c r="BC82" s="120" t="str">
        <f>IF(ISTEXT(VLOOKUP(CONCATENATE($A82,"_",BC$3),'Unit List'!$A$23:$H$3172,2,FALSE)),"X",$BA82)</f>
        <v/>
      </c>
      <c r="BD82" s="122" t="str">
        <f>IF(ISTEXT(VLOOKUP(CONCATENATE($A82,"_",BD$3),'Unit List'!$A$23:$H$3172,2,FALSE)),"X",$BA82)</f>
        <v/>
      </c>
      <c r="BE82" s="125" t="str">
        <f>IF(ISTEXT(VLOOKUP(CONCATENATE($A82,"_",BE$3),'Unit List'!$A$23:$H$3172,2,FALSE)),"+","")</f>
        <v/>
      </c>
      <c r="BF82" s="75" t="str">
        <f>IF(ISTEXT(VLOOKUP(CONCATENATE($A82,"_",BF$3),'Unit List'!$A$23:$H$3172,2,FALSE)),"X",$BE82)</f>
        <v/>
      </c>
      <c r="BG82" s="142" t="s">
        <v>0</v>
      </c>
      <c r="BH82" s="84"/>
      <c r="BI82" s="143"/>
      <c r="BJ82" s="144"/>
      <c r="BK82" s="144"/>
      <c r="BL82" s="145"/>
      <c r="BM82" s="145"/>
      <c r="BN82" s="54"/>
      <c r="BO82" s="54"/>
      <c r="BP82" s="54"/>
      <c r="BQ82" s="54"/>
      <c r="BR82" s="54"/>
      <c r="BS82" s="54"/>
      <c r="DZ82" s="55"/>
      <c r="EA82" s="55"/>
    </row>
    <row r="83" spans="1:131" ht="12.75" customHeight="1" x14ac:dyDescent="0.2">
      <c r="A83" s="138" t="s">
        <v>1128</v>
      </c>
      <c r="B83" s="181" t="str">
        <f>IF(ISTEXT(VLOOKUP(CONCATENATE($A83,"_",B$3),'Unit List'!$A$23:$H$3172,2,FALSE)),"+","")</f>
        <v/>
      </c>
      <c r="C83" s="119" t="str">
        <f>IF(ISTEXT(VLOOKUP(CONCATENATE($A83,"_",C$3),'Unit List'!$A$23:$H$3172,2,FALSE)),"X",$B83)</f>
        <v/>
      </c>
      <c r="D83" s="120" t="str">
        <f>IF(ISTEXT(VLOOKUP(CONCATENATE($A83,"_",D$3),'Unit List'!$A$23:$H$3172,2,FALSE)),"X",$B83)</f>
        <v/>
      </c>
      <c r="E83" s="120" t="str">
        <f>IF(ISTEXT(VLOOKUP(CONCATENATE($A83,"_",E$3),'Unit List'!$A$23:$H$3172,2,FALSE)),"X",$B83)</f>
        <v/>
      </c>
      <c r="F83" s="120" t="str">
        <f>IF(ISTEXT(VLOOKUP(CONCATENATE($A83,"_",F$3),'Unit List'!$A$23:$H$3172,2,FALSE)),"X",$B83)</f>
        <v>X</v>
      </c>
      <c r="G83" s="120" t="str">
        <f>IF(ISTEXT(VLOOKUP(CONCATENATE($A83,"_",G$3),'Unit List'!$A$23:$H$3172,2,FALSE)),"X",$B83)</f>
        <v>X</v>
      </c>
      <c r="H83" s="120" t="str">
        <f>IF(ISTEXT(VLOOKUP(CONCATENATE($A83,"_",H$3),'Unit List'!$A$23:$H$3172,2,FALSE)),"X",$B83)</f>
        <v>X</v>
      </c>
      <c r="I83" s="122" t="str">
        <f>IF(ISTEXT(VLOOKUP(CONCATENATE($A83,"_",I$3),'Unit List'!$A$23:$H$3172,2,FALSE)),"X",$B83)</f>
        <v>X</v>
      </c>
      <c r="J83" s="172" t="str">
        <f>IF(ISTEXT(VLOOKUP(CONCATENATE($A83,"_",J$3),'Unit List'!$A$23:$H$3172,2,FALSE)),"+","")</f>
        <v/>
      </c>
      <c r="K83" s="120" t="str">
        <f>IF(ISTEXT(VLOOKUP(CONCATENATE($A83,"_",K$3),'Unit List'!$A$23:$H$3172,2,FALSE)),"X",$J83)</f>
        <v/>
      </c>
      <c r="L83" s="75" t="str">
        <f>IF(ISTEXT(VLOOKUP(CONCATENATE($A83,"_",L$3),'Unit List'!$A$23:$H$3172,2,FALSE)),"X",$J83)</f>
        <v>X</v>
      </c>
      <c r="M83" s="172" t="str">
        <f>IF(ISTEXT(VLOOKUP(CONCATENATE($A83,"_",M$3),'Unit List'!$A$23:$H$3172,2,FALSE)),"+","")</f>
        <v/>
      </c>
      <c r="N83" s="120" t="str">
        <f>IF(ISTEXT(VLOOKUP(CONCATENATE($A83,"_",N$3),'Unit List'!$A$23:$H$3172,2,FALSE)),"X",$M83)</f>
        <v>X</v>
      </c>
      <c r="O83" s="122" t="str">
        <f>IF(ISTEXT(VLOOKUP(CONCATENATE($A83,"_",O$3),'Unit List'!$A$23:$H$3172,2,FALSE)),"X",$M83)</f>
        <v>X</v>
      </c>
      <c r="P83" s="172" t="str">
        <f>IF(ISTEXT(VLOOKUP(CONCATENATE($A83,"_",P$3),'Unit List'!$A$23:$H$3172,2,FALSE)),"+","")</f>
        <v>+</v>
      </c>
      <c r="Q83" s="120" t="str">
        <f>IF(ISTEXT(VLOOKUP(CONCATENATE($A83,"_",Q$3),'Unit List'!$A$23:$H$3172,2,FALSE)),"X",$P83)</f>
        <v>+</v>
      </c>
      <c r="R83" s="120" t="str">
        <f>IF(ISTEXT(VLOOKUP(CONCATENATE($A83,"_",R$3),'Unit List'!$A$23:$H$3172,2,FALSE)),"X",$P83)</f>
        <v>+</v>
      </c>
      <c r="S83" s="120" t="str">
        <f>IF(ISTEXT(VLOOKUP(CONCATENATE($A83,"_",S$3),'Unit List'!$A$23:$H$3172,2,FALSE)),"X",$P83)</f>
        <v>+</v>
      </c>
      <c r="T83" s="121" t="str">
        <f>IF(ISTEXT(VLOOKUP(CONCATENATE($A83,"_",T$3),'Unit List'!$A$23:$H$3172,2,FALSE)),"X",$P83)</f>
        <v>+</v>
      </c>
      <c r="U83" s="120" t="str">
        <f>IF(ISTEXT(VLOOKUP(CONCATENATE($A83,"_",U$3),'Unit List'!$A$23:$H$3172,2,FALSE)),"X",$P83)</f>
        <v>X</v>
      </c>
      <c r="V83" s="120" t="str">
        <f>IF(ISTEXT(VLOOKUP(CONCATENATE($A83,"_",V$3),'Unit List'!$A$23:$H$3172,2,FALSE)),"X",$P83)</f>
        <v>X</v>
      </c>
      <c r="W83" s="122" t="str">
        <f>IF(ISTEXT(VLOOKUP(CONCATENATE($A83,"_",W$3),'Unit List'!$A$23:$H$3172,2,FALSE)),"X",$P83)</f>
        <v>+</v>
      </c>
      <c r="X83" s="172" t="str">
        <f>IF(ISTEXT(VLOOKUP(CONCATENATE($A83,"_",X$3),'Unit List'!$A$23:$H$3172,2,FALSE)),"+","")</f>
        <v/>
      </c>
      <c r="Y83" s="120" t="str">
        <f>IF(ISTEXT(VLOOKUP(CONCATENATE($A83,"_",Y$3),'Unit List'!$A$23:$H$3172,2,FALSE)),"X",$X83)</f>
        <v/>
      </c>
      <c r="Z83" s="120" t="str">
        <f>IF(ISTEXT(VLOOKUP(CONCATENATE($A83,"_",Z$3),'Unit List'!$A$23:$H$3172,2,FALSE)),"X",$X83)</f>
        <v/>
      </c>
      <c r="AA83" s="120" t="str">
        <f>IF(ISTEXT(VLOOKUP(CONCATENATE($A83,"_",AA$3),'Unit List'!$A$23:$H$3172,2,FALSE)),"X",$X83)</f>
        <v/>
      </c>
      <c r="AB83" s="120" t="str">
        <f>IF(ISTEXT(VLOOKUP(CONCATENATE($A83,"_",AB$3),'Unit List'!$A$23:$H$3172,2,FALSE)),"X",$X83)</f>
        <v/>
      </c>
      <c r="AC83" s="75" t="str">
        <f>IF(ISTEXT(VLOOKUP(CONCATENATE($A83,"_",AC$3),'Unit List'!$A$23:$H$3172,2,FALSE)),"X",$X83)</f>
        <v/>
      </c>
      <c r="AD83" s="172" t="str">
        <f>IF(ISTEXT(VLOOKUP(CONCATENATE($A83,"_",AD$3),'Unit List'!$A$23:$H$3172,2,FALSE)),"+","")</f>
        <v>+</v>
      </c>
      <c r="AE83" s="120" t="str">
        <f>IF(ISTEXT(VLOOKUP(CONCATENATE($A83,"_",AE$3),'Unit List'!$A$23:$H$3172,2,FALSE)),"X",$AD83)</f>
        <v>+</v>
      </c>
      <c r="AF83" s="120" t="str">
        <f>IF(ISTEXT(VLOOKUP(CONCATENATE($A83,"_",AF$3),'Unit List'!$A$23:$H$3172,2,FALSE)),"X",$AD83)</f>
        <v>+</v>
      </c>
      <c r="AG83" s="172" t="str">
        <f>IF(ISTEXT(VLOOKUP(CONCATENATE($A83,"_",AG$3),'Unit List'!$A$23:$H$3172,2,FALSE)),"+","")</f>
        <v/>
      </c>
      <c r="AH83" s="120" t="str">
        <f>IF(ISTEXT(VLOOKUP(CONCATENATE($A83,"_",AH$3),'Unit List'!$A$23:$H$3172,2,FALSE)),"X",$AG83)</f>
        <v/>
      </c>
      <c r="AI83" s="120" t="str">
        <f>IF(ISTEXT(VLOOKUP(CONCATENATE($A83,"_",AI$3),'Unit List'!$A$23:$H$3172,2,FALSE)),"X",$AG83)</f>
        <v/>
      </c>
      <c r="AJ83" s="122" t="str">
        <f>IF(ISTEXT(VLOOKUP(CONCATENATE($A83,"_",AJ$3),'Unit List'!$A$23:$H$3172,2,FALSE)),"X",$AG83)</f>
        <v/>
      </c>
      <c r="AK83" s="172" t="str">
        <f>IF(ISTEXT(VLOOKUP(CONCATENATE($A83,"_",AK$3),'Unit List'!$A$23:$H$3172,2,FALSE)),"+","")</f>
        <v/>
      </c>
      <c r="AL83" s="121" t="str">
        <f>IF(ISTEXT(VLOOKUP(CONCATENATE($A83,"_",AL$3),'Unit List'!$A$23:$H$3172,2,FALSE)),"X",$AK83)</f>
        <v/>
      </c>
      <c r="AM83" s="122" t="str">
        <f>IF(ISTEXT(VLOOKUP(CONCATENATE($A83,"_",AM$3),'Unit List'!$A$23:$H$3172,2,FALSE)),"X",$AK83)</f>
        <v>X</v>
      </c>
      <c r="AN83" s="125" t="str">
        <f>IF(ISTEXT(VLOOKUP(CONCATENATE($A83,"_",AN$3),'Unit List'!$A$23:$H$3172,2,FALSE)),"+","")</f>
        <v/>
      </c>
      <c r="AO83" s="122" t="str">
        <f>IF(ISTEXT(VLOOKUP(CONCATENATE($A83,"_",AO$3),'Unit List'!$A$23:$H$3172,2,FALSE)),"X",$AN83)</f>
        <v/>
      </c>
      <c r="AP83" s="172" t="str">
        <f>IF(ISTEXT(VLOOKUP(CONCATENATE($A83,"_",AP$3),'Unit List'!$A$23:$H$3172,2,FALSE)),"+","")</f>
        <v/>
      </c>
      <c r="AQ83" s="120" t="str">
        <f>IF(ISTEXT(VLOOKUP(CONCATENATE($A83,"_",AQ$3),'Unit List'!$A$23:$H$3172,2,FALSE)),"X",$AP83)</f>
        <v/>
      </c>
      <c r="AR83" s="120" t="str">
        <f>IF(ISTEXT(VLOOKUP(CONCATENATE($A83,"_",AR$3),'Unit List'!$A$23:$H$3172,2,FALSE)),"X",$AP83)</f>
        <v/>
      </c>
      <c r="AS83" s="120" t="str">
        <f>IF(ISTEXT(VLOOKUP(CONCATENATE($A83,"_",AS$3),'Unit List'!$A$23:$H$3172,2,FALSE)),"X",$AP83)</f>
        <v/>
      </c>
      <c r="AT83" s="122" t="str">
        <f>IF(ISTEXT(VLOOKUP(CONCATENATE($A83,"_",AT$3),'Unit List'!$A$23:$H$3172,2,FALSE)),"X",$AP83)</f>
        <v/>
      </c>
      <c r="AU83" s="124" t="str">
        <f>IF(ISTEXT(VLOOKUP(CONCATENATE($A83,"_",AU$3),'Unit List'!$A$23:$H$3172,2,FALSE)),"+","")</f>
        <v/>
      </c>
      <c r="AV83" s="120" t="str">
        <f>IF(ISTEXT(VLOOKUP(CONCATENATE($A83,"_",AV$3),'Unit List'!$A$23:$H$3172,2,FALSE)),"X",$AU83)</f>
        <v/>
      </c>
      <c r="AW83" s="122" t="str">
        <f>IF(ISTEXT(VLOOKUP(CONCATENATE($A83,"_",AW$3),'Unit List'!$A$23:$H$3172,2,FALSE)),"X",$AU83)</f>
        <v/>
      </c>
      <c r="AX83" s="172" t="str">
        <f>IF(ISTEXT(VLOOKUP(CONCATENATE($A83,"_",AX$3),'Unit List'!$A$23:$H$3172,2,FALSE)),"+","")</f>
        <v/>
      </c>
      <c r="AY83" s="120" t="str">
        <f>IF(ISTEXT(VLOOKUP(CONCATENATE($A83,"_",AY$3),'Unit List'!$A$23:$H$3172,2,FALSE)),"X",$AX83)</f>
        <v/>
      </c>
      <c r="AZ83" s="122" t="str">
        <f>IF(ISTEXT(VLOOKUP(CONCATENATE($A83,"_",AZ$3),'Unit List'!$A$23:$H$3172,2,FALSE)),"X",$AX83)</f>
        <v/>
      </c>
      <c r="BA83" s="182" t="str">
        <f>IF(ISTEXT(VLOOKUP(CONCATENATE($A83,"_",BA$3),'Unit List'!$A$23:$H$3172,2,FALSE)),"+","")</f>
        <v/>
      </c>
      <c r="BB83" s="120" t="str">
        <f>IF(ISTEXT(VLOOKUP(CONCATENATE($A83,"_",BB$3),'Unit List'!$A$23:$H$3172,2,FALSE)),"X",$BA83)</f>
        <v/>
      </c>
      <c r="BC83" s="120" t="str">
        <f>IF(ISTEXT(VLOOKUP(CONCATENATE($A83,"_",BC$3),'Unit List'!$A$23:$H$3172,2,FALSE)),"X",$BA83)</f>
        <v/>
      </c>
      <c r="BD83" s="122" t="str">
        <f>IF(ISTEXT(VLOOKUP(CONCATENATE($A83,"_",BD$3),'Unit List'!$A$23:$H$3172,2,FALSE)),"X",$BA83)</f>
        <v/>
      </c>
      <c r="BE83" s="125" t="str">
        <f>IF(ISTEXT(VLOOKUP(CONCATENATE($A83,"_",BE$3),'Unit List'!$A$23:$H$3172,2,FALSE)),"+","")</f>
        <v/>
      </c>
      <c r="BF83" s="75" t="str">
        <f>IF(ISTEXT(VLOOKUP(CONCATENATE($A83,"_",BF$3),'Unit List'!$A$23:$H$3172,2,FALSE)),"X",$BE83)</f>
        <v/>
      </c>
      <c r="BG83" s="142" t="s">
        <v>0</v>
      </c>
      <c r="BH83" s="84"/>
      <c r="BI83" s="143"/>
      <c r="BJ83" s="144"/>
      <c r="BK83" s="144"/>
      <c r="BL83" s="145"/>
      <c r="BM83" s="145"/>
      <c r="BN83" s="54"/>
      <c r="BO83" s="54"/>
      <c r="BP83" s="54"/>
      <c r="BQ83" s="54"/>
      <c r="BR83" s="54"/>
      <c r="BS83" s="54"/>
      <c r="DZ83" s="55"/>
      <c r="EA83" s="55"/>
    </row>
    <row r="84" spans="1:131" ht="12.75" customHeight="1" x14ac:dyDescent="0.2">
      <c r="A84" s="138" t="s">
        <v>1129</v>
      </c>
      <c r="B84" s="181" t="str">
        <f>IF(ISTEXT(VLOOKUP(CONCATENATE($A84,"_",B$3),'Unit List'!$A$23:$H$3172,2,FALSE)),"+","")</f>
        <v/>
      </c>
      <c r="C84" s="119" t="str">
        <f>IF(ISTEXT(VLOOKUP(CONCATENATE($A84,"_",C$3),'Unit List'!$A$23:$H$3172,2,FALSE)),"X",$B84)</f>
        <v/>
      </c>
      <c r="D84" s="120" t="str">
        <f>IF(ISTEXT(VLOOKUP(CONCATENATE($A84,"_",D$3),'Unit List'!$A$23:$H$3172,2,FALSE)),"X",$B84)</f>
        <v/>
      </c>
      <c r="E84" s="120" t="str">
        <f>IF(ISTEXT(VLOOKUP(CONCATENATE($A84,"_",E$3),'Unit List'!$A$23:$H$3172,2,FALSE)),"X",$B84)</f>
        <v/>
      </c>
      <c r="F84" s="120" t="str">
        <f>IF(ISTEXT(VLOOKUP(CONCATENATE($A84,"_",F$3),'Unit List'!$A$23:$H$3172,2,FALSE)),"X",$B84)</f>
        <v/>
      </c>
      <c r="G84" s="120" t="str">
        <f>IF(ISTEXT(VLOOKUP(CONCATENATE($A84,"_",G$3),'Unit List'!$A$23:$H$3172,2,FALSE)),"X",$B84)</f>
        <v/>
      </c>
      <c r="H84" s="120" t="str">
        <f>IF(ISTEXT(VLOOKUP(CONCATENATE($A84,"_",H$3),'Unit List'!$A$23:$H$3172,2,FALSE)),"X",$B84)</f>
        <v/>
      </c>
      <c r="I84" s="122" t="str">
        <f>IF(ISTEXT(VLOOKUP(CONCATENATE($A84,"_",I$3),'Unit List'!$A$23:$H$3172,2,FALSE)),"X",$B84)</f>
        <v/>
      </c>
      <c r="J84" s="172" t="str">
        <f>IF(ISTEXT(VLOOKUP(CONCATENATE($A84,"_",J$3),'Unit List'!$A$23:$H$3172,2,FALSE)),"+","")</f>
        <v/>
      </c>
      <c r="K84" s="120" t="str">
        <f>IF(ISTEXT(VLOOKUP(CONCATENATE($A84,"_",K$3),'Unit List'!$A$23:$H$3172,2,FALSE)),"X",$J84)</f>
        <v/>
      </c>
      <c r="L84" s="75" t="str">
        <f>IF(ISTEXT(VLOOKUP(CONCATENATE($A84,"_",L$3),'Unit List'!$A$23:$H$3172,2,FALSE)),"X",$J84)</f>
        <v/>
      </c>
      <c r="M84" s="172" t="str">
        <f>IF(ISTEXT(VLOOKUP(CONCATENATE($A84,"_",M$3),'Unit List'!$A$23:$H$3172,2,FALSE)),"+","")</f>
        <v/>
      </c>
      <c r="N84" s="120" t="str">
        <f>IF(ISTEXT(VLOOKUP(CONCATENATE($A84,"_",N$3),'Unit List'!$A$23:$H$3172,2,FALSE)),"X",$M84)</f>
        <v/>
      </c>
      <c r="O84" s="122" t="str">
        <f>IF(ISTEXT(VLOOKUP(CONCATENATE($A84,"_",O$3),'Unit List'!$A$23:$H$3172,2,FALSE)),"X",$M84)</f>
        <v/>
      </c>
      <c r="P84" s="172" t="str">
        <f>IF(ISTEXT(VLOOKUP(CONCATENATE($A84,"_",P$3),'Unit List'!$A$23:$H$3172,2,FALSE)),"+","")</f>
        <v/>
      </c>
      <c r="Q84" s="120" t="str">
        <f>IF(ISTEXT(VLOOKUP(CONCATENATE($A84,"_",Q$3),'Unit List'!$A$23:$H$3172,2,FALSE)),"X",$P84)</f>
        <v/>
      </c>
      <c r="R84" s="120" t="str">
        <f>IF(ISTEXT(VLOOKUP(CONCATENATE($A84,"_",R$3),'Unit List'!$A$23:$H$3172,2,FALSE)),"X",$P84)</f>
        <v/>
      </c>
      <c r="S84" s="120" t="str">
        <f>IF(ISTEXT(VLOOKUP(CONCATENATE($A84,"_",S$3),'Unit List'!$A$23:$H$3172,2,FALSE)),"X",$P84)</f>
        <v/>
      </c>
      <c r="T84" s="121" t="str">
        <f>IF(ISTEXT(VLOOKUP(CONCATENATE($A84,"_",T$3),'Unit List'!$A$23:$H$3172,2,FALSE)),"X",$P84)</f>
        <v/>
      </c>
      <c r="U84" s="120" t="str">
        <f>IF(ISTEXT(VLOOKUP(CONCATENATE($A84,"_",U$3),'Unit List'!$A$23:$H$3172,2,FALSE)),"X",$P84)</f>
        <v/>
      </c>
      <c r="V84" s="120" t="str">
        <f>IF(ISTEXT(VLOOKUP(CONCATENATE($A84,"_",V$3),'Unit List'!$A$23:$H$3172,2,FALSE)),"X",$P84)</f>
        <v/>
      </c>
      <c r="W84" s="122" t="str">
        <f>IF(ISTEXT(VLOOKUP(CONCATENATE($A84,"_",W$3),'Unit List'!$A$23:$H$3172,2,FALSE)),"X",$P84)</f>
        <v/>
      </c>
      <c r="X84" s="172" t="str">
        <f>IF(ISTEXT(VLOOKUP(CONCATENATE($A84,"_",X$3),'Unit List'!$A$23:$H$3172,2,FALSE)),"+","")</f>
        <v/>
      </c>
      <c r="Y84" s="120" t="str">
        <f>IF(ISTEXT(VLOOKUP(CONCATENATE($A84,"_",Y$3),'Unit List'!$A$23:$H$3172,2,FALSE)),"X",$X84)</f>
        <v/>
      </c>
      <c r="Z84" s="120" t="str">
        <f>IF(ISTEXT(VLOOKUP(CONCATENATE($A84,"_",Z$3),'Unit List'!$A$23:$H$3172,2,FALSE)),"X",$X84)</f>
        <v/>
      </c>
      <c r="AA84" s="120" t="str">
        <f>IF(ISTEXT(VLOOKUP(CONCATENATE($A84,"_",AA$3),'Unit List'!$A$23:$H$3172,2,FALSE)),"X",$X84)</f>
        <v/>
      </c>
      <c r="AB84" s="120" t="str">
        <f>IF(ISTEXT(VLOOKUP(CONCATENATE($A84,"_",AB$3),'Unit List'!$A$23:$H$3172,2,FALSE)),"X",$X84)</f>
        <v/>
      </c>
      <c r="AC84" s="75" t="str">
        <f>IF(ISTEXT(VLOOKUP(CONCATENATE($A84,"_",AC$3),'Unit List'!$A$23:$H$3172,2,FALSE)),"X",$X84)</f>
        <v/>
      </c>
      <c r="AD84" s="172" t="str">
        <f>IF(ISTEXT(VLOOKUP(CONCATENATE($A84,"_",AD$3),'Unit List'!$A$23:$H$3172,2,FALSE)),"+","")</f>
        <v/>
      </c>
      <c r="AE84" s="120" t="str">
        <f>IF(ISTEXT(VLOOKUP(CONCATENATE($A84,"_",AE$3),'Unit List'!$A$23:$H$3172,2,FALSE)),"X",$AD84)</f>
        <v/>
      </c>
      <c r="AF84" s="120" t="str">
        <f>IF(ISTEXT(VLOOKUP(CONCATENATE($A84,"_",AF$3),'Unit List'!$A$23:$H$3172,2,FALSE)),"X",$AD84)</f>
        <v/>
      </c>
      <c r="AG84" s="172" t="str">
        <f>IF(ISTEXT(VLOOKUP(CONCATENATE($A84,"_",AG$3),'Unit List'!$A$23:$H$3172,2,FALSE)),"+","")</f>
        <v/>
      </c>
      <c r="AH84" s="120" t="str">
        <f>IF(ISTEXT(VLOOKUP(CONCATENATE($A84,"_",AH$3),'Unit List'!$A$23:$H$3172,2,FALSE)),"X",$AG84)</f>
        <v/>
      </c>
      <c r="AI84" s="120" t="str">
        <f>IF(ISTEXT(VLOOKUP(CONCATENATE($A84,"_",AI$3),'Unit List'!$A$23:$H$3172,2,FALSE)),"X",$AG84)</f>
        <v/>
      </c>
      <c r="AJ84" s="122" t="str">
        <f>IF(ISTEXT(VLOOKUP(CONCATENATE($A84,"_",AJ$3),'Unit List'!$A$23:$H$3172,2,FALSE)),"X",$AG84)</f>
        <v/>
      </c>
      <c r="AK84" s="172" t="str">
        <f>IF(ISTEXT(VLOOKUP(CONCATENATE($A84,"_",AK$3),'Unit List'!$A$23:$H$3172,2,FALSE)),"+","")</f>
        <v/>
      </c>
      <c r="AL84" s="121" t="str">
        <f>IF(ISTEXT(VLOOKUP(CONCATENATE($A84,"_",AL$3),'Unit List'!$A$23:$H$3172,2,FALSE)),"X",$AK84)</f>
        <v/>
      </c>
      <c r="AM84" s="122" t="str">
        <f>IF(ISTEXT(VLOOKUP(CONCATENATE($A84,"_",AM$3),'Unit List'!$A$23:$H$3172,2,FALSE)),"X",$AK84)</f>
        <v/>
      </c>
      <c r="AN84" s="125" t="str">
        <f>IF(ISTEXT(VLOOKUP(CONCATENATE($A84,"_",AN$3),'Unit List'!$A$23:$H$3172,2,FALSE)),"+","")</f>
        <v/>
      </c>
      <c r="AO84" s="122" t="str">
        <f>IF(ISTEXT(VLOOKUP(CONCATENATE($A84,"_",AO$3),'Unit List'!$A$23:$H$3172,2,FALSE)),"X",$AN84)</f>
        <v/>
      </c>
      <c r="AP84" s="172" t="str">
        <f>IF(ISTEXT(VLOOKUP(CONCATENATE($A84,"_",AP$3),'Unit List'!$A$23:$H$3172,2,FALSE)),"+","")</f>
        <v/>
      </c>
      <c r="AQ84" s="120" t="str">
        <f>IF(ISTEXT(VLOOKUP(CONCATENATE($A84,"_",AQ$3),'Unit List'!$A$23:$H$3172,2,FALSE)),"X",$AP84)</f>
        <v/>
      </c>
      <c r="AR84" s="120" t="str">
        <f>IF(ISTEXT(VLOOKUP(CONCATENATE($A84,"_",AR$3),'Unit List'!$A$23:$H$3172,2,FALSE)),"X",$AP84)</f>
        <v/>
      </c>
      <c r="AS84" s="120" t="str">
        <f>IF(ISTEXT(VLOOKUP(CONCATENATE($A84,"_",AS$3),'Unit List'!$A$23:$H$3172,2,FALSE)),"X",$AP84)</f>
        <v/>
      </c>
      <c r="AT84" s="122" t="str">
        <f>IF(ISTEXT(VLOOKUP(CONCATENATE($A84,"_",AT$3),'Unit List'!$A$23:$H$3172,2,FALSE)),"X",$AP84)</f>
        <v/>
      </c>
      <c r="AU84" s="124" t="str">
        <f>IF(ISTEXT(VLOOKUP(CONCATENATE($A84,"_",AU$3),'Unit List'!$A$23:$H$3172,2,FALSE)),"+","")</f>
        <v/>
      </c>
      <c r="AV84" s="120" t="str">
        <f>IF(ISTEXT(VLOOKUP(CONCATENATE($A84,"_",AV$3),'Unit List'!$A$23:$H$3172,2,FALSE)),"X",$AU84)</f>
        <v/>
      </c>
      <c r="AW84" s="122" t="str">
        <f>IF(ISTEXT(VLOOKUP(CONCATENATE($A84,"_",AW$3),'Unit List'!$A$23:$H$3172,2,FALSE)),"X",$AU84)</f>
        <v/>
      </c>
      <c r="AX84" s="172" t="str">
        <f>IF(ISTEXT(VLOOKUP(CONCATENATE($A84,"_",AX$3),'Unit List'!$A$23:$H$3172,2,FALSE)),"+","")</f>
        <v/>
      </c>
      <c r="AY84" s="120" t="str">
        <f>IF(ISTEXT(VLOOKUP(CONCATENATE($A84,"_",AY$3),'Unit List'!$A$23:$H$3172,2,FALSE)),"X",$AX84)</f>
        <v/>
      </c>
      <c r="AZ84" s="122" t="str">
        <f>IF(ISTEXT(VLOOKUP(CONCATENATE($A84,"_",AZ$3),'Unit List'!$A$23:$H$3172,2,FALSE)),"X",$AX84)</f>
        <v/>
      </c>
      <c r="BA84" s="182" t="str">
        <f>IF(ISTEXT(VLOOKUP(CONCATENATE($A84,"_",BA$3),'Unit List'!$A$23:$H$3172,2,FALSE)),"+","")</f>
        <v/>
      </c>
      <c r="BB84" s="120" t="str">
        <f>IF(ISTEXT(VLOOKUP(CONCATENATE($A84,"_",BB$3),'Unit List'!$A$23:$H$3172,2,FALSE)),"X",$BA84)</f>
        <v/>
      </c>
      <c r="BC84" s="120" t="str">
        <f>IF(ISTEXT(VLOOKUP(CONCATENATE($A84,"_",BC$3),'Unit List'!$A$23:$H$3172,2,FALSE)),"X",$BA84)</f>
        <v/>
      </c>
      <c r="BD84" s="122" t="str">
        <f>IF(ISTEXT(VLOOKUP(CONCATENATE($A84,"_",BD$3),'Unit List'!$A$23:$H$3172,2,FALSE)),"X",$BA84)</f>
        <v/>
      </c>
      <c r="BE84" s="125" t="str">
        <f>IF(ISTEXT(VLOOKUP(CONCATENATE($A84,"_",BE$3),'Unit List'!$A$23:$H$3172,2,FALSE)),"+","")</f>
        <v/>
      </c>
      <c r="BF84" s="75" t="str">
        <f>IF(ISTEXT(VLOOKUP(CONCATENATE($A84,"_",BF$3),'Unit List'!$A$23:$H$3172,2,FALSE)),"X",$BE84)</f>
        <v/>
      </c>
      <c r="BG84" s="142" t="s">
        <v>0</v>
      </c>
      <c r="BH84" s="84"/>
      <c r="BI84" s="143"/>
      <c r="BJ84" s="144"/>
      <c r="BK84" s="144"/>
      <c r="BL84" s="145"/>
      <c r="BM84" s="145"/>
      <c r="BN84" s="54"/>
      <c r="BO84" s="54"/>
      <c r="BP84" s="54"/>
      <c r="BQ84" s="54"/>
      <c r="BR84" s="54"/>
      <c r="BS84" s="54"/>
      <c r="DZ84" s="55"/>
      <c r="EA84" s="55"/>
    </row>
    <row r="85" spans="1:131" ht="12.75" customHeight="1" x14ac:dyDescent="0.2">
      <c r="A85" s="138" t="s">
        <v>1133</v>
      </c>
      <c r="B85" s="181" t="str">
        <f>IF(ISTEXT(VLOOKUP(CONCATENATE($A85,"_",B$3),'Unit List'!$A$23:$H$3172,2,FALSE)),"+","")</f>
        <v/>
      </c>
      <c r="C85" s="119" t="str">
        <f>IF(ISTEXT(VLOOKUP(CONCATENATE($A85,"_",C$3),'Unit List'!$A$23:$H$3172,2,FALSE)),"X",$B85)</f>
        <v/>
      </c>
      <c r="D85" s="120" t="str">
        <f>IF(ISTEXT(VLOOKUP(CONCATENATE($A85,"_",D$3),'Unit List'!$A$23:$H$3172,2,FALSE)),"X",$B85)</f>
        <v/>
      </c>
      <c r="E85" s="120" t="str">
        <f>IF(ISTEXT(VLOOKUP(CONCATENATE($A85,"_",E$3),'Unit List'!$A$23:$H$3172,2,FALSE)),"X",$B85)</f>
        <v/>
      </c>
      <c r="F85" s="120" t="str">
        <f>IF(ISTEXT(VLOOKUP(CONCATENATE($A85,"_",F$3),'Unit List'!$A$23:$H$3172,2,FALSE)),"X",$B85)</f>
        <v/>
      </c>
      <c r="G85" s="120" t="str">
        <f>IF(ISTEXT(VLOOKUP(CONCATENATE($A85,"_",G$3),'Unit List'!$A$23:$H$3172,2,FALSE)),"X",$B85)</f>
        <v/>
      </c>
      <c r="H85" s="120" t="str">
        <f>IF(ISTEXT(VLOOKUP(CONCATENATE($A85,"_",H$3),'Unit List'!$A$23:$H$3172,2,FALSE)),"X",$B85)</f>
        <v/>
      </c>
      <c r="I85" s="122" t="str">
        <f>IF(ISTEXT(VLOOKUP(CONCATENATE($A85,"_",I$3),'Unit List'!$A$23:$H$3172,2,FALSE)),"X",$B85)</f>
        <v/>
      </c>
      <c r="J85" s="172" t="str">
        <f>IF(ISTEXT(VLOOKUP(CONCATENATE($A85,"_",J$3),'Unit List'!$A$23:$H$3172,2,FALSE)),"+","")</f>
        <v/>
      </c>
      <c r="K85" s="120" t="str">
        <f>IF(ISTEXT(VLOOKUP(CONCATENATE($A85,"_",K$3),'Unit List'!$A$23:$H$3172,2,FALSE)),"X",$J85)</f>
        <v/>
      </c>
      <c r="L85" s="75" t="str">
        <f>IF(ISTEXT(VLOOKUP(CONCATENATE($A85,"_",L$3),'Unit List'!$A$23:$H$3172,2,FALSE)),"X",$J85)</f>
        <v/>
      </c>
      <c r="M85" s="172" t="str">
        <f>IF(ISTEXT(VLOOKUP(CONCATENATE($A85,"_",M$3),'Unit List'!$A$23:$H$3172,2,FALSE)),"+","")</f>
        <v/>
      </c>
      <c r="N85" s="120" t="str">
        <f>IF(ISTEXT(VLOOKUP(CONCATENATE($A85,"_",N$3),'Unit List'!$A$23:$H$3172,2,FALSE)),"X",$M85)</f>
        <v/>
      </c>
      <c r="O85" s="122" t="str">
        <f>IF(ISTEXT(VLOOKUP(CONCATENATE($A85,"_",O$3),'Unit List'!$A$23:$H$3172,2,FALSE)),"X",$M85)</f>
        <v/>
      </c>
      <c r="P85" s="172" t="str">
        <f>IF(ISTEXT(VLOOKUP(CONCATENATE($A85,"_",P$3),'Unit List'!$A$23:$H$3172,2,FALSE)),"+","")</f>
        <v/>
      </c>
      <c r="Q85" s="120" t="str">
        <f>IF(ISTEXT(VLOOKUP(CONCATENATE($A85,"_",Q$3),'Unit List'!$A$23:$H$3172,2,FALSE)),"X",$P85)</f>
        <v/>
      </c>
      <c r="R85" s="120" t="str">
        <f>IF(ISTEXT(VLOOKUP(CONCATENATE($A85,"_",R$3),'Unit List'!$A$23:$H$3172,2,FALSE)),"X",$P85)</f>
        <v/>
      </c>
      <c r="S85" s="120" t="str">
        <f>IF(ISTEXT(VLOOKUP(CONCATENATE($A85,"_",S$3),'Unit List'!$A$23:$H$3172,2,FALSE)),"X",$P85)</f>
        <v/>
      </c>
      <c r="T85" s="121" t="str">
        <f>IF(ISTEXT(VLOOKUP(CONCATENATE($A85,"_",T$3),'Unit List'!$A$23:$H$3172,2,FALSE)),"X",$P85)</f>
        <v/>
      </c>
      <c r="U85" s="120" t="str">
        <f>IF(ISTEXT(VLOOKUP(CONCATENATE($A85,"_",U$3),'Unit List'!$A$23:$H$3172,2,FALSE)),"X",$P85)</f>
        <v/>
      </c>
      <c r="V85" s="120" t="str">
        <f>IF(ISTEXT(VLOOKUP(CONCATENATE($A85,"_",V$3),'Unit List'!$A$23:$H$3172,2,FALSE)),"X",$P85)</f>
        <v/>
      </c>
      <c r="W85" s="122" t="str">
        <f>IF(ISTEXT(VLOOKUP(CONCATENATE($A85,"_",W$3),'Unit List'!$A$23:$H$3172,2,FALSE)),"X",$P85)</f>
        <v/>
      </c>
      <c r="X85" s="172" t="str">
        <f>IF(ISTEXT(VLOOKUP(CONCATENATE($A85,"_",X$3),'Unit List'!$A$23:$H$3172,2,FALSE)),"+","")</f>
        <v/>
      </c>
      <c r="Y85" s="120" t="str">
        <f>IF(ISTEXT(VLOOKUP(CONCATENATE($A85,"_",Y$3),'Unit List'!$A$23:$H$3172,2,FALSE)),"X",$X85)</f>
        <v/>
      </c>
      <c r="Z85" s="120" t="str">
        <f>IF(ISTEXT(VLOOKUP(CONCATENATE($A85,"_",Z$3),'Unit List'!$A$23:$H$3172,2,FALSE)),"X",$X85)</f>
        <v/>
      </c>
      <c r="AA85" s="120" t="str">
        <f>IF(ISTEXT(VLOOKUP(CONCATENATE($A85,"_",AA$3),'Unit List'!$A$23:$H$3172,2,FALSE)),"X",$X85)</f>
        <v/>
      </c>
      <c r="AB85" s="120" t="str">
        <f>IF(ISTEXT(VLOOKUP(CONCATENATE($A85,"_",AB$3),'Unit List'!$A$23:$H$3172,2,FALSE)),"X",$X85)</f>
        <v/>
      </c>
      <c r="AC85" s="75" t="str">
        <f>IF(ISTEXT(VLOOKUP(CONCATENATE($A85,"_",AC$3),'Unit List'!$A$23:$H$3172,2,FALSE)),"X",$X85)</f>
        <v/>
      </c>
      <c r="AD85" s="172" t="str">
        <f>IF(ISTEXT(VLOOKUP(CONCATENATE($A85,"_",AD$3),'Unit List'!$A$23:$H$3172,2,FALSE)),"+","")</f>
        <v/>
      </c>
      <c r="AE85" s="120" t="str">
        <f>IF(ISTEXT(VLOOKUP(CONCATENATE($A85,"_",AE$3),'Unit List'!$A$23:$H$3172,2,FALSE)),"X",$AD85)</f>
        <v/>
      </c>
      <c r="AF85" s="120" t="str">
        <f>IF(ISTEXT(VLOOKUP(CONCATENATE($A85,"_",AF$3),'Unit List'!$A$23:$H$3172,2,FALSE)),"X",$AD85)</f>
        <v/>
      </c>
      <c r="AG85" s="172" t="str">
        <f>IF(ISTEXT(VLOOKUP(CONCATENATE($A85,"_",AG$3),'Unit List'!$A$23:$H$3172,2,FALSE)),"+","")</f>
        <v/>
      </c>
      <c r="AH85" s="120" t="str">
        <f>IF(ISTEXT(VLOOKUP(CONCATENATE($A85,"_",AH$3),'Unit List'!$A$23:$H$3172,2,FALSE)),"X",$AG85)</f>
        <v/>
      </c>
      <c r="AI85" s="120" t="str">
        <f>IF(ISTEXT(VLOOKUP(CONCATENATE($A85,"_",AI$3),'Unit List'!$A$23:$H$3172,2,FALSE)),"X",$AG85)</f>
        <v/>
      </c>
      <c r="AJ85" s="122" t="str">
        <f>IF(ISTEXT(VLOOKUP(CONCATENATE($A85,"_",AJ$3),'Unit List'!$A$23:$H$3172,2,FALSE)),"X",$AG85)</f>
        <v/>
      </c>
      <c r="AK85" s="172" t="str">
        <f>IF(ISTEXT(VLOOKUP(CONCATENATE($A85,"_",AK$3),'Unit List'!$A$23:$H$3172,2,FALSE)),"+","")</f>
        <v/>
      </c>
      <c r="AL85" s="121" t="str">
        <f>IF(ISTEXT(VLOOKUP(CONCATENATE($A85,"_",AL$3),'Unit List'!$A$23:$H$3172,2,FALSE)),"X",$AK85)</f>
        <v/>
      </c>
      <c r="AM85" s="122" t="str">
        <f>IF(ISTEXT(VLOOKUP(CONCATENATE($A85,"_",AM$3),'Unit List'!$A$23:$H$3172,2,FALSE)),"X",$AK85)</f>
        <v/>
      </c>
      <c r="AN85" s="125" t="str">
        <f>IF(ISTEXT(VLOOKUP(CONCATENATE($A85,"_",AN$3),'Unit List'!$A$23:$H$3172,2,FALSE)),"+","")</f>
        <v/>
      </c>
      <c r="AO85" s="122" t="str">
        <f>IF(ISTEXT(VLOOKUP(CONCATENATE($A85,"_",AO$3),'Unit List'!$A$23:$H$3172,2,FALSE)),"X",$AN85)</f>
        <v/>
      </c>
      <c r="AP85" s="172" t="str">
        <f>IF(ISTEXT(VLOOKUP(CONCATENATE($A85,"_",AP$3),'Unit List'!$A$23:$H$3172,2,FALSE)),"+","")</f>
        <v/>
      </c>
      <c r="AQ85" s="120" t="str">
        <f>IF(ISTEXT(VLOOKUP(CONCATENATE($A85,"_",AQ$3),'Unit List'!$A$23:$H$3172,2,FALSE)),"X",$AP85)</f>
        <v/>
      </c>
      <c r="AR85" s="120" t="str">
        <f>IF(ISTEXT(VLOOKUP(CONCATENATE($A85,"_",AR$3),'Unit List'!$A$23:$H$3172,2,FALSE)),"X",$AP85)</f>
        <v/>
      </c>
      <c r="AS85" s="120" t="str">
        <f>IF(ISTEXT(VLOOKUP(CONCATENATE($A85,"_",AS$3),'Unit List'!$A$23:$H$3172,2,FALSE)),"X",$AP85)</f>
        <v/>
      </c>
      <c r="AT85" s="122" t="str">
        <f>IF(ISTEXT(VLOOKUP(CONCATENATE($A85,"_",AT$3),'Unit List'!$A$23:$H$3172,2,FALSE)),"X",$AP85)</f>
        <v/>
      </c>
      <c r="AU85" s="124" t="str">
        <f>IF(ISTEXT(VLOOKUP(CONCATENATE($A85,"_",AU$3),'Unit List'!$A$23:$H$3172,2,FALSE)),"+","")</f>
        <v/>
      </c>
      <c r="AV85" s="120" t="str">
        <f>IF(ISTEXT(VLOOKUP(CONCATENATE($A85,"_",AV$3),'Unit List'!$A$23:$H$3172,2,FALSE)),"X",$AU85)</f>
        <v/>
      </c>
      <c r="AW85" s="122" t="str">
        <f>IF(ISTEXT(VLOOKUP(CONCATENATE($A85,"_",AW$3),'Unit List'!$A$23:$H$3172,2,FALSE)),"X",$AU85)</f>
        <v/>
      </c>
      <c r="AX85" s="172" t="str">
        <f>IF(ISTEXT(VLOOKUP(CONCATENATE($A85,"_",AX$3),'Unit List'!$A$23:$H$3172,2,FALSE)),"+","")</f>
        <v/>
      </c>
      <c r="AY85" s="120" t="str">
        <f>IF(ISTEXT(VLOOKUP(CONCATENATE($A85,"_",AY$3),'Unit List'!$A$23:$H$3172,2,FALSE)),"X",$AX85)</f>
        <v/>
      </c>
      <c r="AZ85" s="122" t="str">
        <f>IF(ISTEXT(VLOOKUP(CONCATENATE($A85,"_",AZ$3),'Unit List'!$A$23:$H$3172,2,FALSE)),"X",$AX85)</f>
        <v/>
      </c>
      <c r="BA85" s="182" t="str">
        <f>IF(ISTEXT(VLOOKUP(CONCATENATE($A85,"_",BA$3),'Unit List'!$A$23:$H$3172,2,FALSE)),"+","")</f>
        <v/>
      </c>
      <c r="BB85" s="120" t="str">
        <f>IF(ISTEXT(VLOOKUP(CONCATENATE($A85,"_",BB$3),'Unit List'!$A$23:$H$3172,2,FALSE)),"X",$BA85)</f>
        <v/>
      </c>
      <c r="BC85" s="120" t="str">
        <f>IF(ISTEXT(VLOOKUP(CONCATENATE($A85,"_",BC$3),'Unit List'!$A$23:$H$3172,2,FALSE)),"X",$BA85)</f>
        <v/>
      </c>
      <c r="BD85" s="122" t="str">
        <f>IF(ISTEXT(VLOOKUP(CONCATENATE($A85,"_",BD$3),'Unit List'!$A$23:$H$3172,2,FALSE)),"X",$BA85)</f>
        <v/>
      </c>
      <c r="BE85" s="125" t="str">
        <f>IF(ISTEXT(VLOOKUP(CONCATENATE($A85,"_",BE$3),'Unit List'!$A$23:$H$3172,2,FALSE)),"+","")</f>
        <v/>
      </c>
      <c r="BF85" s="75" t="str">
        <f>IF(ISTEXT(VLOOKUP(CONCATENATE($A85,"_",BF$3),'Unit List'!$A$23:$H$3172,2,FALSE)),"X",$BE85)</f>
        <v/>
      </c>
      <c r="BG85" s="122"/>
      <c r="BH85" s="65" t="s">
        <v>0</v>
      </c>
      <c r="BI85" s="143"/>
      <c r="BJ85" s="144"/>
      <c r="BK85" s="144"/>
      <c r="BL85" s="145"/>
      <c r="BM85" s="145"/>
      <c r="BN85" s="54"/>
      <c r="BO85" s="54"/>
      <c r="BP85" s="54"/>
      <c r="BQ85" s="54"/>
      <c r="BR85" s="54"/>
      <c r="BS85" s="54"/>
      <c r="DZ85" s="55"/>
      <c r="EA85" s="55"/>
    </row>
    <row r="86" spans="1:131" ht="12.75" customHeight="1" x14ac:dyDescent="0.2">
      <c r="A86" s="138" t="s">
        <v>1134</v>
      </c>
      <c r="B86" s="190" t="str">
        <f>IF(ISTEXT(VLOOKUP(CONCATENATE($A86,"_",B$3),'Unit List'!$A$23:$H$3172,2,FALSE)),"+","")</f>
        <v/>
      </c>
      <c r="C86" s="119" t="str">
        <f>IF(ISTEXT(VLOOKUP(CONCATENATE($A86,"_",C$3),'Unit List'!$A$23:$H$3172,2,FALSE)),"X",$B86)</f>
        <v/>
      </c>
      <c r="D86" s="120" t="str">
        <f>IF(ISTEXT(VLOOKUP(CONCATENATE($A86,"_",D$3),'Unit List'!$A$23:$H$3172,2,FALSE)),"X",$B86)</f>
        <v/>
      </c>
      <c r="E86" s="120" t="str">
        <f>IF(ISTEXT(VLOOKUP(CONCATENATE($A86,"_",E$3),'Unit List'!$A$23:$H$3172,2,FALSE)),"X",$B86)</f>
        <v/>
      </c>
      <c r="F86" s="120" t="str">
        <f>IF(ISTEXT(VLOOKUP(CONCATENATE($A86,"_",F$3),'Unit List'!$A$23:$H$3172,2,FALSE)),"X",$B86)</f>
        <v/>
      </c>
      <c r="G86" s="120" t="str">
        <f>IF(ISTEXT(VLOOKUP(CONCATENATE($A86,"_",G$3),'Unit List'!$A$23:$H$3172,2,FALSE)),"X",$B86)</f>
        <v/>
      </c>
      <c r="H86" s="120" t="str">
        <f>IF(ISTEXT(VLOOKUP(CONCATENATE($A86,"_",H$3),'Unit List'!$A$23:$H$3172,2,FALSE)),"X",$B86)</f>
        <v/>
      </c>
      <c r="I86" s="122" t="str">
        <f>IF(ISTEXT(VLOOKUP(CONCATENATE($A86,"_",I$3),'Unit List'!$A$23:$H$3172,2,FALSE)),"X",$B86)</f>
        <v/>
      </c>
      <c r="J86" s="172" t="str">
        <f>IF(ISTEXT(VLOOKUP(CONCATENATE($A86,"_",J$3),'Unit List'!$A$23:$H$3172,2,FALSE)),"+","")</f>
        <v/>
      </c>
      <c r="K86" s="120" t="str">
        <f>IF(ISTEXT(VLOOKUP(CONCATENATE($A86,"_",K$3),'Unit List'!$A$23:$H$3172,2,FALSE)),"X",$J86)</f>
        <v/>
      </c>
      <c r="L86" s="75" t="str">
        <f>IF(ISTEXT(VLOOKUP(CONCATENATE($A86,"_",L$3),'Unit List'!$A$23:$H$3172,2,FALSE)),"X",$J86)</f>
        <v/>
      </c>
      <c r="M86" s="172" t="str">
        <f>IF(ISTEXT(VLOOKUP(CONCATENATE($A86,"_",M$3),'Unit List'!$A$23:$H$3172,2,FALSE)),"+","")</f>
        <v/>
      </c>
      <c r="N86" s="120" t="str">
        <f>IF(ISTEXT(VLOOKUP(CONCATENATE($A86,"_",N$3),'Unit List'!$A$23:$H$3172,2,FALSE)),"X",$M86)</f>
        <v/>
      </c>
      <c r="O86" s="122" t="str">
        <f>IF(ISTEXT(VLOOKUP(CONCATENATE($A86,"_",O$3),'Unit List'!$A$23:$H$3172,2,FALSE)),"X",$M86)</f>
        <v/>
      </c>
      <c r="P86" s="172" t="str">
        <f>IF(ISTEXT(VLOOKUP(CONCATENATE($A86,"_",P$3),'Unit List'!$A$23:$H$3172,2,FALSE)),"+","")</f>
        <v/>
      </c>
      <c r="Q86" s="120" t="str">
        <f>IF(ISTEXT(VLOOKUP(CONCATENATE($A86,"_",Q$3),'Unit List'!$A$23:$H$3172,2,FALSE)),"X",$P86)</f>
        <v/>
      </c>
      <c r="R86" s="120" t="str">
        <f>IF(ISTEXT(VLOOKUP(CONCATENATE($A86,"_",R$3),'Unit List'!$A$23:$H$3172,2,FALSE)),"X",$P86)</f>
        <v/>
      </c>
      <c r="S86" s="120" t="str">
        <f>IF(ISTEXT(VLOOKUP(CONCATENATE($A86,"_",S$3),'Unit List'!$A$23:$H$3172,2,FALSE)),"X",$P86)</f>
        <v/>
      </c>
      <c r="T86" s="121" t="str">
        <f>IF(ISTEXT(VLOOKUP(CONCATENATE($A86,"_",T$3),'Unit List'!$A$23:$H$3172,2,FALSE)),"X",$P86)</f>
        <v/>
      </c>
      <c r="U86" s="120" t="str">
        <f>IF(ISTEXT(VLOOKUP(CONCATENATE($A86,"_",U$3),'Unit List'!$A$23:$H$3172,2,FALSE)),"X",$P86)</f>
        <v/>
      </c>
      <c r="V86" s="120" t="str">
        <f>IF(ISTEXT(VLOOKUP(CONCATENATE($A86,"_",V$3),'Unit List'!$A$23:$H$3172,2,FALSE)),"X",$P86)</f>
        <v/>
      </c>
      <c r="W86" s="122" t="str">
        <f>IF(ISTEXT(VLOOKUP(CONCATENATE($A86,"_",W$3),'Unit List'!$A$23:$H$3172,2,FALSE)),"X",$P86)</f>
        <v/>
      </c>
      <c r="X86" s="172" t="str">
        <f>IF(ISTEXT(VLOOKUP(CONCATENATE($A86,"_",X$3),'Unit List'!$A$23:$H$3172,2,FALSE)),"+","")</f>
        <v/>
      </c>
      <c r="Y86" s="120" t="str">
        <f>IF(ISTEXT(VLOOKUP(CONCATENATE($A86,"_",Y$3),'Unit List'!$A$23:$H$3172,2,FALSE)),"X",$X86)</f>
        <v/>
      </c>
      <c r="Z86" s="120" t="str">
        <f>IF(ISTEXT(VLOOKUP(CONCATENATE($A86,"_",Z$3),'Unit List'!$A$23:$H$3172,2,FALSE)),"X",$X86)</f>
        <v/>
      </c>
      <c r="AA86" s="120" t="str">
        <f>IF(ISTEXT(VLOOKUP(CONCATENATE($A86,"_",AA$3),'Unit List'!$A$23:$H$3172,2,FALSE)),"X",$X86)</f>
        <v/>
      </c>
      <c r="AB86" s="120" t="str">
        <f>IF(ISTEXT(VLOOKUP(CONCATENATE($A86,"_",AB$3),'Unit List'!$A$23:$H$3172,2,FALSE)),"X",$X86)</f>
        <v/>
      </c>
      <c r="AC86" s="75" t="str">
        <f>IF(ISTEXT(VLOOKUP(CONCATENATE($A86,"_",AC$3),'Unit List'!$A$23:$H$3172,2,FALSE)),"X",$X86)</f>
        <v/>
      </c>
      <c r="AD86" s="172" t="str">
        <f>IF(ISTEXT(VLOOKUP(CONCATENATE($A86,"_",AD$3),'Unit List'!$A$23:$H$3172,2,FALSE)),"+","")</f>
        <v/>
      </c>
      <c r="AE86" s="120" t="str">
        <f>IF(ISTEXT(VLOOKUP(CONCATENATE($A86,"_",AE$3),'Unit List'!$A$23:$H$3172,2,FALSE)),"X",$AD86)</f>
        <v/>
      </c>
      <c r="AF86" s="120" t="str">
        <f>IF(ISTEXT(VLOOKUP(CONCATENATE($A86,"_",AF$3),'Unit List'!$A$23:$H$3172,2,FALSE)),"X",$AD86)</f>
        <v/>
      </c>
      <c r="AG86" s="172" t="str">
        <f>IF(ISTEXT(VLOOKUP(CONCATENATE($A86,"_",AG$3),'Unit List'!$A$23:$H$3172,2,FALSE)),"+","")</f>
        <v/>
      </c>
      <c r="AH86" s="120" t="str">
        <f>IF(ISTEXT(VLOOKUP(CONCATENATE($A86,"_",AH$3),'Unit List'!$A$23:$H$3172,2,FALSE)),"X",$AG86)</f>
        <v/>
      </c>
      <c r="AI86" s="120" t="str">
        <f>IF(ISTEXT(VLOOKUP(CONCATENATE($A86,"_",AI$3),'Unit List'!$A$23:$H$3172,2,FALSE)),"X",$AG86)</f>
        <v/>
      </c>
      <c r="AJ86" s="122" t="str">
        <f>IF(ISTEXT(VLOOKUP(CONCATENATE($A86,"_",AJ$3),'Unit List'!$A$23:$H$3172,2,FALSE)),"X",$AG86)</f>
        <v/>
      </c>
      <c r="AK86" s="172" t="str">
        <f>IF(ISTEXT(VLOOKUP(CONCATENATE($A86,"_",AK$3),'Unit List'!$A$23:$H$3172,2,FALSE)),"+","")</f>
        <v/>
      </c>
      <c r="AL86" s="121" t="str">
        <f>IF(ISTEXT(VLOOKUP(CONCATENATE($A86,"_",AL$3),'Unit List'!$A$23:$H$3172,2,FALSE)),"X",$AK86)</f>
        <v/>
      </c>
      <c r="AM86" s="122" t="str">
        <f>IF(ISTEXT(VLOOKUP(CONCATENATE($A86,"_",AM$3),'Unit List'!$A$23:$H$3172,2,FALSE)),"X",$AK86)</f>
        <v/>
      </c>
      <c r="AN86" s="125" t="str">
        <f>IF(ISTEXT(VLOOKUP(CONCATENATE($A86,"_",AN$3),'Unit List'!$A$23:$H$3172,2,FALSE)),"+","")</f>
        <v/>
      </c>
      <c r="AO86" s="122" t="str">
        <f>IF(ISTEXT(VLOOKUP(CONCATENATE($A86,"_",AO$3),'Unit List'!$A$23:$H$3172,2,FALSE)),"X",$AN86)</f>
        <v/>
      </c>
      <c r="AP86" s="172" t="str">
        <f>IF(ISTEXT(VLOOKUP(CONCATENATE($A86,"_",AP$3),'Unit List'!$A$23:$H$3172,2,FALSE)),"+","")</f>
        <v/>
      </c>
      <c r="AQ86" s="120" t="str">
        <f>IF(ISTEXT(VLOOKUP(CONCATENATE($A86,"_",AQ$3),'Unit List'!$A$23:$H$3172,2,FALSE)),"X",$AP86)</f>
        <v/>
      </c>
      <c r="AR86" s="120" t="str">
        <f>IF(ISTEXT(VLOOKUP(CONCATENATE($A86,"_",AR$3),'Unit List'!$A$23:$H$3172,2,FALSE)),"X",$AP86)</f>
        <v/>
      </c>
      <c r="AS86" s="120" t="str">
        <f>IF(ISTEXT(VLOOKUP(CONCATENATE($A86,"_",AS$3),'Unit List'!$A$23:$H$3172,2,FALSE)),"X",$AP86)</f>
        <v/>
      </c>
      <c r="AT86" s="122" t="str">
        <f>IF(ISTEXT(VLOOKUP(CONCATENATE($A86,"_",AT$3),'Unit List'!$A$23:$H$3172,2,FALSE)),"X",$AP86)</f>
        <v/>
      </c>
      <c r="AU86" s="124" t="str">
        <f>IF(ISTEXT(VLOOKUP(CONCATENATE($A86,"_",AU$3),'Unit List'!$A$23:$H$3172,2,FALSE)),"+","")</f>
        <v/>
      </c>
      <c r="AV86" s="120" t="str">
        <f>IF(ISTEXT(VLOOKUP(CONCATENATE($A86,"_",AV$3),'Unit List'!$A$23:$H$3172,2,FALSE)),"X",$AU86)</f>
        <v/>
      </c>
      <c r="AW86" s="122" t="str">
        <f>IF(ISTEXT(VLOOKUP(CONCATENATE($A86,"_",AW$3),'Unit List'!$A$23:$H$3172,2,FALSE)),"X",$AU86)</f>
        <v/>
      </c>
      <c r="AX86" s="172" t="str">
        <f>IF(ISTEXT(VLOOKUP(CONCATENATE($A86,"_",AX$3),'Unit List'!$A$23:$H$3172,2,FALSE)),"+","")</f>
        <v/>
      </c>
      <c r="AY86" s="120" t="str">
        <f>IF(ISTEXT(VLOOKUP(CONCATENATE($A86,"_",AY$3),'Unit List'!$A$23:$H$3172,2,FALSE)),"X",$AX86)</f>
        <v/>
      </c>
      <c r="AZ86" s="122" t="str">
        <f>IF(ISTEXT(VLOOKUP(CONCATENATE($A86,"_",AZ$3),'Unit List'!$A$23:$H$3172,2,FALSE)),"X",$AX86)</f>
        <v/>
      </c>
      <c r="BA86" s="182" t="str">
        <f>IF(ISTEXT(VLOOKUP(CONCATENATE($A86,"_",BA$3),'Unit List'!$A$23:$H$3172,2,FALSE)),"+","")</f>
        <v/>
      </c>
      <c r="BB86" s="120" t="str">
        <f>IF(ISTEXT(VLOOKUP(CONCATENATE($A86,"_",BB$3),'Unit List'!$A$23:$H$3172,2,FALSE)),"X",$BA86)</f>
        <v/>
      </c>
      <c r="BC86" s="120" t="str">
        <f>IF(ISTEXT(VLOOKUP(CONCATENATE($A86,"_",BC$3),'Unit List'!$A$23:$H$3172,2,FALSE)),"X",$BA86)</f>
        <v/>
      </c>
      <c r="BD86" s="122" t="str">
        <f>IF(ISTEXT(VLOOKUP(CONCATENATE($A86,"_",BD$3),'Unit List'!$A$23:$H$3172,2,FALSE)),"X",$BA86)</f>
        <v/>
      </c>
      <c r="BE86" s="125" t="str">
        <f>IF(ISTEXT(VLOOKUP(CONCATENATE($A86,"_",BE$3),'Unit List'!$A$23:$H$3172,2,FALSE)),"+","")</f>
        <v/>
      </c>
      <c r="BF86" s="75" t="str">
        <f>IF(ISTEXT(VLOOKUP(CONCATENATE($A86,"_",BF$3),'Unit List'!$A$23:$H$3172,2,FALSE)),"X",$BE86)</f>
        <v/>
      </c>
      <c r="BG86" s="122"/>
      <c r="BH86" s="65" t="s">
        <v>0</v>
      </c>
      <c r="BI86" s="143"/>
      <c r="BJ86" s="144"/>
      <c r="BK86" s="144"/>
      <c r="BL86" s="145"/>
      <c r="BM86" s="145"/>
      <c r="BN86" s="54"/>
      <c r="BO86" s="54"/>
      <c r="BP86" s="54"/>
      <c r="BQ86" s="54"/>
      <c r="BR86" s="54"/>
      <c r="BS86" s="54"/>
      <c r="DZ86" s="55"/>
      <c r="EA86" s="55"/>
    </row>
    <row r="87" spans="1:131" ht="12.75" customHeight="1" x14ac:dyDescent="0.2">
      <c r="A87" s="138" t="s">
        <v>1135</v>
      </c>
      <c r="B87" s="190" t="str">
        <f>IF(ISTEXT(VLOOKUP(CONCATENATE($A87,"_",B$3),'Unit List'!$A$23:$H$3172,2,FALSE)),"+","")</f>
        <v/>
      </c>
      <c r="C87" s="119" t="str">
        <f>IF(ISTEXT(VLOOKUP(CONCATENATE($A87,"_",C$3),'Unit List'!$A$23:$H$3172,2,FALSE)),"X",$B87)</f>
        <v/>
      </c>
      <c r="D87" s="120" t="str">
        <f>IF(ISTEXT(VLOOKUP(CONCATENATE($A87,"_",D$3),'Unit List'!$A$23:$H$3172,2,FALSE)),"X",$B87)</f>
        <v/>
      </c>
      <c r="E87" s="120" t="str">
        <f>IF(ISTEXT(VLOOKUP(CONCATENATE($A87,"_",E$3),'Unit List'!$A$23:$H$3172,2,FALSE)),"X",$B87)</f>
        <v/>
      </c>
      <c r="F87" s="120" t="str">
        <f>IF(ISTEXT(VLOOKUP(CONCATENATE($A87,"_",F$3),'Unit List'!$A$23:$H$3172,2,FALSE)),"X",$B87)</f>
        <v/>
      </c>
      <c r="G87" s="120" t="str">
        <f>IF(ISTEXT(VLOOKUP(CONCATENATE($A87,"_",G$3),'Unit List'!$A$23:$H$3172,2,FALSE)),"X",$B87)</f>
        <v/>
      </c>
      <c r="H87" s="120" t="str">
        <f>IF(ISTEXT(VLOOKUP(CONCATENATE($A87,"_",H$3),'Unit List'!$A$23:$H$3172,2,FALSE)),"X",$B87)</f>
        <v/>
      </c>
      <c r="I87" s="122" t="str">
        <f>IF(ISTEXT(VLOOKUP(CONCATENATE($A87,"_",I$3),'Unit List'!$A$23:$H$3172,2,FALSE)),"X",$B87)</f>
        <v/>
      </c>
      <c r="J87" s="172" t="str">
        <f>IF(ISTEXT(VLOOKUP(CONCATENATE($A87,"_",J$3),'Unit List'!$A$23:$H$3172,2,FALSE)),"+","")</f>
        <v/>
      </c>
      <c r="K87" s="120" t="str">
        <f>IF(ISTEXT(VLOOKUP(CONCATENATE($A87,"_",K$3),'Unit List'!$A$23:$H$3172,2,FALSE)),"X",$J87)</f>
        <v/>
      </c>
      <c r="L87" s="75" t="str">
        <f>IF(ISTEXT(VLOOKUP(CONCATENATE($A87,"_",L$3),'Unit List'!$A$23:$H$3172,2,FALSE)),"X",$J87)</f>
        <v/>
      </c>
      <c r="M87" s="172" t="str">
        <f>IF(ISTEXT(VLOOKUP(CONCATENATE($A87,"_",M$3),'Unit List'!$A$23:$H$3172,2,FALSE)),"+","")</f>
        <v/>
      </c>
      <c r="N87" s="120" t="str">
        <f>IF(ISTEXT(VLOOKUP(CONCATENATE($A87,"_",N$3),'Unit List'!$A$23:$H$3172,2,FALSE)),"X",$M87)</f>
        <v/>
      </c>
      <c r="O87" s="122" t="str">
        <f>IF(ISTEXT(VLOOKUP(CONCATENATE($A87,"_",O$3),'Unit List'!$A$23:$H$3172,2,FALSE)),"X",$M87)</f>
        <v/>
      </c>
      <c r="P87" s="172" t="str">
        <f>IF(ISTEXT(VLOOKUP(CONCATENATE($A87,"_",P$3),'Unit List'!$A$23:$H$3172,2,FALSE)),"+","")</f>
        <v/>
      </c>
      <c r="Q87" s="120" t="str">
        <f>IF(ISTEXT(VLOOKUP(CONCATENATE($A87,"_",Q$3),'Unit List'!$A$23:$H$3172,2,FALSE)),"X",$P87)</f>
        <v/>
      </c>
      <c r="R87" s="120" t="str">
        <f>IF(ISTEXT(VLOOKUP(CONCATENATE($A87,"_",R$3),'Unit List'!$A$23:$H$3172,2,FALSE)),"X",$P87)</f>
        <v/>
      </c>
      <c r="S87" s="120" t="str">
        <f>IF(ISTEXT(VLOOKUP(CONCATENATE($A87,"_",S$3),'Unit List'!$A$23:$H$3172,2,FALSE)),"X",$P87)</f>
        <v/>
      </c>
      <c r="T87" s="121" t="str">
        <f>IF(ISTEXT(VLOOKUP(CONCATENATE($A87,"_",T$3),'Unit List'!$A$23:$H$3172,2,FALSE)),"X",$P87)</f>
        <v/>
      </c>
      <c r="U87" s="120" t="str">
        <f>IF(ISTEXT(VLOOKUP(CONCATENATE($A87,"_",U$3),'Unit List'!$A$23:$H$3172,2,FALSE)),"X",$P87)</f>
        <v>X</v>
      </c>
      <c r="V87" s="120" t="str">
        <f>IF(ISTEXT(VLOOKUP(CONCATENATE($A87,"_",V$3),'Unit List'!$A$23:$H$3172,2,FALSE)),"X",$P87)</f>
        <v/>
      </c>
      <c r="W87" s="122" t="str">
        <f>IF(ISTEXT(VLOOKUP(CONCATENATE($A87,"_",W$3),'Unit List'!$A$23:$H$3172,2,FALSE)),"X",$P87)</f>
        <v/>
      </c>
      <c r="X87" s="172" t="str">
        <f>IF(ISTEXT(VLOOKUP(CONCATENATE($A87,"_",X$3),'Unit List'!$A$23:$H$3172,2,FALSE)),"+","")</f>
        <v/>
      </c>
      <c r="Y87" s="120" t="str">
        <f>IF(ISTEXT(VLOOKUP(CONCATENATE($A87,"_",Y$3),'Unit List'!$A$23:$H$3172,2,FALSE)),"X",$X87)</f>
        <v/>
      </c>
      <c r="Z87" s="120" t="str">
        <f>IF(ISTEXT(VLOOKUP(CONCATENATE($A87,"_",Z$3),'Unit List'!$A$23:$H$3172,2,FALSE)),"X",$X87)</f>
        <v/>
      </c>
      <c r="AA87" s="120" t="str">
        <f>IF(ISTEXT(VLOOKUP(CONCATENATE($A87,"_",AA$3),'Unit List'!$A$23:$H$3172,2,FALSE)),"X",$X87)</f>
        <v/>
      </c>
      <c r="AB87" s="120" t="str">
        <f>IF(ISTEXT(VLOOKUP(CONCATENATE($A87,"_",AB$3),'Unit List'!$A$23:$H$3172,2,FALSE)),"X",$X87)</f>
        <v/>
      </c>
      <c r="AC87" s="75" t="str">
        <f>IF(ISTEXT(VLOOKUP(CONCATENATE($A87,"_",AC$3),'Unit List'!$A$23:$H$3172,2,FALSE)),"X",$X87)</f>
        <v/>
      </c>
      <c r="AD87" s="172" t="str">
        <f>IF(ISTEXT(VLOOKUP(CONCATENATE($A87,"_",AD$3),'Unit List'!$A$23:$H$3172,2,FALSE)),"+","")</f>
        <v/>
      </c>
      <c r="AE87" s="120" t="str">
        <f>IF(ISTEXT(VLOOKUP(CONCATENATE($A87,"_",AE$3),'Unit List'!$A$23:$H$3172,2,FALSE)),"X",$AD87)</f>
        <v/>
      </c>
      <c r="AF87" s="120" t="str">
        <f>IF(ISTEXT(VLOOKUP(CONCATENATE($A87,"_",AF$3),'Unit List'!$A$23:$H$3172,2,FALSE)),"X",$AD87)</f>
        <v/>
      </c>
      <c r="AG87" s="172" t="str">
        <f>IF(ISTEXT(VLOOKUP(CONCATENATE($A87,"_",AG$3),'Unit List'!$A$23:$H$3172,2,FALSE)),"+","")</f>
        <v/>
      </c>
      <c r="AH87" s="120" t="str">
        <f>IF(ISTEXT(VLOOKUP(CONCATENATE($A87,"_",AH$3),'Unit List'!$A$23:$H$3172,2,FALSE)),"X",$AG87)</f>
        <v/>
      </c>
      <c r="AI87" s="120" t="str">
        <f>IF(ISTEXT(VLOOKUP(CONCATENATE($A87,"_",AI$3),'Unit List'!$A$23:$H$3172,2,FALSE)),"X",$AG87)</f>
        <v/>
      </c>
      <c r="AJ87" s="122" t="str">
        <f>IF(ISTEXT(VLOOKUP(CONCATENATE($A87,"_",AJ$3),'Unit List'!$A$23:$H$3172,2,FALSE)),"X",$AG87)</f>
        <v/>
      </c>
      <c r="AK87" s="172" t="str">
        <f>IF(ISTEXT(VLOOKUP(CONCATENATE($A87,"_",AK$3),'Unit List'!$A$23:$H$3172,2,FALSE)),"+","")</f>
        <v/>
      </c>
      <c r="AL87" s="121" t="str">
        <f>IF(ISTEXT(VLOOKUP(CONCATENATE($A87,"_",AL$3),'Unit List'!$A$23:$H$3172,2,FALSE)),"X",$AK87)</f>
        <v/>
      </c>
      <c r="AM87" s="122" t="str">
        <f>IF(ISTEXT(VLOOKUP(CONCATENATE($A87,"_",AM$3),'Unit List'!$A$23:$H$3172,2,FALSE)),"X",$AK87)</f>
        <v/>
      </c>
      <c r="AN87" s="125" t="str">
        <f>IF(ISTEXT(VLOOKUP(CONCATENATE($A87,"_",AN$3),'Unit List'!$A$23:$H$3172,2,FALSE)),"+","")</f>
        <v/>
      </c>
      <c r="AO87" s="122" t="str">
        <f>IF(ISTEXT(VLOOKUP(CONCATENATE($A87,"_",AO$3),'Unit List'!$A$23:$H$3172,2,FALSE)),"X",$AN87)</f>
        <v/>
      </c>
      <c r="AP87" s="172" t="str">
        <f>IF(ISTEXT(VLOOKUP(CONCATENATE($A87,"_",AP$3),'Unit List'!$A$23:$H$3172,2,FALSE)),"+","")</f>
        <v/>
      </c>
      <c r="AQ87" s="120" t="str">
        <f>IF(ISTEXT(VLOOKUP(CONCATENATE($A87,"_",AQ$3),'Unit List'!$A$23:$H$3172,2,FALSE)),"X",$AP87)</f>
        <v/>
      </c>
      <c r="AR87" s="120" t="str">
        <f>IF(ISTEXT(VLOOKUP(CONCATENATE($A87,"_",AR$3),'Unit List'!$A$23:$H$3172,2,FALSE)),"X",$AP87)</f>
        <v/>
      </c>
      <c r="AS87" s="120" t="str">
        <f>IF(ISTEXT(VLOOKUP(CONCATENATE($A87,"_",AS$3),'Unit List'!$A$23:$H$3172,2,FALSE)),"X",$AP87)</f>
        <v/>
      </c>
      <c r="AT87" s="146" t="s">
        <v>0</v>
      </c>
      <c r="AU87" s="124" t="str">
        <f>IF(ISTEXT(VLOOKUP(CONCATENATE($A87,"_",AU$3),'Unit List'!$A$23:$H$3172,2,FALSE)),"+","")</f>
        <v/>
      </c>
      <c r="AV87" s="120" t="str">
        <f>IF(ISTEXT(VLOOKUP(CONCATENATE($A87,"_",AV$3),'Unit List'!$A$23:$H$3172,2,FALSE)),"X",$AU87)</f>
        <v/>
      </c>
      <c r="AW87" s="122" t="str">
        <f>IF(ISTEXT(VLOOKUP(CONCATENATE($A87,"_",AW$3),'Unit List'!$A$23:$H$3172,2,FALSE)),"X",$AU87)</f>
        <v/>
      </c>
      <c r="AX87" s="172" t="str">
        <f>IF(ISTEXT(VLOOKUP(CONCATENATE($A87,"_",AX$3),'Unit List'!$A$23:$H$3172,2,FALSE)),"+","")</f>
        <v/>
      </c>
      <c r="AY87" s="120" t="str">
        <f>IF(ISTEXT(VLOOKUP(CONCATENATE($A87,"_",AY$3),'Unit List'!$A$23:$H$3172,2,FALSE)),"X",$AX87)</f>
        <v/>
      </c>
      <c r="AZ87" s="122" t="str">
        <f>IF(ISTEXT(VLOOKUP(CONCATENATE($A87,"_",AZ$3),'Unit List'!$A$23:$H$3172,2,FALSE)),"X",$AX87)</f>
        <v/>
      </c>
      <c r="BA87" s="182" t="str">
        <f>IF(ISTEXT(VLOOKUP(CONCATENATE($A87,"_",BA$3),'Unit List'!$A$23:$H$3172,2,FALSE)),"+","")</f>
        <v/>
      </c>
      <c r="BB87" s="120" t="str">
        <f>IF(ISTEXT(VLOOKUP(CONCATENATE($A87,"_",BB$3),'Unit List'!$A$23:$H$3172,2,FALSE)),"X",$BA87)</f>
        <v/>
      </c>
      <c r="BC87" s="120" t="str">
        <f>IF(ISTEXT(VLOOKUP(CONCATENATE($A87,"_",BC$3),'Unit List'!$A$23:$H$3172,2,FALSE)),"X",$BA87)</f>
        <v/>
      </c>
      <c r="BD87" s="122" t="str">
        <f>IF(ISTEXT(VLOOKUP(CONCATENATE($A87,"_",BD$3),'Unit List'!$A$23:$H$3172,2,FALSE)),"X",$BA87)</f>
        <v/>
      </c>
      <c r="BE87" s="125" t="str">
        <f>IF(ISTEXT(VLOOKUP(CONCATENATE($A87,"_",BE$3),'Unit List'!$A$23:$H$3172,2,FALSE)),"+","")</f>
        <v/>
      </c>
      <c r="BF87" s="75" t="str">
        <f>IF(ISTEXT(VLOOKUP(CONCATENATE($A87,"_",BF$3),'Unit List'!$A$23:$H$3172,2,FALSE)),"X",$BE87)</f>
        <v/>
      </c>
      <c r="BG87" s="122"/>
      <c r="BH87" s="84"/>
      <c r="BI87" s="143"/>
      <c r="BJ87" s="144"/>
      <c r="BK87" s="144"/>
      <c r="BL87" s="145"/>
      <c r="BM87" s="145"/>
      <c r="BN87" s="54"/>
      <c r="BO87" s="54"/>
      <c r="BP87" s="54"/>
      <c r="BQ87" s="54"/>
      <c r="BR87" s="54"/>
      <c r="BS87" s="54"/>
      <c r="DZ87" s="55"/>
      <c r="EA87" s="55"/>
    </row>
    <row r="88" spans="1:131" ht="12.75" customHeight="1" x14ac:dyDescent="0.2">
      <c r="A88" s="138" t="s">
        <v>1136</v>
      </c>
      <c r="B88" s="190" t="str">
        <f>IF(ISTEXT(VLOOKUP(CONCATENATE($A88,"_",B$3),'Unit List'!$A$23:$H$3172,2,FALSE)),"+","")</f>
        <v/>
      </c>
      <c r="C88" s="119" t="str">
        <f>IF(ISTEXT(VLOOKUP(CONCATENATE($A88,"_",C$3),'Unit List'!$A$23:$H$3172,2,FALSE)),"X",$B88)</f>
        <v/>
      </c>
      <c r="D88" s="120" t="str">
        <f>IF(ISTEXT(VLOOKUP(CONCATENATE($A88,"_",D$3),'Unit List'!$A$23:$H$3172,2,FALSE)),"X",$B88)</f>
        <v/>
      </c>
      <c r="E88" s="120" t="str">
        <f>IF(ISTEXT(VLOOKUP(CONCATENATE($A88,"_",E$3),'Unit List'!$A$23:$H$3172,2,FALSE)),"X",$B88)</f>
        <v/>
      </c>
      <c r="F88" s="120" t="str">
        <f>IF(ISTEXT(VLOOKUP(CONCATENATE($A88,"_",F$3),'Unit List'!$A$23:$H$3172,2,FALSE)),"X",$B88)</f>
        <v/>
      </c>
      <c r="G88" s="120" t="str">
        <f>IF(ISTEXT(VLOOKUP(CONCATENATE($A88,"_",G$3),'Unit List'!$A$23:$H$3172,2,FALSE)),"X",$B88)</f>
        <v/>
      </c>
      <c r="H88" s="120" t="str">
        <f>IF(ISTEXT(VLOOKUP(CONCATENATE($A88,"_",H$3),'Unit List'!$A$23:$H$3172,2,FALSE)),"X",$B88)</f>
        <v/>
      </c>
      <c r="I88" s="122" t="str">
        <f>IF(ISTEXT(VLOOKUP(CONCATENATE($A88,"_",I$3),'Unit List'!$A$23:$H$3172,2,FALSE)),"X",$B88)</f>
        <v/>
      </c>
      <c r="J88" s="172" t="str">
        <f>IF(ISTEXT(VLOOKUP(CONCATENATE($A88,"_",J$3),'Unit List'!$A$23:$H$3172,2,FALSE)),"+","")</f>
        <v/>
      </c>
      <c r="K88" s="120" t="str">
        <f>IF(ISTEXT(VLOOKUP(CONCATENATE($A88,"_",K$3),'Unit List'!$A$23:$H$3172,2,FALSE)),"X",$J88)</f>
        <v/>
      </c>
      <c r="L88" s="75" t="str">
        <f>IF(ISTEXT(VLOOKUP(CONCATENATE($A88,"_",L$3),'Unit List'!$A$23:$H$3172,2,FALSE)),"X",$J88)</f>
        <v/>
      </c>
      <c r="M88" s="172" t="str">
        <f>IF(ISTEXT(VLOOKUP(CONCATENATE($A88,"_",M$3),'Unit List'!$A$23:$H$3172,2,FALSE)),"+","")</f>
        <v/>
      </c>
      <c r="N88" s="120" t="str">
        <f>IF(ISTEXT(VLOOKUP(CONCATENATE($A88,"_",N$3),'Unit List'!$A$23:$H$3172,2,FALSE)),"X",$M88)</f>
        <v/>
      </c>
      <c r="O88" s="122" t="str">
        <f>IF(ISTEXT(VLOOKUP(CONCATENATE($A88,"_",O$3),'Unit List'!$A$23:$H$3172,2,FALSE)),"X",$M88)</f>
        <v/>
      </c>
      <c r="P88" s="172" t="str">
        <f>IF(ISTEXT(VLOOKUP(CONCATENATE($A88,"_",P$3),'Unit List'!$A$23:$H$3172,2,FALSE)),"+","")</f>
        <v/>
      </c>
      <c r="Q88" s="120" t="str">
        <f>IF(ISTEXT(VLOOKUP(CONCATENATE($A88,"_",Q$3),'Unit List'!$A$23:$H$3172,2,FALSE)),"X",$P88)</f>
        <v/>
      </c>
      <c r="R88" s="120" t="str">
        <f>IF(ISTEXT(VLOOKUP(CONCATENATE($A88,"_",R$3),'Unit List'!$A$23:$H$3172,2,FALSE)),"X",$P88)</f>
        <v/>
      </c>
      <c r="S88" s="120" t="str">
        <f>IF(ISTEXT(VLOOKUP(CONCATENATE($A88,"_",S$3),'Unit List'!$A$23:$H$3172,2,FALSE)),"X",$P88)</f>
        <v/>
      </c>
      <c r="T88" s="121" t="str">
        <f>IF(ISTEXT(VLOOKUP(CONCATENATE($A88,"_",T$3),'Unit List'!$A$23:$H$3172,2,FALSE)),"X",$P88)</f>
        <v/>
      </c>
      <c r="U88" s="120" t="str">
        <f>IF(ISTEXT(VLOOKUP(CONCATENATE($A88,"_",U$3),'Unit List'!$A$23:$H$3172,2,FALSE)),"X",$P88)</f>
        <v/>
      </c>
      <c r="V88" s="120" t="str">
        <f>IF(ISTEXT(VLOOKUP(CONCATENATE($A88,"_",V$3),'Unit List'!$A$23:$H$3172,2,FALSE)),"X",$P88)</f>
        <v/>
      </c>
      <c r="W88" s="122" t="str">
        <f>IF(ISTEXT(VLOOKUP(CONCATENATE($A88,"_",W$3),'Unit List'!$A$23:$H$3172,2,FALSE)),"X",$P88)</f>
        <v/>
      </c>
      <c r="X88" s="172" t="str">
        <f>IF(ISTEXT(VLOOKUP(CONCATENATE($A88,"_",X$3),'Unit List'!$A$23:$H$3172,2,FALSE)),"+","")</f>
        <v/>
      </c>
      <c r="Y88" s="120" t="str">
        <f>IF(ISTEXT(VLOOKUP(CONCATENATE($A88,"_",Y$3),'Unit List'!$A$23:$H$3172,2,FALSE)),"X",$X88)</f>
        <v/>
      </c>
      <c r="Z88" s="120" t="str">
        <f>IF(ISTEXT(VLOOKUP(CONCATENATE($A88,"_",Z$3),'Unit List'!$A$23:$H$3172,2,FALSE)),"X",$X88)</f>
        <v/>
      </c>
      <c r="AA88" s="120" t="str">
        <f>IF(ISTEXT(VLOOKUP(CONCATENATE($A88,"_",AA$3),'Unit List'!$A$23:$H$3172,2,FALSE)),"X",$X88)</f>
        <v/>
      </c>
      <c r="AB88" s="120" t="str">
        <f>IF(ISTEXT(VLOOKUP(CONCATENATE($A88,"_",AB$3),'Unit List'!$A$23:$H$3172,2,FALSE)),"X",$X88)</f>
        <v/>
      </c>
      <c r="AC88" s="75" t="str">
        <f>IF(ISTEXT(VLOOKUP(CONCATENATE($A88,"_",AC$3),'Unit List'!$A$23:$H$3172,2,FALSE)),"X",$X88)</f>
        <v/>
      </c>
      <c r="AD88" s="172" t="str">
        <f>IF(ISTEXT(VLOOKUP(CONCATENATE($A88,"_",AD$3),'Unit List'!$A$23:$H$3172,2,FALSE)),"+","")</f>
        <v/>
      </c>
      <c r="AE88" s="120" t="str">
        <f>IF(ISTEXT(VLOOKUP(CONCATENATE($A88,"_",AE$3),'Unit List'!$A$23:$H$3172,2,FALSE)),"X",$AD88)</f>
        <v/>
      </c>
      <c r="AF88" s="120" t="str">
        <f>IF(ISTEXT(VLOOKUP(CONCATENATE($A88,"_",AF$3),'Unit List'!$A$23:$H$3172,2,FALSE)),"X",$AD88)</f>
        <v/>
      </c>
      <c r="AG88" s="172" t="str">
        <f>IF(ISTEXT(VLOOKUP(CONCATENATE($A88,"_",AG$3),'Unit List'!$A$23:$H$3172,2,FALSE)),"+","")</f>
        <v/>
      </c>
      <c r="AH88" s="120" t="str">
        <f>IF(ISTEXT(VLOOKUP(CONCATENATE($A88,"_",AH$3),'Unit List'!$A$23:$H$3172,2,FALSE)),"X",$AG88)</f>
        <v/>
      </c>
      <c r="AI88" s="120" t="str">
        <f>IF(ISTEXT(VLOOKUP(CONCATENATE($A88,"_",AI$3),'Unit List'!$A$23:$H$3172,2,FALSE)),"X",$AG88)</f>
        <v/>
      </c>
      <c r="AJ88" s="122" t="str">
        <f>IF(ISTEXT(VLOOKUP(CONCATENATE($A88,"_",AJ$3),'Unit List'!$A$23:$H$3172,2,FALSE)),"X",$AG88)</f>
        <v/>
      </c>
      <c r="AK88" s="172" t="str">
        <f>IF(ISTEXT(VLOOKUP(CONCATENATE($A88,"_",AK$3),'Unit List'!$A$23:$H$3172,2,FALSE)),"+","")</f>
        <v/>
      </c>
      <c r="AL88" s="121" t="str">
        <f>IF(ISTEXT(VLOOKUP(CONCATENATE($A88,"_",AL$3),'Unit List'!$A$23:$H$3172,2,FALSE)),"X",$AK88)</f>
        <v/>
      </c>
      <c r="AM88" s="122" t="str">
        <f>IF(ISTEXT(VLOOKUP(CONCATENATE($A88,"_",AM$3),'Unit List'!$A$23:$H$3172,2,FALSE)),"X",$AK88)</f>
        <v/>
      </c>
      <c r="AN88" s="125" t="str">
        <f>IF(ISTEXT(VLOOKUP(CONCATENATE($A88,"_",AN$3),'Unit List'!$A$23:$H$3172,2,FALSE)),"+","")</f>
        <v/>
      </c>
      <c r="AO88" s="122" t="str">
        <f>IF(ISTEXT(VLOOKUP(CONCATENATE($A88,"_",AO$3),'Unit List'!$A$23:$H$3172,2,FALSE)),"X",$AN88)</f>
        <v/>
      </c>
      <c r="AP88" s="172" t="str">
        <f>IF(ISTEXT(VLOOKUP(CONCATENATE($A88,"_",AP$3),'Unit List'!$A$23:$H$3172,2,FALSE)),"+","")</f>
        <v/>
      </c>
      <c r="AQ88" s="120" t="str">
        <f>IF(ISTEXT(VLOOKUP(CONCATENATE($A88,"_",AQ$3),'Unit List'!$A$23:$H$3172,2,FALSE)),"X",$AP88)</f>
        <v/>
      </c>
      <c r="AR88" s="120" t="str">
        <f>IF(ISTEXT(VLOOKUP(CONCATENATE($A88,"_",AR$3),'Unit List'!$A$23:$H$3172,2,FALSE)),"X",$AP88)</f>
        <v/>
      </c>
      <c r="AS88" s="120" t="str">
        <f>IF(ISTEXT(VLOOKUP(CONCATENATE($A88,"_",AS$3),'Unit List'!$A$23:$H$3172,2,FALSE)),"X",$AP88)</f>
        <v/>
      </c>
      <c r="AT88" s="122" t="str">
        <f>IF(ISTEXT(VLOOKUP(CONCATENATE($A88,"_",AT$3),'Unit List'!$A$23:$H$3172,2,FALSE)),"X",$AP88)</f>
        <v/>
      </c>
      <c r="AU88" s="124" t="str">
        <f>IF(ISTEXT(VLOOKUP(CONCATENATE($A88,"_",AU$3),'Unit List'!$A$23:$H$3172,2,FALSE)),"+","")</f>
        <v/>
      </c>
      <c r="AV88" s="120" t="str">
        <f>IF(ISTEXT(VLOOKUP(CONCATENATE($A88,"_",AV$3),'Unit List'!$A$23:$H$3172,2,FALSE)),"X",$AU88)</f>
        <v/>
      </c>
      <c r="AW88" s="122" t="str">
        <f>IF(ISTEXT(VLOOKUP(CONCATENATE($A88,"_",AW$3),'Unit List'!$A$23:$H$3172,2,FALSE)),"X",$AU88)</f>
        <v/>
      </c>
      <c r="AX88" s="172" t="str">
        <f>IF(ISTEXT(VLOOKUP(CONCATENATE($A88,"_",AX$3),'Unit List'!$A$23:$H$3172,2,FALSE)),"+","")</f>
        <v/>
      </c>
      <c r="AY88" s="120" t="str">
        <f>IF(ISTEXT(VLOOKUP(CONCATENATE($A88,"_",AY$3),'Unit List'!$A$23:$H$3172,2,FALSE)),"X",$AX88)</f>
        <v/>
      </c>
      <c r="AZ88" s="122" t="str">
        <f>IF(ISTEXT(VLOOKUP(CONCATENATE($A88,"_",AZ$3),'Unit List'!$A$23:$H$3172,2,FALSE)),"X",$AX88)</f>
        <v/>
      </c>
      <c r="BA88" s="182" t="str">
        <f>IF(ISTEXT(VLOOKUP(CONCATENATE($A88,"_",BA$3),'Unit List'!$A$23:$H$3172,2,FALSE)),"+","")</f>
        <v/>
      </c>
      <c r="BB88" s="120" t="str">
        <f>IF(ISTEXT(VLOOKUP(CONCATENATE($A88,"_",BB$3),'Unit List'!$A$23:$H$3172,2,FALSE)),"X",$BA88)</f>
        <v/>
      </c>
      <c r="BC88" s="120" t="str">
        <f>IF(ISTEXT(VLOOKUP(CONCATENATE($A88,"_",BC$3),'Unit List'!$A$23:$H$3172,2,FALSE)),"X",$BA88)</f>
        <v/>
      </c>
      <c r="BD88" s="122" t="str">
        <f>IF(ISTEXT(VLOOKUP(CONCATENATE($A88,"_",BD$3),'Unit List'!$A$23:$H$3172,2,FALSE)),"X",$BA88)</f>
        <v/>
      </c>
      <c r="BE88" s="125" t="str">
        <f>IF(ISTEXT(VLOOKUP(CONCATENATE($A88,"_",BE$3),'Unit List'!$A$23:$H$3172,2,FALSE)),"+","")</f>
        <v/>
      </c>
      <c r="BF88" s="75" t="str">
        <f>IF(ISTEXT(VLOOKUP(CONCATENATE($A88,"_",BF$3),'Unit List'!$A$23:$H$3172,2,FALSE)),"X",$BE88)</f>
        <v/>
      </c>
      <c r="BG88" s="122"/>
      <c r="BH88" s="84"/>
      <c r="BI88" s="143"/>
      <c r="BJ88" s="144"/>
      <c r="BK88" s="144"/>
      <c r="BL88" s="145"/>
      <c r="BM88" s="145"/>
      <c r="BN88" s="54"/>
      <c r="BO88" s="54"/>
      <c r="BP88" s="54"/>
      <c r="BQ88" s="54"/>
      <c r="BR88" s="54"/>
      <c r="BS88" s="54"/>
      <c r="DZ88" s="55"/>
      <c r="EA88" s="55"/>
    </row>
    <row r="89" spans="1:131" ht="12.75" customHeight="1" x14ac:dyDescent="0.2">
      <c r="A89" s="138" t="s">
        <v>1122</v>
      </c>
      <c r="B89" s="181" t="str">
        <f>IF(ISTEXT(VLOOKUP(CONCATENATE($A89,"_",B$3),'Unit List'!$A$23:$H$3172,2,FALSE)),"+","")</f>
        <v/>
      </c>
      <c r="C89" s="119" t="str">
        <f>IF(ISTEXT(VLOOKUP(CONCATENATE($A89,"_",C$3),'Unit List'!$A$23:$H$3172,2,FALSE)),"X",$B89)</f>
        <v/>
      </c>
      <c r="D89" s="120" t="str">
        <f>IF(ISTEXT(VLOOKUP(CONCATENATE($A89,"_",D$3),'Unit List'!$A$23:$H$3172,2,FALSE)),"X",$B89)</f>
        <v/>
      </c>
      <c r="E89" s="120" t="str">
        <f>IF(ISTEXT(VLOOKUP(CONCATENATE($A89,"_",E$3),'Unit List'!$A$23:$H$3172,2,FALSE)),"X",$B89)</f>
        <v/>
      </c>
      <c r="F89" s="120" t="str">
        <f>IF(ISTEXT(VLOOKUP(CONCATENATE($A89,"_",F$3),'Unit List'!$A$23:$H$3172,2,FALSE)),"X",$B89)</f>
        <v/>
      </c>
      <c r="G89" s="120" t="str">
        <f>IF(ISTEXT(VLOOKUP(CONCATENATE($A89,"_",G$3),'Unit List'!$A$23:$H$3172,2,FALSE)),"X",$B89)</f>
        <v/>
      </c>
      <c r="H89" s="120" t="str">
        <f>IF(ISTEXT(VLOOKUP(CONCATENATE($A89,"_",H$3),'Unit List'!$A$23:$H$3172,2,FALSE)),"X",$B89)</f>
        <v/>
      </c>
      <c r="I89" s="122" t="str">
        <f>IF(ISTEXT(VLOOKUP(CONCATENATE($A89,"_",I$3),'Unit List'!$A$23:$H$3172,2,FALSE)),"X",$B89)</f>
        <v/>
      </c>
      <c r="J89" s="172" t="str">
        <f>IF(ISTEXT(VLOOKUP(CONCATENATE($A89,"_",J$3),'Unit List'!$A$23:$H$3172,2,FALSE)),"+","")</f>
        <v/>
      </c>
      <c r="K89" s="120" t="str">
        <f>IF(ISTEXT(VLOOKUP(CONCATENATE($A89,"_",K$3),'Unit List'!$A$23:$H$3172,2,FALSE)),"X",$J89)</f>
        <v/>
      </c>
      <c r="L89" s="75" t="str">
        <f>IF(ISTEXT(VLOOKUP(CONCATENATE($A89,"_",L$3),'Unit List'!$A$23:$H$3172,2,FALSE)),"X",$J89)</f>
        <v/>
      </c>
      <c r="M89" s="172" t="str">
        <f>IF(ISTEXT(VLOOKUP(CONCATENATE($A89,"_",M$3),'Unit List'!$A$23:$H$3172,2,FALSE)),"+","")</f>
        <v/>
      </c>
      <c r="N89" s="120" t="str">
        <f>IF(ISTEXT(VLOOKUP(CONCATENATE($A89,"_",N$3),'Unit List'!$A$23:$H$3172,2,FALSE)),"X",$M89)</f>
        <v/>
      </c>
      <c r="O89" s="122" t="str">
        <f>IF(ISTEXT(VLOOKUP(CONCATENATE($A89,"_",O$3),'Unit List'!$A$23:$H$3172,2,FALSE)),"X",$M89)</f>
        <v/>
      </c>
      <c r="P89" s="172" t="str">
        <f>IF(ISTEXT(VLOOKUP(CONCATENATE($A89,"_",P$3),'Unit List'!$A$23:$H$3172,2,FALSE)),"+","")</f>
        <v/>
      </c>
      <c r="Q89" s="120" t="str">
        <f>IF(ISTEXT(VLOOKUP(CONCATENATE($A89,"_",Q$3),'Unit List'!$A$23:$H$3172,2,FALSE)),"X",$P89)</f>
        <v/>
      </c>
      <c r="R89" s="120" t="str">
        <f>IF(ISTEXT(VLOOKUP(CONCATENATE($A89,"_",R$3),'Unit List'!$A$23:$H$3172,2,FALSE)),"X",$P89)</f>
        <v/>
      </c>
      <c r="S89" s="120" t="str">
        <f>IF(ISTEXT(VLOOKUP(CONCATENATE($A89,"_",S$3),'Unit List'!$A$23:$H$3172,2,FALSE)),"X",$P89)</f>
        <v/>
      </c>
      <c r="T89" s="121" t="str">
        <f>IF(ISTEXT(VLOOKUP(CONCATENATE($A89,"_",T$3),'Unit List'!$A$23:$H$3172,2,FALSE)),"X",$P89)</f>
        <v/>
      </c>
      <c r="U89" s="120" t="str">
        <f>IF(ISTEXT(VLOOKUP(CONCATENATE($A89,"_",U$3),'Unit List'!$A$23:$H$3172,2,FALSE)),"X",$P89)</f>
        <v/>
      </c>
      <c r="V89" s="120" t="str">
        <f>IF(ISTEXT(VLOOKUP(CONCATENATE($A89,"_",V$3),'Unit List'!$A$23:$H$3172,2,FALSE)),"X",$P89)</f>
        <v/>
      </c>
      <c r="W89" s="122" t="str">
        <f>IF(ISTEXT(VLOOKUP(CONCATENATE($A89,"_",W$3),'Unit List'!$A$23:$H$3172,2,FALSE)),"X",$P89)</f>
        <v/>
      </c>
      <c r="X89" s="172" t="str">
        <f>IF(ISTEXT(VLOOKUP(CONCATENATE($A89,"_",X$3),'Unit List'!$A$23:$H$3172,2,FALSE)),"+","")</f>
        <v/>
      </c>
      <c r="Y89" s="120" t="str">
        <f>IF(ISTEXT(VLOOKUP(CONCATENATE($A89,"_",Y$3),'Unit List'!$A$23:$H$3172,2,FALSE)),"X",$X89)</f>
        <v/>
      </c>
      <c r="Z89" s="120" t="str">
        <f>IF(ISTEXT(VLOOKUP(CONCATENATE($A89,"_",Z$3),'Unit List'!$A$23:$H$3172,2,FALSE)),"X",$X89)</f>
        <v/>
      </c>
      <c r="AA89" s="120" t="str">
        <f>IF(ISTEXT(VLOOKUP(CONCATENATE($A89,"_",AA$3),'Unit List'!$A$23:$H$3172,2,FALSE)),"X",$X89)</f>
        <v/>
      </c>
      <c r="AB89" s="120" t="str">
        <f>IF(ISTEXT(VLOOKUP(CONCATENATE($A89,"_",AB$3),'Unit List'!$A$23:$H$3172,2,FALSE)),"X",$X89)</f>
        <v/>
      </c>
      <c r="AC89" s="75" t="str">
        <f>IF(ISTEXT(VLOOKUP(CONCATENATE($A89,"_",AC$3),'Unit List'!$A$23:$H$3172,2,FALSE)),"X",$X89)</f>
        <v/>
      </c>
      <c r="AD89" s="172" t="str">
        <f>IF(ISTEXT(VLOOKUP(CONCATENATE($A89,"_",AD$3),'Unit List'!$A$23:$H$3172,2,FALSE)),"+","")</f>
        <v/>
      </c>
      <c r="AE89" s="120" t="str">
        <f>IF(ISTEXT(VLOOKUP(CONCATENATE($A89,"_",AE$3),'Unit List'!$A$23:$H$3172,2,FALSE)),"X",$AD89)</f>
        <v/>
      </c>
      <c r="AF89" s="120" t="str">
        <f>IF(ISTEXT(VLOOKUP(CONCATENATE($A89,"_",AF$3),'Unit List'!$A$23:$H$3172,2,FALSE)),"X",$AD89)</f>
        <v/>
      </c>
      <c r="AG89" s="172" t="str">
        <f>IF(ISTEXT(VLOOKUP(CONCATENATE($A89,"_",AG$3),'Unit List'!$A$23:$H$3172,2,FALSE)),"+","")</f>
        <v/>
      </c>
      <c r="AH89" s="120" t="str">
        <f>IF(ISTEXT(VLOOKUP(CONCATENATE($A89,"_",AH$3),'Unit List'!$A$23:$H$3172,2,FALSE)),"X",$AG89)</f>
        <v/>
      </c>
      <c r="AI89" s="120" t="str">
        <f>IF(ISTEXT(VLOOKUP(CONCATENATE($A89,"_",AI$3),'Unit List'!$A$23:$H$3172,2,FALSE)),"X",$AG89)</f>
        <v/>
      </c>
      <c r="AJ89" s="122" t="str">
        <f>IF(ISTEXT(VLOOKUP(CONCATENATE($A89,"_",AJ$3),'Unit List'!$A$23:$H$3172,2,FALSE)),"X",$AG89)</f>
        <v/>
      </c>
      <c r="AK89" s="172" t="str">
        <f>IF(ISTEXT(VLOOKUP(CONCATENATE($A89,"_",AK$3),'Unit List'!$A$23:$H$3172,2,FALSE)),"+","")</f>
        <v/>
      </c>
      <c r="AL89" s="121" t="str">
        <f>IF(ISTEXT(VLOOKUP(CONCATENATE($A89,"_",AL$3),'Unit List'!$A$23:$H$3172,2,FALSE)),"X",$AK89)</f>
        <v/>
      </c>
      <c r="AM89" s="122" t="str">
        <f>IF(ISTEXT(VLOOKUP(CONCATENATE($A89,"_",AM$3),'Unit List'!$A$23:$H$3172,2,FALSE)),"X",$AK89)</f>
        <v/>
      </c>
      <c r="AN89" s="125" t="str">
        <f>IF(ISTEXT(VLOOKUP(CONCATENATE($A89,"_",AN$3),'Unit List'!$A$23:$H$3172,2,FALSE)),"+","")</f>
        <v/>
      </c>
      <c r="AO89" s="122" t="str">
        <f>IF(ISTEXT(VLOOKUP(CONCATENATE($A89,"_",AO$3),'Unit List'!$A$23:$H$3172,2,FALSE)),"X",$AN89)</f>
        <v/>
      </c>
      <c r="AP89" s="172" t="str">
        <f>IF(ISTEXT(VLOOKUP(CONCATENATE($A89,"_",AP$3),'Unit List'!$A$23:$H$3172,2,FALSE)),"+","")</f>
        <v/>
      </c>
      <c r="AQ89" s="120" t="str">
        <f>IF(ISTEXT(VLOOKUP(CONCATENATE($A89,"_",AQ$3),'Unit List'!$A$23:$H$3172,2,FALSE)),"X",$AP89)</f>
        <v/>
      </c>
      <c r="AR89" s="120" t="str">
        <f>IF(ISTEXT(VLOOKUP(CONCATENATE($A89,"_",AR$3),'Unit List'!$A$23:$H$3172,2,FALSE)),"X",$AP89)</f>
        <v/>
      </c>
      <c r="AS89" s="120" t="str">
        <f>IF(ISTEXT(VLOOKUP(CONCATENATE($A89,"_",AS$3),'Unit List'!$A$23:$H$3172,2,FALSE)),"X",$AP89)</f>
        <v/>
      </c>
      <c r="AT89" s="122" t="str">
        <f>IF(ISTEXT(VLOOKUP(CONCATENATE($A89,"_",AT$3),'Unit List'!$A$23:$H$3172,2,FALSE)),"X",$AP89)</f>
        <v/>
      </c>
      <c r="AU89" s="124" t="str">
        <f>IF(ISTEXT(VLOOKUP(CONCATENATE($A89,"_",AU$3),'Unit List'!$A$23:$H$3172,2,FALSE)),"+","")</f>
        <v/>
      </c>
      <c r="AV89" s="120" t="str">
        <f>IF(ISTEXT(VLOOKUP(CONCATENATE($A89,"_",AV$3),'Unit List'!$A$23:$H$3172,2,FALSE)),"X",$AU89)</f>
        <v/>
      </c>
      <c r="AW89" s="122" t="str">
        <f>IF(ISTEXT(VLOOKUP(CONCATENATE($A89,"_",AW$3),'Unit List'!$A$23:$H$3172,2,FALSE)),"X",$AU89)</f>
        <v/>
      </c>
      <c r="AX89" s="172" t="str">
        <f>IF(ISTEXT(VLOOKUP(CONCATENATE($A89,"_",AX$3),'Unit List'!$A$23:$H$3172,2,FALSE)),"+","")</f>
        <v/>
      </c>
      <c r="AY89" s="120" t="str">
        <f>IF(ISTEXT(VLOOKUP(CONCATENATE($A89,"_",AY$3),'Unit List'!$A$23:$H$3172,2,FALSE)),"X",$AX89)</f>
        <v/>
      </c>
      <c r="AZ89" s="122" t="str">
        <f>IF(ISTEXT(VLOOKUP(CONCATENATE($A89,"_",AZ$3),'Unit List'!$A$23:$H$3172,2,FALSE)),"X",$AX89)</f>
        <v/>
      </c>
      <c r="BA89" s="182" t="str">
        <f>IF(ISTEXT(VLOOKUP(CONCATENATE($A89,"_",BA$3),'Unit List'!$A$23:$H$3172,2,FALSE)),"+","")</f>
        <v/>
      </c>
      <c r="BB89" s="120" t="str">
        <f>IF(ISTEXT(VLOOKUP(CONCATENATE($A89,"_",BB$3),'Unit List'!$A$23:$H$3172,2,FALSE)),"X",$BA89)</f>
        <v/>
      </c>
      <c r="BC89" s="120" t="str">
        <f>IF(ISTEXT(VLOOKUP(CONCATENATE($A89,"_",BC$3),'Unit List'!$A$23:$H$3172,2,FALSE)),"X",$BA89)</f>
        <v/>
      </c>
      <c r="BD89" s="122" t="str">
        <f>IF(ISTEXT(VLOOKUP(CONCATENATE($A89,"_",BD$3),'Unit List'!$A$23:$H$3172,2,FALSE)),"X",$BA89)</f>
        <v/>
      </c>
      <c r="BE89" s="125" t="str">
        <f>IF(ISTEXT(VLOOKUP(CONCATENATE($A89,"_",BE$3),'Unit List'!$A$23:$H$3172,2,FALSE)),"+","")</f>
        <v/>
      </c>
      <c r="BF89" s="75" t="str">
        <f>IF(ISTEXT(VLOOKUP(CONCATENATE($A89,"_",BF$3),'Unit List'!$A$23:$H$3172,2,FALSE)),"X",$BE89)</f>
        <v/>
      </c>
      <c r="BG89" s="122"/>
      <c r="BH89" s="84"/>
      <c r="BI89" s="143"/>
      <c r="BJ89" s="144"/>
      <c r="BK89" s="144"/>
      <c r="BL89" s="145"/>
      <c r="BM89" s="145"/>
      <c r="BN89" s="54"/>
      <c r="BO89" s="54"/>
      <c r="BP89" s="54"/>
      <c r="BQ89" s="54"/>
      <c r="BR89" s="54"/>
      <c r="BS89" s="54"/>
      <c r="DZ89" s="55"/>
      <c r="EA89" s="55"/>
    </row>
    <row r="90" spans="1:131" ht="12.75" customHeight="1" x14ac:dyDescent="0.2">
      <c r="A90" s="138" t="s">
        <v>1123</v>
      </c>
      <c r="B90" s="181" t="str">
        <f>IF(ISTEXT(VLOOKUP(CONCATENATE($A90,"_",B$3),'Unit List'!$A$23:$H$3172,2,FALSE)),"+","")</f>
        <v/>
      </c>
      <c r="C90" s="119" t="str">
        <f>IF(ISTEXT(VLOOKUP(CONCATENATE($A90,"_",C$3),'Unit List'!$A$23:$H$3172,2,FALSE)),"X",$B90)</f>
        <v/>
      </c>
      <c r="D90" s="120" t="str">
        <f>IF(ISTEXT(VLOOKUP(CONCATENATE($A90,"_",D$3),'Unit List'!$A$23:$H$3172,2,FALSE)),"X",$B90)</f>
        <v/>
      </c>
      <c r="E90" s="120" t="str">
        <f>IF(ISTEXT(VLOOKUP(CONCATENATE($A90,"_",E$3),'Unit List'!$A$23:$H$3172,2,FALSE)),"X",$B90)</f>
        <v/>
      </c>
      <c r="F90" s="120" t="str">
        <f>IF(ISTEXT(VLOOKUP(CONCATENATE($A90,"_",F$3),'Unit List'!$A$23:$H$3172,2,FALSE)),"X",$B90)</f>
        <v/>
      </c>
      <c r="G90" s="120" t="str">
        <f>IF(ISTEXT(VLOOKUP(CONCATENATE($A90,"_",G$3),'Unit List'!$A$23:$H$3172,2,FALSE)),"X",$B90)</f>
        <v/>
      </c>
      <c r="H90" s="120" t="str">
        <f>IF(ISTEXT(VLOOKUP(CONCATENATE($A90,"_",H$3),'Unit List'!$A$23:$H$3172,2,FALSE)),"X",$B90)</f>
        <v/>
      </c>
      <c r="I90" s="122" t="str">
        <f>IF(ISTEXT(VLOOKUP(CONCATENATE($A90,"_",I$3),'Unit List'!$A$23:$H$3172,2,FALSE)),"X",$B90)</f>
        <v/>
      </c>
      <c r="J90" s="172" t="str">
        <f>IF(ISTEXT(VLOOKUP(CONCATENATE($A90,"_",J$3),'Unit List'!$A$23:$H$3172,2,FALSE)),"+","")</f>
        <v/>
      </c>
      <c r="K90" s="120" t="str">
        <f>IF(ISTEXT(VLOOKUP(CONCATENATE($A90,"_",K$3),'Unit List'!$A$23:$H$3172,2,FALSE)),"X",$J90)</f>
        <v/>
      </c>
      <c r="L90" s="75" t="str">
        <f>IF(ISTEXT(VLOOKUP(CONCATENATE($A90,"_",L$3),'Unit List'!$A$23:$H$3172,2,FALSE)),"X",$J90)</f>
        <v/>
      </c>
      <c r="M90" s="172" t="str">
        <f>IF(ISTEXT(VLOOKUP(CONCATENATE($A90,"_",M$3),'Unit List'!$A$23:$H$3172,2,FALSE)),"+","")</f>
        <v/>
      </c>
      <c r="N90" s="120" t="str">
        <f>IF(ISTEXT(VLOOKUP(CONCATENATE($A90,"_",N$3),'Unit List'!$A$23:$H$3172,2,FALSE)),"X",$M90)</f>
        <v/>
      </c>
      <c r="O90" s="122" t="str">
        <f>IF(ISTEXT(VLOOKUP(CONCATENATE($A90,"_",O$3),'Unit List'!$A$23:$H$3172,2,FALSE)),"X",$M90)</f>
        <v/>
      </c>
      <c r="P90" s="172" t="str">
        <f>IF(ISTEXT(VLOOKUP(CONCATENATE($A90,"_",P$3),'Unit List'!$A$23:$H$3172,2,FALSE)),"+","")</f>
        <v/>
      </c>
      <c r="Q90" s="120" t="str">
        <f>IF(ISTEXT(VLOOKUP(CONCATENATE($A90,"_",Q$3),'Unit List'!$A$23:$H$3172,2,FALSE)),"X",$P90)</f>
        <v/>
      </c>
      <c r="R90" s="120" t="str">
        <f>IF(ISTEXT(VLOOKUP(CONCATENATE($A90,"_",R$3),'Unit List'!$A$23:$H$3172,2,FALSE)),"X",$P90)</f>
        <v/>
      </c>
      <c r="S90" s="120" t="str">
        <f>IF(ISTEXT(VLOOKUP(CONCATENATE($A90,"_",S$3),'Unit List'!$A$23:$H$3172,2,FALSE)),"X",$P90)</f>
        <v/>
      </c>
      <c r="T90" s="121" t="str">
        <f>IF(ISTEXT(VLOOKUP(CONCATENATE($A90,"_",T$3),'Unit List'!$A$23:$H$3172,2,FALSE)),"X",$P90)</f>
        <v/>
      </c>
      <c r="U90" s="120" t="str">
        <f>IF(ISTEXT(VLOOKUP(CONCATENATE($A90,"_",U$3),'Unit List'!$A$23:$H$3172,2,FALSE)),"X",$P90)</f>
        <v/>
      </c>
      <c r="V90" s="120" t="str">
        <f>IF(ISTEXT(VLOOKUP(CONCATENATE($A90,"_",V$3),'Unit List'!$A$23:$H$3172,2,FALSE)),"X",$P90)</f>
        <v/>
      </c>
      <c r="W90" s="122" t="str">
        <f>IF(ISTEXT(VLOOKUP(CONCATENATE($A90,"_",W$3),'Unit List'!$A$23:$H$3172,2,FALSE)),"X",$P90)</f>
        <v/>
      </c>
      <c r="X90" s="172" t="str">
        <f>IF(ISTEXT(VLOOKUP(CONCATENATE($A90,"_",X$3),'Unit List'!$A$23:$H$3172,2,FALSE)),"+","")</f>
        <v/>
      </c>
      <c r="Y90" s="120" t="str">
        <f>IF(ISTEXT(VLOOKUP(CONCATENATE($A90,"_",Y$3),'Unit List'!$A$23:$H$3172,2,FALSE)),"X",$X90)</f>
        <v/>
      </c>
      <c r="Z90" s="120" t="str">
        <f>IF(ISTEXT(VLOOKUP(CONCATENATE($A90,"_",Z$3),'Unit List'!$A$23:$H$3172,2,FALSE)),"X",$X90)</f>
        <v/>
      </c>
      <c r="AA90" s="120" t="str">
        <f>IF(ISTEXT(VLOOKUP(CONCATENATE($A90,"_",AA$3),'Unit List'!$A$23:$H$3172,2,FALSE)),"X",$X90)</f>
        <v/>
      </c>
      <c r="AB90" s="120" t="str">
        <f>IF(ISTEXT(VLOOKUP(CONCATENATE($A90,"_",AB$3),'Unit List'!$A$23:$H$3172,2,FALSE)),"X",$X90)</f>
        <v/>
      </c>
      <c r="AC90" s="75" t="str">
        <f>IF(ISTEXT(VLOOKUP(CONCATENATE($A90,"_",AC$3),'Unit List'!$A$23:$H$3172,2,FALSE)),"X",$X90)</f>
        <v/>
      </c>
      <c r="AD90" s="172" t="str">
        <f>IF(ISTEXT(VLOOKUP(CONCATENATE($A90,"_",AD$3),'Unit List'!$A$23:$H$3172,2,FALSE)),"+","")</f>
        <v/>
      </c>
      <c r="AE90" s="120" t="str">
        <f>IF(ISTEXT(VLOOKUP(CONCATENATE($A90,"_",AE$3),'Unit List'!$A$23:$H$3172,2,FALSE)),"X",$AD90)</f>
        <v/>
      </c>
      <c r="AF90" s="120" t="str">
        <f>IF(ISTEXT(VLOOKUP(CONCATENATE($A90,"_",AF$3),'Unit List'!$A$23:$H$3172,2,FALSE)),"X",$AD90)</f>
        <v/>
      </c>
      <c r="AG90" s="172" t="str">
        <f>IF(ISTEXT(VLOOKUP(CONCATENATE($A90,"_",AG$3),'Unit List'!$A$23:$H$3172,2,FALSE)),"+","")</f>
        <v/>
      </c>
      <c r="AH90" s="120" t="str">
        <f>IF(ISTEXT(VLOOKUP(CONCATENATE($A90,"_",AH$3),'Unit List'!$A$23:$H$3172,2,FALSE)),"X",$AG90)</f>
        <v/>
      </c>
      <c r="AI90" s="120" t="str">
        <f>IF(ISTEXT(VLOOKUP(CONCATENATE($A90,"_",AI$3),'Unit List'!$A$23:$H$3172,2,FALSE)),"X",$AG90)</f>
        <v/>
      </c>
      <c r="AJ90" s="122" t="str">
        <f>IF(ISTEXT(VLOOKUP(CONCATENATE($A90,"_",AJ$3),'Unit List'!$A$23:$H$3172,2,FALSE)),"X",$AG90)</f>
        <v/>
      </c>
      <c r="AK90" s="172" t="str">
        <f>IF(ISTEXT(VLOOKUP(CONCATENATE($A90,"_",AK$3),'Unit List'!$A$23:$H$3172,2,FALSE)),"+","")</f>
        <v/>
      </c>
      <c r="AL90" s="121" t="str">
        <f>IF(ISTEXT(VLOOKUP(CONCATENATE($A90,"_",AL$3),'Unit List'!$A$23:$H$3172,2,FALSE)),"X",$AK90)</f>
        <v/>
      </c>
      <c r="AM90" s="122" t="str">
        <f>IF(ISTEXT(VLOOKUP(CONCATENATE($A90,"_",AM$3),'Unit List'!$A$23:$H$3172,2,FALSE)),"X",$AK90)</f>
        <v/>
      </c>
      <c r="AN90" s="125" t="str">
        <f>IF(ISTEXT(VLOOKUP(CONCATENATE($A90,"_",AN$3),'Unit List'!$A$23:$H$3172,2,FALSE)),"+","")</f>
        <v/>
      </c>
      <c r="AO90" s="122" t="str">
        <f>IF(ISTEXT(VLOOKUP(CONCATENATE($A90,"_",AO$3),'Unit List'!$A$23:$H$3172,2,FALSE)),"X",$AN90)</f>
        <v/>
      </c>
      <c r="AP90" s="172" t="str">
        <f>IF(ISTEXT(VLOOKUP(CONCATENATE($A90,"_",AP$3),'Unit List'!$A$23:$H$3172,2,FALSE)),"+","")</f>
        <v/>
      </c>
      <c r="AQ90" s="120" t="str">
        <f>IF(ISTEXT(VLOOKUP(CONCATENATE($A90,"_",AQ$3),'Unit List'!$A$23:$H$3172,2,FALSE)),"X",$AP90)</f>
        <v/>
      </c>
      <c r="AR90" s="120" t="str">
        <f>IF(ISTEXT(VLOOKUP(CONCATENATE($A90,"_",AR$3),'Unit List'!$A$23:$H$3172,2,FALSE)),"X",$AP90)</f>
        <v/>
      </c>
      <c r="AS90" s="120" t="str">
        <f>IF(ISTEXT(VLOOKUP(CONCATENATE($A90,"_",AS$3),'Unit List'!$A$23:$H$3172,2,FALSE)),"X",$AP90)</f>
        <v/>
      </c>
      <c r="AT90" s="122" t="str">
        <f>IF(ISTEXT(VLOOKUP(CONCATENATE($A90,"_",AT$3),'Unit List'!$A$23:$H$3172,2,FALSE)),"X",$AP90)</f>
        <v/>
      </c>
      <c r="AU90" s="124" t="str">
        <f>IF(ISTEXT(VLOOKUP(CONCATENATE($A90,"_",AU$3),'Unit List'!$A$23:$H$3172,2,FALSE)),"+","")</f>
        <v/>
      </c>
      <c r="AV90" s="120" t="str">
        <f>IF(ISTEXT(VLOOKUP(CONCATENATE($A90,"_",AV$3),'Unit List'!$A$23:$H$3172,2,FALSE)),"X",$AU90)</f>
        <v/>
      </c>
      <c r="AW90" s="122" t="str">
        <f>IF(ISTEXT(VLOOKUP(CONCATENATE($A90,"_",AW$3),'Unit List'!$A$23:$H$3172,2,FALSE)),"X",$AU90)</f>
        <v/>
      </c>
      <c r="AX90" s="172" t="str">
        <f>IF(ISTEXT(VLOOKUP(CONCATENATE($A90,"_",AX$3),'Unit List'!$A$23:$H$3172,2,FALSE)),"+","")</f>
        <v/>
      </c>
      <c r="AY90" s="120" t="str">
        <f>IF(ISTEXT(VLOOKUP(CONCATENATE($A90,"_",AY$3),'Unit List'!$A$23:$H$3172,2,FALSE)),"X",$AX90)</f>
        <v/>
      </c>
      <c r="AZ90" s="122" t="str">
        <f>IF(ISTEXT(VLOOKUP(CONCATENATE($A90,"_",AZ$3),'Unit List'!$A$23:$H$3172,2,FALSE)),"X",$AX90)</f>
        <v/>
      </c>
      <c r="BA90" s="182" t="str">
        <f>IF(ISTEXT(VLOOKUP(CONCATENATE($A90,"_",BA$3),'Unit List'!$A$23:$H$3172,2,FALSE)),"+","")</f>
        <v/>
      </c>
      <c r="BB90" s="120" t="str">
        <f>IF(ISTEXT(VLOOKUP(CONCATENATE($A90,"_",BB$3),'Unit List'!$A$23:$H$3172,2,FALSE)),"X",$BA90)</f>
        <v/>
      </c>
      <c r="BC90" s="120" t="str">
        <f>IF(ISTEXT(VLOOKUP(CONCATENATE($A90,"_",BC$3),'Unit List'!$A$23:$H$3172,2,FALSE)),"X",$BA90)</f>
        <v/>
      </c>
      <c r="BD90" s="122" t="str">
        <f>IF(ISTEXT(VLOOKUP(CONCATENATE($A90,"_",BD$3),'Unit List'!$A$23:$H$3172,2,FALSE)),"X",$BA90)</f>
        <v/>
      </c>
      <c r="BE90" s="125" t="str">
        <f>IF(ISTEXT(VLOOKUP(CONCATENATE($A90,"_",BE$3),'Unit List'!$A$23:$H$3172,2,FALSE)),"+","")</f>
        <v/>
      </c>
      <c r="BF90" s="75" t="str">
        <f>IF(ISTEXT(VLOOKUP(CONCATENATE($A90,"_",BF$3),'Unit List'!$A$23:$H$3172,2,FALSE)),"X",$BE90)</f>
        <v/>
      </c>
      <c r="BG90" s="122"/>
      <c r="BH90" s="84"/>
      <c r="BI90" s="143"/>
      <c r="BJ90" s="144"/>
      <c r="BK90" s="144"/>
      <c r="BL90" s="145"/>
      <c r="BM90" s="145"/>
      <c r="BN90" s="54"/>
      <c r="BO90" s="54"/>
      <c r="BP90" s="54"/>
      <c r="BQ90" s="54"/>
      <c r="BR90" s="54"/>
      <c r="BS90" s="54"/>
      <c r="DZ90" s="55"/>
      <c r="EA90" s="55"/>
    </row>
    <row r="91" spans="1:131" ht="12.75" customHeight="1" x14ac:dyDescent="0.2">
      <c r="A91" s="138" t="s">
        <v>1132</v>
      </c>
      <c r="B91" s="181" t="str">
        <f>IF(ISTEXT(VLOOKUP(CONCATENATE($A91,"_",B$3),'Unit List'!$A$23:$H$3172,2,FALSE)),"+","")</f>
        <v/>
      </c>
      <c r="C91" s="119" t="str">
        <f>IF(ISTEXT(VLOOKUP(CONCATENATE($A91,"_",C$3),'Unit List'!$A$23:$H$3172,2,FALSE)),"X",$B91)</f>
        <v/>
      </c>
      <c r="D91" s="120" t="str">
        <f>IF(ISTEXT(VLOOKUP(CONCATENATE($A91,"_",D$3),'Unit List'!$A$23:$H$3172,2,FALSE)),"X",$B91)</f>
        <v/>
      </c>
      <c r="E91" s="120" t="str">
        <f>IF(ISTEXT(VLOOKUP(CONCATENATE($A91,"_",E$3),'Unit List'!$A$23:$H$3172,2,FALSE)),"X",$B91)</f>
        <v/>
      </c>
      <c r="F91" s="120" t="str">
        <f>IF(ISTEXT(VLOOKUP(CONCATENATE($A91,"_",F$3),'Unit List'!$A$23:$H$3172,2,FALSE)),"X",$B91)</f>
        <v/>
      </c>
      <c r="G91" s="120" t="str">
        <f>IF(ISTEXT(VLOOKUP(CONCATENATE($A91,"_",G$3),'Unit List'!$A$23:$H$3172,2,FALSE)),"X",$B91)</f>
        <v/>
      </c>
      <c r="H91" s="120" t="str">
        <f>IF(ISTEXT(VLOOKUP(CONCATENATE($A91,"_",H$3),'Unit List'!$A$23:$H$3172,2,FALSE)),"X",$B91)</f>
        <v/>
      </c>
      <c r="I91" s="122" t="str">
        <f>IF(ISTEXT(VLOOKUP(CONCATENATE($A91,"_",I$3),'Unit List'!$A$23:$H$3172,2,FALSE)),"X",$B91)</f>
        <v/>
      </c>
      <c r="J91" s="172" t="str">
        <f>IF(ISTEXT(VLOOKUP(CONCATENATE($A91,"_",J$3),'Unit List'!$A$23:$H$3172,2,FALSE)),"+","")</f>
        <v/>
      </c>
      <c r="K91" s="120" t="str">
        <f>IF(ISTEXT(VLOOKUP(CONCATENATE($A91,"_",K$3),'Unit List'!$A$23:$H$3172,2,FALSE)),"X",$J91)</f>
        <v/>
      </c>
      <c r="L91" s="75" t="str">
        <f>IF(ISTEXT(VLOOKUP(CONCATENATE($A91,"_",L$3),'Unit List'!$A$23:$H$3172,2,FALSE)),"X",$J91)</f>
        <v/>
      </c>
      <c r="M91" s="172" t="str">
        <f>IF(ISTEXT(VLOOKUP(CONCATENATE($A91,"_",M$3),'Unit List'!$A$23:$H$3172,2,FALSE)),"+","")</f>
        <v/>
      </c>
      <c r="N91" s="120" t="str">
        <f>IF(ISTEXT(VLOOKUP(CONCATENATE($A91,"_",N$3),'Unit List'!$A$23:$H$3172,2,FALSE)),"X",$M91)</f>
        <v/>
      </c>
      <c r="O91" s="122" t="str">
        <f>IF(ISTEXT(VLOOKUP(CONCATENATE($A91,"_",O$3),'Unit List'!$A$23:$H$3172,2,FALSE)),"X",$M91)</f>
        <v/>
      </c>
      <c r="P91" s="172" t="str">
        <f>IF(ISTEXT(VLOOKUP(CONCATENATE($A91,"_",P$3),'Unit List'!$A$23:$H$3172,2,FALSE)),"+","")</f>
        <v/>
      </c>
      <c r="Q91" s="120" t="str">
        <f>IF(ISTEXT(VLOOKUP(CONCATENATE($A91,"_",Q$3),'Unit List'!$A$23:$H$3172,2,FALSE)),"X",$P91)</f>
        <v/>
      </c>
      <c r="R91" s="120" t="str">
        <f>IF(ISTEXT(VLOOKUP(CONCATENATE($A91,"_",R$3),'Unit List'!$A$23:$H$3172,2,FALSE)),"X",$P91)</f>
        <v/>
      </c>
      <c r="S91" s="120" t="str">
        <f>IF(ISTEXT(VLOOKUP(CONCATENATE($A91,"_",S$3),'Unit List'!$A$23:$H$3172,2,FALSE)),"X",$P91)</f>
        <v/>
      </c>
      <c r="T91" s="121" t="str">
        <f>IF(ISTEXT(VLOOKUP(CONCATENATE($A91,"_",T$3),'Unit List'!$A$23:$H$3172,2,FALSE)),"X",$P91)</f>
        <v/>
      </c>
      <c r="U91" s="120" t="str">
        <f>IF(ISTEXT(VLOOKUP(CONCATENATE($A91,"_",U$3),'Unit List'!$A$23:$H$3172,2,FALSE)),"X",$P91)</f>
        <v/>
      </c>
      <c r="V91" s="120" t="str">
        <f>IF(ISTEXT(VLOOKUP(CONCATENATE($A91,"_",V$3),'Unit List'!$A$23:$H$3172,2,FALSE)),"X",$P91)</f>
        <v/>
      </c>
      <c r="W91" s="122" t="str">
        <f>IF(ISTEXT(VLOOKUP(CONCATENATE($A91,"_",W$3),'Unit List'!$A$23:$H$3172,2,FALSE)),"X",$P91)</f>
        <v/>
      </c>
      <c r="X91" s="172" t="str">
        <f>IF(ISTEXT(VLOOKUP(CONCATENATE($A91,"_",X$3),'Unit List'!$A$23:$H$3172,2,FALSE)),"+","")</f>
        <v/>
      </c>
      <c r="Y91" s="120" t="str">
        <f>IF(ISTEXT(VLOOKUP(CONCATENATE($A91,"_",Y$3),'Unit List'!$A$23:$H$3172,2,FALSE)),"X",$X91)</f>
        <v/>
      </c>
      <c r="Z91" s="120" t="str">
        <f>IF(ISTEXT(VLOOKUP(CONCATENATE($A91,"_",Z$3),'Unit List'!$A$23:$H$3172,2,FALSE)),"X",$X91)</f>
        <v/>
      </c>
      <c r="AA91" s="120" t="str">
        <f>IF(ISTEXT(VLOOKUP(CONCATENATE($A91,"_",AA$3),'Unit List'!$A$23:$H$3172,2,FALSE)),"X",$X91)</f>
        <v/>
      </c>
      <c r="AB91" s="120" t="str">
        <f>IF(ISTEXT(VLOOKUP(CONCATENATE($A91,"_",AB$3),'Unit List'!$A$23:$H$3172,2,FALSE)),"X",$X91)</f>
        <v/>
      </c>
      <c r="AC91" s="75" t="str">
        <f>IF(ISTEXT(VLOOKUP(CONCATENATE($A91,"_",AC$3),'Unit List'!$A$23:$H$3172,2,FALSE)),"X",$X91)</f>
        <v/>
      </c>
      <c r="AD91" s="172" t="str">
        <f>IF(ISTEXT(VLOOKUP(CONCATENATE($A91,"_",AD$3),'Unit List'!$A$23:$H$3172,2,FALSE)),"+","")</f>
        <v/>
      </c>
      <c r="AE91" s="120" t="str">
        <f>IF(ISTEXT(VLOOKUP(CONCATENATE($A91,"_",AE$3),'Unit List'!$A$23:$H$3172,2,FALSE)),"X",$AD91)</f>
        <v/>
      </c>
      <c r="AF91" s="120" t="str">
        <f>IF(ISTEXT(VLOOKUP(CONCATENATE($A91,"_",AF$3),'Unit List'!$A$23:$H$3172,2,FALSE)),"X",$AD91)</f>
        <v/>
      </c>
      <c r="AG91" s="172" t="str">
        <f>IF(ISTEXT(VLOOKUP(CONCATENATE($A91,"_",AG$3),'Unit List'!$A$23:$H$3172,2,FALSE)),"+","")</f>
        <v/>
      </c>
      <c r="AH91" s="120" t="str">
        <f>IF(ISTEXT(VLOOKUP(CONCATENATE($A91,"_",AH$3),'Unit List'!$A$23:$H$3172,2,FALSE)),"X",$AG91)</f>
        <v/>
      </c>
      <c r="AI91" s="120" t="str">
        <f>IF(ISTEXT(VLOOKUP(CONCATENATE($A91,"_",AI$3),'Unit List'!$A$23:$H$3172,2,FALSE)),"X",$AG91)</f>
        <v/>
      </c>
      <c r="AJ91" s="122" t="str">
        <f>IF(ISTEXT(VLOOKUP(CONCATENATE($A91,"_",AJ$3),'Unit List'!$A$23:$H$3172,2,FALSE)),"X",$AG91)</f>
        <v/>
      </c>
      <c r="AK91" s="172" t="str">
        <f>IF(ISTEXT(VLOOKUP(CONCATENATE($A91,"_",AK$3),'Unit List'!$A$23:$H$3172,2,FALSE)),"+","")</f>
        <v/>
      </c>
      <c r="AL91" s="121" t="str">
        <f>IF(ISTEXT(VLOOKUP(CONCATENATE($A91,"_",AL$3),'Unit List'!$A$23:$H$3172,2,FALSE)),"X",$AK91)</f>
        <v/>
      </c>
      <c r="AM91" s="122" t="str">
        <f>IF(ISTEXT(VLOOKUP(CONCATENATE($A91,"_",AM$3),'Unit List'!$A$23:$H$3172,2,FALSE)),"X",$AK91)</f>
        <v/>
      </c>
      <c r="AN91" s="125" t="str">
        <f>IF(ISTEXT(VLOOKUP(CONCATENATE($A91,"_",AN$3),'Unit List'!$A$23:$H$3172,2,FALSE)),"+","")</f>
        <v/>
      </c>
      <c r="AO91" s="122" t="str">
        <f>IF(ISTEXT(VLOOKUP(CONCATENATE($A91,"_",AO$3),'Unit List'!$A$23:$H$3172,2,FALSE)),"X",$AN91)</f>
        <v/>
      </c>
      <c r="AP91" s="172" t="str">
        <f>IF(ISTEXT(VLOOKUP(CONCATENATE($A91,"_",AP$3),'Unit List'!$A$23:$H$3172,2,FALSE)),"+","")</f>
        <v/>
      </c>
      <c r="AQ91" s="120" t="str">
        <f>IF(ISTEXT(VLOOKUP(CONCATENATE($A91,"_",AQ$3),'Unit List'!$A$23:$H$3172,2,FALSE)),"X",$AP91)</f>
        <v/>
      </c>
      <c r="AR91" s="120" t="str">
        <f>IF(ISTEXT(VLOOKUP(CONCATENATE($A91,"_",AR$3),'Unit List'!$A$23:$H$3172,2,FALSE)),"X",$AP91)</f>
        <v/>
      </c>
      <c r="AS91" s="120" t="str">
        <f>IF(ISTEXT(VLOOKUP(CONCATENATE($A91,"_",AS$3),'Unit List'!$A$23:$H$3172,2,FALSE)),"X",$AP91)</f>
        <v/>
      </c>
      <c r="AT91" s="122" t="str">
        <f>IF(ISTEXT(VLOOKUP(CONCATENATE($A91,"_",AT$3),'Unit List'!$A$23:$H$3172,2,FALSE)),"X",$AP91)</f>
        <v/>
      </c>
      <c r="AU91" s="124" t="str">
        <f>IF(ISTEXT(VLOOKUP(CONCATENATE($A91,"_",AU$3),'Unit List'!$A$23:$H$3172,2,FALSE)),"+","")</f>
        <v/>
      </c>
      <c r="AV91" s="120" t="str">
        <f>IF(ISTEXT(VLOOKUP(CONCATENATE($A91,"_",AV$3),'Unit List'!$A$23:$H$3172,2,FALSE)),"X",$AU91)</f>
        <v/>
      </c>
      <c r="AW91" s="122" t="str">
        <f>IF(ISTEXT(VLOOKUP(CONCATENATE($A91,"_",AW$3),'Unit List'!$A$23:$H$3172,2,FALSE)),"X",$AU91)</f>
        <v/>
      </c>
      <c r="AX91" s="172" t="str">
        <f>IF(ISTEXT(VLOOKUP(CONCATENATE($A91,"_",AX$3),'Unit List'!$A$23:$H$3172,2,FALSE)),"+","")</f>
        <v/>
      </c>
      <c r="AY91" s="120" t="str">
        <f>IF(ISTEXT(VLOOKUP(CONCATENATE($A91,"_",AY$3),'Unit List'!$A$23:$H$3172,2,FALSE)),"X",$AX91)</f>
        <v/>
      </c>
      <c r="AZ91" s="122" t="str">
        <f>IF(ISTEXT(VLOOKUP(CONCATENATE($A91,"_",AZ$3),'Unit List'!$A$23:$H$3172,2,FALSE)),"X",$AX91)</f>
        <v/>
      </c>
      <c r="BA91" s="182" t="str">
        <f>IF(ISTEXT(VLOOKUP(CONCATENATE($A91,"_",BA$3),'Unit List'!$A$23:$H$3172,2,FALSE)),"+","")</f>
        <v/>
      </c>
      <c r="BB91" s="120" t="str">
        <f>IF(ISTEXT(VLOOKUP(CONCATENATE($A91,"_",BB$3),'Unit List'!$A$23:$H$3172,2,FALSE)),"X",$BA91)</f>
        <v/>
      </c>
      <c r="BC91" s="120" t="str">
        <f>IF(ISTEXT(VLOOKUP(CONCATENATE($A91,"_",BC$3),'Unit List'!$A$23:$H$3172,2,FALSE)),"X",$BA91)</f>
        <v/>
      </c>
      <c r="BD91" s="122" t="str">
        <f>IF(ISTEXT(VLOOKUP(CONCATENATE($A91,"_",BD$3),'Unit List'!$A$23:$H$3172,2,FALSE)),"X",$BA91)</f>
        <v/>
      </c>
      <c r="BE91" s="125" t="str">
        <f>IF(ISTEXT(VLOOKUP(CONCATENATE($A91,"_",BE$3),'Unit List'!$A$23:$H$3172,2,FALSE)),"+","")</f>
        <v/>
      </c>
      <c r="BF91" s="75" t="str">
        <f>IF(ISTEXT(VLOOKUP(CONCATENATE($A91,"_",BF$3),'Unit List'!$A$23:$H$3172,2,FALSE)),"X",$BE91)</f>
        <v/>
      </c>
      <c r="BG91" s="122"/>
      <c r="BH91" s="65" t="s">
        <v>0</v>
      </c>
      <c r="BI91" s="143"/>
      <c r="BJ91" s="144"/>
      <c r="BK91" s="144"/>
      <c r="BL91" s="145"/>
      <c r="BM91" s="145"/>
      <c r="BN91" s="54"/>
      <c r="BO91" s="54"/>
      <c r="BP91" s="54"/>
      <c r="BQ91" s="54"/>
      <c r="BR91" s="54"/>
      <c r="BS91" s="54"/>
      <c r="DZ91" s="55"/>
      <c r="EA91" s="55"/>
    </row>
    <row r="92" spans="1:131" ht="12.75" customHeight="1" x14ac:dyDescent="0.2">
      <c r="A92" s="138" t="s">
        <v>1137</v>
      </c>
      <c r="B92" s="181" t="str">
        <f>IF(ISTEXT(VLOOKUP(CONCATENATE($A92,"_",B$3),'Unit List'!$A$23:$H$3172,2,FALSE)),"+","")</f>
        <v/>
      </c>
      <c r="C92" s="119" t="str">
        <f>IF(ISTEXT(VLOOKUP(CONCATENATE($A92,"_",C$3),'Unit List'!$A$23:$H$3172,2,FALSE)),"X",$B92)</f>
        <v/>
      </c>
      <c r="D92" s="120" t="str">
        <f>IF(ISTEXT(VLOOKUP(CONCATENATE($A92,"_",D$3),'Unit List'!$A$23:$H$3172,2,FALSE)),"X",$B92)</f>
        <v/>
      </c>
      <c r="E92" s="120" t="str">
        <f>IF(ISTEXT(VLOOKUP(CONCATENATE($A92,"_",E$3),'Unit List'!$A$23:$H$3172,2,FALSE)),"X",$B92)</f>
        <v/>
      </c>
      <c r="F92" s="120" t="str">
        <f>IF(ISTEXT(VLOOKUP(CONCATENATE($A92,"_",F$3),'Unit List'!$A$23:$H$3172,2,FALSE)),"X",$B92)</f>
        <v/>
      </c>
      <c r="G92" s="120" t="str">
        <f>IF(ISTEXT(VLOOKUP(CONCATENATE($A92,"_",G$3),'Unit List'!$A$23:$H$3172,2,FALSE)),"X",$B92)</f>
        <v/>
      </c>
      <c r="H92" s="120" t="str">
        <f>IF(ISTEXT(VLOOKUP(CONCATENATE($A92,"_",H$3),'Unit List'!$A$23:$H$3172,2,FALSE)),"X",$B92)</f>
        <v/>
      </c>
      <c r="I92" s="122" t="str">
        <f>IF(ISTEXT(VLOOKUP(CONCATENATE($A92,"_",I$3),'Unit List'!$A$23:$H$3172,2,FALSE)),"X",$B92)</f>
        <v/>
      </c>
      <c r="J92" s="172" t="str">
        <f>IF(ISTEXT(VLOOKUP(CONCATENATE($A92,"_",J$3),'Unit List'!$A$23:$H$3172,2,FALSE)),"+","")</f>
        <v/>
      </c>
      <c r="K92" s="120" t="str">
        <f>IF(ISTEXT(VLOOKUP(CONCATENATE($A92,"_",K$3),'Unit List'!$A$23:$H$3172,2,FALSE)),"X",$J92)</f>
        <v/>
      </c>
      <c r="L92" s="75" t="str">
        <f>IF(ISTEXT(VLOOKUP(CONCATENATE($A92,"_",L$3),'Unit List'!$A$23:$H$3172,2,FALSE)),"X",$J92)</f>
        <v/>
      </c>
      <c r="M92" s="172" t="str">
        <f>IF(ISTEXT(VLOOKUP(CONCATENATE($A92,"_",M$3),'Unit List'!$A$23:$H$3172,2,FALSE)),"+","")</f>
        <v/>
      </c>
      <c r="N92" s="120" t="str">
        <f>IF(ISTEXT(VLOOKUP(CONCATENATE($A92,"_",N$3),'Unit List'!$A$23:$H$3172,2,FALSE)),"X",$M92)</f>
        <v/>
      </c>
      <c r="O92" s="122" t="str">
        <f>IF(ISTEXT(VLOOKUP(CONCATENATE($A92,"_",O$3),'Unit List'!$A$23:$H$3172,2,FALSE)),"X",$M92)</f>
        <v/>
      </c>
      <c r="P92" s="172" t="str">
        <f>IF(ISTEXT(VLOOKUP(CONCATENATE($A92,"_",P$3),'Unit List'!$A$23:$H$3172,2,FALSE)),"+","")</f>
        <v/>
      </c>
      <c r="Q92" s="120" t="str">
        <f>IF(ISTEXT(VLOOKUP(CONCATENATE($A92,"_",Q$3),'Unit List'!$A$23:$H$3172,2,FALSE)),"X",$P92)</f>
        <v/>
      </c>
      <c r="R92" s="120" t="str">
        <f>IF(ISTEXT(VLOOKUP(CONCATENATE($A92,"_",R$3),'Unit List'!$A$23:$H$3172,2,FALSE)),"X",$P92)</f>
        <v/>
      </c>
      <c r="S92" s="120" t="str">
        <f>IF(ISTEXT(VLOOKUP(CONCATENATE($A92,"_",S$3),'Unit List'!$A$23:$H$3172,2,FALSE)),"X",$P92)</f>
        <v/>
      </c>
      <c r="T92" s="121" t="str">
        <f>IF(ISTEXT(VLOOKUP(CONCATENATE($A92,"_",T$3),'Unit List'!$A$23:$H$3172,2,FALSE)),"X",$P92)</f>
        <v/>
      </c>
      <c r="U92" s="120" t="str">
        <f>IF(ISTEXT(VLOOKUP(CONCATENATE($A92,"_",U$3),'Unit List'!$A$23:$H$3172,2,FALSE)),"X",$P92)</f>
        <v/>
      </c>
      <c r="V92" s="120" t="str">
        <f>IF(ISTEXT(VLOOKUP(CONCATENATE($A92,"_",V$3),'Unit List'!$A$23:$H$3172,2,FALSE)),"X",$P92)</f>
        <v/>
      </c>
      <c r="W92" s="122" t="str">
        <f>IF(ISTEXT(VLOOKUP(CONCATENATE($A92,"_",W$3),'Unit List'!$A$23:$H$3172,2,FALSE)),"X",$P92)</f>
        <v/>
      </c>
      <c r="X92" s="172" t="str">
        <f>IF(ISTEXT(VLOOKUP(CONCATENATE($A92,"_",X$3),'Unit List'!$A$23:$H$3172,2,FALSE)),"+","")</f>
        <v/>
      </c>
      <c r="Y92" s="120" t="str">
        <f>IF(ISTEXT(VLOOKUP(CONCATENATE($A92,"_",Y$3),'Unit List'!$A$23:$H$3172,2,FALSE)),"X",$X92)</f>
        <v/>
      </c>
      <c r="Z92" s="120" t="str">
        <f>IF(ISTEXT(VLOOKUP(CONCATENATE($A92,"_",Z$3),'Unit List'!$A$23:$H$3172,2,FALSE)),"X",$X92)</f>
        <v/>
      </c>
      <c r="AA92" s="120" t="str">
        <f>IF(ISTEXT(VLOOKUP(CONCATENATE($A92,"_",AA$3),'Unit List'!$A$23:$H$3172,2,FALSE)),"X",$X92)</f>
        <v/>
      </c>
      <c r="AB92" s="120" t="str">
        <f>IF(ISTEXT(VLOOKUP(CONCATENATE($A92,"_",AB$3),'Unit List'!$A$23:$H$3172,2,FALSE)),"X",$X92)</f>
        <v/>
      </c>
      <c r="AC92" s="75" t="str">
        <f>IF(ISTEXT(VLOOKUP(CONCATENATE($A92,"_",AC$3),'Unit List'!$A$23:$H$3172,2,FALSE)),"X",$X92)</f>
        <v/>
      </c>
      <c r="AD92" s="172" t="str">
        <f>IF(ISTEXT(VLOOKUP(CONCATENATE($A92,"_",AD$3),'Unit List'!$A$23:$H$3172,2,FALSE)),"+","")</f>
        <v/>
      </c>
      <c r="AE92" s="120" t="str">
        <f>IF(ISTEXT(VLOOKUP(CONCATENATE($A92,"_",AE$3),'Unit List'!$A$23:$H$3172,2,FALSE)),"X",$AD92)</f>
        <v/>
      </c>
      <c r="AF92" s="120" t="str">
        <f>IF(ISTEXT(VLOOKUP(CONCATENATE($A92,"_",AF$3),'Unit List'!$A$23:$H$3172,2,FALSE)),"X",$AD92)</f>
        <v/>
      </c>
      <c r="AG92" s="172" t="str">
        <f>IF(ISTEXT(VLOOKUP(CONCATENATE($A92,"_",AG$3),'Unit List'!$A$23:$H$3172,2,FALSE)),"+","")</f>
        <v/>
      </c>
      <c r="AH92" s="120" t="str">
        <f>IF(ISTEXT(VLOOKUP(CONCATENATE($A92,"_",AH$3),'Unit List'!$A$23:$H$3172,2,FALSE)),"X",$AG92)</f>
        <v/>
      </c>
      <c r="AI92" s="120" t="str">
        <f>IF(ISTEXT(VLOOKUP(CONCATENATE($A92,"_",AI$3),'Unit List'!$A$23:$H$3172,2,FALSE)),"X",$AG92)</f>
        <v/>
      </c>
      <c r="AJ92" s="122" t="str">
        <f>IF(ISTEXT(VLOOKUP(CONCATENATE($A92,"_",AJ$3),'Unit List'!$A$23:$H$3172,2,FALSE)),"X",$AG92)</f>
        <v/>
      </c>
      <c r="AK92" s="172" t="str">
        <f>IF(ISTEXT(VLOOKUP(CONCATENATE($A92,"_",AK$3),'Unit List'!$A$23:$H$3172,2,FALSE)),"+","")</f>
        <v/>
      </c>
      <c r="AL92" s="121" t="str">
        <f>IF(ISTEXT(VLOOKUP(CONCATENATE($A92,"_",AL$3),'Unit List'!$A$23:$H$3172,2,FALSE)),"X",$AK92)</f>
        <v/>
      </c>
      <c r="AM92" s="122" t="str">
        <f>IF(ISTEXT(VLOOKUP(CONCATENATE($A92,"_",AM$3),'Unit List'!$A$23:$H$3172,2,FALSE)),"X",$AK92)</f>
        <v/>
      </c>
      <c r="AN92" s="125" t="str">
        <f>IF(ISTEXT(VLOOKUP(CONCATENATE($A92,"_",AN$3),'Unit List'!$A$23:$H$3172,2,FALSE)),"+","")</f>
        <v/>
      </c>
      <c r="AO92" s="122" t="str">
        <f>IF(ISTEXT(VLOOKUP(CONCATENATE($A92,"_",AO$3),'Unit List'!$A$23:$H$3172,2,FALSE)),"X",$AN92)</f>
        <v/>
      </c>
      <c r="AP92" s="172" t="str">
        <f>IF(ISTEXT(VLOOKUP(CONCATENATE($A92,"_",AP$3),'Unit List'!$A$23:$H$3172,2,FALSE)),"+","")</f>
        <v/>
      </c>
      <c r="AQ92" s="120" t="str">
        <f>IF(ISTEXT(VLOOKUP(CONCATENATE($A92,"_",AQ$3),'Unit List'!$A$23:$H$3172,2,FALSE)),"X",$AP92)</f>
        <v/>
      </c>
      <c r="AR92" s="120" t="str">
        <f>IF(ISTEXT(VLOOKUP(CONCATENATE($A92,"_",AR$3),'Unit List'!$A$23:$H$3172,2,FALSE)),"X",$AP92)</f>
        <v/>
      </c>
      <c r="AS92" s="120" t="str">
        <f>IF(ISTEXT(VLOOKUP(CONCATENATE($A92,"_",AS$3),'Unit List'!$A$23:$H$3172,2,FALSE)),"X",$AP92)</f>
        <v/>
      </c>
      <c r="AT92" s="122" t="str">
        <f>IF(ISTEXT(VLOOKUP(CONCATENATE($A92,"_",AT$3),'Unit List'!$A$23:$H$3172,2,FALSE)),"X",$AP92)</f>
        <v/>
      </c>
      <c r="AU92" s="124" t="str">
        <f>IF(ISTEXT(VLOOKUP(CONCATENATE($A92,"_",AU$3),'Unit List'!$A$23:$H$3172,2,FALSE)),"+","")</f>
        <v/>
      </c>
      <c r="AV92" s="120" t="str">
        <f>IF(ISTEXT(VLOOKUP(CONCATENATE($A92,"_",AV$3),'Unit List'!$A$23:$H$3172,2,FALSE)),"X",$AU92)</f>
        <v/>
      </c>
      <c r="AW92" s="122" t="str">
        <f>IF(ISTEXT(VLOOKUP(CONCATENATE($A92,"_",AW$3),'Unit List'!$A$23:$H$3172,2,FALSE)),"X",$AU92)</f>
        <v/>
      </c>
      <c r="AX92" s="172" t="str">
        <f>IF(ISTEXT(VLOOKUP(CONCATENATE($A92,"_",AX$3),'Unit List'!$A$23:$H$3172,2,FALSE)),"+","")</f>
        <v/>
      </c>
      <c r="AY92" s="120" t="str">
        <f>IF(ISTEXT(VLOOKUP(CONCATENATE($A92,"_",AY$3),'Unit List'!$A$23:$H$3172,2,FALSE)),"X",$AX92)</f>
        <v/>
      </c>
      <c r="AZ92" s="122" t="str">
        <f>IF(ISTEXT(VLOOKUP(CONCATENATE($A92,"_",AZ$3),'Unit List'!$A$23:$H$3172,2,FALSE)),"X",$AX92)</f>
        <v/>
      </c>
      <c r="BA92" s="182" t="str">
        <f>IF(ISTEXT(VLOOKUP(CONCATENATE($A92,"_",BA$3),'Unit List'!$A$23:$H$3172,2,FALSE)),"+","")</f>
        <v/>
      </c>
      <c r="BB92" s="120" t="str">
        <f>IF(ISTEXT(VLOOKUP(CONCATENATE($A92,"_",BB$3),'Unit List'!$A$23:$H$3172,2,FALSE)),"X",$BA92)</f>
        <v/>
      </c>
      <c r="BC92" s="120" t="str">
        <f>IF(ISTEXT(VLOOKUP(CONCATENATE($A92,"_",BC$3),'Unit List'!$A$23:$H$3172,2,FALSE)),"X",$BA92)</f>
        <v/>
      </c>
      <c r="BD92" s="122" t="str">
        <f>IF(ISTEXT(VLOOKUP(CONCATENATE($A92,"_",BD$3),'Unit List'!$A$23:$H$3172,2,FALSE)),"X",$BA92)</f>
        <v/>
      </c>
      <c r="BE92" s="125" t="str">
        <f>IF(ISTEXT(VLOOKUP(CONCATENATE($A92,"_",BE$3),'Unit List'!$A$23:$H$3172,2,FALSE)),"+","")</f>
        <v/>
      </c>
      <c r="BF92" s="75" t="str">
        <f>IF(ISTEXT(VLOOKUP(CONCATENATE($A92,"_",BF$3),'Unit List'!$A$23:$H$3172,2,FALSE)),"X",$BE92)</f>
        <v/>
      </c>
      <c r="BG92" s="122"/>
      <c r="BH92" s="65" t="s">
        <v>0</v>
      </c>
      <c r="BI92" s="143"/>
      <c r="BJ92" s="144"/>
      <c r="BK92" s="144"/>
      <c r="BL92" s="145"/>
      <c r="BM92" s="145"/>
      <c r="BN92" s="54"/>
      <c r="BO92" s="54"/>
      <c r="BP92" s="54"/>
      <c r="BQ92" s="54"/>
      <c r="BR92" s="54"/>
      <c r="BS92" s="54"/>
      <c r="DZ92" s="55"/>
      <c r="EA92" s="55"/>
    </row>
    <row r="93" spans="1:131" ht="12.75" customHeight="1" x14ac:dyDescent="0.2">
      <c r="A93" s="138" t="s">
        <v>1138</v>
      </c>
      <c r="B93" s="181" t="str">
        <f>IF(ISTEXT(VLOOKUP(CONCATENATE($A93,"_",B$3),'Unit List'!$A$23:$H$3172,2,FALSE)),"+","")</f>
        <v/>
      </c>
      <c r="C93" s="119" t="str">
        <f>IF(ISTEXT(VLOOKUP(CONCATENATE($A93,"_",C$3),'Unit List'!$A$23:$H$3172,2,FALSE)),"X",$B93)</f>
        <v/>
      </c>
      <c r="D93" s="120" t="str">
        <f>IF(ISTEXT(VLOOKUP(CONCATENATE($A93,"_",D$3),'Unit List'!$A$23:$H$3172,2,FALSE)),"X",$B93)</f>
        <v/>
      </c>
      <c r="E93" s="120" t="str">
        <f>IF(ISTEXT(VLOOKUP(CONCATENATE($A93,"_",E$3),'Unit List'!$A$23:$H$3172,2,FALSE)),"X",$B93)</f>
        <v/>
      </c>
      <c r="F93" s="120" t="str">
        <f>IF(ISTEXT(VLOOKUP(CONCATENATE($A93,"_",F$3),'Unit List'!$A$23:$H$3172,2,FALSE)),"X",$B93)</f>
        <v/>
      </c>
      <c r="G93" s="120" t="str">
        <f>IF(ISTEXT(VLOOKUP(CONCATENATE($A93,"_",G$3),'Unit List'!$A$23:$H$3172,2,FALSE)),"X",$B93)</f>
        <v/>
      </c>
      <c r="H93" s="120" t="str">
        <f>IF(ISTEXT(VLOOKUP(CONCATENATE($A93,"_",H$3),'Unit List'!$A$23:$H$3172,2,FALSE)),"X",$B93)</f>
        <v/>
      </c>
      <c r="I93" s="122" t="str">
        <f>IF(ISTEXT(VLOOKUP(CONCATENATE($A93,"_",I$3),'Unit List'!$A$23:$H$3172,2,FALSE)),"X",$B93)</f>
        <v/>
      </c>
      <c r="J93" s="172" t="str">
        <f>IF(ISTEXT(VLOOKUP(CONCATENATE($A93,"_",J$3),'Unit List'!$A$23:$H$3172,2,FALSE)),"+","")</f>
        <v/>
      </c>
      <c r="K93" s="120" t="str">
        <f>IF(ISTEXT(VLOOKUP(CONCATENATE($A93,"_",K$3),'Unit List'!$A$23:$H$3172,2,FALSE)),"X",$J93)</f>
        <v/>
      </c>
      <c r="L93" s="75" t="str">
        <f>IF(ISTEXT(VLOOKUP(CONCATENATE($A93,"_",L$3),'Unit List'!$A$23:$H$3172,2,FALSE)),"X",$J93)</f>
        <v/>
      </c>
      <c r="M93" s="172" t="str">
        <f>IF(ISTEXT(VLOOKUP(CONCATENATE($A93,"_",M$3),'Unit List'!$A$23:$H$3172,2,FALSE)),"+","")</f>
        <v/>
      </c>
      <c r="N93" s="120" t="str">
        <f>IF(ISTEXT(VLOOKUP(CONCATENATE($A93,"_",N$3),'Unit List'!$A$23:$H$3172,2,FALSE)),"X",$M93)</f>
        <v/>
      </c>
      <c r="O93" s="122" t="str">
        <f>IF(ISTEXT(VLOOKUP(CONCATENATE($A93,"_",O$3),'Unit List'!$A$23:$H$3172,2,FALSE)),"X",$M93)</f>
        <v/>
      </c>
      <c r="P93" s="172" t="str">
        <f>IF(ISTEXT(VLOOKUP(CONCATENATE($A93,"_",P$3),'Unit List'!$A$23:$H$3172,2,FALSE)),"+","")</f>
        <v/>
      </c>
      <c r="Q93" s="120" t="str">
        <f>IF(ISTEXT(VLOOKUP(CONCATENATE($A93,"_",Q$3),'Unit List'!$A$23:$H$3172,2,FALSE)),"X",$P93)</f>
        <v/>
      </c>
      <c r="R93" s="120" t="str">
        <f>IF(ISTEXT(VLOOKUP(CONCATENATE($A93,"_",R$3),'Unit List'!$A$23:$H$3172,2,FALSE)),"X",$P93)</f>
        <v/>
      </c>
      <c r="S93" s="120" t="str">
        <f>IF(ISTEXT(VLOOKUP(CONCATENATE($A93,"_",S$3),'Unit List'!$A$23:$H$3172,2,FALSE)),"X",$P93)</f>
        <v/>
      </c>
      <c r="T93" s="121" t="str">
        <f>IF(ISTEXT(VLOOKUP(CONCATENATE($A93,"_",T$3),'Unit List'!$A$23:$H$3172,2,FALSE)),"X",$P93)</f>
        <v/>
      </c>
      <c r="U93" s="120" t="str">
        <f>IF(ISTEXT(VLOOKUP(CONCATENATE($A93,"_",U$3),'Unit List'!$A$23:$H$3172,2,FALSE)),"X",$P93)</f>
        <v/>
      </c>
      <c r="V93" s="120" t="str">
        <f>IF(ISTEXT(VLOOKUP(CONCATENATE($A93,"_",V$3),'Unit List'!$A$23:$H$3172,2,FALSE)),"X",$P93)</f>
        <v/>
      </c>
      <c r="W93" s="122" t="str">
        <f>IF(ISTEXT(VLOOKUP(CONCATENATE($A93,"_",W$3),'Unit List'!$A$23:$H$3172,2,FALSE)),"X",$P93)</f>
        <v/>
      </c>
      <c r="X93" s="172" t="str">
        <f>IF(ISTEXT(VLOOKUP(CONCATENATE($A93,"_",X$3),'Unit List'!$A$23:$H$3172,2,FALSE)),"+","")</f>
        <v/>
      </c>
      <c r="Y93" s="120" t="str">
        <f>IF(ISTEXT(VLOOKUP(CONCATENATE($A93,"_",Y$3),'Unit List'!$A$23:$H$3172,2,FALSE)),"X",$X93)</f>
        <v/>
      </c>
      <c r="Z93" s="120" t="str">
        <f>IF(ISTEXT(VLOOKUP(CONCATENATE($A93,"_",Z$3),'Unit List'!$A$23:$H$3172,2,FALSE)),"X",$X93)</f>
        <v/>
      </c>
      <c r="AA93" s="120" t="str">
        <f>IF(ISTEXT(VLOOKUP(CONCATENATE($A93,"_",AA$3),'Unit List'!$A$23:$H$3172,2,FALSE)),"X",$X93)</f>
        <v/>
      </c>
      <c r="AB93" s="120" t="str">
        <f>IF(ISTEXT(VLOOKUP(CONCATENATE($A93,"_",AB$3),'Unit List'!$A$23:$H$3172,2,FALSE)),"X",$X93)</f>
        <v/>
      </c>
      <c r="AC93" s="75" t="str">
        <f>IF(ISTEXT(VLOOKUP(CONCATENATE($A93,"_",AC$3),'Unit List'!$A$23:$H$3172,2,FALSE)),"X",$X93)</f>
        <v/>
      </c>
      <c r="AD93" s="172" t="str">
        <f>IF(ISTEXT(VLOOKUP(CONCATENATE($A93,"_",AD$3),'Unit List'!$A$23:$H$3172,2,FALSE)),"+","")</f>
        <v/>
      </c>
      <c r="AE93" s="120" t="str">
        <f>IF(ISTEXT(VLOOKUP(CONCATENATE($A93,"_",AE$3),'Unit List'!$A$23:$H$3172,2,FALSE)),"X",$AD93)</f>
        <v/>
      </c>
      <c r="AF93" s="120" t="str">
        <f>IF(ISTEXT(VLOOKUP(CONCATENATE($A93,"_",AF$3),'Unit List'!$A$23:$H$3172,2,FALSE)),"X",$AD93)</f>
        <v/>
      </c>
      <c r="AG93" s="172" t="str">
        <f>IF(ISTEXT(VLOOKUP(CONCATENATE($A93,"_",AG$3),'Unit List'!$A$23:$H$3172,2,FALSE)),"+","")</f>
        <v/>
      </c>
      <c r="AH93" s="120" t="str">
        <f>IF(ISTEXT(VLOOKUP(CONCATENATE($A93,"_",AH$3),'Unit List'!$A$23:$H$3172,2,FALSE)),"X",$AG93)</f>
        <v/>
      </c>
      <c r="AI93" s="120" t="str">
        <f>IF(ISTEXT(VLOOKUP(CONCATENATE($A93,"_",AI$3),'Unit List'!$A$23:$H$3172,2,FALSE)),"X",$AG93)</f>
        <v/>
      </c>
      <c r="AJ93" s="122" t="str">
        <f>IF(ISTEXT(VLOOKUP(CONCATENATE($A93,"_",AJ$3),'Unit List'!$A$23:$H$3172,2,FALSE)),"X",$AG93)</f>
        <v/>
      </c>
      <c r="AK93" s="172" t="str">
        <f>IF(ISTEXT(VLOOKUP(CONCATENATE($A93,"_",AK$3),'Unit List'!$A$23:$H$3172,2,FALSE)),"+","")</f>
        <v/>
      </c>
      <c r="AL93" s="121" t="str">
        <f>IF(ISTEXT(VLOOKUP(CONCATENATE($A93,"_",AL$3),'Unit List'!$A$23:$H$3172,2,FALSE)),"X",$AK93)</f>
        <v/>
      </c>
      <c r="AM93" s="122" t="str">
        <f>IF(ISTEXT(VLOOKUP(CONCATENATE($A93,"_",AM$3),'Unit List'!$A$23:$H$3172,2,FALSE)),"X",$AK93)</f>
        <v/>
      </c>
      <c r="AN93" s="125" t="str">
        <f>IF(ISTEXT(VLOOKUP(CONCATENATE($A93,"_",AN$3),'Unit List'!$A$23:$H$3172,2,FALSE)),"+","")</f>
        <v/>
      </c>
      <c r="AO93" s="122" t="str">
        <f>IF(ISTEXT(VLOOKUP(CONCATENATE($A93,"_",AO$3),'Unit List'!$A$23:$H$3172,2,FALSE)),"X",$AN93)</f>
        <v/>
      </c>
      <c r="AP93" s="172" t="str">
        <f>IF(ISTEXT(VLOOKUP(CONCATENATE($A93,"_",AP$3),'Unit List'!$A$23:$H$3172,2,FALSE)),"+","")</f>
        <v/>
      </c>
      <c r="AQ93" s="120" t="str">
        <f>IF(ISTEXT(VLOOKUP(CONCATENATE($A93,"_",AQ$3),'Unit List'!$A$23:$H$3172,2,FALSE)),"X",$AP93)</f>
        <v/>
      </c>
      <c r="AR93" s="120" t="str">
        <f>IF(ISTEXT(VLOOKUP(CONCATENATE($A93,"_",AR$3),'Unit List'!$A$23:$H$3172,2,FALSE)),"X",$AP93)</f>
        <v/>
      </c>
      <c r="AS93" s="120" t="str">
        <f>IF(ISTEXT(VLOOKUP(CONCATENATE($A93,"_",AS$3),'Unit List'!$A$23:$H$3172,2,FALSE)),"X",$AP93)</f>
        <v/>
      </c>
      <c r="AT93" s="122" t="str">
        <f>IF(ISTEXT(VLOOKUP(CONCATENATE($A93,"_",AT$3),'Unit List'!$A$23:$H$3172,2,FALSE)),"X",$AP93)</f>
        <v/>
      </c>
      <c r="AU93" s="124" t="str">
        <f>IF(ISTEXT(VLOOKUP(CONCATENATE($A93,"_",AU$3),'Unit List'!$A$23:$H$3172,2,FALSE)),"+","")</f>
        <v/>
      </c>
      <c r="AV93" s="120" t="str">
        <f>IF(ISTEXT(VLOOKUP(CONCATENATE($A93,"_",AV$3),'Unit List'!$A$23:$H$3172,2,FALSE)),"X",$AU93)</f>
        <v/>
      </c>
      <c r="AW93" s="122" t="str">
        <f>IF(ISTEXT(VLOOKUP(CONCATENATE($A93,"_",AW$3),'Unit List'!$A$23:$H$3172,2,FALSE)),"X",$AU93)</f>
        <v/>
      </c>
      <c r="AX93" s="172" t="str">
        <f>IF(ISTEXT(VLOOKUP(CONCATENATE($A93,"_",AX$3),'Unit List'!$A$23:$H$3172,2,FALSE)),"+","")</f>
        <v/>
      </c>
      <c r="AY93" s="120" t="str">
        <f>IF(ISTEXT(VLOOKUP(CONCATENATE($A93,"_",AY$3),'Unit List'!$A$23:$H$3172,2,FALSE)),"X",$AX93)</f>
        <v/>
      </c>
      <c r="AZ93" s="122" t="str">
        <f>IF(ISTEXT(VLOOKUP(CONCATENATE($A93,"_",AZ$3),'Unit List'!$A$23:$H$3172,2,FALSE)),"X",$AX93)</f>
        <v/>
      </c>
      <c r="BA93" s="182" t="str">
        <f>IF(ISTEXT(VLOOKUP(CONCATENATE($A93,"_",BA$3),'Unit List'!$A$23:$H$3172,2,FALSE)),"+","")</f>
        <v/>
      </c>
      <c r="BB93" s="120" t="str">
        <f>IF(ISTEXT(VLOOKUP(CONCATENATE($A93,"_",BB$3),'Unit List'!$A$23:$H$3172,2,FALSE)),"X",$BA93)</f>
        <v/>
      </c>
      <c r="BC93" s="120" t="str">
        <f>IF(ISTEXT(VLOOKUP(CONCATENATE($A93,"_",BC$3),'Unit List'!$A$23:$H$3172,2,FALSE)),"X",$BA93)</f>
        <v/>
      </c>
      <c r="BD93" s="122" t="str">
        <f>IF(ISTEXT(VLOOKUP(CONCATENATE($A93,"_",BD$3),'Unit List'!$A$23:$H$3172,2,FALSE)),"X",$BA93)</f>
        <v/>
      </c>
      <c r="BE93" s="125" t="str">
        <f>IF(ISTEXT(VLOOKUP(CONCATENATE($A93,"_",BE$3),'Unit List'!$A$23:$H$3172,2,FALSE)),"+","")</f>
        <v/>
      </c>
      <c r="BF93" s="75" t="str">
        <f>IF(ISTEXT(VLOOKUP(CONCATENATE($A93,"_",BF$3),'Unit List'!$A$23:$H$3172,2,FALSE)),"X",$BE93)</f>
        <v/>
      </c>
      <c r="BG93" s="122"/>
      <c r="BH93" s="65" t="s">
        <v>0</v>
      </c>
      <c r="BI93" s="143"/>
      <c r="BJ93" s="144"/>
      <c r="BK93" s="144"/>
      <c r="BL93" s="145"/>
      <c r="BM93" s="145"/>
      <c r="BN93" s="54"/>
      <c r="BO93" s="54"/>
      <c r="BP93" s="54"/>
      <c r="BQ93" s="54"/>
      <c r="BR93" s="54"/>
      <c r="BS93" s="54"/>
      <c r="DZ93" s="55"/>
      <c r="EA93" s="55"/>
    </row>
    <row r="94" spans="1:131" ht="12.75" customHeight="1" x14ac:dyDescent="0.2">
      <c r="A94" s="138" t="s">
        <v>1139</v>
      </c>
      <c r="B94" s="181" t="str">
        <f>IF(ISTEXT(VLOOKUP(CONCATENATE($A94,"_",B$3),'Unit List'!$A$23:$H$3172,2,FALSE)),"+","")</f>
        <v/>
      </c>
      <c r="C94" s="119" t="str">
        <f>IF(ISTEXT(VLOOKUP(CONCATENATE($A94,"_",C$3),'Unit List'!$A$23:$H$3172,2,FALSE)),"X",$B94)</f>
        <v/>
      </c>
      <c r="D94" s="120" t="str">
        <f>IF(ISTEXT(VLOOKUP(CONCATENATE($A94,"_",D$3),'Unit List'!$A$23:$H$3172,2,FALSE)),"X",$B94)</f>
        <v/>
      </c>
      <c r="E94" s="120" t="str">
        <f>IF(ISTEXT(VLOOKUP(CONCATENATE($A94,"_",E$3),'Unit List'!$A$23:$H$3172,2,FALSE)),"X",$B94)</f>
        <v/>
      </c>
      <c r="F94" s="120" t="str">
        <f>IF(ISTEXT(VLOOKUP(CONCATENATE($A94,"_",F$3),'Unit List'!$A$23:$H$3172,2,FALSE)),"X",$B94)</f>
        <v/>
      </c>
      <c r="G94" s="120" t="str">
        <f>IF(ISTEXT(VLOOKUP(CONCATENATE($A94,"_",G$3),'Unit List'!$A$23:$H$3172,2,FALSE)),"X",$B94)</f>
        <v/>
      </c>
      <c r="H94" s="120" t="str">
        <f>IF(ISTEXT(VLOOKUP(CONCATENATE($A94,"_",H$3),'Unit List'!$A$23:$H$3172,2,FALSE)),"X",$B94)</f>
        <v/>
      </c>
      <c r="I94" s="122" t="str">
        <f>IF(ISTEXT(VLOOKUP(CONCATENATE($A94,"_",I$3),'Unit List'!$A$23:$H$3172,2,FALSE)),"X",$B94)</f>
        <v/>
      </c>
      <c r="J94" s="172" t="str">
        <f>IF(ISTEXT(VLOOKUP(CONCATENATE($A94,"_",J$3),'Unit List'!$A$23:$H$3172,2,FALSE)),"+","")</f>
        <v/>
      </c>
      <c r="K94" s="120" t="str">
        <f>IF(ISTEXT(VLOOKUP(CONCATENATE($A94,"_",K$3),'Unit List'!$A$23:$H$3172,2,FALSE)),"X",$J94)</f>
        <v/>
      </c>
      <c r="L94" s="75" t="str">
        <f>IF(ISTEXT(VLOOKUP(CONCATENATE($A94,"_",L$3),'Unit List'!$A$23:$H$3172,2,FALSE)),"X",$J94)</f>
        <v/>
      </c>
      <c r="M94" s="172" t="str">
        <f>IF(ISTEXT(VLOOKUP(CONCATENATE($A94,"_",M$3),'Unit List'!$A$23:$H$3172,2,FALSE)),"+","")</f>
        <v/>
      </c>
      <c r="N94" s="120" t="str">
        <f>IF(ISTEXT(VLOOKUP(CONCATENATE($A94,"_",N$3),'Unit List'!$A$23:$H$3172,2,FALSE)),"X",$M94)</f>
        <v/>
      </c>
      <c r="O94" s="122" t="str">
        <f>IF(ISTEXT(VLOOKUP(CONCATENATE($A94,"_",O$3),'Unit List'!$A$23:$H$3172,2,FALSE)),"X",$M94)</f>
        <v/>
      </c>
      <c r="P94" s="172" t="str">
        <f>IF(ISTEXT(VLOOKUP(CONCATENATE($A94,"_",P$3),'Unit List'!$A$23:$H$3172,2,FALSE)),"+","")</f>
        <v/>
      </c>
      <c r="Q94" s="120" t="str">
        <f>IF(ISTEXT(VLOOKUP(CONCATENATE($A94,"_",Q$3),'Unit List'!$A$23:$H$3172,2,FALSE)),"X",$P94)</f>
        <v/>
      </c>
      <c r="R94" s="120" t="str">
        <f>IF(ISTEXT(VLOOKUP(CONCATENATE($A94,"_",R$3),'Unit List'!$A$23:$H$3172,2,FALSE)),"X",$P94)</f>
        <v/>
      </c>
      <c r="S94" s="120" t="str">
        <f>IF(ISTEXT(VLOOKUP(CONCATENATE($A94,"_",S$3),'Unit List'!$A$23:$H$3172,2,FALSE)),"X",$P94)</f>
        <v/>
      </c>
      <c r="T94" s="121" t="str">
        <f>IF(ISTEXT(VLOOKUP(CONCATENATE($A94,"_",T$3),'Unit List'!$A$23:$H$3172,2,FALSE)),"X",$P94)</f>
        <v/>
      </c>
      <c r="U94" s="120" t="str">
        <f>IF(ISTEXT(VLOOKUP(CONCATENATE($A94,"_",U$3),'Unit List'!$A$23:$H$3172,2,FALSE)),"X",$P94)</f>
        <v/>
      </c>
      <c r="V94" s="120" t="str">
        <f>IF(ISTEXT(VLOOKUP(CONCATENATE($A94,"_",V$3),'Unit List'!$A$23:$H$3172,2,FALSE)),"X",$P94)</f>
        <v/>
      </c>
      <c r="W94" s="122" t="str">
        <f>IF(ISTEXT(VLOOKUP(CONCATENATE($A94,"_",W$3),'Unit List'!$A$23:$H$3172,2,FALSE)),"X",$P94)</f>
        <v/>
      </c>
      <c r="X94" s="172" t="str">
        <f>IF(ISTEXT(VLOOKUP(CONCATENATE($A94,"_",X$3),'Unit List'!$A$23:$H$3172,2,FALSE)),"+","")</f>
        <v/>
      </c>
      <c r="Y94" s="120" t="str">
        <f>IF(ISTEXT(VLOOKUP(CONCATENATE($A94,"_",Y$3),'Unit List'!$A$23:$H$3172,2,FALSE)),"X",$X94)</f>
        <v/>
      </c>
      <c r="Z94" s="120" t="str">
        <f>IF(ISTEXT(VLOOKUP(CONCATENATE($A94,"_",Z$3),'Unit List'!$A$23:$H$3172,2,FALSE)),"X",$X94)</f>
        <v/>
      </c>
      <c r="AA94" s="120" t="str">
        <f>IF(ISTEXT(VLOOKUP(CONCATENATE($A94,"_",AA$3),'Unit List'!$A$23:$H$3172,2,FALSE)),"X",$X94)</f>
        <v/>
      </c>
      <c r="AB94" s="120" t="str">
        <f>IF(ISTEXT(VLOOKUP(CONCATENATE($A94,"_",AB$3),'Unit List'!$A$23:$H$3172,2,FALSE)),"X",$X94)</f>
        <v/>
      </c>
      <c r="AC94" s="75" t="str">
        <f>IF(ISTEXT(VLOOKUP(CONCATENATE($A94,"_",AC$3),'Unit List'!$A$23:$H$3172,2,FALSE)),"X",$X94)</f>
        <v/>
      </c>
      <c r="AD94" s="172" t="str">
        <f>IF(ISTEXT(VLOOKUP(CONCATENATE($A94,"_",AD$3),'Unit List'!$A$23:$H$3172,2,FALSE)),"+","")</f>
        <v/>
      </c>
      <c r="AE94" s="120" t="str">
        <f>IF(ISTEXT(VLOOKUP(CONCATENATE($A94,"_",AE$3),'Unit List'!$A$23:$H$3172,2,FALSE)),"X",$AD94)</f>
        <v/>
      </c>
      <c r="AF94" s="120" t="str">
        <f>IF(ISTEXT(VLOOKUP(CONCATENATE($A94,"_",AF$3),'Unit List'!$A$23:$H$3172,2,FALSE)),"X",$AD94)</f>
        <v/>
      </c>
      <c r="AG94" s="172" t="str">
        <f>IF(ISTEXT(VLOOKUP(CONCATENATE($A94,"_",AG$3),'Unit List'!$A$23:$H$3172,2,FALSE)),"+","")</f>
        <v/>
      </c>
      <c r="AH94" s="120" t="str">
        <f>IF(ISTEXT(VLOOKUP(CONCATENATE($A94,"_",AH$3),'Unit List'!$A$23:$H$3172,2,FALSE)),"X",$AG94)</f>
        <v/>
      </c>
      <c r="AI94" s="120" t="str">
        <f>IF(ISTEXT(VLOOKUP(CONCATENATE($A94,"_",AI$3),'Unit List'!$A$23:$H$3172,2,FALSE)),"X",$AG94)</f>
        <v/>
      </c>
      <c r="AJ94" s="122" t="str">
        <f>IF(ISTEXT(VLOOKUP(CONCATENATE($A94,"_",AJ$3),'Unit List'!$A$23:$H$3172,2,FALSE)),"X",$AG94)</f>
        <v/>
      </c>
      <c r="AK94" s="172" t="str">
        <f>IF(ISTEXT(VLOOKUP(CONCATENATE($A94,"_",AK$3),'Unit List'!$A$23:$H$3172,2,FALSE)),"+","")</f>
        <v/>
      </c>
      <c r="AL94" s="121" t="str">
        <f>IF(ISTEXT(VLOOKUP(CONCATENATE($A94,"_",AL$3),'Unit List'!$A$23:$H$3172,2,FALSE)),"X",$AK94)</f>
        <v/>
      </c>
      <c r="AM94" s="122" t="str">
        <f>IF(ISTEXT(VLOOKUP(CONCATENATE($A94,"_",AM$3),'Unit List'!$A$23:$H$3172,2,FALSE)),"X",$AK94)</f>
        <v/>
      </c>
      <c r="AN94" s="125" t="str">
        <f>IF(ISTEXT(VLOOKUP(CONCATENATE($A94,"_",AN$3),'Unit List'!$A$23:$H$3172,2,FALSE)),"+","")</f>
        <v/>
      </c>
      <c r="AO94" s="122" t="str">
        <f>IF(ISTEXT(VLOOKUP(CONCATENATE($A94,"_",AO$3),'Unit List'!$A$23:$H$3172,2,FALSE)),"X",$AN94)</f>
        <v/>
      </c>
      <c r="AP94" s="172" t="str">
        <f>IF(ISTEXT(VLOOKUP(CONCATENATE($A94,"_",AP$3),'Unit List'!$A$23:$H$3172,2,FALSE)),"+","")</f>
        <v/>
      </c>
      <c r="AQ94" s="120" t="str">
        <f>IF(ISTEXT(VLOOKUP(CONCATENATE($A94,"_",AQ$3),'Unit List'!$A$23:$H$3172,2,FALSE)),"X",$AP94)</f>
        <v/>
      </c>
      <c r="AR94" s="120" t="str">
        <f>IF(ISTEXT(VLOOKUP(CONCATENATE($A94,"_",AR$3),'Unit List'!$A$23:$H$3172,2,FALSE)),"X",$AP94)</f>
        <v/>
      </c>
      <c r="AS94" s="120" t="str">
        <f>IF(ISTEXT(VLOOKUP(CONCATENATE($A94,"_",AS$3),'Unit List'!$A$23:$H$3172,2,FALSE)),"X",$AP94)</f>
        <v/>
      </c>
      <c r="AT94" s="122" t="str">
        <f>IF(ISTEXT(VLOOKUP(CONCATENATE($A94,"_",AT$3),'Unit List'!$A$23:$H$3172,2,FALSE)),"X",$AP94)</f>
        <v/>
      </c>
      <c r="AU94" s="124" t="str">
        <f>IF(ISTEXT(VLOOKUP(CONCATENATE($A94,"_",AU$3),'Unit List'!$A$23:$H$3172,2,FALSE)),"+","")</f>
        <v/>
      </c>
      <c r="AV94" s="120" t="str">
        <f>IF(ISTEXT(VLOOKUP(CONCATENATE($A94,"_",AV$3),'Unit List'!$A$23:$H$3172,2,FALSE)),"X",$AU94)</f>
        <v/>
      </c>
      <c r="AW94" s="122" t="str">
        <f>IF(ISTEXT(VLOOKUP(CONCATENATE($A94,"_",AW$3),'Unit List'!$A$23:$H$3172,2,FALSE)),"X",$AU94)</f>
        <v/>
      </c>
      <c r="AX94" s="172" t="str">
        <f>IF(ISTEXT(VLOOKUP(CONCATENATE($A94,"_",AX$3),'Unit List'!$A$23:$H$3172,2,FALSE)),"+","")</f>
        <v/>
      </c>
      <c r="AY94" s="120" t="str">
        <f>IF(ISTEXT(VLOOKUP(CONCATENATE($A94,"_",AY$3),'Unit List'!$A$23:$H$3172,2,FALSE)),"X",$AX94)</f>
        <v/>
      </c>
      <c r="AZ94" s="122" t="str">
        <f>IF(ISTEXT(VLOOKUP(CONCATENATE($A94,"_",AZ$3),'Unit List'!$A$23:$H$3172,2,FALSE)),"X",$AX94)</f>
        <v/>
      </c>
      <c r="BA94" s="182" t="str">
        <f>IF(ISTEXT(VLOOKUP(CONCATENATE($A94,"_",BA$3),'Unit List'!$A$23:$H$3172,2,FALSE)),"+","")</f>
        <v/>
      </c>
      <c r="BB94" s="120" t="str">
        <f>IF(ISTEXT(VLOOKUP(CONCATENATE($A94,"_",BB$3),'Unit List'!$A$23:$H$3172,2,FALSE)),"X",$BA94)</f>
        <v/>
      </c>
      <c r="BC94" s="120" t="str">
        <f>IF(ISTEXT(VLOOKUP(CONCATENATE($A94,"_",BC$3),'Unit List'!$A$23:$H$3172,2,FALSE)),"X",$BA94)</f>
        <v/>
      </c>
      <c r="BD94" s="122" t="str">
        <f>IF(ISTEXT(VLOOKUP(CONCATENATE($A94,"_",BD$3),'Unit List'!$A$23:$H$3172,2,FALSE)),"X",$BA94)</f>
        <v/>
      </c>
      <c r="BE94" s="125" t="str">
        <f>IF(ISTEXT(VLOOKUP(CONCATENATE($A94,"_",BE$3),'Unit List'!$A$23:$H$3172,2,FALSE)),"+","")</f>
        <v/>
      </c>
      <c r="BF94" s="75" t="str">
        <f>IF(ISTEXT(VLOOKUP(CONCATENATE($A94,"_",BF$3),'Unit List'!$A$23:$H$3172,2,FALSE)),"X",$BE94)</f>
        <v/>
      </c>
      <c r="BG94" s="122"/>
      <c r="BH94" s="65" t="s">
        <v>0</v>
      </c>
      <c r="BI94" s="143"/>
      <c r="BJ94" s="144"/>
      <c r="BK94" s="144"/>
      <c r="BL94" s="145"/>
      <c r="BM94" s="145"/>
      <c r="BN94" s="54"/>
      <c r="BO94" s="54"/>
      <c r="BP94" s="54"/>
      <c r="BQ94" s="54"/>
      <c r="BR94" s="54"/>
      <c r="BS94" s="54"/>
      <c r="DZ94" s="55"/>
      <c r="EA94" s="55"/>
    </row>
    <row r="95" spans="1:131" ht="12.75" customHeight="1" x14ac:dyDescent="0.2">
      <c r="A95" s="138" t="s">
        <v>1130</v>
      </c>
      <c r="B95" s="181" t="str">
        <f>IF(ISTEXT(VLOOKUP(CONCATENATE($A95,"_",B$3),'Unit List'!$A$23:$H$3172,2,FALSE)),"+","")</f>
        <v/>
      </c>
      <c r="C95" s="119" t="str">
        <f>IF(ISTEXT(VLOOKUP(CONCATENATE($A95,"_",C$3),'Unit List'!$A$23:$H$3172,2,FALSE)),"X",$B95)</f>
        <v/>
      </c>
      <c r="D95" s="120" t="str">
        <f>IF(ISTEXT(VLOOKUP(CONCATENATE($A95,"_",D$3),'Unit List'!$A$23:$H$3172,2,FALSE)),"X",$B95)</f>
        <v/>
      </c>
      <c r="E95" s="120" t="str">
        <f>IF(ISTEXT(VLOOKUP(CONCATENATE($A95,"_",E$3),'Unit List'!$A$23:$H$3172,2,FALSE)),"X",$B95)</f>
        <v/>
      </c>
      <c r="F95" s="120" t="str">
        <f>IF(ISTEXT(VLOOKUP(CONCATENATE($A95,"_",F$3),'Unit List'!$A$23:$H$3172,2,FALSE)),"X",$B95)</f>
        <v/>
      </c>
      <c r="G95" s="120" t="str">
        <f>IF(ISTEXT(VLOOKUP(CONCATENATE($A95,"_",G$3),'Unit List'!$A$23:$H$3172,2,FALSE)),"X",$B95)</f>
        <v/>
      </c>
      <c r="H95" s="120" t="str">
        <f>IF(ISTEXT(VLOOKUP(CONCATENATE($A95,"_",H$3),'Unit List'!$A$23:$H$3172,2,FALSE)),"X",$B95)</f>
        <v/>
      </c>
      <c r="I95" s="122" t="str">
        <f>IF(ISTEXT(VLOOKUP(CONCATENATE($A95,"_",I$3),'Unit List'!$A$23:$H$3172,2,FALSE)),"X",$B95)</f>
        <v/>
      </c>
      <c r="J95" s="172" t="str">
        <f>IF(ISTEXT(VLOOKUP(CONCATENATE($A95,"_",J$3),'Unit List'!$A$23:$H$3172,2,FALSE)),"+","")</f>
        <v/>
      </c>
      <c r="K95" s="120" t="str">
        <f>IF(ISTEXT(VLOOKUP(CONCATENATE($A95,"_",K$3),'Unit List'!$A$23:$H$3172,2,FALSE)),"X",$J95)</f>
        <v/>
      </c>
      <c r="L95" s="75" t="str">
        <f>IF(ISTEXT(VLOOKUP(CONCATENATE($A95,"_",L$3),'Unit List'!$A$23:$H$3172,2,FALSE)),"X",$J95)</f>
        <v/>
      </c>
      <c r="M95" s="172" t="str">
        <f>IF(ISTEXT(VLOOKUP(CONCATENATE($A95,"_",M$3),'Unit List'!$A$23:$H$3172,2,FALSE)),"+","")</f>
        <v/>
      </c>
      <c r="N95" s="120" t="str">
        <f>IF(ISTEXT(VLOOKUP(CONCATENATE($A95,"_",N$3),'Unit List'!$A$23:$H$3172,2,FALSE)),"X",$M95)</f>
        <v/>
      </c>
      <c r="O95" s="122" t="str">
        <f>IF(ISTEXT(VLOOKUP(CONCATENATE($A95,"_",O$3),'Unit List'!$A$23:$H$3172,2,FALSE)),"X",$M95)</f>
        <v/>
      </c>
      <c r="P95" s="172" t="str">
        <f>IF(ISTEXT(VLOOKUP(CONCATENATE($A95,"_",P$3),'Unit List'!$A$23:$H$3172,2,FALSE)),"+","")</f>
        <v/>
      </c>
      <c r="Q95" s="120" t="str">
        <f>IF(ISTEXT(VLOOKUP(CONCATENATE($A95,"_",Q$3),'Unit List'!$A$23:$H$3172,2,FALSE)),"X",$P95)</f>
        <v/>
      </c>
      <c r="R95" s="120" t="str">
        <f>IF(ISTEXT(VLOOKUP(CONCATENATE($A95,"_",R$3),'Unit List'!$A$23:$H$3172,2,FALSE)),"X",$P95)</f>
        <v/>
      </c>
      <c r="S95" s="120" t="str">
        <f>IF(ISTEXT(VLOOKUP(CONCATENATE($A95,"_",S$3),'Unit List'!$A$23:$H$3172,2,FALSE)),"X",$P95)</f>
        <v/>
      </c>
      <c r="T95" s="121" t="str">
        <f>IF(ISTEXT(VLOOKUP(CONCATENATE($A95,"_",T$3),'Unit List'!$A$23:$H$3172,2,FALSE)),"X",$P95)</f>
        <v/>
      </c>
      <c r="U95" s="120" t="str">
        <f>IF(ISTEXT(VLOOKUP(CONCATENATE($A95,"_",U$3),'Unit List'!$A$23:$H$3172,2,FALSE)),"X",$P95)</f>
        <v/>
      </c>
      <c r="V95" s="120" t="str">
        <f>IF(ISTEXT(VLOOKUP(CONCATENATE($A95,"_",V$3),'Unit List'!$A$23:$H$3172,2,FALSE)),"X",$P95)</f>
        <v/>
      </c>
      <c r="W95" s="122" t="str">
        <f>IF(ISTEXT(VLOOKUP(CONCATENATE($A95,"_",W$3),'Unit List'!$A$23:$H$3172,2,FALSE)),"X",$P95)</f>
        <v/>
      </c>
      <c r="X95" s="172" t="str">
        <f>IF(ISTEXT(VLOOKUP(CONCATENATE($A95,"_",X$3),'Unit List'!$A$23:$H$3172,2,FALSE)),"+","")</f>
        <v/>
      </c>
      <c r="Y95" s="120" t="str">
        <f>IF(ISTEXT(VLOOKUP(CONCATENATE($A95,"_",Y$3),'Unit List'!$A$23:$H$3172,2,FALSE)),"X",$X95)</f>
        <v/>
      </c>
      <c r="Z95" s="120" t="str">
        <f>IF(ISTEXT(VLOOKUP(CONCATENATE($A95,"_",Z$3),'Unit List'!$A$23:$H$3172,2,FALSE)),"X",$X95)</f>
        <v/>
      </c>
      <c r="AA95" s="120" t="str">
        <f>IF(ISTEXT(VLOOKUP(CONCATENATE($A95,"_",AA$3),'Unit List'!$A$23:$H$3172,2,FALSE)),"X",$X95)</f>
        <v/>
      </c>
      <c r="AB95" s="120" t="str">
        <f>IF(ISTEXT(VLOOKUP(CONCATENATE($A95,"_",AB$3),'Unit List'!$A$23:$H$3172,2,FALSE)),"X",$X95)</f>
        <v/>
      </c>
      <c r="AC95" s="75" t="str">
        <f>IF(ISTEXT(VLOOKUP(CONCATENATE($A95,"_",AC$3),'Unit List'!$A$23:$H$3172,2,FALSE)),"X",$X95)</f>
        <v/>
      </c>
      <c r="AD95" s="172" t="str">
        <f>IF(ISTEXT(VLOOKUP(CONCATENATE($A95,"_",AD$3),'Unit List'!$A$23:$H$3172,2,FALSE)),"+","")</f>
        <v/>
      </c>
      <c r="AE95" s="120" t="str">
        <f>IF(ISTEXT(VLOOKUP(CONCATENATE($A95,"_",AE$3),'Unit List'!$A$23:$H$3172,2,FALSE)),"X",$AD95)</f>
        <v/>
      </c>
      <c r="AF95" s="120" t="str">
        <f>IF(ISTEXT(VLOOKUP(CONCATENATE($A95,"_",AF$3),'Unit List'!$A$23:$H$3172,2,FALSE)),"X",$AD95)</f>
        <v/>
      </c>
      <c r="AG95" s="172" t="str">
        <f>IF(ISTEXT(VLOOKUP(CONCATENATE($A95,"_",AG$3),'Unit List'!$A$23:$H$3172,2,FALSE)),"+","")</f>
        <v/>
      </c>
      <c r="AH95" s="120" t="str">
        <f>IF(ISTEXT(VLOOKUP(CONCATENATE($A95,"_",AH$3),'Unit List'!$A$23:$H$3172,2,FALSE)),"X",$AG95)</f>
        <v/>
      </c>
      <c r="AI95" s="120" t="str">
        <f>IF(ISTEXT(VLOOKUP(CONCATENATE($A95,"_",AI$3),'Unit List'!$A$23:$H$3172,2,FALSE)),"X",$AG95)</f>
        <v/>
      </c>
      <c r="AJ95" s="122" t="str">
        <f>IF(ISTEXT(VLOOKUP(CONCATENATE($A95,"_",AJ$3),'Unit List'!$A$23:$H$3172,2,FALSE)),"X",$AG95)</f>
        <v/>
      </c>
      <c r="AK95" s="172" t="str">
        <f>IF(ISTEXT(VLOOKUP(CONCATENATE($A95,"_",AK$3),'Unit List'!$A$23:$H$3172,2,FALSE)),"+","")</f>
        <v/>
      </c>
      <c r="AL95" s="121" t="str">
        <f>IF(ISTEXT(VLOOKUP(CONCATENATE($A95,"_",AL$3),'Unit List'!$A$23:$H$3172,2,FALSE)),"X",$AK95)</f>
        <v/>
      </c>
      <c r="AM95" s="122" t="str">
        <f>IF(ISTEXT(VLOOKUP(CONCATENATE($A95,"_",AM$3),'Unit List'!$A$23:$H$3172,2,FALSE)),"X",$AK95)</f>
        <v/>
      </c>
      <c r="AN95" s="125" t="str">
        <f>IF(ISTEXT(VLOOKUP(CONCATENATE($A95,"_",AN$3),'Unit List'!$A$23:$H$3172,2,FALSE)),"+","")</f>
        <v/>
      </c>
      <c r="AO95" s="122" t="str">
        <f>IF(ISTEXT(VLOOKUP(CONCATENATE($A95,"_",AO$3),'Unit List'!$A$23:$H$3172,2,FALSE)),"X",$AN95)</f>
        <v/>
      </c>
      <c r="AP95" s="172" t="str">
        <f>IF(ISTEXT(VLOOKUP(CONCATENATE($A95,"_",AP$3),'Unit List'!$A$23:$H$3172,2,FALSE)),"+","")</f>
        <v/>
      </c>
      <c r="AQ95" s="120" t="str">
        <f>IF(ISTEXT(VLOOKUP(CONCATENATE($A95,"_",AQ$3),'Unit List'!$A$23:$H$3172,2,FALSE)),"X",$AP95)</f>
        <v/>
      </c>
      <c r="AR95" s="120" t="str">
        <f>IF(ISTEXT(VLOOKUP(CONCATENATE($A95,"_",AR$3),'Unit List'!$A$23:$H$3172,2,FALSE)),"X",$AP95)</f>
        <v/>
      </c>
      <c r="AS95" s="120" t="str">
        <f>IF(ISTEXT(VLOOKUP(CONCATENATE($A95,"_",AS$3),'Unit List'!$A$23:$H$3172,2,FALSE)),"X",$AP95)</f>
        <v/>
      </c>
      <c r="AT95" s="122" t="str">
        <f>IF(ISTEXT(VLOOKUP(CONCATENATE($A95,"_",AT$3),'Unit List'!$A$23:$H$3172,2,FALSE)),"X",$AP95)</f>
        <v/>
      </c>
      <c r="AU95" s="124" t="str">
        <f>IF(ISTEXT(VLOOKUP(CONCATENATE($A95,"_",AU$3),'Unit List'!$A$23:$H$3172,2,FALSE)),"+","")</f>
        <v/>
      </c>
      <c r="AV95" s="120" t="str">
        <f>IF(ISTEXT(VLOOKUP(CONCATENATE($A95,"_",AV$3),'Unit List'!$A$23:$H$3172,2,FALSE)),"X",$AU95)</f>
        <v/>
      </c>
      <c r="AW95" s="122" t="str">
        <f>IF(ISTEXT(VLOOKUP(CONCATENATE($A95,"_",AW$3),'Unit List'!$A$23:$H$3172,2,FALSE)),"X",$AU95)</f>
        <v/>
      </c>
      <c r="AX95" s="172" t="str">
        <f>IF(ISTEXT(VLOOKUP(CONCATENATE($A95,"_",AX$3),'Unit List'!$A$23:$H$3172,2,FALSE)),"+","")</f>
        <v/>
      </c>
      <c r="AY95" s="120" t="str">
        <f>IF(ISTEXT(VLOOKUP(CONCATENATE($A95,"_",AY$3),'Unit List'!$A$23:$H$3172,2,FALSE)),"X",$AX95)</f>
        <v/>
      </c>
      <c r="AZ95" s="122" t="str">
        <f>IF(ISTEXT(VLOOKUP(CONCATENATE($A95,"_",AZ$3),'Unit List'!$A$23:$H$3172,2,FALSE)),"X",$AX95)</f>
        <v/>
      </c>
      <c r="BA95" s="182" t="str">
        <f>IF(ISTEXT(VLOOKUP(CONCATENATE($A95,"_",BA$3),'Unit List'!$A$23:$H$3172,2,FALSE)),"+","")</f>
        <v/>
      </c>
      <c r="BB95" s="120" t="str">
        <f>IF(ISTEXT(VLOOKUP(CONCATENATE($A95,"_",BB$3),'Unit List'!$A$23:$H$3172,2,FALSE)),"X",$BA95)</f>
        <v/>
      </c>
      <c r="BC95" s="120" t="str">
        <f>IF(ISTEXT(VLOOKUP(CONCATENATE($A95,"_",BC$3),'Unit List'!$A$23:$H$3172,2,FALSE)),"X",$BA95)</f>
        <v/>
      </c>
      <c r="BD95" s="122" t="str">
        <f>IF(ISTEXT(VLOOKUP(CONCATENATE($A95,"_",BD$3),'Unit List'!$A$23:$H$3172,2,FALSE)),"X",$BA95)</f>
        <v/>
      </c>
      <c r="BE95" s="125" t="str">
        <f>IF(ISTEXT(VLOOKUP(CONCATENATE($A95,"_",BE$3),'Unit List'!$A$23:$H$3172,2,FALSE)),"+","")</f>
        <v/>
      </c>
      <c r="BF95" s="75" t="str">
        <f>IF(ISTEXT(VLOOKUP(CONCATENATE($A95,"_",BF$3),'Unit List'!$A$23:$H$3172,2,FALSE)),"X",$BE95)</f>
        <v/>
      </c>
      <c r="BG95" s="122"/>
      <c r="BH95" s="65" t="s">
        <v>0</v>
      </c>
      <c r="BI95" s="143"/>
      <c r="BJ95" s="144"/>
      <c r="BK95" s="144"/>
      <c r="BL95" s="145"/>
      <c r="BM95" s="145"/>
      <c r="BN95" s="54"/>
      <c r="BO95" s="54"/>
      <c r="BP95" s="54"/>
      <c r="BQ95" s="54"/>
      <c r="BR95" s="54"/>
      <c r="BS95" s="54"/>
      <c r="DZ95" s="55"/>
      <c r="EA95" s="55"/>
    </row>
    <row r="96" spans="1:131" ht="12.75" customHeight="1" x14ac:dyDescent="0.2">
      <c r="A96" s="138" t="s">
        <v>1131</v>
      </c>
      <c r="B96" s="181" t="str">
        <f>IF(ISTEXT(VLOOKUP(CONCATENATE($A96,"_",B$3),'Unit List'!$A$23:$H$3172,2,FALSE)),"+","")</f>
        <v/>
      </c>
      <c r="C96" s="119" t="str">
        <f>IF(ISTEXT(VLOOKUP(CONCATENATE($A96,"_",C$3),'Unit List'!$A$23:$H$3172,2,FALSE)),"X",$B96)</f>
        <v/>
      </c>
      <c r="D96" s="120" t="str">
        <f>IF(ISTEXT(VLOOKUP(CONCATENATE($A96,"_",D$3),'Unit List'!$A$23:$H$3172,2,FALSE)),"X",$B96)</f>
        <v/>
      </c>
      <c r="E96" s="120" t="str">
        <f>IF(ISTEXT(VLOOKUP(CONCATENATE($A96,"_",E$3),'Unit List'!$A$23:$H$3172,2,FALSE)),"X",$B96)</f>
        <v/>
      </c>
      <c r="F96" s="120" t="str">
        <f>IF(ISTEXT(VLOOKUP(CONCATENATE($A96,"_",F$3),'Unit List'!$A$23:$H$3172,2,FALSE)),"X",$B96)</f>
        <v/>
      </c>
      <c r="G96" s="120" t="str">
        <f>IF(ISTEXT(VLOOKUP(CONCATENATE($A96,"_",G$3),'Unit List'!$A$23:$H$3172,2,FALSE)),"X",$B96)</f>
        <v/>
      </c>
      <c r="H96" s="120" t="str">
        <f>IF(ISTEXT(VLOOKUP(CONCATENATE($A96,"_",H$3),'Unit List'!$A$23:$H$3172,2,FALSE)),"X",$B96)</f>
        <v/>
      </c>
      <c r="I96" s="122" t="str">
        <f>IF(ISTEXT(VLOOKUP(CONCATENATE($A96,"_",I$3),'Unit List'!$A$23:$H$3172,2,FALSE)),"X",$B96)</f>
        <v/>
      </c>
      <c r="J96" s="172" t="str">
        <f>IF(ISTEXT(VLOOKUP(CONCATENATE($A96,"_",J$3),'Unit List'!$A$23:$H$3172,2,FALSE)),"+","")</f>
        <v/>
      </c>
      <c r="K96" s="120" t="str">
        <f>IF(ISTEXT(VLOOKUP(CONCATENATE($A96,"_",K$3),'Unit List'!$A$23:$H$3172,2,FALSE)),"X",$J96)</f>
        <v/>
      </c>
      <c r="L96" s="75" t="str">
        <f>IF(ISTEXT(VLOOKUP(CONCATENATE($A96,"_",L$3),'Unit List'!$A$23:$H$3172,2,FALSE)),"X",$J96)</f>
        <v/>
      </c>
      <c r="M96" s="172" t="str">
        <f>IF(ISTEXT(VLOOKUP(CONCATENATE($A96,"_",M$3),'Unit List'!$A$23:$H$3172,2,FALSE)),"+","")</f>
        <v/>
      </c>
      <c r="N96" s="120" t="str">
        <f>IF(ISTEXT(VLOOKUP(CONCATENATE($A96,"_",N$3),'Unit List'!$A$23:$H$3172,2,FALSE)),"X",$M96)</f>
        <v/>
      </c>
      <c r="O96" s="122" t="str">
        <f>IF(ISTEXT(VLOOKUP(CONCATENATE($A96,"_",O$3),'Unit List'!$A$23:$H$3172,2,FALSE)),"X",$M96)</f>
        <v/>
      </c>
      <c r="P96" s="172" t="str">
        <f>IF(ISTEXT(VLOOKUP(CONCATENATE($A96,"_",P$3),'Unit List'!$A$23:$H$3172,2,FALSE)),"+","")</f>
        <v/>
      </c>
      <c r="Q96" s="120" t="str">
        <f>IF(ISTEXT(VLOOKUP(CONCATENATE($A96,"_",Q$3),'Unit List'!$A$23:$H$3172,2,FALSE)),"X",$P96)</f>
        <v/>
      </c>
      <c r="R96" s="120" t="str">
        <f>IF(ISTEXT(VLOOKUP(CONCATENATE($A96,"_",R$3),'Unit List'!$A$23:$H$3172,2,FALSE)),"X",$P96)</f>
        <v/>
      </c>
      <c r="S96" s="120" t="str">
        <f>IF(ISTEXT(VLOOKUP(CONCATENATE($A96,"_",S$3),'Unit List'!$A$23:$H$3172,2,FALSE)),"X",$P96)</f>
        <v/>
      </c>
      <c r="T96" s="121" t="str">
        <f>IF(ISTEXT(VLOOKUP(CONCATENATE($A96,"_",T$3),'Unit List'!$A$23:$H$3172,2,FALSE)),"X",$P96)</f>
        <v/>
      </c>
      <c r="U96" s="120" t="str">
        <f>IF(ISTEXT(VLOOKUP(CONCATENATE($A96,"_",U$3),'Unit List'!$A$23:$H$3172,2,FALSE)),"X",$P96)</f>
        <v/>
      </c>
      <c r="V96" s="120" t="str">
        <f>IF(ISTEXT(VLOOKUP(CONCATENATE($A96,"_",V$3),'Unit List'!$A$23:$H$3172,2,FALSE)),"X",$P96)</f>
        <v/>
      </c>
      <c r="W96" s="122" t="str">
        <f>IF(ISTEXT(VLOOKUP(CONCATENATE($A96,"_",W$3),'Unit List'!$A$23:$H$3172,2,FALSE)),"X",$P96)</f>
        <v/>
      </c>
      <c r="X96" s="172" t="str">
        <f>IF(ISTEXT(VLOOKUP(CONCATENATE($A96,"_",X$3),'Unit List'!$A$23:$H$3172,2,FALSE)),"+","")</f>
        <v/>
      </c>
      <c r="Y96" s="120" t="str">
        <f>IF(ISTEXT(VLOOKUP(CONCATENATE($A96,"_",Y$3),'Unit List'!$A$23:$H$3172,2,FALSE)),"X",$X96)</f>
        <v/>
      </c>
      <c r="Z96" s="120" t="str">
        <f>IF(ISTEXT(VLOOKUP(CONCATENATE($A96,"_",Z$3),'Unit List'!$A$23:$H$3172,2,FALSE)),"X",$X96)</f>
        <v/>
      </c>
      <c r="AA96" s="120" t="str">
        <f>IF(ISTEXT(VLOOKUP(CONCATENATE($A96,"_",AA$3),'Unit List'!$A$23:$H$3172,2,FALSE)),"X",$X96)</f>
        <v/>
      </c>
      <c r="AB96" s="120" t="str">
        <f>IF(ISTEXT(VLOOKUP(CONCATENATE($A96,"_",AB$3),'Unit List'!$A$23:$H$3172,2,FALSE)),"X",$X96)</f>
        <v/>
      </c>
      <c r="AC96" s="75" t="str">
        <f>IF(ISTEXT(VLOOKUP(CONCATENATE($A96,"_",AC$3),'Unit List'!$A$23:$H$3172,2,FALSE)),"X",$X96)</f>
        <v/>
      </c>
      <c r="AD96" s="172" t="str">
        <f>IF(ISTEXT(VLOOKUP(CONCATENATE($A96,"_",AD$3),'Unit List'!$A$23:$H$3172,2,FALSE)),"+","")</f>
        <v/>
      </c>
      <c r="AE96" s="120" t="str">
        <f>IF(ISTEXT(VLOOKUP(CONCATENATE($A96,"_",AE$3),'Unit List'!$A$23:$H$3172,2,FALSE)),"X",$AD96)</f>
        <v/>
      </c>
      <c r="AF96" s="120" t="str">
        <f>IF(ISTEXT(VLOOKUP(CONCATENATE($A96,"_",AF$3),'Unit List'!$A$23:$H$3172,2,FALSE)),"X",$AD96)</f>
        <v/>
      </c>
      <c r="AG96" s="172" t="str">
        <f>IF(ISTEXT(VLOOKUP(CONCATENATE($A96,"_",AG$3),'Unit List'!$A$23:$H$3172,2,FALSE)),"+","")</f>
        <v/>
      </c>
      <c r="AH96" s="120" t="str">
        <f>IF(ISTEXT(VLOOKUP(CONCATENATE($A96,"_",AH$3),'Unit List'!$A$23:$H$3172,2,FALSE)),"X",$AG96)</f>
        <v/>
      </c>
      <c r="AI96" s="120" t="str">
        <f>IF(ISTEXT(VLOOKUP(CONCATENATE($A96,"_",AI$3),'Unit List'!$A$23:$H$3172,2,FALSE)),"X",$AG96)</f>
        <v/>
      </c>
      <c r="AJ96" s="122" t="str">
        <f>IF(ISTEXT(VLOOKUP(CONCATENATE($A96,"_",AJ$3),'Unit List'!$A$23:$H$3172,2,FALSE)),"X",$AG96)</f>
        <v/>
      </c>
      <c r="AK96" s="172" t="str">
        <f>IF(ISTEXT(VLOOKUP(CONCATENATE($A96,"_",AK$3),'Unit List'!$A$23:$H$3172,2,FALSE)),"+","")</f>
        <v/>
      </c>
      <c r="AL96" s="121" t="str">
        <f>IF(ISTEXT(VLOOKUP(CONCATENATE($A96,"_",AL$3),'Unit List'!$A$23:$H$3172,2,FALSE)),"X",$AK96)</f>
        <v/>
      </c>
      <c r="AM96" s="122" t="str">
        <f>IF(ISTEXT(VLOOKUP(CONCATENATE($A96,"_",AM$3),'Unit List'!$A$23:$H$3172,2,FALSE)),"X",$AK96)</f>
        <v/>
      </c>
      <c r="AN96" s="125" t="str">
        <f>IF(ISTEXT(VLOOKUP(CONCATENATE($A96,"_",AN$3),'Unit List'!$A$23:$H$3172,2,FALSE)),"+","")</f>
        <v/>
      </c>
      <c r="AO96" s="122" t="str">
        <f>IF(ISTEXT(VLOOKUP(CONCATENATE($A96,"_",AO$3),'Unit List'!$A$23:$H$3172,2,FALSE)),"X",$AN96)</f>
        <v/>
      </c>
      <c r="AP96" s="172" t="str">
        <f>IF(ISTEXT(VLOOKUP(CONCATENATE($A96,"_",AP$3),'Unit List'!$A$23:$H$3172,2,FALSE)),"+","")</f>
        <v/>
      </c>
      <c r="AQ96" s="120" t="str">
        <f>IF(ISTEXT(VLOOKUP(CONCATENATE($A96,"_",AQ$3),'Unit List'!$A$23:$H$3172,2,FALSE)),"X",$AP96)</f>
        <v/>
      </c>
      <c r="AR96" s="120" t="str">
        <f>IF(ISTEXT(VLOOKUP(CONCATENATE($A96,"_",AR$3),'Unit List'!$A$23:$H$3172,2,FALSE)),"X",$AP96)</f>
        <v/>
      </c>
      <c r="AS96" s="120" t="str">
        <f>IF(ISTEXT(VLOOKUP(CONCATENATE($A96,"_",AS$3),'Unit List'!$A$23:$H$3172,2,FALSE)),"X",$AP96)</f>
        <v/>
      </c>
      <c r="AT96" s="122" t="str">
        <f>IF(ISTEXT(VLOOKUP(CONCATENATE($A96,"_",AT$3),'Unit List'!$A$23:$H$3172,2,FALSE)),"X",$AP96)</f>
        <v/>
      </c>
      <c r="AU96" s="124" t="str">
        <f>IF(ISTEXT(VLOOKUP(CONCATENATE($A96,"_",AU$3),'Unit List'!$A$23:$H$3172,2,FALSE)),"+","")</f>
        <v/>
      </c>
      <c r="AV96" s="120" t="str">
        <f>IF(ISTEXT(VLOOKUP(CONCATENATE($A96,"_",AV$3),'Unit List'!$A$23:$H$3172,2,FALSE)),"X",$AU96)</f>
        <v/>
      </c>
      <c r="AW96" s="122" t="str">
        <f>IF(ISTEXT(VLOOKUP(CONCATENATE($A96,"_",AW$3),'Unit List'!$A$23:$H$3172,2,FALSE)),"X",$AU96)</f>
        <v/>
      </c>
      <c r="AX96" s="172" t="str">
        <f>IF(ISTEXT(VLOOKUP(CONCATENATE($A96,"_",AX$3),'Unit List'!$A$23:$H$3172,2,FALSE)),"+","")</f>
        <v/>
      </c>
      <c r="AY96" s="120" t="str">
        <f>IF(ISTEXT(VLOOKUP(CONCATENATE($A96,"_",AY$3),'Unit List'!$A$23:$H$3172,2,FALSE)),"X",$AX96)</f>
        <v/>
      </c>
      <c r="AZ96" s="122" t="str">
        <f>IF(ISTEXT(VLOOKUP(CONCATENATE($A96,"_",AZ$3),'Unit List'!$A$23:$H$3172,2,FALSE)),"X",$AX96)</f>
        <v/>
      </c>
      <c r="BA96" s="182" t="str">
        <f>IF(ISTEXT(VLOOKUP(CONCATENATE($A96,"_",BA$3),'Unit List'!$A$23:$H$3172,2,FALSE)),"+","")</f>
        <v/>
      </c>
      <c r="BB96" s="120" t="str">
        <f>IF(ISTEXT(VLOOKUP(CONCATENATE($A96,"_",BB$3),'Unit List'!$A$23:$H$3172,2,FALSE)),"X",$BA96)</f>
        <v/>
      </c>
      <c r="BC96" s="120" t="str">
        <f>IF(ISTEXT(VLOOKUP(CONCATENATE($A96,"_",BC$3),'Unit List'!$A$23:$H$3172,2,FALSE)),"X",$BA96)</f>
        <v/>
      </c>
      <c r="BD96" s="122" t="str">
        <f>IF(ISTEXT(VLOOKUP(CONCATENATE($A96,"_",BD$3),'Unit List'!$A$23:$H$3172,2,FALSE)),"X",$BA96)</f>
        <v/>
      </c>
      <c r="BE96" s="125" t="str">
        <f>IF(ISTEXT(VLOOKUP(CONCATENATE($A96,"_",BE$3),'Unit List'!$A$23:$H$3172,2,FALSE)),"+","")</f>
        <v/>
      </c>
      <c r="BF96" s="75" t="str">
        <f>IF(ISTEXT(VLOOKUP(CONCATENATE($A96,"_",BF$3),'Unit List'!$A$23:$H$3172,2,FALSE)),"X",$BE96)</f>
        <v/>
      </c>
      <c r="BG96" s="122"/>
      <c r="BH96" s="65" t="s">
        <v>0</v>
      </c>
      <c r="BI96" s="143"/>
      <c r="BJ96" s="144"/>
      <c r="BK96" s="144"/>
      <c r="BL96" s="145"/>
      <c r="BM96" s="145"/>
      <c r="BN96" s="54"/>
      <c r="BO96" s="54"/>
      <c r="BP96" s="54"/>
      <c r="BQ96" s="54"/>
      <c r="BR96" s="54"/>
      <c r="BS96" s="54"/>
      <c r="DZ96" s="55"/>
      <c r="EA96" s="55"/>
    </row>
    <row r="97" spans="1:137" ht="12.75" customHeight="1" x14ac:dyDescent="0.2">
      <c r="A97" s="138" t="s">
        <v>1140</v>
      </c>
      <c r="B97" s="190" t="str">
        <f>IF(ISTEXT(VLOOKUP(CONCATENATE($A97,"_",B$3),'Unit List'!$A$23:$H$3172,2,FALSE)),"+","")</f>
        <v/>
      </c>
      <c r="C97" s="119" t="str">
        <f>IF(ISTEXT(VLOOKUP(CONCATENATE($A97,"_",C$3),'Unit List'!$A$23:$H$3172,2,FALSE)),"X",$B97)</f>
        <v/>
      </c>
      <c r="D97" s="120" t="str">
        <f>IF(ISTEXT(VLOOKUP(CONCATENATE($A97,"_",D$3),'Unit List'!$A$23:$H$3172,2,FALSE)),"X",$B97)</f>
        <v/>
      </c>
      <c r="E97" s="120" t="str">
        <f>IF(ISTEXT(VLOOKUP(CONCATENATE($A97,"_",E$3),'Unit List'!$A$23:$H$3172,2,FALSE)),"X",$B97)</f>
        <v/>
      </c>
      <c r="F97" s="120" t="str">
        <f>IF(ISTEXT(VLOOKUP(CONCATENATE($A97,"_",F$3),'Unit List'!$A$23:$H$3172,2,FALSE)),"X",$B97)</f>
        <v/>
      </c>
      <c r="G97" s="120" t="str">
        <f>IF(ISTEXT(VLOOKUP(CONCATENATE($A97,"_",G$3),'Unit List'!$A$23:$H$3172,2,FALSE)),"X",$B97)</f>
        <v/>
      </c>
      <c r="H97" s="120" t="str">
        <f>IF(ISTEXT(VLOOKUP(CONCATENATE($A97,"_",H$3),'Unit List'!$A$23:$H$3172,2,FALSE)),"X",$B97)</f>
        <v/>
      </c>
      <c r="I97" s="122" t="str">
        <f>IF(ISTEXT(VLOOKUP(CONCATENATE($A97,"_",I$3),'Unit List'!$A$23:$H$3172,2,FALSE)),"X",$B97)</f>
        <v/>
      </c>
      <c r="J97" s="172" t="str">
        <f>IF(ISTEXT(VLOOKUP(CONCATENATE($A97,"_",J$3),'Unit List'!$A$23:$H$3172,2,FALSE)),"+","")</f>
        <v/>
      </c>
      <c r="K97" s="120" t="str">
        <f>IF(ISTEXT(VLOOKUP(CONCATENATE($A97,"_",K$3),'Unit List'!$A$23:$H$3172,2,FALSE)),"X",$J97)</f>
        <v/>
      </c>
      <c r="L97" s="75" t="str">
        <f>IF(ISTEXT(VLOOKUP(CONCATENATE($A97,"_",L$3),'Unit List'!$A$23:$H$3172,2,FALSE)),"X",$J97)</f>
        <v/>
      </c>
      <c r="M97" s="172" t="str">
        <f>IF(ISTEXT(VLOOKUP(CONCATENATE($A97,"_",M$3),'Unit List'!$A$23:$H$3172,2,FALSE)),"+","")</f>
        <v/>
      </c>
      <c r="N97" s="120" t="str">
        <f>IF(ISTEXT(VLOOKUP(CONCATENATE($A97,"_",N$3),'Unit List'!$A$23:$H$3172,2,FALSE)),"X",$M97)</f>
        <v/>
      </c>
      <c r="O97" s="122" t="str">
        <f>IF(ISTEXT(VLOOKUP(CONCATENATE($A97,"_",O$3),'Unit List'!$A$23:$H$3172,2,FALSE)),"X",$M97)</f>
        <v/>
      </c>
      <c r="P97" s="172" t="str">
        <f>IF(ISTEXT(VLOOKUP(CONCATENATE($A97,"_",P$3),'Unit List'!$A$23:$H$3172,2,FALSE)),"+","")</f>
        <v/>
      </c>
      <c r="Q97" s="120" t="str">
        <f>IF(ISTEXT(VLOOKUP(CONCATENATE($A97,"_",Q$3),'Unit List'!$A$23:$H$3172,2,FALSE)),"X",$P97)</f>
        <v/>
      </c>
      <c r="R97" s="120" t="str">
        <f>IF(ISTEXT(VLOOKUP(CONCATENATE($A97,"_",R$3),'Unit List'!$A$23:$H$3172,2,FALSE)),"X",$P97)</f>
        <v/>
      </c>
      <c r="S97" s="120" t="str">
        <f>IF(ISTEXT(VLOOKUP(CONCATENATE($A97,"_",S$3),'Unit List'!$A$23:$H$3172,2,FALSE)),"X",$P97)</f>
        <v/>
      </c>
      <c r="T97" s="121" t="str">
        <f>IF(ISTEXT(VLOOKUP(CONCATENATE($A97,"_",T$3),'Unit List'!$A$23:$H$3172,2,FALSE)),"X",$P97)</f>
        <v/>
      </c>
      <c r="U97" s="120" t="str">
        <f>IF(ISTEXT(VLOOKUP(CONCATENATE($A97,"_",U$3),'Unit List'!$A$23:$H$3172,2,FALSE)),"X",$P97)</f>
        <v/>
      </c>
      <c r="V97" s="120" t="str">
        <f>IF(ISTEXT(VLOOKUP(CONCATENATE($A97,"_",V$3),'Unit List'!$A$23:$H$3172,2,FALSE)),"X",$P97)</f>
        <v/>
      </c>
      <c r="W97" s="146" t="s">
        <v>0</v>
      </c>
      <c r="X97" s="172" t="str">
        <f>IF(ISTEXT(VLOOKUP(CONCATENATE($A97,"_",X$3),'Unit List'!$A$23:$H$3172,2,FALSE)),"+","")</f>
        <v/>
      </c>
      <c r="Y97" s="120" t="str">
        <f>IF(ISTEXT(VLOOKUP(CONCATENATE($A97,"_",Y$3),'Unit List'!$A$23:$H$3172,2,FALSE)),"X",$X97)</f>
        <v/>
      </c>
      <c r="Z97" s="120" t="str">
        <f>IF(ISTEXT(VLOOKUP(CONCATENATE($A97,"_",Z$3),'Unit List'!$A$23:$H$3172,2,FALSE)),"X",$X97)</f>
        <v/>
      </c>
      <c r="AA97" s="120" t="str">
        <f>IF(ISTEXT(VLOOKUP(CONCATENATE($A97,"_",AA$3),'Unit List'!$A$23:$H$3172,2,FALSE)),"X",$X97)</f>
        <v/>
      </c>
      <c r="AB97" s="120" t="str">
        <f>IF(ISTEXT(VLOOKUP(CONCATENATE($A97,"_",AB$3),'Unit List'!$A$23:$H$3172,2,FALSE)),"X",$X97)</f>
        <v/>
      </c>
      <c r="AC97" s="75" t="str">
        <f>IF(ISTEXT(VLOOKUP(CONCATENATE($A97,"_",AC$3),'Unit List'!$A$23:$H$3172,2,FALSE)),"X",$X97)</f>
        <v/>
      </c>
      <c r="AD97" s="172" t="str">
        <f>IF(ISTEXT(VLOOKUP(CONCATENATE($A97,"_",AD$3),'Unit List'!$A$23:$H$3172,2,FALSE)),"+","")</f>
        <v/>
      </c>
      <c r="AE97" s="120" t="str">
        <f>IF(ISTEXT(VLOOKUP(CONCATENATE($A97,"_",AE$3),'Unit List'!$A$23:$H$3172,2,FALSE)),"X",$AD97)</f>
        <v/>
      </c>
      <c r="AF97" s="120" t="str">
        <f>IF(ISTEXT(VLOOKUP(CONCATENATE($A97,"_",AF$3),'Unit List'!$A$23:$H$3172,2,FALSE)),"X",$AD97)</f>
        <v/>
      </c>
      <c r="AG97" s="172" t="str">
        <f>IF(ISTEXT(VLOOKUP(CONCATENATE($A97,"_",AG$3),'Unit List'!$A$23:$H$3172,2,FALSE)),"+","")</f>
        <v/>
      </c>
      <c r="AH97" s="120" t="str">
        <f>IF(ISTEXT(VLOOKUP(CONCATENATE($A97,"_",AH$3),'Unit List'!$A$23:$H$3172,2,FALSE)),"X",$AG97)</f>
        <v/>
      </c>
      <c r="AI97" s="120" t="str">
        <f>IF(ISTEXT(VLOOKUP(CONCATENATE($A97,"_",AI$3),'Unit List'!$A$23:$H$3172,2,FALSE)),"X",$AG97)</f>
        <v/>
      </c>
      <c r="AJ97" s="122" t="str">
        <f>IF(ISTEXT(VLOOKUP(CONCATENATE($A97,"_",AJ$3),'Unit List'!$A$23:$H$3172,2,FALSE)),"X",$AG97)</f>
        <v/>
      </c>
      <c r="AK97" s="172" t="str">
        <f>IF(ISTEXT(VLOOKUP(CONCATENATE($A97,"_",AK$3),'Unit List'!$A$23:$H$3172,2,FALSE)),"+","")</f>
        <v/>
      </c>
      <c r="AL97" s="121" t="str">
        <f>IF(ISTEXT(VLOOKUP(CONCATENATE($A97,"_",AL$3),'Unit List'!$A$23:$H$3172,2,FALSE)),"X",$AK97)</f>
        <v/>
      </c>
      <c r="AM97" s="122" t="str">
        <f>IF(ISTEXT(VLOOKUP(CONCATENATE($A97,"_",AM$3),'Unit List'!$A$23:$H$3172,2,FALSE)),"X",$AK97)</f>
        <v/>
      </c>
      <c r="AN97" s="125" t="str">
        <f>IF(ISTEXT(VLOOKUP(CONCATENATE($A97,"_",AN$3),'Unit List'!$A$23:$H$3172,2,FALSE)),"+","")</f>
        <v/>
      </c>
      <c r="AO97" s="122" t="str">
        <f>IF(ISTEXT(VLOOKUP(CONCATENATE($A97,"_",AO$3),'Unit List'!$A$23:$H$3172,2,FALSE)),"X",$AN97)</f>
        <v/>
      </c>
      <c r="AP97" s="172" t="str">
        <f>IF(ISTEXT(VLOOKUP(CONCATENATE($A97,"_",AP$3),'Unit List'!$A$23:$H$3172,2,FALSE)),"+","")</f>
        <v/>
      </c>
      <c r="AQ97" s="120" t="str">
        <f>IF(ISTEXT(VLOOKUP(CONCATENATE($A97,"_",AQ$3),'Unit List'!$A$23:$H$3172,2,FALSE)),"X",$AP97)</f>
        <v/>
      </c>
      <c r="AR97" s="120" t="str">
        <f>IF(ISTEXT(VLOOKUP(CONCATENATE($A97,"_",AR$3),'Unit List'!$A$23:$H$3172,2,FALSE)),"X",$AP97)</f>
        <v/>
      </c>
      <c r="AS97" s="120" t="str">
        <f>IF(ISTEXT(VLOOKUP(CONCATENATE($A97,"_",AS$3),'Unit List'!$A$23:$H$3172,2,FALSE)),"X",$AP97)</f>
        <v/>
      </c>
      <c r="AT97" s="122" t="str">
        <f>IF(ISTEXT(VLOOKUP(CONCATENATE($A97,"_",AT$3),'Unit List'!$A$23:$H$3172,2,FALSE)),"X",$AP97)</f>
        <v/>
      </c>
      <c r="AU97" s="124" t="str">
        <f>IF(ISTEXT(VLOOKUP(CONCATENATE($A97,"_",AU$3),'Unit List'!$A$23:$H$3172,2,FALSE)),"+","")</f>
        <v/>
      </c>
      <c r="AV97" s="120" t="str">
        <f>IF(ISTEXT(VLOOKUP(CONCATENATE($A97,"_",AV$3),'Unit List'!$A$23:$H$3172,2,FALSE)),"X",$AU97)</f>
        <v/>
      </c>
      <c r="AW97" s="122" t="str">
        <f>IF(ISTEXT(VLOOKUP(CONCATENATE($A97,"_",AW$3),'Unit List'!$A$23:$H$3172,2,FALSE)),"X",$AU97)</f>
        <v/>
      </c>
      <c r="AX97" s="172" t="str">
        <f>IF(ISTEXT(VLOOKUP(CONCATENATE($A97,"_",AX$3),'Unit List'!$A$23:$H$3172,2,FALSE)),"+","")</f>
        <v/>
      </c>
      <c r="AY97" s="120" t="str">
        <f>IF(ISTEXT(VLOOKUP(CONCATENATE($A97,"_",AY$3),'Unit List'!$A$23:$H$3172,2,FALSE)),"X",$AX97)</f>
        <v/>
      </c>
      <c r="AZ97" s="122" t="str">
        <f>IF(ISTEXT(VLOOKUP(CONCATENATE($A97,"_",AZ$3),'Unit List'!$A$23:$H$3172,2,FALSE)),"X",$AX97)</f>
        <v/>
      </c>
      <c r="BA97" s="182" t="str">
        <f>IF(ISTEXT(VLOOKUP(CONCATENATE($A97,"_",BA$3),'Unit List'!$A$23:$H$3172,2,FALSE)),"+","")</f>
        <v/>
      </c>
      <c r="BB97" s="120" t="str">
        <f>IF(ISTEXT(VLOOKUP(CONCATENATE($A97,"_",BB$3),'Unit List'!$A$23:$H$3172,2,FALSE)),"X",$BA97)</f>
        <v/>
      </c>
      <c r="BC97" s="120" t="str">
        <f>IF(ISTEXT(VLOOKUP(CONCATENATE($A97,"_",BC$3),'Unit List'!$A$23:$H$3172,2,FALSE)),"X",$BA97)</f>
        <v/>
      </c>
      <c r="BD97" s="122" t="str">
        <f>IF(ISTEXT(VLOOKUP(CONCATENATE($A97,"_",BD$3),'Unit List'!$A$23:$H$3172,2,FALSE)),"X",$BA97)</f>
        <v/>
      </c>
      <c r="BE97" s="125" t="str">
        <f>IF(ISTEXT(VLOOKUP(CONCATENATE($A97,"_",BE$3),'Unit List'!$A$23:$H$3172,2,FALSE)),"+","")</f>
        <v/>
      </c>
      <c r="BF97" s="75" t="str">
        <f>IF(ISTEXT(VLOOKUP(CONCATENATE($A97,"_",BF$3),'Unit List'!$A$23:$H$3172,2,FALSE)),"X",$BE97)</f>
        <v/>
      </c>
      <c r="BG97" s="122"/>
      <c r="BH97" s="65" t="s">
        <v>0</v>
      </c>
      <c r="BI97" s="143"/>
      <c r="BJ97" s="144"/>
      <c r="BK97" s="144"/>
      <c r="BL97" s="145"/>
      <c r="BM97" s="145"/>
      <c r="BN97" s="54"/>
      <c r="BO97" s="54"/>
      <c r="BP97" s="54"/>
      <c r="BQ97" s="54"/>
      <c r="BR97" s="54"/>
      <c r="BS97" s="54"/>
      <c r="DZ97" s="55"/>
      <c r="EA97" s="55"/>
    </row>
    <row r="98" spans="1:137" ht="12.75" customHeight="1" x14ac:dyDescent="0.2">
      <c r="A98" s="138" t="s">
        <v>1141</v>
      </c>
      <c r="B98" s="190" t="str">
        <f>IF(ISTEXT(VLOOKUP(CONCATENATE($A98,"_",B$3),'Unit List'!$A$23:$H$3172,2,FALSE)),"+","")</f>
        <v/>
      </c>
      <c r="C98" s="119" t="str">
        <f>IF(ISTEXT(VLOOKUP(CONCATENATE($A98,"_",C$3),'Unit List'!$A$23:$H$3172,2,FALSE)),"X",$B98)</f>
        <v/>
      </c>
      <c r="D98" s="120" t="str">
        <f>IF(ISTEXT(VLOOKUP(CONCATENATE($A98,"_",D$3),'Unit List'!$A$23:$H$3172,2,FALSE)),"X",$B98)</f>
        <v/>
      </c>
      <c r="E98" s="120" t="str">
        <f>IF(ISTEXT(VLOOKUP(CONCATENATE($A98,"_",E$3),'Unit List'!$A$23:$H$3172,2,FALSE)),"X",$B98)</f>
        <v/>
      </c>
      <c r="F98" s="120" t="str">
        <f>IF(ISTEXT(VLOOKUP(CONCATENATE($A98,"_",F$3),'Unit List'!$A$23:$H$3172,2,FALSE)),"X",$B98)</f>
        <v/>
      </c>
      <c r="G98" s="120" t="str">
        <f>IF(ISTEXT(VLOOKUP(CONCATENATE($A98,"_",G$3),'Unit List'!$A$23:$H$3172,2,FALSE)),"X",$B98)</f>
        <v/>
      </c>
      <c r="H98" s="120" t="str">
        <f>IF(ISTEXT(VLOOKUP(CONCATENATE($A98,"_",H$3),'Unit List'!$A$23:$H$3172,2,FALSE)),"X",$B98)</f>
        <v/>
      </c>
      <c r="I98" s="122" t="str">
        <f>IF(ISTEXT(VLOOKUP(CONCATENATE($A98,"_",I$3),'Unit List'!$A$23:$H$3172,2,FALSE)),"X",$B98)</f>
        <v/>
      </c>
      <c r="J98" s="172" t="str">
        <f>IF(ISTEXT(VLOOKUP(CONCATENATE($A98,"_",J$3),'Unit List'!$A$23:$H$3172,2,FALSE)),"+","")</f>
        <v/>
      </c>
      <c r="K98" s="120" t="str">
        <f>IF(ISTEXT(VLOOKUP(CONCATENATE($A98,"_",K$3),'Unit List'!$A$23:$H$3172,2,FALSE)),"X",$J98)</f>
        <v/>
      </c>
      <c r="L98" s="75" t="str">
        <f>IF(ISTEXT(VLOOKUP(CONCATENATE($A98,"_",L$3),'Unit List'!$A$23:$H$3172,2,FALSE)),"X",$J98)</f>
        <v/>
      </c>
      <c r="M98" s="172" t="str">
        <f>IF(ISTEXT(VLOOKUP(CONCATENATE($A98,"_",M$3),'Unit List'!$A$23:$H$3172,2,FALSE)),"+","")</f>
        <v/>
      </c>
      <c r="N98" s="120" t="str">
        <f>IF(ISTEXT(VLOOKUP(CONCATENATE($A98,"_",N$3),'Unit List'!$A$23:$H$3172,2,FALSE)),"X",$M98)</f>
        <v/>
      </c>
      <c r="O98" s="122" t="str">
        <f>IF(ISTEXT(VLOOKUP(CONCATENATE($A98,"_",O$3),'Unit List'!$A$23:$H$3172,2,FALSE)),"X",$M98)</f>
        <v/>
      </c>
      <c r="P98" s="172" t="str">
        <f>IF(ISTEXT(VLOOKUP(CONCATENATE($A98,"_",P$3),'Unit List'!$A$23:$H$3172,2,FALSE)),"+","")</f>
        <v/>
      </c>
      <c r="Q98" s="120" t="str">
        <f>IF(ISTEXT(VLOOKUP(CONCATENATE($A98,"_",Q$3),'Unit List'!$A$23:$H$3172,2,FALSE)),"X",$P98)</f>
        <v/>
      </c>
      <c r="R98" s="120" t="str">
        <f>IF(ISTEXT(VLOOKUP(CONCATENATE($A98,"_",R$3),'Unit List'!$A$23:$H$3172,2,FALSE)),"X",$P98)</f>
        <v/>
      </c>
      <c r="S98" s="120" t="str">
        <f>IF(ISTEXT(VLOOKUP(CONCATENATE($A98,"_",S$3),'Unit List'!$A$23:$H$3172,2,FALSE)),"X",$P98)</f>
        <v/>
      </c>
      <c r="T98" s="121" t="str">
        <f>IF(ISTEXT(VLOOKUP(CONCATENATE($A98,"_",T$3),'Unit List'!$A$23:$H$3172,2,FALSE)),"X",$P98)</f>
        <v/>
      </c>
      <c r="U98" s="120" t="str">
        <f>IF(ISTEXT(VLOOKUP(CONCATENATE($A98,"_",U$3),'Unit List'!$A$23:$H$3172,2,FALSE)),"X",$P98)</f>
        <v/>
      </c>
      <c r="V98" s="120" t="str">
        <f>IF(ISTEXT(VLOOKUP(CONCATENATE($A98,"_",V$3),'Unit List'!$A$23:$H$3172,2,FALSE)),"X",$P98)</f>
        <v/>
      </c>
      <c r="W98" s="122" t="str">
        <f>IF(ISTEXT(VLOOKUP(CONCATENATE($A98,"_",W$3),'Unit List'!$A$23:$H$3172,2,FALSE)),"X",$P98)</f>
        <v/>
      </c>
      <c r="X98" s="172" t="str">
        <f>IF(ISTEXT(VLOOKUP(CONCATENATE($A98,"_",X$3),'Unit List'!$A$23:$H$3172,2,FALSE)),"+","")</f>
        <v/>
      </c>
      <c r="Y98" s="120" t="str">
        <f>IF(ISTEXT(VLOOKUP(CONCATENATE($A98,"_",Y$3),'Unit List'!$A$23:$H$3172,2,FALSE)),"X",$X98)</f>
        <v/>
      </c>
      <c r="Z98" s="120" t="str">
        <f>IF(ISTEXT(VLOOKUP(CONCATENATE($A98,"_",Z$3),'Unit List'!$A$23:$H$3172,2,FALSE)),"X",$X98)</f>
        <v/>
      </c>
      <c r="AA98" s="120" t="str">
        <f>IF(ISTEXT(VLOOKUP(CONCATENATE($A98,"_",AA$3),'Unit List'!$A$23:$H$3172,2,FALSE)),"X",$X98)</f>
        <v/>
      </c>
      <c r="AB98" s="120" t="str">
        <f>IF(ISTEXT(VLOOKUP(CONCATENATE($A98,"_",AB$3),'Unit List'!$A$23:$H$3172,2,FALSE)),"X",$X98)</f>
        <v/>
      </c>
      <c r="AC98" s="75" t="str">
        <f>IF(ISTEXT(VLOOKUP(CONCATENATE($A98,"_",AC$3),'Unit List'!$A$23:$H$3172,2,FALSE)),"X",$X98)</f>
        <v/>
      </c>
      <c r="AD98" s="172" t="str">
        <f>IF(ISTEXT(VLOOKUP(CONCATENATE($A98,"_",AD$3),'Unit List'!$A$23:$H$3172,2,FALSE)),"+","")</f>
        <v/>
      </c>
      <c r="AE98" s="120" t="str">
        <f>IF(ISTEXT(VLOOKUP(CONCATENATE($A98,"_",AE$3),'Unit List'!$A$23:$H$3172,2,FALSE)),"X",$AD98)</f>
        <v/>
      </c>
      <c r="AF98" s="120" t="str">
        <f>IF(ISTEXT(VLOOKUP(CONCATENATE($A98,"_",AF$3),'Unit List'!$A$23:$H$3172,2,FALSE)),"X",$AD98)</f>
        <v/>
      </c>
      <c r="AG98" s="172" t="str">
        <f>IF(ISTEXT(VLOOKUP(CONCATENATE($A98,"_",AG$3),'Unit List'!$A$23:$H$3172,2,FALSE)),"+","")</f>
        <v/>
      </c>
      <c r="AH98" s="120" t="str">
        <f>IF(ISTEXT(VLOOKUP(CONCATENATE($A98,"_",AH$3),'Unit List'!$A$23:$H$3172,2,FALSE)),"X",$AG98)</f>
        <v/>
      </c>
      <c r="AI98" s="120" t="str">
        <f>IF(ISTEXT(VLOOKUP(CONCATENATE($A98,"_",AI$3),'Unit List'!$A$23:$H$3172,2,FALSE)),"X",$AG98)</f>
        <v/>
      </c>
      <c r="AJ98" s="122" t="str">
        <f>IF(ISTEXT(VLOOKUP(CONCATENATE($A98,"_",AJ$3),'Unit List'!$A$23:$H$3172,2,FALSE)),"X",$AG98)</f>
        <v/>
      </c>
      <c r="AK98" s="172" t="str">
        <f>IF(ISTEXT(VLOOKUP(CONCATENATE($A98,"_",AK$3),'Unit List'!$A$23:$H$3172,2,FALSE)),"+","")</f>
        <v/>
      </c>
      <c r="AL98" s="121" t="str">
        <f>IF(ISTEXT(VLOOKUP(CONCATENATE($A98,"_",AL$3),'Unit List'!$A$23:$H$3172,2,FALSE)),"X",$AK98)</f>
        <v/>
      </c>
      <c r="AM98" s="122" t="str">
        <f>IF(ISTEXT(VLOOKUP(CONCATENATE($A98,"_",AM$3),'Unit List'!$A$23:$H$3172,2,FALSE)),"X",$AK98)</f>
        <v/>
      </c>
      <c r="AN98" s="125" t="str">
        <f>IF(ISTEXT(VLOOKUP(CONCATENATE($A98,"_",AN$3),'Unit List'!$A$23:$H$3172,2,FALSE)),"+","")</f>
        <v/>
      </c>
      <c r="AO98" s="122" t="str">
        <f>IF(ISTEXT(VLOOKUP(CONCATENATE($A98,"_",AO$3),'Unit List'!$A$23:$H$3172,2,FALSE)),"X",$AN98)</f>
        <v/>
      </c>
      <c r="AP98" s="172" t="str">
        <f>IF(ISTEXT(VLOOKUP(CONCATENATE($A98,"_",AP$3),'Unit List'!$A$23:$H$3172,2,FALSE)),"+","")</f>
        <v/>
      </c>
      <c r="AQ98" s="120" t="str">
        <f>IF(ISTEXT(VLOOKUP(CONCATENATE($A98,"_",AQ$3),'Unit List'!$A$23:$H$3172,2,FALSE)),"X",$AP98)</f>
        <v/>
      </c>
      <c r="AR98" s="120" t="str">
        <f>IF(ISTEXT(VLOOKUP(CONCATENATE($A98,"_",AR$3),'Unit List'!$A$23:$H$3172,2,FALSE)),"X",$AP98)</f>
        <v/>
      </c>
      <c r="AS98" s="120" t="str">
        <f>IF(ISTEXT(VLOOKUP(CONCATENATE($A98,"_",AS$3),'Unit List'!$A$23:$H$3172,2,FALSE)),"X",$AP98)</f>
        <v/>
      </c>
      <c r="AT98" s="122" t="str">
        <f>IF(ISTEXT(VLOOKUP(CONCATENATE($A98,"_",AT$3),'Unit List'!$A$23:$H$3172,2,FALSE)),"X",$AP98)</f>
        <v/>
      </c>
      <c r="AU98" s="124" t="str">
        <f>IF(ISTEXT(VLOOKUP(CONCATENATE($A98,"_",AU$3),'Unit List'!$A$23:$H$3172,2,FALSE)),"+","")</f>
        <v/>
      </c>
      <c r="AV98" s="120" t="str">
        <f>IF(ISTEXT(VLOOKUP(CONCATENATE($A98,"_",AV$3),'Unit List'!$A$23:$H$3172,2,FALSE)),"X",$AU98)</f>
        <v/>
      </c>
      <c r="AW98" s="122" t="str">
        <f>IF(ISTEXT(VLOOKUP(CONCATENATE($A98,"_",AW$3),'Unit List'!$A$23:$H$3172,2,FALSE)),"X",$AU98)</f>
        <v/>
      </c>
      <c r="AX98" s="172" t="str">
        <f>IF(ISTEXT(VLOOKUP(CONCATENATE($A98,"_",AX$3),'Unit List'!$A$23:$H$3172,2,FALSE)),"+","")</f>
        <v/>
      </c>
      <c r="AY98" s="120" t="str">
        <f>IF(ISTEXT(VLOOKUP(CONCATENATE($A98,"_",AY$3),'Unit List'!$A$23:$H$3172,2,FALSE)),"X",$AX98)</f>
        <v/>
      </c>
      <c r="AZ98" s="122" t="str">
        <f>IF(ISTEXT(VLOOKUP(CONCATENATE($A98,"_",AZ$3),'Unit List'!$A$23:$H$3172,2,FALSE)),"X",$AX98)</f>
        <v/>
      </c>
      <c r="BA98" s="182" t="str">
        <f>IF(ISTEXT(VLOOKUP(CONCATENATE($A98,"_",BA$3),'Unit List'!$A$23:$H$3172,2,FALSE)),"+","")</f>
        <v/>
      </c>
      <c r="BB98" s="120" t="str">
        <f>IF(ISTEXT(VLOOKUP(CONCATENATE($A98,"_",BB$3),'Unit List'!$A$23:$H$3172,2,FALSE)),"X",$BA98)</f>
        <v/>
      </c>
      <c r="BC98" s="120" t="str">
        <f>IF(ISTEXT(VLOOKUP(CONCATENATE($A98,"_",BC$3),'Unit List'!$A$23:$H$3172,2,FALSE)),"X",$BA98)</f>
        <v/>
      </c>
      <c r="BD98" s="122" t="str">
        <f>IF(ISTEXT(VLOOKUP(CONCATENATE($A98,"_",BD$3),'Unit List'!$A$23:$H$3172,2,FALSE)),"X",$BA98)</f>
        <v/>
      </c>
      <c r="BE98" s="125" t="str">
        <f>IF(ISTEXT(VLOOKUP(CONCATENATE($A98,"_",BE$3),'Unit List'!$A$23:$H$3172,2,FALSE)),"+","")</f>
        <v/>
      </c>
      <c r="BF98" s="75" t="str">
        <f>IF(ISTEXT(VLOOKUP(CONCATENATE($A98,"_",BF$3),'Unit List'!$A$23:$H$3172,2,FALSE)),"X",$BE98)</f>
        <v/>
      </c>
      <c r="BG98" s="122"/>
      <c r="BH98" s="65" t="s">
        <v>0</v>
      </c>
      <c r="BI98" s="143"/>
      <c r="BJ98" s="144"/>
      <c r="BK98" s="144"/>
      <c r="BL98" s="145"/>
      <c r="BM98" s="145"/>
      <c r="BN98" s="54"/>
      <c r="BO98" s="54"/>
      <c r="BP98" s="54"/>
      <c r="BQ98" s="54"/>
      <c r="BR98" s="54"/>
      <c r="BS98" s="54"/>
      <c r="DZ98" s="55"/>
      <c r="EA98" s="55"/>
    </row>
    <row r="99" spans="1:137" ht="12.75" customHeight="1" x14ac:dyDescent="0.2">
      <c r="A99" s="138" t="s">
        <v>1142</v>
      </c>
      <c r="B99" s="190" t="str">
        <f>IF(ISTEXT(VLOOKUP(CONCATENATE($A99,"_",B$3),'Unit List'!$A$23:$H$3172,2,FALSE)),"+","")</f>
        <v/>
      </c>
      <c r="C99" s="119" t="str">
        <f>IF(ISTEXT(VLOOKUP(CONCATENATE($A99,"_",C$3),'Unit List'!$A$23:$H$3172,2,FALSE)),"X",$B99)</f>
        <v/>
      </c>
      <c r="D99" s="120" t="str">
        <f>IF(ISTEXT(VLOOKUP(CONCATENATE($A99,"_",D$3),'Unit List'!$A$23:$H$3172,2,FALSE)),"X",$B99)</f>
        <v/>
      </c>
      <c r="E99" s="120" t="str">
        <f>IF(ISTEXT(VLOOKUP(CONCATENATE($A99,"_",E$3),'Unit List'!$A$23:$H$3172,2,FALSE)),"X",$B99)</f>
        <v/>
      </c>
      <c r="F99" s="120" t="str">
        <f>IF(ISTEXT(VLOOKUP(CONCATENATE($A99,"_",F$3),'Unit List'!$A$23:$H$3172,2,FALSE)),"X",$B99)</f>
        <v/>
      </c>
      <c r="G99" s="120" t="str">
        <f>IF(ISTEXT(VLOOKUP(CONCATENATE($A99,"_",G$3),'Unit List'!$A$23:$H$3172,2,FALSE)),"X",$B99)</f>
        <v/>
      </c>
      <c r="H99" s="120" t="str">
        <f>IF(ISTEXT(VLOOKUP(CONCATENATE($A99,"_",H$3),'Unit List'!$A$23:$H$3172,2,FALSE)),"X",$B99)</f>
        <v/>
      </c>
      <c r="I99" s="122" t="str">
        <f>IF(ISTEXT(VLOOKUP(CONCATENATE($A99,"_",I$3),'Unit List'!$A$23:$H$3172,2,FALSE)),"X",$B99)</f>
        <v/>
      </c>
      <c r="J99" s="172" t="str">
        <f>IF(ISTEXT(VLOOKUP(CONCATENATE($A99,"_",J$3),'Unit List'!$A$23:$H$3172,2,FALSE)),"+","")</f>
        <v/>
      </c>
      <c r="K99" s="120" t="str">
        <f>IF(ISTEXT(VLOOKUP(CONCATENATE($A99,"_",K$3),'Unit List'!$A$23:$H$3172,2,FALSE)),"X",$J99)</f>
        <v/>
      </c>
      <c r="L99" s="75" t="str">
        <f>IF(ISTEXT(VLOOKUP(CONCATENATE($A99,"_",L$3),'Unit List'!$A$23:$H$3172,2,FALSE)),"X",$J99)</f>
        <v/>
      </c>
      <c r="M99" s="172" t="str">
        <f>IF(ISTEXT(VLOOKUP(CONCATENATE($A99,"_",M$3),'Unit List'!$A$23:$H$3172,2,FALSE)),"+","")</f>
        <v/>
      </c>
      <c r="N99" s="120" t="str">
        <f>IF(ISTEXT(VLOOKUP(CONCATENATE($A99,"_",N$3),'Unit List'!$A$23:$H$3172,2,FALSE)),"X",$M99)</f>
        <v/>
      </c>
      <c r="O99" s="122" t="str">
        <f>IF(ISTEXT(VLOOKUP(CONCATENATE($A99,"_",O$3),'Unit List'!$A$23:$H$3172,2,FALSE)),"X",$M99)</f>
        <v/>
      </c>
      <c r="P99" s="172" t="str">
        <f>IF(ISTEXT(VLOOKUP(CONCATENATE($A99,"_",P$3),'Unit List'!$A$23:$H$3172,2,FALSE)),"+","")</f>
        <v/>
      </c>
      <c r="Q99" s="120" t="str">
        <f>IF(ISTEXT(VLOOKUP(CONCATENATE($A99,"_",Q$3),'Unit List'!$A$23:$H$3172,2,FALSE)),"X",$P99)</f>
        <v/>
      </c>
      <c r="R99" s="120" t="str">
        <f>IF(ISTEXT(VLOOKUP(CONCATENATE($A99,"_",R$3),'Unit List'!$A$23:$H$3172,2,FALSE)),"X",$P99)</f>
        <v/>
      </c>
      <c r="S99" s="120" t="str">
        <f>IF(ISTEXT(VLOOKUP(CONCATENATE($A99,"_",S$3),'Unit List'!$A$23:$H$3172,2,FALSE)),"X",$P99)</f>
        <v/>
      </c>
      <c r="T99" s="121" t="str">
        <f>IF(ISTEXT(VLOOKUP(CONCATENATE($A99,"_",T$3),'Unit List'!$A$23:$H$3172,2,FALSE)),"X",$P99)</f>
        <v/>
      </c>
      <c r="U99" s="120" t="str">
        <f>IF(ISTEXT(VLOOKUP(CONCATENATE($A99,"_",U$3),'Unit List'!$A$23:$H$3172,2,FALSE)),"X",$P99)</f>
        <v/>
      </c>
      <c r="V99" s="120" t="str">
        <f>IF(ISTEXT(VLOOKUP(CONCATENATE($A99,"_",V$3),'Unit List'!$A$23:$H$3172,2,FALSE)),"X",$P99)</f>
        <v/>
      </c>
      <c r="W99" s="122" t="str">
        <f>IF(ISTEXT(VLOOKUP(CONCATENATE($A99,"_",W$3),'Unit List'!$A$23:$H$3172,2,FALSE)),"X",$P99)</f>
        <v/>
      </c>
      <c r="X99" s="172" t="str">
        <f>IF(ISTEXT(VLOOKUP(CONCATENATE($A99,"_",X$3),'Unit List'!$A$23:$H$3172,2,FALSE)),"+","")</f>
        <v/>
      </c>
      <c r="Y99" s="120" t="str">
        <f>IF(ISTEXT(VLOOKUP(CONCATENATE($A99,"_",Y$3),'Unit List'!$A$23:$H$3172,2,FALSE)),"X",$X99)</f>
        <v/>
      </c>
      <c r="Z99" s="120" t="str">
        <f>IF(ISTEXT(VLOOKUP(CONCATENATE($A99,"_",Z$3),'Unit List'!$A$23:$H$3172,2,FALSE)),"X",$X99)</f>
        <v/>
      </c>
      <c r="AA99" s="120" t="str">
        <f>IF(ISTEXT(VLOOKUP(CONCATENATE($A99,"_",AA$3),'Unit List'!$A$23:$H$3172,2,FALSE)),"X",$X99)</f>
        <v/>
      </c>
      <c r="AB99" s="120" t="str">
        <f>IF(ISTEXT(VLOOKUP(CONCATENATE($A99,"_",AB$3),'Unit List'!$A$23:$H$3172,2,FALSE)),"X",$X99)</f>
        <v/>
      </c>
      <c r="AC99" s="75" t="str">
        <f>IF(ISTEXT(VLOOKUP(CONCATENATE($A99,"_",AC$3),'Unit List'!$A$23:$H$3172,2,FALSE)),"X",$X99)</f>
        <v/>
      </c>
      <c r="AD99" s="172" t="str">
        <f>IF(ISTEXT(VLOOKUP(CONCATENATE($A99,"_",AD$3),'Unit List'!$A$23:$H$3172,2,FALSE)),"+","")</f>
        <v/>
      </c>
      <c r="AE99" s="120" t="str">
        <f>IF(ISTEXT(VLOOKUP(CONCATENATE($A99,"_",AE$3),'Unit List'!$A$23:$H$3172,2,FALSE)),"X",$AD99)</f>
        <v/>
      </c>
      <c r="AF99" s="120" t="str">
        <f>IF(ISTEXT(VLOOKUP(CONCATENATE($A99,"_",AF$3),'Unit List'!$A$23:$H$3172,2,FALSE)),"X",$AD99)</f>
        <v/>
      </c>
      <c r="AG99" s="172" t="str">
        <f>IF(ISTEXT(VLOOKUP(CONCATENATE($A99,"_",AG$3),'Unit List'!$A$23:$H$3172,2,FALSE)),"+","")</f>
        <v/>
      </c>
      <c r="AH99" s="120" t="str">
        <f>IF(ISTEXT(VLOOKUP(CONCATENATE($A99,"_",AH$3),'Unit List'!$A$23:$H$3172,2,FALSE)),"X",$AG99)</f>
        <v/>
      </c>
      <c r="AI99" s="120" t="str">
        <f>IF(ISTEXT(VLOOKUP(CONCATENATE($A99,"_",AI$3),'Unit List'!$A$23:$H$3172,2,FALSE)),"X",$AG99)</f>
        <v/>
      </c>
      <c r="AJ99" s="122" t="str">
        <f>IF(ISTEXT(VLOOKUP(CONCATENATE($A99,"_",AJ$3),'Unit List'!$A$23:$H$3172,2,FALSE)),"X",$AG99)</f>
        <v/>
      </c>
      <c r="AK99" s="172" t="str">
        <f>IF(ISTEXT(VLOOKUP(CONCATENATE($A99,"_",AK$3),'Unit List'!$A$23:$H$3172,2,FALSE)),"+","")</f>
        <v/>
      </c>
      <c r="AL99" s="121" t="str">
        <f>IF(ISTEXT(VLOOKUP(CONCATENATE($A99,"_",AL$3),'Unit List'!$A$23:$H$3172,2,FALSE)),"X",$AK99)</f>
        <v/>
      </c>
      <c r="AM99" s="122" t="str">
        <f>IF(ISTEXT(VLOOKUP(CONCATENATE($A99,"_",AM$3),'Unit List'!$A$23:$H$3172,2,FALSE)),"X",$AK99)</f>
        <v/>
      </c>
      <c r="AN99" s="125" t="str">
        <f>IF(ISTEXT(VLOOKUP(CONCATENATE($A99,"_",AN$3),'Unit List'!$A$23:$H$3172,2,FALSE)),"+","")</f>
        <v/>
      </c>
      <c r="AO99" s="122" t="str">
        <f>IF(ISTEXT(VLOOKUP(CONCATENATE($A99,"_",AO$3),'Unit List'!$A$23:$H$3172,2,FALSE)),"X",$AN99)</f>
        <v/>
      </c>
      <c r="AP99" s="172" t="str">
        <f>IF(ISTEXT(VLOOKUP(CONCATENATE($A99,"_",AP$3),'Unit List'!$A$23:$H$3172,2,FALSE)),"+","")</f>
        <v/>
      </c>
      <c r="AQ99" s="120" t="str">
        <f>IF(ISTEXT(VLOOKUP(CONCATENATE($A99,"_",AQ$3),'Unit List'!$A$23:$H$3172,2,FALSE)),"X",$AP99)</f>
        <v/>
      </c>
      <c r="AR99" s="120" t="str">
        <f>IF(ISTEXT(VLOOKUP(CONCATENATE($A99,"_",AR$3),'Unit List'!$A$23:$H$3172,2,FALSE)),"X",$AP99)</f>
        <v/>
      </c>
      <c r="AS99" s="120" t="str">
        <f>IF(ISTEXT(VLOOKUP(CONCATENATE($A99,"_",AS$3),'Unit List'!$A$23:$H$3172,2,FALSE)),"X",$AP99)</f>
        <v/>
      </c>
      <c r="AT99" s="122" t="str">
        <f>IF(ISTEXT(VLOOKUP(CONCATENATE($A99,"_",AT$3),'Unit List'!$A$23:$H$3172,2,FALSE)),"X",$AP99)</f>
        <v/>
      </c>
      <c r="AU99" s="124" t="str">
        <f>IF(ISTEXT(VLOOKUP(CONCATENATE($A99,"_",AU$3),'Unit List'!$A$23:$H$3172,2,FALSE)),"+","")</f>
        <v/>
      </c>
      <c r="AV99" s="120" t="str">
        <f>IF(ISTEXT(VLOOKUP(CONCATENATE($A99,"_",AV$3),'Unit List'!$A$23:$H$3172,2,FALSE)),"X",$AU99)</f>
        <v/>
      </c>
      <c r="AW99" s="122" t="str">
        <f>IF(ISTEXT(VLOOKUP(CONCATENATE($A99,"_",AW$3),'Unit List'!$A$23:$H$3172,2,FALSE)),"X",$AU99)</f>
        <v/>
      </c>
      <c r="AX99" s="172" t="str">
        <f>IF(ISTEXT(VLOOKUP(CONCATENATE($A99,"_",AX$3),'Unit List'!$A$23:$H$3172,2,FALSE)),"+","")</f>
        <v/>
      </c>
      <c r="AY99" s="120" t="str">
        <f>IF(ISTEXT(VLOOKUP(CONCATENATE($A99,"_",AY$3),'Unit List'!$A$23:$H$3172,2,FALSE)),"X",$AX99)</f>
        <v/>
      </c>
      <c r="AZ99" s="122" t="str">
        <f>IF(ISTEXT(VLOOKUP(CONCATENATE($A99,"_",AZ$3),'Unit List'!$A$23:$H$3172,2,FALSE)),"X",$AX99)</f>
        <v/>
      </c>
      <c r="BA99" s="182" t="str">
        <f>IF(ISTEXT(VLOOKUP(CONCATENATE($A99,"_",BA$3),'Unit List'!$A$23:$H$3172,2,FALSE)),"+","")</f>
        <v/>
      </c>
      <c r="BB99" s="120" t="str">
        <f>IF(ISTEXT(VLOOKUP(CONCATENATE($A99,"_",BB$3),'Unit List'!$A$23:$H$3172,2,FALSE)),"X",$BA99)</f>
        <v/>
      </c>
      <c r="BC99" s="120" t="str">
        <f>IF(ISTEXT(VLOOKUP(CONCATENATE($A99,"_",BC$3),'Unit List'!$A$23:$H$3172,2,FALSE)),"X",$BA99)</f>
        <v/>
      </c>
      <c r="BD99" s="122" t="str">
        <f>IF(ISTEXT(VLOOKUP(CONCATENATE($A99,"_",BD$3),'Unit List'!$A$23:$H$3172,2,FALSE)),"X",$BA99)</f>
        <v/>
      </c>
      <c r="BE99" s="125" t="str">
        <f>IF(ISTEXT(VLOOKUP(CONCATENATE($A99,"_",BE$3),'Unit List'!$A$23:$H$3172,2,FALSE)),"+","")</f>
        <v/>
      </c>
      <c r="BF99" s="75" t="str">
        <f>IF(ISTEXT(VLOOKUP(CONCATENATE($A99,"_",BF$3),'Unit List'!$A$23:$H$3172,2,FALSE)),"X",$BE99)</f>
        <v/>
      </c>
      <c r="BG99" s="122"/>
      <c r="BH99" s="65" t="s">
        <v>0</v>
      </c>
      <c r="BI99" s="143"/>
      <c r="BJ99" s="144"/>
      <c r="BK99" s="144"/>
      <c r="BL99" s="145"/>
      <c r="BM99" s="145"/>
      <c r="BN99" s="54"/>
      <c r="BO99" s="54"/>
      <c r="BP99" s="54"/>
      <c r="BQ99" s="54"/>
      <c r="BR99" s="54"/>
      <c r="BS99" s="54"/>
      <c r="DZ99" s="55"/>
      <c r="EA99" s="55"/>
    </row>
    <row r="100" spans="1:137" ht="12.75" customHeight="1" x14ac:dyDescent="0.2">
      <c r="A100" s="138" t="s">
        <v>1143</v>
      </c>
      <c r="B100" s="190" t="str">
        <f>IF(ISTEXT(VLOOKUP(CONCATENATE($A100,"_",B$3),'Unit List'!$A$23:$H$3172,2,FALSE)),"+","")</f>
        <v/>
      </c>
      <c r="C100" s="119" t="str">
        <f>IF(ISTEXT(VLOOKUP(CONCATENATE($A100,"_",C$3),'Unit List'!$A$23:$H$3172,2,FALSE)),"X",$B100)</f>
        <v/>
      </c>
      <c r="D100" s="120" t="str">
        <f>IF(ISTEXT(VLOOKUP(CONCATENATE($A100,"_",D$3),'Unit List'!$A$23:$H$3172,2,FALSE)),"X",$B100)</f>
        <v/>
      </c>
      <c r="E100" s="120" t="str">
        <f>IF(ISTEXT(VLOOKUP(CONCATENATE($A100,"_",E$3),'Unit List'!$A$23:$H$3172,2,FALSE)),"X",$B100)</f>
        <v/>
      </c>
      <c r="F100" s="120" t="str">
        <f>IF(ISTEXT(VLOOKUP(CONCATENATE($A100,"_",F$3),'Unit List'!$A$23:$H$3172,2,FALSE)),"X",$B100)</f>
        <v/>
      </c>
      <c r="G100" s="120" t="str">
        <f>IF(ISTEXT(VLOOKUP(CONCATENATE($A100,"_",G$3),'Unit List'!$A$23:$H$3172,2,FALSE)),"X",$B100)</f>
        <v/>
      </c>
      <c r="H100" s="120" t="str">
        <f>IF(ISTEXT(VLOOKUP(CONCATENATE($A100,"_",H$3),'Unit List'!$A$23:$H$3172,2,FALSE)),"X",$B100)</f>
        <v/>
      </c>
      <c r="I100" s="122" t="str">
        <f>IF(ISTEXT(VLOOKUP(CONCATENATE($A100,"_",I$3),'Unit List'!$A$23:$H$3172,2,FALSE)),"X",$B100)</f>
        <v/>
      </c>
      <c r="J100" s="172" t="str">
        <f>IF(ISTEXT(VLOOKUP(CONCATENATE($A100,"_",J$3),'Unit List'!$A$23:$H$3172,2,FALSE)),"+","")</f>
        <v/>
      </c>
      <c r="K100" s="120" t="str">
        <f>IF(ISTEXT(VLOOKUP(CONCATENATE($A100,"_",K$3),'Unit List'!$A$23:$H$3172,2,FALSE)),"X",$J100)</f>
        <v/>
      </c>
      <c r="L100" s="75" t="str">
        <f>IF(ISTEXT(VLOOKUP(CONCATENATE($A100,"_",L$3),'Unit List'!$A$23:$H$3172,2,FALSE)),"X",$J100)</f>
        <v/>
      </c>
      <c r="M100" s="172" t="str">
        <f>IF(ISTEXT(VLOOKUP(CONCATENATE($A100,"_",M$3),'Unit List'!$A$23:$H$3172,2,FALSE)),"+","")</f>
        <v/>
      </c>
      <c r="N100" s="120" t="str">
        <f>IF(ISTEXT(VLOOKUP(CONCATENATE($A100,"_",N$3),'Unit List'!$A$23:$H$3172,2,FALSE)),"X",$M100)</f>
        <v/>
      </c>
      <c r="O100" s="122" t="str">
        <f>IF(ISTEXT(VLOOKUP(CONCATENATE($A100,"_",O$3),'Unit List'!$A$23:$H$3172,2,FALSE)),"X",$M100)</f>
        <v/>
      </c>
      <c r="P100" s="172" t="str">
        <f>IF(ISTEXT(VLOOKUP(CONCATENATE($A100,"_",P$3),'Unit List'!$A$23:$H$3172,2,FALSE)),"+","")</f>
        <v/>
      </c>
      <c r="Q100" s="120" t="str">
        <f>IF(ISTEXT(VLOOKUP(CONCATENATE($A100,"_",Q$3),'Unit List'!$A$23:$H$3172,2,FALSE)),"X",$P100)</f>
        <v/>
      </c>
      <c r="R100" s="120" t="str">
        <f>IF(ISTEXT(VLOOKUP(CONCATENATE($A100,"_",R$3),'Unit List'!$A$23:$H$3172,2,FALSE)),"X",$P100)</f>
        <v/>
      </c>
      <c r="S100" s="120" t="str">
        <f>IF(ISTEXT(VLOOKUP(CONCATENATE($A100,"_",S$3),'Unit List'!$A$23:$H$3172,2,FALSE)),"X",$P100)</f>
        <v/>
      </c>
      <c r="T100" s="121" t="str">
        <f>IF(ISTEXT(VLOOKUP(CONCATENATE($A100,"_",T$3),'Unit List'!$A$23:$H$3172,2,FALSE)),"X",$P100)</f>
        <v/>
      </c>
      <c r="U100" s="120" t="str">
        <f>IF(ISTEXT(VLOOKUP(CONCATENATE($A100,"_",U$3),'Unit List'!$A$23:$H$3172,2,FALSE)),"X",$P100)</f>
        <v/>
      </c>
      <c r="V100" s="120" t="str">
        <f>IF(ISTEXT(VLOOKUP(CONCATENATE($A100,"_",V$3),'Unit List'!$A$23:$H$3172,2,FALSE)),"X",$P100)</f>
        <v/>
      </c>
      <c r="W100" s="122" t="str">
        <f>IF(ISTEXT(VLOOKUP(CONCATENATE($A100,"_",W$3),'Unit List'!$A$23:$H$3172,2,FALSE)),"X",$P100)</f>
        <v/>
      </c>
      <c r="X100" s="172" t="str">
        <f>IF(ISTEXT(VLOOKUP(CONCATENATE($A100,"_",X$3),'Unit List'!$A$23:$H$3172,2,FALSE)),"+","")</f>
        <v/>
      </c>
      <c r="Y100" s="120" t="str">
        <f>IF(ISTEXT(VLOOKUP(CONCATENATE($A100,"_",Y$3),'Unit List'!$A$23:$H$3172,2,FALSE)),"X",$X100)</f>
        <v/>
      </c>
      <c r="Z100" s="120" t="str">
        <f>IF(ISTEXT(VLOOKUP(CONCATENATE($A100,"_",Z$3),'Unit List'!$A$23:$H$3172,2,FALSE)),"X",$X100)</f>
        <v/>
      </c>
      <c r="AA100" s="120" t="str">
        <f>IF(ISTEXT(VLOOKUP(CONCATENATE($A100,"_",AA$3),'Unit List'!$A$23:$H$3172,2,FALSE)),"X",$X100)</f>
        <v/>
      </c>
      <c r="AB100" s="120" t="str">
        <f>IF(ISTEXT(VLOOKUP(CONCATENATE($A100,"_",AB$3),'Unit List'!$A$23:$H$3172,2,FALSE)),"X",$X100)</f>
        <v/>
      </c>
      <c r="AC100" s="75" t="str">
        <f>IF(ISTEXT(VLOOKUP(CONCATENATE($A100,"_",AC$3),'Unit List'!$A$23:$H$3172,2,FALSE)),"X",$X100)</f>
        <v/>
      </c>
      <c r="AD100" s="172" t="str">
        <f>IF(ISTEXT(VLOOKUP(CONCATENATE($A100,"_",AD$3),'Unit List'!$A$23:$H$3172,2,FALSE)),"+","")</f>
        <v/>
      </c>
      <c r="AE100" s="120" t="str">
        <f>IF(ISTEXT(VLOOKUP(CONCATENATE($A100,"_",AE$3),'Unit List'!$A$23:$H$3172,2,FALSE)),"X",$AD100)</f>
        <v/>
      </c>
      <c r="AF100" s="120" t="str">
        <f>IF(ISTEXT(VLOOKUP(CONCATENATE($A100,"_",AF$3),'Unit List'!$A$23:$H$3172,2,FALSE)),"X",$AD100)</f>
        <v/>
      </c>
      <c r="AG100" s="172" t="str">
        <f>IF(ISTEXT(VLOOKUP(CONCATENATE($A100,"_",AG$3),'Unit List'!$A$23:$H$3172,2,FALSE)),"+","")</f>
        <v/>
      </c>
      <c r="AH100" s="120" t="str">
        <f>IF(ISTEXT(VLOOKUP(CONCATENATE($A100,"_",AH$3),'Unit List'!$A$23:$H$3172,2,FALSE)),"X",$AG100)</f>
        <v/>
      </c>
      <c r="AI100" s="120" t="str">
        <f>IF(ISTEXT(VLOOKUP(CONCATENATE($A100,"_",AI$3),'Unit List'!$A$23:$H$3172,2,FALSE)),"X",$AG100)</f>
        <v/>
      </c>
      <c r="AJ100" s="122" t="str">
        <f>IF(ISTEXT(VLOOKUP(CONCATENATE($A100,"_",AJ$3),'Unit List'!$A$23:$H$3172,2,FALSE)),"X",$AG100)</f>
        <v/>
      </c>
      <c r="AK100" s="172" t="str">
        <f>IF(ISTEXT(VLOOKUP(CONCATENATE($A100,"_",AK$3),'Unit List'!$A$23:$H$3172,2,FALSE)),"+","")</f>
        <v/>
      </c>
      <c r="AL100" s="121" t="str">
        <f>IF(ISTEXT(VLOOKUP(CONCATENATE($A100,"_",AL$3),'Unit List'!$A$23:$H$3172,2,FALSE)),"X",$AK100)</f>
        <v/>
      </c>
      <c r="AM100" s="122" t="str">
        <f>IF(ISTEXT(VLOOKUP(CONCATENATE($A100,"_",AM$3),'Unit List'!$A$23:$H$3172,2,FALSE)),"X",$AK100)</f>
        <v/>
      </c>
      <c r="AN100" s="125" t="str">
        <f>IF(ISTEXT(VLOOKUP(CONCATENATE($A100,"_",AN$3),'Unit List'!$A$23:$H$3172,2,FALSE)),"+","")</f>
        <v/>
      </c>
      <c r="AO100" s="122" t="str">
        <f>IF(ISTEXT(VLOOKUP(CONCATENATE($A100,"_",AO$3),'Unit List'!$A$23:$H$3172,2,FALSE)),"X",$AN100)</f>
        <v/>
      </c>
      <c r="AP100" s="172" t="str">
        <f>IF(ISTEXT(VLOOKUP(CONCATENATE($A100,"_",AP$3),'Unit List'!$A$23:$H$3172,2,FALSE)),"+","")</f>
        <v/>
      </c>
      <c r="AQ100" s="120" t="str">
        <f>IF(ISTEXT(VLOOKUP(CONCATENATE($A100,"_",AQ$3),'Unit List'!$A$23:$H$3172,2,FALSE)),"X",$AP100)</f>
        <v/>
      </c>
      <c r="AR100" s="120" t="str">
        <f>IF(ISTEXT(VLOOKUP(CONCATENATE($A100,"_",AR$3),'Unit List'!$A$23:$H$3172,2,FALSE)),"X",$AP100)</f>
        <v/>
      </c>
      <c r="AS100" s="120" t="str">
        <f>IF(ISTEXT(VLOOKUP(CONCATENATE($A100,"_",AS$3),'Unit List'!$A$23:$H$3172,2,FALSE)),"X",$AP100)</f>
        <v/>
      </c>
      <c r="AT100" s="122" t="str">
        <f>IF(ISTEXT(VLOOKUP(CONCATENATE($A100,"_",AT$3),'Unit List'!$A$23:$H$3172,2,FALSE)),"X",$AP100)</f>
        <v/>
      </c>
      <c r="AU100" s="124" t="str">
        <f>IF(ISTEXT(VLOOKUP(CONCATENATE($A100,"_",AU$3),'Unit List'!$A$23:$H$3172,2,FALSE)),"+","")</f>
        <v/>
      </c>
      <c r="AV100" s="120" t="str">
        <f>IF(ISTEXT(VLOOKUP(CONCATENATE($A100,"_",AV$3),'Unit List'!$A$23:$H$3172,2,FALSE)),"X",$AU100)</f>
        <v/>
      </c>
      <c r="AW100" s="122" t="str">
        <f>IF(ISTEXT(VLOOKUP(CONCATENATE($A100,"_",AW$3),'Unit List'!$A$23:$H$3172,2,FALSE)),"X",$AU100)</f>
        <v/>
      </c>
      <c r="AX100" s="172" t="str">
        <f>IF(ISTEXT(VLOOKUP(CONCATENATE($A100,"_",AX$3),'Unit List'!$A$23:$H$3172,2,FALSE)),"+","")</f>
        <v/>
      </c>
      <c r="AY100" s="120" t="str">
        <f>IF(ISTEXT(VLOOKUP(CONCATENATE($A100,"_",AY$3),'Unit List'!$A$23:$H$3172,2,FALSE)),"X",$AX100)</f>
        <v/>
      </c>
      <c r="AZ100" s="122" t="str">
        <f>IF(ISTEXT(VLOOKUP(CONCATENATE($A100,"_",AZ$3),'Unit List'!$A$23:$H$3172,2,FALSE)),"X",$AX100)</f>
        <v/>
      </c>
      <c r="BA100" s="182" t="str">
        <f>IF(ISTEXT(VLOOKUP(CONCATENATE($A100,"_",BA$3),'Unit List'!$A$23:$H$3172,2,FALSE)),"+","")</f>
        <v/>
      </c>
      <c r="BB100" s="120" t="str">
        <f>IF(ISTEXT(VLOOKUP(CONCATENATE($A100,"_",BB$3),'Unit List'!$A$23:$H$3172,2,FALSE)),"X",$BA100)</f>
        <v/>
      </c>
      <c r="BC100" s="120" t="str">
        <f>IF(ISTEXT(VLOOKUP(CONCATENATE($A100,"_",BC$3),'Unit List'!$A$23:$H$3172,2,FALSE)),"X",$BA100)</f>
        <v/>
      </c>
      <c r="BD100" s="122" t="str">
        <f>IF(ISTEXT(VLOOKUP(CONCATENATE($A100,"_",BD$3),'Unit List'!$A$23:$H$3172,2,FALSE)),"X",$BA100)</f>
        <v/>
      </c>
      <c r="BE100" s="125" t="str">
        <f>IF(ISTEXT(VLOOKUP(CONCATENATE($A100,"_",BE$3),'Unit List'!$A$23:$H$3172,2,FALSE)),"+","")</f>
        <v/>
      </c>
      <c r="BF100" s="75" t="str">
        <f>IF(ISTEXT(VLOOKUP(CONCATENATE($A100,"_",BF$3),'Unit List'!$A$23:$H$3172,2,FALSE)),"X",$BE100)</f>
        <v/>
      </c>
      <c r="BG100" s="122"/>
      <c r="BH100" s="65" t="s">
        <v>0</v>
      </c>
      <c r="BI100" s="143"/>
      <c r="BJ100" s="144"/>
      <c r="BK100" s="144"/>
      <c r="BL100" s="145"/>
      <c r="BM100" s="145"/>
      <c r="BN100" s="54"/>
      <c r="BO100" s="54"/>
      <c r="BP100" s="54"/>
      <c r="BQ100" s="54"/>
      <c r="BR100" s="54"/>
      <c r="BS100" s="54"/>
      <c r="DZ100" s="55"/>
      <c r="EA100" s="55"/>
    </row>
    <row r="101" spans="1:137" ht="12.75" customHeight="1" x14ac:dyDescent="0.2">
      <c r="A101" s="138" t="s">
        <v>4</v>
      </c>
      <c r="B101" s="181" t="str">
        <f>IF(ISTEXT(VLOOKUP(CONCATENATE($A101,"_",B$3),'Unit List'!$A$23:$H$3172,2,FALSE)),"+","")</f>
        <v/>
      </c>
      <c r="C101" s="119" t="str">
        <f>IF(ISTEXT(VLOOKUP(CONCATENATE($A101,"_",C$3),'Unit List'!$A$23:$H$3172,2,FALSE)),"X",$B101)</f>
        <v/>
      </c>
      <c r="D101" s="120" t="str">
        <f>IF(ISTEXT(VLOOKUP(CONCATENATE($A101,"_",D$3),'Unit List'!$A$23:$H$3172,2,FALSE)),"X",$B101)</f>
        <v/>
      </c>
      <c r="E101" s="120" t="str">
        <f>IF(ISTEXT(VLOOKUP(CONCATENATE($A101,"_",E$3),'Unit List'!$A$23:$H$3172,2,FALSE)),"X",$B101)</f>
        <v/>
      </c>
      <c r="F101" s="120" t="str">
        <f>IF(ISTEXT(VLOOKUP(CONCATENATE($A101,"_",F$3),'Unit List'!$A$23:$H$3172,2,FALSE)),"X",$B101)</f>
        <v/>
      </c>
      <c r="G101" s="120" t="str">
        <f>IF(ISTEXT(VLOOKUP(CONCATENATE($A101,"_",G$3),'Unit List'!$A$23:$H$3172,2,FALSE)),"X",$B101)</f>
        <v/>
      </c>
      <c r="H101" s="120" t="str">
        <f>IF(ISTEXT(VLOOKUP(CONCATENATE($A101,"_",H$3),'Unit List'!$A$23:$H$3172,2,FALSE)),"X",$B101)</f>
        <v/>
      </c>
      <c r="I101" s="122" t="str">
        <f>IF(ISTEXT(VLOOKUP(CONCATENATE($A101,"_",I$3),'Unit List'!$A$23:$H$3172,2,FALSE)),"X",$B101)</f>
        <v/>
      </c>
      <c r="J101" s="172" t="str">
        <f>IF(ISTEXT(VLOOKUP(CONCATENATE($A101,"_",J$3),'Unit List'!$A$23:$H$3172,2,FALSE)),"+","")</f>
        <v/>
      </c>
      <c r="K101" s="120" t="str">
        <f>IF(ISTEXT(VLOOKUP(CONCATENATE($A101,"_",K$3),'Unit List'!$A$23:$H$3172,2,FALSE)),"X",$J101)</f>
        <v/>
      </c>
      <c r="L101" s="75" t="str">
        <f>IF(ISTEXT(VLOOKUP(CONCATENATE($A101,"_",L$3),'Unit List'!$A$23:$H$3172,2,FALSE)),"X",$J101)</f>
        <v/>
      </c>
      <c r="M101" s="172" t="str">
        <f>IF(ISTEXT(VLOOKUP(CONCATENATE($A101,"_",M$3),'Unit List'!$A$23:$H$3172,2,FALSE)),"+","")</f>
        <v/>
      </c>
      <c r="N101" s="120" t="str">
        <f>IF(ISTEXT(VLOOKUP(CONCATENATE($A101,"_",N$3),'Unit List'!$A$23:$H$3172,2,FALSE)),"X",$M101)</f>
        <v/>
      </c>
      <c r="O101" s="122" t="str">
        <f>IF(ISTEXT(VLOOKUP(CONCATENATE($A101,"_",O$3),'Unit List'!$A$23:$H$3172,2,FALSE)),"X",$M101)</f>
        <v/>
      </c>
      <c r="P101" s="172" t="str">
        <f>IF(ISTEXT(VLOOKUP(CONCATENATE($A101,"_",P$3),'Unit List'!$A$23:$H$3172,2,FALSE)),"+","")</f>
        <v/>
      </c>
      <c r="Q101" s="120" t="str">
        <f>IF(ISTEXT(VLOOKUP(CONCATENATE($A101,"_",Q$3),'Unit List'!$A$23:$H$3172,2,FALSE)),"X",$P101)</f>
        <v/>
      </c>
      <c r="R101" s="120" t="str">
        <f>IF(ISTEXT(VLOOKUP(CONCATENATE($A101,"_",R$3),'Unit List'!$A$23:$H$3172,2,FALSE)),"X",$P101)</f>
        <v/>
      </c>
      <c r="S101" s="120" t="str">
        <f>IF(ISTEXT(VLOOKUP(CONCATENATE($A101,"_",S$3),'Unit List'!$A$23:$H$3172,2,FALSE)),"X",$P101)</f>
        <v/>
      </c>
      <c r="T101" s="121" t="str">
        <f>IF(ISTEXT(VLOOKUP(CONCATENATE($A101,"_",T$3),'Unit List'!$A$23:$H$3172,2,FALSE)),"X",$P101)</f>
        <v/>
      </c>
      <c r="U101" s="120" t="str">
        <f>IF(ISTEXT(VLOOKUP(CONCATENATE($A101,"_",U$3),'Unit List'!$A$23:$H$3172,2,FALSE)),"X",$P101)</f>
        <v/>
      </c>
      <c r="V101" s="120" t="str">
        <f>IF(ISTEXT(VLOOKUP(CONCATENATE($A101,"_",V$3),'Unit List'!$A$23:$H$3172,2,FALSE)),"X",$P101)</f>
        <v/>
      </c>
      <c r="W101" s="122" t="str">
        <f>IF(ISTEXT(VLOOKUP(CONCATENATE($A101,"_",W$3),'Unit List'!$A$23:$H$3172,2,FALSE)),"X",$P101)</f>
        <v/>
      </c>
      <c r="X101" s="172" t="str">
        <f>IF(ISTEXT(VLOOKUP(CONCATENATE($A101,"_",X$3),'Unit List'!$A$23:$H$3172,2,FALSE)),"+","")</f>
        <v/>
      </c>
      <c r="Y101" s="120" t="str">
        <f>IF(ISTEXT(VLOOKUP(CONCATENATE($A101,"_",Y$3),'Unit List'!$A$23:$H$3172,2,FALSE)),"X",$X101)</f>
        <v/>
      </c>
      <c r="Z101" s="120" t="str">
        <f>IF(ISTEXT(VLOOKUP(CONCATENATE($A101,"_",Z$3),'Unit List'!$A$23:$H$3172,2,FALSE)),"X",$X101)</f>
        <v/>
      </c>
      <c r="AA101" s="120" t="str">
        <f>IF(ISTEXT(VLOOKUP(CONCATENATE($A101,"_",AA$3),'Unit List'!$A$23:$H$3172,2,FALSE)),"X",$X101)</f>
        <v/>
      </c>
      <c r="AB101" s="120" t="str">
        <f>IF(ISTEXT(VLOOKUP(CONCATENATE($A101,"_",AB$3),'Unit List'!$A$23:$H$3172,2,FALSE)),"X",$X101)</f>
        <v/>
      </c>
      <c r="AC101" s="75" t="str">
        <f>IF(ISTEXT(VLOOKUP(CONCATENATE($A101,"_",AC$3),'Unit List'!$A$23:$H$3172,2,FALSE)),"X",$X101)</f>
        <v/>
      </c>
      <c r="AD101" s="172" t="str">
        <f>IF(ISTEXT(VLOOKUP(CONCATENATE($A101,"_",AD$3),'Unit List'!$A$23:$H$3172,2,FALSE)),"+","")</f>
        <v/>
      </c>
      <c r="AE101" s="120" t="str">
        <f>IF(ISTEXT(VLOOKUP(CONCATENATE($A101,"_",AE$3),'Unit List'!$A$23:$H$3172,2,FALSE)),"X",$AD101)</f>
        <v/>
      </c>
      <c r="AF101" s="120" t="str">
        <f>IF(ISTEXT(VLOOKUP(CONCATENATE($A101,"_",AF$3),'Unit List'!$A$23:$H$3172,2,FALSE)),"X",$AD101)</f>
        <v/>
      </c>
      <c r="AG101" s="172" t="str">
        <f>IF(ISTEXT(VLOOKUP(CONCATENATE($A101,"_",AG$3),'Unit List'!$A$23:$H$3172,2,FALSE)),"+","")</f>
        <v/>
      </c>
      <c r="AH101" s="120" t="str">
        <f>IF(ISTEXT(VLOOKUP(CONCATENATE($A101,"_",AH$3),'Unit List'!$A$23:$H$3172,2,FALSE)),"X",$AG101)</f>
        <v/>
      </c>
      <c r="AI101" s="120" t="str">
        <f>IF(ISTEXT(VLOOKUP(CONCATENATE($A101,"_",AI$3),'Unit List'!$A$23:$H$3172,2,FALSE)),"X",$AG101)</f>
        <v/>
      </c>
      <c r="AJ101" s="122" t="str">
        <f>IF(ISTEXT(VLOOKUP(CONCATENATE($A101,"_",AJ$3),'Unit List'!$A$23:$H$3172,2,FALSE)),"X",$AG101)</f>
        <v/>
      </c>
      <c r="AK101" s="172" t="str">
        <f>IF(ISTEXT(VLOOKUP(CONCATENATE($A101,"_",AK$3),'Unit List'!$A$23:$H$3172,2,FALSE)),"+","")</f>
        <v/>
      </c>
      <c r="AL101" s="121" t="str">
        <f>IF(ISTEXT(VLOOKUP(CONCATENATE($A101,"_",AL$3),'Unit List'!$A$23:$H$3172,2,FALSE)),"X",$AK101)</f>
        <v/>
      </c>
      <c r="AM101" s="122" t="str">
        <f>IF(ISTEXT(VLOOKUP(CONCATENATE($A101,"_",AM$3),'Unit List'!$A$23:$H$3172,2,FALSE)),"X",$AK101)</f>
        <v/>
      </c>
      <c r="AN101" s="125" t="str">
        <f>IF(ISTEXT(VLOOKUP(CONCATENATE($A101,"_",AN$3),'Unit List'!$A$23:$H$3172,2,FALSE)),"+","")</f>
        <v/>
      </c>
      <c r="AO101" s="122" t="str">
        <f>IF(ISTEXT(VLOOKUP(CONCATENATE($A101,"_",AO$3),'Unit List'!$A$23:$H$3172,2,FALSE)),"X",$AN101)</f>
        <v/>
      </c>
      <c r="AP101" s="172" t="str">
        <f>IF(ISTEXT(VLOOKUP(CONCATENATE($A101,"_",AP$3),'Unit List'!$A$23:$H$3172,2,FALSE)),"+","")</f>
        <v/>
      </c>
      <c r="AQ101" s="120" t="str">
        <f>IF(ISTEXT(VLOOKUP(CONCATENATE($A101,"_",AQ$3),'Unit List'!$A$23:$H$3172,2,FALSE)),"X",$AP101)</f>
        <v/>
      </c>
      <c r="AR101" s="120" t="str">
        <f>IF(ISTEXT(VLOOKUP(CONCATENATE($A101,"_",AR$3),'Unit List'!$A$23:$H$3172,2,FALSE)),"X",$AP101)</f>
        <v/>
      </c>
      <c r="AS101" s="120" t="str">
        <f>IF(ISTEXT(VLOOKUP(CONCATENATE($A101,"_",AS$3),'Unit List'!$A$23:$H$3172,2,FALSE)),"X",$AP101)</f>
        <v/>
      </c>
      <c r="AT101" s="122" t="str">
        <f>IF(ISTEXT(VLOOKUP(CONCATENATE($A101,"_",AT$3),'Unit List'!$A$23:$H$3172,2,FALSE)),"X",$AP101)</f>
        <v/>
      </c>
      <c r="AU101" s="124" t="str">
        <f>IF(ISTEXT(VLOOKUP(CONCATENATE($A101,"_",AU$3),'Unit List'!$A$23:$H$3172,2,FALSE)),"+","")</f>
        <v/>
      </c>
      <c r="AV101" s="120" t="str">
        <f>IF(ISTEXT(VLOOKUP(CONCATENATE($A101,"_",AV$3),'Unit List'!$A$23:$H$3172,2,FALSE)),"X",$AU101)</f>
        <v/>
      </c>
      <c r="AW101" s="122" t="str">
        <f>IF(ISTEXT(VLOOKUP(CONCATENATE($A101,"_",AW$3),'Unit List'!$A$23:$H$3172,2,FALSE)),"X",$AU101)</f>
        <v/>
      </c>
      <c r="AX101" s="172" t="str">
        <f>IF(ISTEXT(VLOOKUP(CONCATENATE($A101,"_",AX$3),'Unit List'!$A$23:$H$3172,2,FALSE)),"+","")</f>
        <v/>
      </c>
      <c r="AY101" s="120" t="str">
        <f>IF(ISTEXT(VLOOKUP(CONCATENATE($A101,"_",AY$3),'Unit List'!$A$23:$H$3172,2,FALSE)),"X",$AX101)</f>
        <v/>
      </c>
      <c r="AZ101" s="122" t="str">
        <f>IF(ISTEXT(VLOOKUP(CONCATENATE($A101,"_",AZ$3),'Unit List'!$A$23:$H$3172,2,FALSE)),"X",$AX101)</f>
        <v/>
      </c>
      <c r="BA101" s="182" t="str">
        <f>IF(ISTEXT(VLOOKUP(CONCATENATE($A101,"_",BA$3),'Unit List'!$A$23:$H$3172,2,FALSE)),"+","")</f>
        <v/>
      </c>
      <c r="BB101" s="120" t="str">
        <f>IF(ISTEXT(VLOOKUP(CONCATENATE($A101,"_",BB$3),'Unit List'!$A$23:$H$3172,2,FALSE)),"X",$BA101)</f>
        <v/>
      </c>
      <c r="BC101" s="120" t="str">
        <f>IF(ISTEXT(VLOOKUP(CONCATENATE($A101,"_",BC$3),'Unit List'!$A$23:$H$3172,2,FALSE)),"X",$BA101)</f>
        <v/>
      </c>
      <c r="BD101" s="122" t="str">
        <f>IF(ISTEXT(VLOOKUP(CONCATENATE($A101,"_",BD$3),'Unit List'!$A$23:$H$3172,2,FALSE)),"X",$BA101)</f>
        <v/>
      </c>
      <c r="BE101" s="125" t="str">
        <f>IF(ISTEXT(VLOOKUP(CONCATENATE($A101,"_",BE$3),'Unit List'!$A$23:$H$3172,2,FALSE)),"+","")</f>
        <v/>
      </c>
      <c r="BF101" s="75" t="str">
        <f>IF(ISTEXT(VLOOKUP(CONCATENATE($A101,"_",BF$3),'Unit List'!$A$23:$H$3172,2,FALSE)),"X",$BE101)</f>
        <v/>
      </c>
      <c r="BG101" s="122"/>
      <c r="BH101" s="65" t="s">
        <v>0</v>
      </c>
      <c r="BI101" s="139"/>
      <c r="BJ101" s="140"/>
      <c r="BK101" s="140"/>
      <c r="BL101" s="140"/>
      <c r="BM101" s="140"/>
      <c r="BN101" s="54"/>
      <c r="BO101" s="54"/>
      <c r="BP101" s="54"/>
      <c r="BQ101" s="54"/>
      <c r="BR101" s="54"/>
      <c r="BS101" s="54"/>
      <c r="DZ101" s="55"/>
      <c r="EA101" s="55"/>
    </row>
    <row r="102" spans="1:137" ht="12.75" customHeight="1" x14ac:dyDescent="0.2">
      <c r="A102" s="138" t="s">
        <v>1121</v>
      </c>
      <c r="B102" s="190" t="str">
        <f>IF(ISTEXT(VLOOKUP(CONCATENATE($A102,"_",B$3),'Unit List'!$A$23:$H$3172,2,FALSE)),"+","")</f>
        <v/>
      </c>
      <c r="C102" s="119" t="str">
        <f>IF(ISTEXT(VLOOKUP(CONCATENATE($A102,"_",C$3),'Unit List'!$A$23:$H$3172,2,FALSE)),"X",$B102)</f>
        <v/>
      </c>
      <c r="D102" s="120" t="str">
        <f>IF(ISTEXT(VLOOKUP(CONCATENATE($A102,"_",D$3),'Unit List'!$A$23:$H$3172,2,FALSE)),"X",$B102)</f>
        <v/>
      </c>
      <c r="E102" s="120" t="str">
        <f>IF(ISTEXT(VLOOKUP(CONCATENATE($A102,"_",E$3),'Unit List'!$A$23:$H$3172,2,FALSE)),"X",$B102)</f>
        <v/>
      </c>
      <c r="F102" s="120" t="str">
        <f>IF(ISTEXT(VLOOKUP(CONCATENATE($A102,"_",F$3),'Unit List'!$A$23:$H$3172,2,FALSE)),"X",$B102)</f>
        <v/>
      </c>
      <c r="G102" s="120" t="str">
        <f>IF(ISTEXT(VLOOKUP(CONCATENATE($A102,"_",G$3),'Unit List'!$A$23:$H$3172,2,FALSE)),"X",$B102)</f>
        <v/>
      </c>
      <c r="H102" s="120" t="str">
        <f>IF(ISTEXT(VLOOKUP(CONCATENATE($A102,"_",H$3),'Unit List'!$A$23:$H$3172,2,FALSE)),"X",$B102)</f>
        <v/>
      </c>
      <c r="I102" s="122" t="str">
        <f>IF(ISTEXT(VLOOKUP(CONCATENATE($A102,"_",I$3),'Unit List'!$A$23:$H$3172,2,FALSE)),"X",$B102)</f>
        <v/>
      </c>
      <c r="J102" s="172" t="str">
        <f>IF(ISTEXT(VLOOKUP(CONCATENATE($A102,"_",J$3),'Unit List'!$A$23:$H$3172,2,FALSE)),"+","")</f>
        <v/>
      </c>
      <c r="K102" s="120" t="str">
        <f>IF(ISTEXT(VLOOKUP(CONCATENATE($A102,"_",K$3),'Unit List'!$A$23:$H$3172,2,FALSE)),"X",$J102)</f>
        <v/>
      </c>
      <c r="L102" s="75" t="str">
        <f>IF(ISTEXT(VLOOKUP(CONCATENATE($A102,"_",L$3),'Unit List'!$A$23:$H$3172,2,FALSE)),"X",$J102)</f>
        <v/>
      </c>
      <c r="M102" s="172" t="str">
        <f>IF(ISTEXT(VLOOKUP(CONCATENATE($A102,"_",M$3),'Unit List'!$A$23:$H$3172,2,FALSE)),"+","")</f>
        <v/>
      </c>
      <c r="N102" s="120" t="str">
        <f>IF(ISTEXT(VLOOKUP(CONCATENATE($A102,"_",N$3),'Unit List'!$A$23:$H$3172,2,FALSE)),"X",$M102)</f>
        <v/>
      </c>
      <c r="O102" s="122" t="str">
        <f>IF(ISTEXT(VLOOKUP(CONCATENATE($A102,"_",O$3),'Unit List'!$A$23:$H$3172,2,FALSE)),"X",$M102)</f>
        <v/>
      </c>
      <c r="P102" s="172" t="str">
        <f>IF(ISTEXT(VLOOKUP(CONCATENATE($A102,"_",P$3),'Unit List'!$A$23:$H$3172,2,FALSE)),"+","")</f>
        <v/>
      </c>
      <c r="Q102" s="120" t="str">
        <f>IF(ISTEXT(VLOOKUP(CONCATENATE($A102,"_",Q$3),'Unit List'!$A$23:$H$3172,2,FALSE)),"X",$P102)</f>
        <v/>
      </c>
      <c r="R102" s="120" t="str">
        <f>IF(ISTEXT(VLOOKUP(CONCATENATE($A102,"_",R$3),'Unit List'!$A$23:$H$3172,2,FALSE)),"X",$P102)</f>
        <v/>
      </c>
      <c r="S102" s="120" t="str">
        <f>IF(ISTEXT(VLOOKUP(CONCATENATE($A102,"_",S$3),'Unit List'!$A$23:$H$3172,2,FALSE)),"X",$P102)</f>
        <v/>
      </c>
      <c r="T102" s="121" t="str">
        <f>IF(ISTEXT(VLOOKUP(CONCATENATE($A102,"_",T$3),'Unit List'!$A$23:$H$3172,2,FALSE)),"X",$P102)</f>
        <v/>
      </c>
      <c r="U102" s="120" t="str">
        <f>IF(ISTEXT(VLOOKUP(CONCATENATE($A102,"_",U$3),'Unit List'!$A$23:$H$3172,2,FALSE)),"X",$P102)</f>
        <v/>
      </c>
      <c r="V102" s="120" t="str">
        <f>IF(ISTEXT(VLOOKUP(CONCATENATE($A102,"_",V$3),'Unit List'!$A$23:$H$3172,2,FALSE)),"X",$P102)</f>
        <v/>
      </c>
      <c r="W102" s="122" t="str">
        <f>IF(ISTEXT(VLOOKUP(CONCATENATE($A102,"_",W$3),'Unit List'!$A$23:$H$3172,2,FALSE)),"X",$P102)</f>
        <v/>
      </c>
      <c r="X102" s="172" t="str">
        <f>IF(ISTEXT(VLOOKUP(CONCATENATE($A102,"_",X$3),'Unit List'!$A$23:$H$3172,2,FALSE)),"+","")</f>
        <v/>
      </c>
      <c r="Y102" s="120" t="str">
        <f>IF(ISTEXT(VLOOKUP(CONCATENATE($A102,"_",Y$3),'Unit List'!$A$23:$H$3172,2,FALSE)),"X",$X102)</f>
        <v/>
      </c>
      <c r="Z102" s="120" t="str">
        <f>IF(ISTEXT(VLOOKUP(CONCATENATE($A102,"_",Z$3),'Unit List'!$A$23:$H$3172,2,FALSE)),"X",$X102)</f>
        <v/>
      </c>
      <c r="AA102" s="120" t="str">
        <f>IF(ISTEXT(VLOOKUP(CONCATENATE($A102,"_",AA$3),'Unit List'!$A$23:$H$3172,2,FALSE)),"X",$X102)</f>
        <v/>
      </c>
      <c r="AB102" s="120" t="str">
        <f>IF(ISTEXT(VLOOKUP(CONCATENATE($A102,"_",AB$3),'Unit List'!$A$23:$H$3172,2,FALSE)),"X",$X102)</f>
        <v/>
      </c>
      <c r="AC102" s="75" t="str">
        <f>IF(ISTEXT(VLOOKUP(CONCATENATE($A102,"_",AC$3),'Unit List'!$A$23:$H$3172,2,FALSE)),"X",$X102)</f>
        <v/>
      </c>
      <c r="AD102" s="172" t="str">
        <f>IF(ISTEXT(VLOOKUP(CONCATENATE($A102,"_",AD$3),'Unit List'!$A$23:$H$3172,2,FALSE)),"+","")</f>
        <v/>
      </c>
      <c r="AE102" s="120" t="str">
        <f>IF(ISTEXT(VLOOKUP(CONCATENATE($A102,"_",AE$3),'Unit List'!$A$23:$H$3172,2,FALSE)),"X",$AD102)</f>
        <v/>
      </c>
      <c r="AF102" s="120" t="str">
        <f>IF(ISTEXT(VLOOKUP(CONCATENATE($A102,"_",AF$3),'Unit List'!$A$23:$H$3172,2,FALSE)),"X",$AD102)</f>
        <v/>
      </c>
      <c r="AG102" s="172" t="str">
        <f>IF(ISTEXT(VLOOKUP(CONCATENATE($A102,"_",AG$3),'Unit List'!$A$23:$H$3172,2,FALSE)),"+","")</f>
        <v/>
      </c>
      <c r="AH102" s="120" t="str">
        <f>IF(ISTEXT(VLOOKUP(CONCATENATE($A102,"_",AH$3),'Unit List'!$A$23:$H$3172,2,FALSE)),"X",$AG102)</f>
        <v/>
      </c>
      <c r="AI102" s="120" t="str">
        <f>IF(ISTEXT(VLOOKUP(CONCATENATE($A102,"_",AI$3),'Unit List'!$A$23:$H$3172,2,FALSE)),"X",$AG102)</f>
        <v/>
      </c>
      <c r="AJ102" s="122" t="str">
        <f>IF(ISTEXT(VLOOKUP(CONCATENATE($A102,"_",AJ$3),'Unit List'!$A$23:$H$3172,2,FALSE)),"X",$AG102)</f>
        <v/>
      </c>
      <c r="AK102" s="172" t="str">
        <f>IF(ISTEXT(VLOOKUP(CONCATENATE($A102,"_",AK$3),'Unit List'!$A$23:$H$3172,2,FALSE)),"+","")</f>
        <v/>
      </c>
      <c r="AL102" s="121" t="str">
        <f>IF(ISTEXT(VLOOKUP(CONCATENATE($A102,"_",AL$3),'Unit List'!$A$23:$H$3172,2,FALSE)),"X",$AK102)</f>
        <v/>
      </c>
      <c r="AM102" s="122" t="str">
        <f>IF(ISTEXT(VLOOKUP(CONCATENATE($A102,"_",AM$3),'Unit List'!$A$23:$H$3172,2,FALSE)),"X",$AK102)</f>
        <v/>
      </c>
      <c r="AN102" s="125" t="str">
        <f>IF(ISTEXT(VLOOKUP(CONCATENATE($A102,"_",AN$3),'Unit List'!$A$23:$H$3172,2,FALSE)),"+","")</f>
        <v/>
      </c>
      <c r="AO102" s="122" t="str">
        <f>IF(ISTEXT(VLOOKUP(CONCATENATE($A102,"_",AO$3),'Unit List'!$A$23:$H$3172,2,FALSE)),"X",$AN102)</f>
        <v/>
      </c>
      <c r="AP102" s="172" t="str">
        <f>IF(ISTEXT(VLOOKUP(CONCATENATE($A102,"_",AP$3),'Unit List'!$A$23:$H$3172,2,FALSE)),"+","")</f>
        <v/>
      </c>
      <c r="AQ102" s="120" t="str">
        <f>IF(ISTEXT(VLOOKUP(CONCATENATE($A102,"_",AQ$3),'Unit List'!$A$23:$H$3172,2,FALSE)),"X",$AP102)</f>
        <v/>
      </c>
      <c r="AR102" s="120" t="str">
        <f>IF(ISTEXT(VLOOKUP(CONCATENATE($A102,"_",AR$3),'Unit List'!$A$23:$H$3172,2,FALSE)),"X",$AP102)</f>
        <v/>
      </c>
      <c r="AS102" s="120" t="str">
        <f>IF(ISTEXT(VLOOKUP(CONCATENATE($A102,"_",AS$3),'Unit List'!$A$23:$H$3172,2,FALSE)),"X",$AP102)</f>
        <v/>
      </c>
      <c r="AT102" s="122" t="str">
        <f>IF(ISTEXT(VLOOKUP(CONCATENATE($A102,"_",AT$3),'Unit List'!$A$23:$H$3172,2,FALSE)),"X",$AP102)</f>
        <v/>
      </c>
      <c r="AU102" s="124" t="str">
        <f>IF(ISTEXT(VLOOKUP(CONCATENATE($A102,"_",AU$3),'Unit List'!$A$23:$H$3172,2,FALSE)),"+","")</f>
        <v/>
      </c>
      <c r="AV102" s="120" t="str">
        <f>IF(ISTEXT(VLOOKUP(CONCATENATE($A102,"_",AV$3),'Unit List'!$A$23:$H$3172,2,FALSE)),"X",$AU102)</f>
        <v/>
      </c>
      <c r="AW102" s="122" t="str">
        <f>IF(ISTEXT(VLOOKUP(CONCATENATE($A102,"_",AW$3),'Unit List'!$A$23:$H$3172,2,FALSE)),"X",$AU102)</f>
        <v/>
      </c>
      <c r="AX102" s="172" t="str">
        <f>IF(ISTEXT(VLOOKUP(CONCATENATE($A102,"_",AX$3),'Unit List'!$A$23:$H$3172,2,FALSE)),"+","")</f>
        <v/>
      </c>
      <c r="AY102" s="120" t="str">
        <f>IF(ISTEXT(VLOOKUP(CONCATENATE($A102,"_",AY$3),'Unit List'!$A$23:$H$3172,2,FALSE)),"X",$AX102)</f>
        <v/>
      </c>
      <c r="AZ102" s="122" t="str">
        <f>IF(ISTEXT(VLOOKUP(CONCATENATE($A102,"_",AZ$3),'Unit List'!$A$23:$H$3172,2,FALSE)),"X",$AX102)</f>
        <v/>
      </c>
      <c r="BA102" s="182" t="str">
        <f>IF(ISTEXT(VLOOKUP(CONCATENATE($A102,"_",BA$3),'Unit List'!$A$23:$H$3172,2,FALSE)),"+","")</f>
        <v/>
      </c>
      <c r="BB102" s="120" t="str">
        <f>IF(ISTEXT(VLOOKUP(CONCATENATE($A102,"_",BB$3),'Unit List'!$A$23:$H$3172,2,FALSE)),"X",$BA102)</f>
        <v/>
      </c>
      <c r="BC102" s="120" t="str">
        <f>IF(ISTEXT(VLOOKUP(CONCATENATE($A102,"_",BC$3),'Unit List'!$A$23:$H$3172,2,FALSE)),"X",$BA102)</f>
        <v/>
      </c>
      <c r="BD102" s="122" t="str">
        <f>IF(ISTEXT(VLOOKUP(CONCATENATE($A102,"_",BD$3),'Unit List'!$A$23:$H$3172,2,FALSE)),"X",$BA102)</f>
        <v/>
      </c>
      <c r="BE102" s="125" t="str">
        <f>IF(ISTEXT(VLOOKUP(CONCATENATE($A102,"_",BE$3),'Unit List'!$A$23:$H$3172,2,FALSE)),"+","")</f>
        <v/>
      </c>
      <c r="BF102" s="75" t="str">
        <f>IF(ISTEXT(VLOOKUP(CONCATENATE($A102,"_",BF$3),'Unit List'!$A$23:$H$3172,2,FALSE)),"X",$BE102)</f>
        <v/>
      </c>
      <c r="BG102" s="122"/>
      <c r="BH102" s="65" t="s">
        <v>0</v>
      </c>
      <c r="BI102" s="139"/>
      <c r="BJ102" s="140"/>
      <c r="BK102" s="140"/>
      <c r="BL102" s="140"/>
      <c r="BM102" s="140"/>
      <c r="BN102" s="54"/>
      <c r="BO102" s="54"/>
      <c r="BP102" s="54"/>
      <c r="BQ102" s="54"/>
      <c r="BR102" s="54"/>
      <c r="BS102" s="54"/>
      <c r="DZ102" s="55"/>
      <c r="EA102" s="55"/>
    </row>
    <row r="103" spans="1:137" ht="12.75" customHeight="1" x14ac:dyDescent="0.2">
      <c r="A103" s="138" t="s">
        <v>1154</v>
      </c>
      <c r="B103" s="181" t="str">
        <f>IF(ISTEXT(VLOOKUP(CONCATENATE($A103,"_",B$3),'Unit List'!$A$23:$H$3172,2,FALSE)),"+","")</f>
        <v/>
      </c>
      <c r="C103" s="119" t="str">
        <f>IF(ISTEXT(VLOOKUP(CONCATENATE($A103,"_",C$3),'Unit List'!$A$23:$H$3172,2,FALSE)),"X",$B103)</f>
        <v/>
      </c>
      <c r="D103" s="120" t="str">
        <f>IF(ISTEXT(VLOOKUP(CONCATENATE($A103,"_",D$3),'Unit List'!$A$23:$H$3172,2,FALSE)),"X",$B103)</f>
        <v/>
      </c>
      <c r="E103" s="120" t="str">
        <f>IF(ISTEXT(VLOOKUP(CONCATENATE($A103,"_",E$3),'Unit List'!$A$23:$H$3172,2,FALSE)),"X",$B103)</f>
        <v/>
      </c>
      <c r="F103" s="120" t="str">
        <f>IF(ISTEXT(VLOOKUP(CONCATENATE($A103,"_",F$3),'Unit List'!$A$23:$H$3172,2,FALSE)),"X",$B103)</f>
        <v/>
      </c>
      <c r="G103" s="120" t="str">
        <f>IF(ISTEXT(VLOOKUP(CONCATENATE($A103,"_",G$3),'Unit List'!$A$23:$H$3172,2,FALSE)),"X",$B103)</f>
        <v/>
      </c>
      <c r="H103" s="120" t="str">
        <f>IF(ISTEXT(VLOOKUP(CONCATENATE($A103,"_",H$3),'Unit List'!$A$23:$H$3172,2,FALSE)),"X",$B103)</f>
        <v/>
      </c>
      <c r="I103" s="122" t="str">
        <f>IF(ISTEXT(VLOOKUP(CONCATENATE($A103,"_",I$3),'Unit List'!$A$23:$H$3172,2,FALSE)),"X",$B103)</f>
        <v>X</v>
      </c>
      <c r="J103" s="172" t="str">
        <f>IF(ISTEXT(VLOOKUP(CONCATENATE($A103,"_",J$3),'Unit List'!$A$23:$H$3172,2,FALSE)),"+","")</f>
        <v/>
      </c>
      <c r="K103" s="120" t="str">
        <f>IF(ISTEXT(VLOOKUP(CONCATENATE($A103,"_",K$3),'Unit List'!$A$23:$H$3172,2,FALSE)),"X",$J103)</f>
        <v/>
      </c>
      <c r="L103" s="75" t="str">
        <f>IF(ISTEXT(VLOOKUP(CONCATENATE($A103,"_",L$3),'Unit List'!$A$23:$H$3172,2,FALSE)),"X",$J103)</f>
        <v/>
      </c>
      <c r="M103" s="172" t="str">
        <f>IF(ISTEXT(VLOOKUP(CONCATENATE($A103,"_",M$3),'Unit List'!$A$23:$H$3172,2,FALSE)),"+","")</f>
        <v/>
      </c>
      <c r="N103" s="120" t="str">
        <f>IF(ISTEXT(VLOOKUP(CONCATENATE($A103,"_",N$3),'Unit List'!$A$23:$H$3172,2,FALSE)),"X",$M103)</f>
        <v/>
      </c>
      <c r="O103" s="122" t="str">
        <f>IF(ISTEXT(VLOOKUP(CONCATENATE($A103,"_",O$3),'Unit List'!$A$23:$H$3172,2,FALSE)),"X",$M103)</f>
        <v/>
      </c>
      <c r="P103" s="172" t="str">
        <f>IF(ISTEXT(VLOOKUP(CONCATENATE($A103,"_",P$3),'Unit List'!$A$23:$H$3172,2,FALSE)),"+","")</f>
        <v/>
      </c>
      <c r="Q103" s="120" t="str">
        <f>IF(ISTEXT(VLOOKUP(CONCATENATE($A103,"_",Q$3),'Unit List'!$A$23:$H$3172,2,FALSE)),"X",$P103)</f>
        <v/>
      </c>
      <c r="R103" s="120" t="str">
        <f>IF(ISTEXT(VLOOKUP(CONCATENATE($A103,"_",R$3),'Unit List'!$A$23:$H$3172,2,FALSE)),"X",$P103)</f>
        <v/>
      </c>
      <c r="S103" s="120" t="str">
        <f>IF(ISTEXT(VLOOKUP(CONCATENATE($A103,"_",S$3),'Unit List'!$A$23:$H$3172,2,FALSE)),"X",$P103)</f>
        <v/>
      </c>
      <c r="T103" s="121" t="str">
        <f>IF(ISTEXT(VLOOKUP(CONCATENATE($A103,"_",T$3),'Unit List'!$A$23:$H$3172,2,FALSE)),"X",$P103)</f>
        <v/>
      </c>
      <c r="U103" s="120" t="str">
        <f>IF(ISTEXT(VLOOKUP(CONCATENATE($A103,"_",U$3),'Unit List'!$A$23:$H$3172,2,FALSE)),"X",$P103)</f>
        <v/>
      </c>
      <c r="V103" s="120" t="str">
        <f>IF(ISTEXT(VLOOKUP(CONCATENATE($A103,"_",V$3),'Unit List'!$A$23:$H$3172,2,FALSE)),"X",$P103)</f>
        <v/>
      </c>
      <c r="W103" s="122" t="str">
        <f>IF(ISTEXT(VLOOKUP(CONCATENATE($A103,"_",W$3),'Unit List'!$A$23:$H$3172,2,FALSE)),"X",$P103)</f>
        <v/>
      </c>
      <c r="X103" s="172" t="str">
        <f>IF(ISTEXT(VLOOKUP(CONCATENATE($A103,"_",X$3),'Unit List'!$A$23:$H$3172,2,FALSE)),"+","")</f>
        <v/>
      </c>
      <c r="Y103" s="120" t="str">
        <f>IF(ISTEXT(VLOOKUP(CONCATENATE($A103,"_",Y$3),'Unit List'!$A$23:$H$3172,2,FALSE)),"X",$X103)</f>
        <v/>
      </c>
      <c r="Z103" s="120" t="str">
        <f>IF(ISTEXT(VLOOKUP(CONCATENATE($A103,"_",Z$3),'Unit List'!$A$23:$H$3172,2,FALSE)),"X",$X103)</f>
        <v/>
      </c>
      <c r="AA103" s="120" t="str">
        <f>IF(ISTEXT(VLOOKUP(CONCATENATE($A103,"_",AA$3),'Unit List'!$A$23:$H$3172,2,FALSE)),"X",$X103)</f>
        <v/>
      </c>
      <c r="AB103" s="120" t="str">
        <f>IF(ISTEXT(VLOOKUP(CONCATENATE($A103,"_",AB$3),'Unit List'!$A$23:$H$3172,2,FALSE)),"X",$X103)</f>
        <v/>
      </c>
      <c r="AC103" s="75" t="str">
        <f>IF(ISTEXT(VLOOKUP(CONCATENATE($A103,"_",AC$3),'Unit List'!$A$23:$H$3172,2,FALSE)),"X",$X103)</f>
        <v/>
      </c>
      <c r="AD103" s="172" t="str">
        <f>IF(ISTEXT(VLOOKUP(CONCATENATE($A103,"_",AD$3),'Unit List'!$A$23:$H$3172,2,FALSE)),"+","")</f>
        <v/>
      </c>
      <c r="AE103" s="120" t="str">
        <f>IF(ISTEXT(VLOOKUP(CONCATENATE($A103,"_",AE$3),'Unit List'!$A$23:$H$3172,2,FALSE)),"X",$AD103)</f>
        <v/>
      </c>
      <c r="AF103" s="120" t="str">
        <f>IF(ISTEXT(VLOOKUP(CONCATENATE($A103,"_",AF$3),'Unit List'!$A$23:$H$3172,2,FALSE)),"X",$AD103)</f>
        <v/>
      </c>
      <c r="AG103" s="172" t="str">
        <f>IF(ISTEXT(VLOOKUP(CONCATENATE($A103,"_",AG$3),'Unit List'!$A$23:$H$3172,2,FALSE)),"+","")</f>
        <v/>
      </c>
      <c r="AH103" s="120" t="str">
        <f>IF(ISTEXT(VLOOKUP(CONCATENATE($A103,"_",AH$3),'Unit List'!$A$23:$H$3172,2,FALSE)),"X",$AG103)</f>
        <v/>
      </c>
      <c r="AI103" s="120" t="str">
        <f>IF(ISTEXT(VLOOKUP(CONCATENATE($A103,"_",AI$3),'Unit List'!$A$23:$H$3172,2,FALSE)),"X",$AG103)</f>
        <v/>
      </c>
      <c r="AJ103" s="122" t="str">
        <f>IF(ISTEXT(VLOOKUP(CONCATENATE($A103,"_",AJ$3),'Unit List'!$A$23:$H$3172,2,FALSE)),"X",$AG103)</f>
        <v/>
      </c>
      <c r="AK103" s="172" t="str">
        <f>IF(ISTEXT(VLOOKUP(CONCATENATE($A103,"_",AK$3),'Unit List'!$A$23:$H$3172,2,FALSE)),"+","")</f>
        <v/>
      </c>
      <c r="AL103" s="121" t="str">
        <f>IF(ISTEXT(VLOOKUP(CONCATENATE($A103,"_",AL$3),'Unit List'!$A$23:$H$3172,2,FALSE)),"X",$AK103)</f>
        <v/>
      </c>
      <c r="AM103" s="122" t="str">
        <f>IF(ISTEXT(VLOOKUP(CONCATENATE($A103,"_",AM$3),'Unit List'!$A$23:$H$3172,2,FALSE)),"X",$AK103)</f>
        <v/>
      </c>
      <c r="AN103" s="125" t="str">
        <f>IF(ISTEXT(VLOOKUP(CONCATENATE($A103,"_",AN$3),'Unit List'!$A$23:$H$3172,2,FALSE)),"+","")</f>
        <v/>
      </c>
      <c r="AO103" s="122" t="str">
        <f>IF(ISTEXT(VLOOKUP(CONCATENATE($A103,"_",AO$3),'Unit List'!$A$23:$H$3172,2,FALSE)),"X",$AN103)</f>
        <v/>
      </c>
      <c r="AP103" s="172" t="str">
        <f>IF(ISTEXT(VLOOKUP(CONCATENATE($A103,"_",AP$3),'Unit List'!$A$23:$H$3172,2,FALSE)),"+","")</f>
        <v>+</v>
      </c>
      <c r="AQ103" s="120" t="str">
        <f>IF(ISTEXT(VLOOKUP(CONCATENATE($A103,"_",AQ$3),'Unit List'!$A$23:$H$3172,2,FALSE)),"X",$AP103)</f>
        <v>+</v>
      </c>
      <c r="AR103" s="120" t="str">
        <f>IF(ISTEXT(VLOOKUP(CONCATENATE($A103,"_",AR$3),'Unit List'!$A$23:$H$3172,2,FALSE)),"X",$AP103)</f>
        <v>+</v>
      </c>
      <c r="AS103" s="120" t="str">
        <f>IF(ISTEXT(VLOOKUP(CONCATENATE($A103,"_",AS$3),'Unit List'!$A$23:$H$3172,2,FALSE)),"X",$AP103)</f>
        <v>+</v>
      </c>
      <c r="AT103" s="122" t="str">
        <f>IF(ISTEXT(VLOOKUP(CONCATENATE($A103,"_",AT$3),'Unit List'!$A$23:$H$3172,2,FALSE)),"X",$AP103)</f>
        <v>+</v>
      </c>
      <c r="AU103" s="124" t="str">
        <f>IF(ISTEXT(VLOOKUP(CONCATENATE($A103,"_",AU$3),'Unit List'!$A$23:$H$3172,2,FALSE)),"+","")</f>
        <v>+</v>
      </c>
      <c r="AV103" s="120" t="str">
        <f>IF(ISTEXT(VLOOKUP(CONCATENATE($A103,"_",AV$3),'Unit List'!$A$23:$H$3172,2,FALSE)),"X",$AU103)</f>
        <v>+</v>
      </c>
      <c r="AW103" s="122" t="str">
        <f>IF(ISTEXT(VLOOKUP(CONCATENATE($A103,"_",AW$3),'Unit List'!$A$23:$H$3172,2,FALSE)),"X",$AU103)</f>
        <v>+</v>
      </c>
      <c r="AX103" s="172" t="str">
        <f>IF(ISTEXT(VLOOKUP(CONCATENATE($A103,"_",AX$3),'Unit List'!$A$23:$H$3172,2,FALSE)),"+","")</f>
        <v/>
      </c>
      <c r="AY103" s="120" t="str">
        <f>IF(ISTEXT(VLOOKUP(CONCATENATE($A103,"_",AY$3),'Unit List'!$A$23:$H$3172,2,FALSE)),"X",$AX103)</f>
        <v/>
      </c>
      <c r="AZ103" s="122" t="str">
        <f>IF(ISTEXT(VLOOKUP(CONCATENATE($A103,"_",AZ$3),'Unit List'!$A$23:$H$3172,2,FALSE)),"X",$AX103)</f>
        <v/>
      </c>
      <c r="BA103" s="182" t="str">
        <f>IF(ISTEXT(VLOOKUP(CONCATENATE($A103,"_",BA$3),'Unit List'!$A$23:$H$3172,2,FALSE)),"+","")</f>
        <v>+</v>
      </c>
      <c r="BB103" s="120" t="str">
        <f>IF(ISTEXT(VLOOKUP(CONCATENATE($A103,"_",BB$3),'Unit List'!$A$23:$H$3172,2,FALSE)),"X",$BA103)</f>
        <v>+</v>
      </c>
      <c r="BC103" s="120" t="str">
        <f>IF(ISTEXT(VLOOKUP(CONCATENATE($A103,"_",BC$3),'Unit List'!$A$23:$H$3172,2,FALSE)),"X",$BA103)</f>
        <v>+</v>
      </c>
      <c r="BD103" s="122" t="str">
        <f>IF(ISTEXT(VLOOKUP(CONCATENATE($A103,"_",BD$3),'Unit List'!$A$23:$H$3172,2,FALSE)),"X",$BA103)</f>
        <v>+</v>
      </c>
      <c r="BE103" s="125" t="str">
        <f>IF(ISTEXT(VLOOKUP(CONCATENATE($A103,"_",BE$3),'Unit List'!$A$23:$H$3172,2,FALSE)),"+","")</f>
        <v>+</v>
      </c>
      <c r="BF103" s="75" t="str">
        <f>IF(ISTEXT(VLOOKUP(CONCATENATE($A103,"_",BF$3),'Unit List'!$A$23:$H$3172,2,FALSE)),"X",$BE103)</f>
        <v>+</v>
      </c>
      <c r="BG103" s="122"/>
      <c r="BH103" s="84"/>
      <c r="BI103" s="143"/>
      <c r="BJ103" s="144"/>
      <c r="BK103" s="144"/>
      <c r="BL103" s="145"/>
      <c r="BM103" s="145"/>
      <c r="BN103" s="54"/>
      <c r="BO103" s="54"/>
      <c r="BP103" s="54"/>
      <c r="BQ103" s="54"/>
      <c r="BR103" s="54"/>
      <c r="BS103" s="54"/>
      <c r="DZ103" s="55"/>
      <c r="EA103" s="55"/>
    </row>
    <row r="104" spans="1:137" ht="12.75" customHeight="1" x14ac:dyDescent="0.2">
      <c r="A104" s="147" t="s">
        <v>1155</v>
      </c>
      <c r="B104" s="185" t="str">
        <f>IF(ISTEXT(VLOOKUP(CONCATENATE($A104,"_",B$3),'Unit List'!$A$23:$H$3172,2,FALSE)),"+","")</f>
        <v/>
      </c>
      <c r="C104" s="130" t="str">
        <f>IF(ISTEXT(VLOOKUP(CONCATENATE($A104,"_",C$3),'Unit List'!$A$23:$H$3172,2,FALSE)),"X",$B104)</f>
        <v/>
      </c>
      <c r="D104" s="131" t="str">
        <f>IF(ISTEXT(VLOOKUP(CONCATENATE($A104,"_",D$3),'Unit List'!$A$23:$H$3172,2,FALSE)),"X",$B104)</f>
        <v/>
      </c>
      <c r="E104" s="131" t="str">
        <f>IF(ISTEXT(VLOOKUP(CONCATENATE($A104,"_",E$3),'Unit List'!$A$23:$H$3172,2,FALSE)),"X",$B104)</f>
        <v/>
      </c>
      <c r="F104" s="131" t="str">
        <f>IF(ISTEXT(VLOOKUP(CONCATENATE($A104,"_",F$3),'Unit List'!$A$23:$H$3172,2,FALSE)),"X",$B104)</f>
        <v/>
      </c>
      <c r="G104" s="131" t="str">
        <f>IF(ISTEXT(VLOOKUP(CONCATENATE($A104,"_",G$3),'Unit List'!$A$23:$H$3172,2,FALSE)),"X",$B104)</f>
        <v/>
      </c>
      <c r="H104" s="131" t="str">
        <f>IF(ISTEXT(VLOOKUP(CONCATENATE($A104,"_",H$3),'Unit List'!$A$23:$H$3172,2,FALSE)),"X",$B104)</f>
        <v/>
      </c>
      <c r="I104" s="132" t="str">
        <f>IF(ISTEXT(VLOOKUP(CONCATENATE($A104,"_",I$3),'Unit List'!$A$23:$H$3172,2,FALSE)),"X",$B104)</f>
        <v/>
      </c>
      <c r="J104" s="172" t="str">
        <f>IF(ISTEXT(VLOOKUP(CONCATENATE($A104,"_",J$3),'Unit List'!$A$23:$H$3172,2,FALSE)),"+","")</f>
        <v/>
      </c>
      <c r="K104" s="131" t="str">
        <f>IF(ISTEXT(VLOOKUP(CONCATENATE($A104,"_",K$3),'Unit List'!$A$23:$H$3172,2,FALSE)),"X",$J104)</f>
        <v/>
      </c>
      <c r="L104" s="116" t="str">
        <f>IF(ISTEXT(VLOOKUP(CONCATENATE($A104,"_",L$3),'Unit List'!$A$23:$H$3172,2,FALSE)),"X",$J104)</f>
        <v/>
      </c>
      <c r="M104" s="173" t="str">
        <f>IF(ISTEXT(VLOOKUP(CONCATENATE($A104,"_",M$3),'Unit List'!$A$23:$H$3172,2,FALSE)),"+","")</f>
        <v/>
      </c>
      <c r="N104" s="131" t="str">
        <f>IF(ISTEXT(VLOOKUP(CONCATENATE($A104,"_",N$3),'Unit List'!$A$23:$H$3172,2,FALSE)),"X",$M104)</f>
        <v/>
      </c>
      <c r="O104" s="132" t="str">
        <f>IF(ISTEXT(VLOOKUP(CONCATENATE($A104,"_",O$3),'Unit List'!$A$23:$H$3172,2,FALSE)),"X",$M104)</f>
        <v/>
      </c>
      <c r="P104" s="173" t="str">
        <f>IF(ISTEXT(VLOOKUP(CONCATENATE($A104,"_",P$3),'Unit List'!$A$23:$H$3172,2,FALSE)),"+","")</f>
        <v/>
      </c>
      <c r="Q104" s="131" t="str">
        <f>IF(ISTEXT(VLOOKUP(CONCATENATE($A104,"_",Q$3),'Unit List'!$A$23:$H$3172,2,FALSE)),"X",$P104)</f>
        <v/>
      </c>
      <c r="R104" s="131" t="str">
        <f>IF(ISTEXT(VLOOKUP(CONCATENATE($A104,"_",R$3),'Unit List'!$A$23:$H$3172,2,FALSE)),"X",$P104)</f>
        <v/>
      </c>
      <c r="S104" s="131" t="str">
        <f>IF(ISTEXT(VLOOKUP(CONCATENATE($A104,"_",S$3),'Unit List'!$A$23:$H$3172,2,FALSE)),"X",$P104)</f>
        <v/>
      </c>
      <c r="T104" s="133" t="str">
        <f>IF(ISTEXT(VLOOKUP(CONCATENATE($A104,"_",T$3),'Unit List'!$A$23:$H$3172,2,FALSE)),"X",$P104)</f>
        <v/>
      </c>
      <c r="U104" s="131" t="str">
        <f>IF(ISTEXT(VLOOKUP(CONCATENATE($A104,"_",U$3),'Unit List'!$A$23:$H$3172,2,FALSE)),"X",$P104)</f>
        <v/>
      </c>
      <c r="V104" s="131" t="str">
        <f>IF(ISTEXT(VLOOKUP(CONCATENATE($A104,"_",V$3),'Unit List'!$A$23:$H$3172,2,FALSE)),"X",$P104)</f>
        <v/>
      </c>
      <c r="W104" s="132" t="str">
        <f>IF(ISTEXT(VLOOKUP(CONCATENATE($A104,"_",W$3),'Unit List'!$A$23:$H$3172,2,FALSE)),"X",$P104)</f>
        <v/>
      </c>
      <c r="X104" s="173" t="str">
        <f>IF(ISTEXT(VLOOKUP(CONCATENATE($A104,"_",X$3),'Unit List'!$A$23:$H$3172,2,FALSE)),"+","")</f>
        <v/>
      </c>
      <c r="Y104" s="131" t="str">
        <f>IF(ISTEXT(VLOOKUP(CONCATENATE($A104,"_",Y$3),'Unit List'!$A$23:$H$3172,2,FALSE)),"X",$X104)</f>
        <v/>
      </c>
      <c r="Z104" s="131" t="str">
        <f>IF(ISTEXT(VLOOKUP(CONCATENATE($A104,"_",Z$3),'Unit List'!$A$23:$H$3172,2,FALSE)),"X",$X104)</f>
        <v/>
      </c>
      <c r="AA104" s="131" t="str">
        <f>IF(ISTEXT(VLOOKUP(CONCATENATE($A104,"_",AA$3),'Unit List'!$A$23:$H$3172,2,FALSE)),"X",$X104)</f>
        <v/>
      </c>
      <c r="AB104" s="131" t="str">
        <f>IF(ISTEXT(VLOOKUP(CONCATENATE($A104,"_",AB$3),'Unit List'!$A$23:$H$3172,2,FALSE)),"X",$X104)</f>
        <v/>
      </c>
      <c r="AC104" s="116" t="str">
        <f>IF(ISTEXT(VLOOKUP(CONCATENATE($A104,"_",AC$3),'Unit List'!$A$23:$H$3172,2,FALSE)),"X",$X104)</f>
        <v/>
      </c>
      <c r="AD104" s="173" t="str">
        <f>IF(ISTEXT(VLOOKUP(CONCATENATE($A104,"_",AD$3),'Unit List'!$A$23:$H$3172,2,FALSE)),"+","")</f>
        <v/>
      </c>
      <c r="AE104" s="131" t="str">
        <f>IF(ISTEXT(VLOOKUP(CONCATENATE($A104,"_",AE$3),'Unit List'!$A$23:$H$3172,2,FALSE)),"X",$AD104)</f>
        <v/>
      </c>
      <c r="AF104" s="131" t="str">
        <f>IF(ISTEXT(VLOOKUP(CONCATENATE($A104,"_",AF$3),'Unit List'!$A$23:$H$3172,2,FALSE)),"X",$AD104)</f>
        <v/>
      </c>
      <c r="AG104" s="173" t="str">
        <f>IF(ISTEXT(VLOOKUP(CONCATENATE($A104,"_",AG$3),'Unit List'!$A$23:$H$3172,2,FALSE)),"+","")</f>
        <v/>
      </c>
      <c r="AH104" s="131" t="str">
        <f>IF(ISTEXT(VLOOKUP(CONCATENATE($A104,"_",AH$3),'Unit List'!$A$23:$H$3172,2,FALSE)),"X",$AG104)</f>
        <v/>
      </c>
      <c r="AI104" s="131" t="str">
        <f>IF(ISTEXT(VLOOKUP(CONCATENATE($A104,"_",AI$3),'Unit List'!$A$23:$H$3172,2,FALSE)),"X",$AG104)</f>
        <v/>
      </c>
      <c r="AJ104" s="132" t="str">
        <f>IF(ISTEXT(VLOOKUP(CONCATENATE($A104,"_",AJ$3),'Unit List'!$A$23:$H$3172,2,FALSE)),"X",$AG104)</f>
        <v/>
      </c>
      <c r="AK104" s="173" t="str">
        <f>IF(ISTEXT(VLOOKUP(CONCATENATE($A104,"_",AK$3),'Unit List'!$A$23:$H$3172,2,FALSE)),"+","")</f>
        <v/>
      </c>
      <c r="AL104" s="133" t="str">
        <f>IF(ISTEXT(VLOOKUP(CONCATENATE($A104,"_",AL$3),'Unit List'!$A$23:$H$3172,2,FALSE)),"X",$AK104)</f>
        <v/>
      </c>
      <c r="AM104" s="132" t="str">
        <f>IF(ISTEXT(VLOOKUP(CONCATENATE($A104,"_",AM$3),'Unit List'!$A$23:$H$3172,2,FALSE)),"X",$AK104)</f>
        <v/>
      </c>
      <c r="AN104" s="186" t="str">
        <f>IF(ISTEXT(VLOOKUP(CONCATENATE($A104,"_",AN$3),'Unit List'!$A$23:$H$3172,2,FALSE)),"+","")</f>
        <v/>
      </c>
      <c r="AO104" s="132" t="str">
        <f>IF(ISTEXT(VLOOKUP(CONCATENATE($A104,"_",AO$3),'Unit List'!$A$23:$H$3172,2,FALSE)),"X",$AN104)</f>
        <v/>
      </c>
      <c r="AP104" s="173" t="str">
        <f>IF(ISTEXT(VLOOKUP(CONCATENATE($A104,"_",AP$3),'Unit List'!$A$23:$H$3172,2,FALSE)),"+","")</f>
        <v/>
      </c>
      <c r="AQ104" s="131" t="str">
        <f>IF(ISTEXT(VLOOKUP(CONCATENATE($A104,"_",AQ$3),'Unit List'!$A$23:$H$3172,2,FALSE)),"X",$AP104)</f>
        <v/>
      </c>
      <c r="AR104" s="131" t="str">
        <f>IF(ISTEXT(VLOOKUP(CONCATENATE($A104,"_",AR$3),'Unit List'!$A$23:$H$3172,2,FALSE)),"X",$AP104)</f>
        <v/>
      </c>
      <c r="AS104" s="131" t="str">
        <f>IF(ISTEXT(VLOOKUP(CONCATENATE($A104,"_",AS$3),'Unit List'!$A$23:$H$3172,2,FALSE)),"X",$AP104)</f>
        <v/>
      </c>
      <c r="AT104" s="132" t="str">
        <f>IF(ISTEXT(VLOOKUP(CONCATENATE($A104,"_",AT$3),'Unit List'!$A$23:$H$3172,2,FALSE)),"X",$AP104)</f>
        <v/>
      </c>
      <c r="AU104" s="187" t="str">
        <f>IF(ISTEXT(VLOOKUP(CONCATENATE($A104,"_",AU$3),'Unit List'!$A$23:$H$3172,2,FALSE)),"+","")</f>
        <v/>
      </c>
      <c r="AV104" s="131" t="str">
        <f>IF(ISTEXT(VLOOKUP(CONCATENATE($A104,"_",AV$3),'Unit List'!$A$23:$H$3172,2,FALSE)),"X",$AU104)</f>
        <v/>
      </c>
      <c r="AW104" s="132" t="str">
        <f>IF(ISTEXT(VLOOKUP(CONCATENATE($A104,"_",AW$3),'Unit List'!$A$23:$H$3172,2,FALSE)),"X",$AU104)</f>
        <v/>
      </c>
      <c r="AX104" s="173" t="str">
        <f>IF(ISTEXT(VLOOKUP(CONCATENATE($A104,"_",AX$3),'Unit List'!$A$23:$H$3172,2,FALSE)),"+","")</f>
        <v/>
      </c>
      <c r="AY104" s="131" t="str">
        <f>IF(ISTEXT(VLOOKUP(CONCATENATE($A104,"_",AY$3),'Unit List'!$A$23:$H$3172,2,FALSE)),"X",$AX104)</f>
        <v/>
      </c>
      <c r="AZ104" s="132" t="str">
        <f>IF(ISTEXT(VLOOKUP(CONCATENATE($A104,"_",AZ$3),'Unit List'!$A$23:$H$3172,2,FALSE)),"X",$AX104)</f>
        <v/>
      </c>
      <c r="BA104" s="188" t="str">
        <f>IF(ISTEXT(VLOOKUP(CONCATENATE($A104,"_",BA$3),'Unit List'!$A$23:$H$3172,2,FALSE)),"+","")</f>
        <v/>
      </c>
      <c r="BB104" s="131" t="str">
        <f>IF(ISTEXT(VLOOKUP(CONCATENATE($A104,"_",BB$3),'Unit List'!$A$23:$H$3172,2,FALSE)),"X",$BA104)</f>
        <v/>
      </c>
      <c r="BC104" s="131" t="str">
        <f>IF(ISTEXT(VLOOKUP(CONCATENATE($A104,"_",BC$3),'Unit List'!$A$23:$H$3172,2,FALSE)),"X",$BA104)</f>
        <v/>
      </c>
      <c r="BD104" s="132" t="str">
        <f>IF(ISTEXT(VLOOKUP(CONCATENATE($A104,"_",BD$3),'Unit List'!$A$23:$H$3172,2,FALSE)),"X",$BA104)</f>
        <v/>
      </c>
      <c r="BE104" s="186" t="str">
        <f>IF(ISTEXT(VLOOKUP(CONCATENATE($A104,"_",BE$3),'Unit List'!$A$23:$H$3172,2,FALSE)),"+","")</f>
        <v/>
      </c>
      <c r="BF104" s="116" t="str">
        <f>IF(ISTEXT(VLOOKUP(CONCATENATE($A104,"_",BF$3),'Unit List'!$A$23:$H$3172,2,FALSE)),"X",$BE104)</f>
        <v/>
      </c>
      <c r="BG104" s="132"/>
      <c r="BH104" s="117"/>
      <c r="BI104" s="143"/>
      <c r="BJ104" s="144"/>
      <c r="BK104" s="144"/>
      <c r="BL104" s="145"/>
      <c r="BM104" s="145"/>
      <c r="BN104" s="54"/>
      <c r="BO104" s="54"/>
      <c r="BP104" s="54"/>
      <c r="BQ104" s="54"/>
      <c r="BR104" s="54"/>
      <c r="BS104" s="54"/>
      <c r="DZ104" s="55"/>
      <c r="EA104" s="55"/>
    </row>
    <row r="105" spans="1:137" x14ac:dyDescent="0.25">
      <c r="C105" s="148"/>
      <c r="F105" s="54"/>
      <c r="G105" s="54"/>
      <c r="H105" s="54"/>
      <c r="J105" s="54"/>
      <c r="K105" s="54"/>
      <c r="L105" s="54"/>
      <c r="O105" s="54"/>
      <c r="Q105" s="54"/>
      <c r="Z105" s="54"/>
      <c r="AA105" s="54"/>
      <c r="AC105" s="54"/>
      <c r="AD105" s="54"/>
      <c r="AG105" s="54"/>
      <c r="AI105" s="54"/>
      <c r="AJ105" s="54"/>
      <c r="AS105" s="54"/>
      <c r="BC105" s="54"/>
      <c r="BF105" s="54"/>
      <c r="BK105" s="54"/>
      <c r="BY105" s="54"/>
      <c r="BZ105" s="54"/>
      <c r="CG105" s="54"/>
      <c r="CH105" s="54"/>
      <c r="CK105" s="54"/>
      <c r="CN105" s="54"/>
      <c r="CP105" s="54"/>
      <c r="CS105" s="54"/>
      <c r="CU105" s="54"/>
      <c r="CY105" s="54"/>
      <c r="CZ105" s="54"/>
      <c r="DA105" s="54"/>
      <c r="DB105" s="54"/>
      <c r="DC105" s="54"/>
      <c r="DD105" s="54"/>
      <c r="DE105" s="54"/>
      <c r="DF105" s="54"/>
      <c r="DG105" s="54"/>
      <c r="DH105" s="54"/>
      <c r="DI105" s="54"/>
      <c r="DJ105" s="54"/>
      <c r="DK105" s="54"/>
      <c r="DL105" s="54"/>
      <c r="DM105" s="54"/>
      <c r="DN105" s="54"/>
      <c r="DO105" s="54"/>
      <c r="DP105" s="54"/>
      <c r="DR105" s="54"/>
      <c r="DS105" s="54"/>
      <c r="DT105" s="54"/>
      <c r="DU105" s="54"/>
      <c r="DV105" s="54"/>
      <c r="DY105" s="54"/>
      <c r="DZ105" s="127"/>
      <c r="EA105" s="127"/>
      <c r="EB105" s="54"/>
      <c r="EC105" s="54"/>
      <c r="ED105" s="54"/>
      <c r="EE105" s="54"/>
      <c r="EF105" s="54"/>
      <c r="EG105" s="54"/>
    </row>
    <row r="106" spans="1:137" x14ac:dyDescent="0.25">
      <c r="C106" s="148"/>
      <c r="F106" s="54"/>
      <c r="G106" s="54"/>
      <c r="H106" s="54"/>
      <c r="J106" s="54"/>
      <c r="K106" s="54"/>
      <c r="L106" s="54"/>
      <c r="O106" s="54"/>
      <c r="Q106" s="54"/>
      <c r="Z106" s="54"/>
      <c r="AA106" s="54"/>
      <c r="AC106" s="54"/>
      <c r="AD106" s="54"/>
      <c r="AG106" s="54"/>
      <c r="AI106" s="54"/>
      <c r="AJ106" s="54"/>
      <c r="AS106" s="54"/>
      <c r="BC106" s="54"/>
      <c r="BF106" s="54"/>
      <c r="BK106" s="54"/>
      <c r="BY106" s="54"/>
      <c r="BZ106" s="54"/>
      <c r="CG106" s="54"/>
      <c r="CH106" s="54"/>
      <c r="CK106" s="54"/>
      <c r="CN106" s="54"/>
      <c r="CP106" s="54"/>
      <c r="CS106" s="54"/>
      <c r="CU106" s="54"/>
      <c r="CY106" s="54"/>
      <c r="CZ106" s="54"/>
      <c r="DA106" s="54"/>
      <c r="DB106" s="54"/>
      <c r="DC106" s="54"/>
      <c r="DD106" s="54"/>
      <c r="DE106" s="54"/>
      <c r="DF106" s="54"/>
      <c r="DG106" s="54"/>
      <c r="DH106" s="54"/>
      <c r="DI106" s="54"/>
      <c r="DJ106" s="54"/>
      <c r="DK106" s="54"/>
      <c r="DL106" s="54"/>
      <c r="DM106" s="54"/>
      <c r="DN106" s="54"/>
      <c r="DO106" s="54"/>
      <c r="DP106" s="54"/>
      <c r="DR106" s="54"/>
      <c r="DS106" s="54"/>
      <c r="DT106" s="54"/>
      <c r="DU106" s="54"/>
      <c r="DV106" s="54"/>
      <c r="DY106" s="54"/>
      <c r="DZ106" s="127"/>
      <c r="EA106" s="127"/>
      <c r="EB106" s="54"/>
      <c r="EC106" s="54"/>
      <c r="ED106" s="54"/>
      <c r="EE106" s="54"/>
      <c r="EF106" s="54"/>
      <c r="EG106" s="54"/>
    </row>
    <row r="107" spans="1:137" x14ac:dyDescent="0.25">
      <c r="C107" s="148"/>
      <c r="F107" s="54"/>
      <c r="G107" s="54"/>
      <c r="H107" s="54"/>
      <c r="J107" s="54"/>
      <c r="K107" s="54"/>
      <c r="L107" s="54"/>
      <c r="O107" s="54"/>
      <c r="Q107" s="54"/>
      <c r="Z107" s="54"/>
      <c r="AA107" s="54"/>
      <c r="AC107" s="54"/>
      <c r="AD107" s="54"/>
      <c r="AG107" s="54"/>
      <c r="AI107" s="54"/>
      <c r="AJ107" s="54"/>
      <c r="AS107" s="54"/>
      <c r="BC107" s="54"/>
      <c r="BF107" s="54"/>
      <c r="BK107" s="54"/>
      <c r="BY107" s="54"/>
      <c r="BZ107" s="54"/>
      <c r="CG107" s="54"/>
      <c r="CH107" s="54"/>
      <c r="CK107" s="54"/>
      <c r="CN107" s="54"/>
      <c r="CP107" s="54"/>
      <c r="CS107" s="54"/>
      <c r="CU107" s="54"/>
      <c r="CY107" s="54"/>
      <c r="CZ107" s="54"/>
      <c r="DA107" s="54"/>
      <c r="DB107" s="54"/>
      <c r="DC107" s="54"/>
      <c r="DD107" s="54"/>
      <c r="DE107" s="54"/>
      <c r="DF107" s="54"/>
      <c r="DG107" s="54"/>
      <c r="DH107" s="54"/>
      <c r="DI107" s="54"/>
      <c r="DJ107" s="54"/>
      <c r="DK107" s="54"/>
      <c r="DL107" s="54"/>
      <c r="DM107" s="54"/>
      <c r="DN107" s="54"/>
      <c r="DO107" s="54"/>
      <c r="DP107" s="54"/>
      <c r="DR107" s="54"/>
      <c r="DS107" s="54"/>
      <c r="DT107" s="54"/>
      <c r="DU107" s="54"/>
      <c r="DV107" s="54"/>
      <c r="DY107" s="54"/>
      <c r="DZ107" s="127"/>
      <c r="EA107" s="127"/>
      <c r="EB107" s="54"/>
      <c r="EC107" s="54"/>
      <c r="ED107" s="54"/>
      <c r="EE107" s="54"/>
      <c r="EF107" s="54"/>
      <c r="EG107" s="54"/>
    </row>
    <row r="108" spans="1:137" x14ac:dyDescent="0.25">
      <c r="C108" s="148"/>
      <c r="F108" s="54"/>
      <c r="G108" s="54"/>
      <c r="H108" s="54"/>
      <c r="J108" s="54"/>
      <c r="K108" s="54"/>
      <c r="L108" s="54"/>
      <c r="O108" s="54"/>
      <c r="Q108" s="54"/>
      <c r="Z108" s="54"/>
      <c r="AA108" s="54"/>
      <c r="AC108" s="54"/>
      <c r="AD108" s="54"/>
      <c r="AG108" s="54"/>
      <c r="AI108" s="54"/>
      <c r="AJ108" s="54"/>
      <c r="AS108" s="54"/>
      <c r="BC108" s="54"/>
      <c r="BF108" s="54"/>
      <c r="BK108" s="54"/>
      <c r="BY108" s="54"/>
      <c r="BZ108" s="54"/>
      <c r="CG108" s="54"/>
      <c r="CH108" s="54"/>
      <c r="CK108" s="54"/>
      <c r="CN108" s="54"/>
      <c r="CP108" s="54"/>
      <c r="CS108" s="54"/>
      <c r="CU108" s="54"/>
      <c r="CY108" s="54"/>
      <c r="CZ108" s="54"/>
      <c r="DA108" s="54"/>
      <c r="DB108" s="54"/>
      <c r="DC108" s="54"/>
      <c r="DD108" s="54"/>
      <c r="DE108" s="54"/>
      <c r="DF108" s="54"/>
      <c r="DG108" s="54"/>
      <c r="DH108" s="54"/>
      <c r="DI108" s="54"/>
      <c r="DJ108" s="54"/>
      <c r="DK108" s="54"/>
      <c r="DL108" s="54"/>
      <c r="DM108" s="54"/>
      <c r="DN108" s="54"/>
      <c r="DO108" s="54"/>
      <c r="DP108" s="54"/>
      <c r="DR108" s="54"/>
      <c r="DS108" s="54"/>
      <c r="DT108" s="54"/>
      <c r="DU108" s="54"/>
      <c r="DV108" s="54"/>
      <c r="DY108" s="54"/>
      <c r="DZ108" s="127"/>
      <c r="EA108" s="127"/>
      <c r="EB108" s="54"/>
      <c r="EC108" s="54"/>
      <c r="ED108" s="54"/>
      <c r="EE108" s="54"/>
      <c r="EF108" s="54"/>
      <c r="EG108" s="54"/>
    </row>
    <row r="109" spans="1:137" x14ac:dyDescent="0.25">
      <c r="C109" s="148"/>
      <c r="F109" s="54"/>
      <c r="G109" s="54"/>
      <c r="H109" s="54"/>
      <c r="J109" s="54"/>
      <c r="K109" s="54"/>
      <c r="L109" s="54"/>
      <c r="O109" s="54"/>
      <c r="Q109" s="54"/>
      <c r="Z109" s="54"/>
      <c r="AA109" s="54"/>
      <c r="AC109" s="54"/>
      <c r="AD109" s="54"/>
      <c r="AG109" s="54"/>
      <c r="AI109" s="54"/>
      <c r="AJ109" s="54"/>
      <c r="AS109" s="54"/>
      <c r="BC109" s="54"/>
      <c r="BF109" s="54"/>
      <c r="BK109" s="54"/>
      <c r="BY109" s="54"/>
      <c r="BZ109" s="54"/>
      <c r="CG109" s="54"/>
      <c r="CH109" s="54"/>
      <c r="CK109" s="54"/>
      <c r="CN109" s="54"/>
      <c r="CP109" s="54"/>
      <c r="CS109" s="54"/>
      <c r="CU109" s="54"/>
      <c r="CY109" s="54"/>
      <c r="CZ109" s="54"/>
      <c r="DA109" s="54"/>
      <c r="DB109" s="54"/>
      <c r="DC109" s="54"/>
      <c r="DD109" s="54"/>
      <c r="DE109" s="54"/>
      <c r="DF109" s="54"/>
      <c r="DG109" s="54"/>
      <c r="DH109" s="54"/>
      <c r="DI109" s="54"/>
      <c r="DJ109" s="54"/>
      <c r="DK109" s="54"/>
      <c r="DL109" s="54"/>
      <c r="DM109" s="54"/>
      <c r="DN109" s="54"/>
      <c r="DO109" s="54"/>
      <c r="DP109" s="54"/>
      <c r="DR109" s="54"/>
      <c r="DS109" s="54"/>
      <c r="DT109" s="54"/>
      <c r="DU109" s="54"/>
      <c r="DV109" s="54"/>
      <c r="DY109" s="54"/>
      <c r="DZ109" s="127"/>
      <c r="EA109" s="127"/>
      <c r="EB109" s="54"/>
      <c r="EC109" s="54"/>
      <c r="ED109" s="54"/>
      <c r="EE109" s="54"/>
      <c r="EF109" s="54"/>
      <c r="EG109" s="54"/>
    </row>
    <row r="110" spans="1:137" x14ac:dyDescent="0.25">
      <c r="C110" s="148"/>
      <c r="F110" s="54"/>
      <c r="G110" s="54"/>
      <c r="H110" s="54"/>
      <c r="J110" s="54"/>
      <c r="K110" s="54"/>
      <c r="L110" s="54"/>
      <c r="O110" s="54"/>
      <c r="Q110" s="54"/>
      <c r="Z110" s="54"/>
      <c r="AA110" s="54"/>
      <c r="AC110" s="54"/>
      <c r="AD110" s="54"/>
      <c r="AG110" s="54"/>
      <c r="AI110" s="54"/>
      <c r="AJ110" s="54"/>
      <c r="AS110" s="54"/>
      <c r="BC110" s="54"/>
      <c r="BF110" s="54"/>
      <c r="BK110" s="54"/>
      <c r="BY110" s="54"/>
      <c r="BZ110" s="54"/>
      <c r="CG110" s="54"/>
      <c r="CH110" s="54"/>
      <c r="CK110" s="54"/>
      <c r="CN110" s="54"/>
      <c r="CP110" s="54"/>
      <c r="CS110" s="54"/>
      <c r="CU110" s="54"/>
      <c r="CY110" s="54"/>
      <c r="CZ110" s="54"/>
      <c r="DA110" s="54"/>
      <c r="DB110" s="54"/>
      <c r="DC110" s="54"/>
      <c r="DD110" s="54"/>
      <c r="DE110" s="54"/>
      <c r="DF110" s="54"/>
      <c r="DG110" s="54"/>
      <c r="DH110" s="54"/>
      <c r="DI110" s="54"/>
      <c r="DJ110" s="54"/>
      <c r="DK110" s="54"/>
      <c r="DL110" s="54"/>
      <c r="DM110" s="54"/>
      <c r="DN110" s="54"/>
      <c r="DO110" s="54"/>
      <c r="DP110" s="54"/>
      <c r="DR110" s="54"/>
      <c r="DS110" s="54"/>
      <c r="DT110" s="54"/>
      <c r="DU110" s="54"/>
      <c r="DV110" s="54"/>
      <c r="DY110" s="54"/>
      <c r="DZ110" s="127"/>
      <c r="EA110" s="127"/>
      <c r="EB110" s="54"/>
      <c r="EC110" s="54"/>
      <c r="ED110" s="54"/>
      <c r="EE110" s="54"/>
      <c r="EF110" s="54"/>
      <c r="EG110" s="54"/>
    </row>
    <row r="111" spans="1:137" x14ac:dyDescent="0.25">
      <c r="C111" s="148"/>
      <c r="F111" s="54"/>
      <c r="G111" s="54"/>
      <c r="H111" s="54"/>
      <c r="J111" s="54"/>
      <c r="K111" s="54"/>
      <c r="L111" s="54"/>
      <c r="O111" s="54"/>
      <c r="Q111" s="54"/>
      <c r="Z111" s="54"/>
      <c r="AA111" s="54"/>
      <c r="AC111" s="54"/>
      <c r="AD111" s="54"/>
      <c r="AG111" s="54"/>
      <c r="AI111" s="54"/>
      <c r="AJ111" s="54"/>
      <c r="AS111" s="54"/>
      <c r="BC111" s="54"/>
      <c r="BF111" s="54"/>
      <c r="BK111" s="54"/>
      <c r="BY111" s="54"/>
      <c r="BZ111" s="54"/>
      <c r="CG111" s="54"/>
      <c r="CH111" s="54"/>
      <c r="CK111" s="54"/>
      <c r="CN111" s="54"/>
      <c r="CP111" s="54"/>
      <c r="CS111" s="54"/>
      <c r="CU111" s="54"/>
      <c r="CY111" s="54"/>
      <c r="CZ111" s="54"/>
      <c r="DA111" s="54"/>
      <c r="DB111" s="54"/>
      <c r="DC111" s="54"/>
      <c r="DD111" s="54"/>
      <c r="DE111" s="54"/>
      <c r="DF111" s="54"/>
      <c r="DG111" s="54"/>
      <c r="DH111" s="54"/>
      <c r="DI111" s="54"/>
      <c r="DJ111" s="54"/>
      <c r="DK111" s="54"/>
      <c r="DL111" s="54"/>
      <c r="DM111" s="54"/>
      <c r="DN111" s="54"/>
      <c r="DO111" s="54"/>
      <c r="DP111" s="54"/>
      <c r="DR111" s="54"/>
      <c r="DS111" s="54"/>
      <c r="DT111" s="54"/>
      <c r="DU111" s="54"/>
      <c r="DV111" s="54"/>
      <c r="DY111" s="54"/>
      <c r="DZ111" s="127"/>
      <c r="EA111" s="127"/>
      <c r="EB111" s="54"/>
      <c r="EC111" s="54"/>
      <c r="ED111" s="54"/>
      <c r="EE111" s="54"/>
      <c r="EF111" s="54"/>
      <c r="EG111" s="54"/>
    </row>
    <row r="112" spans="1:137" x14ac:dyDescent="0.25">
      <c r="C112" s="148"/>
      <c r="F112" s="54"/>
      <c r="G112" s="54"/>
      <c r="H112" s="54"/>
      <c r="J112" s="54"/>
      <c r="K112" s="54"/>
      <c r="L112" s="54"/>
      <c r="O112" s="54"/>
      <c r="Q112" s="54"/>
      <c r="Z112" s="54"/>
      <c r="AA112" s="54"/>
      <c r="AC112" s="54"/>
      <c r="AD112" s="54"/>
      <c r="AG112" s="54"/>
      <c r="AI112" s="54"/>
      <c r="AJ112" s="54"/>
      <c r="AS112" s="54"/>
      <c r="BC112" s="54"/>
      <c r="BF112" s="54"/>
      <c r="BK112" s="54"/>
      <c r="BY112" s="54"/>
      <c r="BZ112" s="54"/>
      <c r="CG112" s="54"/>
      <c r="CH112" s="54"/>
      <c r="CK112" s="54"/>
      <c r="CN112" s="54"/>
      <c r="CP112" s="54"/>
      <c r="CS112" s="54"/>
      <c r="CU112" s="54"/>
      <c r="CY112" s="54"/>
      <c r="CZ112" s="54"/>
      <c r="DA112" s="54"/>
      <c r="DB112" s="54"/>
      <c r="DC112" s="54"/>
      <c r="DD112" s="54"/>
      <c r="DE112" s="54"/>
      <c r="DF112" s="54"/>
      <c r="DG112" s="54"/>
      <c r="DH112" s="54"/>
      <c r="DI112" s="54"/>
      <c r="DJ112" s="54"/>
      <c r="DK112" s="54"/>
      <c r="DL112" s="54"/>
      <c r="DM112" s="54"/>
      <c r="DN112" s="54"/>
      <c r="DO112" s="54"/>
      <c r="DP112" s="54"/>
      <c r="DR112" s="54"/>
      <c r="DS112" s="54"/>
      <c r="DT112" s="54"/>
      <c r="DU112" s="54"/>
      <c r="DV112" s="54"/>
      <c r="DY112" s="54"/>
      <c r="DZ112" s="127"/>
      <c r="EA112" s="127"/>
      <c r="EB112" s="54"/>
      <c r="EC112" s="54"/>
      <c r="ED112" s="54"/>
      <c r="EE112" s="54"/>
      <c r="EF112" s="54"/>
      <c r="EG112" s="54"/>
    </row>
    <row r="113" spans="3:137" x14ac:dyDescent="0.25">
      <c r="C113" s="148"/>
      <c r="F113" s="54"/>
      <c r="G113" s="54"/>
      <c r="H113" s="54"/>
      <c r="J113" s="54"/>
      <c r="K113" s="54"/>
      <c r="L113" s="54"/>
      <c r="O113" s="54"/>
      <c r="Q113" s="54"/>
      <c r="Z113" s="54"/>
      <c r="AA113" s="54"/>
      <c r="AC113" s="54"/>
      <c r="AD113" s="54"/>
      <c r="AG113" s="54"/>
      <c r="AI113" s="54"/>
      <c r="AJ113" s="54"/>
      <c r="AS113" s="54"/>
      <c r="BC113" s="54"/>
      <c r="BF113" s="54"/>
      <c r="BK113" s="54"/>
      <c r="BY113" s="54"/>
      <c r="BZ113" s="54"/>
      <c r="CG113" s="54"/>
      <c r="CH113" s="54"/>
      <c r="CK113" s="54"/>
      <c r="CN113" s="54"/>
      <c r="CP113" s="54"/>
      <c r="CS113" s="54"/>
      <c r="CU113" s="54"/>
      <c r="CY113" s="54"/>
      <c r="CZ113" s="54"/>
      <c r="DA113" s="54"/>
      <c r="DB113" s="54"/>
      <c r="DC113" s="54"/>
      <c r="DD113" s="54"/>
      <c r="DE113" s="54"/>
      <c r="DF113" s="54"/>
      <c r="DG113" s="54"/>
      <c r="DH113" s="54"/>
      <c r="DI113" s="54"/>
      <c r="DJ113" s="54"/>
      <c r="DK113" s="54"/>
      <c r="DL113" s="54"/>
      <c r="DM113" s="54"/>
      <c r="DN113" s="54"/>
      <c r="DO113" s="54"/>
      <c r="DP113" s="54"/>
      <c r="DR113" s="54"/>
      <c r="DS113" s="54"/>
      <c r="DT113" s="54"/>
      <c r="DU113" s="54"/>
      <c r="DV113" s="54"/>
      <c r="DY113" s="54"/>
      <c r="DZ113" s="127"/>
      <c r="EA113" s="127"/>
      <c r="EB113" s="54"/>
      <c r="EC113" s="54"/>
      <c r="ED113" s="54"/>
      <c r="EE113" s="54"/>
      <c r="EF113" s="54"/>
      <c r="EG113" s="54"/>
    </row>
    <row r="114" spans="3:137" x14ac:dyDescent="0.25">
      <c r="C114" s="148"/>
      <c r="F114" s="54"/>
      <c r="G114" s="54"/>
      <c r="H114" s="54"/>
      <c r="J114" s="54"/>
      <c r="K114" s="54"/>
      <c r="L114" s="54"/>
      <c r="O114" s="54"/>
      <c r="Q114" s="54"/>
      <c r="Z114" s="54"/>
      <c r="AA114" s="54"/>
      <c r="AC114" s="54"/>
      <c r="AD114" s="54"/>
      <c r="AG114" s="54"/>
      <c r="AI114" s="54"/>
      <c r="AJ114" s="54"/>
      <c r="AS114" s="54"/>
      <c r="BC114" s="54"/>
      <c r="BF114" s="54"/>
      <c r="BK114" s="54"/>
      <c r="BY114" s="54"/>
      <c r="BZ114" s="54"/>
      <c r="CG114" s="54"/>
      <c r="CH114" s="54"/>
      <c r="CK114" s="54"/>
      <c r="CN114" s="54"/>
      <c r="CP114" s="54"/>
      <c r="CS114" s="54"/>
      <c r="CU114" s="54"/>
      <c r="CY114" s="54"/>
      <c r="CZ114" s="54"/>
      <c r="DA114" s="54"/>
      <c r="DB114" s="54"/>
      <c r="DC114" s="54"/>
      <c r="DD114" s="54"/>
      <c r="DE114" s="54"/>
      <c r="DF114" s="54"/>
      <c r="DG114" s="54"/>
      <c r="DH114" s="54"/>
      <c r="DI114" s="54"/>
      <c r="DJ114" s="54"/>
      <c r="DK114" s="54"/>
      <c r="DL114" s="54"/>
      <c r="DM114" s="54"/>
      <c r="DN114" s="54"/>
      <c r="DO114" s="54"/>
      <c r="DP114" s="54"/>
      <c r="DR114" s="54"/>
      <c r="DS114" s="54"/>
      <c r="DT114" s="54"/>
      <c r="DU114" s="54"/>
      <c r="DV114" s="54"/>
      <c r="DY114" s="54"/>
      <c r="DZ114" s="127"/>
      <c r="EA114" s="127"/>
      <c r="EB114" s="54"/>
      <c r="EC114" s="54"/>
      <c r="ED114" s="54"/>
      <c r="EE114" s="54"/>
      <c r="EF114" s="54"/>
      <c r="EG114" s="54"/>
    </row>
    <row r="115" spans="3:137" x14ac:dyDescent="0.25">
      <c r="C115" s="148"/>
      <c r="F115" s="54"/>
      <c r="G115" s="54"/>
      <c r="H115" s="54"/>
      <c r="J115" s="54"/>
      <c r="K115" s="54"/>
      <c r="L115" s="54"/>
      <c r="O115" s="54"/>
      <c r="Q115" s="54"/>
      <c r="Z115" s="54"/>
      <c r="AA115" s="54"/>
      <c r="AC115" s="54"/>
      <c r="AD115" s="54"/>
      <c r="AG115" s="54"/>
      <c r="AI115" s="54"/>
      <c r="AJ115" s="54"/>
      <c r="AS115" s="54"/>
      <c r="BC115" s="54"/>
      <c r="BF115" s="54"/>
      <c r="BK115" s="54"/>
      <c r="BY115" s="54"/>
      <c r="BZ115" s="54"/>
      <c r="CG115" s="54"/>
      <c r="CH115" s="54"/>
      <c r="CK115" s="54"/>
      <c r="CN115" s="54"/>
      <c r="CP115" s="54"/>
      <c r="CS115" s="54"/>
      <c r="CU115" s="54"/>
      <c r="CY115" s="54"/>
      <c r="CZ115" s="54"/>
      <c r="DA115" s="54"/>
      <c r="DB115" s="54"/>
      <c r="DC115" s="54"/>
      <c r="DD115" s="54"/>
      <c r="DE115" s="54"/>
      <c r="DF115" s="54"/>
      <c r="DG115" s="54"/>
      <c r="DH115" s="54"/>
      <c r="DI115" s="54"/>
      <c r="DJ115" s="54"/>
      <c r="DK115" s="54"/>
      <c r="DL115" s="54"/>
      <c r="DM115" s="54"/>
      <c r="DN115" s="54"/>
      <c r="DO115" s="54"/>
      <c r="DP115" s="54"/>
      <c r="DR115" s="54"/>
      <c r="DS115" s="54"/>
      <c r="DT115" s="54"/>
      <c r="DU115" s="54"/>
      <c r="DV115" s="54"/>
      <c r="DY115" s="54"/>
      <c r="DZ115" s="127"/>
      <c r="EA115" s="127"/>
      <c r="EB115" s="54"/>
      <c r="EC115" s="54"/>
      <c r="ED115" s="54"/>
      <c r="EE115" s="54"/>
      <c r="EF115" s="54"/>
      <c r="EG115" s="54"/>
    </row>
    <row r="116" spans="3:137" x14ac:dyDescent="0.25">
      <c r="C116" s="148"/>
      <c r="F116" s="54"/>
      <c r="G116" s="54"/>
      <c r="H116" s="54"/>
      <c r="J116" s="54"/>
      <c r="K116" s="54"/>
      <c r="L116" s="54"/>
      <c r="O116" s="54"/>
      <c r="Q116" s="54"/>
      <c r="Z116" s="54"/>
      <c r="AA116" s="54"/>
      <c r="AC116" s="54"/>
      <c r="AD116" s="54"/>
      <c r="AG116" s="54"/>
      <c r="AI116" s="54"/>
      <c r="AJ116" s="54"/>
      <c r="AS116" s="54"/>
      <c r="BC116" s="54"/>
      <c r="BF116" s="54"/>
      <c r="BK116" s="54"/>
      <c r="BY116" s="54"/>
      <c r="BZ116" s="54"/>
      <c r="CG116" s="54"/>
      <c r="CH116" s="54"/>
      <c r="CK116" s="54"/>
      <c r="CN116" s="54"/>
      <c r="CP116" s="54"/>
      <c r="CS116" s="54"/>
      <c r="CU116" s="54"/>
      <c r="CY116" s="54"/>
      <c r="CZ116" s="54"/>
      <c r="DA116" s="54"/>
      <c r="DB116" s="54"/>
      <c r="DC116" s="54"/>
      <c r="DD116" s="54"/>
      <c r="DE116" s="54"/>
      <c r="DF116" s="54"/>
      <c r="DG116" s="54"/>
      <c r="DH116" s="54"/>
      <c r="DI116" s="54"/>
      <c r="DJ116" s="54"/>
      <c r="DK116" s="54"/>
      <c r="DL116" s="54"/>
      <c r="DM116" s="54"/>
      <c r="DN116" s="54"/>
      <c r="DO116" s="54"/>
      <c r="DP116" s="54"/>
      <c r="DR116" s="54"/>
      <c r="DS116" s="54"/>
      <c r="DT116" s="54"/>
      <c r="DU116" s="54"/>
      <c r="DV116" s="54"/>
      <c r="DY116" s="54"/>
      <c r="DZ116" s="127"/>
      <c r="EA116" s="127"/>
      <c r="EB116" s="54"/>
      <c r="EC116" s="54"/>
      <c r="ED116" s="54"/>
      <c r="EE116" s="54"/>
      <c r="EF116" s="54"/>
      <c r="EG116" s="54"/>
    </row>
    <row r="117" spans="3:137" x14ac:dyDescent="0.25">
      <c r="C117" s="148"/>
      <c r="F117" s="54"/>
      <c r="G117" s="54"/>
      <c r="H117" s="54"/>
      <c r="J117" s="54"/>
      <c r="K117" s="54"/>
      <c r="L117" s="54"/>
      <c r="O117" s="54"/>
      <c r="Q117" s="54"/>
      <c r="Z117" s="54"/>
      <c r="AA117" s="54"/>
      <c r="AC117" s="54"/>
      <c r="AD117" s="54"/>
      <c r="AG117" s="54"/>
      <c r="AI117" s="54"/>
      <c r="AJ117" s="54"/>
      <c r="AS117" s="54"/>
      <c r="BC117" s="54"/>
      <c r="BF117" s="54"/>
      <c r="BK117" s="54"/>
      <c r="BY117" s="54"/>
      <c r="BZ117" s="54"/>
      <c r="CG117" s="54"/>
      <c r="CH117" s="54"/>
      <c r="CK117" s="54"/>
      <c r="CN117" s="54"/>
      <c r="CP117" s="54"/>
      <c r="CS117" s="54"/>
      <c r="CU117" s="54"/>
      <c r="CY117" s="54"/>
      <c r="CZ117" s="54"/>
      <c r="DA117" s="54"/>
      <c r="DB117" s="54"/>
      <c r="DC117" s="54"/>
      <c r="DD117" s="54"/>
      <c r="DE117" s="54"/>
      <c r="DF117" s="54"/>
      <c r="DG117" s="54"/>
      <c r="DH117" s="54"/>
      <c r="DI117" s="54"/>
      <c r="DJ117" s="54"/>
      <c r="DK117" s="54"/>
      <c r="DL117" s="54"/>
      <c r="DM117" s="54"/>
      <c r="DN117" s="54"/>
      <c r="DO117" s="54"/>
      <c r="DP117" s="54"/>
      <c r="DR117" s="54"/>
      <c r="DS117" s="54"/>
      <c r="DT117" s="54"/>
      <c r="DU117" s="54"/>
      <c r="DV117" s="54"/>
      <c r="DY117" s="54"/>
      <c r="DZ117" s="127"/>
      <c r="EA117" s="127"/>
      <c r="EB117" s="54"/>
      <c r="EC117" s="54"/>
      <c r="ED117" s="54"/>
      <c r="EE117" s="54"/>
      <c r="EF117" s="54"/>
      <c r="EG117" s="54"/>
    </row>
    <row r="118" spans="3:137" x14ac:dyDescent="0.25">
      <c r="C118" s="148"/>
      <c r="F118" s="54"/>
      <c r="G118" s="54"/>
      <c r="H118" s="54"/>
      <c r="J118" s="54"/>
      <c r="K118" s="54"/>
      <c r="L118" s="54"/>
      <c r="O118" s="54"/>
      <c r="Q118" s="54"/>
      <c r="Z118" s="54"/>
      <c r="AA118" s="54"/>
      <c r="AC118" s="54"/>
      <c r="AD118" s="54"/>
      <c r="AG118" s="54"/>
      <c r="AI118" s="54"/>
      <c r="AJ118" s="54"/>
      <c r="AS118" s="54"/>
      <c r="BC118" s="54"/>
      <c r="BF118" s="54"/>
      <c r="BK118" s="54"/>
      <c r="BY118" s="54"/>
      <c r="BZ118" s="54"/>
      <c r="CG118" s="54"/>
      <c r="CH118" s="54"/>
      <c r="CK118" s="54"/>
      <c r="CN118" s="54"/>
      <c r="CP118" s="54"/>
      <c r="CS118" s="54"/>
      <c r="CU118" s="54"/>
      <c r="CY118" s="54"/>
      <c r="CZ118" s="54"/>
      <c r="DA118" s="54"/>
      <c r="DB118" s="54"/>
      <c r="DC118" s="54"/>
      <c r="DD118" s="54"/>
      <c r="DE118" s="54"/>
      <c r="DF118" s="54"/>
      <c r="DG118" s="54"/>
      <c r="DH118" s="54"/>
      <c r="DI118" s="54"/>
      <c r="DJ118" s="54"/>
      <c r="DK118" s="54"/>
      <c r="DL118" s="54"/>
      <c r="DM118" s="54"/>
      <c r="DN118" s="54"/>
      <c r="DO118" s="54"/>
      <c r="DP118" s="54"/>
      <c r="DR118" s="54"/>
      <c r="DS118" s="54"/>
      <c r="DT118" s="54"/>
      <c r="DU118" s="54"/>
      <c r="DV118" s="54"/>
      <c r="DY118" s="54"/>
      <c r="DZ118" s="127"/>
      <c r="EA118" s="127"/>
      <c r="EB118" s="54"/>
      <c r="EC118" s="54"/>
      <c r="ED118" s="54"/>
      <c r="EE118" s="54"/>
      <c r="EF118" s="54"/>
      <c r="EG118" s="54"/>
    </row>
    <row r="119" spans="3:137" x14ac:dyDescent="0.25">
      <c r="C119" s="148"/>
      <c r="F119" s="54"/>
      <c r="G119" s="54"/>
      <c r="H119" s="54"/>
      <c r="J119" s="54"/>
      <c r="K119" s="54"/>
      <c r="L119" s="54"/>
      <c r="O119" s="54"/>
      <c r="Q119" s="54"/>
      <c r="Z119" s="54"/>
      <c r="AA119" s="54"/>
      <c r="AC119" s="54"/>
      <c r="AD119" s="54"/>
      <c r="AG119" s="54"/>
      <c r="AI119" s="54"/>
      <c r="AJ119" s="54"/>
      <c r="AS119" s="54"/>
      <c r="BC119" s="54"/>
      <c r="BF119" s="54"/>
      <c r="BK119" s="54"/>
      <c r="BY119" s="54"/>
      <c r="BZ119" s="54"/>
      <c r="CG119" s="54"/>
      <c r="CH119" s="54"/>
      <c r="CK119" s="54"/>
      <c r="CN119" s="54"/>
      <c r="CP119" s="54"/>
      <c r="CS119" s="54"/>
      <c r="CU119" s="54"/>
      <c r="CY119" s="54"/>
      <c r="CZ119" s="54"/>
      <c r="DA119" s="54"/>
      <c r="DB119" s="54"/>
      <c r="DC119" s="54"/>
      <c r="DD119" s="54"/>
      <c r="DE119" s="54"/>
      <c r="DF119" s="54"/>
      <c r="DG119" s="54"/>
      <c r="DH119" s="54"/>
      <c r="DI119" s="54"/>
      <c r="DJ119" s="54"/>
      <c r="DK119" s="54"/>
      <c r="DL119" s="54"/>
      <c r="DM119" s="54"/>
      <c r="DN119" s="54"/>
      <c r="DO119" s="54"/>
      <c r="DP119" s="54"/>
      <c r="DR119" s="54"/>
      <c r="DS119" s="54"/>
      <c r="DT119" s="54"/>
      <c r="DU119" s="54"/>
      <c r="DV119" s="54"/>
      <c r="DY119" s="54"/>
      <c r="DZ119" s="127"/>
      <c r="EA119" s="127"/>
      <c r="EB119" s="54"/>
      <c r="EC119" s="54"/>
      <c r="ED119" s="54"/>
      <c r="EE119" s="54"/>
      <c r="EF119" s="54"/>
      <c r="EG119" s="54"/>
    </row>
    <row r="120" spans="3:137" x14ac:dyDescent="0.25">
      <c r="C120" s="148"/>
      <c r="F120" s="54"/>
      <c r="G120" s="54"/>
      <c r="H120" s="54"/>
      <c r="J120" s="54"/>
      <c r="K120" s="54"/>
      <c r="L120" s="54"/>
      <c r="O120" s="54"/>
      <c r="Q120" s="54"/>
      <c r="Z120" s="54"/>
      <c r="AA120" s="54"/>
      <c r="AC120" s="54"/>
      <c r="AD120" s="54"/>
      <c r="AG120" s="54"/>
      <c r="AI120" s="54"/>
      <c r="AJ120" s="54"/>
      <c r="AS120" s="54"/>
      <c r="BC120" s="54"/>
      <c r="BF120" s="54"/>
      <c r="BK120" s="54"/>
      <c r="BY120" s="54"/>
      <c r="BZ120" s="54"/>
      <c r="CG120" s="54"/>
      <c r="CH120" s="54"/>
      <c r="CK120" s="54"/>
      <c r="CN120" s="54"/>
      <c r="CP120" s="54"/>
      <c r="CS120" s="54"/>
      <c r="CU120" s="54"/>
      <c r="CY120" s="54"/>
      <c r="CZ120" s="54"/>
      <c r="DA120" s="54"/>
      <c r="DB120" s="54"/>
      <c r="DC120" s="54"/>
      <c r="DD120" s="54"/>
      <c r="DE120" s="54"/>
      <c r="DF120" s="54"/>
      <c r="DG120" s="54"/>
      <c r="DH120" s="54"/>
      <c r="DI120" s="54"/>
      <c r="DJ120" s="54"/>
      <c r="DK120" s="54"/>
      <c r="DL120" s="54"/>
      <c r="DM120" s="54"/>
      <c r="DN120" s="54"/>
      <c r="DO120" s="54"/>
      <c r="DP120" s="54"/>
      <c r="DR120" s="54"/>
      <c r="DS120" s="54"/>
      <c r="DT120" s="54"/>
      <c r="DU120" s="54"/>
      <c r="DV120" s="54"/>
      <c r="DY120" s="54"/>
      <c r="DZ120" s="127"/>
      <c r="EA120" s="127"/>
      <c r="EB120" s="54"/>
      <c r="EC120" s="54"/>
      <c r="ED120" s="54"/>
      <c r="EE120" s="54"/>
      <c r="EF120" s="54"/>
      <c r="EG120" s="54"/>
    </row>
    <row r="121" spans="3:137" x14ac:dyDescent="0.25">
      <c r="C121" s="148"/>
      <c r="F121" s="54"/>
      <c r="G121" s="54"/>
      <c r="H121" s="54"/>
      <c r="J121" s="54"/>
      <c r="K121" s="54"/>
      <c r="L121" s="54"/>
      <c r="O121" s="54"/>
      <c r="Q121" s="54"/>
      <c r="Z121" s="54"/>
      <c r="AA121" s="54"/>
      <c r="AC121" s="54"/>
      <c r="AD121" s="54"/>
      <c r="AG121" s="54"/>
      <c r="AI121" s="54"/>
      <c r="AJ121" s="54"/>
      <c r="AS121" s="54"/>
      <c r="BC121" s="54"/>
      <c r="BF121" s="54"/>
      <c r="BK121" s="54"/>
      <c r="BY121" s="54"/>
      <c r="BZ121" s="54"/>
      <c r="CG121" s="54"/>
      <c r="CH121" s="54"/>
      <c r="CK121" s="54"/>
      <c r="CN121" s="54"/>
      <c r="CP121" s="54"/>
      <c r="CS121" s="54"/>
      <c r="CU121" s="54"/>
      <c r="CY121" s="54"/>
      <c r="CZ121" s="54"/>
      <c r="DA121" s="54"/>
      <c r="DB121" s="54"/>
      <c r="DC121" s="54"/>
      <c r="DD121" s="54"/>
      <c r="DE121" s="54"/>
      <c r="DF121" s="54"/>
      <c r="DG121" s="54"/>
      <c r="DH121" s="54"/>
      <c r="DI121" s="54"/>
      <c r="DJ121" s="54"/>
      <c r="DK121" s="54"/>
      <c r="DL121" s="54"/>
      <c r="DM121" s="54"/>
      <c r="DN121" s="54"/>
      <c r="DO121" s="54"/>
      <c r="DP121" s="54"/>
      <c r="DR121" s="54"/>
      <c r="DS121" s="54"/>
      <c r="DT121" s="54"/>
      <c r="DU121" s="54"/>
      <c r="DV121" s="54"/>
      <c r="DY121" s="54"/>
      <c r="DZ121" s="127"/>
      <c r="EA121" s="127"/>
      <c r="EB121" s="54"/>
      <c r="EC121" s="54"/>
      <c r="ED121" s="54"/>
      <c r="EE121" s="54"/>
      <c r="EF121" s="54"/>
      <c r="EG121" s="54"/>
    </row>
    <row r="122" spans="3:137" x14ac:dyDescent="0.25">
      <c r="C122" s="148"/>
      <c r="F122" s="54"/>
      <c r="G122" s="54"/>
      <c r="H122" s="54"/>
      <c r="J122" s="54"/>
      <c r="K122" s="54"/>
      <c r="L122" s="54"/>
      <c r="O122" s="54"/>
      <c r="Q122" s="54"/>
      <c r="Z122" s="54"/>
      <c r="AA122" s="54"/>
      <c r="AC122" s="54"/>
      <c r="AD122" s="54"/>
      <c r="AG122" s="54"/>
      <c r="AI122" s="54"/>
      <c r="AJ122" s="54"/>
      <c r="AS122" s="54"/>
      <c r="BC122" s="54"/>
      <c r="BF122" s="54"/>
      <c r="BK122" s="54"/>
      <c r="BY122" s="54"/>
      <c r="BZ122" s="54"/>
      <c r="CG122" s="54"/>
      <c r="CH122" s="54"/>
      <c r="CK122" s="54"/>
      <c r="CN122" s="54"/>
      <c r="CP122" s="54"/>
      <c r="CS122" s="54"/>
      <c r="CU122" s="54"/>
      <c r="CY122" s="54"/>
      <c r="CZ122" s="54"/>
      <c r="DA122" s="54"/>
      <c r="DB122" s="54"/>
      <c r="DC122" s="54"/>
      <c r="DD122" s="54"/>
      <c r="DE122" s="54"/>
      <c r="DF122" s="54"/>
      <c r="DG122" s="54"/>
      <c r="DH122" s="54"/>
      <c r="DI122" s="54"/>
      <c r="DJ122" s="54"/>
      <c r="DK122" s="54"/>
      <c r="DL122" s="54"/>
      <c r="DM122" s="54"/>
      <c r="DN122" s="54"/>
      <c r="DO122" s="54"/>
      <c r="DP122" s="54"/>
      <c r="DR122" s="54"/>
      <c r="DS122" s="54"/>
      <c r="DT122" s="54"/>
      <c r="DU122" s="54"/>
      <c r="DV122" s="54"/>
      <c r="DY122" s="54"/>
      <c r="DZ122" s="127"/>
      <c r="EA122" s="127"/>
      <c r="EB122" s="54"/>
      <c r="EC122" s="54"/>
      <c r="ED122" s="54"/>
      <c r="EE122" s="54"/>
      <c r="EF122" s="54"/>
      <c r="EG122" s="54"/>
    </row>
    <row r="123" spans="3:137" x14ac:dyDescent="0.25">
      <c r="C123" s="148"/>
      <c r="F123" s="54"/>
      <c r="G123" s="54"/>
      <c r="H123" s="54"/>
      <c r="J123" s="54"/>
      <c r="K123" s="54"/>
      <c r="L123" s="54"/>
      <c r="O123" s="54"/>
      <c r="Q123" s="54"/>
      <c r="Z123" s="54"/>
      <c r="AA123" s="54"/>
      <c r="AC123" s="54"/>
      <c r="AD123" s="54"/>
      <c r="AG123" s="54"/>
      <c r="AI123" s="54"/>
      <c r="AJ123" s="54"/>
      <c r="AS123" s="54"/>
      <c r="BC123" s="54"/>
      <c r="BF123" s="54"/>
      <c r="BK123" s="54"/>
      <c r="BY123" s="54"/>
      <c r="BZ123" s="54"/>
      <c r="CG123" s="54"/>
      <c r="CH123" s="54"/>
      <c r="CK123" s="54"/>
      <c r="CN123" s="54"/>
      <c r="CP123" s="54"/>
      <c r="CS123" s="54"/>
      <c r="CU123" s="54"/>
      <c r="CY123" s="54"/>
      <c r="CZ123" s="54"/>
      <c r="DA123" s="54"/>
      <c r="DB123" s="54"/>
      <c r="DC123" s="54"/>
      <c r="DD123" s="54"/>
      <c r="DE123" s="54"/>
      <c r="DF123" s="54"/>
      <c r="DG123" s="54"/>
      <c r="DH123" s="54"/>
      <c r="DI123" s="54"/>
      <c r="DJ123" s="54"/>
      <c r="DK123" s="54"/>
      <c r="DL123" s="54"/>
      <c r="DM123" s="54"/>
      <c r="DN123" s="54"/>
      <c r="DO123" s="54"/>
      <c r="DP123" s="54"/>
      <c r="DR123" s="54"/>
      <c r="DS123" s="54"/>
      <c r="DT123" s="54"/>
      <c r="DU123" s="54"/>
      <c r="DV123" s="54"/>
      <c r="DY123" s="54"/>
      <c r="DZ123" s="127"/>
      <c r="EA123" s="127"/>
      <c r="EB123" s="54"/>
      <c r="EC123" s="54"/>
      <c r="ED123" s="54"/>
      <c r="EE123" s="54"/>
      <c r="EF123" s="54"/>
      <c r="EG123" s="54"/>
    </row>
    <row r="124" spans="3:137" x14ac:dyDescent="0.25">
      <c r="C124" s="148"/>
      <c r="F124" s="54"/>
      <c r="G124" s="54"/>
      <c r="H124" s="54"/>
      <c r="J124" s="54"/>
      <c r="K124" s="54"/>
      <c r="L124" s="54"/>
      <c r="O124" s="54"/>
      <c r="Q124" s="54"/>
      <c r="Z124" s="54"/>
      <c r="AA124" s="54"/>
      <c r="AC124" s="54"/>
      <c r="AD124" s="54"/>
      <c r="AG124" s="54"/>
      <c r="AI124" s="54"/>
      <c r="AJ124" s="54"/>
      <c r="AS124" s="54"/>
      <c r="BC124" s="54"/>
      <c r="BF124" s="54"/>
      <c r="BK124" s="54"/>
      <c r="BY124" s="54"/>
      <c r="BZ124" s="54"/>
      <c r="CG124" s="54"/>
      <c r="CH124" s="54"/>
      <c r="CK124" s="54"/>
      <c r="CN124" s="54"/>
      <c r="CP124" s="54"/>
      <c r="CS124" s="54"/>
      <c r="CU124" s="54"/>
      <c r="CY124" s="54"/>
      <c r="CZ124" s="54"/>
      <c r="DA124" s="54"/>
      <c r="DB124" s="54"/>
      <c r="DC124" s="54"/>
      <c r="DD124" s="54"/>
      <c r="DE124" s="54"/>
      <c r="DF124" s="54"/>
      <c r="DG124" s="54"/>
      <c r="DH124" s="54"/>
      <c r="DI124" s="54"/>
      <c r="DJ124" s="54"/>
      <c r="DK124" s="54"/>
      <c r="DL124" s="54"/>
      <c r="DM124" s="54"/>
      <c r="DN124" s="54"/>
      <c r="DO124" s="54"/>
      <c r="DP124" s="54"/>
      <c r="DR124" s="54"/>
      <c r="DS124" s="54"/>
      <c r="DT124" s="54"/>
      <c r="DU124" s="54"/>
      <c r="DV124" s="54"/>
      <c r="DY124" s="54"/>
      <c r="DZ124" s="127"/>
      <c r="EA124" s="127"/>
      <c r="EB124" s="54"/>
      <c r="EC124" s="54"/>
      <c r="ED124" s="54"/>
      <c r="EE124" s="54"/>
      <c r="EF124" s="54"/>
      <c r="EG124" s="54"/>
    </row>
    <row r="125" spans="3:137" x14ac:dyDescent="0.25">
      <c r="C125" s="148"/>
      <c r="F125" s="54"/>
      <c r="G125" s="54"/>
      <c r="H125" s="54"/>
      <c r="J125" s="54"/>
      <c r="K125" s="54"/>
      <c r="L125" s="54"/>
      <c r="O125" s="54"/>
      <c r="Q125" s="54"/>
      <c r="Z125" s="54"/>
      <c r="AA125" s="54"/>
      <c r="AC125" s="54"/>
      <c r="AD125" s="54"/>
      <c r="AG125" s="54"/>
      <c r="AI125" s="54"/>
      <c r="AJ125" s="54"/>
      <c r="AS125" s="54"/>
      <c r="BC125" s="54"/>
      <c r="BF125" s="54"/>
      <c r="BK125" s="54"/>
      <c r="BY125" s="54"/>
      <c r="BZ125" s="54"/>
      <c r="CG125" s="54"/>
      <c r="CH125" s="54"/>
      <c r="CK125" s="54"/>
      <c r="CN125" s="54"/>
      <c r="CP125" s="54"/>
      <c r="CS125" s="54"/>
      <c r="CU125" s="54"/>
      <c r="CY125" s="54"/>
      <c r="CZ125" s="54"/>
      <c r="DA125" s="54"/>
      <c r="DB125" s="54"/>
      <c r="DC125" s="54"/>
      <c r="DD125" s="54"/>
      <c r="DE125" s="54"/>
      <c r="DF125" s="54"/>
      <c r="DG125" s="54"/>
      <c r="DH125" s="54"/>
      <c r="DI125" s="54"/>
      <c r="DJ125" s="54"/>
      <c r="DK125" s="54"/>
      <c r="DL125" s="54"/>
      <c r="DM125" s="54"/>
      <c r="DN125" s="54"/>
      <c r="DO125" s="54"/>
      <c r="DP125" s="54"/>
      <c r="DR125" s="54"/>
      <c r="DS125" s="54"/>
      <c r="DT125" s="54"/>
      <c r="DU125" s="54"/>
      <c r="DV125" s="54"/>
      <c r="DY125" s="54"/>
      <c r="DZ125" s="127"/>
      <c r="EA125" s="127"/>
      <c r="EB125" s="54"/>
      <c r="EC125" s="54"/>
      <c r="ED125" s="54"/>
      <c r="EE125" s="54"/>
      <c r="EF125" s="54"/>
      <c r="EG125" s="54"/>
    </row>
    <row r="126" spans="3:137" x14ac:dyDescent="0.25">
      <c r="C126" s="148"/>
      <c r="F126" s="54"/>
      <c r="G126" s="54"/>
      <c r="H126" s="54"/>
      <c r="J126" s="54"/>
      <c r="K126" s="54"/>
      <c r="L126" s="54"/>
      <c r="O126" s="54"/>
      <c r="Q126" s="54"/>
      <c r="Z126" s="54"/>
      <c r="AA126" s="54"/>
      <c r="AC126" s="54"/>
      <c r="AD126" s="54"/>
      <c r="AG126" s="54"/>
      <c r="AI126" s="54"/>
      <c r="AJ126" s="54"/>
      <c r="AS126" s="54"/>
      <c r="BC126" s="54"/>
      <c r="BF126" s="54"/>
      <c r="BK126" s="54"/>
      <c r="BY126" s="54"/>
      <c r="BZ126" s="54"/>
      <c r="CG126" s="54"/>
      <c r="CH126" s="54"/>
      <c r="CK126" s="54"/>
      <c r="CN126" s="54"/>
      <c r="CP126" s="54"/>
      <c r="CS126" s="54"/>
      <c r="CU126" s="54"/>
      <c r="CY126" s="54"/>
      <c r="CZ126" s="54"/>
      <c r="DA126" s="54"/>
      <c r="DB126" s="54"/>
      <c r="DC126" s="54"/>
      <c r="DD126" s="54"/>
      <c r="DE126" s="54"/>
      <c r="DF126" s="54"/>
      <c r="DG126" s="54"/>
      <c r="DH126" s="54"/>
      <c r="DI126" s="54"/>
      <c r="DJ126" s="54"/>
      <c r="DK126" s="54"/>
      <c r="DL126" s="54"/>
      <c r="DM126" s="54"/>
      <c r="DN126" s="54"/>
      <c r="DO126" s="54"/>
      <c r="DP126" s="54"/>
      <c r="DR126" s="54"/>
      <c r="DS126" s="54"/>
      <c r="DT126" s="54"/>
      <c r="DU126" s="54"/>
      <c r="DV126" s="54"/>
      <c r="DY126" s="54"/>
      <c r="DZ126" s="127"/>
      <c r="EA126" s="127"/>
      <c r="EB126" s="54"/>
      <c r="EC126" s="54"/>
      <c r="ED126" s="54"/>
      <c r="EE126" s="54"/>
      <c r="EF126" s="54"/>
      <c r="EG126" s="54"/>
    </row>
    <row r="127" spans="3:137" x14ac:dyDescent="0.25">
      <c r="C127" s="148"/>
      <c r="F127" s="54"/>
      <c r="G127" s="54"/>
      <c r="H127" s="54"/>
      <c r="J127" s="54"/>
      <c r="K127" s="54"/>
      <c r="L127" s="54"/>
      <c r="O127" s="54"/>
      <c r="Q127" s="54"/>
      <c r="Z127" s="54"/>
      <c r="AA127" s="54"/>
      <c r="AC127" s="54"/>
      <c r="AD127" s="54"/>
      <c r="AG127" s="54"/>
      <c r="AI127" s="54"/>
      <c r="AJ127" s="54"/>
      <c r="AS127" s="54"/>
      <c r="BC127" s="54"/>
      <c r="BF127" s="54"/>
      <c r="BK127" s="54"/>
      <c r="BY127" s="54"/>
      <c r="BZ127" s="54"/>
      <c r="CG127" s="54"/>
      <c r="CH127" s="54"/>
      <c r="CK127" s="54"/>
      <c r="CN127" s="54"/>
      <c r="CP127" s="54"/>
      <c r="CS127" s="54"/>
      <c r="CU127" s="54"/>
      <c r="CY127" s="54"/>
      <c r="CZ127" s="54"/>
      <c r="DA127" s="54"/>
      <c r="DB127" s="54"/>
      <c r="DC127" s="54"/>
      <c r="DD127" s="54"/>
      <c r="DE127" s="54"/>
      <c r="DF127" s="54"/>
      <c r="DG127" s="54"/>
      <c r="DH127" s="54"/>
      <c r="DI127" s="54"/>
      <c r="DJ127" s="54"/>
      <c r="DK127" s="54"/>
      <c r="DL127" s="54"/>
      <c r="DM127" s="54"/>
      <c r="DN127" s="54"/>
      <c r="DO127" s="54"/>
      <c r="DP127" s="54"/>
      <c r="DR127" s="54"/>
      <c r="DS127" s="54"/>
      <c r="DT127" s="54"/>
      <c r="DU127" s="54"/>
      <c r="DV127" s="54"/>
      <c r="DY127" s="54"/>
      <c r="DZ127" s="127"/>
      <c r="EA127" s="127"/>
      <c r="EB127" s="54"/>
      <c r="EC127" s="54"/>
      <c r="ED127" s="54"/>
      <c r="EE127" s="54"/>
      <c r="EF127" s="54"/>
      <c r="EG127" s="54"/>
    </row>
    <row r="128" spans="3:137" x14ac:dyDescent="0.25">
      <c r="C128" s="148"/>
      <c r="F128" s="54"/>
      <c r="G128" s="54"/>
      <c r="H128" s="54"/>
      <c r="J128" s="54"/>
      <c r="K128" s="54"/>
      <c r="L128" s="54"/>
      <c r="O128" s="54"/>
      <c r="Q128" s="54"/>
      <c r="Z128" s="54"/>
      <c r="AA128" s="54"/>
      <c r="AC128" s="54"/>
      <c r="AD128" s="54"/>
      <c r="AG128" s="54"/>
      <c r="AI128" s="54"/>
      <c r="AJ128" s="54"/>
      <c r="AS128" s="54"/>
      <c r="BC128" s="54"/>
      <c r="BF128" s="54"/>
      <c r="BK128" s="54"/>
      <c r="BY128" s="54"/>
      <c r="BZ128" s="54"/>
      <c r="CG128" s="54"/>
      <c r="CH128" s="54"/>
      <c r="CK128" s="54"/>
      <c r="CN128" s="54"/>
      <c r="CP128" s="54"/>
      <c r="CS128" s="54"/>
      <c r="CU128" s="54"/>
      <c r="CY128" s="54"/>
      <c r="CZ128" s="54"/>
      <c r="DA128" s="54"/>
      <c r="DB128" s="54"/>
      <c r="DC128" s="54"/>
      <c r="DD128" s="54"/>
      <c r="DE128" s="54"/>
      <c r="DF128" s="54"/>
      <c r="DG128" s="54"/>
      <c r="DH128" s="54"/>
      <c r="DI128" s="54"/>
      <c r="DJ128" s="54"/>
      <c r="DK128" s="54"/>
      <c r="DL128" s="54"/>
      <c r="DM128" s="54"/>
      <c r="DN128" s="54"/>
      <c r="DO128" s="54"/>
      <c r="DP128" s="54"/>
      <c r="DR128" s="54"/>
      <c r="DS128" s="54"/>
      <c r="DT128" s="54"/>
      <c r="DU128" s="54"/>
      <c r="DV128" s="54"/>
      <c r="DY128" s="54"/>
      <c r="DZ128" s="127"/>
      <c r="EA128" s="127"/>
      <c r="EB128" s="54"/>
      <c r="EC128" s="54"/>
      <c r="ED128" s="54"/>
      <c r="EE128" s="54"/>
      <c r="EF128" s="54"/>
      <c r="EG128" s="54"/>
    </row>
    <row r="129" spans="3:137" x14ac:dyDescent="0.25">
      <c r="C129" s="148"/>
      <c r="F129" s="54"/>
      <c r="G129" s="54"/>
      <c r="H129" s="54"/>
      <c r="J129" s="54"/>
      <c r="K129" s="54"/>
      <c r="L129" s="54"/>
      <c r="O129" s="54"/>
      <c r="Q129" s="54"/>
      <c r="Z129" s="54"/>
      <c r="AA129" s="54"/>
      <c r="AC129" s="54"/>
      <c r="AD129" s="54"/>
      <c r="AG129" s="54"/>
      <c r="AI129" s="54"/>
      <c r="AJ129" s="54"/>
      <c r="AS129" s="54"/>
      <c r="BC129" s="54"/>
      <c r="BF129" s="54"/>
      <c r="BK129" s="54"/>
      <c r="BY129" s="54"/>
      <c r="BZ129" s="54"/>
      <c r="CG129" s="54"/>
      <c r="CH129" s="54"/>
      <c r="CK129" s="54"/>
      <c r="CN129" s="54"/>
      <c r="CP129" s="54"/>
      <c r="CS129" s="54"/>
      <c r="CU129" s="54"/>
      <c r="CY129" s="54"/>
      <c r="CZ129" s="54"/>
      <c r="DA129" s="54"/>
      <c r="DB129" s="54"/>
      <c r="DC129" s="54"/>
      <c r="DD129" s="54"/>
      <c r="DE129" s="54"/>
      <c r="DF129" s="54"/>
      <c r="DG129" s="54"/>
      <c r="DH129" s="54"/>
      <c r="DI129" s="54"/>
      <c r="DJ129" s="54"/>
      <c r="DK129" s="54"/>
      <c r="DL129" s="54"/>
      <c r="DM129" s="54"/>
      <c r="DN129" s="54"/>
      <c r="DO129" s="54"/>
      <c r="DP129" s="54"/>
      <c r="DR129" s="54"/>
      <c r="DS129" s="54"/>
      <c r="DT129" s="54"/>
      <c r="DU129" s="54"/>
      <c r="DV129" s="54"/>
      <c r="DY129" s="54"/>
      <c r="DZ129" s="127"/>
      <c r="EA129" s="127"/>
      <c r="EB129" s="54"/>
      <c r="EC129" s="54"/>
      <c r="ED129" s="54"/>
      <c r="EE129" s="54"/>
      <c r="EF129" s="54"/>
      <c r="EG129" s="54"/>
    </row>
    <row r="130" spans="3:137" x14ac:dyDescent="0.25">
      <c r="C130" s="148"/>
      <c r="F130" s="54"/>
      <c r="G130" s="54"/>
      <c r="H130" s="54"/>
      <c r="J130" s="54"/>
      <c r="K130" s="54"/>
      <c r="L130" s="54"/>
      <c r="O130" s="54"/>
      <c r="Q130" s="54"/>
      <c r="Z130" s="54"/>
      <c r="AA130" s="54"/>
      <c r="AC130" s="54"/>
      <c r="AD130" s="54"/>
      <c r="AG130" s="54"/>
      <c r="AI130" s="54"/>
      <c r="AJ130" s="54"/>
      <c r="AS130" s="54"/>
      <c r="BC130" s="54"/>
      <c r="BF130" s="54"/>
      <c r="BK130" s="54"/>
      <c r="BY130" s="54"/>
      <c r="BZ130" s="54"/>
      <c r="CG130" s="54"/>
      <c r="CH130" s="54"/>
      <c r="CK130" s="54"/>
      <c r="CN130" s="54"/>
      <c r="CP130" s="54"/>
      <c r="CS130" s="54"/>
      <c r="CU130" s="54"/>
      <c r="CY130" s="54"/>
      <c r="CZ130" s="54"/>
      <c r="DA130" s="54"/>
      <c r="DB130" s="54"/>
      <c r="DC130" s="54"/>
      <c r="DD130" s="54"/>
      <c r="DE130" s="54"/>
      <c r="DF130" s="54"/>
      <c r="DG130" s="54"/>
      <c r="DH130" s="54"/>
      <c r="DI130" s="54"/>
      <c r="DJ130" s="54"/>
      <c r="DK130" s="54"/>
      <c r="DL130" s="54"/>
      <c r="DM130" s="54"/>
      <c r="DN130" s="54"/>
      <c r="DO130" s="54"/>
      <c r="DP130" s="54"/>
      <c r="DR130" s="54"/>
      <c r="DS130" s="54"/>
      <c r="DT130" s="54"/>
      <c r="DU130" s="54"/>
      <c r="DV130" s="54"/>
      <c r="DY130" s="54"/>
      <c r="DZ130" s="127"/>
      <c r="EA130" s="127"/>
      <c r="EB130" s="54"/>
      <c r="EC130" s="54"/>
      <c r="ED130" s="54"/>
      <c r="EE130" s="54"/>
      <c r="EF130" s="54"/>
      <c r="EG130" s="54"/>
    </row>
    <row r="131" spans="3:137" x14ac:dyDescent="0.25">
      <c r="C131" s="148"/>
      <c r="F131" s="54"/>
      <c r="G131" s="54"/>
      <c r="H131" s="54"/>
      <c r="J131" s="54"/>
      <c r="K131" s="54"/>
      <c r="L131" s="54"/>
      <c r="O131" s="54"/>
      <c r="Q131" s="54"/>
      <c r="Z131" s="54"/>
      <c r="AA131" s="54"/>
      <c r="AC131" s="54"/>
      <c r="AD131" s="54"/>
      <c r="AG131" s="54"/>
      <c r="AI131" s="54"/>
      <c r="AJ131" s="54"/>
      <c r="AS131" s="54"/>
      <c r="BC131" s="54"/>
      <c r="BF131" s="54"/>
      <c r="BK131" s="54"/>
      <c r="BY131" s="54"/>
      <c r="BZ131" s="54"/>
      <c r="CG131" s="54"/>
      <c r="CH131" s="54"/>
      <c r="CK131" s="54"/>
      <c r="CN131" s="54"/>
      <c r="CP131" s="54"/>
      <c r="CS131" s="54"/>
      <c r="CU131" s="54"/>
      <c r="CY131" s="54"/>
      <c r="CZ131" s="54"/>
      <c r="DA131" s="54"/>
      <c r="DB131" s="54"/>
      <c r="DC131" s="54"/>
      <c r="DD131" s="54"/>
      <c r="DE131" s="54"/>
      <c r="DF131" s="54"/>
      <c r="DG131" s="54"/>
      <c r="DH131" s="54"/>
      <c r="DI131" s="54"/>
      <c r="DJ131" s="54"/>
      <c r="DK131" s="54"/>
      <c r="DL131" s="54"/>
      <c r="DM131" s="54"/>
      <c r="DN131" s="54"/>
      <c r="DO131" s="54"/>
      <c r="DP131" s="54"/>
      <c r="DR131" s="54"/>
      <c r="DS131" s="54"/>
      <c r="DT131" s="54"/>
      <c r="DU131" s="54"/>
      <c r="DV131" s="54"/>
      <c r="DY131" s="54"/>
      <c r="DZ131" s="127"/>
      <c r="EA131" s="127"/>
      <c r="EB131" s="54"/>
      <c r="EC131" s="54"/>
      <c r="ED131" s="54"/>
      <c r="EE131" s="54"/>
      <c r="EF131" s="54"/>
      <c r="EG131" s="54"/>
    </row>
    <row r="132" spans="3:137" x14ac:dyDescent="0.25">
      <c r="C132" s="148"/>
      <c r="F132" s="54"/>
      <c r="G132" s="54"/>
      <c r="H132" s="54"/>
      <c r="J132" s="54"/>
      <c r="K132" s="54"/>
      <c r="L132" s="54"/>
      <c r="O132" s="54"/>
      <c r="Q132" s="54"/>
      <c r="Z132" s="54"/>
      <c r="AA132" s="54"/>
      <c r="AC132" s="54"/>
      <c r="AD132" s="54"/>
      <c r="AG132" s="54"/>
      <c r="AI132" s="54"/>
      <c r="AJ132" s="54"/>
      <c r="AS132" s="54"/>
      <c r="BC132" s="54"/>
      <c r="BF132" s="54"/>
      <c r="BK132" s="54"/>
      <c r="BY132" s="54"/>
      <c r="BZ132" s="54"/>
      <c r="CG132" s="54"/>
      <c r="CH132" s="54"/>
      <c r="CK132" s="54"/>
      <c r="CN132" s="54"/>
      <c r="CP132" s="54"/>
      <c r="CS132" s="54"/>
      <c r="CU132" s="54"/>
      <c r="CY132" s="54"/>
      <c r="CZ132" s="54"/>
      <c r="DA132" s="54"/>
      <c r="DB132" s="54"/>
      <c r="DC132" s="54"/>
      <c r="DD132" s="54"/>
      <c r="DE132" s="54"/>
      <c r="DF132" s="54"/>
      <c r="DG132" s="54"/>
      <c r="DH132" s="54"/>
      <c r="DI132" s="54"/>
      <c r="DJ132" s="54"/>
      <c r="DK132" s="54"/>
      <c r="DL132" s="54"/>
      <c r="DM132" s="54"/>
      <c r="DN132" s="54"/>
      <c r="DO132" s="54"/>
      <c r="DP132" s="54"/>
      <c r="DR132" s="54"/>
      <c r="DS132" s="54"/>
      <c r="DT132" s="54"/>
      <c r="DU132" s="54"/>
      <c r="DV132" s="54"/>
      <c r="DY132" s="54"/>
      <c r="DZ132" s="127"/>
      <c r="EA132" s="127"/>
      <c r="EB132" s="54"/>
      <c r="EC132" s="54"/>
      <c r="ED132" s="54"/>
      <c r="EE132" s="54"/>
      <c r="EF132" s="54"/>
      <c r="EG132" s="54"/>
    </row>
    <row r="133" spans="3:137" x14ac:dyDescent="0.25">
      <c r="C133" s="148"/>
      <c r="F133" s="54"/>
      <c r="G133" s="54"/>
      <c r="H133" s="54"/>
      <c r="J133" s="54"/>
      <c r="K133" s="54"/>
      <c r="L133" s="54"/>
      <c r="O133" s="54"/>
      <c r="Q133" s="54"/>
      <c r="Z133" s="54"/>
      <c r="AA133" s="54"/>
      <c r="AC133" s="54"/>
      <c r="AD133" s="54"/>
      <c r="AG133" s="54"/>
      <c r="AI133" s="54"/>
      <c r="AJ133" s="54"/>
      <c r="AS133" s="54"/>
      <c r="BC133" s="54"/>
      <c r="BF133" s="54"/>
      <c r="BK133" s="54"/>
      <c r="BY133" s="54"/>
      <c r="BZ133" s="54"/>
      <c r="CG133" s="54"/>
      <c r="CH133" s="54"/>
      <c r="CK133" s="54"/>
      <c r="CN133" s="54"/>
      <c r="CP133" s="54"/>
      <c r="CS133" s="54"/>
      <c r="CU133" s="54"/>
      <c r="CY133" s="54"/>
      <c r="CZ133" s="54"/>
      <c r="DA133" s="54"/>
      <c r="DB133" s="54"/>
      <c r="DC133" s="54"/>
      <c r="DD133" s="54"/>
      <c r="DE133" s="54"/>
      <c r="DF133" s="54"/>
      <c r="DG133" s="54"/>
      <c r="DH133" s="54"/>
      <c r="DI133" s="54"/>
      <c r="DJ133" s="54"/>
      <c r="DK133" s="54"/>
      <c r="DL133" s="54"/>
      <c r="DM133" s="54"/>
      <c r="DN133" s="54"/>
      <c r="DO133" s="54"/>
      <c r="DP133" s="54"/>
      <c r="DR133" s="54"/>
      <c r="DS133" s="54"/>
      <c r="DT133" s="54"/>
      <c r="DU133" s="54"/>
      <c r="DV133" s="54"/>
      <c r="DY133" s="54"/>
      <c r="DZ133" s="127"/>
      <c r="EA133" s="127"/>
      <c r="EB133" s="54"/>
      <c r="EC133" s="54"/>
      <c r="ED133" s="54"/>
      <c r="EE133" s="54"/>
      <c r="EF133" s="54"/>
      <c r="EG133" s="54"/>
    </row>
    <row r="134" spans="3:137" x14ac:dyDescent="0.25">
      <c r="C134" s="148"/>
      <c r="F134" s="54"/>
      <c r="G134" s="54"/>
      <c r="H134" s="54"/>
      <c r="J134" s="54"/>
      <c r="K134" s="54"/>
      <c r="L134" s="54"/>
      <c r="O134" s="54"/>
      <c r="Q134" s="54"/>
      <c r="Z134" s="54"/>
      <c r="AA134" s="54"/>
      <c r="AC134" s="54"/>
      <c r="AD134" s="54"/>
      <c r="AG134" s="54"/>
      <c r="AI134" s="54"/>
      <c r="AJ134" s="54"/>
      <c r="AS134" s="54"/>
      <c r="BC134" s="54"/>
      <c r="BF134" s="54"/>
      <c r="BK134" s="54"/>
      <c r="BY134" s="54"/>
      <c r="BZ134" s="54"/>
      <c r="CG134" s="54"/>
      <c r="CH134" s="54"/>
      <c r="CK134" s="54"/>
      <c r="CN134" s="54"/>
      <c r="CP134" s="54"/>
      <c r="CS134" s="54"/>
      <c r="CU134" s="54"/>
      <c r="CY134" s="54"/>
      <c r="CZ134" s="54"/>
      <c r="DA134" s="54"/>
      <c r="DB134" s="54"/>
      <c r="DC134" s="54"/>
      <c r="DD134" s="54"/>
      <c r="DE134" s="54"/>
      <c r="DF134" s="54"/>
      <c r="DG134" s="54"/>
      <c r="DH134" s="54"/>
      <c r="DI134" s="54"/>
      <c r="DJ134" s="54"/>
      <c r="DK134" s="54"/>
      <c r="DL134" s="54"/>
      <c r="DM134" s="54"/>
      <c r="DN134" s="54"/>
      <c r="DO134" s="54"/>
      <c r="DP134" s="54"/>
      <c r="DR134" s="54"/>
      <c r="DS134" s="54"/>
      <c r="DT134" s="54"/>
      <c r="DU134" s="54"/>
      <c r="DV134" s="54"/>
      <c r="DY134" s="54"/>
      <c r="DZ134" s="127"/>
      <c r="EA134" s="127"/>
      <c r="EB134" s="54"/>
      <c r="EC134" s="54"/>
      <c r="ED134" s="54"/>
      <c r="EE134" s="54"/>
      <c r="EF134" s="54"/>
      <c r="EG134" s="54"/>
    </row>
    <row r="135" spans="3:137" x14ac:dyDescent="0.25">
      <c r="C135" s="148"/>
      <c r="F135" s="54"/>
      <c r="G135" s="54"/>
      <c r="H135" s="54"/>
      <c r="J135" s="54"/>
      <c r="K135" s="54"/>
      <c r="L135" s="54"/>
      <c r="O135" s="54"/>
      <c r="Q135" s="54"/>
      <c r="Z135" s="54"/>
      <c r="AA135" s="54"/>
      <c r="AC135" s="54"/>
      <c r="AD135" s="54"/>
      <c r="AG135" s="54"/>
      <c r="AI135" s="54"/>
      <c r="AJ135" s="54"/>
      <c r="AS135" s="54"/>
      <c r="BC135" s="54"/>
      <c r="BF135" s="54"/>
      <c r="BK135" s="54"/>
      <c r="BY135" s="54"/>
      <c r="BZ135" s="54"/>
      <c r="CG135" s="54"/>
      <c r="CH135" s="54"/>
      <c r="CK135" s="54"/>
      <c r="CN135" s="54"/>
      <c r="CP135" s="54"/>
      <c r="CS135" s="54"/>
      <c r="CU135" s="54"/>
      <c r="CY135" s="54"/>
      <c r="CZ135" s="54"/>
      <c r="DA135" s="54"/>
      <c r="DB135" s="54"/>
      <c r="DC135" s="54"/>
      <c r="DD135" s="54"/>
      <c r="DE135" s="54"/>
      <c r="DF135" s="54"/>
      <c r="DG135" s="54"/>
      <c r="DH135" s="54"/>
      <c r="DI135" s="54"/>
      <c r="DJ135" s="54"/>
      <c r="DK135" s="54"/>
      <c r="DL135" s="54"/>
      <c r="DM135" s="54"/>
      <c r="DN135" s="54"/>
      <c r="DO135" s="54"/>
      <c r="DP135" s="54"/>
      <c r="DR135" s="54"/>
      <c r="DS135" s="54"/>
      <c r="DT135" s="54"/>
      <c r="DU135" s="54"/>
      <c r="DV135" s="54"/>
      <c r="DY135" s="54"/>
      <c r="DZ135" s="127"/>
      <c r="EA135" s="127"/>
      <c r="EB135" s="54"/>
      <c r="EC135" s="54"/>
      <c r="ED135" s="54"/>
      <c r="EE135" s="54"/>
      <c r="EF135" s="54"/>
      <c r="EG135" s="54"/>
    </row>
    <row r="136" spans="3:137" x14ac:dyDescent="0.25">
      <c r="C136" s="148"/>
      <c r="F136" s="54"/>
      <c r="G136" s="54"/>
      <c r="H136" s="54"/>
      <c r="J136" s="54"/>
      <c r="K136" s="54"/>
      <c r="L136" s="54"/>
      <c r="O136" s="54"/>
      <c r="Q136" s="54"/>
      <c r="Z136" s="54"/>
      <c r="AA136" s="54"/>
      <c r="AC136" s="54"/>
      <c r="AD136" s="54"/>
      <c r="AG136" s="54"/>
      <c r="AI136" s="54"/>
      <c r="AJ136" s="54"/>
      <c r="AS136" s="54"/>
      <c r="BC136" s="54"/>
      <c r="BF136" s="54"/>
      <c r="BK136" s="54"/>
      <c r="BY136" s="54"/>
      <c r="BZ136" s="54"/>
      <c r="CG136" s="54"/>
      <c r="CH136" s="54"/>
      <c r="CK136" s="54"/>
      <c r="CN136" s="54"/>
      <c r="CP136" s="54"/>
      <c r="CS136" s="54"/>
      <c r="CU136" s="54"/>
      <c r="CY136" s="54"/>
      <c r="CZ136" s="54"/>
      <c r="DA136" s="54"/>
      <c r="DB136" s="54"/>
      <c r="DC136" s="54"/>
      <c r="DD136" s="54"/>
      <c r="DE136" s="54"/>
      <c r="DF136" s="54"/>
      <c r="DG136" s="54"/>
      <c r="DH136" s="54"/>
      <c r="DI136" s="54"/>
      <c r="DJ136" s="54"/>
      <c r="DK136" s="54"/>
      <c r="DL136" s="54"/>
      <c r="DM136" s="54"/>
      <c r="DN136" s="54"/>
      <c r="DO136" s="54"/>
      <c r="DP136" s="54"/>
      <c r="DR136" s="54"/>
      <c r="DS136" s="54"/>
      <c r="DT136" s="54"/>
      <c r="DU136" s="54"/>
      <c r="DV136" s="54"/>
      <c r="DY136" s="54"/>
      <c r="DZ136" s="127"/>
      <c r="EA136" s="127"/>
      <c r="EB136" s="54"/>
      <c r="EC136" s="54"/>
      <c r="ED136" s="54"/>
      <c r="EE136" s="54"/>
      <c r="EF136" s="54"/>
      <c r="EG136" s="54"/>
    </row>
  </sheetData>
  <sheetProtection formatCells="0" selectLockedCells="1" sort="0" autoFilter="0"/>
  <mergeCells count="90">
    <mergeCell ref="BI64:BM64"/>
    <mergeCell ref="BI58:BM58"/>
    <mergeCell ref="BI34:BM34"/>
    <mergeCell ref="BI38:BM38"/>
    <mergeCell ref="BI39:BM39"/>
    <mergeCell ref="BI40:BM40"/>
    <mergeCell ref="BI35:BM35"/>
    <mergeCell ref="BI41:BM41"/>
    <mergeCell ref="BI43:BM43"/>
    <mergeCell ref="BI42:BM42"/>
    <mergeCell ref="BI75:BM75"/>
    <mergeCell ref="BI71:BM71"/>
    <mergeCell ref="BI72:BM72"/>
    <mergeCell ref="BI51:BM51"/>
    <mergeCell ref="BI74:BM74"/>
    <mergeCell ref="BI68:BM68"/>
    <mergeCell ref="BI65:BM65"/>
    <mergeCell ref="BI67:BM67"/>
    <mergeCell ref="BI59:BM59"/>
    <mergeCell ref="BI61:BM61"/>
    <mergeCell ref="BI52:BM52"/>
    <mergeCell ref="BI53:BM53"/>
    <mergeCell ref="BI54:BM54"/>
    <mergeCell ref="BI73:BM73"/>
    <mergeCell ref="BI63:BM63"/>
    <mergeCell ref="BI56:BM56"/>
    <mergeCell ref="X1:AC1"/>
    <mergeCell ref="BI76:BM76"/>
    <mergeCell ref="BI23:BM23"/>
    <mergeCell ref="BI24:BM24"/>
    <mergeCell ref="BI62:BM62"/>
    <mergeCell ref="BI55:BM55"/>
    <mergeCell ref="BI44:BM44"/>
    <mergeCell ref="BI45:BM45"/>
    <mergeCell ref="BI46:BM46"/>
    <mergeCell ref="BI47:BM47"/>
    <mergeCell ref="BI48:BM48"/>
    <mergeCell ref="BI49:BM49"/>
    <mergeCell ref="BI50:BM50"/>
    <mergeCell ref="BI69:BM69"/>
    <mergeCell ref="BI70:BM70"/>
    <mergeCell ref="BI66:BM66"/>
    <mergeCell ref="BI10:BM10"/>
    <mergeCell ref="B1:I1"/>
    <mergeCell ref="M1:O1"/>
    <mergeCell ref="J1:L1"/>
    <mergeCell ref="BI7:BK7"/>
    <mergeCell ref="BI6:BK6"/>
    <mergeCell ref="BI5:BK5"/>
    <mergeCell ref="BI4:BK4"/>
    <mergeCell ref="AK1:AM1"/>
    <mergeCell ref="AX1:AZ1"/>
    <mergeCell ref="BE1:BF1"/>
    <mergeCell ref="AU1:AW1"/>
    <mergeCell ref="AP1:AT1"/>
    <mergeCell ref="AN1:AO1"/>
    <mergeCell ref="BA1:BD1"/>
    <mergeCell ref="P1:W1"/>
    <mergeCell ref="BI18:BM18"/>
    <mergeCell ref="BI22:BM22"/>
    <mergeCell ref="BI26:BM26"/>
    <mergeCell ref="BI27:BM27"/>
    <mergeCell ref="BI60:BM60"/>
    <mergeCell ref="BI25:BM25"/>
    <mergeCell ref="BI21:BM21"/>
    <mergeCell ref="BI57:BM57"/>
    <mergeCell ref="BI32:BM32"/>
    <mergeCell ref="BI33:BM33"/>
    <mergeCell ref="BI9:BM9"/>
    <mergeCell ref="BI11:BM11"/>
    <mergeCell ref="BI13:BM13"/>
    <mergeCell ref="BI36:BM36"/>
    <mergeCell ref="BI37:BM37"/>
    <mergeCell ref="BI29:BM29"/>
    <mergeCell ref="BI30:BM30"/>
    <mergeCell ref="BI31:BM31"/>
    <mergeCell ref="BI12:BM12"/>
    <mergeCell ref="BI28:BM28"/>
    <mergeCell ref="BI14:BM14"/>
    <mergeCell ref="BI15:BM15"/>
    <mergeCell ref="BI16:BM16"/>
    <mergeCell ref="BI17:BM17"/>
    <mergeCell ref="BI19:BM19"/>
    <mergeCell ref="BI20:BM20"/>
    <mergeCell ref="AD1:AF1"/>
    <mergeCell ref="AG1:AJ1"/>
    <mergeCell ref="BL1:BM2"/>
    <mergeCell ref="BI8:BK8"/>
    <mergeCell ref="BL5:BM5"/>
    <mergeCell ref="BL4:BM4"/>
  </mergeCells>
  <pageMargins left="0.78749999999999998" right="0.78749999999999998" top="1.05277777777778" bottom="1.05277777777778" header="0.78749999999999998" footer="0.78749999999999998"/>
  <pageSetup paperSize="9" scale="49" firstPageNumber="0" fitToHeight="0" orientation="landscape" horizontalDpi="300" verticalDpi="300" r:id="rId1"/>
  <headerFooter scaleWithDoc="0">
    <oddHeader>&amp;C&amp;"Times New Roman,Normal"&amp;12&amp;A</oddHeader>
  </headerFooter>
  <ignoredErrors>
    <ignoredError sqref="AO4:AO16 AO74:AO76 AO64:AO68 AO61:AO62 AO18:AO19 AO20:AO25 AO34:AO36 AO37:AO42 AO45:AO57 AO69:AO72 AO33 AO31 AO28 AO26:AO27 AO29:AO30 AO32 AO43:AO44 AO59 AO58 AO60 AO78:AO10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04" r:id="rId4" name="Button 17960">
              <controlPr defaultSize="0" print="0" autoFill="0" autoPict="0" macro="[0]!Sheet1.Auto_Open">
                <anchor moveWithCells="1">
                  <from>
                    <xdr:col>0</xdr:col>
                    <xdr:colOff>304800</xdr:colOff>
                    <xdr:row>2</xdr:row>
                    <xdr:rowOff>209550</xdr:rowOff>
                  </from>
                  <to>
                    <xdr:col>0</xdr:col>
                    <xdr:colOff>1438275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15742" divId="newunits_15742" sourceType="sheet" destinationFile="C:\Users\enuss\Documents\GitHub\newunits.htm" title="Ethnic Diversity: Road to 100%"/>
  </webPublishItem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Q2251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4" sqref="B14"/>
    </sheetView>
  </sheetViews>
  <sheetFormatPr defaultRowHeight="15" x14ac:dyDescent="0.25"/>
  <cols>
    <col min="1" max="1" width="46.140625" style="161" customWidth="1"/>
    <col min="2" max="2" width="16.42578125" style="9" customWidth="1"/>
    <col min="3" max="3" width="16.42578125" style="4" bestFit="1" customWidth="1"/>
    <col min="4" max="4" width="16.42578125" style="4" customWidth="1"/>
    <col min="5" max="6" width="25.7109375" style="4" customWidth="1"/>
    <col min="7" max="7" width="17.140625" style="4" bestFit="1" customWidth="1"/>
    <col min="8" max="8" width="37.28515625" style="4" bestFit="1" customWidth="1"/>
    <col min="9" max="9" width="40.140625" style="4" customWidth="1"/>
    <col min="10" max="10" width="9.28515625" style="11" customWidth="1"/>
    <col min="11" max="11" width="6.42578125" style="11" customWidth="1"/>
    <col min="12" max="12" width="18.28515625" style="4" hidden="1" customWidth="1"/>
    <col min="13" max="13" width="9.28515625" style="12" hidden="1" customWidth="1"/>
    <col min="14" max="14" width="10.140625" style="4" hidden="1" customWidth="1"/>
    <col min="15" max="16" width="4.7109375" style="4" customWidth="1"/>
    <col min="17" max="17" width="8.7109375" style="11" customWidth="1"/>
    <col min="18" max="18" width="9" style="11" customWidth="1"/>
    <col min="19" max="19" width="22.5703125" style="4" bestFit="1" customWidth="1"/>
    <col min="20" max="20" width="8.7109375" style="11" bestFit="1" customWidth="1"/>
    <col min="21" max="21" width="9" style="11" bestFit="1" customWidth="1"/>
    <col min="22" max="22" width="22.5703125" style="4" customWidth="1"/>
    <col min="23" max="23" width="9.85546875" style="11" bestFit="1" customWidth="1"/>
    <col min="24" max="24" width="10.140625" style="11" bestFit="1" customWidth="1"/>
    <col min="25" max="25" width="22.5703125" style="4" customWidth="1"/>
    <col min="26" max="26" width="9.140625" style="11" bestFit="1" customWidth="1"/>
    <col min="27" max="27" width="9.42578125" style="11" bestFit="1" customWidth="1"/>
    <col min="28" max="28" width="22.5703125" style="4" customWidth="1"/>
    <col min="29" max="29" width="10.5703125" style="11" customWidth="1"/>
    <col min="30" max="30" width="10.5703125" style="11" bestFit="1" customWidth="1"/>
    <col min="31" max="31" width="22.5703125" style="4" customWidth="1"/>
    <col min="32" max="32" width="9.28515625" style="11" bestFit="1" customWidth="1"/>
    <col min="33" max="33" width="9.5703125" style="11" bestFit="1" customWidth="1"/>
    <col min="34" max="34" width="22.5703125" style="4" customWidth="1"/>
    <col min="35" max="35" width="9.140625" style="11" bestFit="1" customWidth="1"/>
    <col min="36" max="36" width="9.42578125" style="11" bestFit="1" customWidth="1"/>
    <col min="37" max="37" width="22.5703125" style="4" customWidth="1"/>
    <col min="38" max="39" width="10.5703125" style="4" customWidth="1"/>
    <col min="40" max="40" width="22.5703125" style="4" customWidth="1"/>
    <col min="41" max="42" width="10.5703125" style="4" customWidth="1"/>
    <col min="43" max="43" width="22.5703125" style="4" customWidth="1"/>
    <col min="44" max="16384" width="9.140625" style="1"/>
  </cols>
  <sheetData>
    <row r="1" spans="1:43" s="25" customFormat="1" x14ac:dyDescent="0.25">
      <c r="A1" s="24" t="s">
        <v>1780</v>
      </c>
      <c r="B1" s="24" t="s">
        <v>2022</v>
      </c>
      <c r="C1" s="24" t="s">
        <v>2037</v>
      </c>
      <c r="D1" s="24" t="s">
        <v>2115</v>
      </c>
      <c r="E1" s="24" t="s">
        <v>1732</v>
      </c>
      <c r="F1" s="24" t="s">
        <v>1731</v>
      </c>
      <c r="G1" s="24" t="s">
        <v>1730</v>
      </c>
      <c r="H1" s="24" t="s">
        <v>2038</v>
      </c>
      <c r="I1" s="24" t="s">
        <v>1750</v>
      </c>
      <c r="J1" s="164" t="s">
        <v>1969</v>
      </c>
      <c r="K1" s="164" t="s">
        <v>1920</v>
      </c>
      <c r="L1" s="24" t="s">
        <v>1728</v>
      </c>
      <c r="M1" s="24" t="s">
        <v>1729</v>
      </c>
      <c r="N1" s="24" t="s">
        <v>1724</v>
      </c>
      <c r="O1" s="24"/>
      <c r="P1" s="24"/>
      <c r="Q1" s="24" t="s">
        <v>1752</v>
      </c>
      <c r="R1" s="24" t="s">
        <v>1751</v>
      </c>
      <c r="S1" s="24" t="s">
        <v>1753</v>
      </c>
      <c r="T1" s="24" t="s">
        <v>1755</v>
      </c>
      <c r="U1" s="24" t="s">
        <v>1754</v>
      </c>
      <c r="V1" s="24" t="s">
        <v>1756</v>
      </c>
      <c r="W1" s="24" t="s">
        <v>1758</v>
      </c>
      <c r="X1" s="24" t="s">
        <v>1757</v>
      </c>
      <c r="Y1" s="24" t="s">
        <v>1759</v>
      </c>
      <c r="Z1" s="24" t="s">
        <v>1761</v>
      </c>
      <c r="AA1" s="24" t="s">
        <v>1760</v>
      </c>
      <c r="AB1" s="24" t="s">
        <v>1762</v>
      </c>
      <c r="AC1" s="24" t="s">
        <v>1764</v>
      </c>
      <c r="AD1" s="24" t="s">
        <v>1763</v>
      </c>
      <c r="AE1" s="24" t="s">
        <v>1765</v>
      </c>
      <c r="AF1" s="24" t="s">
        <v>1767</v>
      </c>
      <c r="AG1" s="24" t="s">
        <v>1766</v>
      </c>
      <c r="AH1" s="24" t="s">
        <v>1768</v>
      </c>
      <c r="AI1" s="24" t="s">
        <v>1770</v>
      </c>
      <c r="AJ1" s="24" t="s">
        <v>1769</v>
      </c>
      <c r="AK1" s="24" t="s">
        <v>1771</v>
      </c>
      <c r="AL1" s="24" t="s">
        <v>1773</v>
      </c>
      <c r="AM1" s="24" t="s">
        <v>1772</v>
      </c>
      <c r="AN1" s="24" t="s">
        <v>1774</v>
      </c>
      <c r="AO1" s="24" t="s">
        <v>1776</v>
      </c>
      <c r="AP1" s="24" t="s">
        <v>1775</v>
      </c>
      <c r="AQ1" s="24" t="s">
        <v>1777</v>
      </c>
    </row>
    <row r="2" spans="1:43" s="18" customFormat="1" x14ac:dyDescent="0.25">
      <c r="A2" s="19"/>
      <c r="B2" s="19"/>
      <c r="C2" s="16"/>
      <c r="D2" s="16"/>
      <c r="E2" s="16"/>
      <c r="F2" s="16"/>
      <c r="G2" s="16"/>
      <c r="H2" s="16"/>
      <c r="I2" s="16"/>
      <c r="J2" s="166"/>
      <c r="K2" s="165"/>
      <c r="L2" s="16"/>
      <c r="M2" s="31"/>
      <c r="N2" s="31"/>
      <c r="O2" s="19"/>
      <c r="P2" s="19" t="s">
        <v>1784</v>
      </c>
      <c r="Q2" s="7">
        <v>1</v>
      </c>
      <c r="R2" s="13" t="s">
        <v>1738</v>
      </c>
      <c r="S2" s="13"/>
      <c r="T2" s="7">
        <v>2</v>
      </c>
      <c r="U2" s="13" t="s">
        <v>1739</v>
      </c>
      <c r="V2" s="13"/>
      <c r="W2" s="7">
        <v>3</v>
      </c>
      <c r="X2" s="13" t="s">
        <v>1740</v>
      </c>
      <c r="Y2" s="13"/>
      <c r="Z2" s="7">
        <v>4</v>
      </c>
      <c r="AA2" s="13" t="s">
        <v>1743</v>
      </c>
      <c r="AB2" s="13"/>
      <c r="AC2" s="7">
        <v>5</v>
      </c>
      <c r="AD2" s="13" t="s">
        <v>1744</v>
      </c>
      <c r="AE2" s="13"/>
      <c r="AF2" s="7">
        <v>6</v>
      </c>
      <c r="AG2" s="13" t="s">
        <v>1742</v>
      </c>
      <c r="AH2" s="13"/>
      <c r="AI2" s="27">
        <v>7</v>
      </c>
      <c r="AJ2" s="13" t="s">
        <v>1741</v>
      </c>
      <c r="AK2" s="13"/>
      <c r="AL2" s="7">
        <v>8</v>
      </c>
      <c r="AM2" s="13" t="s">
        <v>1778</v>
      </c>
      <c r="AN2" s="13"/>
      <c r="AO2" s="7">
        <v>9</v>
      </c>
      <c r="AP2" s="13" t="s">
        <v>1779</v>
      </c>
      <c r="AQ2" s="13"/>
    </row>
    <row r="3" spans="1:43" s="18" customFormat="1" x14ac:dyDescent="0.25">
      <c r="A3" s="19">
        <v>1</v>
      </c>
      <c r="B3" s="19"/>
      <c r="C3" s="16"/>
      <c r="D3" s="35" t="s">
        <v>1915</v>
      </c>
      <c r="E3" s="34" t="s">
        <v>1922</v>
      </c>
      <c r="F3" s="16"/>
      <c r="G3" s="16"/>
      <c r="H3" s="16"/>
      <c r="I3" s="19"/>
      <c r="J3" s="166"/>
      <c r="K3" s="165"/>
      <c r="L3" s="16"/>
      <c r="M3" s="31"/>
      <c r="N3" s="31"/>
      <c r="O3" s="19"/>
      <c r="P3" s="32" t="s">
        <v>1781</v>
      </c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</row>
    <row r="4" spans="1:43" s="18" customFormat="1" x14ac:dyDescent="0.25">
      <c r="A4" s="19"/>
      <c r="B4" s="19"/>
      <c r="C4" s="16"/>
      <c r="D4" s="16"/>
      <c r="E4" s="34" t="s">
        <v>1916</v>
      </c>
      <c r="F4" s="16"/>
      <c r="G4" s="16"/>
      <c r="H4" s="16"/>
      <c r="J4" s="166"/>
      <c r="K4" s="165"/>
      <c r="L4" s="16"/>
      <c r="M4" s="31"/>
      <c r="N4" s="31"/>
      <c r="O4" s="19"/>
      <c r="P4" s="23" t="s">
        <v>1737</v>
      </c>
      <c r="Q4" s="7">
        <v>12</v>
      </c>
      <c r="R4" s="7">
        <v>0.14000000000000001</v>
      </c>
      <c r="S4" s="13" t="s">
        <v>1622</v>
      </c>
      <c r="T4" s="7">
        <v>16</v>
      </c>
      <c r="U4" s="7">
        <v>0.09</v>
      </c>
      <c r="V4" s="13"/>
      <c r="W4" s="7">
        <v>32</v>
      </c>
      <c r="X4" s="7">
        <v>5.8999999999999997E-2</v>
      </c>
      <c r="Y4" s="13"/>
      <c r="Z4" s="7">
        <v>1</v>
      </c>
      <c r="AA4" s="7">
        <v>0.22</v>
      </c>
      <c r="AB4" s="13"/>
      <c r="AC4" s="7">
        <v>1</v>
      </c>
      <c r="AD4" s="7">
        <v>0.25</v>
      </c>
      <c r="AE4" s="13"/>
      <c r="AF4" s="7">
        <v>3</v>
      </c>
      <c r="AG4" s="7">
        <v>0.18</v>
      </c>
      <c r="AH4" s="13"/>
      <c r="AI4" s="7">
        <v>7</v>
      </c>
      <c r="AJ4" s="7">
        <v>0.16</v>
      </c>
      <c r="AK4" s="13"/>
      <c r="AL4" s="13"/>
      <c r="AM4" s="13"/>
      <c r="AN4" s="13"/>
      <c r="AO4" s="13"/>
      <c r="AP4" s="13"/>
      <c r="AQ4" s="13"/>
    </row>
    <row r="5" spans="1:43" s="18" customFormat="1" x14ac:dyDescent="0.25">
      <c r="A5" s="19"/>
      <c r="B5" s="19"/>
      <c r="C5" s="16"/>
      <c r="D5" s="16"/>
      <c r="E5" s="34" t="s">
        <v>2389</v>
      </c>
      <c r="F5" s="16"/>
      <c r="G5" s="16"/>
      <c r="H5" s="16"/>
      <c r="J5" s="166"/>
      <c r="K5" s="165"/>
      <c r="L5" s="16"/>
      <c r="M5" s="31"/>
      <c r="N5" s="31"/>
      <c r="O5" s="19"/>
      <c r="P5" s="23" t="s">
        <v>1695</v>
      </c>
      <c r="Q5" s="7">
        <v>5</v>
      </c>
      <c r="R5" s="7">
        <v>0.12</v>
      </c>
      <c r="S5" s="13" t="s">
        <v>1612</v>
      </c>
      <c r="T5" s="7">
        <v>7</v>
      </c>
      <c r="U5" s="7">
        <v>8.5000000000000006E-2</v>
      </c>
      <c r="V5" s="13"/>
      <c r="W5" s="7">
        <v>14</v>
      </c>
      <c r="X5" s="7">
        <v>5.5E-2</v>
      </c>
      <c r="Y5" s="13"/>
      <c r="Z5" s="7">
        <v>1</v>
      </c>
      <c r="AA5" s="7">
        <v>0.18</v>
      </c>
      <c r="AB5" s="13"/>
      <c r="AC5" s="7">
        <v>1</v>
      </c>
      <c r="AD5" s="7">
        <v>0.2</v>
      </c>
      <c r="AE5" s="13"/>
      <c r="AF5" s="7">
        <v>3</v>
      </c>
      <c r="AG5" s="7">
        <v>0.15</v>
      </c>
      <c r="AH5" s="13"/>
      <c r="AI5" s="7">
        <v>5</v>
      </c>
      <c r="AJ5" s="7">
        <v>0.13500000000000001</v>
      </c>
      <c r="AK5" s="13"/>
      <c r="AL5" s="13"/>
      <c r="AM5" s="13"/>
      <c r="AN5" s="13"/>
      <c r="AO5" s="13"/>
      <c r="AP5" s="13"/>
      <c r="AQ5" s="13"/>
    </row>
    <row r="6" spans="1:43" s="18" customFormat="1" x14ac:dyDescent="0.25">
      <c r="A6" s="19"/>
      <c r="B6" s="19"/>
      <c r="C6" s="16"/>
      <c r="D6" s="16"/>
      <c r="E6" s="34" t="s">
        <v>2020</v>
      </c>
      <c r="F6" s="16"/>
      <c r="G6" s="16"/>
      <c r="H6" s="16"/>
      <c r="J6" s="166"/>
      <c r="K6" s="165"/>
      <c r="L6" s="16"/>
      <c r="M6" s="31"/>
      <c r="N6" s="31"/>
      <c r="O6" s="29" t="s">
        <v>1830</v>
      </c>
      <c r="P6" s="30" t="s">
        <v>1828</v>
      </c>
      <c r="Q6" s="7"/>
      <c r="R6" s="7"/>
      <c r="S6" s="13"/>
      <c r="T6" s="7"/>
      <c r="U6" s="7"/>
      <c r="V6" s="13"/>
      <c r="W6" s="7"/>
      <c r="X6" s="7"/>
      <c r="Y6" s="13"/>
      <c r="Z6" s="7">
        <v>1</v>
      </c>
      <c r="AA6" s="7"/>
      <c r="AB6" s="13"/>
      <c r="AC6" s="7">
        <v>1</v>
      </c>
      <c r="AD6" s="7"/>
      <c r="AE6" s="13"/>
      <c r="AF6" s="7"/>
      <c r="AG6" s="7"/>
      <c r="AH6" s="13"/>
      <c r="AI6" s="7"/>
      <c r="AJ6" s="7"/>
      <c r="AK6" s="13"/>
      <c r="AL6" s="13"/>
      <c r="AM6" s="13"/>
      <c r="AN6" s="13"/>
      <c r="AO6" s="13"/>
      <c r="AP6" s="13"/>
      <c r="AQ6" s="13"/>
    </row>
    <row r="7" spans="1:43" s="18" customFormat="1" x14ac:dyDescent="0.25">
      <c r="A7" s="19"/>
      <c r="B7" s="19"/>
      <c r="C7" s="16"/>
      <c r="D7" s="16"/>
      <c r="E7" s="34" t="s">
        <v>2312</v>
      </c>
      <c r="F7" s="16"/>
      <c r="G7" s="16"/>
      <c r="H7" s="16"/>
      <c r="J7" s="166"/>
      <c r="K7" s="165"/>
      <c r="L7" s="16"/>
      <c r="M7" s="31"/>
      <c r="N7" s="31"/>
      <c r="O7" s="19"/>
      <c r="P7" s="23" t="s">
        <v>3</v>
      </c>
      <c r="Q7" s="7"/>
      <c r="R7" s="7"/>
      <c r="S7" s="13"/>
      <c r="T7" s="7"/>
      <c r="U7" s="7"/>
      <c r="V7" s="13"/>
      <c r="W7" s="7">
        <v>2</v>
      </c>
      <c r="X7" s="7">
        <v>0.65</v>
      </c>
      <c r="Y7" s="13"/>
      <c r="Z7" s="7"/>
      <c r="AA7" s="7"/>
      <c r="AB7" s="13"/>
      <c r="AC7" s="7"/>
      <c r="AD7" s="7">
        <v>1.1200000000000001</v>
      </c>
      <c r="AE7" s="13"/>
      <c r="AF7" s="7"/>
      <c r="AG7" s="7"/>
      <c r="AH7" s="13"/>
      <c r="AI7" s="7"/>
      <c r="AJ7" s="7"/>
      <c r="AK7" s="13"/>
      <c r="AL7" s="13"/>
      <c r="AM7" s="13"/>
      <c r="AN7" s="13"/>
      <c r="AO7" s="13"/>
      <c r="AP7" s="13"/>
      <c r="AQ7" s="13"/>
    </row>
    <row r="8" spans="1:43" s="18" customFormat="1" x14ac:dyDescent="0.25">
      <c r="A8" s="19"/>
      <c r="B8" s="19"/>
      <c r="C8" s="16"/>
      <c r="D8" s="16"/>
      <c r="E8" s="34" t="s">
        <v>2313</v>
      </c>
      <c r="F8" s="16"/>
      <c r="G8" s="16"/>
      <c r="H8" s="16"/>
      <c r="I8" s="26"/>
      <c r="J8" s="166"/>
      <c r="K8" s="165"/>
      <c r="L8" s="16"/>
      <c r="M8" s="31"/>
      <c r="N8" s="31"/>
      <c r="O8" s="19"/>
      <c r="P8" s="19" t="s">
        <v>1782</v>
      </c>
      <c r="Q8" s="7"/>
      <c r="R8" s="7"/>
      <c r="S8" s="13"/>
      <c r="T8" s="7"/>
      <c r="U8" s="7" t="s">
        <v>1738</v>
      </c>
      <c r="V8" s="13"/>
      <c r="W8" s="7"/>
      <c r="X8" s="7" t="s">
        <v>1739</v>
      </c>
      <c r="Y8" s="13"/>
      <c r="Z8" s="7"/>
      <c r="AA8" s="7" t="s">
        <v>1738</v>
      </c>
      <c r="AB8" s="13"/>
      <c r="AC8" s="7"/>
      <c r="AD8" s="7" t="s">
        <v>1743</v>
      </c>
      <c r="AE8" s="13"/>
      <c r="AF8" s="7"/>
      <c r="AG8" s="7" t="s">
        <v>1738</v>
      </c>
      <c r="AH8" s="13"/>
      <c r="AI8" s="7"/>
      <c r="AJ8" s="7" t="s">
        <v>1738</v>
      </c>
      <c r="AK8" s="13"/>
      <c r="AL8" s="13"/>
      <c r="AM8" s="13" t="s">
        <v>1738</v>
      </c>
      <c r="AN8" s="13"/>
      <c r="AO8" s="13"/>
      <c r="AP8" s="13" t="s">
        <v>1738</v>
      </c>
      <c r="AQ8" s="13"/>
    </row>
    <row r="9" spans="1:43" s="18" customFormat="1" x14ac:dyDescent="0.25">
      <c r="A9" s="19"/>
      <c r="B9" s="19"/>
      <c r="C9" s="16"/>
      <c r="D9" s="16"/>
      <c r="E9" s="34" t="s">
        <v>2390</v>
      </c>
      <c r="F9" s="16"/>
      <c r="G9" s="16"/>
      <c r="H9" s="16"/>
      <c r="J9" s="166"/>
      <c r="K9" s="165"/>
      <c r="L9" s="16"/>
      <c r="M9" s="31"/>
      <c r="N9" s="31"/>
      <c r="O9" s="19"/>
      <c r="P9" s="33" t="s">
        <v>1826</v>
      </c>
      <c r="Q9" s="7"/>
      <c r="R9" s="7"/>
      <c r="S9" s="13"/>
      <c r="T9" s="7"/>
      <c r="U9" s="7"/>
      <c r="V9" s="13"/>
      <c r="W9" s="7"/>
      <c r="X9" s="7"/>
      <c r="Y9" s="13"/>
      <c r="Z9" s="7"/>
      <c r="AA9" s="7"/>
      <c r="AB9" s="13"/>
      <c r="AC9" s="7"/>
      <c r="AD9" s="7"/>
      <c r="AE9" s="13"/>
      <c r="AF9" s="7"/>
      <c r="AG9" s="7"/>
      <c r="AH9" s="13"/>
      <c r="AI9" s="7"/>
      <c r="AJ9" s="7"/>
      <c r="AK9" s="13"/>
      <c r="AL9" s="13"/>
      <c r="AM9" s="13"/>
      <c r="AN9" s="13"/>
      <c r="AO9" s="13"/>
      <c r="AP9" s="13"/>
      <c r="AQ9" s="13"/>
    </row>
    <row r="10" spans="1:43" s="18" customFormat="1" x14ac:dyDescent="0.25">
      <c r="A10" s="19"/>
      <c r="B10" s="19"/>
      <c r="C10" s="16"/>
      <c r="D10" s="16"/>
      <c r="E10" s="34"/>
      <c r="F10" s="16"/>
      <c r="G10" s="16"/>
      <c r="H10" s="16"/>
      <c r="J10" s="166"/>
      <c r="K10" s="165"/>
      <c r="L10" s="16"/>
      <c r="M10" s="31"/>
      <c r="N10" s="31"/>
      <c r="O10" s="29" t="s">
        <v>1829</v>
      </c>
      <c r="P10" s="28">
        <v>7</v>
      </c>
      <c r="Q10" s="7">
        <v>1</v>
      </c>
      <c r="R10" s="7">
        <v>1</v>
      </c>
      <c r="S10" s="13"/>
      <c r="T10" s="7">
        <v>1.33</v>
      </c>
      <c r="U10" s="7">
        <v>0.64</v>
      </c>
      <c r="V10" s="13"/>
      <c r="W10" s="7">
        <v>2.67</v>
      </c>
      <c r="X10" s="7">
        <v>0.42</v>
      </c>
      <c r="Y10" s="13"/>
      <c r="Z10" s="7"/>
      <c r="AA10" s="7">
        <v>1.57</v>
      </c>
      <c r="AB10" s="13"/>
      <c r="AC10" s="7"/>
      <c r="AD10" s="7">
        <v>1.79</v>
      </c>
      <c r="AE10" s="13"/>
      <c r="AF10" s="7"/>
      <c r="AG10" s="7">
        <v>1.29</v>
      </c>
      <c r="AH10" s="13"/>
      <c r="AI10" s="7">
        <v>0.57999999999999996</v>
      </c>
      <c r="AJ10" s="7">
        <v>1.1399999999999999</v>
      </c>
      <c r="AK10" s="13"/>
      <c r="AL10" s="13"/>
      <c r="AM10" s="7"/>
      <c r="AN10" s="13"/>
      <c r="AO10" s="13"/>
      <c r="AP10" s="7"/>
      <c r="AQ10" s="13"/>
    </row>
    <row r="11" spans="1:43" s="18" customFormat="1" x14ac:dyDescent="0.25">
      <c r="A11" s="19"/>
      <c r="B11" s="19"/>
      <c r="C11" s="16"/>
      <c r="D11" s="16"/>
      <c r="E11" s="16"/>
      <c r="F11" s="16"/>
      <c r="G11" s="16"/>
      <c r="H11" s="16"/>
      <c r="J11" s="166"/>
      <c r="K11" s="165"/>
      <c r="L11" s="16"/>
      <c r="M11" s="31"/>
      <c r="N11" s="31"/>
      <c r="O11" s="29" t="s">
        <v>1827</v>
      </c>
      <c r="P11" s="28">
        <v>3</v>
      </c>
      <c r="Q11" s="7">
        <v>1</v>
      </c>
      <c r="R11" s="7">
        <v>1</v>
      </c>
      <c r="S11" s="13"/>
      <c r="T11" s="7">
        <v>1.4</v>
      </c>
      <c r="U11" s="7">
        <v>0.71</v>
      </c>
      <c r="V11" s="13"/>
      <c r="W11" s="7">
        <v>2.8</v>
      </c>
      <c r="X11" s="7">
        <v>0.46</v>
      </c>
      <c r="Y11" s="13"/>
      <c r="Z11" s="7"/>
      <c r="AA11" s="7">
        <v>1.5</v>
      </c>
      <c r="AB11" s="13"/>
      <c r="AC11" s="7"/>
      <c r="AD11" s="7">
        <v>1.67</v>
      </c>
      <c r="AE11" s="13"/>
      <c r="AF11" s="7"/>
      <c r="AG11" s="7">
        <v>1.25</v>
      </c>
      <c r="AH11" s="13"/>
      <c r="AI11" s="7">
        <v>1</v>
      </c>
      <c r="AJ11" s="7">
        <v>1.1299999999999999</v>
      </c>
      <c r="AK11" s="13"/>
      <c r="AL11" s="13"/>
      <c r="AM11" s="7"/>
      <c r="AN11" s="13"/>
      <c r="AO11" s="13"/>
      <c r="AP11" s="7"/>
      <c r="AQ11" s="13"/>
    </row>
    <row r="12" spans="1:43" s="18" customFormat="1" x14ac:dyDescent="0.25">
      <c r="A12" s="19"/>
      <c r="B12" s="19"/>
      <c r="C12" s="16"/>
      <c r="D12" s="16"/>
      <c r="E12" s="16"/>
      <c r="F12" s="16"/>
      <c r="G12" s="16"/>
      <c r="H12" s="16"/>
      <c r="J12" s="166"/>
      <c r="K12" s="165"/>
      <c r="L12" s="16"/>
      <c r="M12" s="31"/>
      <c r="N12" s="31"/>
      <c r="O12" s="29" t="s">
        <v>1</v>
      </c>
      <c r="P12" s="28">
        <v>2</v>
      </c>
      <c r="Q12" s="7">
        <v>1</v>
      </c>
      <c r="R12" s="7">
        <v>1</v>
      </c>
      <c r="S12" s="13"/>
      <c r="T12" s="7">
        <v>1</v>
      </c>
      <c r="U12" s="7">
        <v>1</v>
      </c>
      <c r="V12" s="13"/>
      <c r="W12" s="7">
        <v>1</v>
      </c>
      <c r="X12" s="7">
        <v>1</v>
      </c>
      <c r="Y12" s="13"/>
      <c r="Z12" s="7"/>
      <c r="AA12" s="7">
        <v>1</v>
      </c>
      <c r="AB12" s="13"/>
      <c r="AC12" s="7"/>
      <c r="AD12" s="7">
        <v>1</v>
      </c>
      <c r="AE12" s="13"/>
      <c r="AF12" s="7"/>
      <c r="AG12" s="7">
        <v>1</v>
      </c>
      <c r="AH12" s="13"/>
      <c r="AI12" s="7">
        <v>1</v>
      </c>
      <c r="AJ12" s="7">
        <v>1</v>
      </c>
      <c r="AK12" s="13"/>
      <c r="AL12" s="13"/>
      <c r="AM12" s="7"/>
      <c r="AN12" s="13"/>
      <c r="AO12" s="13"/>
      <c r="AP12" s="7"/>
      <c r="AQ12" s="13"/>
    </row>
    <row r="13" spans="1:43" s="25" customFormat="1" x14ac:dyDescent="0.25">
      <c r="A13" s="24" t="s">
        <v>1780</v>
      </c>
      <c r="B13" s="24" t="s">
        <v>2022</v>
      </c>
      <c r="C13" s="157" t="s">
        <v>1733</v>
      </c>
      <c r="D13" s="157" t="s">
        <v>1734</v>
      </c>
      <c r="E13" s="24" t="s">
        <v>1732</v>
      </c>
      <c r="F13" s="24" t="s">
        <v>1731</v>
      </c>
      <c r="G13" s="24" t="s">
        <v>1730</v>
      </c>
      <c r="H13" s="157" t="s">
        <v>1102</v>
      </c>
      <c r="I13" s="24" t="s">
        <v>1750</v>
      </c>
      <c r="J13" s="164" t="s">
        <v>1969</v>
      </c>
      <c r="K13" s="164" t="s">
        <v>1920</v>
      </c>
      <c r="L13" s="24" t="s">
        <v>1728</v>
      </c>
      <c r="M13" s="24" t="s">
        <v>1729</v>
      </c>
      <c r="N13" s="24" t="s">
        <v>1724</v>
      </c>
      <c r="O13" s="24"/>
      <c r="P13" s="24"/>
      <c r="Q13" s="24" t="s">
        <v>1831</v>
      </c>
      <c r="R13" s="24" t="s">
        <v>1832</v>
      </c>
      <c r="S13" s="24" t="s">
        <v>1833</v>
      </c>
      <c r="T13" s="24" t="s">
        <v>1831</v>
      </c>
      <c r="U13" s="24" t="s">
        <v>1832</v>
      </c>
      <c r="V13" s="24" t="s">
        <v>1833</v>
      </c>
      <c r="W13" s="24" t="s">
        <v>1831</v>
      </c>
      <c r="X13" s="24" t="s">
        <v>1832</v>
      </c>
      <c r="Y13" s="24" t="s">
        <v>1833</v>
      </c>
      <c r="Z13" s="24" t="s">
        <v>1831</v>
      </c>
      <c r="AA13" s="24" t="s">
        <v>1832</v>
      </c>
      <c r="AB13" s="24" t="s">
        <v>1833</v>
      </c>
      <c r="AC13" s="24" t="s">
        <v>1831</v>
      </c>
      <c r="AD13" s="24" t="s">
        <v>1832</v>
      </c>
      <c r="AE13" s="24" t="s">
        <v>1833</v>
      </c>
      <c r="AF13" s="24" t="s">
        <v>1831</v>
      </c>
      <c r="AG13" s="24" t="s">
        <v>1832</v>
      </c>
      <c r="AH13" s="24" t="s">
        <v>1833</v>
      </c>
      <c r="AI13" s="24" t="s">
        <v>1831</v>
      </c>
      <c r="AJ13" s="24" t="s">
        <v>1832</v>
      </c>
      <c r="AK13" s="24" t="s">
        <v>1833</v>
      </c>
      <c r="AL13" s="24" t="s">
        <v>1831</v>
      </c>
      <c r="AM13" s="24" t="s">
        <v>1832</v>
      </c>
      <c r="AN13" s="24" t="s">
        <v>1833</v>
      </c>
      <c r="AO13" s="24" t="s">
        <v>1831</v>
      </c>
      <c r="AP13" s="24" t="s">
        <v>1832</v>
      </c>
      <c r="AQ13" s="24" t="s">
        <v>1833</v>
      </c>
    </row>
    <row r="14" spans="1:43" s="2" customFormat="1" x14ac:dyDescent="0.25">
      <c r="A14" s="161" t="str">
        <f t="shared" ref="A14:A76" si="0">CONCATENATE(E14,IF(ISBLANK(C14),"",CONCATENATE("_",C14)))</f>
        <v>_SETTLER</v>
      </c>
      <c r="B14" s="9"/>
      <c r="C14" s="5"/>
      <c r="D14" s="5"/>
      <c r="E14" s="4" t="s">
        <v>1078</v>
      </c>
      <c r="F14" s="5" t="s">
        <v>2536</v>
      </c>
      <c r="G14" s="5"/>
      <c r="H14" s="5" t="s">
        <v>1084</v>
      </c>
      <c r="I14" s="5" t="s">
        <v>128</v>
      </c>
      <c r="J14" s="6"/>
      <c r="K14" s="6"/>
      <c r="L14" s="5" t="s">
        <v>1708</v>
      </c>
      <c r="M14" s="8"/>
      <c r="N14" s="5"/>
      <c r="O14" s="5"/>
      <c r="P14" s="5"/>
      <c r="Q14" s="6">
        <v>0</v>
      </c>
      <c r="R14" s="6" t="s">
        <v>1695</v>
      </c>
      <c r="S14" s="5" t="s">
        <v>1610</v>
      </c>
      <c r="T14" s="6">
        <v>0</v>
      </c>
      <c r="U14" s="6" t="s">
        <v>1695</v>
      </c>
      <c r="V14" s="5"/>
      <c r="W14" s="7">
        <v>0</v>
      </c>
      <c r="X14" s="6" t="s">
        <v>3</v>
      </c>
      <c r="Y14" s="5"/>
      <c r="Z14" s="6">
        <v>0</v>
      </c>
      <c r="AA14" s="6"/>
      <c r="AB14" s="5"/>
      <c r="AC14" s="6">
        <v>0</v>
      </c>
      <c r="AD14" s="6" t="s">
        <v>3</v>
      </c>
      <c r="AE14" s="5"/>
      <c r="AF14" s="6">
        <v>0</v>
      </c>
      <c r="AG14" s="6"/>
      <c r="AH14" s="5"/>
      <c r="AI14" s="6">
        <v>0</v>
      </c>
      <c r="AJ14" s="6"/>
      <c r="AK14" s="5"/>
      <c r="AL14" s="5" t="s">
        <v>1911</v>
      </c>
      <c r="AM14" s="5"/>
      <c r="AN14" s="5"/>
      <c r="AO14" s="5" t="s">
        <v>1911</v>
      </c>
      <c r="AP14" s="5"/>
      <c r="AQ14" s="5"/>
    </row>
    <row r="15" spans="1:43" s="2" customFormat="1" x14ac:dyDescent="0.25">
      <c r="A15" s="161" t="str">
        <f t="shared" si="0"/>
        <v>_SETTLER</v>
      </c>
      <c r="B15" s="9"/>
      <c r="C15" s="5"/>
      <c r="D15" s="5"/>
      <c r="E15" s="4" t="s">
        <v>1078</v>
      </c>
      <c r="F15" s="5" t="s">
        <v>2537</v>
      </c>
      <c r="G15" s="5"/>
      <c r="H15" s="5" t="s">
        <v>1434</v>
      </c>
      <c r="I15" s="5" t="s">
        <v>128</v>
      </c>
      <c r="J15" s="6"/>
      <c r="K15" s="6"/>
      <c r="L15" s="5" t="s">
        <v>1708</v>
      </c>
      <c r="M15" s="8"/>
      <c r="N15" s="5"/>
      <c r="O15" s="5"/>
      <c r="P15" s="5"/>
      <c r="Q15" s="6">
        <v>0</v>
      </c>
      <c r="R15" s="6" t="s">
        <v>1695</v>
      </c>
      <c r="S15" s="5" t="s">
        <v>1610</v>
      </c>
      <c r="T15" s="6">
        <v>0</v>
      </c>
      <c r="U15" s="6" t="s">
        <v>1737</v>
      </c>
      <c r="V15" s="5"/>
      <c r="W15" s="7">
        <v>0</v>
      </c>
      <c r="X15" s="6" t="s">
        <v>3</v>
      </c>
      <c r="Y15" s="5"/>
      <c r="Z15" s="6">
        <v>0</v>
      </c>
      <c r="AA15" s="6"/>
      <c r="AB15" s="5"/>
      <c r="AC15" s="6">
        <v>0</v>
      </c>
      <c r="AD15" s="6" t="s">
        <v>3</v>
      </c>
      <c r="AE15" s="5"/>
      <c r="AF15" s="6">
        <v>0</v>
      </c>
      <c r="AG15" s="6"/>
      <c r="AH15" s="5"/>
      <c r="AI15" s="6">
        <v>0</v>
      </c>
      <c r="AJ15" s="6"/>
      <c r="AK15" s="5"/>
      <c r="AL15" s="5" t="s">
        <v>1911</v>
      </c>
      <c r="AM15" s="5"/>
      <c r="AN15" s="5"/>
      <c r="AO15" s="5" t="s">
        <v>1911</v>
      </c>
      <c r="AP15" s="5"/>
      <c r="AQ15" s="5"/>
    </row>
    <row r="16" spans="1:43" s="2" customFormat="1" x14ac:dyDescent="0.25">
      <c r="A16" s="161" t="str">
        <f t="shared" si="0"/>
        <v>_SETTLER</v>
      </c>
      <c r="B16" s="9"/>
      <c r="C16" s="5"/>
      <c r="D16" s="5"/>
      <c r="E16" s="4" t="s">
        <v>1078</v>
      </c>
      <c r="F16" s="5" t="s">
        <v>2538</v>
      </c>
      <c r="G16" s="5"/>
      <c r="H16" s="5" t="s">
        <v>1439</v>
      </c>
      <c r="I16" s="5" t="s">
        <v>128</v>
      </c>
      <c r="J16" s="6"/>
      <c r="K16" s="6"/>
      <c r="L16" s="5" t="s">
        <v>1708</v>
      </c>
      <c r="M16" s="8"/>
      <c r="N16" s="5"/>
      <c r="O16" s="5"/>
      <c r="P16" s="5"/>
      <c r="Q16" s="6">
        <v>0</v>
      </c>
      <c r="R16" s="6" t="s">
        <v>1695</v>
      </c>
      <c r="S16" s="5" t="s">
        <v>1610</v>
      </c>
      <c r="T16" s="6">
        <v>0</v>
      </c>
      <c r="U16" s="6" t="s">
        <v>1737</v>
      </c>
      <c r="V16" s="5"/>
      <c r="W16" s="7">
        <v>0</v>
      </c>
      <c r="X16" s="6" t="s">
        <v>3</v>
      </c>
      <c r="Y16" s="5"/>
      <c r="Z16" s="6">
        <v>0</v>
      </c>
      <c r="AA16" s="6"/>
      <c r="AB16" s="5"/>
      <c r="AC16" s="6">
        <v>0</v>
      </c>
      <c r="AD16" s="6" t="s">
        <v>3</v>
      </c>
      <c r="AE16" s="5"/>
      <c r="AF16" s="6">
        <v>0</v>
      </c>
      <c r="AG16" s="6"/>
      <c r="AH16" s="5"/>
      <c r="AI16" s="6">
        <v>0</v>
      </c>
      <c r="AJ16" s="6"/>
      <c r="AK16" s="5"/>
      <c r="AL16" s="5" t="s">
        <v>1911</v>
      </c>
      <c r="AM16" s="5"/>
      <c r="AN16" s="5"/>
      <c r="AO16" s="5" t="s">
        <v>1911</v>
      </c>
      <c r="AP16" s="5"/>
      <c r="AQ16" s="5"/>
    </row>
    <row r="17" spans="1:43" s="2" customFormat="1" x14ac:dyDescent="0.25">
      <c r="A17" s="161" t="str">
        <f t="shared" si="0"/>
        <v>_SETTLER</v>
      </c>
      <c r="B17" s="9"/>
      <c r="C17" s="5"/>
      <c r="D17" s="5"/>
      <c r="E17" s="4" t="s">
        <v>1078</v>
      </c>
      <c r="F17" s="5" t="s">
        <v>2539</v>
      </c>
      <c r="G17" s="5"/>
      <c r="H17" s="5" t="s">
        <v>1440</v>
      </c>
      <c r="I17" s="5" t="s">
        <v>128</v>
      </c>
      <c r="J17" s="6"/>
      <c r="K17" s="6"/>
      <c r="L17" s="5" t="s">
        <v>1708</v>
      </c>
      <c r="M17" s="8"/>
      <c r="N17" s="5"/>
      <c r="O17" s="5"/>
      <c r="P17" s="5"/>
      <c r="Q17" s="6">
        <v>0</v>
      </c>
      <c r="R17" s="6" t="s">
        <v>1695</v>
      </c>
      <c r="S17" s="5" t="s">
        <v>1610</v>
      </c>
      <c r="T17" s="6">
        <v>0</v>
      </c>
      <c r="U17" s="6" t="s">
        <v>1737</v>
      </c>
      <c r="V17" s="5"/>
      <c r="W17" s="7">
        <v>0</v>
      </c>
      <c r="X17" s="6" t="s">
        <v>3</v>
      </c>
      <c r="Y17" s="5"/>
      <c r="Z17" s="7">
        <v>0</v>
      </c>
      <c r="AA17" s="6"/>
      <c r="AB17" s="5"/>
      <c r="AC17" s="6">
        <v>0</v>
      </c>
      <c r="AD17" s="6" t="s">
        <v>3</v>
      </c>
      <c r="AE17" s="5"/>
      <c r="AF17" s="6">
        <v>0</v>
      </c>
      <c r="AG17" s="6"/>
      <c r="AH17" s="5"/>
      <c r="AI17" s="6">
        <v>0</v>
      </c>
      <c r="AJ17" s="6"/>
      <c r="AK17" s="5"/>
      <c r="AL17" s="5" t="s">
        <v>1911</v>
      </c>
      <c r="AM17" s="5"/>
      <c r="AN17" s="5"/>
      <c r="AO17" s="5" t="s">
        <v>1911</v>
      </c>
      <c r="AP17" s="5"/>
      <c r="AQ17" s="5"/>
    </row>
    <row r="18" spans="1:43" s="2" customFormat="1" x14ac:dyDescent="0.25">
      <c r="A18" s="161" t="str">
        <f t="shared" si="0"/>
        <v>_SETTLER</v>
      </c>
      <c r="B18" s="9"/>
      <c r="C18" s="5"/>
      <c r="D18" s="5"/>
      <c r="E18" s="4" t="s">
        <v>1078</v>
      </c>
      <c r="F18" s="5" t="s">
        <v>2540</v>
      </c>
      <c r="G18" s="5"/>
      <c r="H18" s="5" t="s">
        <v>1441</v>
      </c>
      <c r="I18" s="5" t="s">
        <v>128</v>
      </c>
      <c r="J18" s="6"/>
      <c r="K18" s="6"/>
      <c r="L18" s="5" t="s">
        <v>1708</v>
      </c>
      <c r="M18" s="8"/>
      <c r="N18" s="5"/>
      <c r="O18" s="5"/>
      <c r="P18" s="5"/>
      <c r="Q18" s="6">
        <v>0</v>
      </c>
      <c r="R18" s="6" t="s">
        <v>1695</v>
      </c>
      <c r="S18" s="5" t="s">
        <v>1610</v>
      </c>
      <c r="T18" s="6">
        <v>0</v>
      </c>
      <c r="U18" s="6" t="s">
        <v>1737</v>
      </c>
      <c r="V18" s="5"/>
      <c r="W18" s="7">
        <v>0</v>
      </c>
      <c r="X18" s="6" t="s">
        <v>3</v>
      </c>
      <c r="Y18" s="5"/>
      <c r="Z18" s="7">
        <v>0</v>
      </c>
      <c r="AA18" s="6"/>
      <c r="AB18" s="5"/>
      <c r="AC18" s="6">
        <v>0</v>
      </c>
      <c r="AD18" s="6" t="s">
        <v>3</v>
      </c>
      <c r="AE18" s="5"/>
      <c r="AF18" s="6">
        <v>0</v>
      </c>
      <c r="AG18" s="6"/>
      <c r="AH18" s="5"/>
      <c r="AI18" s="6">
        <v>0</v>
      </c>
      <c r="AJ18" s="6"/>
      <c r="AK18" s="5"/>
      <c r="AL18" s="5" t="s">
        <v>1911</v>
      </c>
      <c r="AM18" s="5"/>
      <c r="AN18" s="5"/>
      <c r="AO18" s="5" t="s">
        <v>1911</v>
      </c>
      <c r="AP18" s="5"/>
      <c r="AQ18" s="5"/>
    </row>
    <row r="19" spans="1:43" s="2" customFormat="1" x14ac:dyDescent="0.25">
      <c r="A19" s="161" t="str">
        <f t="shared" si="0"/>
        <v>_SETTLER</v>
      </c>
      <c r="B19" s="9"/>
      <c r="C19" s="5"/>
      <c r="D19" s="5"/>
      <c r="E19" s="4" t="s">
        <v>1078</v>
      </c>
      <c r="F19" s="5" t="s">
        <v>2541</v>
      </c>
      <c r="G19" s="5"/>
      <c r="H19" s="5" t="s">
        <v>1435</v>
      </c>
      <c r="I19" s="5" t="s">
        <v>128</v>
      </c>
      <c r="J19" s="6"/>
      <c r="K19" s="6"/>
      <c r="L19" s="5" t="s">
        <v>1708</v>
      </c>
      <c r="M19" s="8"/>
      <c r="N19" s="5"/>
      <c r="O19" s="5"/>
      <c r="P19" s="5"/>
      <c r="Q19" s="6">
        <v>0</v>
      </c>
      <c r="R19" s="6" t="s">
        <v>1695</v>
      </c>
      <c r="S19" s="5" t="s">
        <v>1610</v>
      </c>
      <c r="T19" s="6">
        <v>0</v>
      </c>
      <c r="U19" s="6" t="s">
        <v>1737</v>
      </c>
      <c r="V19" s="5"/>
      <c r="W19" s="7">
        <v>0</v>
      </c>
      <c r="X19" s="6" t="s">
        <v>3</v>
      </c>
      <c r="Y19" s="5"/>
      <c r="Z19" s="7">
        <v>0</v>
      </c>
      <c r="AA19" s="6"/>
      <c r="AB19" s="5"/>
      <c r="AC19" s="6">
        <v>0</v>
      </c>
      <c r="AD19" s="6" t="s">
        <v>3</v>
      </c>
      <c r="AE19" s="5"/>
      <c r="AF19" s="6">
        <v>0</v>
      </c>
      <c r="AG19" s="6"/>
      <c r="AH19" s="5"/>
      <c r="AI19" s="6">
        <v>0</v>
      </c>
      <c r="AJ19" s="6"/>
      <c r="AK19" s="5"/>
      <c r="AL19" s="5" t="s">
        <v>1911</v>
      </c>
      <c r="AM19" s="5"/>
      <c r="AN19" s="5"/>
      <c r="AO19" s="5" t="s">
        <v>1911</v>
      </c>
      <c r="AP19" s="5"/>
      <c r="AQ19" s="5"/>
    </row>
    <row r="20" spans="1:43" s="2" customFormat="1" x14ac:dyDescent="0.25">
      <c r="A20" s="161" t="str">
        <f t="shared" si="0"/>
        <v>_SETTLER</v>
      </c>
      <c r="B20" s="9"/>
      <c r="C20" s="5"/>
      <c r="D20" s="5"/>
      <c r="E20" s="4" t="s">
        <v>1078</v>
      </c>
      <c r="F20" s="5" t="s">
        <v>2542</v>
      </c>
      <c r="G20" s="5"/>
      <c r="H20" s="5" t="s">
        <v>1436</v>
      </c>
      <c r="I20" s="5" t="s">
        <v>128</v>
      </c>
      <c r="J20" s="6"/>
      <c r="K20" s="6"/>
      <c r="L20" s="5" t="s">
        <v>1708</v>
      </c>
      <c r="M20" s="8"/>
      <c r="N20" s="5"/>
      <c r="O20" s="5"/>
      <c r="P20" s="5"/>
      <c r="Q20" s="6">
        <v>0</v>
      </c>
      <c r="R20" s="6" t="s">
        <v>1695</v>
      </c>
      <c r="S20" s="5" t="s">
        <v>1610</v>
      </c>
      <c r="T20" s="6">
        <v>0</v>
      </c>
      <c r="U20" s="6" t="s">
        <v>1737</v>
      </c>
      <c r="V20" s="5"/>
      <c r="W20" s="7">
        <v>0</v>
      </c>
      <c r="X20" s="6" t="s">
        <v>3</v>
      </c>
      <c r="Y20" s="5"/>
      <c r="Z20" s="7">
        <v>0</v>
      </c>
      <c r="AA20" s="6"/>
      <c r="AB20" s="5"/>
      <c r="AC20" s="6">
        <v>0</v>
      </c>
      <c r="AD20" s="6" t="s">
        <v>3</v>
      </c>
      <c r="AE20" s="5"/>
      <c r="AF20" s="6">
        <v>0</v>
      </c>
      <c r="AG20" s="6"/>
      <c r="AH20" s="5"/>
      <c r="AI20" s="6">
        <v>0</v>
      </c>
      <c r="AJ20" s="6"/>
      <c r="AK20" s="5"/>
      <c r="AL20" s="5" t="s">
        <v>1911</v>
      </c>
      <c r="AM20" s="5"/>
      <c r="AN20" s="5"/>
      <c r="AO20" s="5" t="s">
        <v>1911</v>
      </c>
      <c r="AP20" s="5"/>
      <c r="AQ20" s="5"/>
    </row>
    <row r="21" spans="1:43" s="2" customFormat="1" x14ac:dyDescent="0.25">
      <c r="A21" s="161" t="str">
        <f t="shared" si="0"/>
        <v>_SETTLER</v>
      </c>
      <c r="B21" s="9"/>
      <c r="C21" s="5"/>
      <c r="D21" s="5"/>
      <c r="E21" s="4" t="s">
        <v>1078</v>
      </c>
      <c r="F21" s="5" t="s">
        <v>2543</v>
      </c>
      <c r="G21" s="5"/>
      <c r="H21" s="5" t="s">
        <v>1437</v>
      </c>
      <c r="I21" s="5" t="s">
        <v>128</v>
      </c>
      <c r="J21" s="6"/>
      <c r="K21" s="6"/>
      <c r="L21" s="5" t="s">
        <v>1708</v>
      </c>
      <c r="M21" s="8"/>
      <c r="N21" s="5"/>
      <c r="O21" s="5"/>
      <c r="P21" s="5"/>
      <c r="Q21" s="6">
        <v>0</v>
      </c>
      <c r="R21" s="6" t="s">
        <v>1695</v>
      </c>
      <c r="S21" s="5" t="s">
        <v>1610</v>
      </c>
      <c r="T21" s="6">
        <v>0</v>
      </c>
      <c r="U21" s="6" t="s">
        <v>1737</v>
      </c>
      <c r="V21" s="5"/>
      <c r="W21" s="7">
        <v>0</v>
      </c>
      <c r="X21" s="6" t="s">
        <v>3</v>
      </c>
      <c r="Y21" s="5"/>
      <c r="Z21" s="7">
        <v>0</v>
      </c>
      <c r="AA21" s="6"/>
      <c r="AB21" s="5"/>
      <c r="AC21" s="6">
        <v>0</v>
      </c>
      <c r="AD21" s="6" t="s">
        <v>3</v>
      </c>
      <c r="AE21" s="5"/>
      <c r="AF21" s="6">
        <v>0</v>
      </c>
      <c r="AG21" s="6"/>
      <c r="AH21" s="5"/>
      <c r="AI21" s="6">
        <v>0</v>
      </c>
      <c r="AJ21" s="6"/>
      <c r="AK21" s="5"/>
      <c r="AL21" s="5" t="s">
        <v>1911</v>
      </c>
      <c r="AM21" s="5"/>
      <c r="AN21" s="5"/>
      <c r="AO21" s="5" t="s">
        <v>1911</v>
      </c>
      <c r="AP21" s="5"/>
      <c r="AQ21" s="5"/>
    </row>
    <row r="22" spans="1:43" s="2" customFormat="1" x14ac:dyDescent="0.25">
      <c r="A22" s="161" t="str">
        <f t="shared" si="0"/>
        <v>_SETTLER</v>
      </c>
      <c r="B22" s="9"/>
      <c r="C22" s="5"/>
      <c r="D22" s="5"/>
      <c r="E22" s="4" t="s">
        <v>1078</v>
      </c>
      <c r="F22" s="5" t="s">
        <v>2544</v>
      </c>
      <c r="G22" s="5"/>
      <c r="H22" s="5" t="s">
        <v>1438</v>
      </c>
      <c r="I22" s="5" t="s">
        <v>128</v>
      </c>
      <c r="J22" s="6"/>
      <c r="K22" s="6"/>
      <c r="L22" s="5" t="s">
        <v>1708</v>
      </c>
      <c r="M22" s="8"/>
      <c r="N22" s="5"/>
      <c r="O22" s="5"/>
      <c r="P22" s="5"/>
      <c r="Q22" s="6">
        <v>0</v>
      </c>
      <c r="R22" s="6" t="s">
        <v>1695</v>
      </c>
      <c r="S22" s="5" t="s">
        <v>1610</v>
      </c>
      <c r="T22" s="6">
        <v>0</v>
      </c>
      <c r="U22" s="6" t="s">
        <v>1737</v>
      </c>
      <c r="V22" s="5"/>
      <c r="W22" s="7">
        <v>0</v>
      </c>
      <c r="X22" s="6" t="s">
        <v>3</v>
      </c>
      <c r="Y22" s="5"/>
      <c r="Z22" s="7">
        <v>0</v>
      </c>
      <c r="AA22" s="6"/>
      <c r="AB22" s="5"/>
      <c r="AC22" s="6">
        <v>0</v>
      </c>
      <c r="AD22" s="6" t="s">
        <v>3</v>
      </c>
      <c r="AE22" s="5"/>
      <c r="AF22" s="6">
        <v>0</v>
      </c>
      <c r="AG22" s="6"/>
      <c r="AH22" s="5"/>
      <c r="AI22" s="6">
        <v>0</v>
      </c>
      <c r="AJ22" s="6"/>
      <c r="AK22" s="5"/>
      <c r="AL22" s="5" t="s">
        <v>1911</v>
      </c>
      <c r="AM22" s="5"/>
      <c r="AN22" s="5"/>
      <c r="AO22" s="5" t="s">
        <v>1911</v>
      </c>
      <c r="AP22" s="5"/>
      <c r="AQ22" s="5"/>
    </row>
    <row r="23" spans="1:43" s="2" customFormat="1" x14ac:dyDescent="0.25">
      <c r="A23" s="161" t="str">
        <f t="shared" ref="A23:A31" si="1">CONCATENATE(E23,IF(ISBLANK(C23),"",CONCATENATE("_",C23)))</f>
        <v>_SETTLER</v>
      </c>
      <c r="B23" s="9" t="s">
        <v>2238</v>
      </c>
      <c r="C23" s="5"/>
      <c r="D23" s="5"/>
      <c r="E23" s="5" t="s">
        <v>1078</v>
      </c>
      <c r="F23" s="5" t="s">
        <v>2238</v>
      </c>
      <c r="G23" s="5" t="s">
        <v>2019</v>
      </c>
      <c r="H23" s="5" t="s">
        <v>1084</v>
      </c>
      <c r="I23" s="5" t="s">
        <v>128</v>
      </c>
      <c r="J23" s="6"/>
      <c r="K23" s="6"/>
      <c r="L23" s="5" t="s">
        <v>1708</v>
      </c>
      <c r="M23" s="8"/>
      <c r="N23" s="5"/>
      <c r="O23" s="5"/>
      <c r="P23" s="5"/>
      <c r="Q23" s="6">
        <v>1</v>
      </c>
      <c r="R23" s="6" t="s">
        <v>1695</v>
      </c>
      <c r="S23" s="5" t="s">
        <v>1610</v>
      </c>
      <c r="T23" s="6">
        <v>1</v>
      </c>
      <c r="U23" s="6" t="s">
        <v>1695</v>
      </c>
      <c r="V23" s="5"/>
      <c r="W23" s="6"/>
      <c r="X23" s="6" t="s">
        <v>3</v>
      </c>
      <c r="Y23" s="5"/>
      <c r="Z23" s="6">
        <v>1</v>
      </c>
      <c r="AA23" s="6"/>
      <c r="AB23" s="5"/>
      <c r="AC23" s="6"/>
      <c r="AD23" s="6" t="s">
        <v>3</v>
      </c>
      <c r="AE23" s="5"/>
      <c r="AF23" s="6">
        <v>1</v>
      </c>
      <c r="AG23" s="6"/>
      <c r="AH23" s="5"/>
      <c r="AI23" s="6"/>
      <c r="AJ23" s="6"/>
      <c r="AK23" s="5"/>
      <c r="AL23" s="5"/>
      <c r="AM23" s="5"/>
      <c r="AN23" s="5"/>
      <c r="AO23" s="5"/>
      <c r="AP23" s="5"/>
      <c r="AQ23" s="5"/>
    </row>
    <row r="24" spans="1:43" s="2" customFormat="1" x14ac:dyDescent="0.25">
      <c r="A24" s="161" t="str">
        <f t="shared" si="1"/>
        <v>_SETTLER</v>
      </c>
      <c r="B24" s="9" t="s">
        <v>2238</v>
      </c>
      <c r="C24" s="5"/>
      <c r="D24" s="5"/>
      <c r="E24" s="5" t="s">
        <v>1078</v>
      </c>
      <c r="F24" s="5" t="s">
        <v>2238</v>
      </c>
      <c r="G24" s="5" t="s">
        <v>2040</v>
      </c>
      <c r="H24" s="5" t="s">
        <v>1434</v>
      </c>
      <c r="I24" s="5" t="s">
        <v>128</v>
      </c>
      <c r="J24" s="6"/>
      <c r="K24" s="6"/>
      <c r="L24" s="5" t="s">
        <v>1708</v>
      </c>
      <c r="M24" s="8"/>
      <c r="N24" s="5"/>
      <c r="O24" s="5"/>
      <c r="P24" s="5"/>
      <c r="Q24" s="6">
        <v>1</v>
      </c>
      <c r="R24" s="6" t="s">
        <v>1695</v>
      </c>
      <c r="S24" s="5" t="s">
        <v>1610</v>
      </c>
      <c r="T24" s="6">
        <v>1</v>
      </c>
      <c r="U24" s="6" t="s">
        <v>1737</v>
      </c>
      <c r="V24" s="5"/>
      <c r="W24" s="6"/>
      <c r="X24" s="6" t="s">
        <v>3</v>
      </c>
      <c r="Y24" s="5"/>
      <c r="Z24" s="6">
        <v>0</v>
      </c>
      <c r="AA24" s="6"/>
      <c r="AB24" s="5"/>
      <c r="AC24" s="6"/>
      <c r="AD24" s="6" t="s">
        <v>3</v>
      </c>
      <c r="AE24" s="5"/>
      <c r="AF24" s="6">
        <v>0</v>
      </c>
      <c r="AG24" s="6"/>
      <c r="AH24" s="5"/>
      <c r="AI24" s="6"/>
      <c r="AJ24" s="6"/>
      <c r="AK24" s="5"/>
      <c r="AL24" s="5"/>
      <c r="AM24" s="5"/>
      <c r="AN24" s="5"/>
      <c r="AO24" s="5"/>
      <c r="AP24" s="5"/>
      <c r="AQ24" s="5"/>
    </row>
    <row r="25" spans="1:43" s="2" customFormat="1" x14ac:dyDescent="0.25">
      <c r="A25" s="161" t="str">
        <f t="shared" si="1"/>
        <v>_SETTLER</v>
      </c>
      <c r="B25" s="9" t="s">
        <v>2238</v>
      </c>
      <c r="C25" s="5"/>
      <c r="D25" s="5"/>
      <c r="E25" s="5" t="s">
        <v>1078</v>
      </c>
      <c r="F25" s="5" t="s">
        <v>2238</v>
      </c>
      <c r="G25" s="5" t="s">
        <v>2041</v>
      </c>
      <c r="H25" s="5" t="s">
        <v>1439</v>
      </c>
      <c r="I25" s="5" t="s">
        <v>128</v>
      </c>
      <c r="J25" s="6"/>
      <c r="K25" s="6"/>
      <c r="L25" s="5" t="s">
        <v>1708</v>
      </c>
      <c r="M25" s="8"/>
      <c r="N25" s="5"/>
      <c r="O25" s="5"/>
      <c r="P25" s="5"/>
      <c r="Q25" s="6">
        <v>1</v>
      </c>
      <c r="R25" s="6" t="s">
        <v>1695</v>
      </c>
      <c r="S25" s="5" t="s">
        <v>1610</v>
      </c>
      <c r="T25" s="6">
        <v>1</v>
      </c>
      <c r="U25" s="6" t="s">
        <v>1737</v>
      </c>
      <c r="V25" s="5"/>
      <c r="W25" s="6"/>
      <c r="X25" s="6" t="s">
        <v>3</v>
      </c>
      <c r="Y25" s="5"/>
      <c r="Z25" s="6">
        <v>0</v>
      </c>
      <c r="AA25" s="6"/>
      <c r="AB25" s="5"/>
      <c r="AC25" s="6"/>
      <c r="AD25" s="6" t="s">
        <v>3</v>
      </c>
      <c r="AE25" s="5"/>
      <c r="AF25" s="6">
        <v>0</v>
      </c>
      <c r="AG25" s="6"/>
      <c r="AH25" s="5"/>
      <c r="AI25" s="6"/>
      <c r="AJ25" s="6"/>
      <c r="AK25" s="5"/>
      <c r="AL25" s="5"/>
      <c r="AM25" s="5"/>
      <c r="AN25" s="5"/>
      <c r="AO25" s="5"/>
      <c r="AP25" s="5"/>
      <c r="AQ25" s="5"/>
    </row>
    <row r="26" spans="1:43" s="2" customFormat="1" x14ac:dyDescent="0.25">
      <c r="A26" s="161" t="str">
        <f t="shared" si="1"/>
        <v>_SETTLER</v>
      </c>
      <c r="B26" s="9" t="s">
        <v>2238</v>
      </c>
      <c r="C26" s="5"/>
      <c r="D26" s="5"/>
      <c r="E26" s="5" t="s">
        <v>1078</v>
      </c>
      <c r="F26" s="5" t="s">
        <v>2238</v>
      </c>
      <c r="G26" s="5" t="s">
        <v>2042</v>
      </c>
      <c r="H26" s="5" t="s">
        <v>1440</v>
      </c>
      <c r="I26" s="5" t="s">
        <v>128</v>
      </c>
      <c r="J26" s="6"/>
      <c r="K26" s="6"/>
      <c r="L26" s="5" t="s">
        <v>1708</v>
      </c>
      <c r="M26" s="8"/>
      <c r="N26" s="5"/>
      <c r="O26" s="5"/>
      <c r="P26" s="5"/>
      <c r="Q26" s="6">
        <v>1</v>
      </c>
      <c r="R26" s="6" t="s">
        <v>1695</v>
      </c>
      <c r="S26" s="5" t="s">
        <v>1610</v>
      </c>
      <c r="T26" s="6">
        <v>1</v>
      </c>
      <c r="U26" s="6" t="s">
        <v>1737</v>
      </c>
      <c r="V26" s="5"/>
      <c r="W26" s="7"/>
      <c r="X26" s="6" t="s">
        <v>3</v>
      </c>
      <c r="Y26" s="5"/>
      <c r="Z26" s="7">
        <v>0</v>
      </c>
      <c r="AA26" s="6"/>
      <c r="AB26" s="5"/>
      <c r="AC26" s="6"/>
      <c r="AD26" s="6" t="s">
        <v>3</v>
      </c>
      <c r="AE26" s="5"/>
      <c r="AF26" s="6">
        <v>0</v>
      </c>
      <c r="AG26" s="6"/>
      <c r="AH26" s="5"/>
      <c r="AI26" s="6"/>
      <c r="AJ26" s="6"/>
      <c r="AK26" s="5"/>
      <c r="AL26" s="5"/>
      <c r="AM26" s="5"/>
      <c r="AN26" s="5"/>
      <c r="AO26" s="5"/>
      <c r="AP26" s="5"/>
      <c r="AQ26" s="5"/>
    </row>
    <row r="27" spans="1:43" s="2" customFormat="1" x14ac:dyDescent="0.25">
      <c r="A27" s="161" t="str">
        <f t="shared" si="1"/>
        <v>_SETTLER</v>
      </c>
      <c r="B27" s="9" t="s">
        <v>2238</v>
      </c>
      <c r="C27" s="5"/>
      <c r="D27" s="5"/>
      <c r="E27" s="5" t="s">
        <v>1078</v>
      </c>
      <c r="F27" s="5" t="s">
        <v>2238</v>
      </c>
      <c r="G27" s="5" t="s">
        <v>2043</v>
      </c>
      <c r="H27" s="5" t="s">
        <v>1441</v>
      </c>
      <c r="I27" s="5" t="s">
        <v>128</v>
      </c>
      <c r="J27" s="6"/>
      <c r="K27" s="6"/>
      <c r="L27" s="5" t="s">
        <v>1708</v>
      </c>
      <c r="M27" s="8"/>
      <c r="N27" s="5"/>
      <c r="O27" s="5"/>
      <c r="P27" s="5"/>
      <c r="Q27" s="6">
        <v>1</v>
      </c>
      <c r="R27" s="6" t="s">
        <v>1695</v>
      </c>
      <c r="S27" s="5" t="s">
        <v>1610</v>
      </c>
      <c r="T27" s="6">
        <v>1</v>
      </c>
      <c r="U27" s="6" t="s">
        <v>1737</v>
      </c>
      <c r="V27" s="5"/>
      <c r="W27" s="7"/>
      <c r="X27" s="6" t="s">
        <v>3</v>
      </c>
      <c r="Y27" s="5"/>
      <c r="Z27" s="7">
        <v>0</v>
      </c>
      <c r="AA27" s="6"/>
      <c r="AB27" s="5"/>
      <c r="AC27" s="6"/>
      <c r="AD27" s="6" t="s">
        <v>3</v>
      </c>
      <c r="AE27" s="5"/>
      <c r="AF27" s="6">
        <v>0</v>
      </c>
      <c r="AG27" s="6"/>
      <c r="AH27" s="5"/>
      <c r="AI27" s="6"/>
      <c r="AJ27" s="6"/>
      <c r="AK27" s="5"/>
      <c r="AL27" s="5"/>
      <c r="AM27" s="5"/>
      <c r="AN27" s="5"/>
      <c r="AO27" s="5"/>
      <c r="AP27" s="5"/>
      <c r="AQ27" s="5"/>
    </row>
    <row r="28" spans="1:43" s="2" customFormat="1" x14ac:dyDescent="0.25">
      <c r="A28" s="161" t="str">
        <f t="shared" si="1"/>
        <v>_SETTLER</v>
      </c>
      <c r="B28" s="9" t="s">
        <v>2238</v>
      </c>
      <c r="C28" s="5"/>
      <c r="D28" s="5"/>
      <c r="E28" s="5" t="s">
        <v>1078</v>
      </c>
      <c r="F28" s="5" t="s">
        <v>2238</v>
      </c>
      <c r="G28" s="5" t="s">
        <v>2044</v>
      </c>
      <c r="H28" s="5" t="s">
        <v>1435</v>
      </c>
      <c r="I28" s="5" t="s">
        <v>128</v>
      </c>
      <c r="J28" s="6"/>
      <c r="K28" s="6"/>
      <c r="L28" s="5" t="s">
        <v>1708</v>
      </c>
      <c r="M28" s="8"/>
      <c r="N28" s="5"/>
      <c r="O28" s="5"/>
      <c r="P28" s="5"/>
      <c r="Q28" s="6">
        <v>1</v>
      </c>
      <c r="R28" s="6" t="s">
        <v>1695</v>
      </c>
      <c r="S28" s="5" t="s">
        <v>1610</v>
      </c>
      <c r="T28" s="6">
        <v>1</v>
      </c>
      <c r="U28" s="6" t="s">
        <v>1737</v>
      </c>
      <c r="V28" s="5"/>
      <c r="W28" s="7"/>
      <c r="X28" s="6" t="s">
        <v>3</v>
      </c>
      <c r="Y28" s="5"/>
      <c r="Z28" s="7">
        <v>0</v>
      </c>
      <c r="AA28" s="6"/>
      <c r="AB28" s="5"/>
      <c r="AC28" s="6"/>
      <c r="AD28" s="6" t="s">
        <v>3</v>
      </c>
      <c r="AE28" s="5"/>
      <c r="AF28" s="6">
        <v>0</v>
      </c>
      <c r="AG28" s="6"/>
      <c r="AH28" s="5"/>
      <c r="AI28" s="6"/>
      <c r="AJ28" s="6"/>
      <c r="AK28" s="5"/>
      <c r="AL28" s="5"/>
      <c r="AM28" s="5"/>
      <c r="AN28" s="5"/>
      <c r="AO28" s="5"/>
      <c r="AP28" s="5"/>
      <c r="AQ28" s="5"/>
    </row>
    <row r="29" spans="1:43" s="2" customFormat="1" x14ac:dyDescent="0.25">
      <c r="A29" s="161" t="str">
        <f t="shared" si="1"/>
        <v>_SETTLER</v>
      </c>
      <c r="B29" s="9" t="s">
        <v>2238</v>
      </c>
      <c r="C29" s="5"/>
      <c r="D29" s="5"/>
      <c r="E29" s="5" t="s">
        <v>1078</v>
      </c>
      <c r="F29" s="5" t="s">
        <v>2238</v>
      </c>
      <c r="G29" s="5" t="s">
        <v>2045</v>
      </c>
      <c r="H29" s="5" t="s">
        <v>1436</v>
      </c>
      <c r="I29" s="5" t="s">
        <v>128</v>
      </c>
      <c r="J29" s="6"/>
      <c r="K29" s="6"/>
      <c r="L29" s="5" t="s">
        <v>1708</v>
      </c>
      <c r="M29" s="8"/>
      <c r="N29" s="5"/>
      <c r="O29" s="5"/>
      <c r="P29" s="5"/>
      <c r="Q29" s="6">
        <v>1</v>
      </c>
      <c r="R29" s="6" t="s">
        <v>1695</v>
      </c>
      <c r="S29" s="5" t="s">
        <v>1610</v>
      </c>
      <c r="T29" s="6">
        <v>1</v>
      </c>
      <c r="U29" s="6" t="s">
        <v>1737</v>
      </c>
      <c r="V29" s="5"/>
      <c r="W29" s="7"/>
      <c r="X29" s="6" t="s">
        <v>3</v>
      </c>
      <c r="Y29" s="5"/>
      <c r="Z29" s="7">
        <v>0</v>
      </c>
      <c r="AA29" s="6"/>
      <c r="AB29" s="5"/>
      <c r="AC29" s="6"/>
      <c r="AD29" s="6" t="s">
        <v>3</v>
      </c>
      <c r="AE29" s="5"/>
      <c r="AF29" s="6">
        <v>0</v>
      </c>
      <c r="AG29" s="6"/>
      <c r="AH29" s="5"/>
      <c r="AI29" s="6"/>
      <c r="AJ29" s="6"/>
      <c r="AK29" s="5"/>
      <c r="AL29" s="5"/>
      <c r="AM29" s="5"/>
      <c r="AN29" s="5"/>
      <c r="AO29" s="5"/>
      <c r="AP29" s="5"/>
      <c r="AQ29" s="5"/>
    </row>
    <row r="30" spans="1:43" s="2" customFormat="1" x14ac:dyDescent="0.25">
      <c r="A30" s="161" t="str">
        <f t="shared" si="1"/>
        <v>_SETTLER</v>
      </c>
      <c r="B30" s="9" t="s">
        <v>2238</v>
      </c>
      <c r="C30" s="5"/>
      <c r="D30" s="5"/>
      <c r="E30" s="5" t="s">
        <v>1078</v>
      </c>
      <c r="F30" s="5" t="s">
        <v>2238</v>
      </c>
      <c r="G30" s="5" t="s">
        <v>2046</v>
      </c>
      <c r="H30" s="5" t="s">
        <v>1437</v>
      </c>
      <c r="I30" s="5" t="s">
        <v>128</v>
      </c>
      <c r="J30" s="6"/>
      <c r="K30" s="6"/>
      <c r="L30" s="5" t="s">
        <v>1708</v>
      </c>
      <c r="M30" s="8"/>
      <c r="N30" s="5"/>
      <c r="O30" s="5"/>
      <c r="P30" s="5"/>
      <c r="Q30" s="6">
        <v>1</v>
      </c>
      <c r="R30" s="6" t="s">
        <v>1695</v>
      </c>
      <c r="S30" s="5" t="s">
        <v>1610</v>
      </c>
      <c r="T30" s="6">
        <v>1</v>
      </c>
      <c r="U30" s="6" t="s">
        <v>1737</v>
      </c>
      <c r="V30" s="5"/>
      <c r="W30" s="7"/>
      <c r="X30" s="6" t="s">
        <v>3</v>
      </c>
      <c r="Y30" s="5"/>
      <c r="Z30" s="7">
        <v>0</v>
      </c>
      <c r="AA30" s="6"/>
      <c r="AB30" s="5"/>
      <c r="AC30" s="6"/>
      <c r="AD30" s="6" t="s">
        <v>3</v>
      </c>
      <c r="AE30" s="5"/>
      <c r="AF30" s="6">
        <v>1</v>
      </c>
      <c r="AG30" s="6"/>
      <c r="AH30" s="5"/>
      <c r="AI30" s="6"/>
      <c r="AJ30" s="6"/>
      <c r="AK30" s="5"/>
      <c r="AL30" s="5"/>
      <c r="AM30" s="5"/>
      <c r="AN30" s="5"/>
      <c r="AO30" s="5"/>
      <c r="AP30" s="5"/>
      <c r="AQ30" s="5"/>
    </row>
    <row r="31" spans="1:43" s="2" customFormat="1" x14ac:dyDescent="0.25">
      <c r="A31" s="161" t="str">
        <f t="shared" si="1"/>
        <v>_SETTLER</v>
      </c>
      <c r="B31" s="9" t="s">
        <v>2238</v>
      </c>
      <c r="C31" s="5"/>
      <c r="D31" s="5"/>
      <c r="E31" s="5" t="s">
        <v>1078</v>
      </c>
      <c r="F31" s="5" t="s">
        <v>2238</v>
      </c>
      <c r="G31" s="5"/>
      <c r="H31" s="5" t="s">
        <v>1438</v>
      </c>
      <c r="I31" s="5" t="s">
        <v>128</v>
      </c>
      <c r="J31" s="6"/>
      <c r="K31" s="6"/>
      <c r="L31" s="5" t="s">
        <v>1708</v>
      </c>
      <c r="M31" s="8"/>
      <c r="N31" s="5"/>
      <c r="O31" s="5"/>
      <c r="P31" s="5"/>
      <c r="Q31" s="6">
        <v>1</v>
      </c>
      <c r="R31" s="6" t="s">
        <v>1695</v>
      </c>
      <c r="S31" s="5" t="s">
        <v>1610</v>
      </c>
      <c r="T31" s="6">
        <v>1</v>
      </c>
      <c r="U31" s="6" t="s">
        <v>1737</v>
      </c>
      <c r="V31" s="5"/>
      <c r="W31" s="7"/>
      <c r="X31" s="6" t="s">
        <v>3</v>
      </c>
      <c r="Y31" s="5"/>
      <c r="Z31" s="7">
        <v>0</v>
      </c>
      <c r="AA31" s="6"/>
      <c r="AB31" s="5"/>
      <c r="AC31" s="6"/>
      <c r="AD31" s="6" t="s">
        <v>3</v>
      </c>
      <c r="AE31" s="5"/>
      <c r="AF31" s="6">
        <v>0</v>
      </c>
      <c r="AG31" s="6"/>
      <c r="AH31" s="5"/>
      <c r="AI31" s="6"/>
      <c r="AJ31" s="6"/>
      <c r="AK31" s="5"/>
      <c r="AL31" s="5"/>
      <c r="AM31" s="5"/>
      <c r="AN31" s="5"/>
      <c r="AO31" s="5"/>
      <c r="AP31" s="5"/>
      <c r="AQ31" s="5"/>
    </row>
    <row r="32" spans="1:43" s="2" customFormat="1" x14ac:dyDescent="0.25">
      <c r="A32" s="161" t="str">
        <f t="shared" si="0"/>
        <v>_SETTLER</v>
      </c>
      <c r="B32" s="9"/>
      <c r="C32" s="5"/>
      <c r="D32" s="5"/>
      <c r="E32" s="4" t="s">
        <v>1078</v>
      </c>
      <c r="F32" s="5" t="s">
        <v>2535</v>
      </c>
      <c r="G32" s="5"/>
      <c r="H32" s="5" t="s">
        <v>1392</v>
      </c>
      <c r="I32" s="5" t="s">
        <v>128</v>
      </c>
      <c r="J32" s="6"/>
      <c r="K32" s="6"/>
      <c r="L32" s="5" t="s">
        <v>1708</v>
      </c>
      <c r="M32" s="8"/>
      <c r="N32" s="5"/>
      <c r="O32" s="5"/>
      <c r="P32" s="5"/>
      <c r="Q32" s="6">
        <v>0</v>
      </c>
      <c r="R32" s="6" t="s">
        <v>1695</v>
      </c>
      <c r="S32" s="5" t="s">
        <v>1610</v>
      </c>
      <c r="T32" s="6">
        <v>0</v>
      </c>
      <c r="U32" s="6" t="s">
        <v>1737</v>
      </c>
      <c r="V32" s="5"/>
      <c r="W32" s="7">
        <v>0</v>
      </c>
      <c r="X32" s="6" t="s">
        <v>3</v>
      </c>
      <c r="Y32" s="5"/>
      <c r="Z32" s="7">
        <v>0</v>
      </c>
      <c r="AA32" s="6"/>
      <c r="AB32" s="5"/>
      <c r="AC32" s="6">
        <v>0</v>
      </c>
      <c r="AD32" s="6" t="s">
        <v>3</v>
      </c>
      <c r="AE32" s="5"/>
      <c r="AF32" s="6">
        <v>0</v>
      </c>
      <c r="AG32" s="6"/>
      <c r="AH32" s="5"/>
      <c r="AI32" s="6">
        <v>0</v>
      </c>
      <c r="AJ32" s="6"/>
      <c r="AK32" s="5"/>
      <c r="AL32" s="5" t="s">
        <v>1911</v>
      </c>
      <c r="AM32" s="5"/>
      <c r="AN32" s="5"/>
      <c r="AO32" s="5" t="s">
        <v>1911</v>
      </c>
      <c r="AP32" s="5"/>
      <c r="AQ32" s="5"/>
    </row>
    <row r="33" spans="1:43" s="2" customFormat="1" x14ac:dyDescent="0.25">
      <c r="A33" s="161" t="str">
        <f t="shared" si="0"/>
        <v>_SETTLER</v>
      </c>
      <c r="B33" s="9"/>
      <c r="C33" s="5"/>
      <c r="D33" s="5"/>
      <c r="E33" s="4" t="s">
        <v>1078</v>
      </c>
      <c r="F33" s="5" t="s">
        <v>2545</v>
      </c>
      <c r="G33" s="5"/>
      <c r="H33" s="5" t="s">
        <v>1085</v>
      </c>
      <c r="I33" s="5" t="s">
        <v>128</v>
      </c>
      <c r="J33" s="6"/>
      <c r="K33" s="6"/>
      <c r="L33" s="5" t="s">
        <v>1708</v>
      </c>
      <c r="M33" s="8"/>
      <c r="N33" s="5"/>
      <c r="O33" s="5"/>
      <c r="P33" s="5"/>
      <c r="Q33" s="6">
        <v>0</v>
      </c>
      <c r="R33" s="6" t="s">
        <v>1695</v>
      </c>
      <c r="S33" s="5" t="s">
        <v>1610</v>
      </c>
      <c r="T33" s="6">
        <v>0</v>
      </c>
      <c r="U33" s="6" t="s">
        <v>1737</v>
      </c>
      <c r="V33" s="5"/>
      <c r="W33" s="7">
        <v>0</v>
      </c>
      <c r="X33" s="6" t="s">
        <v>3</v>
      </c>
      <c r="Y33" s="5"/>
      <c r="Z33" s="7">
        <v>0</v>
      </c>
      <c r="AA33" s="6"/>
      <c r="AB33" s="5"/>
      <c r="AC33" s="6">
        <v>0</v>
      </c>
      <c r="AD33" s="6" t="s">
        <v>3</v>
      </c>
      <c r="AE33" s="5"/>
      <c r="AF33" s="6">
        <v>0</v>
      </c>
      <c r="AG33" s="6"/>
      <c r="AH33" s="5"/>
      <c r="AI33" s="6">
        <v>0</v>
      </c>
      <c r="AJ33" s="6"/>
      <c r="AK33" s="5"/>
      <c r="AL33" s="5" t="s">
        <v>1911</v>
      </c>
      <c r="AM33" s="5"/>
      <c r="AN33" s="5"/>
      <c r="AO33" s="5" t="s">
        <v>1911</v>
      </c>
      <c r="AP33" s="5"/>
      <c r="AQ33" s="5"/>
    </row>
    <row r="34" spans="1:43" s="2" customFormat="1" x14ac:dyDescent="0.25">
      <c r="A34" s="161" t="str">
        <f t="shared" si="0"/>
        <v>_SETTLER</v>
      </c>
      <c r="B34" s="9"/>
      <c r="C34" s="5"/>
      <c r="D34" s="5"/>
      <c r="E34" s="4" t="s">
        <v>1078</v>
      </c>
      <c r="F34" s="5" t="s">
        <v>2546</v>
      </c>
      <c r="G34" s="5"/>
      <c r="H34" s="5" t="s">
        <v>1086</v>
      </c>
      <c r="I34" s="5" t="s">
        <v>128</v>
      </c>
      <c r="J34" s="6"/>
      <c r="K34" s="6"/>
      <c r="L34" s="5" t="s">
        <v>1708</v>
      </c>
      <c r="M34" s="8"/>
      <c r="N34" s="5"/>
      <c r="O34" s="5"/>
      <c r="P34" s="5"/>
      <c r="Q34" s="6">
        <v>0</v>
      </c>
      <c r="R34" s="6" t="s">
        <v>1695</v>
      </c>
      <c r="S34" s="5" t="s">
        <v>1610</v>
      </c>
      <c r="T34" s="6">
        <v>0</v>
      </c>
      <c r="U34" s="6" t="s">
        <v>1737</v>
      </c>
      <c r="V34" s="5"/>
      <c r="W34" s="7">
        <v>0</v>
      </c>
      <c r="X34" s="6" t="s">
        <v>3</v>
      </c>
      <c r="Y34" s="5"/>
      <c r="Z34" s="7">
        <v>0</v>
      </c>
      <c r="AA34" s="6"/>
      <c r="AB34" s="5"/>
      <c r="AC34" s="6">
        <v>0</v>
      </c>
      <c r="AD34" s="6" t="s">
        <v>3</v>
      </c>
      <c r="AE34" s="5"/>
      <c r="AF34" s="6">
        <v>0</v>
      </c>
      <c r="AG34" s="6"/>
      <c r="AH34" s="5"/>
      <c r="AI34" s="6">
        <v>0</v>
      </c>
      <c r="AJ34" s="6"/>
      <c r="AK34" s="5"/>
      <c r="AL34" s="5" t="s">
        <v>1911</v>
      </c>
      <c r="AM34" s="5"/>
      <c r="AN34" s="5"/>
      <c r="AO34" s="5" t="s">
        <v>1911</v>
      </c>
      <c r="AP34" s="5"/>
      <c r="AQ34" s="5"/>
    </row>
    <row r="35" spans="1:43" s="2" customFormat="1" x14ac:dyDescent="0.25">
      <c r="A35" s="161" t="str">
        <f t="shared" si="0"/>
        <v>_SETTLER</v>
      </c>
      <c r="B35" s="9"/>
      <c r="C35" s="5"/>
      <c r="D35" s="5"/>
      <c r="E35" s="4" t="s">
        <v>1078</v>
      </c>
      <c r="F35" s="5" t="s">
        <v>2547</v>
      </c>
      <c r="G35" s="5"/>
      <c r="H35" s="5" t="s">
        <v>1087</v>
      </c>
      <c r="I35" s="5" t="s">
        <v>128</v>
      </c>
      <c r="J35" s="6"/>
      <c r="K35" s="6"/>
      <c r="L35" s="5" t="s">
        <v>1708</v>
      </c>
      <c r="M35" s="8"/>
      <c r="N35" s="5"/>
      <c r="O35" s="5"/>
      <c r="P35" s="5"/>
      <c r="Q35" s="6">
        <v>0</v>
      </c>
      <c r="R35" s="6" t="s">
        <v>1695</v>
      </c>
      <c r="S35" s="5" t="s">
        <v>1610</v>
      </c>
      <c r="T35" s="6">
        <v>0</v>
      </c>
      <c r="U35" s="6" t="s">
        <v>1737</v>
      </c>
      <c r="V35" s="5"/>
      <c r="W35" s="7">
        <v>0</v>
      </c>
      <c r="X35" s="6" t="s">
        <v>3</v>
      </c>
      <c r="Y35" s="5"/>
      <c r="Z35" s="7">
        <v>0</v>
      </c>
      <c r="AA35" s="6"/>
      <c r="AB35" s="5"/>
      <c r="AC35" s="6">
        <v>0</v>
      </c>
      <c r="AD35" s="6" t="s">
        <v>3</v>
      </c>
      <c r="AE35" s="5"/>
      <c r="AF35" s="6">
        <v>0</v>
      </c>
      <c r="AG35" s="6"/>
      <c r="AH35" s="5"/>
      <c r="AI35" s="6">
        <v>0</v>
      </c>
      <c r="AJ35" s="6"/>
      <c r="AK35" s="5"/>
      <c r="AL35" s="5" t="s">
        <v>1911</v>
      </c>
      <c r="AM35" s="5"/>
      <c r="AN35" s="5"/>
      <c r="AO35" s="5" t="s">
        <v>1911</v>
      </c>
      <c r="AP35" s="5"/>
      <c r="AQ35" s="5"/>
    </row>
    <row r="36" spans="1:43" s="2" customFormat="1" x14ac:dyDescent="0.25">
      <c r="A36" s="161" t="str">
        <f t="shared" si="0"/>
        <v>_SETTLER</v>
      </c>
      <c r="B36" s="9"/>
      <c r="C36" s="5"/>
      <c r="D36" s="5"/>
      <c r="E36" s="4" t="s">
        <v>1078</v>
      </c>
      <c r="F36" s="5" t="s">
        <v>2548</v>
      </c>
      <c r="G36" s="5"/>
      <c r="H36" s="5" t="s">
        <v>1088</v>
      </c>
      <c r="I36" s="5" t="s">
        <v>128</v>
      </c>
      <c r="J36" s="6"/>
      <c r="K36" s="6"/>
      <c r="L36" s="5" t="s">
        <v>1708</v>
      </c>
      <c r="M36" s="8"/>
      <c r="N36" s="5"/>
      <c r="O36" s="5"/>
      <c r="P36" s="5"/>
      <c r="Q36" s="6">
        <v>0</v>
      </c>
      <c r="R36" s="6" t="s">
        <v>1695</v>
      </c>
      <c r="S36" s="5" t="s">
        <v>1610</v>
      </c>
      <c r="T36" s="6">
        <v>0</v>
      </c>
      <c r="U36" s="6" t="s">
        <v>1737</v>
      </c>
      <c r="V36" s="5"/>
      <c r="W36" s="7">
        <v>0</v>
      </c>
      <c r="X36" s="6" t="s">
        <v>3</v>
      </c>
      <c r="Y36" s="5"/>
      <c r="Z36" s="7">
        <v>0</v>
      </c>
      <c r="AA36" s="6"/>
      <c r="AB36" s="5"/>
      <c r="AC36" s="6">
        <v>0</v>
      </c>
      <c r="AD36" s="6" t="s">
        <v>3</v>
      </c>
      <c r="AE36" s="5"/>
      <c r="AF36" s="6">
        <v>0</v>
      </c>
      <c r="AG36" s="6"/>
      <c r="AH36" s="5"/>
      <c r="AI36" s="6">
        <v>0</v>
      </c>
      <c r="AJ36" s="6"/>
      <c r="AK36" s="5"/>
      <c r="AL36" s="5" t="s">
        <v>1911</v>
      </c>
      <c r="AM36" s="5"/>
      <c r="AN36" s="5"/>
      <c r="AO36" s="5" t="s">
        <v>1911</v>
      </c>
      <c r="AP36" s="5"/>
      <c r="AQ36" s="5"/>
    </row>
    <row r="37" spans="1:43" s="2" customFormat="1" x14ac:dyDescent="0.25">
      <c r="A37" s="161" t="str">
        <f t="shared" si="0"/>
        <v>_SETTLER</v>
      </c>
      <c r="B37" s="9"/>
      <c r="C37" s="5"/>
      <c r="D37" s="5"/>
      <c r="E37" s="4" t="s">
        <v>1078</v>
      </c>
      <c r="F37" s="5" t="s">
        <v>2549</v>
      </c>
      <c r="G37" s="5"/>
      <c r="H37" s="5" t="s">
        <v>1089</v>
      </c>
      <c r="I37" s="5" t="s">
        <v>128</v>
      </c>
      <c r="J37" s="6"/>
      <c r="K37" s="6"/>
      <c r="L37" s="5" t="s">
        <v>1708</v>
      </c>
      <c r="M37" s="8"/>
      <c r="N37" s="5"/>
      <c r="O37" s="5"/>
      <c r="P37" s="5"/>
      <c r="Q37" s="6">
        <v>0</v>
      </c>
      <c r="R37" s="6" t="s">
        <v>1695</v>
      </c>
      <c r="S37" s="5" t="s">
        <v>1610</v>
      </c>
      <c r="T37" s="6">
        <v>0</v>
      </c>
      <c r="U37" s="6" t="s">
        <v>1737</v>
      </c>
      <c r="V37" s="5"/>
      <c r="W37" s="7">
        <v>0</v>
      </c>
      <c r="X37" s="6" t="s">
        <v>3</v>
      </c>
      <c r="Y37" s="5"/>
      <c r="Z37" s="7">
        <v>0</v>
      </c>
      <c r="AA37" s="6"/>
      <c r="AB37" s="5"/>
      <c r="AC37" s="6">
        <v>0</v>
      </c>
      <c r="AD37" s="6" t="s">
        <v>3</v>
      </c>
      <c r="AE37" s="5"/>
      <c r="AF37" s="6">
        <v>0</v>
      </c>
      <c r="AG37" s="6"/>
      <c r="AH37" s="5"/>
      <c r="AI37" s="6">
        <v>0</v>
      </c>
      <c r="AJ37" s="6"/>
      <c r="AK37" s="5"/>
      <c r="AL37" s="5" t="s">
        <v>1911</v>
      </c>
      <c r="AM37" s="5"/>
      <c r="AN37" s="5"/>
      <c r="AO37" s="5" t="s">
        <v>1911</v>
      </c>
      <c r="AP37" s="5"/>
      <c r="AQ37" s="5"/>
    </row>
    <row r="38" spans="1:43" s="2" customFormat="1" x14ac:dyDescent="0.25">
      <c r="A38" s="161" t="str">
        <f t="shared" si="0"/>
        <v>_SETTLER</v>
      </c>
      <c r="B38" s="9"/>
      <c r="C38" s="5"/>
      <c r="D38" s="5"/>
      <c r="E38" s="4" t="s">
        <v>1078</v>
      </c>
      <c r="F38" s="5" t="s">
        <v>2550</v>
      </c>
      <c r="G38" s="5"/>
      <c r="H38" s="5" t="s">
        <v>1090</v>
      </c>
      <c r="I38" s="5" t="s">
        <v>128</v>
      </c>
      <c r="J38" s="6"/>
      <c r="K38" s="6"/>
      <c r="L38" s="5" t="s">
        <v>1708</v>
      </c>
      <c r="M38" s="8"/>
      <c r="N38" s="5"/>
      <c r="O38" s="5"/>
      <c r="P38" s="5"/>
      <c r="Q38" s="6">
        <v>0</v>
      </c>
      <c r="R38" s="6" t="s">
        <v>1695</v>
      </c>
      <c r="S38" s="5" t="s">
        <v>1610</v>
      </c>
      <c r="T38" s="6">
        <v>0</v>
      </c>
      <c r="U38" s="6" t="s">
        <v>1737</v>
      </c>
      <c r="V38" s="5"/>
      <c r="W38" s="7">
        <v>0</v>
      </c>
      <c r="X38" s="6" t="s">
        <v>3</v>
      </c>
      <c r="Y38" s="5"/>
      <c r="Z38" s="7">
        <v>0</v>
      </c>
      <c r="AA38" s="6"/>
      <c r="AB38" s="5"/>
      <c r="AC38" s="6">
        <v>0</v>
      </c>
      <c r="AD38" s="6" t="s">
        <v>3</v>
      </c>
      <c r="AE38" s="5"/>
      <c r="AF38" s="6">
        <v>0</v>
      </c>
      <c r="AG38" s="6"/>
      <c r="AH38" s="5"/>
      <c r="AI38" s="6">
        <v>0</v>
      </c>
      <c r="AJ38" s="6"/>
      <c r="AK38" s="5"/>
      <c r="AL38" s="5" t="s">
        <v>1911</v>
      </c>
      <c r="AM38" s="5"/>
      <c r="AN38" s="5"/>
      <c r="AO38" s="5" t="s">
        <v>1911</v>
      </c>
      <c r="AP38" s="5"/>
      <c r="AQ38" s="5"/>
    </row>
    <row r="39" spans="1:43" s="2" customFormat="1" x14ac:dyDescent="0.25">
      <c r="A39" s="161" t="str">
        <f t="shared" si="0"/>
        <v>_SETTLER</v>
      </c>
      <c r="B39" s="9"/>
      <c r="C39" s="5"/>
      <c r="D39" s="5"/>
      <c r="E39" s="4" t="s">
        <v>1078</v>
      </c>
      <c r="F39" s="5" t="s">
        <v>2551</v>
      </c>
      <c r="G39" s="5"/>
      <c r="H39" s="5" t="s">
        <v>1091</v>
      </c>
      <c r="I39" s="5" t="s">
        <v>128</v>
      </c>
      <c r="J39" s="6"/>
      <c r="K39" s="6"/>
      <c r="L39" s="5" t="s">
        <v>1708</v>
      </c>
      <c r="M39" s="8"/>
      <c r="N39" s="5"/>
      <c r="O39" s="5"/>
      <c r="P39" s="5"/>
      <c r="Q39" s="6">
        <v>0</v>
      </c>
      <c r="R39" s="6" t="s">
        <v>1695</v>
      </c>
      <c r="S39" s="5" t="s">
        <v>1610</v>
      </c>
      <c r="T39" s="6">
        <v>0</v>
      </c>
      <c r="U39" s="6" t="s">
        <v>1737</v>
      </c>
      <c r="V39" s="5"/>
      <c r="W39" s="7">
        <v>0</v>
      </c>
      <c r="X39" s="6" t="s">
        <v>3</v>
      </c>
      <c r="Y39" s="5"/>
      <c r="Z39" s="7">
        <v>0</v>
      </c>
      <c r="AA39" s="6"/>
      <c r="AB39" s="5"/>
      <c r="AC39" s="6">
        <v>0</v>
      </c>
      <c r="AD39" s="6" t="s">
        <v>3</v>
      </c>
      <c r="AE39" s="5"/>
      <c r="AF39" s="6">
        <v>0</v>
      </c>
      <c r="AG39" s="6"/>
      <c r="AH39" s="5"/>
      <c r="AI39" s="6">
        <v>0</v>
      </c>
      <c r="AJ39" s="6"/>
      <c r="AK39" s="5"/>
      <c r="AL39" s="5" t="s">
        <v>1911</v>
      </c>
      <c r="AM39" s="5"/>
      <c r="AN39" s="5"/>
      <c r="AO39" s="5" t="s">
        <v>1911</v>
      </c>
      <c r="AP39" s="5"/>
      <c r="AQ39" s="5"/>
    </row>
    <row r="40" spans="1:43" s="2" customFormat="1" x14ac:dyDescent="0.25">
      <c r="A40" s="161" t="str">
        <f t="shared" si="0"/>
        <v>_SETTLER</v>
      </c>
      <c r="B40" s="9"/>
      <c r="C40" s="5"/>
      <c r="D40" s="5"/>
      <c r="E40" s="4" t="s">
        <v>1078</v>
      </c>
      <c r="F40" s="5" t="s">
        <v>2552</v>
      </c>
      <c r="G40" s="5"/>
      <c r="H40" s="5" t="s">
        <v>1092</v>
      </c>
      <c r="I40" s="5" t="s">
        <v>128</v>
      </c>
      <c r="J40" s="6"/>
      <c r="K40" s="6"/>
      <c r="L40" s="5" t="s">
        <v>1708</v>
      </c>
      <c r="M40" s="8"/>
      <c r="N40" s="5"/>
      <c r="O40" s="5"/>
      <c r="P40" s="5"/>
      <c r="Q40" s="6">
        <v>0</v>
      </c>
      <c r="R40" s="6" t="s">
        <v>1695</v>
      </c>
      <c r="S40" s="5" t="s">
        <v>1610</v>
      </c>
      <c r="T40" s="6">
        <v>0</v>
      </c>
      <c r="U40" s="6" t="s">
        <v>1737</v>
      </c>
      <c r="V40" s="5"/>
      <c r="W40" s="7">
        <v>0</v>
      </c>
      <c r="X40" s="6" t="s">
        <v>3</v>
      </c>
      <c r="Y40" s="5"/>
      <c r="Z40" s="7">
        <v>0</v>
      </c>
      <c r="AA40" s="6"/>
      <c r="AB40" s="5"/>
      <c r="AC40" s="6">
        <v>0</v>
      </c>
      <c r="AD40" s="6" t="s">
        <v>3</v>
      </c>
      <c r="AE40" s="5"/>
      <c r="AF40" s="6">
        <v>0</v>
      </c>
      <c r="AG40" s="6"/>
      <c r="AH40" s="5"/>
      <c r="AI40" s="6">
        <v>0</v>
      </c>
      <c r="AJ40" s="6"/>
      <c r="AK40" s="5"/>
      <c r="AL40" s="5" t="s">
        <v>1911</v>
      </c>
      <c r="AM40" s="5"/>
      <c r="AN40" s="5"/>
      <c r="AO40" s="5" t="s">
        <v>1911</v>
      </c>
      <c r="AP40" s="5"/>
      <c r="AQ40" s="5"/>
    </row>
    <row r="41" spans="1:43" s="2" customFormat="1" x14ac:dyDescent="0.25">
      <c r="A41" s="161" t="str">
        <f t="shared" ref="A41:A49" si="2">CONCATENATE(E41,IF(ISBLANK(C41),"",CONCATENATE("_",C41)))</f>
        <v>_SETTLER_AFRI</v>
      </c>
      <c r="B41" s="9" t="s">
        <v>2238</v>
      </c>
      <c r="C41" s="5" t="s">
        <v>694</v>
      </c>
      <c r="D41" s="5"/>
      <c r="E41" s="5" t="s">
        <v>1078</v>
      </c>
      <c r="F41" s="5" t="s">
        <v>2238</v>
      </c>
      <c r="G41" s="5" t="s">
        <v>2017</v>
      </c>
      <c r="H41" s="5" t="s">
        <v>1392</v>
      </c>
      <c r="I41" s="5" t="s">
        <v>128</v>
      </c>
      <c r="J41" s="6"/>
      <c r="K41" s="6"/>
      <c r="L41" s="5" t="s">
        <v>1708</v>
      </c>
      <c r="M41" s="8"/>
      <c r="N41" s="5"/>
      <c r="O41" s="5"/>
      <c r="P41" s="5"/>
      <c r="Q41" s="6">
        <v>1</v>
      </c>
      <c r="R41" s="6" t="s">
        <v>1695</v>
      </c>
      <c r="S41" s="5" t="s">
        <v>1610</v>
      </c>
      <c r="T41" s="6">
        <v>1</v>
      </c>
      <c r="U41" s="6" t="s">
        <v>1737</v>
      </c>
      <c r="V41" s="5"/>
      <c r="W41" s="7"/>
      <c r="X41" s="6" t="s">
        <v>3</v>
      </c>
      <c r="Y41" s="5"/>
      <c r="Z41" s="7">
        <v>1</v>
      </c>
      <c r="AA41" s="6"/>
      <c r="AB41" s="5"/>
      <c r="AC41" s="6"/>
      <c r="AD41" s="6" t="s">
        <v>3</v>
      </c>
      <c r="AE41" s="5"/>
      <c r="AF41" s="6">
        <v>1</v>
      </c>
      <c r="AG41" s="6"/>
      <c r="AH41" s="5"/>
      <c r="AI41" s="6"/>
      <c r="AJ41" s="6"/>
      <c r="AK41" s="5"/>
      <c r="AL41" s="5"/>
      <c r="AM41" s="5"/>
      <c r="AN41" s="5"/>
      <c r="AO41" s="5"/>
      <c r="AP41" s="5"/>
      <c r="AQ41" s="5"/>
    </row>
    <row r="42" spans="1:43" s="2" customFormat="1" x14ac:dyDescent="0.25">
      <c r="A42" s="161" t="str">
        <f t="shared" si="2"/>
        <v>_SETTLER_AFRI</v>
      </c>
      <c r="B42" s="9" t="s">
        <v>2238</v>
      </c>
      <c r="C42" s="5" t="s">
        <v>694</v>
      </c>
      <c r="D42" s="5"/>
      <c r="E42" s="5" t="s">
        <v>1078</v>
      </c>
      <c r="F42" s="5" t="s">
        <v>2238</v>
      </c>
      <c r="G42" s="5" t="s">
        <v>2040</v>
      </c>
      <c r="H42" s="5" t="s">
        <v>1085</v>
      </c>
      <c r="I42" s="5" t="s">
        <v>128</v>
      </c>
      <c r="J42" s="6"/>
      <c r="K42" s="6"/>
      <c r="L42" s="5" t="s">
        <v>1708</v>
      </c>
      <c r="M42" s="8"/>
      <c r="N42" s="5"/>
      <c r="O42" s="5"/>
      <c r="P42" s="5"/>
      <c r="Q42" s="6">
        <v>1</v>
      </c>
      <c r="R42" s="6" t="s">
        <v>1695</v>
      </c>
      <c r="S42" s="5" t="s">
        <v>1610</v>
      </c>
      <c r="T42" s="6">
        <v>1</v>
      </c>
      <c r="U42" s="6" t="s">
        <v>1737</v>
      </c>
      <c r="V42" s="5"/>
      <c r="W42" s="7"/>
      <c r="X42" s="6" t="s">
        <v>3</v>
      </c>
      <c r="Y42" s="5"/>
      <c r="Z42" s="7">
        <v>0</v>
      </c>
      <c r="AA42" s="6"/>
      <c r="AB42" s="5"/>
      <c r="AC42" s="6"/>
      <c r="AD42" s="6" t="s">
        <v>3</v>
      </c>
      <c r="AE42" s="5"/>
      <c r="AF42" s="6">
        <v>0</v>
      </c>
      <c r="AG42" s="6"/>
      <c r="AH42" s="5"/>
      <c r="AI42" s="6"/>
      <c r="AJ42" s="6"/>
      <c r="AK42" s="5"/>
      <c r="AL42" s="5"/>
      <c r="AM42" s="5"/>
      <c r="AN42" s="5"/>
      <c r="AO42" s="5"/>
      <c r="AP42" s="5"/>
      <c r="AQ42" s="5"/>
    </row>
    <row r="43" spans="1:43" s="2" customFormat="1" x14ac:dyDescent="0.25">
      <c r="A43" s="161" t="str">
        <f t="shared" si="2"/>
        <v>_SETTLER_AFRI</v>
      </c>
      <c r="B43" s="9" t="s">
        <v>2238</v>
      </c>
      <c r="C43" s="5" t="s">
        <v>694</v>
      </c>
      <c r="D43" s="5"/>
      <c r="E43" s="5" t="s">
        <v>1078</v>
      </c>
      <c r="F43" s="5" t="s">
        <v>2238</v>
      </c>
      <c r="G43" s="5" t="s">
        <v>2041</v>
      </c>
      <c r="H43" s="5" t="s">
        <v>1086</v>
      </c>
      <c r="I43" s="5" t="s">
        <v>128</v>
      </c>
      <c r="J43" s="6"/>
      <c r="K43" s="6"/>
      <c r="L43" s="5" t="s">
        <v>1708</v>
      </c>
      <c r="M43" s="8"/>
      <c r="N43" s="5"/>
      <c r="O43" s="5"/>
      <c r="P43" s="5"/>
      <c r="Q43" s="6">
        <v>1</v>
      </c>
      <c r="R43" s="6" t="s">
        <v>1695</v>
      </c>
      <c r="S43" s="5" t="s">
        <v>1610</v>
      </c>
      <c r="T43" s="6">
        <v>1</v>
      </c>
      <c r="U43" s="6" t="s">
        <v>1737</v>
      </c>
      <c r="V43" s="5"/>
      <c r="W43" s="7"/>
      <c r="X43" s="6" t="s">
        <v>3</v>
      </c>
      <c r="Y43" s="5"/>
      <c r="Z43" s="7">
        <v>0</v>
      </c>
      <c r="AA43" s="6"/>
      <c r="AB43" s="5"/>
      <c r="AC43" s="6"/>
      <c r="AD43" s="6" t="s">
        <v>3</v>
      </c>
      <c r="AE43" s="5"/>
      <c r="AF43" s="6">
        <v>0</v>
      </c>
      <c r="AG43" s="6"/>
      <c r="AH43" s="5"/>
      <c r="AI43" s="6"/>
      <c r="AJ43" s="6"/>
      <c r="AK43" s="5"/>
      <c r="AL43" s="5"/>
      <c r="AM43" s="5"/>
      <c r="AN43" s="5"/>
      <c r="AO43" s="5"/>
      <c r="AP43" s="5"/>
      <c r="AQ43" s="5"/>
    </row>
    <row r="44" spans="1:43" s="2" customFormat="1" x14ac:dyDescent="0.25">
      <c r="A44" s="161" t="str">
        <f t="shared" si="2"/>
        <v>_SETTLER_AFRI</v>
      </c>
      <c r="B44" s="9" t="s">
        <v>2238</v>
      </c>
      <c r="C44" s="5" t="s">
        <v>694</v>
      </c>
      <c r="D44" s="5"/>
      <c r="E44" s="5" t="s">
        <v>1078</v>
      </c>
      <c r="F44" s="5" t="s">
        <v>2238</v>
      </c>
      <c r="G44" s="5" t="s">
        <v>2042</v>
      </c>
      <c r="H44" s="5" t="s">
        <v>1087</v>
      </c>
      <c r="I44" s="5" t="s">
        <v>128</v>
      </c>
      <c r="J44" s="6"/>
      <c r="K44" s="6"/>
      <c r="L44" s="5" t="s">
        <v>1708</v>
      </c>
      <c r="M44" s="8"/>
      <c r="N44" s="5"/>
      <c r="O44" s="5"/>
      <c r="P44" s="5"/>
      <c r="Q44" s="6">
        <v>1</v>
      </c>
      <c r="R44" s="6" t="s">
        <v>1695</v>
      </c>
      <c r="S44" s="5" t="s">
        <v>1610</v>
      </c>
      <c r="T44" s="6">
        <v>1</v>
      </c>
      <c r="U44" s="6" t="s">
        <v>1737</v>
      </c>
      <c r="V44" s="5"/>
      <c r="W44" s="7"/>
      <c r="X44" s="6" t="s">
        <v>3</v>
      </c>
      <c r="Y44" s="5"/>
      <c r="Z44" s="7">
        <v>0</v>
      </c>
      <c r="AA44" s="6"/>
      <c r="AB44" s="5"/>
      <c r="AC44" s="6"/>
      <c r="AD44" s="6" t="s">
        <v>3</v>
      </c>
      <c r="AE44" s="5"/>
      <c r="AF44" s="6">
        <v>0</v>
      </c>
      <c r="AG44" s="6"/>
      <c r="AH44" s="5"/>
      <c r="AI44" s="6"/>
      <c r="AJ44" s="6"/>
      <c r="AK44" s="5"/>
      <c r="AL44" s="5"/>
      <c r="AM44" s="5"/>
      <c r="AN44" s="5"/>
      <c r="AO44" s="5"/>
      <c r="AP44" s="5"/>
      <c r="AQ44" s="5"/>
    </row>
    <row r="45" spans="1:43" s="2" customFormat="1" x14ac:dyDescent="0.25">
      <c r="A45" s="161" t="str">
        <f t="shared" si="2"/>
        <v>_SETTLER_AFRI</v>
      </c>
      <c r="B45" s="9" t="s">
        <v>2238</v>
      </c>
      <c r="C45" s="5" t="s">
        <v>694</v>
      </c>
      <c r="D45" s="5"/>
      <c r="E45" s="5" t="s">
        <v>1078</v>
      </c>
      <c r="F45" s="5" t="s">
        <v>2238</v>
      </c>
      <c r="G45" s="5" t="s">
        <v>2043</v>
      </c>
      <c r="H45" s="5" t="s">
        <v>1088</v>
      </c>
      <c r="I45" s="5" t="s">
        <v>128</v>
      </c>
      <c r="J45" s="6"/>
      <c r="K45" s="6"/>
      <c r="L45" s="5" t="s">
        <v>1708</v>
      </c>
      <c r="M45" s="8"/>
      <c r="N45" s="5"/>
      <c r="O45" s="5"/>
      <c r="P45" s="5"/>
      <c r="Q45" s="6">
        <v>1</v>
      </c>
      <c r="R45" s="6" t="s">
        <v>1695</v>
      </c>
      <c r="S45" s="5" t="s">
        <v>1610</v>
      </c>
      <c r="T45" s="6">
        <v>1</v>
      </c>
      <c r="U45" s="6" t="s">
        <v>1737</v>
      </c>
      <c r="V45" s="5"/>
      <c r="W45" s="7"/>
      <c r="X45" s="6" t="s">
        <v>3</v>
      </c>
      <c r="Y45" s="5"/>
      <c r="Z45" s="7">
        <v>0</v>
      </c>
      <c r="AA45" s="6"/>
      <c r="AB45" s="5"/>
      <c r="AC45" s="6"/>
      <c r="AD45" s="6" t="s">
        <v>3</v>
      </c>
      <c r="AE45" s="5"/>
      <c r="AF45" s="6">
        <v>0</v>
      </c>
      <c r="AG45" s="6"/>
      <c r="AH45" s="5"/>
      <c r="AI45" s="6"/>
      <c r="AJ45" s="6"/>
      <c r="AK45" s="5"/>
      <c r="AL45" s="5"/>
      <c r="AM45" s="5"/>
      <c r="AN45" s="5"/>
      <c r="AO45" s="5"/>
      <c r="AP45" s="5"/>
      <c r="AQ45" s="5"/>
    </row>
    <row r="46" spans="1:43" s="2" customFormat="1" x14ac:dyDescent="0.25">
      <c r="A46" s="161" t="str">
        <f t="shared" si="2"/>
        <v>_SETTLER_AFRI</v>
      </c>
      <c r="B46" s="9" t="s">
        <v>2238</v>
      </c>
      <c r="C46" s="5" t="s">
        <v>694</v>
      </c>
      <c r="D46" s="5"/>
      <c r="E46" s="5" t="s">
        <v>1078</v>
      </c>
      <c r="F46" s="5" t="s">
        <v>2238</v>
      </c>
      <c r="G46" s="5" t="s">
        <v>2044</v>
      </c>
      <c r="H46" s="5" t="s">
        <v>1089</v>
      </c>
      <c r="I46" s="5" t="s">
        <v>128</v>
      </c>
      <c r="J46" s="6"/>
      <c r="K46" s="6"/>
      <c r="L46" s="5" t="s">
        <v>1708</v>
      </c>
      <c r="M46" s="8"/>
      <c r="N46" s="5"/>
      <c r="O46" s="5"/>
      <c r="P46" s="5"/>
      <c r="Q46" s="6">
        <v>1</v>
      </c>
      <c r="R46" s="6" t="s">
        <v>1695</v>
      </c>
      <c r="S46" s="5" t="s">
        <v>1610</v>
      </c>
      <c r="T46" s="6">
        <v>1</v>
      </c>
      <c r="U46" s="6" t="s">
        <v>1737</v>
      </c>
      <c r="V46" s="5"/>
      <c r="W46" s="7"/>
      <c r="X46" s="6" t="s">
        <v>3</v>
      </c>
      <c r="Y46" s="5"/>
      <c r="Z46" s="7">
        <v>0</v>
      </c>
      <c r="AA46" s="6"/>
      <c r="AB46" s="5"/>
      <c r="AC46" s="6"/>
      <c r="AD46" s="6" t="s">
        <v>3</v>
      </c>
      <c r="AE46" s="5"/>
      <c r="AF46" s="6">
        <v>1</v>
      </c>
      <c r="AG46" s="6"/>
      <c r="AH46" s="5"/>
      <c r="AI46" s="6"/>
      <c r="AJ46" s="6"/>
      <c r="AK46" s="5"/>
      <c r="AL46" s="5"/>
      <c r="AM46" s="5"/>
      <c r="AN46" s="5"/>
      <c r="AO46" s="5"/>
      <c r="AP46" s="5"/>
      <c r="AQ46" s="5"/>
    </row>
    <row r="47" spans="1:43" s="2" customFormat="1" x14ac:dyDescent="0.25">
      <c r="A47" s="161" t="str">
        <f t="shared" si="2"/>
        <v>_SETTLER_AFRI</v>
      </c>
      <c r="B47" s="9" t="s">
        <v>2238</v>
      </c>
      <c r="C47" s="5" t="s">
        <v>694</v>
      </c>
      <c r="D47" s="5"/>
      <c r="E47" s="5" t="s">
        <v>1078</v>
      </c>
      <c r="F47" s="5" t="s">
        <v>2238</v>
      </c>
      <c r="G47" s="5" t="s">
        <v>2045</v>
      </c>
      <c r="H47" s="5" t="s">
        <v>1090</v>
      </c>
      <c r="I47" s="5" t="s">
        <v>128</v>
      </c>
      <c r="J47" s="6"/>
      <c r="K47" s="6"/>
      <c r="L47" s="5" t="s">
        <v>1708</v>
      </c>
      <c r="M47" s="8"/>
      <c r="N47" s="5"/>
      <c r="O47" s="5"/>
      <c r="P47" s="5"/>
      <c r="Q47" s="6">
        <v>1</v>
      </c>
      <c r="R47" s="6" t="s">
        <v>1695</v>
      </c>
      <c r="S47" s="5" t="s">
        <v>1610</v>
      </c>
      <c r="T47" s="6">
        <v>1</v>
      </c>
      <c r="U47" s="6" t="s">
        <v>1737</v>
      </c>
      <c r="V47" s="5"/>
      <c r="W47" s="7"/>
      <c r="X47" s="6" t="s">
        <v>3</v>
      </c>
      <c r="Y47" s="5"/>
      <c r="Z47" s="7">
        <v>0</v>
      </c>
      <c r="AA47" s="6"/>
      <c r="AB47" s="5"/>
      <c r="AC47" s="6"/>
      <c r="AD47" s="6" t="s">
        <v>3</v>
      </c>
      <c r="AE47" s="5"/>
      <c r="AF47" s="6">
        <v>0</v>
      </c>
      <c r="AG47" s="6"/>
      <c r="AH47" s="5"/>
      <c r="AI47" s="6"/>
      <c r="AJ47" s="6"/>
      <c r="AK47" s="5"/>
      <c r="AL47" s="5"/>
      <c r="AM47" s="5"/>
      <c r="AN47" s="5"/>
      <c r="AO47" s="5"/>
      <c r="AP47" s="5"/>
      <c r="AQ47" s="5"/>
    </row>
    <row r="48" spans="1:43" s="2" customFormat="1" x14ac:dyDescent="0.25">
      <c r="A48" s="161" t="str">
        <f t="shared" si="2"/>
        <v>_SETTLER_AFRI</v>
      </c>
      <c r="B48" s="9" t="s">
        <v>2238</v>
      </c>
      <c r="C48" s="5" t="s">
        <v>694</v>
      </c>
      <c r="D48" s="5"/>
      <c r="E48" s="5" t="s">
        <v>1078</v>
      </c>
      <c r="F48" s="5" t="s">
        <v>2238</v>
      </c>
      <c r="G48" s="5" t="s">
        <v>2046</v>
      </c>
      <c r="H48" s="5" t="s">
        <v>1091</v>
      </c>
      <c r="I48" s="5" t="s">
        <v>128</v>
      </c>
      <c r="J48" s="6"/>
      <c r="K48" s="6"/>
      <c r="L48" s="5" t="s">
        <v>1708</v>
      </c>
      <c r="M48" s="8"/>
      <c r="N48" s="5"/>
      <c r="O48" s="5"/>
      <c r="P48" s="5"/>
      <c r="Q48" s="6">
        <v>1</v>
      </c>
      <c r="R48" s="6" t="s">
        <v>1695</v>
      </c>
      <c r="S48" s="5" t="s">
        <v>1610</v>
      </c>
      <c r="T48" s="6">
        <v>1</v>
      </c>
      <c r="U48" s="6" t="s">
        <v>1737</v>
      </c>
      <c r="V48" s="5"/>
      <c r="W48" s="7"/>
      <c r="X48" s="6" t="s">
        <v>3</v>
      </c>
      <c r="Y48" s="5"/>
      <c r="Z48" s="7">
        <v>0</v>
      </c>
      <c r="AA48" s="6"/>
      <c r="AB48" s="5"/>
      <c r="AC48" s="6"/>
      <c r="AD48" s="6" t="s">
        <v>3</v>
      </c>
      <c r="AE48" s="5"/>
      <c r="AF48" s="6">
        <v>0</v>
      </c>
      <c r="AG48" s="6"/>
      <c r="AH48" s="5"/>
      <c r="AI48" s="6"/>
      <c r="AJ48" s="6"/>
      <c r="AK48" s="5"/>
      <c r="AL48" s="5"/>
      <c r="AM48" s="5"/>
      <c r="AN48" s="5"/>
      <c r="AO48" s="5"/>
      <c r="AP48" s="5"/>
      <c r="AQ48" s="5"/>
    </row>
    <row r="49" spans="1:43" s="2" customFormat="1" x14ac:dyDescent="0.25">
      <c r="A49" s="161" t="str">
        <f t="shared" si="2"/>
        <v>_SETTLER_AFRI</v>
      </c>
      <c r="B49" s="9" t="s">
        <v>2238</v>
      </c>
      <c r="C49" s="5" t="s">
        <v>694</v>
      </c>
      <c r="D49" s="5"/>
      <c r="E49" s="5" t="s">
        <v>1078</v>
      </c>
      <c r="F49" s="5" t="s">
        <v>2238</v>
      </c>
      <c r="G49" s="5"/>
      <c r="H49" s="5" t="s">
        <v>1092</v>
      </c>
      <c r="I49" s="5" t="s">
        <v>128</v>
      </c>
      <c r="J49" s="6"/>
      <c r="K49" s="6"/>
      <c r="L49" s="5" t="s">
        <v>1708</v>
      </c>
      <c r="M49" s="8"/>
      <c r="N49" s="5"/>
      <c r="O49" s="5"/>
      <c r="P49" s="5"/>
      <c r="Q49" s="6">
        <v>1</v>
      </c>
      <c r="R49" s="6" t="s">
        <v>1695</v>
      </c>
      <c r="S49" s="5" t="s">
        <v>1610</v>
      </c>
      <c r="T49" s="6">
        <v>1</v>
      </c>
      <c r="U49" s="6" t="s">
        <v>1737</v>
      </c>
      <c r="V49" s="5"/>
      <c r="W49" s="7"/>
      <c r="X49" s="6" t="s">
        <v>3</v>
      </c>
      <c r="Y49" s="5"/>
      <c r="Z49" s="7">
        <v>0</v>
      </c>
      <c r="AA49" s="6"/>
      <c r="AB49" s="5"/>
      <c r="AC49" s="6"/>
      <c r="AD49" s="6" t="s">
        <v>3</v>
      </c>
      <c r="AE49" s="5"/>
      <c r="AF49" s="6">
        <v>0</v>
      </c>
      <c r="AG49" s="6"/>
      <c r="AH49" s="5"/>
      <c r="AI49" s="6"/>
      <c r="AJ49" s="6"/>
      <c r="AK49" s="5"/>
      <c r="AL49" s="5"/>
      <c r="AM49" s="5"/>
      <c r="AN49" s="5"/>
      <c r="AO49" s="5"/>
      <c r="AP49" s="5"/>
      <c r="AQ49" s="5"/>
    </row>
    <row r="50" spans="1:43" s="2" customFormat="1" x14ac:dyDescent="0.25">
      <c r="A50" s="161" t="str">
        <f t="shared" si="0"/>
        <v>_SETTLER</v>
      </c>
      <c r="B50" s="9"/>
      <c r="C50" s="5"/>
      <c r="D50" s="5"/>
      <c r="E50" s="4" t="s">
        <v>1078</v>
      </c>
      <c r="F50" s="5" t="s">
        <v>2553</v>
      </c>
      <c r="G50" s="5"/>
      <c r="H50" s="5" t="s">
        <v>1393</v>
      </c>
      <c r="I50" s="5" t="s">
        <v>128</v>
      </c>
      <c r="J50" s="6"/>
      <c r="K50" s="6"/>
      <c r="L50" s="5" t="s">
        <v>1708</v>
      </c>
      <c r="M50" s="8"/>
      <c r="N50" s="5"/>
      <c r="O50" s="5"/>
      <c r="P50" s="5"/>
      <c r="Q50" s="6">
        <v>0</v>
      </c>
      <c r="R50" s="6" t="s">
        <v>1695</v>
      </c>
      <c r="S50" s="5" t="s">
        <v>1610</v>
      </c>
      <c r="T50" s="6">
        <v>0</v>
      </c>
      <c r="U50" s="6" t="s">
        <v>1737</v>
      </c>
      <c r="V50" s="5"/>
      <c r="W50" s="7">
        <v>0</v>
      </c>
      <c r="X50" s="6" t="s">
        <v>3</v>
      </c>
      <c r="Y50" s="5"/>
      <c r="Z50" s="7">
        <v>0</v>
      </c>
      <c r="AA50" s="6"/>
      <c r="AB50" s="5"/>
      <c r="AC50" s="6">
        <v>0</v>
      </c>
      <c r="AD50" s="6" t="s">
        <v>3</v>
      </c>
      <c r="AE50" s="5"/>
      <c r="AF50" s="6">
        <v>0</v>
      </c>
      <c r="AG50" s="6"/>
      <c r="AH50" s="5"/>
      <c r="AI50" s="6">
        <v>0</v>
      </c>
      <c r="AJ50" s="6"/>
      <c r="AK50" s="5"/>
      <c r="AL50" s="5" t="s">
        <v>1911</v>
      </c>
      <c r="AM50" s="5"/>
      <c r="AN50" s="5"/>
      <c r="AO50" s="5" t="s">
        <v>1911</v>
      </c>
      <c r="AP50" s="5"/>
      <c r="AQ50" s="5"/>
    </row>
    <row r="51" spans="1:43" s="2" customFormat="1" x14ac:dyDescent="0.25">
      <c r="A51" s="161" t="str">
        <f t="shared" si="0"/>
        <v>_SETTLER</v>
      </c>
      <c r="B51" s="9"/>
      <c r="C51" s="5"/>
      <c r="D51" s="5"/>
      <c r="E51" s="4" t="s">
        <v>1078</v>
      </c>
      <c r="F51" s="5" t="s">
        <v>2554</v>
      </c>
      <c r="G51" s="5"/>
      <c r="H51" s="5" t="s">
        <v>1093</v>
      </c>
      <c r="I51" s="5" t="s">
        <v>128</v>
      </c>
      <c r="J51" s="6"/>
      <c r="K51" s="6"/>
      <c r="L51" s="5" t="s">
        <v>1708</v>
      </c>
      <c r="M51" s="8"/>
      <c r="N51" s="5"/>
      <c r="O51" s="5"/>
      <c r="P51" s="5"/>
      <c r="Q51" s="6">
        <v>0</v>
      </c>
      <c r="R51" s="6" t="s">
        <v>1695</v>
      </c>
      <c r="S51" s="5" t="s">
        <v>1610</v>
      </c>
      <c r="T51" s="6">
        <v>0</v>
      </c>
      <c r="U51" s="6" t="s">
        <v>1737</v>
      </c>
      <c r="V51" s="5"/>
      <c r="W51" s="7">
        <v>0</v>
      </c>
      <c r="X51" s="6" t="s">
        <v>3</v>
      </c>
      <c r="Y51" s="5"/>
      <c r="Z51" s="7">
        <v>0</v>
      </c>
      <c r="AA51" s="6"/>
      <c r="AB51" s="5"/>
      <c r="AC51" s="6">
        <v>0</v>
      </c>
      <c r="AD51" s="6" t="s">
        <v>3</v>
      </c>
      <c r="AE51" s="5"/>
      <c r="AF51" s="6">
        <v>0</v>
      </c>
      <c r="AG51" s="6"/>
      <c r="AH51" s="5"/>
      <c r="AI51" s="6">
        <v>0</v>
      </c>
      <c r="AJ51" s="6"/>
      <c r="AK51" s="5"/>
      <c r="AL51" s="5" t="s">
        <v>1911</v>
      </c>
      <c r="AM51" s="5"/>
      <c r="AN51" s="5"/>
      <c r="AO51" s="5" t="s">
        <v>1911</v>
      </c>
      <c r="AP51" s="5"/>
      <c r="AQ51" s="5"/>
    </row>
    <row r="52" spans="1:43" s="2" customFormat="1" x14ac:dyDescent="0.25">
      <c r="A52" s="161" t="str">
        <f t="shared" si="0"/>
        <v>_SETTLER</v>
      </c>
      <c r="B52" s="9"/>
      <c r="C52" s="5"/>
      <c r="D52" s="5"/>
      <c r="E52" s="4" t="s">
        <v>1078</v>
      </c>
      <c r="F52" s="5" t="s">
        <v>2555</v>
      </c>
      <c r="G52" s="5"/>
      <c r="H52" s="5" t="s">
        <v>1094</v>
      </c>
      <c r="I52" s="5" t="s">
        <v>128</v>
      </c>
      <c r="J52" s="6"/>
      <c r="K52" s="6"/>
      <c r="L52" s="5" t="s">
        <v>1708</v>
      </c>
      <c r="M52" s="8"/>
      <c r="N52" s="5"/>
      <c r="O52" s="5"/>
      <c r="P52" s="5"/>
      <c r="Q52" s="6">
        <v>0</v>
      </c>
      <c r="R52" s="6" t="s">
        <v>1695</v>
      </c>
      <c r="S52" s="5" t="s">
        <v>1610</v>
      </c>
      <c r="T52" s="6">
        <v>0</v>
      </c>
      <c r="U52" s="6" t="s">
        <v>1737</v>
      </c>
      <c r="V52" s="5"/>
      <c r="W52" s="7">
        <v>0</v>
      </c>
      <c r="X52" s="6" t="s">
        <v>3</v>
      </c>
      <c r="Y52" s="5"/>
      <c r="Z52" s="7">
        <v>0</v>
      </c>
      <c r="AA52" s="6"/>
      <c r="AB52" s="5"/>
      <c r="AC52" s="6">
        <v>0</v>
      </c>
      <c r="AD52" s="6" t="s">
        <v>3</v>
      </c>
      <c r="AE52" s="5"/>
      <c r="AF52" s="6">
        <v>0</v>
      </c>
      <c r="AG52" s="6"/>
      <c r="AH52" s="5"/>
      <c r="AI52" s="6">
        <v>0</v>
      </c>
      <c r="AJ52" s="6"/>
      <c r="AK52" s="5"/>
      <c r="AL52" s="5" t="s">
        <v>1911</v>
      </c>
      <c r="AM52" s="5"/>
      <c r="AN52" s="5"/>
      <c r="AO52" s="5" t="s">
        <v>1911</v>
      </c>
      <c r="AP52" s="5"/>
      <c r="AQ52" s="5"/>
    </row>
    <row r="53" spans="1:43" s="2" customFormat="1" x14ac:dyDescent="0.25">
      <c r="A53" s="161" t="str">
        <f t="shared" si="0"/>
        <v>_SETTLER</v>
      </c>
      <c r="B53" s="9"/>
      <c r="C53" s="5"/>
      <c r="D53" s="5"/>
      <c r="E53" s="4" t="s">
        <v>1078</v>
      </c>
      <c r="F53" s="5" t="s">
        <v>2556</v>
      </c>
      <c r="G53" s="5"/>
      <c r="H53" s="5" t="s">
        <v>1095</v>
      </c>
      <c r="I53" s="5" t="s">
        <v>128</v>
      </c>
      <c r="J53" s="6"/>
      <c r="K53" s="6"/>
      <c r="L53" s="5" t="s">
        <v>1708</v>
      </c>
      <c r="M53" s="8"/>
      <c r="N53" s="5"/>
      <c r="O53" s="5"/>
      <c r="P53" s="5"/>
      <c r="Q53" s="6">
        <v>0</v>
      </c>
      <c r="R53" s="6" t="s">
        <v>1695</v>
      </c>
      <c r="S53" s="5" t="s">
        <v>1610</v>
      </c>
      <c r="T53" s="6">
        <v>0</v>
      </c>
      <c r="U53" s="6" t="s">
        <v>1737</v>
      </c>
      <c r="V53" s="5"/>
      <c r="W53" s="7">
        <v>0</v>
      </c>
      <c r="X53" s="6" t="s">
        <v>3</v>
      </c>
      <c r="Y53" s="5"/>
      <c r="Z53" s="7">
        <v>0</v>
      </c>
      <c r="AA53" s="6"/>
      <c r="AB53" s="5"/>
      <c r="AC53" s="6">
        <v>0</v>
      </c>
      <c r="AD53" s="6" t="s">
        <v>3</v>
      </c>
      <c r="AE53" s="5"/>
      <c r="AF53" s="6">
        <v>0</v>
      </c>
      <c r="AG53" s="6"/>
      <c r="AH53" s="5"/>
      <c r="AI53" s="6">
        <v>0</v>
      </c>
      <c r="AJ53" s="6"/>
      <c r="AK53" s="5"/>
      <c r="AL53" s="5" t="s">
        <v>1911</v>
      </c>
      <c r="AM53" s="5"/>
      <c r="AN53" s="5"/>
      <c r="AO53" s="5" t="s">
        <v>1911</v>
      </c>
      <c r="AP53" s="5"/>
      <c r="AQ53" s="5"/>
    </row>
    <row r="54" spans="1:43" s="2" customFormat="1" x14ac:dyDescent="0.25">
      <c r="A54" s="161" t="str">
        <f t="shared" si="0"/>
        <v>_SETTLER</v>
      </c>
      <c r="B54" s="9"/>
      <c r="C54" s="5"/>
      <c r="D54" s="5"/>
      <c r="E54" s="4" t="s">
        <v>1078</v>
      </c>
      <c r="F54" s="5" t="s">
        <v>2557</v>
      </c>
      <c r="G54" s="5"/>
      <c r="H54" s="5" t="s">
        <v>1096</v>
      </c>
      <c r="I54" s="5" t="s">
        <v>128</v>
      </c>
      <c r="J54" s="6"/>
      <c r="K54" s="6"/>
      <c r="L54" s="5" t="s">
        <v>1708</v>
      </c>
      <c r="M54" s="8"/>
      <c r="N54" s="5"/>
      <c r="O54" s="5"/>
      <c r="P54" s="5"/>
      <c r="Q54" s="6">
        <v>0</v>
      </c>
      <c r="R54" s="6" t="s">
        <v>1695</v>
      </c>
      <c r="S54" s="5" t="s">
        <v>1610</v>
      </c>
      <c r="T54" s="6">
        <v>0</v>
      </c>
      <c r="U54" s="6" t="s">
        <v>1737</v>
      </c>
      <c r="V54" s="5"/>
      <c r="W54" s="7">
        <v>0</v>
      </c>
      <c r="X54" s="6" t="s">
        <v>3</v>
      </c>
      <c r="Y54" s="5"/>
      <c r="Z54" s="7">
        <v>0</v>
      </c>
      <c r="AA54" s="6"/>
      <c r="AB54" s="5"/>
      <c r="AC54" s="6">
        <v>0</v>
      </c>
      <c r="AD54" s="6" t="s">
        <v>3</v>
      </c>
      <c r="AE54" s="5"/>
      <c r="AF54" s="6">
        <v>0</v>
      </c>
      <c r="AG54" s="6"/>
      <c r="AH54" s="5"/>
      <c r="AI54" s="6">
        <v>0</v>
      </c>
      <c r="AJ54" s="6"/>
      <c r="AK54" s="5"/>
      <c r="AL54" s="5" t="s">
        <v>1911</v>
      </c>
      <c r="AM54" s="5"/>
      <c r="AN54" s="5"/>
      <c r="AO54" s="5" t="s">
        <v>1911</v>
      </c>
      <c r="AP54" s="5"/>
      <c r="AQ54" s="5"/>
    </row>
    <row r="55" spans="1:43" s="2" customFormat="1" x14ac:dyDescent="0.25">
      <c r="A55" s="161" t="str">
        <f t="shared" si="0"/>
        <v>_SETTLER</v>
      </c>
      <c r="B55" s="9"/>
      <c r="C55" s="5"/>
      <c r="D55" s="5"/>
      <c r="E55" s="4" t="s">
        <v>1078</v>
      </c>
      <c r="F55" s="5" t="s">
        <v>2558</v>
      </c>
      <c r="G55" s="5"/>
      <c r="H55" s="5" t="s">
        <v>1097</v>
      </c>
      <c r="I55" s="5" t="s">
        <v>128</v>
      </c>
      <c r="J55" s="6"/>
      <c r="K55" s="6"/>
      <c r="L55" s="5" t="s">
        <v>1708</v>
      </c>
      <c r="M55" s="8"/>
      <c r="N55" s="5"/>
      <c r="O55" s="5"/>
      <c r="P55" s="5"/>
      <c r="Q55" s="6">
        <v>0</v>
      </c>
      <c r="R55" s="6" t="s">
        <v>1695</v>
      </c>
      <c r="S55" s="5" t="s">
        <v>1610</v>
      </c>
      <c r="T55" s="6">
        <v>0</v>
      </c>
      <c r="U55" s="6" t="s">
        <v>1737</v>
      </c>
      <c r="V55" s="5"/>
      <c r="W55" s="7">
        <v>0</v>
      </c>
      <c r="X55" s="6" t="s">
        <v>3</v>
      </c>
      <c r="Y55" s="5"/>
      <c r="Z55" s="7">
        <v>0</v>
      </c>
      <c r="AA55" s="6"/>
      <c r="AB55" s="5"/>
      <c r="AC55" s="6">
        <v>0</v>
      </c>
      <c r="AD55" s="6" t="s">
        <v>3</v>
      </c>
      <c r="AE55" s="5"/>
      <c r="AF55" s="6">
        <v>0</v>
      </c>
      <c r="AG55" s="6"/>
      <c r="AH55" s="5"/>
      <c r="AI55" s="6">
        <v>0</v>
      </c>
      <c r="AJ55" s="6"/>
      <c r="AK55" s="5"/>
      <c r="AL55" s="5" t="s">
        <v>1911</v>
      </c>
      <c r="AM55" s="5"/>
      <c r="AN55" s="5"/>
      <c r="AO55" s="5" t="s">
        <v>1911</v>
      </c>
      <c r="AP55" s="5"/>
      <c r="AQ55" s="5"/>
    </row>
    <row r="56" spans="1:43" s="2" customFormat="1" x14ac:dyDescent="0.25">
      <c r="A56" s="161" t="str">
        <f t="shared" si="0"/>
        <v>_SETTLER</v>
      </c>
      <c r="B56" s="9"/>
      <c r="C56" s="5"/>
      <c r="D56" s="5"/>
      <c r="E56" s="4" t="s">
        <v>1078</v>
      </c>
      <c r="F56" s="5" t="s">
        <v>2559</v>
      </c>
      <c r="G56" s="5"/>
      <c r="H56" s="5" t="s">
        <v>1098</v>
      </c>
      <c r="I56" s="5" t="s">
        <v>128</v>
      </c>
      <c r="J56" s="6"/>
      <c r="K56" s="6"/>
      <c r="L56" s="5" t="s">
        <v>1708</v>
      </c>
      <c r="M56" s="8"/>
      <c r="N56" s="5"/>
      <c r="O56" s="5"/>
      <c r="P56" s="5"/>
      <c r="Q56" s="6">
        <v>0</v>
      </c>
      <c r="R56" s="6" t="s">
        <v>1695</v>
      </c>
      <c r="S56" s="5" t="s">
        <v>1610</v>
      </c>
      <c r="T56" s="6">
        <v>0</v>
      </c>
      <c r="U56" s="6" t="s">
        <v>1737</v>
      </c>
      <c r="V56" s="5"/>
      <c r="W56" s="7">
        <v>0</v>
      </c>
      <c r="X56" s="6" t="s">
        <v>3</v>
      </c>
      <c r="Y56" s="5"/>
      <c r="Z56" s="7">
        <v>0</v>
      </c>
      <c r="AA56" s="6"/>
      <c r="AB56" s="5"/>
      <c r="AC56" s="6">
        <v>0</v>
      </c>
      <c r="AD56" s="6" t="s">
        <v>3</v>
      </c>
      <c r="AE56" s="5"/>
      <c r="AF56" s="6">
        <v>0</v>
      </c>
      <c r="AG56" s="6"/>
      <c r="AH56" s="5"/>
      <c r="AI56" s="6">
        <v>0</v>
      </c>
      <c r="AJ56" s="6"/>
      <c r="AK56" s="5"/>
      <c r="AL56" s="5" t="s">
        <v>1911</v>
      </c>
      <c r="AM56" s="5"/>
      <c r="AN56" s="5"/>
      <c r="AO56" s="5" t="s">
        <v>1911</v>
      </c>
      <c r="AP56" s="5"/>
      <c r="AQ56" s="5"/>
    </row>
    <row r="57" spans="1:43" s="2" customFormat="1" x14ac:dyDescent="0.25">
      <c r="A57" s="161" t="str">
        <f t="shared" si="0"/>
        <v>_SETTLER</v>
      </c>
      <c r="B57" s="9"/>
      <c r="C57" s="5"/>
      <c r="D57" s="5"/>
      <c r="E57" s="4" t="s">
        <v>1078</v>
      </c>
      <c r="F57" s="5" t="s">
        <v>2560</v>
      </c>
      <c r="G57" s="5"/>
      <c r="H57" s="5" t="s">
        <v>1099</v>
      </c>
      <c r="I57" s="5" t="s">
        <v>128</v>
      </c>
      <c r="J57" s="6"/>
      <c r="K57" s="6"/>
      <c r="L57" s="5" t="s">
        <v>1708</v>
      </c>
      <c r="M57" s="8"/>
      <c r="N57" s="5"/>
      <c r="O57" s="5"/>
      <c r="P57" s="5"/>
      <c r="Q57" s="6">
        <v>0</v>
      </c>
      <c r="R57" s="6" t="s">
        <v>1695</v>
      </c>
      <c r="S57" s="5" t="s">
        <v>1610</v>
      </c>
      <c r="T57" s="6">
        <v>0</v>
      </c>
      <c r="U57" s="6" t="s">
        <v>1737</v>
      </c>
      <c r="V57" s="5"/>
      <c r="W57" s="7">
        <v>0</v>
      </c>
      <c r="X57" s="6" t="s">
        <v>3</v>
      </c>
      <c r="Y57" s="5"/>
      <c r="Z57" s="7">
        <v>0</v>
      </c>
      <c r="AA57" s="6"/>
      <c r="AB57" s="5"/>
      <c r="AC57" s="6">
        <v>0</v>
      </c>
      <c r="AD57" s="6" t="s">
        <v>3</v>
      </c>
      <c r="AE57" s="5"/>
      <c r="AF57" s="6">
        <v>0</v>
      </c>
      <c r="AG57" s="6"/>
      <c r="AH57" s="5"/>
      <c r="AI57" s="6">
        <v>0</v>
      </c>
      <c r="AJ57" s="6"/>
      <c r="AK57" s="5"/>
      <c r="AL57" s="5" t="s">
        <v>1911</v>
      </c>
      <c r="AM57" s="5"/>
      <c r="AN57" s="5"/>
      <c r="AO57" s="5" t="s">
        <v>1911</v>
      </c>
      <c r="AP57" s="5"/>
      <c r="AQ57" s="5"/>
    </row>
    <row r="58" spans="1:43" s="2" customFormat="1" x14ac:dyDescent="0.25">
      <c r="A58" s="161" t="str">
        <f t="shared" si="0"/>
        <v>_SETTLER</v>
      </c>
      <c r="B58" s="9"/>
      <c r="C58" s="5"/>
      <c r="D58" s="5"/>
      <c r="E58" s="4" t="s">
        <v>1078</v>
      </c>
      <c r="F58" s="5" t="s">
        <v>2561</v>
      </c>
      <c r="G58" s="5"/>
      <c r="H58" s="5" t="s">
        <v>1100</v>
      </c>
      <c r="I58" s="5" t="s">
        <v>128</v>
      </c>
      <c r="J58" s="6"/>
      <c r="K58" s="6"/>
      <c r="L58" s="5" t="s">
        <v>1708</v>
      </c>
      <c r="M58" s="8"/>
      <c r="N58" s="5"/>
      <c r="O58" s="5"/>
      <c r="P58" s="5"/>
      <c r="Q58" s="6">
        <v>0</v>
      </c>
      <c r="R58" s="6" t="s">
        <v>1695</v>
      </c>
      <c r="S58" s="5" t="s">
        <v>1610</v>
      </c>
      <c r="T58" s="6">
        <v>0</v>
      </c>
      <c r="U58" s="6" t="s">
        <v>1737</v>
      </c>
      <c r="V58" s="5"/>
      <c r="W58" s="7">
        <v>0</v>
      </c>
      <c r="X58" s="6" t="s">
        <v>3</v>
      </c>
      <c r="Y58" s="5"/>
      <c r="Z58" s="7">
        <v>0</v>
      </c>
      <c r="AA58" s="6"/>
      <c r="AB58" s="5"/>
      <c r="AC58" s="6">
        <v>0</v>
      </c>
      <c r="AD58" s="6" t="s">
        <v>3</v>
      </c>
      <c r="AE58" s="5"/>
      <c r="AF58" s="6">
        <v>0</v>
      </c>
      <c r="AG58" s="6"/>
      <c r="AH58" s="5"/>
      <c r="AI58" s="6">
        <v>0</v>
      </c>
      <c r="AJ58" s="6"/>
      <c r="AK58" s="5"/>
      <c r="AL58" s="5" t="s">
        <v>1911</v>
      </c>
      <c r="AM58" s="5"/>
      <c r="AN58" s="5"/>
      <c r="AO58" s="5" t="s">
        <v>1911</v>
      </c>
      <c r="AP58" s="5"/>
      <c r="AQ58" s="5"/>
    </row>
    <row r="59" spans="1:43" s="2" customFormat="1" x14ac:dyDescent="0.25">
      <c r="A59" s="161" t="str">
        <f t="shared" ref="A59:A67" si="3">CONCATENATE(E59,IF(ISBLANK(C59),"",CONCATENATE("_",C59)))</f>
        <v>_SETTLER_AMER</v>
      </c>
      <c r="B59" s="9" t="s">
        <v>2238</v>
      </c>
      <c r="C59" s="5" t="s">
        <v>697</v>
      </c>
      <c r="D59" s="5"/>
      <c r="E59" s="5" t="s">
        <v>1078</v>
      </c>
      <c r="F59" s="5" t="s">
        <v>2238</v>
      </c>
      <c r="G59" s="5" t="s">
        <v>2018</v>
      </c>
      <c r="H59" s="5" t="s">
        <v>1393</v>
      </c>
      <c r="I59" s="5" t="s">
        <v>128</v>
      </c>
      <c r="J59" s="6"/>
      <c r="K59" s="6"/>
      <c r="L59" s="5" t="s">
        <v>1708</v>
      </c>
      <c r="M59" s="8"/>
      <c r="N59" s="5"/>
      <c r="O59" s="5"/>
      <c r="P59" s="5"/>
      <c r="Q59" s="6">
        <v>1</v>
      </c>
      <c r="R59" s="6" t="s">
        <v>1695</v>
      </c>
      <c r="S59" s="5" t="s">
        <v>1610</v>
      </c>
      <c r="T59" s="6">
        <v>1</v>
      </c>
      <c r="U59" s="6" t="s">
        <v>1737</v>
      </c>
      <c r="V59" s="5"/>
      <c r="W59" s="7"/>
      <c r="X59" s="6" t="s">
        <v>3</v>
      </c>
      <c r="Y59" s="5"/>
      <c r="Z59" s="7">
        <v>1</v>
      </c>
      <c r="AA59" s="6"/>
      <c r="AB59" s="5"/>
      <c r="AC59" s="6"/>
      <c r="AD59" s="6" t="s">
        <v>3</v>
      </c>
      <c r="AE59" s="5"/>
      <c r="AF59" s="6">
        <v>1</v>
      </c>
      <c r="AG59" s="6"/>
      <c r="AH59" s="5"/>
      <c r="AI59" s="6"/>
      <c r="AJ59" s="6"/>
      <c r="AK59" s="5"/>
      <c r="AL59" s="5"/>
      <c r="AM59" s="5"/>
      <c r="AN59" s="5"/>
      <c r="AO59" s="5"/>
      <c r="AP59" s="5"/>
      <c r="AQ59" s="5"/>
    </row>
    <row r="60" spans="1:43" s="2" customFormat="1" x14ac:dyDescent="0.25">
      <c r="A60" s="161" t="str">
        <f t="shared" si="3"/>
        <v>_SETTLER_AMER</v>
      </c>
      <c r="B60" s="9" t="s">
        <v>2238</v>
      </c>
      <c r="C60" s="5" t="s">
        <v>697</v>
      </c>
      <c r="D60" s="5"/>
      <c r="E60" s="5" t="s">
        <v>1078</v>
      </c>
      <c r="F60" s="5" t="s">
        <v>2238</v>
      </c>
      <c r="G60" s="5" t="s">
        <v>2040</v>
      </c>
      <c r="H60" s="5" t="s">
        <v>1093</v>
      </c>
      <c r="I60" s="5" t="s">
        <v>128</v>
      </c>
      <c r="J60" s="6"/>
      <c r="K60" s="6"/>
      <c r="L60" s="5" t="s">
        <v>1708</v>
      </c>
      <c r="M60" s="8"/>
      <c r="N60" s="5"/>
      <c r="O60" s="5"/>
      <c r="P60" s="5"/>
      <c r="Q60" s="6">
        <v>1</v>
      </c>
      <c r="R60" s="6" t="s">
        <v>1695</v>
      </c>
      <c r="S60" s="5" t="s">
        <v>1610</v>
      </c>
      <c r="T60" s="6">
        <v>1</v>
      </c>
      <c r="U60" s="6" t="s">
        <v>1737</v>
      </c>
      <c r="V60" s="5"/>
      <c r="W60" s="7"/>
      <c r="X60" s="6" t="s">
        <v>3</v>
      </c>
      <c r="Y60" s="5"/>
      <c r="Z60" s="7">
        <v>0</v>
      </c>
      <c r="AA60" s="6"/>
      <c r="AB60" s="5"/>
      <c r="AC60" s="6"/>
      <c r="AD60" s="6" t="s">
        <v>3</v>
      </c>
      <c r="AE60" s="5"/>
      <c r="AF60" s="6">
        <v>0</v>
      </c>
      <c r="AG60" s="6"/>
      <c r="AH60" s="5"/>
      <c r="AI60" s="6"/>
      <c r="AJ60" s="6"/>
      <c r="AK60" s="5"/>
      <c r="AL60" s="5"/>
      <c r="AM60" s="5"/>
      <c r="AN60" s="5"/>
      <c r="AO60" s="5"/>
      <c r="AP60" s="5"/>
      <c r="AQ60" s="5"/>
    </row>
    <row r="61" spans="1:43" s="2" customFormat="1" x14ac:dyDescent="0.25">
      <c r="A61" s="161" t="str">
        <f t="shared" si="3"/>
        <v>_SETTLER_AMER</v>
      </c>
      <c r="B61" s="9" t="s">
        <v>2238</v>
      </c>
      <c r="C61" s="5" t="s">
        <v>697</v>
      </c>
      <c r="D61" s="5"/>
      <c r="E61" s="5" t="s">
        <v>1078</v>
      </c>
      <c r="F61" s="5" t="s">
        <v>2238</v>
      </c>
      <c r="G61" s="5" t="s">
        <v>2041</v>
      </c>
      <c r="H61" s="5" t="s">
        <v>1094</v>
      </c>
      <c r="I61" s="5" t="s">
        <v>128</v>
      </c>
      <c r="J61" s="6"/>
      <c r="K61" s="6"/>
      <c r="L61" s="5" t="s">
        <v>1708</v>
      </c>
      <c r="M61" s="8"/>
      <c r="N61" s="5"/>
      <c r="O61" s="5"/>
      <c r="P61" s="5"/>
      <c r="Q61" s="6">
        <v>1</v>
      </c>
      <c r="R61" s="6" t="s">
        <v>1695</v>
      </c>
      <c r="S61" s="5" t="s">
        <v>1610</v>
      </c>
      <c r="T61" s="6">
        <v>1</v>
      </c>
      <c r="U61" s="6" t="s">
        <v>1737</v>
      </c>
      <c r="V61" s="5"/>
      <c r="W61" s="7"/>
      <c r="X61" s="6" t="s">
        <v>3</v>
      </c>
      <c r="Y61" s="5"/>
      <c r="Z61" s="7">
        <v>0</v>
      </c>
      <c r="AA61" s="6"/>
      <c r="AB61" s="5"/>
      <c r="AC61" s="6"/>
      <c r="AD61" s="6" t="s">
        <v>3</v>
      </c>
      <c r="AE61" s="5"/>
      <c r="AF61" s="6">
        <v>0</v>
      </c>
      <c r="AG61" s="6"/>
      <c r="AH61" s="5"/>
      <c r="AI61" s="6"/>
      <c r="AJ61" s="6"/>
      <c r="AK61" s="5"/>
      <c r="AL61" s="5"/>
      <c r="AM61" s="5"/>
      <c r="AN61" s="5"/>
      <c r="AO61" s="5"/>
      <c r="AP61" s="5"/>
      <c r="AQ61" s="5"/>
    </row>
    <row r="62" spans="1:43" s="2" customFormat="1" x14ac:dyDescent="0.25">
      <c r="A62" s="161" t="str">
        <f t="shared" si="3"/>
        <v>_SETTLER_AMER</v>
      </c>
      <c r="B62" s="9" t="s">
        <v>2238</v>
      </c>
      <c r="C62" s="5" t="s">
        <v>697</v>
      </c>
      <c r="D62" s="5"/>
      <c r="E62" s="5" t="s">
        <v>1078</v>
      </c>
      <c r="F62" s="5" t="s">
        <v>2238</v>
      </c>
      <c r="G62" s="5" t="s">
        <v>2042</v>
      </c>
      <c r="H62" s="5" t="s">
        <v>1095</v>
      </c>
      <c r="I62" s="5" t="s">
        <v>128</v>
      </c>
      <c r="J62" s="6"/>
      <c r="K62" s="6"/>
      <c r="L62" s="5" t="s">
        <v>1708</v>
      </c>
      <c r="M62" s="8"/>
      <c r="N62" s="5"/>
      <c r="O62" s="5"/>
      <c r="P62" s="5"/>
      <c r="Q62" s="6">
        <v>1</v>
      </c>
      <c r="R62" s="6" t="s">
        <v>1695</v>
      </c>
      <c r="S62" s="5" t="s">
        <v>1610</v>
      </c>
      <c r="T62" s="6">
        <v>1</v>
      </c>
      <c r="U62" s="6" t="s">
        <v>1737</v>
      </c>
      <c r="V62" s="5"/>
      <c r="W62" s="7"/>
      <c r="X62" s="6" t="s">
        <v>3</v>
      </c>
      <c r="Y62" s="5"/>
      <c r="Z62" s="7">
        <v>0</v>
      </c>
      <c r="AA62" s="6"/>
      <c r="AB62" s="5"/>
      <c r="AC62" s="6"/>
      <c r="AD62" s="6" t="s">
        <v>3</v>
      </c>
      <c r="AE62" s="5"/>
      <c r="AF62" s="6">
        <v>0</v>
      </c>
      <c r="AG62" s="6"/>
      <c r="AH62" s="5"/>
      <c r="AI62" s="6"/>
      <c r="AJ62" s="6"/>
      <c r="AK62" s="5"/>
      <c r="AL62" s="5"/>
      <c r="AM62" s="5"/>
      <c r="AN62" s="5"/>
      <c r="AO62" s="5"/>
      <c r="AP62" s="5"/>
      <c r="AQ62" s="5"/>
    </row>
    <row r="63" spans="1:43" s="2" customFormat="1" x14ac:dyDescent="0.25">
      <c r="A63" s="161" t="str">
        <f t="shared" si="3"/>
        <v>_SETTLER_AMER</v>
      </c>
      <c r="B63" s="9" t="s">
        <v>2238</v>
      </c>
      <c r="C63" s="5" t="s">
        <v>697</v>
      </c>
      <c r="D63" s="5"/>
      <c r="E63" s="5" t="s">
        <v>1078</v>
      </c>
      <c r="F63" s="5" t="s">
        <v>2238</v>
      </c>
      <c r="G63" s="5" t="s">
        <v>2043</v>
      </c>
      <c r="H63" s="5" t="s">
        <v>1096</v>
      </c>
      <c r="I63" s="5" t="s">
        <v>128</v>
      </c>
      <c r="J63" s="6"/>
      <c r="K63" s="6"/>
      <c r="L63" s="5" t="s">
        <v>1708</v>
      </c>
      <c r="M63" s="8"/>
      <c r="N63" s="5"/>
      <c r="O63" s="5"/>
      <c r="P63" s="5"/>
      <c r="Q63" s="6">
        <v>1</v>
      </c>
      <c r="R63" s="6" t="s">
        <v>1695</v>
      </c>
      <c r="S63" s="5" t="s">
        <v>1610</v>
      </c>
      <c r="T63" s="6">
        <v>1</v>
      </c>
      <c r="U63" s="6" t="s">
        <v>1737</v>
      </c>
      <c r="V63" s="5"/>
      <c r="W63" s="7"/>
      <c r="X63" s="6" t="s">
        <v>3</v>
      </c>
      <c r="Y63" s="5"/>
      <c r="Z63" s="7">
        <v>0</v>
      </c>
      <c r="AA63" s="6"/>
      <c r="AB63" s="5"/>
      <c r="AC63" s="6"/>
      <c r="AD63" s="6" t="s">
        <v>3</v>
      </c>
      <c r="AE63" s="5"/>
      <c r="AF63" s="6">
        <v>0</v>
      </c>
      <c r="AG63" s="6"/>
      <c r="AH63" s="5"/>
      <c r="AI63" s="6"/>
      <c r="AJ63" s="6"/>
      <c r="AK63" s="5"/>
      <c r="AL63" s="5"/>
      <c r="AM63" s="5"/>
      <c r="AN63" s="5"/>
      <c r="AO63" s="5"/>
      <c r="AP63" s="5"/>
      <c r="AQ63" s="5"/>
    </row>
    <row r="64" spans="1:43" s="2" customFormat="1" x14ac:dyDescent="0.25">
      <c r="A64" s="161" t="str">
        <f t="shared" si="3"/>
        <v>_SETTLER_AMER</v>
      </c>
      <c r="B64" s="9" t="s">
        <v>2238</v>
      </c>
      <c r="C64" s="5" t="s">
        <v>697</v>
      </c>
      <c r="D64" s="5"/>
      <c r="E64" s="5" t="s">
        <v>1078</v>
      </c>
      <c r="F64" s="5" t="s">
        <v>2238</v>
      </c>
      <c r="G64" s="5" t="s">
        <v>2044</v>
      </c>
      <c r="H64" s="5" t="s">
        <v>1097</v>
      </c>
      <c r="I64" s="5" t="s">
        <v>128</v>
      </c>
      <c r="J64" s="6"/>
      <c r="K64" s="6"/>
      <c r="L64" s="5" t="s">
        <v>1708</v>
      </c>
      <c r="M64" s="8"/>
      <c r="N64" s="5"/>
      <c r="O64" s="5"/>
      <c r="P64" s="5"/>
      <c r="Q64" s="6">
        <v>1</v>
      </c>
      <c r="R64" s="6" t="s">
        <v>1695</v>
      </c>
      <c r="S64" s="5" t="s">
        <v>1610</v>
      </c>
      <c r="T64" s="6">
        <v>1</v>
      </c>
      <c r="U64" s="6" t="s">
        <v>1737</v>
      </c>
      <c r="V64" s="5"/>
      <c r="W64" s="7"/>
      <c r="X64" s="6" t="s">
        <v>3</v>
      </c>
      <c r="Y64" s="5"/>
      <c r="Z64" s="7">
        <v>0</v>
      </c>
      <c r="AA64" s="6"/>
      <c r="AB64" s="5"/>
      <c r="AC64" s="6"/>
      <c r="AD64" s="6" t="s">
        <v>3</v>
      </c>
      <c r="AE64" s="5"/>
      <c r="AF64" s="6">
        <v>0</v>
      </c>
      <c r="AG64" s="6"/>
      <c r="AH64" s="5"/>
      <c r="AI64" s="6"/>
      <c r="AJ64" s="6"/>
      <c r="AK64" s="5"/>
      <c r="AL64" s="5"/>
      <c r="AM64" s="5"/>
      <c r="AN64" s="5"/>
      <c r="AO64" s="5"/>
      <c r="AP64" s="5"/>
      <c r="AQ64" s="5"/>
    </row>
    <row r="65" spans="1:43" s="2" customFormat="1" x14ac:dyDescent="0.25">
      <c r="A65" s="161" t="str">
        <f t="shared" si="3"/>
        <v>_SETTLER_AMER</v>
      </c>
      <c r="B65" s="9" t="s">
        <v>2238</v>
      </c>
      <c r="C65" s="5" t="s">
        <v>697</v>
      </c>
      <c r="D65" s="5"/>
      <c r="E65" s="5" t="s">
        <v>1078</v>
      </c>
      <c r="F65" s="5" t="s">
        <v>2238</v>
      </c>
      <c r="G65" s="5" t="s">
        <v>2045</v>
      </c>
      <c r="H65" s="5" t="s">
        <v>1098</v>
      </c>
      <c r="I65" s="5" t="s">
        <v>128</v>
      </c>
      <c r="J65" s="6"/>
      <c r="K65" s="6"/>
      <c r="L65" s="5" t="s">
        <v>1708</v>
      </c>
      <c r="M65" s="8"/>
      <c r="N65" s="5"/>
      <c r="O65" s="5"/>
      <c r="P65" s="5"/>
      <c r="Q65" s="6">
        <v>1</v>
      </c>
      <c r="R65" s="6" t="s">
        <v>1695</v>
      </c>
      <c r="S65" s="5" t="s">
        <v>1610</v>
      </c>
      <c r="T65" s="6">
        <v>1</v>
      </c>
      <c r="U65" s="6" t="s">
        <v>1737</v>
      </c>
      <c r="V65" s="5"/>
      <c r="W65" s="7"/>
      <c r="X65" s="6" t="s">
        <v>3</v>
      </c>
      <c r="Y65" s="5"/>
      <c r="Z65" s="7">
        <v>0</v>
      </c>
      <c r="AA65" s="6"/>
      <c r="AB65" s="5"/>
      <c r="AC65" s="6"/>
      <c r="AD65" s="6" t="s">
        <v>3</v>
      </c>
      <c r="AE65" s="5"/>
      <c r="AF65" s="6">
        <v>1</v>
      </c>
      <c r="AG65" s="6"/>
      <c r="AH65" s="5"/>
      <c r="AI65" s="6"/>
      <c r="AJ65" s="6"/>
      <c r="AK65" s="5"/>
      <c r="AL65" s="5"/>
      <c r="AM65" s="5"/>
      <c r="AN65" s="5"/>
      <c r="AO65" s="5"/>
      <c r="AP65" s="5"/>
      <c r="AQ65" s="5"/>
    </row>
    <row r="66" spans="1:43" s="2" customFormat="1" x14ac:dyDescent="0.25">
      <c r="A66" s="161" t="str">
        <f t="shared" si="3"/>
        <v>_SETTLER_AMER</v>
      </c>
      <c r="B66" s="9" t="s">
        <v>2238</v>
      </c>
      <c r="C66" s="5" t="s">
        <v>697</v>
      </c>
      <c r="D66" s="5"/>
      <c r="E66" s="5" t="s">
        <v>1078</v>
      </c>
      <c r="F66" s="5" t="s">
        <v>2238</v>
      </c>
      <c r="G66" s="5" t="s">
        <v>2046</v>
      </c>
      <c r="H66" s="5" t="s">
        <v>1099</v>
      </c>
      <c r="I66" s="5" t="s">
        <v>128</v>
      </c>
      <c r="J66" s="6"/>
      <c r="K66" s="6"/>
      <c r="L66" s="5" t="s">
        <v>1708</v>
      </c>
      <c r="M66" s="8"/>
      <c r="N66" s="5"/>
      <c r="O66" s="5"/>
      <c r="P66" s="5"/>
      <c r="Q66" s="6">
        <v>1</v>
      </c>
      <c r="R66" s="6" t="s">
        <v>1695</v>
      </c>
      <c r="S66" s="5" t="s">
        <v>1610</v>
      </c>
      <c r="T66" s="6">
        <v>1</v>
      </c>
      <c r="U66" s="6" t="s">
        <v>1737</v>
      </c>
      <c r="V66" s="5"/>
      <c r="W66" s="7"/>
      <c r="X66" s="6" t="s">
        <v>3</v>
      </c>
      <c r="Y66" s="5"/>
      <c r="Z66" s="7">
        <v>0</v>
      </c>
      <c r="AA66" s="6"/>
      <c r="AB66" s="5"/>
      <c r="AC66" s="6"/>
      <c r="AD66" s="6" t="s">
        <v>3</v>
      </c>
      <c r="AE66" s="5"/>
      <c r="AF66" s="6">
        <v>0</v>
      </c>
      <c r="AG66" s="6"/>
      <c r="AH66" s="5"/>
      <c r="AI66" s="6"/>
      <c r="AJ66" s="6"/>
      <c r="AK66" s="5"/>
      <c r="AL66" s="5"/>
      <c r="AM66" s="5"/>
      <c r="AN66" s="5"/>
      <c r="AO66" s="5"/>
      <c r="AP66" s="5"/>
      <c r="AQ66" s="5"/>
    </row>
    <row r="67" spans="1:43" s="2" customFormat="1" x14ac:dyDescent="0.25">
      <c r="A67" s="161" t="str">
        <f t="shared" si="3"/>
        <v>_SETTLER_AMER</v>
      </c>
      <c r="B67" s="9" t="s">
        <v>2238</v>
      </c>
      <c r="C67" s="5" t="s">
        <v>697</v>
      </c>
      <c r="D67" s="5"/>
      <c r="E67" s="5" t="s">
        <v>1078</v>
      </c>
      <c r="F67" s="5" t="s">
        <v>2238</v>
      </c>
      <c r="G67" s="5"/>
      <c r="H67" s="5" t="s">
        <v>1100</v>
      </c>
      <c r="I67" s="5" t="s">
        <v>128</v>
      </c>
      <c r="J67" s="6"/>
      <c r="K67" s="6"/>
      <c r="L67" s="5" t="s">
        <v>1708</v>
      </c>
      <c r="M67" s="8"/>
      <c r="N67" s="5"/>
      <c r="O67" s="5"/>
      <c r="P67" s="5"/>
      <c r="Q67" s="6">
        <v>1</v>
      </c>
      <c r="R67" s="6" t="s">
        <v>1695</v>
      </c>
      <c r="S67" s="5" t="s">
        <v>1610</v>
      </c>
      <c r="T67" s="6">
        <v>1</v>
      </c>
      <c r="U67" s="6" t="s">
        <v>1737</v>
      </c>
      <c r="V67" s="5"/>
      <c r="W67" s="7"/>
      <c r="X67" s="6" t="s">
        <v>3</v>
      </c>
      <c r="Y67" s="5"/>
      <c r="Z67" s="7">
        <v>0</v>
      </c>
      <c r="AA67" s="6"/>
      <c r="AB67" s="5"/>
      <c r="AC67" s="6"/>
      <c r="AD67" s="6" t="s">
        <v>3</v>
      </c>
      <c r="AE67" s="5"/>
      <c r="AF67" s="6">
        <v>0</v>
      </c>
      <c r="AG67" s="6"/>
      <c r="AH67" s="5"/>
      <c r="AI67" s="6"/>
      <c r="AJ67" s="6"/>
      <c r="AK67" s="5"/>
      <c r="AL67" s="5"/>
      <c r="AM67" s="5"/>
      <c r="AN67" s="5"/>
      <c r="AO67" s="5"/>
      <c r="AP67" s="5"/>
      <c r="AQ67" s="5"/>
    </row>
    <row r="68" spans="1:43" s="2" customFormat="1" x14ac:dyDescent="0.25">
      <c r="A68" s="161" t="str">
        <f t="shared" si="0"/>
        <v>_SETTLER</v>
      </c>
      <c r="B68" s="9"/>
      <c r="C68" s="5"/>
      <c r="D68" s="5"/>
      <c r="E68" s="4" t="s">
        <v>1078</v>
      </c>
      <c r="F68" s="5" t="s">
        <v>2562</v>
      </c>
      <c r="G68" s="5"/>
      <c r="H68" s="5" t="s">
        <v>1517</v>
      </c>
      <c r="I68" s="5" t="s">
        <v>128</v>
      </c>
      <c r="J68" s="6"/>
      <c r="K68" s="6"/>
      <c r="L68" s="5" t="s">
        <v>1708</v>
      </c>
      <c r="M68" s="8"/>
      <c r="N68" s="5"/>
      <c r="O68" s="5"/>
      <c r="P68" s="5"/>
      <c r="Q68" s="6">
        <v>0</v>
      </c>
      <c r="R68" s="6" t="s">
        <v>1695</v>
      </c>
      <c r="S68" s="5" t="s">
        <v>1610</v>
      </c>
      <c r="T68" s="6">
        <v>0</v>
      </c>
      <c r="U68" s="6">
        <v>5.5E-2</v>
      </c>
      <c r="V68" s="5"/>
      <c r="W68" s="7">
        <v>0</v>
      </c>
      <c r="X68" s="6" t="s">
        <v>3</v>
      </c>
      <c r="Y68" s="5"/>
      <c r="Z68" s="7">
        <v>0</v>
      </c>
      <c r="AA68" s="6"/>
      <c r="AB68" s="5"/>
      <c r="AC68" s="6">
        <v>0</v>
      </c>
      <c r="AD68" s="6" t="s">
        <v>3</v>
      </c>
      <c r="AE68" s="5"/>
      <c r="AF68" s="6">
        <v>0</v>
      </c>
      <c r="AG68" s="6"/>
      <c r="AH68" s="5"/>
      <c r="AI68" s="6">
        <v>0</v>
      </c>
      <c r="AJ68" s="6"/>
      <c r="AK68" s="5"/>
      <c r="AL68" s="5" t="s">
        <v>1911</v>
      </c>
      <c r="AM68" s="5"/>
      <c r="AN68" s="5"/>
      <c r="AO68" s="5" t="s">
        <v>1911</v>
      </c>
      <c r="AP68" s="5"/>
      <c r="AQ68" s="5"/>
    </row>
    <row r="69" spans="1:43" s="2" customFormat="1" x14ac:dyDescent="0.25">
      <c r="A69" s="161" t="str">
        <f t="shared" si="0"/>
        <v>_SETTLER</v>
      </c>
      <c r="B69" s="9"/>
      <c r="C69" s="5"/>
      <c r="D69" s="5"/>
      <c r="E69" s="4" t="s">
        <v>1078</v>
      </c>
      <c r="F69" s="5" t="s">
        <v>2563</v>
      </c>
      <c r="G69" s="5"/>
      <c r="H69" s="5" t="s">
        <v>1509</v>
      </c>
      <c r="I69" s="5" t="s">
        <v>128</v>
      </c>
      <c r="J69" s="6"/>
      <c r="K69" s="6"/>
      <c r="L69" s="5" t="s">
        <v>1708</v>
      </c>
      <c r="M69" s="8"/>
      <c r="N69" s="5"/>
      <c r="O69" s="5"/>
      <c r="P69" s="5"/>
      <c r="Q69" s="6">
        <v>0</v>
      </c>
      <c r="R69" s="6" t="s">
        <v>1695</v>
      </c>
      <c r="S69" s="5" t="s">
        <v>1610</v>
      </c>
      <c r="T69" s="6">
        <v>0</v>
      </c>
      <c r="U69" s="7" t="s">
        <v>1737</v>
      </c>
      <c r="V69" s="5"/>
      <c r="W69" s="7">
        <v>0</v>
      </c>
      <c r="X69" s="6" t="s">
        <v>3</v>
      </c>
      <c r="Y69" s="5"/>
      <c r="Z69" s="7">
        <v>0</v>
      </c>
      <c r="AA69" s="6"/>
      <c r="AB69" s="5"/>
      <c r="AC69" s="6">
        <v>0</v>
      </c>
      <c r="AD69" s="6" t="s">
        <v>3</v>
      </c>
      <c r="AE69" s="5"/>
      <c r="AF69" s="6">
        <v>0</v>
      </c>
      <c r="AG69" s="6"/>
      <c r="AH69" s="5"/>
      <c r="AI69" s="6">
        <v>0</v>
      </c>
      <c r="AJ69" s="6"/>
      <c r="AK69" s="5"/>
      <c r="AL69" s="5" t="s">
        <v>1911</v>
      </c>
      <c r="AM69" s="5"/>
      <c r="AN69" s="5"/>
      <c r="AO69" s="5" t="s">
        <v>1911</v>
      </c>
      <c r="AP69" s="5"/>
      <c r="AQ69" s="5"/>
    </row>
    <row r="70" spans="1:43" s="2" customFormat="1" x14ac:dyDescent="0.25">
      <c r="A70" s="161" t="str">
        <f t="shared" si="0"/>
        <v>_SETTLER</v>
      </c>
      <c r="B70" s="9"/>
      <c r="C70" s="5"/>
      <c r="D70" s="5"/>
      <c r="E70" s="4" t="s">
        <v>1078</v>
      </c>
      <c r="F70" s="5" t="s">
        <v>2564</v>
      </c>
      <c r="G70" s="5"/>
      <c r="H70" s="5" t="s">
        <v>1510</v>
      </c>
      <c r="I70" s="5" t="s">
        <v>128</v>
      </c>
      <c r="J70" s="6"/>
      <c r="K70" s="6"/>
      <c r="L70" s="5" t="s">
        <v>1708</v>
      </c>
      <c r="M70" s="8"/>
      <c r="N70" s="5"/>
      <c r="O70" s="5"/>
      <c r="P70" s="5"/>
      <c r="Q70" s="6">
        <v>0</v>
      </c>
      <c r="R70" s="6" t="s">
        <v>1695</v>
      </c>
      <c r="S70" s="5" t="s">
        <v>1610</v>
      </c>
      <c r="T70" s="6">
        <v>0</v>
      </c>
      <c r="U70" s="7" t="s">
        <v>1737</v>
      </c>
      <c r="V70" s="5"/>
      <c r="W70" s="7">
        <v>0</v>
      </c>
      <c r="X70" s="6" t="s">
        <v>3</v>
      </c>
      <c r="Y70" s="5"/>
      <c r="Z70" s="7">
        <v>0</v>
      </c>
      <c r="AA70" s="6"/>
      <c r="AB70" s="5"/>
      <c r="AC70" s="6">
        <v>0</v>
      </c>
      <c r="AD70" s="6" t="s">
        <v>3</v>
      </c>
      <c r="AE70" s="5"/>
      <c r="AF70" s="6">
        <v>0</v>
      </c>
      <c r="AG70" s="6"/>
      <c r="AH70" s="5"/>
      <c r="AI70" s="6">
        <v>0</v>
      </c>
      <c r="AJ70" s="6"/>
      <c r="AK70" s="5"/>
      <c r="AL70" s="5" t="s">
        <v>1911</v>
      </c>
      <c r="AM70" s="5"/>
      <c r="AN70" s="5"/>
      <c r="AO70" s="5" t="s">
        <v>1911</v>
      </c>
      <c r="AP70" s="5"/>
      <c r="AQ70" s="5"/>
    </row>
    <row r="71" spans="1:43" s="2" customFormat="1" x14ac:dyDescent="0.25">
      <c r="A71" s="161" t="str">
        <f t="shared" si="0"/>
        <v>_SETTLER</v>
      </c>
      <c r="B71" s="9"/>
      <c r="C71" s="5"/>
      <c r="D71" s="5"/>
      <c r="E71" s="4" t="s">
        <v>1078</v>
      </c>
      <c r="F71" s="5" t="s">
        <v>2565</v>
      </c>
      <c r="G71" s="5"/>
      <c r="H71" s="5" t="s">
        <v>1511</v>
      </c>
      <c r="I71" s="5" t="s">
        <v>128</v>
      </c>
      <c r="J71" s="6"/>
      <c r="K71" s="6"/>
      <c r="L71" s="5" t="s">
        <v>1708</v>
      </c>
      <c r="M71" s="8"/>
      <c r="N71" s="5"/>
      <c r="O71" s="5"/>
      <c r="P71" s="5"/>
      <c r="Q71" s="6">
        <v>0</v>
      </c>
      <c r="R71" s="6" t="s">
        <v>1695</v>
      </c>
      <c r="S71" s="5" t="s">
        <v>1610</v>
      </c>
      <c r="T71" s="6">
        <v>0</v>
      </c>
      <c r="U71" s="7" t="s">
        <v>1737</v>
      </c>
      <c r="V71" s="5"/>
      <c r="W71" s="7">
        <v>0</v>
      </c>
      <c r="X71" s="6" t="s">
        <v>3</v>
      </c>
      <c r="Y71" s="5"/>
      <c r="Z71" s="7">
        <v>0</v>
      </c>
      <c r="AA71" s="6"/>
      <c r="AB71" s="5"/>
      <c r="AC71" s="6">
        <v>0</v>
      </c>
      <c r="AD71" s="6" t="s">
        <v>3</v>
      </c>
      <c r="AE71" s="5"/>
      <c r="AF71" s="6">
        <v>0</v>
      </c>
      <c r="AG71" s="6"/>
      <c r="AH71" s="5"/>
      <c r="AI71" s="6">
        <v>0</v>
      </c>
      <c r="AJ71" s="6"/>
      <c r="AK71" s="5"/>
      <c r="AL71" s="5" t="s">
        <v>1911</v>
      </c>
      <c r="AM71" s="5"/>
      <c r="AN71" s="5"/>
      <c r="AO71" s="5" t="s">
        <v>1911</v>
      </c>
      <c r="AP71" s="5"/>
      <c r="AQ71" s="5"/>
    </row>
    <row r="72" spans="1:43" s="2" customFormat="1" x14ac:dyDescent="0.25">
      <c r="A72" s="161" t="str">
        <f t="shared" si="0"/>
        <v>_SETTLER</v>
      </c>
      <c r="B72" s="9"/>
      <c r="C72" s="5"/>
      <c r="D72" s="5"/>
      <c r="E72" s="4" t="s">
        <v>1078</v>
      </c>
      <c r="F72" s="5" t="s">
        <v>2566</v>
      </c>
      <c r="G72" s="5"/>
      <c r="H72" s="5" t="s">
        <v>1512</v>
      </c>
      <c r="I72" s="5" t="s">
        <v>128</v>
      </c>
      <c r="J72" s="6"/>
      <c r="K72" s="6"/>
      <c r="L72" s="5" t="s">
        <v>1708</v>
      </c>
      <c r="M72" s="8"/>
      <c r="N72" s="5"/>
      <c r="O72" s="5"/>
      <c r="P72" s="5"/>
      <c r="Q72" s="6">
        <v>0</v>
      </c>
      <c r="R72" s="6" t="s">
        <v>1695</v>
      </c>
      <c r="S72" s="5" t="s">
        <v>1610</v>
      </c>
      <c r="T72" s="6">
        <v>0</v>
      </c>
      <c r="U72" s="7" t="s">
        <v>1737</v>
      </c>
      <c r="V72" s="5"/>
      <c r="W72" s="7">
        <v>0</v>
      </c>
      <c r="X72" s="6" t="s">
        <v>3</v>
      </c>
      <c r="Y72" s="5"/>
      <c r="Z72" s="7">
        <v>0</v>
      </c>
      <c r="AA72" s="6"/>
      <c r="AB72" s="5"/>
      <c r="AC72" s="6">
        <v>0</v>
      </c>
      <c r="AD72" s="6" t="s">
        <v>3</v>
      </c>
      <c r="AE72" s="5"/>
      <c r="AF72" s="6">
        <v>0</v>
      </c>
      <c r="AG72" s="6"/>
      <c r="AH72" s="5"/>
      <c r="AI72" s="6">
        <v>0</v>
      </c>
      <c r="AJ72" s="6"/>
      <c r="AK72" s="5"/>
      <c r="AL72" s="5" t="s">
        <v>1911</v>
      </c>
      <c r="AM72" s="5"/>
      <c r="AN72" s="5"/>
      <c r="AO72" s="5" t="s">
        <v>1911</v>
      </c>
      <c r="AP72" s="5"/>
      <c r="AQ72" s="5"/>
    </row>
    <row r="73" spans="1:43" s="2" customFormat="1" x14ac:dyDescent="0.25">
      <c r="A73" s="161" t="str">
        <f t="shared" si="0"/>
        <v>_SETTLER</v>
      </c>
      <c r="B73" s="9"/>
      <c r="C73" s="5"/>
      <c r="D73" s="5"/>
      <c r="E73" s="4" t="s">
        <v>1078</v>
      </c>
      <c r="F73" s="5" t="s">
        <v>2567</v>
      </c>
      <c r="G73" s="5"/>
      <c r="H73" s="5" t="s">
        <v>1513</v>
      </c>
      <c r="I73" s="5" t="s">
        <v>128</v>
      </c>
      <c r="J73" s="6"/>
      <c r="K73" s="6"/>
      <c r="L73" s="5" t="s">
        <v>1708</v>
      </c>
      <c r="M73" s="8"/>
      <c r="N73" s="5"/>
      <c r="O73" s="5"/>
      <c r="P73" s="5"/>
      <c r="Q73" s="6">
        <v>0</v>
      </c>
      <c r="R73" s="6" t="s">
        <v>1695</v>
      </c>
      <c r="S73" s="5" t="s">
        <v>1610</v>
      </c>
      <c r="T73" s="6">
        <v>0</v>
      </c>
      <c r="U73" s="7" t="s">
        <v>1737</v>
      </c>
      <c r="V73" s="5"/>
      <c r="W73" s="7">
        <v>0</v>
      </c>
      <c r="X73" s="6" t="s">
        <v>3</v>
      </c>
      <c r="Y73" s="5"/>
      <c r="Z73" s="7">
        <v>0</v>
      </c>
      <c r="AA73" s="6"/>
      <c r="AB73" s="5"/>
      <c r="AC73" s="6">
        <v>0</v>
      </c>
      <c r="AD73" s="6" t="s">
        <v>3</v>
      </c>
      <c r="AE73" s="5"/>
      <c r="AF73" s="6">
        <v>0</v>
      </c>
      <c r="AG73" s="6"/>
      <c r="AH73" s="5"/>
      <c r="AI73" s="6">
        <v>0</v>
      </c>
      <c r="AJ73" s="6"/>
      <c r="AK73" s="5"/>
      <c r="AL73" s="5" t="s">
        <v>1911</v>
      </c>
      <c r="AM73" s="5"/>
      <c r="AN73" s="5"/>
      <c r="AO73" s="5" t="s">
        <v>1911</v>
      </c>
      <c r="AP73" s="5"/>
      <c r="AQ73" s="5"/>
    </row>
    <row r="74" spans="1:43" s="2" customFormat="1" x14ac:dyDescent="0.25">
      <c r="A74" s="161" t="str">
        <f t="shared" si="0"/>
        <v>_SETTLER</v>
      </c>
      <c r="B74" s="9"/>
      <c r="C74" s="5"/>
      <c r="D74" s="5"/>
      <c r="E74" s="4" t="s">
        <v>1078</v>
      </c>
      <c r="F74" s="5" t="s">
        <v>2568</v>
      </c>
      <c r="G74" s="5"/>
      <c r="H74" s="5" t="s">
        <v>1514</v>
      </c>
      <c r="I74" s="5" t="s">
        <v>128</v>
      </c>
      <c r="J74" s="6"/>
      <c r="K74" s="6"/>
      <c r="L74" s="5" t="s">
        <v>1708</v>
      </c>
      <c r="M74" s="8"/>
      <c r="N74" s="5"/>
      <c r="O74" s="5"/>
      <c r="P74" s="5"/>
      <c r="Q74" s="6">
        <v>0</v>
      </c>
      <c r="R74" s="6" t="s">
        <v>1695</v>
      </c>
      <c r="S74" s="5" t="s">
        <v>1610</v>
      </c>
      <c r="T74" s="6">
        <v>0</v>
      </c>
      <c r="U74" s="7" t="s">
        <v>1737</v>
      </c>
      <c r="V74" s="5"/>
      <c r="W74" s="7">
        <v>0</v>
      </c>
      <c r="X74" s="6" t="s">
        <v>3</v>
      </c>
      <c r="Y74" s="5"/>
      <c r="Z74" s="7">
        <v>0</v>
      </c>
      <c r="AA74" s="6"/>
      <c r="AB74" s="5"/>
      <c r="AC74" s="6">
        <v>0</v>
      </c>
      <c r="AD74" s="6" t="s">
        <v>3</v>
      </c>
      <c r="AE74" s="5"/>
      <c r="AF74" s="6">
        <v>0</v>
      </c>
      <c r="AG74" s="6"/>
      <c r="AH74" s="5"/>
      <c r="AI74" s="6">
        <v>0</v>
      </c>
      <c r="AJ74" s="6"/>
      <c r="AK74" s="5"/>
      <c r="AL74" s="5" t="s">
        <v>1911</v>
      </c>
      <c r="AM74" s="5"/>
      <c r="AN74" s="5"/>
      <c r="AO74" s="5" t="s">
        <v>1911</v>
      </c>
      <c r="AP74" s="5"/>
      <c r="AQ74" s="5"/>
    </row>
    <row r="75" spans="1:43" s="2" customFormat="1" x14ac:dyDescent="0.25">
      <c r="A75" s="161" t="str">
        <f t="shared" si="0"/>
        <v>_SETTLER</v>
      </c>
      <c r="B75" s="9"/>
      <c r="C75" s="5"/>
      <c r="D75" s="5"/>
      <c r="E75" s="4" t="s">
        <v>1078</v>
      </c>
      <c r="F75" s="5" t="s">
        <v>2569</v>
      </c>
      <c r="G75" s="5"/>
      <c r="H75" s="5" t="s">
        <v>1515</v>
      </c>
      <c r="I75" s="5" t="s">
        <v>128</v>
      </c>
      <c r="J75" s="6"/>
      <c r="K75" s="6"/>
      <c r="L75" s="5" t="s">
        <v>1708</v>
      </c>
      <c r="M75" s="8"/>
      <c r="N75" s="5"/>
      <c r="O75" s="5"/>
      <c r="P75" s="5"/>
      <c r="Q75" s="6">
        <v>0</v>
      </c>
      <c r="R75" s="6" t="s">
        <v>1695</v>
      </c>
      <c r="S75" s="5" t="s">
        <v>1610</v>
      </c>
      <c r="T75" s="6">
        <v>0</v>
      </c>
      <c r="U75" s="7" t="s">
        <v>1737</v>
      </c>
      <c r="V75" s="5"/>
      <c r="W75" s="7">
        <v>0</v>
      </c>
      <c r="X75" s="6" t="s">
        <v>3</v>
      </c>
      <c r="Y75" s="5"/>
      <c r="Z75" s="7">
        <v>0</v>
      </c>
      <c r="AA75" s="6"/>
      <c r="AB75" s="5"/>
      <c r="AC75" s="6">
        <v>0</v>
      </c>
      <c r="AD75" s="6" t="s">
        <v>3</v>
      </c>
      <c r="AE75" s="5"/>
      <c r="AF75" s="6">
        <v>0</v>
      </c>
      <c r="AG75" s="6"/>
      <c r="AH75" s="5"/>
      <c r="AI75" s="6">
        <v>0</v>
      </c>
      <c r="AJ75" s="6"/>
      <c r="AK75" s="5"/>
      <c r="AL75" s="5" t="s">
        <v>1911</v>
      </c>
      <c r="AM75" s="5"/>
      <c r="AN75" s="5"/>
      <c r="AO75" s="5" t="s">
        <v>1911</v>
      </c>
      <c r="AP75" s="5"/>
      <c r="AQ75" s="5"/>
    </row>
    <row r="76" spans="1:43" s="2" customFormat="1" x14ac:dyDescent="0.25">
      <c r="A76" s="161" t="str">
        <f t="shared" si="0"/>
        <v>_SETTLER</v>
      </c>
      <c r="B76" s="9"/>
      <c r="C76" s="5"/>
      <c r="D76" s="5"/>
      <c r="E76" s="4" t="s">
        <v>1078</v>
      </c>
      <c r="F76" s="5" t="s">
        <v>2570</v>
      </c>
      <c r="G76" s="5"/>
      <c r="H76" s="5" t="s">
        <v>1516</v>
      </c>
      <c r="I76" s="5" t="s">
        <v>128</v>
      </c>
      <c r="J76" s="6"/>
      <c r="K76" s="6"/>
      <c r="L76" s="5" t="s">
        <v>1708</v>
      </c>
      <c r="M76" s="8"/>
      <c r="N76" s="5"/>
      <c r="O76" s="5"/>
      <c r="P76" s="5"/>
      <c r="Q76" s="6">
        <v>0</v>
      </c>
      <c r="R76" s="6" t="s">
        <v>1695</v>
      </c>
      <c r="S76" s="5" t="s">
        <v>1610</v>
      </c>
      <c r="T76" s="6">
        <v>0</v>
      </c>
      <c r="U76" s="7" t="s">
        <v>1737</v>
      </c>
      <c r="V76" s="5"/>
      <c r="W76" s="7">
        <v>0</v>
      </c>
      <c r="X76" s="6" t="s">
        <v>3</v>
      </c>
      <c r="Y76" s="5"/>
      <c r="Z76" s="7">
        <v>0</v>
      </c>
      <c r="AA76" s="6"/>
      <c r="AB76" s="5"/>
      <c r="AC76" s="6">
        <v>0</v>
      </c>
      <c r="AD76" s="6" t="s">
        <v>3</v>
      </c>
      <c r="AE76" s="5"/>
      <c r="AF76" s="6">
        <v>0</v>
      </c>
      <c r="AG76" s="6"/>
      <c r="AH76" s="5"/>
      <c r="AI76" s="6">
        <v>0</v>
      </c>
      <c r="AJ76" s="6"/>
      <c r="AK76" s="5"/>
      <c r="AL76" s="5" t="s">
        <v>1911</v>
      </c>
      <c r="AM76" s="5"/>
      <c r="AN76" s="5"/>
      <c r="AO76" s="5" t="s">
        <v>1911</v>
      </c>
      <c r="AP76" s="5"/>
      <c r="AQ76" s="5"/>
    </row>
    <row r="77" spans="1:43" s="2" customFormat="1" x14ac:dyDescent="0.25">
      <c r="A77" s="161" t="str">
        <f t="shared" ref="A77:A98" si="4">CONCATENATE(E77,IF(ISBLANK(C77),"",CONCATENATE("_",C77)))</f>
        <v>_SETTLER_ASIA</v>
      </c>
      <c r="B77" s="9" t="s">
        <v>2238</v>
      </c>
      <c r="C77" s="5" t="s">
        <v>693</v>
      </c>
      <c r="D77" s="5"/>
      <c r="E77" s="5" t="s">
        <v>1078</v>
      </c>
      <c r="F77" s="5" t="s">
        <v>2238</v>
      </c>
      <c r="G77" s="5" t="s">
        <v>2039</v>
      </c>
      <c r="H77" s="5" t="s">
        <v>1517</v>
      </c>
      <c r="I77" s="5" t="s">
        <v>128</v>
      </c>
      <c r="J77" s="6"/>
      <c r="K77" s="6"/>
      <c r="L77" s="5" t="s">
        <v>1708</v>
      </c>
      <c r="M77" s="8"/>
      <c r="N77" s="5"/>
      <c r="O77" s="5"/>
      <c r="P77" s="5"/>
      <c r="Q77" s="6">
        <v>1</v>
      </c>
      <c r="R77" s="6" t="s">
        <v>1695</v>
      </c>
      <c r="S77" s="5" t="s">
        <v>1610</v>
      </c>
      <c r="T77" s="6">
        <v>1</v>
      </c>
      <c r="U77" s="6">
        <v>5.5E-2</v>
      </c>
      <c r="V77" s="5"/>
      <c r="W77" s="7"/>
      <c r="X77" s="6" t="s">
        <v>3</v>
      </c>
      <c r="Y77" s="5"/>
      <c r="Z77" s="7">
        <v>1</v>
      </c>
      <c r="AA77" s="6"/>
      <c r="AB77" s="5"/>
      <c r="AC77" s="6"/>
      <c r="AD77" s="6" t="s">
        <v>3</v>
      </c>
      <c r="AE77" s="5"/>
      <c r="AF77" s="6">
        <v>1</v>
      </c>
      <c r="AG77" s="6"/>
      <c r="AH77" s="5"/>
      <c r="AI77" s="6"/>
      <c r="AJ77" s="6"/>
      <c r="AK77" s="5"/>
      <c r="AL77" s="5"/>
      <c r="AM77" s="5"/>
      <c r="AN77" s="5"/>
      <c r="AO77" s="5"/>
      <c r="AP77" s="5"/>
      <c r="AQ77" s="5"/>
    </row>
    <row r="78" spans="1:43" s="2" customFormat="1" x14ac:dyDescent="0.25">
      <c r="A78" s="161" t="str">
        <f t="shared" si="4"/>
        <v>_SETTLER_ASIA</v>
      </c>
      <c r="B78" s="9" t="s">
        <v>2238</v>
      </c>
      <c r="C78" s="5" t="s">
        <v>693</v>
      </c>
      <c r="D78" s="5"/>
      <c r="E78" s="5" t="s">
        <v>1078</v>
      </c>
      <c r="F78" s="5" t="s">
        <v>2238</v>
      </c>
      <c r="G78" s="5" t="s">
        <v>2040</v>
      </c>
      <c r="H78" s="5" t="s">
        <v>1509</v>
      </c>
      <c r="I78" s="5" t="s">
        <v>128</v>
      </c>
      <c r="J78" s="6"/>
      <c r="K78" s="6"/>
      <c r="L78" s="5" t="s">
        <v>1708</v>
      </c>
      <c r="M78" s="8"/>
      <c r="N78" s="5"/>
      <c r="O78" s="5"/>
      <c r="P78" s="5"/>
      <c r="Q78" s="6">
        <v>1</v>
      </c>
      <c r="R78" s="6" t="s">
        <v>1695</v>
      </c>
      <c r="S78" s="5" t="s">
        <v>1610</v>
      </c>
      <c r="T78" s="6">
        <v>1</v>
      </c>
      <c r="U78" s="7" t="s">
        <v>1737</v>
      </c>
      <c r="V78" s="5"/>
      <c r="W78" s="7"/>
      <c r="X78" s="6" t="s">
        <v>3</v>
      </c>
      <c r="Y78" s="5"/>
      <c r="Z78" s="7">
        <v>0</v>
      </c>
      <c r="AA78" s="6"/>
      <c r="AB78" s="5"/>
      <c r="AC78" s="6"/>
      <c r="AD78" s="6" t="s">
        <v>3</v>
      </c>
      <c r="AE78" s="5"/>
      <c r="AF78" s="6">
        <v>0</v>
      </c>
      <c r="AG78" s="6"/>
      <c r="AH78" s="5"/>
      <c r="AI78" s="6"/>
      <c r="AJ78" s="6"/>
      <c r="AK78" s="5"/>
      <c r="AL78" s="5"/>
      <c r="AM78" s="5"/>
      <c r="AN78" s="5"/>
      <c r="AO78" s="5"/>
      <c r="AP78" s="5"/>
      <c r="AQ78" s="5"/>
    </row>
    <row r="79" spans="1:43" s="2" customFormat="1" x14ac:dyDescent="0.25">
      <c r="A79" s="161" t="str">
        <f t="shared" si="4"/>
        <v>_SETTLER_ASIA</v>
      </c>
      <c r="B79" s="9" t="s">
        <v>2238</v>
      </c>
      <c r="C79" s="5" t="s">
        <v>693</v>
      </c>
      <c r="D79" s="5"/>
      <c r="E79" s="5" t="s">
        <v>1078</v>
      </c>
      <c r="F79" s="5" t="s">
        <v>2238</v>
      </c>
      <c r="G79" s="5" t="s">
        <v>2041</v>
      </c>
      <c r="H79" s="5" t="s">
        <v>1510</v>
      </c>
      <c r="I79" s="5" t="s">
        <v>128</v>
      </c>
      <c r="J79" s="6"/>
      <c r="K79" s="6"/>
      <c r="L79" s="5" t="s">
        <v>1708</v>
      </c>
      <c r="M79" s="8"/>
      <c r="N79" s="5"/>
      <c r="O79" s="5"/>
      <c r="P79" s="5"/>
      <c r="Q79" s="6">
        <v>1</v>
      </c>
      <c r="R79" s="6" t="s">
        <v>1695</v>
      </c>
      <c r="S79" s="5" t="s">
        <v>1610</v>
      </c>
      <c r="T79" s="6">
        <v>1</v>
      </c>
      <c r="U79" s="7" t="s">
        <v>1737</v>
      </c>
      <c r="V79" s="5"/>
      <c r="W79" s="7"/>
      <c r="X79" s="6" t="s">
        <v>3</v>
      </c>
      <c r="Y79" s="5"/>
      <c r="Z79" s="7">
        <v>0</v>
      </c>
      <c r="AA79" s="6"/>
      <c r="AB79" s="5"/>
      <c r="AC79" s="6"/>
      <c r="AD79" s="6" t="s">
        <v>3</v>
      </c>
      <c r="AE79" s="5"/>
      <c r="AF79" s="6">
        <v>0</v>
      </c>
      <c r="AG79" s="6"/>
      <c r="AH79" s="5"/>
      <c r="AI79" s="6"/>
      <c r="AJ79" s="6"/>
      <c r="AK79" s="5"/>
      <c r="AL79" s="5"/>
      <c r="AM79" s="5"/>
      <c r="AN79" s="5"/>
      <c r="AO79" s="5"/>
      <c r="AP79" s="5"/>
      <c r="AQ79" s="5"/>
    </row>
    <row r="80" spans="1:43" s="2" customFormat="1" x14ac:dyDescent="0.25">
      <c r="A80" s="161" t="str">
        <f t="shared" si="4"/>
        <v>_SETTLER_ASIA</v>
      </c>
      <c r="B80" s="9" t="s">
        <v>2238</v>
      </c>
      <c r="C80" s="5" t="s">
        <v>693</v>
      </c>
      <c r="D80" s="5"/>
      <c r="E80" s="5" t="s">
        <v>1078</v>
      </c>
      <c r="F80" s="5" t="s">
        <v>2238</v>
      </c>
      <c r="G80" s="5" t="s">
        <v>2042</v>
      </c>
      <c r="H80" s="5" t="s">
        <v>1511</v>
      </c>
      <c r="I80" s="5" t="s">
        <v>128</v>
      </c>
      <c r="J80" s="6"/>
      <c r="K80" s="6"/>
      <c r="L80" s="5" t="s">
        <v>1708</v>
      </c>
      <c r="M80" s="8"/>
      <c r="N80" s="5"/>
      <c r="O80" s="5"/>
      <c r="P80" s="5"/>
      <c r="Q80" s="6">
        <v>1</v>
      </c>
      <c r="R80" s="6" t="s">
        <v>1695</v>
      </c>
      <c r="S80" s="5" t="s">
        <v>1610</v>
      </c>
      <c r="T80" s="6">
        <v>1</v>
      </c>
      <c r="U80" s="7" t="s">
        <v>1737</v>
      </c>
      <c r="V80" s="5"/>
      <c r="W80" s="7"/>
      <c r="X80" s="6" t="s">
        <v>3</v>
      </c>
      <c r="Y80" s="5"/>
      <c r="Z80" s="7">
        <v>0</v>
      </c>
      <c r="AA80" s="6"/>
      <c r="AB80" s="5"/>
      <c r="AC80" s="6"/>
      <c r="AD80" s="6" t="s">
        <v>3</v>
      </c>
      <c r="AE80" s="5"/>
      <c r="AF80" s="6">
        <v>0</v>
      </c>
      <c r="AG80" s="6"/>
      <c r="AH80" s="5"/>
      <c r="AI80" s="6"/>
      <c r="AJ80" s="6"/>
      <c r="AK80" s="5"/>
      <c r="AL80" s="5"/>
      <c r="AM80" s="5"/>
      <c r="AN80" s="5"/>
      <c r="AO80" s="5"/>
      <c r="AP80" s="5"/>
      <c r="AQ80" s="5"/>
    </row>
    <row r="81" spans="1:43" s="2" customFormat="1" x14ac:dyDescent="0.25">
      <c r="A81" s="161" t="str">
        <f t="shared" si="4"/>
        <v>_SETTLER_ASIA</v>
      </c>
      <c r="B81" s="9" t="s">
        <v>2238</v>
      </c>
      <c r="C81" s="5" t="s">
        <v>693</v>
      </c>
      <c r="D81" s="5"/>
      <c r="E81" s="5" t="s">
        <v>1078</v>
      </c>
      <c r="F81" s="5" t="s">
        <v>2238</v>
      </c>
      <c r="G81" s="5" t="s">
        <v>2043</v>
      </c>
      <c r="H81" s="5" t="s">
        <v>1512</v>
      </c>
      <c r="I81" s="5" t="s">
        <v>128</v>
      </c>
      <c r="J81" s="6"/>
      <c r="K81" s="6"/>
      <c r="L81" s="5" t="s">
        <v>1708</v>
      </c>
      <c r="M81" s="8"/>
      <c r="N81" s="5"/>
      <c r="O81" s="5"/>
      <c r="P81" s="5"/>
      <c r="Q81" s="6">
        <v>1</v>
      </c>
      <c r="R81" s="6" t="s">
        <v>1695</v>
      </c>
      <c r="S81" s="5" t="s">
        <v>1610</v>
      </c>
      <c r="T81" s="6">
        <v>1</v>
      </c>
      <c r="U81" s="7" t="s">
        <v>1737</v>
      </c>
      <c r="V81" s="5"/>
      <c r="W81" s="7"/>
      <c r="X81" s="6" t="s">
        <v>3</v>
      </c>
      <c r="Y81" s="5"/>
      <c r="Z81" s="7">
        <v>0</v>
      </c>
      <c r="AA81" s="6"/>
      <c r="AB81" s="5"/>
      <c r="AC81" s="6"/>
      <c r="AD81" s="6" t="s">
        <v>3</v>
      </c>
      <c r="AE81" s="5"/>
      <c r="AF81" s="6">
        <v>0</v>
      </c>
      <c r="AG81" s="6"/>
      <c r="AH81" s="5"/>
      <c r="AI81" s="6"/>
      <c r="AJ81" s="6"/>
      <c r="AK81" s="5"/>
      <c r="AL81" s="5"/>
      <c r="AM81" s="5"/>
      <c r="AN81" s="5"/>
      <c r="AO81" s="5"/>
      <c r="AP81" s="5"/>
      <c r="AQ81" s="5"/>
    </row>
    <row r="82" spans="1:43" s="2" customFormat="1" x14ac:dyDescent="0.25">
      <c r="A82" s="161" t="str">
        <f t="shared" si="4"/>
        <v>_SETTLER_ASIA</v>
      </c>
      <c r="B82" s="9" t="s">
        <v>2238</v>
      </c>
      <c r="C82" s="5" t="s">
        <v>693</v>
      </c>
      <c r="D82" s="5"/>
      <c r="E82" s="5" t="s">
        <v>1078</v>
      </c>
      <c r="F82" s="5" t="s">
        <v>2238</v>
      </c>
      <c r="G82" s="5" t="s">
        <v>2044</v>
      </c>
      <c r="H82" s="5" t="s">
        <v>1513</v>
      </c>
      <c r="I82" s="5" t="s">
        <v>128</v>
      </c>
      <c r="J82" s="6"/>
      <c r="K82" s="6"/>
      <c r="L82" s="5" t="s">
        <v>1708</v>
      </c>
      <c r="M82" s="8"/>
      <c r="N82" s="5"/>
      <c r="O82" s="5"/>
      <c r="P82" s="5"/>
      <c r="Q82" s="6">
        <v>1</v>
      </c>
      <c r="R82" s="6" t="s">
        <v>1695</v>
      </c>
      <c r="S82" s="5" t="s">
        <v>1610</v>
      </c>
      <c r="T82" s="6">
        <v>1</v>
      </c>
      <c r="U82" s="7" t="s">
        <v>1737</v>
      </c>
      <c r="V82" s="5"/>
      <c r="W82" s="7"/>
      <c r="X82" s="6" t="s">
        <v>3</v>
      </c>
      <c r="Y82" s="5"/>
      <c r="Z82" s="7">
        <v>0</v>
      </c>
      <c r="AA82" s="6"/>
      <c r="AB82" s="5"/>
      <c r="AC82" s="6"/>
      <c r="AD82" s="6" t="s">
        <v>3</v>
      </c>
      <c r="AE82" s="5"/>
      <c r="AF82" s="6">
        <v>1</v>
      </c>
      <c r="AG82" s="6"/>
      <c r="AH82" s="5"/>
      <c r="AI82" s="6"/>
      <c r="AJ82" s="6"/>
      <c r="AK82" s="5"/>
      <c r="AL82" s="5"/>
      <c r="AM82" s="5"/>
      <c r="AN82" s="5"/>
      <c r="AO82" s="5"/>
      <c r="AP82" s="5"/>
      <c r="AQ82" s="5"/>
    </row>
    <row r="83" spans="1:43" s="2" customFormat="1" x14ac:dyDescent="0.25">
      <c r="A83" s="161" t="str">
        <f t="shared" si="4"/>
        <v>_SETTLER_ASIA</v>
      </c>
      <c r="B83" s="9" t="s">
        <v>2238</v>
      </c>
      <c r="C83" s="5" t="s">
        <v>693</v>
      </c>
      <c r="D83" s="5"/>
      <c r="E83" s="5" t="s">
        <v>1078</v>
      </c>
      <c r="F83" s="5" t="s">
        <v>2238</v>
      </c>
      <c r="G83" s="5" t="s">
        <v>2045</v>
      </c>
      <c r="H83" s="5" t="s">
        <v>1514</v>
      </c>
      <c r="I83" s="5" t="s">
        <v>128</v>
      </c>
      <c r="J83" s="6"/>
      <c r="K83" s="6"/>
      <c r="L83" s="5" t="s">
        <v>1708</v>
      </c>
      <c r="M83" s="8"/>
      <c r="N83" s="5"/>
      <c r="O83" s="5"/>
      <c r="P83" s="5"/>
      <c r="Q83" s="6">
        <v>1</v>
      </c>
      <c r="R83" s="6" t="s">
        <v>1695</v>
      </c>
      <c r="S83" s="5" t="s">
        <v>1610</v>
      </c>
      <c r="T83" s="6">
        <v>1</v>
      </c>
      <c r="U83" s="7" t="s">
        <v>1737</v>
      </c>
      <c r="V83" s="5"/>
      <c r="W83" s="7"/>
      <c r="X83" s="6" t="s">
        <v>3</v>
      </c>
      <c r="Y83" s="5"/>
      <c r="Z83" s="7">
        <v>0</v>
      </c>
      <c r="AA83" s="6"/>
      <c r="AB83" s="5"/>
      <c r="AC83" s="6"/>
      <c r="AD83" s="6" t="s">
        <v>3</v>
      </c>
      <c r="AE83" s="5"/>
      <c r="AF83" s="6">
        <v>0</v>
      </c>
      <c r="AG83" s="6"/>
      <c r="AH83" s="5"/>
      <c r="AI83" s="6"/>
      <c r="AJ83" s="6"/>
      <c r="AK83" s="5"/>
      <c r="AL83" s="5"/>
      <c r="AM83" s="5"/>
      <c r="AN83" s="5"/>
      <c r="AO83" s="5"/>
      <c r="AP83" s="5"/>
      <c r="AQ83" s="5"/>
    </row>
    <row r="84" spans="1:43" s="2" customFormat="1" x14ac:dyDescent="0.25">
      <c r="A84" s="161" t="str">
        <f t="shared" si="4"/>
        <v>_SETTLER_ASIA</v>
      </c>
      <c r="B84" s="9" t="s">
        <v>2238</v>
      </c>
      <c r="C84" s="5" t="s">
        <v>693</v>
      </c>
      <c r="D84" s="5"/>
      <c r="E84" s="5" t="s">
        <v>1078</v>
      </c>
      <c r="F84" s="5" t="s">
        <v>2238</v>
      </c>
      <c r="G84" s="5" t="s">
        <v>2046</v>
      </c>
      <c r="H84" s="5" t="s">
        <v>1515</v>
      </c>
      <c r="I84" s="5" t="s">
        <v>128</v>
      </c>
      <c r="J84" s="6"/>
      <c r="K84" s="6"/>
      <c r="L84" s="5" t="s">
        <v>1708</v>
      </c>
      <c r="M84" s="8"/>
      <c r="N84" s="5"/>
      <c r="O84" s="5"/>
      <c r="P84" s="5"/>
      <c r="Q84" s="6">
        <v>1</v>
      </c>
      <c r="R84" s="6" t="s">
        <v>1695</v>
      </c>
      <c r="S84" s="5" t="s">
        <v>1610</v>
      </c>
      <c r="T84" s="6">
        <v>1</v>
      </c>
      <c r="U84" s="7" t="s">
        <v>1737</v>
      </c>
      <c r="V84" s="5"/>
      <c r="W84" s="7"/>
      <c r="X84" s="6" t="s">
        <v>3</v>
      </c>
      <c r="Y84" s="5"/>
      <c r="Z84" s="7">
        <v>0</v>
      </c>
      <c r="AA84" s="6"/>
      <c r="AB84" s="5"/>
      <c r="AC84" s="6"/>
      <c r="AD84" s="6" t="s">
        <v>3</v>
      </c>
      <c r="AE84" s="5"/>
      <c r="AF84" s="6">
        <v>0</v>
      </c>
      <c r="AG84" s="6"/>
      <c r="AH84" s="5"/>
      <c r="AI84" s="6"/>
      <c r="AJ84" s="6"/>
      <c r="AK84" s="5"/>
      <c r="AL84" s="5"/>
      <c r="AM84" s="5"/>
      <c r="AN84" s="5"/>
      <c r="AO84" s="5"/>
      <c r="AP84" s="5"/>
      <c r="AQ84" s="5"/>
    </row>
    <row r="85" spans="1:43" s="2" customFormat="1" x14ac:dyDescent="0.25">
      <c r="A85" s="161" t="str">
        <f t="shared" si="4"/>
        <v>_SETTLER_ASIA</v>
      </c>
      <c r="B85" s="9" t="s">
        <v>2238</v>
      </c>
      <c r="C85" s="5" t="s">
        <v>693</v>
      </c>
      <c r="D85" s="5"/>
      <c r="E85" s="5" t="s">
        <v>1078</v>
      </c>
      <c r="F85" s="5" t="s">
        <v>2238</v>
      </c>
      <c r="G85" s="5"/>
      <c r="H85" s="5" t="s">
        <v>1516</v>
      </c>
      <c r="I85" s="5" t="s">
        <v>128</v>
      </c>
      <c r="J85" s="6"/>
      <c r="K85" s="6"/>
      <c r="L85" s="5" t="s">
        <v>1708</v>
      </c>
      <c r="M85" s="8"/>
      <c r="N85" s="5"/>
      <c r="O85" s="5"/>
      <c r="P85" s="5"/>
      <c r="Q85" s="6">
        <v>1</v>
      </c>
      <c r="R85" s="6" t="s">
        <v>1695</v>
      </c>
      <c r="S85" s="5" t="s">
        <v>1610</v>
      </c>
      <c r="T85" s="6">
        <v>1</v>
      </c>
      <c r="U85" s="7" t="s">
        <v>1737</v>
      </c>
      <c r="V85" s="5"/>
      <c r="W85" s="7"/>
      <c r="X85" s="6" t="s">
        <v>3</v>
      </c>
      <c r="Y85" s="5"/>
      <c r="Z85" s="7">
        <v>0</v>
      </c>
      <c r="AA85" s="6"/>
      <c r="AB85" s="5"/>
      <c r="AC85" s="6"/>
      <c r="AD85" s="6" t="s">
        <v>3</v>
      </c>
      <c r="AE85" s="5"/>
      <c r="AF85" s="6">
        <v>0</v>
      </c>
      <c r="AG85" s="6"/>
      <c r="AH85" s="5"/>
      <c r="AI85" s="6"/>
      <c r="AJ85" s="6"/>
      <c r="AK85" s="5"/>
      <c r="AL85" s="5"/>
      <c r="AM85" s="5"/>
      <c r="AN85" s="5"/>
      <c r="AO85" s="5"/>
      <c r="AP85" s="5"/>
      <c r="AQ85" s="5"/>
    </row>
    <row r="86" spans="1:43" s="2" customFormat="1" x14ac:dyDescent="0.25">
      <c r="A86" s="161" t="str">
        <f t="shared" si="4"/>
        <v>_SETTLER_CENTAS</v>
      </c>
      <c r="B86" s="9" t="s">
        <v>2238</v>
      </c>
      <c r="C86" s="4" t="s">
        <v>918</v>
      </c>
      <c r="D86" s="4" t="s">
        <v>694</v>
      </c>
      <c r="E86" s="4" t="s">
        <v>1078</v>
      </c>
      <c r="F86" s="5" t="s">
        <v>2238</v>
      </c>
      <c r="G86" s="5"/>
      <c r="H86" s="10"/>
      <c r="I86" s="4"/>
      <c r="J86" s="9"/>
      <c r="K86" s="11"/>
      <c r="L86" s="4"/>
      <c r="M86" s="12"/>
      <c r="N86" s="4"/>
      <c r="O86" s="4"/>
      <c r="P86" s="4"/>
      <c r="Q86" s="11"/>
      <c r="R86" s="11"/>
      <c r="S86" s="4"/>
      <c r="T86" s="11"/>
      <c r="U86" s="11"/>
      <c r="V86" s="4"/>
      <c r="W86" s="11"/>
      <c r="X86" s="11"/>
      <c r="Y86" s="4"/>
      <c r="Z86" s="7"/>
      <c r="AA86" s="11"/>
      <c r="AB86" s="4"/>
      <c r="AC86" s="11"/>
      <c r="AD86" s="11"/>
      <c r="AE86" s="4"/>
      <c r="AF86" s="11"/>
      <c r="AG86" s="11"/>
      <c r="AH86" s="4"/>
      <c r="AI86" s="11"/>
      <c r="AJ86" s="11"/>
      <c r="AK86" s="4"/>
      <c r="AL86" s="4"/>
      <c r="AM86" s="4"/>
      <c r="AN86" s="4"/>
      <c r="AO86" s="4"/>
      <c r="AP86" s="4"/>
      <c r="AQ86" s="4"/>
    </row>
    <row r="87" spans="1:43" s="2" customFormat="1" x14ac:dyDescent="0.25">
      <c r="A87" s="161" t="str">
        <f t="shared" si="4"/>
        <v>_SETTLER_MIDEAST</v>
      </c>
      <c r="B87" s="9" t="s">
        <v>2238</v>
      </c>
      <c r="C87" s="4" t="s">
        <v>690</v>
      </c>
      <c r="D87" s="4" t="s">
        <v>694</v>
      </c>
      <c r="E87" s="4" t="s">
        <v>1078</v>
      </c>
      <c r="F87" s="5" t="s">
        <v>2238</v>
      </c>
      <c r="G87" s="10"/>
      <c r="H87" s="10"/>
      <c r="I87" s="4"/>
      <c r="J87" s="9"/>
      <c r="K87" s="11"/>
      <c r="L87" s="4"/>
      <c r="M87" s="12"/>
      <c r="N87" s="4"/>
      <c r="O87" s="4"/>
      <c r="P87" s="4"/>
      <c r="Q87" s="11"/>
      <c r="R87" s="11"/>
      <c r="S87" s="4"/>
      <c r="T87" s="11"/>
      <c r="U87" s="11"/>
      <c r="V87" s="4"/>
      <c r="W87" s="11"/>
      <c r="X87" s="11"/>
      <c r="Y87" s="4"/>
      <c r="Z87" s="11"/>
      <c r="AA87" s="11"/>
      <c r="AB87" s="4"/>
      <c r="AC87" s="11"/>
      <c r="AD87" s="11"/>
      <c r="AE87" s="4"/>
      <c r="AF87" s="11"/>
      <c r="AG87" s="11"/>
      <c r="AH87" s="4"/>
      <c r="AI87" s="11"/>
      <c r="AJ87" s="11"/>
      <c r="AK87" s="4"/>
      <c r="AL87" s="4"/>
      <c r="AM87" s="4"/>
      <c r="AN87" s="4"/>
      <c r="AO87" s="4"/>
      <c r="AP87" s="4"/>
      <c r="AQ87" s="4"/>
    </row>
    <row r="88" spans="1:43" s="2" customFormat="1" x14ac:dyDescent="0.25">
      <c r="A88" s="161" t="str">
        <f t="shared" si="4"/>
        <v>_SETTLER_NORTHAF</v>
      </c>
      <c r="B88" s="9" t="s">
        <v>2238</v>
      </c>
      <c r="C88" s="4" t="s">
        <v>2011</v>
      </c>
      <c r="D88" s="4" t="s">
        <v>694</v>
      </c>
      <c r="E88" s="4" t="s">
        <v>1078</v>
      </c>
      <c r="F88" s="5" t="s">
        <v>2238</v>
      </c>
      <c r="G88" s="10"/>
      <c r="H88" s="10"/>
      <c r="I88" s="4"/>
      <c r="J88" s="9"/>
      <c r="K88" s="11"/>
      <c r="L88" s="4"/>
      <c r="M88" s="12"/>
      <c r="N88" s="4"/>
      <c r="O88" s="4"/>
      <c r="P88" s="4"/>
      <c r="Q88" s="11"/>
      <c r="R88" s="11"/>
      <c r="S88" s="4"/>
      <c r="T88" s="11"/>
      <c r="U88" s="11"/>
      <c r="V88" s="4"/>
      <c r="W88" s="11"/>
      <c r="X88" s="11"/>
      <c r="Y88" s="4"/>
      <c r="Z88" s="11"/>
      <c r="AA88" s="11"/>
      <c r="AB88" s="4"/>
      <c r="AC88" s="11"/>
      <c r="AD88" s="11"/>
      <c r="AE88" s="4"/>
      <c r="AF88" s="11"/>
      <c r="AG88" s="11"/>
      <c r="AH88" s="4"/>
      <c r="AI88" s="11"/>
      <c r="AJ88" s="11"/>
      <c r="AK88" s="4"/>
      <c r="AL88" s="4"/>
      <c r="AM88" s="4"/>
      <c r="AN88" s="4"/>
      <c r="AO88" s="4"/>
      <c r="AP88" s="4"/>
      <c r="AQ88" s="4"/>
    </row>
    <row r="89" spans="1:43" s="2" customFormat="1" x14ac:dyDescent="0.25">
      <c r="A89" s="161" t="str">
        <f t="shared" si="4"/>
        <v>_SETTLER_OCEAN</v>
      </c>
      <c r="B89" s="9" t="s">
        <v>2238</v>
      </c>
      <c r="C89" s="4" t="s">
        <v>994</v>
      </c>
      <c r="D89" s="4" t="s">
        <v>697</v>
      </c>
      <c r="E89" s="4" t="s">
        <v>1078</v>
      </c>
      <c r="F89" s="5" t="s">
        <v>2238</v>
      </c>
      <c r="G89" s="5"/>
      <c r="H89" s="10"/>
      <c r="I89" s="4"/>
      <c r="J89" s="9"/>
      <c r="K89" s="11"/>
      <c r="L89" s="4"/>
      <c r="M89" s="12"/>
      <c r="N89" s="4"/>
      <c r="O89" s="4"/>
      <c r="P89" s="4"/>
      <c r="Q89" s="9"/>
      <c r="R89" s="9"/>
      <c r="S89" s="4"/>
      <c r="T89" s="11"/>
      <c r="U89" s="11"/>
      <c r="V89" s="4"/>
      <c r="W89" s="11"/>
      <c r="X89" s="11"/>
      <c r="Y89" s="4"/>
      <c r="Z89" s="9"/>
      <c r="AA89" s="11"/>
      <c r="AB89" s="4"/>
      <c r="AC89" s="11"/>
      <c r="AD89" s="11"/>
      <c r="AE89" s="4"/>
      <c r="AF89" s="11"/>
      <c r="AG89" s="11"/>
      <c r="AH89" s="4"/>
      <c r="AI89" s="11"/>
      <c r="AJ89" s="11"/>
      <c r="AK89" s="4"/>
      <c r="AL89" s="4"/>
      <c r="AM89" s="4"/>
      <c r="AN89" s="4"/>
      <c r="AO89" s="4"/>
      <c r="AP89" s="4"/>
      <c r="AQ89" s="4"/>
    </row>
    <row r="90" spans="1:43" s="2" customFormat="1" x14ac:dyDescent="0.25">
      <c r="A90" s="161" t="str">
        <f t="shared" si="4"/>
        <v>_SETTLER_SOUTHAM</v>
      </c>
      <c r="B90" s="9" t="s">
        <v>2238</v>
      </c>
      <c r="C90" s="4" t="s">
        <v>691</v>
      </c>
      <c r="D90" s="4" t="s">
        <v>697</v>
      </c>
      <c r="E90" s="4" t="s">
        <v>1078</v>
      </c>
      <c r="F90" s="5" t="s">
        <v>2238</v>
      </c>
      <c r="G90" s="10"/>
      <c r="H90" s="10"/>
      <c r="I90" s="4"/>
      <c r="J90" s="9"/>
      <c r="K90" s="11"/>
      <c r="L90" s="4"/>
      <c r="M90" s="12"/>
      <c r="N90" s="4"/>
      <c r="O90" s="4"/>
      <c r="P90" s="4"/>
      <c r="Q90" s="9"/>
      <c r="R90" s="11"/>
      <c r="S90" s="4"/>
      <c r="T90" s="11"/>
      <c r="U90" s="11"/>
      <c r="V90" s="4"/>
      <c r="W90" s="11"/>
      <c r="X90" s="11"/>
      <c r="Y90" s="4"/>
      <c r="Z90" s="11"/>
      <c r="AA90" s="11"/>
      <c r="AB90" s="4"/>
      <c r="AC90" s="11"/>
      <c r="AD90" s="11"/>
      <c r="AE90" s="4"/>
      <c r="AF90" s="11"/>
      <c r="AG90" s="11"/>
      <c r="AH90" s="4"/>
      <c r="AI90" s="11"/>
      <c r="AJ90" s="11"/>
      <c r="AK90" s="4"/>
      <c r="AL90" s="4"/>
      <c r="AM90" s="4"/>
      <c r="AN90" s="4"/>
      <c r="AO90" s="4"/>
      <c r="AP90" s="4"/>
      <c r="AQ90" s="4"/>
    </row>
    <row r="91" spans="1:43" s="2" customFormat="1" x14ac:dyDescent="0.25">
      <c r="A91" s="161" t="str">
        <f t="shared" si="4"/>
        <v>_SETTLER_SOUTHAS</v>
      </c>
      <c r="B91" s="9" t="s">
        <v>2238</v>
      </c>
      <c r="C91" s="4" t="s">
        <v>695</v>
      </c>
      <c r="D91" s="4" t="s">
        <v>693</v>
      </c>
      <c r="E91" s="4" t="s">
        <v>1078</v>
      </c>
      <c r="F91" s="5" t="s">
        <v>2238</v>
      </c>
      <c r="G91" s="10"/>
      <c r="H91" s="10"/>
      <c r="I91" s="4"/>
      <c r="J91" s="9"/>
      <c r="K91" s="11"/>
      <c r="L91" s="4"/>
      <c r="M91" s="12"/>
      <c r="N91" s="4"/>
      <c r="O91" s="4"/>
      <c r="P91" s="4"/>
      <c r="Q91" s="11"/>
      <c r="R91" s="11"/>
      <c r="S91" s="4"/>
      <c r="T91" s="11"/>
      <c r="U91" s="11"/>
      <c r="V91" s="4"/>
      <c r="W91" s="11"/>
      <c r="X91" s="11"/>
      <c r="Y91" s="4"/>
      <c r="Z91" s="11"/>
      <c r="AA91" s="11"/>
      <c r="AB91" s="4"/>
      <c r="AC91" s="11"/>
      <c r="AD91" s="11"/>
      <c r="AE91" s="4"/>
      <c r="AF91" s="11"/>
      <c r="AG91" s="11"/>
      <c r="AH91" s="4"/>
      <c r="AI91" s="11"/>
      <c r="AJ91" s="11"/>
      <c r="AK91" s="4"/>
      <c r="AL91" s="4"/>
      <c r="AM91" s="4"/>
      <c r="AN91" s="4"/>
      <c r="AO91" s="4"/>
      <c r="AP91" s="4"/>
      <c r="AQ91" s="4"/>
    </row>
    <row r="92" spans="1:43" s="2" customFormat="1" x14ac:dyDescent="0.25">
      <c r="A92" s="161" t="str">
        <f t="shared" si="4"/>
        <v>_SETTLER_SEASIA</v>
      </c>
      <c r="B92" s="9" t="s">
        <v>2238</v>
      </c>
      <c r="C92" s="4" t="s">
        <v>696</v>
      </c>
      <c r="D92" s="4" t="s">
        <v>693</v>
      </c>
      <c r="E92" s="4" t="s">
        <v>1078</v>
      </c>
      <c r="F92" s="5" t="s">
        <v>2238</v>
      </c>
      <c r="G92" s="10"/>
      <c r="H92" s="10"/>
      <c r="I92" s="4"/>
      <c r="J92" s="9"/>
      <c r="K92" s="11"/>
      <c r="L92" s="4"/>
      <c r="M92" s="12"/>
      <c r="N92" s="4"/>
      <c r="O92" s="4"/>
      <c r="P92" s="4"/>
      <c r="Q92" s="11"/>
      <c r="R92" s="11"/>
      <c r="S92" s="4"/>
      <c r="T92" s="11"/>
      <c r="U92" s="11"/>
      <c r="V92" s="4"/>
      <c r="W92" s="11"/>
      <c r="X92" s="11"/>
      <c r="Y92" s="4"/>
      <c r="Z92" s="11"/>
      <c r="AA92" s="11"/>
      <c r="AB92" s="4"/>
      <c r="AC92" s="11"/>
      <c r="AD92" s="11"/>
      <c r="AE92" s="4"/>
      <c r="AF92" s="11"/>
      <c r="AG92" s="11"/>
      <c r="AH92" s="4"/>
      <c r="AI92" s="11"/>
      <c r="AJ92" s="11"/>
      <c r="AK92" s="4"/>
      <c r="AL92" s="4"/>
      <c r="AM92" s="4"/>
      <c r="AN92" s="4"/>
      <c r="AO92" s="4"/>
      <c r="AP92" s="4"/>
      <c r="AQ92" s="4"/>
    </row>
    <row r="93" spans="1:43" s="2" customFormat="1" x14ac:dyDescent="0.25">
      <c r="A93" s="161" t="str">
        <f t="shared" si="4"/>
        <v>_WARRIOR</v>
      </c>
      <c r="B93" s="9" t="s">
        <v>787</v>
      </c>
      <c r="C93" s="5"/>
      <c r="D93" s="5"/>
      <c r="E93" s="5" t="s">
        <v>743</v>
      </c>
      <c r="F93" s="5" t="s">
        <v>787</v>
      </c>
      <c r="G93" s="5" t="s">
        <v>2047</v>
      </c>
      <c r="H93" s="5" t="s">
        <v>1518</v>
      </c>
      <c r="I93" s="5" t="s">
        <v>128</v>
      </c>
      <c r="J93" s="6"/>
      <c r="K93" s="6"/>
      <c r="L93" s="5" t="s">
        <v>1708</v>
      </c>
      <c r="M93" s="8"/>
      <c r="N93" s="5"/>
      <c r="O93" s="5"/>
      <c r="P93" s="5"/>
      <c r="Q93" s="6">
        <v>0</v>
      </c>
      <c r="R93" s="7" t="s">
        <v>1737</v>
      </c>
      <c r="S93" s="13" t="s">
        <v>1519</v>
      </c>
      <c r="T93" s="6">
        <v>0</v>
      </c>
      <c r="U93" s="7" t="s">
        <v>1737</v>
      </c>
      <c r="V93" s="13"/>
      <c r="W93" s="6" t="s">
        <v>3</v>
      </c>
      <c r="X93" s="6" t="s">
        <v>3</v>
      </c>
      <c r="Y93" s="13"/>
      <c r="Z93" s="7">
        <v>0</v>
      </c>
      <c r="AA93" s="6"/>
      <c r="AB93" s="13"/>
      <c r="AC93" s="6"/>
      <c r="AD93" s="6" t="s">
        <v>3</v>
      </c>
      <c r="AE93" s="13"/>
      <c r="AF93" s="6">
        <v>0</v>
      </c>
      <c r="AG93" s="6"/>
      <c r="AH93" s="13"/>
      <c r="AI93" s="6">
        <v>0</v>
      </c>
      <c r="AJ93" s="6"/>
      <c r="AK93" s="13"/>
      <c r="AL93" s="13"/>
      <c r="AM93" s="13"/>
      <c r="AN93" s="13"/>
      <c r="AO93" s="13"/>
      <c r="AP93" s="13"/>
      <c r="AQ93" s="13"/>
    </row>
    <row r="94" spans="1:43" s="2" customFormat="1" x14ac:dyDescent="0.25">
      <c r="A94" s="161" t="str">
        <f t="shared" si="4"/>
        <v>_WARRIOR</v>
      </c>
      <c r="B94" s="9" t="s">
        <v>787</v>
      </c>
      <c r="C94" s="5"/>
      <c r="D94" s="5"/>
      <c r="E94" s="5" t="s">
        <v>743</v>
      </c>
      <c r="F94" s="5" t="s">
        <v>787</v>
      </c>
      <c r="G94" s="5" t="s">
        <v>2048</v>
      </c>
      <c r="H94" s="5" t="s">
        <v>1520</v>
      </c>
      <c r="I94" s="5" t="s">
        <v>128</v>
      </c>
      <c r="J94" s="6"/>
      <c r="K94" s="6"/>
      <c r="L94" s="5" t="s">
        <v>1708</v>
      </c>
      <c r="M94" s="8"/>
      <c r="N94" s="5"/>
      <c r="O94" s="5"/>
      <c r="P94" s="5"/>
      <c r="Q94" s="6">
        <v>3</v>
      </c>
      <c r="R94" s="7" t="s">
        <v>1737</v>
      </c>
      <c r="S94" s="13" t="s">
        <v>1519</v>
      </c>
      <c r="T94" s="6">
        <v>3</v>
      </c>
      <c r="U94" s="7" t="s">
        <v>1737</v>
      </c>
      <c r="V94" s="13"/>
      <c r="W94" s="6" t="s">
        <v>3</v>
      </c>
      <c r="X94" s="6" t="s">
        <v>3</v>
      </c>
      <c r="Y94" s="13"/>
      <c r="Z94" s="7">
        <v>0</v>
      </c>
      <c r="AA94" s="6"/>
      <c r="AB94" s="13"/>
      <c r="AC94" s="6"/>
      <c r="AD94" s="6" t="s">
        <v>3</v>
      </c>
      <c r="AE94" s="13"/>
      <c r="AF94" s="6">
        <v>1</v>
      </c>
      <c r="AG94" s="6"/>
      <c r="AH94" s="13"/>
      <c r="AI94" s="6">
        <v>2</v>
      </c>
      <c r="AJ94" s="6"/>
      <c r="AK94" s="13"/>
      <c r="AL94" s="13"/>
      <c r="AM94" s="13"/>
      <c r="AN94" s="13"/>
      <c r="AO94" s="13"/>
      <c r="AP94" s="13"/>
      <c r="AQ94" s="13"/>
    </row>
    <row r="95" spans="1:43" s="2" customFormat="1" x14ac:dyDescent="0.25">
      <c r="A95" s="161" t="str">
        <f t="shared" si="4"/>
        <v>_WARRIOR</v>
      </c>
      <c r="B95" s="9" t="s">
        <v>787</v>
      </c>
      <c r="C95" s="5"/>
      <c r="D95" s="5"/>
      <c r="E95" s="5" t="s">
        <v>743</v>
      </c>
      <c r="F95" s="5" t="s">
        <v>787</v>
      </c>
      <c r="G95" s="5"/>
      <c r="H95" s="5" t="s">
        <v>1519</v>
      </c>
      <c r="I95" s="5" t="s">
        <v>128</v>
      </c>
      <c r="J95" s="6"/>
      <c r="K95" s="6"/>
      <c r="L95" s="5" t="s">
        <v>1708</v>
      </c>
      <c r="M95" s="8"/>
      <c r="N95" s="5"/>
      <c r="O95" s="5"/>
      <c r="P95" s="5"/>
      <c r="Q95" s="6">
        <v>6</v>
      </c>
      <c r="R95" s="7" t="s">
        <v>1737</v>
      </c>
      <c r="S95" s="13" t="s">
        <v>1519</v>
      </c>
      <c r="T95" s="6">
        <v>8</v>
      </c>
      <c r="U95" s="7" t="s">
        <v>1737</v>
      </c>
      <c r="V95" s="13"/>
      <c r="W95" s="6" t="s">
        <v>3</v>
      </c>
      <c r="X95" s="6" t="s">
        <v>3</v>
      </c>
      <c r="Y95" s="13"/>
      <c r="Z95" s="7">
        <v>1</v>
      </c>
      <c r="AA95" s="6"/>
      <c r="AB95" s="13"/>
      <c r="AC95" s="6"/>
      <c r="AD95" s="6" t="s">
        <v>3</v>
      </c>
      <c r="AE95" s="13"/>
      <c r="AF95" s="6">
        <v>1</v>
      </c>
      <c r="AG95" s="6"/>
      <c r="AH95" s="13"/>
      <c r="AI95" s="6">
        <v>3</v>
      </c>
      <c r="AJ95" s="6"/>
      <c r="AK95" s="13"/>
      <c r="AL95" s="13"/>
      <c r="AM95" s="13"/>
      <c r="AN95" s="13"/>
      <c r="AO95" s="13"/>
      <c r="AP95" s="13"/>
      <c r="AQ95" s="13"/>
    </row>
    <row r="96" spans="1:43" s="2" customFormat="1" x14ac:dyDescent="0.25">
      <c r="A96" s="161" t="str">
        <f t="shared" si="4"/>
        <v>_WARRIOR</v>
      </c>
      <c r="B96" s="9" t="s">
        <v>787</v>
      </c>
      <c r="C96" s="5"/>
      <c r="D96" s="5"/>
      <c r="E96" s="5" t="s">
        <v>743</v>
      </c>
      <c r="F96" s="5" t="s">
        <v>787</v>
      </c>
      <c r="G96" s="5" t="s">
        <v>2047</v>
      </c>
      <c r="H96" s="5" t="s">
        <v>1518</v>
      </c>
      <c r="I96" s="5" t="s">
        <v>128</v>
      </c>
      <c r="J96" s="6"/>
      <c r="K96" s="6"/>
      <c r="L96" s="5" t="s">
        <v>1708</v>
      </c>
      <c r="M96" s="8"/>
      <c r="N96" s="5"/>
      <c r="O96" s="5"/>
      <c r="P96" s="5"/>
      <c r="Q96" s="6">
        <v>3</v>
      </c>
      <c r="R96" s="7" t="s">
        <v>1737</v>
      </c>
      <c r="S96" s="13" t="s">
        <v>1519</v>
      </c>
      <c r="T96" s="6">
        <v>3</v>
      </c>
      <c r="U96" s="7" t="s">
        <v>1737</v>
      </c>
      <c r="V96" s="13"/>
      <c r="W96" s="7" t="s">
        <v>3</v>
      </c>
      <c r="X96" s="6" t="s">
        <v>3</v>
      </c>
      <c r="Y96" s="13"/>
      <c r="Z96" s="7">
        <v>0</v>
      </c>
      <c r="AA96" s="6"/>
      <c r="AB96" s="13"/>
      <c r="AC96" s="6"/>
      <c r="AD96" s="6" t="s">
        <v>3</v>
      </c>
      <c r="AE96" s="13"/>
      <c r="AF96" s="6">
        <v>1</v>
      </c>
      <c r="AG96" s="6"/>
      <c r="AH96" s="13"/>
      <c r="AI96" s="6">
        <v>2</v>
      </c>
      <c r="AJ96" s="6"/>
      <c r="AK96" s="13"/>
      <c r="AL96" s="13"/>
      <c r="AM96" s="13"/>
      <c r="AN96" s="13"/>
      <c r="AO96" s="13"/>
      <c r="AP96" s="13"/>
      <c r="AQ96" s="13"/>
    </row>
    <row r="97" spans="1:43" s="2" customFormat="1" x14ac:dyDescent="0.25">
      <c r="A97" s="161" t="str">
        <f t="shared" si="4"/>
        <v>_WARRIOR</v>
      </c>
      <c r="B97" s="9" t="s">
        <v>787</v>
      </c>
      <c r="C97" s="5"/>
      <c r="D97" s="5"/>
      <c r="E97" s="5" t="s">
        <v>743</v>
      </c>
      <c r="F97" s="5" t="s">
        <v>787</v>
      </c>
      <c r="G97" s="5" t="s">
        <v>2048</v>
      </c>
      <c r="H97" s="5" t="s">
        <v>1520</v>
      </c>
      <c r="I97" s="5" t="s">
        <v>128</v>
      </c>
      <c r="J97" s="6"/>
      <c r="K97" s="6"/>
      <c r="L97" s="5" t="s">
        <v>1708</v>
      </c>
      <c r="M97" s="8"/>
      <c r="N97" s="5"/>
      <c r="O97" s="5"/>
      <c r="P97" s="5"/>
      <c r="Q97" s="6">
        <v>0</v>
      </c>
      <c r="R97" s="7" t="s">
        <v>1737</v>
      </c>
      <c r="S97" s="13" t="s">
        <v>1519</v>
      </c>
      <c r="T97" s="6">
        <v>2</v>
      </c>
      <c r="U97" s="7" t="s">
        <v>1737</v>
      </c>
      <c r="V97" s="13"/>
      <c r="W97" s="7" t="s">
        <v>3</v>
      </c>
      <c r="X97" s="6" t="s">
        <v>3</v>
      </c>
      <c r="Y97" s="13"/>
      <c r="Z97" s="7">
        <v>0</v>
      </c>
      <c r="AA97" s="6"/>
      <c r="AB97" s="13"/>
      <c r="AC97" s="6"/>
      <c r="AD97" s="6" t="s">
        <v>3</v>
      </c>
      <c r="AE97" s="13"/>
      <c r="AF97" s="6">
        <v>0</v>
      </c>
      <c r="AG97" s="6"/>
      <c r="AH97" s="13"/>
      <c r="AI97" s="6">
        <v>0</v>
      </c>
      <c r="AJ97" s="6"/>
      <c r="AK97" s="13"/>
      <c r="AL97" s="13"/>
      <c r="AM97" s="13"/>
      <c r="AN97" s="13"/>
      <c r="AO97" s="13"/>
      <c r="AP97" s="13"/>
      <c r="AQ97" s="13"/>
    </row>
    <row r="98" spans="1:43" s="2" customFormat="1" x14ac:dyDescent="0.25">
      <c r="A98" s="161" t="str">
        <f t="shared" si="4"/>
        <v>_WARRIOR_AFRI</v>
      </c>
      <c r="B98" s="9" t="s">
        <v>787</v>
      </c>
      <c r="C98" s="4" t="s">
        <v>694</v>
      </c>
      <c r="D98" s="4"/>
      <c r="E98" s="4" t="s">
        <v>743</v>
      </c>
      <c r="F98" s="4" t="s">
        <v>787</v>
      </c>
      <c r="G98" s="4"/>
      <c r="H98" s="4" t="s">
        <v>862</v>
      </c>
      <c r="I98" s="4" t="s">
        <v>1942</v>
      </c>
      <c r="J98" s="11"/>
      <c r="K98" s="11"/>
      <c r="L98" s="4"/>
      <c r="M98" s="12"/>
      <c r="N98" s="4"/>
      <c r="O98" s="4"/>
      <c r="P98" s="4"/>
      <c r="Q98" s="11">
        <v>2</v>
      </c>
      <c r="R98" s="11"/>
      <c r="S98" s="4"/>
      <c r="T98" s="11">
        <v>3</v>
      </c>
      <c r="U98" s="11"/>
      <c r="V98" s="4"/>
      <c r="W98" s="11"/>
      <c r="X98" s="11"/>
      <c r="Y98" s="4"/>
      <c r="Z98" s="11">
        <v>1</v>
      </c>
      <c r="AA98" s="11"/>
      <c r="AB98" s="4"/>
      <c r="AC98" s="11"/>
      <c r="AD98" s="11"/>
      <c r="AE98" s="4"/>
      <c r="AF98" s="11">
        <v>1</v>
      </c>
      <c r="AG98" s="11"/>
      <c r="AH98" s="4"/>
      <c r="AI98" s="11">
        <v>1</v>
      </c>
      <c r="AJ98" s="11"/>
      <c r="AK98" s="4"/>
      <c r="AL98" s="4"/>
      <c r="AM98" s="4"/>
      <c r="AN98" s="4"/>
      <c r="AO98" s="4"/>
      <c r="AP98" s="4"/>
      <c r="AQ98" s="4"/>
    </row>
    <row r="99" spans="1:43" s="2" customFormat="1" x14ac:dyDescent="0.25">
      <c r="A99" s="161" t="str">
        <f t="shared" ref="A99:A154" si="5">CONCATENATE(E99,IF(ISBLANK(C99),"",CONCATENATE("_",C99)))</f>
        <v>_WARRIOR_AFRI</v>
      </c>
      <c r="B99" s="9" t="s">
        <v>787</v>
      </c>
      <c r="C99" s="4" t="s">
        <v>694</v>
      </c>
      <c r="D99" s="4"/>
      <c r="E99" s="4" t="s">
        <v>743</v>
      </c>
      <c r="F99" s="4" t="s">
        <v>787</v>
      </c>
      <c r="G99" s="4" t="s">
        <v>2047</v>
      </c>
      <c r="H99" s="4" t="s">
        <v>861</v>
      </c>
      <c r="I99" s="4" t="s">
        <v>1942</v>
      </c>
      <c r="J99" s="11"/>
      <c r="K99" s="11"/>
      <c r="L99" s="4"/>
      <c r="M99" s="12"/>
      <c r="N99" s="4"/>
      <c r="O99" s="4"/>
      <c r="P99" s="4"/>
      <c r="Q99" s="11">
        <v>0</v>
      </c>
      <c r="R99" s="11"/>
      <c r="S99" s="4"/>
      <c r="T99" s="11">
        <v>2</v>
      </c>
      <c r="U99" s="11"/>
      <c r="V99" s="4"/>
      <c r="W99" s="11"/>
      <c r="X99" s="11"/>
      <c r="Y99" s="4"/>
      <c r="Z99" s="11">
        <v>0</v>
      </c>
      <c r="AA99" s="11"/>
      <c r="AB99" s="4"/>
      <c r="AC99" s="11"/>
      <c r="AD99" s="11"/>
      <c r="AE99" s="4"/>
      <c r="AF99" s="11">
        <v>1</v>
      </c>
      <c r="AG99" s="11"/>
      <c r="AH99" s="4"/>
      <c r="AI99" s="11">
        <v>1</v>
      </c>
      <c r="AJ99" s="11"/>
      <c r="AK99" s="4"/>
      <c r="AL99" s="4"/>
      <c r="AM99" s="4"/>
      <c r="AN99" s="4"/>
      <c r="AO99" s="4"/>
      <c r="AP99" s="4"/>
      <c r="AQ99" s="4"/>
    </row>
    <row r="100" spans="1:43" s="2" customFormat="1" x14ac:dyDescent="0.25">
      <c r="A100" s="161" t="str">
        <f t="shared" si="5"/>
        <v>_WARRIOR_AFRI</v>
      </c>
      <c r="B100" s="9" t="s">
        <v>787</v>
      </c>
      <c r="C100" s="4" t="s">
        <v>694</v>
      </c>
      <c r="D100" s="4"/>
      <c r="E100" s="4" t="s">
        <v>743</v>
      </c>
      <c r="F100" s="4" t="s">
        <v>787</v>
      </c>
      <c r="G100" s="4" t="s">
        <v>2049</v>
      </c>
      <c r="H100" s="4" t="s">
        <v>860</v>
      </c>
      <c r="I100" s="4" t="s">
        <v>1942</v>
      </c>
      <c r="J100" s="11"/>
      <c r="K100" s="11"/>
      <c r="L100" s="4"/>
      <c r="M100" s="12"/>
      <c r="N100" s="4"/>
      <c r="O100" s="4"/>
      <c r="P100" s="4"/>
      <c r="Q100" s="11">
        <v>1</v>
      </c>
      <c r="R100" s="11"/>
      <c r="S100" s="4"/>
      <c r="T100" s="11">
        <v>3</v>
      </c>
      <c r="U100" s="11"/>
      <c r="V100" s="4"/>
      <c r="W100" s="11"/>
      <c r="X100" s="11"/>
      <c r="Y100" s="4"/>
      <c r="Z100" s="11">
        <v>0</v>
      </c>
      <c r="AA100" s="11"/>
      <c r="AB100" s="4"/>
      <c r="AC100" s="11"/>
      <c r="AD100" s="11"/>
      <c r="AE100" s="4"/>
      <c r="AF100" s="11">
        <v>1</v>
      </c>
      <c r="AG100" s="11"/>
      <c r="AH100" s="4"/>
      <c r="AI100" s="11">
        <v>1</v>
      </c>
      <c r="AJ100" s="11"/>
      <c r="AK100" s="4"/>
      <c r="AL100" s="4"/>
      <c r="AM100" s="4"/>
      <c r="AN100" s="4"/>
      <c r="AO100" s="4"/>
      <c r="AP100" s="4"/>
      <c r="AQ100" s="4"/>
    </row>
    <row r="101" spans="1:43" s="2" customFormat="1" x14ac:dyDescent="0.25">
      <c r="A101" s="161" t="str">
        <f t="shared" si="5"/>
        <v>_WARRIOR_AFRI</v>
      </c>
      <c r="B101" s="9" t="s">
        <v>787</v>
      </c>
      <c r="C101" s="4" t="s">
        <v>694</v>
      </c>
      <c r="D101" s="4"/>
      <c r="E101" s="4" t="s">
        <v>743</v>
      </c>
      <c r="F101" s="4" t="s">
        <v>787</v>
      </c>
      <c r="G101" s="4" t="s">
        <v>2048</v>
      </c>
      <c r="H101" s="4" t="s">
        <v>682</v>
      </c>
      <c r="I101" s="4" t="s">
        <v>1942</v>
      </c>
      <c r="J101" s="11"/>
      <c r="K101" s="11"/>
      <c r="L101" s="4"/>
      <c r="M101" s="12"/>
      <c r="N101" s="4"/>
      <c r="O101" s="4"/>
      <c r="P101" s="4"/>
      <c r="Q101" s="9">
        <v>0</v>
      </c>
      <c r="R101" s="11"/>
      <c r="S101" s="4"/>
      <c r="T101" s="11">
        <v>2</v>
      </c>
      <c r="U101" s="11"/>
      <c r="V101" s="4"/>
      <c r="W101" s="11"/>
      <c r="X101" s="11"/>
      <c r="Y101" s="4"/>
      <c r="Z101" s="9">
        <v>0</v>
      </c>
      <c r="AA101" s="11"/>
      <c r="AB101" s="4"/>
      <c r="AC101" s="11"/>
      <c r="AD101" s="11"/>
      <c r="AE101" s="4"/>
      <c r="AF101" s="11">
        <v>0</v>
      </c>
      <c r="AG101" s="11"/>
      <c r="AH101" s="4"/>
      <c r="AI101" s="11">
        <v>1</v>
      </c>
      <c r="AJ101" s="11"/>
      <c r="AK101" s="4"/>
      <c r="AL101" s="4"/>
      <c r="AM101" s="4"/>
      <c r="AN101" s="4"/>
      <c r="AO101" s="4"/>
      <c r="AP101" s="4"/>
      <c r="AQ101" s="4"/>
    </row>
    <row r="102" spans="1:43" s="2" customFormat="1" x14ac:dyDescent="0.25">
      <c r="A102" s="161" t="str">
        <f t="shared" si="5"/>
        <v>_WARRIOR_AFRI</v>
      </c>
      <c r="B102" s="9" t="s">
        <v>787</v>
      </c>
      <c r="C102" s="4" t="s">
        <v>694</v>
      </c>
      <c r="D102" s="4"/>
      <c r="E102" s="4" t="s">
        <v>743</v>
      </c>
      <c r="F102" s="4" t="s">
        <v>787</v>
      </c>
      <c r="G102" s="4"/>
      <c r="H102" s="4" t="s">
        <v>862</v>
      </c>
      <c r="I102" s="4" t="s">
        <v>1942</v>
      </c>
      <c r="J102" s="11"/>
      <c r="K102" s="11"/>
      <c r="L102" s="4"/>
      <c r="M102" s="12"/>
      <c r="N102" s="4"/>
      <c r="O102" s="4"/>
      <c r="P102" s="4"/>
      <c r="Q102" s="9">
        <v>1</v>
      </c>
      <c r="R102" s="11"/>
      <c r="S102" s="4"/>
      <c r="T102" s="11">
        <v>2</v>
      </c>
      <c r="U102" s="11"/>
      <c r="V102" s="4"/>
      <c r="W102" s="11"/>
      <c r="X102" s="11"/>
      <c r="Y102" s="4"/>
      <c r="Z102" s="9">
        <v>0</v>
      </c>
      <c r="AA102" s="11"/>
      <c r="AB102" s="4"/>
      <c r="AC102" s="11"/>
      <c r="AD102" s="11"/>
      <c r="AE102" s="4"/>
      <c r="AF102" s="11">
        <v>0</v>
      </c>
      <c r="AG102" s="11"/>
      <c r="AH102" s="4"/>
      <c r="AI102" s="11">
        <v>1</v>
      </c>
      <c r="AJ102" s="11"/>
      <c r="AK102" s="4"/>
      <c r="AL102" s="4"/>
      <c r="AM102" s="4"/>
      <c r="AN102" s="4"/>
      <c r="AO102" s="4"/>
      <c r="AP102" s="4"/>
      <c r="AQ102" s="4"/>
    </row>
    <row r="103" spans="1:43" s="2" customFormat="1" x14ac:dyDescent="0.25">
      <c r="A103" s="161" t="str">
        <f t="shared" si="5"/>
        <v>_WARRIOR_AFRI</v>
      </c>
      <c r="B103" s="9" t="s">
        <v>787</v>
      </c>
      <c r="C103" s="4" t="s">
        <v>694</v>
      </c>
      <c r="D103" s="4"/>
      <c r="E103" s="4" t="s">
        <v>743</v>
      </c>
      <c r="F103" s="4" t="s">
        <v>787</v>
      </c>
      <c r="G103" s="4" t="s">
        <v>2047</v>
      </c>
      <c r="H103" s="4" t="s">
        <v>861</v>
      </c>
      <c r="I103" s="4" t="s">
        <v>1942</v>
      </c>
      <c r="J103" s="11"/>
      <c r="K103" s="11"/>
      <c r="L103" s="4"/>
      <c r="M103" s="12"/>
      <c r="N103" s="4"/>
      <c r="O103" s="4"/>
      <c r="P103" s="4"/>
      <c r="Q103" s="9">
        <v>3</v>
      </c>
      <c r="R103" s="11"/>
      <c r="S103" s="4"/>
      <c r="T103" s="11">
        <v>2</v>
      </c>
      <c r="U103" s="11"/>
      <c r="V103" s="4"/>
      <c r="W103" s="11"/>
      <c r="X103" s="11"/>
      <c r="Y103" s="4"/>
      <c r="Z103" s="9">
        <v>0</v>
      </c>
      <c r="AA103" s="11"/>
      <c r="AB103" s="4"/>
      <c r="AC103" s="11"/>
      <c r="AD103" s="11"/>
      <c r="AE103" s="4"/>
      <c r="AF103" s="11">
        <v>0</v>
      </c>
      <c r="AG103" s="11"/>
      <c r="AH103" s="4"/>
      <c r="AI103" s="11">
        <v>1</v>
      </c>
      <c r="AJ103" s="11"/>
      <c r="AK103" s="4"/>
      <c r="AL103" s="4"/>
      <c r="AM103" s="4"/>
      <c r="AN103" s="4"/>
      <c r="AO103" s="4"/>
      <c r="AP103" s="4"/>
      <c r="AQ103" s="4"/>
    </row>
    <row r="104" spans="1:43" s="2" customFormat="1" x14ac:dyDescent="0.25">
      <c r="A104" s="161" t="str">
        <f t="shared" si="5"/>
        <v>_WARRIOR_AFRI</v>
      </c>
      <c r="B104" s="9" t="s">
        <v>787</v>
      </c>
      <c r="C104" s="4" t="s">
        <v>694</v>
      </c>
      <c r="D104" s="4"/>
      <c r="E104" s="4" t="s">
        <v>743</v>
      </c>
      <c r="F104" s="4" t="s">
        <v>787</v>
      </c>
      <c r="G104" s="4" t="s">
        <v>2049</v>
      </c>
      <c r="H104" s="4" t="s">
        <v>860</v>
      </c>
      <c r="I104" s="4" t="s">
        <v>1942</v>
      </c>
      <c r="J104" s="11"/>
      <c r="K104" s="11"/>
      <c r="L104" s="4"/>
      <c r="M104" s="12"/>
      <c r="N104" s="4"/>
      <c r="O104" s="4"/>
      <c r="P104" s="4"/>
      <c r="Q104" s="9">
        <v>2</v>
      </c>
      <c r="R104" s="11"/>
      <c r="S104" s="4"/>
      <c r="T104" s="11">
        <v>2</v>
      </c>
      <c r="U104" s="11"/>
      <c r="V104" s="4"/>
      <c r="W104" s="11"/>
      <c r="X104" s="11"/>
      <c r="Y104" s="4"/>
      <c r="Z104" s="9">
        <v>0</v>
      </c>
      <c r="AA104" s="11"/>
      <c r="AB104" s="4"/>
      <c r="AC104" s="11"/>
      <c r="AD104" s="11"/>
      <c r="AE104" s="4"/>
      <c r="AF104" s="11">
        <v>0</v>
      </c>
      <c r="AG104" s="11"/>
      <c r="AH104" s="4"/>
      <c r="AI104" s="11">
        <v>1</v>
      </c>
      <c r="AJ104" s="11"/>
      <c r="AK104" s="4"/>
      <c r="AL104" s="4"/>
      <c r="AM104" s="4"/>
      <c r="AN104" s="4"/>
      <c r="AO104" s="4"/>
      <c r="AP104" s="4"/>
      <c r="AQ104" s="4"/>
    </row>
    <row r="105" spans="1:43" s="2" customFormat="1" x14ac:dyDescent="0.25">
      <c r="A105" s="161" t="str">
        <f t="shared" si="5"/>
        <v>_WARRIOR_AFRI</v>
      </c>
      <c r="B105" s="9" t="s">
        <v>787</v>
      </c>
      <c r="C105" s="4" t="s">
        <v>694</v>
      </c>
      <c r="D105" s="4"/>
      <c r="E105" s="4" t="s">
        <v>743</v>
      </c>
      <c r="F105" s="4" t="s">
        <v>787</v>
      </c>
      <c r="G105" s="4" t="s">
        <v>2048</v>
      </c>
      <c r="H105" s="4" t="s">
        <v>682</v>
      </c>
      <c r="I105" s="4" t="s">
        <v>1942</v>
      </c>
      <c r="J105" s="11"/>
      <c r="K105" s="11"/>
      <c r="L105" s="4"/>
      <c r="M105" s="12"/>
      <c r="N105" s="4"/>
      <c r="O105" s="4"/>
      <c r="P105" s="4"/>
      <c r="Q105" s="9">
        <v>3</v>
      </c>
      <c r="R105" s="11"/>
      <c r="S105" s="4"/>
      <c r="T105" s="11">
        <v>2</v>
      </c>
      <c r="U105" s="11"/>
      <c r="V105" s="4"/>
      <c r="W105" s="11"/>
      <c r="X105" s="11"/>
      <c r="Y105" s="4"/>
      <c r="Z105" s="9">
        <v>0</v>
      </c>
      <c r="AA105" s="11"/>
      <c r="AB105" s="4"/>
      <c r="AC105" s="11"/>
      <c r="AD105" s="11"/>
      <c r="AE105" s="4"/>
      <c r="AF105" s="11">
        <v>0</v>
      </c>
      <c r="AG105" s="11"/>
      <c r="AH105" s="4"/>
      <c r="AI105" s="11">
        <v>0</v>
      </c>
      <c r="AJ105" s="11"/>
      <c r="AK105" s="4"/>
      <c r="AL105" s="4"/>
      <c r="AM105" s="4"/>
      <c r="AN105" s="4"/>
      <c r="AO105" s="4"/>
      <c r="AP105" s="4"/>
      <c r="AQ105" s="4"/>
    </row>
    <row r="106" spans="1:43" s="2" customFormat="1" x14ac:dyDescent="0.25">
      <c r="A106" s="161" t="str">
        <f t="shared" si="5"/>
        <v>_WARRIOR_ETHIOPIA</v>
      </c>
      <c r="B106" s="9" t="s">
        <v>787</v>
      </c>
      <c r="C106" s="4" t="s">
        <v>714</v>
      </c>
      <c r="D106" s="4"/>
      <c r="E106" s="4" t="s">
        <v>743</v>
      </c>
      <c r="F106" s="4" t="s">
        <v>787</v>
      </c>
      <c r="G106" s="4"/>
      <c r="H106" s="4" t="s">
        <v>873</v>
      </c>
      <c r="I106" s="4" t="s">
        <v>1796</v>
      </c>
      <c r="J106" s="11"/>
      <c r="K106" s="11"/>
      <c r="L106" s="4"/>
      <c r="M106" s="12"/>
      <c r="N106" s="4"/>
      <c r="O106" s="4"/>
      <c r="P106" s="4"/>
      <c r="Q106" s="9">
        <v>2</v>
      </c>
      <c r="R106" s="11"/>
      <c r="S106" s="4"/>
      <c r="T106" s="11">
        <v>3</v>
      </c>
      <c r="U106" s="11"/>
      <c r="V106" s="4"/>
      <c r="W106" s="11"/>
      <c r="X106" s="11"/>
      <c r="Y106" s="4"/>
      <c r="Z106" s="9">
        <v>0</v>
      </c>
      <c r="AA106" s="11"/>
      <c r="AB106" s="4"/>
      <c r="AC106" s="11"/>
      <c r="AD106" s="11"/>
      <c r="AE106" s="4"/>
      <c r="AF106" s="11">
        <v>0</v>
      </c>
      <c r="AG106" s="11"/>
      <c r="AH106" s="4"/>
      <c r="AI106" s="11">
        <v>1</v>
      </c>
      <c r="AJ106" s="11"/>
      <c r="AK106" s="4"/>
      <c r="AL106" s="4"/>
      <c r="AM106" s="4"/>
      <c r="AN106" s="4"/>
      <c r="AO106" s="4"/>
      <c r="AP106" s="4"/>
      <c r="AQ106" s="4"/>
    </row>
    <row r="107" spans="1:43" s="2" customFormat="1" x14ac:dyDescent="0.25">
      <c r="A107" s="161" t="str">
        <f t="shared" si="5"/>
        <v>_WARRIOR_ETHIOPIA</v>
      </c>
      <c r="B107" s="9" t="s">
        <v>787</v>
      </c>
      <c r="C107" s="4" t="s">
        <v>714</v>
      </c>
      <c r="D107" s="4"/>
      <c r="E107" s="4" t="s">
        <v>743</v>
      </c>
      <c r="F107" s="4" t="s">
        <v>787</v>
      </c>
      <c r="G107" s="4" t="s">
        <v>2047</v>
      </c>
      <c r="H107" s="4" t="s">
        <v>318</v>
      </c>
      <c r="I107" s="4" t="s">
        <v>1796</v>
      </c>
      <c r="J107" s="11"/>
      <c r="K107" s="11"/>
      <c r="L107" s="4"/>
      <c r="M107" s="12"/>
      <c r="N107" s="4"/>
      <c r="O107" s="4"/>
      <c r="P107" s="4"/>
      <c r="Q107" s="9">
        <v>4</v>
      </c>
      <c r="R107" s="11"/>
      <c r="S107" s="4"/>
      <c r="T107" s="11">
        <v>6</v>
      </c>
      <c r="U107" s="11"/>
      <c r="V107" s="4"/>
      <c r="W107" s="11"/>
      <c r="X107" s="11"/>
      <c r="Y107" s="4"/>
      <c r="Z107" s="9">
        <v>1</v>
      </c>
      <c r="AA107" s="11"/>
      <c r="AB107" s="4"/>
      <c r="AC107" s="11"/>
      <c r="AD107" s="11"/>
      <c r="AE107" s="4"/>
      <c r="AF107" s="11">
        <v>1</v>
      </c>
      <c r="AG107" s="11"/>
      <c r="AH107" s="4"/>
      <c r="AI107" s="11">
        <v>2</v>
      </c>
      <c r="AJ107" s="11"/>
      <c r="AK107" s="4"/>
      <c r="AL107" s="4"/>
      <c r="AM107" s="4"/>
      <c r="AN107" s="4"/>
      <c r="AO107" s="4"/>
      <c r="AP107" s="4"/>
      <c r="AQ107" s="4"/>
    </row>
    <row r="108" spans="1:43" s="2" customFormat="1" x14ac:dyDescent="0.25">
      <c r="A108" s="161" t="str">
        <f t="shared" si="5"/>
        <v>_WARRIOR_ETHIOPIA</v>
      </c>
      <c r="B108" s="9" t="s">
        <v>787</v>
      </c>
      <c r="C108" s="4" t="s">
        <v>714</v>
      </c>
      <c r="D108" s="4"/>
      <c r="E108" s="4" t="s">
        <v>743</v>
      </c>
      <c r="F108" s="4" t="s">
        <v>787</v>
      </c>
      <c r="G108" s="4"/>
      <c r="H108" s="4" t="s">
        <v>873</v>
      </c>
      <c r="I108" s="4" t="s">
        <v>1796</v>
      </c>
      <c r="J108" s="11"/>
      <c r="K108" s="11"/>
      <c r="L108" s="4"/>
      <c r="M108" s="12"/>
      <c r="N108" s="4"/>
      <c r="O108" s="4"/>
      <c r="P108" s="4"/>
      <c r="Q108" s="9">
        <v>2</v>
      </c>
      <c r="R108" s="11"/>
      <c r="S108" s="4"/>
      <c r="T108" s="11">
        <v>4</v>
      </c>
      <c r="U108" s="11"/>
      <c r="V108" s="4"/>
      <c r="W108" s="11"/>
      <c r="X108" s="11"/>
      <c r="Y108" s="4"/>
      <c r="Z108" s="9">
        <v>0</v>
      </c>
      <c r="AA108" s="11"/>
      <c r="AB108" s="4"/>
      <c r="AC108" s="11"/>
      <c r="AD108" s="11"/>
      <c r="AE108" s="4"/>
      <c r="AF108" s="11">
        <v>1</v>
      </c>
      <c r="AG108" s="11"/>
      <c r="AH108" s="4"/>
      <c r="AI108" s="11">
        <v>2</v>
      </c>
      <c r="AJ108" s="11"/>
      <c r="AK108" s="4"/>
      <c r="AL108" s="4"/>
      <c r="AM108" s="4"/>
      <c r="AN108" s="4"/>
      <c r="AO108" s="4"/>
      <c r="AP108" s="4"/>
      <c r="AQ108" s="4"/>
    </row>
    <row r="109" spans="1:43" s="2" customFormat="1" x14ac:dyDescent="0.25">
      <c r="A109" s="161" t="str">
        <f t="shared" si="5"/>
        <v>_WARRIOR_ETHIOPIA</v>
      </c>
      <c r="B109" s="9" t="s">
        <v>787</v>
      </c>
      <c r="C109" s="4" t="s">
        <v>714</v>
      </c>
      <c r="D109" s="4"/>
      <c r="E109" s="4" t="s">
        <v>743</v>
      </c>
      <c r="F109" s="4" t="s">
        <v>787</v>
      </c>
      <c r="G109" s="4" t="s">
        <v>2047</v>
      </c>
      <c r="H109" s="4" t="s">
        <v>318</v>
      </c>
      <c r="I109" s="4" t="s">
        <v>1796</v>
      </c>
      <c r="J109" s="11"/>
      <c r="K109" s="11"/>
      <c r="L109" s="4"/>
      <c r="M109" s="12"/>
      <c r="N109" s="4"/>
      <c r="O109" s="4"/>
      <c r="P109" s="4"/>
      <c r="Q109" s="9">
        <v>4</v>
      </c>
      <c r="R109" s="11"/>
      <c r="S109" s="4"/>
      <c r="T109" s="11">
        <v>5</v>
      </c>
      <c r="U109" s="11"/>
      <c r="V109" s="4"/>
      <c r="W109" s="11"/>
      <c r="X109" s="11"/>
      <c r="Y109" s="4"/>
      <c r="Z109" s="9">
        <v>0</v>
      </c>
      <c r="AA109" s="11"/>
      <c r="AB109" s="4"/>
      <c r="AC109" s="11"/>
      <c r="AD109" s="11"/>
      <c r="AE109" s="4"/>
      <c r="AF109" s="11">
        <v>1</v>
      </c>
      <c r="AG109" s="11"/>
      <c r="AH109" s="4"/>
      <c r="AI109" s="11">
        <v>2</v>
      </c>
      <c r="AJ109" s="11"/>
      <c r="AK109" s="4"/>
      <c r="AL109" s="4"/>
      <c r="AM109" s="4"/>
      <c r="AN109" s="4"/>
      <c r="AO109" s="4"/>
      <c r="AP109" s="4"/>
      <c r="AQ109" s="4"/>
    </row>
    <row r="110" spans="1:43" s="2" customFormat="1" x14ac:dyDescent="0.25">
      <c r="A110" s="161" t="str">
        <f t="shared" si="5"/>
        <v>_WARRIOR_MOGADISHU</v>
      </c>
      <c r="B110" s="9" t="s">
        <v>787</v>
      </c>
      <c r="C110" s="4" t="s">
        <v>726</v>
      </c>
      <c r="D110" s="4" t="s">
        <v>733</v>
      </c>
      <c r="E110" s="4" t="s">
        <v>743</v>
      </c>
      <c r="F110" s="4" t="s">
        <v>787</v>
      </c>
      <c r="G110" s="14" t="s">
        <v>132</v>
      </c>
      <c r="H110" s="4"/>
      <c r="I110" s="4"/>
      <c r="J110" s="11"/>
      <c r="K110" s="11"/>
      <c r="L110" s="4"/>
      <c r="M110" s="12"/>
      <c r="N110" s="4"/>
      <c r="O110" s="4"/>
      <c r="P110" s="4"/>
      <c r="Q110" s="9"/>
      <c r="R110" s="11"/>
      <c r="S110" s="4"/>
      <c r="T110" s="9"/>
      <c r="U110" s="11"/>
      <c r="V110" s="4"/>
      <c r="W110" s="9"/>
      <c r="X110" s="11"/>
      <c r="Y110" s="4"/>
      <c r="Z110" s="11"/>
      <c r="AA110" s="11"/>
      <c r="AB110" s="4"/>
      <c r="AC110" s="11"/>
      <c r="AD110" s="11"/>
      <c r="AE110" s="4"/>
      <c r="AF110" s="9"/>
      <c r="AG110" s="11"/>
      <c r="AH110" s="4"/>
      <c r="AI110" s="9"/>
      <c r="AJ110" s="11"/>
      <c r="AK110" s="4"/>
      <c r="AL110" s="4"/>
      <c r="AM110" s="4"/>
      <c r="AN110" s="4"/>
      <c r="AO110" s="4"/>
      <c r="AP110" s="4"/>
      <c r="AQ110" s="4"/>
    </row>
    <row r="111" spans="1:43" s="2" customFormat="1" x14ac:dyDescent="0.25">
      <c r="A111" s="161" t="str">
        <f t="shared" si="5"/>
        <v>_WARRIOR_SONGHAI</v>
      </c>
      <c r="B111" s="9" t="s">
        <v>787</v>
      </c>
      <c r="C111" s="4" t="s">
        <v>737</v>
      </c>
      <c r="D111" s="4"/>
      <c r="E111" s="4" t="s">
        <v>743</v>
      </c>
      <c r="F111" s="4" t="s">
        <v>787</v>
      </c>
      <c r="G111" s="14"/>
      <c r="H111" s="4" t="s">
        <v>2617</v>
      </c>
      <c r="I111" s="4" t="s">
        <v>1025</v>
      </c>
      <c r="J111" s="11"/>
      <c r="K111" s="11"/>
      <c r="L111" s="4"/>
      <c r="M111" s="12"/>
      <c r="N111" s="4"/>
      <c r="O111" s="4"/>
      <c r="P111" s="4"/>
      <c r="Q111" s="9" t="s">
        <v>1737</v>
      </c>
      <c r="R111" s="11"/>
      <c r="S111" s="4"/>
      <c r="T111" s="9"/>
      <c r="U111" s="11"/>
      <c r="V111" s="4"/>
      <c r="W111" s="9"/>
      <c r="X111" s="11"/>
      <c r="Y111" s="4"/>
      <c r="Z111" s="11"/>
      <c r="AA111" s="11"/>
      <c r="AB111" s="4"/>
      <c r="AC111" s="11"/>
      <c r="AD111" s="11"/>
      <c r="AE111" s="4"/>
      <c r="AF111" s="9"/>
      <c r="AG111" s="11"/>
      <c r="AH111" s="4"/>
      <c r="AI111" s="9"/>
      <c r="AJ111" s="11"/>
      <c r="AK111" s="4"/>
      <c r="AL111" s="4"/>
      <c r="AM111" s="4"/>
      <c r="AN111" s="4"/>
      <c r="AO111" s="4"/>
      <c r="AP111" s="4"/>
      <c r="AQ111" s="4"/>
    </row>
    <row r="112" spans="1:43" s="2" customFormat="1" x14ac:dyDescent="0.25">
      <c r="A112" s="161" t="str">
        <f t="shared" si="5"/>
        <v>_WARRIOR_AMER</v>
      </c>
      <c r="B112" s="9" t="s">
        <v>787</v>
      </c>
      <c r="C112" s="4" t="s">
        <v>697</v>
      </c>
      <c r="D112" s="4"/>
      <c r="E112" s="4" t="s">
        <v>743</v>
      </c>
      <c r="F112" s="4" t="s">
        <v>787</v>
      </c>
      <c r="G112" s="4"/>
      <c r="H112" s="4" t="s">
        <v>457</v>
      </c>
      <c r="I112" s="4" t="s">
        <v>835</v>
      </c>
      <c r="J112" s="11"/>
      <c r="K112" s="11"/>
      <c r="L112" s="4"/>
      <c r="M112" s="12"/>
      <c r="N112" s="4"/>
      <c r="O112" s="4"/>
      <c r="P112" s="4"/>
      <c r="Q112" s="9" t="s">
        <v>1737</v>
      </c>
      <c r="R112" s="11"/>
      <c r="S112" s="4"/>
      <c r="T112" s="9"/>
      <c r="U112" s="11"/>
      <c r="V112" s="4"/>
      <c r="W112" s="9"/>
      <c r="X112" s="11"/>
      <c r="Y112" s="4"/>
      <c r="Z112" s="9"/>
      <c r="AA112" s="11"/>
      <c r="AB112" s="4"/>
      <c r="AC112" s="11"/>
      <c r="AD112" s="11"/>
      <c r="AE112" s="4"/>
      <c r="AF112" s="9"/>
      <c r="AG112" s="11"/>
      <c r="AH112" s="4"/>
      <c r="AI112" s="9"/>
      <c r="AJ112" s="11"/>
      <c r="AK112" s="4"/>
      <c r="AL112" s="4"/>
      <c r="AM112" s="4"/>
      <c r="AN112" s="4"/>
      <c r="AO112" s="4"/>
      <c r="AP112" s="4"/>
      <c r="AQ112" s="4"/>
    </row>
    <row r="113" spans="1:43" s="2" customFormat="1" x14ac:dyDescent="0.25">
      <c r="A113" s="161" t="str">
        <f t="shared" si="5"/>
        <v>_WARRIOR_EASTEU</v>
      </c>
      <c r="B113" s="9" t="s">
        <v>787</v>
      </c>
      <c r="C113" s="4" t="s">
        <v>698</v>
      </c>
      <c r="D113" s="4"/>
      <c r="E113" s="4" t="s">
        <v>743</v>
      </c>
      <c r="F113" s="4" t="s">
        <v>787</v>
      </c>
      <c r="G113" s="4"/>
      <c r="H113" s="4" t="s">
        <v>887</v>
      </c>
      <c r="I113" s="4" t="s">
        <v>1822</v>
      </c>
      <c r="J113" s="11"/>
      <c r="K113" s="11"/>
      <c r="L113" s="4"/>
      <c r="M113" s="12"/>
      <c r="N113" s="4"/>
      <c r="O113" s="4"/>
      <c r="P113" s="4"/>
      <c r="Q113" s="9">
        <v>2</v>
      </c>
      <c r="R113" s="11"/>
      <c r="S113" s="4"/>
      <c r="T113" s="11">
        <v>3</v>
      </c>
      <c r="U113" s="11"/>
      <c r="V113" s="4"/>
      <c r="W113" s="11"/>
      <c r="X113" s="11"/>
      <c r="Y113" s="4"/>
      <c r="Z113" s="9">
        <v>0</v>
      </c>
      <c r="AA113" s="11"/>
      <c r="AB113" s="4"/>
      <c r="AC113" s="11"/>
      <c r="AD113" s="11"/>
      <c r="AE113" s="4"/>
      <c r="AF113" s="11">
        <v>0</v>
      </c>
      <c r="AG113" s="11"/>
      <c r="AH113" s="4"/>
      <c r="AI113" s="11">
        <v>1</v>
      </c>
      <c r="AJ113" s="11"/>
      <c r="AK113" s="4"/>
      <c r="AL113" s="4"/>
      <c r="AM113" s="4"/>
      <c r="AN113" s="4"/>
      <c r="AO113" s="4"/>
      <c r="AP113" s="4"/>
      <c r="AQ113" s="4"/>
    </row>
    <row r="114" spans="1:43" s="2" customFormat="1" x14ac:dyDescent="0.25">
      <c r="A114" s="161" t="str">
        <f t="shared" si="5"/>
        <v>_WARRIOR_EASTEU</v>
      </c>
      <c r="B114" s="9" t="s">
        <v>787</v>
      </c>
      <c r="C114" s="4" t="s">
        <v>698</v>
      </c>
      <c r="D114" s="4"/>
      <c r="E114" s="4" t="s">
        <v>743</v>
      </c>
      <c r="F114" s="4" t="s">
        <v>787</v>
      </c>
      <c r="G114" s="4" t="s">
        <v>2047</v>
      </c>
      <c r="H114" s="4" t="s">
        <v>565</v>
      </c>
      <c r="I114" s="4" t="s">
        <v>1819</v>
      </c>
      <c r="J114" s="11"/>
      <c r="K114" s="11"/>
      <c r="L114" s="4"/>
      <c r="M114" s="12"/>
      <c r="N114" s="4"/>
      <c r="O114" s="4"/>
      <c r="P114" s="4"/>
      <c r="Q114" s="9">
        <v>4</v>
      </c>
      <c r="R114" s="11"/>
      <c r="S114" s="4"/>
      <c r="T114" s="11">
        <v>7</v>
      </c>
      <c r="U114" s="11"/>
      <c r="V114" s="4"/>
      <c r="W114" s="11"/>
      <c r="X114" s="11"/>
      <c r="Y114" s="4"/>
      <c r="Z114" s="9">
        <v>1</v>
      </c>
      <c r="AA114" s="11"/>
      <c r="AB114" s="4"/>
      <c r="AC114" s="11"/>
      <c r="AD114" s="11"/>
      <c r="AE114" s="4"/>
      <c r="AF114" s="11">
        <v>1</v>
      </c>
      <c r="AG114" s="11"/>
      <c r="AH114" s="4"/>
      <c r="AI114" s="11">
        <v>3</v>
      </c>
      <c r="AJ114" s="11"/>
      <c r="AK114" s="4"/>
      <c r="AL114" s="4"/>
      <c r="AM114" s="4"/>
      <c r="AN114" s="4"/>
      <c r="AO114" s="4"/>
      <c r="AP114" s="4"/>
      <c r="AQ114" s="4"/>
    </row>
    <row r="115" spans="1:43" s="2" customFormat="1" x14ac:dyDescent="0.25">
      <c r="A115" s="161" t="str">
        <f t="shared" si="5"/>
        <v>_WARRIOR_EASTEU</v>
      </c>
      <c r="B115" s="9" t="s">
        <v>787</v>
      </c>
      <c r="C115" s="4" t="s">
        <v>698</v>
      </c>
      <c r="D115" s="4"/>
      <c r="E115" s="4" t="s">
        <v>743</v>
      </c>
      <c r="F115" s="4" t="s">
        <v>787</v>
      </c>
      <c r="G115" s="4"/>
      <c r="H115" s="4" t="s">
        <v>887</v>
      </c>
      <c r="I115" s="4" t="s">
        <v>1822</v>
      </c>
      <c r="J115" s="11"/>
      <c r="K115" s="11"/>
      <c r="L115" s="4"/>
      <c r="M115" s="12"/>
      <c r="N115" s="4"/>
      <c r="O115" s="4"/>
      <c r="P115" s="4"/>
      <c r="Q115" s="9">
        <v>2</v>
      </c>
      <c r="R115" s="11"/>
      <c r="S115" s="4"/>
      <c r="T115" s="11">
        <v>2</v>
      </c>
      <c r="U115" s="11"/>
      <c r="V115" s="4"/>
      <c r="W115" s="11"/>
      <c r="X115" s="11"/>
      <c r="Y115" s="4"/>
      <c r="Z115" s="9">
        <v>0</v>
      </c>
      <c r="AA115" s="11"/>
      <c r="AB115" s="4"/>
      <c r="AC115" s="11"/>
      <c r="AD115" s="11"/>
      <c r="AE115" s="4"/>
      <c r="AF115" s="11">
        <v>1</v>
      </c>
      <c r="AG115" s="11"/>
      <c r="AH115" s="4"/>
      <c r="AI115" s="11">
        <v>1</v>
      </c>
      <c r="AJ115" s="11"/>
      <c r="AK115" s="4"/>
      <c r="AL115" s="4"/>
      <c r="AM115" s="4"/>
      <c r="AN115" s="4"/>
      <c r="AO115" s="4"/>
      <c r="AP115" s="4"/>
      <c r="AQ115" s="4"/>
    </row>
    <row r="116" spans="1:43" s="2" customFormat="1" x14ac:dyDescent="0.25">
      <c r="A116" s="161" t="str">
        <f t="shared" si="5"/>
        <v>_WARRIOR_EASTEU</v>
      </c>
      <c r="B116" s="9" t="s">
        <v>787</v>
      </c>
      <c r="C116" s="4" t="s">
        <v>698</v>
      </c>
      <c r="D116" s="4"/>
      <c r="E116" s="4" t="s">
        <v>743</v>
      </c>
      <c r="F116" s="4" t="s">
        <v>787</v>
      </c>
      <c r="G116" s="4" t="s">
        <v>2047</v>
      </c>
      <c r="H116" s="4" t="s">
        <v>565</v>
      </c>
      <c r="I116" s="4" t="s">
        <v>1819</v>
      </c>
      <c r="J116" s="11"/>
      <c r="K116" s="11"/>
      <c r="L116" s="4"/>
      <c r="M116" s="12"/>
      <c r="N116" s="4"/>
      <c r="O116" s="4"/>
      <c r="P116" s="4"/>
      <c r="Q116" s="9">
        <v>4</v>
      </c>
      <c r="R116" s="11"/>
      <c r="S116" s="4"/>
      <c r="T116" s="11">
        <v>6</v>
      </c>
      <c r="U116" s="11"/>
      <c r="V116" s="4"/>
      <c r="W116" s="11"/>
      <c r="X116" s="11"/>
      <c r="Y116" s="4"/>
      <c r="Z116" s="9">
        <v>0</v>
      </c>
      <c r="AA116" s="11"/>
      <c r="AB116" s="4"/>
      <c r="AC116" s="11"/>
      <c r="AD116" s="11"/>
      <c r="AE116" s="4"/>
      <c r="AF116" s="11">
        <v>1</v>
      </c>
      <c r="AG116" s="11"/>
      <c r="AH116" s="4"/>
      <c r="AI116" s="11">
        <v>2</v>
      </c>
      <c r="AJ116" s="11"/>
      <c r="AK116" s="4"/>
      <c r="AL116" s="4"/>
      <c r="AM116" s="4"/>
      <c r="AN116" s="4"/>
      <c r="AO116" s="4"/>
      <c r="AP116" s="4"/>
      <c r="AQ116" s="4"/>
    </row>
    <row r="117" spans="1:43" s="2" customFormat="1" x14ac:dyDescent="0.25">
      <c r="A117" s="161" t="str">
        <f t="shared" si="5"/>
        <v>_WARRIOR_RUSSIA</v>
      </c>
      <c r="B117" s="9" t="s">
        <v>787</v>
      </c>
      <c r="C117" s="4" t="s">
        <v>735</v>
      </c>
      <c r="D117" s="4"/>
      <c r="E117" s="4" t="s">
        <v>743</v>
      </c>
      <c r="F117" s="4" t="s">
        <v>787</v>
      </c>
      <c r="G117" s="4"/>
      <c r="H117" s="4" t="s">
        <v>1008</v>
      </c>
      <c r="I117" s="4" t="s">
        <v>1796</v>
      </c>
      <c r="J117" s="11"/>
      <c r="K117" s="11"/>
      <c r="L117" s="4"/>
      <c r="M117" s="12"/>
      <c r="N117" s="4"/>
      <c r="O117" s="4"/>
      <c r="P117" s="4"/>
      <c r="Q117" s="9">
        <v>3</v>
      </c>
      <c r="R117" s="11"/>
      <c r="S117" s="4"/>
      <c r="T117" s="11">
        <v>5</v>
      </c>
      <c r="U117" s="11"/>
      <c r="V117" s="4"/>
      <c r="W117" s="11"/>
      <c r="X117" s="11"/>
      <c r="Y117" s="4"/>
      <c r="Z117" s="9">
        <v>1</v>
      </c>
      <c r="AA117" s="11"/>
      <c r="AB117" s="4"/>
      <c r="AC117" s="11"/>
      <c r="AD117" s="11"/>
      <c r="AE117" s="4"/>
      <c r="AF117" s="11">
        <v>1</v>
      </c>
      <c r="AG117" s="11"/>
      <c r="AH117" s="4"/>
      <c r="AI117" s="11">
        <v>2</v>
      </c>
      <c r="AJ117" s="11"/>
      <c r="AK117" s="4"/>
      <c r="AL117" s="4"/>
      <c r="AM117" s="4"/>
      <c r="AN117" s="4"/>
      <c r="AO117" s="4"/>
      <c r="AP117" s="4"/>
      <c r="AQ117" s="4"/>
    </row>
    <row r="118" spans="1:43" s="2" customFormat="1" x14ac:dyDescent="0.25">
      <c r="A118" s="161" t="str">
        <f t="shared" si="5"/>
        <v>_WARRIOR_RUSSIA</v>
      </c>
      <c r="B118" s="9" t="s">
        <v>787</v>
      </c>
      <c r="C118" s="4" t="s">
        <v>735</v>
      </c>
      <c r="D118" s="4"/>
      <c r="E118" s="4" t="s">
        <v>743</v>
      </c>
      <c r="F118" s="4" t="s">
        <v>787</v>
      </c>
      <c r="G118" s="4" t="s">
        <v>2047</v>
      </c>
      <c r="H118" s="4" t="s">
        <v>604</v>
      </c>
      <c r="I118" s="4" t="s">
        <v>1796</v>
      </c>
      <c r="J118" s="11"/>
      <c r="K118" s="11"/>
      <c r="L118" s="4"/>
      <c r="M118" s="12"/>
      <c r="N118" s="4"/>
      <c r="O118" s="4"/>
      <c r="P118" s="4"/>
      <c r="Q118" s="9">
        <v>3</v>
      </c>
      <c r="R118" s="11"/>
      <c r="S118" s="4"/>
      <c r="T118" s="11">
        <v>4</v>
      </c>
      <c r="U118" s="11"/>
      <c r="V118" s="4"/>
      <c r="W118" s="11"/>
      <c r="X118" s="11"/>
      <c r="Y118" s="4"/>
      <c r="Z118" s="9">
        <v>0</v>
      </c>
      <c r="AA118" s="11"/>
      <c r="AB118" s="4"/>
      <c r="AC118" s="11"/>
      <c r="AD118" s="11"/>
      <c r="AE118" s="4"/>
      <c r="AF118" s="11">
        <v>1</v>
      </c>
      <c r="AG118" s="11"/>
      <c r="AH118" s="4"/>
      <c r="AI118" s="11">
        <v>2</v>
      </c>
      <c r="AJ118" s="11"/>
      <c r="AK118" s="4"/>
      <c r="AL118" s="4"/>
      <c r="AM118" s="4"/>
      <c r="AN118" s="4"/>
      <c r="AO118" s="4"/>
      <c r="AP118" s="4"/>
      <c r="AQ118" s="4"/>
    </row>
    <row r="119" spans="1:43" s="2" customFormat="1" x14ac:dyDescent="0.25">
      <c r="A119" s="161" t="str">
        <f t="shared" si="5"/>
        <v>_WARRIOR_RUSSIA</v>
      </c>
      <c r="B119" s="9" t="s">
        <v>787</v>
      </c>
      <c r="C119" s="4" t="s">
        <v>735</v>
      </c>
      <c r="D119" s="4"/>
      <c r="E119" s="4" t="s">
        <v>743</v>
      </c>
      <c r="F119" s="4" t="s">
        <v>787</v>
      </c>
      <c r="G119" s="4"/>
      <c r="H119" s="4" t="s">
        <v>1008</v>
      </c>
      <c r="I119" s="4" t="s">
        <v>1796</v>
      </c>
      <c r="J119" s="11"/>
      <c r="K119" s="11"/>
      <c r="L119" s="4"/>
      <c r="M119" s="12"/>
      <c r="N119" s="4"/>
      <c r="O119" s="4"/>
      <c r="P119" s="4"/>
      <c r="Q119" s="9">
        <v>3</v>
      </c>
      <c r="R119" s="11"/>
      <c r="S119" s="4"/>
      <c r="T119" s="11">
        <v>3</v>
      </c>
      <c r="U119" s="11"/>
      <c r="V119" s="4"/>
      <c r="W119" s="11"/>
      <c r="X119" s="11"/>
      <c r="Y119" s="4"/>
      <c r="Z119" s="9">
        <v>0</v>
      </c>
      <c r="AA119" s="11"/>
      <c r="AB119" s="4"/>
      <c r="AC119" s="11"/>
      <c r="AD119" s="11"/>
      <c r="AE119" s="4"/>
      <c r="AF119" s="11">
        <v>1</v>
      </c>
      <c r="AG119" s="11"/>
      <c r="AH119" s="4"/>
      <c r="AI119" s="11">
        <v>1</v>
      </c>
      <c r="AJ119" s="11"/>
      <c r="AK119" s="4"/>
      <c r="AL119" s="4"/>
      <c r="AM119" s="4"/>
      <c r="AN119" s="4"/>
      <c r="AO119" s="4"/>
      <c r="AP119" s="4"/>
      <c r="AQ119" s="4"/>
    </row>
    <row r="120" spans="1:43" s="2" customFormat="1" x14ac:dyDescent="0.25">
      <c r="A120" s="161" t="str">
        <f t="shared" si="5"/>
        <v>_WARRIOR_RUSSIA</v>
      </c>
      <c r="B120" s="9" t="s">
        <v>787</v>
      </c>
      <c r="C120" s="4" t="s">
        <v>735</v>
      </c>
      <c r="D120" s="4"/>
      <c r="E120" s="4" t="s">
        <v>743</v>
      </c>
      <c r="F120" s="4" t="s">
        <v>787</v>
      </c>
      <c r="G120" s="4" t="s">
        <v>2047</v>
      </c>
      <c r="H120" s="4" t="s">
        <v>604</v>
      </c>
      <c r="I120" s="4" t="s">
        <v>1796</v>
      </c>
      <c r="J120" s="11"/>
      <c r="K120" s="11"/>
      <c r="L120" s="4"/>
      <c r="M120" s="12"/>
      <c r="N120" s="4"/>
      <c r="O120" s="4"/>
      <c r="P120" s="4"/>
      <c r="Q120" s="9">
        <v>3</v>
      </c>
      <c r="R120" s="11"/>
      <c r="S120" s="4"/>
      <c r="T120" s="11">
        <v>6</v>
      </c>
      <c r="U120" s="11"/>
      <c r="V120" s="4"/>
      <c r="W120" s="11"/>
      <c r="X120" s="11"/>
      <c r="Y120" s="4"/>
      <c r="Z120" s="9">
        <v>0</v>
      </c>
      <c r="AA120" s="11"/>
      <c r="AB120" s="4"/>
      <c r="AC120" s="11"/>
      <c r="AD120" s="11"/>
      <c r="AE120" s="4"/>
      <c r="AF120" s="11">
        <v>0</v>
      </c>
      <c r="AG120" s="11"/>
      <c r="AH120" s="4"/>
      <c r="AI120" s="11">
        <v>2</v>
      </c>
      <c r="AJ120" s="11"/>
      <c r="AK120" s="4"/>
      <c r="AL120" s="4"/>
      <c r="AM120" s="4"/>
      <c r="AN120" s="4"/>
      <c r="AO120" s="4"/>
      <c r="AP120" s="4"/>
      <c r="AQ120" s="4"/>
    </row>
    <row r="121" spans="1:43" s="2" customFormat="1" x14ac:dyDescent="0.25">
      <c r="A121" s="161" t="str">
        <f t="shared" si="5"/>
        <v>_WARRIOR_AUSTRIA</v>
      </c>
      <c r="B121" s="9" t="s">
        <v>787</v>
      </c>
      <c r="C121" s="4" t="s">
        <v>701</v>
      </c>
      <c r="D121" s="4"/>
      <c r="E121" s="4" t="s">
        <v>743</v>
      </c>
      <c r="F121" s="4" t="s">
        <v>787</v>
      </c>
      <c r="G121" s="4"/>
      <c r="H121" s="4" t="s">
        <v>810</v>
      </c>
      <c r="I121" s="4" t="s">
        <v>1796</v>
      </c>
      <c r="J121" s="11"/>
      <c r="K121" s="11"/>
      <c r="L121" s="4"/>
      <c r="M121" s="12"/>
      <c r="N121" s="4"/>
      <c r="O121" s="4"/>
      <c r="P121" s="4"/>
      <c r="Q121" s="9">
        <v>3</v>
      </c>
      <c r="R121" s="11"/>
      <c r="S121" s="4"/>
      <c r="T121" s="11">
        <v>5</v>
      </c>
      <c r="U121" s="11"/>
      <c r="V121" s="4"/>
      <c r="W121" s="11"/>
      <c r="X121" s="11"/>
      <c r="Y121" s="4"/>
      <c r="Z121" s="9">
        <v>1</v>
      </c>
      <c r="AA121" s="11"/>
      <c r="AB121" s="4"/>
      <c r="AC121" s="11"/>
      <c r="AD121" s="11"/>
      <c r="AE121" s="4"/>
      <c r="AF121" s="11">
        <v>1</v>
      </c>
      <c r="AG121" s="11"/>
      <c r="AH121" s="4"/>
      <c r="AI121" s="11">
        <v>2</v>
      </c>
      <c r="AJ121" s="11"/>
      <c r="AK121" s="4"/>
      <c r="AL121" s="4"/>
      <c r="AM121" s="4"/>
      <c r="AN121" s="4"/>
      <c r="AO121" s="4"/>
      <c r="AP121" s="4"/>
      <c r="AQ121" s="4"/>
    </row>
    <row r="122" spans="1:43" s="2" customFormat="1" x14ac:dyDescent="0.25">
      <c r="A122" s="161" t="str">
        <f t="shared" si="5"/>
        <v>_WARRIOR_AUSTRIA</v>
      </c>
      <c r="B122" s="9" t="s">
        <v>787</v>
      </c>
      <c r="C122" s="4" t="s">
        <v>701</v>
      </c>
      <c r="D122" s="4"/>
      <c r="E122" s="4" t="s">
        <v>743</v>
      </c>
      <c r="F122" s="4" t="s">
        <v>787</v>
      </c>
      <c r="G122" s="4" t="s">
        <v>2047</v>
      </c>
      <c r="H122" s="4" t="s">
        <v>176</v>
      </c>
      <c r="I122" s="4" t="s">
        <v>1796</v>
      </c>
      <c r="J122" s="11"/>
      <c r="K122" s="11"/>
      <c r="L122" s="4"/>
      <c r="M122" s="12"/>
      <c r="N122" s="4"/>
      <c r="O122" s="4"/>
      <c r="P122" s="4"/>
      <c r="Q122" s="9">
        <v>3</v>
      </c>
      <c r="R122" s="11"/>
      <c r="S122" s="4"/>
      <c r="T122" s="11">
        <v>4</v>
      </c>
      <c r="U122" s="11"/>
      <c r="V122" s="4"/>
      <c r="W122" s="11"/>
      <c r="X122" s="11"/>
      <c r="Y122" s="4"/>
      <c r="Z122" s="9">
        <v>0</v>
      </c>
      <c r="AA122" s="11"/>
      <c r="AB122" s="4"/>
      <c r="AC122" s="11"/>
      <c r="AD122" s="11"/>
      <c r="AE122" s="4"/>
      <c r="AF122" s="11">
        <v>1</v>
      </c>
      <c r="AG122" s="11"/>
      <c r="AH122" s="4"/>
      <c r="AI122" s="11">
        <v>2</v>
      </c>
      <c r="AJ122" s="11"/>
      <c r="AK122" s="4"/>
      <c r="AL122" s="4"/>
      <c r="AM122" s="4"/>
      <c r="AN122" s="4"/>
      <c r="AO122" s="4"/>
      <c r="AP122" s="4"/>
      <c r="AQ122" s="4"/>
    </row>
    <row r="123" spans="1:43" s="2" customFormat="1" x14ac:dyDescent="0.25">
      <c r="A123" s="161" t="str">
        <f t="shared" si="5"/>
        <v>_WARRIOR_AUSTRIA</v>
      </c>
      <c r="B123" s="9" t="s">
        <v>787</v>
      </c>
      <c r="C123" s="4" t="s">
        <v>701</v>
      </c>
      <c r="D123" s="4"/>
      <c r="E123" s="4" t="s">
        <v>743</v>
      </c>
      <c r="F123" s="4" t="s">
        <v>787</v>
      </c>
      <c r="G123" s="4"/>
      <c r="H123" s="4" t="s">
        <v>810</v>
      </c>
      <c r="I123" s="4" t="s">
        <v>1796</v>
      </c>
      <c r="J123" s="11"/>
      <c r="K123" s="11"/>
      <c r="L123" s="4"/>
      <c r="M123" s="12"/>
      <c r="N123" s="4"/>
      <c r="O123" s="4"/>
      <c r="P123" s="4"/>
      <c r="Q123" s="9">
        <v>3</v>
      </c>
      <c r="R123" s="11"/>
      <c r="S123" s="4"/>
      <c r="T123" s="11">
        <v>4</v>
      </c>
      <c r="U123" s="11"/>
      <c r="V123" s="4"/>
      <c r="W123" s="11"/>
      <c r="X123" s="11"/>
      <c r="Y123" s="4"/>
      <c r="Z123" s="9">
        <v>0</v>
      </c>
      <c r="AA123" s="11"/>
      <c r="AB123" s="4"/>
      <c r="AC123" s="11"/>
      <c r="AD123" s="11"/>
      <c r="AE123" s="4"/>
      <c r="AF123" s="11">
        <v>1</v>
      </c>
      <c r="AG123" s="11"/>
      <c r="AH123" s="4"/>
      <c r="AI123" s="11">
        <v>1</v>
      </c>
      <c r="AJ123" s="11"/>
      <c r="AK123" s="4"/>
      <c r="AL123" s="4"/>
      <c r="AM123" s="4"/>
      <c r="AN123" s="4"/>
      <c r="AO123" s="4"/>
      <c r="AP123" s="4"/>
      <c r="AQ123" s="4"/>
    </row>
    <row r="124" spans="1:43" s="2" customFormat="1" x14ac:dyDescent="0.25">
      <c r="A124" s="161" t="str">
        <f t="shared" si="5"/>
        <v>_WARRIOR_AUSTRIA</v>
      </c>
      <c r="B124" s="9" t="s">
        <v>787</v>
      </c>
      <c r="C124" s="4" t="s">
        <v>701</v>
      </c>
      <c r="D124" s="4"/>
      <c r="E124" s="4" t="s">
        <v>743</v>
      </c>
      <c r="F124" s="4" t="s">
        <v>787</v>
      </c>
      <c r="G124" s="4" t="s">
        <v>2047</v>
      </c>
      <c r="H124" s="4" t="s">
        <v>176</v>
      </c>
      <c r="I124" s="4" t="s">
        <v>1796</v>
      </c>
      <c r="J124" s="11"/>
      <c r="K124" s="11"/>
      <c r="L124" s="4"/>
      <c r="M124" s="12"/>
      <c r="N124" s="4"/>
      <c r="O124" s="4"/>
      <c r="P124" s="4"/>
      <c r="Q124" s="9">
        <v>3</v>
      </c>
      <c r="R124" s="11"/>
      <c r="S124" s="4"/>
      <c r="T124" s="11">
        <v>5</v>
      </c>
      <c r="U124" s="11"/>
      <c r="V124" s="4"/>
      <c r="W124" s="11"/>
      <c r="X124" s="11"/>
      <c r="Y124" s="4"/>
      <c r="Z124" s="9">
        <v>0</v>
      </c>
      <c r="AA124" s="11"/>
      <c r="AB124" s="4"/>
      <c r="AC124" s="11"/>
      <c r="AD124" s="11"/>
      <c r="AE124" s="4"/>
      <c r="AF124" s="11">
        <v>0</v>
      </c>
      <c r="AG124" s="11"/>
      <c r="AH124" s="4"/>
      <c r="AI124" s="11">
        <v>2</v>
      </c>
      <c r="AJ124" s="11"/>
      <c r="AK124" s="4"/>
      <c r="AL124" s="4"/>
      <c r="AM124" s="4"/>
      <c r="AN124" s="4"/>
      <c r="AO124" s="4"/>
      <c r="AP124" s="4"/>
      <c r="AQ124" s="4"/>
    </row>
    <row r="125" spans="1:43" s="2" customFormat="1" x14ac:dyDescent="0.25">
      <c r="A125" s="161" t="str">
        <f t="shared" si="5"/>
        <v>_WARRIOR_BELGIUM</v>
      </c>
      <c r="B125" s="9" t="s">
        <v>787</v>
      </c>
      <c r="C125" s="4" t="s">
        <v>704</v>
      </c>
      <c r="D125" s="4"/>
      <c r="E125" s="4" t="s">
        <v>743</v>
      </c>
      <c r="F125" s="4" t="s">
        <v>787</v>
      </c>
      <c r="G125" s="14"/>
      <c r="H125" s="4" t="s">
        <v>219</v>
      </c>
      <c r="I125" s="4" t="s">
        <v>1796</v>
      </c>
      <c r="J125" s="11"/>
      <c r="K125" s="11"/>
      <c r="L125" s="4"/>
      <c r="M125" s="12"/>
      <c r="N125" s="4"/>
      <c r="O125" s="4"/>
      <c r="P125" s="4"/>
      <c r="Q125" s="9" t="s">
        <v>1737</v>
      </c>
      <c r="R125" s="11"/>
      <c r="S125" s="4"/>
      <c r="T125" s="9"/>
      <c r="U125" s="11"/>
      <c r="V125" s="4"/>
      <c r="W125" s="9"/>
      <c r="X125" s="11"/>
      <c r="Y125" s="4"/>
      <c r="Z125" s="9"/>
      <c r="AA125" s="11"/>
      <c r="AB125" s="4"/>
      <c r="AC125" s="11"/>
      <c r="AD125" s="11"/>
      <c r="AE125" s="4"/>
      <c r="AF125" s="9"/>
      <c r="AG125" s="11"/>
      <c r="AH125" s="4"/>
      <c r="AI125" s="9"/>
      <c r="AJ125" s="11"/>
      <c r="AK125" s="4"/>
      <c r="AL125" s="4"/>
      <c r="AM125" s="4"/>
      <c r="AN125" s="4"/>
      <c r="AO125" s="4"/>
      <c r="AP125" s="4"/>
      <c r="AQ125" s="4"/>
    </row>
    <row r="126" spans="1:43" s="2" customFormat="1" x14ac:dyDescent="0.25">
      <c r="A126" s="161" t="str">
        <f t="shared" si="5"/>
        <v>_WARRIOR_CELTS</v>
      </c>
      <c r="B126" s="9" t="s">
        <v>787</v>
      </c>
      <c r="C126" s="4" t="s">
        <v>709</v>
      </c>
      <c r="D126" s="4"/>
      <c r="E126" s="4" t="s">
        <v>743</v>
      </c>
      <c r="F126" s="4" t="s">
        <v>787</v>
      </c>
      <c r="G126" s="4"/>
      <c r="H126" s="4" t="s">
        <v>827</v>
      </c>
      <c r="I126" s="4" t="s">
        <v>1796</v>
      </c>
      <c r="J126" s="11"/>
      <c r="K126" s="11"/>
      <c r="L126" s="4"/>
      <c r="M126" s="12"/>
      <c r="N126" s="4"/>
      <c r="O126" s="4"/>
      <c r="P126" s="4"/>
      <c r="Q126" s="9">
        <v>2</v>
      </c>
      <c r="R126" s="11"/>
      <c r="S126" s="4"/>
      <c r="T126" s="11">
        <v>2</v>
      </c>
      <c r="U126" s="11"/>
      <c r="V126" s="4"/>
      <c r="W126" s="11"/>
      <c r="X126" s="11"/>
      <c r="Y126" s="4"/>
      <c r="Z126" s="9">
        <v>1</v>
      </c>
      <c r="AA126" s="11"/>
      <c r="AB126" s="4"/>
      <c r="AC126" s="11"/>
      <c r="AD126" s="11"/>
      <c r="AE126" s="4"/>
      <c r="AF126" s="11">
        <v>1</v>
      </c>
      <c r="AG126" s="11"/>
      <c r="AH126" s="4"/>
      <c r="AI126" s="11">
        <v>1</v>
      </c>
      <c r="AJ126" s="11"/>
      <c r="AK126" s="4"/>
      <c r="AL126" s="4"/>
      <c r="AM126" s="4"/>
      <c r="AN126" s="4"/>
      <c r="AO126" s="4"/>
      <c r="AP126" s="4"/>
      <c r="AQ126" s="4"/>
    </row>
    <row r="127" spans="1:43" s="2" customFormat="1" x14ac:dyDescent="0.25">
      <c r="A127" s="161" t="str">
        <f t="shared" si="5"/>
        <v>_WARRIOR_CELTS</v>
      </c>
      <c r="B127" s="9" t="s">
        <v>787</v>
      </c>
      <c r="C127" s="4" t="s">
        <v>709</v>
      </c>
      <c r="D127" s="4"/>
      <c r="E127" s="4" t="s">
        <v>743</v>
      </c>
      <c r="F127" s="4" t="s">
        <v>787</v>
      </c>
      <c r="G127" s="4" t="s">
        <v>2047</v>
      </c>
      <c r="H127" s="4" t="s">
        <v>828</v>
      </c>
      <c r="I127" s="4" t="s">
        <v>1796</v>
      </c>
      <c r="J127" s="11"/>
      <c r="K127" s="11"/>
      <c r="L127" s="4"/>
      <c r="M127" s="12"/>
      <c r="N127" s="4"/>
      <c r="O127" s="4"/>
      <c r="P127" s="4"/>
      <c r="Q127" s="9">
        <v>1</v>
      </c>
      <c r="R127" s="11"/>
      <c r="S127" s="4"/>
      <c r="T127" s="11">
        <v>3</v>
      </c>
      <c r="U127" s="11"/>
      <c r="V127" s="4"/>
      <c r="W127" s="11"/>
      <c r="X127" s="11"/>
      <c r="Y127" s="4"/>
      <c r="Z127" s="9">
        <v>0</v>
      </c>
      <c r="AA127" s="11"/>
      <c r="AB127" s="4"/>
      <c r="AC127" s="11"/>
      <c r="AD127" s="11"/>
      <c r="AE127" s="4"/>
      <c r="AF127" s="11">
        <v>1</v>
      </c>
      <c r="AG127" s="11"/>
      <c r="AH127" s="4"/>
      <c r="AI127" s="11">
        <v>1</v>
      </c>
      <c r="AJ127" s="11"/>
      <c r="AK127" s="4"/>
      <c r="AL127" s="4"/>
      <c r="AM127" s="4"/>
      <c r="AN127" s="4"/>
      <c r="AO127" s="4"/>
      <c r="AP127" s="4"/>
      <c r="AQ127" s="4"/>
    </row>
    <row r="128" spans="1:43" s="2" customFormat="1" x14ac:dyDescent="0.25">
      <c r="A128" s="161" t="str">
        <f t="shared" si="5"/>
        <v>_WARRIOR_CELTS</v>
      </c>
      <c r="B128" s="9" t="s">
        <v>787</v>
      </c>
      <c r="C128" s="4" t="s">
        <v>709</v>
      </c>
      <c r="D128" s="4"/>
      <c r="E128" s="4" t="s">
        <v>743</v>
      </c>
      <c r="F128" s="4" t="s">
        <v>787</v>
      </c>
      <c r="G128" s="4"/>
      <c r="H128" s="4" t="s">
        <v>827</v>
      </c>
      <c r="I128" s="4" t="s">
        <v>1796</v>
      </c>
      <c r="J128" s="11"/>
      <c r="K128" s="11"/>
      <c r="L128" s="4"/>
      <c r="M128" s="12"/>
      <c r="N128" s="4"/>
      <c r="O128" s="4"/>
      <c r="P128" s="4"/>
      <c r="Q128" s="9">
        <v>4</v>
      </c>
      <c r="R128" s="11"/>
      <c r="S128" s="4"/>
      <c r="T128" s="11">
        <v>4</v>
      </c>
      <c r="U128" s="11"/>
      <c r="V128" s="4"/>
      <c r="W128" s="11"/>
      <c r="X128" s="11"/>
      <c r="Y128" s="4"/>
      <c r="Z128" s="9">
        <v>0</v>
      </c>
      <c r="AA128" s="11"/>
      <c r="AB128" s="4"/>
      <c r="AC128" s="11"/>
      <c r="AD128" s="11"/>
      <c r="AE128" s="4"/>
      <c r="AF128" s="11">
        <v>0</v>
      </c>
      <c r="AG128" s="11"/>
      <c r="AH128" s="4"/>
      <c r="AI128" s="11">
        <v>2</v>
      </c>
      <c r="AJ128" s="11"/>
      <c r="AK128" s="4"/>
      <c r="AL128" s="4"/>
      <c r="AM128" s="4"/>
      <c r="AN128" s="4"/>
      <c r="AO128" s="4"/>
      <c r="AP128" s="4"/>
      <c r="AQ128" s="4"/>
    </row>
    <row r="129" spans="1:43" s="2" customFormat="1" x14ac:dyDescent="0.25">
      <c r="A129" s="161" t="str">
        <f t="shared" si="5"/>
        <v>_WARRIOR_CELTS</v>
      </c>
      <c r="B129" s="9" t="s">
        <v>787</v>
      </c>
      <c r="C129" s="4" t="s">
        <v>709</v>
      </c>
      <c r="D129" s="4"/>
      <c r="E129" s="4" t="s">
        <v>743</v>
      </c>
      <c r="F129" s="4" t="s">
        <v>787</v>
      </c>
      <c r="G129" s="4" t="s">
        <v>2047</v>
      </c>
      <c r="H129" s="4" t="s">
        <v>828</v>
      </c>
      <c r="I129" s="4" t="s">
        <v>1796</v>
      </c>
      <c r="J129" s="11"/>
      <c r="K129" s="11"/>
      <c r="L129" s="4"/>
      <c r="M129" s="12"/>
      <c r="N129" s="4"/>
      <c r="O129" s="4"/>
      <c r="P129" s="4"/>
      <c r="Q129" s="9">
        <v>2</v>
      </c>
      <c r="R129" s="11"/>
      <c r="S129" s="4"/>
      <c r="T129" s="11">
        <v>3</v>
      </c>
      <c r="U129" s="11"/>
      <c r="V129" s="4"/>
      <c r="W129" s="11"/>
      <c r="X129" s="11"/>
      <c r="Y129" s="4"/>
      <c r="Z129" s="9">
        <v>0</v>
      </c>
      <c r="AA129" s="11"/>
      <c r="AB129" s="4"/>
      <c r="AC129" s="11"/>
      <c r="AD129" s="11"/>
      <c r="AE129" s="4"/>
      <c r="AF129" s="11">
        <v>0</v>
      </c>
      <c r="AG129" s="11"/>
      <c r="AH129" s="4"/>
      <c r="AI129" s="11">
        <v>1</v>
      </c>
      <c r="AJ129" s="11"/>
      <c r="AK129" s="4"/>
      <c r="AL129" s="4"/>
      <c r="AM129" s="4"/>
      <c r="AN129" s="4"/>
      <c r="AO129" s="4"/>
      <c r="AP129" s="4"/>
      <c r="AQ129" s="4"/>
    </row>
    <row r="130" spans="1:43" s="2" customFormat="1" x14ac:dyDescent="0.25">
      <c r="A130" s="161" t="str">
        <f>CONCATENATE(E130,IF(ISBLANK(C130),"",CONCATENATE("_",C130)))</f>
        <v>_WARRIOR_CELTS</v>
      </c>
      <c r="B130" s="9" t="s">
        <v>787</v>
      </c>
      <c r="C130" s="4" t="s">
        <v>709</v>
      </c>
      <c r="D130" s="4"/>
      <c r="E130" s="4" t="s">
        <v>743</v>
      </c>
      <c r="F130" s="4" t="s">
        <v>787</v>
      </c>
      <c r="G130" s="4"/>
      <c r="H130" s="4" t="s">
        <v>827</v>
      </c>
      <c r="I130" s="4" t="s">
        <v>1796</v>
      </c>
      <c r="J130" s="11"/>
      <c r="K130" s="11"/>
      <c r="L130" s="4"/>
      <c r="M130" s="12"/>
      <c r="N130" s="4"/>
      <c r="O130" s="4"/>
      <c r="P130" s="4"/>
      <c r="Q130" s="9">
        <v>2</v>
      </c>
      <c r="R130" s="11"/>
      <c r="S130" s="4"/>
      <c r="T130" s="11">
        <v>4</v>
      </c>
      <c r="U130" s="11"/>
      <c r="V130" s="4"/>
      <c r="W130" s="11"/>
      <c r="X130" s="11"/>
      <c r="Y130" s="4"/>
      <c r="Z130" s="9">
        <v>0</v>
      </c>
      <c r="AA130" s="11"/>
      <c r="AB130" s="4"/>
      <c r="AC130" s="11"/>
      <c r="AD130" s="11"/>
      <c r="AE130" s="4"/>
      <c r="AF130" s="11">
        <v>0</v>
      </c>
      <c r="AG130" s="11"/>
      <c r="AH130" s="4"/>
      <c r="AI130" s="11">
        <v>1</v>
      </c>
      <c r="AJ130" s="11"/>
      <c r="AK130" s="4"/>
      <c r="AL130" s="4"/>
      <c r="AM130" s="4"/>
      <c r="AN130" s="4"/>
      <c r="AO130" s="4"/>
      <c r="AP130" s="4"/>
      <c r="AQ130" s="4"/>
    </row>
    <row r="131" spans="1:43" s="2" customFormat="1" x14ac:dyDescent="0.25">
      <c r="A131" s="161" t="str">
        <f>CONCATENATE(E131,IF(ISBLANK(C131),"",CONCATENATE("_",C131)))</f>
        <v>_WARRIOR_CELTS</v>
      </c>
      <c r="B131" s="9" t="s">
        <v>787</v>
      </c>
      <c r="C131" s="4" t="s">
        <v>709</v>
      </c>
      <c r="D131" s="4"/>
      <c r="E131" s="4" t="s">
        <v>743</v>
      </c>
      <c r="F131" s="4" t="s">
        <v>787</v>
      </c>
      <c r="G131" s="4" t="s">
        <v>2047</v>
      </c>
      <c r="H131" s="4" t="s">
        <v>828</v>
      </c>
      <c r="I131" s="4" t="s">
        <v>1796</v>
      </c>
      <c r="J131" s="11"/>
      <c r="K131" s="11"/>
      <c r="L131" s="4"/>
      <c r="M131" s="12"/>
      <c r="N131" s="4"/>
      <c r="O131" s="4"/>
      <c r="P131" s="4"/>
      <c r="Q131" s="9">
        <v>1</v>
      </c>
      <c r="R131" s="11"/>
      <c r="S131" s="4"/>
      <c r="T131" s="11">
        <v>2</v>
      </c>
      <c r="U131" s="11"/>
      <c r="V131" s="4"/>
      <c r="W131" s="11"/>
      <c r="X131" s="11"/>
      <c r="Y131" s="4"/>
      <c r="Z131" s="9">
        <v>0</v>
      </c>
      <c r="AA131" s="11"/>
      <c r="AB131" s="4"/>
      <c r="AC131" s="11"/>
      <c r="AD131" s="11"/>
      <c r="AE131" s="4"/>
      <c r="AF131" s="11">
        <v>0</v>
      </c>
      <c r="AG131" s="11"/>
      <c r="AH131" s="4"/>
      <c r="AI131" s="11">
        <v>1</v>
      </c>
      <c r="AJ131" s="11"/>
      <c r="AK131" s="4"/>
      <c r="AL131" s="4"/>
      <c r="AM131" s="4"/>
      <c r="AN131" s="4"/>
      <c r="AO131" s="4"/>
      <c r="AP131" s="4"/>
      <c r="AQ131" s="4"/>
    </row>
    <row r="132" spans="1:43" s="2" customFormat="1" x14ac:dyDescent="0.25">
      <c r="A132" s="161" t="str">
        <f t="shared" si="5"/>
        <v>_WARRIOR_ENGLAND</v>
      </c>
      <c r="B132" s="9" t="s">
        <v>787</v>
      </c>
      <c r="C132" s="4" t="s">
        <v>713</v>
      </c>
      <c r="D132" s="4"/>
      <c r="E132" s="4" t="s">
        <v>743</v>
      </c>
      <c r="F132" s="4" t="s">
        <v>787</v>
      </c>
      <c r="G132" s="4"/>
      <c r="H132" s="4" t="s">
        <v>869</v>
      </c>
      <c r="I132" s="4" t="s">
        <v>1796</v>
      </c>
      <c r="J132" s="11"/>
      <c r="K132" s="11"/>
      <c r="L132" s="4"/>
      <c r="M132" s="12"/>
      <c r="N132" s="4"/>
      <c r="O132" s="4"/>
      <c r="P132" s="4"/>
      <c r="Q132" s="9">
        <v>3</v>
      </c>
      <c r="R132" s="11"/>
      <c r="S132" s="4"/>
      <c r="T132" s="11">
        <v>5</v>
      </c>
      <c r="U132" s="11"/>
      <c r="V132" s="4"/>
      <c r="W132" s="11"/>
      <c r="X132" s="11"/>
      <c r="Y132" s="4"/>
      <c r="Z132" s="9">
        <v>1</v>
      </c>
      <c r="AA132" s="11"/>
      <c r="AB132" s="4"/>
      <c r="AC132" s="11"/>
      <c r="AD132" s="11"/>
      <c r="AE132" s="4"/>
      <c r="AF132" s="11">
        <v>1</v>
      </c>
      <c r="AG132" s="11"/>
      <c r="AH132" s="4"/>
      <c r="AI132" s="11">
        <v>2</v>
      </c>
      <c r="AJ132" s="11"/>
      <c r="AK132" s="4"/>
      <c r="AL132" s="4"/>
      <c r="AM132" s="4"/>
      <c r="AN132" s="4"/>
      <c r="AO132" s="4"/>
      <c r="AP132" s="4"/>
      <c r="AQ132" s="4"/>
    </row>
    <row r="133" spans="1:43" s="2" customFormat="1" x14ac:dyDescent="0.25">
      <c r="A133" s="161" t="str">
        <f t="shared" si="5"/>
        <v>_WARRIOR_ENGLAND</v>
      </c>
      <c r="B133" s="9" t="s">
        <v>787</v>
      </c>
      <c r="C133" s="4" t="s">
        <v>713</v>
      </c>
      <c r="D133" s="4"/>
      <c r="E133" s="4" t="s">
        <v>743</v>
      </c>
      <c r="F133" s="4" t="s">
        <v>787</v>
      </c>
      <c r="G133" s="4" t="s">
        <v>2047</v>
      </c>
      <c r="H133" s="4" t="s">
        <v>289</v>
      </c>
      <c r="I133" s="4" t="s">
        <v>1796</v>
      </c>
      <c r="J133" s="11"/>
      <c r="K133" s="11"/>
      <c r="L133" s="4"/>
      <c r="M133" s="12"/>
      <c r="N133" s="4"/>
      <c r="O133" s="4"/>
      <c r="P133" s="4"/>
      <c r="Q133" s="9">
        <v>3</v>
      </c>
      <c r="R133" s="11"/>
      <c r="S133" s="4"/>
      <c r="T133" s="11">
        <v>4</v>
      </c>
      <c r="U133" s="11"/>
      <c r="V133" s="4"/>
      <c r="W133" s="11"/>
      <c r="X133" s="11"/>
      <c r="Y133" s="4"/>
      <c r="Z133" s="9">
        <v>0</v>
      </c>
      <c r="AA133" s="11"/>
      <c r="AB133" s="4"/>
      <c r="AC133" s="11"/>
      <c r="AD133" s="11"/>
      <c r="AE133" s="4"/>
      <c r="AF133" s="11">
        <v>1</v>
      </c>
      <c r="AG133" s="11"/>
      <c r="AH133" s="4"/>
      <c r="AI133" s="11">
        <v>2</v>
      </c>
      <c r="AJ133" s="11"/>
      <c r="AK133" s="4"/>
      <c r="AL133" s="4"/>
      <c r="AM133" s="4"/>
      <c r="AN133" s="4"/>
      <c r="AO133" s="4"/>
      <c r="AP133" s="4"/>
      <c r="AQ133" s="4"/>
    </row>
    <row r="134" spans="1:43" s="2" customFormat="1" x14ac:dyDescent="0.25">
      <c r="A134" s="161" t="str">
        <f t="shared" si="5"/>
        <v>_WARRIOR_ENGLAND</v>
      </c>
      <c r="B134" s="9" t="s">
        <v>787</v>
      </c>
      <c r="C134" s="4" t="s">
        <v>713</v>
      </c>
      <c r="D134" s="4"/>
      <c r="E134" s="4" t="s">
        <v>743</v>
      </c>
      <c r="F134" s="4" t="s">
        <v>787</v>
      </c>
      <c r="G134" s="4"/>
      <c r="H134" s="4" t="s">
        <v>869</v>
      </c>
      <c r="I134" s="4" t="s">
        <v>1796</v>
      </c>
      <c r="J134" s="11"/>
      <c r="K134" s="11"/>
      <c r="L134" s="4"/>
      <c r="M134" s="12"/>
      <c r="N134" s="4"/>
      <c r="O134" s="4"/>
      <c r="P134" s="4"/>
      <c r="Q134" s="9">
        <v>3</v>
      </c>
      <c r="R134" s="11"/>
      <c r="S134" s="4"/>
      <c r="T134" s="11">
        <v>4</v>
      </c>
      <c r="U134" s="11"/>
      <c r="V134" s="4"/>
      <c r="W134" s="11"/>
      <c r="X134" s="11"/>
      <c r="Y134" s="4"/>
      <c r="Z134" s="9">
        <v>0</v>
      </c>
      <c r="AA134" s="11"/>
      <c r="AB134" s="4"/>
      <c r="AC134" s="11"/>
      <c r="AD134" s="11"/>
      <c r="AE134" s="4"/>
      <c r="AF134" s="11">
        <v>1</v>
      </c>
      <c r="AG134" s="11"/>
      <c r="AH134" s="4"/>
      <c r="AI134" s="11">
        <v>1</v>
      </c>
      <c r="AJ134" s="11"/>
      <c r="AK134" s="4"/>
      <c r="AL134" s="4"/>
      <c r="AM134" s="4"/>
      <c r="AN134" s="4"/>
      <c r="AO134" s="4"/>
      <c r="AP134" s="4"/>
      <c r="AQ134" s="4"/>
    </row>
    <row r="135" spans="1:43" s="2" customFormat="1" x14ac:dyDescent="0.25">
      <c r="A135" s="161" t="str">
        <f t="shared" si="5"/>
        <v>_WARRIOR_ENGLAND</v>
      </c>
      <c r="B135" s="9" t="s">
        <v>787</v>
      </c>
      <c r="C135" s="4" t="s">
        <v>713</v>
      </c>
      <c r="D135" s="4"/>
      <c r="E135" s="4" t="s">
        <v>743</v>
      </c>
      <c r="F135" s="4" t="s">
        <v>787</v>
      </c>
      <c r="G135" s="4" t="s">
        <v>2047</v>
      </c>
      <c r="H135" s="4" t="s">
        <v>289</v>
      </c>
      <c r="I135" s="4" t="s">
        <v>1796</v>
      </c>
      <c r="J135" s="11"/>
      <c r="K135" s="11"/>
      <c r="L135" s="4"/>
      <c r="M135" s="12"/>
      <c r="N135" s="4"/>
      <c r="O135" s="4"/>
      <c r="P135" s="4"/>
      <c r="Q135" s="9">
        <v>3</v>
      </c>
      <c r="R135" s="11"/>
      <c r="S135" s="4"/>
      <c r="T135" s="11">
        <v>5</v>
      </c>
      <c r="U135" s="11"/>
      <c r="V135" s="4"/>
      <c r="W135" s="11"/>
      <c r="X135" s="11"/>
      <c r="Y135" s="4"/>
      <c r="Z135" s="9">
        <v>0</v>
      </c>
      <c r="AA135" s="11"/>
      <c r="AB135" s="4"/>
      <c r="AC135" s="11"/>
      <c r="AD135" s="11"/>
      <c r="AE135" s="4"/>
      <c r="AF135" s="11">
        <v>0</v>
      </c>
      <c r="AG135" s="11"/>
      <c r="AH135" s="4"/>
      <c r="AI135" s="11">
        <v>2</v>
      </c>
      <c r="AJ135" s="11"/>
      <c r="AK135" s="4"/>
      <c r="AL135" s="4"/>
      <c r="AM135" s="4"/>
      <c r="AN135" s="4"/>
      <c r="AO135" s="4"/>
      <c r="AP135" s="4"/>
      <c r="AQ135" s="4"/>
    </row>
    <row r="136" spans="1:43" s="2" customFormat="1" x14ac:dyDescent="0.25">
      <c r="A136" s="161" t="str">
        <f t="shared" si="5"/>
        <v>_WARRIOR_FRANCE</v>
      </c>
      <c r="B136" s="9" t="s">
        <v>787</v>
      </c>
      <c r="C136" s="4" t="s">
        <v>715</v>
      </c>
      <c r="D136" s="4"/>
      <c r="E136" s="4" t="s">
        <v>743</v>
      </c>
      <c r="F136" s="4" t="s">
        <v>787</v>
      </c>
      <c r="G136" s="4"/>
      <c r="H136" s="4" t="s">
        <v>882</v>
      </c>
      <c r="I136" s="4" t="s">
        <v>1796</v>
      </c>
      <c r="J136" s="11"/>
      <c r="K136" s="11"/>
      <c r="L136" s="4"/>
      <c r="M136" s="12"/>
      <c r="N136" s="4"/>
      <c r="O136" s="4"/>
      <c r="P136" s="4"/>
      <c r="Q136" s="9">
        <v>3</v>
      </c>
      <c r="R136" s="11">
        <v>0.15</v>
      </c>
      <c r="S136" s="4"/>
      <c r="T136" s="11">
        <v>5</v>
      </c>
      <c r="U136" s="11">
        <v>9.5000000000000001E-2</v>
      </c>
      <c r="V136" s="4"/>
      <c r="W136" s="11"/>
      <c r="X136" s="11" t="s">
        <v>3</v>
      </c>
      <c r="Y136" s="4"/>
      <c r="Z136" s="9">
        <v>1</v>
      </c>
      <c r="AA136" s="11"/>
      <c r="AB136" s="4"/>
      <c r="AC136" s="11"/>
      <c r="AD136" s="11"/>
      <c r="AE136" s="4"/>
      <c r="AF136" s="11">
        <v>1</v>
      </c>
      <c r="AG136" s="11"/>
      <c r="AH136" s="4"/>
      <c r="AI136" s="11">
        <v>2</v>
      </c>
      <c r="AJ136" s="11"/>
      <c r="AK136" s="4"/>
      <c r="AL136" s="4"/>
      <c r="AM136" s="4"/>
      <c r="AN136" s="4"/>
      <c r="AO136" s="4"/>
      <c r="AP136" s="4"/>
      <c r="AQ136" s="4"/>
    </row>
    <row r="137" spans="1:43" s="2" customFormat="1" x14ac:dyDescent="0.25">
      <c r="A137" s="161" t="str">
        <f t="shared" si="5"/>
        <v>_WARRIOR_FRANCE</v>
      </c>
      <c r="B137" s="9" t="s">
        <v>787</v>
      </c>
      <c r="C137" s="4" t="s">
        <v>715</v>
      </c>
      <c r="D137" s="4"/>
      <c r="E137" s="4" t="s">
        <v>743</v>
      </c>
      <c r="F137" s="4" t="s">
        <v>787</v>
      </c>
      <c r="G137" s="4" t="s">
        <v>2047</v>
      </c>
      <c r="H137" s="4" t="s">
        <v>333</v>
      </c>
      <c r="I137" s="4" t="s">
        <v>1796</v>
      </c>
      <c r="J137" s="11"/>
      <c r="K137" s="11"/>
      <c r="L137" s="4"/>
      <c r="M137" s="12"/>
      <c r="N137" s="4"/>
      <c r="O137" s="4"/>
      <c r="P137" s="4"/>
      <c r="Q137" s="9">
        <v>3</v>
      </c>
      <c r="R137" s="11">
        <v>0.15</v>
      </c>
      <c r="S137" s="4"/>
      <c r="T137" s="11">
        <v>4</v>
      </c>
      <c r="U137" s="11">
        <v>9.5000000000000001E-2</v>
      </c>
      <c r="V137" s="4"/>
      <c r="W137" s="11"/>
      <c r="X137" s="11" t="s">
        <v>3</v>
      </c>
      <c r="Y137" s="4"/>
      <c r="Z137" s="9">
        <v>0</v>
      </c>
      <c r="AA137" s="11"/>
      <c r="AB137" s="4"/>
      <c r="AC137" s="11"/>
      <c r="AD137" s="11"/>
      <c r="AE137" s="4"/>
      <c r="AF137" s="11">
        <v>1</v>
      </c>
      <c r="AG137" s="11"/>
      <c r="AH137" s="4"/>
      <c r="AI137" s="11">
        <v>2</v>
      </c>
      <c r="AJ137" s="11"/>
      <c r="AK137" s="4"/>
      <c r="AL137" s="4"/>
      <c r="AM137" s="4"/>
      <c r="AN137" s="4"/>
      <c r="AO137" s="4"/>
      <c r="AP137" s="4"/>
      <c r="AQ137" s="4"/>
    </row>
    <row r="138" spans="1:43" s="2" customFormat="1" x14ac:dyDescent="0.25">
      <c r="A138" s="161" t="str">
        <f t="shared" si="5"/>
        <v>_WARRIOR_FRANCE</v>
      </c>
      <c r="B138" s="9" t="s">
        <v>787</v>
      </c>
      <c r="C138" s="4" t="s">
        <v>715</v>
      </c>
      <c r="D138" s="4"/>
      <c r="E138" s="4" t="s">
        <v>743</v>
      </c>
      <c r="F138" s="4" t="s">
        <v>787</v>
      </c>
      <c r="G138" s="4"/>
      <c r="H138" s="4" t="s">
        <v>882</v>
      </c>
      <c r="I138" s="4" t="s">
        <v>1796</v>
      </c>
      <c r="J138" s="11"/>
      <c r="K138" s="11"/>
      <c r="L138" s="4"/>
      <c r="M138" s="12"/>
      <c r="N138" s="4"/>
      <c r="O138" s="4"/>
      <c r="P138" s="4"/>
      <c r="Q138" s="9">
        <v>3</v>
      </c>
      <c r="R138" s="11">
        <v>0.15</v>
      </c>
      <c r="S138" s="4"/>
      <c r="T138" s="11">
        <v>4</v>
      </c>
      <c r="U138" s="11">
        <v>9.5000000000000001E-2</v>
      </c>
      <c r="V138" s="4"/>
      <c r="W138" s="11"/>
      <c r="X138" s="11" t="s">
        <v>3</v>
      </c>
      <c r="Y138" s="4"/>
      <c r="Z138" s="9">
        <v>0</v>
      </c>
      <c r="AA138" s="11"/>
      <c r="AB138" s="4"/>
      <c r="AC138" s="11"/>
      <c r="AD138" s="11"/>
      <c r="AE138" s="4"/>
      <c r="AF138" s="11">
        <v>1</v>
      </c>
      <c r="AG138" s="11"/>
      <c r="AH138" s="4"/>
      <c r="AI138" s="11">
        <v>1</v>
      </c>
      <c r="AJ138" s="11"/>
      <c r="AK138" s="4"/>
      <c r="AL138" s="4"/>
      <c r="AM138" s="4"/>
      <c r="AN138" s="4"/>
      <c r="AO138" s="4"/>
      <c r="AP138" s="4"/>
      <c r="AQ138" s="4"/>
    </row>
    <row r="139" spans="1:43" s="2" customFormat="1" x14ac:dyDescent="0.25">
      <c r="A139" s="161" t="str">
        <f t="shared" si="5"/>
        <v>_WARRIOR_FRANCE</v>
      </c>
      <c r="B139" s="9" t="s">
        <v>787</v>
      </c>
      <c r="C139" s="4" t="s">
        <v>715</v>
      </c>
      <c r="D139" s="4"/>
      <c r="E139" s="4" t="s">
        <v>743</v>
      </c>
      <c r="F139" s="4" t="s">
        <v>787</v>
      </c>
      <c r="G139" s="4" t="s">
        <v>2047</v>
      </c>
      <c r="H139" s="4" t="s">
        <v>333</v>
      </c>
      <c r="I139" s="4" t="s">
        <v>1796</v>
      </c>
      <c r="J139" s="11"/>
      <c r="K139" s="11"/>
      <c r="L139" s="4"/>
      <c r="M139" s="12"/>
      <c r="N139" s="4"/>
      <c r="O139" s="4"/>
      <c r="P139" s="4"/>
      <c r="Q139" s="9">
        <v>3</v>
      </c>
      <c r="R139" s="11">
        <v>0.15</v>
      </c>
      <c r="S139" s="4"/>
      <c r="T139" s="11">
        <v>5</v>
      </c>
      <c r="U139" s="11">
        <v>9.5000000000000001E-2</v>
      </c>
      <c r="V139" s="4"/>
      <c r="W139" s="11"/>
      <c r="X139" s="11" t="s">
        <v>3</v>
      </c>
      <c r="Y139" s="4"/>
      <c r="Z139" s="9">
        <v>0</v>
      </c>
      <c r="AA139" s="11"/>
      <c r="AB139" s="4"/>
      <c r="AC139" s="11"/>
      <c r="AD139" s="11"/>
      <c r="AE139" s="4"/>
      <c r="AF139" s="11">
        <v>0</v>
      </c>
      <c r="AG139" s="11"/>
      <c r="AH139" s="4"/>
      <c r="AI139" s="11">
        <v>2</v>
      </c>
      <c r="AJ139" s="11"/>
      <c r="AK139" s="4"/>
      <c r="AL139" s="4"/>
      <c r="AM139" s="4"/>
      <c r="AN139" s="4"/>
      <c r="AO139" s="4"/>
      <c r="AP139" s="4"/>
      <c r="AQ139" s="4"/>
    </row>
    <row r="140" spans="1:43" s="2" customFormat="1" x14ac:dyDescent="0.25">
      <c r="A140" s="161" t="str">
        <f t="shared" si="5"/>
        <v>_WARRIOR_GERMANY</v>
      </c>
      <c r="B140" s="9" t="s">
        <v>787</v>
      </c>
      <c r="C140" s="4" t="s">
        <v>717</v>
      </c>
      <c r="D140" s="4"/>
      <c r="E140" s="4" t="s">
        <v>743</v>
      </c>
      <c r="F140" s="4" t="s">
        <v>787</v>
      </c>
      <c r="G140" s="4"/>
      <c r="H140" s="4" t="s">
        <v>885</v>
      </c>
      <c r="I140" s="4" t="s">
        <v>1796</v>
      </c>
      <c r="J140" s="11"/>
      <c r="K140" s="11"/>
      <c r="L140" s="4"/>
      <c r="M140" s="12"/>
      <c r="N140" s="4"/>
      <c r="O140" s="4"/>
      <c r="P140" s="4"/>
      <c r="Q140" s="9">
        <v>2</v>
      </c>
      <c r="R140" s="11"/>
      <c r="S140" s="4"/>
      <c r="T140" s="11">
        <v>3</v>
      </c>
      <c r="U140" s="11"/>
      <c r="V140" s="4"/>
      <c r="W140" s="11"/>
      <c r="X140" s="11"/>
      <c r="Y140" s="4"/>
      <c r="Z140" s="9">
        <v>1</v>
      </c>
      <c r="AA140" s="11"/>
      <c r="AB140" s="4"/>
      <c r="AC140" s="11"/>
      <c r="AD140" s="11"/>
      <c r="AE140" s="4"/>
      <c r="AF140" s="11">
        <v>1</v>
      </c>
      <c r="AG140" s="11"/>
      <c r="AH140" s="4"/>
      <c r="AI140" s="11">
        <v>1</v>
      </c>
      <c r="AJ140" s="11"/>
      <c r="AK140" s="4"/>
      <c r="AL140" s="4"/>
      <c r="AM140" s="4"/>
      <c r="AN140" s="4"/>
      <c r="AO140" s="4"/>
      <c r="AP140" s="4"/>
      <c r="AQ140" s="4"/>
    </row>
    <row r="141" spans="1:43" s="2" customFormat="1" x14ac:dyDescent="0.25">
      <c r="A141" s="161" t="str">
        <f t="shared" si="5"/>
        <v>_WARRIOR_GERMANY</v>
      </c>
      <c r="B141" s="9" t="s">
        <v>787</v>
      </c>
      <c r="C141" s="4" t="s">
        <v>717</v>
      </c>
      <c r="D141" s="4"/>
      <c r="E141" s="4" t="s">
        <v>743</v>
      </c>
      <c r="F141" s="4" t="s">
        <v>787</v>
      </c>
      <c r="G141" s="4" t="s">
        <v>2047</v>
      </c>
      <c r="H141" s="4" t="s">
        <v>886</v>
      </c>
      <c r="I141" s="4" t="s">
        <v>1796</v>
      </c>
      <c r="J141" s="11"/>
      <c r="K141" s="11"/>
      <c r="L141" s="4"/>
      <c r="M141" s="12"/>
      <c r="N141" s="4"/>
      <c r="O141" s="4"/>
      <c r="P141" s="4"/>
      <c r="Q141" s="9">
        <v>1</v>
      </c>
      <c r="R141" s="11"/>
      <c r="S141" s="4"/>
      <c r="T141" s="11">
        <v>2</v>
      </c>
      <c r="U141" s="11"/>
      <c r="V141" s="4"/>
      <c r="W141" s="11"/>
      <c r="X141" s="11"/>
      <c r="Y141" s="4"/>
      <c r="Z141" s="9">
        <v>0</v>
      </c>
      <c r="AA141" s="11"/>
      <c r="AB141" s="4"/>
      <c r="AC141" s="11"/>
      <c r="AD141" s="11"/>
      <c r="AE141" s="4"/>
      <c r="AF141" s="11">
        <v>1</v>
      </c>
      <c r="AG141" s="11"/>
      <c r="AH141" s="4"/>
      <c r="AI141" s="11">
        <v>2</v>
      </c>
      <c r="AJ141" s="11"/>
      <c r="AK141" s="4"/>
      <c r="AL141" s="4"/>
      <c r="AM141" s="4"/>
      <c r="AN141" s="4"/>
      <c r="AO141" s="4"/>
      <c r="AP141" s="4"/>
      <c r="AQ141" s="4"/>
    </row>
    <row r="142" spans="1:43" s="2" customFormat="1" x14ac:dyDescent="0.25">
      <c r="A142" s="161" t="str">
        <f t="shared" si="5"/>
        <v>_WARRIOR_GERMANY</v>
      </c>
      <c r="B142" s="9" t="s">
        <v>787</v>
      </c>
      <c r="C142" s="4" t="s">
        <v>717</v>
      </c>
      <c r="D142" s="4"/>
      <c r="E142" s="4" t="s">
        <v>743</v>
      </c>
      <c r="F142" s="4" t="s">
        <v>787</v>
      </c>
      <c r="G142" s="4" t="s">
        <v>2049</v>
      </c>
      <c r="H142" s="4" t="s">
        <v>887</v>
      </c>
      <c r="I142" s="4" t="s">
        <v>1822</v>
      </c>
      <c r="J142" s="11"/>
      <c r="K142" s="11"/>
      <c r="L142" s="4"/>
      <c r="M142" s="12"/>
      <c r="N142" s="4"/>
      <c r="O142" s="4"/>
      <c r="P142" s="4"/>
      <c r="Q142" s="9">
        <v>0</v>
      </c>
      <c r="R142" s="11"/>
      <c r="S142" s="4"/>
      <c r="T142" s="11">
        <v>0</v>
      </c>
      <c r="U142" s="11"/>
      <c r="V142" s="4"/>
      <c r="W142" s="11"/>
      <c r="X142" s="11"/>
      <c r="Y142" s="4"/>
      <c r="Z142" s="9">
        <v>0</v>
      </c>
      <c r="AA142" s="11"/>
      <c r="AB142" s="4"/>
      <c r="AC142" s="11"/>
      <c r="AD142" s="11"/>
      <c r="AE142" s="4"/>
      <c r="AF142" s="11">
        <v>0</v>
      </c>
      <c r="AG142" s="11"/>
      <c r="AH142" s="4"/>
      <c r="AI142" s="11">
        <v>0</v>
      </c>
      <c r="AJ142" s="11"/>
      <c r="AK142" s="4"/>
      <c r="AL142" s="4"/>
      <c r="AM142" s="4"/>
      <c r="AN142" s="4"/>
      <c r="AO142" s="4"/>
      <c r="AP142" s="4"/>
      <c r="AQ142" s="4"/>
    </row>
    <row r="143" spans="1:43" s="2" customFormat="1" x14ac:dyDescent="0.25">
      <c r="A143" s="161" t="str">
        <f t="shared" si="5"/>
        <v>_WARRIOR_GERMANY</v>
      </c>
      <c r="B143" s="9" t="s">
        <v>787</v>
      </c>
      <c r="C143" s="4" t="s">
        <v>717</v>
      </c>
      <c r="D143" s="4"/>
      <c r="E143" s="4" t="s">
        <v>743</v>
      </c>
      <c r="F143" s="4" t="s">
        <v>787</v>
      </c>
      <c r="G143" s="4" t="s">
        <v>2048</v>
      </c>
      <c r="H143" s="4" t="s">
        <v>364</v>
      </c>
      <c r="I143" s="4" t="s">
        <v>1822</v>
      </c>
      <c r="J143" s="11"/>
      <c r="K143" s="11"/>
      <c r="L143" s="4"/>
      <c r="M143" s="12"/>
      <c r="N143" s="4"/>
      <c r="O143" s="4"/>
      <c r="P143" s="4"/>
      <c r="Q143" s="9">
        <v>1</v>
      </c>
      <c r="R143" s="11"/>
      <c r="S143" s="4"/>
      <c r="T143" s="11">
        <v>2</v>
      </c>
      <c r="U143" s="11"/>
      <c r="V143" s="4"/>
      <c r="W143" s="11"/>
      <c r="X143" s="11"/>
      <c r="Y143" s="4"/>
      <c r="Z143" s="9">
        <v>0</v>
      </c>
      <c r="AA143" s="11"/>
      <c r="AB143" s="4"/>
      <c r="AC143" s="11"/>
      <c r="AD143" s="11"/>
      <c r="AE143" s="4"/>
      <c r="AF143" s="11">
        <v>1</v>
      </c>
      <c r="AG143" s="11"/>
      <c r="AH143" s="4"/>
      <c r="AI143" s="11">
        <v>1</v>
      </c>
      <c r="AJ143" s="11"/>
      <c r="AK143" s="4"/>
      <c r="AL143" s="4"/>
      <c r="AM143" s="4"/>
      <c r="AN143" s="4"/>
      <c r="AO143" s="4"/>
      <c r="AP143" s="4"/>
      <c r="AQ143" s="4"/>
    </row>
    <row r="144" spans="1:43" s="2" customFormat="1" x14ac:dyDescent="0.25">
      <c r="A144" s="161" t="str">
        <f t="shared" si="5"/>
        <v>_WARRIOR_GERMANY</v>
      </c>
      <c r="B144" s="9" t="s">
        <v>787</v>
      </c>
      <c r="C144" s="4" t="s">
        <v>717</v>
      </c>
      <c r="D144" s="4"/>
      <c r="E144" s="4" t="s">
        <v>743</v>
      </c>
      <c r="F144" s="4" t="s">
        <v>787</v>
      </c>
      <c r="G144" s="4"/>
      <c r="H144" s="4" t="s">
        <v>885</v>
      </c>
      <c r="I144" s="4" t="s">
        <v>1796</v>
      </c>
      <c r="J144" s="11"/>
      <c r="K144" s="11"/>
      <c r="L144" s="4"/>
      <c r="M144" s="12"/>
      <c r="N144" s="4"/>
      <c r="O144" s="4"/>
      <c r="P144" s="4"/>
      <c r="Q144" s="9">
        <v>2</v>
      </c>
      <c r="R144" s="11"/>
      <c r="S144" s="4"/>
      <c r="T144" s="11">
        <v>3</v>
      </c>
      <c r="U144" s="11"/>
      <c r="V144" s="4"/>
      <c r="W144" s="11"/>
      <c r="X144" s="11"/>
      <c r="Y144" s="4"/>
      <c r="Z144" s="9">
        <v>0</v>
      </c>
      <c r="AA144" s="11"/>
      <c r="AB144" s="4"/>
      <c r="AC144" s="11"/>
      <c r="AD144" s="11"/>
      <c r="AE144" s="4"/>
      <c r="AF144" s="11">
        <v>0</v>
      </c>
      <c r="AG144" s="11"/>
      <c r="AH144" s="4"/>
      <c r="AI144" s="11">
        <v>1</v>
      </c>
      <c r="AJ144" s="11"/>
      <c r="AK144" s="4"/>
      <c r="AL144" s="4"/>
      <c r="AM144" s="4"/>
      <c r="AN144" s="4"/>
      <c r="AO144" s="4"/>
      <c r="AP144" s="4"/>
      <c r="AQ144" s="4"/>
    </row>
    <row r="145" spans="1:43" s="2" customFormat="1" x14ac:dyDescent="0.25">
      <c r="A145" s="161" t="str">
        <f t="shared" si="5"/>
        <v>_WARRIOR_GERMANY</v>
      </c>
      <c r="B145" s="9" t="s">
        <v>787</v>
      </c>
      <c r="C145" s="4" t="s">
        <v>717</v>
      </c>
      <c r="D145" s="4"/>
      <c r="E145" s="4" t="s">
        <v>743</v>
      </c>
      <c r="F145" s="4" t="s">
        <v>787</v>
      </c>
      <c r="G145" s="4" t="s">
        <v>2047</v>
      </c>
      <c r="H145" s="4" t="s">
        <v>886</v>
      </c>
      <c r="I145" s="4" t="s">
        <v>1796</v>
      </c>
      <c r="J145" s="11"/>
      <c r="K145" s="11"/>
      <c r="L145" s="4"/>
      <c r="M145" s="12"/>
      <c r="N145" s="4"/>
      <c r="O145" s="4"/>
      <c r="P145" s="4"/>
      <c r="Q145" s="9">
        <v>2</v>
      </c>
      <c r="R145" s="11"/>
      <c r="S145" s="4"/>
      <c r="T145" s="11">
        <v>3</v>
      </c>
      <c r="U145" s="11"/>
      <c r="V145" s="4"/>
      <c r="W145" s="11"/>
      <c r="X145" s="11"/>
      <c r="Y145" s="4"/>
      <c r="Z145" s="9">
        <v>0</v>
      </c>
      <c r="AA145" s="11"/>
      <c r="AB145" s="4"/>
      <c r="AC145" s="11"/>
      <c r="AD145" s="11"/>
      <c r="AE145" s="4"/>
      <c r="AF145" s="11">
        <v>0</v>
      </c>
      <c r="AG145" s="11"/>
      <c r="AH145" s="4"/>
      <c r="AI145" s="11">
        <v>1</v>
      </c>
      <c r="AJ145" s="11"/>
      <c r="AK145" s="4"/>
      <c r="AL145" s="4"/>
      <c r="AM145" s="4"/>
      <c r="AN145" s="4"/>
      <c r="AO145" s="4"/>
      <c r="AP145" s="4"/>
      <c r="AQ145" s="4"/>
    </row>
    <row r="146" spans="1:43" s="2" customFormat="1" x14ac:dyDescent="0.25">
      <c r="A146" s="161" t="str">
        <f t="shared" si="5"/>
        <v>_WARRIOR_GERMANY</v>
      </c>
      <c r="B146" s="9" t="s">
        <v>787</v>
      </c>
      <c r="C146" s="4" t="s">
        <v>717</v>
      </c>
      <c r="D146" s="4"/>
      <c r="E146" s="4" t="s">
        <v>743</v>
      </c>
      <c r="F146" s="4" t="s">
        <v>787</v>
      </c>
      <c r="G146" s="4" t="s">
        <v>2049</v>
      </c>
      <c r="H146" s="4" t="s">
        <v>887</v>
      </c>
      <c r="I146" s="4" t="s">
        <v>1822</v>
      </c>
      <c r="J146" s="11"/>
      <c r="K146" s="11"/>
      <c r="L146" s="4"/>
      <c r="M146" s="12"/>
      <c r="N146" s="4"/>
      <c r="O146" s="4"/>
      <c r="P146" s="4"/>
      <c r="Q146" s="9">
        <v>0</v>
      </c>
      <c r="R146" s="11"/>
      <c r="S146" s="4"/>
      <c r="T146" s="11">
        <v>0</v>
      </c>
      <c r="U146" s="11"/>
      <c r="V146" s="4"/>
      <c r="W146" s="11"/>
      <c r="X146" s="11"/>
      <c r="Y146" s="4"/>
      <c r="Z146" s="9">
        <v>0</v>
      </c>
      <c r="AA146" s="11"/>
      <c r="AB146" s="4"/>
      <c r="AC146" s="11"/>
      <c r="AD146" s="11"/>
      <c r="AE146" s="4"/>
      <c r="AF146" s="11">
        <v>0</v>
      </c>
      <c r="AG146" s="11"/>
      <c r="AH146" s="4"/>
      <c r="AI146" s="11">
        <v>0</v>
      </c>
      <c r="AJ146" s="11"/>
      <c r="AK146" s="4"/>
      <c r="AL146" s="4"/>
      <c r="AM146" s="4"/>
      <c r="AN146" s="4"/>
      <c r="AO146" s="4"/>
      <c r="AP146" s="4"/>
      <c r="AQ146" s="4"/>
    </row>
    <row r="147" spans="1:43" s="2" customFormat="1" x14ac:dyDescent="0.25">
      <c r="A147" s="161" t="str">
        <f t="shared" si="5"/>
        <v>_WARRIOR_GERMANY</v>
      </c>
      <c r="B147" s="9" t="s">
        <v>787</v>
      </c>
      <c r="C147" s="4" t="s">
        <v>717</v>
      </c>
      <c r="D147" s="4"/>
      <c r="E147" s="4" t="s">
        <v>743</v>
      </c>
      <c r="F147" s="4" t="s">
        <v>787</v>
      </c>
      <c r="G147" s="4" t="s">
        <v>2048</v>
      </c>
      <c r="H147" s="4" t="s">
        <v>364</v>
      </c>
      <c r="I147" s="4" t="s">
        <v>1822</v>
      </c>
      <c r="J147" s="11"/>
      <c r="K147" s="11"/>
      <c r="L147" s="4"/>
      <c r="M147" s="12"/>
      <c r="N147" s="4"/>
      <c r="O147" s="4"/>
      <c r="P147" s="4"/>
      <c r="Q147" s="9">
        <v>2</v>
      </c>
      <c r="R147" s="11"/>
      <c r="S147" s="4"/>
      <c r="T147" s="11">
        <v>3</v>
      </c>
      <c r="U147" s="11"/>
      <c r="V147" s="4"/>
      <c r="W147" s="11"/>
      <c r="X147" s="11"/>
      <c r="Y147" s="4"/>
      <c r="Z147" s="9">
        <v>0</v>
      </c>
      <c r="AA147" s="11"/>
      <c r="AB147" s="4"/>
      <c r="AC147" s="11"/>
      <c r="AD147" s="11"/>
      <c r="AE147" s="4"/>
      <c r="AF147" s="11">
        <v>0</v>
      </c>
      <c r="AG147" s="11"/>
      <c r="AH147" s="4"/>
      <c r="AI147" s="11">
        <v>1</v>
      </c>
      <c r="AJ147" s="11"/>
      <c r="AK147" s="4"/>
      <c r="AL147" s="4"/>
      <c r="AM147" s="4"/>
      <c r="AN147" s="4"/>
      <c r="AO147" s="4"/>
      <c r="AP147" s="4"/>
      <c r="AQ147" s="4"/>
    </row>
    <row r="148" spans="1:43" s="2" customFormat="1" x14ac:dyDescent="0.25">
      <c r="A148" s="161" t="str">
        <f t="shared" si="5"/>
        <v>_WARRIOR_NETHERLANDS</v>
      </c>
      <c r="B148" s="9" t="s">
        <v>787</v>
      </c>
      <c r="C148" s="4" t="s">
        <v>730</v>
      </c>
      <c r="D148" s="4"/>
      <c r="E148" s="4" t="s">
        <v>743</v>
      </c>
      <c r="F148" s="4" t="s">
        <v>787</v>
      </c>
      <c r="G148" s="4"/>
      <c r="H148" s="4" t="s">
        <v>977</v>
      </c>
      <c r="I148" s="4" t="s">
        <v>1796</v>
      </c>
      <c r="J148" s="11"/>
      <c r="K148" s="11"/>
      <c r="L148" s="4"/>
      <c r="M148" s="12"/>
      <c r="N148" s="4"/>
      <c r="O148" s="4"/>
      <c r="P148" s="4"/>
      <c r="Q148" s="9">
        <v>3</v>
      </c>
      <c r="R148" s="11"/>
      <c r="S148" s="4"/>
      <c r="T148" s="11">
        <v>5</v>
      </c>
      <c r="U148" s="11"/>
      <c r="V148" s="4"/>
      <c r="W148" s="11"/>
      <c r="X148" s="11"/>
      <c r="Y148" s="4"/>
      <c r="Z148" s="9">
        <v>1</v>
      </c>
      <c r="AA148" s="11"/>
      <c r="AB148" s="4"/>
      <c r="AC148" s="11"/>
      <c r="AD148" s="11"/>
      <c r="AE148" s="4"/>
      <c r="AF148" s="11">
        <v>1</v>
      </c>
      <c r="AG148" s="11"/>
      <c r="AH148" s="4"/>
      <c r="AI148" s="11">
        <v>2</v>
      </c>
      <c r="AJ148" s="11"/>
      <c r="AK148" s="4"/>
      <c r="AL148" s="4"/>
      <c r="AM148" s="4"/>
      <c r="AN148" s="4"/>
      <c r="AO148" s="4"/>
      <c r="AP148" s="4"/>
      <c r="AQ148" s="4"/>
    </row>
    <row r="149" spans="1:43" s="2" customFormat="1" x14ac:dyDescent="0.25">
      <c r="A149" s="161" t="str">
        <f t="shared" si="5"/>
        <v>_WARRIOR_NETHERLANDS</v>
      </c>
      <c r="B149" s="9" t="s">
        <v>787</v>
      </c>
      <c r="C149" s="4" t="s">
        <v>730</v>
      </c>
      <c r="D149" s="4"/>
      <c r="E149" s="4" t="s">
        <v>743</v>
      </c>
      <c r="F149" s="4" t="s">
        <v>787</v>
      </c>
      <c r="G149" s="4" t="s">
        <v>2047</v>
      </c>
      <c r="H149" s="4" t="s">
        <v>219</v>
      </c>
      <c r="I149" s="4" t="s">
        <v>1796</v>
      </c>
      <c r="J149" s="11"/>
      <c r="K149" s="11"/>
      <c r="L149" s="4"/>
      <c r="M149" s="12"/>
      <c r="N149" s="4"/>
      <c r="O149" s="4"/>
      <c r="P149" s="4"/>
      <c r="Q149" s="9">
        <v>3</v>
      </c>
      <c r="R149" s="11"/>
      <c r="S149" s="4"/>
      <c r="T149" s="11">
        <v>4</v>
      </c>
      <c r="U149" s="11"/>
      <c r="V149" s="4"/>
      <c r="W149" s="11"/>
      <c r="X149" s="11"/>
      <c r="Y149" s="4"/>
      <c r="Z149" s="9">
        <v>0</v>
      </c>
      <c r="AA149" s="11"/>
      <c r="AB149" s="4"/>
      <c r="AC149" s="11"/>
      <c r="AD149" s="11"/>
      <c r="AE149" s="4"/>
      <c r="AF149" s="11">
        <v>1</v>
      </c>
      <c r="AG149" s="11"/>
      <c r="AH149" s="4"/>
      <c r="AI149" s="11">
        <v>1</v>
      </c>
      <c r="AJ149" s="11"/>
      <c r="AK149" s="4"/>
      <c r="AL149" s="4"/>
      <c r="AM149" s="4"/>
      <c r="AN149" s="4"/>
      <c r="AO149" s="4"/>
      <c r="AP149" s="4"/>
      <c r="AQ149" s="4"/>
    </row>
    <row r="150" spans="1:43" s="2" customFormat="1" x14ac:dyDescent="0.25">
      <c r="A150" s="161" t="str">
        <f t="shared" si="5"/>
        <v>_WARRIOR_NETHERLANDS</v>
      </c>
      <c r="B150" s="9" t="s">
        <v>787</v>
      </c>
      <c r="C150" s="4" t="s">
        <v>730</v>
      </c>
      <c r="D150" s="4"/>
      <c r="E150" s="4" t="s">
        <v>743</v>
      </c>
      <c r="F150" s="4" t="s">
        <v>787</v>
      </c>
      <c r="G150" s="4"/>
      <c r="H150" s="4" t="s">
        <v>977</v>
      </c>
      <c r="I150" s="4" t="s">
        <v>1796</v>
      </c>
      <c r="J150" s="11"/>
      <c r="K150" s="11"/>
      <c r="L150" s="4"/>
      <c r="M150" s="12"/>
      <c r="N150" s="4"/>
      <c r="O150" s="4"/>
      <c r="P150" s="4"/>
      <c r="Q150" s="9">
        <v>3</v>
      </c>
      <c r="R150" s="11"/>
      <c r="S150" s="4"/>
      <c r="T150" s="11">
        <v>4</v>
      </c>
      <c r="U150" s="11"/>
      <c r="V150" s="4"/>
      <c r="W150" s="11"/>
      <c r="X150" s="11"/>
      <c r="Y150" s="4"/>
      <c r="Z150" s="9">
        <v>0</v>
      </c>
      <c r="AA150" s="11"/>
      <c r="AB150" s="4"/>
      <c r="AC150" s="11"/>
      <c r="AD150" s="11"/>
      <c r="AE150" s="4"/>
      <c r="AF150" s="11">
        <v>1</v>
      </c>
      <c r="AG150" s="11"/>
      <c r="AH150" s="4"/>
      <c r="AI150" s="11">
        <v>2</v>
      </c>
      <c r="AJ150" s="11"/>
      <c r="AK150" s="4"/>
      <c r="AL150" s="4"/>
      <c r="AM150" s="4"/>
      <c r="AN150" s="4"/>
      <c r="AO150" s="4"/>
      <c r="AP150" s="4"/>
      <c r="AQ150" s="4"/>
    </row>
    <row r="151" spans="1:43" s="2" customFormat="1" x14ac:dyDescent="0.25">
      <c r="A151" s="161" t="str">
        <f t="shared" si="5"/>
        <v>_WARRIOR_NETHERLANDS</v>
      </c>
      <c r="B151" s="9" t="s">
        <v>787</v>
      </c>
      <c r="C151" s="4" t="s">
        <v>730</v>
      </c>
      <c r="D151" s="4"/>
      <c r="E151" s="4" t="s">
        <v>743</v>
      </c>
      <c r="F151" s="4" t="s">
        <v>787</v>
      </c>
      <c r="G151" s="4" t="s">
        <v>2047</v>
      </c>
      <c r="H151" s="4" t="s">
        <v>219</v>
      </c>
      <c r="I151" s="4" t="s">
        <v>1796</v>
      </c>
      <c r="J151" s="11"/>
      <c r="K151" s="11"/>
      <c r="L151" s="4"/>
      <c r="M151" s="12"/>
      <c r="N151" s="4"/>
      <c r="O151" s="4"/>
      <c r="P151" s="4"/>
      <c r="Q151" s="9">
        <v>3</v>
      </c>
      <c r="R151" s="11"/>
      <c r="S151" s="4"/>
      <c r="T151" s="11">
        <v>5</v>
      </c>
      <c r="U151" s="11"/>
      <c r="V151" s="4"/>
      <c r="W151" s="11"/>
      <c r="X151" s="11"/>
      <c r="Y151" s="4"/>
      <c r="Z151" s="9">
        <v>0</v>
      </c>
      <c r="AA151" s="11"/>
      <c r="AB151" s="4"/>
      <c r="AC151" s="11"/>
      <c r="AD151" s="11"/>
      <c r="AE151" s="4"/>
      <c r="AF151" s="11">
        <v>0</v>
      </c>
      <c r="AG151" s="11"/>
      <c r="AH151" s="4"/>
      <c r="AI151" s="11">
        <v>2</v>
      </c>
      <c r="AJ151" s="11"/>
      <c r="AK151" s="4"/>
      <c r="AL151" s="4"/>
      <c r="AM151" s="4"/>
      <c r="AN151" s="4"/>
      <c r="AO151" s="4"/>
      <c r="AP151" s="4"/>
      <c r="AQ151" s="4"/>
    </row>
    <row r="152" spans="1:43" s="2" customFormat="1" x14ac:dyDescent="0.25">
      <c r="A152" s="161" t="str">
        <f t="shared" si="5"/>
        <v>_WARRIOR_BYZANTIUM</v>
      </c>
      <c r="B152" s="9" t="s">
        <v>787</v>
      </c>
      <c r="C152" s="4" t="s">
        <v>707</v>
      </c>
      <c r="D152" s="4"/>
      <c r="E152" s="4" t="s">
        <v>743</v>
      </c>
      <c r="F152" s="4" t="s">
        <v>787</v>
      </c>
      <c r="G152" s="4" t="s">
        <v>2049</v>
      </c>
      <c r="H152" s="4" t="s">
        <v>817</v>
      </c>
      <c r="I152" s="4" t="s">
        <v>1822</v>
      </c>
      <c r="J152" s="11"/>
      <c r="K152" s="11"/>
      <c r="L152" s="4"/>
      <c r="M152" s="12"/>
      <c r="N152" s="4"/>
      <c r="O152" s="4"/>
      <c r="P152" s="4"/>
      <c r="Q152" s="9">
        <v>1</v>
      </c>
      <c r="R152" s="11"/>
      <c r="S152" s="4"/>
      <c r="T152" s="11">
        <v>1</v>
      </c>
      <c r="U152" s="11"/>
      <c r="V152" s="4"/>
      <c r="W152" s="11"/>
      <c r="X152" s="11"/>
      <c r="Y152" s="4"/>
      <c r="Z152" s="9">
        <v>0</v>
      </c>
      <c r="AA152" s="11"/>
      <c r="AB152" s="4"/>
      <c r="AC152" s="11"/>
      <c r="AD152" s="11"/>
      <c r="AE152" s="4"/>
      <c r="AF152" s="11">
        <v>1</v>
      </c>
      <c r="AG152" s="11"/>
      <c r="AH152" s="4"/>
      <c r="AI152" s="11">
        <v>1</v>
      </c>
      <c r="AJ152" s="11"/>
      <c r="AK152" s="4"/>
      <c r="AL152" s="4"/>
      <c r="AM152" s="4"/>
      <c r="AN152" s="4"/>
      <c r="AO152" s="4"/>
      <c r="AP152" s="4"/>
      <c r="AQ152" s="4"/>
    </row>
    <row r="153" spans="1:43" s="2" customFormat="1" x14ac:dyDescent="0.25">
      <c r="A153" s="161" t="str">
        <f t="shared" si="5"/>
        <v>_WARRIOR_BYZANTIUM</v>
      </c>
      <c r="B153" s="9" t="s">
        <v>787</v>
      </c>
      <c r="C153" s="4" t="s">
        <v>707</v>
      </c>
      <c r="D153" s="4"/>
      <c r="E153" s="4" t="s">
        <v>743</v>
      </c>
      <c r="F153" s="4" t="s">
        <v>787</v>
      </c>
      <c r="G153" s="4"/>
      <c r="H153" s="4" t="s">
        <v>818</v>
      </c>
      <c r="I153" s="4" t="s">
        <v>1822</v>
      </c>
      <c r="J153" s="11"/>
      <c r="K153" s="11"/>
      <c r="L153" s="4"/>
      <c r="M153" s="12"/>
      <c r="N153" s="4"/>
      <c r="O153" s="4"/>
      <c r="P153" s="4"/>
      <c r="Q153" s="9">
        <v>3</v>
      </c>
      <c r="R153" s="11"/>
      <c r="S153" s="4"/>
      <c r="T153" s="11">
        <v>4</v>
      </c>
      <c r="U153" s="11"/>
      <c r="V153" s="4"/>
      <c r="W153" s="11"/>
      <c r="X153" s="11"/>
      <c r="Y153" s="4"/>
      <c r="Z153" s="9">
        <v>1</v>
      </c>
      <c r="AA153" s="11"/>
      <c r="AB153" s="4"/>
      <c r="AC153" s="11"/>
      <c r="AD153" s="11"/>
      <c r="AE153" s="4"/>
      <c r="AF153" s="11">
        <v>1</v>
      </c>
      <c r="AG153" s="11"/>
      <c r="AH153" s="4"/>
      <c r="AI153" s="11">
        <v>2</v>
      </c>
      <c r="AJ153" s="11"/>
      <c r="AK153" s="4"/>
      <c r="AL153" s="4"/>
      <c r="AM153" s="4"/>
      <c r="AN153" s="4"/>
      <c r="AO153" s="4"/>
      <c r="AP153" s="4"/>
      <c r="AQ153" s="4"/>
    </row>
    <row r="154" spans="1:43" s="2" customFormat="1" x14ac:dyDescent="0.25">
      <c r="A154" s="161" t="str">
        <f t="shared" si="5"/>
        <v>_WARRIOR_BYZANTIUM</v>
      </c>
      <c r="B154" s="9" t="s">
        <v>787</v>
      </c>
      <c r="C154" s="4" t="s">
        <v>707</v>
      </c>
      <c r="D154" s="4"/>
      <c r="E154" s="4" t="s">
        <v>743</v>
      </c>
      <c r="F154" s="4" t="s">
        <v>787</v>
      </c>
      <c r="G154" s="4" t="s">
        <v>2047</v>
      </c>
      <c r="H154" s="4" t="s">
        <v>225</v>
      </c>
      <c r="I154" s="4" t="s">
        <v>1822</v>
      </c>
      <c r="J154" s="11"/>
      <c r="K154" s="11"/>
      <c r="L154" s="4"/>
      <c r="M154" s="12"/>
      <c r="N154" s="4"/>
      <c r="O154" s="4"/>
      <c r="P154" s="4"/>
      <c r="Q154" s="9">
        <v>2</v>
      </c>
      <c r="R154" s="11"/>
      <c r="S154" s="4"/>
      <c r="T154" s="11">
        <v>4</v>
      </c>
      <c r="U154" s="11"/>
      <c r="V154" s="4"/>
      <c r="W154" s="11"/>
      <c r="X154" s="11"/>
      <c r="Y154" s="4"/>
      <c r="Z154" s="9">
        <v>0</v>
      </c>
      <c r="AA154" s="11"/>
      <c r="AB154" s="4"/>
      <c r="AC154" s="11"/>
      <c r="AD154" s="11"/>
      <c r="AE154" s="4"/>
      <c r="AF154" s="11">
        <v>1</v>
      </c>
      <c r="AG154" s="11"/>
      <c r="AH154" s="4"/>
      <c r="AI154" s="11">
        <v>1</v>
      </c>
      <c r="AJ154" s="11"/>
      <c r="AK154" s="4"/>
      <c r="AL154" s="4"/>
      <c r="AM154" s="4"/>
      <c r="AN154" s="4"/>
      <c r="AO154" s="4"/>
      <c r="AP154" s="4"/>
      <c r="AQ154" s="4"/>
    </row>
    <row r="155" spans="1:43" s="2" customFormat="1" x14ac:dyDescent="0.25">
      <c r="A155" s="161" t="str">
        <f t="shared" ref="A155:A218" si="6">CONCATENATE(E155,IF(ISBLANK(C155),"",CONCATENATE("_",C155)))</f>
        <v>_WARRIOR_BYZANTIUM</v>
      </c>
      <c r="B155" s="9" t="s">
        <v>787</v>
      </c>
      <c r="C155" s="4" t="s">
        <v>707</v>
      </c>
      <c r="D155" s="4"/>
      <c r="E155" s="4" t="s">
        <v>743</v>
      </c>
      <c r="F155" s="4" t="s">
        <v>787</v>
      </c>
      <c r="G155" s="4"/>
      <c r="H155" s="4" t="s">
        <v>818</v>
      </c>
      <c r="I155" s="4" t="s">
        <v>1822</v>
      </c>
      <c r="J155" s="11"/>
      <c r="K155" s="11"/>
      <c r="L155" s="4"/>
      <c r="M155" s="12"/>
      <c r="N155" s="4"/>
      <c r="O155" s="4"/>
      <c r="P155" s="4"/>
      <c r="Q155" s="9">
        <v>3</v>
      </c>
      <c r="R155" s="11"/>
      <c r="S155" s="4"/>
      <c r="T155" s="11">
        <v>4</v>
      </c>
      <c r="U155" s="11"/>
      <c r="V155" s="4"/>
      <c r="W155" s="11"/>
      <c r="X155" s="11"/>
      <c r="Y155" s="4"/>
      <c r="Z155" s="9">
        <v>0</v>
      </c>
      <c r="AA155" s="11"/>
      <c r="AB155" s="4"/>
      <c r="AC155" s="11"/>
      <c r="AD155" s="11"/>
      <c r="AE155" s="4"/>
      <c r="AF155" s="11">
        <v>0</v>
      </c>
      <c r="AG155" s="11"/>
      <c r="AH155" s="4"/>
      <c r="AI155" s="11">
        <v>1</v>
      </c>
      <c r="AJ155" s="11"/>
      <c r="AK155" s="4"/>
      <c r="AL155" s="4"/>
      <c r="AM155" s="4"/>
      <c r="AN155" s="4"/>
      <c r="AO155" s="4"/>
      <c r="AP155" s="4"/>
      <c r="AQ155" s="4"/>
    </row>
    <row r="156" spans="1:43" s="2" customFormat="1" x14ac:dyDescent="0.25">
      <c r="A156" s="161" t="str">
        <f t="shared" si="6"/>
        <v>_WARRIOR_BYZANTIUM</v>
      </c>
      <c r="B156" s="9" t="s">
        <v>787</v>
      </c>
      <c r="C156" s="4" t="s">
        <v>707</v>
      </c>
      <c r="D156" s="4"/>
      <c r="E156" s="4" t="s">
        <v>743</v>
      </c>
      <c r="F156" s="4" t="s">
        <v>787</v>
      </c>
      <c r="G156" s="4" t="s">
        <v>2047</v>
      </c>
      <c r="H156" s="4" t="s">
        <v>225</v>
      </c>
      <c r="I156" s="4" t="s">
        <v>1822</v>
      </c>
      <c r="J156" s="11"/>
      <c r="K156" s="11"/>
      <c r="L156" s="4"/>
      <c r="M156" s="12"/>
      <c r="N156" s="4"/>
      <c r="O156" s="4"/>
      <c r="P156" s="4"/>
      <c r="Q156" s="9">
        <v>3</v>
      </c>
      <c r="R156" s="11"/>
      <c r="S156" s="4"/>
      <c r="T156" s="11">
        <v>5</v>
      </c>
      <c r="U156" s="11"/>
      <c r="V156" s="4"/>
      <c r="W156" s="11"/>
      <c r="X156" s="11"/>
      <c r="Y156" s="4"/>
      <c r="Z156" s="9">
        <v>0</v>
      </c>
      <c r="AA156" s="11"/>
      <c r="AB156" s="4"/>
      <c r="AC156" s="11"/>
      <c r="AD156" s="11"/>
      <c r="AE156" s="4"/>
      <c r="AF156" s="11">
        <v>0</v>
      </c>
      <c r="AG156" s="11"/>
      <c r="AH156" s="4"/>
      <c r="AI156" s="11">
        <v>2</v>
      </c>
      <c r="AJ156" s="11"/>
      <c r="AK156" s="4"/>
      <c r="AL156" s="4"/>
      <c r="AM156" s="4"/>
      <c r="AN156" s="4"/>
      <c r="AO156" s="4"/>
      <c r="AP156" s="4"/>
      <c r="AQ156" s="4"/>
    </row>
    <row r="157" spans="1:43" s="2" customFormat="1" x14ac:dyDescent="0.25">
      <c r="A157" s="161" t="str">
        <f t="shared" si="6"/>
        <v>_WARRIOR_CARTHAGE</v>
      </c>
      <c r="B157" s="9" t="s">
        <v>787</v>
      </c>
      <c r="C157" s="4" t="s">
        <v>708</v>
      </c>
      <c r="D157" s="4"/>
      <c r="E157" s="4" t="s">
        <v>743</v>
      </c>
      <c r="F157" s="4" t="s">
        <v>787</v>
      </c>
      <c r="G157" s="14" t="s">
        <v>132</v>
      </c>
      <c r="H157" s="4" t="s">
        <v>227</v>
      </c>
      <c r="I157" s="4" t="s">
        <v>1823</v>
      </c>
      <c r="J157" s="11"/>
      <c r="K157" s="11"/>
      <c r="L157" s="4"/>
      <c r="M157" s="12"/>
      <c r="N157" s="4"/>
      <c r="O157" s="4"/>
      <c r="P157" s="4"/>
      <c r="Q157" s="9" t="s">
        <v>1737</v>
      </c>
      <c r="R157" s="11"/>
      <c r="S157" s="4"/>
      <c r="T157" s="9"/>
      <c r="U157" s="11"/>
      <c r="V157" s="4"/>
      <c r="W157" s="9"/>
      <c r="X157" s="11"/>
      <c r="Y157" s="4"/>
      <c r="Z157" s="9"/>
      <c r="AA157" s="11"/>
      <c r="AB157" s="4"/>
      <c r="AC157" s="11"/>
      <c r="AD157" s="11"/>
      <c r="AE157" s="4"/>
      <c r="AF157" s="9"/>
      <c r="AG157" s="9"/>
      <c r="AH157" s="4"/>
      <c r="AI157" s="9"/>
      <c r="AJ157" s="11"/>
      <c r="AK157" s="4"/>
      <c r="AL157" s="4"/>
      <c r="AM157" s="4"/>
      <c r="AN157" s="4"/>
      <c r="AO157" s="4"/>
      <c r="AP157" s="4"/>
      <c r="AQ157" s="4"/>
    </row>
    <row r="158" spans="1:43" s="2" customFormat="1" x14ac:dyDescent="0.25">
      <c r="A158" s="161" t="str">
        <f t="shared" si="6"/>
        <v>_WARRIOR_GREECE</v>
      </c>
      <c r="B158" s="9" t="s">
        <v>787</v>
      </c>
      <c r="C158" s="4" t="s">
        <v>718</v>
      </c>
      <c r="D158" s="4"/>
      <c r="E158" s="4" t="s">
        <v>743</v>
      </c>
      <c r="F158" s="4" t="s">
        <v>787</v>
      </c>
      <c r="G158" s="4"/>
      <c r="H158" s="4" t="s">
        <v>396</v>
      </c>
      <c r="I158" s="4" t="s">
        <v>1821</v>
      </c>
      <c r="J158" s="11"/>
      <c r="K158" s="11"/>
      <c r="L158" s="4"/>
      <c r="M158" s="12"/>
      <c r="N158" s="4"/>
      <c r="O158" s="4"/>
      <c r="P158" s="4"/>
      <c r="Q158" s="9" t="s">
        <v>1737</v>
      </c>
      <c r="R158" s="11"/>
      <c r="S158" s="4"/>
      <c r="T158" s="11"/>
      <c r="U158" s="11"/>
      <c r="V158" s="4"/>
      <c r="W158" s="11"/>
      <c r="X158" s="11"/>
      <c r="Y158" s="4"/>
      <c r="Z158" s="9"/>
      <c r="AA158" s="11"/>
      <c r="AB158" s="4"/>
      <c r="AC158" s="11"/>
      <c r="AD158" s="11"/>
      <c r="AE158" s="4"/>
      <c r="AF158" s="11"/>
      <c r="AG158" s="11"/>
      <c r="AH158" s="4"/>
      <c r="AI158" s="11"/>
      <c r="AJ158" s="11"/>
      <c r="AK158" s="4"/>
      <c r="AL158" s="4"/>
      <c r="AM158" s="4"/>
      <c r="AN158" s="4"/>
      <c r="AO158" s="4"/>
      <c r="AP158" s="4"/>
      <c r="AQ158" s="4"/>
    </row>
    <row r="159" spans="1:43" s="2" customFormat="1" x14ac:dyDescent="0.25">
      <c r="A159" s="161" t="str">
        <f t="shared" si="6"/>
        <v>_WARRIOR_PORTUGAL</v>
      </c>
      <c r="B159" s="9" t="s">
        <v>787</v>
      </c>
      <c r="C159" s="4" t="s">
        <v>733</v>
      </c>
      <c r="D159" s="4"/>
      <c r="E159" s="4" t="s">
        <v>743</v>
      </c>
      <c r="F159" s="4" t="s">
        <v>787</v>
      </c>
      <c r="G159" s="14" t="s">
        <v>132</v>
      </c>
      <c r="H159" s="4" t="s">
        <v>524</v>
      </c>
      <c r="I159" s="4" t="s">
        <v>1796</v>
      </c>
      <c r="J159" s="11"/>
      <c r="K159" s="11"/>
      <c r="L159" s="4"/>
      <c r="M159" s="12"/>
      <c r="N159" s="4"/>
      <c r="O159" s="4"/>
      <c r="P159" s="4"/>
      <c r="Q159" s="9" t="s">
        <v>1737</v>
      </c>
      <c r="R159" s="11"/>
      <c r="S159" s="4"/>
      <c r="T159" s="9"/>
      <c r="U159" s="11"/>
      <c r="V159" s="4"/>
      <c r="W159" s="9"/>
      <c r="X159" s="11"/>
      <c r="Y159" s="4"/>
      <c r="Z159" s="9"/>
      <c r="AA159" s="11"/>
      <c r="AB159" s="4"/>
      <c r="AC159" s="11"/>
      <c r="AD159" s="11"/>
      <c r="AE159" s="4"/>
      <c r="AF159" s="9"/>
      <c r="AG159" s="11"/>
      <c r="AH159" s="4"/>
      <c r="AI159" s="9"/>
      <c r="AJ159" s="11"/>
      <c r="AK159" s="4"/>
      <c r="AL159" s="4"/>
      <c r="AM159" s="4"/>
      <c r="AN159" s="4"/>
      <c r="AO159" s="4"/>
      <c r="AP159" s="4"/>
      <c r="AQ159" s="4"/>
    </row>
    <row r="160" spans="1:43" s="2" customFormat="1" x14ac:dyDescent="0.25">
      <c r="A160" s="161" t="str">
        <f t="shared" si="6"/>
        <v>_WARRIOR_ROME</v>
      </c>
      <c r="B160" s="9" t="s">
        <v>787</v>
      </c>
      <c r="C160" s="4" t="s">
        <v>734</v>
      </c>
      <c r="D160" s="4"/>
      <c r="E160" s="4" t="s">
        <v>743</v>
      </c>
      <c r="F160" s="4" t="s">
        <v>787</v>
      </c>
      <c r="G160" s="4"/>
      <c r="H160" s="4" t="s">
        <v>998</v>
      </c>
      <c r="I160" s="4" t="s">
        <v>1796</v>
      </c>
      <c r="J160" s="11"/>
      <c r="K160" s="11"/>
      <c r="L160" s="4"/>
      <c r="M160" s="12"/>
      <c r="N160" s="4"/>
      <c r="O160" s="4"/>
      <c r="P160" s="4"/>
      <c r="Q160" s="9" t="s">
        <v>1737</v>
      </c>
      <c r="R160" s="11"/>
      <c r="S160" s="4"/>
      <c r="T160" s="11"/>
      <c r="U160" s="11"/>
      <c r="V160" s="4"/>
      <c r="W160" s="11"/>
      <c r="X160" s="11"/>
      <c r="Y160" s="4"/>
      <c r="Z160" s="9"/>
      <c r="AA160" s="11"/>
      <c r="AB160" s="4"/>
      <c r="AC160" s="11"/>
      <c r="AD160" s="11"/>
      <c r="AE160" s="4"/>
      <c r="AF160" s="11"/>
      <c r="AG160" s="11"/>
      <c r="AH160" s="4"/>
      <c r="AI160" s="11"/>
      <c r="AJ160" s="11"/>
      <c r="AK160" s="4"/>
      <c r="AL160" s="4"/>
      <c r="AM160" s="4"/>
      <c r="AN160" s="4"/>
      <c r="AO160" s="4"/>
      <c r="AP160" s="4"/>
      <c r="AQ160" s="4"/>
    </row>
    <row r="161" spans="1:43" s="2" customFormat="1" x14ac:dyDescent="0.25">
      <c r="A161" s="161" t="str">
        <f t="shared" si="6"/>
        <v>_WARRIOR_SPAIN</v>
      </c>
      <c r="B161" s="9" t="s">
        <v>787</v>
      </c>
      <c r="C161" s="4" t="s">
        <v>738</v>
      </c>
      <c r="D161" s="4"/>
      <c r="E161" s="4" t="s">
        <v>743</v>
      </c>
      <c r="F161" s="4" t="s">
        <v>787</v>
      </c>
      <c r="G161" s="4"/>
      <c r="H161" s="4" t="s">
        <v>1021</v>
      </c>
      <c r="I161" s="4" t="s">
        <v>1822</v>
      </c>
      <c r="J161" s="11"/>
      <c r="K161" s="11"/>
      <c r="L161" s="4"/>
      <c r="M161" s="12"/>
      <c r="N161" s="4"/>
      <c r="O161" s="4"/>
      <c r="P161" s="4"/>
      <c r="Q161" s="9">
        <v>4</v>
      </c>
      <c r="R161" s="11"/>
      <c r="S161" s="4"/>
      <c r="T161" s="11">
        <v>5</v>
      </c>
      <c r="U161" s="11"/>
      <c r="V161" s="4"/>
      <c r="W161" s="11"/>
      <c r="X161" s="11"/>
      <c r="Y161" s="4"/>
      <c r="Z161" s="9">
        <v>1</v>
      </c>
      <c r="AA161" s="11"/>
      <c r="AB161" s="4"/>
      <c r="AC161" s="11"/>
      <c r="AD161" s="11"/>
      <c r="AE161" s="4"/>
      <c r="AF161" s="11">
        <v>1</v>
      </c>
      <c r="AG161" s="11"/>
      <c r="AH161" s="4"/>
      <c r="AI161" s="11">
        <v>3</v>
      </c>
      <c r="AJ161" s="11"/>
      <c r="AK161" s="4"/>
      <c r="AL161" s="4"/>
      <c r="AM161" s="4"/>
      <c r="AN161" s="4"/>
      <c r="AO161" s="4"/>
      <c r="AP161" s="4"/>
      <c r="AQ161" s="4"/>
    </row>
    <row r="162" spans="1:43" s="2" customFormat="1" x14ac:dyDescent="0.25">
      <c r="A162" s="161" t="str">
        <f t="shared" si="6"/>
        <v>_WARRIOR_SPAIN</v>
      </c>
      <c r="B162" s="9" t="s">
        <v>787</v>
      </c>
      <c r="C162" s="4" t="s">
        <v>738</v>
      </c>
      <c r="D162" s="4"/>
      <c r="E162" s="4" t="s">
        <v>743</v>
      </c>
      <c r="F162" s="4" t="s">
        <v>787</v>
      </c>
      <c r="G162" s="4" t="s">
        <v>2047</v>
      </c>
      <c r="H162" s="4" t="s">
        <v>646</v>
      </c>
      <c r="I162" s="4" t="s">
        <v>1822</v>
      </c>
      <c r="J162" s="11"/>
      <c r="K162" s="11"/>
      <c r="L162" s="4"/>
      <c r="M162" s="12"/>
      <c r="N162" s="4"/>
      <c r="O162" s="4"/>
      <c r="P162" s="4"/>
      <c r="Q162" s="9">
        <v>2</v>
      </c>
      <c r="R162" s="11"/>
      <c r="S162" s="4"/>
      <c r="T162" s="11">
        <v>3</v>
      </c>
      <c r="U162" s="11"/>
      <c r="V162" s="4"/>
      <c r="W162" s="11"/>
      <c r="X162" s="11"/>
      <c r="Y162" s="4"/>
      <c r="Z162" s="9">
        <v>0</v>
      </c>
      <c r="AA162" s="11"/>
      <c r="AB162" s="4"/>
      <c r="AC162" s="11"/>
      <c r="AD162" s="11"/>
      <c r="AE162" s="4"/>
      <c r="AF162" s="11">
        <v>1</v>
      </c>
      <c r="AG162" s="11"/>
      <c r="AH162" s="4"/>
      <c r="AI162" s="11">
        <v>2</v>
      </c>
      <c r="AJ162" s="11"/>
      <c r="AK162" s="4"/>
      <c r="AL162" s="4"/>
      <c r="AM162" s="4"/>
      <c r="AN162" s="4"/>
      <c r="AO162" s="4"/>
      <c r="AP162" s="4"/>
      <c r="AQ162" s="4"/>
    </row>
    <row r="163" spans="1:43" s="2" customFormat="1" x14ac:dyDescent="0.25">
      <c r="A163" s="161" t="str">
        <f t="shared" si="6"/>
        <v>_WARRIOR_SPAIN</v>
      </c>
      <c r="B163" s="9" t="s">
        <v>787</v>
      </c>
      <c r="C163" s="4" t="s">
        <v>738</v>
      </c>
      <c r="D163" s="4"/>
      <c r="E163" s="4" t="s">
        <v>743</v>
      </c>
      <c r="F163" s="4" t="s">
        <v>787</v>
      </c>
      <c r="G163" s="4"/>
      <c r="H163" s="4" t="s">
        <v>1021</v>
      </c>
      <c r="I163" s="4" t="s">
        <v>1822</v>
      </c>
      <c r="J163" s="11"/>
      <c r="K163" s="11"/>
      <c r="L163" s="4"/>
      <c r="M163" s="12"/>
      <c r="N163" s="4"/>
      <c r="O163" s="4"/>
      <c r="P163" s="4"/>
      <c r="Q163" s="9">
        <v>4</v>
      </c>
      <c r="R163" s="11"/>
      <c r="S163" s="4"/>
      <c r="T163" s="11">
        <v>5</v>
      </c>
      <c r="U163" s="11"/>
      <c r="V163" s="4"/>
      <c r="W163" s="11"/>
      <c r="X163" s="11"/>
      <c r="Y163" s="4"/>
      <c r="Z163" s="9">
        <v>0</v>
      </c>
      <c r="AA163" s="11"/>
      <c r="AB163" s="4"/>
      <c r="AC163" s="11"/>
      <c r="AD163" s="11"/>
      <c r="AE163" s="4"/>
      <c r="AF163" s="11">
        <v>1</v>
      </c>
      <c r="AG163" s="11"/>
      <c r="AH163" s="4"/>
      <c r="AI163" s="11">
        <v>2</v>
      </c>
      <c r="AJ163" s="11"/>
      <c r="AK163" s="4"/>
      <c r="AL163" s="4"/>
      <c r="AM163" s="4"/>
      <c r="AN163" s="4"/>
      <c r="AO163" s="4"/>
      <c r="AP163" s="4"/>
      <c r="AQ163" s="4"/>
    </row>
    <row r="164" spans="1:43" s="2" customFormat="1" x14ac:dyDescent="0.25">
      <c r="A164" s="161" t="str">
        <f t="shared" si="6"/>
        <v>_WARRIOR_SPAIN</v>
      </c>
      <c r="B164" s="9" t="s">
        <v>787</v>
      </c>
      <c r="C164" s="4" t="s">
        <v>738</v>
      </c>
      <c r="D164" s="4"/>
      <c r="E164" s="4" t="s">
        <v>743</v>
      </c>
      <c r="F164" s="4" t="s">
        <v>787</v>
      </c>
      <c r="G164" s="4" t="s">
        <v>2047</v>
      </c>
      <c r="H164" s="4" t="s">
        <v>646</v>
      </c>
      <c r="I164" s="4" t="s">
        <v>1822</v>
      </c>
      <c r="J164" s="11"/>
      <c r="K164" s="11"/>
      <c r="L164" s="4"/>
      <c r="M164" s="12"/>
      <c r="N164" s="4"/>
      <c r="O164" s="4"/>
      <c r="P164" s="4"/>
      <c r="Q164" s="9">
        <v>2</v>
      </c>
      <c r="R164" s="11"/>
      <c r="S164" s="4"/>
      <c r="T164" s="11">
        <v>3</v>
      </c>
      <c r="U164" s="11"/>
      <c r="V164" s="4"/>
      <c r="W164" s="11"/>
      <c r="X164" s="11"/>
      <c r="Y164" s="4"/>
      <c r="Z164" s="9">
        <v>0</v>
      </c>
      <c r="AA164" s="11"/>
      <c r="AB164" s="4"/>
      <c r="AC164" s="11"/>
      <c r="AD164" s="11"/>
      <c r="AE164" s="4"/>
      <c r="AF164" s="11">
        <v>0</v>
      </c>
      <c r="AG164" s="11"/>
      <c r="AH164" s="4"/>
      <c r="AI164" s="11">
        <v>0</v>
      </c>
      <c r="AJ164" s="11"/>
      <c r="AK164" s="4"/>
      <c r="AL164" s="4"/>
      <c r="AM164" s="4"/>
      <c r="AN164" s="4"/>
      <c r="AO164" s="4"/>
      <c r="AP164" s="4"/>
      <c r="AQ164" s="4"/>
    </row>
    <row r="165" spans="1:43" s="2" customFormat="1" x14ac:dyDescent="0.25">
      <c r="A165" s="161" t="str">
        <f t="shared" si="6"/>
        <v>_WARRIOR_MIDEAST</v>
      </c>
      <c r="B165" s="9" t="s">
        <v>787</v>
      </c>
      <c r="C165" s="4" t="s">
        <v>690</v>
      </c>
      <c r="D165" s="4"/>
      <c r="E165" s="4" t="s">
        <v>743</v>
      </c>
      <c r="F165" s="4" t="s">
        <v>787</v>
      </c>
      <c r="G165" s="4"/>
      <c r="H165" s="4" t="s">
        <v>959</v>
      </c>
      <c r="I165" s="4" t="s">
        <v>1055</v>
      </c>
      <c r="J165" s="11"/>
      <c r="K165" s="11"/>
      <c r="L165" s="4"/>
      <c r="M165" s="12"/>
      <c r="N165" s="4"/>
      <c r="O165" s="4"/>
      <c r="P165" s="4"/>
      <c r="Q165" s="9" t="s">
        <v>1737</v>
      </c>
      <c r="R165" s="11"/>
      <c r="S165" s="4"/>
      <c r="T165" s="9"/>
      <c r="U165" s="11"/>
      <c r="V165" s="4"/>
      <c r="W165" s="9"/>
      <c r="X165" s="11"/>
      <c r="Y165" s="4"/>
      <c r="Z165" s="9"/>
      <c r="AA165" s="11"/>
      <c r="AB165" s="4"/>
      <c r="AC165" s="11"/>
      <c r="AD165" s="11"/>
      <c r="AE165" s="4"/>
      <c r="AF165" s="9"/>
      <c r="AG165" s="11"/>
      <c r="AH165" s="4"/>
      <c r="AI165" s="9"/>
      <c r="AJ165" s="11"/>
      <c r="AK165" s="4"/>
      <c r="AL165" s="4"/>
      <c r="AM165" s="4"/>
      <c r="AN165" s="4"/>
      <c r="AO165" s="4"/>
      <c r="AP165" s="4"/>
      <c r="AQ165" s="4"/>
    </row>
    <row r="166" spans="1:43" s="2" customFormat="1" x14ac:dyDescent="0.25">
      <c r="A166" s="161" t="str">
        <f t="shared" si="6"/>
        <v>_WARRIOR_BABYLON</v>
      </c>
      <c r="B166" s="9" t="s">
        <v>787</v>
      </c>
      <c r="C166" s="4" t="s">
        <v>703</v>
      </c>
      <c r="D166" s="4"/>
      <c r="E166" s="4" t="s">
        <v>743</v>
      </c>
      <c r="F166" s="4" t="s">
        <v>787</v>
      </c>
      <c r="G166" s="4"/>
      <c r="H166" s="4" t="s">
        <v>2183</v>
      </c>
      <c r="I166" s="4" t="s">
        <v>1794</v>
      </c>
      <c r="J166" s="11"/>
      <c r="K166" s="11"/>
      <c r="L166" s="4"/>
      <c r="M166" s="12"/>
      <c r="N166" s="4"/>
      <c r="O166" s="4"/>
      <c r="P166" s="4"/>
      <c r="Q166" s="9" t="s">
        <v>1737</v>
      </c>
      <c r="R166" s="11"/>
      <c r="S166" s="4"/>
      <c r="T166" s="9"/>
      <c r="U166" s="11"/>
      <c r="V166" s="4"/>
      <c r="W166" s="9"/>
      <c r="X166" s="11"/>
      <c r="Y166" s="4"/>
      <c r="Z166" s="9"/>
      <c r="AA166" s="11"/>
      <c r="AB166" s="4"/>
      <c r="AC166" s="11"/>
      <c r="AD166" s="11"/>
      <c r="AE166" s="4"/>
      <c r="AF166" s="9"/>
      <c r="AG166" s="11"/>
      <c r="AH166" s="4"/>
      <c r="AI166" s="9"/>
      <c r="AJ166" s="11"/>
      <c r="AK166" s="4"/>
      <c r="AL166" s="4"/>
      <c r="AM166" s="4"/>
      <c r="AN166" s="4"/>
      <c r="AO166" s="4"/>
      <c r="AP166" s="4"/>
      <c r="AQ166" s="4"/>
    </row>
    <row r="167" spans="1:43" s="2" customFormat="1" x14ac:dyDescent="0.25">
      <c r="A167" s="161" t="str">
        <f t="shared" si="6"/>
        <v>_WARRIOR_EGYPT</v>
      </c>
      <c r="B167" s="9" t="s">
        <v>787</v>
      </c>
      <c r="C167" s="4" t="s">
        <v>712</v>
      </c>
      <c r="D167" s="4"/>
      <c r="E167" s="4" t="s">
        <v>743</v>
      </c>
      <c r="F167" s="4" t="s">
        <v>787</v>
      </c>
      <c r="G167" s="4"/>
      <c r="H167" s="4" t="s">
        <v>1785</v>
      </c>
      <c r="I167" s="4" t="s">
        <v>1795</v>
      </c>
      <c r="J167" s="11"/>
      <c r="K167" s="11"/>
      <c r="L167" s="4"/>
      <c r="M167" s="12"/>
      <c r="N167" s="4"/>
      <c r="O167" s="4"/>
      <c r="P167" s="4"/>
      <c r="Q167" s="9" t="s">
        <v>1737</v>
      </c>
      <c r="R167" s="11"/>
      <c r="S167" s="4"/>
      <c r="T167" s="9"/>
      <c r="U167" s="11"/>
      <c r="V167" s="4"/>
      <c r="W167" s="9"/>
      <c r="X167" s="11"/>
      <c r="Y167" s="4"/>
      <c r="Z167" s="9"/>
      <c r="AA167" s="11"/>
      <c r="AB167" s="4"/>
      <c r="AC167" s="11"/>
      <c r="AD167" s="11"/>
      <c r="AE167" s="4"/>
      <c r="AF167" s="9"/>
      <c r="AG167" s="11"/>
      <c r="AH167" s="4"/>
      <c r="AI167" s="9"/>
      <c r="AJ167" s="11"/>
      <c r="AK167" s="4"/>
      <c r="AL167" s="4"/>
      <c r="AM167" s="4"/>
      <c r="AN167" s="4"/>
      <c r="AO167" s="4"/>
      <c r="AP167" s="4"/>
      <c r="AQ167" s="4"/>
    </row>
    <row r="168" spans="1:43" s="2" customFormat="1" x14ac:dyDescent="0.25">
      <c r="A168" s="161" t="str">
        <f t="shared" si="6"/>
        <v>_WARRIOR_LEVANT</v>
      </c>
      <c r="B168" s="9" t="s">
        <v>787</v>
      </c>
      <c r="C168" s="4" t="s">
        <v>724</v>
      </c>
      <c r="D168" s="4"/>
      <c r="E168" s="4" t="s">
        <v>743</v>
      </c>
      <c r="F168" s="4" t="s">
        <v>787</v>
      </c>
      <c r="G168" s="14" t="s">
        <v>132</v>
      </c>
      <c r="H168" s="4" t="s">
        <v>505</v>
      </c>
      <c r="I168" s="4" t="s">
        <v>1063</v>
      </c>
      <c r="J168" s="11"/>
      <c r="K168" s="11"/>
      <c r="L168" s="4"/>
      <c r="M168" s="12"/>
      <c r="N168" s="4"/>
      <c r="O168" s="4"/>
      <c r="P168" s="4"/>
      <c r="Q168" s="9" t="s">
        <v>1737</v>
      </c>
      <c r="R168" s="11"/>
      <c r="S168" s="4"/>
      <c r="T168" s="9"/>
      <c r="U168" s="11"/>
      <c r="V168" s="4"/>
      <c r="W168" s="9"/>
      <c r="X168" s="11"/>
      <c r="Y168" s="4"/>
      <c r="Z168" s="9"/>
      <c r="AA168" s="11"/>
      <c r="AB168" s="4"/>
      <c r="AC168" s="11"/>
      <c r="AD168" s="11"/>
      <c r="AE168" s="4"/>
      <c r="AF168" s="9"/>
      <c r="AG168" s="11"/>
      <c r="AH168" s="4"/>
      <c r="AI168" s="9"/>
      <c r="AJ168" s="11"/>
      <c r="AK168" s="4"/>
      <c r="AL168" s="4"/>
      <c r="AM168" s="4"/>
      <c r="AN168" s="4"/>
      <c r="AO168" s="4"/>
      <c r="AP168" s="4"/>
      <c r="AQ168" s="4"/>
    </row>
    <row r="169" spans="1:43" s="2" customFormat="1" x14ac:dyDescent="0.25">
      <c r="A169" s="161" t="str">
        <f t="shared" si="6"/>
        <v>_WARRIOR_PERSIA</v>
      </c>
      <c r="B169" s="9" t="s">
        <v>787</v>
      </c>
      <c r="C169" s="4" t="s">
        <v>731</v>
      </c>
      <c r="D169" s="4"/>
      <c r="E169" s="4" t="s">
        <v>743</v>
      </c>
      <c r="F169" s="4" t="s">
        <v>787</v>
      </c>
      <c r="G169" s="14"/>
      <c r="H169" s="4" t="s">
        <v>1786</v>
      </c>
      <c r="I169" s="4" t="s">
        <v>1794</v>
      </c>
      <c r="J169" s="11"/>
      <c r="K169" s="11"/>
      <c r="L169" s="4"/>
      <c r="M169" s="12"/>
      <c r="N169" s="4"/>
      <c r="O169" s="4"/>
      <c r="P169" s="4"/>
      <c r="Q169" s="9" t="s">
        <v>1737</v>
      </c>
      <c r="R169" s="11"/>
      <c r="S169" s="4"/>
      <c r="T169" s="9"/>
      <c r="U169" s="11"/>
      <c r="V169" s="4"/>
      <c r="W169" s="9"/>
      <c r="X169" s="11"/>
      <c r="Y169" s="4"/>
      <c r="Z169" s="9"/>
      <c r="AA169" s="11"/>
      <c r="AB169" s="4"/>
      <c r="AC169" s="11"/>
      <c r="AD169" s="11"/>
      <c r="AE169" s="4"/>
      <c r="AF169" s="9"/>
      <c r="AG169" s="11"/>
      <c r="AH169" s="4"/>
      <c r="AI169" s="9"/>
      <c r="AJ169" s="11"/>
      <c r="AK169" s="4"/>
      <c r="AL169" s="4"/>
      <c r="AM169" s="4"/>
      <c r="AN169" s="4"/>
      <c r="AO169" s="4"/>
      <c r="AP169" s="4"/>
      <c r="AQ169" s="4"/>
    </row>
    <row r="170" spans="1:43" s="2" customFormat="1" x14ac:dyDescent="0.25">
      <c r="A170" s="161" t="str">
        <f>CONCATENATE(E170,IF(ISBLANK(C170),"",CONCATENATE("_",C170)))</f>
        <v>_WARRIOR_NORTHAF</v>
      </c>
      <c r="B170" s="9" t="s">
        <v>787</v>
      </c>
      <c r="C170" s="4" t="s">
        <v>2011</v>
      </c>
      <c r="D170" s="4"/>
      <c r="E170" s="4" t="s">
        <v>743</v>
      </c>
      <c r="F170" s="4" t="s">
        <v>787</v>
      </c>
      <c r="G170" s="14" t="s">
        <v>132</v>
      </c>
      <c r="H170" s="4" t="s">
        <v>640</v>
      </c>
      <c r="I170" s="4" t="s">
        <v>1055</v>
      </c>
      <c r="J170" s="11"/>
      <c r="K170" s="11"/>
      <c r="L170" s="4"/>
      <c r="M170" s="12"/>
      <c r="N170" s="4"/>
      <c r="O170" s="4"/>
      <c r="P170" s="4"/>
      <c r="Q170" s="9" t="s">
        <v>1737</v>
      </c>
      <c r="R170" s="11"/>
      <c r="S170" s="4"/>
      <c r="T170" s="9"/>
      <c r="U170" s="11"/>
      <c r="V170" s="4"/>
      <c r="W170" s="9"/>
      <c r="X170" s="11"/>
      <c r="Y170" s="4"/>
      <c r="Z170" s="9"/>
      <c r="AA170" s="11"/>
      <c r="AB170" s="4"/>
      <c r="AC170" s="11"/>
      <c r="AD170" s="11"/>
      <c r="AE170" s="4"/>
      <c r="AF170" s="9"/>
      <c r="AG170" s="11"/>
      <c r="AH170" s="4"/>
      <c r="AI170" s="9"/>
      <c r="AJ170" s="11"/>
      <c r="AK170" s="4"/>
      <c r="AL170" s="4"/>
      <c r="AM170" s="4"/>
      <c r="AN170" s="4"/>
      <c r="AO170" s="4"/>
      <c r="AP170" s="4"/>
      <c r="AQ170" s="4"/>
    </row>
    <row r="171" spans="1:43" s="2" customFormat="1" x14ac:dyDescent="0.25">
      <c r="A171" s="161" t="str">
        <f t="shared" si="6"/>
        <v>_WARRIOR_NORTHEU</v>
      </c>
      <c r="B171" s="9" t="s">
        <v>787</v>
      </c>
      <c r="C171" s="4" t="s">
        <v>962</v>
      </c>
      <c r="D171" s="4"/>
      <c r="E171" s="4" t="s">
        <v>743</v>
      </c>
      <c r="F171" s="4" t="s">
        <v>787</v>
      </c>
      <c r="G171" s="4"/>
      <c r="H171" s="4" t="s">
        <v>839</v>
      </c>
      <c r="I171" s="4" t="s">
        <v>1796</v>
      </c>
      <c r="J171" s="11"/>
      <c r="K171" s="11"/>
      <c r="L171" s="4"/>
      <c r="M171" s="12"/>
      <c r="N171" s="4"/>
      <c r="O171" s="4"/>
      <c r="P171" s="4"/>
      <c r="Q171" s="9">
        <v>3</v>
      </c>
      <c r="R171" s="11">
        <v>0.15</v>
      </c>
      <c r="S171" s="4"/>
      <c r="T171" s="11">
        <v>5</v>
      </c>
      <c r="U171" s="11">
        <v>9.5000000000000001E-2</v>
      </c>
      <c r="V171" s="4"/>
      <c r="W171" s="11"/>
      <c r="X171" s="11" t="s">
        <v>3</v>
      </c>
      <c r="Y171" s="4"/>
      <c r="Z171" s="9">
        <v>1</v>
      </c>
      <c r="AA171" s="11"/>
      <c r="AB171" s="4"/>
      <c r="AC171" s="11"/>
      <c r="AD171" s="11"/>
      <c r="AE171" s="4"/>
      <c r="AF171" s="11">
        <v>1</v>
      </c>
      <c r="AG171" s="11"/>
      <c r="AH171" s="4"/>
      <c r="AI171" s="11">
        <v>2</v>
      </c>
      <c r="AJ171" s="11"/>
      <c r="AK171" s="4"/>
      <c r="AL171" s="4"/>
      <c r="AM171" s="4"/>
      <c r="AN171" s="4"/>
      <c r="AO171" s="4"/>
      <c r="AP171" s="4"/>
      <c r="AQ171" s="4"/>
    </row>
    <row r="172" spans="1:43" s="2" customFormat="1" x14ac:dyDescent="0.25">
      <c r="A172" s="161" t="str">
        <f t="shared" si="6"/>
        <v>_WARRIOR_NORTHEU</v>
      </c>
      <c r="B172" s="9" t="s">
        <v>787</v>
      </c>
      <c r="C172" s="4" t="s">
        <v>962</v>
      </c>
      <c r="D172" s="4"/>
      <c r="E172" s="4" t="s">
        <v>743</v>
      </c>
      <c r="F172" s="4" t="s">
        <v>787</v>
      </c>
      <c r="G172" s="4" t="s">
        <v>2047</v>
      </c>
      <c r="H172" s="4" t="s">
        <v>263</v>
      </c>
      <c r="I172" s="4" t="s">
        <v>1796</v>
      </c>
      <c r="J172" s="11"/>
      <c r="K172" s="11"/>
      <c r="L172" s="4"/>
      <c r="M172" s="12"/>
      <c r="N172" s="4"/>
      <c r="O172" s="4"/>
      <c r="P172" s="4"/>
      <c r="Q172" s="9">
        <v>3</v>
      </c>
      <c r="R172" s="11">
        <v>0.15</v>
      </c>
      <c r="S172" s="4"/>
      <c r="T172" s="11">
        <v>4</v>
      </c>
      <c r="U172" s="11">
        <v>9.5000000000000001E-2</v>
      </c>
      <c r="V172" s="4"/>
      <c r="W172" s="11"/>
      <c r="X172" s="11" t="s">
        <v>3</v>
      </c>
      <c r="Y172" s="4"/>
      <c r="Z172" s="9">
        <v>0</v>
      </c>
      <c r="AA172" s="11"/>
      <c r="AB172" s="4"/>
      <c r="AC172" s="11"/>
      <c r="AD172" s="11"/>
      <c r="AE172" s="4"/>
      <c r="AF172" s="11">
        <v>1</v>
      </c>
      <c r="AG172" s="11"/>
      <c r="AH172" s="4"/>
      <c r="AI172" s="11">
        <v>1</v>
      </c>
      <c r="AJ172" s="11"/>
      <c r="AK172" s="4"/>
      <c r="AL172" s="4"/>
      <c r="AM172" s="4"/>
      <c r="AN172" s="4"/>
      <c r="AO172" s="4"/>
      <c r="AP172" s="4"/>
      <c r="AQ172" s="4"/>
    </row>
    <row r="173" spans="1:43" s="2" customFormat="1" x14ac:dyDescent="0.25">
      <c r="A173" s="161" t="str">
        <f t="shared" si="6"/>
        <v>_WARRIOR_NORTHEU</v>
      </c>
      <c r="B173" s="9" t="s">
        <v>787</v>
      </c>
      <c r="C173" s="4" t="s">
        <v>962</v>
      </c>
      <c r="D173" s="4"/>
      <c r="E173" s="4" t="s">
        <v>743</v>
      </c>
      <c r="F173" s="4" t="s">
        <v>787</v>
      </c>
      <c r="G173" s="4"/>
      <c r="H173" s="4" t="s">
        <v>839</v>
      </c>
      <c r="I173" s="4" t="s">
        <v>1796</v>
      </c>
      <c r="J173" s="11"/>
      <c r="K173" s="11"/>
      <c r="L173" s="4"/>
      <c r="M173" s="12"/>
      <c r="N173" s="4"/>
      <c r="O173" s="4"/>
      <c r="P173" s="4"/>
      <c r="Q173" s="9">
        <v>3</v>
      </c>
      <c r="R173" s="11">
        <v>0.15</v>
      </c>
      <c r="S173" s="4"/>
      <c r="T173" s="11">
        <v>4</v>
      </c>
      <c r="U173" s="11">
        <v>9.5000000000000001E-2</v>
      </c>
      <c r="V173" s="4"/>
      <c r="W173" s="11"/>
      <c r="X173" s="11" t="s">
        <v>3</v>
      </c>
      <c r="Y173" s="4"/>
      <c r="Z173" s="9">
        <v>0</v>
      </c>
      <c r="AA173" s="11"/>
      <c r="AB173" s="4"/>
      <c r="AC173" s="11"/>
      <c r="AD173" s="11"/>
      <c r="AE173" s="4"/>
      <c r="AF173" s="11">
        <v>1</v>
      </c>
      <c r="AG173" s="11"/>
      <c r="AH173" s="4"/>
      <c r="AI173" s="11">
        <v>2</v>
      </c>
      <c r="AJ173" s="11"/>
      <c r="AK173" s="4"/>
      <c r="AL173" s="4"/>
      <c r="AM173" s="4"/>
      <c r="AN173" s="4"/>
      <c r="AO173" s="4"/>
      <c r="AP173" s="4"/>
      <c r="AQ173" s="4"/>
    </row>
    <row r="174" spans="1:43" s="2" customFormat="1" x14ac:dyDescent="0.25">
      <c r="A174" s="161" t="str">
        <f t="shared" si="6"/>
        <v>_WARRIOR_NORTHEU</v>
      </c>
      <c r="B174" s="9" t="s">
        <v>787</v>
      </c>
      <c r="C174" s="4" t="s">
        <v>962</v>
      </c>
      <c r="D174" s="4"/>
      <c r="E174" s="4" t="s">
        <v>743</v>
      </c>
      <c r="F174" s="4" t="s">
        <v>787</v>
      </c>
      <c r="G174" s="4" t="s">
        <v>2047</v>
      </c>
      <c r="H174" s="4" t="s">
        <v>263</v>
      </c>
      <c r="I174" s="4" t="s">
        <v>1796</v>
      </c>
      <c r="J174" s="11"/>
      <c r="K174" s="11"/>
      <c r="L174" s="4"/>
      <c r="M174" s="12"/>
      <c r="N174" s="4"/>
      <c r="O174" s="4"/>
      <c r="P174" s="4"/>
      <c r="Q174" s="9">
        <v>3</v>
      </c>
      <c r="R174" s="11">
        <v>0.15</v>
      </c>
      <c r="S174" s="4"/>
      <c r="T174" s="11">
        <v>5</v>
      </c>
      <c r="U174" s="11">
        <v>9.5000000000000001E-2</v>
      </c>
      <c r="V174" s="4"/>
      <c r="W174" s="11"/>
      <c r="X174" s="11" t="s">
        <v>3</v>
      </c>
      <c r="Y174" s="4"/>
      <c r="Z174" s="9">
        <v>0</v>
      </c>
      <c r="AA174" s="11"/>
      <c r="AB174" s="4"/>
      <c r="AC174" s="11"/>
      <c r="AD174" s="11"/>
      <c r="AE174" s="4"/>
      <c r="AF174" s="11">
        <v>0</v>
      </c>
      <c r="AG174" s="11"/>
      <c r="AH174" s="4"/>
      <c r="AI174" s="11">
        <v>2</v>
      </c>
      <c r="AJ174" s="11"/>
      <c r="AK174" s="4"/>
      <c r="AL174" s="4"/>
      <c r="AM174" s="4"/>
      <c r="AN174" s="4"/>
      <c r="AO174" s="4"/>
      <c r="AP174" s="4"/>
      <c r="AQ174" s="4"/>
    </row>
    <row r="175" spans="1:43" s="2" customFormat="1" x14ac:dyDescent="0.25">
      <c r="A175" s="161" t="str">
        <f t="shared" si="6"/>
        <v>_WARRIOR_SWEDEN</v>
      </c>
      <c r="B175" s="9" t="s">
        <v>787</v>
      </c>
      <c r="C175" s="4" t="s">
        <v>739</v>
      </c>
      <c r="D175" s="4"/>
      <c r="E175" s="4" t="s">
        <v>743</v>
      </c>
      <c r="F175" s="4" t="s">
        <v>787</v>
      </c>
      <c r="G175" s="4"/>
      <c r="H175" s="4" t="s">
        <v>666</v>
      </c>
      <c r="I175" s="4" t="s">
        <v>1796</v>
      </c>
      <c r="J175" s="11"/>
      <c r="K175" s="11"/>
      <c r="L175" s="4"/>
      <c r="M175" s="12"/>
      <c r="N175" s="4"/>
      <c r="O175" s="4"/>
      <c r="P175" s="4"/>
      <c r="Q175" s="9" t="s">
        <v>1737</v>
      </c>
      <c r="R175" s="11">
        <v>0.14499999999999999</v>
      </c>
      <c r="S175" s="4"/>
      <c r="T175" s="11"/>
      <c r="U175" s="11">
        <v>9.5000000000000001E-2</v>
      </c>
      <c r="V175" s="4"/>
      <c r="W175" s="11"/>
      <c r="X175" s="11" t="s">
        <v>3</v>
      </c>
      <c r="Y175" s="4"/>
      <c r="Z175" s="9"/>
      <c r="AA175" s="11"/>
      <c r="AB175" s="4"/>
      <c r="AC175" s="11"/>
      <c r="AD175" s="11"/>
      <c r="AE175" s="4"/>
      <c r="AF175" s="11"/>
      <c r="AG175" s="11"/>
      <c r="AH175" s="4"/>
      <c r="AI175" s="11"/>
      <c r="AJ175" s="11"/>
      <c r="AK175" s="4"/>
      <c r="AL175" s="4"/>
      <c r="AM175" s="4"/>
      <c r="AN175" s="4"/>
      <c r="AO175" s="4"/>
      <c r="AP175" s="4"/>
      <c r="AQ175" s="4"/>
    </row>
    <row r="176" spans="1:43" s="2" customFormat="1" x14ac:dyDescent="0.25">
      <c r="A176" s="161" t="str">
        <f t="shared" si="6"/>
        <v>_WARRIOR_OCEAN</v>
      </c>
      <c r="B176" s="9" t="s">
        <v>787</v>
      </c>
      <c r="C176" s="4" t="s">
        <v>994</v>
      </c>
      <c r="D176" s="4"/>
      <c r="E176" s="4" t="s">
        <v>743</v>
      </c>
      <c r="F176" s="4" t="s">
        <v>787</v>
      </c>
      <c r="G176" s="4"/>
      <c r="H176" s="4" t="s">
        <v>1790</v>
      </c>
      <c r="I176" s="4" t="s">
        <v>1794</v>
      </c>
      <c r="J176" s="11"/>
      <c r="K176" s="11"/>
      <c r="L176" s="4"/>
      <c r="M176" s="12"/>
      <c r="N176" s="4"/>
      <c r="O176" s="4"/>
      <c r="P176" s="4"/>
      <c r="Q176" s="9" t="s">
        <v>1737</v>
      </c>
      <c r="R176" s="11"/>
      <c r="S176" s="4"/>
      <c r="T176" s="9"/>
      <c r="U176" s="11"/>
      <c r="V176" s="4"/>
      <c r="W176" s="9"/>
      <c r="X176" s="11"/>
      <c r="Y176" s="4"/>
      <c r="Z176" s="9"/>
      <c r="AA176" s="11"/>
      <c r="AB176" s="4"/>
      <c r="AC176" s="11"/>
      <c r="AD176" s="11"/>
      <c r="AE176" s="4"/>
      <c r="AF176" s="9"/>
      <c r="AG176" s="11"/>
      <c r="AH176" s="4"/>
      <c r="AI176" s="9"/>
      <c r="AJ176" s="11"/>
      <c r="AK176" s="4"/>
      <c r="AL176" s="4"/>
      <c r="AM176" s="4"/>
      <c r="AN176" s="4"/>
      <c r="AO176" s="4"/>
      <c r="AP176" s="4"/>
      <c r="AQ176" s="4"/>
    </row>
    <row r="177" spans="1:43" s="2" customFormat="1" x14ac:dyDescent="0.25">
      <c r="A177" s="161" t="str">
        <f t="shared" si="6"/>
        <v>_WARRIOR_SAHUL</v>
      </c>
      <c r="B177" s="9" t="s">
        <v>787</v>
      </c>
      <c r="C177" s="4" t="s">
        <v>1788</v>
      </c>
      <c r="D177" s="4"/>
      <c r="E177" s="4" t="s">
        <v>743</v>
      </c>
      <c r="F177" s="4" t="s">
        <v>787</v>
      </c>
      <c r="G177" s="4"/>
      <c r="H177" s="4" t="s">
        <v>1791</v>
      </c>
      <c r="I177" s="4" t="s">
        <v>1794</v>
      </c>
      <c r="J177" s="11"/>
      <c r="K177" s="11"/>
      <c r="L177" s="4"/>
      <c r="M177" s="12"/>
      <c r="N177" s="4"/>
      <c r="O177" s="4"/>
      <c r="P177" s="4"/>
      <c r="Q177" s="9" t="s">
        <v>1737</v>
      </c>
      <c r="R177" s="11"/>
      <c r="S177" s="4"/>
      <c r="T177" s="9"/>
      <c r="U177" s="11"/>
      <c r="V177" s="4"/>
      <c r="W177" s="9"/>
      <c r="X177" s="11"/>
      <c r="Y177" s="4"/>
      <c r="Z177" s="9"/>
      <c r="AA177" s="11"/>
      <c r="AB177" s="4"/>
      <c r="AC177" s="11"/>
      <c r="AD177" s="11"/>
      <c r="AE177" s="4"/>
      <c r="AF177" s="9"/>
      <c r="AG177" s="11"/>
      <c r="AH177" s="4"/>
      <c r="AI177" s="9"/>
      <c r="AJ177" s="11"/>
      <c r="AK177" s="4"/>
      <c r="AL177" s="4"/>
      <c r="AM177" s="4"/>
      <c r="AN177" s="4"/>
      <c r="AO177" s="4"/>
      <c r="AP177" s="4"/>
      <c r="AQ177" s="4"/>
    </row>
    <row r="178" spans="1:43" s="2" customFormat="1" x14ac:dyDescent="0.25">
      <c r="A178" s="161" t="str">
        <f t="shared" si="6"/>
        <v>_WARRIOR_SOUTHAM</v>
      </c>
      <c r="B178" s="9" t="s">
        <v>787</v>
      </c>
      <c r="C178" s="4" t="s">
        <v>691</v>
      </c>
      <c r="D178" s="4"/>
      <c r="E178" s="4" t="s">
        <v>743</v>
      </c>
      <c r="F178" s="4" t="s">
        <v>787</v>
      </c>
      <c r="G178" s="4"/>
      <c r="H178" s="4" t="s">
        <v>1818</v>
      </c>
      <c r="I178" s="4" t="s">
        <v>963</v>
      </c>
      <c r="J178" s="11"/>
      <c r="K178" s="11"/>
      <c r="L178" s="4"/>
      <c r="M178" s="12"/>
      <c r="N178" s="4"/>
      <c r="O178" s="4"/>
      <c r="P178" s="4"/>
      <c r="Q178" s="9" t="s">
        <v>1737</v>
      </c>
      <c r="R178" s="11"/>
      <c r="S178" s="4"/>
      <c r="T178" s="9"/>
      <c r="U178" s="11"/>
      <c r="V178" s="4"/>
      <c r="W178" s="9"/>
      <c r="X178" s="11"/>
      <c r="Y178" s="4"/>
      <c r="Z178" s="9"/>
      <c r="AA178" s="11"/>
      <c r="AB178" s="4"/>
      <c r="AC178" s="11"/>
      <c r="AD178" s="11"/>
      <c r="AE178" s="4"/>
      <c r="AF178" s="9"/>
      <c r="AG178" s="11"/>
      <c r="AH178" s="4"/>
      <c r="AI178" s="9"/>
      <c r="AJ178" s="11"/>
      <c r="AK178" s="4"/>
      <c r="AL178" s="4"/>
      <c r="AM178" s="4"/>
      <c r="AN178" s="4"/>
      <c r="AO178" s="4"/>
      <c r="AP178" s="4"/>
      <c r="AQ178" s="4"/>
    </row>
    <row r="179" spans="1:43" s="2" customFormat="1" x14ac:dyDescent="0.25">
      <c r="A179" s="161" t="str">
        <f t="shared" si="6"/>
        <v>_WARRIOR_INCA</v>
      </c>
      <c r="B179" s="9" t="s">
        <v>787</v>
      </c>
      <c r="C179" s="4" t="s">
        <v>719</v>
      </c>
      <c r="D179" s="4"/>
      <c r="E179" s="4" t="s">
        <v>743</v>
      </c>
      <c r="F179" s="4" t="s">
        <v>787</v>
      </c>
      <c r="G179" s="4"/>
      <c r="H179" s="4" t="s">
        <v>930</v>
      </c>
      <c r="I179" s="4" t="s">
        <v>1025</v>
      </c>
      <c r="J179" s="11"/>
      <c r="K179" s="11"/>
      <c r="L179" s="4"/>
      <c r="M179" s="12"/>
      <c r="N179" s="4"/>
      <c r="O179" s="4"/>
      <c r="P179" s="4"/>
      <c r="Q179" s="9">
        <v>1</v>
      </c>
      <c r="R179" s="11"/>
      <c r="S179" s="4"/>
      <c r="T179" s="11">
        <v>1</v>
      </c>
      <c r="U179" s="11"/>
      <c r="V179" s="4"/>
      <c r="W179" s="11"/>
      <c r="X179" s="11"/>
      <c r="Y179" s="4"/>
      <c r="Z179" s="9">
        <v>1</v>
      </c>
      <c r="AA179" s="11"/>
      <c r="AB179" s="4"/>
      <c r="AC179" s="11"/>
      <c r="AD179" s="11"/>
      <c r="AE179" s="4"/>
      <c r="AF179" s="11">
        <v>0</v>
      </c>
      <c r="AG179" s="11"/>
      <c r="AH179" s="4"/>
      <c r="AI179" s="11">
        <v>1</v>
      </c>
      <c r="AJ179" s="11"/>
      <c r="AK179" s="4"/>
      <c r="AL179" s="4"/>
      <c r="AM179" s="4"/>
      <c r="AN179" s="4"/>
      <c r="AO179" s="4"/>
      <c r="AP179" s="4"/>
      <c r="AQ179" s="4"/>
    </row>
    <row r="180" spans="1:43" x14ac:dyDescent="0.25">
      <c r="A180" s="161" t="str">
        <f>CONCATENATE(E180,IF(ISBLANK(C180),"",CONCATENATE("_",C180)))</f>
        <v>_WARRIOR_INCA</v>
      </c>
      <c r="B180" s="9" t="s">
        <v>787</v>
      </c>
      <c r="C180" s="10" t="s">
        <v>719</v>
      </c>
      <c r="E180" s="4" t="s">
        <v>743</v>
      </c>
      <c r="F180" s="4" t="s">
        <v>787</v>
      </c>
      <c r="G180" s="4" t="s">
        <v>2047</v>
      </c>
      <c r="H180" s="4" t="s">
        <v>423</v>
      </c>
      <c r="I180" s="4" t="s">
        <v>963</v>
      </c>
      <c r="Q180" s="11">
        <v>4</v>
      </c>
      <c r="T180" s="11">
        <v>5</v>
      </c>
      <c r="Z180" s="11">
        <v>0</v>
      </c>
      <c r="AF180" s="11">
        <v>1</v>
      </c>
      <c r="AI180" s="11">
        <v>3</v>
      </c>
    </row>
    <row r="181" spans="1:43" s="2" customFormat="1" x14ac:dyDescent="0.25">
      <c r="A181" s="161" t="str">
        <f>CONCATENATE(E181,IF(ISBLANK(C181),"",CONCATENATE("_",C181)))</f>
        <v>_WARRIOR_INCA</v>
      </c>
      <c r="B181" s="9" t="s">
        <v>787</v>
      </c>
      <c r="C181" s="4" t="s">
        <v>719</v>
      </c>
      <c r="D181" s="4"/>
      <c r="E181" s="4" t="s">
        <v>743</v>
      </c>
      <c r="F181" s="4" t="s">
        <v>787</v>
      </c>
      <c r="G181" s="4" t="s">
        <v>2049</v>
      </c>
      <c r="H181" s="4" t="s">
        <v>417</v>
      </c>
      <c r="I181" s="4" t="s">
        <v>2098</v>
      </c>
      <c r="J181" s="11"/>
      <c r="K181" s="11"/>
      <c r="L181" s="4"/>
      <c r="M181" s="12"/>
      <c r="N181" s="4"/>
      <c r="O181" s="4"/>
      <c r="P181" s="4"/>
      <c r="Q181" s="9">
        <v>1</v>
      </c>
      <c r="R181" s="11"/>
      <c r="S181" s="4"/>
      <c r="T181" s="11">
        <v>2</v>
      </c>
      <c r="U181" s="11"/>
      <c r="V181" s="4"/>
      <c r="W181" s="11"/>
      <c r="X181" s="11"/>
      <c r="Y181" s="4"/>
      <c r="Z181" s="9">
        <v>0</v>
      </c>
      <c r="AA181" s="11"/>
      <c r="AB181" s="4"/>
      <c r="AC181" s="11"/>
      <c r="AD181" s="11"/>
      <c r="AE181" s="4"/>
      <c r="AF181" s="11">
        <v>1</v>
      </c>
      <c r="AG181" s="11"/>
      <c r="AH181" s="4"/>
      <c r="AI181" s="11">
        <v>1</v>
      </c>
      <c r="AJ181" s="11"/>
      <c r="AK181" s="4"/>
      <c r="AL181" s="4"/>
      <c r="AM181" s="4"/>
      <c r="AN181" s="4"/>
      <c r="AO181" s="4"/>
      <c r="AP181" s="4"/>
      <c r="AQ181" s="4"/>
    </row>
    <row r="182" spans="1:43" s="2" customFormat="1" x14ac:dyDescent="0.25">
      <c r="A182" s="161" t="str">
        <f t="shared" si="6"/>
        <v>_WARRIOR_INCA</v>
      </c>
      <c r="B182" s="9" t="s">
        <v>787</v>
      </c>
      <c r="C182" s="4" t="s">
        <v>719</v>
      </c>
      <c r="D182" s="4"/>
      <c r="E182" s="4" t="s">
        <v>743</v>
      </c>
      <c r="F182" s="4" t="s">
        <v>787</v>
      </c>
      <c r="G182" s="4"/>
      <c r="H182" s="4" t="s">
        <v>930</v>
      </c>
      <c r="I182" s="4" t="s">
        <v>1025</v>
      </c>
      <c r="J182" s="11"/>
      <c r="K182" s="11"/>
      <c r="L182" s="4"/>
      <c r="M182" s="12"/>
      <c r="N182" s="4"/>
      <c r="O182" s="4"/>
      <c r="P182" s="4"/>
      <c r="Q182" s="9">
        <v>1</v>
      </c>
      <c r="R182" s="11"/>
      <c r="S182" s="4"/>
      <c r="T182" s="11">
        <v>1</v>
      </c>
      <c r="U182" s="11"/>
      <c r="V182" s="4"/>
      <c r="W182" s="11"/>
      <c r="X182" s="11"/>
      <c r="Y182" s="4"/>
      <c r="Z182" s="9">
        <v>0</v>
      </c>
      <c r="AA182" s="11"/>
      <c r="AB182" s="4"/>
      <c r="AC182" s="11"/>
      <c r="AD182" s="11"/>
      <c r="AE182" s="4"/>
      <c r="AF182" s="11">
        <v>1</v>
      </c>
      <c r="AG182" s="11"/>
      <c r="AH182" s="4"/>
      <c r="AI182" s="11">
        <v>1</v>
      </c>
      <c r="AJ182" s="11"/>
      <c r="AK182" s="4"/>
      <c r="AL182" s="4"/>
      <c r="AM182" s="4"/>
      <c r="AN182" s="4"/>
      <c r="AO182" s="4"/>
      <c r="AP182" s="4"/>
      <c r="AQ182" s="4"/>
    </row>
    <row r="183" spans="1:43" x14ac:dyDescent="0.25">
      <c r="A183" s="161" t="str">
        <f>CONCATENATE(E183,IF(ISBLANK(C183),"",CONCATENATE("_",C183)))</f>
        <v>_WARRIOR_INCA</v>
      </c>
      <c r="B183" s="9" t="s">
        <v>787</v>
      </c>
      <c r="C183" s="4" t="s">
        <v>719</v>
      </c>
      <c r="E183" s="4" t="s">
        <v>743</v>
      </c>
      <c r="F183" s="4" t="s">
        <v>787</v>
      </c>
      <c r="G183" s="4" t="s">
        <v>2047</v>
      </c>
      <c r="H183" s="4" t="s">
        <v>423</v>
      </c>
      <c r="I183" s="4" t="s">
        <v>963</v>
      </c>
      <c r="Q183" s="11">
        <v>4</v>
      </c>
      <c r="T183" s="11">
        <v>5</v>
      </c>
      <c r="Z183" s="11">
        <v>0</v>
      </c>
      <c r="AF183" s="11">
        <v>1</v>
      </c>
      <c r="AI183" s="11">
        <v>2</v>
      </c>
    </row>
    <row r="184" spans="1:43" s="2" customFormat="1" x14ac:dyDescent="0.25">
      <c r="A184" s="161" t="str">
        <f>CONCATENATE(E184,IF(ISBLANK(C184),"",CONCATENATE("_",C184)))</f>
        <v>_WARRIOR_INCA</v>
      </c>
      <c r="B184" s="9" t="s">
        <v>787</v>
      </c>
      <c r="C184" s="4" t="s">
        <v>719</v>
      </c>
      <c r="D184" s="4"/>
      <c r="E184" s="4" t="s">
        <v>743</v>
      </c>
      <c r="F184" s="4" t="s">
        <v>787</v>
      </c>
      <c r="G184" s="4" t="s">
        <v>2049</v>
      </c>
      <c r="H184" s="4" t="s">
        <v>417</v>
      </c>
      <c r="I184" s="4" t="s">
        <v>2098</v>
      </c>
      <c r="J184" s="11"/>
      <c r="K184" s="11"/>
      <c r="L184" s="4"/>
      <c r="M184" s="12"/>
      <c r="N184" s="4"/>
      <c r="O184" s="4"/>
      <c r="P184" s="4"/>
      <c r="Q184" s="9">
        <v>1</v>
      </c>
      <c r="R184" s="11"/>
      <c r="S184" s="4"/>
      <c r="T184" s="11">
        <v>2</v>
      </c>
      <c r="U184" s="11"/>
      <c r="V184" s="4"/>
      <c r="W184" s="11"/>
      <c r="X184" s="11"/>
      <c r="Y184" s="4"/>
      <c r="Z184" s="9">
        <v>0</v>
      </c>
      <c r="AA184" s="11"/>
      <c r="AB184" s="4"/>
      <c r="AC184" s="11"/>
      <c r="AD184" s="11"/>
      <c r="AE184" s="4"/>
      <c r="AF184" s="11">
        <v>1</v>
      </c>
      <c r="AG184" s="11"/>
      <c r="AH184" s="4"/>
      <c r="AI184" s="11">
        <v>1</v>
      </c>
      <c r="AJ184" s="11"/>
      <c r="AK184" s="4"/>
      <c r="AL184" s="4"/>
      <c r="AM184" s="4"/>
      <c r="AN184" s="4"/>
      <c r="AO184" s="4"/>
      <c r="AP184" s="4"/>
      <c r="AQ184" s="4"/>
    </row>
    <row r="185" spans="1:43" s="2" customFormat="1" x14ac:dyDescent="0.25">
      <c r="A185" s="161" t="str">
        <f t="shared" si="6"/>
        <v>_WARRIOR_MAYA</v>
      </c>
      <c r="B185" s="9" t="s">
        <v>787</v>
      </c>
      <c r="C185" s="4" t="s">
        <v>725</v>
      </c>
      <c r="D185" s="4"/>
      <c r="E185" s="4" t="s">
        <v>743</v>
      </c>
      <c r="F185" s="4" t="s">
        <v>787</v>
      </c>
      <c r="G185" s="4"/>
      <c r="H185" s="4" t="s">
        <v>851</v>
      </c>
      <c r="I185" s="4" t="s">
        <v>1025</v>
      </c>
      <c r="J185" s="11"/>
      <c r="K185" s="11"/>
      <c r="L185" s="4"/>
      <c r="M185" s="12"/>
      <c r="N185" s="4"/>
      <c r="O185" s="4"/>
      <c r="P185" s="4"/>
      <c r="Q185" s="9">
        <v>2</v>
      </c>
      <c r="R185" s="11">
        <v>0.13500000000000001</v>
      </c>
      <c r="S185" s="4"/>
      <c r="T185" s="11">
        <v>3</v>
      </c>
      <c r="U185" s="11"/>
      <c r="V185" s="4"/>
      <c r="W185" s="11"/>
      <c r="X185" s="11"/>
      <c r="Y185" s="4"/>
      <c r="Z185" s="9">
        <v>1</v>
      </c>
      <c r="AA185" s="11"/>
      <c r="AB185" s="4"/>
      <c r="AC185" s="11"/>
      <c r="AD185" s="11"/>
      <c r="AE185" s="4"/>
      <c r="AF185" s="11">
        <v>1</v>
      </c>
      <c r="AG185" s="11"/>
      <c r="AH185" s="4"/>
      <c r="AI185" s="11">
        <v>1</v>
      </c>
      <c r="AJ185" s="11"/>
      <c r="AK185" s="4"/>
      <c r="AL185" s="4"/>
      <c r="AM185" s="4"/>
      <c r="AN185" s="4"/>
      <c r="AO185" s="4"/>
      <c r="AP185" s="4"/>
      <c r="AQ185" s="4"/>
    </row>
    <row r="186" spans="1:43" s="2" customFormat="1" x14ac:dyDescent="0.25">
      <c r="A186" s="161" t="str">
        <f t="shared" si="6"/>
        <v>_WARRIOR_MAYA</v>
      </c>
      <c r="B186" s="9" t="s">
        <v>787</v>
      </c>
      <c r="C186" s="4" t="s">
        <v>725</v>
      </c>
      <c r="D186" s="4"/>
      <c r="E186" s="4" t="s">
        <v>743</v>
      </c>
      <c r="F186" s="4" t="s">
        <v>787</v>
      </c>
      <c r="G186" s="4" t="s">
        <v>2047</v>
      </c>
      <c r="H186" s="4" t="s">
        <v>975</v>
      </c>
      <c r="I186" s="4" t="s">
        <v>1025</v>
      </c>
      <c r="J186" s="11"/>
      <c r="K186" s="11"/>
      <c r="L186" s="4"/>
      <c r="M186" s="12"/>
      <c r="N186" s="4"/>
      <c r="O186" s="4"/>
      <c r="P186" s="4"/>
      <c r="Q186" s="9">
        <v>2</v>
      </c>
      <c r="R186" s="11">
        <v>0.13500000000000001</v>
      </c>
      <c r="S186" s="4"/>
      <c r="T186" s="11">
        <v>2</v>
      </c>
      <c r="U186" s="11"/>
      <c r="V186" s="4"/>
      <c r="W186" s="11"/>
      <c r="X186" s="11"/>
      <c r="Y186" s="4"/>
      <c r="Z186" s="9">
        <v>0</v>
      </c>
      <c r="AA186" s="11"/>
      <c r="AB186" s="4"/>
      <c r="AC186" s="11"/>
      <c r="AD186" s="11"/>
      <c r="AE186" s="4"/>
      <c r="AF186" s="11">
        <v>1</v>
      </c>
      <c r="AG186" s="11"/>
      <c r="AH186" s="4"/>
      <c r="AI186" s="11">
        <v>1</v>
      </c>
      <c r="AJ186" s="11"/>
      <c r="AK186" s="4"/>
      <c r="AL186" s="4"/>
      <c r="AM186" s="4"/>
      <c r="AN186" s="4"/>
      <c r="AO186" s="4"/>
      <c r="AP186" s="4"/>
      <c r="AQ186" s="4"/>
    </row>
    <row r="187" spans="1:43" s="2" customFormat="1" x14ac:dyDescent="0.25">
      <c r="A187" s="161" t="str">
        <f t="shared" si="6"/>
        <v>_WARRIOR_MAYA</v>
      </c>
      <c r="B187" s="9" t="s">
        <v>787</v>
      </c>
      <c r="C187" s="4" t="s">
        <v>725</v>
      </c>
      <c r="D187" s="4"/>
      <c r="E187" s="4" t="s">
        <v>743</v>
      </c>
      <c r="F187" s="4" t="s">
        <v>787</v>
      </c>
      <c r="G187" s="4" t="s">
        <v>2049</v>
      </c>
      <c r="H187" s="4" t="s">
        <v>514</v>
      </c>
      <c r="I187" s="4" t="s">
        <v>1025</v>
      </c>
      <c r="J187" s="11"/>
      <c r="K187" s="11"/>
      <c r="L187" s="4"/>
      <c r="M187" s="12"/>
      <c r="N187" s="4"/>
      <c r="O187" s="4"/>
      <c r="P187" s="4"/>
      <c r="Q187" s="9">
        <v>2</v>
      </c>
      <c r="R187" s="11">
        <v>0.13500000000000001</v>
      </c>
      <c r="S187" s="4"/>
      <c r="T187" s="11">
        <v>3</v>
      </c>
      <c r="U187" s="11"/>
      <c r="V187" s="4"/>
      <c r="W187" s="11"/>
      <c r="X187" s="11"/>
      <c r="Y187" s="4"/>
      <c r="Z187" s="9">
        <v>0</v>
      </c>
      <c r="AA187" s="11"/>
      <c r="AB187" s="4"/>
      <c r="AC187" s="11"/>
      <c r="AD187" s="11"/>
      <c r="AE187" s="4"/>
      <c r="AF187" s="11">
        <v>1</v>
      </c>
      <c r="AG187" s="11"/>
      <c r="AH187" s="4"/>
      <c r="AI187" s="11">
        <v>1</v>
      </c>
      <c r="AJ187" s="11"/>
      <c r="AK187" s="4"/>
      <c r="AL187" s="4"/>
      <c r="AM187" s="4"/>
      <c r="AN187" s="4"/>
      <c r="AO187" s="4"/>
      <c r="AP187" s="4"/>
      <c r="AQ187" s="4"/>
    </row>
    <row r="188" spans="1:43" s="2" customFormat="1" x14ac:dyDescent="0.25">
      <c r="A188" s="161" t="str">
        <f t="shared" si="6"/>
        <v>_WARRIOR_MAYA</v>
      </c>
      <c r="B188" s="9" t="s">
        <v>787</v>
      </c>
      <c r="C188" s="4" t="s">
        <v>725</v>
      </c>
      <c r="D188" s="4"/>
      <c r="E188" s="4" t="s">
        <v>743</v>
      </c>
      <c r="F188" s="4" t="s">
        <v>787</v>
      </c>
      <c r="G188" s="4"/>
      <c r="H188" s="4" t="s">
        <v>851</v>
      </c>
      <c r="I188" s="4" t="s">
        <v>1025</v>
      </c>
      <c r="J188" s="11"/>
      <c r="K188" s="11"/>
      <c r="L188" s="4"/>
      <c r="M188" s="12"/>
      <c r="N188" s="4"/>
      <c r="O188" s="4"/>
      <c r="P188" s="4"/>
      <c r="Q188" s="9">
        <v>2</v>
      </c>
      <c r="R188" s="11">
        <v>0.13500000000000001</v>
      </c>
      <c r="S188" s="4"/>
      <c r="T188" s="11">
        <v>3</v>
      </c>
      <c r="U188" s="11"/>
      <c r="V188" s="4"/>
      <c r="W188" s="11"/>
      <c r="X188" s="11"/>
      <c r="Y188" s="4"/>
      <c r="Z188" s="9">
        <v>0</v>
      </c>
      <c r="AA188" s="11"/>
      <c r="AB188" s="4"/>
      <c r="AC188" s="11"/>
      <c r="AD188" s="11"/>
      <c r="AE188" s="4"/>
      <c r="AF188" s="11">
        <v>0</v>
      </c>
      <c r="AG188" s="11"/>
      <c r="AH188" s="4"/>
      <c r="AI188" s="11">
        <v>2</v>
      </c>
      <c r="AJ188" s="11"/>
      <c r="AK188" s="4"/>
      <c r="AL188" s="4"/>
      <c r="AM188" s="4"/>
      <c r="AN188" s="4"/>
      <c r="AO188" s="4"/>
      <c r="AP188" s="4"/>
      <c r="AQ188" s="4"/>
    </row>
    <row r="189" spans="1:43" s="2" customFormat="1" x14ac:dyDescent="0.25">
      <c r="A189" s="161" t="str">
        <f t="shared" si="6"/>
        <v>_WARRIOR_MAYA</v>
      </c>
      <c r="B189" s="9" t="s">
        <v>787</v>
      </c>
      <c r="C189" s="4" t="s">
        <v>725</v>
      </c>
      <c r="D189" s="4"/>
      <c r="E189" s="4" t="s">
        <v>743</v>
      </c>
      <c r="F189" s="4" t="s">
        <v>787</v>
      </c>
      <c r="G189" s="4" t="s">
        <v>2047</v>
      </c>
      <c r="H189" s="4" t="s">
        <v>975</v>
      </c>
      <c r="I189" s="4" t="s">
        <v>1025</v>
      </c>
      <c r="J189" s="11"/>
      <c r="K189" s="11"/>
      <c r="L189" s="4"/>
      <c r="M189" s="12"/>
      <c r="N189" s="4"/>
      <c r="O189" s="4"/>
      <c r="P189" s="4"/>
      <c r="Q189" s="9">
        <v>2</v>
      </c>
      <c r="R189" s="11">
        <v>0.13500000000000001</v>
      </c>
      <c r="S189" s="4"/>
      <c r="T189" s="11">
        <v>4</v>
      </c>
      <c r="U189" s="11"/>
      <c r="V189" s="4"/>
      <c r="W189" s="11"/>
      <c r="X189" s="11"/>
      <c r="Y189" s="4"/>
      <c r="Z189" s="9">
        <v>0</v>
      </c>
      <c r="AA189" s="11"/>
      <c r="AB189" s="4"/>
      <c r="AC189" s="11"/>
      <c r="AD189" s="11"/>
      <c r="AE189" s="4"/>
      <c r="AF189" s="11">
        <v>0</v>
      </c>
      <c r="AG189" s="11"/>
      <c r="AH189" s="4"/>
      <c r="AI189" s="11">
        <v>1</v>
      </c>
      <c r="AJ189" s="11"/>
      <c r="AK189" s="4"/>
      <c r="AL189" s="4"/>
      <c r="AM189" s="4"/>
      <c r="AN189" s="4"/>
      <c r="AO189" s="4"/>
      <c r="AP189" s="4"/>
      <c r="AQ189" s="4"/>
    </row>
    <row r="190" spans="1:43" s="2" customFormat="1" x14ac:dyDescent="0.25">
      <c r="A190" s="161" t="str">
        <f t="shared" si="6"/>
        <v>_WARRIOR_MAYA</v>
      </c>
      <c r="B190" s="9" t="s">
        <v>787</v>
      </c>
      <c r="C190" s="4" t="s">
        <v>725</v>
      </c>
      <c r="D190" s="4"/>
      <c r="E190" s="4" t="s">
        <v>743</v>
      </c>
      <c r="F190" s="4" t="s">
        <v>787</v>
      </c>
      <c r="G190" s="4" t="s">
        <v>2049</v>
      </c>
      <c r="H190" s="4" t="s">
        <v>514</v>
      </c>
      <c r="I190" s="4" t="s">
        <v>1025</v>
      </c>
      <c r="J190" s="11"/>
      <c r="K190" s="11"/>
      <c r="L190" s="4"/>
      <c r="M190" s="12"/>
      <c r="N190" s="4"/>
      <c r="O190" s="4"/>
      <c r="P190" s="4"/>
      <c r="Q190" s="9">
        <v>2</v>
      </c>
      <c r="R190" s="11">
        <v>0.13500000000000001</v>
      </c>
      <c r="S190" s="4"/>
      <c r="T190" s="11">
        <v>3</v>
      </c>
      <c r="U190" s="11"/>
      <c r="V190" s="4"/>
      <c r="W190" s="11"/>
      <c r="X190" s="11"/>
      <c r="Y190" s="4"/>
      <c r="Z190" s="9">
        <v>0</v>
      </c>
      <c r="AA190" s="11"/>
      <c r="AB190" s="4"/>
      <c r="AC190" s="11"/>
      <c r="AD190" s="11"/>
      <c r="AE190" s="4"/>
      <c r="AF190" s="11">
        <v>0</v>
      </c>
      <c r="AG190" s="11"/>
      <c r="AH190" s="4"/>
      <c r="AI190" s="11">
        <v>1</v>
      </c>
      <c r="AJ190" s="11"/>
      <c r="AK190" s="4"/>
      <c r="AL190" s="4"/>
      <c r="AM190" s="4"/>
      <c r="AN190" s="4"/>
      <c r="AO190" s="4"/>
      <c r="AP190" s="4"/>
      <c r="AQ190" s="4"/>
    </row>
    <row r="191" spans="1:43" s="2" customFormat="1" x14ac:dyDescent="0.25">
      <c r="A191" s="161" t="str">
        <f>CONCATENATE(E191,IF(ISBLANK(C191),"",CONCATENATE("_",C191)))</f>
        <v>_WORKER</v>
      </c>
      <c r="B191" s="9"/>
      <c r="C191" s="5"/>
      <c r="D191" s="5"/>
      <c r="E191" s="5" t="s">
        <v>1316</v>
      </c>
      <c r="F191" s="5" t="s">
        <v>2579</v>
      </c>
      <c r="G191" s="5"/>
      <c r="H191" s="5" t="s">
        <v>1540</v>
      </c>
      <c r="I191" s="5" t="s">
        <v>128</v>
      </c>
      <c r="J191" s="6">
        <v>1</v>
      </c>
      <c r="K191" s="6"/>
      <c r="L191" s="5" t="s">
        <v>1708</v>
      </c>
      <c r="M191" s="8"/>
      <c r="N191" s="5"/>
      <c r="O191" s="5"/>
      <c r="P191" s="5"/>
      <c r="Q191" s="7">
        <v>0</v>
      </c>
      <c r="R191" s="7" t="s">
        <v>1737</v>
      </c>
      <c r="S191" s="5" t="s">
        <v>1610</v>
      </c>
      <c r="T191" s="6">
        <v>0</v>
      </c>
      <c r="U191" s="7" t="s">
        <v>1737</v>
      </c>
      <c r="V191" s="5"/>
      <c r="W191" s="7">
        <v>0</v>
      </c>
      <c r="X191" s="6" t="s">
        <v>3</v>
      </c>
      <c r="Y191" s="5"/>
      <c r="Z191" s="7">
        <v>0</v>
      </c>
      <c r="AA191" s="6"/>
      <c r="AB191" s="5"/>
      <c r="AC191" s="6">
        <v>0</v>
      </c>
      <c r="AD191" s="6" t="s">
        <v>3</v>
      </c>
      <c r="AE191" s="5"/>
      <c r="AF191" s="6">
        <v>0</v>
      </c>
      <c r="AG191" s="6"/>
      <c r="AH191" s="5"/>
      <c r="AI191" s="7">
        <v>0</v>
      </c>
      <c r="AJ191" s="6"/>
      <c r="AK191" s="5"/>
      <c r="AL191" s="5" t="s">
        <v>1911</v>
      </c>
      <c r="AM191" s="5"/>
      <c r="AN191" s="5"/>
      <c r="AO191" s="5" t="s">
        <v>1911</v>
      </c>
      <c r="AP191" s="5"/>
      <c r="AQ191" s="5"/>
    </row>
    <row r="192" spans="1:43" s="2" customFormat="1" x14ac:dyDescent="0.25">
      <c r="A192" s="161" t="str">
        <f t="shared" si="6"/>
        <v>_WORKER</v>
      </c>
      <c r="B192" s="9" t="s">
        <v>2081</v>
      </c>
      <c r="C192" s="5"/>
      <c r="D192" s="5"/>
      <c r="E192" s="5" t="s">
        <v>1316</v>
      </c>
      <c r="F192" s="5" t="s">
        <v>2081</v>
      </c>
      <c r="G192" s="5"/>
      <c r="H192" s="5" t="s">
        <v>1540</v>
      </c>
      <c r="I192" s="5" t="s">
        <v>128</v>
      </c>
      <c r="J192" s="6">
        <v>1</v>
      </c>
      <c r="K192" s="6"/>
      <c r="L192" s="5" t="s">
        <v>1708</v>
      </c>
      <c r="M192" s="8"/>
      <c r="N192" s="5"/>
      <c r="O192" s="5"/>
      <c r="P192" s="5"/>
      <c r="Q192" s="7">
        <v>8</v>
      </c>
      <c r="R192" s="7" t="s">
        <v>1737</v>
      </c>
      <c r="S192" s="5" t="s">
        <v>1610</v>
      </c>
      <c r="T192" s="6"/>
      <c r="U192" s="7" t="s">
        <v>1737</v>
      </c>
      <c r="V192" s="5"/>
      <c r="W192" s="7" t="s">
        <v>3</v>
      </c>
      <c r="X192" s="6" t="s">
        <v>3</v>
      </c>
      <c r="Y192" s="5"/>
      <c r="Z192" s="7">
        <v>1</v>
      </c>
      <c r="AA192" s="6"/>
      <c r="AB192" s="5"/>
      <c r="AC192" s="6"/>
      <c r="AD192" s="6" t="s">
        <v>3</v>
      </c>
      <c r="AE192" s="5"/>
      <c r="AF192" s="6"/>
      <c r="AG192" s="6"/>
      <c r="AH192" s="5"/>
      <c r="AI192" s="7">
        <v>5</v>
      </c>
      <c r="AJ192" s="6"/>
      <c r="AK192" s="5"/>
      <c r="AL192" s="5"/>
      <c r="AM192" s="5"/>
      <c r="AN192" s="5"/>
      <c r="AO192" s="5"/>
      <c r="AP192" s="5"/>
      <c r="AQ192" s="5"/>
    </row>
    <row r="193" spans="1:43" s="2" customFormat="1" x14ac:dyDescent="0.25">
      <c r="A193" s="161" t="str">
        <f>CONCATENATE(E193,IF(ISBLANK(C193),"",CONCATENATE("_",C193)))</f>
        <v>_WORKER_NETHERLANDS</v>
      </c>
      <c r="B193" s="9" t="s">
        <v>2081</v>
      </c>
      <c r="C193" s="5" t="s">
        <v>730</v>
      </c>
      <c r="D193" s="5"/>
      <c r="E193" s="5" t="s">
        <v>1316</v>
      </c>
      <c r="F193" s="5" t="s">
        <v>2081</v>
      </c>
      <c r="G193" s="5"/>
      <c r="H193" s="5" t="s">
        <v>2083</v>
      </c>
      <c r="I193" s="5" t="s">
        <v>835</v>
      </c>
      <c r="J193" s="6"/>
      <c r="K193" s="6"/>
      <c r="L193" s="5"/>
      <c r="M193" s="8"/>
      <c r="N193" s="5"/>
      <c r="O193" s="5"/>
      <c r="P193" s="5"/>
      <c r="Q193" s="7"/>
      <c r="R193" s="7"/>
      <c r="S193" s="5"/>
      <c r="T193" s="6"/>
      <c r="U193" s="7"/>
      <c r="V193" s="5"/>
      <c r="W193" s="7"/>
      <c r="X193" s="6"/>
      <c r="Y193" s="5"/>
      <c r="Z193" s="7"/>
      <c r="AA193" s="6"/>
      <c r="AB193" s="5"/>
      <c r="AC193" s="6"/>
      <c r="AD193" s="6"/>
      <c r="AE193" s="5"/>
      <c r="AF193" s="6"/>
      <c r="AG193" s="6"/>
      <c r="AH193" s="5"/>
      <c r="AI193" s="7"/>
      <c r="AJ193" s="6"/>
      <c r="AK193" s="5"/>
      <c r="AL193" s="5"/>
      <c r="AM193" s="5"/>
      <c r="AN193" s="5"/>
      <c r="AO193" s="5"/>
      <c r="AP193" s="5"/>
      <c r="AQ193" s="5"/>
    </row>
    <row r="194" spans="1:43" s="2" customFormat="1" x14ac:dyDescent="0.25">
      <c r="A194" s="161" t="str">
        <f t="shared" si="6"/>
        <v>_WORKER_ASIA</v>
      </c>
      <c r="B194" s="9" t="s">
        <v>2081</v>
      </c>
      <c r="C194" s="5" t="s">
        <v>693</v>
      </c>
      <c r="D194" s="5"/>
      <c r="E194" s="5" t="s">
        <v>1316</v>
      </c>
      <c r="F194" s="5" t="s">
        <v>2081</v>
      </c>
      <c r="G194" s="5"/>
      <c r="H194" s="5" t="s">
        <v>2097</v>
      </c>
      <c r="I194" s="5"/>
      <c r="J194" s="6">
        <v>1</v>
      </c>
      <c r="K194" s="6"/>
      <c r="L194" s="5"/>
      <c r="M194" s="8"/>
      <c r="N194" s="5"/>
      <c r="O194" s="5"/>
      <c r="P194" s="5"/>
      <c r="Q194" s="7"/>
      <c r="R194" s="7"/>
      <c r="S194" s="5"/>
      <c r="T194" s="6"/>
      <c r="U194" s="7"/>
      <c r="V194" s="5"/>
      <c r="W194" s="7"/>
      <c r="X194" s="6"/>
      <c r="Y194" s="5"/>
      <c r="Z194" s="7"/>
      <c r="AA194" s="6"/>
      <c r="AB194" s="5"/>
      <c r="AC194" s="6"/>
      <c r="AD194" s="6"/>
      <c r="AE194" s="5"/>
      <c r="AF194" s="6"/>
      <c r="AG194" s="6"/>
      <c r="AH194" s="5"/>
      <c r="AI194" s="7"/>
      <c r="AJ194" s="6"/>
      <c r="AK194" s="5"/>
      <c r="AL194" s="5"/>
      <c r="AM194" s="5"/>
      <c r="AN194" s="5"/>
      <c r="AO194" s="5"/>
      <c r="AP194" s="5"/>
      <c r="AQ194" s="5"/>
    </row>
    <row r="195" spans="1:43" s="2" customFormat="1" x14ac:dyDescent="0.25">
      <c r="A195" s="161" t="str">
        <f t="shared" si="6"/>
        <v>_WORKER_SEASIA</v>
      </c>
      <c r="B195" s="9" t="s">
        <v>2081</v>
      </c>
      <c r="C195" s="5" t="s">
        <v>696</v>
      </c>
      <c r="D195" s="5" t="s">
        <v>693</v>
      </c>
      <c r="E195" s="5" t="s">
        <v>1316</v>
      </c>
      <c r="F195" s="5" t="s">
        <v>2081</v>
      </c>
      <c r="G195" s="5"/>
      <c r="H195" s="5"/>
      <c r="I195" s="5"/>
      <c r="J195" s="6">
        <v>1</v>
      </c>
      <c r="K195" s="6"/>
      <c r="L195" s="5"/>
      <c r="M195" s="8"/>
      <c r="N195" s="5"/>
      <c r="O195" s="5"/>
      <c r="P195" s="5"/>
      <c r="Q195" s="7"/>
      <c r="R195" s="7"/>
      <c r="S195" s="5"/>
      <c r="T195" s="6"/>
      <c r="U195" s="7"/>
      <c r="V195" s="5"/>
      <c r="W195" s="7"/>
      <c r="X195" s="6"/>
      <c r="Y195" s="5"/>
      <c r="Z195" s="7"/>
      <c r="AA195" s="6"/>
      <c r="AB195" s="5"/>
      <c r="AC195" s="6"/>
      <c r="AD195" s="6"/>
      <c r="AE195" s="5"/>
      <c r="AF195" s="6"/>
      <c r="AG195" s="6"/>
      <c r="AH195" s="5"/>
      <c r="AI195" s="7"/>
      <c r="AJ195" s="6"/>
      <c r="AK195" s="5"/>
      <c r="AL195" s="5"/>
      <c r="AM195" s="5"/>
      <c r="AN195" s="5"/>
      <c r="AO195" s="5"/>
      <c r="AP195" s="5"/>
      <c r="AQ195" s="5"/>
    </row>
    <row r="196" spans="1:43" s="2" customFormat="1" x14ac:dyDescent="0.25">
      <c r="A196" s="161" t="str">
        <f t="shared" si="6"/>
        <v>_WORKER_SOUTHAM</v>
      </c>
      <c r="B196" s="9" t="s">
        <v>2081</v>
      </c>
      <c r="C196" s="5" t="s">
        <v>691</v>
      </c>
      <c r="D196" s="5"/>
      <c r="E196" s="5" t="s">
        <v>1316</v>
      </c>
      <c r="F196" s="5" t="s">
        <v>2081</v>
      </c>
      <c r="G196" s="5"/>
      <c r="H196" s="5" t="s">
        <v>2082</v>
      </c>
      <c r="I196" s="5" t="s">
        <v>963</v>
      </c>
      <c r="J196" s="6">
        <v>1</v>
      </c>
      <c r="K196" s="6"/>
      <c r="L196" s="5"/>
      <c r="M196" s="8"/>
      <c r="N196" s="5"/>
      <c r="O196" s="5"/>
      <c r="P196" s="5"/>
      <c r="Q196" s="7"/>
      <c r="R196" s="7"/>
      <c r="S196" s="5"/>
      <c r="T196" s="6"/>
      <c r="U196" s="7"/>
      <c r="V196" s="5"/>
      <c r="W196" s="7"/>
      <c r="X196" s="6"/>
      <c r="Y196" s="5"/>
      <c r="Z196" s="7"/>
      <c r="AA196" s="6"/>
      <c r="AB196" s="5"/>
      <c r="AC196" s="6"/>
      <c r="AD196" s="6"/>
      <c r="AE196" s="5"/>
      <c r="AF196" s="6"/>
      <c r="AG196" s="6"/>
      <c r="AH196" s="5"/>
      <c r="AI196" s="7"/>
      <c r="AJ196" s="6"/>
      <c r="AK196" s="5"/>
      <c r="AL196" s="5"/>
      <c r="AM196" s="5"/>
      <c r="AN196" s="5"/>
      <c r="AO196" s="5"/>
      <c r="AP196" s="5"/>
      <c r="AQ196" s="5"/>
    </row>
    <row r="197" spans="1:43" s="2" customFormat="1" x14ac:dyDescent="0.25">
      <c r="A197" s="161" t="str">
        <f t="shared" si="6"/>
        <v>_WORKER_OCEAN</v>
      </c>
      <c r="B197" s="9" t="s">
        <v>2081</v>
      </c>
      <c r="C197" s="5" t="s">
        <v>994</v>
      </c>
      <c r="D197" s="5" t="s">
        <v>691</v>
      </c>
      <c r="E197" s="5" t="s">
        <v>1316</v>
      </c>
      <c r="F197" s="5" t="s">
        <v>2081</v>
      </c>
      <c r="G197" s="5"/>
      <c r="H197" s="5"/>
      <c r="I197" s="5"/>
      <c r="J197" s="6">
        <v>1</v>
      </c>
      <c r="K197" s="6"/>
      <c r="L197" s="5"/>
      <c r="M197" s="8"/>
      <c r="N197" s="5"/>
      <c r="O197" s="5"/>
      <c r="P197" s="5"/>
      <c r="Q197" s="7"/>
      <c r="R197" s="7"/>
      <c r="S197" s="5"/>
      <c r="T197" s="6"/>
      <c r="U197" s="7"/>
      <c r="V197" s="5"/>
      <c r="W197" s="7"/>
      <c r="X197" s="6"/>
      <c r="Y197" s="5"/>
      <c r="Z197" s="7"/>
      <c r="AA197" s="6"/>
      <c r="AB197" s="5"/>
      <c r="AC197" s="6"/>
      <c r="AD197" s="6"/>
      <c r="AE197" s="5"/>
      <c r="AF197" s="6"/>
      <c r="AG197" s="6"/>
      <c r="AH197" s="5"/>
      <c r="AI197" s="7"/>
      <c r="AJ197" s="6"/>
      <c r="AK197" s="5"/>
      <c r="AL197" s="5"/>
      <c r="AM197" s="5"/>
      <c r="AN197" s="5"/>
      <c r="AO197" s="5"/>
      <c r="AP197" s="5"/>
      <c r="AQ197" s="5"/>
    </row>
    <row r="198" spans="1:43" s="2" customFormat="1" x14ac:dyDescent="0.25">
      <c r="A198" s="161" t="str">
        <f>CONCATENATE(E198,IF(ISBLANK(C198),"",CONCATENATE("_",C198)))</f>
        <v>_WORKER_LATE</v>
      </c>
      <c r="B198" s="9"/>
      <c r="C198" s="5"/>
      <c r="D198" s="5"/>
      <c r="E198" s="5" t="s">
        <v>1317</v>
      </c>
      <c r="F198" s="5" t="s">
        <v>2580</v>
      </c>
      <c r="G198" s="5"/>
      <c r="H198" s="5" t="s">
        <v>1541</v>
      </c>
      <c r="I198" s="5" t="s">
        <v>128</v>
      </c>
      <c r="J198" s="6"/>
      <c r="K198" s="6"/>
      <c r="L198" s="5" t="s">
        <v>1708</v>
      </c>
      <c r="M198" s="8"/>
      <c r="N198" s="5"/>
      <c r="O198" s="5"/>
      <c r="P198" s="5"/>
      <c r="Q198" s="7">
        <v>0</v>
      </c>
      <c r="R198" s="7" t="s">
        <v>1737</v>
      </c>
      <c r="S198" s="5" t="s">
        <v>1610</v>
      </c>
      <c r="T198" s="6">
        <v>0</v>
      </c>
      <c r="U198" s="7" t="s">
        <v>1737</v>
      </c>
      <c r="V198" s="5"/>
      <c r="W198" s="7">
        <v>0</v>
      </c>
      <c r="X198" s="6" t="s">
        <v>3</v>
      </c>
      <c r="Y198" s="5"/>
      <c r="Z198" s="7">
        <v>0</v>
      </c>
      <c r="AA198" s="6"/>
      <c r="AB198" s="5"/>
      <c r="AC198" s="6">
        <v>0</v>
      </c>
      <c r="AD198" s="6" t="s">
        <v>3</v>
      </c>
      <c r="AE198" s="5"/>
      <c r="AF198" s="6">
        <v>0</v>
      </c>
      <c r="AG198" s="6"/>
      <c r="AH198" s="5"/>
      <c r="AI198" s="7">
        <v>0</v>
      </c>
      <c r="AJ198" s="6"/>
      <c r="AK198" s="5"/>
      <c r="AL198" s="5" t="s">
        <v>1911</v>
      </c>
      <c r="AM198" s="5"/>
      <c r="AN198" s="5"/>
      <c r="AO198" s="5" t="s">
        <v>1911</v>
      </c>
      <c r="AP198" s="5"/>
      <c r="AQ198" s="5"/>
    </row>
    <row r="199" spans="1:43" s="2" customFormat="1" x14ac:dyDescent="0.25">
      <c r="A199" s="161" t="str">
        <f t="shared" si="6"/>
        <v>_WORKER_LATE</v>
      </c>
      <c r="B199" s="9" t="s">
        <v>2081</v>
      </c>
      <c r="C199" s="5"/>
      <c r="D199" s="5"/>
      <c r="E199" s="5" t="s">
        <v>1317</v>
      </c>
      <c r="F199" s="5" t="s">
        <v>2084</v>
      </c>
      <c r="G199" s="5"/>
      <c r="H199" s="5" t="s">
        <v>1541</v>
      </c>
      <c r="I199" s="5" t="s">
        <v>128</v>
      </c>
      <c r="J199" s="6"/>
      <c r="K199" s="6"/>
      <c r="L199" s="5" t="s">
        <v>1708</v>
      </c>
      <c r="M199" s="8"/>
      <c r="N199" s="5"/>
      <c r="O199" s="5"/>
      <c r="P199" s="5"/>
      <c r="Q199" s="7">
        <v>8</v>
      </c>
      <c r="R199" s="7" t="s">
        <v>1737</v>
      </c>
      <c r="S199" s="5" t="s">
        <v>1610</v>
      </c>
      <c r="T199" s="6"/>
      <c r="U199" s="7" t="s">
        <v>1737</v>
      </c>
      <c r="V199" s="5"/>
      <c r="W199" s="7" t="s">
        <v>3</v>
      </c>
      <c r="X199" s="6" t="s">
        <v>3</v>
      </c>
      <c r="Y199" s="5"/>
      <c r="Z199" s="7">
        <v>1</v>
      </c>
      <c r="AA199" s="6"/>
      <c r="AB199" s="5"/>
      <c r="AC199" s="6"/>
      <c r="AD199" s="6" t="s">
        <v>3</v>
      </c>
      <c r="AE199" s="5"/>
      <c r="AF199" s="6"/>
      <c r="AG199" s="6"/>
      <c r="AH199" s="5"/>
      <c r="AI199" s="7">
        <v>5</v>
      </c>
      <c r="AJ199" s="6"/>
      <c r="AK199" s="5"/>
      <c r="AL199" s="5"/>
      <c r="AM199" s="5"/>
      <c r="AN199" s="5"/>
      <c r="AO199" s="5"/>
      <c r="AP199" s="5"/>
      <c r="AQ199" s="5"/>
    </row>
    <row r="200" spans="1:43" s="2" customFormat="1" x14ac:dyDescent="0.25">
      <c r="A200" s="161" t="str">
        <f t="shared" si="6"/>
        <v>ANTI_AIRCRAFT_GUN</v>
      </c>
      <c r="B200" s="9" t="s">
        <v>744</v>
      </c>
      <c r="C200" s="5"/>
      <c r="D200" s="5"/>
      <c r="E200" s="5" t="s">
        <v>744</v>
      </c>
      <c r="F200" s="5" t="s">
        <v>788</v>
      </c>
      <c r="G200" s="5"/>
      <c r="H200" s="5" t="s">
        <v>1394</v>
      </c>
      <c r="I200" s="5" t="s">
        <v>128</v>
      </c>
      <c r="J200" s="6"/>
      <c r="K200" s="6"/>
      <c r="L200" s="13" t="s">
        <v>1709</v>
      </c>
      <c r="M200" s="8"/>
      <c r="N200" s="5"/>
      <c r="O200" s="5"/>
      <c r="P200" s="5"/>
      <c r="Q200" s="7">
        <v>3</v>
      </c>
      <c r="R200" s="6" t="s">
        <v>1695</v>
      </c>
      <c r="S200" s="13" t="s">
        <v>1611</v>
      </c>
      <c r="T200" s="7">
        <v>4</v>
      </c>
      <c r="U200" s="7" t="s">
        <v>1737</v>
      </c>
      <c r="V200" s="13" t="s">
        <v>688</v>
      </c>
      <c r="W200" s="7" t="s">
        <v>3</v>
      </c>
      <c r="X200" s="6" t="s">
        <v>3</v>
      </c>
      <c r="Y200" s="13"/>
      <c r="Z200" s="7">
        <v>1</v>
      </c>
      <c r="AA200" s="6"/>
      <c r="AB200" s="13"/>
      <c r="AC200" s="6"/>
      <c r="AD200" s="6" t="s">
        <v>3</v>
      </c>
      <c r="AE200" s="13"/>
      <c r="AF200" s="6"/>
      <c r="AG200" s="6"/>
      <c r="AH200" s="13"/>
      <c r="AI200" s="6"/>
      <c r="AJ200" s="6"/>
      <c r="AK200" s="13"/>
      <c r="AL200" s="13"/>
      <c r="AM200" s="13"/>
      <c r="AN200" s="13"/>
      <c r="AO200" s="13"/>
      <c r="AP200" s="13"/>
      <c r="AQ200" s="13"/>
    </row>
    <row r="201" spans="1:43" s="2" customFormat="1" x14ac:dyDescent="0.25">
      <c r="A201" s="161" t="str">
        <f t="shared" si="6"/>
        <v>ANTI_TANK_GUN</v>
      </c>
      <c r="B201" s="9" t="s">
        <v>745</v>
      </c>
      <c r="C201" s="5"/>
      <c r="D201" s="5"/>
      <c r="E201" s="5" t="s">
        <v>745</v>
      </c>
      <c r="F201" s="5" t="s">
        <v>789</v>
      </c>
      <c r="G201" s="5"/>
      <c r="H201" s="5" t="s">
        <v>1395</v>
      </c>
      <c r="I201" s="5" t="s">
        <v>128</v>
      </c>
      <c r="J201" s="6"/>
      <c r="K201" s="6"/>
      <c r="L201" s="13" t="s">
        <v>1709</v>
      </c>
      <c r="M201" s="8"/>
      <c r="N201" s="5"/>
      <c r="O201" s="5"/>
      <c r="P201" s="5"/>
      <c r="Q201" s="7">
        <v>3</v>
      </c>
      <c r="R201" s="6" t="s">
        <v>1695</v>
      </c>
      <c r="S201" s="13" t="s">
        <v>1611</v>
      </c>
      <c r="T201" s="6"/>
      <c r="U201" s="7" t="s">
        <v>1737</v>
      </c>
      <c r="V201" s="13"/>
      <c r="W201" s="7">
        <v>7</v>
      </c>
      <c r="X201" s="6" t="s">
        <v>3</v>
      </c>
      <c r="Y201" s="13"/>
      <c r="Z201" s="7">
        <v>1</v>
      </c>
      <c r="AA201" s="6"/>
      <c r="AB201" s="13"/>
      <c r="AC201" s="6"/>
      <c r="AD201" s="6" t="s">
        <v>3</v>
      </c>
      <c r="AE201" s="13"/>
      <c r="AF201" s="6"/>
      <c r="AG201" s="6"/>
      <c r="AH201" s="13"/>
      <c r="AI201" s="6"/>
      <c r="AJ201" s="6"/>
      <c r="AK201" s="13"/>
      <c r="AL201" s="13"/>
      <c r="AM201" s="13"/>
      <c r="AN201" s="13"/>
      <c r="AO201" s="13"/>
      <c r="AP201" s="13"/>
      <c r="AQ201" s="13"/>
    </row>
    <row r="202" spans="1:43" s="2" customFormat="1" x14ac:dyDescent="0.25">
      <c r="A202" s="161" t="str">
        <f t="shared" si="6"/>
        <v>ARCHAEOLOGIST</v>
      </c>
      <c r="B202" s="9" t="s">
        <v>1111</v>
      </c>
      <c r="C202" s="5"/>
      <c r="D202" s="5"/>
      <c r="E202" s="5" t="s">
        <v>1111</v>
      </c>
      <c r="F202" s="5" t="s">
        <v>1111</v>
      </c>
      <c r="G202" s="5"/>
      <c r="H202" s="5" t="s">
        <v>1396</v>
      </c>
      <c r="I202" s="5" t="s">
        <v>128</v>
      </c>
      <c r="J202" s="6"/>
      <c r="K202" s="6"/>
      <c r="L202" s="13" t="s">
        <v>1708</v>
      </c>
      <c r="M202" s="8"/>
      <c r="N202" s="5"/>
      <c r="O202" s="5"/>
      <c r="P202" s="5"/>
      <c r="Q202" s="6">
        <v>1</v>
      </c>
      <c r="R202" s="6" t="s">
        <v>1695</v>
      </c>
      <c r="S202" s="13" t="s">
        <v>1695</v>
      </c>
      <c r="T202" s="6">
        <v>1</v>
      </c>
      <c r="U202" s="7" t="s">
        <v>1737</v>
      </c>
      <c r="V202" s="5"/>
      <c r="W202" s="6"/>
      <c r="X202" s="6" t="s">
        <v>3</v>
      </c>
      <c r="Y202" s="5"/>
      <c r="Z202" s="7">
        <v>1</v>
      </c>
      <c r="AA202" s="6"/>
      <c r="AB202" s="5"/>
      <c r="AC202" s="6"/>
      <c r="AD202" s="6" t="s">
        <v>3</v>
      </c>
      <c r="AE202" s="5"/>
      <c r="AF202" s="6">
        <v>1</v>
      </c>
      <c r="AG202" s="6"/>
      <c r="AH202" s="5"/>
      <c r="AI202" s="6">
        <v>1</v>
      </c>
      <c r="AJ202" s="6"/>
      <c r="AK202" s="5"/>
      <c r="AL202" s="5"/>
      <c r="AM202" s="5"/>
      <c r="AN202" s="5"/>
      <c r="AO202" s="5"/>
      <c r="AP202" s="5"/>
      <c r="AQ202" s="5"/>
    </row>
    <row r="203" spans="1:43" s="2" customFormat="1" x14ac:dyDescent="0.25">
      <c r="A203" s="161" t="str">
        <f t="shared" si="6"/>
        <v>ARCHAEOLOGIST</v>
      </c>
      <c r="B203" s="9" t="s">
        <v>1111</v>
      </c>
      <c r="C203" s="5"/>
      <c r="D203" s="5"/>
      <c r="E203" s="5" t="s">
        <v>1111</v>
      </c>
      <c r="F203" s="5" t="s">
        <v>1111</v>
      </c>
      <c r="G203" s="5" t="s">
        <v>2040</v>
      </c>
      <c r="H203" s="5" t="s">
        <v>1397</v>
      </c>
      <c r="I203" s="5" t="s">
        <v>128</v>
      </c>
      <c r="J203" s="6"/>
      <c r="K203" s="6"/>
      <c r="L203" s="13" t="s">
        <v>1708</v>
      </c>
      <c r="M203" s="8"/>
      <c r="N203" s="5"/>
      <c r="O203" s="5"/>
      <c r="P203" s="5"/>
      <c r="Q203" s="6">
        <v>1</v>
      </c>
      <c r="R203" s="6" t="s">
        <v>1695</v>
      </c>
      <c r="S203" s="13" t="s">
        <v>1695</v>
      </c>
      <c r="T203" s="6">
        <v>1</v>
      </c>
      <c r="U203" s="7" t="s">
        <v>1737</v>
      </c>
      <c r="V203" s="5"/>
      <c r="W203" s="6"/>
      <c r="X203" s="6" t="s">
        <v>3</v>
      </c>
      <c r="Y203" s="5"/>
      <c r="Z203" s="7">
        <v>0</v>
      </c>
      <c r="AA203" s="6"/>
      <c r="AB203" s="5"/>
      <c r="AC203" s="6"/>
      <c r="AD203" s="6" t="s">
        <v>3</v>
      </c>
      <c r="AE203" s="5"/>
      <c r="AF203" s="6">
        <v>1</v>
      </c>
      <c r="AG203" s="6"/>
      <c r="AH203" s="5"/>
      <c r="AI203" s="6">
        <v>1</v>
      </c>
      <c r="AJ203" s="6"/>
      <c r="AK203" s="5"/>
      <c r="AL203" s="5"/>
      <c r="AM203" s="5"/>
      <c r="AN203" s="5"/>
      <c r="AO203" s="5"/>
      <c r="AP203" s="5"/>
      <c r="AQ203" s="5"/>
    </row>
    <row r="204" spans="1:43" s="2" customFormat="1" x14ac:dyDescent="0.25">
      <c r="A204" s="161" t="str">
        <f t="shared" si="6"/>
        <v>ARCHAEOLOGIST</v>
      </c>
      <c r="B204" s="9" t="s">
        <v>1111</v>
      </c>
      <c r="C204" s="5"/>
      <c r="D204" s="5"/>
      <c r="E204" s="5" t="s">
        <v>1111</v>
      </c>
      <c r="F204" s="5" t="s">
        <v>1111</v>
      </c>
      <c r="G204" s="5" t="s">
        <v>2041</v>
      </c>
      <c r="H204" s="5" t="s">
        <v>1398</v>
      </c>
      <c r="I204" s="5" t="s">
        <v>128</v>
      </c>
      <c r="J204" s="6"/>
      <c r="K204" s="6"/>
      <c r="L204" s="13" t="s">
        <v>1708</v>
      </c>
      <c r="M204" s="8"/>
      <c r="N204" s="5"/>
      <c r="O204" s="5"/>
      <c r="P204" s="5"/>
      <c r="Q204" s="6">
        <v>1</v>
      </c>
      <c r="R204" s="6" t="s">
        <v>1695</v>
      </c>
      <c r="S204" s="13" t="s">
        <v>1695</v>
      </c>
      <c r="T204" s="6">
        <v>1</v>
      </c>
      <c r="U204" s="7" t="s">
        <v>1737</v>
      </c>
      <c r="V204" s="5"/>
      <c r="W204" s="6"/>
      <c r="X204" s="6" t="s">
        <v>3</v>
      </c>
      <c r="Y204" s="5"/>
      <c r="Z204" s="7">
        <v>0</v>
      </c>
      <c r="AA204" s="6"/>
      <c r="AB204" s="5"/>
      <c r="AC204" s="6"/>
      <c r="AD204" s="6" t="s">
        <v>3</v>
      </c>
      <c r="AE204" s="5"/>
      <c r="AF204" s="6">
        <v>0</v>
      </c>
      <c r="AG204" s="6"/>
      <c r="AH204" s="5"/>
      <c r="AI204" s="6">
        <v>1</v>
      </c>
      <c r="AJ204" s="6"/>
      <c r="AK204" s="5"/>
      <c r="AL204" s="5"/>
      <c r="AM204" s="5"/>
      <c r="AN204" s="5"/>
      <c r="AO204" s="5"/>
      <c r="AP204" s="5"/>
      <c r="AQ204" s="5"/>
    </row>
    <row r="205" spans="1:43" s="2" customFormat="1" x14ac:dyDescent="0.25">
      <c r="A205" s="161" t="str">
        <f t="shared" si="6"/>
        <v>ARCHER</v>
      </c>
      <c r="B205" s="9" t="s">
        <v>119</v>
      </c>
      <c r="C205" s="5"/>
      <c r="D205" s="5"/>
      <c r="E205" s="5" t="s">
        <v>119</v>
      </c>
      <c r="F205" s="5" t="s">
        <v>119</v>
      </c>
      <c r="G205" s="5" t="s">
        <v>2047</v>
      </c>
      <c r="H205" s="5" t="s">
        <v>1399</v>
      </c>
      <c r="I205" s="5" t="s">
        <v>128</v>
      </c>
      <c r="J205" s="6"/>
      <c r="K205" s="6"/>
      <c r="L205" s="13" t="s">
        <v>1708</v>
      </c>
      <c r="M205" s="8"/>
      <c r="N205" s="5"/>
      <c r="O205" s="5"/>
      <c r="P205" s="5"/>
      <c r="Q205" s="6">
        <v>0</v>
      </c>
      <c r="R205" s="6" t="s">
        <v>1737</v>
      </c>
      <c r="S205" s="13" t="s">
        <v>44</v>
      </c>
      <c r="T205" s="6">
        <v>3</v>
      </c>
      <c r="U205" s="7" t="s">
        <v>1737</v>
      </c>
      <c r="V205" s="5"/>
      <c r="W205" s="6" t="s">
        <v>3</v>
      </c>
      <c r="X205" s="6" t="s">
        <v>3</v>
      </c>
      <c r="Y205" s="5"/>
      <c r="Z205" s="6">
        <v>0</v>
      </c>
      <c r="AA205" s="6"/>
      <c r="AB205" s="5"/>
      <c r="AC205" s="6"/>
      <c r="AD205" s="6" t="s">
        <v>3</v>
      </c>
      <c r="AE205" s="5"/>
      <c r="AF205" s="6">
        <v>0</v>
      </c>
      <c r="AG205" s="6"/>
      <c r="AH205" s="5"/>
      <c r="AI205" s="6">
        <v>0</v>
      </c>
      <c r="AJ205" s="6"/>
      <c r="AK205" s="5"/>
      <c r="AL205" s="5"/>
      <c r="AM205" s="5"/>
      <c r="AN205" s="5"/>
      <c r="AO205" s="5"/>
      <c r="AP205" s="5"/>
      <c r="AQ205" s="5"/>
    </row>
    <row r="206" spans="1:43" s="2" customFormat="1" x14ac:dyDescent="0.25">
      <c r="A206" s="161" t="str">
        <f t="shared" si="6"/>
        <v>ARCHER</v>
      </c>
      <c r="B206" s="9" t="s">
        <v>119</v>
      </c>
      <c r="C206" s="5"/>
      <c r="D206" s="5"/>
      <c r="E206" s="5" t="s">
        <v>119</v>
      </c>
      <c r="F206" s="5" t="s">
        <v>119</v>
      </c>
      <c r="G206" s="5" t="s">
        <v>2049</v>
      </c>
      <c r="H206" s="5" t="s">
        <v>1400</v>
      </c>
      <c r="I206" s="5" t="s">
        <v>128</v>
      </c>
      <c r="J206" s="6"/>
      <c r="K206" s="6"/>
      <c r="L206" s="13" t="s">
        <v>1708</v>
      </c>
      <c r="M206" s="8"/>
      <c r="N206" s="5"/>
      <c r="O206" s="5"/>
      <c r="P206" s="5"/>
      <c r="Q206" s="6">
        <v>3</v>
      </c>
      <c r="R206" s="6" t="s">
        <v>1737</v>
      </c>
      <c r="S206" s="13" t="s">
        <v>44</v>
      </c>
      <c r="T206" s="6">
        <v>3</v>
      </c>
      <c r="U206" s="7" t="s">
        <v>1737</v>
      </c>
      <c r="V206" s="5"/>
      <c r="W206" s="6" t="s">
        <v>3</v>
      </c>
      <c r="X206" s="6" t="s">
        <v>3</v>
      </c>
      <c r="Y206" s="5"/>
      <c r="Z206" s="6">
        <v>1</v>
      </c>
      <c r="AA206" s="6"/>
      <c r="AB206" s="5"/>
      <c r="AC206" s="6"/>
      <c r="AD206" s="6" t="s">
        <v>3</v>
      </c>
      <c r="AE206" s="5"/>
      <c r="AF206" s="6">
        <v>1</v>
      </c>
      <c r="AG206" s="6"/>
      <c r="AH206" s="5"/>
      <c r="AI206" s="6">
        <v>2</v>
      </c>
      <c r="AJ206" s="6"/>
      <c r="AK206" s="5"/>
      <c r="AL206" s="5"/>
      <c r="AM206" s="5"/>
      <c r="AN206" s="5"/>
      <c r="AO206" s="5"/>
      <c r="AP206" s="5"/>
      <c r="AQ206" s="5"/>
    </row>
    <row r="207" spans="1:43" s="2" customFormat="1" x14ac:dyDescent="0.25">
      <c r="A207" s="161" t="str">
        <f t="shared" si="6"/>
        <v>ARCHER</v>
      </c>
      <c r="B207" s="9" t="s">
        <v>119</v>
      </c>
      <c r="C207" s="5"/>
      <c r="D207" s="5"/>
      <c r="E207" s="5" t="s">
        <v>119</v>
      </c>
      <c r="F207" s="5" t="s">
        <v>119</v>
      </c>
      <c r="G207" s="5"/>
      <c r="H207" s="5" t="s">
        <v>44</v>
      </c>
      <c r="I207" s="5" t="s">
        <v>128</v>
      </c>
      <c r="J207" s="6"/>
      <c r="K207" s="6"/>
      <c r="L207" s="13" t="s">
        <v>1708</v>
      </c>
      <c r="M207" s="8"/>
      <c r="N207" s="5"/>
      <c r="O207" s="5"/>
      <c r="P207" s="5"/>
      <c r="Q207" s="6">
        <v>6</v>
      </c>
      <c r="R207" s="6" t="s">
        <v>1737</v>
      </c>
      <c r="S207" s="13" t="s">
        <v>44</v>
      </c>
      <c r="T207" s="6">
        <v>4</v>
      </c>
      <c r="U207" s="7" t="s">
        <v>1737</v>
      </c>
      <c r="V207" s="5"/>
      <c r="W207" s="6" t="s">
        <v>3</v>
      </c>
      <c r="X207" s="6" t="s">
        <v>3</v>
      </c>
      <c r="Y207" s="5"/>
      <c r="Z207" s="6">
        <v>0</v>
      </c>
      <c r="AA207" s="6"/>
      <c r="AB207" s="5"/>
      <c r="AC207" s="6"/>
      <c r="AD207" s="6" t="s">
        <v>3</v>
      </c>
      <c r="AE207" s="5"/>
      <c r="AF207" s="6">
        <v>1</v>
      </c>
      <c r="AG207" s="6"/>
      <c r="AH207" s="5"/>
      <c r="AI207" s="6">
        <v>3</v>
      </c>
      <c r="AJ207" s="6"/>
      <c r="AK207" s="5"/>
      <c r="AL207" s="5"/>
      <c r="AM207" s="5"/>
      <c r="AN207" s="5"/>
      <c r="AO207" s="5"/>
      <c r="AP207" s="5"/>
      <c r="AQ207" s="5"/>
    </row>
    <row r="208" spans="1:43" s="2" customFormat="1" x14ac:dyDescent="0.25">
      <c r="A208" s="161" t="str">
        <f t="shared" si="6"/>
        <v>ARCHER</v>
      </c>
      <c r="B208" s="9" t="s">
        <v>119</v>
      </c>
      <c r="C208" s="5"/>
      <c r="D208" s="5"/>
      <c r="E208" s="5" t="s">
        <v>119</v>
      </c>
      <c r="F208" s="5" t="s">
        <v>119</v>
      </c>
      <c r="G208" s="5" t="s">
        <v>2047</v>
      </c>
      <c r="H208" s="5" t="s">
        <v>1399</v>
      </c>
      <c r="I208" s="5" t="s">
        <v>128</v>
      </c>
      <c r="J208" s="6"/>
      <c r="K208" s="6"/>
      <c r="L208" s="13" t="s">
        <v>1708</v>
      </c>
      <c r="M208" s="8"/>
      <c r="N208" s="5"/>
      <c r="O208" s="5"/>
      <c r="P208" s="5"/>
      <c r="Q208" s="6">
        <v>3</v>
      </c>
      <c r="R208" s="6" t="s">
        <v>1737</v>
      </c>
      <c r="S208" s="13" t="s">
        <v>44</v>
      </c>
      <c r="T208" s="6">
        <v>3</v>
      </c>
      <c r="U208" s="7" t="s">
        <v>1737</v>
      </c>
      <c r="V208" s="5"/>
      <c r="W208" s="7" t="s">
        <v>3</v>
      </c>
      <c r="X208" s="6" t="s">
        <v>3</v>
      </c>
      <c r="Y208" s="5"/>
      <c r="Z208" s="7">
        <v>0</v>
      </c>
      <c r="AA208" s="6"/>
      <c r="AB208" s="5"/>
      <c r="AC208" s="6"/>
      <c r="AD208" s="6" t="s">
        <v>3</v>
      </c>
      <c r="AE208" s="5"/>
      <c r="AF208" s="6">
        <v>1</v>
      </c>
      <c r="AG208" s="6"/>
      <c r="AH208" s="5"/>
      <c r="AI208" s="6">
        <v>2</v>
      </c>
      <c r="AJ208" s="6"/>
      <c r="AK208" s="5"/>
      <c r="AL208" s="5"/>
      <c r="AM208" s="5"/>
      <c r="AN208" s="5"/>
      <c r="AO208" s="5"/>
      <c r="AP208" s="5"/>
      <c r="AQ208" s="5"/>
    </row>
    <row r="209" spans="1:43" s="2" customFormat="1" x14ac:dyDescent="0.25">
      <c r="A209" s="161" t="str">
        <f t="shared" si="6"/>
        <v>ARCHER</v>
      </c>
      <c r="B209" s="9" t="s">
        <v>119</v>
      </c>
      <c r="C209" s="5"/>
      <c r="D209" s="5"/>
      <c r="E209" s="5" t="s">
        <v>119</v>
      </c>
      <c r="F209" s="5" t="s">
        <v>119</v>
      </c>
      <c r="G209" s="5" t="s">
        <v>2049</v>
      </c>
      <c r="H209" s="5" t="s">
        <v>1400</v>
      </c>
      <c r="I209" s="5" t="s">
        <v>128</v>
      </c>
      <c r="J209" s="6"/>
      <c r="K209" s="6"/>
      <c r="L209" s="13" t="s">
        <v>1708</v>
      </c>
      <c r="M209" s="8"/>
      <c r="N209" s="5"/>
      <c r="O209" s="5"/>
      <c r="P209" s="5"/>
      <c r="Q209" s="6">
        <v>0</v>
      </c>
      <c r="R209" s="6" t="s">
        <v>1737</v>
      </c>
      <c r="S209" s="13" t="s">
        <v>44</v>
      </c>
      <c r="T209" s="6">
        <v>3</v>
      </c>
      <c r="U209" s="7" t="s">
        <v>1737</v>
      </c>
      <c r="V209" s="5"/>
      <c r="W209" s="7" t="s">
        <v>3</v>
      </c>
      <c r="X209" s="6" t="s">
        <v>3</v>
      </c>
      <c r="Y209" s="5"/>
      <c r="Z209" s="7">
        <v>0</v>
      </c>
      <c r="AA209" s="6"/>
      <c r="AB209" s="5"/>
      <c r="AC209" s="6"/>
      <c r="AD209" s="6" t="s">
        <v>3</v>
      </c>
      <c r="AE209" s="5"/>
      <c r="AF209" s="6">
        <v>0</v>
      </c>
      <c r="AG209" s="6"/>
      <c r="AH209" s="5"/>
      <c r="AI209" s="6">
        <v>0</v>
      </c>
      <c r="AJ209" s="6"/>
      <c r="AK209" s="5"/>
      <c r="AL209" s="5"/>
      <c r="AM209" s="5"/>
      <c r="AN209" s="5"/>
      <c r="AO209" s="5"/>
      <c r="AP209" s="5"/>
      <c r="AQ209" s="5"/>
    </row>
    <row r="210" spans="1:43" s="2" customFormat="1" x14ac:dyDescent="0.25">
      <c r="A210" s="161" t="str">
        <f t="shared" si="6"/>
        <v>ARCHER_AFRI</v>
      </c>
      <c r="B210" s="9" t="s">
        <v>119</v>
      </c>
      <c r="C210" s="4" t="s">
        <v>694</v>
      </c>
      <c r="D210" s="4"/>
      <c r="E210" s="4" t="s">
        <v>119</v>
      </c>
      <c r="F210" s="4" t="s">
        <v>119</v>
      </c>
      <c r="G210" s="4"/>
      <c r="H210" s="4" t="s">
        <v>319</v>
      </c>
      <c r="I210" s="4" t="s">
        <v>1025</v>
      </c>
      <c r="J210" s="11"/>
      <c r="K210" s="11"/>
      <c r="L210" s="4"/>
      <c r="M210" s="12"/>
      <c r="N210" s="4"/>
      <c r="O210" s="4"/>
      <c r="P210" s="4"/>
      <c r="Q210" s="9" t="s">
        <v>1737</v>
      </c>
      <c r="R210" s="11"/>
      <c r="S210" s="4"/>
      <c r="T210" s="9"/>
      <c r="U210" s="11"/>
      <c r="V210" s="4"/>
      <c r="W210" s="9"/>
      <c r="X210" s="11"/>
      <c r="Y210" s="4"/>
      <c r="Z210" s="9"/>
      <c r="AA210" s="11"/>
      <c r="AB210" s="4"/>
      <c r="AC210" s="11"/>
      <c r="AD210" s="11"/>
      <c r="AE210" s="4"/>
      <c r="AF210" s="9"/>
      <c r="AG210" s="11"/>
      <c r="AH210" s="4"/>
      <c r="AI210" s="9"/>
      <c r="AJ210" s="11"/>
      <c r="AK210" s="4"/>
      <c r="AL210" s="4"/>
      <c r="AM210" s="4"/>
      <c r="AN210" s="4"/>
      <c r="AO210" s="4"/>
      <c r="AP210" s="4"/>
      <c r="AQ210" s="4"/>
    </row>
    <row r="211" spans="1:43" s="2" customFormat="1" x14ac:dyDescent="0.25">
      <c r="A211" s="161" t="str">
        <f t="shared" si="6"/>
        <v>ARCHER_ETHIOPIA</v>
      </c>
      <c r="B211" s="9" t="s">
        <v>119</v>
      </c>
      <c r="C211" s="4" t="s">
        <v>714</v>
      </c>
      <c r="D211" s="4"/>
      <c r="E211" s="4" t="s">
        <v>119</v>
      </c>
      <c r="F211" s="4" t="s">
        <v>119</v>
      </c>
      <c r="G211" s="4"/>
      <c r="H211" s="4" t="s">
        <v>870</v>
      </c>
      <c r="I211" s="4" t="s">
        <v>1025</v>
      </c>
      <c r="J211" s="11"/>
      <c r="K211" s="11"/>
      <c r="L211" s="4"/>
      <c r="M211" s="12"/>
      <c r="N211" s="4"/>
      <c r="O211" s="4"/>
      <c r="P211" s="4"/>
      <c r="Q211" s="11">
        <v>1</v>
      </c>
      <c r="R211" s="11"/>
      <c r="S211" s="4"/>
      <c r="T211" s="11">
        <v>3</v>
      </c>
      <c r="U211" s="11"/>
      <c r="V211" s="4"/>
      <c r="W211" s="11"/>
      <c r="X211" s="11"/>
      <c r="Y211" s="4"/>
      <c r="Z211" s="9">
        <v>1</v>
      </c>
      <c r="AA211" s="11"/>
      <c r="AB211" s="4"/>
      <c r="AC211" s="11"/>
      <c r="AD211" s="11"/>
      <c r="AE211" s="4"/>
      <c r="AF211" s="11" t="s">
        <v>1737</v>
      </c>
      <c r="AG211" s="11"/>
      <c r="AH211" s="4"/>
      <c r="AI211" s="11">
        <v>3</v>
      </c>
      <c r="AJ211" s="11"/>
      <c r="AK211" s="4"/>
      <c r="AL211" s="4"/>
      <c r="AM211" s="4"/>
      <c r="AN211" s="4"/>
      <c r="AO211" s="4"/>
      <c r="AP211" s="4"/>
      <c r="AQ211" s="4"/>
    </row>
    <row r="212" spans="1:43" s="2" customFormat="1" x14ac:dyDescent="0.25">
      <c r="A212" s="161" t="str">
        <f t="shared" si="6"/>
        <v>ARCHER_ETHIOPIA</v>
      </c>
      <c r="B212" s="9" t="s">
        <v>119</v>
      </c>
      <c r="C212" s="4" t="s">
        <v>714</v>
      </c>
      <c r="D212" s="4"/>
      <c r="E212" s="4" t="s">
        <v>119</v>
      </c>
      <c r="F212" s="4" t="s">
        <v>119</v>
      </c>
      <c r="G212" s="4" t="s">
        <v>2047</v>
      </c>
      <c r="H212" s="4" t="s">
        <v>319</v>
      </c>
      <c r="I212" s="4" t="s">
        <v>1025</v>
      </c>
      <c r="J212" s="11"/>
      <c r="K212" s="11"/>
      <c r="L212" s="4"/>
      <c r="M212" s="12"/>
      <c r="N212" s="4"/>
      <c r="O212" s="4"/>
      <c r="P212" s="4"/>
      <c r="Q212" s="11">
        <v>2</v>
      </c>
      <c r="R212" s="11"/>
      <c r="S212" s="4"/>
      <c r="T212" s="11">
        <v>2</v>
      </c>
      <c r="U212" s="11"/>
      <c r="V212" s="4"/>
      <c r="W212" s="11"/>
      <c r="X212" s="11"/>
      <c r="Y212" s="4"/>
      <c r="Z212" s="9">
        <v>0</v>
      </c>
      <c r="AA212" s="11"/>
      <c r="AB212" s="4"/>
      <c r="AC212" s="11"/>
      <c r="AD212" s="11"/>
      <c r="AE212" s="4"/>
      <c r="AF212" s="11">
        <v>2</v>
      </c>
      <c r="AG212" s="11"/>
      <c r="AH212" s="4"/>
      <c r="AI212" s="11">
        <v>2</v>
      </c>
      <c r="AJ212" s="11"/>
      <c r="AK212" s="4"/>
      <c r="AL212" s="4"/>
      <c r="AM212" s="4"/>
      <c r="AN212" s="4"/>
      <c r="AO212" s="4"/>
      <c r="AP212" s="4"/>
      <c r="AQ212" s="4"/>
    </row>
    <row r="213" spans="1:43" s="2" customFormat="1" x14ac:dyDescent="0.25">
      <c r="A213" s="161" t="str">
        <f t="shared" si="6"/>
        <v>ARCHER_ETHIOPIA</v>
      </c>
      <c r="B213" s="9" t="s">
        <v>119</v>
      </c>
      <c r="C213" s="4" t="s">
        <v>714</v>
      </c>
      <c r="D213" s="4"/>
      <c r="E213" s="4" t="s">
        <v>119</v>
      </c>
      <c r="F213" s="4" t="s">
        <v>119</v>
      </c>
      <c r="G213" s="4"/>
      <c r="H213" s="4" t="s">
        <v>870</v>
      </c>
      <c r="I213" s="4" t="s">
        <v>1025</v>
      </c>
      <c r="J213" s="11"/>
      <c r="K213" s="11"/>
      <c r="L213" s="4"/>
      <c r="M213" s="12"/>
      <c r="N213" s="4"/>
      <c r="O213" s="4"/>
      <c r="P213" s="4"/>
      <c r="Q213" s="11">
        <v>3</v>
      </c>
      <c r="R213" s="11"/>
      <c r="S213" s="4"/>
      <c r="T213" s="11">
        <v>3</v>
      </c>
      <c r="U213" s="11"/>
      <c r="V213" s="4"/>
      <c r="W213" s="11"/>
      <c r="X213" s="11"/>
      <c r="Y213" s="4"/>
      <c r="Z213" s="9">
        <v>0</v>
      </c>
      <c r="AA213" s="11"/>
      <c r="AB213" s="4"/>
      <c r="AC213" s="11"/>
      <c r="AD213" s="11"/>
      <c r="AE213" s="4"/>
      <c r="AF213" s="11" t="s">
        <v>1737</v>
      </c>
      <c r="AG213" s="11"/>
      <c r="AH213" s="4"/>
      <c r="AI213" s="11">
        <v>3</v>
      </c>
      <c r="AJ213" s="11"/>
      <c r="AK213" s="4"/>
      <c r="AL213" s="4"/>
      <c r="AM213" s="4"/>
      <c r="AN213" s="4"/>
      <c r="AO213" s="4"/>
      <c r="AP213" s="4"/>
      <c r="AQ213" s="4"/>
    </row>
    <row r="214" spans="1:43" s="2" customFormat="1" x14ac:dyDescent="0.25">
      <c r="A214" s="161" t="str">
        <f t="shared" si="6"/>
        <v>ARCHER_ETHIOPIA</v>
      </c>
      <c r="B214" s="9" t="s">
        <v>119</v>
      </c>
      <c r="C214" s="4" t="s">
        <v>714</v>
      </c>
      <c r="D214" s="4"/>
      <c r="E214" s="4" t="s">
        <v>119</v>
      </c>
      <c r="F214" s="4" t="s">
        <v>119</v>
      </c>
      <c r="G214" s="4" t="s">
        <v>2047</v>
      </c>
      <c r="H214" s="4" t="s">
        <v>319</v>
      </c>
      <c r="I214" s="4" t="s">
        <v>1025</v>
      </c>
      <c r="J214" s="11"/>
      <c r="K214" s="11"/>
      <c r="L214" s="4"/>
      <c r="M214" s="12"/>
      <c r="N214" s="4"/>
      <c r="O214" s="4"/>
      <c r="P214" s="4"/>
      <c r="Q214" s="9">
        <v>1</v>
      </c>
      <c r="R214" s="11"/>
      <c r="S214" s="4"/>
      <c r="T214" s="11">
        <v>3</v>
      </c>
      <c r="U214" s="11"/>
      <c r="V214" s="4"/>
      <c r="W214" s="11"/>
      <c r="X214" s="11"/>
      <c r="Y214" s="4"/>
      <c r="Z214" s="9">
        <v>0</v>
      </c>
      <c r="AA214" s="11"/>
      <c r="AB214" s="4"/>
      <c r="AC214" s="11"/>
      <c r="AD214" s="11"/>
      <c r="AE214" s="4"/>
      <c r="AF214" s="11" t="s">
        <v>1737</v>
      </c>
      <c r="AG214" s="11"/>
      <c r="AH214" s="4"/>
      <c r="AI214" s="11">
        <v>3</v>
      </c>
      <c r="AJ214" s="11"/>
      <c r="AK214" s="4"/>
      <c r="AL214" s="4"/>
      <c r="AM214" s="4"/>
      <c r="AN214" s="4"/>
      <c r="AO214" s="4"/>
      <c r="AP214" s="4"/>
      <c r="AQ214" s="4"/>
    </row>
    <row r="215" spans="1:43" s="2" customFormat="1" x14ac:dyDescent="0.25">
      <c r="A215" s="161" t="str">
        <f t="shared" si="6"/>
        <v>ARCHER_ETHIOPIA</v>
      </c>
      <c r="B215" s="9" t="s">
        <v>119</v>
      </c>
      <c r="C215" s="4" t="s">
        <v>714</v>
      </c>
      <c r="D215" s="4"/>
      <c r="E215" s="4" t="s">
        <v>119</v>
      </c>
      <c r="F215" s="4" t="s">
        <v>119</v>
      </c>
      <c r="G215" s="4"/>
      <c r="H215" s="4" t="s">
        <v>870</v>
      </c>
      <c r="I215" s="4" t="s">
        <v>1025</v>
      </c>
      <c r="J215" s="11"/>
      <c r="K215" s="11"/>
      <c r="L215" s="4"/>
      <c r="M215" s="12"/>
      <c r="N215" s="4"/>
      <c r="O215" s="4"/>
      <c r="P215" s="4"/>
      <c r="Q215" s="9">
        <v>2</v>
      </c>
      <c r="R215" s="11"/>
      <c r="S215" s="4"/>
      <c r="T215" s="11">
        <v>2</v>
      </c>
      <c r="U215" s="11"/>
      <c r="V215" s="4"/>
      <c r="W215" s="11"/>
      <c r="X215" s="11"/>
      <c r="Y215" s="4"/>
      <c r="Z215" s="9">
        <v>0</v>
      </c>
      <c r="AA215" s="11"/>
      <c r="AB215" s="4"/>
      <c r="AC215" s="11"/>
      <c r="AD215" s="11"/>
      <c r="AE215" s="4"/>
      <c r="AF215" s="11">
        <v>2</v>
      </c>
      <c r="AG215" s="11"/>
      <c r="AH215" s="4"/>
      <c r="AI215" s="11">
        <v>2</v>
      </c>
      <c r="AJ215" s="11"/>
      <c r="AK215" s="4"/>
      <c r="AL215" s="4"/>
      <c r="AM215" s="4"/>
      <c r="AN215" s="4"/>
      <c r="AO215" s="4"/>
      <c r="AP215" s="4"/>
      <c r="AQ215" s="4"/>
    </row>
    <row r="216" spans="1:43" s="2" customFormat="1" x14ac:dyDescent="0.25">
      <c r="A216" s="161" t="str">
        <f t="shared" si="6"/>
        <v>ARCHER_ETHIOPIA</v>
      </c>
      <c r="B216" s="9" t="s">
        <v>119</v>
      </c>
      <c r="C216" s="4" t="s">
        <v>714</v>
      </c>
      <c r="D216" s="4"/>
      <c r="E216" s="4" t="s">
        <v>119</v>
      </c>
      <c r="F216" s="4" t="s">
        <v>119</v>
      </c>
      <c r="G216" s="4" t="s">
        <v>2047</v>
      </c>
      <c r="H216" s="4" t="s">
        <v>319</v>
      </c>
      <c r="I216" s="4" t="s">
        <v>1025</v>
      </c>
      <c r="J216" s="11"/>
      <c r="K216" s="11"/>
      <c r="L216" s="4"/>
      <c r="M216" s="12"/>
      <c r="N216" s="4"/>
      <c r="O216" s="4"/>
      <c r="P216" s="4"/>
      <c r="Q216" s="9">
        <v>3</v>
      </c>
      <c r="R216" s="11"/>
      <c r="S216" s="4"/>
      <c r="T216" s="11">
        <v>3</v>
      </c>
      <c r="U216" s="11"/>
      <c r="V216" s="4"/>
      <c r="W216" s="11"/>
      <c r="X216" s="11"/>
      <c r="Y216" s="4"/>
      <c r="Z216" s="9">
        <v>0</v>
      </c>
      <c r="AA216" s="11"/>
      <c r="AB216" s="4"/>
      <c r="AC216" s="11"/>
      <c r="AD216" s="11"/>
      <c r="AE216" s="4"/>
      <c r="AF216" s="11" t="s">
        <v>1737</v>
      </c>
      <c r="AG216" s="11"/>
      <c r="AH216" s="4"/>
      <c r="AI216" s="11">
        <v>3</v>
      </c>
      <c r="AJ216" s="11"/>
      <c r="AK216" s="4"/>
      <c r="AL216" s="4"/>
      <c r="AM216" s="4"/>
      <c r="AN216" s="4"/>
      <c r="AO216" s="4"/>
      <c r="AP216" s="4"/>
      <c r="AQ216" s="4"/>
    </row>
    <row r="217" spans="1:43" s="2" customFormat="1" x14ac:dyDescent="0.25">
      <c r="A217" s="161" t="str">
        <f t="shared" si="6"/>
        <v>ARCHER_SONGHAI</v>
      </c>
      <c r="B217" s="9" t="s">
        <v>119</v>
      </c>
      <c r="C217" s="4" t="s">
        <v>737</v>
      </c>
      <c r="D217" s="4"/>
      <c r="E217" s="4" t="s">
        <v>119</v>
      </c>
      <c r="F217" s="4" t="s">
        <v>119</v>
      </c>
      <c r="G217" s="4"/>
      <c r="H217" s="4" t="s">
        <v>1967</v>
      </c>
      <c r="I217" s="4" t="s">
        <v>1025</v>
      </c>
      <c r="J217" s="11"/>
      <c r="K217" s="11"/>
      <c r="L217" s="4"/>
      <c r="M217" s="12"/>
      <c r="N217" s="4"/>
      <c r="O217" s="4"/>
      <c r="P217" s="4"/>
      <c r="Q217" s="9"/>
      <c r="R217" s="11"/>
      <c r="S217" s="4"/>
      <c r="T217" s="11"/>
      <c r="U217" s="11"/>
      <c r="V217" s="4"/>
      <c r="W217" s="11"/>
      <c r="X217" s="11"/>
      <c r="Y217" s="4"/>
      <c r="Z217" s="9"/>
      <c r="AA217" s="11"/>
      <c r="AB217" s="4"/>
      <c r="AC217" s="11"/>
      <c r="AD217" s="11"/>
      <c r="AE217" s="4"/>
      <c r="AF217" s="11"/>
      <c r="AG217" s="11"/>
      <c r="AH217" s="4"/>
      <c r="AI217" s="11"/>
      <c r="AJ217" s="11"/>
      <c r="AK217" s="4"/>
      <c r="AL217" s="4"/>
      <c r="AM217" s="4"/>
      <c r="AN217" s="4"/>
      <c r="AO217" s="4"/>
      <c r="AP217" s="4"/>
      <c r="AQ217" s="4"/>
    </row>
    <row r="218" spans="1:43" s="2" customFormat="1" x14ac:dyDescent="0.25">
      <c r="A218" s="161" t="str">
        <f t="shared" si="6"/>
        <v>ARCHER_AMER</v>
      </c>
      <c r="B218" s="9" t="s">
        <v>119</v>
      </c>
      <c r="C218" s="4" t="s">
        <v>697</v>
      </c>
      <c r="D218" s="4"/>
      <c r="E218" s="4" t="s">
        <v>119</v>
      </c>
      <c r="F218" s="4" t="s">
        <v>119</v>
      </c>
      <c r="G218" s="4"/>
      <c r="H218" s="4" t="s">
        <v>458</v>
      </c>
      <c r="I218" s="4" t="s">
        <v>1935</v>
      </c>
      <c r="J218" s="11"/>
      <c r="K218" s="11"/>
      <c r="L218" s="4"/>
      <c r="M218" s="12"/>
      <c r="N218" s="4"/>
      <c r="O218" s="4"/>
      <c r="P218" s="4"/>
      <c r="Q218" s="9" t="s">
        <v>1737</v>
      </c>
      <c r="R218" s="11"/>
      <c r="S218" s="4"/>
      <c r="T218" s="9"/>
      <c r="U218" s="11"/>
      <c r="V218" s="4"/>
      <c r="W218" s="9"/>
      <c r="X218" s="11"/>
      <c r="Y218" s="4"/>
      <c r="Z218" s="9"/>
      <c r="AA218" s="11"/>
      <c r="AB218" s="4"/>
      <c r="AC218" s="11"/>
      <c r="AD218" s="11"/>
      <c r="AE218" s="4"/>
      <c r="AF218" s="9"/>
      <c r="AG218" s="11"/>
      <c r="AH218" s="4"/>
      <c r="AI218" s="9"/>
      <c r="AJ218" s="11"/>
      <c r="AK218" s="4"/>
      <c r="AL218" s="4"/>
      <c r="AM218" s="4"/>
      <c r="AN218" s="4"/>
      <c r="AO218" s="4"/>
      <c r="AP218" s="4"/>
      <c r="AQ218" s="4"/>
    </row>
    <row r="219" spans="1:43" s="2" customFormat="1" x14ac:dyDescent="0.25">
      <c r="A219" s="161" t="str">
        <f t="shared" ref="A219:A288" si="7">CONCATENATE(E219,IF(ISBLANK(C219),"",CONCATENATE("_",C219)))</f>
        <v>ARCHER_ASIA</v>
      </c>
      <c r="B219" s="9" t="s">
        <v>119</v>
      </c>
      <c r="C219" s="4" t="s">
        <v>693</v>
      </c>
      <c r="D219" s="4"/>
      <c r="E219" s="4" t="s">
        <v>119</v>
      </c>
      <c r="F219" s="4" t="s">
        <v>119</v>
      </c>
      <c r="G219" s="4"/>
      <c r="H219" s="4" t="s">
        <v>446</v>
      </c>
      <c r="I219" s="4" t="s">
        <v>102</v>
      </c>
      <c r="J219" s="11"/>
      <c r="K219" s="11"/>
      <c r="L219" s="4"/>
      <c r="M219" s="12"/>
      <c r="N219" s="4"/>
      <c r="O219" s="4"/>
      <c r="P219" s="4"/>
      <c r="Q219" s="9" t="s">
        <v>1737</v>
      </c>
      <c r="R219" s="11"/>
      <c r="S219" s="4"/>
      <c r="T219" s="9"/>
      <c r="U219" s="11"/>
      <c r="V219" s="4"/>
      <c r="W219" s="9"/>
      <c r="X219" s="11"/>
      <c r="Y219" s="4"/>
      <c r="Z219" s="9"/>
      <c r="AA219" s="11"/>
      <c r="AB219" s="4"/>
      <c r="AC219" s="11"/>
      <c r="AD219" s="11"/>
      <c r="AE219" s="4"/>
      <c r="AF219" s="9"/>
      <c r="AG219" s="11"/>
      <c r="AH219" s="4"/>
      <c r="AI219" s="9"/>
      <c r="AJ219" s="11"/>
      <c r="AK219" s="4"/>
      <c r="AL219" s="4"/>
      <c r="AM219" s="4"/>
      <c r="AN219" s="4"/>
      <c r="AO219" s="4"/>
      <c r="AP219" s="4"/>
      <c r="AQ219" s="4"/>
    </row>
    <row r="220" spans="1:43" s="2" customFormat="1" x14ac:dyDescent="0.25">
      <c r="A220" s="161" t="str">
        <f t="shared" si="7"/>
        <v>ARCHER_CHINA</v>
      </c>
      <c r="B220" s="9" t="s">
        <v>119</v>
      </c>
      <c r="C220" s="4" t="s">
        <v>710</v>
      </c>
      <c r="D220" s="4"/>
      <c r="E220" s="4" t="s">
        <v>119</v>
      </c>
      <c r="F220" s="4" t="s">
        <v>119</v>
      </c>
      <c r="G220" s="14" t="s">
        <v>132</v>
      </c>
      <c r="H220" s="4" t="s">
        <v>242</v>
      </c>
      <c r="I220" s="4" t="s">
        <v>102</v>
      </c>
      <c r="J220" s="11"/>
      <c r="K220" s="11"/>
      <c r="L220" s="4"/>
      <c r="M220" s="12"/>
      <c r="N220" s="4"/>
      <c r="O220" s="4"/>
      <c r="P220" s="4"/>
      <c r="Q220" s="9" t="s">
        <v>1737</v>
      </c>
      <c r="R220" s="11"/>
      <c r="S220" s="4"/>
      <c r="T220" s="9"/>
      <c r="U220" s="11"/>
      <c r="V220" s="4"/>
      <c r="W220" s="9"/>
      <c r="X220" s="11"/>
      <c r="Y220" s="4"/>
      <c r="Z220" s="9"/>
      <c r="AA220" s="11"/>
      <c r="AB220" s="4"/>
      <c r="AC220" s="11"/>
      <c r="AD220" s="11"/>
      <c r="AE220" s="4"/>
      <c r="AF220" s="9"/>
      <c r="AG220" s="11"/>
      <c r="AH220" s="4"/>
      <c r="AI220" s="9"/>
      <c r="AJ220" s="11"/>
      <c r="AK220" s="4"/>
      <c r="AL220" s="4"/>
      <c r="AM220" s="4"/>
      <c r="AN220" s="4"/>
      <c r="AO220" s="4"/>
      <c r="AP220" s="4"/>
      <c r="AQ220" s="4"/>
    </row>
    <row r="221" spans="1:43" s="2" customFormat="1" x14ac:dyDescent="0.25">
      <c r="A221" s="161" t="str">
        <f t="shared" si="7"/>
        <v>ARCHER_JAPAN</v>
      </c>
      <c r="B221" s="9" t="s">
        <v>119</v>
      </c>
      <c r="C221" s="4" t="s">
        <v>722</v>
      </c>
      <c r="D221" s="4"/>
      <c r="E221" s="4" t="s">
        <v>119</v>
      </c>
      <c r="F221" s="4" t="s">
        <v>119</v>
      </c>
      <c r="G221" s="14" t="s">
        <v>132</v>
      </c>
      <c r="H221" s="4" t="s">
        <v>473</v>
      </c>
      <c r="I221" s="10" t="s">
        <v>102</v>
      </c>
      <c r="J221" s="11"/>
      <c r="K221" s="11"/>
      <c r="L221" s="4"/>
      <c r="M221" s="12"/>
      <c r="N221" s="4"/>
      <c r="O221" s="4"/>
      <c r="P221" s="4"/>
      <c r="Q221" s="9" t="s">
        <v>1737</v>
      </c>
      <c r="R221" s="11"/>
      <c r="S221" s="4"/>
      <c r="T221" s="9"/>
      <c r="U221" s="11"/>
      <c r="V221" s="4"/>
      <c r="W221" s="9"/>
      <c r="X221" s="11"/>
      <c r="Y221" s="4"/>
      <c r="Z221" s="9"/>
      <c r="AA221" s="11"/>
      <c r="AB221" s="4"/>
      <c r="AC221" s="11"/>
      <c r="AD221" s="11"/>
      <c r="AE221" s="4"/>
      <c r="AF221" s="9"/>
      <c r="AG221" s="11"/>
      <c r="AH221" s="4"/>
      <c r="AI221" s="9"/>
      <c r="AJ221" s="11"/>
      <c r="AK221" s="4"/>
      <c r="AL221" s="4"/>
      <c r="AM221" s="4"/>
      <c r="AN221" s="4"/>
      <c r="AO221" s="4"/>
      <c r="AP221" s="4"/>
      <c r="AQ221" s="4"/>
    </row>
    <row r="222" spans="1:43" s="2" customFormat="1" x14ac:dyDescent="0.25">
      <c r="A222" s="161" t="str">
        <f t="shared" si="7"/>
        <v>ARCHER_KOREA</v>
      </c>
      <c r="B222" s="9" t="s">
        <v>119</v>
      </c>
      <c r="C222" s="4" t="s">
        <v>723</v>
      </c>
      <c r="D222" s="4"/>
      <c r="E222" s="4" t="s">
        <v>119</v>
      </c>
      <c r="F222" s="4" t="s">
        <v>119</v>
      </c>
      <c r="G222" s="14" t="s">
        <v>132</v>
      </c>
      <c r="H222" s="4" t="s">
        <v>496</v>
      </c>
      <c r="I222" s="4" t="s">
        <v>102</v>
      </c>
      <c r="J222" s="11"/>
      <c r="K222" s="11"/>
      <c r="L222" s="4"/>
      <c r="M222" s="12"/>
      <c r="N222" s="4"/>
      <c r="O222" s="4"/>
      <c r="P222" s="4"/>
      <c r="Q222" s="9" t="s">
        <v>1737</v>
      </c>
      <c r="R222" s="11"/>
      <c r="S222" s="4"/>
      <c r="T222" s="9"/>
      <c r="U222" s="11"/>
      <c r="V222" s="4"/>
      <c r="W222" s="9"/>
      <c r="X222" s="11"/>
      <c r="Y222" s="4"/>
      <c r="Z222" s="9"/>
      <c r="AA222" s="11"/>
      <c r="AB222" s="4"/>
      <c r="AC222" s="11"/>
      <c r="AD222" s="11"/>
      <c r="AE222" s="4"/>
      <c r="AF222" s="9"/>
      <c r="AG222" s="11"/>
      <c r="AH222" s="4"/>
      <c r="AI222" s="9"/>
      <c r="AJ222" s="11"/>
      <c r="AK222" s="4"/>
      <c r="AL222" s="4"/>
      <c r="AM222" s="4"/>
      <c r="AN222" s="4"/>
      <c r="AO222" s="4"/>
      <c r="AP222" s="4"/>
      <c r="AQ222" s="4"/>
    </row>
    <row r="223" spans="1:43" s="2" customFormat="1" x14ac:dyDescent="0.25">
      <c r="A223" s="161" t="str">
        <f t="shared" si="7"/>
        <v>ARCHER_MONGOL</v>
      </c>
      <c r="B223" s="9" t="s">
        <v>119</v>
      </c>
      <c r="C223" s="4" t="s">
        <v>728</v>
      </c>
      <c r="D223" s="4"/>
      <c r="E223" s="4" t="s">
        <v>119</v>
      </c>
      <c r="F223" s="4" t="s">
        <v>119</v>
      </c>
      <c r="G223" s="4"/>
      <c r="H223" s="4" t="s">
        <v>976</v>
      </c>
      <c r="I223" s="4" t="s">
        <v>2098</v>
      </c>
      <c r="J223" s="11"/>
      <c r="K223" s="11"/>
      <c r="L223" s="4"/>
      <c r="M223" s="12"/>
      <c r="N223" s="4"/>
      <c r="O223" s="4"/>
      <c r="P223" s="4"/>
      <c r="Q223" s="11">
        <v>3</v>
      </c>
      <c r="R223" s="11"/>
      <c r="S223" s="4"/>
      <c r="T223" s="11">
        <v>3</v>
      </c>
      <c r="U223" s="11"/>
      <c r="V223" s="4"/>
      <c r="W223" s="11"/>
      <c r="X223" s="11"/>
      <c r="Y223" s="4"/>
      <c r="Z223" s="9">
        <v>1</v>
      </c>
      <c r="AA223" s="11"/>
      <c r="AB223" s="4"/>
      <c r="AC223" s="11"/>
      <c r="AD223" s="11"/>
      <c r="AE223" s="4"/>
      <c r="AF223" s="11">
        <v>1</v>
      </c>
      <c r="AG223" s="11"/>
      <c r="AH223" s="4"/>
      <c r="AI223" s="11">
        <v>1</v>
      </c>
      <c r="AJ223" s="11"/>
      <c r="AK223" s="4"/>
      <c r="AL223" s="4"/>
      <c r="AM223" s="4"/>
      <c r="AN223" s="4"/>
      <c r="AO223" s="4"/>
      <c r="AP223" s="4"/>
      <c r="AQ223" s="4"/>
    </row>
    <row r="224" spans="1:43" s="2" customFormat="1" x14ac:dyDescent="0.25">
      <c r="A224" s="161" t="str">
        <f t="shared" si="7"/>
        <v>ARCHER_MONGOL</v>
      </c>
      <c r="B224" s="9" t="s">
        <v>119</v>
      </c>
      <c r="C224" s="4" t="s">
        <v>728</v>
      </c>
      <c r="D224" s="4"/>
      <c r="E224" s="4" t="s">
        <v>119</v>
      </c>
      <c r="F224" s="4" t="s">
        <v>119</v>
      </c>
      <c r="G224" s="4" t="s">
        <v>2047</v>
      </c>
      <c r="H224" s="4" t="s">
        <v>526</v>
      </c>
      <c r="I224" s="4" t="s">
        <v>2098</v>
      </c>
      <c r="J224" s="11"/>
      <c r="K224" s="11"/>
      <c r="L224" s="4"/>
      <c r="M224" s="12"/>
      <c r="N224" s="4"/>
      <c r="O224" s="4"/>
      <c r="P224" s="4"/>
      <c r="Q224" s="11">
        <v>2</v>
      </c>
      <c r="R224" s="11"/>
      <c r="S224" s="4"/>
      <c r="T224" s="11">
        <v>5</v>
      </c>
      <c r="U224" s="11"/>
      <c r="V224" s="4"/>
      <c r="W224" s="11"/>
      <c r="X224" s="11"/>
      <c r="Y224" s="4"/>
      <c r="Z224" s="9">
        <v>0</v>
      </c>
      <c r="AA224" s="11"/>
      <c r="AB224" s="4"/>
      <c r="AC224" s="11"/>
      <c r="AD224" s="11"/>
      <c r="AE224" s="4"/>
      <c r="AF224" s="11">
        <v>1</v>
      </c>
      <c r="AG224" s="11"/>
      <c r="AH224" s="4"/>
      <c r="AI224" s="11">
        <v>1</v>
      </c>
      <c r="AJ224" s="11"/>
      <c r="AK224" s="4"/>
      <c r="AL224" s="4"/>
      <c r="AM224" s="4"/>
      <c r="AN224" s="4"/>
      <c r="AO224" s="4"/>
      <c r="AP224" s="4"/>
      <c r="AQ224" s="4"/>
    </row>
    <row r="225" spans="1:43" s="2" customFormat="1" x14ac:dyDescent="0.25">
      <c r="A225" s="161" t="str">
        <f t="shared" si="7"/>
        <v>ARCHER_MONGOL</v>
      </c>
      <c r="B225" s="9" t="s">
        <v>119</v>
      </c>
      <c r="C225" s="4" t="s">
        <v>728</v>
      </c>
      <c r="D225" s="4"/>
      <c r="E225" s="4" t="s">
        <v>119</v>
      </c>
      <c r="F225" s="4" t="s">
        <v>119</v>
      </c>
      <c r="G225" s="4"/>
      <c r="H225" s="4" t="s">
        <v>976</v>
      </c>
      <c r="I225" s="4" t="s">
        <v>2098</v>
      </c>
      <c r="J225" s="11"/>
      <c r="K225" s="11"/>
      <c r="L225" s="4"/>
      <c r="M225" s="12"/>
      <c r="N225" s="4"/>
      <c r="O225" s="4"/>
      <c r="P225" s="4"/>
      <c r="Q225" s="11">
        <v>1</v>
      </c>
      <c r="R225" s="11"/>
      <c r="S225" s="4"/>
      <c r="T225" s="11">
        <v>3</v>
      </c>
      <c r="U225" s="11"/>
      <c r="V225" s="4"/>
      <c r="W225" s="11"/>
      <c r="X225" s="11"/>
      <c r="Y225" s="4"/>
      <c r="Z225" s="9">
        <v>0</v>
      </c>
      <c r="AA225" s="11"/>
      <c r="AB225" s="4"/>
      <c r="AC225" s="11"/>
      <c r="AD225" s="11"/>
      <c r="AE225" s="4"/>
      <c r="AF225" s="11">
        <v>1</v>
      </c>
      <c r="AG225" s="11"/>
      <c r="AH225" s="4"/>
      <c r="AI225" s="11">
        <v>1</v>
      </c>
      <c r="AJ225" s="11"/>
      <c r="AK225" s="4"/>
      <c r="AL225" s="4"/>
      <c r="AM225" s="4"/>
      <c r="AN225" s="4"/>
      <c r="AO225" s="4"/>
      <c r="AP225" s="4"/>
      <c r="AQ225" s="4"/>
    </row>
    <row r="226" spans="1:43" s="2" customFormat="1" x14ac:dyDescent="0.25">
      <c r="A226" s="161" t="str">
        <f t="shared" si="7"/>
        <v>ARCHER_MONGOL</v>
      </c>
      <c r="B226" s="9" t="s">
        <v>119</v>
      </c>
      <c r="C226" s="4" t="s">
        <v>728</v>
      </c>
      <c r="D226" s="4"/>
      <c r="E226" s="4" t="s">
        <v>119</v>
      </c>
      <c r="F226" s="4" t="s">
        <v>119</v>
      </c>
      <c r="G226" s="4" t="s">
        <v>2047</v>
      </c>
      <c r="H226" s="4" t="s">
        <v>526</v>
      </c>
      <c r="I226" s="4" t="s">
        <v>2098</v>
      </c>
      <c r="J226" s="11"/>
      <c r="K226" s="11"/>
      <c r="L226" s="4"/>
      <c r="M226" s="12"/>
      <c r="N226" s="4"/>
      <c r="O226" s="4"/>
      <c r="P226" s="4"/>
      <c r="Q226" s="9">
        <v>3</v>
      </c>
      <c r="R226" s="11"/>
      <c r="S226" s="4"/>
      <c r="T226" s="11">
        <v>1</v>
      </c>
      <c r="U226" s="11"/>
      <c r="V226" s="4"/>
      <c r="W226" s="11"/>
      <c r="X226" s="11"/>
      <c r="Y226" s="4"/>
      <c r="Z226" s="9">
        <v>0</v>
      </c>
      <c r="AA226" s="11"/>
      <c r="AB226" s="4"/>
      <c r="AC226" s="11"/>
      <c r="AD226" s="11"/>
      <c r="AE226" s="4"/>
      <c r="AF226" s="11">
        <v>0</v>
      </c>
      <c r="AG226" s="11"/>
      <c r="AH226" s="4"/>
      <c r="AI226" s="11">
        <v>1</v>
      </c>
      <c r="AJ226" s="11"/>
      <c r="AK226" s="4"/>
      <c r="AL226" s="4"/>
      <c r="AM226" s="4"/>
      <c r="AN226" s="4"/>
      <c r="AO226" s="4"/>
      <c r="AP226" s="4"/>
      <c r="AQ226" s="4"/>
    </row>
    <row r="227" spans="1:43" s="2" customFormat="1" x14ac:dyDescent="0.25">
      <c r="A227" s="161" t="str">
        <f t="shared" si="7"/>
        <v>ARCHER_MONGOL</v>
      </c>
      <c r="B227" s="9" t="s">
        <v>119</v>
      </c>
      <c r="C227" s="4" t="s">
        <v>728</v>
      </c>
      <c r="D227" s="4"/>
      <c r="E227" s="4" t="s">
        <v>119</v>
      </c>
      <c r="F227" s="4" t="s">
        <v>119</v>
      </c>
      <c r="G227" s="4"/>
      <c r="H227" s="4" t="s">
        <v>976</v>
      </c>
      <c r="I227" s="4" t="s">
        <v>2098</v>
      </c>
      <c r="J227" s="11"/>
      <c r="K227" s="11"/>
      <c r="L227" s="4"/>
      <c r="M227" s="12"/>
      <c r="N227" s="4"/>
      <c r="O227" s="4"/>
      <c r="P227" s="4"/>
      <c r="Q227" s="9">
        <v>2</v>
      </c>
      <c r="R227" s="11"/>
      <c r="S227" s="4"/>
      <c r="T227" s="11">
        <v>2</v>
      </c>
      <c r="U227" s="11"/>
      <c r="V227" s="4"/>
      <c r="W227" s="11"/>
      <c r="X227" s="11"/>
      <c r="Y227" s="4"/>
      <c r="Z227" s="9">
        <v>0</v>
      </c>
      <c r="AA227" s="11"/>
      <c r="AB227" s="4"/>
      <c r="AC227" s="11"/>
      <c r="AD227" s="11"/>
      <c r="AE227" s="4"/>
      <c r="AF227" s="11">
        <v>0</v>
      </c>
      <c r="AG227" s="11"/>
      <c r="AH227" s="4"/>
      <c r="AI227" s="11">
        <v>2</v>
      </c>
      <c r="AJ227" s="11"/>
      <c r="AK227" s="4"/>
      <c r="AL227" s="4"/>
      <c r="AM227" s="4"/>
      <c r="AN227" s="4"/>
      <c r="AO227" s="4"/>
      <c r="AP227" s="4"/>
      <c r="AQ227" s="4"/>
    </row>
    <row r="228" spans="1:43" s="2" customFormat="1" x14ac:dyDescent="0.25">
      <c r="A228" s="161" t="str">
        <f t="shared" si="7"/>
        <v>ARCHER_MONGOL</v>
      </c>
      <c r="B228" s="9" t="s">
        <v>119</v>
      </c>
      <c r="C228" s="4" t="s">
        <v>728</v>
      </c>
      <c r="D228" s="4"/>
      <c r="E228" s="4" t="s">
        <v>119</v>
      </c>
      <c r="F228" s="4" t="s">
        <v>119</v>
      </c>
      <c r="G228" s="4" t="s">
        <v>2047</v>
      </c>
      <c r="H228" s="4" t="s">
        <v>526</v>
      </c>
      <c r="I228" s="4" t="s">
        <v>2098</v>
      </c>
      <c r="J228" s="11"/>
      <c r="K228" s="11"/>
      <c r="L228" s="4"/>
      <c r="M228" s="12"/>
      <c r="N228" s="4"/>
      <c r="O228" s="4"/>
      <c r="P228" s="4"/>
      <c r="Q228" s="9">
        <v>1</v>
      </c>
      <c r="R228" s="11"/>
      <c r="S228" s="4"/>
      <c r="T228" s="11">
        <v>2</v>
      </c>
      <c r="U228" s="11"/>
      <c r="V228" s="4"/>
      <c r="W228" s="11"/>
      <c r="X228" s="11"/>
      <c r="Y228" s="4"/>
      <c r="Z228" s="9">
        <v>0</v>
      </c>
      <c r="AA228" s="11"/>
      <c r="AB228" s="4"/>
      <c r="AC228" s="11"/>
      <c r="AD228" s="11"/>
      <c r="AE228" s="4"/>
      <c r="AF228" s="11">
        <v>0</v>
      </c>
      <c r="AG228" s="11"/>
      <c r="AH228" s="4"/>
      <c r="AI228" s="11">
        <v>1</v>
      </c>
      <c r="AJ228" s="11"/>
      <c r="AK228" s="4"/>
      <c r="AL228" s="4"/>
      <c r="AM228" s="4"/>
      <c r="AN228" s="4"/>
      <c r="AO228" s="4"/>
      <c r="AP228" s="4"/>
      <c r="AQ228" s="4"/>
    </row>
    <row r="229" spans="1:43" s="2" customFormat="1" x14ac:dyDescent="0.25">
      <c r="A229" s="161" t="str">
        <f t="shared" si="7"/>
        <v>ARCHER_CENTAS</v>
      </c>
      <c r="B229" s="9" t="s">
        <v>119</v>
      </c>
      <c r="C229" s="4" t="s">
        <v>918</v>
      </c>
      <c r="D229" s="4"/>
      <c r="E229" s="4" t="s">
        <v>119</v>
      </c>
      <c r="F229" s="4" t="s">
        <v>119</v>
      </c>
      <c r="G229" s="14" t="s">
        <v>132</v>
      </c>
      <c r="H229" s="4" t="s">
        <v>1026</v>
      </c>
      <c r="I229" s="4" t="s">
        <v>2098</v>
      </c>
      <c r="J229" s="11"/>
      <c r="K229" s="11"/>
      <c r="L229" s="4"/>
      <c r="M229" s="12"/>
      <c r="N229" s="4"/>
      <c r="O229" s="4"/>
      <c r="P229" s="4"/>
      <c r="Q229" s="9" t="s">
        <v>1737</v>
      </c>
      <c r="R229" s="11"/>
      <c r="S229" s="4"/>
      <c r="T229" s="9"/>
      <c r="U229" s="11"/>
      <c r="V229" s="4"/>
      <c r="W229" s="9"/>
      <c r="X229" s="11"/>
      <c r="Y229" s="4"/>
      <c r="Z229" s="9"/>
      <c r="AA229" s="11"/>
      <c r="AB229" s="4"/>
      <c r="AC229" s="11"/>
      <c r="AD229" s="11"/>
      <c r="AE229" s="4"/>
      <c r="AF229" s="9"/>
      <c r="AG229" s="11"/>
      <c r="AH229" s="4"/>
      <c r="AI229" s="9"/>
      <c r="AJ229" s="11"/>
      <c r="AK229" s="4"/>
      <c r="AL229" s="4"/>
      <c r="AM229" s="4"/>
      <c r="AN229" s="4"/>
      <c r="AO229" s="4"/>
      <c r="AP229" s="4"/>
      <c r="AQ229" s="4"/>
    </row>
    <row r="230" spans="1:43" s="2" customFormat="1" x14ac:dyDescent="0.25">
      <c r="A230" s="161" t="str">
        <f t="shared" si="7"/>
        <v>ARCHER_EASTEU</v>
      </c>
      <c r="B230" s="9" t="s">
        <v>119</v>
      </c>
      <c r="C230" s="4" t="s">
        <v>698</v>
      </c>
      <c r="D230" s="4"/>
      <c r="E230" s="4" t="s">
        <v>119</v>
      </c>
      <c r="F230" s="4" t="s">
        <v>119</v>
      </c>
      <c r="G230" s="4"/>
      <c r="H230" s="4" t="s">
        <v>566</v>
      </c>
      <c r="I230" s="4" t="s">
        <v>2098</v>
      </c>
      <c r="J230" s="11"/>
      <c r="K230" s="11"/>
      <c r="L230" s="4"/>
      <c r="M230" s="12"/>
      <c r="N230" s="4"/>
      <c r="O230" s="4"/>
      <c r="P230" s="4"/>
      <c r="Q230" s="9" t="s">
        <v>1737</v>
      </c>
      <c r="R230" s="11"/>
      <c r="S230" s="4"/>
      <c r="T230" s="9"/>
      <c r="U230" s="11"/>
      <c r="V230" s="4"/>
      <c r="W230" s="9"/>
      <c r="X230" s="11"/>
      <c r="Y230" s="4"/>
      <c r="Z230" s="9"/>
      <c r="AA230" s="11"/>
      <c r="AB230" s="4"/>
      <c r="AC230" s="11"/>
      <c r="AD230" s="11"/>
      <c r="AE230" s="4"/>
      <c r="AF230" s="9"/>
      <c r="AG230" s="11"/>
      <c r="AH230" s="4"/>
      <c r="AI230" s="9"/>
      <c r="AJ230" s="11"/>
      <c r="AK230" s="4"/>
      <c r="AL230" s="4"/>
      <c r="AM230" s="4"/>
      <c r="AN230" s="4"/>
      <c r="AO230" s="4"/>
      <c r="AP230" s="4"/>
      <c r="AQ230" s="4"/>
    </row>
    <row r="231" spans="1:43" s="2" customFormat="1" x14ac:dyDescent="0.25">
      <c r="A231" s="161" t="str">
        <f t="shared" si="7"/>
        <v>ARCHER_AUSTRIA</v>
      </c>
      <c r="B231" s="9" t="s">
        <v>119</v>
      </c>
      <c r="C231" s="4" t="s">
        <v>701</v>
      </c>
      <c r="D231" s="4" t="s">
        <v>717</v>
      </c>
      <c r="E231" s="4" t="s">
        <v>119</v>
      </c>
      <c r="F231" s="4" t="s">
        <v>119</v>
      </c>
      <c r="G231" s="4"/>
      <c r="H231" s="4"/>
      <c r="I231" s="4"/>
      <c r="J231" s="11"/>
      <c r="K231" s="11"/>
      <c r="L231" s="4"/>
      <c r="M231" s="12"/>
      <c r="N231" s="4"/>
      <c r="O231" s="4"/>
      <c r="P231" s="4"/>
      <c r="Q231" s="9"/>
      <c r="R231" s="11"/>
      <c r="S231" s="4"/>
      <c r="T231" s="9"/>
      <c r="U231" s="11"/>
      <c r="V231" s="4"/>
      <c r="W231" s="9"/>
      <c r="X231" s="11"/>
      <c r="Y231" s="4"/>
      <c r="Z231" s="9"/>
      <c r="AA231" s="11"/>
      <c r="AB231" s="4"/>
      <c r="AC231" s="11"/>
      <c r="AD231" s="11"/>
      <c r="AE231" s="4"/>
      <c r="AF231" s="9"/>
      <c r="AG231" s="11"/>
      <c r="AH231" s="4"/>
      <c r="AI231" s="9"/>
      <c r="AJ231" s="11"/>
      <c r="AK231" s="4"/>
      <c r="AL231" s="4"/>
      <c r="AM231" s="4"/>
      <c r="AN231" s="4"/>
      <c r="AO231" s="4"/>
      <c r="AP231" s="4"/>
      <c r="AQ231" s="4"/>
    </row>
    <row r="232" spans="1:43" s="2" customFormat="1" x14ac:dyDescent="0.25">
      <c r="A232" s="161" t="str">
        <f t="shared" si="7"/>
        <v>ARCHER_ENGLAND</v>
      </c>
      <c r="B232" s="9" t="s">
        <v>119</v>
      </c>
      <c r="C232" s="4" t="s">
        <v>713</v>
      </c>
      <c r="D232" s="4"/>
      <c r="E232" s="4" t="s">
        <v>119</v>
      </c>
      <c r="F232" s="4" t="s">
        <v>119</v>
      </c>
      <c r="G232" s="14" t="s">
        <v>132</v>
      </c>
      <c r="H232" s="4" t="s">
        <v>290</v>
      </c>
      <c r="I232" s="4" t="s">
        <v>102</v>
      </c>
      <c r="J232" s="11"/>
      <c r="K232" s="11"/>
      <c r="L232" s="4"/>
      <c r="M232" s="12"/>
      <c r="N232" s="4"/>
      <c r="O232" s="4"/>
      <c r="P232" s="4"/>
      <c r="Q232" s="9" t="s">
        <v>1737</v>
      </c>
      <c r="R232" s="11"/>
      <c r="S232" s="4"/>
      <c r="T232" s="9"/>
      <c r="U232" s="11"/>
      <c r="V232" s="4"/>
      <c r="W232" s="9"/>
      <c r="X232" s="11"/>
      <c r="Y232" s="4"/>
      <c r="Z232" s="9"/>
      <c r="AA232" s="11"/>
      <c r="AB232" s="4"/>
      <c r="AC232" s="11"/>
      <c r="AD232" s="11"/>
      <c r="AE232" s="4"/>
      <c r="AF232" s="9"/>
      <c r="AG232" s="11"/>
      <c r="AH232" s="4"/>
      <c r="AI232" s="9"/>
      <c r="AJ232" s="11"/>
      <c r="AK232" s="4"/>
      <c r="AL232" s="4"/>
      <c r="AM232" s="4"/>
      <c r="AN232" s="4"/>
      <c r="AO232" s="4"/>
      <c r="AP232" s="4"/>
      <c r="AQ232" s="4"/>
    </row>
    <row r="233" spans="1:43" s="2" customFormat="1" x14ac:dyDescent="0.25">
      <c r="A233" s="161" t="str">
        <f t="shared" si="7"/>
        <v>ARCHER_FRANCE</v>
      </c>
      <c r="B233" s="9" t="s">
        <v>119</v>
      </c>
      <c r="C233" s="4" t="s">
        <v>715</v>
      </c>
      <c r="D233" s="4"/>
      <c r="E233" s="4" t="s">
        <v>119</v>
      </c>
      <c r="F233" s="4" t="s">
        <v>119</v>
      </c>
      <c r="G233" s="14" t="s">
        <v>132</v>
      </c>
      <c r="H233" s="4" t="s">
        <v>334</v>
      </c>
      <c r="I233" s="4" t="s">
        <v>102</v>
      </c>
      <c r="J233" s="11"/>
      <c r="K233" s="11"/>
      <c r="L233" s="4"/>
      <c r="M233" s="12"/>
      <c r="N233" s="4"/>
      <c r="O233" s="4"/>
      <c r="P233" s="4"/>
      <c r="Q233" s="9" t="s">
        <v>1737</v>
      </c>
      <c r="R233" s="11"/>
      <c r="S233" s="4"/>
      <c r="T233" s="9"/>
      <c r="U233" s="11"/>
      <c r="V233" s="4"/>
      <c r="W233" s="9"/>
      <c r="X233" s="11"/>
      <c r="Y233" s="4"/>
      <c r="Z233" s="9"/>
      <c r="AA233" s="11"/>
      <c r="AB233" s="4"/>
      <c r="AC233" s="11"/>
      <c r="AD233" s="11"/>
      <c r="AE233" s="4"/>
      <c r="AF233" s="9"/>
      <c r="AG233" s="11"/>
      <c r="AH233" s="4"/>
      <c r="AI233" s="9"/>
      <c r="AJ233" s="11"/>
      <c r="AK233" s="4"/>
      <c r="AL233" s="4"/>
      <c r="AM233" s="4"/>
      <c r="AN233" s="4"/>
      <c r="AO233" s="4"/>
      <c r="AP233" s="4"/>
      <c r="AQ233" s="4"/>
    </row>
    <row r="234" spans="1:43" s="2" customFormat="1" x14ac:dyDescent="0.25">
      <c r="A234" s="161" t="str">
        <f t="shared" si="7"/>
        <v>ARCHER_GERMANY</v>
      </c>
      <c r="B234" s="9" t="s">
        <v>119</v>
      </c>
      <c r="C234" s="4" t="s">
        <v>717</v>
      </c>
      <c r="D234" s="4"/>
      <c r="E234" s="4" t="s">
        <v>119</v>
      </c>
      <c r="F234" s="4" t="s">
        <v>119</v>
      </c>
      <c r="G234" s="14" t="s">
        <v>132</v>
      </c>
      <c r="H234" s="4" t="s">
        <v>365</v>
      </c>
      <c r="I234" s="4" t="s">
        <v>102</v>
      </c>
      <c r="J234" s="11"/>
      <c r="K234" s="11"/>
      <c r="L234" s="4"/>
      <c r="M234" s="12"/>
      <c r="N234" s="4"/>
      <c r="O234" s="4"/>
      <c r="P234" s="4"/>
      <c r="Q234" s="9" t="s">
        <v>1737</v>
      </c>
      <c r="R234" s="11"/>
      <c r="S234" s="4"/>
      <c r="T234" s="9"/>
      <c r="U234" s="11"/>
      <c r="V234" s="4"/>
      <c r="W234" s="9"/>
      <c r="X234" s="11"/>
      <c r="Y234" s="4"/>
      <c r="Z234" s="9"/>
      <c r="AA234" s="11"/>
      <c r="AB234" s="4"/>
      <c r="AC234" s="11"/>
      <c r="AD234" s="11"/>
      <c r="AE234" s="4"/>
      <c r="AF234" s="9"/>
      <c r="AG234" s="11"/>
      <c r="AH234" s="4"/>
      <c r="AI234" s="9"/>
      <c r="AJ234" s="11"/>
      <c r="AK234" s="4"/>
      <c r="AL234" s="4"/>
      <c r="AM234" s="4"/>
      <c r="AN234" s="4"/>
      <c r="AO234" s="4"/>
      <c r="AP234" s="4"/>
      <c r="AQ234" s="4"/>
    </row>
    <row r="235" spans="1:43" s="2" customFormat="1" x14ac:dyDescent="0.25">
      <c r="A235" s="161" t="str">
        <f t="shared" si="7"/>
        <v>ARCHER_MED</v>
      </c>
      <c r="B235" s="9" t="s">
        <v>119</v>
      </c>
      <c r="C235" s="4" t="s">
        <v>692</v>
      </c>
      <c r="D235" s="4"/>
      <c r="E235" s="4" t="s">
        <v>119</v>
      </c>
      <c r="F235" s="4" t="s">
        <v>119</v>
      </c>
      <c r="G235" s="4"/>
      <c r="H235" s="4" t="s">
        <v>647</v>
      </c>
      <c r="I235" s="4" t="s">
        <v>2098</v>
      </c>
      <c r="J235" s="11"/>
      <c r="K235" s="11"/>
      <c r="L235" s="4"/>
      <c r="M235" s="12"/>
      <c r="N235" s="4"/>
      <c r="O235" s="4"/>
      <c r="P235" s="4"/>
      <c r="Q235" s="9" t="s">
        <v>1737</v>
      </c>
      <c r="R235" s="11"/>
      <c r="S235" s="4"/>
      <c r="T235" s="9"/>
      <c r="U235" s="11"/>
      <c r="V235" s="4"/>
      <c r="W235" s="9"/>
      <c r="X235" s="11"/>
      <c r="Y235" s="4"/>
      <c r="Z235" s="9"/>
      <c r="AA235" s="11"/>
      <c r="AB235" s="4"/>
      <c r="AC235" s="11"/>
      <c r="AD235" s="11"/>
      <c r="AE235" s="4"/>
      <c r="AF235" s="9"/>
      <c r="AG235" s="11"/>
      <c r="AH235" s="4"/>
      <c r="AI235" s="9"/>
      <c r="AJ235" s="11"/>
      <c r="AK235" s="4"/>
      <c r="AL235" s="4"/>
      <c r="AM235" s="4"/>
      <c r="AN235" s="4"/>
      <c r="AO235" s="4"/>
      <c r="AP235" s="4"/>
      <c r="AQ235" s="4"/>
    </row>
    <row r="236" spans="1:43" s="2" customFormat="1" x14ac:dyDescent="0.25">
      <c r="A236" s="161" t="str">
        <f t="shared" si="7"/>
        <v>ARCHER_GREECE</v>
      </c>
      <c r="B236" s="9" t="s">
        <v>119</v>
      </c>
      <c r="C236" s="4" t="s">
        <v>718</v>
      </c>
      <c r="D236" s="4"/>
      <c r="E236" s="4" t="s">
        <v>119</v>
      </c>
      <c r="F236" s="4" t="s">
        <v>119</v>
      </c>
      <c r="G236" s="14" t="s">
        <v>132</v>
      </c>
      <c r="H236" s="4" t="s">
        <v>397</v>
      </c>
      <c r="I236" s="4" t="s">
        <v>102</v>
      </c>
      <c r="J236" s="11"/>
      <c r="K236" s="11"/>
      <c r="L236" s="4"/>
      <c r="M236" s="12"/>
      <c r="N236" s="4"/>
      <c r="O236" s="4"/>
      <c r="P236" s="4"/>
      <c r="Q236" s="9" t="s">
        <v>1737</v>
      </c>
      <c r="R236" s="11"/>
      <c r="S236" s="4"/>
      <c r="T236" s="9"/>
      <c r="U236" s="11"/>
      <c r="V236" s="4"/>
      <c r="W236" s="9"/>
      <c r="X236" s="11"/>
      <c r="Y236" s="4"/>
      <c r="Z236" s="9"/>
      <c r="AA236" s="11"/>
      <c r="AB236" s="4"/>
      <c r="AC236" s="11"/>
      <c r="AD236" s="11"/>
      <c r="AE236" s="4"/>
      <c r="AF236" s="9"/>
      <c r="AG236" s="11"/>
      <c r="AH236" s="4"/>
      <c r="AI236" s="9"/>
      <c r="AJ236" s="11"/>
      <c r="AK236" s="4"/>
      <c r="AL236" s="4"/>
      <c r="AM236" s="4"/>
      <c r="AN236" s="4"/>
      <c r="AO236" s="4"/>
      <c r="AP236" s="4"/>
      <c r="AQ236" s="4"/>
    </row>
    <row r="237" spans="1:43" s="2" customFormat="1" x14ac:dyDescent="0.25">
      <c r="A237" s="161" t="str">
        <f t="shared" si="7"/>
        <v>ARCHER_ROME</v>
      </c>
      <c r="B237" s="9" t="s">
        <v>119</v>
      </c>
      <c r="C237" s="4" t="s">
        <v>734</v>
      </c>
      <c r="D237" s="4"/>
      <c r="E237" s="4" t="s">
        <v>119</v>
      </c>
      <c r="F237" s="4" t="s">
        <v>119</v>
      </c>
      <c r="G237" s="14" t="s">
        <v>132</v>
      </c>
      <c r="H237" s="4" t="s">
        <v>581</v>
      </c>
      <c r="I237" s="4" t="s">
        <v>102</v>
      </c>
      <c r="J237" s="11"/>
      <c r="K237" s="11"/>
      <c r="L237" s="4"/>
      <c r="M237" s="12"/>
      <c r="N237" s="4"/>
      <c r="O237" s="4"/>
      <c r="P237" s="4"/>
      <c r="Q237" s="9" t="s">
        <v>1737</v>
      </c>
      <c r="R237" s="11"/>
      <c r="S237" s="4"/>
      <c r="T237" s="9"/>
      <c r="U237" s="11"/>
      <c r="V237" s="4"/>
      <c r="W237" s="9"/>
      <c r="X237" s="11"/>
      <c r="Y237" s="4"/>
      <c r="Z237" s="9"/>
      <c r="AA237" s="11"/>
      <c r="AB237" s="4"/>
      <c r="AC237" s="11"/>
      <c r="AD237" s="11"/>
      <c r="AE237" s="4"/>
      <c r="AF237" s="9"/>
      <c r="AG237" s="11"/>
      <c r="AH237" s="4"/>
      <c r="AI237" s="9"/>
      <c r="AJ237" s="11"/>
      <c r="AK237" s="4"/>
      <c r="AL237" s="4"/>
      <c r="AM237" s="4"/>
      <c r="AN237" s="4"/>
      <c r="AO237" s="4"/>
      <c r="AP237" s="4"/>
      <c r="AQ237" s="4"/>
    </row>
    <row r="238" spans="1:43" s="2" customFormat="1" x14ac:dyDescent="0.25">
      <c r="A238" s="161" t="str">
        <f t="shared" si="7"/>
        <v>ARCHER_SPAIN</v>
      </c>
      <c r="B238" s="9" t="s">
        <v>119</v>
      </c>
      <c r="C238" s="4" t="s">
        <v>738</v>
      </c>
      <c r="D238" s="4" t="s">
        <v>692</v>
      </c>
      <c r="E238" s="4" t="s">
        <v>119</v>
      </c>
      <c r="F238" s="4" t="s">
        <v>119</v>
      </c>
      <c r="G238" s="14" t="s">
        <v>132</v>
      </c>
      <c r="H238" s="4"/>
      <c r="I238" s="4"/>
      <c r="J238" s="11"/>
      <c r="K238" s="11"/>
      <c r="L238" s="4"/>
      <c r="M238" s="12"/>
      <c r="N238" s="4"/>
      <c r="O238" s="4"/>
      <c r="P238" s="4"/>
      <c r="Q238" s="9"/>
      <c r="R238" s="11"/>
      <c r="S238" s="4"/>
      <c r="T238" s="9"/>
      <c r="U238" s="11"/>
      <c r="V238" s="4"/>
      <c r="W238" s="9"/>
      <c r="X238" s="11"/>
      <c r="Y238" s="4"/>
      <c r="Z238" s="11"/>
      <c r="AA238" s="11"/>
      <c r="AB238" s="4"/>
      <c r="AC238" s="11"/>
      <c r="AD238" s="11"/>
      <c r="AE238" s="4"/>
      <c r="AF238" s="9"/>
      <c r="AG238" s="11"/>
      <c r="AH238" s="4"/>
      <c r="AI238" s="9"/>
      <c r="AJ238" s="11"/>
      <c r="AK238" s="4"/>
      <c r="AL238" s="4"/>
      <c r="AM238" s="4"/>
      <c r="AN238" s="4"/>
      <c r="AO238" s="4"/>
      <c r="AP238" s="4"/>
      <c r="AQ238" s="4"/>
    </row>
    <row r="239" spans="1:43" s="2" customFormat="1" x14ac:dyDescent="0.25">
      <c r="A239" s="161" t="str">
        <f t="shared" si="7"/>
        <v>ARCHER_MIDEAST</v>
      </c>
      <c r="B239" s="9" t="s">
        <v>119</v>
      </c>
      <c r="C239" s="4" t="s">
        <v>690</v>
      </c>
      <c r="D239" s="4"/>
      <c r="E239" s="4" t="s">
        <v>119</v>
      </c>
      <c r="F239" s="4" t="s">
        <v>119</v>
      </c>
      <c r="G239" s="4"/>
      <c r="H239" s="4" t="s">
        <v>205</v>
      </c>
      <c r="I239" s="4" t="s">
        <v>102</v>
      </c>
      <c r="J239" s="11"/>
      <c r="K239" s="11"/>
      <c r="L239" s="4"/>
      <c r="M239" s="12"/>
      <c r="N239" s="4"/>
      <c r="O239" s="4"/>
      <c r="P239" s="4"/>
      <c r="Q239" s="9" t="s">
        <v>1737</v>
      </c>
      <c r="R239" s="11"/>
      <c r="S239" s="4"/>
      <c r="T239" s="9"/>
      <c r="U239" s="11"/>
      <c r="V239" s="4"/>
      <c r="W239" s="9"/>
      <c r="X239" s="11"/>
      <c r="Y239" s="4"/>
      <c r="Z239" s="9"/>
      <c r="AA239" s="11"/>
      <c r="AB239" s="4"/>
      <c r="AC239" s="11"/>
      <c r="AD239" s="11"/>
      <c r="AE239" s="4"/>
      <c r="AF239" s="9"/>
      <c r="AG239" s="11"/>
      <c r="AH239" s="4"/>
      <c r="AI239" s="9"/>
      <c r="AJ239" s="11"/>
      <c r="AK239" s="4"/>
      <c r="AL239" s="4"/>
      <c r="AM239" s="4"/>
      <c r="AN239" s="4"/>
      <c r="AO239" s="4"/>
      <c r="AP239" s="4"/>
      <c r="AQ239" s="4"/>
    </row>
    <row r="240" spans="1:43" s="2" customFormat="1" x14ac:dyDescent="0.25">
      <c r="A240" s="161" t="str">
        <f t="shared" si="7"/>
        <v>ARCHER_ARABIA</v>
      </c>
      <c r="B240" s="9" t="s">
        <v>119</v>
      </c>
      <c r="C240" s="4" t="s">
        <v>700</v>
      </c>
      <c r="D240" s="14"/>
      <c r="E240" s="4" t="s">
        <v>119</v>
      </c>
      <c r="F240" s="4" t="s">
        <v>119</v>
      </c>
      <c r="G240" s="14"/>
      <c r="H240" s="4" t="s">
        <v>157</v>
      </c>
      <c r="I240" s="4" t="s">
        <v>2098</v>
      </c>
      <c r="J240" s="11"/>
      <c r="K240" s="11"/>
      <c r="L240" s="4"/>
      <c r="M240" s="12"/>
      <c r="N240" s="4"/>
      <c r="O240" s="4"/>
      <c r="P240" s="4"/>
      <c r="Q240" s="9" t="s">
        <v>1737</v>
      </c>
      <c r="R240" s="11"/>
      <c r="S240" s="4"/>
      <c r="T240" s="9"/>
      <c r="U240" s="11"/>
      <c r="V240" s="4"/>
      <c r="W240" s="9"/>
      <c r="X240" s="11"/>
      <c r="Y240" s="4"/>
      <c r="Z240" s="11"/>
      <c r="AA240" s="11"/>
      <c r="AB240" s="4"/>
      <c r="AC240" s="11"/>
      <c r="AD240" s="11"/>
      <c r="AE240" s="4"/>
      <c r="AF240" s="9"/>
      <c r="AG240" s="11"/>
      <c r="AH240" s="4"/>
      <c r="AI240" s="9"/>
      <c r="AJ240" s="11"/>
      <c r="AK240" s="4"/>
      <c r="AL240" s="4"/>
      <c r="AM240" s="4"/>
      <c r="AN240" s="4"/>
      <c r="AO240" s="4"/>
      <c r="AP240" s="4"/>
      <c r="AQ240" s="4"/>
    </row>
    <row r="241" spans="1:43" s="2" customFormat="1" x14ac:dyDescent="0.25">
      <c r="A241" s="161" t="str">
        <f t="shared" si="7"/>
        <v>ARCHER_EGYPT</v>
      </c>
      <c r="B241" s="9" t="s">
        <v>119</v>
      </c>
      <c r="C241" s="4" t="s">
        <v>712</v>
      </c>
      <c r="D241" s="4"/>
      <c r="E241" s="4" t="s">
        <v>119</v>
      </c>
      <c r="F241" s="4" t="s">
        <v>119</v>
      </c>
      <c r="G241" s="14" t="s">
        <v>132</v>
      </c>
      <c r="H241" s="4" t="s">
        <v>274</v>
      </c>
      <c r="I241" s="4" t="s">
        <v>2098</v>
      </c>
      <c r="J241" s="11"/>
      <c r="K241" s="11"/>
      <c r="L241" s="4"/>
      <c r="M241" s="12"/>
      <c r="N241" s="4"/>
      <c r="O241" s="4"/>
      <c r="P241" s="4"/>
      <c r="Q241" s="9" t="s">
        <v>1737</v>
      </c>
      <c r="R241" s="11"/>
      <c r="S241" s="4"/>
      <c r="T241" s="9"/>
      <c r="U241" s="11"/>
      <c r="V241" s="4"/>
      <c r="W241" s="9"/>
      <c r="X241" s="11"/>
      <c r="Y241" s="4"/>
      <c r="Z241" s="9"/>
      <c r="AA241" s="11"/>
      <c r="AB241" s="4"/>
      <c r="AC241" s="11"/>
      <c r="AD241" s="11"/>
      <c r="AE241" s="4"/>
      <c r="AF241" s="9"/>
      <c r="AG241" s="11"/>
      <c r="AH241" s="4"/>
      <c r="AI241" s="9"/>
      <c r="AJ241" s="11"/>
      <c r="AK241" s="4"/>
      <c r="AL241" s="4"/>
      <c r="AM241" s="4"/>
      <c r="AN241" s="4"/>
      <c r="AO241" s="4"/>
      <c r="AP241" s="4"/>
      <c r="AQ241" s="4"/>
    </row>
    <row r="242" spans="1:43" s="2" customFormat="1" x14ac:dyDescent="0.25">
      <c r="A242" s="161" t="str">
        <f t="shared" si="7"/>
        <v>ARCHER_LEVANT</v>
      </c>
      <c r="B242" s="9" t="s">
        <v>119</v>
      </c>
      <c r="C242" s="4" t="s">
        <v>724</v>
      </c>
      <c r="D242" s="4"/>
      <c r="E242" s="4" t="s">
        <v>119</v>
      </c>
      <c r="F242" s="4" t="s">
        <v>119</v>
      </c>
      <c r="G242" s="14" t="s">
        <v>132</v>
      </c>
      <c r="H242" s="4" t="s">
        <v>506</v>
      </c>
      <c r="I242" s="4" t="s">
        <v>1063</v>
      </c>
      <c r="J242" s="11"/>
      <c r="K242" s="11"/>
      <c r="L242" s="4"/>
      <c r="M242" s="12"/>
      <c r="N242" s="4"/>
      <c r="O242" s="4"/>
      <c r="P242" s="4"/>
      <c r="Q242" s="9" t="s">
        <v>1737</v>
      </c>
      <c r="R242" s="11"/>
      <c r="S242" s="4"/>
      <c r="T242" s="9"/>
      <c r="U242" s="11"/>
      <c r="V242" s="4"/>
      <c r="W242" s="9"/>
      <c r="X242" s="11"/>
      <c r="Y242" s="4"/>
      <c r="Z242" s="9"/>
      <c r="AA242" s="11"/>
      <c r="AB242" s="4"/>
      <c r="AC242" s="11"/>
      <c r="AD242" s="11"/>
      <c r="AE242" s="4"/>
      <c r="AF242" s="9"/>
      <c r="AG242" s="11"/>
      <c r="AH242" s="4"/>
      <c r="AI242" s="9"/>
      <c r="AJ242" s="11"/>
      <c r="AK242" s="4"/>
      <c r="AL242" s="4"/>
      <c r="AM242" s="4"/>
      <c r="AN242" s="4"/>
      <c r="AO242" s="4"/>
      <c r="AP242" s="4"/>
      <c r="AQ242" s="4"/>
    </row>
    <row r="243" spans="1:43" s="2" customFormat="1" x14ac:dyDescent="0.25">
      <c r="A243" s="161" t="str">
        <f t="shared" si="7"/>
        <v>ARCHER_PERSIA</v>
      </c>
      <c r="B243" s="9" t="s">
        <v>119</v>
      </c>
      <c r="C243" s="4" t="s">
        <v>731</v>
      </c>
      <c r="D243" s="4"/>
      <c r="E243" s="4" t="s">
        <v>119</v>
      </c>
      <c r="F243" s="4" t="s">
        <v>119</v>
      </c>
      <c r="G243" s="14" t="s">
        <v>132</v>
      </c>
      <c r="H243" s="4" t="s">
        <v>551</v>
      </c>
      <c r="I243" s="4" t="s">
        <v>102</v>
      </c>
      <c r="J243" s="11"/>
      <c r="K243" s="11"/>
      <c r="L243" s="4"/>
      <c r="M243" s="12"/>
      <c r="N243" s="4"/>
      <c r="O243" s="4"/>
      <c r="P243" s="4"/>
      <c r="Q243" s="9" t="s">
        <v>1737</v>
      </c>
      <c r="R243" s="11"/>
      <c r="S243" s="4"/>
      <c r="T243" s="9"/>
      <c r="U243" s="11"/>
      <c r="V243" s="4"/>
      <c r="W243" s="9"/>
      <c r="X243" s="11"/>
      <c r="Y243" s="4"/>
      <c r="Z243" s="9"/>
      <c r="AA243" s="11"/>
      <c r="AB243" s="4"/>
      <c r="AC243" s="11"/>
      <c r="AD243" s="11"/>
      <c r="AE243" s="4"/>
      <c r="AF243" s="9"/>
      <c r="AG243" s="11"/>
      <c r="AH243" s="4"/>
      <c r="AI243" s="9"/>
      <c r="AJ243" s="11"/>
      <c r="AK243" s="4"/>
      <c r="AL243" s="4"/>
      <c r="AM243" s="4"/>
      <c r="AN243" s="4"/>
      <c r="AO243" s="4"/>
      <c r="AP243" s="4"/>
      <c r="AQ243" s="4"/>
    </row>
    <row r="244" spans="1:43" s="2" customFormat="1" x14ac:dyDescent="0.25">
      <c r="A244" s="161" t="str">
        <f t="shared" si="7"/>
        <v>ARCHER_NORTHEU</v>
      </c>
      <c r="B244" s="9" t="s">
        <v>119</v>
      </c>
      <c r="C244" s="4" t="s">
        <v>962</v>
      </c>
      <c r="D244" s="4"/>
      <c r="E244" s="4" t="s">
        <v>119</v>
      </c>
      <c r="F244" s="4" t="s">
        <v>119</v>
      </c>
      <c r="G244" s="14" t="s">
        <v>132</v>
      </c>
      <c r="H244" s="4" t="s">
        <v>264</v>
      </c>
      <c r="I244" s="4" t="s">
        <v>102</v>
      </c>
      <c r="J244" s="11"/>
      <c r="K244" s="11"/>
      <c r="L244" s="4"/>
      <c r="M244" s="12"/>
      <c r="N244" s="4"/>
      <c r="O244" s="4"/>
      <c r="P244" s="4"/>
      <c r="Q244" s="9" t="s">
        <v>1737</v>
      </c>
      <c r="R244" s="11"/>
      <c r="S244" s="4"/>
      <c r="T244" s="9"/>
      <c r="U244" s="11"/>
      <c r="V244" s="4"/>
      <c r="W244" s="9"/>
      <c r="X244" s="11"/>
      <c r="Y244" s="4"/>
      <c r="Z244" s="9"/>
      <c r="AA244" s="11"/>
      <c r="AB244" s="4"/>
      <c r="AC244" s="11"/>
      <c r="AD244" s="11"/>
      <c r="AE244" s="4"/>
      <c r="AF244" s="9"/>
      <c r="AG244" s="11"/>
      <c r="AH244" s="4"/>
      <c r="AI244" s="9"/>
      <c r="AJ244" s="11"/>
      <c r="AK244" s="4"/>
      <c r="AL244" s="4"/>
      <c r="AM244" s="4"/>
      <c r="AN244" s="4"/>
      <c r="AO244" s="4"/>
      <c r="AP244" s="4"/>
      <c r="AQ244" s="4"/>
    </row>
    <row r="245" spans="1:43" s="2" customFormat="1" x14ac:dyDescent="0.25">
      <c r="A245" s="161" t="str">
        <f t="shared" si="7"/>
        <v>ARCHER_OCEAN</v>
      </c>
      <c r="B245" s="9" t="s">
        <v>119</v>
      </c>
      <c r="C245" s="4" t="s">
        <v>994</v>
      </c>
      <c r="D245" s="4" t="s">
        <v>702</v>
      </c>
      <c r="E245" s="4" t="s">
        <v>119</v>
      </c>
      <c r="F245" s="4" t="s">
        <v>119</v>
      </c>
      <c r="G245" s="4"/>
      <c r="H245" s="4"/>
      <c r="I245" s="4"/>
      <c r="J245" s="11"/>
      <c r="K245" s="11"/>
      <c r="L245" s="4"/>
      <c r="M245" s="12"/>
      <c r="N245" s="4"/>
      <c r="O245" s="4"/>
      <c r="P245" s="4"/>
      <c r="Q245" s="9"/>
      <c r="R245" s="11"/>
      <c r="S245" s="4"/>
      <c r="T245" s="9"/>
      <c r="U245" s="11"/>
      <c r="V245" s="4"/>
      <c r="W245" s="9"/>
      <c r="X245" s="11"/>
      <c r="Y245" s="4"/>
      <c r="Z245" s="11"/>
      <c r="AA245" s="11"/>
      <c r="AB245" s="4"/>
      <c r="AC245" s="11"/>
      <c r="AD245" s="11"/>
      <c r="AE245" s="4"/>
      <c r="AF245" s="9"/>
      <c r="AG245" s="11"/>
      <c r="AH245" s="4"/>
      <c r="AI245" s="9"/>
      <c r="AJ245" s="11"/>
      <c r="AK245" s="4"/>
      <c r="AL245" s="4"/>
      <c r="AM245" s="4"/>
      <c r="AN245" s="4"/>
      <c r="AO245" s="4"/>
      <c r="AP245" s="4"/>
      <c r="AQ245" s="4"/>
    </row>
    <row r="246" spans="1:43" s="2" customFormat="1" x14ac:dyDescent="0.25">
      <c r="A246" s="161" t="str">
        <f t="shared" si="7"/>
        <v>ARCHER_SEASIA</v>
      </c>
      <c r="B246" s="9" t="s">
        <v>119</v>
      </c>
      <c r="C246" s="4" t="s">
        <v>696</v>
      </c>
      <c r="D246" s="4" t="s">
        <v>693</v>
      </c>
      <c r="E246" s="4" t="s">
        <v>119</v>
      </c>
      <c r="F246" s="4" t="s">
        <v>119</v>
      </c>
      <c r="G246" s="4"/>
      <c r="H246" s="4"/>
      <c r="I246" s="4"/>
      <c r="J246" s="11"/>
      <c r="K246" s="11"/>
      <c r="L246" s="4"/>
      <c r="M246" s="12"/>
      <c r="N246" s="4"/>
      <c r="O246" s="4"/>
      <c r="P246" s="4"/>
      <c r="Q246" s="9"/>
      <c r="R246" s="11"/>
      <c r="S246" s="4"/>
      <c r="T246" s="9"/>
      <c r="U246" s="11"/>
      <c r="V246" s="4"/>
      <c r="W246" s="9"/>
      <c r="X246" s="11"/>
      <c r="Y246" s="4"/>
      <c r="Z246" s="11"/>
      <c r="AA246" s="11"/>
      <c r="AB246" s="4"/>
      <c r="AC246" s="11"/>
      <c r="AD246" s="11"/>
      <c r="AE246" s="4"/>
      <c r="AF246" s="9"/>
      <c r="AG246" s="11"/>
      <c r="AH246" s="4"/>
      <c r="AI246" s="9"/>
      <c r="AJ246" s="11"/>
      <c r="AK246" s="4"/>
      <c r="AL246" s="4"/>
      <c r="AM246" s="4"/>
      <c r="AN246" s="4"/>
      <c r="AO246" s="4"/>
      <c r="AP246" s="4"/>
      <c r="AQ246" s="4"/>
    </row>
    <row r="247" spans="1:43" s="2" customFormat="1" x14ac:dyDescent="0.25">
      <c r="A247" s="161" t="str">
        <f t="shared" si="7"/>
        <v>ARCHER_SOUTHAM</v>
      </c>
      <c r="B247" s="9" t="s">
        <v>119</v>
      </c>
      <c r="C247" s="4" t="s">
        <v>691</v>
      </c>
      <c r="D247" s="4"/>
      <c r="E247" s="4" t="s">
        <v>119</v>
      </c>
      <c r="F247" s="4" t="s">
        <v>119</v>
      </c>
      <c r="G247" s="4"/>
      <c r="H247" s="4" t="s">
        <v>1816</v>
      </c>
      <c r="I247" s="4" t="s">
        <v>963</v>
      </c>
      <c r="J247" s="11"/>
      <c r="K247" s="11"/>
      <c r="L247" s="4"/>
      <c r="M247" s="12"/>
      <c r="N247" s="4"/>
      <c r="O247" s="4"/>
      <c r="P247" s="4"/>
      <c r="Q247" s="9" t="s">
        <v>1737</v>
      </c>
      <c r="R247" s="11"/>
      <c r="S247" s="4"/>
      <c r="T247" s="9"/>
      <c r="U247" s="11"/>
      <c r="V247" s="4"/>
      <c r="W247" s="9"/>
      <c r="X247" s="11"/>
      <c r="Y247" s="4"/>
      <c r="Z247" s="9"/>
      <c r="AA247" s="11"/>
      <c r="AB247" s="4"/>
      <c r="AC247" s="11"/>
      <c r="AD247" s="11"/>
      <c r="AE247" s="4"/>
      <c r="AF247" s="9"/>
      <c r="AG247" s="11"/>
      <c r="AH247" s="4"/>
      <c r="AI247" s="9"/>
      <c r="AJ247" s="11"/>
      <c r="AK247" s="4"/>
      <c r="AL247" s="4"/>
      <c r="AM247" s="4"/>
      <c r="AN247" s="4"/>
      <c r="AO247" s="4"/>
      <c r="AP247" s="4"/>
      <c r="AQ247" s="4"/>
    </row>
    <row r="248" spans="1:43" s="2" customFormat="1" x14ac:dyDescent="0.25">
      <c r="A248" s="161" t="str">
        <f>CONCATENATE(E248,IF(ISBLANK(C248),"",CONCATENATE("_",C248)))</f>
        <v>ARCHER_AZTEC</v>
      </c>
      <c r="B248" s="9" t="s">
        <v>119</v>
      </c>
      <c r="C248" s="4" t="s">
        <v>702</v>
      </c>
      <c r="D248" s="4"/>
      <c r="E248" s="4" t="s">
        <v>119</v>
      </c>
      <c r="F248" s="4" t="s">
        <v>119</v>
      </c>
      <c r="G248" s="4"/>
      <c r="H248" s="4" t="s">
        <v>191</v>
      </c>
      <c r="I248" s="4" t="s">
        <v>102</v>
      </c>
      <c r="J248" s="11"/>
      <c r="K248" s="11"/>
      <c r="L248" s="4"/>
      <c r="M248" s="12"/>
      <c r="N248" s="4"/>
      <c r="O248" s="4"/>
      <c r="P248" s="4"/>
      <c r="Q248" s="9" t="s">
        <v>1737</v>
      </c>
      <c r="R248" s="11"/>
      <c r="S248" s="4"/>
      <c r="T248" s="9"/>
      <c r="U248" s="11"/>
      <c r="V248" s="4"/>
      <c r="W248" s="9"/>
      <c r="X248" s="11"/>
      <c r="Y248" s="4"/>
      <c r="Z248" s="9"/>
      <c r="AA248" s="11"/>
      <c r="AB248" s="4"/>
      <c r="AC248" s="11"/>
      <c r="AD248" s="11"/>
      <c r="AE248" s="4"/>
      <c r="AF248" s="9"/>
      <c r="AG248" s="11"/>
      <c r="AH248" s="4"/>
      <c r="AI248" s="9"/>
      <c r="AJ248" s="11"/>
      <c r="AK248" s="4"/>
      <c r="AL248" s="4"/>
      <c r="AM248" s="4"/>
      <c r="AN248" s="4"/>
      <c r="AO248" s="4"/>
      <c r="AP248" s="4"/>
      <c r="AQ248" s="4"/>
    </row>
    <row r="249" spans="1:43" s="2" customFormat="1" x14ac:dyDescent="0.25">
      <c r="A249" s="161" t="str">
        <f>CONCATENATE(E249,IF(ISBLANK(C249),"",CONCATENATE("_",C249)))</f>
        <v>ARCHER_MAYA</v>
      </c>
      <c r="B249" s="9" t="s">
        <v>119</v>
      </c>
      <c r="C249" s="4" t="s">
        <v>725</v>
      </c>
      <c r="D249" s="4" t="s">
        <v>702</v>
      </c>
      <c r="E249" s="4" t="s">
        <v>119</v>
      </c>
      <c r="F249" s="4" t="s">
        <v>119</v>
      </c>
      <c r="G249" s="4"/>
      <c r="H249" s="4"/>
      <c r="I249" s="4"/>
      <c r="J249" s="11"/>
      <c r="K249" s="11"/>
      <c r="L249" s="4"/>
      <c r="M249" s="12"/>
      <c r="N249" s="4"/>
      <c r="O249" s="4"/>
      <c r="P249" s="4"/>
      <c r="Q249" s="9"/>
      <c r="R249" s="11"/>
      <c r="S249" s="4"/>
      <c r="T249" s="9"/>
      <c r="U249" s="11"/>
      <c r="V249" s="4"/>
      <c r="W249" s="9"/>
      <c r="X249" s="11"/>
      <c r="Y249" s="4"/>
      <c r="Z249" s="9"/>
      <c r="AA249" s="11"/>
      <c r="AB249" s="4"/>
      <c r="AC249" s="11"/>
      <c r="AD249" s="11"/>
      <c r="AE249" s="4"/>
      <c r="AF249" s="9"/>
      <c r="AG249" s="11"/>
      <c r="AH249" s="4"/>
      <c r="AI249" s="9"/>
      <c r="AJ249" s="11"/>
      <c r="AK249" s="4"/>
      <c r="AL249" s="4"/>
      <c r="AM249" s="4"/>
      <c r="AN249" s="4"/>
      <c r="AO249" s="4"/>
      <c r="AP249" s="4"/>
      <c r="AQ249" s="4"/>
    </row>
    <row r="250" spans="1:43" s="2" customFormat="1" x14ac:dyDescent="0.25">
      <c r="A250" s="161" t="str">
        <f t="shared" si="7"/>
        <v>ARCHER_SOUTHAS</v>
      </c>
      <c r="B250" s="9" t="s">
        <v>119</v>
      </c>
      <c r="C250" s="4" t="s">
        <v>695</v>
      </c>
      <c r="D250" s="4" t="s">
        <v>693</v>
      </c>
      <c r="E250" s="4" t="s">
        <v>119</v>
      </c>
      <c r="F250" s="4" t="s">
        <v>119</v>
      </c>
      <c r="G250" s="4"/>
      <c r="H250" s="4"/>
      <c r="I250" s="4"/>
      <c r="J250" s="11"/>
      <c r="K250" s="11"/>
      <c r="L250" s="4"/>
      <c r="M250" s="12"/>
      <c r="N250" s="4"/>
      <c r="O250" s="4"/>
      <c r="P250" s="4"/>
      <c r="Q250" s="9"/>
      <c r="R250" s="11"/>
      <c r="S250" s="4"/>
      <c r="T250" s="9"/>
      <c r="U250" s="11"/>
      <c r="V250" s="4"/>
      <c r="W250" s="9"/>
      <c r="X250" s="11"/>
      <c r="Y250" s="4"/>
      <c r="Z250" s="11"/>
      <c r="AA250" s="11"/>
      <c r="AB250" s="4"/>
      <c r="AC250" s="11"/>
      <c r="AD250" s="11"/>
      <c r="AE250" s="4"/>
      <c r="AF250" s="9"/>
      <c r="AG250" s="11"/>
      <c r="AH250" s="4"/>
      <c r="AI250" s="9"/>
      <c r="AJ250" s="11"/>
      <c r="AK250" s="4"/>
      <c r="AL250" s="4"/>
      <c r="AM250" s="4"/>
      <c r="AN250" s="4"/>
      <c r="AO250" s="4"/>
      <c r="AP250" s="4"/>
      <c r="AQ250" s="4"/>
    </row>
    <row r="251" spans="1:43" s="2" customFormat="1" x14ac:dyDescent="0.25">
      <c r="A251" s="161" t="str">
        <f t="shared" si="7"/>
        <v>ARCHER_INDIA</v>
      </c>
      <c r="B251" s="9" t="s">
        <v>119</v>
      </c>
      <c r="C251" s="4" t="s">
        <v>720</v>
      </c>
      <c r="D251" s="4"/>
      <c r="E251" s="4" t="s">
        <v>119</v>
      </c>
      <c r="F251" s="4" t="s">
        <v>119</v>
      </c>
      <c r="G251" s="14" t="s">
        <v>132</v>
      </c>
      <c r="H251" s="4" t="s">
        <v>430</v>
      </c>
      <c r="I251" s="4" t="s">
        <v>102</v>
      </c>
      <c r="J251" s="11"/>
      <c r="K251" s="11"/>
      <c r="L251" s="4"/>
      <c r="M251" s="12"/>
      <c r="N251" s="4"/>
      <c r="O251" s="4"/>
      <c r="P251" s="4"/>
      <c r="Q251" s="9" t="s">
        <v>1737</v>
      </c>
      <c r="R251" s="11"/>
      <c r="S251" s="4"/>
      <c r="T251" s="9"/>
      <c r="U251" s="11"/>
      <c r="V251" s="4"/>
      <c r="W251" s="9"/>
      <c r="X251" s="11"/>
      <c r="Y251" s="4"/>
      <c r="Z251" s="11"/>
      <c r="AA251" s="11"/>
      <c r="AB251" s="4"/>
      <c r="AC251" s="11"/>
      <c r="AD251" s="11"/>
      <c r="AE251" s="4"/>
      <c r="AF251" s="9"/>
      <c r="AG251" s="11"/>
      <c r="AH251" s="4"/>
      <c r="AI251" s="9"/>
      <c r="AJ251" s="11"/>
      <c r="AK251" s="4"/>
      <c r="AL251" s="4"/>
      <c r="AM251" s="4"/>
      <c r="AN251" s="4"/>
      <c r="AO251" s="4"/>
      <c r="AP251" s="4"/>
      <c r="AQ251" s="4"/>
    </row>
    <row r="252" spans="1:43" s="2" customFormat="1" x14ac:dyDescent="0.25">
      <c r="A252" s="161" t="str">
        <f t="shared" si="7"/>
        <v>ARTILLERY</v>
      </c>
      <c r="B252" s="9" t="s">
        <v>746</v>
      </c>
      <c r="C252" s="5"/>
      <c r="D252" s="5"/>
      <c r="E252" s="5" t="s">
        <v>746</v>
      </c>
      <c r="F252" s="5" t="s">
        <v>746</v>
      </c>
      <c r="G252" s="5"/>
      <c r="H252" s="5" t="s">
        <v>43</v>
      </c>
      <c r="I252" s="5" t="s">
        <v>128</v>
      </c>
      <c r="J252" s="6"/>
      <c r="K252" s="6"/>
      <c r="L252" s="13" t="s">
        <v>746</v>
      </c>
      <c r="M252" s="8"/>
      <c r="N252" s="5"/>
      <c r="O252" s="5"/>
      <c r="P252" s="5"/>
      <c r="Q252" s="7">
        <v>2</v>
      </c>
      <c r="R252" s="6" t="s">
        <v>1695</v>
      </c>
      <c r="S252" s="13" t="s">
        <v>1613</v>
      </c>
      <c r="T252" s="7">
        <v>3</v>
      </c>
      <c r="U252" s="7" t="s">
        <v>1737</v>
      </c>
      <c r="V252" s="5" t="s">
        <v>688</v>
      </c>
      <c r="W252" s="7">
        <v>7</v>
      </c>
      <c r="X252" s="6" t="s">
        <v>3</v>
      </c>
      <c r="Y252" s="5"/>
      <c r="Z252" s="7">
        <v>1</v>
      </c>
      <c r="AA252" s="6"/>
      <c r="AB252" s="5"/>
      <c r="AC252" s="6"/>
      <c r="AD252" s="6" t="s">
        <v>3</v>
      </c>
      <c r="AE252" s="5"/>
      <c r="AF252" s="6"/>
      <c r="AG252" s="6"/>
      <c r="AH252" s="5"/>
      <c r="AI252" s="6"/>
      <c r="AJ252" s="6"/>
      <c r="AK252" s="5"/>
      <c r="AL252" s="5"/>
      <c r="AM252" s="5"/>
      <c r="AN252" s="5"/>
      <c r="AO252" s="5"/>
      <c r="AP252" s="5"/>
      <c r="AQ252" s="5"/>
    </row>
    <row r="253" spans="1:43" s="2" customFormat="1" x14ac:dyDescent="0.25">
      <c r="A253" s="161" t="str">
        <f t="shared" si="7"/>
        <v>ARTILLERY_EASTEU</v>
      </c>
      <c r="B253" s="9" t="s">
        <v>746</v>
      </c>
      <c r="C253" s="4" t="s">
        <v>698</v>
      </c>
      <c r="D253" s="4"/>
      <c r="E253" s="4" t="s">
        <v>746</v>
      </c>
      <c r="F253" s="4" t="s">
        <v>746</v>
      </c>
      <c r="G253" s="14" t="s">
        <v>132</v>
      </c>
      <c r="H253" s="4" t="s">
        <v>605</v>
      </c>
      <c r="I253" s="4" t="s">
        <v>2221</v>
      </c>
      <c r="J253" s="11"/>
      <c r="K253" s="11"/>
      <c r="L253" s="4"/>
      <c r="M253" s="12"/>
      <c r="N253" s="4"/>
      <c r="O253" s="4"/>
      <c r="P253" s="4"/>
      <c r="Q253" s="9"/>
      <c r="R253" s="11">
        <v>0.107</v>
      </c>
      <c r="S253" s="4"/>
      <c r="T253" s="9"/>
      <c r="U253" s="11">
        <v>7.4999999999999997E-2</v>
      </c>
      <c r="V253" s="4"/>
      <c r="W253" s="9"/>
      <c r="X253" s="11"/>
      <c r="Y253" s="4"/>
      <c r="Z253" s="11"/>
      <c r="AA253" s="11"/>
      <c r="AB253" s="4"/>
      <c r="AC253" s="11"/>
      <c r="AD253" s="11"/>
      <c r="AE253" s="4"/>
      <c r="AF253" s="9"/>
      <c r="AG253" s="11"/>
      <c r="AH253" s="4"/>
      <c r="AI253" s="9"/>
      <c r="AJ253" s="11"/>
      <c r="AK253" s="4"/>
      <c r="AL253" s="4"/>
      <c r="AM253" s="4"/>
      <c r="AN253" s="4"/>
      <c r="AO253" s="4"/>
      <c r="AP253" s="4"/>
      <c r="AQ253" s="4"/>
    </row>
    <row r="254" spans="1:43" s="2" customFormat="1" x14ac:dyDescent="0.25">
      <c r="A254" s="161" t="str">
        <f t="shared" si="7"/>
        <v>ARTILLERY_FRANCE</v>
      </c>
      <c r="B254" s="9" t="s">
        <v>746</v>
      </c>
      <c r="C254" s="4" t="s">
        <v>715</v>
      </c>
      <c r="D254" s="4"/>
      <c r="E254" s="4" t="s">
        <v>746</v>
      </c>
      <c r="F254" s="4" t="s">
        <v>746</v>
      </c>
      <c r="G254" s="14"/>
      <c r="H254" s="4" t="s">
        <v>2222</v>
      </c>
      <c r="I254" s="4" t="s">
        <v>2223</v>
      </c>
      <c r="J254" s="11"/>
      <c r="K254" s="11"/>
      <c r="L254" s="4"/>
      <c r="M254" s="12"/>
      <c r="N254" s="4"/>
      <c r="O254" s="4"/>
      <c r="P254" s="4"/>
      <c r="Q254" s="9"/>
      <c r="R254" s="11">
        <v>0.108</v>
      </c>
      <c r="S254" s="4"/>
      <c r="T254" s="9"/>
      <c r="U254" s="11">
        <v>7.4999999999999997E-2</v>
      </c>
      <c r="V254" s="4"/>
      <c r="W254" s="9"/>
      <c r="X254" s="11"/>
      <c r="Y254" s="4"/>
      <c r="Z254" s="11"/>
      <c r="AA254" s="11"/>
      <c r="AB254" s="4"/>
      <c r="AC254" s="11"/>
      <c r="AD254" s="11"/>
      <c r="AE254" s="4"/>
      <c r="AF254" s="9"/>
      <c r="AG254" s="11"/>
      <c r="AH254" s="4"/>
      <c r="AI254" s="9"/>
      <c r="AJ254" s="11"/>
      <c r="AK254" s="4"/>
      <c r="AL254" s="4"/>
      <c r="AM254" s="4"/>
      <c r="AN254" s="4"/>
      <c r="AO254" s="4"/>
      <c r="AP254" s="4"/>
      <c r="AQ254" s="4"/>
    </row>
    <row r="255" spans="1:43" s="2" customFormat="1" x14ac:dyDescent="0.25">
      <c r="A255" s="161" t="str">
        <f t="shared" si="7"/>
        <v>ARTIST</v>
      </c>
      <c r="B255" s="9"/>
      <c r="C255" s="5"/>
      <c r="D255" s="5"/>
      <c r="E255" s="5" t="s">
        <v>1312</v>
      </c>
      <c r="F255" s="5" t="s">
        <v>1310</v>
      </c>
      <c r="G255" s="5" t="s">
        <v>2050</v>
      </c>
      <c r="H255" s="5" t="s">
        <v>1472</v>
      </c>
      <c r="I255" s="5" t="s">
        <v>128</v>
      </c>
      <c r="J255" s="6">
        <v>1</v>
      </c>
      <c r="K255" s="6"/>
      <c r="L255" s="13" t="s">
        <v>1710</v>
      </c>
      <c r="M255" s="8"/>
      <c r="N255" s="5"/>
      <c r="O255" s="5"/>
      <c r="P255" s="5"/>
      <c r="Q255" s="6">
        <v>1</v>
      </c>
      <c r="R255" s="7" t="s">
        <v>1695</v>
      </c>
      <c r="S255" s="13" t="s">
        <v>1614</v>
      </c>
      <c r="T255" s="6">
        <v>1</v>
      </c>
      <c r="U255" s="7" t="s">
        <v>1737</v>
      </c>
      <c r="V255" s="5"/>
      <c r="W255" s="7">
        <v>2</v>
      </c>
      <c r="X255" s="6" t="s">
        <v>3</v>
      </c>
      <c r="Y255" s="5"/>
      <c r="Z255" s="7">
        <v>1</v>
      </c>
      <c r="AA255" s="6"/>
      <c r="AB255" s="5"/>
      <c r="AC255" s="6"/>
      <c r="AD255" s="6" t="s">
        <v>3</v>
      </c>
      <c r="AE255" s="5"/>
      <c r="AF255" s="6">
        <v>0</v>
      </c>
      <c r="AG255" s="6"/>
      <c r="AH255" s="5"/>
      <c r="AI255" s="6"/>
      <c r="AJ255" s="6"/>
      <c r="AK255" s="5"/>
      <c r="AL255" s="5"/>
      <c r="AM255" s="5"/>
      <c r="AN255" s="5"/>
      <c r="AO255" s="5"/>
      <c r="AP255" s="5"/>
      <c r="AQ255" s="5"/>
    </row>
    <row r="256" spans="1:43" s="2" customFormat="1" x14ac:dyDescent="0.25">
      <c r="A256" s="161" t="str">
        <f t="shared" si="7"/>
        <v>ARTIST</v>
      </c>
      <c r="B256" s="9"/>
      <c r="C256" s="5"/>
      <c r="D256" s="5"/>
      <c r="E256" s="5" t="s">
        <v>1312</v>
      </c>
      <c r="F256" s="5" t="s">
        <v>1310</v>
      </c>
      <c r="G256" s="5" t="s">
        <v>2051</v>
      </c>
      <c r="H256" s="5" t="s">
        <v>1473</v>
      </c>
      <c r="I256" s="5" t="s">
        <v>128</v>
      </c>
      <c r="J256" s="6">
        <v>1</v>
      </c>
      <c r="K256" s="6"/>
      <c r="L256" s="13" t="s">
        <v>1710</v>
      </c>
      <c r="M256" s="8"/>
      <c r="N256" s="5"/>
      <c r="O256" s="5"/>
      <c r="P256" s="5"/>
      <c r="Q256" s="6">
        <v>1</v>
      </c>
      <c r="R256" s="7" t="s">
        <v>1695</v>
      </c>
      <c r="S256" s="13" t="s">
        <v>1614</v>
      </c>
      <c r="T256" s="6">
        <v>1</v>
      </c>
      <c r="U256" s="7" t="s">
        <v>1737</v>
      </c>
      <c r="V256" s="5"/>
      <c r="W256" s="7">
        <v>2</v>
      </c>
      <c r="X256" s="6" t="s">
        <v>3</v>
      </c>
      <c r="Y256" s="5"/>
      <c r="Z256" s="7">
        <v>0</v>
      </c>
      <c r="AA256" s="6"/>
      <c r="AB256" s="5"/>
      <c r="AC256" s="6"/>
      <c r="AD256" s="6" t="s">
        <v>3</v>
      </c>
      <c r="AE256" s="5"/>
      <c r="AF256" s="6">
        <v>0</v>
      </c>
      <c r="AG256" s="6"/>
      <c r="AH256" s="5"/>
      <c r="AI256" s="6"/>
      <c r="AJ256" s="6"/>
      <c r="AK256" s="5"/>
      <c r="AL256" s="5"/>
      <c r="AM256" s="5"/>
      <c r="AN256" s="5"/>
      <c r="AO256" s="5"/>
      <c r="AP256" s="5"/>
      <c r="AQ256" s="5"/>
    </row>
    <row r="257" spans="1:43" s="2" customFormat="1" x14ac:dyDescent="0.25">
      <c r="A257" s="161" t="str">
        <f t="shared" si="7"/>
        <v>ARTIST</v>
      </c>
      <c r="B257" s="9"/>
      <c r="C257" s="5"/>
      <c r="D257" s="5"/>
      <c r="E257" s="5" t="s">
        <v>1312</v>
      </c>
      <c r="F257" s="5" t="s">
        <v>1310</v>
      </c>
      <c r="G257" s="5"/>
      <c r="H257" s="5" t="s">
        <v>1471</v>
      </c>
      <c r="I257" s="5" t="s">
        <v>128</v>
      </c>
      <c r="J257" s="6">
        <v>1</v>
      </c>
      <c r="K257" s="6"/>
      <c r="L257" s="13" t="s">
        <v>1710</v>
      </c>
      <c r="M257" s="8"/>
      <c r="N257" s="5"/>
      <c r="O257" s="5"/>
      <c r="P257" s="5"/>
      <c r="Q257" s="6">
        <v>1</v>
      </c>
      <c r="R257" s="7" t="s">
        <v>1695</v>
      </c>
      <c r="S257" s="13" t="s">
        <v>1614</v>
      </c>
      <c r="T257" s="6">
        <v>1</v>
      </c>
      <c r="U257" s="7" t="s">
        <v>1737</v>
      </c>
      <c r="V257" s="5"/>
      <c r="W257" s="7">
        <v>2</v>
      </c>
      <c r="X257" s="6" t="s">
        <v>3</v>
      </c>
      <c r="Y257" s="5"/>
      <c r="Z257" s="7">
        <v>0</v>
      </c>
      <c r="AA257" s="6"/>
      <c r="AB257" s="5"/>
      <c r="AC257" s="6"/>
      <c r="AD257" s="6" t="s">
        <v>3</v>
      </c>
      <c r="AE257" s="5"/>
      <c r="AF257" s="6">
        <v>1</v>
      </c>
      <c r="AG257" s="6"/>
      <c r="AH257" s="5"/>
      <c r="AI257" s="6"/>
      <c r="AJ257" s="6"/>
      <c r="AK257" s="5"/>
      <c r="AL257" s="5"/>
      <c r="AM257" s="5"/>
      <c r="AN257" s="5"/>
      <c r="AO257" s="5"/>
      <c r="AP257" s="5"/>
      <c r="AQ257" s="5"/>
    </row>
    <row r="258" spans="1:43" s="2" customFormat="1" x14ac:dyDescent="0.25">
      <c r="A258" s="161" t="str">
        <f t="shared" si="7"/>
        <v>ARTIST</v>
      </c>
      <c r="B258" s="9"/>
      <c r="C258" s="5"/>
      <c r="D258" s="5"/>
      <c r="E258" s="5" t="s">
        <v>1312</v>
      </c>
      <c r="F258" s="5" t="s">
        <v>1310</v>
      </c>
      <c r="G258" s="5" t="s">
        <v>2052</v>
      </c>
      <c r="H258" s="5" t="s">
        <v>1468</v>
      </c>
      <c r="I258" s="5" t="s">
        <v>128</v>
      </c>
      <c r="J258" s="6">
        <v>1</v>
      </c>
      <c r="K258" s="6"/>
      <c r="L258" s="13" t="s">
        <v>1710</v>
      </c>
      <c r="M258" s="8"/>
      <c r="N258" s="5"/>
      <c r="O258" s="5"/>
      <c r="P258" s="5"/>
      <c r="Q258" s="6">
        <v>1</v>
      </c>
      <c r="R258" s="7" t="s">
        <v>1695</v>
      </c>
      <c r="S258" s="13" t="s">
        <v>1614</v>
      </c>
      <c r="T258" s="6">
        <v>1</v>
      </c>
      <c r="U258" s="7" t="s">
        <v>1737</v>
      </c>
      <c r="V258" s="5"/>
      <c r="W258" s="7">
        <v>2</v>
      </c>
      <c r="X258" s="6" t="s">
        <v>3</v>
      </c>
      <c r="Y258" s="5"/>
      <c r="Z258" s="7">
        <v>0</v>
      </c>
      <c r="AA258" s="6"/>
      <c r="AB258" s="5"/>
      <c r="AC258" s="6"/>
      <c r="AD258" s="6" t="s">
        <v>3</v>
      </c>
      <c r="AE258" s="5"/>
      <c r="AF258" s="6">
        <v>0</v>
      </c>
      <c r="AG258" s="6"/>
      <c r="AH258" s="5"/>
      <c r="AI258" s="6"/>
      <c r="AJ258" s="6"/>
      <c r="AK258" s="5"/>
      <c r="AL258" s="5"/>
      <c r="AM258" s="5"/>
      <c r="AN258" s="5"/>
      <c r="AO258" s="5"/>
      <c r="AP258" s="5"/>
      <c r="AQ258" s="5"/>
    </row>
    <row r="259" spans="1:43" s="2" customFormat="1" x14ac:dyDescent="0.25">
      <c r="A259" s="161" t="str">
        <f t="shared" si="7"/>
        <v>ARTIST</v>
      </c>
      <c r="B259" s="9"/>
      <c r="C259" s="5"/>
      <c r="D259" s="5"/>
      <c r="E259" s="5" t="s">
        <v>1312</v>
      </c>
      <c r="F259" s="5" t="s">
        <v>1310</v>
      </c>
      <c r="G259" s="5" t="s">
        <v>2053</v>
      </c>
      <c r="H259" s="5" t="s">
        <v>1469</v>
      </c>
      <c r="I259" s="5" t="s">
        <v>128</v>
      </c>
      <c r="J259" s="6">
        <v>1</v>
      </c>
      <c r="K259" s="6"/>
      <c r="L259" s="13" t="s">
        <v>1710</v>
      </c>
      <c r="M259" s="8"/>
      <c r="N259" s="5"/>
      <c r="O259" s="5"/>
      <c r="P259" s="5"/>
      <c r="Q259" s="6">
        <v>1</v>
      </c>
      <c r="R259" s="7" t="s">
        <v>1695</v>
      </c>
      <c r="S259" s="13" t="s">
        <v>1614</v>
      </c>
      <c r="T259" s="6">
        <v>1</v>
      </c>
      <c r="U259" s="7" t="s">
        <v>1737</v>
      </c>
      <c r="V259" s="5"/>
      <c r="W259" s="7">
        <v>2</v>
      </c>
      <c r="X259" s="6" t="s">
        <v>3</v>
      </c>
      <c r="Y259" s="5"/>
      <c r="Z259" s="7">
        <v>0</v>
      </c>
      <c r="AA259" s="6"/>
      <c r="AB259" s="5"/>
      <c r="AC259" s="6"/>
      <c r="AD259" s="6" t="s">
        <v>3</v>
      </c>
      <c r="AE259" s="5"/>
      <c r="AF259" s="6">
        <v>0</v>
      </c>
      <c r="AG259" s="6"/>
      <c r="AH259" s="5"/>
      <c r="AI259" s="6"/>
      <c r="AJ259" s="6"/>
      <c r="AK259" s="5"/>
      <c r="AL259" s="5"/>
      <c r="AM259" s="5"/>
      <c r="AN259" s="5"/>
      <c r="AO259" s="5"/>
      <c r="AP259" s="5"/>
      <c r="AQ259" s="5"/>
    </row>
    <row r="260" spans="1:43" s="2" customFormat="1" x14ac:dyDescent="0.25">
      <c r="A260" s="161" t="str">
        <f t="shared" si="7"/>
        <v>ARTIST</v>
      </c>
      <c r="B260" s="9"/>
      <c r="C260" s="5"/>
      <c r="D260" s="5"/>
      <c r="E260" s="5" t="s">
        <v>1312</v>
      </c>
      <c r="F260" s="5" t="s">
        <v>1310</v>
      </c>
      <c r="G260" s="5" t="s">
        <v>2054</v>
      </c>
      <c r="H260" s="5" t="s">
        <v>1470</v>
      </c>
      <c r="I260" s="5" t="s">
        <v>128</v>
      </c>
      <c r="J260" s="6">
        <v>1</v>
      </c>
      <c r="K260" s="6"/>
      <c r="L260" s="13" t="s">
        <v>1710</v>
      </c>
      <c r="M260" s="8"/>
      <c r="N260" s="5"/>
      <c r="O260" s="5"/>
      <c r="P260" s="5"/>
      <c r="Q260" s="6">
        <v>1</v>
      </c>
      <c r="R260" s="7" t="s">
        <v>1695</v>
      </c>
      <c r="S260" s="13" t="s">
        <v>1614</v>
      </c>
      <c r="T260" s="6">
        <v>1</v>
      </c>
      <c r="U260" s="7" t="s">
        <v>1737</v>
      </c>
      <c r="V260" s="5"/>
      <c r="W260" s="7">
        <v>2</v>
      </c>
      <c r="X260" s="6" t="s">
        <v>3</v>
      </c>
      <c r="Y260" s="5"/>
      <c r="Z260" s="7">
        <v>0</v>
      </c>
      <c r="AA260" s="6"/>
      <c r="AB260" s="5"/>
      <c r="AC260" s="6"/>
      <c r="AD260" s="6" t="s">
        <v>3</v>
      </c>
      <c r="AE260" s="5"/>
      <c r="AF260" s="6">
        <v>1</v>
      </c>
      <c r="AG260" s="6"/>
      <c r="AH260" s="5"/>
      <c r="AI260" s="6"/>
      <c r="AJ260" s="6"/>
      <c r="AK260" s="5"/>
      <c r="AL260" s="5"/>
      <c r="AM260" s="5"/>
      <c r="AN260" s="5"/>
      <c r="AO260" s="5"/>
      <c r="AP260" s="5"/>
      <c r="AQ260" s="5"/>
    </row>
    <row r="261" spans="1:43" s="2" customFormat="1" x14ac:dyDescent="0.25">
      <c r="A261" s="161" t="str">
        <f>CONCATENATE(E261,IF(ISBLANK(C261),"",CONCATENATE("_",C261)))</f>
        <v>ARTIST</v>
      </c>
      <c r="B261" s="9"/>
      <c r="C261" s="5"/>
      <c r="D261" s="5"/>
      <c r="E261" s="5" t="s">
        <v>1312</v>
      </c>
      <c r="F261" s="5" t="s">
        <v>1310</v>
      </c>
      <c r="G261" s="5" t="s">
        <v>2575</v>
      </c>
      <c r="H261" s="5" t="s">
        <v>1471</v>
      </c>
      <c r="I261" s="5" t="s">
        <v>128</v>
      </c>
      <c r="J261" s="6">
        <v>1</v>
      </c>
      <c r="K261" s="6"/>
      <c r="L261" s="13" t="s">
        <v>1710</v>
      </c>
      <c r="M261" s="8"/>
      <c r="N261" s="5"/>
      <c r="O261" s="5"/>
      <c r="P261" s="5"/>
      <c r="Q261" s="6">
        <v>0</v>
      </c>
      <c r="R261" s="7" t="s">
        <v>1695</v>
      </c>
      <c r="S261" s="13" t="s">
        <v>1614</v>
      </c>
      <c r="T261" s="6">
        <v>0</v>
      </c>
      <c r="U261" s="7" t="s">
        <v>1737</v>
      </c>
      <c r="V261" s="5"/>
      <c r="W261" s="7">
        <v>0</v>
      </c>
      <c r="X261" s="6" t="s">
        <v>3</v>
      </c>
      <c r="Y261" s="5"/>
      <c r="Z261" s="7">
        <v>0</v>
      </c>
      <c r="AA261" s="6"/>
      <c r="AB261" s="5"/>
      <c r="AC261" s="6">
        <v>0</v>
      </c>
      <c r="AD261" s="6" t="s">
        <v>3</v>
      </c>
      <c r="AE261" s="5"/>
      <c r="AF261" s="6">
        <v>0</v>
      </c>
      <c r="AG261" s="6"/>
      <c r="AH261" s="5"/>
      <c r="AI261" s="6">
        <v>0</v>
      </c>
      <c r="AJ261" s="6"/>
      <c r="AK261" s="5"/>
      <c r="AL261" s="5" t="s">
        <v>1911</v>
      </c>
      <c r="AM261" s="5"/>
      <c r="AN261" s="5"/>
      <c r="AO261" s="5" t="s">
        <v>1911</v>
      </c>
      <c r="AP261" s="5"/>
      <c r="AQ261" s="5"/>
    </row>
    <row r="262" spans="1:43" s="2" customFormat="1" x14ac:dyDescent="0.25">
      <c r="A262" s="161" t="str">
        <f t="shared" si="7"/>
        <v>ARTIST_LATE</v>
      </c>
      <c r="B262" s="9"/>
      <c r="C262" s="5"/>
      <c r="D262" s="5"/>
      <c r="E262" s="5" t="s">
        <v>1318</v>
      </c>
      <c r="F262" s="5" t="s">
        <v>1311</v>
      </c>
      <c r="G262" s="5"/>
      <c r="H262" s="5" t="s">
        <v>1474</v>
      </c>
      <c r="I262" s="5" t="s">
        <v>128</v>
      </c>
      <c r="J262" s="6"/>
      <c r="K262" s="6"/>
      <c r="L262" s="13" t="s">
        <v>1710</v>
      </c>
      <c r="M262" s="8"/>
      <c r="N262" s="5"/>
      <c r="O262" s="5"/>
      <c r="P262" s="5"/>
      <c r="Q262" s="7">
        <v>1</v>
      </c>
      <c r="R262" s="7">
        <v>0.1</v>
      </c>
      <c r="S262" s="13"/>
      <c r="T262" s="7"/>
      <c r="U262" s="7">
        <v>0.08</v>
      </c>
      <c r="V262" s="5"/>
      <c r="W262" s="7"/>
      <c r="X262" s="6" t="s">
        <v>3</v>
      </c>
      <c r="Y262" s="5"/>
      <c r="Z262" s="7"/>
      <c r="AA262" s="6"/>
      <c r="AB262" s="5"/>
      <c r="AC262" s="6"/>
      <c r="AD262" s="6" t="s">
        <v>3</v>
      </c>
      <c r="AE262" s="5"/>
      <c r="AF262" s="7"/>
      <c r="AG262" s="6"/>
      <c r="AH262" s="5"/>
      <c r="AI262" s="7"/>
      <c r="AJ262" s="6"/>
      <c r="AK262" s="5"/>
      <c r="AL262" s="5"/>
      <c r="AM262" s="5"/>
      <c r="AN262" s="5"/>
      <c r="AO262" s="5"/>
      <c r="AP262" s="5"/>
      <c r="AQ262" s="5"/>
    </row>
    <row r="263" spans="1:43" s="2" customFormat="1" x14ac:dyDescent="0.25">
      <c r="A263" s="161" t="str">
        <f t="shared" si="7"/>
        <v>ATOMIC_BOMB</v>
      </c>
      <c r="B263" s="9" t="s">
        <v>747</v>
      </c>
      <c r="C263" s="5"/>
      <c r="D263" s="5"/>
      <c r="E263" s="5" t="s">
        <v>747</v>
      </c>
      <c r="F263" s="5" t="s">
        <v>790</v>
      </c>
      <c r="G263" s="5"/>
      <c r="H263" s="5" t="s">
        <v>1401</v>
      </c>
      <c r="I263" s="5" t="s">
        <v>128</v>
      </c>
      <c r="J263" s="6"/>
      <c r="K263" s="7"/>
      <c r="L263" s="13" t="s">
        <v>1711</v>
      </c>
      <c r="M263" s="8">
        <v>1.5</v>
      </c>
      <c r="N263" s="13" t="s">
        <v>1725</v>
      </c>
      <c r="O263" s="13"/>
      <c r="P263" s="13"/>
      <c r="Q263" s="7">
        <v>1</v>
      </c>
      <c r="R263" s="6">
        <v>7.0000000000000007E-2</v>
      </c>
      <c r="S263" s="5"/>
      <c r="T263" s="7">
        <v>1</v>
      </c>
      <c r="U263" s="7" t="s">
        <v>1737</v>
      </c>
      <c r="V263" s="5"/>
      <c r="W263" s="7"/>
      <c r="X263" s="6" t="s">
        <v>3</v>
      </c>
      <c r="Y263" s="5"/>
      <c r="Z263" s="7"/>
      <c r="AA263" s="6"/>
      <c r="AB263" s="5"/>
      <c r="AC263" s="6"/>
      <c r="AD263" s="6" t="s">
        <v>3</v>
      </c>
      <c r="AE263" s="5"/>
      <c r="AF263" s="7"/>
      <c r="AG263" s="6"/>
      <c r="AH263" s="5"/>
      <c r="AI263" s="7"/>
      <c r="AJ263" s="6"/>
      <c r="AK263" s="5"/>
      <c r="AL263" s="5"/>
      <c r="AM263" s="5"/>
      <c r="AN263" s="5"/>
      <c r="AO263" s="5"/>
      <c r="AP263" s="5"/>
      <c r="AQ263" s="5"/>
    </row>
    <row r="264" spans="1:43" s="2" customFormat="1" x14ac:dyDescent="0.25">
      <c r="A264" s="161" t="str">
        <f>CONCATENATE(E264,IF(ISBLANK(C264),"",CONCATENATE("_",C264)))</f>
        <v>BARBARIAN_ARCHER</v>
      </c>
      <c r="B264" s="9"/>
      <c r="C264" s="5"/>
      <c r="D264" s="5"/>
      <c r="E264" s="5" t="s">
        <v>1306</v>
      </c>
      <c r="F264" s="5" t="s">
        <v>1306</v>
      </c>
      <c r="G264" s="5" t="s">
        <v>2079</v>
      </c>
      <c r="H264" s="5" t="s">
        <v>1402</v>
      </c>
      <c r="I264" s="5" t="s">
        <v>128</v>
      </c>
      <c r="J264" s="6"/>
      <c r="K264" s="6"/>
      <c r="L264" s="13" t="s">
        <v>1708</v>
      </c>
      <c r="M264" s="8"/>
      <c r="N264" s="5"/>
      <c r="O264" s="5"/>
      <c r="P264" s="5"/>
      <c r="Q264" s="6">
        <v>0</v>
      </c>
      <c r="R264" s="6" t="s">
        <v>1737</v>
      </c>
      <c r="S264" s="13" t="s">
        <v>46</v>
      </c>
      <c r="T264" s="6">
        <v>0</v>
      </c>
      <c r="U264" s="6" t="s">
        <v>1737</v>
      </c>
      <c r="V264" s="5"/>
      <c r="W264" s="6">
        <v>0</v>
      </c>
      <c r="X264" s="6" t="s">
        <v>3</v>
      </c>
      <c r="Y264" s="5"/>
      <c r="Z264" s="7">
        <v>0</v>
      </c>
      <c r="AA264" s="6"/>
      <c r="AB264" s="5"/>
      <c r="AC264" s="6">
        <v>0</v>
      </c>
      <c r="AD264" s="6" t="s">
        <v>3</v>
      </c>
      <c r="AE264" s="5"/>
      <c r="AF264" s="6">
        <v>0</v>
      </c>
      <c r="AG264" s="6"/>
      <c r="AH264" s="5"/>
      <c r="AI264" s="6">
        <v>0</v>
      </c>
      <c r="AJ264" s="6"/>
      <c r="AK264" s="5"/>
      <c r="AL264" s="5" t="s">
        <v>1911</v>
      </c>
      <c r="AM264" s="5"/>
      <c r="AN264" s="5"/>
      <c r="AO264" s="5" t="s">
        <v>1911</v>
      </c>
      <c r="AP264" s="5"/>
      <c r="AQ264" s="5"/>
    </row>
    <row r="265" spans="1:43" s="2" customFormat="1" x14ac:dyDescent="0.25">
      <c r="A265" s="161" t="str">
        <f t="shared" si="7"/>
        <v>BARBARIAN_ARCHER</v>
      </c>
      <c r="B265" s="9" t="s">
        <v>1306</v>
      </c>
      <c r="C265" s="5"/>
      <c r="D265" s="5"/>
      <c r="E265" s="5" t="s">
        <v>1306</v>
      </c>
      <c r="F265" s="5" t="s">
        <v>1306</v>
      </c>
      <c r="G265" s="5"/>
      <c r="H265" s="5" t="s">
        <v>1402</v>
      </c>
      <c r="I265" s="5" t="s">
        <v>128</v>
      </c>
      <c r="J265" s="6"/>
      <c r="K265" s="6"/>
      <c r="L265" s="13" t="s">
        <v>1708</v>
      </c>
      <c r="M265" s="8"/>
      <c r="N265" s="5"/>
      <c r="O265" s="5"/>
      <c r="P265" s="5"/>
      <c r="Q265" s="6">
        <v>3</v>
      </c>
      <c r="R265" s="6" t="s">
        <v>1737</v>
      </c>
      <c r="S265" s="13" t="s">
        <v>46</v>
      </c>
      <c r="T265" s="6">
        <v>5</v>
      </c>
      <c r="U265" s="6" t="s">
        <v>1737</v>
      </c>
      <c r="V265" s="5"/>
      <c r="W265" s="6">
        <v>5</v>
      </c>
      <c r="X265" s="6" t="s">
        <v>3</v>
      </c>
      <c r="Y265" s="5"/>
      <c r="Z265" s="7">
        <v>1</v>
      </c>
      <c r="AA265" s="6"/>
      <c r="AB265" s="5"/>
      <c r="AC265" s="6"/>
      <c r="AD265" s="6" t="s">
        <v>3</v>
      </c>
      <c r="AE265" s="5"/>
      <c r="AF265" s="6">
        <v>1</v>
      </c>
      <c r="AG265" s="6"/>
      <c r="AH265" s="5"/>
      <c r="AI265" s="6">
        <v>2</v>
      </c>
      <c r="AJ265" s="6"/>
      <c r="AK265" s="5"/>
      <c r="AL265" s="5"/>
      <c r="AM265" s="5"/>
      <c r="AN265" s="5"/>
      <c r="AO265" s="5"/>
      <c r="AP265" s="5"/>
      <c r="AQ265" s="5"/>
    </row>
    <row r="266" spans="1:43" s="2" customFormat="1" x14ac:dyDescent="0.25">
      <c r="A266" s="161" t="str">
        <f t="shared" si="7"/>
        <v>BARBARIAN_ARCHER</v>
      </c>
      <c r="B266" s="9" t="s">
        <v>1306</v>
      </c>
      <c r="C266" s="5"/>
      <c r="D266" s="5"/>
      <c r="E266" s="5" t="s">
        <v>1306</v>
      </c>
      <c r="F266" s="5" t="s">
        <v>1306</v>
      </c>
      <c r="G266" s="5" t="s">
        <v>2047</v>
      </c>
      <c r="H266" s="5" t="s">
        <v>1403</v>
      </c>
      <c r="I266" s="5" t="s">
        <v>128</v>
      </c>
      <c r="J266" s="6"/>
      <c r="K266" s="6"/>
      <c r="L266" s="13" t="s">
        <v>1708</v>
      </c>
      <c r="M266" s="8"/>
      <c r="N266" s="5"/>
      <c r="O266" s="5"/>
      <c r="P266" s="5"/>
      <c r="Q266" s="6">
        <v>6</v>
      </c>
      <c r="R266" s="6" t="s">
        <v>1737</v>
      </c>
      <c r="S266" s="13" t="s">
        <v>46</v>
      </c>
      <c r="T266" s="6">
        <v>7</v>
      </c>
      <c r="U266" s="6" t="s">
        <v>1737</v>
      </c>
      <c r="V266" s="5"/>
      <c r="W266" s="6">
        <v>5</v>
      </c>
      <c r="X266" s="6" t="s">
        <v>3</v>
      </c>
      <c r="Y266" s="5"/>
      <c r="Z266" s="7">
        <v>0</v>
      </c>
      <c r="AA266" s="6"/>
      <c r="AB266" s="5"/>
      <c r="AC266" s="6"/>
      <c r="AD266" s="6" t="s">
        <v>3</v>
      </c>
      <c r="AE266" s="5"/>
      <c r="AF266" s="6">
        <v>1</v>
      </c>
      <c r="AG266" s="6"/>
      <c r="AH266" s="5"/>
      <c r="AI266" s="6">
        <v>3</v>
      </c>
      <c r="AJ266" s="6"/>
      <c r="AK266" s="5"/>
      <c r="AL266" s="5"/>
      <c r="AM266" s="5"/>
      <c r="AN266" s="5"/>
      <c r="AO266" s="5"/>
      <c r="AP266" s="5"/>
      <c r="AQ266" s="5"/>
    </row>
    <row r="267" spans="1:43" s="2" customFormat="1" x14ac:dyDescent="0.25">
      <c r="A267" s="161" t="str">
        <f t="shared" si="7"/>
        <v>BARBARIAN_ARCHER</v>
      </c>
      <c r="B267" s="9" t="s">
        <v>1306</v>
      </c>
      <c r="C267" s="5"/>
      <c r="D267" s="5"/>
      <c r="E267" s="5" t="s">
        <v>1306</v>
      </c>
      <c r="F267" s="5" t="s">
        <v>1306</v>
      </c>
      <c r="G267" s="5" t="s">
        <v>2049</v>
      </c>
      <c r="H267" s="5" t="s">
        <v>1404</v>
      </c>
      <c r="I267" s="5" t="s">
        <v>128</v>
      </c>
      <c r="J267" s="6"/>
      <c r="K267" s="6"/>
      <c r="L267" s="13" t="s">
        <v>1708</v>
      </c>
      <c r="M267" s="8"/>
      <c r="N267" s="5"/>
      <c r="O267" s="5"/>
      <c r="P267" s="5"/>
      <c r="Q267" s="6">
        <v>3</v>
      </c>
      <c r="R267" s="6" t="s">
        <v>1737</v>
      </c>
      <c r="S267" s="13" t="s">
        <v>46</v>
      </c>
      <c r="T267" s="6">
        <v>6</v>
      </c>
      <c r="U267" s="15" t="s">
        <v>1737</v>
      </c>
      <c r="V267" s="5"/>
      <c r="W267" s="6">
        <v>5</v>
      </c>
      <c r="X267" s="6" t="s">
        <v>3</v>
      </c>
      <c r="Y267" s="5"/>
      <c r="Z267" s="7">
        <v>0</v>
      </c>
      <c r="AA267" s="6"/>
      <c r="AB267" s="5"/>
      <c r="AC267" s="6"/>
      <c r="AD267" s="6" t="s">
        <v>3</v>
      </c>
      <c r="AE267" s="5"/>
      <c r="AF267" s="6">
        <v>1</v>
      </c>
      <c r="AG267" s="6"/>
      <c r="AH267" s="5"/>
      <c r="AI267" s="6">
        <v>2</v>
      </c>
      <c r="AJ267" s="6"/>
      <c r="AK267" s="5"/>
      <c r="AL267" s="5"/>
      <c r="AM267" s="5"/>
      <c r="AN267" s="5"/>
      <c r="AO267" s="5"/>
      <c r="AP267" s="5"/>
      <c r="AQ267" s="5"/>
    </row>
    <row r="268" spans="1:43" s="2" customFormat="1" x14ac:dyDescent="0.25">
      <c r="A268" s="161" t="str">
        <f t="shared" si="7"/>
        <v>BARBARIAN_ARCHER</v>
      </c>
      <c r="B268" s="9" t="s">
        <v>1306</v>
      </c>
      <c r="C268" s="5"/>
      <c r="D268" s="5"/>
      <c r="E268" s="5" t="s">
        <v>1306</v>
      </c>
      <c r="F268" s="5" t="s">
        <v>1306</v>
      </c>
      <c r="G268" s="5"/>
      <c r="H268" s="5" t="s">
        <v>1402</v>
      </c>
      <c r="I268" s="5" t="s">
        <v>128</v>
      </c>
      <c r="J268" s="6"/>
      <c r="K268" s="6"/>
      <c r="L268" s="13" t="s">
        <v>1708</v>
      </c>
      <c r="M268" s="8"/>
      <c r="N268" s="5"/>
      <c r="O268" s="5"/>
      <c r="P268" s="5"/>
      <c r="Q268" s="6">
        <v>0</v>
      </c>
      <c r="R268" s="6" t="s">
        <v>1737</v>
      </c>
      <c r="S268" s="13" t="s">
        <v>46</v>
      </c>
      <c r="T268" s="6">
        <v>0</v>
      </c>
      <c r="U268" s="6" t="s">
        <v>1737</v>
      </c>
      <c r="V268" s="5"/>
      <c r="W268" s="7">
        <v>5</v>
      </c>
      <c r="X268" s="6" t="s">
        <v>3</v>
      </c>
      <c r="Y268" s="5"/>
      <c r="Z268" s="7">
        <v>0</v>
      </c>
      <c r="AA268" s="6"/>
      <c r="AB268" s="5"/>
      <c r="AC268" s="6"/>
      <c r="AD268" s="6" t="s">
        <v>3</v>
      </c>
      <c r="AE268" s="5"/>
      <c r="AF268" s="6">
        <v>0</v>
      </c>
      <c r="AG268" s="6"/>
      <c r="AH268" s="5"/>
      <c r="AI268" s="6">
        <v>0</v>
      </c>
      <c r="AJ268" s="6"/>
      <c r="AK268" s="5"/>
      <c r="AL268" s="5"/>
      <c r="AM268" s="5"/>
      <c r="AN268" s="5"/>
      <c r="AO268" s="5"/>
      <c r="AP268" s="5"/>
      <c r="AQ268" s="5"/>
    </row>
    <row r="269" spans="1:43" s="2" customFormat="1" x14ac:dyDescent="0.25">
      <c r="A269" s="161" t="str">
        <f t="shared" si="7"/>
        <v>BARBARIAN_ARCHER</v>
      </c>
      <c r="B269" s="9" t="s">
        <v>1306</v>
      </c>
      <c r="C269" s="5"/>
      <c r="D269" s="5"/>
      <c r="E269" s="5" t="s">
        <v>1306</v>
      </c>
      <c r="F269" s="5" t="s">
        <v>1306</v>
      </c>
      <c r="G269" s="5" t="s">
        <v>2047</v>
      </c>
      <c r="H269" s="5" t="s">
        <v>1403</v>
      </c>
      <c r="I269" s="5" t="s">
        <v>128</v>
      </c>
      <c r="J269" s="6"/>
      <c r="K269" s="6"/>
      <c r="L269" s="13" t="s">
        <v>1708</v>
      </c>
      <c r="M269" s="8"/>
      <c r="N269" s="5"/>
      <c r="O269" s="5"/>
      <c r="P269" s="5"/>
      <c r="Q269" s="6">
        <v>0</v>
      </c>
      <c r="R269" s="6" t="s">
        <v>1737</v>
      </c>
      <c r="S269" s="13" t="s">
        <v>46</v>
      </c>
      <c r="T269" s="6">
        <v>0</v>
      </c>
      <c r="U269" s="6" t="s">
        <v>1737</v>
      </c>
      <c r="V269" s="5"/>
      <c r="W269" s="7">
        <v>5</v>
      </c>
      <c r="X269" s="6" t="s">
        <v>3</v>
      </c>
      <c r="Y269" s="5"/>
      <c r="Z269" s="7">
        <v>0</v>
      </c>
      <c r="AA269" s="6"/>
      <c r="AB269" s="5"/>
      <c r="AC269" s="6"/>
      <c r="AD269" s="6" t="s">
        <v>3</v>
      </c>
      <c r="AE269" s="5"/>
      <c r="AF269" s="6">
        <v>0</v>
      </c>
      <c r="AG269" s="6"/>
      <c r="AH269" s="5"/>
      <c r="AI269" s="6">
        <v>0</v>
      </c>
      <c r="AJ269" s="6"/>
      <c r="AK269" s="5"/>
      <c r="AL269" s="5"/>
      <c r="AM269" s="5"/>
      <c r="AN269" s="5"/>
      <c r="AO269" s="5"/>
      <c r="AP269" s="5"/>
      <c r="AQ269" s="5"/>
    </row>
    <row r="270" spans="1:43" s="2" customFormat="1" x14ac:dyDescent="0.25">
      <c r="A270" s="161" t="str">
        <f t="shared" si="7"/>
        <v>BARBARIAN_ARCHER</v>
      </c>
      <c r="B270" s="9" t="s">
        <v>1306</v>
      </c>
      <c r="C270" s="5"/>
      <c r="D270" s="5"/>
      <c r="E270" s="5" t="s">
        <v>1306</v>
      </c>
      <c r="F270" s="5" t="s">
        <v>1306</v>
      </c>
      <c r="G270" s="5" t="s">
        <v>2049</v>
      </c>
      <c r="H270" s="5" t="s">
        <v>1404</v>
      </c>
      <c r="I270" s="5" t="s">
        <v>128</v>
      </c>
      <c r="J270" s="6"/>
      <c r="K270" s="6"/>
      <c r="L270" s="13" t="s">
        <v>1708</v>
      </c>
      <c r="M270" s="8"/>
      <c r="N270" s="5"/>
      <c r="O270" s="5"/>
      <c r="P270" s="5"/>
      <c r="Q270" s="6">
        <v>0</v>
      </c>
      <c r="R270" s="6" t="s">
        <v>1737</v>
      </c>
      <c r="S270" s="13" t="s">
        <v>46</v>
      </c>
      <c r="T270" s="6">
        <v>0</v>
      </c>
      <c r="U270" s="15" t="s">
        <v>1737</v>
      </c>
      <c r="V270" s="5"/>
      <c r="W270" s="7">
        <v>5</v>
      </c>
      <c r="X270" s="6" t="s">
        <v>3</v>
      </c>
      <c r="Y270" s="5"/>
      <c r="Z270" s="7">
        <v>0</v>
      </c>
      <c r="AA270" s="6"/>
      <c r="AB270" s="5"/>
      <c r="AC270" s="6"/>
      <c r="AD270" s="6" t="s">
        <v>3</v>
      </c>
      <c r="AE270" s="5"/>
      <c r="AF270" s="6">
        <v>0</v>
      </c>
      <c r="AG270" s="6"/>
      <c r="AH270" s="5"/>
      <c r="AI270" s="6">
        <v>0</v>
      </c>
      <c r="AJ270" s="6"/>
      <c r="AK270" s="5"/>
      <c r="AL270" s="5"/>
      <c r="AM270" s="5"/>
      <c r="AN270" s="5"/>
      <c r="AO270" s="5"/>
      <c r="AP270" s="5"/>
      <c r="AQ270" s="5"/>
    </row>
    <row r="271" spans="1:43" s="2" customFormat="1" x14ac:dyDescent="0.25">
      <c r="A271" s="161" t="str">
        <f>CONCATENATE(E271,IF(ISBLANK(C271),"",CONCATENATE("_",C271)))</f>
        <v>BARBARIAN_EURO</v>
      </c>
      <c r="B271" s="9"/>
      <c r="C271" s="5"/>
      <c r="D271" s="5"/>
      <c r="E271" s="5" t="s">
        <v>2571</v>
      </c>
      <c r="F271" s="5" t="s">
        <v>2571</v>
      </c>
      <c r="G271" s="5" t="s">
        <v>2572</v>
      </c>
      <c r="H271" s="5" t="s">
        <v>1405</v>
      </c>
      <c r="I271" s="5" t="s">
        <v>128</v>
      </c>
      <c r="J271" s="6"/>
      <c r="K271" s="6"/>
      <c r="L271" s="13" t="s">
        <v>1718</v>
      </c>
      <c r="M271" s="8"/>
      <c r="N271" s="5"/>
      <c r="O271" s="5"/>
      <c r="P271" s="5"/>
      <c r="Q271" s="6">
        <v>0</v>
      </c>
      <c r="R271" s="6" t="s">
        <v>1737</v>
      </c>
      <c r="S271" s="13" t="s">
        <v>46</v>
      </c>
      <c r="T271" s="6">
        <v>0</v>
      </c>
      <c r="U271" s="7" t="s">
        <v>1737</v>
      </c>
      <c r="V271" s="5"/>
      <c r="W271" s="7">
        <v>0</v>
      </c>
      <c r="X271" s="6" t="s">
        <v>3</v>
      </c>
      <c r="Y271" s="5"/>
      <c r="Z271" s="7">
        <v>0</v>
      </c>
      <c r="AA271" s="6"/>
      <c r="AB271" s="5"/>
      <c r="AC271" s="6">
        <v>0</v>
      </c>
      <c r="AD271" s="6" t="s">
        <v>3</v>
      </c>
      <c r="AE271" s="5"/>
      <c r="AF271" s="6">
        <v>0</v>
      </c>
      <c r="AG271" s="6"/>
      <c r="AH271" s="5"/>
      <c r="AI271" s="6">
        <v>0</v>
      </c>
      <c r="AJ271" s="6"/>
      <c r="AK271" s="5"/>
      <c r="AL271" s="5" t="s">
        <v>1911</v>
      </c>
      <c r="AM271" s="5"/>
      <c r="AN271" s="5"/>
      <c r="AO271" s="5" t="s">
        <v>1911</v>
      </c>
      <c r="AP271" s="5"/>
      <c r="AQ271" s="5"/>
    </row>
    <row r="272" spans="1:43" s="2" customFormat="1" x14ac:dyDescent="0.25">
      <c r="A272" s="161" t="str">
        <f t="shared" si="7"/>
        <v>BARBARIAN_EURO</v>
      </c>
      <c r="B272" s="9" t="s">
        <v>2314</v>
      </c>
      <c r="C272" s="5"/>
      <c r="D272" s="5"/>
      <c r="E272" s="5" t="s">
        <v>2571</v>
      </c>
      <c r="F272" s="5" t="s">
        <v>2571</v>
      </c>
      <c r="G272" s="5"/>
      <c r="H272" s="5" t="s">
        <v>1405</v>
      </c>
      <c r="I272" s="5" t="s">
        <v>128</v>
      </c>
      <c r="J272" s="6"/>
      <c r="K272" s="6"/>
      <c r="L272" s="13" t="s">
        <v>1718</v>
      </c>
      <c r="M272" s="8"/>
      <c r="N272" s="5"/>
      <c r="O272" s="5"/>
      <c r="P272" s="5"/>
      <c r="Q272" s="6">
        <v>2</v>
      </c>
      <c r="R272" s="6" t="s">
        <v>1737</v>
      </c>
      <c r="S272" s="13" t="s">
        <v>46</v>
      </c>
      <c r="T272" s="6">
        <v>5</v>
      </c>
      <c r="U272" s="7" t="s">
        <v>1737</v>
      </c>
      <c r="V272" s="5"/>
      <c r="W272" s="7">
        <v>5</v>
      </c>
      <c r="X272" s="6" t="s">
        <v>3</v>
      </c>
      <c r="Y272" s="5"/>
      <c r="Z272" s="7">
        <v>1</v>
      </c>
      <c r="AA272" s="6"/>
      <c r="AB272" s="5"/>
      <c r="AC272" s="6"/>
      <c r="AD272" s="6" t="s">
        <v>3</v>
      </c>
      <c r="AE272" s="5"/>
      <c r="AF272" s="6">
        <v>1</v>
      </c>
      <c r="AG272" s="6"/>
      <c r="AH272" s="5"/>
      <c r="AI272" s="6">
        <v>2</v>
      </c>
      <c r="AJ272" s="6"/>
      <c r="AK272" s="5"/>
      <c r="AL272" s="5"/>
      <c r="AM272" s="5"/>
      <c r="AN272" s="5"/>
      <c r="AO272" s="5"/>
      <c r="AP272" s="5"/>
      <c r="AQ272" s="5"/>
    </row>
    <row r="273" spans="1:43" s="2" customFormat="1" x14ac:dyDescent="0.25">
      <c r="A273" s="161" t="str">
        <f t="shared" si="7"/>
        <v>BARBARIAN_EURO</v>
      </c>
      <c r="B273" s="9" t="s">
        <v>2314</v>
      </c>
      <c r="C273" s="5"/>
      <c r="D273" s="5"/>
      <c r="E273" s="5" t="s">
        <v>2571</v>
      </c>
      <c r="F273" s="5" t="s">
        <v>2571</v>
      </c>
      <c r="G273" s="5" t="s">
        <v>2573</v>
      </c>
      <c r="H273" s="5" t="s">
        <v>1406</v>
      </c>
      <c r="I273" s="5" t="s">
        <v>128</v>
      </c>
      <c r="J273" s="6"/>
      <c r="K273" s="6"/>
      <c r="L273" s="13" t="s">
        <v>1718</v>
      </c>
      <c r="M273" s="8"/>
      <c r="N273" s="5"/>
      <c r="O273" s="5"/>
      <c r="P273" s="5"/>
      <c r="Q273" s="6">
        <v>4</v>
      </c>
      <c r="R273" s="6" t="s">
        <v>1737</v>
      </c>
      <c r="S273" s="13" t="s">
        <v>46</v>
      </c>
      <c r="T273" s="6">
        <v>7</v>
      </c>
      <c r="U273" s="7" t="s">
        <v>1737</v>
      </c>
      <c r="V273" s="5"/>
      <c r="W273" s="7">
        <v>5</v>
      </c>
      <c r="X273" s="6" t="s">
        <v>3</v>
      </c>
      <c r="Y273" s="5"/>
      <c r="Z273" s="7">
        <v>0</v>
      </c>
      <c r="AA273" s="6"/>
      <c r="AB273" s="5"/>
      <c r="AC273" s="6"/>
      <c r="AD273" s="6" t="s">
        <v>3</v>
      </c>
      <c r="AE273" s="5"/>
      <c r="AF273" s="6">
        <v>1</v>
      </c>
      <c r="AG273" s="6"/>
      <c r="AH273" s="5"/>
      <c r="AI273" s="6">
        <v>3</v>
      </c>
      <c r="AJ273" s="6"/>
      <c r="AK273" s="5"/>
      <c r="AL273" s="5"/>
      <c r="AM273" s="5"/>
      <c r="AN273" s="5"/>
      <c r="AO273" s="5"/>
      <c r="AP273" s="5"/>
      <c r="AQ273" s="5"/>
    </row>
    <row r="274" spans="1:43" s="2" customFormat="1" x14ac:dyDescent="0.25">
      <c r="A274" s="161" t="str">
        <f t="shared" si="7"/>
        <v>BARBARIAN_EURO</v>
      </c>
      <c r="B274" s="9" t="s">
        <v>2314</v>
      </c>
      <c r="C274" s="5"/>
      <c r="D274" s="5"/>
      <c r="E274" s="5" t="s">
        <v>2571</v>
      </c>
      <c r="F274" s="5" t="s">
        <v>2571</v>
      </c>
      <c r="G274" s="5" t="s">
        <v>2574</v>
      </c>
      <c r="H274" s="5" t="s">
        <v>1407</v>
      </c>
      <c r="I274" s="5" t="s">
        <v>128</v>
      </c>
      <c r="J274" s="6"/>
      <c r="K274" s="6"/>
      <c r="L274" s="13" t="s">
        <v>1718</v>
      </c>
      <c r="M274" s="8"/>
      <c r="N274" s="5"/>
      <c r="O274" s="5"/>
      <c r="P274" s="5"/>
      <c r="Q274" s="6">
        <v>4</v>
      </c>
      <c r="R274" s="6" t="s">
        <v>1737</v>
      </c>
      <c r="S274" s="13" t="s">
        <v>46</v>
      </c>
      <c r="T274" s="6">
        <v>6</v>
      </c>
      <c r="U274" s="7" t="s">
        <v>1737</v>
      </c>
      <c r="V274" s="5"/>
      <c r="W274" s="7">
        <v>5</v>
      </c>
      <c r="X274" s="6" t="s">
        <v>3</v>
      </c>
      <c r="Y274" s="5"/>
      <c r="Z274" s="7">
        <v>0</v>
      </c>
      <c r="AA274" s="6"/>
      <c r="AB274" s="5"/>
      <c r="AC274" s="6"/>
      <c r="AD274" s="6" t="s">
        <v>3</v>
      </c>
      <c r="AE274" s="5"/>
      <c r="AF274" s="6">
        <v>1</v>
      </c>
      <c r="AG274" s="6"/>
      <c r="AH274" s="5"/>
      <c r="AI274" s="6">
        <v>2</v>
      </c>
      <c r="AJ274" s="6"/>
      <c r="AK274" s="5"/>
      <c r="AL274" s="5"/>
      <c r="AM274" s="5"/>
      <c r="AN274" s="5"/>
      <c r="AO274" s="5"/>
      <c r="AP274" s="5"/>
      <c r="AQ274" s="5"/>
    </row>
    <row r="275" spans="1:43" s="2" customFormat="1" x14ac:dyDescent="0.25">
      <c r="A275" s="161" t="str">
        <f>CONCATENATE(E275,IF(ISBLANK(C275),"",CONCATENATE("_",C275)))</f>
        <v>BARBARIAN_EURO</v>
      </c>
      <c r="B275" s="9" t="s">
        <v>2314</v>
      </c>
      <c r="C275" s="5"/>
      <c r="D275" s="5"/>
      <c r="E275" s="5" t="s">
        <v>2571</v>
      </c>
      <c r="F275" s="5" t="s">
        <v>2571</v>
      </c>
      <c r="G275" s="5"/>
      <c r="H275" s="5" t="s">
        <v>1405</v>
      </c>
      <c r="I275" s="5" t="s">
        <v>128</v>
      </c>
      <c r="J275" s="6"/>
      <c r="K275" s="6"/>
      <c r="L275" s="13" t="s">
        <v>1718</v>
      </c>
      <c r="M275" s="8"/>
      <c r="N275" s="5"/>
      <c r="O275" s="5"/>
      <c r="P275" s="5"/>
      <c r="Q275" s="6">
        <v>0</v>
      </c>
      <c r="R275" s="6" t="s">
        <v>1737</v>
      </c>
      <c r="S275" s="13" t="s">
        <v>46</v>
      </c>
      <c r="T275" s="6">
        <v>0</v>
      </c>
      <c r="U275" s="7" t="s">
        <v>1737</v>
      </c>
      <c r="V275" s="5"/>
      <c r="W275" s="7">
        <v>5</v>
      </c>
      <c r="X275" s="6" t="s">
        <v>3</v>
      </c>
      <c r="Y275" s="5"/>
      <c r="Z275" s="7">
        <v>0</v>
      </c>
      <c r="AA275" s="6"/>
      <c r="AB275" s="5"/>
      <c r="AC275" s="6"/>
      <c r="AD275" s="6" t="s">
        <v>3</v>
      </c>
      <c r="AE275" s="5"/>
      <c r="AF275" s="6">
        <v>0</v>
      </c>
      <c r="AG275" s="6"/>
      <c r="AH275" s="5"/>
      <c r="AI275" s="6">
        <v>0</v>
      </c>
      <c r="AJ275" s="6"/>
      <c r="AK275" s="5"/>
      <c r="AL275" s="5"/>
      <c r="AM275" s="5"/>
      <c r="AN275" s="5"/>
      <c r="AO275" s="5"/>
      <c r="AP275" s="5"/>
      <c r="AQ275" s="5"/>
    </row>
    <row r="276" spans="1:43" s="2" customFormat="1" x14ac:dyDescent="0.25">
      <c r="A276" s="161" t="str">
        <f>CONCATENATE(E276,IF(ISBLANK(C276),"",CONCATENATE("_",C276)))</f>
        <v>BARBARIAN_EURO</v>
      </c>
      <c r="B276" s="9" t="s">
        <v>2314</v>
      </c>
      <c r="C276" s="5"/>
      <c r="D276" s="5"/>
      <c r="E276" s="5" t="s">
        <v>2571</v>
      </c>
      <c r="F276" s="5" t="s">
        <v>2571</v>
      </c>
      <c r="G276" s="5" t="s">
        <v>2573</v>
      </c>
      <c r="H276" s="5" t="s">
        <v>1406</v>
      </c>
      <c r="I276" s="5" t="s">
        <v>128</v>
      </c>
      <c r="J276" s="6"/>
      <c r="K276" s="6"/>
      <c r="L276" s="13" t="s">
        <v>1718</v>
      </c>
      <c r="M276" s="8"/>
      <c r="N276" s="5"/>
      <c r="O276" s="5"/>
      <c r="P276" s="5"/>
      <c r="Q276" s="6">
        <v>0</v>
      </c>
      <c r="R276" s="6" t="s">
        <v>1737</v>
      </c>
      <c r="S276" s="13" t="s">
        <v>46</v>
      </c>
      <c r="T276" s="6">
        <v>0</v>
      </c>
      <c r="U276" s="7" t="s">
        <v>1737</v>
      </c>
      <c r="V276" s="5"/>
      <c r="W276" s="7">
        <v>5</v>
      </c>
      <c r="X276" s="6" t="s">
        <v>3</v>
      </c>
      <c r="Y276" s="5"/>
      <c r="Z276" s="7">
        <v>0</v>
      </c>
      <c r="AA276" s="6"/>
      <c r="AB276" s="5"/>
      <c r="AC276" s="6"/>
      <c r="AD276" s="6" t="s">
        <v>3</v>
      </c>
      <c r="AE276" s="5"/>
      <c r="AF276" s="6">
        <v>0</v>
      </c>
      <c r="AG276" s="6"/>
      <c r="AH276" s="5"/>
      <c r="AI276" s="6">
        <v>0</v>
      </c>
      <c r="AJ276" s="6"/>
      <c r="AK276" s="5"/>
      <c r="AL276" s="5"/>
      <c r="AM276" s="5"/>
      <c r="AN276" s="5"/>
      <c r="AO276" s="5"/>
      <c r="AP276" s="5"/>
      <c r="AQ276" s="5"/>
    </row>
    <row r="277" spans="1:43" s="2" customFormat="1" x14ac:dyDescent="0.25">
      <c r="A277" s="161" t="str">
        <f>CONCATENATE(E277,IF(ISBLANK(C277),"",CONCATENATE("_",C277)))</f>
        <v>BARBARIAN_EURO</v>
      </c>
      <c r="B277" s="9" t="s">
        <v>2314</v>
      </c>
      <c r="C277" s="5"/>
      <c r="D277" s="5"/>
      <c r="E277" s="5" t="s">
        <v>2571</v>
      </c>
      <c r="F277" s="5" t="s">
        <v>2571</v>
      </c>
      <c r="G277" s="5" t="s">
        <v>2574</v>
      </c>
      <c r="H277" s="5" t="s">
        <v>1407</v>
      </c>
      <c r="I277" s="5" t="s">
        <v>128</v>
      </c>
      <c r="J277" s="6"/>
      <c r="K277" s="6"/>
      <c r="L277" s="13" t="s">
        <v>1718</v>
      </c>
      <c r="M277" s="8"/>
      <c r="N277" s="5"/>
      <c r="O277" s="5"/>
      <c r="P277" s="5"/>
      <c r="Q277" s="6">
        <v>0</v>
      </c>
      <c r="R277" s="6" t="s">
        <v>1737</v>
      </c>
      <c r="S277" s="13" t="s">
        <v>46</v>
      </c>
      <c r="T277" s="6">
        <v>0</v>
      </c>
      <c r="U277" s="7" t="s">
        <v>1737</v>
      </c>
      <c r="V277" s="5"/>
      <c r="W277" s="7">
        <v>5</v>
      </c>
      <c r="X277" s="6" t="s">
        <v>3</v>
      </c>
      <c r="Y277" s="5"/>
      <c r="Z277" s="7">
        <v>0</v>
      </c>
      <c r="AA277" s="6"/>
      <c r="AB277" s="5"/>
      <c r="AC277" s="6"/>
      <c r="AD277" s="6" t="s">
        <v>3</v>
      </c>
      <c r="AE277" s="5"/>
      <c r="AF277" s="6">
        <v>0</v>
      </c>
      <c r="AG277" s="6"/>
      <c r="AH277" s="5"/>
      <c r="AI277" s="6">
        <v>0</v>
      </c>
      <c r="AJ277" s="6"/>
      <c r="AK277" s="5"/>
      <c r="AL277" s="5"/>
      <c r="AM277" s="5"/>
      <c r="AN277" s="5"/>
      <c r="AO277" s="5"/>
      <c r="AP277" s="5"/>
      <c r="AQ277" s="5"/>
    </row>
    <row r="278" spans="1:43" s="2" customFormat="1" x14ac:dyDescent="0.25">
      <c r="A278" s="161" t="str">
        <f t="shared" si="7"/>
        <v>BARBARIAN_GALLEY</v>
      </c>
      <c r="B278" s="9" t="s">
        <v>784</v>
      </c>
      <c r="C278" s="5"/>
      <c r="D278" s="5"/>
      <c r="E278" s="5" t="s">
        <v>1307</v>
      </c>
      <c r="F278" s="5" t="s">
        <v>1307</v>
      </c>
      <c r="G278" s="5"/>
      <c r="H278" s="5" t="s">
        <v>1408</v>
      </c>
      <c r="I278" s="5" t="s">
        <v>128</v>
      </c>
      <c r="J278" s="6"/>
      <c r="K278" s="7"/>
      <c r="L278" s="13" t="s">
        <v>1712</v>
      </c>
      <c r="M278" s="8"/>
      <c r="N278" s="13" t="s">
        <v>1727</v>
      </c>
      <c r="O278" s="13"/>
      <c r="P278" s="13"/>
      <c r="Q278" s="7">
        <v>1</v>
      </c>
      <c r="R278" s="6">
        <v>0.09</v>
      </c>
      <c r="S278" s="13"/>
      <c r="T278" s="7">
        <v>3</v>
      </c>
      <c r="U278" s="6">
        <v>0.06</v>
      </c>
      <c r="V278" s="5" t="s">
        <v>1696</v>
      </c>
      <c r="W278" s="6"/>
      <c r="X278" s="6"/>
      <c r="Y278" s="5"/>
      <c r="Z278" s="6"/>
      <c r="AA278" s="6"/>
      <c r="AB278" s="5"/>
      <c r="AC278" s="6"/>
      <c r="AD278" s="6"/>
      <c r="AE278" s="5"/>
      <c r="AF278" s="6"/>
      <c r="AG278" s="6"/>
      <c r="AH278" s="5"/>
      <c r="AI278" s="6"/>
      <c r="AJ278" s="6"/>
      <c r="AK278" s="5"/>
      <c r="AL278" s="5"/>
      <c r="AM278" s="5"/>
      <c r="AN278" s="5"/>
      <c r="AO278" s="5"/>
      <c r="AP278" s="5"/>
      <c r="AQ278" s="5"/>
    </row>
    <row r="279" spans="1:43" s="2" customFormat="1" x14ac:dyDescent="0.25">
      <c r="A279" s="161" t="str">
        <f t="shared" si="7"/>
        <v>BARBARIAN_SPEARMAN</v>
      </c>
      <c r="B279" s="9" t="s">
        <v>1308</v>
      </c>
      <c r="C279" s="5"/>
      <c r="D279" s="5"/>
      <c r="E279" s="5" t="s">
        <v>1308</v>
      </c>
      <c r="F279" s="5" t="s">
        <v>1308</v>
      </c>
      <c r="G279" s="5"/>
      <c r="H279" s="5" t="s">
        <v>1409</v>
      </c>
      <c r="I279" s="5" t="s">
        <v>128</v>
      </c>
      <c r="J279" s="6"/>
      <c r="K279" s="6"/>
      <c r="L279" s="13" t="s">
        <v>1708</v>
      </c>
      <c r="M279" s="8"/>
      <c r="N279" s="5"/>
      <c r="O279" s="5"/>
      <c r="P279" s="5"/>
      <c r="Q279" s="6">
        <v>4</v>
      </c>
      <c r="R279" s="6" t="s">
        <v>1737</v>
      </c>
      <c r="S279" s="13" t="s">
        <v>46</v>
      </c>
      <c r="T279" s="6">
        <v>6</v>
      </c>
      <c r="U279" s="7" t="s">
        <v>1737</v>
      </c>
      <c r="V279" s="5"/>
      <c r="W279" s="7">
        <v>5</v>
      </c>
      <c r="X279" s="6" t="s">
        <v>3</v>
      </c>
      <c r="Y279" s="5"/>
      <c r="Z279" s="7">
        <v>1</v>
      </c>
      <c r="AA279" s="6"/>
      <c r="AB279" s="5"/>
      <c r="AC279" s="6"/>
      <c r="AD279" s="6" t="s">
        <v>3</v>
      </c>
      <c r="AE279" s="5"/>
      <c r="AF279" s="6">
        <v>1</v>
      </c>
      <c r="AG279" s="6"/>
      <c r="AH279" s="5"/>
      <c r="AI279" s="6">
        <v>2</v>
      </c>
      <c r="AJ279" s="6"/>
      <c r="AK279" s="5"/>
      <c r="AL279" s="5"/>
      <c r="AM279" s="5"/>
      <c r="AN279" s="5"/>
      <c r="AO279" s="5"/>
      <c r="AP279" s="5"/>
      <c r="AQ279" s="5"/>
    </row>
    <row r="280" spans="1:43" s="2" customFormat="1" x14ac:dyDescent="0.25">
      <c r="A280" s="161" t="str">
        <f t="shared" si="7"/>
        <v>BARBARIAN_SPEARMAN</v>
      </c>
      <c r="B280" s="9" t="s">
        <v>1308</v>
      </c>
      <c r="C280" s="5"/>
      <c r="D280" s="5"/>
      <c r="E280" s="5" t="s">
        <v>1308</v>
      </c>
      <c r="F280" s="5" t="s">
        <v>1308</v>
      </c>
      <c r="G280" s="5" t="s">
        <v>2047</v>
      </c>
      <c r="H280" s="5" t="s">
        <v>1410</v>
      </c>
      <c r="I280" s="5" t="s">
        <v>128</v>
      </c>
      <c r="J280" s="6"/>
      <c r="K280" s="6"/>
      <c r="L280" s="13" t="s">
        <v>1708</v>
      </c>
      <c r="M280" s="8"/>
      <c r="N280" s="5"/>
      <c r="O280" s="5"/>
      <c r="P280" s="5"/>
      <c r="Q280" s="6">
        <v>5</v>
      </c>
      <c r="R280" s="6" t="s">
        <v>1737</v>
      </c>
      <c r="S280" s="13" t="s">
        <v>46</v>
      </c>
      <c r="T280" s="6">
        <v>7</v>
      </c>
      <c r="U280" s="7" t="s">
        <v>1737</v>
      </c>
      <c r="V280" s="5"/>
      <c r="W280" s="7">
        <v>5</v>
      </c>
      <c r="X280" s="6" t="s">
        <v>3</v>
      </c>
      <c r="Y280" s="5"/>
      <c r="Z280" s="7">
        <v>0</v>
      </c>
      <c r="AA280" s="6"/>
      <c r="AB280" s="5"/>
      <c r="AC280" s="6"/>
      <c r="AD280" s="6" t="s">
        <v>3</v>
      </c>
      <c r="AE280" s="5"/>
      <c r="AF280" s="6">
        <v>1</v>
      </c>
      <c r="AG280" s="6"/>
      <c r="AH280" s="5"/>
      <c r="AI280" s="6">
        <v>3</v>
      </c>
      <c r="AJ280" s="6"/>
      <c r="AK280" s="5"/>
      <c r="AL280" s="5"/>
      <c r="AM280" s="5"/>
      <c r="AN280" s="5"/>
      <c r="AO280" s="5"/>
      <c r="AP280" s="5"/>
      <c r="AQ280" s="5"/>
    </row>
    <row r="281" spans="1:43" s="2" customFormat="1" x14ac:dyDescent="0.25">
      <c r="A281" s="161" t="str">
        <f t="shared" si="7"/>
        <v>BARBARIAN_SPEARMAN</v>
      </c>
      <c r="B281" s="9" t="s">
        <v>1308</v>
      </c>
      <c r="C281" s="5"/>
      <c r="D281" s="5"/>
      <c r="E281" s="5" t="s">
        <v>1308</v>
      </c>
      <c r="F281" s="5" t="s">
        <v>1308</v>
      </c>
      <c r="G281" s="5" t="s">
        <v>2049</v>
      </c>
      <c r="H281" s="5" t="s">
        <v>1411</v>
      </c>
      <c r="I281" s="5" t="s">
        <v>128</v>
      </c>
      <c r="J281" s="6"/>
      <c r="K281" s="6"/>
      <c r="L281" s="13" t="s">
        <v>1708</v>
      </c>
      <c r="M281" s="8"/>
      <c r="N281" s="5"/>
      <c r="O281" s="5"/>
      <c r="P281" s="5"/>
      <c r="Q281" s="6">
        <v>3</v>
      </c>
      <c r="R281" s="6" t="s">
        <v>1737</v>
      </c>
      <c r="S281" s="13" t="s">
        <v>46</v>
      </c>
      <c r="T281" s="6">
        <v>5</v>
      </c>
      <c r="U281" s="7" t="s">
        <v>1737</v>
      </c>
      <c r="V281" s="5"/>
      <c r="W281" s="7">
        <v>5</v>
      </c>
      <c r="X281" s="6" t="s">
        <v>3</v>
      </c>
      <c r="Y281" s="5"/>
      <c r="Z281" s="7">
        <v>0</v>
      </c>
      <c r="AA281" s="6"/>
      <c r="AB281" s="5"/>
      <c r="AC281" s="6"/>
      <c r="AD281" s="6" t="s">
        <v>3</v>
      </c>
      <c r="AE281" s="5"/>
      <c r="AF281" s="6">
        <v>1</v>
      </c>
      <c r="AG281" s="6"/>
      <c r="AH281" s="5"/>
      <c r="AI281" s="6">
        <v>2</v>
      </c>
      <c r="AJ281" s="6"/>
      <c r="AK281" s="5"/>
      <c r="AL281" s="5"/>
      <c r="AM281" s="5"/>
      <c r="AN281" s="5"/>
      <c r="AO281" s="5"/>
      <c r="AP281" s="5"/>
      <c r="AQ281" s="5"/>
    </row>
    <row r="282" spans="1:43" s="2" customFormat="1" x14ac:dyDescent="0.25">
      <c r="A282" s="161" t="str">
        <f t="shared" si="7"/>
        <v>BARBARIAN_SPEARMAN</v>
      </c>
      <c r="B282" s="9" t="s">
        <v>1308</v>
      </c>
      <c r="C282" s="5"/>
      <c r="D282" s="5"/>
      <c r="E282" s="5" t="s">
        <v>1308</v>
      </c>
      <c r="F282" s="5" t="s">
        <v>1308</v>
      </c>
      <c r="G282" s="5"/>
      <c r="H282" s="5" t="s">
        <v>1409</v>
      </c>
      <c r="I282" s="5" t="s">
        <v>128</v>
      </c>
      <c r="J282" s="6"/>
      <c r="K282" s="6"/>
      <c r="L282" s="13" t="s">
        <v>1708</v>
      </c>
      <c r="M282" s="8"/>
      <c r="N282" s="5"/>
      <c r="O282" s="5"/>
      <c r="P282" s="5"/>
      <c r="Q282" s="6">
        <v>0</v>
      </c>
      <c r="R282" s="6" t="s">
        <v>1737</v>
      </c>
      <c r="S282" s="13" t="s">
        <v>46</v>
      </c>
      <c r="T282" s="6">
        <v>0</v>
      </c>
      <c r="U282" s="7" t="s">
        <v>1737</v>
      </c>
      <c r="V282" s="5"/>
      <c r="W282" s="7">
        <v>5</v>
      </c>
      <c r="X282" s="6" t="s">
        <v>3</v>
      </c>
      <c r="Y282" s="5"/>
      <c r="Z282" s="7">
        <v>0</v>
      </c>
      <c r="AA282" s="6"/>
      <c r="AB282" s="5"/>
      <c r="AC282" s="6"/>
      <c r="AD282" s="6" t="s">
        <v>3</v>
      </c>
      <c r="AE282" s="5"/>
      <c r="AF282" s="6">
        <v>0</v>
      </c>
      <c r="AG282" s="6"/>
      <c r="AH282" s="5"/>
      <c r="AI282" s="6">
        <v>0</v>
      </c>
      <c r="AJ282" s="6"/>
      <c r="AK282" s="5"/>
      <c r="AL282" s="5"/>
      <c r="AM282" s="5"/>
      <c r="AN282" s="5"/>
      <c r="AO282" s="5"/>
      <c r="AP282" s="5"/>
      <c r="AQ282" s="5"/>
    </row>
    <row r="283" spans="1:43" s="2" customFormat="1" x14ac:dyDescent="0.25">
      <c r="A283" s="161" t="str">
        <f t="shared" si="7"/>
        <v>BARBARIAN_SPEARMAN</v>
      </c>
      <c r="B283" s="9" t="s">
        <v>1308</v>
      </c>
      <c r="C283" s="5"/>
      <c r="D283" s="5"/>
      <c r="E283" s="5" t="s">
        <v>1308</v>
      </c>
      <c r="F283" s="5" t="s">
        <v>1308</v>
      </c>
      <c r="G283" s="5" t="s">
        <v>2047</v>
      </c>
      <c r="H283" s="5" t="s">
        <v>1410</v>
      </c>
      <c r="I283" s="5" t="s">
        <v>128</v>
      </c>
      <c r="J283" s="6"/>
      <c r="K283" s="6"/>
      <c r="L283" s="13" t="s">
        <v>1708</v>
      </c>
      <c r="M283" s="8"/>
      <c r="N283" s="5"/>
      <c r="O283" s="5"/>
      <c r="P283" s="5"/>
      <c r="Q283" s="6">
        <v>0</v>
      </c>
      <c r="R283" s="6" t="s">
        <v>1737</v>
      </c>
      <c r="S283" s="13" t="s">
        <v>46</v>
      </c>
      <c r="T283" s="6">
        <v>0</v>
      </c>
      <c r="U283" s="7" t="s">
        <v>1737</v>
      </c>
      <c r="V283" s="5"/>
      <c r="W283" s="7">
        <v>5</v>
      </c>
      <c r="X283" s="6" t="s">
        <v>3</v>
      </c>
      <c r="Y283" s="5"/>
      <c r="Z283" s="7">
        <v>0</v>
      </c>
      <c r="AA283" s="6"/>
      <c r="AB283" s="5"/>
      <c r="AC283" s="6"/>
      <c r="AD283" s="6" t="s">
        <v>3</v>
      </c>
      <c r="AE283" s="5"/>
      <c r="AF283" s="6">
        <v>0</v>
      </c>
      <c r="AG283" s="6"/>
      <c r="AH283" s="5"/>
      <c r="AI283" s="6">
        <v>0</v>
      </c>
      <c r="AJ283" s="6"/>
      <c r="AK283" s="5"/>
      <c r="AL283" s="5"/>
      <c r="AM283" s="5"/>
      <c r="AN283" s="5"/>
      <c r="AO283" s="5"/>
      <c r="AP283" s="5"/>
      <c r="AQ283" s="5"/>
    </row>
    <row r="284" spans="1:43" s="2" customFormat="1" x14ac:dyDescent="0.25">
      <c r="A284" s="161" t="str">
        <f t="shared" si="7"/>
        <v>BARBARIAN_SPEARMAN</v>
      </c>
      <c r="B284" s="9" t="s">
        <v>1308</v>
      </c>
      <c r="C284" s="5"/>
      <c r="D284" s="5"/>
      <c r="E284" s="5" t="s">
        <v>1308</v>
      </c>
      <c r="F284" s="5" t="s">
        <v>1308</v>
      </c>
      <c r="G284" s="5" t="s">
        <v>2049</v>
      </c>
      <c r="H284" s="5" t="s">
        <v>1411</v>
      </c>
      <c r="I284" s="5" t="s">
        <v>128</v>
      </c>
      <c r="J284" s="6"/>
      <c r="K284" s="6"/>
      <c r="L284" s="13" t="s">
        <v>1708</v>
      </c>
      <c r="M284" s="8"/>
      <c r="N284" s="5"/>
      <c r="O284" s="5"/>
      <c r="P284" s="5"/>
      <c r="Q284" s="6">
        <v>0</v>
      </c>
      <c r="R284" s="6" t="s">
        <v>1737</v>
      </c>
      <c r="S284" s="13" t="s">
        <v>46</v>
      </c>
      <c r="T284" s="6">
        <v>0</v>
      </c>
      <c r="U284" s="7" t="s">
        <v>1737</v>
      </c>
      <c r="V284" s="5"/>
      <c r="W284" s="7">
        <v>5</v>
      </c>
      <c r="X284" s="6" t="s">
        <v>3</v>
      </c>
      <c r="Y284" s="5"/>
      <c r="Z284" s="7">
        <v>0</v>
      </c>
      <c r="AA284" s="6"/>
      <c r="AB284" s="5"/>
      <c r="AC284" s="6"/>
      <c r="AD284" s="6" t="s">
        <v>3</v>
      </c>
      <c r="AE284" s="5"/>
      <c r="AF284" s="6">
        <v>0</v>
      </c>
      <c r="AG284" s="6"/>
      <c r="AH284" s="5"/>
      <c r="AI284" s="6">
        <v>0</v>
      </c>
      <c r="AJ284" s="6"/>
      <c r="AK284" s="5"/>
      <c r="AL284" s="5"/>
      <c r="AM284" s="5"/>
      <c r="AN284" s="5"/>
      <c r="AO284" s="5"/>
      <c r="AP284" s="5"/>
      <c r="AQ284" s="5"/>
    </row>
    <row r="285" spans="1:43" s="2" customFormat="1" x14ac:dyDescent="0.25">
      <c r="A285" s="161" t="str">
        <f t="shared" si="7"/>
        <v>BARBARIAN_SWORDSMAN</v>
      </c>
      <c r="B285" s="9" t="s">
        <v>1309</v>
      </c>
      <c r="C285" s="5"/>
      <c r="D285" s="5"/>
      <c r="E285" s="5" t="s">
        <v>1309</v>
      </c>
      <c r="F285" s="5" t="s">
        <v>1309</v>
      </c>
      <c r="G285" s="5"/>
      <c r="H285" s="5" t="s">
        <v>1412</v>
      </c>
      <c r="I285" s="5" t="s">
        <v>128</v>
      </c>
      <c r="J285" s="6"/>
      <c r="K285" s="6"/>
      <c r="L285" s="13" t="s">
        <v>1718</v>
      </c>
      <c r="M285" s="8"/>
      <c r="N285" s="5"/>
      <c r="O285" s="5"/>
      <c r="P285" s="5"/>
      <c r="Q285" s="6">
        <v>3</v>
      </c>
      <c r="R285" s="6" t="s">
        <v>1695</v>
      </c>
      <c r="S285" s="13" t="s">
        <v>46</v>
      </c>
      <c r="T285" s="6">
        <v>6</v>
      </c>
      <c r="U285" s="7" t="s">
        <v>1737</v>
      </c>
      <c r="V285" s="5"/>
      <c r="W285" s="7">
        <v>5</v>
      </c>
      <c r="X285" s="6" t="s">
        <v>3</v>
      </c>
      <c r="Y285" s="5"/>
      <c r="Z285" s="7">
        <v>1</v>
      </c>
      <c r="AA285" s="6"/>
      <c r="AB285" s="5"/>
      <c r="AC285" s="6"/>
      <c r="AD285" s="6" t="s">
        <v>3</v>
      </c>
      <c r="AE285" s="5"/>
      <c r="AF285" s="6">
        <v>1</v>
      </c>
      <c r="AG285" s="6"/>
      <c r="AH285" s="5"/>
      <c r="AI285" s="6">
        <v>2</v>
      </c>
      <c r="AJ285" s="6"/>
      <c r="AK285" s="5"/>
      <c r="AL285" s="5"/>
      <c r="AM285" s="5"/>
      <c r="AN285" s="5"/>
      <c r="AO285" s="5"/>
      <c r="AP285" s="5"/>
      <c r="AQ285" s="5"/>
    </row>
    <row r="286" spans="1:43" s="2" customFormat="1" x14ac:dyDescent="0.25">
      <c r="A286" s="161" t="str">
        <f t="shared" si="7"/>
        <v>BARBARIAN_SWORDSMAN</v>
      </c>
      <c r="B286" s="9" t="s">
        <v>1309</v>
      </c>
      <c r="C286" s="5"/>
      <c r="D286" s="5"/>
      <c r="E286" s="5" t="s">
        <v>1309</v>
      </c>
      <c r="F286" s="5" t="s">
        <v>1309</v>
      </c>
      <c r="G286" s="5" t="s">
        <v>2047</v>
      </c>
      <c r="H286" s="5" t="s">
        <v>1413</v>
      </c>
      <c r="I286" s="5" t="s">
        <v>128</v>
      </c>
      <c r="J286" s="6"/>
      <c r="K286" s="6"/>
      <c r="L286" s="13" t="s">
        <v>1718</v>
      </c>
      <c r="M286" s="8"/>
      <c r="N286" s="5"/>
      <c r="O286" s="5"/>
      <c r="P286" s="5"/>
      <c r="Q286" s="6">
        <v>6</v>
      </c>
      <c r="R286" s="6" t="s">
        <v>1695</v>
      </c>
      <c r="S286" s="13" t="s">
        <v>46</v>
      </c>
      <c r="T286" s="6">
        <v>7</v>
      </c>
      <c r="U286" s="7" t="s">
        <v>1737</v>
      </c>
      <c r="V286" s="5"/>
      <c r="W286" s="7">
        <v>5</v>
      </c>
      <c r="X286" s="6" t="s">
        <v>3</v>
      </c>
      <c r="Y286" s="5"/>
      <c r="Z286" s="7">
        <v>0</v>
      </c>
      <c r="AA286" s="6"/>
      <c r="AB286" s="5"/>
      <c r="AC286" s="6"/>
      <c r="AD286" s="6" t="s">
        <v>3</v>
      </c>
      <c r="AE286" s="5"/>
      <c r="AF286" s="6">
        <v>1</v>
      </c>
      <c r="AG286" s="6"/>
      <c r="AH286" s="5"/>
      <c r="AI286" s="6">
        <v>3</v>
      </c>
      <c r="AJ286" s="6"/>
      <c r="AK286" s="5"/>
      <c r="AL286" s="5"/>
      <c r="AM286" s="5"/>
      <c r="AN286" s="5"/>
      <c r="AO286" s="5"/>
      <c r="AP286" s="5"/>
      <c r="AQ286" s="5"/>
    </row>
    <row r="287" spans="1:43" s="2" customFormat="1" x14ac:dyDescent="0.25">
      <c r="A287" s="161" t="str">
        <f t="shared" si="7"/>
        <v>BARBARIAN_SWORDSMAN</v>
      </c>
      <c r="B287" s="9" t="s">
        <v>1309</v>
      </c>
      <c r="C287" s="5"/>
      <c r="D287" s="5"/>
      <c r="E287" s="5" t="s">
        <v>1309</v>
      </c>
      <c r="F287" s="5" t="s">
        <v>1309</v>
      </c>
      <c r="G287" s="5" t="s">
        <v>2049</v>
      </c>
      <c r="H287" s="5" t="s">
        <v>1414</v>
      </c>
      <c r="I287" s="5" t="s">
        <v>128</v>
      </c>
      <c r="J287" s="6"/>
      <c r="K287" s="6"/>
      <c r="L287" s="13" t="s">
        <v>1718</v>
      </c>
      <c r="M287" s="8"/>
      <c r="N287" s="5"/>
      <c r="O287" s="5"/>
      <c r="P287" s="5"/>
      <c r="Q287" s="6">
        <v>3</v>
      </c>
      <c r="R287" s="6" t="s">
        <v>1695</v>
      </c>
      <c r="S287" s="13" t="s">
        <v>46</v>
      </c>
      <c r="T287" s="6">
        <v>5</v>
      </c>
      <c r="U287" s="7" t="s">
        <v>1737</v>
      </c>
      <c r="V287" s="5"/>
      <c r="W287" s="7">
        <v>5</v>
      </c>
      <c r="X287" s="6" t="s">
        <v>3</v>
      </c>
      <c r="Y287" s="5"/>
      <c r="Z287" s="7">
        <v>0</v>
      </c>
      <c r="AA287" s="6"/>
      <c r="AB287" s="5"/>
      <c r="AC287" s="6"/>
      <c r="AD287" s="6" t="s">
        <v>3</v>
      </c>
      <c r="AE287" s="5"/>
      <c r="AF287" s="6">
        <v>1</v>
      </c>
      <c r="AG287" s="6"/>
      <c r="AH287" s="5"/>
      <c r="AI287" s="6">
        <v>2</v>
      </c>
      <c r="AJ287" s="6"/>
      <c r="AK287" s="5"/>
      <c r="AL287" s="5"/>
      <c r="AM287" s="5"/>
      <c r="AN287" s="5"/>
      <c r="AO287" s="5"/>
      <c r="AP287" s="5"/>
      <c r="AQ287" s="5"/>
    </row>
    <row r="288" spans="1:43" s="2" customFormat="1" x14ac:dyDescent="0.25">
      <c r="A288" s="161" t="str">
        <f t="shared" si="7"/>
        <v>BARBARIAN_SWORDSMAN</v>
      </c>
      <c r="B288" s="9" t="s">
        <v>1309</v>
      </c>
      <c r="C288" s="5"/>
      <c r="D288" s="5"/>
      <c r="E288" s="5" t="s">
        <v>1309</v>
      </c>
      <c r="F288" s="5" t="s">
        <v>1309</v>
      </c>
      <c r="G288" s="5"/>
      <c r="H288" s="5" t="s">
        <v>1412</v>
      </c>
      <c r="I288" s="5" t="s">
        <v>128</v>
      </c>
      <c r="J288" s="6"/>
      <c r="K288" s="6"/>
      <c r="L288" s="13" t="s">
        <v>1718</v>
      </c>
      <c r="M288" s="8"/>
      <c r="N288" s="5"/>
      <c r="O288" s="5"/>
      <c r="P288" s="5"/>
      <c r="Q288" s="6">
        <v>0</v>
      </c>
      <c r="R288" s="6" t="s">
        <v>1695</v>
      </c>
      <c r="S288" s="13" t="s">
        <v>46</v>
      </c>
      <c r="T288" s="6">
        <v>0</v>
      </c>
      <c r="U288" s="7" t="s">
        <v>1737</v>
      </c>
      <c r="V288" s="5"/>
      <c r="W288" s="7">
        <v>5</v>
      </c>
      <c r="X288" s="6" t="s">
        <v>3</v>
      </c>
      <c r="Y288" s="5"/>
      <c r="Z288" s="7">
        <v>0</v>
      </c>
      <c r="AA288" s="6"/>
      <c r="AB288" s="5"/>
      <c r="AC288" s="6"/>
      <c r="AD288" s="6" t="s">
        <v>3</v>
      </c>
      <c r="AE288" s="5"/>
      <c r="AF288" s="6">
        <v>0</v>
      </c>
      <c r="AG288" s="6"/>
      <c r="AH288" s="5"/>
      <c r="AI288" s="6">
        <v>0</v>
      </c>
      <c r="AJ288" s="6"/>
      <c r="AK288" s="5"/>
      <c r="AL288" s="5"/>
      <c r="AM288" s="5"/>
      <c r="AN288" s="5"/>
      <c r="AO288" s="5"/>
      <c r="AP288" s="5"/>
      <c r="AQ288" s="5"/>
    </row>
    <row r="289" spans="1:43" s="2" customFormat="1" x14ac:dyDescent="0.25">
      <c r="A289" s="161" t="str">
        <f t="shared" ref="A289:A412" si="8">CONCATENATE(E289,IF(ISBLANK(C289),"",CONCATENATE("_",C289)))</f>
        <v>BARBARIAN_SWORDSMAN</v>
      </c>
      <c r="B289" s="9" t="s">
        <v>1309</v>
      </c>
      <c r="C289" s="5"/>
      <c r="D289" s="5"/>
      <c r="E289" s="5" t="s">
        <v>1309</v>
      </c>
      <c r="F289" s="5" t="s">
        <v>1309</v>
      </c>
      <c r="G289" s="5" t="s">
        <v>2047</v>
      </c>
      <c r="H289" s="5" t="s">
        <v>1413</v>
      </c>
      <c r="I289" s="5" t="s">
        <v>128</v>
      </c>
      <c r="J289" s="6"/>
      <c r="K289" s="6"/>
      <c r="L289" s="13" t="s">
        <v>1718</v>
      </c>
      <c r="M289" s="8"/>
      <c r="N289" s="5"/>
      <c r="O289" s="5"/>
      <c r="P289" s="5"/>
      <c r="Q289" s="6">
        <v>0</v>
      </c>
      <c r="R289" s="6" t="s">
        <v>1695</v>
      </c>
      <c r="S289" s="13" t="s">
        <v>46</v>
      </c>
      <c r="T289" s="6">
        <v>0</v>
      </c>
      <c r="U289" s="7" t="s">
        <v>1737</v>
      </c>
      <c r="V289" s="5"/>
      <c r="W289" s="7">
        <v>5</v>
      </c>
      <c r="X289" s="6" t="s">
        <v>3</v>
      </c>
      <c r="Y289" s="5"/>
      <c r="Z289" s="7">
        <v>0</v>
      </c>
      <c r="AA289" s="6"/>
      <c r="AB289" s="5"/>
      <c r="AC289" s="6"/>
      <c r="AD289" s="6" t="s">
        <v>3</v>
      </c>
      <c r="AE289" s="5"/>
      <c r="AF289" s="6">
        <v>0</v>
      </c>
      <c r="AG289" s="6"/>
      <c r="AH289" s="5"/>
      <c r="AI289" s="6">
        <v>0</v>
      </c>
      <c r="AJ289" s="6"/>
      <c r="AK289" s="5"/>
      <c r="AL289" s="5"/>
      <c r="AM289" s="5"/>
      <c r="AN289" s="5"/>
      <c r="AO289" s="5"/>
      <c r="AP289" s="5"/>
      <c r="AQ289" s="5"/>
    </row>
    <row r="290" spans="1:43" s="2" customFormat="1" x14ac:dyDescent="0.25">
      <c r="A290" s="161" t="str">
        <f t="shared" si="8"/>
        <v>BARBARIAN_SWORDSMAN</v>
      </c>
      <c r="B290" s="9" t="s">
        <v>1309</v>
      </c>
      <c r="C290" s="5"/>
      <c r="D290" s="5"/>
      <c r="E290" s="5" t="s">
        <v>1309</v>
      </c>
      <c r="F290" s="5" t="s">
        <v>1309</v>
      </c>
      <c r="G290" s="5" t="s">
        <v>2049</v>
      </c>
      <c r="H290" s="5" t="s">
        <v>1414</v>
      </c>
      <c r="I290" s="5" t="s">
        <v>128</v>
      </c>
      <c r="J290" s="6"/>
      <c r="K290" s="6"/>
      <c r="L290" s="13" t="s">
        <v>1718</v>
      </c>
      <c r="M290" s="8"/>
      <c r="N290" s="5"/>
      <c r="O290" s="5"/>
      <c r="P290" s="5"/>
      <c r="Q290" s="6">
        <v>0</v>
      </c>
      <c r="R290" s="6" t="s">
        <v>1695</v>
      </c>
      <c r="S290" s="13" t="s">
        <v>46</v>
      </c>
      <c r="T290" s="6">
        <v>0</v>
      </c>
      <c r="U290" s="7" t="s">
        <v>1737</v>
      </c>
      <c r="V290" s="5"/>
      <c r="W290" s="7">
        <v>5</v>
      </c>
      <c r="X290" s="6" t="s">
        <v>3</v>
      </c>
      <c r="Y290" s="5"/>
      <c r="Z290" s="7">
        <v>0</v>
      </c>
      <c r="AA290" s="6"/>
      <c r="AB290" s="5"/>
      <c r="AC290" s="6"/>
      <c r="AD290" s="6" t="s">
        <v>3</v>
      </c>
      <c r="AE290" s="5"/>
      <c r="AF290" s="6">
        <v>0</v>
      </c>
      <c r="AG290" s="6"/>
      <c r="AH290" s="5"/>
      <c r="AI290" s="6">
        <v>0</v>
      </c>
      <c r="AJ290" s="6"/>
      <c r="AK290" s="5"/>
      <c r="AL290" s="5"/>
      <c r="AM290" s="5"/>
      <c r="AN290" s="5"/>
      <c r="AO290" s="5"/>
      <c r="AP290" s="5"/>
      <c r="AQ290" s="5"/>
    </row>
    <row r="291" spans="1:43" s="2" customFormat="1" x14ac:dyDescent="0.25">
      <c r="A291" s="161" t="str">
        <f t="shared" si="8"/>
        <v>BATTLESHIP</v>
      </c>
      <c r="B291" s="9" t="s">
        <v>126</v>
      </c>
      <c r="C291" s="5"/>
      <c r="D291" s="5"/>
      <c r="E291" s="5" t="s">
        <v>126</v>
      </c>
      <c r="F291" s="5" t="s">
        <v>126</v>
      </c>
      <c r="G291" s="5"/>
      <c r="H291" s="5" t="s">
        <v>1499</v>
      </c>
      <c r="I291" s="5" t="s">
        <v>102</v>
      </c>
      <c r="J291" s="6"/>
      <c r="K291" s="7"/>
      <c r="L291" s="13" t="s">
        <v>1713</v>
      </c>
      <c r="M291" s="8"/>
      <c r="N291" s="13" t="s">
        <v>1727</v>
      </c>
      <c r="O291" s="13"/>
      <c r="P291" s="13"/>
      <c r="Q291" s="7">
        <v>1</v>
      </c>
      <c r="R291" s="6">
        <v>0.09</v>
      </c>
      <c r="S291" s="5"/>
      <c r="T291" s="6"/>
      <c r="U291" s="6">
        <v>0.105</v>
      </c>
      <c r="V291" s="5"/>
      <c r="W291" s="6"/>
      <c r="X291" s="6"/>
      <c r="Y291" s="5"/>
      <c r="Z291" s="6"/>
      <c r="AA291" s="6"/>
      <c r="AB291" s="5"/>
      <c r="AC291" s="6"/>
      <c r="AD291" s="6"/>
      <c r="AE291" s="5"/>
      <c r="AF291" s="6"/>
      <c r="AG291" s="6"/>
      <c r="AH291" s="5"/>
      <c r="AI291" s="6"/>
      <c r="AJ291" s="6"/>
      <c r="AK291" s="5"/>
      <c r="AL291" s="5"/>
      <c r="AM291" s="5"/>
      <c r="AN291" s="5"/>
      <c r="AO291" s="5"/>
      <c r="AP291" s="5"/>
      <c r="AQ291" s="5"/>
    </row>
    <row r="292" spans="1:43" s="2" customFormat="1" x14ac:dyDescent="0.25">
      <c r="A292" s="161" t="str">
        <f t="shared" si="8"/>
        <v>BATTLESHIP_ZULU</v>
      </c>
      <c r="B292" s="9" t="s">
        <v>126</v>
      </c>
      <c r="C292" s="5" t="s">
        <v>742</v>
      </c>
      <c r="D292" s="5" t="s">
        <v>713</v>
      </c>
      <c r="E292" s="5" t="s">
        <v>126</v>
      </c>
      <c r="F292" s="5" t="s">
        <v>126</v>
      </c>
      <c r="G292" s="5"/>
      <c r="H292" s="5"/>
      <c r="I292" s="5"/>
      <c r="J292" s="6"/>
      <c r="K292" s="7"/>
      <c r="L292" s="13"/>
      <c r="M292" s="8"/>
      <c r="N292" s="13"/>
      <c r="O292" s="13"/>
      <c r="P292" s="13"/>
      <c r="Q292" s="7"/>
      <c r="R292" s="6"/>
      <c r="S292" s="5"/>
      <c r="T292" s="6"/>
      <c r="U292" s="6"/>
      <c r="V292" s="5"/>
      <c r="W292" s="6"/>
      <c r="X292" s="6"/>
      <c r="Y292" s="5"/>
      <c r="Z292" s="6"/>
      <c r="AA292" s="6"/>
      <c r="AB292" s="5"/>
      <c r="AC292" s="6"/>
      <c r="AD292" s="6"/>
      <c r="AE292" s="5"/>
      <c r="AF292" s="6"/>
      <c r="AG292" s="6"/>
      <c r="AH292" s="5"/>
      <c r="AI292" s="6"/>
      <c r="AJ292" s="6"/>
      <c r="AK292" s="5"/>
      <c r="AL292" s="5"/>
      <c r="AM292" s="5"/>
      <c r="AN292" s="5"/>
      <c r="AO292" s="5"/>
      <c r="AP292" s="5"/>
      <c r="AQ292" s="5"/>
    </row>
    <row r="293" spans="1:43" s="2" customFormat="1" x14ac:dyDescent="0.25">
      <c r="A293" s="161" t="str">
        <f t="shared" si="8"/>
        <v>BATTLESHIP_AMER</v>
      </c>
      <c r="B293" s="9" t="s">
        <v>126</v>
      </c>
      <c r="C293" s="5" t="s">
        <v>697</v>
      </c>
      <c r="D293" s="5" t="s">
        <v>699</v>
      </c>
      <c r="E293" s="5" t="s">
        <v>126</v>
      </c>
      <c r="F293" s="5" t="s">
        <v>126</v>
      </c>
      <c r="G293" s="5"/>
      <c r="H293" s="5"/>
      <c r="I293" s="5"/>
      <c r="J293" s="6"/>
      <c r="K293" s="7"/>
      <c r="L293" s="13"/>
      <c r="M293" s="8"/>
      <c r="N293" s="13"/>
      <c r="O293" s="13"/>
      <c r="P293" s="13"/>
      <c r="Q293" s="7"/>
      <c r="R293" s="6"/>
      <c r="S293" s="5"/>
      <c r="T293" s="6"/>
      <c r="U293" s="6"/>
      <c r="V293" s="5"/>
      <c r="W293" s="6"/>
      <c r="X293" s="6"/>
      <c r="Y293" s="5"/>
      <c r="Z293" s="6"/>
      <c r="AA293" s="6"/>
      <c r="AB293" s="5"/>
      <c r="AC293" s="6"/>
      <c r="AD293" s="6"/>
      <c r="AE293" s="5"/>
      <c r="AF293" s="6"/>
      <c r="AG293" s="6"/>
      <c r="AH293" s="5"/>
      <c r="AI293" s="6"/>
      <c r="AJ293" s="6"/>
      <c r="AK293" s="5"/>
      <c r="AL293" s="5"/>
      <c r="AM293" s="5"/>
      <c r="AN293" s="5"/>
      <c r="AO293" s="5"/>
      <c r="AP293" s="5"/>
      <c r="AQ293" s="5"/>
    </row>
    <row r="294" spans="1:43" s="2" customFormat="1" x14ac:dyDescent="0.25">
      <c r="A294" s="161" t="str">
        <f t="shared" si="8"/>
        <v>BATTLESHIP_ASIA</v>
      </c>
      <c r="B294" s="9" t="s">
        <v>126</v>
      </c>
      <c r="C294" s="5" t="s">
        <v>693</v>
      </c>
      <c r="D294" s="5" t="s">
        <v>698</v>
      </c>
      <c r="E294" s="5" t="s">
        <v>126</v>
      </c>
      <c r="F294" s="5" t="s">
        <v>126</v>
      </c>
      <c r="G294" s="5"/>
      <c r="H294" s="5"/>
      <c r="I294" s="5"/>
      <c r="J294" s="6"/>
      <c r="K294" s="7"/>
      <c r="L294" s="13"/>
      <c r="M294" s="8"/>
      <c r="N294" s="13"/>
      <c r="O294" s="13"/>
      <c r="P294" s="13"/>
      <c r="Q294" s="7"/>
      <c r="R294" s="6"/>
      <c r="S294" s="5"/>
      <c r="T294" s="6"/>
      <c r="U294" s="6"/>
      <c r="V294" s="5"/>
      <c r="W294" s="6"/>
      <c r="X294" s="6"/>
      <c r="Y294" s="5"/>
      <c r="Z294" s="6"/>
      <c r="AA294" s="6"/>
      <c r="AB294" s="5"/>
      <c r="AC294" s="6"/>
      <c r="AD294" s="6"/>
      <c r="AE294" s="5"/>
      <c r="AF294" s="6"/>
      <c r="AG294" s="6"/>
      <c r="AH294" s="5"/>
      <c r="AI294" s="6"/>
      <c r="AJ294" s="6"/>
      <c r="AK294" s="5"/>
      <c r="AL294" s="5"/>
      <c r="AM294" s="5"/>
      <c r="AN294" s="5"/>
      <c r="AO294" s="5"/>
      <c r="AP294" s="5"/>
      <c r="AQ294" s="5"/>
    </row>
    <row r="295" spans="1:43" s="2" customFormat="1" x14ac:dyDescent="0.25">
      <c r="A295" s="161" t="str">
        <f t="shared" si="8"/>
        <v>BATTLESHIP_JAPAN</v>
      </c>
      <c r="B295" s="9" t="s">
        <v>126</v>
      </c>
      <c r="C295" s="4" t="s">
        <v>722</v>
      </c>
      <c r="D295" s="4"/>
      <c r="E295" s="4" t="s">
        <v>126</v>
      </c>
      <c r="F295" s="4" t="s">
        <v>126</v>
      </c>
      <c r="G295" s="14" t="s">
        <v>132</v>
      </c>
      <c r="H295" s="4" t="s">
        <v>474</v>
      </c>
      <c r="I295" s="4" t="s">
        <v>1065</v>
      </c>
      <c r="J295" s="11"/>
      <c r="K295" s="11"/>
      <c r="L295" s="4"/>
      <c r="M295" s="12"/>
      <c r="N295" s="4"/>
      <c r="O295" s="4"/>
      <c r="P295" s="4"/>
      <c r="Q295" s="11"/>
      <c r="R295" s="11"/>
      <c r="S295" s="4"/>
      <c r="T295" s="11"/>
      <c r="U295" s="11"/>
      <c r="V295" s="4"/>
      <c r="W295" s="11"/>
      <c r="X295" s="11"/>
      <c r="Y295" s="4"/>
      <c r="Z295" s="11"/>
      <c r="AA295" s="11"/>
      <c r="AB295" s="4"/>
      <c r="AC295" s="11"/>
      <c r="AD295" s="11"/>
      <c r="AE295" s="4"/>
      <c r="AF295" s="11"/>
      <c r="AG295" s="11"/>
      <c r="AH295" s="4"/>
      <c r="AI295" s="11"/>
      <c r="AJ295" s="11"/>
      <c r="AK295" s="4"/>
      <c r="AL295" s="4"/>
      <c r="AM295" s="4"/>
      <c r="AN295" s="4"/>
      <c r="AO295" s="4"/>
      <c r="AP295" s="4"/>
      <c r="AQ295" s="4"/>
    </row>
    <row r="296" spans="1:43" s="2" customFormat="1" x14ac:dyDescent="0.25">
      <c r="A296" s="161" t="str">
        <f t="shared" si="8"/>
        <v>BATTLESHIP_KOREA</v>
      </c>
      <c r="B296" s="9" t="s">
        <v>126</v>
      </c>
      <c r="C296" s="4" t="s">
        <v>723</v>
      </c>
      <c r="D296" s="4" t="s">
        <v>722</v>
      </c>
      <c r="E296" s="4" t="s">
        <v>126</v>
      </c>
      <c r="F296" s="4" t="s">
        <v>126</v>
      </c>
      <c r="G296" s="14"/>
      <c r="H296" s="4"/>
      <c r="I296" s="4"/>
      <c r="J296" s="11"/>
      <c r="K296" s="11"/>
      <c r="L296" s="4"/>
      <c r="M296" s="12"/>
      <c r="N296" s="4"/>
      <c r="O296" s="4"/>
      <c r="P296" s="4"/>
      <c r="Q296" s="11"/>
      <c r="R296" s="11"/>
      <c r="S296" s="4"/>
      <c r="T296" s="11"/>
      <c r="U296" s="11"/>
      <c r="V296" s="4"/>
      <c r="W296" s="11"/>
      <c r="X296" s="11"/>
      <c r="Y296" s="4"/>
      <c r="Z296" s="11"/>
      <c r="AA296" s="11"/>
      <c r="AB296" s="4"/>
      <c r="AC296" s="11"/>
      <c r="AD296" s="11"/>
      <c r="AE296" s="4"/>
      <c r="AF296" s="11"/>
      <c r="AG296" s="11"/>
      <c r="AH296" s="4"/>
      <c r="AI296" s="11"/>
      <c r="AJ296" s="11"/>
      <c r="AK296" s="4"/>
      <c r="AL296" s="4"/>
      <c r="AM296" s="4"/>
      <c r="AN296" s="4"/>
      <c r="AO296" s="4"/>
      <c r="AP296" s="4"/>
      <c r="AQ296" s="4"/>
    </row>
    <row r="297" spans="1:43" s="2" customFormat="1" x14ac:dyDescent="0.25">
      <c r="A297" s="161" t="str">
        <f t="shared" si="8"/>
        <v>BATTLESHIP_EASTEU</v>
      </c>
      <c r="B297" s="9" t="s">
        <v>126</v>
      </c>
      <c r="C297" s="4" t="s">
        <v>698</v>
      </c>
      <c r="D297" s="4"/>
      <c r="E297" s="4" t="s">
        <v>126</v>
      </c>
      <c r="F297" s="4" t="s">
        <v>126</v>
      </c>
      <c r="G297" s="14" t="s">
        <v>132</v>
      </c>
      <c r="H297" s="4" t="s">
        <v>606</v>
      </c>
      <c r="I297" s="4" t="s">
        <v>102</v>
      </c>
      <c r="J297" s="11"/>
      <c r="K297" s="11"/>
      <c r="L297" s="4"/>
      <c r="M297" s="12"/>
      <c r="N297" s="4"/>
      <c r="O297" s="4"/>
      <c r="P297" s="4"/>
      <c r="Q297" s="11"/>
      <c r="R297" s="11"/>
      <c r="S297" s="4"/>
      <c r="T297" s="11"/>
      <c r="U297" s="11"/>
      <c r="V297" s="4"/>
      <c r="W297" s="11"/>
      <c r="X297" s="11"/>
      <c r="Y297" s="4"/>
      <c r="Z297" s="11"/>
      <c r="AA297" s="11"/>
      <c r="AB297" s="4"/>
      <c r="AC297" s="11"/>
      <c r="AD297" s="11"/>
      <c r="AE297" s="4"/>
      <c r="AF297" s="11"/>
      <c r="AG297" s="11"/>
      <c r="AH297" s="4"/>
      <c r="AI297" s="11"/>
      <c r="AJ297" s="11"/>
      <c r="AK297" s="4"/>
      <c r="AL297" s="4"/>
      <c r="AM297" s="4"/>
      <c r="AN297" s="4"/>
      <c r="AO297" s="4"/>
      <c r="AP297" s="4"/>
      <c r="AQ297" s="4"/>
    </row>
    <row r="298" spans="1:43" s="2" customFormat="1" x14ac:dyDescent="0.25">
      <c r="A298" s="161" t="str">
        <f t="shared" si="8"/>
        <v>BATTLESHIP_RUSSIA</v>
      </c>
      <c r="B298" s="9" t="s">
        <v>126</v>
      </c>
      <c r="C298" s="4" t="s">
        <v>735</v>
      </c>
      <c r="D298" s="4" t="s">
        <v>698</v>
      </c>
      <c r="E298" s="4" t="s">
        <v>126</v>
      </c>
      <c r="F298" s="4" t="s">
        <v>126</v>
      </c>
      <c r="G298" s="14"/>
      <c r="H298" s="4"/>
      <c r="I298" s="4"/>
      <c r="J298" s="11"/>
      <c r="K298" s="11"/>
      <c r="L298" s="4"/>
      <c r="M298" s="12"/>
      <c r="N298" s="4"/>
      <c r="O298" s="4"/>
      <c r="P298" s="4"/>
      <c r="Q298" s="11"/>
      <c r="R298" s="11"/>
      <c r="S298" s="4"/>
      <c r="T298" s="11"/>
      <c r="U298" s="11"/>
      <c r="V298" s="4"/>
      <c r="W298" s="11"/>
      <c r="X298" s="11"/>
      <c r="Y298" s="4"/>
      <c r="Z298" s="11"/>
      <c r="AA298" s="11"/>
      <c r="AB298" s="4"/>
      <c r="AC298" s="11"/>
      <c r="AD298" s="11"/>
      <c r="AE298" s="4"/>
      <c r="AF298" s="11"/>
      <c r="AG298" s="11"/>
      <c r="AH298" s="4"/>
      <c r="AI298" s="11"/>
      <c r="AJ298" s="11"/>
      <c r="AK298" s="4"/>
      <c r="AL298" s="4"/>
      <c r="AM298" s="4"/>
      <c r="AN298" s="4"/>
      <c r="AO298" s="4"/>
      <c r="AP298" s="4"/>
      <c r="AQ298" s="4"/>
    </row>
    <row r="299" spans="1:43" s="2" customFormat="1" x14ac:dyDescent="0.25">
      <c r="A299" s="161" t="str">
        <f t="shared" si="8"/>
        <v>BATTLESHIP_AMERICA</v>
      </c>
      <c r="B299" s="9" t="s">
        <v>126</v>
      </c>
      <c r="C299" s="4" t="s">
        <v>699</v>
      </c>
      <c r="D299" s="4"/>
      <c r="E299" s="4" t="s">
        <v>126</v>
      </c>
      <c r="F299" s="4" t="s">
        <v>126</v>
      </c>
      <c r="G299" s="14"/>
      <c r="H299" s="4" t="s">
        <v>133</v>
      </c>
      <c r="I299" s="4" t="s">
        <v>1048</v>
      </c>
      <c r="J299" s="11"/>
      <c r="K299" s="11"/>
      <c r="L299" s="4"/>
      <c r="M299" s="12"/>
      <c r="N299" s="4"/>
      <c r="O299" s="4"/>
      <c r="P299" s="4"/>
      <c r="Q299" s="11"/>
      <c r="R299" s="11"/>
      <c r="S299" s="4"/>
      <c r="T299" s="11"/>
      <c r="U299" s="11"/>
      <c r="V299" s="4"/>
      <c r="W299" s="11"/>
      <c r="X299" s="11"/>
      <c r="Y299" s="4"/>
      <c r="Z299" s="11"/>
      <c r="AA299" s="11"/>
      <c r="AB299" s="4"/>
      <c r="AC299" s="11"/>
      <c r="AD299" s="11"/>
      <c r="AE299" s="4"/>
      <c r="AF299" s="11"/>
      <c r="AG299" s="11"/>
      <c r="AH299" s="4"/>
      <c r="AI299" s="11"/>
      <c r="AJ299" s="11"/>
      <c r="AK299" s="4"/>
      <c r="AL299" s="4"/>
      <c r="AM299" s="4"/>
      <c r="AN299" s="4"/>
      <c r="AO299" s="4"/>
      <c r="AP299" s="4"/>
      <c r="AQ299" s="4"/>
    </row>
    <row r="300" spans="1:43" s="2" customFormat="1" x14ac:dyDescent="0.25">
      <c r="A300" s="161" t="str">
        <f t="shared" si="8"/>
        <v>BATTLESHIP_AUSTRALIA</v>
      </c>
      <c r="B300" s="9" t="s">
        <v>126</v>
      </c>
      <c r="C300" s="4" t="s">
        <v>1302</v>
      </c>
      <c r="D300" s="4" t="s">
        <v>713</v>
      </c>
      <c r="E300" s="4" t="s">
        <v>126</v>
      </c>
      <c r="F300" s="4" t="s">
        <v>126</v>
      </c>
      <c r="G300" s="14"/>
      <c r="H300" s="4"/>
      <c r="I300" s="4"/>
      <c r="J300" s="11"/>
      <c r="K300" s="11"/>
      <c r="L300" s="4"/>
      <c r="M300" s="12"/>
      <c r="N300" s="4"/>
      <c r="O300" s="4"/>
      <c r="P300" s="4"/>
      <c r="Q300" s="11"/>
      <c r="R300" s="11"/>
      <c r="S300" s="4"/>
      <c r="T300" s="11"/>
      <c r="U300" s="11"/>
      <c r="V300" s="4"/>
      <c r="W300" s="11"/>
      <c r="X300" s="11"/>
      <c r="Y300" s="4"/>
      <c r="Z300" s="11"/>
      <c r="AA300" s="11"/>
      <c r="AB300" s="4"/>
      <c r="AC300" s="11"/>
      <c r="AD300" s="11"/>
      <c r="AE300" s="4"/>
      <c r="AF300" s="11"/>
      <c r="AG300" s="11"/>
      <c r="AH300" s="4"/>
      <c r="AI300" s="11"/>
      <c r="AJ300" s="11"/>
      <c r="AK300" s="4"/>
      <c r="AL300" s="4"/>
      <c r="AM300" s="4"/>
      <c r="AN300" s="4"/>
      <c r="AO300" s="4"/>
      <c r="AP300" s="4"/>
      <c r="AQ300" s="4"/>
    </row>
    <row r="301" spans="1:43" s="2" customFormat="1" x14ac:dyDescent="0.25">
      <c r="A301" s="161" t="str">
        <f t="shared" si="8"/>
        <v>BATTLESHIP_CANADA</v>
      </c>
      <c r="B301" s="9" t="s">
        <v>126</v>
      </c>
      <c r="C301" s="4" t="s">
        <v>2209</v>
      </c>
      <c r="D301" s="4" t="s">
        <v>713</v>
      </c>
      <c r="E301" s="4" t="s">
        <v>126</v>
      </c>
      <c r="F301" s="4" t="s">
        <v>126</v>
      </c>
      <c r="G301" s="14"/>
      <c r="H301" s="4"/>
      <c r="I301" s="4"/>
      <c r="J301" s="11"/>
      <c r="K301" s="11"/>
      <c r="L301" s="4"/>
      <c r="M301" s="12"/>
      <c r="N301" s="4"/>
      <c r="O301" s="4"/>
      <c r="P301" s="4"/>
      <c r="Q301" s="11"/>
      <c r="R301" s="11"/>
      <c r="S301" s="4"/>
      <c r="T301" s="11"/>
      <c r="U301" s="11"/>
      <c r="V301" s="4"/>
      <c r="W301" s="11"/>
      <c r="X301" s="11"/>
      <c r="Y301" s="4"/>
      <c r="Z301" s="11"/>
      <c r="AA301" s="11"/>
      <c r="AB301" s="4"/>
      <c r="AC301" s="11"/>
      <c r="AD301" s="11"/>
      <c r="AE301" s="4"/>
      <c r="AF301" s="11"/>
      <c r="AG301" s="11"/>
      <c r="AH301" s="4"/>
      <c r="AI301" s="11"/>
      <c r="AJ301" s="11"/>
      <c r="AK301" s="4"/>
      <c r="AL301" s="4"/>
      <c r="AM301" s="4"/>
      <c r="AN301" s="4"/>
      <c r="AO301" s="4"/>
      <c r="AP301" s="4"/>
      <c r="AQ301" s="4"/>
    </row>
    <row r="302" spans="1:43" s="2" customFormat="1" x14ac:dyDescent="0.25">
      <c r="A302" s="161" t="str">
        <f t="shared" si="8"/>
        <v>BATTLESHIP_CELTS</v>
      </c>
      <c r="B302" s="9" t="s">
        <v>126</v>
      </c>
      <c r="C302" s="4" t="s">
        <v>709</v>
      </c>
      <c r="D302" s="4" t="s">
        <v>713</v>
      </c>
      <c r="E302" s="4" t="s">
        <v>126</v>
      </c>
      <c r="F302" s="4" t="s">
        <v>126</v>
      </c>
      <c r="G302" s="14"/>
      <c r="H302" s="4"/>
      <c r="I302" s="4"/>
      <c r="J302" s="11"/>
      <c r="K302" s="11"/>
      <c r="L302" s="4"/>
      <c r="M302" s="12"/>
      <c r="N302" s="4"/>
      <c r="O302" s="4"/>
      <c r="P302" s="4"/>
      <c r="Q302" s="11"/>
      <c r="R302" s="11"/>
      <c r="S302" s="4"/>
      <c r="T302" s="11"/>
      <c r="U302" s="11"/>
      <c r="V302" s="4"/>
      <c r="W302" s="11"/>
      <c r="X302" s="11"/>
      <c r="Y302" s="4"/>
      <c r="Z302" s="11"/>
      <c r="AA302" s="11"/>
      <c r="AB302" s="4"/>
      <c r="AC302" s="11"/>
      <c r="AD302" s="11"/>
      <c r="AE302" s="4"/>
      <c r="AF302" s="11"/>
      <c r="AG302" s="11"/>
      <c r="AH302" s="4"/>
      <c r="AI302" s="11"/>
      <c r="AJ302" s="11"/>
      <c r="AK302" s="4"/>
      <c r="AL302" s="4"/>
      <c r="AM302" s="4"/>
      <c r="AN302" s="4"/>
      <c r="AO302" s="4"/>
      <c r="AP302" s="4"/>
      <c r="AQ302" s="4"/>
    </row>
    <row r="303" spans="1:43" s="2" customFormat="1" x14ac:dyDescent="0.25">
      <c r="A303" s="161" t="str">
        <f t="shared" si="8"/>
        <v>BATTLESHIP_ENGLAND</v>
      </c>
      <c r="B303" s="9" t="s">
        <v>126</v>
      </c>
      <c r="C303" s="4" t="s">
        <v>713</v>
      </c>
      <c r="D303" s="4"/>
      <c r="E303" s="4" t="s">
        <v>126</v>
      </c>
      <c r="F303" s="4" t="s">
        <v>126</v>
      </c>
      <c r="G303" s="14" t="s">
        <v>132</v>
      </c>
      <c r="H303" s="4" t="s">
        <v>291</v>
      </c>
      <c r="I303" s="4" t="s">
        <v>102</v>
      </c>
      <c r="J303" s="11"/>
      <c r="K303" s="11"/>
      <c r="L303" s="4"/>
      <c r="M303" s="12"/>
      <c r="N303" s="4"/>
      <c r="O303" s="4"/>
      <c r="P303" s="4"/>
      <c r="Q303" s="11"/>
      <c r="R303" s="11"/>
      <c r="S303" s="4"/>
      <c r="T303" s="11"/>
      <c r="U303" s="11"/>
      <c r="V303" s="4"/>
      <c r="W303" s="11"/>
      <c r="X303" s="11"/>
      <c r="Y303" s="4"/>
      <c r="Z303" s="11"/>
      <c r="AA303" s="11"/>
      <c r="AB303" s="4"/>
      <c r="AC303" s="11"/>
      <c r="AD303" s="11"/>
      <c r="AE303" s="4"/>
      <c r="AF303" s="11"/>
      <c r="AG303" s="11"/>
      <c r="AH303" s="4"/>
      <c r="AI303" s="11"/>
      <c r="AJ303" s="11"/>
      <c r="AK303" s="4"/>
      <c r="AL303" s="4"/>
      <c r="AM303" s="4"/>
      <c r="AN303" s="4"/>
      <c r="AO303" s="4"/>
      <c r="AP303" s="4"/>
      <c r="AQ303" s="4"/>
    </row>
    <row r="304" spans="1:43" s="2" customFormat="1" x14ac:dyDescent="0.25">
      <c r="A304" s="161" t="str">
        <f t="shared" si="8"/>
        <v>BATTLESHIP_FRANCE</v>
      </c>
      <c r="B304" s="9" t="s">
        <v>126</v>
      </c>
      <c r="C304" s="4" t="s">
        <v>715</v>
      </c>
      <c r="D304" s="4"/>
      <c r="E304" s="4" t="s">
        <v>126</v>
      </c>
      <c r="F304" s="4" t="s">
        <v>126</v>
      </c>
      <c r="G304" s="14" t="s">
        <v>132</v>
      </c>
      <c r="H304" s="4" t="s">
        <v>335</v>
      </c>
      <c r="I304" s="4" t="s">
        <v>102</v>
      </c>
      <c r="J304" s="11"/>
      <c r="K304" s="11"/>
      <c r="L304" s="4"/>
      <c r="M304" s="12"/>
      <c r="N304" s="4"/>
      <c r="O304" s="4"/>
      <c r="P304" s="4"/>
      <c r="Q304" s="11"/>
      <c r="R304" s="11"/>
      <c r="S304" s="4"/>
      <c r="T304" s="11"/>
      <c r="U304" s="11"/>
      <c r="V304" s="4"/>
      <c r="W304" s="11"/>
      <c r="X304" s="11"/>
      <c r="Y304" s="4"/>
      <c r="Z304" s="11"/>
      <c r="AA304" s="11"/>
      <c r="AB304" s="4"/>
      <c r="AC304" s="11"/>
      <c r="AD304" s="11"/>
      <c r="AE304" s="4"/>
      <c r="AF304" s="11"/>
      <c r="AG304" s="11"/>
      <c r="AH304" s="4"/>
      <c r="AI304" s="11"/>
      <c r="AJ304" s="11"/>
      <c r="AK304" s="4"/>
      <c r="AL304" s="4"/>
      <c r="AM304" s="4"/>
      <c r="AN304" s="4"/>
      <c r="AO304" s="4"/>
      <c r="AP304" s="4"/>
      <c r="AQ304" s="4"/>
    </row>
    <row r="305" spans="1:43" s="2" customFormat="1" x14ac:dyDescent="0.25">
      <c r="A305" s="161" t="str">
        <f t="shared" si="8"/>
        <v>BATTLESHIP_GERMANY</v>
      </c>
      <c r="B305" s="9" t="s">
        <v>126</v>
      </c>
      <c r="C305" s="4" t="s">
        <v>717</v>
      </c>
      <c r="D305" s="4"/>
      <c r="E305" s="4" t="s">
        <v>126</v>
      </c>
      <c r="F305" s="4" t="s">
        <v>126</v>
      </c>
      <c r="G305" s="14" t="s">
        <v>132</v>
      </c>
      <c r="H305" s="4" t="s">
        <v>366</v>
      </c>
      <c r="I305" s="4" t="s">
        <v>131</v>
      </c>
      <c r="J305" s="11"/>
      <c r="K305" s="11"/>
      <c r="L305" s="4"/>
      <c r="M305" s="12"/>
      <c r="N305" s="4"/>
      <c r="O305" s="4"/>
      <c r="P305" s="4"/>
      <c r="Q305" s="11"/>
      <c r="R305" s="11"/>
      <c r="S305" s="4"/>
      <c r="T305" s="11"/>
      <c r="U305" s="11"/>
      <c r="V305" s="4"/>
      <c r="W305" s="11"/>
      <c r="X305" s="11"/>
      <c r="Y305" s="4"/>
      <c r="Z305" s="11"/>
      <c r="AA305" s="11"/>
      <c r="AB305" s="4"/>
      <c r="AC305" s="11"/>
      <c r="AD305" s="11"/>
      <c r="AE305" s="4"/>
      <c r="AF305" s="11"/>
      <c r="AG305" s="11"/>
      <c r="AH305" s="4"/>
      <c r="AI305" s="11"/>
      <c r="AJ305" s="11"/>
      <c r="AK305" s="4"/>
      <c r="AL305" s="4"/>
      <c r="AM305" s="4"/>
      <c r="AN305" s="4"/>
      <c r="AO305" s="4"/>
      <c r="AP305" s="4"/>
      <c r="AQ305" s="4"/>
    </row>
    <row r="306" spans="1:43" s="2" customFormat="1" x14ac:dyDescent="0.25">
      <c r="A306" s="161" t="str">
        <f t="shared" si="8"/>
        <v>BATTLESHIP_ROME</v>
      </c>
      <c r="B306" s="9" t="s">
        <v>126</v>
      </c>
      <c r="C306" s="4" t="s">
        <v>734</v>
      </c>
      <c r="D306" s="4"/>
      <c r="E306" s="4" t="s">
        <v>126</v>
      </c>
      <c r="F306" s="4" t="s">
        <v>126</v>
      </c>
      <c r="G306" s="14" t="s">
        <v>132</v>
      </c>
      <c r="H306" s="4" t="s">
        <v>582</v>
      </c>
      <c r="I306" s="4" t="s">
        <v>1048</v>
      </c>
      <c r="J306" s="11"/>
      <c r="K306" s="11"/>
      <c r="L306" s="4"/>
      <c r="M306" s="12"/>
      <c r="N306" s="4"/>
      <c r="O306" s="4"/>
      <c r="P306" s="4"/>
      <c r="Q306" s="11"/>
      <c r="R306" s="11"/>
      <c r="S306" s="4"/>
      <c r="T306" s="11"/>
      <c r="U306" s="11"/>
      <c r="V306" s="4"/>
      <c r="W306" s="11"/>
      <c r="X306" s="11"/>
      <c r="Y306" s="4"/>
      <c r="Z306" s="11"/>
      <c r="AA306" s="11"/>
      <c r="AB306" s="4"/>
      <c r="AC306" s="11"/>
      <c r="AD306" s="11"/>
      <c r="AE306" s="4"/>
      <c r="AF306" s="11"/>
      <c r="AG306" s="11"/>
      <c r="AH306" s="4"/>
      <c r="AI306" s="11"/>
      <c r="AJ306" s="11"/>
      <c r="AK306" s="4"/>
      <c r="AL306" s="4"/>
      <c r="AM306" s="4"/>
      <c r="AN306" s="4"/>
      <c r="AO306" s="4"/>
      <c r="AP306" s="4"/>
      <c r="AQ306" s="4"/>
    </row>
    <row r="307" spans="1:43" s="2" customFormat="1" x14ac:dyDescent="0.25">
      <c r="A307" s="161" t="str">
        <f t="shared" si="8"/>
        <v>BATTLESHIP_NORTHAF</v>
      </c>
      <c r="B307" s="9" t="s">
        <v>126</v>
      </c>
      <c r="C307" s="4" t="s">
        <v>2011</v>
      </c>
      <c r="D307" s="4" t="s">
        <v>715</v>
      </c>
      <c r="E307" s="4" t="s">
        <v>126</v>
      </c>
      <c r="F307" s="4" t="s">
        <v>126</v>
      </c>
      <c r="G307" s="14"/>
      <c r="H307" s="4"/>
      <c r="I307" s="4"/>
      <c r="J307" s="11"/>
      <c r="K307" s="11"/>
      <c r="L307" s="4"/>
      <c r="M307" s="12"/>
      <c r="N307" s="4"/>
      <c r="O307" s="4"/>
      <c r="P307" s="4"/>
      <c r="Q307" s="11"/>
      <c r="R307" s="11"/>
      <c r="S307" s="4"/>
      <c r="T307" s="11"/>
      <c r="U307" s="11"/>
      <c r="V307" s="4"/>
      <c r="W307" s="11"/>
      <c r="X307" s="11"/>
      <c r="Y307" s="4"/>
      <c r="Z307" s="11"/>
      <c r="AA307" s="11"/>
      <c r="AB307" s="4"/>
      <c r="AC307" s="11"/>
      <c r="AD307" s="11"/>
      <c r="AE307" s="4"/>
      <c r="AF307" s="11"/>
      <c r="AG307" s="11"/>
      <c r="AH307" s="4"/>
      <c r="AI307" s="11"/>
      <c r="AJ307" s="11"/>
      <c r="AK307" s="4"/>
      <c r="AL307" s="4"/>
      <c r="AM307" s="4"/>
      <c r="AN307" s="4"/>
      <c r="AO307" s="4"/>
      <c r="AP307" s="4"/>
      <c r="AQ307" s="4"/>
    </row>
    <row r="308" spans="1:43" s="2" customFormat="1" x14ac:dyDescent="0.25">
      <c r="A308" s="161" t="str">
        <f t="shared" si="8"/>
        <v>BATTLESHIP_OCEAN</v>
      </c>
      <c r="B308" s="9" t="s">
        <v>126</v>
      </c>
      <c r="C308" s="4" t="s">
        <v>994</v>
      </c>
      <c r="D308" s="4" t="s">
        <v>699</v>
      </c>
      <c r="E308" s="4" t="s">
        <v>126</v>
      </c>
      <c r="F308" s="4" t="s">
        <v>126</v>
      </c>
      <c r="G308" s="14"/>
      <c r="H308" s="4"/>
      <c r="I308" s="4"/>
      <c r="J308" s="11"/>
      <c r="K308" s="11"/>
      <c r="L308" s="4"/>
      <c r="M308" s="12"/>
      <c r="N308" s="4"/>
      <c r="O308" s="4"/>
      <c r="P308" s="4"/>
      <c r="Q308" s="11"/>
      <c r="R308" s="11"/>
      <c r="S308" s="4"/>
      <c r="T308" s="11"/>
      <c r="U308" s="11"/>
      <c r="V308" s="4"/>
      <c r="W308" s="11"/>
      <c r="X308" s="11"/>
      <c r="Y308" s="4"/>
      <c r="Z308" s="11"/>
      <c r="AA308" s="11"/>
      <c r="AB308" s="4"/>
      <c r="AC308" s="11"/>
      <c r="AD308" s="11"/>
      <c r="AE308" s="4"/>
      <c r="AF308" s="11"/>
      <c r="AG308" s="11"/>
      <c r="AH308" s="4"/>
      <c r="AI308" s="11"/>
      <c r="AJ308" s="11"/>
      <c r="AK308" s="4"/>
      <c r="AL308" s="4"/>
      <c r="AM308" s="4"/>
      <c r="AN308" s="4"/>
      <c r="AO308" s="4"/>
      <c r="AP308" s="4"/>
      <c r="AQ308" s="4"/>
    </row>
    <row r="309" spans="1:43" s="2" customFormat="1" x14ac:dyDescent="0.25">
      <c r="A309" s="161" t="str">
        <f t="shared" si="8"/>
        <v>BATTLESHIP_SEASIA</v>
      </c>
      <c r="B309" s="9" t="s">
        <v>126</v>
      </c>
      <c r="C309" s="4" t="s">
        <v>696</v>
      </c>
      <c r="D309" s="4" t="s">
        <v>715</v>
      </c>
      <c r="E309" s="4" t="s">
        <v>126</v>
      </c>
      <c r="F309" s="4" t="s">
        <v>126</v>
      </c>
      <c r="G309" s="14"/>
      <c r="H309" s="4"/>
      <c r="I309" s="4"/>
      <c r="J309" s="11"/>
      <c r="K309" s="11"/>
      <c r="L309" s="4"/>
      <c r="M309" s="12"/>
      <c r="N309" s="4"/>
      <c r="O309" s="4"/>
      <c r="P309" s="4"/>
      <c r="Q309" s="11"/>
      <c r="R309" s="11"/>
      <c r="S309" s="4"/>
      <c r="T309" s="11"/>
      <c r="U309" s="11"/>
      <c r="V309" s="4"/>
      <c r="W309" s="11"/>
      <c r="X309" s="11"/>
      <c r="Y309" s="4"/>
      <c r="Z309" s="11"/>
      <c r="AA309" s="11"/>
      <c r="AB309" s="4"/>
      <c r="AC309" s="11"/>
      <c r="AD309" s="11"/>
      <c r="AE309" s="4"/>
      <c r="AF309" s="11"/>
      <c r="AG309" s="11"/>
      <c r="AH309" s="4"/>
      <c r="AI309" s="11"/>
      <c r="AJ309" s="11"/>
      <c r="AK309" s="4"/>
      <c r="AL309" s="4"/>
      <c r="AM309" s="4"/>
      <c r="AN309" s="4"/>
      <c r="AO309" s="4"/>
      <c r="AP309" s="4"/>
      <c r="AQ309" s="4"/>
    </row>
    <row r="310" spans="1:43" s="2" customFormat="1" x14ac:dyDescent="0.25">
      <c r="A310" s="161" t="str">
        <f t="shared" si="8"/>
        <v>BATTLESHIP_SOUTHAS</v>
      </c>
      <c r="B310" s="9" t="s">
        <v>126</v>
      </c>
      <c r="C310" s="4" t="s">
        <v>695</v>
      </c>
      <c r="D310" s="4" t="s">
        <v>713</v>
      </c>
      <c r="E310" s="4" t="s">
        <v>126</v>
      </c>
      <c r="F310" s="4" t="s">
        <v>126</v>
      </c>
      <c r="G310" s="14"/>
      <c r="H310" s="4"/>
      <c r="I310" s="4"/>
      <c r="J310" s="11"/>
      <c r="K310" s="11"/>
      <c r="L310" s="4"/>
      <c r="M310" s="12"/>
      <c r="N310" s="4"/>
      <c r="O310" s="4"/>
      <c r="P310" s="4"/>
      <c r="Q310" s="11"/>
      <c r="R310" s="11"/>
      <c r="S310" s="4"/>
      <c r="T310" s="11"/>
      <c r="U310" s="11"/>
      <c r="V310" s="4"/>
      <c r="W310" s="11"/>
      <c r="X310" s="11"/>
      <c r="Y310" s="4"/>
      <c r="Z310" s="11"/>
      <c r="AA310" s="11"/>
      <c r="AB310" s="4"/>
      <c r="AC310" s="11"/>
      <c r="AD310" s="11"/>
      <c r="AE310" s="4"/>
      <c r="AF310" s="11"/>
      <c r="AG310" s="11"/>
      <c r="AH310" s="4"/>
      <c r="AI310" s="11"/>
      <c r="AJ310" s="11"/>
      <c r="AK310" s="4"/>
      <c r="AL310" s="4"/>
      <c r="AM310" s="4"/>
      <c r="AN310" s="4"/>
      <c r="AO310" s="4"/>
      <c r="AP310" s="4"/>
      <c r="AQ310" s="4"/>
    </row>
    <row r="311" spans="1:43" s="2" customFormat="1" x14ac:dyDescent="0.25">
      <c r="A311" s="161" t="str">
        <f t="shared" si="8"/>
        <v>BAZOOKA_INFANTRY</v>
      </c>
      <c r="B311" s="9" t="s">
        <v>2315</v>
      </c>
      <c r="C311" s="5"/>
      <c r="D311" s="5"/>
      <c r="E311" s="5" t="s">
        <v>1110</v>
      </c>
      <c r="F311" s="5" t="s">
        <v>1110</v>
      </c>
      <c r="G311" s="5"/>
      <c r="H311" s="5" t="s">
        <v>1112</v>
      </c>
      <c r="I311" s="5" t="s">
        <v>128</v>
      </c>
      <c r="J311" s="6"/>
      <c r="K311" s="6"/>
      <c r="L311" s="13" t="s">
        <v>1708</v>
      </c>
      <c r="M311" s="8"/>
      <c r="N311" s="5"/>
      <c r="O311" s="5"/>
      <c r="P311" s="5"/>
      <c r="Q311" s="7">
        <v>3</v>
      </c>
      <c r="R311" s="6" t="s">
        <v>1695</v>
      </c>
      <c r="S311" s="13" t="s">
        <v>1611</v>
      </c>
      <c r="T311" s="6"/>
      <c r="U311" s="7" t="s">
        <v>1737</v>
      </c>
      <c r="V311" s="5"/>
      <c r="W311" s="6" t="s">
        <v>3</v>
      </c>
      <c r="X311" s="6" t="s">
        <v>3</v>
      </c>
      <c r="Y311" s="5"/>
      <c r="Z311" s="7">
        <v>1</v>
      </c>
      <c r="AA311" s="6"/>
      <c r="AB311" s="5"/>
      <c r="AC311" s="6"/>
      <c r="AD311" s="6" t="s">
        <v>3</v>
      </c>
      <c r="AE311" s="5"/>
      <c r="AF311" s="6"/>
      <c r="AG311" s="6"/>
      <c r="AH311" s="5"/>
      <c r="AI311" s="6"/>
      <c r="AJ311" s="6"/>
      <c r="AK311" s="5"/>
      <c r="AL311" s="5"/>
      <c r="AM311" s="5"/>
      <c r="AN311" s="5"/>
      <c r="AO311" s="5"/>
      <c r="AP311" s="5"/>
      <c r="AQ311" s="5"/>
    </row>
    <row r="312" spans="1:43" s="2" customFormat="1" x14ac:dyDescent="0.25">
      <c r="A312" s="161" t="str">
        <f t="shared" si="8"/>
        <v>BOMBER</v>
      </c>
      <c r="B312" s="9" t="s">
        <v>118</v>
      </c>
      <c r="C312" s="5"/>
      <c r="D312" s="5"/>
      <c r="E312" s="5" t="s">
        <v>118</v>
      </c>
      <c r="F312" s="5" t="s">
        <v>118</v>
      </c>
      <c r="G312" s="5"/>
      <c r="H312" s="5" t="s">
        <v>40</v>
      </c>
      <c r="I312" s="5" t="s">
        <v>128</v>
      </c>
      <c r="J312" s="6"/>
      <c r="K312" s="7"/>
      <c r="L312" s="13" t="s">
        <v>1711</v>
      </c>
      <c r="M312" s="8">
        <v>1.7</v>
      </c>
      <c r="N312" s="13" t="s">
        <v>1725</v>
      </c>
      <c r="O312" s="13"/>
      <c r="P312" s="13"/>
      <c r="Q312" s="7">
        <v>1</v>
      </c>
      <c r="R312" s="6">
        <v>0.08</v>
      </c>
      <c r="S312" s="13" t="s">
        <v>1615</v>
      </c>
      <c r="T312" s="7">
        <v>3</v>
      </c>
      <c r="U312" s="7" t="s">
        <v>1737</v>
      </c>
      <c r="V312" s="5"/>
      <c r="W312" s="6" t="s">
        <v>3</v>
      </c>
      <c r="X312" s="6" t="s">
        <v>3</v>
      </c>
      <c r="Y312" s="5"/>
      <c r="Z312" s="6"/>
      <c r="AA312" s="6"/>
      <c r="AB312" s="5"/>
      <c r="AC312" s="6"/>
      <c r="AD312" s="6" t="s">
        <v>3</v>
      </c>
      <c r="AE312" s="5"/>
      <c r="AF312" s="6"/>
      <c r="AG312" s="6"/>
      <c r="AH312" s="5"/>
      <c r="AI312" s="6"/>
      <c r="AJ312" s="6"/>
      <c r="AK312" s="5"/>
      <c r="AL312" s="5"/>
      <c r="AM312" s="5"/>
      <c r="AN312" s="5"/>
      <c r="AO312" s="5"/>
      <c r="AP312" s="5"/>
      <c r="AQ312" s="5"/>
    </row>
    <row r="313" spans="1:43" s="2" customFormat="1" x14ac:dyDescent="0.25">
      <c r="A313" s="161" t="str">
        <f t="shared" si="8"/>
        <v>BOMBER_ZULU</v>
      </c>
      <c r="B313" s="9" t="s">
        <v>118</v>
      </c>
      <c r="C313" s="5" t="s">
        <v>742</v>
      </c>
      <c r="D313" s="5" t="s">
        <v>713</v>
      </c>
      <c r="E313" s="5" t="s">
        <v>118</v>
      </c>
      <c r="F313" s="5" t="s">
        <v>118</v>
      </c>
      <c r="G313" s="5"/>
      <c r="H313" s="5"/>
      <c r="I313" s="5"/>
      <c r="J313" s="6"/>
      <c r="K313" s="7"/>
      <c r="L313" s="13"/>
      <c r="M313" s="8"/>
      <c r="N313" s="13"/>
      <c r="O313" s="13"/>
      <c r="P313" s="13"/>
      <c r="Q313" s="7"/>
      <c r="R313" s="6"/>
      <c r="S313" s="13"/>
      <c r="T313" s="7"/>
      <c r="U313" s="7"/>
      <c r="V313" s="5"/>
      <c r="W313" s="6"/>
      <c r="X313" s="6"/>
      <c r="Y313" s="5"/>
      <c r="Z313" s="6"/>
      <c r="AA313" s="6"/>
      <c r="AB313" s="5"/>
      <c r="AC313" s="6"/>
      <c r="AD313" s="6"/>
      <c r="AE313" s="5"/>
      <c r="AF313" s="6"/>
      <c r="AG313" s="6"/>
      <c r="AH313" s="5"/>
      <c r="AI313" s="6"/>
      <c r="AJ313" s="6"/>
      <c r="AK313" s="5"/>
      <c r="AL313" s="5"/>
      <c r="AM313" s="5"/>
      <c r="AN313" s="5"/>
      <c r="AO313" s="5"/>
      <c r="AP313" s="5"/>
      <c r="AQ313" s="5"/>
    </row>
    <row r="314" spans="1:43" s="2" customFormat="1" x14ac:dyDescent="0.25">
      <c r="A314" s="161" t="str">
        <f t="shared" si="8"/>
        <v>BOMBER_AMER</v>
      </c>
      <c r="B314" s="9" t="s">
        <v>118</v>
      </c>
      <c r="C314" s="5" t="s">
        <v>697</v>
      </c>
      <c r="D314" s="5" t="s">
        <v>699</v>
      </c>
      <c r="E314" s="5" t="s">
        <v>118</v>
      </c>
      <c r="F314" s="5" t="s">
        <v>118</v>
      </c>
      <c r="G314" s="5"/>
      <c r="H314" s="5"/>
      <c r="I314" s="5"/>
      <c r="J314" s="6"/>
      <c r="K314" s="7"/>
      <c r="L314" s="13"/>
      <c r="M314" s="8"/>
      <c r="N314" s="13"/>
      <c r="O314" s="13"/>
      <c r="P314" s="13"/>
      <c r="Q314" s="7"/>
      <c r="R314" s="6"/>
      <c r="S314" s="13"/>
      <c r="T314" s="7"/>
      <c r="U314" s="7"/>
      <c r="V314" s="5"/>
      <c r="W314" s="6"/>
      <c r="X314" s="6"/>
      <c r="Y314" s="5"/>
      <c r="Z314" s="6"/>
      <c r="AA314" s="6"/>
      <c r="AB314" s="5"/>
      <c r="AC314" s="6"/>
      <c r="AD314" s="6"/>
      <c r="AE314" s="5"/>
      <c r="AF314" s="6"/>
      <c r="AG314" s="6"/>
      <c r="AH314" s="5"/>
      <c r="AI314" s="6"/>
      <c r="AJ314" s="6"/>
      <c r="AK314" s="5"/>
      <c r="AL314" s="5"/>
      <c r="AM314" s="5"/>
      <c r="AN314" s="5"/>
      <c r="AO314" s="5"/>
      <c r="AP314" s="5"/>
      <c r="AQ314" s="5"/>
    </row>
    <row r="315" spans="1:43" s="2" customFormat="1" x14ac:dyDescent="0.25">
      <c r="A315" s="161" t="str">
        <f t="shared" si="8"/>
        <v>BOMBER_ASIA</v>
      </c>
      <c r="B315" s="9" t="s">
        <v>118</v>
      </c>
      <c r="C315" s="5" t="s">
        <v>693</v>
      </c>
      <c r="D315" s="5"/>
      <c r="E315" s="5" t="s">
        <v>118</v>
      </c>
      <c r="F315" s="5" t="s">
        <v>118</v>
      </c>
      <c r="G315" s="5"/>
      <c r="H315" s="4" t="s">
        <v>475</v>
      </c>
      <c r="I315" s="5" t="s">
        <v>102</v>
      </c>
      <c r="J315" s="11"/>
      <c r="K315" s="7"/>
      <c r="L315" s="13"/>
      <c r="M315" s="8"/>
      <c r="N315" s="13"/>
      <c r="O315" s="13"/>
      <c r="P315" s="13"/>
      <c r="Q315" s="7"/>
      <c r="R315" s="6">
        <v>8.2000000000000003E-2</v>
      </c>
      <c r="S315" s="13"/>
      <c r="T315" s="7"/>
      <c r="U315" s="7"/>
      <c r="V315" s="5"/>
      <c r="W315" s="6"/>
      <c r="X315" s="6"/>
      <c r="Y315" s="5"/>
      <c r="Z315" s="6"/>
      <c r="AA315" s="6"/>
      <c r="AB315" s="5"/>
      <c r="AC315" s="6"/>
      <c r="AD315" s="6"/>
      <c r="AE315" s="5"/>
      <c r="AF315" s="6"/>
      <c r="AG315" s="6"/>
      <c r="AH315" s="5"/>
      <c r="AI315" s="6"/>
      <c r="AJ315" s="6"/>
      <c r="AK315" s="5"/>
      <c r="AL315" s="5"/>
      <c r="AM315" s="5"/>
      <c r="AN315" s="5"/>
      <c r="AO315" s="5"/>
      <c r="AP315" s="5"/>
      <c r="AQ315" s="5"/>
    </row>
    <row r="316" spans="1:43" s="2" customFormat="1" x14ac:dyDescent="0.25">
      <c r="A316" s="161" t="str">
        <f t="shared" si="8"/>
        <v>BOMBER_CHINA</v>
      </c>
      <c r="B316" s="9" t="s">
        <v>118</v>
      </c>
      <c r="C316" s="4" t="s">
        <v>710</v>
      </c>
      <c r="D316" s="4"/>
      <c r="E316" s="4" t="s">
        <v>118</v>
      </c>
      <c r="F316" s="4" t="s">
        <v>118</v>
      </c>
      <c r="G316" s="14" t="s">
        <v>132</v>
      </c>
      <c r="H316" s="4" t="s">
        <v>243</v>
      </c>
      <c r="I316" s="4" t="s">
        <v>102</v>
      </c>
      <c r="J316" s="11"/>
      <c r="K316" s="11"/>
      <c r="L316" s="4"/>
      <c r="M316" s="12"/>
      <c r="N316" s="4"/>
      <c r="O316" s="4"/>
      <c r="P316" s="4"/>
      <c r="Q316" s="11"/>
      <c r="R316" s="11">
        <v>8.2000000000000003E-2</v>
      </c>
      <c r="S316" s="4"/>
      <c r="T316" s="11"/>
      <c r="U316" s="11"/>
      <c r="V316" s="4"/>
      <c r="W316" s="11"/>
      <c r="X316" s="11"/>
      <c r="Y316" s="4"/>
      <c r="Z316" s="11"/>
      <c r="AA316" s="11"/>
      <c r="AB316" s="4"/>
      <c r="AC316" s="11"/>
      <c r="AD316" s="11"/>
      <c r="AE316" s="4"/>
      <c r="AF316" s="11"/>
      <c r="AG316" s="11"/>
      <c r="AH316" s="4"/>
      <c r="AI316" s="11"/>
      <c r="AJ316" s="11"/>
      <c r="AK316" s="4"/>
      <c r="AL316" s="4"/>
      <c r="AM316" s="4"/>
      <c r="AN316" s="4"/>
      <c r="AO316" s="4"/>
      <c r="AP316" s="4"/>
      <c r="AQ316" s="4"/>
    </row>
    <row r="317" spans="1:43" s="2" customFormat="1" x14ac:dyDescent="0.25">
      <c r="A317" s="161" t="str">
        <f t="shared" si="8"/>
        <v>BOMBER_JAPAN</v>
      </c>
      <c r="B317" s="9" t="s">
        <v>118</v>
      </c>
      <c r="C317" s="4" t="s">
        <v>722</v>
      </c>
      <c r="D317" s="4" t="s">
        <v>693</v>
      </c>
      <c r="E317" s="4" t="s">
        <v>118</v>
      </c>
      <c r="F317" s="4" t="s">
        <v>118</v>
      </c>
      <c r="G317" s="14" t="s">
        <v>132</v>
      </c>
      <c r="H317" s="4"/>
      <c r="I317" s="4"/>
      <c r="J317" s="11"/>
      <c r="K317" s="11"/>
      <c r="L317" s="4"/>
      <c r="M317" s="12"/>
      <c r="N317" s="4"/>
      <c r="O317" s="4"/>
      <c r="P317" s="4"/>
      <c r="Q317" s="11"/>
      <c r="R317" s="11"/>
      <c r="S317" s="4"/>
      <c r="T317" s="11"/>
      <c r="U317" s="11"/>
      <c r="V317" s="4"/>
      <c r="W317" s="11"/>
      <c r="X317" s="11"/>
      <c r="Y317" s="4"/>
      <c r="Z317" s="11"/>
      <c r="AA317" s="11"/>
      <c r="AB317" s="4"/>
      <c r="AC317" s="11"/>
      <c r="AD317" s="11"/>
      <c r="AE317" s="4"/>
      <c r="AF317" s="11"/>
      <c r="AG317" s="11"/>
      <c r="AH317" s="4"/>
      <c r="AI317" s="11"/>
      <c r="AJ317" s="11"/>
      <c r="AK317" s="4"/>
      <c r="AL317" s="4"/>
      <c r="AM317" s="4"/>
      <c r="AN317" s="4"/>
      <c r="AO317" s="4"/>
      <c r="AP317" s="4"/>
      <c r="AQ317" s="4"/>
    </row>
    <row r="318" spans="1:43" s="2" customFormat="1" x14ac:dyDescent="0.25">
      <c r="A318" s="161" t="str">
        <f t="shared" si="8"/>
        <v>BOMBER_EASTEU</v>
      </c>
      <c r="B318" s="9" t="s">
        <v>118</v>
      </c>
      <c r="C318" s="4" t="s">
        <v>698</v>
      </c>
      <c r="D318" s="4"/>
      <c r="E318" s="4" t="s">
        <v>118</v>
      </c>
      <c r="F318" s="4" t="s">
        <v>118</v>
      </c>
      <c r="G318" s="14"/>
      <c r="H318" s="4" t="s">
        <v>607</v>
      </c>
      <c r="I318" s="4" t="s">
        <v>102</v>
      </c>
      <c r="J318" s="11"/>
      <c r="K318" s="11"/>
      <c r="L318" s="4"/>
      <c r="M318" s="12"/>
      <c r="N318" s="4"/>
      <c r="O318" s="4"/>
      <c r="P318" s="4"/>
      <c r="Q318" s="11"/>
      <c r="R318" s="11">
        <v>7.6999999999999999E-2</v>
      </c>
      <c r="S318" s="4"/>
      <c r="T318" s="11"/>
      <c r="U318" s="11"/>
      <c r="V318" s="4"/>
      <c r="W318" s="11"/>
      <c r="X318" s="11"/>
      <c r="Y318" s="4"/>
      <c r="Z318" s="11"/>
      <c r="AA318" s="11"/>
      <c r="AB318" s="4"/>
      <c r="AC318" s="11"/>
      <c r="AD318" s="11"/>
      <c r="AE318" s="4"/>
      <c r="AF318" s="11"/>
      <c r="AG318" s="11"/>
      <c r="AH318" s="4"/>
      <c r="AI318" s="11"/>
      <c r="AJ318" s="11"/>
      <c r="AK318" s="4"/>
      <c r="AL318" s="4"/>
      <c r="AM318" s="4"/>
      <c r="AN318" s="4"/>
      <c r="AO318" s="4"/>
      <c r="AP318" s="4"/>
      <c r="AQ318" s="4"/>
    </row>
    <row r="319" spans="1:43" s="2" customFormat="1" x14ac:dyDescent="0.25">
      <c r="A319" s="161" t="str">
        <f t="shared" si="8"/>
        <v>BOMBER_HUNS</v>
      </c>
      <c r="B319" s="9" t="s">
        <v>118</v>
      </c>
      <c r="C319" s="4" t="s">
        <v>904</v>
      </c>
      <c r="D319" s="4"/>
      <c r="E319" s="4" t="s">
        <v>118</v>
      </c>
      <c r="F319" s="4" t="s">
        <v>118</v>
      </c>
      <c r="G319" s="4"/>
      <c r="H319" s="4" t="s">
        <v>905</v>
      </c>
      <c r="I319" s="4" t="s">
        <v>102</v>
      </c>
      <c r="J319" s="11"/>
      <c r="K319" s="11"/>
      <c r="L319" s="4"/>
      <c r="M319" s="12"/>
      <c r="N319" s="4"/>
      <c r="O319" s="4"/>
      <c r="P319" s="4"/>
      <c r="Q319" s="11"/>
      <c r="R319" s="11">
        <v>8.5000000000000006E-2</v>
      </c>
      <c r="S319" s="4"/>
      <c r="T319" s="11"/>
      <c r="U319" s="11"/>
      <c r="V319" s="4"/>
      <c r="W319" s="11"/>
      <c r="X319" s="11"/>
      <c r="Y319" s="4"/>
      <c r="Z319" s="11"/>
      <c r="AA319" s="11"/>
      <c r="AB319" s="4"/>
      <c r="AC319" s="11"/>
      <c r="AD319" s="11"/>
      <c r="AE319" s="4"/>
      <c r="AF319" s="11"/>
      <c r="AG319" s="11"/>
      <c r="AH319" s="4"/>
      <c r="AI319" s="11"/>
      <c r="AJ319" s="11"/>
      <c r="AK319" s="4"/>
      <c r="AL319" s="4"/>
      <c r="AM319" s="4"/>
      <c r="AN319" s="4"/>
      <c r="AO319" s="4"/>
      <c r="AP319" s="4"/>
      <c r="AQ319" s="4"/>
    </row>
    <row r="320" spans="1:43" s="2" customFormat="1" x14ac:dyDescent="0.25">
      <c r="A320" s="161" t="str">
        <f t="shared" si="8"/>
        <v>BOMBER_POLAND</v>
      </c>
      <c r="B320" s="9" t="s">
        <v>118</v>
      </c>
      <c r="C320" s="4" t="s">
        <v>732</v>
      </c>
      <c r="D320" s="4"/>
      <c r="E320" s="4" t="s">
        <v>118</v>
      </c>
      <c r="F320" s="4" t="s">
        <v>118</v>
      </c>
      <c r="G320" s="14" t="s">
        <v>132</v>
      </c>
      <c r="H320" s="4" t="s">
        <v>567</v>
      </c>
      <c r="I320" s="4" t="s">
        <v>102</v>
      </c>
      <c r="J320" s="11"/>
      <c r="K320" s="11"/>
      <c r="L320" s="4"/>
      <c r="M320" s="12"/>
      <c r="N320" s="4"/>
      <c r="O320" s="4"/>
      <c r="P320" s="4"/>
      <c r="Q320" s="11"/>
      <c r="R320" s="11">
        <v>8.2000000000000003E-2</v>
      </c>
      <c r="S320" s="4"/>
      <c r="T320" s="11"/>
      <c r="U320" s="11"/>
      <c r="V320" s="4"/>
      <c r="W320" s="11"/>
      <c r="X320" s="11"/>
      <c r="Y320" s="4"/>
      <c r="Z320" s="11"/>
      <c r="AA320" s="11"/>
      <c r="AB320" s="4"/>
      <c r="AC320" s="11"/>
      <c r="AD320" s="11"/>
      <c r="AE320" s="4"/>
      <c r="AF320" s="11"/>
      <c r="AG320" s="11"/>
      <c r="AH320" s="4"/>
      <c r="AI320" s="11"/>
      <c r="AJ320" s="11"/>
      <c r="AK320" s="4"/>
      <c r="AL320" s="4"/>
      <c r="AM320" s="4"/>
      <c r="AN320" s="4"/>
      <c r="AO320" s="4"/>
      <c r="AP320" s="4"/>
      <c r="AQ320" s="4"/>
    </row>
    <row r="321" spans="1:43" s="2" customFormat="1" x14ac:dyDescent="0.25">
      <c r="A321" s="161" t="str">
        <f t="shared" si="8"/>
        <v>BOMBER_RUSSIA</v>
      </c>
      <c r="B321" s="9" t="s">
        <v>118</v>
      </c>
      <c r="C321" s="4" t="s">
        <v>735</v>
      </c>
      <c r="D321" s="4" t="s">
        <v>698</v>
      </c>
      <c r="E321" s="4" t="s">
        <v>118</v>
      </c>
      <c r="F321" s="4" t="s">
        <v>118</v>
      </c>
      <c r="G321" s="14" t="s">
        <v>132</v>
      </c>
      <c r="H321" s="4"/>
      <c r="I321" s="4"/>
      <c r="J321" s="11"/>
      <c r="K321" s="11"/>
      <c r="L321" s="4"/>
      <c r="M321" s="12"/>
      <c r="N321" s="4"/>
      <c r="O321" s="4"/>
      <c r="P321" s="4"/>
      <c r="Q321" s="11"/>
      <c r="R321" s="11"/>
      <c r="S321" s="4"/>
      <c r="T321" s="11"/>
      <c r="U321" s="11"/>
      <c r="V321" s="4"/>
      <c r="W321" s="11"/>
      <c r="X321" s="11"/>
      <c r="Y321" s="4"/>
      <c r="Z321" s="11"/>
      <c r="AA321" s="11"/>
      <c r="AB321" s="4"/>
      <c r="AC321" s="11"/>
      <c r="AD321" s="11"/>
      <c r="AE321" s="4"/>
      <c r="AF321" s="11"/>
      <c r="AG321" s="11"/>
      <c r="AH321" s="4"/>
      <c r="AI321" s="11"/>
      <c r="AJ321" s="11"/>
      <c r="AK321" s="4"/>
      <c r="AL321" s="4"/>
      <c r="AM321" s="4"/>
      <c r="AN321" s="4"/>
      <c r="AO321" s="4"/>
      <c r="AP321" s="4"/>
      <c r="AQ321" s="4"/>
    </row>
    <row r="322" spans="1:43" s="2" customFormat="1" x14ac:dyDescent="0.25">
      <c r="A322" s="161" t="str">
        <f t="shared" si="8"/>
        <v>BOMBER_AMERICA</v>
      </c>
      <c r="B322" s="9" t="s">
        <v>118</v>
      </c>
      <c r="C322" s="4" t="s">
        <v>699</v>
      </c>
      <c r="D322" s="4"/>
      <c r="E322" s="4" t="s">
        <v>118</v>
      </c>
      <c r="F322" s="4" t="s">
        <v>118</v>
      </c>
      <c r="G322" s="14"/>
      <c r="H322" s="4" t="s">
        <v>134</v>
      </c>
      <c r="I322" s="4" t="s">
        <v>102</v>
      </c>
      <c r="J322" s="11"/>
      <c r="K322" s="11"/>
      <c r="L322" s="4"/>
      <c r="M322" s="12"/>
      <c r="N322" s="4"/>
      <c r="O322" s="4"/>
      <c r="P322" s="4"/>
      <c r="Q322" s="11"/>
      <c r="R322" s="11">
        <v>8.7999999999999995E-2</v>
      </c>
      <c r="S322" s="4"/>
      <c r="T322" s="11"/>
      <c r="U322" s="11"/>
      <c r="V322" s="4"/>
      <c r="W322" s="11"/>
      <c r="X322" s="11"/>
      <c r="Y322" s="4"/>
      <c r="Z322" s="11"/>
      <c r="AA322" s="11"/>
      <c r="AB322" s="4"/>
      <c r="AC322" s="11"/>
      <c r="AD322" s="11"/>
      <c r="AE322" s="4"/>
      <c r="AF322" s="11"/>
      <c r="AG322" s="11"/>
      <c r="AH322" s="4"/>
      <c r="AI322" s="11"/>
      <c r="AJ322" s="11"/>
      <c r="AK322" s="4"/>
      <c r="AL322" s="4"/>
      <c r="AM322" s="4"/>
      <c r="AN322" s="4"/>
      <c r="AO322" s="4"/>
      <c r="AP322" s="4"/>
      <c r="AQ322" s="4"/>
    </row>
    <row r="323" spans="1:43" s="2" customFormat="1" x14ac:dyDescent="0.25">
      <c r="A323" s="161" t="str">
        <f t="shared" si="8"/>
        <v>BOMBER_AUSTRALIA</v>
      </c>
      <c r="B323" s="9" t="s">
        <v>118</v>
      </c>
      <c r="C323" s="4" t="s">
        <v>1302</v>
      </c>
      <c r="D323" s="4" t="s">
        <v>713</v>
      </c>
      <c r="E323" s="4" t="s">
        <v>118</v>
      </c>
      <c r="F323" s="4" t="s">
        <v>118</v>
      </c>
      <c r="G323" s="14"/>
      <c r="H323" s="4"/>
      <c r="I323" s="4"/>
      <c r="J323" s="11"/>
      <c r="K323" s="11"/>
      <c r="L323" s="4"/>
      <c r="M323" s="12"/>
      <c r="N323" s="4"/>
      <c r="O323" s="4"/>
      <c r="P323" s="4"/>
      <c r="Q323" s="11"/>
      <c r="R323" s="11"/>
      <c r="S323" s="4"/>
      <c r="T323" s="11"/>
      <c r="U323" s="11"/>
      <c r="V323" s="4"/>
      <c r="W323" s="11"/>
      <c r="X323" s="11"/>
      <c r="Y323" s="4"/>
      <c r="Z323" s="11"/>
      <c r="AA323" s="11"/>
      <c r="AB323" s="4"/>
      <c r="AC323" s="11"/>
      <c r="AD323" s="11"/>
      <c r="AE323" s="4"/>
      <c r="AF323" s="11"/>
      <c r="AG323" s="11"/>
      <c r="AH323" s="4"/>
      <c r="AI323" s="11"/>
      <c r="AJ323" s="11"/>
      <c r="AK323" s="4"/>
      <c r="AL323" s="4"/>
      <c r="AM323" s="4"/>
      <c r="AN323" s="4"/>
      <c r="AO323" s="4"/>
      <c r="AP323" s="4"/>
      <c r="AQ323" s="4"/>
    </row>
    <row r="324" spans="1:43" s="2" customFormat="1" x14ac:dyDescent="0.25">
      <c r="A324" s="161" t="str">
        <f t="shared" si="8"/>
        <v>BOMBER_AUSTRIA</v>
      </c>
      <c r="B324" s="9" t="s">
        <v>118</v>
      </c>
      <c r="C324" s="4" t="s">
        <v>701</v>
      </c>
      <c r="D324" s="4"/>
      <c r="E324" s="4" t="s">
        <v>118</v>
      </c>
      <c r="F324" s="4" t="s">
        <v>118</v>
      </c>
      <c r="G324" s="14"/>
      <c r="H324" s="4" t="s">
        <v>177</v>
      </c>
      <c r="I324" s="4" t="s">
        <v>102</v>
      </c>
      <c r="J324" s="11"/>
      <c r="K324" s="11"/>
      <c r="L324" s="4"/>
      <c r="M324" s="12"/>
      <c r="N324" s="4"/>
      <c r="O324" s="4"/>
      <c r="P324" s="4"/>
      <c r="Q324" s="11"/>
      <c r="R324" s="11">
        <v>8.5000000000000006E-2</v>
      </c>
      <c r="S324" s="4"/>
      <c r="T324" s="11"/>
      <c r="U324" s="11"/>
      <c r="V324" s="4"/>
      <c r="W324" s="11"/>
      <c r="X324" s="11"/>
      <c r="Y324" s="4"/>
      <c r="Z324" s="11"/>
      <c r="AA324" s="11"/>
      <c r="AB324" s="4"/>
      <c r="AC324" s="11"/>
      <c r="AD324" s="11"/>
      <c r="AE324" s="4"/>
      <c r="AF324" s="11"/>
      <c r="AG324" s="11"/>
      <c r="AH324" s="4"/>
      <c r="AI324" s="11"/>
      <c r="AJ324" s="11"/>
      <c r="AK324" s="4"/>
      <c r="AL324" s="4"/>
      <c r="AM324" s="4"/>
      <c r="AN324" s="4"/>
      <c r="AO324" s="4"/>
      <c r="AP324" s="4"/>
      <c r="AQ324" s="4"/>
    </row>
    <row r="325" spans="1:43" s="2" customFormat="1" x14ac:dyDescent="0.25">
      <c r="A325" s="161" t="str">
        <f t="shared" si="8"/>
        <v>BOMBER_CANADA</v>
      </c>
      <c r="B325" s="9" t="s">
        <v>118</v>
      </c>
      <c r="C325" s="4" t="s">
        <v>2209</v>
      </c>
      <c r="D325" s="4" t="s">
        <v>713</v>
      </c>
      <c r="E325" s="4" t="s">
        <v>118</v>
      </c>
      <c r="F325" s="4" t="s">
        <v>118</v>
      </c>
      <c r="G325" s="14"/>
      <c r="H325" s="4"/>
      <c r="I325" s="4"/>
      <c r="J325" s="11"/>
      <c r="K325" s="11"/>
      <c r="L325" s="4"/>
      <c r="M325" s="12"/>
      <c r="N325" s="4"/>
      <c r="O325" s="4"/>
      <c r="P325" s="4"/>
      <c r="Q325" s="11"/>
      <c r="R325" s="11"/>
      <c r="S325" s="4"/>
      <c r="T325" s="11"/>
      <c r="U325" s="11"/>
      <c r="V325" s="4"/>
      <c r="W325" s="11"/>
      <c r="X325" s="11"/>
      <c r="Y325" s="4"/>
      <c r="Z325" s="11"/>
      <c r="AA325" s="11"/>
      <c r="AB325" s="4"/>
      <c r="AC325" s="11"/>
      <c r="AD325" s="11"/>
      <c r="AE325" s="4"/>
      <c r="AF325" s="11"/>
      <c r="AG325" s="11"/>
      <c r="AH325" s="4"/>
      <c r="AI325" s="11"/>
      <c r="AJ325" s="11"/>
      <c r="AK325" s="4"/>
      <c r="AL325" s="4"/>
      <c r="AM325" s="4"/>
      <c r="AN325" s="4"/>
      <c r="AO325" s="4"/>
      <c r="AP325" s="4"/>
      <c r="AQ325" s="4"/>
    </row>
    <row r="326" spans="1:43" s="2" customFormat="1" x14ac:dyDescent="0.25">
      <c r="A326" s="161" t="str">
        <f t="shared" si="8"/>
        <v>BOMBER_CELTS</v>
      </c>
      <c r="B326" s="9" t="s">
        <v>118</v>
      </c>
      <c r="C326" s="4" t="s">
        <v>709</v>
      </c>
      <c r="D326" s="4" t="s">
        <v>713</v>
      </c>
      <c r="E326" s="4" t="s">
        <v>118</v>
      </c>
      <c r="F326" s="4" t="s">
        <v>118</v>
      </c>
      <c r="G326" s="14"/>
      <c r="H326" s="4"/>
      <c r="I326" s="4"/>
      <c r="J326" s="11"/>
      <c r="K326" s="11"/>
      <c r="L326" s="4"/>
      <c r="M326" s="12"/>
      <c r="N326" s="4"/>
      <c r="O326" s="4"/>
      <c r="P326" s="4"/>
      <c r="Q326" s="11"/>
      <c r="R326" s="11"/>
      <c r="S326" s="4"/>
      <c r="T326" s="11"/>
      <c r="U326" s="11"/>
      <c r="V326" s="4"/>
      <c r="W326" s="11"/>
      <c r="X326" s="11"/>
      <c r="Y326" s="4"/>
      <c r="Z326" s="11"/>
      <c r="AA326" s="11"/>
      <c r="AB326" s="4"/>
      <c r="AC326" s="11"/>
      <c r="AD326" s="11"/>
      <c r="AE326" s="4"/>
      <c r="AF326" s="11"/>
      <c r="AG326" s="11"/>
      <c r="AH326" s="4"/>
      <c r="AI326" s="11"/>
      <c r="AJ326" s="11"/>
      <c r="AK326" s="4"/>
      <c r="AL326" s="4"/>
      <c r="AM326" s="4"/>
      <c r="AN326" s="4"/>
      <c r="AO326" s="4"/>
      <c r="AP326" s="4"/>
      <c r="AQ326" s="4"/>
    </row>
    <row r="327" spans="1:43" s="2" customFormat="1" x14ac:dyDescent="0.25">
      <c r="A327" s="161" t="str">
        <f t="shared" si="8"/>
        <v>BOMBER_ENGLAND</v>
      </c>
      <c r="B327" s="9" t="s">
        <v>118</v>
      </c>
      <c r="C327" s="4" t="s">
        <v>713</v>
      </c>
      <c r="D327" s="4"/>
      <c r="E327" s="4" t="s">
        <v>118</v>
      </c>
      <c r="F327" s="4" t="s">
        <v>118</v>
      </c>
      <c r="G327" s="14" t="s">
        <v>132</v>
      </c>
      <c r="H327" s="4" t="s">
        <v>292</v>
      </c>
      <c r="I327" s="4" t="s">
        <v>102</v>
      </c>
      <c r="J327" s="11"/>
      <c r="K327" s="11"/>
      <c r="L327" s="4"/>
      <c r="M327" s="12"/>
      <c r="N327" s="4"/>
      <c r="O327" s="4"/>
      <c r="P327" s="4"/>
      <c r="Q327" s="11"/>
      <c r="R327" s="11">
        <v>8.5000000000000006E-2</v>
      </c>
      <c r="S327" s="4"/>
      <c r="T327" s="11"/>
      <c r="U327" s="11"/>
      <c r="V327" s="4"/>
      <c r="W327" s="11"/>
      <c r="X327" s="11"/>
      <c r="Y327" s="4"/>
      <c r="Z327" s="11"/>
      <c r="AA327" s="11"/>
      <c r="AB327" s="4"/>
      <c r="AC327" s="11"/>
      <c r="AD327" s="11"/>
      <c r="AE327" s="4"/>
      <c r="AF327" s="11"/>
      <c r="AG327" s="11"/>
      <c r="AH327" s="4"/>
      <c r="AI327" s="11"/>
      <c r="AJ327" s="11"/>
      <c r="AK327" s="4"/>
      <c r="AL327" s="4"/>
      <c r="AM327" s="4"/>
      <c r="AN327" s="4"/>
      <c r="AO327" s="4"/>
      <c r="AP327" s="4"/>
      <c r="AQ327" s="4"/>
    </row>
    <row r="328" spans="1:43" s="2" customFormat="1" x14ac:dyDescent="0.25">
      <c r="A328" s="161" t="str">
        <f t="shared" si="8"/>
        <v>BOMBER_FRANCE</v>
      </c>
      <c r="B328" s="9" t="s">
        <v>118</v>
      </c>
      <c r="C328" s="4" t="s">
        <v>715</v>
      </c>
      <c r="D328" s="4"/>
      <c r="E328" s="4" t="s">
        <v>118</v>
      </c>
      <c r="F328" s="4" t="s">
        <v>118</v>
      </c>
      <c r="G328" s="14" t="s">
        <v>132</v>
      </c>
      <c r="H328" s="4" t="s">
        <v>336</v>
      </c>
      <c r="I328" s="4" t="s">
        <v>102</v>
      </c>
      <c r="J328" s="11"/>
      <c r="K328" s="11"/>
      <c r="L328" s="4"/>
      <c r="M328" s="12"/>
      <c r="N328" s="4"/>
      <c r="O328" s="4"/>
      <c r="P328" s="4"/>
      <c r="Q328" s="11"/>
      <c r="R328" s="11">
        <v>8.2000000000000003E-2</v>
      </c>
      <c r="S328" s="4"/>
      <c r="T328" s="11"/>
      <c r="U328" s="11"/>
      <c r="V328" s="4"/>
      <c r="W328" s="11"/>
      <c r="X328" s="11"/>
      <c r="Y328" s="4"/>
      <c r="Z328" s="11"/>
      <c r="AA328" s="11"/>
      <c r="AB328" s="4"/>
      <c r="AC328" s="11"/>
      <c r="AD328" s="11"/>
      <c r="AE328" s="4"/>
      <c r="AF328" s="11"/>
      <c r="AG328" s="11"/>
      <c r="AH328" s="4"/>
      <c r="AI328" s="11"/>
      <c r="AJ328" s="11"/>
      <c r="AK328" s="4"/>
      <c r="AL328" s="4"/>
      <c r="AM328" s="4"/>
      <c r="AN328" s="4"/>
      <c r="AO328" s="4"/>
      <c r="AP328" s="4"/>
      <c r="AQ328" s="4"/>
    </row>
    <row r="329" spans="1:43" s="2" customFormat="1" x14ac:dyDescent="0.25">
      <c r="A329" s="161" t="str">
        <f t="shared" si="8"/>
        <v>BOMBER_GERMANY</v>
      </c>
      <c r="B329" s="9" t="s">
        <v>118</v>
      </c>
      <c r="C329" s="4" t="s">
        <v>717</v>
      </c>
      <c r="D329" s="4"/>
      <c r="E329" s="4" t="s">
        <v>118</v>
      </c>
      <c r="F329" s="4" t="s">
        <v>118</v>
      </c>
      <c r="G329" s="14" t="s">
        <v>132</v>
      </c>
      <c r="H329" s="4" t="s">
        <v>367</v>
      </c>
      <c r="I329" s="4" t="s">
        <v>102</v>
      </c>
      <c r="J329" s="11"/>
      <c r="K329" s="11"/>
      <c r="L329" s="4"/>
      <c r="M329" s="12"/>
      <c r="N329" s="4"/>
      <c r="O329" s="4"/>
      <c r="P329" s="4"/>
      <c r="Q329" s="11"/>
      <c r="R329" s="11">
        <v>8.3000000000000004E-2</v>
      </c>
      <c r="S329" s="4"/>
      <c r="T329" s="11"/>
      <c r="U329" s="11"/>
      <c r="V329" s="4"/>
      <c r="W329" s="11"/>
      <c r="X329" s="11"/>
      <c r="Y329" s="4"/>
      <c r="Z329" s="11"/>
      <c r="AA329" s="11"/>
      <c r="AB329" s="4"/>
      <c r="AC329" s="11"/>
      <c r="AD329" s="11"/>
      <c r="AE329" s="4"/>
      <c r="AF329" s="11"/>
      <c r="AG329" s="11"/>
      <c r="AH329" s="4"/>
      <c r="AI329" s="11"/>
      <c r="AJ329" s="11"/>
      <c r="AK329" s="4"/>
      <c r="AL329" s="4"/>
      <c r="AM329" s="4"/>
      <c r="AN329" s="4"/>
      <c r="AO329" s="4"/>
      <c r="AP329" s="4"/>
      <c r="AQ329" s="4"/>
    </row>
    <row r="330" spans="1:43" s="2" customFormat="1" x14ac:dyDescent="0.25">
      <c r="A330" s="161" t="str">
        <f t="shared" si="8"/>
        <v>BOMBER_NETHERLANDS</v>
      </c>
      <c r="B330" s="9" t="s">
        <v>118</v>
      </c>
      <c r="C330" s="4" t="s">
        <v>730</v>
      </c>
      <c r="D330" s="4"/>
      <c r="E330" s="4" t="s">
        <v>118</v>
      </c>
      <c r="F330" s="4" t="s">
        <v>118</v>
      </c>
      <c r="G330" s="14" t="s">
        <v>132</v>
      </c>
      <c r="H330" s="4" t="s">
        <v>538</v>
      </c>
      <c r="I330" s="4" t="s">
        <v>102</v>
      </c>
      <c r="J330" s="11"/>
      <c r="K330" s="11"/>
      <c r="L330" s="4"/>
      <c r="M330" s="12"/>
      <c r="N330" s="4"/>
      <c r="O330" s="4"/>
      <c r="P330" s="4"/>
      <c r="Q330" s="11"/>
      <c r="R330" s="11">
        <v>8.2000000000000003E-2</v>
      </c>
      <c r="S330" s="4"/>
      <c r="T330" s="11"/>
      <c r="U330" s="11"/>
      <c r="V330" s="4"/>
      <c r="W330" s="11"/>
      <c r="X330" s="11"/>
      <c r="Y330" s="4"/>
      <c r="Z330" s="11"/>
      <c r="AA330" s="11"/>
      <c r="AB330" s="4"/>
      <c r="AC330" s="11"/>
      <c r="AD330" s="11"/>
      <c r="AE330" s="4"/>
      <c r="AF330" s="11"/>
      <c r="AG330" s="11"/>
      <c r="AH330" s="4"/>
      <c r="AI330" s="11"/>
      <c r="AJ330" s="11"/>
      <c r="AK330" s="4"/>
      <c r="AL330" s="4"/>
      <c r="AM330" s="4"/>
      <c r="AN330" s="4"/>
      <c r="AO330" s="4"/>
      <c r="AP330" s="4"/>
      <c r="AQ330" s="4"/>
    </row>
    <row r="331" spans="1:43" s="2" customFormat="1" x14ac:dyDescent="0.25">
      <c r="A331" s="161" t="str">
        <f t="shared" si="8"/>
        <v>BOMBER_GREECE</v>
      </c>
      <c r="B331" s="9" t="s">
        <v>118</v>
      </c>
      <c r="C331" s="4" t="s">
        <v>718</v>
      </c>
      <c r="D331" s="4"/>
      <c r="E331" s="4" t="s">
        <v>118</v>
      </c>
      <c r="F331" s="4" t="s">
        <v>118</v>
      </c>
      <c r="G331" s="14" t="s">
        <v>132</v>
      </c>
      <c r="H331" s="4" t="s">
        <v>398</v>
      </c>
      <c r="I331" s="4" t="s">
        <v>102</v>
      </c>
      <c r="J331" s="11"/>
      <c r="K331" s="11"/>
      <c r="L331" s="4"/>
      <c r="M331" s="12"/>
      <c r="N331" s="4"/>
      <c r="O331" s="4"/>
      <c r="P331" s="4"/>
      <c r="Q331" s="11"/>
      <c r="R331" s="11">
        <v>8.5000000000000006E-2</v>
      </c>
      <c r="S331" s="4"/>
      <c r="T331" s="11"/>
      <c r="U331" s="11"/>
      <c r="V331" s="4"/>
      <c r="W331" s="11"/>
      <c r="X331" s="11"/>
      <c r="Y331" s="4"/>
      <c r="Z331" s="11"/>
      <c r="AA331" s="11"/>
      <c r="AB331" s="4"/>
      <c r="AC331" s="11"/>
      <c r="AD331" s="11"/>
      <c r="AE331" s="4"/>
      <c r="AF331" s="11"/>
      <c r="AG331" s="11"/>
      <c r="AH331" s="4"/>
      <c r="AI331" s="11"/>
      <c r="AJ331" s="11"/>
      <c r="AK331" s="4"/>
      <c r="AL331" s="4"/>
      <c r="AM331" s="4"/>
      <c r="AN331" s="4"/>
      <c r="AO331" s="4"/>
      <c r="AP331" s="4"/>
      <c r="AQ331" s="4"/>
    </row>
    <row r="332" spans="1:43" s="2" customFormat="1" x14ac:dyDescent="0.25">
      <c r="A332" s="161" t="str">
        <f t="shared" si="8"/>
        <v>BOMBER_ROME</v>
      </c>
      <c r="B332" s="9" t="s">
        <v>118</v>
      </c>
      <c r="C332" s="4" t="s">
        <v>734</v>
      </c>
      <c r="D332" s="4"/>
      <c r="E332" s="4" t="s">
        <v>118</v>
      </c>
      <c r="F332" s="4" t="s">
        <v>118</v>
      </c>
      <c r="G332" s="14" t="s">
        <v>132</v>
      </c>
      <c r="H332" s="4" t="s">
        <v>1073</v>
      </c>
      <c r="I332" s="4" t="s">
        <v>102</v>
      </c>
      <c r="J332" s="11"/>
      <c r="K332" s="11"/>
      <c r="L332" s="4"/>
      <c r="M332" s="12"/>
      <c r="N332" s="4"/>
      <c r="O332" s="4"/>
      <c r="P332" s="4"/>
      <c r="Q332" s="11"/>
      <c r="R332" s="11">
        <v>8.2000000000000003E-2</v>
      </c>
      <c r="S332" s="4"/>
      <c r="T332" s="11"/>
      <c r="U332" s="11"/>
      <c r="V332" s="4"/>
      <c r="W332" s="11"/>
      <c r="X332" s="11"/>
      <c r="Y332" s="4"/>
      <c r="Z332" s="11"/>
      <c r="AA332" s="11"/>
      <c r="AB332" s="4"/>
      <c r="AC332" s="11"/>
      <c r="AD332" s="11"/>
      <c r="AE332" s="4"/>
      <c r="AF332" s="11"/>
      <c r="AG332" s="11"/>
      <c r="AH332" s="4"/>
      <c r="AI332" s="11"/>
      <c r="AJ332" s="11"/>
      <c r="AK332" s="4"/>
      <c r="AL332" s="4"/>
      <c r="AM332" s="4"/>
      <c r="AN332" s="4"/>
      <c r="AO332" s="4"/>
      <c r="AP332" s="4"/>
      <c r="AQ332" s="4"/>
    </row>
    <row r="333" spans="1:43" s="2" customFormat="1" x14ac:dyDescent="0.25">
      <c r="A333" s="161" t="str">
        <f t="shared" si="8"/>
        <v>BOMBER_SPAIN</v>
      </c>
      <c r="B333" s="9" t="s">
        <v>118</v>
      </c>
      <c r="C333" s="4" t="s">
        <v>738</v>
      </c>
      <c r="D333" s="4"/>
      <c r="E333" s="4" t="s">
        <v>118</v>
      </c>
      <c r="F333" s="4" t="s">
        <v>118</v>
      </c>
      <c r="G333" s="14" t="s">
        <v>132</v>
      </c>
      <c r="H333" s="4" t="s">
        <v>648</v>
      </c>
      <c r="I333" s="4" t="s">
        <v>102</v>
      </c>
      <c r="J333" s="11"/>
      <c r="K333" s="11"/>
      <c r="L333" s="4"/>
      <c r="M333" s="12"/>
      <c r="N333" s="4"/>
      <c r="O333" s="4"/>
      <c r="P333" s="4"/>
      <c r="Q333" s="11"/>
      <c r="R333" s="11">
        <v>8.3000000000000004E-2</v>
      </c>
      <c r="S333" s="4"/>
      <c r="T333" s="11"/>
      <c r="U333" s="11"/>
      <c r="V333" s="4"/>
      <c r="W333" s="11"/>
      <c r="X333" s="11"/>
      <c r="Y333" s="4"/>
      <c r="Z333" s="11"/>
      <c r="AA333" s="11"/>
      <c r="AB333" s="4"/>
      <c r="AC333" s="11"/>
      <c r="AD333" s="11"/>
      <c r="AE333" s="4"/>
      <c r="AF333" s="11"/>
      <c r="AG333" s="11"/>
      <c r="AH333" s="4"/>
      <c r="AI333" s="11"/>
      <c r="AJ333" s="11"/>
      <c r="AK333" s="4"/>
      <c r="AL333" s="4"/>
      <c r="AM333" s="4"/>
      <c r="AN333" s="4"/>
      <c r="AO333" s="4"/>
      <c r="AP333" s="4"/>
      <c r="AQ333" s="4"/>
    </row>
    <row r="334" spans="1:43" s="2" customFormat="1" x14ac:dyDescent="0.25">
      <c r="A334" s="161" t="str">
        <f t="shared" si="8"/>
        <v>BOMBER_EGYPT</v>
      </c>
      <c r="B334" s="9" t="s">
        <v>118</v>
      </c>
      <c r="C334" s="4" t="s">
        <v>712</v>
      </c>
      <c r="D334" s="4"/>
      <c r="E334" s="4" t="s">
        <v>118</v>
      </c>
      <c r="F334" s="4" t="s">
        <v>118</v>
      </c>
      <c r="G334" s="14" t="s">
        <v>132</v>
      </c>
      <c r="H334" s="4" t="s">
        <v>275</v>
      </c>
      <c r="I334" s="4" t="s">
        <v>102</v>
      </c>
      <c r="J334" s="11"/>
      <c r="K334" s="11"/>
      <c r="L334" s="4"/>
      <c r="M334" s="12"/>
      <c r="N334" s="4"/>
      <c r="O334" s="4"/>
      <c r="P334" s="4"/>
      <c r="Q334" s="11"/>
      <c r="R334" s="11">
        <v>8.2000000000000003E-2</v>
      </c>
      <c r="S334" s="4"/>
      <c r="T334" s="11"/>
      <c r="U334" s="11"/>
      <c r="V334" s="4"/>
      <c r="W334" s="11"/>
      <c r="X334" s="11"/>
      <c r="Y334" s="4"/>
      <c r="Z334" s="11"/>
      <c r="AA334" s="11"/>
      <c r="AB334" s="4"/>
      <c r="AC334" s="11"/>
      <c r="AD334" s="11"/>
      <c r="AE334" s="4"/>
      <c r="AF334" s="11"/>
      <c r="AG334" s="11"/>
      <c r="AH334" s="4"/>
      <c r="AI334" s="11"/>
      <c r="AJ334" s="11"/>
      <c r="AK334" s="4"/>
      <c r="AL334" s="4"/>
      <c r="AM334" s="4"/>
      <c r="AN334" s="4"/>
      <c r="AO334" s="4"/>
      <c r="AP334" s="4"/>
      <c r="AQ334" s="4"/>
    </row>
    <row r="335" spans="1:43" s="2" customFormat="1" x14ac:dyDescent="0.25">
      <c r="A335" s="161" t="str">
        <f>CONCATENATE(E335,IF(ISBLANK(C335),"",CONCATENATE("_",C335)))</f>
        <v>BOMBER_NORTHAF</v>
      </c>
      <c r="B335" s="9" t="s">
        <v>118</v>
      </c>
      <c r="C335" s="4" t="s">
        <v>2011</v>
      </c>
      <c r="D335" s="4" t="s">
        <v>715</v>
      </c>
      <c r="E335" s="4" t="s">
        <v>118</v>
      </c>
      <c r="F335" s="4" t="s">
        <v>118</v>
      </c>
      <c r="G335" s="14"/>
      <c r="H335" s="4"/>
      <c r="I335" s="4"/>
      <c r="J335" s="11"/>
      <c r="K335" s="11"/>
      <c r="L335" s="4"/>
      <c r="M335" s="12"/>
      <c r="N335" s="4"/>
      <c r="O335" s="4"/>
      <c r="P335" s="4"/>
      <c r="Q335" s="11"/>
      <c r="R335" s="11"/>
      <c r="S335" s="4"/>
      <c r="T335" s="11"/>
      <c r="U335" s="11"/>
      <c r="V335" s="4"/>
      <c r="W335" s="11"/>
      <c r="X335" s="11"/>
      <c r="Y335" s="4"/>
      <c r="Z335" s="11"/>
      <c r="AA335" s="11"/>
      <c r="AB335" s="4"/>
      <c r="AC335" s="11"/>
      <c r="AD335" s="11"/>
      <c r="AE335" s="4"/>
      <c r="AF335" s="11"/>
      <c r="AG335" s="11"/>
      <c r="AH335" s="4"/>
      <c r="AI335" s="11"/>
      <c r="AJ335" s="11"/>
      <c r="AK335" s="4"/>
      <c r="AL335" s="4"/>
      <c r="AM335" s="4"/>
      <c r="AN335" s="4"/>
      <c r="AO335" s="4"/>
      <c r="AP335" s="4"/>
      <c r="AQ335" s="4"/>
    </row>
    <row r="336" spans="1:43" s="2" customFormat="1" x14ac:dyDescent="0.25">
      <c r="A336" s="161" t="str">
        <f t="shared" si="8"/>
        <v>BOMBER_SWEDEN</v>
      </c>
      <c r="B336" s="9" t="s">
        <v>118</v>
      </c>
      <c r="C336" s="4" t="s">
        <v>739</v>
      </c>
      <c r="D336" s="4"/>
      <c r="E336" s="4" t="s">
        <v>118</v>
      </c>
      <c r="F336" s="4" t="s">
        <v>118</v>
      </c>
      <c r="G336" s="14" t="s">
        <v>132</v>
      </c>
      <c r="H336" s="4" t="s">
        <v>667</v>
      </c>
      <c r="I336" s="4" t="s">
        <v>102</v>
      </c>
      <c r="J336" s="11"/>
      <c r="K336" s="11"/>
      <c r="L336" s="4"/>
      <c r="M336" s="12"/>
      <c r="N336" s="4"/>
      <c r="O336" s="4"/>
      <c r="P336" s="4"/>
      <c r="Q336" s="11"/>
      <c r="R336" s="11">
        <v>8.2000000000000003E-2</v>
      </c>
      <c r="S336" s="4"/>
      <c r="T336" s="11"/>
      <c r="U336" s="11"/>
      <c r="V336" s="4"/>
      <c r="W336" s="11"/>
      <c r="X336" s="11"/>
      <c r="Y336" s="4"/>
      <c r="Z336" s="11"/>
      <c r="AA336" s="11"/>
      <c r="AB336" s="4"/>
      <c r="AC336" s="11"/>
      <c r="AD336" s="11"/>
      <c r="AE336" s="4"/>
      <c r="AF336" s="11"/>
      <c r="AG336" s="11"/>
      <c r="AH336" s="4"/>
      <c r="AI336" s="11"/>
      <c r="AJ336" s="11"/>
      <c r="AK336" s="4"/>
      <c r="AL336" s="4"/>
      <c r="AM336" s="4"/>
      <c r="AN336" s="4"/>
      <c r="AO336" s="4"/>
      <c r="AP336" s="4"/>
      <c r="AQ336" s="4"/>
    </row>
    <row r="337" spans="1:43" s="2" customFormat="1" x14ac:dyDescent="0.25">
      <c r="A337" s="161" t="str">
        <f t="shared" si="8"/>
        <v>BOMBER_OCEAN</v>
      </c>
      <c r="B337" s="9" t="s">
        <v>118</v>
      </c>
      <c r="C337" s="4" t="s">
        <v>994</v>
      </c>
      <c r="D337" s="4" t="s">
        <v>699</v>
      </c>
      <c r="E337" s="4" t="s">
        <v>118</v>
      </c>
      <c r="F337" s="4" t="s">
        <v>118</v>
      </c>
      <c r="G337" s="14"/>
      <c r="H337" s="4"/>
      <c r="I337" s="4"/>
      <c r="J337" s="11"/>
      <c r="K337" s="11"/>
      <c r="L337" s="4"/>
      <c r="M337" s="12"/>
      <c r="N337" s="4"/>
      <c r="O337" s="4"/>
      <c r="P337" s="4"/>
      <c r="Q337" s="11"/>
      <c r="R337" s="11"/>
      <c r="S337" s="4"/>
      <c r="T337" s="11"/>
      <c r="U337" s="11"/>
      <c r="V337" s="4"/>
      <c r="W337" s="11"/>
      <c r="X337" s="11"/>
      <c r="Y337" s="4"/>
      <c r="Z337" s="11"/>
      <c r="AA337" s="11"/>
      <c r="AB337" s="4"/>
      <c r="AC337" s="11"/>
      <c r="AD337" s="11"/>
      <c r="AE337" s="4"/>
      <c r="AF337" s="11"/>
      <c r="AG337" s="11"/>
      <c r="AH337" s="4"/>
      <c r="AI337" s="11"/>
      <c r="AJ337" s="11"/>
      <c r="AK337" s="4"/>
      <c r="AL337" s="4"/>
      <c r="AM337" s="4"/>
      <c r="AN337" s="4"/>
      <c r="AO337" s="4"/>
      <c r="AP337" s="4"/>
      <c r="AQ337" s="4"/>
    </row>
    <row r="338" spans="1:43" s="2" customFormat="1" x14ac:dyDescent="0.25">
      <c r="A338" s="161" t="str">
        <f t="shared" si="8"/>
        <v>BOMBER_SAHUL</v>
      </c>
      <c r="B338" s="9" t="s">
        <v>118</v>
      </c>
      <c r="C338" s="4" t="s">
        <v>1788</v>
      </c>
      <c r="D338" s="4" t="s">
        <v>730</v>
      </c>
      <c r="E338" s="4" t="s">
        <v>118</v>
      </c>
      <c r="F338" s="4" t="s">
        <v>118</v>
      </c>
      <c r="G338" s="14"/>
      <c r="H338" s="4"/>
      <c r="I338" s="4"/>
      <c r="J338" s="11"/>
      <c r="K338" s="11"/>
      <c r="L338" s="4"/>
      <c r="M338" s="12"/>
      <c r="N338" s="4"/>
      <c r="O338" s="4"/>
      <c r="P338" s="4"/>
      <c r="Q338" s="11"/>
      <c r="R338" s="11"/>
      <c r="S338" s="4"/>
      <c r="T338" s="11"/>
      <c r="U338" s="11"/>
      <c r="V338" s="4"/>
      <c r="W338" s="11"/>
      <c r="X338" s="11"/>
      <c r="Y338" s="4"/>
      <c r="Z338" s="11"/>
      <c r="AA338" s="11"/>
      <c r="AB338" s="4"/>
      <c r="AC338" s="11"/>
      <c r="AD338" s="11"/>
      <c r="AE338" s="4"/>
      <c r="AF338" s="11"/>
      <c r="AG338" s="11"/>
      <c r="AH338" s="4"/>
      <c r="AI338" s="11"/>
      <c r="AJ338" s="11"/>
      <c r="AK338" s="4"/>
      <c r="AL338" s="4"/>
      <c r="AM338" s="4"/>
      <c r="AN338" s="4"/>
      <c r="AO338" s="4"/>
      <c r="AP338" s="4"/>
      <c r="AQ338" s="4"/>
    </row>
    <row r="339" spans="1:43" s="2" customFormat="1" x14ac:dyDescent="0.25">
      <c r="A339" s="161" t="str">
        <f t="shared" si="8"/>
        <v>BOMBER_SEASIA</v>
      </c>
      <c r="B339" s="9" t="s">
        <v>118</v>
      </c>
      <c r="C339" s="4" t="s">
        <v>696</v>
      </c>
      <c r="D339" s="4" t="s">
        <v>715</v>
      </c>
      <c r="E339" s="4" t="s">
        <v>118</v>
      </c>
      <c r="F339" s="4" t="s">
        <v>118</v>
      </c>
      <c r="G339" s="14"/>
      <c r="H339" s="4"/>
      <c r="I339" s="4"/>
      <c r="J339" s="11"/>
      <c r="K339" s="11"/>
      <c r="L339" s="4"/>
      <c r="M339" s="12"/>
      <c r="N339" s="4"/>
      <c r="O339" s="4"/>
      <c r="P339" s="4"/>
      <c r="Q339" s="11"/>
      <c r="R339" s="11"/>
      <c r="S339" s="4"/>
      <c r="T339" s="11"/>
      <c r="U339" s="11"/>
      <c r="V339" s="4"/>
      <c r="W339" s="11"/>
      <c r="X339" s="11"/>
      <c r="Y339" s="4"/>
      <c r="Z339" s="11"/>
      <c r="AA339" s="11"/>
      <c r="AB339" s="4"/>
      <c r="AC339" s="11"/>
      <c r="AD339" s="11"/>
      <c r="AE339" s="4"/>
      <c r="AF339" s="11"/>
      <c r="AG339" s="11"/>
      <c r="AH339" s="4"/>
      <c r="AI339" s="11"/>
      <c r="AJ339" s="11"/>
      <c r="AK339" s="4"/>
      <c r="AL339" s="4"/>
      <c r="AM339" s="4"/>
      <c r="AN339" s="4"/>
      <c r="AO339" s="4"/>
      <c r="AP339" s="4"/>
      <c r="AQ339" s="4"/>
    </row>
    <row r="340" spans="1:43" s="2" customFormat="1" x14ac:dyDescent="0.25">
      <c r="A340" s="161" t="str">
        <f t="shared" si="8"/>
        <v>BOMBER_SOUTHAS</v>
      </c>
      <c r="B340" s="9" t="s">
        <v>118</v>
      </c>
      <c r="C340" s="4" t="s">
        <v>695</v>
      </c>
      <c r="D340" s="4" t="s">
        <v>713</v>
      </c>
      <c r="E340" s="4" t="s">
        <v>118</v>
      </c>
      <c r="F340" s="4" t="s">
        <v>118</v>
      </c>
      <c r="G340" s="14"/>
      <c r="H340" s="4"/>
      <c r="I340" s="4"/>
      <c r="J340" s="11"/>
      <c r="K340" s="11"/>
      <c r="L340" s="4"/>
      <c r="M340" s="12"/>
      <c r="N340" s="4"/>
      <c r="O340" s="4"/>
      <c r="P340" s="4"/>
      <c r="Q340" s="11"/>
      <c r="R340" s="11"/>
      <c r="S340" s="4"/>
      <c r="T340" s="11"/>
      <c r="U340" s="11"/>
      <c r="V340" s="4"/>
      <c r="W340" s="11"/>
      <c r="X340" s="11"/>
      <c r="Y340" s="4"/>
      <c r="Z340" s="11"/>
      <c r="AA340" s="11"/>
      <c r="AB340" s="4"/>
      <c r="AC340" s="11"/>
      <c r="AD340" s="11"/>
      <c r="AE340" s="4"/>
      <c r="AF340" s="11"/>
      <c r="AG340" s="11"/>
      <c r="AH340" s="4"/>
      <c r="AI340" s="11"/>
      <c r="AJ340" s="11"/>
      <c r="AK340" s="4"/>
      <c r="AL340" s="4"/>
      <c r="AM340" s="4"/>
      <c r="AN340" s="4"/>
      <c r="AO340" s="4"/>
      <c r="AP340" s="4"/>
      <c r="AQ340" s="4"/>
    </row>
    <row r="341" spans="1:43" s="2" customFormat="1" x14ac:dyDescent="0.25">
      <c r="A341" s="161" t="str">
        <f t="shared" si="8"/>
        <v>CANNON</v>
      </c>
      <c r="B341" s="9" t="s">
        <v>748</v>
      </c>
      <c r="C341" s="5"/>
      <c r="D341" s="5"/>
      <c r="E341" s="5" t="s">
        <v>748</v>
      </c>
      <c r="F341" s="5" t="s">
        <v>748</v>
      </c>
      <c r="G341" s="5"/>
      <c r="H341" s="5" t="s">
        <v>39</v>
      </c>
      <c r="I341" s="5" t="s">
        <v>128</v>
      </c>
      <c r="J341" s="6"/>
      <c r="K341" s="6"/>
      <c r="L341" s="13" t="s">
        <v>746</v>
      </c>
      <c r="M341" s="8"/>
      <c r="N341" s="5"/>
      <c r="O341" s="5"/>
      <c r="P341" s="5"/>
      <c r="Q341" s="7">
        <v>3</v>
      </c>
      <c r="R341" s="6" t="s">
        <v>1695</v>
      </c>
      <c r="S341" s="13" t="s">
        <v>1611</v>
      </c>
      <c r="T341" s="6"/>
      <c r="U341" s="7" t="s">
        <v>1737</v>
      </c>
      <c r="V341" s="5" t="s">
        <v>1697</v>
      </c>
      <c r="W341" s="6" t="s">
        <v>3</v>
      </c>
      <c r="X341" s="6" t="s">
        <v>3</v>
      </c>
      <c r="Y341" s="5"/>
      <c r="Z341" s="7">
        <v>1</v>
      </c>
      <c r="AA341" s="6"/>
      <c r="AB341" s="5"/>
      <c r="AC341" s="6"/>
      <c r="AD341" s="6" t="s">
        <v>3</v>
      </c>
      <c r="AE341" s="5"/>
      <c r="AF341" s="6"/>
      <c r="AG341" s="6"/>
      <c r="AH341" s="5"/>
      <c r="AI341" s="6"/>
      <c r="AJ341" s="6"/>
      <c r="AK341" s="5"/>
      <c r="AL341" s="5"/>
      <c r="AM341" s="5"/>
      <c r="AN341" s="5"/>
      <c r="AO341" s="5"/>
      <c r="AP341" s="5"/>
      <c r="AQ341" s="5"/>
    </row>
    <row r="342" spans="1:43" s="2" customFormat="1" x14ac:dyDescent="0.25">
      <c r="A342" s="161" t="str">
        <f t="shared" si="8"/>
        <v>CANNON_ENGLAND</v>
      </c>
      <c r="B342" s="9" t="s">
        <v>748</v>
      </c>
      <c r="C342" s="4" t="s">
        <v>713</v>
      </c>
      <c r="D342" s="4"/>
      <c r="E342" s="4" t="s">
        <v>748</v>
      </c>
      <c r="F342" s="4" t="s">
        <v>748</v>
      </c>
      <c r="G342" s="14" t="s">
        <v>132</v>
      </c>
      <c r="H342" s="4" t="s">
        <v>293</v>
      </c>
      <c r="I342" s="4" t="s">
        <v>966</v>
      </c>
      <c r="J342" s="11"/>
      <c r="K342" s="11"/>
      <c r="L342" s="4"/>
      <c r="M342" s="12"/>
      <c r="N342" s="4"/>
      <c r="O342" s="4"/>
      <c r="P342" s="4"/>
      <c r="Q342" s="11"/>
      <c r="R342" s="11"/>
      <c r="S342" s="4"/>
      <c r="T342" s="11"/>
      <c r="U342" s="11"/>
      <c r="V342" s="4"/>
      <c r="W342" s="11"/>
      <c r="X342" s="11"/>
      <c r="Y342" s="4"/>
      <c r="Z342" s="11"/>
      <c r="AA342" s="11"/>
      <c r="AB342" s="4"/>
      <c r="AC342" s="11"/>
      <c r="AD342" s="11"/>
      <c r="AE342" s="4"/>
      <c r="AF342" s="11"/>
      <c r="AG342" s="11"/>
      <c r="AH342" s="4"/>
      <c r="AI342" s="11"/>
      <c r="AJ342" s="11"/>
      <c r="AK342" s="4"/>
      <c r="AL342" s="4"/>
      <c r="AM342" s="4"/>
      <c r="AN342" s="4"/>
      <c r="AO342" s="4"/>
      <c r="AP342" s="4"/>
      <c r="AQ342" s="4"/>
    </row>
    <row r="343" spans="1:43" s="2" customFormat="1" x14ac:dyDescent="0.25">
      <c r="A343" s="161" t="str">
        <f t="shared" si="8"/>
        <v>CANNON_FRANCE</v>
      </c>
      <c r="B343" s="9" t="s">
        <v>748</v>
      </c>
      <c r="C343" s="4" t="s">
        <v>715</v>
      </c>
      <c r="D343" s="4"/>
      <c r="E343" s="4" t="s">
        <v>748</v>
      </c>
      <c r="F343" s="4" t="s">
        <v>748</v>
      </c>
      <c r="G343" s="14" t="s">
        <v>132</v>
      </c>
      <c r="H343" s="4" t="s">
        <v>337</v>
      </c>
      <c r="I343" s="4" t="s">
        <v>1059</v>
      </c>
      <c r="J343" s="11"/>
      <c r="K343" s="11"/>
      <c r="L343" s="4"/>
      <c r="M343" s="12"/>
      <c r="N343" s="4"/>
      <c r="O343" s="4"/>
      <c r="P343" s="4"/>
      <c r="Q343" s="11"/>
      <c r="R343" s="11"/>
      <c r="S343" s="4"/>
      <c r="T343" s="11"/>
      <c r="U343" s="11"/>
      <c r="V343" s="4"/>
      <c r="W343" s="11"/>
      <c r="X343" s="11"/>
      <c r="Y343" s="4"/>
      <c r="Z343" s="11"/>
      <c r="AA343" s="11"/>
      <c r="AB343" s="4"/>
      <c r="AC343" s="11"/>
      <c r="AD343" s="11"/>
      <c r="AE343" s="4"/>
      <c r="AF343" s="11"/>
      <c r="AG343" s="11"/>
      <c r="AH343" s="4"/>
      <c r="AI343" s="11"/>
      <c r="AJ343" s="11"/>
      <c r="AK343" s="4"/>
      <c r="AL343" s="4"/>
      <c r="AM343" s="4"/>
      <c r="AN343" s="4"/>
      <c r="AO343" s="4"/>
      <c r="AP343" s="4"/>
      <c r="AQ343" s="4"/>
    </row>
    <row r="344" spans="1:43" s="2" customFormat="1" x14ac:dyDescent="0.25">
      <c r="A344" s="161" t="str">
        <f t="shared" si="8"/>
        <v>CARAVAN</v>
      </c>
      <c r="B344" s="9" t="s">
        <v>1319</v>
      </c>
      <c r="C344" s="5"/>
      <c r="D344" s="5"/>
      <c r="E344" s="5" t="s">
        <v>1319</v>
      </c>
      <c r="F344" s="5" t="s">
        <v>1319</v>
      </c>
      <c r="G344" s="5"/>
      <c r="H344" s="5" t="s">
        <v>1415</v>
      </c>
      <c r="I344" s="5" t="s">
        <v>128</v>
      </c>
      <c r="J344" s="6">
        <v>1</v>
      </c>
      <c r="K344" s="6"/>
      <c r="L344" s="13" t="s">
        <v>1708</v>
      </c>
      <c r="M344" s="8"/>
      <c r="N344" s="5"/>
      <c r="O344" s="5"/>
      <c r="P344" s="5"/>
      <c r="Q344" s="6">
        <v>1</v>
      </c>
      <c r="R344" s="6">
        <v>0.11799999999999999</v>
      </c>
      <c r="S344" s="13" t="s">
        <v>1616</v>
      </c>
      <c r="T344" s="6"/>
      <c r="U344" s="7" t="s">
        <v>1695</v>
      </c>
      <c r="V344" s="5"/>
      <c r="W344" s="6"/>
      <c r="X344" s="6" t="s">
        <v>3</v>
      </c>
      <c r="Y344" s="5"/>
      <c r="Z344" s="7">
        <v>1</v>
      </c>
      <c r="AA344" s="6"/>
      <c r="AB344" s="5"/>
      <c r="AC344" s="6"/>
      <c r="AD344" s="6" t="s">
        <v>3</v>
      </c>
      <c r="AE344" s="5"/>
      <c r="AF344" s="6">
        <v>1</v>
      </c>
      <c r="AG344" s="6"/>
      <c r="AH344" s="5"/>
      <c r="AI344" s="6"/>
      <c r="AJ344" s="6"/>
      <c r="AK344" s="5"/>
      <c r="AL344" s="5"/>
      <c r="AM344" s="5"/>
      <c r="AN344" s="5"/>
      <c r="AO344" s="5"/>
      <c r="AP344" s="5"/>
      <c r="AQ344" s="5"/>
    </row>
    <row r="345" spans="1:43" s="2" customFormat="1" x14ac:dyDescent="0.25">
      <c r="A345" s="161" t="str">
        <f t="shared" si="8"/>
        <v>CARAVAN</v>
      </c>
      <c r="B345" s="9" t="s">
        <v>1319</v>
      </c>
      <c r="C345" s="5"/>
      <c r="D345" s="5"/>
      <c r="E345" s="5" t="s">
        <v>1319</v>
      </c>
      <c r="F345" s="5" t="s">
        <v>1319</v>
      </c>
      <c r="G345" s="5" t="s">
        <v>2040</v>
      </c>
      <c r="H345" s="5" t="s">
        <v>1416</v>
      </c>
      <c r="I345" s="5" t="s">
        <v>128</v>
      </c>
      <c r="J345" s="6">
        <v>1</v>
      </c>
      <c r="K345" s="6"/>
      <c r="L345" s="13" t="s">
        <v>1708</v>
      </c>
      <c r="M345" s="8"/>
      <c r="N345" s="5"/>
      <c r="O345" s="5"/>
      <c r="P345" s="5"/>
      <c r="Q345" s="6">
        <v>1</v>
      </c>
      <c r="R345" s="6">
        <v>0.11799999999999999</v>
      </c>
      <c r="S345" s="13" t="s">
        <v>1616</v>
      </c>
      <c r="T345" s="6"/>
      <c r="U345" s="7" t="s">
        <v>1695</v>
      </c>
      <c r="V345" s="5"/>
      <c r="W345" s="6"/>
      <c r="X345" s="6" t="s">
        <v>3</v>
      </c>
      <c r="Y345" s="5"/>
      <c r="Z345" s="7">
        <v>0</v>
      </c>
      <c r="AA345" s="6"/>
      <c r="AB345" s="5"/>
      <c r="AC345" s="6"/>
      <c r="AD345" s="6" t="s">
        <v>3</v>
      </c>
      <c r="AE345" s="5"/>
      <c r="AF345" s="6">
        <v>1</v>
      </c>
      <c r="AG345" s="6"/>
      <c r="AH345" s="5"/>
      <c r="AI345" s="6"/>
      <c r="AJ345" s="6"/>
      <c r="AK345" s="5"/>
      <c r="AL345" s="5"/>
      <c r="AM345" s="5"/>
      <c r="AN345" s="5"/>
      <c r="AO345" s="5"/>
      <c r="AP345" s="5"/>
      <c r="AQ345" s="5"/>
    </row>
    <row r="346" spans="1:43" s="2" customFormat="1" x14ac:dyDescent="0.25">
      <c r="A346" s="161" t="str">
        <f t="shared" si="8"/>
        <v>CARAVAN</v>
      </c>
      <c r="B346" s="9" t="s">
        <v>1319</v>
      </c>
      <c r="C346" s="5"/>
      <c r="D346" s="5"/>
      <c r="E346" s="5" t="s">
        <v>1319</v>
      </c>
      <c r="F346" s="5" t="s">
        <v>1319</v>
      </c>
      <c r="G346" s="5" t="s">
        <v>2041</v>
      </c>
      <c r="H346" s="5" t="s">
        <v>1417</v>
      </c>
      <c r="I346" s="5" t="s">
        <v>128</v>
      </c>
      <c r="J346" s="6">
        <v>1</v>
      </c>
      <c r="K346" s="6"/>
      <c r="L346" s="13" t="s">
        <v>1708</v>
      </c>
      <c r="M346" s="8"/>
      <c r="N346" s="5"/>
      <c r="O346" s="5"/>
      <c r="P346" s="5"/>
      <c r="Q346" s="6">
        <v>1</v>
      </c>
      <c r="R346" s="6">
        <v>0.11799999999999999</v>
      </c>
      <c r="S346" s="13" t="s">
        <v>1616</v>
      </c>
      <c r="T346" s="6"/>
      <c r="U346" s="7" t="s">
        <v>1695</v>
      </c>
      <c r="V346" s="5"/>
      <c r="W346" s="6"/>
      <c r="X346" s="6" t="s">
        <v>3</v>
      </c>
      <c r="Y346" s="5"/>
      <c r="Z346" s="7">
        <v>0</v>
      </c>
      <c r="AA346" s="6"/>
      <c r="AB346" s="5"/>
      <c r="AC346" s="6"/>
      <c r="AD346" s="6" t="s">
        <v>3</v>
      </c>
      <c r="AE346" s="5"/>
      <c r="AF346" s="6">
        <v>0</v>
      </c>
      <c r="AG346" s="6"/>
      <c r="AH346" s="5"/>
      <c r="AI346" s="6"/>
      <c r="AJ346" s="6"/>
      <c r="AK346" s="5"/>
      <c r="AL346" s="5"/>
      <c r="AM346" s="5"/>
      <c r="AN346" s="5"/>
      <c r="AO346" s="5"/>
      <c r="AP346" s="5"/>
      <c r="AQ346" s="5"/>
    </row>
    <row r="347" spans="1:43" s="2" customFormat="1" x14ac:dyDescent="0.25">
      <c r="A347" s="161" t="str">
        <f t="shared" si="8"/>
        <v>CARAVAN_CENTAS</v>
      </c>
      <c r="B347" s="9" t="s">
        <v>1319</v>
      </c>
      <c r="C347" s="5" t="s">
        <v>918</v>
      </c>
      <c r="D347" s="5" t="s">
        <v>689</v>
      </c>
      <c r="E347" s="5" t="s">
        <v>1319</v>
      </c>
      <c r="F347" s="5" t="s">
        <v>1319</v>
      </c>
      <c r="G347" s="5"/>
      <c r="H347" s="5"/>
      <c r="I347" s="5"/>
      <c r="J347" s="6"/>
      <c r="K347" s="6"/>
      <c r="L347" s="13"/>
      <c r="M347" s="8"/>
      <c r="N347" s="5"/>
      <c r="O347" s="5"/>
      <c r="P347" s="5"/>
      <c r="Q347" s="6"/>
      <c r="R347" s="6"/>
      <c r="S347" s="13"/>
      <c r="T347" s="6"/>
      <c r="U347" s="7"/>
      <c r="V347" s="5"/>
      <c r="W347" s="6"/>
      <c r="X347" s="6"/>
      <c r="Y347" s="5"/>
      <c r="Z347" s="7"/>
      <c r="AA347" s="6"/>
      <c r="AB347" s="5"/>
      <c r="AC347" s="6"/>
      <c r="AD347" s="6"/>
      <c r="AE347" s="5"/>
      <c r="AF347" s="6"/>
      <c r="AG347" s="6"/>
      <c r="AH347" s="5"/>
      <c r="AI347" s="6"/>
      <c r="AJ347" s="6"/>
      <c r="AK347" s="5"/>
      <c r="AL347" s="5"/>
      <c r="AM347" s="5"/>
      <c r="AN347" s="5"/>
      <c r="AO347" s="5"/>
      <c r="AP347" s="5"/>
      <c r="AQ347" s="5"/>
    </row>
    <row r="348" spans="1:43" s="2" customFormat="1" x14ac:dyDescent="0.25">
      <c r="A348" s="161" t="str">
        <f>CONCATENATE(E348,IF(ISBLANK(C348),"",CONCATENATE("_",C348)))</f>
        <v>CARAVAN_EASTEU</v>
      </c>
      <c r="B348" s="9" t="s">
        <v>1319</v>
      </c>
      <c r="C348" s="5" t="s">
        <v>698</v>
      </c>
      <c r="D348" s="5" t="s">
        <v>689</v>
      </c>
      <c r="E348" s="5" t="s">
        <v>1319</v>
      </c>
      <c r="F348" s="5" t="s">
        <v>1319</v>
      </c>
      <c r="G348" s="5"/>
      <c r="H348" s="5"/>
      <c r="I348" s="5"/>
      <c r="J348" s="6"/>
      <c r="K348" s="6"/>
      <c r="L348" s="13"/>
      <c r="M348" s="8"/>
      <c r="N348" s="5"/>
      <c r="O348" s="5"/>
      <c r="P348" s="5"/>
      <c r="Q348" s="6"/>
      <c r="R348" s="6"/>
      <c r="S348" s="13"/>
      <c r="T348" s="6"/>
      <c r="U348" s="7"/>
      <c r="V348" s="5"/>
      <c r="W348" s="6"/>
      <c r="X348" s="6"/>
      <c r="Y348" s="5"/>
      <c r="Z348" s="7"/>
      <c r="AA348" s="6"/>
      <c r="AB348" s="5"/>
      <c r="AC348" s="6"/>
      <c r="AD348" s="6"/>
      <c r="AE348" s="5"/>
      <c r="AF348" s="6"/>
      <c r="AG348" s="6"/>
      <c r="AH348" s="5"/>
      <c r="AI348" s="6"/>
      <c r="AJ348" s="6"/>
      <c r="AK348" s="5"/>
      <c r="AL348" s="5"/>
      <c r="AM348" s="5"/>
      <c r="AN348" s="5"/>
      <c r="AO348" s="5"/>
      <c r="AP348" s="5"/>
      <c r="AQ348" s="5"/>
    </row>
    <row r="349" spans="1:43" s="2" customFormat="1" x14ac:dyDescent="0.25">
      <c r="A349" s="161" t="str">
        <f>CONCATENATE(E349,IF(ISBLANK(C349),"",CONCATENATE("_",C349)))</f>
        <v>CARAVAN_EURO</v>
      </c>
      <c r="B349" s="9" t="s">
        <v>1319</v>
      </c>
      <c r="C349" s="5" t="s">
        <v>689</v>
      </c>
      <c r="D349" s="5"/>
      <c r="E349" s="5" t="s">
        <v>1319</v>
      </c>
      <c r="F349" s="5" t="s">
        <v>1319</v>
      </c>
      <c r="G349" s="5"/>
      <c r="H349" s="5" t="s">
        <v>2114</v>
      </c>
      <c r="I349" s="5" t="s">
        <v>966</v>
      </c>
      <c r="J349" s="6">
        <v>1</v>
      </c>
      <c r="K349" s="6"/>
      <c r="L349" s="13"/>
      <c r="M349" s="8"/>
      <c r="N349" s="5"/>
      <c r="O349" s="5"/>
      <c r="P349" s="5"/>
      <c r="Q349" s="6">
        <v>1</v>
      </c>
      <c r="R349" s="6">
        <v>0.09</v>
      </c>
      <c r="S349" s="13" t="s">
        <v>1616</v>
      </c>
      <c r="T349" s="6">
        <v>2</v>
      </c>
      <c r="U349" s="7">
        <v>0.06</v>
      </c>
      <c r="V349" s="5"/>
      <c r="W349" s="6"/>
      <c r="X349" s="6" t="s">
        <v>3</v>
      </c>
      <c r="Y349" s="5"/>
      <c r="Z349" s="7">
        <v>1</v>
      </c>
      <c r="AA349" s="6">
        <v>8.5000000000000006E-2</v>
      </c>
      <c r="AB349" s="5"/>
      <c r="AC349" s="6"/>
      <c r="AD349" s="6" t="s">
        <v>3</v>
      </c>
      <c r="AE349" s="5"/>
      <c r="AF349" s="6">
        <v>2</v>
      </c>
      <c r="AG349" s="6"/>
      <c r="AH349" s="5"/>
      <c r="AI349" s="6"/>
      <c r="AJ349" s="6"/>
      <c r="AK349" s="5"/>
      <c r="AL349" s="5"/>
      <c r="AM349" s="5"/>
      <c r="AN349" s="5"/>
      <c r="AO349" s="5"/>
      <c r="AP349" s="5"/>
      <c r="AQ349" s="5"/>
    </row>
    <row r="350" spans="1:43" s="2" customFormat="1" x14ac:dyDescent="0.25">
      <c r="A350" s="161" t="str">
        <f>CONCATENATE(E350,IF(ISBLANK(C350),"",CONCATENATE("_",C350)))</f>
        <v>CARAVAN_NORTHEU</v>
      </c>
      <c r="B350" s="9" t="s">
        <v>1319</v>
      </c>
      <c r="C350" s="5" t="s">
        <v>962</v>
      </c>
      <c r="D350" s="5" t="s">
        <v>689</v>
      </c>
      <c r="E350" s="5" t="s">
        <v>1319</v>
      </c>
      <c r="F350" s="5" t="s">
        <v>1319</v>
      </c>
      <c r="G350" s="5"/>
      <c r="H350" s="5"/>
      <c r="I350" s="5"/>
      <c r="J350" s="6"/>
      <c r="K350" s="6"/>
      <c r="L350" s="13"/>
      <c r="M350" s="8"/>
      <c r="N350" s="5"/>
      <c r="O350" s="5"/>
      <c r="P350" s="5"/>
      <c r="Q350" s="6"/>
      <c r="R350" s="6"/>
      <c r="S350" s="13"/>
      <c r="T350" s="6"/>
      <c r="U350" s="7"/>
      <c r="V350" s="5"/>
      <c r="W350" s="6"/>
      <c r="X350" s="6"/>
      <c r="Y350" s="5"/>
      <c r="Z350" s="7"/>
      <c r="AA350" s="6"/>
      <c r="AB350" s="5"/>
      <c r="AC350" s="6"/>
      <c r="AD350" s="6"/>
      <c r="AE350" s="5"/>
      <c r="AF350" s="6"/>
      <c r="AG350" s="6"/>
      <c r="AH350" s="5"/>
      <c r="AI350" s="6"/>
      <c r="AJ350" s="6"/>
      <c r="AK350" s="5"/>
      <c r="AL350" s="5"/>
      <c r="AM350" s="5"/>
      <c r="AN350" s="5"/>
      <c r="AO350" s="5"/>
      <c r="AP350" s="5"/>
      <c r="AQ350" s="5"/>
    </row>
    <row r="351" spans="1:43" s="2" customFormat="1" x14ac:dyDescent="0.25">
      <c r="A351" s="161" t="str">
        <f t="shared" si="8"/>
        <v>CARAVAN_POSTMODERN</v>
      </c>
      <c r="B351" s="9" t="s">
        <v>1319</v>
      </c>
      <c r="C351" s="5"/>
      <c r="D351" s="5"/>
      <c r="E351" s="5" t="s">
        <v>1320</v>
      </c>
      <c r="F351" s="5" t="s">
        <v>1321</v>
      </c>
      <c r="G351" s="5"/>
      <c r="H351" s="5" t="s">
        <v>1418</v>
      </c>
      <c r="I351" s="5" t="s">
        <v>128</v>
      </c>
      <c r="J351" s="6"/>
      <c r="K351" s="6"/>
      <c r="L351" s="13" t="s">
        <v>1708</v>
      </c>
      <c r="M351" s="8"/>
      <c r="N351" s="5"/>
      <c r="O351" s="5"/>
      <c r="P351" s="5"/>
      <c r="Q351" s="6">
        <v>1</v>
      </c>
      <c r="R351" s="6">
        <v>0.04</v>
      </c>
      <c r="S351" s="13" t="s">
        <v>1617</v>
      </c>
      <c r="T351" s="6"/>
      <c r="U351" s="7"/>
      <c r="V351" s="5"/>
      <c r="W351" s="6"/>
      <c r="X351" s="6" t="s">
        <v>3</v>
      </c>
      <c r="Y351" s="5"/>
      <c r="Z351" s="7">
        <v>1</v>
      </c>
      <c r="AA351" s="6"/>
      <c r="AB351" s="5"/>
      <c r="AC351" s="6"/>
      <c r="AD351" s="6" t="s">
        <v>3</v>
      </c>
      <c r="AE351" s="5"/>
      <c r="AF351" s="6">
        <v>1</v>
      </c>
      <c r="AG351" s="6"/>
      <c r="AH351" s="5"/>
      <c r="AI351" s="6"/>
      <c r="AJ351" s="6"/>
      <c r="AK351" s="5"/>
      <c r="AL351" s="5"/>
      <c r="AM351" s="5"/>
      <c r="AN351" s="5"/>
      <c r="AO351" s="5"/>
      <c r="AP351" s="5"/>
      <c r="AQ351" s="5"/>
    </row>
    <row r="352" spans="1:43" s="2" customFormat="1" x14ac:dyDescent="0.25">
      <c r="A352" s="161" t="str">
        <f t="shared" si="8"/>
        <v>CARAVAN_POSTMODERN</v>
      </c>
      <c r="B352" s="9" t="s">
        <v>1319</v>
      </c>
      <c r="C352" s="5"/>
      <c r="D352" s="5"/>
      <c r="E352" s="5" t="s">
        <v>1320</v>
      </c>
      <c r="F352" s="5" t="s">
        <v>1321</v>
      </c>
      <c r="G352" s="5" t="s">
        <v>2040</v>
      </c>
      <c r="H352" s="5" t="s">
        <v>1419</v>
      </c>
      <c r="I352" s="5" t="s">
        <v>128</v>
      </c>
      <c r="J352" s="6"/>
      <c r="K352" s="6"/>
      <c r="L352" s="13" t="s">
        <v>1708</v>
      </c>
      <c r="M352" s="8"/>
      <c r="N352" s="5"/>
      <c r="O352" s="5"/>
      <c r="P352" s="5"/>
      <c r="Q352" s="6">
        <v>1</v>
      </c>
      <c r="R352" s="6">
        <v>0.04</v>
      </c>
      <c r="S352" s="13" t="s">
        <v>1617</v>
      </c>
      <c r="T352" s="6"/>
      <c r="U352" s="7"/>
      <c r="V352" s="5"/>
      <c r="W352" s="6"/>
      <c r="X352" s="6" t="s">
        <v>3</v>
      </c>
      <c r="Y352" s="5"/>
      <c r="Z352" s="7">
        <v>0</v>
      </c>
      <c r="AA352" s="6"/>
      <c r="AB352" s="5"/>
      <c r="AC352" s="6"/>
      <c r="AD352" s="6" t="s">
        <v>3</v>
      </c>
      <c r="AE352" s="5"/>
      <c r="AF352" s="6">
        <v>1</v>
      </c>
      <c r="AG352" s="6"/>
      <c r="AH352" s="5"/>
      <c r="AI352" s="6"/>
      <c r="AJ352" s="6"/>
      <c r="AK352" s="5"/>
      <c r="AL352" s="5"/>
      <c r="AM352" s="5"/>
      <c r="AN352" s="5"/>
      <c r="AO352" s="5"/>
      <c r="AP352" s="5"/>
      <c r="AQ352" s="5"/>
    </row>
    <row r="353" spans="1:43" s="2" customFormat="1" x14ac:dyDescent="0.25">
      <c r="A353" s="161" t="str">
        <f t="shared" si="8"/>
        <v>CARAVAN_POSTMODERN</v>
      </c>
      <c r="B353" s="9" t="s">
        <v>1319</v>
      </c>
      <c r="C353" s="5"/>
      <c r="D353" s="5"/>
      <c r="E353" s="5" t="s">
        <v>1320</v>
      </c>
      <c r="F353" s="5" t="s">
        <v>1321</v>
      </c>
      <c r="G353" s="5" t="s">
        <v>2041</v>
      </c>
      <c r="H353" s="5" t="s">
        <v>1420</v>
      </c>
      <c r="I353" s="5" t="s">
        <v>128</v>
      </c>
      <c r="J353" s="6"/>
      <c r="K353" s="6"/>
      <c r="L353" s="13" t="s">
        <v>1708</v>
      </c>
      <c r="M353" s="8"/>
      <c r="N353" s="5"/>
      <c r="O353" s="5"/>
      <c r="P353" s="5"/>
      <c r="Q353" s="6">
        <v>1</v>
      </c>
      <c r="R353" s="6">
        <v>0.04</v>
      </c>
      <c r="S353" s="13" t="s">
        <v>1617</v>
      </c>
      <c r="T353" s="6"/>
      <c r="U353" s="7"/>
      <c r="V353" s="5"/>
      <c r="W353" s="6"/>
      <c r="X353" s="6" t="s">
        <v>3</v>
      </c>
      <c r="Y353" s="5"/>
      <c r="Z353" s="7">
        <v>0</v>
      </c>
      <c r="AA353" s="6"/>
      <c r="AB353" s="5"/>
      <c r="AC353" s="6"/>
      <c r="AD353" s="6" t="s">
        <v>3</v>
      </c>
      <c r="AE353" s="5"/>
      <c r="AF353" s="6">
        <v>0</v>
      </c>
      <c r="AG353" s="6"/>
      <c r="AH353" s="5"/>
      <c r="AI353" s="6"/>
      <c r="AJ353" s="6"/>
      <c r="AK353" s="5"/>
      <c r="AL353" s="5"/>
      <c r="AM353" s="5"/>
      <c r="AN353" s="5"/>
      <c r="AO353" s="5"/>
      <c r="AP353" s="5"/>
      <c r="AQ353" s="5"/>
    </row>
    <row r="354" spans="1:43" s="2" customFormat="1" x14ac:dyDescent="0.25">
      <c r="A354" s="161" t="str">
        <f t="shared" si="8"/>
        <v>CARAVEL</v>
      </c>
      <c r="B354" s="9" t="s">
        <v>749</v>
      </c>
      <c r="C354" s="5"/>
      <c r="D354" s="5"/>
      <c r="E354" s="5" t="s">
        <v>749</v>
      </c>
      <c r="F354" s="5" t="s">
        <v>749</v>
      </c>
      <c r="G354" s="5"/>
      <c r="H354" s="5" t="s">
        <v>38</v>
      </c>
      <c r="I354" s="5" t="s">
        <v>128</v>
      </c>
      <c r="J354" s="6"/>
      <c r="K354" s="7"/>
      <c r="L354" s="13" t="s">
        <v>1713</v>
      </c>
      <c r="M354" s="8"/>
      <c r="N354" s="13" t="s">
        <v>1727</v>
      </c>
      <c r="O354" s="13"/>
      <c r="P354" s="13"/>
      <c r="Q354" s="7">
        <v>1</v>
      </c>
      <c r="R354" s="6" t="s">
        <v>1737</v>
      </c>
      <c r="S354" s="5"/>
      <c r="T354" s="7">
        <v>3</v>
      </c>
      <c r="U354" s="6">
        <v>0.1</v>
      </c>
      <c r="V354" s="5" t="s">
        <v>1698</v>
      </c>
      <c r="W354" s="6"/>
      <c r="X354" s="6"/>
      <c r="Y354" s="5"/>
      <c r="Z354" s="6"/>
      <c r="AA354" s="6"/>
      <c r="AB354" s="5"/>
      <c r="AC354" s="6"/>
      <c r="AD354" s="6"/>
      <c r="AE354" s="5"/>
      <c r="AF354" s="6"/>
      <c r="AG354" s="6"/>
      <c r="AH354" s="5"/>
      <c r="AI354" s="6"/>
      <c r="AJ354" s="6"/>
      <c r="AK354" s="5"/>
      <c r="AL354" s="5"/>
      <c r="AM354" s="5"/>
      <c r="AN354" s="5"/>
      <c r="AO354" s="5"/>
      <c r="AP354" s="5"/>
      <c r="AQ354" s="5"/>
    </row>
    <row r="355" spans="1:43" s="2" customFormat="1" x14ac:dyDescent="0.25">
      <c r="A355" s="161" t="str">
        <f t="shared" si="8"/>
        <v>CARGO_SHIP</v>
      </c>
      <c r="B355" s="9" t="s">
        <v>1322</v>
      </c>
      <c r="C355" s="5"/>
      <c r="D355" s="5"/>
      <c r="E355" s="5" t="s">
        <v>1322</v>
      </c>
      <c r="F355" s="5" t="s">
        <v>1322</v>
      </c>
      <c r="G355" s="5"/>
      <c r="H355" s="5" t="s">
        <v>1421</v>
      </c>
      <c r="I355" s="5" t="s">
        <v>128</v>
      </c>
      <c r="J355" s="6">
        <v>1</v>
      </c>
      <c r="K355" s="7"/>
      <c r="L355" s="13" t="s">
        <v>1708</v>
      </c>
      <c r="M355" s="8"/>
      <c r="N355" s="13" t="s">
        <v>1727</v>
      </c>
      <c r="O355" s="13"/>
      <c r="P355" s="13"/>
      <c r="Q355" s="7">
        <v>1</v>
      </c>
      <c r="R355" s="6">
        <v>0.15</v>
      </c>
      <c r="S355" s="13" t="s">
        <v>1695</v>
      </c>
      <c r="T355" s="7">
        <v>3</v>
      </c>
      <c r="U355" s="7" t="s">
        <v>1695</v>
      </c>
      <c r="V355" s="5" t="s">
        <v>1696</v>
      </c>
      <c r="W355" s="6"/>
      <c r="X355" s="6"/>
      <c r="Y355" s="5"/>
      <c r="Z355" s="6"/>
      <c r="AA355" s="6"/>
      <c r="AB355" s="5"/>
      <c r="AC355" s="6"/>
      <c r="AD355" s="6"/>
      <c r="AE355" s="5"/>
      <c r="AF355" s="6"/>
      <c r="AG355" s="6"/>
      <c r="AH355" s="5"/>
      <c r="AI355" s="6"/>
      <c r="AJ355" s="6"/>
      <c r="AK355" s="5"/>
      <c r="AL355" s="5"/>
      <c r="AM355" s="5"/>
      <c r="AN355" s="5"/>
      <c r="AO355" s="5"/>
      <c r="AP355" s="5"/>
      <c r="AQ355" s="5"/>
    </row>
    <row r="356" spans="1:43" s="2" customFormat="1" x14ac:dyDescent="0.25">
      <c r="A356" s="161" t="str">
        <f t="shared" si="8"/>
        <v>CARGO_SHIP_POSTMODERN</v>
      </c>
      <c r="B356" s="9" t="s">
        <v>1322</v>
      </c>
      <c r="C356" s="5"/>
      <c r="D356" s="5"/>
      <c r="E356" s="5" t="s">
        <v>1323</v>
      </c>
      <c r="F356" s="5" t="s">
        <v>1325</v>
      </c>
      <c r="G356" s="5"/>
      <c r="H356" s="5" t="s">
        <v>1422</v>
      </c>
      <c r="I356" s="5" t="s">
        <v>128</v>
      </c>
      <c r="J356" s="6"/>
      <c r="K356" s="7"/>
      <c r="L356" s="13" t="s">
        <v>1708</v>
      </c>
      <c r="M356" s="8"/>
      <c r="N356" s="13" t="s">
        <v>1727</v>
      </c>
      <c r="O356" s="13"/>
      <c r="P356" s="13"/>
      <c r="Q356" s="7">
        <v>1</v>
      </c>
      <c r="R356" s="6">
        <v>7.0000000000000007E-2</v>
      </c>
      <c r="S356" s="13" t="s">
        <v>1695</v>
      </c>
      <c r="T356" s="6"/>
      <c r="U356" s="7"/>
      <c r="V356" s="5"/>
      <c r="W356" s="6"/>
      <c r="X356" s="6"/>
      <c r="Y356" s="5"/>
      <c r="Z356" s="6"/>
      <c r="AA356" s="6"/>
      <c r="AB356" s="5"/>
      <c r="AC356" s="6"/>
      <c r="AD356" s="6"/>
      <c r="AE356" s="5"/>
      <c r="AF356" s="6"/>
      <c r="AG356" s="6"/>
      <c r="AH356" s="5"/>
      <c r="AI356" s="6"/>
      <c r="AJ356" s="6"/>
      <c r="AK356" s="5"/>
      <c r="AL356" s="5"/>
      <c r="AM356" s="5"/>
      <c r="AN356" s="5"/>
      <c r="AO356" s="5"/>
      <c r="AP356" s="5"/>
      <c r="AQ356" s="5"/>
    </row>
    <row r="357" spans="1:43" s="2" customFormat="1" x14ac:dyDescent="0.25">
      <c r="A357" s="161" t="str">
        <f>CONCATENATE(E357,IF(ISBLANK(C357),"",CONCATENATE("_",C357)))</f>
        <v>CARGO_SHIP_RENAISSANCE_POSTMODERN</v>
      </c>
      <c r="B357" s="9" t="s">
        <v>1322</v>
      </c>
      <c r="C357" s="5"/>
      <c r="D357" s="5"/>
      <c r="E357" s="5" t="s">
        <v>2392</v>
      </c>
      <c r="F357" s="5" t="s">
        <v>1325</v>
      </c>
      <c r="G357" s="5"/>
      <c r="H357" s="5" t="s">
        <v>1422</v>
      </c>
      <c r="I357" s="5" t="s">
        <v>128</v>
      </c>
      <c r="J357" s="6"/>
      <c r="K357" s="7"/>
      <c r="L357" s="13"/>
      <c r="M357" s="8"/>
      <c r="N357" s="13"/>
      <c r="O357" s="13"/>
      <c r="P357" s="13"/>
      <c r="Q357" s="7">
        <v>1</v>
      </c>
      <c r="R357" s="6">
        <v>7.0000000000000007E-2</v>
      </c>
      <c r="S357" s="13" t="s">
        <v>1695</v>
      </c>
      <c r="T357" s="7"/>
      <c r="U357" s="7"/>
      <c r="V357" s="5"/>
      <c r="W357" s="6"/>
      <c r="X357" s="6"/>
      <c r="Y357" s="5"/>
      <c r="Z357" s="6"/>
      <c r="AA357" s="6"/>
      <c r="AB357" s="5"/>
      <c r="AC357" s="6"/>
      <c r="AD357" s="6"/>
      <c r="AE357" s="5"/>
      <c r="AF357" s="6"/>
      <c r="AG357" s="6"/>
      <c r="AH357" s="5"/>
      <c r="AI357" s="6"/>
      <c r="AJ357" s="6"/>
      <c r="AK357" s="5"/>
      <c r="AL357" s="5"/>
      <c r="AM357" s="5"/>
      <c r="AN357" s="5"/>
      <c r="AO357" s="5"/>
      <c r="AP357" s="5"/>
      <c r="AQ357" s="5"/>
    </row>
    <row r="358" spans="1:43" s="2" customFormat="1" x14ac:dyDescent="0.25">
      <c r="A358" s="161" t="str">
        <f t="shared" si="8"/>
        <v>CARGO_SHIP_RENAISSANCE</v>
      </c>
      <c r="B358" s="9" t="s">
        <v>1322</v>
      </c>
      <c r="C358" s="5"/>
      <c r="D358" s="5"/>
      <c r="E358" s="5" t="s">
        <v>1324</v>
      </c>
      <c r="F358" s="5" t="s">
        <v>1326</v>
      </c>
      <c r="G358" s="5"/>
      <c r="H358" s="5" t="s">
        <v>1423</v>
      </c>
      <c r="I358" s="5" t="s">
        <v>128</v>
      </c>
      <c r="J358" s="6">
        <v>1</v>
      </c>
      <c r="K358" s="7"/>
      <c r="L358" s="13" t="s">
        <v>1708</v>
      </c>
      <c r="M358" s="8"/>
      <c r="N358" s="13" t="s">
        <v>1727</v>
      </c>
      <c r="O358" s="13"/>
      <c r="P358" s="13"/>
      <c r="Q358" s="7">
        <v>1</v>
      </c>
      <c r="R358" s="6">
        <v>0.125</v>
      </c>
      <c r="S358" s="13" t="s">
        <v>1695</v>
      </c>
      <c r="T358" s="7">
        <v>3</v>
      </c>
      <c r="U358" s="7" t="s">
        <v>1695</v>
      </c>
      <c r="V358" s="5" t="s">
        <v>1696</v>
      </c>
      <c r="W358" s="6"/>
      <c r="X358" s="6"/>
      <c r="Y358" s="5"/>
      <c r="Z358" s="6"/>
      <c r="AA358" s="6"/>
      <c r="AB358" s="5"/>
      <c r="AC358" s="6"/>
      <c r="AD358" s="6"/>
      <c r="AE358" s="5"/>
      <c r="AF358" s="6"/>
      <c r="AG358" s="6"/>
      <c r="AH358" s="5"/>
      <c r="AI358" s="6"/>
      <c r="AJ358" s="6"/>
      <c r="AK358" s="5"/>
      <c r="AL358" s="5"/>
      <c r="AM358" s="5"/>
      <c r="AN358" s="5"/>
      <c r="AO358" s="5"/>
      <c r="AP358" s="5"/>
      <c r="AQ358" s="5"/>
    </row>
    <row r="359" spans="1:43" x14ac:dyDescent="0.25">
      <c r="A359" s="161" t="str">
        <f t="shared" ref="A359:A372" si="9">CONCATENATE(E359,IF(ISBLANK(C359),"",CONCATENATE("_",C359)))</f>
        <v>CARGO_SHIP_RENAISSANCE_OTTOMAN</v>
      </c>
      <c r="B359" s="9" t="s">
        <v>1322</v>
      </c>
      <c r="C359" s="5" t="s">
        <v>1037</v>
      </c>
      <c r="D359" s="5"/>
      <c r="E359" s="5" t="s">
        <v>1324</v>
      </c>
      <c r="F359" s="5" t="s">
        <v>1326</v>
      </c>
      <c r="G359" s="5"/>
      <c r="H359" s="5" t="s">
        <v>1981</v>
      </c>
      <c r="I359" s="5" t="s">
        <v>1984</v>
      </c>
      <c r="J359" s="6">
        <v>1</v>
      </c>
      <c r="K359" s="7"/>
      <c r="L359" s="13"/>
      <c r="M359" s="8"/>
      <c r="N359" s="13"/>
      <c r="O359" s="13"/>
      <c r="P359" s="13"/>
      <c r="Q359" s="7"/>
      <c r="R359" s="6">
        <v>0.11</v>
      </c>
      <c r="S359" s="5"/>
      <c r="T359" s="7"/>
      <c r="U359" s="7"/>
      <c r="V359" s="5"/>
      <c r="W359" s="6"/>
      <c r="X359" s="6"/>
      <c r="Y359" s="5"/>
      <c r="Z359" s="6"/>
      <c r="AA359" s="6"/>
      <c r="AB359" s="5"/>
      <c r="AC359" s="6"/>
      <c r="AD359" s="6"/>
      <c r="AE359" s="5"/>
      <c r="AF359" s="6"/>
      <c r="AG359" s="6"/>
      <c r="AH359" s="5"/>
      <c r="AI359" s="6"/>
      <c r="AJ359" s="6"/>
      <c r="AK359" s="5"/>
      <c r="AL359" s="5"/>
      <c r="AM359" s="5"/>
      <c r="AN359" s="5"/>
      <c r="AO359" s="5"/>
      <c r="AP359" s="5"/>
      <c r="AQ359" s="5"/>
    </row>
    <row r="360" spans="1:43" x14ac:dyDescent="0.25">
      <c r="A360" s="161" t="str">
        <f t="shared" si="9"/>
        <v>CARGO_SHIP_RENAISSANCE_POLAND</v>
      </c>
      <c r="B360" s="9" t="s">
        <v>1322</v>
      </c>
      <c r="C360" s="5" t="s">
        <v>732</v>
      </c>
      <c r="D360" s="5" t="s">
        <v>717</v>
      </c>
      <c r="E360" s="5" t="s">
        <v>1324</v>
      </c>
      <c r="F360" s="5" t="s">
        <v>1326</v>
      </c>
      <c r="G360" s="5"/>
      <c r="H360" s="5"/>
      <c r="I360" s="5"/>
      <c r="J360" s="6"/>
      <c r="K360" s="7"/>
      <c r="L360" s="13"/>
      <c r="M360" s="8"/>
      <c r="N360" s="13"/>
      <c r="O360" s="13"/>
      <c r="P360" s="13"/>
      <c r="Q360" s="7"/>
      <c r="R360" s="6"/>
      <c r="S360" s="5"/>
      <c r="T360" s="7"/>
      <c r="U360" s="7"/>
      <c r="V360" s="5"/>
      <c r="W360" s="6"/>
      <c r="X360" s="6"/>
      <c r="Y360" s="5"/>
      <c r="Z360" s="6"/>
      <c r="AA360" s="6"/>
      <c r="AB360" s="5"/>
      <c r="AC360" s="6"/>
      <c r="AD360" s="6"/>
      <c r="AE360" s="5"/>
      <c r="AF360" s="6"/>
      <c r="AG360" s="6"/>
      <c r="AH360" s="5"/>
      <c r="AI360" s="6"/>
      <c r="AJ360" s="6"/>
      <c r="AK360" s="5"/>
      <c r="AL360" s="5"/>
      <c r="AM360" s="5"/>
      <c r="AN360" s="5"/>
      <c r="AO360" s="5"/>
      <c r="AP360" s="5"/>
      <c r="AQ360" s="5"/>
    </row>
    <row r="361" spans="1:43" x14ac:dyDescent="0.25">
      <c r="A361" s="161" t="str">
        <f t="shared" si="9"/>
        <v>CARGO_SHIP_RENAISSANCE_RUSSIA</v>
      </c>
      <c r="B361" s="9" t="s">
        <v>1322</v>
      </c>
      <c r="C361" s="5" t="s">
        <v>735</v>
      </c>
      <c r="D361" s="5"/>
      <c r="E361" s="5" t="s">
        <v>1324</v>
      </c>
      <c r="F361" s="5" t="s">
        <v>1326</v>
      </c>
      <c r="G361" s="5"/>
      <c r="H361" s="5" t="s">
        <v>1977</v>
      </c>
      <c r="I361" s="5" t="s">
        <v>1984</v>
      </c>
      <c r="J361" s="6">
        <v>1</v>
      </c>
      <c r="K361" s="7"/>
      <c r="L361" s="13"/>
      <c r="M361" s="8"/>
      <c r="N361" s="13"/>
      <c r="O361" s="13"/>
      <c r="P361" s="13"/>
      <c r="Q361" s="7"/>
      <c r="R361" s="6">
        <v>0.11</v>
      </c>
      <c r="S361" s="5"/>
      <c r="T361" s="7"/>
      <c r="U361" s="7"/>
      <c r="V361" s="5"/>
      <c r="W361" s="6"/>
      <c r="X361" s="6"/>
      <c r="Y361" s="5"/>
      <c r="Z361" s="6"/>
      <c r="AA361" s="6"/>
      <c r="AB361" s="5"/>
      <c r="AC361" s="6"/>
      <c r="AD361" s="6"/>
      <c r="AE361" s="5"/>
      <c r="AF361" s="6"/>
      <c r="AG361" s="6"/>
      <c r="AH361" s="5"/>
      <c r="AI361" s="6"/>
      <c r="AJ361" s="6"/>
      <c r="AK361" s="5"/>
      <c r="AL361" s="5"/>
      <c r="AM361" s="5"/>
      <c r="AN361" s="5"/>
      <c r="AO361" s="5"/>
      <c r="AP361" s="5"/>
      <c r="AQ361" s="5"/>
    </row>
    <row r="362" spans="1:43" x14ac:dyDescent="0.25">
      <c r="A362" s="161" t="str">
        <f t="shared" si="9"/>
        <v>CARGO_SHIP_RENAISSANCE_ENGLAND</v>
      </c>
      <c r="B362" s="9" t="s">
        <v>1322</v>
      </c>
      <c r="C362" s="5" t="s">
        <v>713</v>
      </c>
      <c r="D362" s="5"/>
      <c r="E362" s="5" t="s">
        <v>1324</v>
      </c>
      <c r="F362" s="5" t="s">
        <v>1326</v>
      </c>
      <c r="G362" s="5"/>
      <c r="H362" s="5" t="s">
        <v>1978</v>
      </c>
      <c r="I362" s="5" t="s">
        <v>1984</v>
      </c>
      <c r="J362" s="6">
        <v>1</v>
      </c>
      <c r="K362" s="7"/>
      <c r="L362" s="13"/>
      <c r="M362" s="8"/>
      <c r="N362" s="13"/>
      <c r="O362" s="13"/>
      <c r="P362" s="13"/>
      <c r="Q362" s="7"/>
      <c r="R362" s="6">
        <v>0.11</v>
      </c>
      <c r="S362" s="5"/>
      <c r="T362" s="7"/>
      <c r="U362" s="7"/>
      <c r="V362" s="5"/>
      <c r="W362" s="6"/>
      <c r="X362" s="6"/>
      <c r="Y362" s="5"/>
      <c r="Z362" s="6"/>
      <c r="AA362" s="6"/>
      <c r="AB362" s="5"/>
      <c r="AC362" s="6"/>
      <c r="AD362" s="6"/>
      <c r="AE362" s="5"/>
      <c r="AF362" s="6"/>
      <c r="AG362" s="6"/>
      <c r="AH362" s="5"/>
      <c r="AI362" s="6"/>
      <c r="AJ362" s="6"/>
      <c r="AK362" s="5"/>
      <c r="AL362" s="5"/>
      <c r="AM362" s="5"/>
      <c r="AN362" s="5"/>
      <c r="AO362" s="5"/>
      <c r="AP362" s="5"/>
      <c r="AQ362" s="5"/>
    </row>
    <row r="363" spans="1:43" x14ac:dyDescent="0.25">
      <c r="A363" s="161" t="str">
        <f t="shared" si="9"/>
        <v>CARGO_SHIP_RENAISSANCE_FRANCE</v>
      </c>
      <c r="B363" s="9" t="s">
        <v>1322</v>
      </c>
      <c r="C363" s="5" t="s">
        <v>715</v>
      </c>
      <c r="D363" s="5"/>
      <c r="E363" s="5" t="s">
        <v>1324</v>
      </c>
      <c r="F363" s="5" t="s">
        <v>1326</v>
      </c>
      <c r="G363" s="5"/>
      <c r="H363" s="5" t="s">
        <v>1979</v>
      </c>
      <c r="I363" s="5" t="s">
        <v>1984</v>
      </c>
      <c r="J363" s="6">
        <v>1</v>
      </c>
      <c r="K363" s="7"/>
      <c r="L363" s="13"/>
      <c r="M363" s="8"/>
      <c r="N363" s="13"/>
      <c r="O363" s="13"/>
      <c r="P363" s="13"/>
      <c r="Q363" s="7"/>
      <c r="R363" s="6">
        <v>0.11</v>
      </c>
      <c r="S363" s="5"/>
      <c r="T363" s="7"/>
      <c r="U363" s="7"/>
      <c r="V363" s="5"/>
      <c r="W363" s="6"/>
      <c r="X363" s="6"/>
      <c r="Y363" s="5"/>
      <c r="Z363" s="6"/>
      <c r="AA363" s="6"/>
      <c r="AB363" s="5"/>
      <c r="AC363" s="6"/>
      <c r="AD363" s="6"/>
      <c r="AE363" s="5"/>
      <c r="AF363" s="6"/>
      <c r="AG363" s="6"/>
      <c r="AH363" s="5"/>
      <c r="AI363" s="6"/>
      <c r="AJ363" s="6"/>
      <c r="AK363" s="5"/>
      <c r="AL363" s="5"/>
      <c r="AM363" s="5"/>
      <c r="AN363" s="5"/>
      <c r="AO363" s="5"/>
      <c r="AP363" s="5"/>
      <c r="AQ363" s="5"/>
    </row>
    <row r="364" spans="1:43" x14ac:dyDescent="0.25">
      <c r="A364" s="161" t="str">
        <f t="shared" si="9"/>
        <v>CARGO_SHIP_RENAISSANCE_GERMANY</v>
      </c>
      <c r="B364" s="9" t="s">
        <v>1322</v>
      </c>
      <c r="C364" s="5" t="s">
        <v>717</v>
      </c>
      <c r="D364" s="5"/>
      <c r="E364" s="5" t="s">
        <v>1324</v>
      </c>
      <c r="F364" s="5" t="s">
        <v>1326</v>
      </c>
      <c r="G364" s="5"/>
      <c r="H364" s="5" t="s">
        <v>1956</v>
      </c>
      <c r="I364" s="5" t="s">
        <v>1957</v>
      </c>
      <c r="J364" s="6">
        <v>1</v>
      </c>
      <c r="K364" s="7"/>
      <c r="L364" s="13"/>
      <c r="M364" s="8"/>
      <c r="N364" s="13"/>
      <c r="O364" s="13"/>
      <c r="P364" s="13"/>
      <c r="Q364" s="7"/>
      <c r="R364" s="6">
        <v>0.17499999999999999</v>
      </c>
      <c r="S364" s="5"/>
      <c r="T364" s="7"/>
      <c r="U364" s="7"/>
      <c r="V364" s="5"/>
      <c r="W364" s="6"/>
      <c r="X364" s="6"/>
      <c r="Y364" s="5"/>
      <c r="Z364" s="6"/>
      <c r="AA364" s="6"/>
      <c r="AB364" s="5"/>
      <c r="AC364" s="6"/>
      <c r="AD364" s="6"/>
      <c r="AE364" s="5"/>
      <c r="AF364" s="6"/>
      <c r="AG364" s="6"/>
      <c r="AH364" s="5"/>
      <c r="AI364" s="6"/>
      <c r="AJ364" s="6"/>
      <c r="AK364" s="5"/>
      <c r="AL364" s="5"/>
      <c r="AM364" s="5"/>
      <c r="AN364" s="5"/>
      <c r="AO364" s="5"/>
      <c r="AP364" s="5"/>
      <c r="AQ364" s="5"/>
    </row>
    <row r="365" spans="1:43" x14ac:dyDescent="0.25">
      <c r="A365" s="161" t="str">
        <f t="shared" si="9"/>
        <v>CARGO_SHIP_RENAISSANCE_NETHERLANDS</v>
      </c>
      <c r="B365" s="9" t="s">
        <v>1322</v>
      </c>
      <c r="C365" s="5" t="s">
        <v>730</v>
      </c>
      <c r="D365" s="5" t="s">
        <v>717</v>
      </c>
      <c r="E365" s="5" t="s">
        <v>1324</v>
      </c>
      <c r="F365" s="5" t="s">
        <v>1326</v>
      </c>
      <c r="G365" s="5"/>
      <c r="H365" s="5"/>
      <c r="I365" s="5"/>
      <c r="J365" s="6"/>
      <c r="K365" s="7"/>
      <c r="L365" s="13"/>
      <c r="M365" s="8"/>
      <c r="N365" s="13"/>
      <c r="O365" s="13"/>
      <c r="P365" s="13"/>
      <c r="Q365" s="7"/>
      <c r="R365" s="6"/>
      <c r="S365" s="5"/>
      <c r="T365" s="7"/>
      <c r="U365" s="7"/>
      <c r="V365" s="5"/>
      <c r="W365" s="6"/>
      <c r="X365" s="6"/>
      <c r="Y365" s="5"/>
      <c r="Z365" s="6"/>
      <c r="AA365" s="6"/>
      <c r="AB365" s="5"/>
      <c r="AC365" s="6"/>
      <c r="AD365" s="6"/>
      <c r="AE365" s="5"/>
      <c r="AF365" s="6"/>
      <c r="AG365" s="6"/>
      <c r="AH365" s="5"/>
      <c r="AI365" s="6"/>
      <c r="AJ365" s="6"/>
      <c r="AK365" s="5"/>
      <c r="AL365" s="5"/>
      <c r="AM365" s="5"/>
      <c r="AN365" s="5"/>
      <c r="AO365" s="5"/>
      <c r="AP365" s="5"/>
      <c r="AQ365" s="5"/>
    </row>
    <row r="366" spans="1:43" x14ac:dyDescent="0.25">
      <c r="A366" s="161" t="str">
        <f t="shared" si="9"/>
        <v>CARGO_SHIP_RENAISSANCE_RIGA</v>
      </c>
      <c r="B366" s="9" t="s">
        <v>1322</v>
      </c>
      <c r="C366" s="5" t="s">
        <v>1203</v>
      </c>
      <c r="D366" s="5" t="s">
        <v>717</v>
      </c>
      <c r="E366" s="5" t="s">
        <v>1324</v>
      </c>
      <c r="F366" s="5" t="s">
        <v>1326</v>
      </c>
      <c r="G366" s="5"/>
      <c r="H366" s="5"/>
      <c r="I366" s="5"/>
      <c r="J366" s="6"/>
      <c r="K366" s="7"/>
      <c r="L366" s="13"/>
      <c r="M366" s="8"/>
      <c r="N366" s="13"/>
      <c r="O366" s="13"/>
      <c r="P366" s="13"/>
      <c r="Q366" s="7"/>
      <c r="R366" s="6"/>
      <c r="S366" s="5"/>
      <c r="T366" s="7"/>
      <c r="U366" s="7"/>
      <c r="V366" s="5"/>
      <c r="W366" s="6"/>
      <c r="X366" s="6"/>
      <c r="Y366" s="5"/>
      <c r="Z366" s="6"/>
      <c r="AA366" s="6"/>
      <c r="AB366" s="5"/>
      <c r="AC366" s="6"/>
      <c r="AD366" s="6"/>
      <c r="AE366" s="5"/>
      <c r="AF366" s="6"/>
      <c r="AG366" s="6"/>
      <c r="AH366" s="5"/>
      <c r="AI366" s="6"/>
      <c r="AJ366" s="6"/>
      <c r="AK366" s="5"/>
      <c r="AL366" s="5"/>
      <c r="AM366" s="5"/>
      <c r="AN366" s="5"/>
      <c r="AO366" s="5"/>
      <c r="AP366" s="5"/>
      <c r="AQ366" s="5"/>
    </row>
    <row r="367" spans="1:43" x14ac:dyDescent="0.25">
      <c r="A367" s="161" t="str">
        <f t="shared" si="9"/>
        <v>CARGO_SHIP_RENAISSANCE_WITTENBERG</v>
      </c>
      <c r="B367" s="9" t="s">
        <v>1322</v>
      </c>
      <c r="C367" s="5" t="s">
        <v>1215</v>
      </c>
      <c r="D367" s="5" t="s">
        <v>717</v>
      </c>
      <c r="E367" s="5" t="s">
        <v>1324</v>
      </c>
      <c r="F367" s="5" t="s">
        <v>1326</v>
      </c>
      <c r="G367" s="5"/>
      <c r="H367" s="5"/>
      <c r="I367" s="5"/>
      <c r="J367" s="6"/>
      <c r="K367" s="7"/>
      <c r="L367" s="13"/>
      <c r="M367" s="8"/>
      <c r="N367" s="13"/>
      <c r="O367" s="13"/>
      <c r="P367" s="13"/>
      <c r="Q367" s="7"/>
      <c r="R367" s="6"/>
      <c r="S367" s="5"/>
      <c r="T367" s="7"/>
      <c r="U367" s="7"/>
      <c r="V367" s="5"/>
      <c r="W367" s="6"/>
      <c r="X367" s="6"/>
      <c r="Y367" s="5"/>
      <c r="Z367" s="6"/>
      <c r="AA367" s="6"/>
      <c r="AB367" s="5"/>
      <c r="AC367" s="6"/>
      <c r="AD367" s="6"/>
      <c r="AE367" s="5"/>
      <c r="AF367" s="6"/>
      <c r="AG367" s="6"/>
      <c r="AH367" s="5"/>
      <c r="AI367" s="6"/>
      <c r="AJ367" s="6"/>
      <c r="AK367" s="5"/>
      <c r="AL367" s="5"/>
      <c r="AM367" s="5"/>
      <c r="AN367" s="5"/>
      <c r="AO367" s="5"/>
      <c r="AP367" s="5"/>
      <c r="AQ367" s="5"/>
    </row>
    <row r="368" spans="1:43" x14ac:dyDescent="0.25">
      <c r="A368" s="161" t="str">
        <f t="shared" si="9"/>
        <v>CARGO_SHIP_RENAISSANCE_MED</v>
      </c>
      <c r="B368" s="9" t="s">
        <v>1322</v>
      </c>
      <c r="C368" s="5" t="s">
        <v>692</v>
      </c>
      <c r="D368" s="5"/>
      <c r="E368" s="5" t="s">
        <v>1324</v>
      </c>
      <c r="F368" s="5" t="s">
        <v>1326</v>
      </c>
      <c r="G368" s="5"/>
      <c r="H368" s="5" t="s">
        <v>2064</v>
      </c>
      <c r="I368" s="5" t="s">
        <v>1984</v>
      </c>
      <c r="J368" s="6">
        <v>1</v>
      </c>
      <c r="K368" s="7"/>
      <c r="L368" s="13"/>
      <c r="M368" s="8"/>
      <c r="N368" s="13"/>
      <c r="O368" s="13"/>
      <c r="P368" s="13"/>
      <c r="Q368" s="7"/>
      <c r="R368" s="6">
        <v>0.11</v>
      </c>
      <c r="S368" s="5"/>
      <c r="T368" s="7"/>
      <c r="U368" s="7"/>
      <c r="V368" s="5"/>
      <c r="W368" s="6"/>
      <c r="X368" s="6"/>
      <c r="Y368" s="5"/>
      <c r="Z368" s="6"/>
      <c r="AA368" s="6"/>
      <c r="AB368" s="5"/>
      <c r="AC368" s="6"/>
      <c r="AD368" s="6"/>
      <c r="AE368" s="5"/>
      <c r="AF368" s="6"/>
      <c r="AG368" s="6"/>
      <c r="AH368" s="5"/>
      <c r="AI368" s="6"/>
      <c r="AJ368" s="6"/>
      <c r="AK368" s="5"/>
      <c r="AL368" s="5"/>
      <c r="AM368" s="5"/>
      <c r="AN368" s="5"/>
      <c r="AO368" s="5"/>
      <c r="AP368" s="5"/>
      <c r="AQ368" s="5"/>
    </row>
    <row r="369" spans="1:43" x14ac:dyDescent="0.25">
      <c r="A369" s="161" t="str">
        <f t="shared" si="9"/>
        <v>CARGO_SHIP_RENAISSANCE_ROME</v>
      </c>
      <c r="B369" s="9" t="s">
        <v>1322</v>
      </c>
      <c r="C369" s="5" t="s">
        <v>734</v>
      </c>
      <c r="D369" s="5"/>
      <c r="E369" s="5" t="s">
        <v>1324</v>
      </c>
      <c r="F369" s="5" t="s">
        <v>1326</v>
      </c>
      <c r="G369" s="5"/>
      <c r="H369" s="5" t="s">
        <v>1983</v>
      </c>
      <c r="I369" s="5" t="s">
        <v>1984</v>
      </c>
      <c r="J369" s="6">
        <v>1</v>
      </c>
      <c r="K369" s="7"/>
      <c r="L369" s="13"/>
      <c r="M369" s="8"/>
      <c r="N369" s="13"/>
      <c r="O369" s="13"/>
      <c r="P369" s="13"/>
      <c r="Q369" s="7"/>
      <c r="R369" s="6">
        <v>0.11</v>
      </c>
      <c r="S369" s="5"/>
      <c r="T369" s="7"/>
      <c r="U369" s="7"/>
      <c r="V369" s="5"/>
      <c r="W369" s="6"/>
      <c r="X369" s="6"/>
      <c r="Y369" s="5"/>
      <c r="Z369" s="6"/>
      <c r="AA369" s="6"/>
      <c r="AB369" s="5"/>
      <c r="AC369" s="6"/>
      <c r="AD369" s="6"/>
      <c r="AE369" s="5"/>
      <c r="AF369" s="6"/>
      <c r="AG369" s="6"/>
      <c r="AH369" s="5"/>
      <c r="AI369" s="6"/>
      <c r="AJ369" s="6"/>
      <c r="AK369" s="5"/>
      <c r="AL369" s="5"/>
      <c r="AM369" s="5"/>
      <c r="AN369" s="5"/>
      <c r="AO369" s="5"/>
      <c r="AP369" s="5"/>
      <c r="AQ369" s="5"/>
    </row>
    <row r="370" spans="1:43" x14ac:dyDescent="0.25">
      <c r="A370" s="161" t="str">
        <f t="shared" si="9"/>
        <v>CARGO_SHIP_RENAISSANCE_SPAIN</v>
      </c>
      <c r="B370" s="9" t="s">
        <v>1322</v>
      </c>
      <c r="C370" s="5" t="s">
        <v>738</v>
      </c>
      <c r="D370" s="5"/>
      <c r="E370" s="5" t="s">
        <v>1324</v>
      </c>
      <c r="F370" s="5" t="s">
        <v>1326</v>
      </c>
      <c r="G370" s="5"/>
      <c r="H370" s="5" t="s">
        <v>1658</v>
      </c>
      <c r="I370" s="5" t="s">
        <v>128</v>
      </c>
      <c r="J370" s="6">
        <v>1</v>
      </c>
      <c r="K370" s="7"/>
      <c r="L370" s="13" t="s">
        <v>1712</v>
      </c>
      <c r="M370" s="8"/>
      <c r="N370" s="13" t="s">
        <v>1727</v>
      </c>
      <c r="O370" s="13"/>
      <c r="P370" s="13"/>
      <c r="Q370" s="7">
        <v>1</v>
      </c>
      <c r="R370" s="6">
        <v>0.15</v>
      </c>
      <c r="S370" s="13"/>
      <c r="T370" s="6">
        <v>3</v>
      </c>
      <c r="U370" s="6" t="s">
        <v>1695</v>
      </c>
      <c r="V370" s="5" t="s">
        <v>1696</v>
      </c>
      <c r="W370" s="6"/>
      <c r="X370" s="6"/>
      <c r="Y370" s="5"/>
      <c r="Z370" s="7"/>
      <c r="AA370" s="6"/>
      <c r="AB370" s="5"/>
      <c r="AC370" s="6"/>
      <c r="AD370" s="6"/>
      <c r="AE370" s="5"/>
      <c r="AF370" s="6"/>
      <c r="AG370" s="6"/>
      <c r="AH370" s="5"/>
      <c r="AI370" s="6"/>
      <c r="AJ370" s="6"/>
      <c r="AK370" s="5"/>
      <c r="AL370" s="5"/>
      <c r="AM370" s="5"/>
      <c r="AN370" s="5"/>
      <c r="AO370" s="5"/>
      <c r="AP370" s="5"/>
      <c r="AQ370" s="5"/>
    </row>
    <row r="371" spans="1:43" x14ac:dyDescent="0.25">
      <c r="A371" s="161" t="str">
        <f t="shared" si="9"/>
        <v>CARGO_SHIP_RENAISSANCE_NORTHAF</v>
      </c>
      <c r="B371" s="9" t="s">
        <v>1322</v>
      </c>
      <c r="C371" s="5" t="s">
        <v>2011</v>
      </c>
      <c r="D371" s="5"/>
      <c r="E371" s="5" t="s">
        <v>1324</v>
      </c>
      <c r="F371" s="5" t="s">
        <v>1326</v>
      </c>
      <c r="G371" s="5"/>
      <c r="H371" s="5" t="s">
        <v>1980</v>
      </c>
      <c r="I371" s="5" t="s">
        <v>1984</v>
      </c>
      <c r="J371" s="6">
        <v>1</v>
      </c>
      <c r="K371" s="7"/>
      <c r="L371" s="13"/>
      <c r="M371" s="8"/>
      <c r="N371" s="13"/>
      <c r="O371" s="13"/>
      <c r="P371" s="13"/>
      <c r="Q371" s="7"/>
      <c r="R371" s="6">
        <v>0.11</v>
      </c>
      <c r="S371" s="5"/>
      <c r="T371" s="7"/>
      <c r="U371" s="7"/>
      <c r="V371" s="5"/>
      <c r="W371" s="6"/>
      <c r="X371" s="6"/>
      <c r="Y371" s="5"/>
      <c r="Z371" s="6"/>
      <c r="AA371" s="6"/>
      <c r="AB371" s="5"/>
      <c r="AC371" s="6"/>
      <c r="AD371" s="6"/>
      <c r="AE371" s="5"/>
      <c r="AF371" s="6"/>
      <c r="AG371" s="6"/>
      <c r="AH371" s="5"/>
      <c r="AI371" s="6"/>
      <c r="AJ371" s="6"/>
      <c r="AK371" s="5"/>
      <c r="AL371" s="5"/>
      <c r="AM371" s="5"/>
      <c r="AN371" s="5"/>
      <c r="AO371" s="5"/>
      <c r="AP371" s="5"/>
      <c r="AQ371" s="5"/>
    </row>
    <row r="372" spans="1:43" x14ac:dyDescent="0.25">
      <c r="A372" s="161" t="str">
        <f t="shared" si="9"/>
        <v>CARGO_SHIP_RENAISSANCE_SWEDEN</v>
      </c>
      <c r="B372" s="9" t="s">
        <v>1322</v>
      </c>
      <c r="C372" s="5" t="s">
        <v>739</v>
      </c>
      <c r="D372" s="5"/>
      <c r="E372" s="5" t="s">
        <v>1324</v>
      </c>
      <c r="F372" s="5" t="s">
        <v>1326</v>
      </c>
      <c r="G372" s="5"/>
      <c r="H372" s="5" t="s">
        <v>1982</v>
      </c>
      <c r="I372" s="5" t="s">
        <v>1984</v>
      </c>
      <c r="J372" s="6">
        <v>1</v>
      </c>
      <c r="K372" s="7"/>
      <c r="L372" s="13"/>
      <c r="M372" s="8"/>
      <c r="N372" s="13"/>
      <c r="O372" s="13"/>
      <c r="P372" s="13"/>
      <c r="Q372" s="7"/>
      <c r="R372" s="6">
        <v>0.11</v>
      </c>
      <c r="S372" s="5"/>
      <c r="T372" s="7"/>
      <c r="U372" s="7"/>
      <c r="V372" s="5"/>
      <c r="W372" s="6"/>
      <c r="X372" s="6"/>
      <c r="Y372" s="5"/>
      <c r="Z372" s="6"/>
      <c r="AA372" s="6"/>
      <c r="AB372" s="5"/>
      <c r="AC372" s="6"/>
      <c r="AD372" s="6"/>
      <c r="AE372" s="5"/>
      <c r="AF372" s="6"/>
      <c r="AG372" s="6"/>
      <c r="AH372" s="5"/>
      <c r="AI372" s="6"/>
      <c r="AJ372" s="6"/>
      <c r="AK372" s="5"/>
      <c r="AL372" s="5"/>
      <c r="AM372" s="5"/>
      <c r="AN372" s="5"/>
      <c r="AO372" s="5"/>
      <c r="AP372" s="5"/>
      <c r="AQ372" s="5"/>
    </row>
    <row r="373" spans="1:43" s="2" customFormat="1" x14ac:dyDescent="0.25">
      <c r="A373" s="161" t="str">
        <f t="shared" si="8"/>
        <v>CARRIER</v>
      </c>
      <c r="B373" s="9" t="s">
        <v>117</v>
      </c>
      <c r="C373" s="5"/>
      <c r="D373" s="5"/>
      <c r="E373" s="5" t="s">
        <v>117</v>
      </c>
      <c r="F373" s="5" t="s">
        <v>117</v>
      </c>
      <c r="G373" s="5"/>
      <c r="H373" s="5" t="s">
        <v>1500</v>
      </c>
      <c r="I373" s="5" t="s">
        <v>102</v>
      </c>
      <c r="J373" s="6"/>
      <c r="K373" s="7"/>
      <c r="L373" s="13" t="s">
        <v>1713</v>
      </c>
      <c r="M373" s="8"/>
      <c r="N373" s="13" t="s">
        <v>1727</v>
      </c>
      <c r="O373" s="13"/>
      <c r="P373" s="13"/>
      <c r="Q373" s="7">
        <v>1</v>
      </c>
      <c r="R373" s="6">
        <v>0.09</v>
      </c>
      <c r="S373" s="5"/>
      <c r="T373" s="6"/>
      <c r="U373" s="6">
        <v>0.105</v>
      </c>
      <c r="V373" s="5"/>
      <c r="W373" s="6"/>
      <c r="X373" s="6"/>
      <c r="Y373" s="5"/>
      <c r="Z373" s="6"/>
      <c r="AA373" s="6"/>
      <c r="AB373" s="5"/>
      <c r="AC373" s="6"/>
      <c r="AD373" s="6"/>
      <c r="AE373" s="5"/>
      <c r="AF373" s="6"/>
      <c r="AG373" s="6"/>
      <c r="AH373" s="5"/>
      <c r="AI373" s="6"/>
      <c r="AJ373" s="6"/>
      <c r="AK373" s="5"/>
      <c r="AL373" s="5"/>
      <c r="AM373" s="5"/>
      <c r="AN373" s="5"/>
      <c r="AO373" s="5"/>
      <c r="AP373" s="5"/>
      <c r="AQ373" s="5"/>
    </row>
    <row r="374" spans="1:43" s="2" customFormat="1" x14ac:dyDescent="0.25">
      <c r="A374" s="161" t="str">
        <f t="shared" si="8"/>
        <v>CARRIER_ZULU</v>
      </c>
      <c r="B374" s="9" t="s">
        <v>117</v>
      </c>
      <c r="C374" s="5" t="s">
        <v>742</v>
      </c>
      <c r="D374" s="5" t="s">
        <v>713</v>
      </c>
      <c r="E374" s="5" t="s">
        <v>117</v>
      </c>
      <c r="F374" s="5" t="s">
        <v>117</v>
      </c>
      <c r="G374" s="5"/>
      <c r="H374" s="5"/>
      <c r="I374" s="5"/>
      <c r="J374" s="6"/>
      <c r="K374" s="7"/>
      <c r="L374" s="13"/>
      <c r="M374" s="8"/>
      <c r="N374" s="13"/>
      <c r="O374" s="13"/>
      <c r="P374" s="13"/>
      <c r="Q374" s="7"/>
      <c r="R374" s="6"/>
      <c r="S374" s="5"/>
      <c r="T374" s="6"/>
      <c r="U374" s="6"/>
      <c r="V374" s="5"/>
      <c r="W374" s="6"/>
      <c r="X374" s="6"/>
      <c r="Y374" s="5"/>
      <c r="Z374" s="6"/>
      <c r="AA374" s="6"/>
      <c r="AB374" s="5"/>
      <c r="AC374" s="6"/>
      <c r="AD374" s="6"/>
      <c r="AE374" s="5"/>
      <c r="AF374" s="6"/>
      <c r="AG374" s="6"/>
      <c r="AH374" s="5"/>
      <c r="AI374" s="6"/>
      <c r="AJ374" s="6"/>
      <c r="AK374" s="5"/>
      <c r="AL374" s="5"/>
      <c r="AM374" s="5"/>
      <c r="AN374" s="5"/>
      <c r="AO374" s="5"/>
      <c r="AP374" s="5"/>
      <c r="AQ374" s="5"/>
    </row>
    <row r="375" spans="1:43" s="2" customFormat="1" x14ac:dyDescent="0.25">
      <c r="A375" s="161" t="str">
        <f t="shared" si="8"/>
        <v>CARRIER_AMER</v>
      </c>
      <c r="B375" s="9" t="s">
        <v>117</v>
      </c>
      <c r="C375" s="5" t="s">
        <v>697</v>
      </c>
      <c r="D375" s="5" t="s">
        <v>699</v>
      </c>
      <c r="E375" s="5" t="s">
        <v>117</v>
      </c>
      <c r="F375" s="5" t="s">
        <v>117</v>
      </c>
      <c r="G375" s="5"/>
      <c r="H375" s="5"/>
      <c r="I375" s="5"/>
      <c r="J375" s="6"/>
      <c r="K375" s="7"/>
      <c r="L375" s="13"/>
      <c r="M375" s="8"/>
      <c r="N375" s="13"/>
      <c r="O375" s="13"/>
      <c r="P375" s="13"/>
      <c r="Q375" s="7"/>
      <c r="R375" s="6"/>
      <c r="S375" s="5"/>
      <c r="T375" s="6"/>
      <c r="U375" s="6"/>
      <c r="V375" s="5"/>
      <c r="W375" s="6"/>
      <c r="X375" s="6"/>
      <c r="Y375" s="5"/>
      <c r="Z375" s="6"/>
      <c r="AA375" s="6"/>
      <c r="AB375" s="5"/>
      <c r="AC375" s="6"/>
      <c r="AD375" s="6"/>
      <c r="AE375" s="5"/>
      <c r="AF375" s="6"/>
      <c r="AG375" s="6"/>
      <c r="AH375" s="5"/>
      <c r="AI375" s="6"/>
      <c r="AJ375" s="6"/>
      <c r="AK375" s="5"/>
      <c r="AL375" s="5"/>
      <c r="AM375" s="5"/>
      <c r="AN375" s="5"/>
      <c r="AO375" s="5"/>
      <c r="AP375" s="5"/>
      <c r="AQ375" s="5"/>
    </row>
    <row r="376" spans="1:43" s="2" customFormat="1" x14ac:dyDescent="0.25">
      <c r="A376" s="161" t="str">
        <f t="shared" si="8"/>
        <v>CARRIER_ASIA</v>
      </c>
      <c r="B376" s="9" t="s">
        <v>117</v>
      </c>
      <c r="C376" s="5" t="s">
        <v>693</v>
      </c>
      <c r="D376" s="5" t="s">
        <v>698</v>
      </c>
      <c r="E376" s="5" t="s">
        <v>117</v>
      </c>
      <c r="F376" s="5" t="s">
        <v>117</v>
      </c>
      <c r="G376" s="5"/>
      <c r="H376" s="5"/>
      <c r="I376" s="5"/>
      <c r="J376" s="6"/>
      <c r="K376" s="7"/>
      <c r="L376" s="13"/>
      <c r="M376" s="8"/>
      <c r="N376" s="13"/>
      <c r="O376" s="13"/>
      <c r="P376" s="13"/>
      <c r="Q376" s="7"/>
      <c r="R376" s="6"/>
      <c r="S376" s="5"/>
      <c r="T376" s="6"/>
      <c r="U376" s="6"/>
      <c r="V376" s="5"/>
      <c r="W376" s="6"/>
      <c r="X376" s="6"/>
      <c r="Y376" s="5"/>
      <c r="Z376" s="6"/>
      <c r="AA376" s="6"/>
      <c r="AB376" s="5"/>
      <c r="AC376" s="6"/>
      <c r="AD376" s="6"/>
      <c r="AE376" s="5"/>
      <c r="AF376" s="6"/>
      <c r="AG376" s="6"/>
      <c r="AH376" s="5"/>
      <c r="AI376" s="6"/>
      <c r="AJ376" s="6"/>
      <c r="AK376" s="5"/>
      <c r="AL376" s="5"/>
      <c r="AM376" s="5"/>
      <c r="AN376" s="5"/>
      <c r="AO376" s="5"/>
      <c r="AP376" s="5"/>
      <c r="AQ376" s="5"/>
    </row>
    <row r="377" spans="1:43" s="2" customFormat="1" x14ac:dyDescent="0.25">
      <c r="A377" s="161" t="str">
        <f t="shared" si="8"/>
        <v>CARRIER_JAPAN</v>
      </c>
      <c r="B377" s="9" t="s">
        <v>117</v>
      </c>
      <c r="C377" s="4" t="s">
        <v>722</v>
      </c>
      <c r="D377" s="4"/>
      <c r="E377" s="4" t="s">
        <v>117</v>
      </c>
      <c r="F377" s="4" t="s">
        <v>117</v>
      </c>
      <c r="G377" s="14" t="s">
        <v>132</v>
      </c>
      <c r="H377" s="4" t="s">
        <v>1936</v>
      </c>
      <c r="I377" s="4" t="s">
        <v>102</v>
      </c>
      <c r="J377" s="11"/>
      <c r="K377" s="11"/>
      <c r="L377" s="4"/>
      <c r="M377" s="12"/>
      <c r="N377" s="4"/>
      <c r="O377" s="4"/>
      <c r="P377" s="4"/>
      <c r="Q377" s="11"/>
      <c r="R377" s="11"/>
      <c r="S377" s="4"/>
      <c r="T377" s="11"/>
      <c r="U377" s="11"/>
      <c r="V377" s="4"/>
      <c r="W377" s="11"/>
      <c r="X377" s="11"/>
      <c r="Y377" s="4"/>
      <c r="Z377" s="11"/>
      <c r="AA377" s="11"/>
      <c r="AB377" s="4"/>
      <c r="AC377" s="11"/>
      <c r="AD377" s="11"/>
      <c r="AE377" s="4"/>
      <c r="AF377" s="11"/>
      <c r="AG377" s="11"/>
      <c r="AH377" s="4"/>
      <c r="AI377" s="11"/>
      <c r="AJ377" s="11"/>
      <c r="AK377" s="4"/>
      <c r="AL377" s="4"/>
      <c r="AM377" s="4"/>
      <c r="AN377" s="4"/>
      <c r="AO377" s="4"/>
      <c r="AP377" s="4"/>
      <c r="AQ377" s="4"/>
    </row>
    <row r="378" spans="1:43" s="2" customFormat="1" x14ac:dyDescent="0.25">
      <c r="A378" s="161" t="str">
        <f t="shared" si="8"/>
        <v>CARRIER_KOREA</v>
      </c>
      <c r="B378" s="9" t="s">
        <v>117</v>
      </c>
      <c r="C378" s="4" t="s">
        <v>723</v>
      </c>
      <c r="D378" s="4" t="s">
        <v>722</v>
      </c>
      <c r="E378" s="4" t="s">
        <v>117</v>
      </c>
      <c r="F378" s="4" t="s">
        <v>117</v>
      </c>
      <c r="G378" s="14"/>
      <c r="H378" s="4"/>
      <c r="I378" s="4"/>
      <c r="J378" s="11"/>
      <c r="K378" s="11"/>
      <c r="L378" s="4"/>
      <c r="M378" s="12"/>
      <c r="N378" s="4"/>
      <c r="O378" s="4"/>
      <c r="P378" s="4"/>
      <c r="Q378" s="11"/>
      <c r="R378" s="11"/>
      <c r="S378" s="4"/>
      <c r="T378" s="11"/>
      <c r="U378" s="11"/>
      <c r="V378" s="4"/>
      <c r="W378" s="11"/>
      <c r="X378" s="11"/>
      <c r="Y378" s="4"/>
      <c r="Z378" s="11"/>
      <c r="AA378" s="11"/>
      <c r="AB378" s="4"/>
      <c r="AC378" s="11"/>
      <c r="AD378" s="11"/>
      <c r="AE378" s="4"/>
      <c r="AF378" s="11"/>
      <c r="AG378" s="11"/>
      <c r="AH378" s="4"/>
      <c r="AI378" s="11"/>
      <c r="AJ378" s="11"/>
      <c r="AK378" s="4"/>
      <c r="AL378" s="4"/>
      <c r="AM378" s="4"/>
      <c r="AN378" s="4"/>
      <c r="AO378" s="4"/>
      <c r="AP378" s="4"/>
      <c r="AQ378" s="4"/>
    </row>
    <row r="379" spans="1:43" s="2" customFormat="1" x14ac:dyDescent="0.25">
      <c r="A379" s="161" t="str">
        <f t="shared" si="8"/>
        <v>CARRIER_EASTEU</v>
      </c>
      <c r="B379" s="9" t="s">
        <v>117</v>
      </c>
      <c r="C379" s="4" t="s">
        <v>698</v>
      </c>
      <c r="D379" s="4"/>
      <c r="E379" s="4" t="s">
        <v>117</v>
      </c>
      <c r="F379" s="4" t="s">
        <v>117</v>
      </c>
      <c r="G379" s="14"/>
      <c r="H379" s="4" t="s">
        <v>608</v>
      </c>
      <c r="I379" s="4" t="s">
        <v>102</v>
      </c>
      <c r="J379" s="11"/>
      <c r="K379" s="11"/>
      <c r="L379" s="4"/>
      <c r="M379" s="12"/>
      <c r="N379" s="4"/>
      <c r="O379" s="4"/>
      <c r="P379" s="4"/>
      <c r="Q379" s="11"/>
      <c r="R379" s="11"/>
      <c r="S379" s="4"/>
      <c r="T379" s="11"/>
      <c r="U379" s="11"/>
      <c r="V379" s="4"/>
      <c r="W379" s="11"/>
      <c r="X379" s="11"/>
      <c r="Y379" s="4"/>
      <c r="Z379" s="11"/>
      <c r="AA379" s="11"/>
      <c r="AB379" s="4"/>
      <c r="AC379" s="11"/>
      <c r="AD379" s="11"/>
      <c r="AE379" s="4"/>
      <c r="AF379" s="11"/>
      <c r="AG379" s="11"/>
      <c r="AH379" s="4"/>
      <c r="AI379" s="11"/>
      <c r="AJ379" s="11"/>
      <c r="AK379" s="4"/>
      <c r="AL379" s="4"/>
      <c r="AM379" s="4"/>
      <c r="AN379" s="4"/>
      <c r="AO379" s="4"/>
      <c r="AP379" s="4"/>
      <c r="AQ379" s="4"/>
    </row>
    <row r="380" spans="1:43" s="2" customFormat="1" x14ac:dyDescent="0.25">
      <c r="A380" s="161" t="str">
        <f t="shared" si="8"/>
        <v>CARRIER_RUSSIA</v>
      </c>
      <c r="B380" s="9" t="s">
        <v>117</v>
      </c>
      <c r="C380" s="4" t="s">
        <v>735</v>
      </c>
      <c r="D380" s="4" t="s">
        <v>698</v>
      </c>
      <c r="E380" s="4" t="s">
        <v>117</v>
      </c>
      <c r="F380" s="4" t="s">
        <v>117</v>
      </c>
      <c r="G380" s="14" t="s">
        <v>132</v>
      </c>
      <c r="H380" s="4"/>
      <c r="I380" s="4"/>
      <c r="J380" s="11"/>
      <c r="K380" s="11"/>
      <c r="L380" s="4"/>
      <c r="M380" s="12"/>
      <c r="N380" s="4"/>
      <c r="O380" s="4"/>
      <c r="P380" s="4"/>
      <c r="Q380" s="11"/>
      <c r="R380" s="11"/>
      <c r="S380" s="4"/>
      <c r="T380" s="11"/>
      <c r="U380" s="11"/>
      <c r="V380" s="4"/>
      <c r="W380" s="11"/>
      <c r="X380" s="11"/>
      <c r="Y380" s="4"/>
      <c r="Z380" s="11"/>
      <c r="AA380" s="11"/>
      <c r="AB380" s="4"/>
      <c r="AC380" s="11"/>
      <c r="AD380" s="11"/>
      <c r="AE380" s="4"/>
      <c r="AF380" s="11"/>
      <c r="AG380" s="11"/>
      <c r="AH380" s="4"/>
      <c r="AI380" s="11"/>
      <c r="AJ380" s="11"/>
      <c r="AK380" s="4"/>
      <c r="AL380" s="4"/>
      <c r="AM380" s="4"/>
      <c r="AN380" s="4"/>
      <c r="AO380" s="4"/>
      <c r="AP380" s="4"/>
      <c r="AQ380" s="4"/>
    </row>
    <row r="381" spans="1:43" s="2" customFormat="1" x14ac:dyDescent="0.25">
      <c r="A381" s="161" t="str">
        <f t="shared" si="8"/>
        <v>CARRIER_AMERICA</v>
      </c>
      <c r="B381" s="9" t="s">
        <v>117</v>
      </c>
      <c r="C381" s="4" t="s">
        <v>699</v>
      </c>
      <c r="D381" s="4"/>
      <c r="E381" s="4" t="s">
        <v>117</v>
      </c>
      <c r="F381" s="4" t="s">
        <v>117</v>
      </c>
      <c r="G381" s="14"/>
      <c r="H381" s="4" t="s">
        <v>135</v>
      </c>
      <c r="I381" s="4" t="s">
        <v>102</v>
      </c>
      <c r="J381" s="11"/>
      <c r="K381" s="11"/>
      <c r="L381" s="4"/>
      <c r="M381" s="12"/>
      <c r="N381" s="4"/>
      <c r="O381" s="4"/>
      <c r="P381" s="4"/>
      <c r="Q381" s="11"/>
      <c r="R381" s="11"/>
      <c r="S381" s="4"/>
      <c r="T381" s="11"/>
      <c r="U381" s="11"/>
      <c r="V381" s="4"/>
      <c r="W381" s="11"/>
      <c r="X381" s="11"/>
      <c r="Y381" s="4"/>
      <c r="Z381" s="11"/>
      <c r="AA381" s="11"/>
      <c r="AB381" s="4"/>
      <c r="AC381" s="11"/>
      <c r="AD381" s="11"/>
      <c r="AE381" s="4"/>
      <c r="AF381" s="11"/>
      <c r="AG381" s="11"/>
      <c r="AH381" s="4"/>
      <c r="AI381" s="11"/>
      <c r="AJ381" s="11"/>
      <c r="AK381" s="4"/>
      <c r="AL381" s="4"/>
      <c r="AM381" s="4"/>
      <c r="AN381" s="4"/>
      <c r="AO381" s="4"/>
      <c r="AP381" s="4"/>
      <c r="AQ381" s="4"/>
    </row>
    <row r="382" spans="1:43" s="2" customFormat="1" x14ac:dyDescent="0.25">
      <c r="A382" s="161" t="str">
        <f t="shared" si="8"/>
        <v>CARRIER_AUSTRALIA</v>
      </c>
      <c r="B382" s="9" t="s">
        <v>117</v>
      </c>
      <c r="C382" s="4" t="s">
        <v>1302</v>
      </c>
      <c r="D382" s="4" t="s">
        <v>713</v>
      </c>
      <c r="E382" s="4" t="s">
        <v>117</v>
      </c>
      <c r="F382" s="4" t="s">
        <v>117</v>
      </c>
      <c r="G382" s="14"/>
      <c r="H382" s="4"/>
      <c r="I382" s="4"/>
      <c r="J382" s="11"/>
      <c r="K382" s="11"/>
      <c r="L382" s="4"/>
      <c r="M382" s="12"/>
      <c r="N382" s="4"/>
      <c r="O382" s="4"/>
      <c r="P382" s="4"/>
      <c r="Q382" s="11"/>
      <c r="R382" s="11"/>
      <c r="S382" s="4"/>
      <c r="T382" s="11"/>
      <c r="U382" s="11"/>
      <c r="V382" s="4"/>
      <c r="W382" s="11"/>
      <c r="X382" s="11"/>
      <c r="Y382" s="4"/>
      <c r="Z382" s="11"/>
      <c r="AA382" s="11"/>
      <c r="AB382" s="4"/>
      <c r="AC382" s="11"/>
      <c r="AD382" s="11"/>
      <c r="AE382" s="4"/>
      <c r="AF382" s="11"/>
      <c r="AG382" s="11"/>
      <c r="AH382" s="4"/>
      <c r="AI382" s="11"/>
      <c r="AJ382" s="11"/>
      <c r="AK382" s="4"/>
      <c r="AL382" s="4"/>
      <c r="AM382" s="4"/>
      <c r="AN382" s="4"/>
      <c r="AO382" s="4"/>
      <c r="AP382" s="4"/>
      <c r="AQ382" s="4"/>
    </row>
    <row r="383" spans="1:43" s="2" customFormat="1" x14ac:dyDescent="0.25">
      <c r="A383" s="161" t="str">
        <f t="shared" si="8"/>
        <v>CARRIER_AUSTRIA</v>
      </c>
      <c r="B383" s="9" t="s">
        <v>117</v>
      </c>
      <c r="C383" s="4" t="s">
        <v>701</v>
      </c>
      <c r="D383" s="4" t="s">
        <v>717</v>
      </c>
      <c r="E383" s="4" t="s">
        <v>117</v>
      </c>
      <c r="F383" s="4" t="s">
        <v>117</v>
      </c>
      <c r="G383" s="14"/>
      <c r="H383" s="4"/>
      <c r="I383" s="4"/>
      <c r="J383" s="11"/>
      <c r="K383" s="11"/>
      <c r="L383" s="4"/>
      <c r="M383" s="12"/>
      <c r="N383" s="4"/>
      <c r="O383" s="4"/>
      <c r="P383" s="4"/>
      <c r="Q383" s="11"/>
      <c r="R383" s="11"/>
      <c r="S383" s="4"/>
      <c r="T383" s="11"/>
      <c r="U383" s="11"/>
      <c r="V383" s="4"/>
      <c r="W383" s="11"/>
      <c r="X383" s="11"/>
      <c r="Y383" s="4"/>
      <c r="Z383" s="11"/>
      <c r="AA383" s="11"/>
      <c r="AB383" s="4"/>
      <c r="AC383" s="11"/>
      <c r="AD383" s="11"/>
      <c r="AE383" s="4"/>
      <c r="AF383" s="11"/>
      <c r="AG383" s="11"/>
      <c r="AH383" s="4"/>
      <c r="AI383" s="11"/>
      <c r="AJ383" s="11"/>
      <c r="AK383" s="4"/>
      <c r="AL383" s="4"/>
      <c r="AM383" s="4"/>
      <c r="AN383" s="4"/>
      <c r="AO383" s="4"/>
      <c r="AP383" s="4"/>
      <c r="AQ383" s="4"/>
    </row>
    <row r="384" spans="1:43" s="2" customFormat="1" x14ac:dyDescent="0.25">
      <c r="A384" s="161" t="str">
        <f t="shared" si="8"/>
        <v>CARRIER_CANADA</v>
      </c>
      <c r="B384" s="9" t="s">
        <v>117</v>
      </c>
      <c r="C384" s="4" t="s">
        <v>2209</v>
      </c>
      <c r="D384" s="4" t="s">
        <v>713</v>
      </c>
      <c r="E384" s="4" t="s">
        <v>117</v>
      </c>
      <c r="F384" s="4" t="s">
        <v>117</v>
      </c>
      <c r="G384" s="14"/>
      <c r="H384" s="4"/>
      <c r="I384" s="4"/>
      <c r="J384" s="11"/>
      <c r="K384" s="11"/>
      <c r="L384" s="4"/>
      <c r="M384" s="12"/>
      <c r="N384" s="4"/>
      <c r="O384" s="4"/>
      <c r="P384" s="4"/>
      <c r="Q384" s="11"/>
      <c r="R384" s="11"/>
      <c r="S384" s="4"/>
      <c r="T384" s="11"/>
      <c r="U384" s="11"/>
      <c r="V384" s="4"/>
      <c r="W384" s="11"/>
      <c r="X384" s="11"/>
      <c r="Y384" s="4"/>
      <c r="Z384" s="11"/>
      <c r="AA384" s="11"/>
      <c r="AB384" s="4"/>
      <c r="AC384" s="11"/>
      <c r="AD384" s="11"/>
      <c r="AE384" s="4"/>
      <c r="AF384" s="11"/>
      <c r="AG384" s="11"/>
      <c r="AH384" s="4"/>
      <c r="AI384" s="11"/>
      <c r="AJ384" s="11"/>
      <c r="AK384" s="4"/>
      <c r="AL384" s="4"/>
      <c r="AM384" s="4"/>
      <c r="AN384" s="4"/>
      <c r="AO384" s="4"/>
      <c r="AP384" s="4"/>
      <c r="AQ384" s="4"/>
    </row>
    <row r="385" spans="1:43" s="2" customFormat="1" x14ac:dyDescent="0.25">
      <c r="A385" s="161" t="str">
        <f t="shared" si="8"/>
        <v>CARRIER_CELTS</v>
      </c>
      <c r="B385" s="9" t="s">
        <v>117</v>
      </c>
      <c r="C385" s="4" t="s">
        <v>709</v>
      </c>
      <c r="D385" s="4" t="s">
        <v>713</v>
      </c>
      <c r="E385" s="4" t="s">
        <v>117</v>
      </c>
      <c r="F385" s="4" t="s">
        <v>117</v>
      </c>
      <c r="G385" s="14"/>
      <c r="H385" s="4"/>
      <c r="I385" s="4"/>
      <c r="J385" s="11"/>
      <c r="K385" s="11"/>
      <c r="L385" s="4"/>
      <c r="M385" s="12"/>
      <c r="N385" s="4"/>
      <c r="O385" s="4"/>
      <c r="P385" s="4"/>
      <c r="Q385" s="11"/>
      <c r="R385" s="11"/>
      <c r="S385" s="4"/>
      <c r="T385" s="11"/>
      <c r="U385" s="11"/>
      <c r="V385" s="4"/>
      <c r="W385" s="11"/>
      <c r="X385" s="11"/>
      <c r="Y385" s="4"/>
      <c r="Z385" s="11"/>
      <c r="AA385" s="11"/>
      <c r="AB385" s="4"/>
      <c r="AC385" s="11"/>
      <c r="AD385" s="11"/>
      <c r="AE385" s="4"/>
      <c r="AF385" s="11"/>
      <c r="AG385" s="11"/>
      <c r="AH385" s="4"/>
      <c r="AI385" s="11"/>
      <c r="AJ385" s="11"/>
      <c r="AK385" s="4"/>
      <c r="AL385" s="4"/>
      <c r="AM385" s="4"/>
      <c r="AN385" s="4"/>
      <c r="AO385" s="4"/>
      <c r="AP385" s="4"/>
      <c r="AQ385" s="4"/>
    </row>
    <row r="386" spans="1:43" s="2" customFormat="1" x14ac:dyDescent="0.25">
      <c r="A386" s="161" t="str">
        <f t="shared" si="8"/>
        <v>CARRIER_ENGLAND</v>
      </c>
      <c r="B386" s="9" t="s">
        <v>117</v>
      </c>
      <c r="C386" s="4" t="s">
        <v>713</v>
      </c>
      <c r="D386" s="4"/>
      <c r="E386" s="4" t="s">
        <v>117</v>
      </c>
      <c r="F386" s="4" t="s">
        <v>117</v>
      </c>
      <c r="G386" s="14" t="s">
        <v>132</v>
      </c>
      <c r="H386" s="4" t="s">
        <v>294</v>
      </c>
      <c r="I386" s="4" t="s">
        <v>102</v>
      </c>
      <c r="J386" s="11"/>
      <c r="K386" s="11"/>
      <c r="L386" s="4"/>
      <c r="M386" s="12"/>
      <c r="N386" s="4"/>
      <c r="O386" s="4"/>
      <c r="P386" s="4"/>
      <c r="Q386" s="11"/>
      <c r="R386" s="11"/>
      <c r="S386" s="4"/>
      <c r="T386" s="11"/>
      <c r="U386" s="11"/>
      <c r="V386" s="4"/>
      <c r="W386" s="11"/>
      <c r="X386" s="11"/>
      <c r="Y386" s="4"/>
      <c r="Z386" s="11"/>
      <c r="AA386" s="11"/>
      <c r="AB386" s="4"/>
      <c r="AC386" s="11"/>
      <c r="AD386" s="11"/>
      <c r="AE386" s="4"/>
      <c r="AF386" s="11"/>
      <c r="AG386" s="11"/>
      <c r="AH386" s="4"/>
      <c r="AI386" s="11"/>
      <c r="AJ386" s="11"/>
      <c r="AK386" s="4"/>
      <c r="AL386" s="4"/>
      <c r="AM386" s="4"/>
      <c r="AN386" s="4"/>
      <c r="AO386" s="4"/>
      <c r="AP386" s="4"/>
      <c r="AQ386" s="4"/>
    </row>
    <row r="387" spans="1:43" s="2" customFormat="1" x14ac:dyDescent="0.25">
      <c r="A387" s="161" t="str">
        <f t="shared" si="8"/>
        <v>CARRIER_FRANCE</v>
      </c>
      <c r="B387" s="9" t="s">
        <v>117</v>
      </c>
      <c r="C387" s="4" t="s">
        <v>715</v>
      </c>
      <c r="D387" s="4"/>
      <c r="E387" s="4" t="s">
        <v>117</v>
      </c>
      <c r="F387" s="4" t="s">
        <v>117</v>
      </c>
      <c r="G387" s="14" t="s">
        <v>132</v>
      </c>
      <c r="H387" s="4" t="s">
        <v>338</v>
      </c>
      <c r="I387" s="4" t="s">
        <v>102</v>
      </c>
      <c r="J387" s="11"/>
      <c r="K387" s="11"/>
      <c r="L387" s="4"/>
      <c r="M387" s="12"/>
      <c r="N387" s="4"/>
      <c r="O387" s="4"/>
      <c r="P387" s="4"/>
      <c r="Q387" s="11"/>
      <c r="R387" s="11"/>
      <c r="S387" s="4"/>
      <c r="T387" s="11"/>
      <c r="U387" s="11"/>
      <c r="V387" s="4"/>
      <c r="W387" s="11"/>
      <c r="X387" s="11"/>
      <c r="Y387" s="4"/>
      <c r="Z387" s="11"/>
      <c r="AA387" s="11"/>
      <c r="AB387" s="4"/>
      <c r="AC387" s="11"/>
      <c r="AD387" s="11"/>
      <c r="AE387" s="4"/>
      <c r="AF387" s="11"/>
      <c r="AG387" s="11"/>
      <c r="AH387" s="4"/>
      <c r="AI387" s="11"/>
      <c r="AJ387" s="11"/>
      <c r="AK387" s="4"/>
      <c r="AL387" s="4"/>
      <c r="AM387" s="4"/>
      <c r="AN387" s="4"/>
      <c r="AO387" s="4"/>
      <c r="AP387" s="4"/>
      <c r="AQ387" s="4"/>
    </row>
    <row r="388" spans="1:43" s="2" customFormat="1" x14ac:dyDescent="0.25">
      <c r="A388" s="161" t="str">
        <f t="shared" si="8"/>
        <v>CARRIER_GERMANY</v>
      </c>
      <c r="B388" s="9" t="s">
        <v>117</v>
      </c>
      <c r="C388" s="4" t="s">
        <v>717</v>
      </c>
      <c r="D388" s="4"/>
      <c r="E388" s="4" t="s">
        <v>117</v>
      </c>
      <c r="F388" s="4" t="s">
        <v>117</v>
      </c>
      <c r="G388" s="14" t="s">
        <v>132</v>
      </c>
      <c r="H388" s="4" t="s">
        <v>368</v>
      </c>
      <c r="I388" s="4" t="s">
        <v>102</v>
      </c>
      <c r="J388" s="11"/>
      <c r="K388" s="11"/>
      <c r="L388" s="4"/>
      <c r="M388" s="12"/>
      <c r="N388" s="4"/>
      <c r="O388" s="4"/>
      <c r="P388" s="4"/>
      <c r="Q388" s="11"/>
      <c r="R388" s="11"/>
      <c r="S388" s="4"/>
      <c r="T388" s="11"/>
      <c r="U388" s="11"/>
      <c r="V388" s="4"/>
      <c r="W388" s="11"/>
      <c r="X388" s="11"/>
      <c r="Y388" s="4"/>
      <c r="Z388" s="11"/>
      <c r="AA388" s="11"/>
      <c r="AB388" s="4"/>
      <c r="AC388" s="11"/>
      <c r="AD388" s="11"/>
      <c r="AE388" s="4"/>
      <c r="AF388" s="11"/>
      <c r="AG388" s="11"/>
      <c r="AH388" s="4"/>
      <c r="AI388" s="11"/>
      <c r="AJ388" s="11"/>
      <c r="AK388" s="4"/>
      <c r="AL388" s="4"/>
      <c r="AM388" s="4"/>
      <c r="AN388" s="4"/>
      <c r="AO388" s="4"/>
      <c r="AP388" s="4"/>
      <c r="AQ388" s="4"/>
    </row>
    <row r="389" spans="1:43" s="2" customFormat="1" x14ac:dyDescent="0.25">
      <c r="A389" s="161" t="str">
        <f t="shared" si="8"/>
        <v>CARRIER_ROME</v>
      </c>
      <c r="B389" s="9" t="s">
        <v>117</v>
      </c>
      <c r="C389" s="4" t="s">
        <v>734</v>
      </c>
      <c r="D389" s="4"/>
      <c r="E389" s="4" t="s">
        <v>117</v>
      </c>
      <c r="F389" s="4" t="s">
        <v>117</v>
      </c>
      <c r="G389" s="14" t="s">
        <v>132</v>
      </c>
      <c r="H389" s="4" t="s">
        <v>583</v>
      </c>
      <c r="I389" s="4" t="s">
        <v>102</v>
      </c>
      <c r="J389" s="11"/>
      <c r="K389" s="11"/>
      <c r="L389" s="4"/>
      <c r="M389" s="12"/>
      <c r="N389" s="4"/>
      <c r="O389" s="4"/>
      <c r="P389" s="4"/>
      <c r="Q389" s="11"/>
      <c r="R389" s="11"/>
      <c r="S389" s="4"/>
      <c r="T389" s="11"/>
      <c r="U389" s="11"/>
      <c r="V389" s="4"/>
      <c r="W389" s="11"/>
      <c r="X389" s="11"/>
      <c r="Y389" s="4"/>
      <c r="Z389" s="11"/>
      <c r="AA389" s="11"/>
      <c r="AB389" s="4"/>
      <c r="AC389" s="11"/>
      <c r="AD389" s="11"/>
      <c r="AE389" s="4"/>
      <c r="AF389" s="11"/>
      <c r="AG389" s="11"/>
      <c r="AH389" s="4"/>
      <c r="AI389" s="11"/>
      <c r="AJ389" s="11"/>
      <c r="AK389" s="4"/>
      <c r="AL389" s="4"/>
      <c r="AM389" s="4"/>
      <c r="AN389" s="4"/>
      <c r="AO389" s="4"/>
      <c r="AP389" s="4"/>
      <c r="AQ389" s="4"/>
    </row>
    <row r="390" spans="1:43" s="2" customFormat="1" x14ac:dyDescent="0.25">
      <c r="A390" s="161" t="str">
        <f t="shared" si="8"/>
        <v>CARRIER_NORTHAF</v>
      </c>
      <c r="B390" s="9" t="s">
        <v>117</v>
      </c>
      <c r="C390" s="4" t="s">
        <v>2011</v>
      </c>
      <c r="D390" s="4" t="s">
        <v>715</v>
      </c>
      <c r="E390" s="4" t="s">
        <v>117</v>
      </c>
      <c r="F390" s="4" t="s">
        <v>117</v>
      </c>
      <c r="G390" s="14"/>
      <c r="H390" s="4"/>
      <c r="I390" s="4"/>
      <c r="J390" s="11"/>
      <c r="K390" s="11"/>
      <c r="L390" s="4"/>
      <c r="M390" s="12"/>
      <c r="N390" s="4"/>
      <c r="O390" s="4"/>
      <c r="P390" s="4"/>
      <c r="Q390" s="11"/>
      <c r="R390" s="11"/>
      <c r="S390" s="4"/>
      <c r="T390" s="11"/>
      <c r="U390" s="11"/>
      <c r="V390" s="4"/>
      <c r="W390" s="11"/>
      <c r="X390" s="11"/>
      <c r="Y390" s="4"/>
      <c r="Z390" s="11"/>
      <c r="AA390" s="11"/>
      <c r="AB390" s="4"/>
      <c r="AC390" s="11"/>
      <c r="AD390" s="11"/>
      <c r="AE390" s="4"/>
      <c r="AF390" s="11"/>
      <c r="AG390" s="11"/>
      <c r="AH390" s="4"/>
      <c r="AI390" s="11"/>
      <c r="AJ390" s="11"/>
      <c r="AK390" s="4"/>
      <c r="AL390" s="4"/>
      <c r="AM390" s="4"/>
      <c r="AN390" s="4"/>
      <c r="AO390" s="4"/>
      <c r="AP390" s="4"/>
      <c r="AQ390" s="4"/>
    </row>
    <row r="391" spans="1:43" s="2" customFormat="1" x14ac:dyDescent="0.25">
      <c r="A391" s="161" t="str">
        <f t="shared" si="8"/>
        <v>CARRIER_SWEDEN</v>
      </c>
      <c r="B391" s="9" t="s">
        <v>117</v>
      </c>
      <c r="C391" s="4" t="s">
        <v>739</v>
      </c>
      <c r="D391" s="4"/>
      <c r="E391" s="4" t="s">
        <v>117</v>
      </c>
      <c r="F391" s="4" t="s">
        <v>117</v>
      </c>
      <c r="G391" s="14" t="s">
        <v>132</v>
      </c>
      <c r="H391" s="4" t="s">
        <v>668</v>
      </c>
      <c r="I391" s="4" t="s">
        <v>102</v>
      </c>
      <c r="J391" s="11"/>
      <c r="K391" s="11"/>
      <c r="L391" s="4"/>
      <c r="M391" s="12"/>
      <c r="N391" s="4"/>
      <c r="O391" s="4"/>
      <c r="P391" s="4"/>
      <c r="Q391" s="11"/>
      <c r="R391" s="11"/>
      <c r="S391" s="4"/>
      <c r="T391" s="11"/>
      <c r="U391" s="11"/>
      <c r="V391" s="4"/>
      <c r="W391" s="11"/>
      <c r="X391" s="11"/>
      <c r="Y391" s="4"/>
      <c r="Z391" s="11"/>
      <c r="AA391" s="11"/>
      <c r="AB391" s="4"/>
      <c r="AC391" s="11"/>
      <c r="AD391" s="11"/>
      <c r="AE391" s="4"/>
      <c r="AF391" s="11"/>
      <c r="AG391" s="11"/>
      <c r="AH391" s="4"/>
      <c r="AI391" s="11"/>
      <c r="AJ391" s="11"/>
      <c r="AK391" s="4"/>
      <c r="AL391" s="4"/>
      <c r="AM391" s="4"/>
      <c r="AN391" s="4"/>
      <c r="AO391" s="4"/>
      <c r="AP391" s="4"/>
      <c r="AQ391" s="4"/>
    </row>
    <row r="392" spans="1:43" s="2" customFormat="1" x14ac:dyDescent="0.25">
      <c r="A392" s="161" t="str">
        <f t="shared" si="8"/>
        <v>CARRIER_OCEAN</v>
      </c>
      <c r="B392" s="9" t="s">
        <v>117</v>
      </c>
      <c r="C392" s="4" t="s">
        <v>994</v>
      </c>
      <c r="D392" s="4" t="s">
        <v>699</v>
      </c>
      <c r="E392" s="4" t="s">
        <v>117</v>
      </c>
      <c r="F392" s="4" t="s">
        <v>117</v>
      </c>
      <c r="G392" s="14"/>
      <c r="H392" s="4"/>
      <c r="I392" s="4"/>
      <c r="J392" s="11"/>
      <c r="K392" s="11"/>
      <c r="L392" s="4"/>
      <c r="M392" s="12"/>
      <c r="N392" s="4"/>
      <c r="O392" s="4"/>
      <c r="P392" s="4"/>
      <c r="Q392" s="11"/>
      <c r="R392" s="11"/>
      <c r="S392" s="4"/>
      <c r="T392" s="11"/>
      <c r="U392" s="11"/>
      <c r="V392" s="4"/>
      <c r="W392" s="11"/>
      <c r="X392" s="11"/>
      <c r="Y392" s="4"/>
      <c r="Z392" s="11"/>
      <c r="AA392" s="11"/>
      <c r="AB392" s="4"/>
      <c r="AC392" s="11"/>
      <c r="AD392" s="11"/>
      <c r="AE392" s="4"/>
      <c r="AF392" s="11"/>
      <c r="AG392" s="11"/>
      <c r="AH392" s="4"/>
      <c r="AI392" s="11"/>
      <c r="AJ392" s="11"/>
      <c r="AK392" s="4"/>
      <c r="AL392" s="4"/>
      <c r="AM392" s="4"/>
      <c r="AN392" s="4"/>
      <c r="AO392" s="4"/>
      <c r="AP392" s="4"/>
      <c r="AQ392" s="4"/>
    </row>
    <row r="393" spans="1:43" s="2" customFormat="1" x14ac:dyDescent="0.25">
      <c r="A393" s="161" t="str">
        <f t="shared" si="8"/>
        <v>CARRIER_SEASIA</v>
      </c>
      <c r="B393" s="9" t="s">
        <v>117</v>
      </c>
      <c r="C393" s="4" t="s">
        <v>696</v>
      </c>
      <c r="D393" s="4" t="s">
        <v>715</v>
      </c>
      <c r="E393" s="4" t="s">
        <v>117</v>
      </c>
      <c r="F393" s="4" t="s">
        <v>117</v>
      </c>
      <c r="G393" s="14"/>
      <c r="H393" s="4"/>
      <c r="I393" s="4"/>
      <c r="J393" s="11"/>
      <c r="K393" s="11"/>
      <c r="L393" s="4"/>
      <c r="M393" s="12"/>
      <c r="N393" s="4"/>
      <c r="O393" s="4"/>
      <c r="P393" s="4"/>
      <c r="Q393" s="11"/>
      <c r="R393" s="11"/>
      <c r="S393" s="4"/>
      <c r="T393" s="11"/>
      <c r="U393" s="11"/>
      <c r="V393" s="4"/>
      <c r="W393" s="11"/>
      <c r="X393" s="11"/>
      <c r="Y393" s="4"/>
      <c r="Z393" s="11"/>
      <c r="AA393" s="11"/>
      <c r="AB393" s="4"/>
      <c r="AC393" s="11"/>
      <c r="AD393" s="11"/>
      <c r="AE393" s="4"/>
      <c r="AF393" s="11"/>
      <c r="AG393" s="11"/>
      <c r="AH393" s="4"/>
      <c r="AI393" s="11"/>
      <c r="AJ393" s="11"/>
      <c r="AK393" s="4"/>
      <c r="AL393" s="4"/>
      <c r="AM393" s="4"/>
      <c r="AN393" s="4"/>
      <c r="AO393" s="4"/>
      <c r="AP393" s="4"/>
      <c r="AQ393" s="4"/>
    </row>
    <row r="394" spans="1:43" s="2" customFormat="1" x14ac:dyDescent="0.25">
      <c r="A394" s="161" t="str">
        <f t="shared" si="8"/>
        <v>CARRIER_SOUTHAS</v>
      </c>
      <c r="B394" s="9" t="s">
        <v>117</v>
      </c>
      <c r="C394" s="4" t="s">
        <v>695</v>
      </c>
      <c r="D394" s="4" t="s">
        <v>713</v>
      </c>
      <c r="E394" s="4" t="s">
        <v>117</v>
      </c>
      <c r="F394" s="4" t="s">
        <v>117</v>
      </c>
      <c r="G394" s="14"/>
      <c r="H394" s="4"/>
      <c r="I394" s="4"/>
      <c r="J394" s="11"/>
      <c r="K394" s="11"/>
      <c r="L394" s="4"/>
      <c r="M394" s="12"/>
      <c r="N394" s="4"/>
      <c r="O394" s="4"/>
      <c r="P394" s="4"/>
      <c r="Q394" s="11"/>
      <c r="R394" s="11"/>
      <c r="S394" s="4"/>
      <c r="T394" s="11"/>
      <c r="U394" s="11"/>
      <c r="V394" s="4"/>
      <c r="W394" s="11"/>
      <c r="X394" s="11"/>
      <c r="Y394" s="4"/>
      <c r="Z394" s="11"/>
      <c r="AA394" s="11"/>
      <c r="AB394" s="4"/>
      <c r="AC394" s="11"/>
      <c r="AD394" s="11"/>
      <c r="AE394" s="4"/>
      <c r="AF394" s="11"/>
      <c r="AG394" s="11"/>
      <c r="AH394" s="4"/>
      <c r="AI394" s="11"/>
      <c r="AJ394" s="11"/>
      <c r="AK394" s="4"/>
      <c r="AL394" s="4"/>
      <c r="AM394" s="4"/>
      <c r="AN394" s="4"/>
      <c r="AO394" s="4"/>
      <c r="AP394" s="4"/>
      <c r="AQ394" s="4"/>
    </row>
    <row r="395" spans="1:43" s="2" customFormat="1" x14ac:dyDescent="0.25">
      <c r="A395" s="161" t="str">
        <f t="shared" si="8"/>
        <v>CATAPULT</v>
      </c>
      <c r="B395" s="9" t="s">
        <v>750</v>
      </c>
      <c r="C395" s="5"/>
      <c r="D395" s="5"/>
      <c r="E395" s="5" t="s">
        <v>750</v>
      </c>
      <c r="F395" s="5" t="s">
        <v>750</v>
      </c>
      <c r="G395" s="5"/>
      <c r="H395" s="5" t="s">
        <v>36</v>
      </c>
      <c r="I395" s="5" t="s">
        <v>128</v>
      </c>
      <c r="J395" s="6"/>
      <c r="K395" s="6"/>
      <c r="L395" s="13" t="s">
        <v>746</v>
      </c>
      <c r="M395" s="8"/>
      <c r="N395" s="5"/>
      <c r="O395" s="5"/>
      <c r="P395" s="5"/>
      <c r="Q395" s="7">
        <v>2</v>
      </c>
      <c r="R395" s="6" t="s">
        <v>1695</v>
      </c>
      <c r="S395" s="13" t="s">
        <v>1613</v>
      </c>
      <c r="T395" s="6">
        <v>4</v>
      </c>
      <c r="U395" s="6"/>
      <c r="V395" s="5" t="s">
        <v>1611</v>
      </c>
      <c r="W395" s="6">
        <v>7</v>
      </c>
      <c r="X395" s="6" t="s">
        <v>3</v>
      </c>
      <c r="Y395" s="5"/>
      <c r="Z395" s="6">
        <v>1</v>
      </c>
      <c r="AA395" s="6"/>
      <c r="AB395" s="5"/>
      <c r="AC395" s="6"/>
      <c r="AD395" s="6" t="s">
        <v>3</v>
      </c>
      <c r="AE395" s="5"/>
      <c r="AF395" s="6"/>
      <c r="AG395" s="6"/>
      <c r="AH395" s="5"/>
      <c r="AI395" s="6"/>
      <c r="AJ395" s="6"/>
      <c r="AK395" s="5"/>
      <c r="AL395" s="5"/>
      <c r="AM395" s="5"/>
      <c r="AN395" s="5"/>
      <c r="AO395" s="5"/>
      <c r="AP395" s="5"/>
      <c r="AQ395" s="5"/>
    </row>
    <row r="396" spans="1:43" s="2" customFormat="1" x14ac:dyDescent="0.25">
      <c r="A396" s="161" t="str">
        <f t="shared" si="8"/>
        <v>CAVALRY</v>
      </c>
      <c r="B396" s="9" t="s">
        <v>751</v>
      </c>
      <c r="C396" s="5"/>
      <c r="D396" s="5"/>
      <c r="E396" s="5" t="s">
        <v>751</v>
      </c>
      <c r="F396" s="5" t="s">
        <v>751</v>
      </c>
      <c r="G396" s="5"/>
      <c r="H396" s="5" t="s">
        <v>35</v>
      </c>
      <c r="I396" s="5" t="s">
        <v>128</v>
      </c>
      <c r="J396" s="6"/>
      <c r="K396" s="6"/>
      <c r="L396" s="13" t="s">
        <v>1714</v>
      </c>
      <c r="M396" s="8"/>
      <c r="N396" s="5"/>
      <c r="O396" s="5"/>
      <c r="P396" s="5"/>
      <c r="Q396" s="7" t="s">
        <v>1695</v>
      </c>
      <c r="R396" s="6" t="s">
        <v>1695</v>
      </c>
      <c r="S396" s="13" t="s">
        <v>1695</v>
      </c>
      <c r="T396" s="7" t="s">
        <v>1695</v>
      </c>
      <c r="U396" s="6" t="s">
        <v>1695</v>
      </c>
      <c r="V396" s="5"/>
      <c r="W396" s="6" t="s">
        <v>3</v>
      </c>
      <c r="X396" s="6" t="s">
        <v>3</v>
      </c>
      <c r="Y396" s="5"/>
      <c r="Z396" s="6">
        <v>1</v>
      </c>
      <c r="AA396" s="6"/>
      <c r="AB396" s="5"/>
      <c r="AC396" s="6"/>
      <c r="AD396" s="6" t="s">
        <v>3</v>
      </c>
      <c r="AE396" s="5"/>
      <c r="AF396" s="6" t="s">
        <v>1695</v>
      </c>
      <c r="AG396" s="6"/>
      <c r="AH396" s="5"/>
      <c r="AI396" s="6"/>
      <c r="AJ396" s="6"/>
      <c r="AK396" s="5"/>
      <c r="AL396" s="5"/>
      <c r="AM396" s="5"/>
      <c r="AN396" s="5"/>
      <c r="AO396" s="5"/>
      <c r="AP396" s="5"/>
      <c r="AQ396" s="5"/>
    </row>
    <row r="397" spans="1:43" s="2" customFormat="1" x14ac:dyDescent="0.25">
      <c r="A397" s="161" t="str">
        <f t="shared" si="8"/>
        <v>CAVALRY_HUNS</v>
      </c>
      <c r="B397" s="9" t="s">
        <v>751</v>
      </c>
      <c r="C397" s="4" t="s">
        <v>904</v>
      </c>
      <c r="D397" s="4"/>
      <c r="E397" s="4" t="s">
        <v>751</v>
      </c>
      <c r="F397" s="4" t="s">
        <v>762</v>
      </c>
      <c r="G397" s="4"/>
      <c r="H397" s="4" t="s">
        <v>906</v>
      </c>
      <c r="I397" s="4" t="s">
        <v>122</v>
      </c>
      <c r="J397" s="11"/>
      <c r="K397" s="11"/>
      <c r="L397" s="4"/>
      <c r="M397" s="12"/>
      <c r="N397" s="4"/>
      <c r="O397" s="4"/>
      <c r="P397" s="4"/>
      <c r="Q397" s="11"/>
      <c r="R397" s="11"/>
      <c r="S397" s="4"/>
      <c r="T397" s="11"/>
      <c r="U397" s="11"/>
      <c r="V397" s="4"/>
      <c r="W397" s="11"/>
      <c r="X397" s="11"/>
      <c r="Y397" s="4"/>
      <c r="Z397" s="11"/>
      <c r="AA397" s="11"/>
      <c r="AB397" s="4"/>
      <c r="AC397" s="11"/>
      <c r="AD397" s="11"/>
      <c r="AE397" s="4"/>
      <c r="AF397" s="11"/>
      <c r="AG397" s="11"/>
      <c r="AH397" s="4"/>
      <c r="AI397" s="11"/>
      <c r="AJ397" s="11"/>
      <c r="AK397" s="4"/>
      <c r="AL397" s="4"/>
      <c r="AM397" s="4"/>
      <c r="AN397" s="4"/>
      <c r="AO397" s="4"/>
      <c r="AP397" s="4"/>
      <c r="AQ397" s="4"/>
    </row>
    <row r="398" spans="1:43" s="2" customFormat="1" x14ac:dyDescent="0.25">
      <c r="A398" s="161" t="str">
        <f t="shared" si="8"/>
        <v>CAVALRY_FRANCE</v>
      </c>
      <c r="B398" s="9" t="s">
        <v>751</v>
      </c>
      <c r="C398" s="4" t="s">
        <v>715</v>
      </c>
      <c r="D398" s="4"/>
      <c r="E398" s="4" t="s">
        <v>751</v>
      </c>
      <c r="F398" s="4" t="s">
        <v>751</v>
      </c>
      <c r="G398" s="14" t="s">
        <v>132</v>
      </c>
      <c r="H398" s="4" t="s">
        <v>339</v>
      </c>
      <c r="I398" s="4" t="s">
        <v>122</v>
      </c>
      <c r="J398" s="11"/>
      <c r="K398" s="11"/>
      <c r="L398" s="4"/>
      <c r="M398" s="12"/>
      <c r="N398" s="4"/>
      <c r="O398" s="4"/>
      <c r="P398" s="4"/>
      <c r="Q398" s="11"/>
      <c r="R398" s="11"/>
      <c r="S398" s="4"/>
      <c r="T398" s="11"/>
      <c r="U398" s="11"/>
      <c r="V398" s="4"/>
      <c r="W398" s="11"/>
      <c r="X398" s="11"/>
      <c r="Y398" s="4"/>
      <c r="Z398" s="11"/>
      <c r="AA398" s="11"/>
      <c r="AB398" s="4"/>
      <c r="AC398" s="11"/>
      <c r="AD398" s="11"/>
      <c r="AE398" s="4"/>
      <c r="AF398" s="11"/>
      <c r="AG398" s="11"/>
      <c r="AH398" s="4"/>
      <c r="AI398" s="11"/>
      <c r="AJ398" s="11"/>
      <c r="AK398" s="4"/>
      <c r="AL398" s="4"/>
      <c r="AM398" s="4"/>
      <c r="AN398" s="4"/>
      <c r="AO398" s="4"/>
      <c r="AP398" s="4"/>
      <c r="AQ398" s="4"/>
    </row>
    <row r="399" spans="1:43" s="2" customFormat="1" x14ac:dyDescent="0.25">
      <c r="A399" s="161" t="str">
        <f t="shared" si="8"/>
        <v>CAVALRY_GERMANY</v>
      </c>
      <c r="B399" s="9" t="s">
        <v>751</v>
      </c>
      <c r="C399" s="4" t="s">
        <v>717</v>
      </c>
      <c r="D399" s="4"/>
      <c r="E399" s="4" t="s">
        <v>751</v>
      </c>
      <c r="F399" s="4" t="s">
        <v>751</v>
      </c>
      <c r="G399" s="14" t="s">
        <v>132</v>
      </c>
      <c r="H399" s="4" t="s">
        <v>369</v>
      </c>
      <c r="I399" s="4" t="s">
        <v>122</v>
      </c>
      <c r="J399" s="11"/>
      <c r="K399" s="11"/>
      <c r="L399" s="4"/>
      <c r="M399" s="12"/>
      <c r="N399" s="4"/>
      <c r="O399" s="4"/>
      <c r="P399" s="4"/>
      <c r="Q399" s="11"/>
      <c r="R399" s="11"/>
      <c r="S399" s="4"/>
      <c r="T399" s="11"/>
      <c r="U399" s="11"/>
      <c r="V399" s="4"/>
      <c r="W399" s="11"/>
      <c r="X399" s="11"/>
      <c r="Y399" s="4"/>
      <c r="Z399" s="11"/>
      <c r="AA399" s="11"/>
      <c r="AB399" s="4"/>
      <c r="AC399" s="11"/>
      <c r="AD399" s="11"/>
      <c r="AE399" s="4"/>
      <c r="AF399" s="11"/>
      <c r="AG399" s="11"/>
      <c r="AH399" s="4"/>
      <c r="AI399" s="11"/>
      <c r="AJ399" s="11"/>
      <c r="AK399" s="4"/>
      <c r="AL399" s="4"/>
      <c r="AM399" s="4"/>
      <c r="AN399" s="4"/>
      <c r="AO399" s="4"/>
      <c r="AP399" s="4"/>
      <c r="AQ399" s="4"/>
    </row>
    <row r="400" spans="1:43" s="2" customFormat="1" x14ac:dyDescent="0.25">
      <c r="A400" s="161" t="str">
        <f t="shared" si="8"/>
        <v>CAVALRY_MIDEAST</v>
      </c>
      <c r="B400" s="9" t="s">
        <v>751</v>
      </c>
      <c r="C400" s="4" t="s">
        <v>690</v>
      </c>
      <c r="D400" s="4"/>
      <c r="E400" s="4" t="s">
        <v>751</v>
      </c>
      <c r="F400" s="4" t="s">
        <v>751</v>
      </c>
      <c r="G400" s="4"/>
      <c r="H400" s="14" t="s">
        <v>958</v>
      </c>
      <c r="I400" s="4" t="s">
        <v>957</v>
      </c>
      <c r="J400" s="167"/>
      <c r="K400" s="11"/>
      <c r="L400" s="4"/>
      <c r="M400" s="12"/>
      <c r="N400" s="4"/>
      <c r="O400" s="4"/>
      <c r="P400" s="4"/>
      <c r="Q400" s="11"/>
      <c r="R400" s="11"/>
      <c r="S400" s="4"/>
      <c r="T400" s="11"/>
      <c r="U400" s="11"/>
      <c r="V400" s="4"/>
      <c r="W400" s="11"/>
      <c r="X400" s="11"/>
      <c r="Y400" s="4"/>
      <c r="Z400" s="11"/>
      <c r="AA400" s="11"/>
      <c r="AB400" s="4"/>
      <c r="AC400" s="11"/>
      <c r="AD400" s="11"/>
      <c r="AE400" s="4"/>
      <c r="AF400" s="11"/>
      <c r="AG400" s="11"/>
      <c r="AH400" s="4"/>
      <c r="AI400" s="11"/>
      <c r="AJ400" s="11"/>
      <c r="AK400" s="4"/>
      <c r="AL400" s="4"/>
      <c r="AM400" s="4"/>
      <c r="AN400" s="4"/>
      <c r="AO400" s="4"/>
      <c r="AP400" s="4"/>
      <c r="AQ400" s="4"/>
    </row>
    <row r="401" spans="1:43" s="2" customFormat="1" x14ac:dyDescent="0.25">
      <c r="A401" s="161" t="str">
        <f t="shared" si="8"/>
        <v>CAVALRY_NORTHAF</v>
      </c>
      <c r="B401" s="9" t="s">
        <v>751</v>
      </c>
      <c r="C401" s="4" t="s">
        <v>2011</v>
      </c>
      <c r="D401" s="4" t="s">
        <v>690</v>
      </c>
      <c r="E401" s="4" t="s">
        <v>751</v>
      </c>
      <c r="F401" s="4" t="s">
        <v>751</v>
      </c>
      <c r="G401" s="4"/>
      <c r="H401" s="14"/>
      <c r="I401" s="4"/>
      <c r="J401" s="167"/>
      <c r="K401" s="11"/>
      <c r="L401" s="4"/>
      <c r="M401" s="12"/>
      <c r="N401" s="4"/>
      <c r="O401" s="4"/>
      <c r="P401" s="4"/>
      <c r="Q401" s="11"/>
      <c r="R401" s="11"/>
      <c r="S401" s="4"/>
      <c r="T401" s="11"/>
      <c r="U401" s="11"/>
      <c r="V401" s="4"/>
      <c r="W401" s="11"/>
      <c r="X401" s="11"/>
      <c r="Y401" s="4"/>
      <c r="Z401" s="11"/>
      <c r="AA401" s="11"/>
      <c r="AB401" s="4"/>
      <c r="AC401" s="11"/>
      <c r="AD401" s="11"/>
      <c r="AE401" s="4"/>
      <c r="AF401" s="11"/>
      <c r="AG401" s="11"/>
      <c r="AH401" s="4"/>
      <c r="AI401" s="11"/>
      <c r="AJ401" s="11"/>
      <c r="AK401" s="4"/>
      <c r="AL401" s="4"/>
      <c r="AM401" s="4"/>
      <c r="AN401" s="4"/>
      <c r="AO401" s="4"/>
      <c r="AP401" s="4"/>
      <c r="AQ401" s="4"/>
    </row>
    <row r="402" spans="1:43" s="2" customFormat="1" x14ac:dyDescent="0.25">
      <c r="A402" s="161" t="str">
        <f t="shared" si="8"/>
        <v>CHARIOT_ARCHER</v>
      </c>
      <c r="B402" s="9" t="s">
        <v>752</v>
      </c>
      <c r="C402" s="5"/>
      <c r="D402" s="5"/>
      <c r="E402" s="5" t="s">
        <v>752</v>
      </c>
      <c r="F402" s="5" t="s">
        <v>791</v>
      </c>
      <c r="G402" s="5"/>
      <c r="H402" s="5" t="s">
        <v>1424</v>
      </c>
      <c r="I402" s="5" t="s">
        <v>128</v>
      </c>
      <c r="J402" s="6"/>
      <c r="K402" s="6"/>
      <c r="L402" s="13" t="s">
        <v>1709</v>
      </c>
      <c r="M402" s="8"/>
      <c r="N402" s="5"/>
      <c r="O402" s="5"/>
      <c r="P402" s="5"/>
      <c r="Q402" s="7">
        <v>2</v>
      </c>
      <c r="R402" s="6">
        <v>0.13</v>
      </c>
      <c r="S402" s="13" t="s">
        <v>1618</v>
      </c>
      <c r="T402" s="7">
        <v>3</v>
      </c>
      <c r="U402" s="6" t="s">
        <v>1695</v>
      </c>
      <c r="V402" s="5"/>
      <c r="W402" s="6" t="s">
        <v>3</v>
      </c>
      <c r="X402" s="6" t="s">
        <v>3</v>
      </c>
      <c r="Y402" s="5"/>
      <c r="Z402" s="6">
        <v>1</v>
      </c>
      <c r="AA402" s="6"/>
      <c r="AB402" s="5"/>
      <c r="AC402" s="6"/>
      <c r="AD402" s="6" t="s">
        <v>3</v>
      </c>
      <c r="AE402" s="5"/>
      <c r="AF402" s="6"/>
      <c r="AG402" s="6"/>
      <c r="AH402" s="5"/>
      <c r="AI402" s="6"/>
      <c r="AJ402" s="6"/>
      <c r="AK402" s="5"/>
      <c r="AL402" s="5"/>
      <c r="AM402" s="5"/>
      <c r="AN402" s="5"/>
      <c r="AO402" s="5"/>
      <c r="AP402" s="5"/>
      <c r="AQ402" s="5"/>
    </row>
    <row r="403" spans="1:43" s="2" customFormat="1" x14ac:dyDescent="0.25">
      <c r="A403" s="161" t="str">
        <f t="shared" si="8"/>
        <v>CHARIOT_ARCHER_AFRI</v>
      </c>
      <c r="B403" s="9" t="s">
        <v>752</v>
      </c>
      <c r="C403" s="5" t="s">
        <v>694</v>
      </c>
      <c r="D403" s="5"/>
      <c r="E403" s="5" t="s">
        <v>752</v>
      </c>
      <c r="F403" s="5" t="s">
        <v>791</v>
      </c>
      <c r="G403" s="5"/>
      <c r="H403" s="5" t="s">
        <v>1963</v>
      </c>
      <c r="I403" s="5" t="s">
        <v>1025</v>
      </c>
      <c r="J403" s="6"/>
      <c r="K403" s="6"/>
      <c r="L403" s="13"/>
      <c r="M403" s="8"/>
      <c r="N403" s="5"/>
      <c r="O403" s="5"/>
      <c r="P403" s="5"/>
      <c r="Q403" s="7"/>
      <c r="R403" s="6"/>
      <c r="S403" s="13"/>
      <c r="T403" s="7"/>
      <c r="U403" s="6"/>
      <c r="V403" s="5"/>
      <c r="W403" s="6"/>
      <c r="X403" s="6"/>
      <c r="Y403" s="5"/>
      <c r="Z403" s="6"/>
      <c r="AA403" s="6"/>
      <c r="AB403" s="5"/>
      <c r="AC403" s="6"/>
      <c r="AD403" s="6"/>
      <c r="AE403" s="5"/>
      <c r="AF403" s="6"/>
      <c r="AG403" s="6"/>
      <c r="AH403" s="5"/>
      <c r="AI403" s="6"/>
      <c r="AJ403" s="6"/>
      <c r="AK403" s="5"/>
      <c r="AL403" s="5"/>
      <c r="AM403" s="5"/>
      <c r="AN403" s="5"/>
      <c r="AO403" s="5"/>
      <c r="AP403" s="5"/>
      <c r="AQ403" s="5"/>
    </row>
    <row r="404" spans="1:43" s="2" customFormat="1" x14ac:dyDescent="0.25">
      <c r="A404" s="161" t="str">
        <f t="shared" si="8"/>
        <v>CHARIOT_ARCHER_AMER</v>
      </c>
      <c r="B404" s="9" t="s">
        <v>752</v>
      </c>
      <c r="C404" s="4" t="s">
        <v>697</v>
      </c>
      <c r="D404" s="4"/>
      <c r="E404" s="4" t="s">
        <v>752</v>
      </c>
      <c r="F404" s="4" t="s">
        <v>791</v>
      </c>
      <c r="G404" s="4"/>
      <c r="H404" s="4" t="s">
        <v>459</v>
      </c>
      <c r="I404" s="4" t="s">
        <v>835</v>
      </c>
      <c r="J404" s="11"/>
      <c r="K404" s="11"/>
      <c r="L404" s="4"/>
      <c r="M404" s="12"/>
      <c r="N404" s="4"/>
      <c r="O404" s="4"/>
      <c r="P404" s="4"/>
      <c r="Q404" s="11">
        <v>1</v>
      </c>
      <c r="R404" s="11" t="s">
        <v>1695</v>
      </c>
      <c r="S404" s="4" t="s">
        <v>1695</v>
      </c>
      <c r="T404" s="11">
        <v>1</v>
      </c>
      <c r="U404" s="11"/>
      <c r="V404" s="4"/>
      <c r="W404" s="11"/>
      <c r="X404" s="11"/>
      <c r="Y404" s="4"/>
      <c r="Z404" s="11">
        <v>1</v>
      </c>
      <c r="AA404" s="11"/>
      <c r="AB404" s="4"/>
      <c r="AC404" s="11"/>
      <c r="AD404" s="11"/>
      <c r="AE404" s="4"/>
      <c r="AF404" s="11">
        <v>1</v>
      </c>
      <c r="AG404" s="11"/>
      <c r="AH404" s="4"/>
      <c r="AI404" s="11">
        <v>1</v>
      </c>
      <c r="AJ404" s="11"/>
      <c r="AK404" s="4"/>
      <c r="AL404" s="4"/>
      <c r="AM404" s="4"/>
      <c r="AN404" s="4"/>
      <c r="AO404" s="4"/>
      <c r="AP404" s="4"/>
      <c r="AQ404" s="4"/>
    </row>
    <row r="405" spans="1:43" s="2" customFormat="1" x14ac:dyDescent="0.25">
      <c r="A405" s="161" t="str">
        <f t="shared" si="8"/>
        <v>CHARIOT_ARCHER_AMER</v>
      </c>
      <c r="B405" s="9" t="s">
        <v>752</v>
      </c>
      <c r="C405" s="4" t="s">
        <v>697</v>
      </c>
      <c r="D405" s="4"/>
      <c r="E405" s="4" t="s">
        <v>752</v>
      </c>
      <c r="F405" s="4" t="s">
        <v>791</v>
      </c>
      <c r="G405" s="4" t="s">
        <v>2047</v>
      </c>
      <c r="H405" s="4" t="s">
        <v>632</v>
      </c>
      <c r="I405" s="4" t="s">
        <v>835</v>
      </c>
      <c r="J405" s="11"/>
      <c r="K405" s="11"/>
      <c r="L405" s="4"/>
      <c r="M405" s="12"/>
      <c r="N405" s="4"/>
      <c r="O405" s="4"/>
      <c r="P405" s="4"/>
      <c r="Q405" s="11">
        <v>2</v>
      </c>
      <c r="R405" s="11" t="s">
        <v>1695</v>
      </c>
      <c r="S405" s="4" t="s">
        <v>1695</v>
      </c>
      <c r="T405" s="11">
        <v>1</v>
      </c>
      <c r="U405" s="11"/>
      <c r="V405" s="4"/>
      <c r="W405" s="11"/>
      <c r="X405" s="11"/>
      <c r="Y405" s="4"/>
      <c r="Z405" s="11">
        <v>0</v>
      </c>
      <c r="AA405" s="11"/>
      <c r="AB405" s="4"/>
      <c r="AC405" s="11"/>
      <c r="AD405" s="11"/>
      <c r="AE405" s="4"/>
      <c r="AF405" s="11">
        <v>1</v>
      </c>
      <c r="AG405" s="11"/>
      <c r="AH405" s="4"/>
      <c r="AI405" s="11">
        <v>1</v>
      </c>
      <c r="AJ405" s="11"/>
      <c r="AK405" s="4"/>
      <c r="AL405" s="4"/>
      <c r="AM405" s="4"/>
      <c r="AN405" s="4"/>
      <c r="AO405" s="4"/>
      <c r="AP405" s="4"/>
      <c r="AQ405" s="4"/>
    </row>
    <row r="406" spans="1:43" s="2" customFormat="1" x14ac:dyDescent="0.25">
      <c r="A406" s="161" t="str">
        <f t="shared" si="8"/>
        <v>CHARIOT_ARCHER_AMER</v>
      </c>
      <c r="B406" s="9" t="s">
        <v>752</v>
      </c>
      <c r="C406" s="4" t="s">
        <v>697</v>
      </c>
      <c r="D406" s="4"/>
      <c r="E406" s="4" t="s">
        <v>752</v>
      </c>
      <c r="F406" s="4" t="s">
        <v>791</v>
      </c>
      <c r="G406" s="4"/>
      <c r="H406" s="4" t="s">
        <v>459</v>
      </c>
      <c r="I406" s="4" t="s">
        <v>835</v>
      </c>
      <c r="J406" s="11"/>
      <c r="K406" s="11"/>
      <c r="L406" s="4"/>
      <c r="M406" s="12"/>
      <c r="N406" s="4"/>
      <c r="O406" s="4"/>
      <c r="P406" s="4"/>
      <c r="Q406" s="11">
        <v>2</v>
      </c>
      <c r="R406" s="11" t="s">
        <v>1695</v>
      </c>
      <c r="S406" s="4" t="s">
        <v>1695</v>
      </c>
      <c r="T406" s="11">
        <v>1</v>
      </c>
      <c r="U406" s="11"/>
      <c r="V406" s="4"/>
      <c r="W406" s="11"/>
      <c r="X406" s="11"/>
      <c r="Y406" s="4"/>
      <c r="Z406" s="11">
        <v>0</v>
      </c>
      <c r="AA406" s="11"/>
      <c r="AB406" s="4"/>
      <c r="AC406" s="11"/>
      <c r="AD406" s="11"/>
      <c r="AE406" s="4"/>
      <c r="AF406" s="11">
        <v>0</v>
      </c>
      <c r="AG406" s="11"/>
      <c r="AH406" s="4"/>
      <c r="AI406" s="11">
        <v>0</v>
      </c>
      <c r="AJ406" s="11"/>
      <c r="AK406" s="4"/>
      <c r="AL406" s="4"/>
      <c r="AM406" s="4"/>
      <c r="AN406" s="4"/>
      <c r="AO406" s="4"/>
      <c r="AP406" s="4"/>
      <c r="AQ406" s="4"/>
    </row>
    <row r="407" spans="1:43" s="2" customFormat="1" x14ac:dyDescent="0.25">
      <c r="A407" s="161" t="str">
        <f t="shared" si="8"/>
        <v>CHARIOT_ARCHER_ASIA</v>
      </c>
      <c r="B407" s="9" t="s">
        <v>752</v>
      </c>
      <c r="C407" s="4" t="s">
        <v>693</v>
      </c>
      <c r="D407" s="4"/>
      <c r="E407" s="4" t="s">
        <v>752</v>
      </c>
      <c r="F407" s="4" t="s">
        <v>791</v>
      </c>
      <c r="G407" s="4"/>
      <c r="H407" s="4" t="s">
        <v>2119</v>
      </c>
      <c r="I407" s="4" t="s">
        <v>102</v>
      </c>
      <c r="J407" s="11"/>
      <c r="K407" s="11"/>
      <c r="L407" s="4"/>
      <c r="M407" s="12"/>
      <c r="N407" s="4"/>
      <c r="O407" s="4"/>
      <c r="P407" s="4"/>
      <c r="Q407" s="11">
        <v>5</v>
      </c>
      <c r="R407" s="11" t="s">
        <v>1695</v>
      </c>
      <c r="S407" s="4" t="s">
        <v>1695</v>
      </c>
      <c r="T407" s="11">
        <v>3</v>
      </c>
      <c r="U407" s="11"/>
      <c r="V407" s="4"/>
      <c r="W407" s="11"/>
      <c r="X407" s="11"/>
      <c r="Y407" s="4"/>
      <c r="Z407" s="11"/>
      <c r="AA407" s="11"/>
      <c r="AB407" s="4"/>
      <c r="AC407" s="11"/>
      <c r="AD407" s="11"/>
      <c r="AE407" s="4"/>
      <c r="AF407" s="11">
        <v>2</v>
      </c>
      <c r="AG407" s="11"/>
      <c r="AH407" s="4"/>
      <c r="AI407" s="11">
        <v>2</v>
      </c>
      <c r="AJ407" s="11"/>
      <c r="AK407" s="4"/>
      <c r="AL407" s="4"/>
      <c r="AM407" s="4"/>
      <c r="AN407" s="4"/>
      <c r="AO407" s="4"/>
      <c r="AP407" s="4"/>
      <c r="AQ407" s="4"/>
    </row>
    <row r="408" spans="1:43" s="2" customFormat="1" x14ac:dyDescent="0.25">
      <c r="A408" s="161" t="str">
        <f t="shared" si="8"/>
        <v>CHARIOT_ARCHER_NORTHAF</v>
      </c>
      <c r="B408" s="9" t="s">
        <v>752</v>
      </c>
      <c r="C408" s="4" t="s">
        <v>2011</v>
      </c>
      <c r="D408" s="4" t="s">
        <v>694</v>
      </c>
      <c r="E408" s="4" t="s">
        <v>752</v>
      </c>
      <c r="F408" s="4" t="s">
        <v>791</v>
      </c>
      <c r="G408" s="4"/>
      <c r="H408" s="4"/>
      <c r="I408" s="4"/>
      <c r="J408" s="11"/>
      <c r="K408" s="11"/>
      <c r="L408" s="4"/>
      <c r="M408" s="12"/>
      <c r="N408" s="4"/>
      <c r="O408" s="4"/>
      <c r="P408" s="4"/>
      <c r="Q408" s="11"/>
      <c r="R408" s="11"/>
      <c r="S408" s="4"/>
      <c r="T408" s="11"/>
      <c r="U408" s="11"/>
      <c r="V408" s="4"/>
      <c r="W408" s="11"/>
      <c r="X408" s="11"/>
      <c r="Y408" s="4"/>
      <c r="Z408" s="11"/>
      <c r="AA408" s="11"/>
      <c r="AB408" s="4"/>
      <c r="AC408" s="11"/>
      <c r="AD408" s="11"/>
      <c r="AE408" s="4"/>
      <c r="AF408" s="11"/>
      <c r="AG408" s="11"/>
      <c r="AH408" s="4"/>
      <c r="AI408" s="11"/>
      <c r="AJ408" s="11"/>
      <c r="AK408" s="4"/>
      <c r="AL408" s="4"/>
      <c r="AM408" s="4"/>
      <c r="AN408" s="4"/>
      <c r="AO408" s="4"/>
      <c r="AP408" s="4"/>
      <c r="AQ408" s="4"/>
    </row>
    <row r="409" spans="1:43" s="2" customFormat="1" x14ac:dyDescent="0.25">
      <c r="A409" s="161" t="str">
        <f t="shared" si="8"/>
        <v>COMPOSITE_BOWMAN</v>
      </c>
      <c r="B409" s="9" t="s">
        <v>116</v>
      </c>
      <c r="C409" s="5"/>
      <c r="D409" s="5"/>
      <c r="E409" s="5" t="s">
        <v>116</v>
      </c>
      <c r="F409" s="5" t="s">
        <v>116</v>
      </c>
      <c r="G409" s="5"/>
      <c r="H409" s="5" t="s">
        <v>1273</v>
      </c>
      <c r="I409" s="5" t="s">
        <v>128</v>
      </c>
      <c r="J409" s="6"/>
      <c r="K409" s="6"/>
      <c r="L409" s="13" t="s">
        <v>1708</v>
      </c>
      <c r="M409" s="8"/>
      <c r="N409" s="5"/>
      <c r="O409" s="5"/>
      <c r="P409" s="5"/>
      <c r="Q409" s="7" t="s">
        <v>1737</v>
      </c>
      <c r="R409" s="6" t="s">
        <v>1737</v>
      </c>
      <c r="S409" s="13" t="s">
        <v>44</v>
      </c>
      <c r="T409" s="7">
        <v>18</v>
      </c>
      <c r="U409" s="7" t="s">
        <v>1737</v>
      </c>
      <c r="V409" s="5"/>
      <c r="W409" s="6" t="s">
        <v>3</v>
      </c>
      <c r="X409" s="6" t="s">
        <v>3</v>
      </c>
      <c r="Y409" s="5"/>
      <c r="Z409" s="7">
        <v>1</v>
      </c>
      <c r="AA409" s="6"/>
      <c r="AB409" s="5"/>
      <c r="AC409" s="6"/>
      <c r="AD409" s="6" t="s">
        <v>3</v>
      </c>
      <c r="AE409" s="5"/>
      <c r="AF409" s="6" t="s">
        <v>1737</v>
      </c>
      <c r="AG409" s="6"/>
      <c r="AH409" s="5"/>
      <c r="AI409" s="6" t="s">
        <v>1737</v>
      </c>
      <c r="AJ409" s="6"/>
      <c r="AK409" s="5"/>
      <c r="AL409" s="5"/>
      <c r="AM409" s="5"/>
      <c r="AN409" s="5"/>
      <c r="AO409" s="5"/>
      <c r="AP409" s="5"/>
      <c r="AQ409" s="5"/>
    </row>
    <row r="410" spans="1:43" s="2" customFormat="1" x14ac:dyDescent="0.25">
      <c r="A410" s="161" t="str">
        <f t="shared" si="8"/>
        <v>COMPOSITE_BOWMAN_AFRI</v>
      </c>
      <c r="B410" s="9" t="s">
        <v>116</v>
      </c>
      <c r="C410" s="4" t="s">
        <v>694</v>
      </c>
      <c r="D410" s="4"/>
      <c r="E410" s="4" t="s">
        <v>116</v>
      </c>
      <c r="F410" s="4" t="s">
        <v>116</v>
      </c>
      <c r="G410" s="4"/>
      <c r="H410" s="4" t="s">
        <v>320</v>
      </c>
      <c r="I410" s="4" t="s">
        <v>1025</v>
      </c>
      <c r="J410" s="11"/>
      <c r="K410" s="11"/>
      <c r="L410" s="4"/>
      <c r="M410" s="12"/>
      <c r="N410" s="4"/>
      <c r="O410" s="4"/>
      <c r="P410" s="4"/>
      <c r="Q410" s="11"/>
      <c r="R410" s="11"/>
      <c r="S410" s="4"/>
      <c r="T410" s="11"/>
      <c r="U410" s="11"/>
      <c r="V410" s="4"/>
      <c r="W410" s="11"/>
      <c r="X410" s="11"/>
      <c r="Y410" s="4"/>
      <c r="Z410" s="9"/>
      <c r="AA410" s="11"/>
      <c r="AB410" s="4"/>
      <c r="AC410" s="11"/>
      <c r="AD410" s="11"/>
      <c r="AE410" s="4"/>
      <c r="AF410" s="11"/>
      <c r="AG410" s="11"/>
      <c r="AH410" s="4"/>
      <c r="AI410" s="11"/>
      <c r="AJ410" s="11"/>
      <c r="AK410" s="4"/>
      <c r="AL410" s="4"/>
      <c r="AM410" s="4"/>
      <c r="AN410" s="4"/>
      <c r="AO410" s="4"/>
      <c r="AP410" s="4"/>
      <c r="AQ410" s="4"/>
    </row>
    <row r="411" spans="1:43" s="2" customFormat="1" x14ac:dyDescent="0.25">
      <c r="A411" s="161" t="str">
        <f t="shared" si="8"/>
        <v>COMPOSITE_BOWMAN_SONGHAI</v>
      </c>
      <c r="B411" s="9" t="s">
        <v>116</v>
      </c>
      <c r="C411" s="4" t="s">
        <v>737</v>
      </c>
      <c r="D411" s="4"/>
      <c r="E411" s="4" t="s">
        <v>116</v>
      </c>
      <c r="F411" s="4" t="s">
        <v>116</v>
      </c>
      <c r="G411" s="4"/>
      <c r="H411" s="4" t="s">
        <v>1966</v>
      </c>
      <c r="I411" s="4" t="s">
        <v>1025</v>
      </c>
      <c r="J411" s="11"/>
      <c r="K411" s="11"/>
      <c r="L411" s="4"/>
      <c r="M411" s="12"/>
      <c r="N411" s="4"/>
      <c r="O411" s="4"/>
      <c r="P411" s="4"/>
      <c r="Q411" s="11"/>
      <c r="R411" s="11"/>
      <c r="S411" s="4"/>
      <c r="T411" s="11"/>
      <c r="U411" s="11"/>
      <c r="V411" s="4"/>
      <c r="W411" s="11"/>
      <c r="X411" s="11"/>
      <c r="Y411" s="4"/>
      <c r="Z411" s="9"/>
      <c r="AA411" s="11"/>
      <c r="AB411" s="4"/>
      <c r="AC411" s="11"/>
      <c r="AD411" s="11"/>
      <c r="AE411" s="4"/>
      <c r="AF411" s="11"/>
      <c r="AG411" s="11"/>
      <c r="AH411" s="4"/>
      <c r="AI411" s="11"/>
      <c r="AJ411" s="11"/>
      <c r="AK411" s="4"/>
      <c r="AL411" s="4"/>
      <c r="AM411" s="4"/>
      <c r="AN411" s="4"/>
      <c r="AO411" s="4"/>
      <c r="AP411" s="4"/>
      <c r="AQ411" s="4"/>
    </row>
    <row r="412" spans="1:43" s="2" customFormat="1" x14ac:dyDescent="0.25">
      <c r="A412" s="161" t="str">
        <f t="shared" si="8"/>
        <v>COMPOSITE_BOWMAN_AMER</v>
      </c>
      <c r="B412" s="9" t="s">
        <v>116</v>
      </c>
      <c r="C412" s="4" t="s">
        <v>697</v>
      </c>
      <c r="D412" s="4"/>
      <c r="E412" s="4" t="s">
        <v>116</v>
      </c>
      <c r="F412" s="4" t="s">
        <v>116</v>
      </c>
      <c r="G412" s="4"/>
      <c r="H412" s="4" t="s">
        <v>460</v>
      </c>
      <c r="I412" s="4" t="s">
        <v>1935</v>
      </c>
      <c r="J412" s="11"/>
      <c r="K412" s="11"/>
      <c r="L412" s="4"/>
      <c r="M412" s="12"/>
      <c r="N412" s="4"/>
      <c r="O412" s="4"/>
      <c r="P412" s="4"/>
      <c r="Q412" s="11"/>
      <c r="R412" s="11"/>
      <c r="S412" s="4"/>
      <c r="T412" s="11"/>
      <c r="U412" s="11"/>
      <c r="V412" s="4"/>
      <c r="W412" s="11"/>
      <c r="X412" s="11"/>
      <c r="Y412" s="4"/>
      <c r="Z412" s="9"/>
      <c r="AA412" s="11"/>
      <c r="AB412" s="4"/>
      <c r="AC412" s="11"/>
      <c r="AD412" s="11"/>
      <c r="AE412" s="4"/>
      <c r="AF412" s="11"/>
      <c r="AG412" s="11"/>
      <c r="AH412" s="4"/>
      <c r="AI412" s="11"/>
      <c r="AJ412" s="11"/>
      <c r="AK412" s="4"/>
      <c r="AL412" s="4"/>
      <c r="AM412" s="4"/>
      <c r="AN412" s="4"/>
      <c r="AO412" s="4"/>
      <c r="AP412" s="4"/>
      <c r="AQ412" s="4"/>
    </row>
    <row r="413" spans="1:43" s="2" customFormat="1" x14ac:dyDescent="0.25">
      <c r="A413" s="161" t="str">
        <f t="shared" ref="A413:A477" si="10">CONCATENATE(E413,IF(ISBLANK(C413),"",CONCATENATE("_",C413)))</f>
        <v>COMPOSITE_BOWMAN_ASIA</v>
      </c>
      <c r="B413" s="9" t="s">
        <v>116</v>
      </c>
      <c r="C413" s="4" t="s">
        <v>693</v>
      </c>
      <c r="D413" s="4"/>
      <c r="E413" s="4" t="s">
        <v>116</v>
      </c>
      <c r="F413" s="4" t="s">
        <v>116</v>
      </c>
      <c r="G413" s="4"/>
      <c r="H413" s="4" t="s">
        <v>447</v>
      </c>
      <c r="I413" s="4" t="s">
        <v>102</v>
      </c>
      <c r="J413" s="11"/>
      <c r="K413" s="11"/>
      <c r="L413" s="4"/>
      <c r="M413" s="12"/>
      <c r="N413" s="4"/>
      <c r="O413" s="4"/>
      <c r="P413" s="4"/>
      <c r="Q413" s="11"/>
      <c r="R413" s="11"/>
      <c r="S413" s="4"/>
      <c r="T413" s="11"/>
      <c r="U413" s="11"/>
      <c r="V413" s="4"/>
      <c r="W413" s="11"/>
      <c r="X413" s="11"/>
      <c r="Y413" s="4"/>
      <c r="Z413" s="9"/>
      <c r="AA413" s="11"/>
      <c r="AB413" s="4"/>
      <c r="AC413" s="11"/>
      <c r="AD413" s="11"/>
      <c r="AE413" s="4"/>
      <c r="AF413" s="11"/>
      <c r="AG413" s="11"/>
      <c r="AH413" s="4"/>
      <c r="AI413" s="11"/>
      <c r="AJ413" s="11"/>
      <c r="AK413" s="4"/>
      <c r="AL413" s="4"/>
      <c r="AM413" s="4"/>
      <c r="AN413" s="4"/>
      <c r="AO413" s="4"/>
      <c r="AP413" s="4"/>
      <c r="AQ413" s="4"/>
    </row>
    <row r="414" spans="1:43" s="2" customFormat="1" x14ac:dyDescent="0.25">
      <c r="A414" s="161" t="str">
        <f t="shared" si="10"/>
        <v>COMPOSITE_BOWMAN_CHINA</v>
      </c>
      <c r="B414" s="9" t="s">
        <v>116</v>
      </c>
      <c r="C414" s="4" t="s">
        <v>710</v>
      </c>
      <c r="D414" s="4"/>
      <c r="E414" s="4" t="s">
        <v>116</v>
      </c>
      <c r="F414" s="4" t="s">
        <v>116</v>
      </c>
      <c r="G414" s="14" t="s">
        <v>132</v>
      </c>
      <c r="H414" s="4" t="s">
        <v>244</v>
      </c>
      <c r="I414" s="4" t="s">
        <v>102</v>
      </c>
      <c r="J414" s="11"/>
      <c r="K414" s="11"/>
      <c r="L414" s="4"/>
      <c r="M414" s="12"/>
      <c r="N414" s="4"/>
      <c r="O414" s="4"/>
      <c r="P414" s="4"/>
      <c r="Q414" s="11"/>
      <c r="R414" s="11"/>
      <c r="S414" s="4"/>
      <c r="T414" s="11"/>
      <c r="U414" s="11"/>
      <c r="V414" s="4"/>
      <c r="W414" s="11"/>
      <c r="X414" s="11"/>
      <c r="Y414" s="4"/>
      <c r="Z414" s="9"/>
      <c r="AA414" s="11"/>
      <c r="AB414" s="4"/>
      <c r="AC414" s="11"/>
      <c r="AD414" s="11"/>
      <c r="AE414" s="4"/>
      <c r="AF414" s="11"/>
      <c r="AG414" s="11"/>
      <c r="AH414" s="4"/>
      <c r="AI414" s="11"/>
      <c r="AJ414" s="11"/>
      <c r="AK414" s="4"/>
      <c r="AL414" s="4"/>
      <c r="AM414" s="4"/>
      <c r="AN414" s="4"/>
      <c r="AO414" s="4"/>
      <c r="AP414" s="4"/>
      <c r="AQ414" s="4"/>
    </row>
    <row r="415" spans="1:43" s="2" customFormat="1" x14ac:dyDescent="0.25">
      <c r="A415" s="161" t="str">
        <f t="shared" si="10"/>
        <v>COMPOSITE_BOWMAN_JAPAN</v>
      </c>
      <c r="B415" s="9" t="s">
        <v>116</v>
      </c>
      <c r="C415" s="4" t="s">
        <v>722</v>
      </c>
      <c r="D415" s="4"/>
      <c r="E415" s="4" t="s">
        <v>116</v>
      </c>
      <c r="F415" s="4" t="s">
        <v>116</v>
      </c>
      <c r="G415" s="14" t="s">
        <v>132</v>
      </c>
      <c r="H415" s="4" t="s">
        <v>476</v>
      </c>
      <c r="I415" s="4" t="s">
        <v>102</v>
      </c>
      <c r="J415" s="11"/>
      <c r="K415" s="11"/>
      <c r="L415" s="4"/>
      <c r="M415" s="12"/>
      <c r="N415" s="4"/>
      <c r="O415" s="4"/>
      <c r="P415" s="4"/>
      <c r="Q415" s="11"/>
      <c r="R415" s="11"/>
      <c r="S415" s="4"/>
      <c r="T415" s="11"/>
      <c r="U415" s="11"/>
      <c r="V415" s="4"/>
      <c r="W415" s="11"/>
      <c r="X415" s="11"/>
      <c r="Y415" s="4"/>
      <c r="Z415" s="9"/>
      <c r="AA415" s="11"/>
      <c r="AB415" s="4"/>
      <c r="AC415" s="11"/>
      <c r="AD415" s="11"/>
      <c r="AE415" s="4"/>
      <c r="AF415" s="11"/>
      <c r="AG415" s="11"/>
      <c r="AH415" s="4"/>
      <c r="AI415" s="11"/>
      <c r="AJ415" s="11"/>
      <c r="AK415" s="4"/>
      <c r="AL415" s="4"/>
      <c r="AM415" s="4"/>
      <c r="AN415" s="4"/>
      <c r="AO415" s="4"/>
      <c r="AP415" s="4"/>
      <c r="AQ415" s="4"/>
    </row>
    <row r="416" spans="1:43" s="2" customFormat="1" x14ac:dyDescent="0.25">
      <c r="A416" s="161" t="str">
        <f t="shared" si="10"/>
        <v>COMPOSITE_BOWMAN_KOREA</v>
      </c>
      <c r="B416" s="9" t="s">
        <v>116</v>
      </c>
      <c r="C416" s="4" t="s">
        <v>723</v>
      </c>
      <c r="D416" s="4"/>
      <c r="E416" s="4" t="s">
        <v>116</v>
      </c>
      <c r="F416" s="4" t="s">
        <v>116</v>
      </c>
      <c r="G416" s="14" t="s">
        <v>132</v>
      </c>
      <c r="H416" s="4" t="s">
        <v>497</v>
      </c>
      <c r="I416" s="4" t="s">
        <v>102</v>
      </c>
      <c r="J416" s="11"/>
      <c r="K416" s="11"/>
      <c r="L416" s="4"/>
      <c r="M416" s="12"/>
      <c r="N416" s="4"/>
      <c r="O416" s="4"/>
      <c r="P416" s="4"/>
      <c r="Q416" s="11"/>
      <c r="R416" s="11"/>
      <c r="S416" s="4"/>
      <c r="T416" s="11"/>
      <c r="U416" s="11"/>
      <c r="V416" s="4"/>
      <c r="W416" s="11"/>
      <c r="X416" s="11"/>
      <c r="Y416" s="4"/>
      <c r="Z416" s="9"/>
      <c r="AA416" s="11"/>
      <c r="AB416" s="4"/>
      <c r="AC416" s="11"/>
      <c r="AD416" s="11"/>
      <c r="AE416" s="4"/>
      <c r="AF416" s="11"/>
      <c r="AG416" s="11"/>
      <c r="AH416" s="4"/>
      <c r="AI416" s="11"/>
      <c r="AJ416" s="11"/>
      <c r="AK416" s="4"/>
      <c r="AL416" s="4"/>
      <c r="AM416" s="4"/>
      <c r="AN416" s="4"/>
      <c r="AO416" s="4"/>
      <c r="AP416" s="4"/>
      <c r="AQ416" s="4"/>
    </row>
    <row r="417" spans="1:43" s="2" customFormat="1" x14ac:dyDescent="0.25">
      <c r="A417" s="161" t="str">
        <f t="shared" si="10"/>
        <v>COMPOSITE_BOWMAN_MONGOL</v>
      </c>
      <c r="B417" s="9" t="s">
        <v>116</v>
      </c>
      <c r="C417" s="4" t="s">
        <v>728</v>
      </c>
      <c r="D417" s="4"/>
      <c r="E417" s="4" t="s">
        <v>116</v>
      </c>
      <c r="F417" s="4" t="s">
        <v>116</v>
      </c>
      <c r="G417" s="14" t="s">
        <v>132</v>
      </c>
      <c r="H417" s="4" t="s">
        <v>527</v>
      </c>
      <c r="I417" s="4" t="s">
        <v>2098</v>
      </c>
      <c r="J417" s="11"/>
      <c r="K417" s="11"/>
      <c r="L417" s="4"/>
      <c r="M417" s="12"/>
      <c r="N417" s="4"/>
      <c r="O417" s="4"/>
      <c r="P417" s="4"/>
      <c r="Q417" s="11"/>
      <c r="R417" s="11"/>
      <c r="S417" s="4"/>
      <c r="T417" s="11"/>
      <c r="U417" s="11"/>
      <c r="V417" s="4"/>
      <c r="W417" s="11"/>
      <c r="X417" s="11"/>
      <c r="Y417" s="4"/>
      <c r="Z417" s="9"/>
      <c r="AA417" s="11"/>
      <c r="AB417" s="4"/>
      <c r="AC417" s="11"/>
      <c r="AD417" s="11"/>
      <c r="AE417" s="4"/>
      <c r="AF417" s="11"/>
      <c r="AG417" s="11"/>
      <c r="AH417" s="4"/>
      <c r="AI417" s="11"/>
      <c r="AJ417" s="11"/>
      <c r="AK417" s="4"/>
      <c r="AL417" s="4"/>
      <c r="AM417" s="4"/>
      <c r="AN417" s="4"/>
      <c r="AO417" s="4"/>
      <c r="AP417" s="4"/>
      <c r="AQ417" s="4"/>
    </row>
    <row r="418" spans="1:43" s="2" customFormat="1" x14ac:dyDescent="0.25">
      <c r="A418" s="161" t="str">
        <f t="shared" si="10"/>
        <v>COMPOSITE_BOWMAN_CENTAS</v>
      </c>
      <c r="B418" s="9" t="s">
        <v>116</v>
      </c>
      <c r="C418" s="4" t="s">
        <v>918</v>
      </c>
      <c r="D418" s="4"/>
      <c r="E418" s="4" t="s">
        <v>116</v>
      </c>
      <c r="F418" s="4" t="s">
        <v>116</v>
      </c>
      <c r="G418" s="14" t="s">
        <v>132</v>
      </c>
      <c r="H418" s="4" t="s">
        <v>1029</v>
      </c>
      <c r="I418" s="4" t="s">
        <v>2098</v>
      </c>
      <c r="J418" s="11"/>
      <c r="K418" s="11"/>
      <c r="L418" s="4"/>
      <c r="M418" s="12"/>
      <c r="N418" s="4"/>
      <c r="O418" s="4"/>
      <c r="P418" s="4"/>
      <c r="Q418" s="11"/>
      <c r="R418" s="11"/>
      <c r="S418" s="4"/>
      <c r="T418" s="11"/>
      <c r="U418" s="11"/>
      <c r="V418" s="4"/>
      <c r="W418" s="11"/>
      <c r="X418" s="11"/>
      <c r="Y418" s="4"/>
      <c r="Z418" s="9"/>
      <c r="AA418" s="11"/>
      <c r="AB418" s="4"/>
      <c r="AC418" s="11"/>
      <c r="AD418" s="11"/>
      <c r="AE418" s="4"/>
      <c r="AF418" s="11"/>
      <c r="AG418" s="11"/>
      <c r="AH418" s="4"/>
      <c r="AI418" s="11"/>
      <c r="AJ418" s="11"/>
      <c r="AK418" s="4"/>
      <c r="AL418" s="4"/>
      <c r="AM418" s="4"/>
      <c r="AN418" s="4"/>
      <c r="AO418" s="4"/>
      <c r="AP418" s="4"/>
      <c r="AQ418" s="4"/>
    </row>
    <row r="419" spans="1:43" s="2" customFormat="1" x14ac:dyDescent="0.25">
      <c r="A419" s="161" t="str">
        <f t="shared" si="10"/>
        <v>COMPOSITE_BOWMAN_EASTEU</v>
      </c>
      <c r="B419" s="9" t="s">
        <v>116</v>
      </c>
      <c r="C419" s="4" t="s">
        <v>698</v>
      </c>
      <c r="D419" s="4"/>
      <c r="E419" s="4" t="s">
        <v>116</v>
      </c>
      <c r="F419" s="4" t="s">
        <v>116</v>
      </c>
      <c r="G419" s="4"/>
      <c r="H419" s="4" t="s">
        <v>609</v>
      </c>
      <c r="I419" s="4" t="s">
        <v>2098</v>
      </c>
      <c r="J419" s="11"/>
      <c r="K419" s="11"/>
      <c r="L419" s="4"/>
      <c r="M419" s="12"/>
      <c r="N419" s="4"/>
      <c r="O419" s="4"/>
      <c r="P419" s="4"/>
      <c r="Q419" s="11"/>
      <c r="R419" s="11"/>
      <c r="S419" s="4"/>
      <c r="T419" s="11"/>
      <c r="U419" s="11"/>
      <c r="V419" s="4"/>
      <c r="W419" s="11"/>
      <c r="X419" s="11"/>
      <c r="Y419" s="4"/>
      <c r="Z419" s="9"/>
      <c r="AA419" s="11"/>
      <c r="AB419" s="4"/>
      <c r="AC419" s="11"/>
      <c r="AD419" s="11"/>
      <c r="AE419" s="4"/>
      <c r="AF419" s="11"/>
      <c r="AG419" s="11"/>
      <c r="AH419" s="4"/>
      <c r="AI419" s="11"/>
      <c r="AJ419" s="11"/>
      <c r="AK419" s="4"/>
      <c r="AL419" s="4"/>
      <c r="AM419" s="4"/>
      <c r="AN419" s="4"/>
      <c r="AO419" s="4"/>
      <c r="AP419" s="4"/>
      <c r="AQ419" s="4"/>
    </row>
    <row r="420" spans="1:43" s="2" customFormat="1" x14ac:dyDescent="0.25">
      <c r="A420" s="161" t="str">
        <f t="shared" si="10"/>
        <v>COMPOSITE_BOWMAN_RUSSIA</v>
      </c>
      <c r="B420" s="9" t="s">
        <v>116</v>
      </c>
      <c r="C420" s="4" t="s">
        <v>735</v>
      </c>
      <c r="D420" s="4" t="s">
        <v>698</v>
      </c>
      <c r="E420" s="4" t="s">
        <v>116</v>
      </c>
      <c r="F420" s="4" t="s">
        <v>116</v>
      </c>
      <c r="G420" s="14" t="s">
        <v>132</v>
      </c>
      <c r="H420" s="4"/>
      <c r="I420" s="4"/>
      <c r="J420" s="11"/>
      <c r="K420" s="11"/>
      <c r="L420" s="4"/>
      <c r="M420" s="12"/>
      <c r="N420" s="4"/>
      <c r="O420" s="4"/>
      <c r="P420" s="4"/>
      <c r="Q420" s="11"/>
      <c r="R420" s="11"/>
      <c r="S420" s="4"/>
      <c r="T420" s="11"/>
      <c r="U420" s="11"/>
      <c r="V420" s="4"/>
      <c r="W420" s="11"/>
      <c r="X420" s="11"/>
      <c r="Y420" s="4"/>
      <c r="Z420" s="9"/>
      <c r="AA420" s="11"/>
      <c r="AB420" s="4"/>
      <c r="AC420" s="11"/>
      <c r="AD420" s="11"/>
      <c r="AE420" s="4"/>
      <c r="AF420" s="11"/>
      <c r="AG420" s="11"/>
      <c r="AH420" s="4"/>
      <c r="AI420" s="11"/>
      <c r="AJ420" s="11"/>
      <c r="AK420" s="4"/>
      <c r="AL420" s="4"/>
      <c r="AM420" s="4"/>
      <c r="AN420" s="4"/>
      <c r="AO420" s="4"/>
      <c r="AP420" s="4"/>
      <c r="AQ420" s="4"/>
    </row>
    <row r="421" spans="1:43" s="2" customFormat="1" x14ac:dyDescent="0.25">
      <c r="A421" s="161" t="str">
        <f t="shared" si="10"/>
        <v>COMPOSITE_BOWMAN_ENGLAND</v>
      </c>
      <c r="B421" s="9" t="s">
        <v>116</v>
      </c>
      <c r="C421" s="4" t="s">
        <v>713</v>
      </c>
      <c r="D421" s="4"/>
      <c r="E421" s="4" t="s">
        <v>116</v>
      </c>
      <c r="F421" s="4" t="s">
        <v>116</v>
      </c>
      <c r="G421" s="14" t="s">
        <v>132</v>
      </c>
      <c r="H421" s="4" t="s">
        <v>295</v>
      </c>
      <c r="I421" s="4" t="s">
        <v>102</v>
      </c>
      <c r="J421" s="11"/>
      <c r="K421" s="11"/>
      <c r="L421" s="4"/>
      <c r="M421" s="12"/>
      <c r="N421" s="4"/>
      <c r="O421" s="4"/>
      <c r="P421" s="4"/>
      <c r="Q421" s="11"/>
      <c r="R421" s="11"/>
      <c r="S421" s="4"/>
      <c r="T421" s="11"/>
      <c r="U421" s="11"/>
      <c r="V421" s="4"/>
      <c r="W421" s="11"/>
      <c r="X421" s="11"/>
      <c r="Y421" s="4"/>
      <c r="Z421" s="9"/>
      <c r="AA421" s="11"/>
      <c r="AB421" s="4"/>
      <c r="AC421" s="11"/>
      <c r="AD421" s="11"/>
      <c r="AE421" s="4"/>
      <c r="AF421" s="11"/>
      <c r="AG421" s="11"/>
      <c r="AH421" s="4"/>
      <c r="AI421" s="11"/>
      <c r="AJ421" s="11"/>
      <c r="AK421" s="4"/>
      <c r="AL421" s="4"/>
      <c r="AM421" s="4"/>
      <c r="AN421" s="4"/>
      <c r="AO421" s="4"/>
      <c r="AP421" s="4"/>
      <c r="AQ421" s="4"/>
    </row>
    <row r="422" spans="1:43" s="2" customFormat="1" x14ac:dyDescent="0.25">
      <c r="A422" s="161" t="str">
        <f t="shared" si="10"/>
        <v>COMPOSITE_BOWMAN_FRANCE</v>
      </c>
      <c r="B422" s="9" t="s">
        <v>116</v>
      </c>
      <c r="C422" s="4" t="s">
        <v>715</v>
      </c>
      <c r="D422" s="4"/>
      <c r="E422" s="4" t="s">
        <v>116</v>
      </c>
      <c r="F422" s="4" t="s">
        <v>116</v>
      </c>
      <c r="G422" s="14" t="s">
        <v>132</v>
      </c>
      <c r="H422" s="4" t="s">
        <v>340</v>
      </c>
      <c r="I422" s="4" t="s">
        <v>102</v>
      </c>
      <c r="J422" s="11"/>
      <c r="K422" s="11"/>
      <c r="L422" s="4"/>
      <c r="M422" s="12"/>
      <c r="N422" s="4"/>
      <c r="O422" s="4"/>
      <c r="P422" s="4"/>
      <c r="Q422" s="11"/>
      <c r="R422" s="11">
        <v>0.15</v>
      </c>
      <c r="S422" s="4"/>
      <c r="T422" s="11"/>
      <c r="U422" s="11">
        <v>9.5000000000000001E-2</v>
      </c>
      <c r="V422" s="4"/>
      <c r="W422" s="11"/>
      <c r="X422" s="11"/>
      <c r="Y422" s="4"/>
      <c r="Z422" s="9"/>
      <c r="AA422" s="11"/>
      <c r="AB422" s="4"/>
      <c r="AC422" s="11"/>
      <c r="AD422" s="11"/>
      <c r="AE422" s="4"/>
      <c r="AF422" s="11"/>
      <c r="AG422" s="11"/>
      <c r="AH422" s="4"/>
      <c r="AI422" s="11"/>
      <c r="AJ422" s="11"/>
      <c r="AK422" s="4"/>
      <c r="AL422" s="4"/>
      <c r="AM422" s="4"/>
      <c r="AN422" s="4"/>
      <c r="AO422" s="4"/>
      <c r="AP422" s="4"/>
      <c r="AQ422" s="4"/>
    </row>
    <row r="423" spans="1:43" s="2" customFormat="1" x14ac:dyDescent="0.25">
      <c r="A423" s="161" t="str">
        <f t="shared" si="10"/>
        <v>COMPOSITE_BOWMAN_GERMANY</v>
      </c>
      <c r="B423" s="9" t="s">
        <v>116</v>
      </c>
      <c r="C423" s="4" t="s">
        <v>717</v>
      </c>
      <c r="D423" s="4"/>
      <c r="E423" s="4" t="s">
        <v>116</v>
      </c>
      <c r="F423" s="4" t="s">
        <v>116</v>
      </c>
      <c r="G423" s="14" t="s">
        <v>132</v>
      </c>
      <c r="H423" s="4" t="s">
        <v>370</v>
      </c>
      <c r="I423" s="4" t="s">
        <v>102</v>
      </c>
      <c r="J423" s="11"/>
      <c r="K423" s="11"/>
      <c r="L423" s="4"/>
      <c r="M423" s="12"/>
      <c r="N423" s="4"/>
      <c r="O423" s="4"/>
      <c r="P423" s="4"/>
      <c r="Q423" s="11"/>
      <c r="R423" s="11"/>
      <c r="S423" s="4"/>
      <c r="T423" s="11"/>
      <c r="U423" s="11"/>
      <c r="V423" s="4"/>
      <c r="W423" s="11"/>
      <c r="X423" s="11"/>
      <c r="Y423" s="4"/>
      <c r="Z423" s="9"/>
      <c r="AA423" s="11"/>
      <c r="AB423" s="4"/>
      <c r="AC423" s="11"/>
      <c r="AD423" s="11"/>
      <c r="AE423" s="4"/>
      <c r="AF423" s="11"/>
      <c r="AG423" s="11"/>
      <c r="AH423" s="4"/>
      <c r="AI423" s="11"/>
      <c r="AJ423" s="11"/>
      <c r="AK423" s="4"/>
      <c r="AL423" s="4"/>
      <c r="AM423" s="4"/>
      <c r="AN423" s="4"/>
      <c r="AO423" s="4"/>
      <c r="AP423" s="4"/>
      <c r="AQ423" s="4"/>
    </row>
    <row r="424" spans="1:43" x14ac:dyDescent="0.25">
      <c r="A424" s="161" t="str">
        <f t="shared" si="10"/>
        <v>COMPOSITE_BOWMAN_NETHERLANDS</v>
      </c>
      <c r="B424" s="9" t="s">
        <v>116</v>
      </c>
      <c r="C424" s="4" t="s">
        <v>730</v>
      </c>
      <c r="E424" s="4" t="s">
        <v>116</v>
      </c>
      <c r="F424" s="4" t="s">
        <v>116</v>
      </c>
      <c r="G424" s="14" t="s">
        <v>132</v>
      </c>
      <c r="H424" s="4" t="s">
        <v>539</v>
      </c>
      <c r="Z424" s="9"/>
    </row>
    <row r="425" spans="1:43" x14ac:dyDescent="0.25">
      <c r="A425" s="161" t="str">
        <f t="shared" si="10"/>
        <v>COMPOSITE_BOWMAN_MED</v>
      </c>
      <c r="B425" s="9" t="s">
        <v>116</v>
      </c>
      <c r="C425" s="4" t="s">
        <v>692</v>
      </c>
      <c r="E425" s="4" t="s">
        <v>116</v>
      </c>
      <c r="F425" s="4" t="s">
        <v>116</v>
      </c>
      <c r="H425" s="4" t="s">
        <v>649</v>
      </c>
      <c r="I425" s="4" t="s">
        <v>2098</v>
      </c>
      <c r="Z425" s="9"/>
    </row>
    <row r="426" spans="1:43" x14ac:dyDescent="0.25">
      <c r="A426" s="161" t="str">
        <f t="shared" si="10"/>
        <v>COMPOSITE_BOWMAN_GREECE</v>
      </c>
      <c r="B426" s="9" t="s">
        <v>116</v>
      </c>
      <c r="C426" s="4" t="s">
        <v>718</v>
      </c>
      <c r="E426" s="4" t="s">
        <v>116</v>
      </c>
      <c r="F426" s="4" t="s">
        <v>116</v>
      </c>
      <c r="G426" s="14" t="s">
        <v>132</v>
      </c>
      <c r="H426" s="4" t="s">
        <v>399</v>
      </c>
      <c r="I426" s="4" t="s">
        <v>102</v>
      </c>
      <c r="Z426" s="9"/>
    </row>
    <row r="427" spans="1:43" x14ac:dyDescent="0.25">
      <c r="A427" s="161" t="str">
        <f t="shared" si="10"/>
        <v>COMPOSITE_BOWMAN_ROME</v>
      </c>
      <c r="B427" s="9" t="s">
        <v>116</v>
      </c>
      <c r="C427" s="4" t="s">
        <v>734</v>
      </c>
      <c r="E427" s="4" t="s">
        <v>116</v>
      </c>
      <c r="F427" s="4" t="s">
        <v>116</v>
      </c>
      <c r="G427" s="14" t="s">
        <v>132</v>
      </c>
      <c r="H427" s="4" t="s">
        <v>584</v>
      </c>
      <c r="I427" s="4" t="s">
        <v>102</v>
      </c>
      <c r="Z427" s="9"/>
    </row>
    <row r="428" spans="1:43" x14ac:dyDescent="0.25">
      <c r="A428" s="161" t="str">
        <f t="shared" si="10"/>
        <v>COMPOSITE_BOWMAN_SPAIN</v>
      </c>
      <c r="B428" s="9" t="s">
        <v>116</v>
      </c>
      <c r="C428" s="4" t="s">
        <v>738</v>
      </c>
      <c r="D428" s="4" t="s">
        <v>692</v>
      </c>
      <c r="E428" s="4" t="s">
        <v>116</v>
      </c>
      <c r="F428" s="4" t="s">
        <v>116</v>
      </c>
      <c r="G428" s="14" t="s">
        <v>132</v>
      </c>
      <c r="Z428" s="9"/>
    </row>
    <row r="429" spans="1:43" x14ac:dyDescent="0.25">
      <c r="A429" s="161" t="str">
        <f t="shared" si="10"/>
        <v>COMPOSITE_BOWMAN_MIDEAST</v>
      </c>
      <c r="B429" s="9" t="s">
        <v>116</v>
      </c>
      <c r="C429" s="4" t="s">
        <v>690</v>
      </c>
      <c r="E429" s="4" t="s">
        <v>116</v>
      </c>
      <c r="F429" s="4" t="s">
        <v>116</v>
      </c>
      <c r="H429" s="4" t="s">
        <v>158</v>
      </c>
      <c r="I429" s="4" t="s">
        <v>2098</v>
      </c>
      <c r="Z429" s="9"/>
    </row>
    <row r="430" spans="1:43" x14ac:dyDescent="0.25">
      <c r="A430" s="161" t="str">
        <f t="shared" si="10"/>
        <v>COMPOSITE_BOWMAN_BABYLON</v>
      </c>
      <c r="B430" s="9" t="s">
        <v>116</v>
      </c>
      <c r="C430" s="4" t="s">
        <v>703</v>
      </c>
      <c r="E430" s="4" t="s">
        <v>116</v>
      </c>
      <c r="F430" s="4" t="s">
        <v>116</v>
      </c>
      <c r="G430" s="14"/>
      <c r="H430" s="4" t="s">
        <v>206</v>
      </c>
      <c r="I430" s="4" t="s">
        <v>102</v>
      </c>
      <c r="Z430" s="9"/>
    </row>
    <row r="431" spans="1:43" x14ac:dyDescent="0.25">
      <c r="A431" s="161" t="str">
        <f t="shared" si="10"/>
        <v>COMPOSITE_BOWMAN_EGYPT</v>
      </c>
      <c r="B431" s="9" t="s">
        <v>116</v>
      </c>
      <c r="C431" s="4" t="s">
        <v>712</v>
      </c>
      <c r="E431" s="4" t="s">
        <v>116</v>
      </c>
      <c r="F431" s="4" t="s">
        <v>116</v>
      </c>
      <c r="G431" s="14" t="s">
        <v>132</v>
      </c>
      <c r="H431" s="4" t="s">
        <v>276</v>
      </c>
      <c r="I431" s="4" t="s">
        <v>2098</v>
      </c>
      <c r="Z431" s="9"/>
    </row>
    <row r="432" spans="1:43" x14ac:dyDescent="0.25">
      <c r="A432" s="161" t="str">
        <f t="shared" si="10"/>
        <v>COMPOSITE_BOWMAN_LEVANT</v>
      </c>
      <c r="B432" s="9" t="s">
        <v>116</v>
      </c>
      <c r="C432" s="4" t="s">
        <v>724</v>
      </c>
      <c r="E432" s="4" t="s">
        <v>116</v>
      </c>
      <c r="F432" s="4" t="s">
        <v>116</v>
      </c>
      <c r="G432" s="14" t="s">
        <v>132</v>
      </c>
      <c r="H432" s="4" t="s">
        <v>507</v>
      </c>
      <c r="I432" s="4" t="s">
        <v>1063</v>
      </c>
      <c r="Z432" s="9"/>
    </row>
    <row r="433" spans="1:43" x14ac:dyDescent="0.25">
      <c r="A433" s="161" t="str">
        <f t="shared" si="10"/>
        <v>COMPOSITE_BOWMAN_PERSIA</v>
      </c>
      <c r="B433" s="9" t="s">
        <v>116</v>
      </c>
      <c r="C433" s="4" t="s">
        <v>731</v>
      </c>
      <c r="E433" s="4" t="s">
        <v>116</v>
      </c>
      <c r="F433" s="4" t="s">
        <v>116</v>
      </c>
      <c r="G433" s="14" t="s">
        <v>132</v>
      </c>
      <c r="H433" s="4" t="s">
        <v>552</v>
      </c>
      <c r="I433" s="4" t="s">
        <v>102</v>
      </c>
      <c r="Z433" s="9"/>
    </row>
    <row r="434" spans="1:43" x14ac:dyDescent="0.25">
      <c r="A434" s="161" t="str">
        <f t="shared" si="10"/>
        <v>COMPOSITE_BOWMAN_NORTHEU</v>
      </c>
      <c r="B434" s="9" t="s">
        <v>116</v>
      </c>
      <c r="C434" s="4" t="s">
        <v>962</v>
      </c>
      <c r="E434" s="4" t="s">
        <v>116</v>
      </c>
      <c r="F434" s="4" t="s">
        <v>116</v>
      </c>
      <c r="G434" s="14" t="s">
        <v>132</v>
      </c>
      <c r="H434" s="4" t="s">
        <v>265</v>
      </c>
      <c r="I434" s="4" t="s">
        <v>102</v>
      </c>
      <c r="R434" s="11">
        <v>0.15</v>
      </c>
      <c r="U434" s="11">
        <v>9.5000000000000001E-2</v>
      </c>
      <c r="Z434" s="9"/>
    </row>
    <row r="435" spans="1:43" x14ac:dyDescent="0.25">
      <c r="A435" s="161" t="str">
        <f t="shared" si="10"/>
        <v>COMPOSITE_BOWMAN_OCEAN</v>
      </c>
      <c r="B435" s="9" t="s">
        <v>116</v>
      </c>
      <c r="C435" s="4" t="s">
        <v>994</v>
      </c>
      <c r="D435" s="4" t="s">
        <v>691</v>
      </c>
      <c r="E435" s="4" t="s">
        <v>116</v>
      </c>
      <c r="F435" s="4" t="s">
        <v>116</v>
      </c>
      <c r="Z435" s="9"/>
    </row>
    <row r="436" spans="1:43" x14ac:dyDescent="0.25">
      <c r="A436" s="161" t="str">
        <f t="shared" si="10"/>
        <v>COMPOSITE_BOWMAN_SEASIA</v>
      </c>
      <c r="B436" s="9" t="s">
        <v>116</v>
      </c>
      <c r="C436" s="4" t="s">
        <v>696</v>
      </c>
      <c r="D436" s="4" t="s">
        <v>693</v>
      </c>
      <c r="E436" s="4" t="s">
        <v>116</v>
      </c>
      <c r="F436" s="4" t="s">
        <v>116</v>
      </c>
      <c r="Z436" s="9"/>
    </row>
    <row r="437" spans="1:43" x14ac:dyDescent="0.25">
      <c r="A437" s="161" t="str">
        <f t="shared" si="10"/>
        <v>COMPOSITE_BOWMAN_SOUTHAM</v>
      </c>
      <c r="B437" s="9" t="s">
        <v>116</v>
      </c>
      <c r="C437" s="4" t="s">
        <v>691</v>
      </c>
      <c r="E437" s="4" t="s">
        <v>116</v>
      </c>
      <c r="F437" s="4" t="s">
        <v>116</v>
      </c>
      <c r="H437" s="4" t="s">
        <v>192</v>
      </c>
      <c r="I437" s="4" t="s">
        <v>2098</v>
      </c>
      <c r="Z437" s="9"/>
    </row>
    <row r="438" spans="1:43" x14ac:dyDescent="0.25">
      <c r="A438" s="161" t="str">
        <f t="shared" si="10"/>
        <v>COMPOSITE_BOWMAN_AZTEC</v>
      </c>
      <c r="B438" s="9" t="s">
        <v>116</v>
      </c>
      <c r="C438" s="4" t="s">
        <v>702</v>
      </c>
      <c r="D438" s="4" t="s">
        <v>691</v>
      </c>
      <c r="E438" s="4" t="s">
        <v>116</v>
      </c>
      <c r="F438" s="4" t="s">
        <v>116</v>
      </c>
      <c r="G438" s="14"/>
      <c r="Z438" s="9"/>
    </row>
    <row r="439" spans="1:43" x14ac:dyDescent="0.25">
      <c r="A439" s="161" t="str">
        <f t="shared" si="10"/>
        <v>COMPOSITE_BOWMAN_INCA</v>
      </c>
      <c r="B439" s="9" t="s">
        <v>116</v>
      </c>
      <c r="C439" s="4" t="s">
        <v>719</v>
      </c>
      <c r="E439" s="4" t="s">
        <v>116</v>
      </c>
      <c r="F439" s="4" t="s">
        <v>116</v>
      </c>
      <c r="G439" s="14" t="s">
        <v>132</v>
      </c>
      <c r="H439" s="4" t="s">
        <v>418</v>
      </c>
      <c r="I439" s="4" t="s">
        <v>2098</v>
      </c>
      <c r="Z439" s="9"/>
    </row>
    <row r="440" spans="1:43" x14ac:dyDescent="0.25">
      <c r="A440" s="161" t="str">
        <f t="shared" si="10"/>
        <v>COMPOSITE_BOWMAN_MAYA</v>
      </c>
      <c r="B440" s="9" t="s">
        <v>116</v>
      </c>
      <c r="C440" s="4" t="s">
        <v>725</v>
      </c>
      <c r="E440" s="4" t="s">
        <v>116</v>
      </c>
      <c r="F440" s="4" t="s">
        <v>116</v>
      </c>
      <c r="G440" s="14" t="s">
        <v>132</v>
      </c>
      <c r="H440" s="4" t="s">
        <v>515</v>
      </c>
      <c r="I440" s="4" t="s">
        <v>2098</v>
      </c>
      <c r="Z440" s="9"/>
    </row>
    <row r="441" spans="1:43" x14ac:dyDescent="0.25">
      <c r="A441" s="161" t="str">
        <f t="shared" si="10"/>
        <v>COMPOSITE_BOWMAN_SOUTHAS</v>
      </c>
      <c r="B441" s="9" t="s">
        <v>116</v>
      </c>
      <c r="C441" s="4" t="s">
        <v>695</v>
      </c>
      <c r="D441" s="4" t="s">
        <v>693</v>
      </c>
      <c r="E441" s="4" t="s">
        <v>116</v>
      </c>
      <c r="F441" s="4" t="s">
        <v>116</v>
      </c>
      <c r="Z441" s="9"/>
    </row>
    <row r="442" spans="1:43" x14ac:dyDescent="0.25">
      <c r="A442" s="161" t="str">
        <f t="shared" si="10"/>
        <v>COMPOSITE_BOWMAN_INDIA</v>
      </c>
      <c r="B442" s="9" t="s">
        <v>116</v>
      </c>
      <c r="C442" s="4" t="s">
        <v>720</v>
      </c>
      <c r="E442" s="4" t="s">
        <v>116</v>
      </c>
      <c r="F442" s="4" t="s">
        <v>116</v>
      </c>
      <c r="G442" s="14" t="s">
        <v>132</v>
      </c>
      <c r="H442" s="4" t="s">
        <v>431</v>
      </c>
      <c r="I442" s="4" t="s">
        <v>102</v>
      </c>
      <c r="Z442" s="9"/>
    </row>
    <row r="443" spans="1:43" x14ac:dyDescent="0.25">
      <c r="A443" s="161" t="str">
        <f t="shared" si="10"/>
        <v>CONFEDERATE_ARTILLERY_NAPOLEON</v>
      </c>
      <c r="C443" s="5"/>
      <c r="D443" s="5"/>
      <c r="E443" s="5" t="s">
        <v>1327</v>
      </c>
      <c r="F443" s="5" t="s">
        <v>1327</v>
      </c>
      <c r="G443" s="5"/>
      <c r="H443" s="5" t="s">
        <v>1425</v>
      </c>
      <c r="I443" s="5" t="s">
        <v>128</v>
      </c>
      <c r="J443" s="6"/>
      <c r="K443" s="6"/>
      <c r="L443" s="13" t="s">
        <v>746</v>
      </c>
      <c r="M443" s="8"/>
      <c r="N443" s="5"/>
      <c r="O443" s="5"/>
      <c r="P443" s="5"/>
      <c r="Q443" s="7">
        <v>2</v>
      </c>
      <c r="R443" s="6" t="s">
        <v>1695</v>
      </c>
      <c r="S443" s="13" t="s">
        <v>1613</v>
      </c>
      <c r="T443" s="6"/>
      <c r="U443" s="6" t="s">
        <v>1695</v>
      </c>
      <c r="V443" s="5"/>
      <c r="W443" s="7" t="s">
        <v>3</v>
      </c>
      <c r="X443" s="6" t="s">
        <v>3</v>
      </c>
      <c r="Y443" s="5"/>
      <c r="Z443" s="7">
        <v>1</v>
      </c>
      <c r="AA443" s="6"/>
      <c r="AB443" s="5"/>
      <c r="AC443" s="6"/>
      <c r="AD443" s="6" t="s">
        <v>3</v>
      </c>
      <c r="AE443" s="5"/>
      <c r="AF443" s="6"/>
      <c r="AG443" s="6"/>
      <c r="AH443" s="5"/>
      <c r="AI443" s="6"/>
      <c r="AJ443" s="6"/>
      <c r="AK443" s="5"/>
      <c r="AL443" s="5"/>
      <c r="AM443" s="5"/>
      <c r="AN443" s="5"/>
      <c r="AO443" s="5"/>
      <c r="AP443" s="5"/>
      <c r="AQ443" s="5"/>
    </row>
    <row r="444" spans="1:43" x14ac:dyDescent="0.25">
      <c r="A444" s="161" t="str">
        <f t="shared" si="10"/>
        <v>CONFEDERATE_ARTILLERY_PARROTT</v>
      </c>
      <c r="C444" s="5"/>
      <c r="D444" s="5"/>
      <c r="E444" s="5" t="s">
        <v>1328</v>
      </c>
      <c r="F444" s="5" t="s">
        <v>1328</v>
      </c>
      <c r="G444" s="5"/>
      <c r="H444" s="5" t="s">
        <v>1426</v>
      </c>
      <c r="I444" s="5" t="s">
        <v>128</v>
      </c>
      <c r="J444" s="6"/>
      <c r="K444" s="6"/>
      <c r="L444" s="13" t="s">
        <v>746</v>
      </c>
      <c r="M444" s="8"/>
      <c r="N444" s="5"/>
      <c r="O444" s="5"/>
      <c r="P444" s="5"/>
      <c r="Q444" s="7">
        <v>2</v>
      </c>
      <c r="R444" s="6" t="s">
        <v>1695</v>
      </c>
      <c r="S444" s="13" t="s">
        <v>1613</v>
      </c>
      <c r="T444" s="6"/>
      <c r="U444" s="7" t="s">
        <v>1695</v>
      </c>
      <c r="V444" s="5"/>
      <c r="W444" s="7" t="s">
        <v>3</v>
      </c>
      <c r="X444" s="6" t="s">
        <v>3</v>
      </c>
      <c r="Y444" s="5"/>
      <c r="Z444" s="7">
        <v>1</v>
      </c>
      <c r="AA444" s="6"/>
      <c r="AB444" s="5"/>
      <c r="AC444" s="6"/>
      <c r="AD444" s="6" t="s">
        <v>3</v>
      </c>
      <c r="AE444" s="5"/>
      <c r="AF444" s="6"/>
      <c r="AG444" s="6"/>
      <c r="AH444" s="5"/>
      <c r="AI444" s="6"/>
      <c r="AJ444" s="6"/>
      <c r="AK444" s="5"/>
      <c r="AL444" s="5"/>
      <c r="AM444" s="5"/>
      <c r="AN444" s="5"/>
      <c r="AO444" s="5"/>
      <c r="AP444" s="5"/>
      <c r="AQ444" s="5"/>
    </row>
    <row r="445" spans="1:43" x14ac:dyDescent="0.25">
      <c r="A445" s="161" t="str">
        <f t="shared" si="10"/>
        <v>CONFEDERATE_CAVALRY_CARBINE</v>
      </c>
      <c r="C445" s="5"/>
      <c r="D445" s="5"/>
      <c r="E445" s="5" t="s">
        <v>1329</v>
      </c>
      <c r="F445" s="5" t="s">
        <v>1329</v>
      </c>
      <c r="G445" s="5"/>
      <c r="H445" s="5" t="s">
        <v>1427</v>
      </c>
      <c r="I445" s="5" t="s">
        <v>128</v>
      </c>
      <c r="J445" s="6"/>
      <c r="K445" s="6"/>
      <c r="L445" s="13" t="s">
        <v>1714</v>
      </c>
      <c r="M445" s="8"/>
      <c r="N445" s="5"/>
      <c r="O445" s="5"/>
      <c r="P445" s="5"/>
      <c r="Q445" s="7" t="s">
        <v>1695</v>
      </c>
      <c r="R445" s="6" t="s">
        <v>1695</v>
      </c>
      <c r="S445" s="13" t="s">
        <v>1695</v>
      </c>
      <c r="T445" s="6"/>
      <c r="U445" s="7" t="s">
        <v>1695</v>
      </c>
      <c r="V445" s="5"/>
      <c r="W445" s="7" t="s">
        <v>3</v>
      </c>
      <c r="X445" s="6" t="s">
        <v>3</v>
      </c>
      <c r="Y445" s="5"/>
      <c r="Z445" s="7">
        <v>1</v>
      </c>
      <c r="AA445" s="6"/>
      <c r="AB445" s="5"/>
      <c r="AC445" s="6"/>
      <c r="AD445" s="6" t="s">
        <v>3</v>
      </c>
      <c r="AE445" s="5"/>
      <c r="AF445" s="6" t="s">
        <v>1737</v>
      </c>
      <c r="AG445" s="6"/>
      <c r="AH445" s="5"/>
      <c r="AI445" s="6"/>
      <c r="AJ445" s="6"/>
      <c r="AK445" s="5"/>
      <c r="AL445" s="5"/>
      <c r="AM445" s="5"/>
      <c r="AN445" s="5"/>
      <c r="AO445" s="5"/>
      <c r="AP445" s="5"/>
      <c r="AQ445" s="5"/>
    </row>
    <row r="446" spans="1:43" x14ac:dyDescent="0.25">
      <c r="A446" s="161" t="str">
        <f t="shared" si="10"/>
        <v>CONFEDERATE_CAVALRY_PISTOL</v>
      </c>
      <c r="C446" s="5"/>
      <c r="D446" s="5"/>
      <c r="E446" s="5" t="s">
        <v>1330</v>
      </c>
      <c r="F446" s="5" t="s">
        <v>1330</v>
      </c>
      <c r="G446" s="5"/>
      <c r="H446" s="5" t="s">
        <v>1428</v>
      </c>
      <c r="I446" s="5" t="s">
        <v>128</v>
      </c>
      <c r="J446" s="6"/>
      <c r="K446" s="6"/>
      <c r="L446" s="13" t="s">
        <v>1714</v>
      </c>
      <c r="M446" s="8"/>
      <c r="N446" s="5"/>
      <c r="O446" s="5"/>
      <c r="P446" s="5"/>
      <c r="Q446" s="7" t="s">
        <v>1695</v>
      </c>
      <c r="R446" s="6" t="s">
        <v>1695</v>
      </c>
      <c r="S446" s="13" t="s">
        <v>1695</v>
      </c>
      <c r="T446" s="6"/>
      <c r="U446" s="7" t="s">
        <v>1695</v>
      </c>
      <c r="V446" s="5"/>
      <c r="W446" s="7" t="s">
        <v>3</v>
      </c>
      <c r="X446" s="6" t="s">
        <v>3</v>
      </c>
      <c r="Y446" s="5"/>
      <c r="Z446" s="7">
        <v>1</v>
      </c>
      <c r="AA446" s="6"/>
      <c r="AB446" s="5"/>
      <c r="AC446" s="6"/>
      <c r="AD446" s="6" t="s">
        <v>3</v>
      </c>
      <c r="AE446" s="5"/>
      <c r="AF446" s="6" t="s">
        <v>1737</v>
      </c>
      <c r="AG446" s="6"/>
      <c r="AH446" s="5"/>
      <c r="AI446" s="6"/>
      <c r="AJ446" s="6"/>
      <c r="AK446" s="5"/>
      <c r="AL446" s="5"/>
      <c r="AM446" s="5"/>
      <c r="AN446" s="5"/>
      <c r="AO446" s="5"/>
      <c r="AP446" s="5"/>
      <c r="AQ446" s="5"/>
    </row>
    <row r="447" spans="1:43" x14ac:dyDescent="0.25">
      <c r="A447" s="161" t="str">
        <f t="shared" si="10"/>
        <v>CONFEDERATE_CORPS</v>
      </c>
      <c r="C447" s="5"/>
      <c r="D447" s="5"/>
      <c r="E447" s="5" t="s">
        <v>1331</v>
      </c>
      <c r="F447" s="5" t="s">
        <v>1333</v>
      </c>
      <c r="G447" s="5"/>
      <c r="H447" s="5" t="s">
        <v>1431</v>
      </c>
      <c r="I447" s="5" t="s">
        <v>128</v>
      </c>
      <c r="J447" s="6"/>
      <c r="K447" s="6"/>
      <c r="L447" s="13" t="s">
        <v>1708</v>
      </c>
      <c r="M447" s="8"/>
      <c r="N447" s="5"/>
      <c r="O447" s="5"/>
      <c r="P447" s="5"/>
      <c r="Q447" s="6">
        <v>2</v>
      </c>
      <c r="R447" s="6" t="s">
        <v>1737</v>
      </c>
      <c r="S447" s="13" t="s">
        <v>1619</v>
      </c>
      <c r="T447" s="6">
        <v>2</v>
      </c>
      <c r="U447" s="7" t="s">
        <v>1737</v>
      </c>
      <c r="V447" s="5"/>
      <c r="W447" s="7" t="s">
        <v>3</v>
      </c>
      <c r="X447" s="6" t="s">
        <v>3</v>
      </c>
      <c r="Y447" s="5"/>
      <c r="Z447" s="7">
        <v>1</v>
      </c>
      <c r="AA447" s="6"/>
      <c r="AB447" s="5"/>
      <c r="AC447" s="6"/>
      <c r="AD447" s="6" t="s">
        <v>3</v>
      </c>
      <c r="AE447" s="5"/>
      <c r="AF447" s="6">
        <v>1</v>
      </c>
      <c r="AG447" s="6"/>
      <c r="AH447" s="5"/>
      <c r="AI447" s="6">
        <v>1</v>
      </c>
      <c r="AJ447" s="6"/>
      <c r="AK447" s="5"/>
      <c r="AL447" s="5"/>
      <c r="AM447" s="5"/>
      <c r="AN447" s="5"/>
      <c r="AO447" s="5"/>
      <c r="AP447" s="5"/>
      <c r="AQ447" s="5"/>
    </row>
    <row r="448" spans="1:43" x14ac:dyDescent="0.25">
      <c r="A448" s="161" t="str">
        <f t="shared" si="10"/>
        <v>CONFEDERATE_CORPS</v>
      </c>
      <c r="C448" s="5"/>
      <c r="D448" s="5"/>
      <c r="E448" s="5" t="s">
        <v>1331</v>
      </c>
      <c r="F448" s="5" t="s">
        <v>1333</v>
      </c>
      <c r="G448" s="5" t="s">
        <v>2055</v>
      </c>
      <c r="H448" s="5" t="s">
        <v>1432</v>
      </c>
      <c r="I448" s="5" t="s">
        <v>128</v>
      </c>
      <c r="J448" s="6"/>
      <c r="K448" s="6"/>
      <c r="L448" s="13" t="s">
        <v>1708</v>
      </c>
      <c r="M448" s="8"/>
      <c r="N448" s="5"/>
      <c r="O448" s="5"/>
      <c r="P448" s="5"/>
      <c r="Q448" s="6">
        <v>1</v>
      </c>
      <c r="R448" s="6" t="s">
        <v>1737</v>
      </c>
      <c r="S448" s="13" t="s">
        <v>1619</v>
      </c>
      <c r="T448" s="6">
        <v>1</v>
      </c>
      <c r="U448" s="7" t="s">
        <v>1737</v>
      </c>
      <c r="V448" s="5"/>
      <c r="W448" s="7" t="s">
        <v>3</v>
      </c>
      <c r="X448" s="6" t="s">
        <v>3</v>
      </c>
      <c r="Y448" s="5"/>
      <c r="Z448" s="7">
        <v>1</v>
      </c>
      <c r="AA448" s="6"/>
      <c r="AB448" s="5"/>
      <c r="AC448" s="6"/>
      <c r="AD448" s="6" t="s">
        <v>3</v>
      </c>
      <c r="AE448" s="5"/>
      <c r="AF448" s="6">
        <v>1</v>
      </c>
      <c r="AG448" s="6"/>
      <c r="AH448" s="5"/>
      <c r="AI448" s="6">
        <v>1</v>
      </c>
      <c r="AJ448" s="6"/>
      <c r="AK448" s="5"/>
      <c r="AL448" s="5"/>
      <c r="AM448" s="5"/>
      <c r="AN448" s="5"/>
      <c r="AO448" s="5"/>
      <c r="AP448" s="5"/>
      <c r="AQ448" s="5"/>
    </row>
    <row r="449" spans="1:43" x14ac:dyDescent="0.25">
      <c r="A449" s="161" t="str">
        <f t="shared" si="10"/>
        <v>CONFEDERATE_CORPS</v>
      </c>
      <c r="C449" s="5"/>
      <c r="D449" s="5"/>
      <c r="E449" s="5" t="s">
        <v>1331</v>
      </c>
      <c r="F449" s="5" t="s">
        <v>1333</v>
      </c>
      <c r="G449" s="5" t="s">
        <v>2047</v>
      </c>
      <c r="H449" s="5" t="s">
        <v>1433</v>
      </c>
      <c r="I449" s="5" t="s">
        <v>128</v>
      </c>
      <c r="J449" s="6"/>
      <c r="K449" s="6"/>
      <c r="L449" s="13" t="s">
        <v>1708</v>
      </c>
      <c r="M449" s="8"/>
      <c r="N449" s="5"/>
      <c r="O449" s="5"/>
      <c r="P449" s="5"/>
      <c r="Q449" s="6">
        <v>2</v>
      </c>
      <c r="R449" s="6" t="s">
        <v>1737</v>
      </c>
      <c r="S449" s="13" t="s">
        <v>1619</v>
      </c>
      <c r="T449" s="6">
        <v>2</v>
      </c>
      <c r="U449" s="7" t="s">
        <v>1737</v>
      </c>
      <c r="V449" s="5"/>
      <c r="W449" s="7" t="s">
        <v>3</v>
      </c>
      <c r="X449" s="6" t="s">
        <v>3</v>
      </c>
      <c r="Y449" s="5"/>
      <c r="Z449" s="7">
        <v>0</v>
      </c>
      <c r="AA449" s="6"/>
      <c r="AB449" s="5"/>
      <c r="AC449" s="6"/>
      <c r="AD449" s="6" t="s">
        <v>3</v>
      </c>
      <c r="AE449" s="5"/>
      <c r="AF449" s="6">
        <v>1</v>
      </c>
      <c r="AG449" s="6"/>
      <c r="AH449" s="5"/>
      <c r="AI449" s="6">
        <v>1</v>
      </c>
      <c r="AJ449" s="6"/>
      <c r="AK449" s="5"/>
      <c r="AL449" s="5"/>
      <c r="AM449" s="5"/>
      <c r="AN449" s="5"/>
      <c r="AO449" s="5"/>
      <c r="AP449" s="5"/>
      <c r="AQ449" s="5"/>
    </row>
    <row r="450" spans="1:43" x14ac:dyDescent="0.25">
      <c r="A450" s="161" t="str">
        <f t="shared" si="10"/>
        <v>CONFEDERATE_CORPS</v>
      </c>
      <c r="C450" s="5"/>
      <c r="D450" s="5"/>
      <c r="E450" s="5" t="s">
        <v>1331</v>
      </c>
      <c r="F450" s="5" t="s">
        <v>1333</v>
      </c>
      <c r="G450" s="5"/>
      <c r="H450" s="5" t="s">
        <v>1431</v>
      </c>
      <c r="I450" s="5" t="s">
        <v>128</v>
      </c>
      <c r="J450" s="6"/>
      <c r="K450" s="6"/>
      <c r="L450" s="13" t="s">
        <v>1708</v>
      </c>
      <c r="M450" s="8"/>
      <c r="N450" s="5"/>
      <c r="O450" s="5"/>
      <c r="P450" s="5"/>
      <c r="Q450" s="6">
        <v>1</v>
      </c>
      <c r="R450" s="6" t="s">
        <v>1737</v>
      </c>
      <c r="S450" s="13" t="s">
        <v>1619</v>
      </c>
      <c r="T450" s="6">
        <v>1</v>
      </c>
      <c r="U450" s="7" t="s">
        <v>1737</v>
      </c>
      <c r="V450" s="5"/>
      <c r="W450" s="7" t="s">
        <v>3</v>
      </c>
      <c r="X450" s="6" t="s">
        <v>3</v>
      </c>
      <c r="Y450" s="5"/>
      <c r="Z450" s="7">
        <v>0</v>
      </c>
      <c r="AA450" s="6"/>
      <c r="AB450" s="5"/>
      <c r="AC450" s="6"/>
      <c r="AD450" s="6" t="s">
        <v>3</v>
      </c>
      <c r="AE450" s="5"/>
      <c r="AF450" s="6">
        <v>1</v>
      </c>
      <c r="AG450" s="6"/>
      <c r="AH450" s="5"/>
      <c r="AI450" s="6">
        <v>1</v>
      </c>
      <c r="AJ450" s="6"/>
      <c r="AK450" s="5"/>
      <c r="AL450" s="5"/>
      <c r="AM450" s="5"/>
      <c r="AN450" s="5"/>
      <c r="AO450" s="5"/>
      <c r="AP450" s="5"/>
      <c r="AQ450" s="5"/>
    </row>
    <row r="451" spans="1:43" x14ac:dyDescent="0.25">
      <c r="A451" s="161" t="str">
        <f t="shared" si="10"/>
        <v>CONFEDERATE_CORPS</v>
      </c>
      <c r="C451" s="5"/>
      <c r="D451" s="5"/>
      <c r="E451" s="5" t="s">
        <v>1331</v>
      </c>
      <c r="F451" s="5" t="s">
        <v>1333</v>
      </c>
      <c r="G451" s="5" t="s">
        <v>2055</v>
      </c>
      <c r="H451" s="5" t="s">
        <v>1432</v>
      </c>
      <c r="I451" s="5" t="s">
        <v>128</v>
      </c>
      <c r="J451" s="6"/>
      <c r="K451" s="6"/>
      <c r="L451" s="13" t="s">
        <v>1708</v>
      </c>
      <c r="M451" s="8"/>
      <c r="N451" s="5"/>
      <c r="O451" s="5"/>
      <c r="P451" s="5"/>
      <c r="Q451" s="6">
        <v>1</v>
      </c>
      <c r="R451" s="6" t="s">
        <v>1737</v>
      </c>
      <c r="S451" s="13" t="s">
        <v>1619</v>
      </c>
      <c r="T451" s="6">
        <v>1</v>
      </c>
      <c r="U451" s="7" t="s">
        <v>1737</v>
      </c>
      <c r="V451" s="5"/>
      <c r="W451" s="7" t="s">
        <v>3</v>
      </c>
      <c r="X451" s="6" t="s">
        <v>3</v>
      </c>
      <c r="Y451" s="5"/>
      <c r="Z451" s="7">
        <v>0</v>
      </c>
      <c r="AA451" s="6"/>
      <c r="AB451" s="5"/>
      <c r="AC451" s="6"/>
      <c r="AD451" s="6" t="s">
        <v>3</v>
      </c>
      <c r="AE451" s="5"/>
      <c r="AF451" s="6">
        <v>0</v>
      </c>
      <c r="AG451" s="6"/>
      <c r="AH451" s="5"/>
      <c r="AI451" s="6">
        <v>1</v>
      </c>
      <c r="AJ451" s="6"/>
      <c r="AK451" s="5"/>
      <c r="AL451" s="5"/>
      <c r="AM451" s="5"/>
      <c r="AN451" s="5"/>
      <c r="AO451" s="5"/>
      <c r="AP451" s="5"/>
      <c r="AQ451" s="5"/>
    </row>
    <row r="452" spans="1:43" x14ac:dyDescent="0.25">
      <c r="A452" s="161" t="str">
        <f t="shared" si="10"/>
        <v>CONFEDERATE_CORPS</v>
      </c>
      <c r="C452" s="5"/>
      <c r="D452" s="5"/>
      <c r="E452" s="5" t="s">
        <v>1331</v>
      </c>
      <c r="F452" s="5" t="s">
        <v>1333</v>
      </c>
      <c r="G452" s="5"/>
      <c r="H452" s="5" t="s">
        <v>1431</v>
      </c>
      <c r="I452" s="5" t="s">
        <v>128</v>
      </c>
      <c r="J452" s="6"/>
      <c r="K452" s="6"/>
      <c r="L452" s="13" t="s">
        <v>1708</v>
      </c>
      <c r="M452" s="8"/>
      <c r="N452" s="5"/>
      <c r="O452" s="5"/>
      <c r="P452" s="5"/>
      <c r="Q452" s="6">
        <v>2</v>
      </c>
      <c r="R452" s="6" t="s">
        <v>1737</v>
      </c>
      <c r="S452" s="13" t="s">
        <v>1619</v>
      </c>
      <c r="T452" s="6">
        <v>2</v>
      </c>
      <c r="U452" s="7" t="s">
        <v>1737</v>
      </c>
      <c r="V452" s="5"/>
      <c r="W452" s="7" t="s">
        <v>3</v>
      </c>
      <c r="X452" s="6" t="s">
        <v>3</v>
      </c>
      <c r="Y452" s="5"/>
      <c r="Z452" s="7">
        <v>0</v>
      </c>
      <c r="AA452" s="6"/>
      <c r="AB452" s="5"/>
      <c r="AC452" s="6"/>
      <c r="AD452" s="6" t="s">
        <v>3</v>
      </c>
      <c r="AE452" s="5"/>
      <c r="AF452" s="6">
        <v>0</v>
      </c>
      <c r="AG452" s="6"/>
      <c r="AH452" s="5"/>
      <c r="AI452" s="6">
        <v>1</v>
      </c>
      <c r="AJ452" s="6"/>
      <c r="AK452" s="5"/>
      <c r="AL452" s="5"/>
      <c r="AM452" s="5"/>
      <c r="AN452" s="5"/>
      <c r="AO452" s="5"/>
      <c r="AP452" s="5"/>
      <c r="AQ452" s="5"/>
    </row>
    <row r="453" spans="1:43" x14ac:dyDescent="0.25">
      <c r="A453" s="161" t="str">
        <f t="shared" si="10"/>
        <v>CONFEDERATE_CORPS</v>
      </c>
      <c r="C453" s="5"/>
      <c r="D453" s="5"/>
      <c r="E453" s="5" t="s">
        <v>1331</v>
      </c>
      <c r="F453" s="5" t="s">
        <v>1333</v>
      </c>
      <c r="G453" s="5" t="s">
        <v>2047</v>
      </c>
      <c r="H453" s="5" t="s">
        <v>1433</v>
      </c>
      <c r="I453" s="5" t="s">
        <v>128</v>
      </c>
      <c r="J453" s="6"/>
      <c r="K453" s="6"/>
      <c r="L453" s="13" t="s">
        <v>1708</v>
      </c>
      <c r="M453" s="8"/>
      <c r="N453" s="5"/>
      <c r="O453" s="5"/>
      <c r="P453" s="5"/>
      <c r="Q453" s="6">
        <v>4</v>
      </c>
      <c r="R453" s="6" t="s">
        <v>1737</v>
      </c>
      <c r="S453" s="13" t="s">
        <v>1619</v>
      </c>
      <c r="T453" s="6">
        <v>4</v>
      </c>
      <c r="U453" s="7" t="s">
        <v>1737</v>
      </c>
      <c r="V453" s="5"/>
      <c r="W453" s="7" t="s">
        <v>3</v>
      </c>
      <c r="X453" s="6" t="s">
        <v>3</v>
      </c>
      <c r="Y453" s="5"/>
      <c r="Z453" s="7">
        <v>0</v>
      </c>
      <c r="AA453" s="6"/>
      <c r="AB453" s="5"/>
      <c r="AC453" s="6"/>
      <c r="AD453" s="6" t="s">
        <v>3</v>
      </c>
      <c r="AE453" s="5"/>
      <c r="AF453" s="6">
        <v>0</v>
      </c>
      <c r="AG453" s="6"/>
      <c r="AH453" s="5"/>
      <c r="AI453" s="6">
        <v>1</v>
      </c>
      <c r="AJ453" s="6"/>
      <c r="AK453" s="5"/>
      <c r="AL453" s="5"/>
      <c r="AM453" s="5"/>
      <c r="AN453" s="5"/>
      <c r="AO453" s="5"/>
      <c r="AP453" s="5"/>
      <c r="AQ453" s="5"/>
    </row>
    <row r="454" spans="1:43" x14ac:dyDescent="0.25">
      <c r="A454" s="161" t="str">
        <f t="shared" si="10"/>
        <v>CONFEDERATE_CORPS</v>
      </c>
      <c r="C454" s="5"/>
      <c r="D454" s="5"/>
      <c r="E454" s="5" t="s">
        <v>1331</v>
      </c>
      <c r="F454" s="5" t="s">
        <v>1333</v>
      </c>
      <c r="G454" s="5" t="s">
        <v>2055</v>
      </c>
      <c r="H454" s="5" t="s">
        <v>1432</v>
      </c>
      <c r="I454" s="5" t="s">
        <v>128</v>
      </c>
      <c r="J454" s="6"/>
      <c r="K454" s="6"/>
      <c r="L454" s="13" t="s">
        <v>1708</v>
      </c>
      <c r="M454" s="8"/>
      <c r="N454" s="5"/>
      <c r="O454" s="5"/>
      <c r="P454" s="5"/>
      <c r="Q454" s="6">
        <v>1</v>
      </c>
      <c r="R454" s="6" t="s">
        <v>1737</v>
      </c>
      <c r="S454" s="13" t="s">
        <v>1619</v>
      </c>
      <c r="T454" s="6">
        <v>1</v>
      </c>
      <c r="U454" s="7" t="s">
        <v>1737</v>
      </c>
      <c r="V454" s="5"/>
      <c r="W454" s="7" t="s">
        <v>3</v>
      </c>
      <c r="X454" s="6" t="s">
        <v>3</v>
      </c>
      <c r="Y454" s="5"/>
      <c r="Z454" s="7">
        <v>0</v>
      </c>
      <c r="AA454" s="6"/>
      <c r="AB454" s="5"/>
      <c r="AC454" s="6"/>
      <c r="AD454" s="6" t="s">
        <v>3</v>
      </c>
      <c r="AE454" s="5"/>
      <c r="AF454" s="6">
        <v>0</v>
      </c>
      <c r="AG454" s="6"/>
      <c r="AH454" s="5"/>
      <c r="AI454" s="6">
        <v>1</v>
      </c>
      <c r="AJ454" s="6"/>
      <c r="AK454" s="5"/>
      <c r="AL454" s="5"/>
      <c r="AM454" s="5"/>
      <c r="AN454" s="5"/>
      <c r="AO454" s="5"/>
      <c r="AP454" s="5"/>
      <c r="AQ454" s="5"/>
    </row>
    <row r="455" spans="1:43" x14ac:dyDescent="0.25">
      <c r="A455" s="161" t="str">
        <f t="shared" si="10"/>
        <v>CONFEDERATE_DIVISION</v>
      </c>
      <c r="C455" s="5"/>
      <c r="D455" s="5"/>
      <c r="E455" s="5" t="s">
        <v>1332</v>
      </c>
      <c r="F455" s="5" t="s">
        <v>1333</v>
      </c>
      <c r="G455" s="5"/>
      <c r="H455" s="5" t="s">
        <v>1431</v>
      </c>
      <c r="I455" s="5" t="s">
        <v>128</v>
      </c>
      <c r="J455" s="6"/>
      <c r="K455" s="6"/>
      <c r="L455" s="13" t="s">
        <v>1708</v>
      </c>
      <c r="M455" s="8"/>
      <c r="N455" s="5"/>
      <c r="O455" s="5"/>
      <c r="P455" s="5"/>
      <c r="Q455" s="6">
        <v>2</v>
      </c>
      <c r="R455" s="6" t="s">
        <v>1737</v>
      </c>
      <c r="S455" s="13" t="s">
        <v>1619</v>
      </c>
      <c r="T455" s="6">
        <v>2</v>
      </c>
      <c r="U455" s="7" t="s">
        <v>1737</v>
      </c>
      <c r="V455" s="5"/>
      <c r="W455" s="7" t="s">
        <v>3</v>
      </c>
      <c r="X455" s="6" t="s">
        <v>3</v>
      </c>
      <c r="Y455" s="5"/>
      <c r="Z455" s="7">
        <v>1</v>
      </c>
      <c r="AA455" s="6"/>
      <c r="AB455" s="5"/>
      <c r="AC455" s="6"/>
      <c r="AD455" s="6" t="s">
        <v>3</v>
      </c>
      <c r="AE455" s="5"/>
      <c r="AF455" s="6">
        <v>1</v>
      </c>
      <c r="AG455" s="6"/>
      <c r="AH455" s="5"/>
      <c r="AI455" s="6">
        <v>1</v>
      </c>
      <c r="AJ455" s="6"/>
      <c r="AK455" s="5"/>
      <c r="AL455" s="5"/>
      <c r="AM455" s="5"/>
      <c r="AN455" s="5"/>
      <c r="AO455" s="5"/>
      <c r="AP455" s="5"/>
      <c r="AQ455" s="5"/>
    </row>
    <row r="456" spans="1:43" x14ac:dyDescent="0.25">
      <c r="A456" s="161" t="str">
        <f t="shared" si="10"/>
        <v>CONFEDERATE_DIVISION</v>
      </c>
      <c r="C456" s="5"/>
      <c r="D456" s="5"/>
      <c r="E456" s="5" t="s">
        <v>1332</v>
      </c>
      <c r="F456" s="5" t="s">
        <v>1333</v>
      </c>
      <c r="G456" s="5" t="s">
        <v>2055</v>
      </c>
      <c r="H456" s="5" t="s">
        <v>1432</v>
      </c>
      <c r="I456" s="5" t="s">
        <v>128</v>
      </c>
      <c r="J456" s="6"/>
      <c r="K456" s="6"/>
      <c r="L456" s="13" t="s">
        <v>1708</v>
      </c>
      <c r="M456" s="8"/>
      <c r="N456" s="5"/>
      <c r="O456" s="5"/>
      <c r="P456" s="5"/>
      <c r="Q456" s="6">
        <v>1</v>
      </c>
      <c r="R456" s="6" t="s">
        <v>1737</v>
      </c>
      <c r="S456" s="13" t="s">
        <v>1619</v>
      </c>
      <c r="T456" s="6">
        <v>1</v>
      </c>
      <c r="U456" s="7" t="s">
        <v>1737</v>
      </c>
      <c r="V456" s="5"/>
      <c r="W456" s="7" t="s">
        <v>3</v>
      </c>
      <c r="X456" s="6" t="s">
        <v>3</v>
      </c>
      <c r="Y456" s="5"/>
      <c r="Z456" s="7">
        <v>0</v>
      </c>
      <c r="AA456" s="6"/>
      <c r="AB456" s="5"/>
      <c r="AC456" s="6"/>
      <c r="AD456" s="6" t="s">
        <v>3</v>
      </c>
      <c r="AE456" s="5"/>
      <c r="AF456" s="6">
        <v>1</v>
      </c>
      <c r="AG456" s="6"/>
      <c r="AH456" s="5"/>
      <c r="AI456" s="6">
        <v>1</v>
      </c>
      <c r="AJ456" s="6"/>
      <c r="AK456" s="5"/>
      <c r="AL456" s="5"/>
      <c r="AM456" s="5"/>
      <c r="AN456" s="5"/>
      <c r="AO456" s="5"/>
      <c r="AP456" s="5"/>
      <c r="AQ456" s="5"/>
    </row>
    <row r="457" spans="1:43" x14ac:dyDescent="0.25">
      <c r="A457" s="161" t="str">
        <f t="shared" si="10"/>
        <v>CONFEDERATE_DIVISION</v>
      </c>
      <c r="C457" s="5"/>
      <c r="D457" s="5"/>
      <c r="E457" s="5" t="s">
        <v>1332</v>
      </c>
      <c r="F457" s="5" t="s">
        <v>1333</v>
      </c>
      <c r="G457" s="5" t="s">
        <v>2047</v>
      </c>
      <c r="H457" s="5" t="s">
        <v>1433</v>
      </c>
      <c r="I457" s="5" t="s">
        <v>128</v>
      </c>
      <c r="J457" s="6"/>
      <c r="K457" s="6"/>
      <c r="L457" s="13" t="s">
        <v>1708</v>
      </c>
      <c r="M457" s="8"/>
      <c r="N457" s="5"/>
      <c r="O457" s="5"/>
      <c r="P457" s="5"/>
      <c r="Q457" s="6">
        <v>2</v>
      </c>
      <c r="R457" s="6" t="s">
        <v>1737</v>
      </c>
      <c r="S457" s="13" t="s">
        <v>1619</v>
      </c>
      <c r="T457" s="6">
        <v>2</v>
      </c>
      <c r="U457" s="7" t="s">
        <v>1737</v>
      </c>
      <c r="V457" s="5"/>
      <c r="W457" s="7" t="s">
        <v>3</v>
      </c>
      <c r="X457" s="6" t="s">
        <v>3</v>
      </c>
      <c r="Y457" s="5"/>
      <c r="Z457" s="7">
        <v>0</v>
      </c>
      <c r="AA457" s="6"/>
      <c r="AB457" s="5"/>
      <c r="AC457" s="6"/>
      <c r="AD457" s="6" t="s">
        <v>3</v>
      </c>
      <c r="AE457" s="5"/>
      <c r="AF457" s="6">
        <v>0</v>
      </c>
      <c r="AG457" s="6"/>
      <c r="AH457" s="5"/>
      <c r="AI457" s="6">
        <v>1</v>
      </c>
      <c r="AJ457" s="6"/>
      <c r="AK457" s="5"/>
      <c r="AL457" s="5"/>
      <c r="AM457" s="5"/>
      <c r="AN457" s="5"/>
      <c r="AO457" s="5"/>
      <c r="AP457" s="5"/>
      <c r="AQ457" s="5"/>
    </row>
    <row r="458" spans="1:43" x14ac:dyDescent="0.25">
      <c r="A458" s="161" t="str">
        <f t="shared" si="10"/>
        <v>CONFEDERATE_DIVISION</v>
      </c>
      <c r="C458" s="5"/>
      <c r="D458" s="5"/>
      <c r="E458" s="5" t="s">
        <v>1332</v>
      </c>
      <c r="F458" s="5" t="s">
        <v>1333</v>
      </c>
      <c r="G458" s="5"/>
      <c r="H458" s="5" t="s">
        <v>1431</v>
      </c>
      <c r="I458" s="5" t="s">
        <v>128</v>
      </c>
      <c r="J458" s="6"/>
      <c r="K458" s="6"/>
      <c r="L458" s="13" t="s">
        <v>1708</v>
      </c>
      <c r="M458" s="8"/>
      <c r="N458" s="5"/>
      <c r="O458" s="5"/>
      <c r="P458" s="5"/>
      <c r="Q458" s="6">
        <v>1</v>
      </c>
      <c r="R458" s="6" t="s">
        <v>1737</v>
      </c>
      <c r="S458" s="13" t="s">
        <v>1619</v>
      </c>
      <c r="T458" s="6">
        <v>1</v>
      </c>
      <c r="U458" s="7" t="s">
        <v>1737</v>
      </c>
      <c r="V458" s="5"/>
      <c r="W458" s="7" t="s">
        <v>3</v>
      </c>
      <c r="X458" s="6" t="s">
        <v>3</v>
      </c>
      <c r="Y458" s="5"/>
      <c r="Z458" s="7">
        <v>0</v>
      </c>
      <c r="AA458" s="6"/>
      <c r="AB458" s="5"/>
      <c r="AC458" s="6"/>
      <c r="AD458" s="6" t="s">
        <v>3</v>
      </c>
      <c r="AE458" s="5"/>
      <c r="AF458" s="6">
        <v>0</v>
      </c>
      <c r="AG458" s="6"/>
      <c r="AH458" s="5"/>
      <c r="AI458" s="6">
        <v>1</v>
      </c>
      <c r="AJ458" s="6"/>
      <c r="AK458" s="5"/>
      <c r="AL458" s="5"/>
      <c r="AM458" s="5"/>
      <c r="AN458" s="5"/>
      <c r="AO458" s="5"/>
      <c r="AP458" s="5"/>
      <c r="AQ458" s="5"/>
    </row>
    <row r="459" spans="1:43" x14ac:dyDescent="0.25">
      <c r="A459" s="161" t="str">
        <f t="shared" si="10"/>
        <v>CONFEDERATE_DIVISION</v>
      </c>
      <c r="C459" s="5"/>
      <c r="D459" s="5"/>
      <c r="E459" s="5" t="s">
        <v>1332</v>
      </c>
      <c r="F459" s="5" t="s">
        <v>1333</v>
      </c>
      <c r="G459" s="5" t="s">
        <v>2055</v>
      </c>
      <c r="H459" s="5" t="s">
        <v>1432</v>
      </c>
      <c r="I459" s="5" t="s">
        <v>128</v>
      </c>
      <c r="J459" s="6"/>
      <c r="K459" s="6"/>
      <c r="L459" s="13" t="s">
        <v>1708</v>
      </c>
      <c r="M459" s="8"/>
      <c r="N459" s="5"/>
      <c r="O459" s="5"/>
      <c r="P459" s="5"/>
      <c r="Q459" s="6">
        <v>1</v>
      </c>
      <c r="R459" s="7" t="s">
        <v>1737</v>
      </c>
      <c r="S459" s="13" t="s">
        <v>1619</v>
      </c>
      <c r="T459" s="6">
        <v>1</v>
      </c>
      <c r="U459" s="7" t="s">
        <v>1737</v>
      </c>
      <c r="V459" s="5"/>
      <c r="W459" s="7" t="s">
        <v>3</v>
      </c>
      <c r="X459" s="6" t="s">
        <v>3</v>
      </c>
      <c r="Y459" s="5"/>
      <c r="Z459" s="7">
        <v>0</v>
      </c>
      <c r="AA459" s="6"/>
      <c r="AB459" s="5"/>
      <c r="AC459" s="6"/>
      <c r="AD459" s="6" t="s">
        <v>3</v>
      </c>
      <c r="AE459" s="5"/>
      <c r="AF459" s="6">
        <v>0</v>
      </c>
      <c r="AG459" s="6"/>
      <c r="AH459" s="5"/>
      <c r="AI459" s="6">
        <v>1</v>
      </c>
      <c r="AJ459" s="6"/>
      <c r="AK459" s="5"/>
      <c r="AL459" s="5"/>
      <c r="AM459" s="5"/>
      <c r="AN459" s="5"/>
      <c r="AO459" s="5"/>
      <c r="AP459" s="5"/>
      <c r="AQ459" s="5"/>
    </row>
    <row r="460" spans="1:43" x14ac:dyDescent="0.25">
      <c r="A460" s="161" t="str">
        <f t="shared" si="10"/>
        <v>CONFEDERATE_GENERAL</v>
      </c>
      <c r="C460" s="5"/>
      <c r="D460" s="5"/>
      <c r="E460" s="5" t="s">
        <v>1334</v>
      </c>
      <c r="F460" s="5" t="s">
        <v>1335</v>
      </c>
      <c r="G460" s="5"/>
      <c r="H460" s="5" t="s">
        <v>1429</v>
      </c>
      <c r="I460" s="5" t="s">
        <v>128</v>
      </c>
      <c r="J460" s="6"/>
      <c r="K460" s="6"/>
      <c r="L460" s="13" t="s">
        <v>1710</v>
      </c>
      <c r="M460" s="8"/>
      <c r="N460" s="5"/>
      <c r="O460" s="5"/>
      <c r="P460" s="5"/>
      <c r="Q460" s="7">
        <v>1</v>
      </c>
      <c r="R460" s="6" t="s">
        <v>1695</v>
      </c>
      <c r="S460" s="13" t="s">
        <v>1620</v>
      </c>
      <c r="T460" s="6"/>
      <c r="U460" s="7" t="s">
        <v>1737</v>
      </c>
      <c r="V460" s="5"/>
      <c r="W460" s="6"/>
      <c r="X460" s="6" t="s">
        <v>3</v>
      </c>
      <c r="Y460" s="5"/>
      <c r="Z460" s="6"/>
      <c r="AA460" s="6"/>
      <c r="AB460" s="5"/>
      <c r="AC460" s="6"/>
      <c r="AD460" s="6" t="s">
        <v>3</v>
      </c>
      <c r="AE460" s="5"/>
      <c r="AF460" s="6"/>
      <c r="AG460" s="6"/>
      <c r="AH460" s="5"/>
      <c r="AI460" s="6"/>
      <c r="AJ460" s="6"/>
      <c r="AK460" s="5"/>
      <c r="AL460" s="5"/>
      <c r="AM460" s="5"/>
      <c r="AN460" s="5"/>
      <c r="AO460" s="5"/>
      <c r="AP460" s="5"/>
      <c r="AQ460" s="5"/>
    </row>
    <row r="461" spans="1:43" x14ac:dyDescent="0.25">
      <c r="A461" s="161" t="str">
        <f t="shared" si="10"/>
        <v>CONFEDERATE_IRONCLAD</v>
      </c>
      <c r="C461" s="5"/>
      <c r="D461" s="5"/>
      <c r="E461" s="5" t="s">
        <v>1336</v>
      </c>
      <c r="F461" s="5" t="s">
        <v>1336</v>
      </c>
      <c r="G461" s="5"/>
      <c r="H461" s="5" t="s">
        <v>1430</v>
      </c>
      <c r="I461" s="5" t="s">
        <v>128</v>
      </c>
      <c r="J461" s="6"/>
      <c r="K461" s="7"/>
      <c r="L461" s="13" t="s">
        <v>1713</v>
      </c>
      <c r="M461" s="8"/>
      <c r="N461" s="13" t="s">
        <v>1727</v>
      </c>
      <c r="O461" s="13"/>
      <c r="P461" s="13"/>
      <c r="Q461" s="7">
        <v>1</v>
      </c>
      <c r="R461" s="6" t="s">
        <v>1737</v>
      </c>
      <c r="S461" s="5"/>
      <c r="T461" s="6"/>
      <c r="U461" s="6"/>
      <c r="V461" s="5"/>
      <c r="W461" s="6" t="s">
        <v>3</v>
      </c>
      <c r="X461" s="6"/>
      <c r="Y461" s="5"/>
      <c r="Z461" s="6"/>
      <c r="AA461" s="6"/>
      <c r="AB461" s="5"/>
      <c r="AC461" s="6"/>
      <c r="AD461" s="6"/>
      <c r="AE461" s="5"/>
      <c r="AF461" s="6"/>
      <c r="AG461" s="6"/>
      <c r="AH461" s="5"/>
      <c r="AI461" s="6"/>
      <c r="AJ461" s="6"/>
      <c r="AK461" s="5"/>
      <c r="AL461" s="5"/>
      <c r="AM461" s="5"/>
      <c r="AN461" s="5"/>
      <c r="AO461" s="5"/>
      <c r="AP461" s="5"/>
      <c r="AQ461" s="5"/>
    </row>
    <row r="462" spans="1:43" x14ac:dyDescent="0.25">
      <c r="A462" s="161" t="str">
        <f t="shared" si="10"/>
        <v>CROSSBOWMAN</v>
      </c>
      <c r="B462" s="9" t="s">
        <v>115</v>
      </c>
      <c r="C462" s="5"/>
      <c r="D462" s="5"/>
      <c r="E462" s="5" t="s">
        <v>115</v>
      </c>
      <c r="F462" s="5" t="s">
        <v>115</v>
      </c>
      <c r="G462" s="5"/>
      <c r="H462" s="5" t="s">
        <v>34</v>
      </c>
      <c r="I462" s="5" t="s">
        <v>128</v>
      </c>
      <c r="J462" s="6"/>
      <c r="K462" s="6"/>
      <c r="L462" s="13" t="s">
        <v>1708</v>
      </c>
      <c r="M462" s="8"/>
      <c r="N462" s="5"/>
      <c r="O462" s="5"/>
      <c r="P462" s="5"/>
      <c r="Q462" s="7" t="s">
        <v>1737</v>
      </c>
      <c r="R462" s="6" t="s">
        <v>1737</v>
      </c>
      <c r="S462" s="13" t="s">
        <v>44</v>
      </c>
      <c r="T462" s="7">
        <v>15</v>
      </c>
      <c r="U462" s="7" t="s">
        <v>1737</v>
      </c>
      <c r="V462" s="5" t="s">
        <v>34</v>
      </c>
      <c r="W462" s="6" t="s">
        <v>3</v>
      </c>
      <c r="X462" s="6" t="s">
        <v>3</v>
      </c>
      <c r="Y462" s="5"/>
      <c r="Z462" s="7">
        <v>1</v>
      </c>
      <c r="AA462" s="6"/>
      <c r="AB462" s="5"/>
      <c r="AC462" s="6"/>
      <c r="AD462" s="6" t="s">
        <v>3</v>
      </c>
      <c r="AE462" s="5"/>
      <c r="AF462" s="7" t="s">
        <v>1737</v>
      </c>
      <c r="AG462" s="6"/>
      <c r="AH462" s="5"/>
      <c r="AI462" s="7" t="s">
        <v>1737</v>
      </c>
      <c r="AJ462" s="6"/>
      <c r="AK462" s="5"/>
      <c r="AL462" s="5"/>
      <c r="AM462" s="5"/>
      <c r="AN462" s="5"/>
      <c r="AO462" s="5"/>
      <c r="AP462" s="5"/>
      <c r="AQ462" s="5"/>
    </row>
    <row r="463" spans="1:43" x14ac:dyDescent="0.25">
      <c r="A463" s="161" t="str">
        <f t="shared" si="10"/>
        <v>CROSSBOWMAN_AFRI</v>
      </c>
      <c r="B463" s="9" t="s">
        <v>115</v>
      </c>
      <c r="C463" s="4" t="s">
        <v>694</v>
      </c>
      <c r="E463" s="4" t="s">
        <v>115</v>
      </c>
      <c r="F463" s="4" t="s">
        <v>115</v>
      </c>
      <c r="H463" s="4" t="s">
        <v>321</v>
      </c>
      <c r="I463" s="4" t="s">
        <v>1025</v>
      </c>
      <c r="Z463" s="9"/>
    </row>
    <row r="464" spans="1:43" x14ac:dyDescent="0.25">
      <c r="A464" s="161" t="str">
        <f t="shared" si="10"/>
        <v>CROSSBOWMAN_SONGHAI</v>
      </c>
      <c r="B464" s="9" t="s">
        <v>115</v>
      </c>
      <c r="C464" s="4" t="s">
        <v>737</v>
      </c>
      <c r="E464" s="4" t="s">
        <v>115</v>
      </c>
      <c r="F464" s="4" t="s">
        <v>115</v>
      </c>
      <c r="H464" s="4" t="s">
        <v>1962</v>
      </c>
      <c r="I464" s="4" t="s">
        <v>1025</v>
      </c>
      <c r="Z464" s="9"/>
    </row>
    <row r="465" spans="1:35" x14ac:dyDescent="0.25">
      <c r="A465" s="161" t="str">
        <f t="shared" si="10"/>
        <v>CROSSBOWMAN_AMER</v>
      </c>
      <c r="B465" s="9" t="s">
        <v>115</v>
      </c>
      <c r="C465" s="4" t="s">
        <v>697</v>
      </c>
      <c r="E465" s="4" t="s">
        <v>115</v>
      </c>
      <c r="F465" s="4" t="s">
        <v>115</v>
      </c>
      <c r="H465" s="4" t="s">
        <v>461</v>
      </c>
      <c r="I465" s="4" t="s">
        <v>1935</v>
      </c>
      <c r="Z465" s="9"/>
      <c r="AF465" s="9"/>
      <c r="AI465" s="9"/>
    </row>
    <row r="466" spans="1:35" x14ac:dyDescent="0.25">
      <c r="A466" s="161" t="str">
        <f t="shared" si="10"/>
        <v>CROSSBOWMAN_IROQUOIS</v>
      </c>
      <c r="B466" s="9" t="s">
        <v>115</v>
      </c>
      <c r="C466" s="4" t="s">
        <v>721</v>
      </c>
      <c r="E466" s="4" t="s">
        <v>115</v>
      </c>
      <c r="F466" s="4" t="s">
        <v>115</v>
      </c>
      <c r="H466" s="4" t="s">
        <v>931</v>
      </c>
      <c r="I466" s="4" t="s">
        <v>1935</v>
      </c>
      <c r="Q466" s="11">
        <v>2</v>
      </c>
      <c r="T466" s="11">
        <v>1</v>
      </c>
      <c r="Z466" s="9">
        <v>1</v>
      </c>
      <c r="AF466" s="11">
        <v>1</v>
      </c>
      <c r="AI466" s="11">
        <v>1</v>
      </c>
    </row>
    <row r="467" spans="1:35" x14ac:dyDescent="0.25">
      <c r="A467" s="161" t="str">
        <f t="shared" si="10"/>
        <v>CROSSBOWMAN_IROQUOIS</v>
      </c>
      <c r="B467" s="9" t="s">
        <v>115</v>
      </c>
      <c r="C467" s="4" t="s">
        <v>721</v>
      </c>
      <c r="E467" s="4" t="s">
        <v>115</v>
      </c>
      <c r="F467" s="4" t="s">
        <v>115</v>
      </c>
      <c r="G467" s="4" t="s">
        <v>2047</v>
      </c>
      <c r="H467" s="4" t="s">
        <v>932</v>
      </c>
      <c r="I467" s="4" t="s">
        <v>1935</v>
      </c>
      <c r="Q467" s="11">
        <v>1</v>
      </c>
      <c r="T467" s="11">
        <v>3</v>
      </c>
      <c r="Z467" s="9">
        <v>0</v>
      </c>
      <c r="AF467" s="11">
        <v>1</v>
      </c>
      <c r="AI467" s="11">
        <v>1</v>
      </c>
    </row>
    <row r="468" spans="1:35" x14ac:dyDescent="0.25">
      <c r="A468" s="161" t="str">
        <f t="shared" si="10"/>
        <v>CROSSBOWMAN_IROQUOIS</v>
      </c>
      <c r="B468" s="9" t="s">
        <v>115</v>
      </c>
      <c r="C468" s="4" t="s">
        <v>721</v>
      </c>
      <c r="E468" s="4" t="s">
        <v>115</v>
      </c>
      <c r="F468" s="4" t="s">
        <v>115</v>
      </c>
      <c r="G468" s="4" t="s">
        <v>2049</v>
      </c>
      <c r="H468" s="4" t="s">
        <v>933</v>
      </c>
      <c r="I468" s="4" t="s">
        <v>1935</v>
      </c>
      <c r="Q468" s="11">
        <v>2</v>
      </c>
      <c r="T468" s="11">
        <v>1</v>
      </c>
      <c r="Z468" s="9">
        <v>0</v>
      </c>
      <c r="AF468" s="11">
        <v>1</v>
      </c>
      <c r="AI468" s="11">
        <v>1</v>
      </c>
    </row>
    <row r="469" spans="1:35" x14ac:dyDescent="0.25">
      <c r="A469" s="161" t="str">
        <f t="shared" si="10"/>
        <v>CROSSBOWMAN_IROQUOIS</v>
      </c>
      <c r="B469" s="9" t="s">
        <v>115</v>
      </c>
      <c r="C469" s="4" t="s">
        <v>721</v>
      </c>
      <c r="E469" s="4" t="s">
        <v>115</v>
      </c>
      <c r="F469" s="4" t="s">
        <v>115</v>
      </c>
      <c r="G469" s="4" t="s">
        <v>2048</v>
      </c>
      <c r="H469" s="4" t="s">
        <v>461</v>
      </c>
      <c r="I469" s="4" t="s">
        <v>1935</v>
      </c>
      <c r="Q469" s="9">
        <v>3</v>
      </c>
      <c r="T469" s="11">
        <v>2</v>
      </c>
      <c r="Z469" s="9">
        <v>0</v>
      </c>
      <c r="AF469" s="11">
        <v>0</v>
      </c>
      <c r="AI469" s="11">
        <v>1</v>
      </c>
    </row>
    <row r="470" spans="1:35" x14ac:dyDescent="0.25">
      <c r="A470" s="161" t="str">
        <f t="shared" si="10"/>
        <v>CROSSBOWMAN_IROQUOIS</v>
      </c>
      <c r="B470" s="9" t="s">
        <v>115</v>
      </c>
      <c r="C470" s="4" t="s">
        <v>721</v>
      </c>
      <c r="E470" s="4" t="s">
        <v>115</v>
      </c>
      <c r="F470" s="4" t="s">
        <v>115</v>
      </c>
      <c r="H470" s="4" t="s">
        <v>931</v>
      </c>
      <c r="I470" s="4" t="s">
        <v>1935</v>
      </c>
      <c r="Q470" s="9">
        <v>1</v>
      </c>
      <c r="T470" s="11">
        <v>3</v>
      </c>
      <c r="Z470" s="9">
        <v>0</v>
      </c>
      <c r="AF470" s="11">
        <v>0</v>
      </c>
      <c r="AI470" s="11">
        <v>1</v>
      </c>
    </row>
    <row r="471" spans="1:35" x14ac:dyDescent="0.25">
      <c r="A471" s="161" t="str">
        <f t="shared" si="10"/>
        <v>CROSSBOWMAN_IROQUOIS</v>
      </c>
      <c r="B471" s="9" t="s">
        <v>115</v>
      </c>
      <c r="C471" s="4" t="s">
        <v>721</v>
      </c>
      <c r="E471" s="4" t="s">
        <v>115</v>
      </c>
      <c r="F471" s="4" t="s">
        <v>115</v>
      </c>
      <c r="G471" s="4" t="s">
        <v>2047</v>
      </c>
      <c r="H471" s="4" t="s">
        <v>932</v>
      </c>
      <c r="I471" s="4" t="s">
        <v>1935</v>
      </c>
      <c r="Q471" s="9">
        <v>2</v>
      </c>
      <c r="T471" s="11">
        <v>1</v>
      </c>
      <c r="Z471" s="9">
        <v>0</v>
      </c>
      <c r="AF471" s="11">
        <v>0</v>
      </c>
      <c r="AI471" s="11">
        <v>1</v>
      </c>
    </row>
    <row r="472" spans="1:35" x14ac:dyDescent="0.25">
      <c r="A472" s="161" t="str">
        <f t="shared" si="10"/>
        <v>CROSSBOWMAN_IROQUOIS</v>
      </c>
      <c r="B472" s="9" t="s">
        <v>115</v>
      </c>
      <c r="C472" s="4" t="s">
        <v>721</v>
      </c>
      <c r="E472" s="4" t="s">
        <v>115</v>
      </c>
      <c r="F472" s="4" t="s">
        <v>115</v>
      </c>
      <c r="G472" s="4" t="s">
        <v>2049</v>
      </c>
      <c r="H472" s="4" t="s">
        <v>933</v>
      </c>
      <c r="I472" s="4" t="s">
        <v>1935</v>
      </c>
      <c r="Q472" s="9">
        <v>1</v>
      </c>
      <c r="T472" s="11">
        <v>3</v>
      </c>
      <c r="Z472" s="9">
        <v>0</v>
      </c>
      <c r="AF472" s="11">
        <v>0</v>
      </c>
      <c r="AI472" s="11">
        <v>1</v>
      </c>
    </row>
    <row r="473" spans="1:35" x14ac:dyDescent="0.25">
      <c r="A473" s="161" t="str">
        <f t="shared" si="10"/>
        <v>CROSSBOWMAN_IROQUOIS</v>
      </c>
      <c r="B473" s="9" t="s">
        <v>115</v>
      </c>
      <c r="C473" s="4" t="s">
        <v>721</v>
      </c>
      <c r="E473" s="4" t="s">
        <v>115</v>
      </c>
      <c r="F473" s="4" t="s">
        <v>115</v>
      </c>
      <c r="G473" s="4" t="s">
        <v>2048</v>
      </c>
      <c r="H473" s="4" t="s">
        <v>461</v>
      </c>
      <c r="I473" s="4" t="s">
        <v>1935</v>
      </c>
      <c r="Q473" s="9">
        <v>0</v>
      </c>
      <c r="T473" s="11">
        <v>1</v>
      </c>
      <c r="Z473" s="9">
        <v>0</v>
      </c>
      <c r="AF473" s="11">
        <v>0</v>
      </c>
      <c r="AI473" s="11">
        <v>0</v>
      </c>
    </row>
    <row r="474" spans="1:35" x14ac:dyDescent="0.25">
      <c r="A474" s="161" t="str">
        <f t="shared" si="10"/>
        <v>CROSSBOWMAN_ASIA</v>
      </c>
      <c r="B474" s="9" t="s">
        <v>115</v>
      </c>
      <c r="C474" s="4" t="s">
        <v>693</v>
      </c>
      <c r="E474" s="4" t="s">
        <v>115</v>
      </c>
      <c r="F474" s="4" t="s">
        <v>115</v>
      </c>
      <c r="H474" s="4" t="s">
        <v>245</v>
      </c>
      <c r="I474" s="4" t="s">
        <v>102</v>
      </c>
      <c r="Z474" s="9"/>
      <c r="AF474" s="9"/>
      <c r="AI474" s="9"/>
    </row>
    <row r="475" spans="1:35" x14ac:dyDescent="0.25">
      <c r="A475" s="161" t="str">
        <f t="shared" si="10"/>
        <v>CROSSBOWMAN_CHINA</v>
      </c>
      <c r="B475" s="9" t="s">
        <v>115</v>
      </c>
      <c r="C475" s="4" t="s">
        <v>710</v>
      </c>
      <c r="D475" s="4" t="s">
        <v>693</v>
      </c>
      <c r="E475" s="4" t="s">
        <v>115</v>
      </c>
      <c r="F475" s="4" t="s">
        <v>115</v>
      </c>
      <c r="G475" s="14" t="s">
        <v>132</v>
      </c>
    </row>
    <row r="476" spans="1:35" x14ac:dyDescent="0.25">
      <c r="A476" s="161" t="str">
        <f t="shared" si="10"/>
        <v>CROSSBOWMAN_JAPAN</v>
      </c>
      <c r="B476" s="9" t="s">
        <v>115</v>
      </c>
      <c r="C476" s="4" t="s">
        <v>722</v>
      </c>
      <c r="E476" s="4" t="s">
        <v>115</v>
      </c>
      <c r="F476" s="4" t="s">
        <v>115</v>
      </c>
      <c r="G476" s="14" t="s">
        <v>132</v>
      </c>
      <c r="H476" s="4" t="s">
        <v>477</v>
      </c>
      <c r="I476" s="4" t="s">
        <v>102</v>
      </c>
      <c r="Z476" s="9"/>
      <c r="AF476" s="9"/>
      <c r="AI476" s="9"/>
    </row>
    <row r="477" spans="1:35" x14ac:dyDescent="0.25">
      <c r="A477" s="161" t="str">
        <f t="shared" si="10"/>
        <v>CROSSBOWMAN_MONGOL</v>
      </c>
      <c r="B477" s="9" t="s">
        <v>115</v>
      </c>
      <c r="C477" s="4" t="s">
        <v>728</v>
      </c>
      <c r="E477" s="4" t="s">
        <v>115</v>
      </c>
      <c r="F477" s="4" t="s">
        <v>115</v>
      </c>
      <c r="G477" s="14" t="s">
        <v>132</v>
      </c>
      <c r="H477" s="4" t="s">
        <v>528</v>
      </c>
      <c r="I477" s="4" t="s">
        <v>2098</v>
      </c>
      <c r="Z477" s="9"/>
      <c r="AF477" s="9"/>
      <c r="AI477" s="9"/>
    </row>
    <row r="478" spans="1:35" x14ac:dyDescent="0.25">
      <c r="A478" s="161" t="str">
        <f t="shared" ref="A478:A564" si="11">CONCATENATE(E478,IF(ISBLANK(C478),"",CONCATENATE("_",C478)))</f>
        <v>CROSSBOWMAN_CENTAS</v>
      </c>
      <c r="B478" s="9" t="s">
        <v>115</v>
      </c>
      <c r="C478" s="4" t="s">
        <v>918</v>
      </c>
      <c r="E478" s="4" t="s">
        <v>115</v>
      </c>
      <c r="F478" s="4" t="s">
        <v>115</v>
      </c>
      <c r="G478" s="14" t="s">
        <v>132</v>
      </c>
      <c r="H478" s="4" t="s">
        <v>1027</v>
      </c>
      <c r="I478" s="4" t="s">
        <v>2098</v>
      </c>
      <c r="Z478" s="9"/>
      <c r="AF478" s="9"/>
      <c r="AI478" s="9"/>
    </row>
    <row r="479" spans="1:35" x14ac:dyDescent="0.25">
      <c r="A479" s="161" t="str">
        <f t="shared" si="11"/>
        <v>CROSSBOWMAN_RUSSIA</v>
      </c>
      <c r="B479" s="9" t="s">
        <v>115</v>
      </c>
      <c r="C479" s="4" t="s">
        <v>735</v>
      </c>
      <c r="E479" s="4" t="s">
        <v>115</v>
      </c>
      <c r="F479" s="4" t="s">
        <v>115</v>
      </c>
      <c r="G479" s="14" t="s">
        <v>132</v>
      </c>
      <c r="H479" s="4" t="s">
        <v>610</v>
      </c>
      <c r="I479" s="4" t="s">
        <v>2098</v>
      </c>
      <c r="Z479" s="9"/>
      <c r="AF479" s="9"/>
      <c r="AI479" s="9"/>
    </row>
    <row r="480" spans="1:35" x14ac:dyDescent="0.25">
      <c r="A480" s="161" t="str">
        <f t="shared" si="11"/>
        <v>CROSSBOWMAN_AMERICA</v>
      </c>
      <c r="B480" s="9" t="s">
        <v>115</v>
      </c>
      <c r="C480" s="4" t="s">
        <v>699</v>
      </c>
      <c r="E480" s="4" t="s">
        <v>115</v>
      </c>
      <c r="F480" s="4" t="s">
        <v>115</v>
      </c>
      <c r="G480" s="14"/>
      <c r="H480" s="4" t="s">
        <v>136</v>
      </c>
      <c r="I480" s="4" t="s">
        <v>1941</v>
      </c>
      <c r="Z480" s="9"/>
      <c r="AF480" s="9"/>
      <c r="AI480" s="9"/>
    </row>
    <row r="481" spans="1:35" x14ac:dyDescent="0.25">
      <c r="A481" s="161" t="str">
        <f t="shared" si="11"/>
        <v>CROSSBOWMAN_FRANCE</v>
      </c>
      <c r="B481" s="9" t="s">
        <v>115</v>
      </c>
      <c r="C481" s="4" t="s">
        <v>715</v>
      </c>
      <c r="E481" s="4" t="s">
        <v>115</v>
      </c>
      <c r="F481" s="4" t="s">
        <v>115</v>
      </c>
      <c r="G481" s="14" t="s">
        <v>132</v>
      </c>
      <c r="H481" s="4" t="s">
        <v>341</v>
      </c>
      <c r="I481" s="4" t="s">
        <v>102</v>
      </c>
      <c r="Z481" s="9"/>
      <c r="AF481" s="9"/>
      <c r="AI481" s="9"/>
    </row>
    <row r="482" spans="1:35" x14ac:dyDescent="0.25">
      <c r="A482" s="161" t="str">
        <f t="shared" si="11"/>
        <v>CROSSBOWMAN_GERMANY</v>
      </c>
      <c r="B482" s="9" t="s">
        <v>115</v>
      </c>
      <c r="C482" s="4" t="s">
        <v>717</v>
      </c>
      <c r="E482" s="4" t="s">
        <v>115</v>
      </c>
      <c r="F482" s="4" t="s">
        <v>115</v>
      </c>
      <c r="G482" s="14" t="s">
        <v>132</v>
      </c>
      <c r="H482" s="4" t="s">
        <v>371</v>
      </c>
      <c r="I482" s="4" t="s">
        <v>102</v>
      </c>
      <c r="Z482" s="9"/>
      <c r="AF482" s="9"/>
      <c r="AI482" s="9"/>
    </row>
    <row r="483" spans="1:35" x14ac:dyDescent="0.25">
      <c r="A483" s="161" t="str">
        <f t="shared" si="11"/>
        <v>CROSSBOWMAN_MED</v>
      </c>
      <c r="B483" s="9" t="s">
        <v>115</v>
      </c>
      <c r="C483" s="4" t="s">
        <v>692</v>
      </c>
      <c r="E483" s="4" t="s">
        <v>115</v>
      </c>
      <c r="F483" s="4" t="s">
        <v>115</v>
      </c>
      <c r="H483" s="4" t="s">
        <v>650</v>
      </c>
      <c r="I483" s="4" t="s">
        <v>2098</v>
      </c>
      <c r="Z483" s="9"/>
      <c r="AF483" s="9"/>
      <c r="AI483" s="9"/>
    </row>
    <row r="484" spans="1:35" x14ac:dyDescent="0.25">
      <c r="A484" s="161" t="str">
        <f t="shared" si="11"/>
        <v>CROSSBOWMAN_GREECE</v>
      </c>
      <c r="B484" s="9" t="s">
        <v>115</v>
      </c>
      <c r="C484" s="4" t="s">
        <v>718</v>
      </c>
      <c r="E484" s="4" t="s">
        <v>115</v>
      </c>
      <c r="F484" s="4" t="s">
        <v>115</v>
      </c>
      <c r="G484" s="14" t="s">
        <v>132</v>
      </c>
      <c r="H484" s="4" t="s">
        <v>400</v>
      </c>
      <c r="I484" s="4" t="s">
        <v>102</v>
      </c>
      <c r="Z484" s="9"/>
      <c r="AF484" s="9"/>
      <c r="AI484" s="9"/>
    </row>
    <row r="485" spans="1:35" x14ac:dyDescent="0.25">
      <c r="A485" s="161" t="str">
        <f t="shared" si="11"/>
        <v>CROSSBOWMAN_ROME</v>
      </c>
      <c r="B485" s="9" t="s">
        <v>115</v>
      </c>
      <c r="C485" s="4" t="s">
        <v>734</v>
      </c>
      <c r="E485" s="4" t="s">
        <v>115</v>
      </c>
      <c r="F485" s="4" t="s">
        <v>115</v>
      </c>
      <c r="G485" s="14" t="s">
        <v>132</v>
      </c>
      <c r="H485" s="4" t="s">
        <v>585</v>
      </c>
      <c r="I485" s="4" t="s">
        <v>102</v>
      </c>
      <c r="Z485" s="9"/>
      <c r="AF485" s="9"/>
      <c r="AI485" s="9"/>
    </row>
    <row r="486" spans="1:35" x14ac:dyDescent="0.25">
      <c r="A486" s="161" t="str">
        <f t="shared" si="11"/>
        <v>CROSSBOWMAN_SPAIN</v>
      </c>
      <c r="B486" s="9" t="s">
        <v>115</v>
      </c>
      <c r="C486" s="4" t="s">
        <v>738</v>
      </c>
      <c r="D486" s="4" t="s">
        <v>692</v>
      </c>
      <c r="E486" s="4" t="s">
        <v>115</v>
      </c>
      <c r="F486" s="4" t="s">
        <v>115</v>
      </c>
      <c r="G486" s="14" t="s">
        <v>132</v>
      </c>
      <c r="Z486" s="9"/>
      <c r="AF486" s="9"/>
      <c r="AI486" s="9"/>
    </row>
    <row r="487" spans="1:35" x14ac:dyDescent="0.25">
      <c r="A487" s="161" t="str">
        <f t="shared" si="11"/>
        <v>CROSSBOWMAN_MIDEAST</v>
      </c>
      <c r="B487" s="9" t="s">
        <v>115</v>
      </c>
      <c r="C487" s="4" t="s">
        <v>690</v>
      </c>
      <c r="E487" s="4" t="s">
        <v>115</v>
      </c>
      <c r="F487" s="4" t="s">
        <v>115</v>
      </c>
      <c r="H487" s="4" t="s">
        <v>159</v>
      </c>
      <c r="I487" s="4" t="s">
        <v>2098</v>
      </c>
      <c r="Z487" s="9"/>
      <c r="AF487" s="9"/>
      <c r="AI487" s="9"/>
    </row>
    <row r="488" spans="1:35" x14ac:dyDescent="0.25">
      <c r="A488" s="161" t="str">
        <f t="shared" si="11"/>
        <v>CROSSBOWMAN_ARABIA</v>
      </c>
      <c r="B488" s="9" t="s">
        <v>115</v>
      </c>
      <c r="C488" s="4" t="s">
        <v>700</v>
      </c>
      <c r="D488" s="14" t="s">
        <v>690</v>
      </c>
      <c r="E488" s="4" t="s">
        <v>115</v>
      </c>
      <c r="F488" s="4" t="s">
        <v>115</v>
      </c>
      <c r="G488" s="14"/>
      <c r="Z488" s="9"/>
      <c r="AF488" s="9"/>
      <c r="AI488" s="9"/>
    </row>
    <row r="489" spans="1:35" x14ac:dyDescent="0.25">
      <c r="A489" s="161" t="str">
        <f t="shared" si="11"/>
        <v>CROSSBOWMAN_BABYLON</v>
      </c>
      <c r="B489" s="9" t="s">
        <v>115</v>
      </c>
      <c r="C489" s="4" t="s">
        <v>703</v>
      </c>
      <c r="E489" s="4" t="s">
        <v>115</v>
      </c>
      <c r="F489" s="4" t="s">
        <v>115</v>
      </c>
      <c r="G489" s="14"/>
      <c r="H489" s="4" t="s">
        <v>207</v>
      </c>
      <c r="I489" s="4" t="s">
        <v>102</v>
      </c>
      <c r="Z489" s="9"/>
      <c r="AF489" s="9"/>
      <c r="AI489" s="9"/>
    </row>
    <row r="490" spans="1:35" x14ac:dyDescent="0.25">
      <c r="A490" s="161" t="str">
        <f t="shared" si="11"/>
        <v>CROSSBOWMAN_EGYPT</v>
      </c>
      <c r="B490" s="9" t="s">
        <v>115</v>
      </c>
      <c r="C490" s="4" t="s">
        <v>712</v>
      </c>
      <c r="E490" s="4" t="s">
        <v>115</v>
      </c>
      <c r="F490" s="4" t="s">
        <v>115</v>
      </c>
      <c r="G490" s="14" t="s">
        <v>132</v>
      </c>
      <c r="H490" s="4" t="s">
        <v>277</v>
      </c>
      <c r="I490" s="4" t="s">
        <v>2098</v>
      </c>
      <c r="Z490" s="9"/>
      <c r="AF490" s="9"/>
      <c r="AI490" s="9"/>
    </row>
    <row r="491" spans="1:35" x14ac:dyDescent="0.25">
      <c r="A491" s="161" t="str">
        <f t="shared" si="11"/>
        <v>CROSSBOWMAN_LEVANT</v>
      </c>
      <c r="B491" s="9" t="s">
        <v>115</v>
      </c>
      <c r="C491" s="4" t="s">
        <v>724</v>
      </c>
      <c r="E491" s="4" t="s">
        <v>115</v>
      </c>
      <c r="F491" s="4" t="s">
        <v>115</v>
      </c>
      <c r="G491" s="14" t="s">
        <v>132</v>
      </c>
      <c r="H491" s="4" t="s">
        <v>508</v>
      </c>
      <c r="I491" s="4" t="s">
        <v>102</v>
      </c>
      <c r="Z491" s="9"/>
      <c r="AF491" s="9"/>
      <c r="AI491" s="9"/>
    </row>
    <row r="492" spans="1:35" x14ac:dyDescent="0.25">
      <c r="A492" s="161" t="str">
        <f t="shared" si="11"/>
        <v>CROSSBOWMAN_PERSIA</v>
      </c>
      <c r="B492" s="9" t="s">
        <v>115</v>
      </c>
      <c r="C492" s="4" t="s">
        <v>731</v>
      </c>
      <c r="E492" s="4" t="s">
        <v>115</v>
      </c>
      <c r="F492" s="4" t="s">
        <v>115</v>
      </c>
      <c r="G492" s="14" t="s">
        <v>132</v>
      </c>
      <c r="H492" s="4" t="s">
        <v>553</v>
      </c>
      <c r="I492" s="4" t="s">
        <v>102</v>
      </c>
      <c r="Z492" s="9"/>
      <c r="AF492" s="9"/>
      <c r="AI492" s="9"/>
    </row>
    <row r="493" spans="1:35" x14ac:dyDescent="0.25">
      <c r="A493" s="161" t="str">
        <f>CONCATENATE(E493,IF(ISBLANK(C493),"",CONCATENATE("_",C493)))</f>
        <v>CROSSBOWMAN_NORTHAF</v>
      </c>
      <c r="B493" s="9" t="s">
        <v>115</v>
      </c>
      <c r="C493" s="4" t="s">
        <v>2011</v>
      </c>
      <c r="E493" s="4" t="s">
        <v>115</v>
      </c>
      <c r="F493" s="4" t="s">
        <v>115</v>
      </c>
      <c r="G493" s="14" t="s">
        <v>132</v>
      </c>
      <c r="H493" s="4" t="s">
        <v>536</v>
      </c>
      <c r="I493" s="4" t="s">
        <v>1066</v>
      </c>
      <c r="Z493" s="9"/>
      <c r="AF493" s="9"/>
      <c r="AI493" s="9"/>
    </row>
    <row r="494" spans="1:35" x14ac:dyDescent="0.25">
      <c r="A494" s="161" t="str">
        <f t="shared" si="11"/>
        <v>CROSSBOWMAN_NORTHEU</v>
      </c>
      <c r="B494" s="9" t="s">
        <v>115</v>
      </c>
      <c r="C494" s="4" t="s">
        <v>962</v>
      </c>
      <c r="E494" s="4" t="s">
        <v>115</v>
      </c>
      <c r="F494" s="4" t="s">
        <v>115</v>
      </c>
      <c r="G494" s="14" t="s">
        <v>132</v>
      </c>
      <c r="H494" s="4" t="s">
        <v>266</v>
      </c>
      <c r="I494" s="4" t="s">
        <v>102</v>
      </c>
      <c r="Z494" s="9"/>
      <c r="AF494" s="9"/>
      <c r="AI494" s="9"/>
    </row>
    <row r="495" spans="1:35" x14ac:dyDescent="0.25">
      <c r="A495" s="161" t="str">
        <f t="shared" si="11"/>
        <v>CROSSBOWMAN_OCEAN</v>
      </c>
      <c r="B495" s="9" t="s">
        <v>115</v>
      </c>
      <c r="C495" s="4" t="s">
        <v>994</v>
      </c>
      <c r="D495" s="4" t="s">
        <v>691</v>
      </c>
      <c r="E495" s="4" t="s">
        <v>115</v>
      </c>
      <c r="F495" s="4" t="s">
        <v>115</v>
      </c>
      <c r="Z495" s="9"/>
      <c r="AF495" s="9"/>
      <c r="AI495" s="9"/>
    </row>
    <row r="496" spans="1:35" x14ac:dyDescent="0.25">
      <c r="A496" s="161" t="str">
        <f t="shared" si="11"/>
        <v>CROSSBOWMAN_SEASIA</v>
      </c>
      <c r="B496" s="9" t="s">
        <v>115</v>
      </c>
      <c r="C496" s="4" t="s">
        <v>696</v>
      </c>
      <c r="D496" s="4" t="s">
        <v>693</v>
      </c>
      <c r="E496" s="4" t="s">
        <v>115</v>
      </c>
      <c r="F496" s="4" t="s">
        <v>115</v>
      </c>
      <c r="Z496" s="9"/>
      <c r="AF496" s="9"/>
      <c r="AI496" s="9"/>
    </row>
    <row r="497" spans="1:43" x14ac:dyDescent="0.25">
      <c r="A497" s="161" t="str">
        <f t="shared" si="11"/>
        <v>CROSSBOWMAN_SOUTHAM</v>
      </c>
      <c r="B497" s="9" t="s">
        <v>115</v>
      </c>
      <c r="C497" s="4" t="s">
        <v>691</v>
      </c>
      <c r="E497" s="4" t="s">
        <v>115</v>
      </c>
      <c r="F497" s="4" t="s">
        <v>115</v>
      </c>
      <c r="H497" s="4" t="s">
        <v>193</v>
      </c>
      <c r="I497" s="4" t="s">
        <v>2098</v>
      </c>
      <c r="Z497" s="9"/>
      <c r="AF497" s="9"/>
      <c r="AI497" s="9"/>
    </row>
    <row r="498" spans="1:43" x14ac:dyDescent="0.25">
      <c r="A498" s="161" t="str">
        <f t="shared" si="11"/>
        <v>CROSSBOWMAN_AZTEC</v>
      </c>
      <c r="B498" s="9" t="s">
        <v>115</v>
      </c>
      <c r="C498" s="4" t="s">
        <v>702</v>
      </c>
      <c r="D498" s="4" t="s">
        <v>691</v>
      </c>
      <c r="E498" s="4" t="s">
        <v>115</v>
      </c>
      <c r="F498" s="4" t="s">
        <v>115</v>
      </c>
      <c r="G498" s="14"/>
      <c r="Z498" s="9"/>
      <c r="AF498" s="9"/>
      <c r="AI498" s="9"/>
    </row>
    <row r="499" spans="1:43" x14ac:dyDescent="0.25">
      <c r="A499" s="161" t="str">
        <f t="shared" si="11"/>
        <v>CROSSBOWMAN_INCA</v>
      </c>
      <c r="B499" s="9" t="s">
        <v>115</v>
      </c>
      <c r="C499" s="4" t="s">
        <v>719</v>
      </c>
      <c r="E499" s="4" t="s">
        <v>115</v>
      </c>
      <c r="F499" s="4" t="s">
        <v>115</v>
      </c>
      <c r="G499" s="14" t="s">
        <v>132</v>
      </c>
      <c r="H499" s="4" t="s">
        <v>419</v>
      </c>
      <c r="I499" s="4" t="s">
        <v>2098</v>
      </c>
      <c r="Z499" s="9"/>
      <c r="AF499" s="9"/>
      <c r="AI499" s="9"/>
    </row>
    <row r="500" spans="1:43" x14ac:dyDescent="0.25">
      <c r="A500" s="161" t="str">
        <f t="shared" si="11"/>
        <v>CROSSBOWMAN_MAYA</v>
      </c>
      <c r="B500" s="9" t="s">
        <v>115</v>
      </c>
      <c r="C500" s="4" t="s">
        <v>725</v>
      </c>
      <c r="E500" s="4" t="s">
        <v>115</v>
      </c>
      <c r="F500" s="4" t="s">
        <v>115</v>
      </c>
      <c r="G500" s="14" t="s">
        <v>132</v>
      </c>
      <c r="H500" s="4" t="s">
        <v>516</v>
      </c>
      <c r="I500" s="4" t="s">
        <v>2098</v>
      </c>
      <c r="Z500" s="9"/>
      <c r="AF500" s="9"/>
      <c r="AI500" s="9"/>
    </row>
    <row r="501" spans="1:43" x14ac:dyDescent="0.25">
      <c r="A501" s="161" t="str">
        <f t="shared" si="11"/>
        <v>CROSSBOWMAN_SOUTHAS</v>
      </c>
      <c r="B501" s="9" t="s">
        <v>115</v>
      </c>
      <c r="C501" s="4" t="s">
        <v>695</v>
      </c>
      <c r="E501" s="4" t="s">
        <v>115</v>
      </c>
      <c r="F501" s="4" t="s">
        <v>115</v>
      </c>
      <c r="H501" s="4" t="s">
        <v>432</v>
      </c>
      <c r="I501" s="4" t="s">
        <v>102</v>
      </c>
      <c r="Z501" s="9"/>
      <c r="AF501" s="9"/>
      <c r="AI501" s="9"/>
    </row>
    <row r="502" spans="1:43" x14ac:dyDescent="0.25">
      <c r="A502" s="161" t="str">
        <f t="shared" si="11"/>
        <v>DESTROYER</v>
      </c>
      <c r="B502" s="9" t="s">
        <v>114</v>
      </c>
      <c r="C502" s="5"/>
      <c r="D502" s="5"/>
      <c r="E502" s="5" t="s">
        <v>114</v>
      </c>
      <c r="F502" s="5" t="s">
        <v>114</v>
      </c>
      <c r="G502" s="5"/>
      <c r="H502" s="5" t="s">
        <v>1501</v>
      </c>
      <c r="I502" s="5" t="s">
        <v>102</v>
      </c>
      <c r="J502" s="6"/>
      <c r="K502" s="7"/>
      <c r="L502" s="13" t="s">
        <v>1713</v>
      </c>
      <c r="M502" s="8"/>
      <c r="N502" s="13" t="s">
        <v>1727</v>
      </c>
      <c r="O502" s="13"/>
      <c r="P502" s="13"/>
      <c r="Q502" s="7">
        <v>1</v>
      </c>
      <c r="R502" s="6" t="s">
        <v>1695</v>
      </c>
      <c r="S502" s="5"/>
      <c r="T502" s="6"/>
      <c r="U502" s="6"/>
      <c r="V502" s="5"/>
      <c r="W502" s="6" t="s">
        <v>3</v>
      </c>
      <c r="X502" s="6"/>
      <c r="Y502" s="5" t="s">
        <v>1700</v>
      </c>
      <c r="Z502" s="6"/>
      <c r="AA502" s="6"/>
      <c r="AB502" s="5"/>
      <c r="AC502" s="6"/>
      <c r="AD502" s="6"/>
      <c r="AE502" s="5"/>
      <c r="AF502" s="6"/>
      <c r="AG502" s="6"/>
      <c r="AH502" s="5"/>
      <c r="AI502" s="6"/>
      <c r="AJ502" s="6"/>
      <c r="AK502" s="5"/>
      <c r="AL502" s="5"/>
      <c r="AM502" s="5"/>
      <c r="AN502" s="5"/>
      <c r="AO502" s="5"/>
      <c r="AP502" s="5"/>
      <c r="AQ502" s="5"/>
    </row>
    <row r="503" spans="1:43" x14ac:dyDescent="0.25">
      <c r="A503" s="161" t="str">
        <f t="shared" si="11"/>
        <v>DESTROYER_ZULU</v>
      </c>
      <c r="B503" s="9" t="s">
        <v>114</v>
      </c>
      <c r="C503" s="5" t="s">
        <v>742</v>
      </c>
      <c r="D503" s="5" t="s">
        <v>713</v>
      </c>
      <c r="E503" s="5" t="s">
        <v>114</v>
      </c>
      <c r="F503" s="5" t="s">
        <v>114</v>
      </c>
      <c r="G503" s="5"/>
      <c r="H503" s="5"/>
      <c r="I503" s="5"/>
      <c r="J503" s="6"/>
      <c r="K503" s="7"/>
      <c r="L503" s="13"/>
      <c r="M503" s="8"/>
      <c r="N503" s="13"/>
      <c r="O503" s="13"/>
      <c r="P503" s="13"/>
      <c r="Q503" s="7"/>
      <c r="R503" s="6"/>
      <c r="S503" s="5"/>
      <c r="T503" s="6"/>
      <c r="U503" s="6"/>
      <c r="V503" s="5"/>
      <c r="W503" s="6"/>
      <c r="X503" s="6"/>
      <c r="Y503" s="5"/>
      <c r="Z503" s="6"/>
      <c r="AA503" s="6"/>
      <c r="AB503" s="5"/>
      <c r="AC503" s="6"/>
      <c r="AD503" s="6"/>
      <c r="AE503" s="5"/>
      <c r="AF503" s="6"/>
      <c r="AG503" s="6"/>
      <c r="AH503" s="5"/>
      <c r="AI503" s="6"/>
      <c r="AJ503" s="6"/>
      <c r="AK503" s="5"/>
      <c r="AL503" s="5"/>
      <c r="AM503" s="5"/>
      <c r="AN503" s="5"/>
      <c r="AO503" s="5"/>
      <c r="AP503" s="5"/>
      <c r="AQ503" s="5"/>
    </row>
    <row r="504" spans="1:43" x14ac:dyDescent="0.25">
      <c r="A504" s="161" t="str">
        <f t="shared" si="11"/>
        <v>DESTROYER_AMER</v>
      </c>
      <c r="B504" s="9" t="s">
        <v>114</v>
      </c>
      <c r="C504" s="5" t="s">
        <v>697</v>
      </c>
      <c r="D504" s="5" t="s">
        <v>699</v>
      </c>
      <c r="E504" s="5" t="s">
        <v>114</v>
      </c>
      <c r="F504" s="5" t="s">
        <v>114</v>
      </c>
      <c r="G504" s="5"/>
      <c r="H504" s="5"/>
      <c r="I504" s="5"/>
      <c r="J504" s="6"/>
      <c r="K504" s="7"/>
      <c r="L504" s="13"/>
      <c r="M504" s="8"/>
      <c r="N504" s="13"/>
      <c r="O504" s="13"/>
      <c r="P504" s="13"/>
      <c r="Q504" s="7"/>
      <c r="R504" s="6"/>
      <c r="S504" s="5"/>
      <c r="T504" s="6"/>
      <c r="U504" s="6"/>
      <c r="V504" s="5"/>
      <c r="W504" s="6"/>
      <c r="X504" s="6"/>
      <c r="Y504" s="5"/>
      <c r="Z504" s="6"/>
      <c r="AA504" s="6"/>
      <c r="AB504" s="5"/>
      <c r="AC504" s="6"/>
      <c r="AD504" s="6"/>
      <c r="AE504" s="5"/>
      <c r="AF504" s="6"/>
      <c r="AG504" s="6"/>
      <c r="AH504" s="5"/>
      <c r="AI504" s="6"/>
      <c r="AJ504" s="6"/>
      <c r="AK504" s="5"/>
      <c r="AL504" s="5"/>
      <c r="AM504" s="5"/>
      <c r="AN504" s="5"/>
      <c r="AO504" s="5"/>
      <c r="AP504" s="5"/>
      <c r="AQ504" s="5"/>
    </row>
    <row r="505" spans="1:43" x14ac:dyDescent="0.25">
      <c r="A505" s="161" t="str">
        <f t="shared" si="11"/>
        <v>DESTROYER_ASIA</v>
      </c>
      <c r="B505" s="9" t="s">
        <v>114</v>
      </c>
      <c r="C505" s="5" t="s">
        <v>693</v>
      </c>
      <c r="D505" s="5" t="s">
        <v>698</v>
      </c>
      <c r="E505" s="5" t="s">
        <v>114</v>
      </c>
      <c r="F505" s="5" t="s">
        <v>114</v>
      </c>
      <c r="G505" s="5"/>
      <c r="H505" s="5"/>
      <c r="I505" s="5"/>
      <c r="J505" s="6"/>
      <c r="K505" s="7"/>
      <c r="L505" s="13"/>
      <c r="M505" s="8"/>
      <c r="N505" s="13"/>
      <c r="O505" s="13"/>
      <c r="P505" s="13"/>
      <c r="Q505" s="7"/>
      <c r="R505" s="6"/>
      <c r="S505" s="5"/>
      <c r="T505" s="6"/>
      <c r="U505" s="6"/>
      <c r="V505" s="5"/>
      <c r="W505" s="6"/>
      <c r="X505" s="6"/>
      <c r="Y505" s="5"/>
      <c r="Z505" s="6"/>
      <c r="AA505" s="6"/>
      <c r="AB505" s="5"/>
      <c r="AC505" s="6"/>
      <c r="AD505" s="6"/>
      <c r="AE505" s="5"/>
      <c r="AF505" s="6"/>
      <c r="AG505" s="6"/>
      <c r="AH505" s="5"/>
      <c r="AI505" s="6"/>
      <c r="AJ505" s="6"/>
      <c r="AK505" s="5"/>
      <c r="AL505" s="5"/>
      <c r="AM505" s="5"/>
      <c r="AN505" s="5"/>
      <c r="AO505" s="5"/>
      <c r="AP505" s="5"/>
      <c r="AQ505" s="5"/>
    </row>
    <row r="506" spans="1:43" x14ac:dyDescent="0.25">
      <c r="A506" s="161" t="str">
        <f t="shared" si="11"/>
        <v>DESTROYER_JAPAN</v>
      </c>
      <c r="B506" s="9" t="s">
        <v>114</v>
      </c>
      <c r="C506" s="4" t="s">
        <v>722</v>
      </c>
      <c r="E506" s="4" t="s">
        <v>114</v>
      </c>
      <c r="F506" s="4" t="s">
        <v>114</v>
      </c>
      <c r="G506" s="14" t="s">
        <v>132</v>
      </c>
      <c r="H506" s="4" t="s">
        <v>478</v>
      </c>
      <c r="I506" s="4" t="s">
        <v>102</v>
      </c>
    </row>
    <row r="507" spans="1:43" x14ac:dyDescent="0.25">
      <c r="A507" s="161" t="str">
        <f t="shared" si="11"/>
        <v>DESTROYER_KOREA</v>
      </c>
      <c r="B507" s="9" t="s">
        <v>114</v>
      </c>
      <c r="C507" s="4" t="s">
        <v>723</v>
      </c>
      <c r="D507" s="4" t="s">
        <v>722</v>
      </c>
      <c r="E507" s="4" t="s">
        <v>114</v>
      </c>
      <c r="F507" s="4" t="s">
        <v>114</v>
      </c>
      <c r="G507" s="14"/>
    </row>
    <row r="508" spans="1:43" x14ac:dyDescent="0.25">
      <c r="A508" s="161" t="str">
        <f t="shared" si="11"/>
        <v>DESTROYER_EASTEU</v>
      </c>
      <c r="B508" s="9" t="s">
        <v>114</v>
      </c>
      <c r="C508" s="4" t="s">
        <v>698</v>
      </c>
      <c r="E508" s="4" t="s">
        <v>114</v>
      </c>
      <c r="F508" s="4" t="s">
        <v>114</v>
      </c>
      <c r="G508" s="14"/>
      <c r="H508" s="4" t="s">
        <v>611</v>
      </c>
      <c r="I508" s="4" t="s">
        <v>102</v>
      </c>
    </row>
    <row r="509" spans="1:43" x14ac:dyDescent="0.25">
      <c r="A509" s="161" t="str">
        <f t="shared" si="11"/>
        <v>DESTROYER_POLAND</v>
      </c>
      <c r="B509" s="9" t="s">
        <v>114</v>
      </c>
      <c r="C509" s="4" t="s">
        <v>732</v>
      </c>
      <c r="E509" s="4" t="s">
        <v>114</v>
      </c>
      <c r="F509" s="4" t="s">
        <v>114</v>
      </c>
      <c r="G509" s="14" t="s">
        <v>132</v>
      </c>
      <c r="H509" s="4" t="s">
        <v>568</v>
      </c>
      <c r="I509" s="4" t="s">
        <v>102</v>
      </c>
    </row>
    <row r="510" spans="1:43" x14ac:dyDescent="0.25">
      <c r="A510" s="161" t="str">
        <f t="shared" si="11"/>
        <v>DESTROYER_RUSSIA</v>
      </c>
      <c r="B510" s="9" t="s">
        <v>114</v>
      </c>
      <c r="C510" s="4" t="s">
        <v>735</v>
      </c>
      <c r="D510" s="4" t="s">
        <v>698</v>
      </c>
      <c r="E510" s="4" t="s">
        <v>114</v>
      </c>
      <c r="F510" s="4" t="s">
        <v>114</v>
      </c>
      <c r="G510" s="14" t="s">
        <v>132</v>
      </c>
      <c r="I510" s="4" t="s">
        <v>102</v>
      </c>
    </row>
    <row r="511" spans="1:43" x14ac:dyDescent="0.25">
      <c r="A511" s="161" t="str">
        <f t="shared" si="11"/>
        <v>DESTROYER_AMERICA</v>
      </c>
      <c r="B511" s="9" t="s">
        <v>114</v>
      </c>
      <c r="C511" s="4" t="s">
        <v>699</v>
      </c>
      <c r="E511" s="4" t="s">
        <v>114</v>
      </c>
      <c r="F511" s="4" t="s">
        <v>114</v>
      </c>
      <c r="G511" s="14"/>
      <c r="H511" s="4" t="s">
        <v>137</v>
      </c>
      <c r="I511" s="4" t="s">
        <v>102</v>
      </c>
    </row>
    <row r="512" spans="1:43" x14ac:dyDescent="0.25">
      <c r="A512" s="161" t="str">
        <f t="shared" si="11"/>
        <v>DESTROYER_AUSTRALIA</v>
      </c>
      <c r="B512" s="9" t="s">
        <v>114</v>
      </c>
      <c r="C512" s="4" t="s">
        <v>1302</v>
      </c>
      <c r="D512" s="4" t="s">
        <v>713</v>
      </c>
      <c r="E512" s="4" t="s">
        <v>114</v>
      </c>
      <c r="F512" s="4" t="s">
        <v>114</v>
      </c>
      <c r="G512" s="14"/>
    </row>
    <row r="513" spans="1:43" x14ac:dyDescent="0.25">
      <c r="A513" s="161" t="str">
        <f t="shared" si="11"/>
        <v>DESTROYER_AUSTRIA</v>
      </c>
      <c r="B513" s="9" t="s">
        <v>114</v>
      </c>
      <c r="C513" s="4" t="s">
        <v>701</v>
      </c>
      <c r="D513" s="4" t="s">
        <v>717</v>
      </c>
      <c r="E513" s="4" t="s">
        <v>114</v>
      </c>
      <c r="F513" s="4" t="s">
        <v>114</v>
      </c>
      <c r="G513" s="14"/>
    </row>
    <row r="514" spans="1:43" x14ac:dyDescent="0.25">
      <c r="A514" s="161" t="str">
        <f t="shared" si="11"/>
        <v>DESTROYER_CANADA</v>
      </c>
      <c r="B514" s="9" t="s">
        <v>114</v>
      </c>
      <c r="C514" s="4" t="s">
        <v>2209</v>
      </c>
      <c r="D514" s="4" t="s">
        <v>713</v>
      </c>
      <c r="E514" s="4" t="s">
        <v>114</v>
      </c>
      <c r="F514" s="4" t="s">
        <v>114</v>
      </c>
      <c r="G514" s="14"/>
    </row>
    <row r="515" spans="1:43" x14ac:dyDescent="0.25">
      <c r="A515" s="161" t="str">
        <f t="shared" si="11"/>
        <v>DESTROYER_CELTS</v>
      </c>
      <c r="B515" s="9" t="s">
        <v>114</v>
      </c>
      <c r="C515" s="4" t="s">
        <v>709</v>
      </c>
      <c r="D515" s="4" t="s">
        <v>713</v>
      </c>
      <c r="E515" s="4" t="s">
        <v>114</v>
      </c>
      <c r="F515" s="4" t="s">
        <v>114</v>
      </c>
      <c r="G515" s="14"/>
    </row>
    <row r="516" spans="1:43" x14ac:dyDescent="0.25">
      <c r="A516" s="161" t="str">
        <f t="shared" si="11"/>
        <v>DESTROYER_ENGLAND</v>
      </c>
      <c r="B516" s="9" t="s">
        <v>114</v>
      </c>
      <c r="C516" s="4" t="s">
        <v>713</v>
      </c>
      <c r="E516" s="4" t="s">
        <v>114</v>
      </c>
      <c r="F516" s="4" t="s">
        <v>114</v>
      </c>
      <c r="G516" s="14" t="s">
        <v>132</v>
      </c>
      <c r="H516" s="4" t="s">
        <v>296</v>
      </c>
      <c r="I516" s="4" t="s">
        <v>102</v>
      </c>
    </row>
    <row r="517" spans="1:43" x14ac:dyDescent="0.25">
      <c r="A517" s="161" t="str">
        <f t="shared" si="11"/>
        <v>DESTROYER_FRANCE</v>
      </c>
      <c r="B517" s="9" t="s">
        <v>114</v>
      </c>
      <c r="C517" s="4" t="s">
        <v>715</v>
      </c>
      <c r="E517" s="4" t="s">
        <v>114</v>
      </c>
      <c r="F517" s="4" t="s">
        <v>114</v>
      </c>
      <c r="G517" s="14" t="s">
        <v>132</v>
      </c>
      <c r="H517" s="4" t="s">
        <v>342</v>
      </c>
      <c r="I517" s="4" t="s">
        <v>102</v>
      </c>
    </row>
    <row r="518" spans="1:43" x14ac:dyDescent="0.25">
      <c r="A518" s="161" t="str">
        <f t="shared" si="11"/>
        <v>DESTROYER_GERMANY</v>
      </c>
      <c r="B518" s="9" t="s">
        <v>114</v>
      </c>
      <c r="C518" s="4" t="s">
        <v>717</v>
      </c>
      <c r="E518" s="4" t="s">
        <v>114</v>
      </c>
      <c r="F518" s="4" t="s">
        <v>114</v>
      </c>
      <c r="G518" s="14" t="s">
        <v>132</v>
      </c>
      <c r="H518" s="4" t="s">
        <v>372</v>
      </c>
      <c r="I518" s="4" t="s">
        <v>102</v>
      </c>
    </row>
    <row r="519" spans="1:43" x14ac:dyDescent="0.25">
      <c r="A519" s="161" t="str">
        <f t="shared" si="11"/>
        <v>DESTROYER_NETHERLANDS</v>
      </c>
      <c r="B519" s="9" t="s">
        <v>114</v>
      </c>
      <c r="C519" s="4" t="s">
        <v>730</v>
      </c>
      <c r="E519" s="4" t="s">
        <v>114</v>
      </c>
      <c r="F519" s="4" t="s">
        <v>114</v>
      </c>
      <c r="G519" s="14" t="s">
        <v>132</v>
      </c>
      <c r="H519" s="4" t="s">
        <v>540</v>
      </c>
      <c r="I519" s="4" t="s">
        <v>102</v>
      </c>
    </row>
    <row r="520" spans="1:43" x14ac:dyDescent="0.25">
      <c r="A520" s="161" t="str">
        <f t="shared" si="11"/>
        <v>DESTROYER_GREECE</v>
      </c>
      <c r="B520" s="9" t="s">
        <v>114</v>
      </c>
      <c r="C520" s="4" t="s">
        <v>718</v>
      </c>
      <c r="E520" s="4" t="s">
        <v>114</v>
      </c>
      <c r="F520" s="4" t="s">
        <v>114</v>
      </c>
      <c r="G520" s="14" t="s">
        <v>132</v>
      </c>
      <c r="H520" s="4" t="s">
        <v>401</v>
      </c>
      <c r="I520" s="4" t="s">
        <v>102</v>
      </c>
    </row>
    <row r="521" spans="1:43" x14ac:dyDescent="0.25">
      <c r="A521" s="161" t="str">
        <f t="shared" si="11"/>
        <v>DESTROYER_ROME</v>
      </c>
      <c r="B521" s="9" t="s">
        <v>114</v>
      </c>
      <c r="C521" s="4" t="s">
        <v>734</v>
      </c>
      <c r="E521" s="4" t="s">
        <v>114</v>
      </c>
      <c r="F521" s="4" t="s">
        <v>114</v>
      </c>
      <c r="G521" s="14" t="s">
        <v>132</v>
      </c>
      <c r="H521" s="4" t="s">
        <v>586</v>
      </c>
      <c r="I521" s="4" t="s">
        <v>102</v>
      </c>
    </row>
    <row r="522" spans="1:43" x14ac:dyDescent="0.25">
      <c r="A522" s="161" t="str">
        <f t="shared" si="11"/>
        <v>DESTROYER_NORTHAF</v>
      </c>
      <c r="B522" s="9" t="s">
        <v>114</v>
      </c>
      <c r="C522" s="4" t="s">
        <v>2011</v>
      </c>
      <c r="D522" s="4" t="s">
        <v>715</v>
      </c>
      <c r="E522" s="4" t="s">
        <v>114</v>
      </c>
      <c r="F522" s="4" t="s">
        <v>114</v>
      </c>
      <c r="G522" s="14"/>
    </row>
    <row r="523" spans="1:43" x14ac:dyDescent="0.25">
      <c r="A523" s="161" t="str">
        <f t="shared" si="11"/>
        <v>DESTROYER_SWEDEN</v>
      </c>
      <c r="B523" s="9" t="s">
        <v>114</v>
      </c>
      <c r="C523" s="4" t="s">
        <v>739</v>
      </c>
      <c r="E523" s="4" t="s">
        <v>114</v>
      </c>
      <c r="F523" s="4" t="s">
        <v>114</v>
      </c>
      <c r="G523" s="14" t="s">
        <v>132</v>
      </c>
      <c r="H523" s="4" t="s">
        <v>669</v>
      </c>
      <c r="I523" s="4" t="s">
        <v>102</v>
      </c>
    </row>
    <row r="524" spans="1:43" x14ac:dyDescent="0.25">
      <c r="A524" s="161" t="str">
        <f t="shared" si="11"/>
        <v>DESTROYER_SAHUL</v>
      </c>
      <c r="B524" s="9" t="s">
        <v>114</v>
      </c>
      <c r="C524" s="4" t="s">
        <v>1788</v>
      </c>
      <c r="D524" s="4" t="s">
        <v>730</v>
      </c>
      <c r="E524" s="4" t="s">
        <v>114</v>
      </c>
      <c r="F524" s="4" t="s">
        <v>114</v>
      </c>
      <c r="G524" s="14"/>
    </row>
    <row r="525" spans="1:43" x14ac:dyDescent="0.25">
      <c r="A525" s="161" t="str">
        <f t="shared" si="11"/>
        <v>DESTROYER_OCEAN</v>
      </c>
      <c r="B525" s="9" t="s">
        <v>114</v>
      </c>
      <c r="C525" s="4" t="s">
        <v>994</v>
      </c>
      <c r="D525" s="4" t="s">
        <v>699</v>
      </c>
      <c r="E525" s="4" t="s">
        <v>114</v>
      </c>
      <c r="F525" s="4" t="s">
        <v>114</v>
      </c>
      <c r="G525" s="14"/>
      <c r="H525" s="1"/>
    </row>
    <row r="526" spans="1:43" x14ac:dyDescent="0.25">
      <c r="A526" s="161" t="str">
        <f t="shared" si="11"/>
        <v>DESTROYER_SEASIA</v>
      </c>
      <c r="B526" s="9" t="s">
        <v>114</v>
      </c>
      <c r="C526" s="4" t="s">
        <v>696</v>
      </c>
      <c r="D526" s="4" t="s">
        <v>715</v>
      </c>
      <c r="E526" s="4" t="s">
        <v>114</v>
      </c>
      <c r="F526" s="4" t="s">
        <v>114</v>
      </c>
      <c r="G526" s="14"/>
      <c r="H526" s="1"/>
    </row>
    <row r="527" spans="1:43" x14ac:dyDescent="0.25">
      <c r="A527" s="161" t="str">
        <f t="shared" si="11"/>
        <v>DESTROYER_SOUTHAS</v>
      </c>
      <c r="B527" s="9" t="s">
        <v>114</v>
      </c>
      <c r="C527" s="4" t="s">
        <v>695</v>
      </c>
      <c r="D527" s="4" t="s">
        <v>713</v>
      </c>
      <c r="E527" s="4" t="s">
        <v>114</v>
      </c>
      <c r="F527" s="4" t="s">
        <v>114</v>
      </c>
      <c r="G527" s="14"/>
      <c r="H527" s="1"/>
    </row>
    <row r="528" spans="1:43" x14ac:dyDescent="0.25">
      <c r="A528" s="161" t="str">
        <f t="shared" si="11"/>
        <v>ENGINEER</v>
      </c>
      <c r="B528" s="9" t="s">
        <v>1315</v>
      </c>
      <c r="C528" s="5"/>
      <c r="D528" s="5"/>
      <c r="E528" s="5" t="s">
        <v>1315</v>
      </c>
      <c r="F528" s="5" t="s">
        <v>1313</v>
      </c>
      <c r="G528" s="5"/>
      <c r="H528" s="5" t="s">
        <v>1719</v>
      </c>
      <c r="I528" s="5" t="s">
        <v>128</v>
      </c>
      <c r="J528" s="6">
        <v>1</v>
      </c>
      <c r="K528" s="6"/>
      <c r="L528" s="13" t="s">
        <v>1710</v>
      </c>
      <c r="M528" s="8"/>
      <c r="N528" s="5"/>
      <c r="O528" s="5"/>
      <c r="P528" s="5"/>
      <c r="Q528" s="7">
        <v>1</v>
      </c>
      <c r="R528" s="7" t="s">
        <v>1695</v>
      </c>
      <c r="S528" s="5"/>
      <c r="T528" s="6"/>
      <c r="U528" s="7" t="s">
        <v>1737</v>
      </c>
      <c r="V528" s="5"/>
      <c r="W528" s="6"/>
      <c r="X528" s="6" t="s">
        <v>3</v>
      </c>
      <c r="Y528" s="5"/>
      <c r="Z528" s="6"/>
      <c r="AA528" s="6"/>
      <c r="AB528" s="5"/>
      <c r="AC528" s="6"/>
      <c r="AD528" s="6" t="s">
        <v>3</v>
      </c>
      <c r="AE528" s="5"/>
      <c r="AF528" s="6"/>
      <c r="AG528" s="6"/>
      <c r="AH528" s="5"/>
      <c r="AI528" s="6"/>
      <c r="AJ528" s="6"/>
      <c r="AK528" s="5"/>
      <c r="AL528" s="5"/>
      <c r="AM528" s="5"/>
      <c r="AN528" s="5"/>
      <c r="AO528" s="5"/>
      <c r="AP528" s="5"/>
      <c r="AQ528" s="5"/>
    </row>
    <row r="529" spans="1:43" x14ac:dyDescent="0.25">
      <c r="A529" s="161" t="str">
        <f t="shared" si="11"/>
        <v>ENGINEER_LATE</v>
      </c>
      <c r="B529" s="9" t="s">
        <v>1315</v>
      </c>
      <c r="C529" s="5"/>
      <c r="D529" s="5"/>
      <c r="E529" s="5" t="s">
        <v>1337</v>
      </c>
      <c r="F529" s="5" t="s">
        <v>1314</v>
      </c>
      <c r="G529" s="5"/>
      <c r="H529" s="5" t="s">
        <v>1720</v>
      </c>
      <c r="I529" s="5" t="s">
        <v>128</v>
      </c>
      <c r="J529" s="6"/>
      <c r="K529" s="6"/>
      <c r="L529" s="13" t="s">
        <v>1710</v>
      </c>
      <c r="M529" s="8"/>
      <c r="N529" s="5"/>
      <c r="O529" s="5"/>
      <c r="P529" s="5"/>
      <c r="Q529" s="7">
        <v>1</v>
      </c>
      <c r="R529" s="7">
        <v>0.09</v>
      </c>
      <c r="S529" s="5"/>
      <c r="T529" s="6"/>
      <c r="U529" s="7">
        <v>0.08</v>
      </c>
      <c r="V529" s="5"/>
      <c r="W529" s="6"/>
      <c r="X529" s="6" t="s">
        <v>3</v>
      </c>
      <c r="Y529" s="5"/>
      <c r="Z529" s="6"/>
      <c r="AA529" s="6"/>
      <c r="AB529" s="5"/>
      <c r="AC529" s="6"/>
      <c r="AD529" s="6" t="s">
        <v>3</v>
      </c>
      <c r="AE529" s="5"/>
      <c r="AF529" s="6"/>
      <c r="AG529" s="6"/>
      <c r="AH529" s="5"/>
      <c r="AI529" s="6"/>
      <c r="AJ529" s="6"/>
      <c r="AK529" s="5"/>
      <c r="AL529" s="5"/>
      <c r="AM529" s="5"/>
      <c r="AN529" s="5"/>
      <c r="AO529" s="5"/>
      <c r="AP529" s="5"/>
      <c r="AQ529" s="5"/>
    </row>
    <row r="530" spans="1:43" x14ac:dyDescent="0.25">
      <c r="A530" s="161" t="str">
        <f t="shared" si="11"/>
        <v>EXPLORER</v>
      </c>
      <c r="C530" s="5"/>
      <c r="D530" s="5"/>
      <c r="E530" s="5" t="s">
        <v>1338</v>
      </c>
      <c r="F530" s="5" t="s">
        <v>1339</v>
      </c>
      <c r="G530" s="5"/>
      <c r="H530" s="5" t="s">
        <v>1452</v>
      </c>
      <c r="I530" s="5" t="s">
        <v>128</v>
      </c>
      <c r="J530" s="6"/>
      <c r="K530" s="6"/>
      <c r="L530" s="13" t="s">
        <v>1708</v>
      </c>
      <c r="M530" s="8"/>
      <c r="N530" s="5"/>
      <c r="O530" s="5"/>
      <c r="P530" s="5"/>
      <c r="Q530" s="6">
        <v>1</v>
      </c>
      <c r="R530" s="7" t="s">
        <v>1695</v>
      </c>
      <c r="S530" s="13" t="s">
        <v>1614</v>
      </c>
      <c r="T530" s="6">
        <v>1</v>
      </c>
      <c r="U530" s="7" t="s">
        <v>1737</v>
      </c>
      <c r="V530" s="5"/>
      <c r="W530" s="6"/>
      <c r="X530" s="6" t="s">
        <v>3</v>
      </c>
      <c r="Y530" s="5"/>
      <c r="Z530" s="6">
        <v>1</v>
      </c>
      <c r="AA530" s="6"/>
      <c r="AB530" s="5"/>
      <c r="AC530" s="6"/>
      <c r="AD530" s="6" t="s">
        <v>3</v>
      </c>
      <c r="AE530" s="5"/>
      <c r="AF530" s="6">
        <v>1</v>
      </c>
      <c r="AG530" s="6"/>
      <c r="AH530" s="5"/>
      <c r="AI530" s="6">
        <v>1</v>
      </c>
      <c r="AJ530" s="6"/>
      <c r="AK530" s="5"/>
      <c r="AL530" s="5"/>
      <c r="AM530" s="5"/>
      <c r="AN530" s="5"/>
      <c r="AO530" s="5"/>
      <c r="AP530" s="5"/>
      <c r="AQ530" s="5"/>
    </row>
    <row r="531" spans="1:43" x14ac:dyDescent="0.25">
      <c r="A531" s="161" t="str">
        <f t="shared" si="11"/>
        <v>EXPLORER</v>
      </c>
      <c r="C531" s="5"/>
      <c r="D531" s="5"/>
      <c r="E531" s="5" t="s">
        <v>1338</v>
      </c>
      <c r="F531" s="5" t="s">
        <v>1339</v>
      </c>
      <c r="G531" s="5" t="s">
        <v>2040</v>
      </c>
      <c r="H531" s="5" t="s">
        <v>1451</v>
      </c>
      <c r="I531" s="5" t="s">
        <v>128</v>
      </c>
      <c r="J531" s="6"/>
      <c r="K531" s="6"/>
      <c r="L531" s="13" t="s">
        <v>1708</v>
      </c>
      <c r="M531" s="8"/>
      <c r="N531" s="5"/>
      <c r="O531" s="5"/>
      <c r="P531" s="5"/>
      <c r="Q531" s="6">
        <v>6</v>
      </c>
      <c r="R531" s="7" t="s">
        <v>1695</v>
      </c>
      <c r="S531" s="13" t="s">
        <v>1614</v>
      </c>
      <c r="T531" s="6">
        <v>6</v>
      </c>
      <c r="U531" s="7" t="s">
        <v>1737</v>
      </c>
      <c r="V531" s="5"/>
      <c r="W531" s="6"/>
      <c r="X531" s="6" t="s">
        <v>3</v>
      </c>
      <c r="Y531" s="5"/>
      <c r="Z531" s="6">
        <v>0</v>
      </c>
      <c r="AA531" s="6"/>
      <c r="AB531" s="5"/>
      <c r="AC531" s="6"/>
      <c r="AD531" s="6" t="s">
        <v>3</v>
      </c>
      <c r="AE531" s="5"/>
      <c r="AF531" s="6">
        <v>1</v>
      </c>
      <c r="AG531" s="6"/>
      <c r="AH531" s="5"/>
      <c r="AI531" s="6">
        <v>3</v>
      </c>
      <c r="AJ531" s="6"/>
      <c r="AK531" s="5"/>
      <c r="AL531" s="5"/>
      <c r="AM531" s="5"/>
      <c r="AN531" s="5"/>
      <c r="AO531" s="5"/>
      <c r="AP531" s="5"/>
      <c r="AQ531" s="5"/>
    </row>
    <row r="532" spans="1:43" x14ac:dyDescent="0.25">
      <c r="A532" s="161" t="str">
        <f t="shared" si="11"/>
        <v>EXPLORER</v>
      </c>
      <c r="C532" s="5"/>
      <c r="D532" s="5"/>
      <c r="E532" s="5" t="s">
        <v>1338</v>
      </c>
      <c r="F532" s="5" t="s">
        <v>1339</v>
      </c>
      <c r="G532" s="5" t="s">
        <v>2041</v>
      </c>
      <c r="H532" s="5" t="s">
        <v>1453</v>
      </c>
      <c r="I532" s="5" t="s">
        <v>128</v>
      </c>
      <c r="J532" s="6"/>
      <c r="K532" s="6"/>
      <c r="L532" s="13" t="s">
        <v>1708</v>
      </c>
      <c r="M532" s="8"/>
      <c r="N532" s="5"/>
      <c r="O532" s="5"/>
      <c r="P532" s="5"/>
      <c r="Q532" s="6">
        <v>1</v>
      </c>
      <c r="R532" s="7" t="s">
        <v>1695</v>
      </c>
      <c r="S532" s="13" t="s">
        <v>1614</v>
      </c>
      <c r="T532" s="6">
        <v>1</v>
      </c>
      <c r="U532" s="7" t="s">
        <v>1737</v>
      </c>
      <c r="V532" s="5"/>
      <c r="W532" s="6"/>
      <c r="X532" s="6" t="s">
        <v>3</v>
      </c>
      <c r="Y532" s="5"/>
      <c r="Z532" s="6">
        <v>0</v>
      </c>
      <c r="AA532" s="6"/>
      <c r="AB532" s="5"/>
      <c r="AC532" s="6"/>
      <c r="AD532" s="6" t="s">
        <v>3</v>
      </c>
      <c r="AE532" s="5"/>
      <c r="AF532" s="6">
        <v>0</v>
      </c>
      <c r="AG532" s="6"/>
      <c r="AH532" s="5"/>
      <c r="AI532" s="6">
        <v>1</v>
      </c>
      <c r="AJ532" s="6"/>
      <c r="AK532" s="5"/>
      <c r="AL532" s="5"/>
      <c r="AM532" s="5"/>
      <c r="AN532" s="5"/>
      <c r="AO532" s="5"/>
      <c r="AP532" s="5"/>
      <c r="AQ532" s="5"/>
    </row>
    <row r="533" spans="1:43" x14ac:dyDescent="0.25">
      <c r="A533" s="161" t="str">
        <f t="shared" si="11"/>
        <v>FIGHTER</v>
      </c>
      <c r="B533" s="9" t="s">
        <v>113</v>
      </c>
      <c r="C533" s="5"/>
      <c r="D533" s="5"/>
      <c r="E533" s="5" t="s">
        <v>113</v>
      </c>
      <c r="F533" s="5" t="s">
        <v>113</v>
      </c>
      <c r="G533" s="5"/>
      <c r="H533" s="5" t="s">
        <v>32</v>
      </c>
      <c r="I533" s="5" t="s">
        <v>128</v>
      </c>
      <c r="J533" s="6"/>
      <c r="K533" s="7"/>
      <c r="L533" s="13" t="s">
        <v>1711</v>
      </c>
      <c r="M533" s="8">
        <v>2</v>
      </c>
      <c r="N533" s="13" t="s">
        <v>1725</v>
      </c>
      <c r="O533" s="13"/>
      <c r="P533" s="13"/>
      <c r="Q533" s="7">
        <v>3</v>
      </c>
      <c r="R533" s="6">
        <v>7.4999999999999997E-2</v>
      </c>
      <c r="S533" s="13" t="s">
        <v>1621</v>
      </c>
      <c r="T533" s="7">
        <v>4</v>
      </c>
      <c r="U533" s="6">
        <v>7.0000000000000007E-2</v>
      </c>
      <c r="V533" s="5" t="s">
        <v>1699</v>
      </c>
      <c r="W533" s="6" t="s">
        <v>3</v>
      </c>
      <c r="X533" s="6" t="s">
        <v>3</v>
      </c>
      <c r="Y533" s="5"/>
      <c r="Z533" s="6">
        <v>1</v>
      </c>
      <c r="AA533" s="6"/>
      <c r="AB533" s="5"/>
      <c r="AC533" s="6"/>
      <c r="AD533" s="6" t="s">
        <v>3</v>
      </c>
      <c r="AE533" s="5"/>
      <c r="AF533" s="6"/>
      <c r="AG533" s="6"/>
      <c r="AH533" s="5"/>
      <c r="AI533" s="6"/>
      <c r="AJ533" s="6"/>
      <c r="AK533" s="5"/>
      <c r="AL533" s="5"/>
      <c r="AM533" s="5"/>
      <c r="AN533" s="5"/>
      <c r="AO533" s="5"/>
      <c r="AP533" s="5"/>
      <c r="AQ533" s="5"/>
    </row>
    <row r="534" spans="1:43" x14ac:dyDescent="0.25">
      <c r="A534" s="161" t="str">
        <f t="shared" si="11"/>
        <v>FIGHTER_AFRI</v>
      </c>
      <c r="B534" s="9" t="s">
        <v>113</v>
      </c>
      <c r="C534" s="4" t="s">
        <v>694</v>
      </c>
      <c r="D534" s="4" t="s">
        <v>690</v>
      </c>
      <c r="E534" s="4" t="s">
        <v>113</v>
      </c>
      <c r="F534" s="4" t="s">
        <v>113</v>
      </c>
    </row>
    <row r="535" spans="1:43" x14ac:dyDescent="0.25">
      <c r="A535" s="161" t="str">
        <f t="shared" si="11"/>
        <v>FIGHTER_ZULU</v>
      </c>
      <c r="B535" s="9" t="s">
        <v>113</v>
      </c>
      <c r="C535" s="4" t="s">
        <v>742</v>
      </c>
      <c r="D535" s="4" t="s">
        <v>713</v>
      </c>
      <c r="E535" s="4" t="s">
        <v>113</v>
      </c>
      <c r="F535" s="4" t="s">
        <v>113</v>
      </c>
    </row>
    <row r="536" spans="1:43" x14ac:dyDescent="0.25">
      <c r="A536" s="161" t="str">
        <f t="shared" si="11"/>
        <v>FIGHTER_AMER</v>
      </c>
      <c r="B536" s="9" t="s">
        <v>113</v>
      </c>
      <c r="C536" s="4" t="s">
        <v>697</v>
      </c>
      <c r="D536" s="4" t="s">
        <v>690</v>
      </c>
      <c r="E536" s="4" t="s">
        <v>113</v>
      </c>
      <c r="F536" s="4" t="s">
        <v>113</v>
      </c>
    </row>
    <row r="537" spans="1:43" x14ac:dyDescent="0.25">
      <c r="A537" s="161" t="str">
        <f t="shared" si="11"/>
        <v>FIGHTER_CHINA</v>
      </c>
      <c r="B537" s="9" t="s">
        <v>113</v>
      </c>
      <c r="C537" s="4" t="s">
        <v>710</v>
      </c>
      <c r="E537" s="4" t="s">
        <v>113</v>
      </c>
      <c r="F537" s="4" t="s">
        <v>113</v>
      </c>
      <c r="G537" s="14" t="s">
        <v>132</v>
      </c>
      <c r="H537" s="4" t="s">
        <v>246</v>
      </c>
      <c r="I537" s="4" t="s">
        <v>102</v>
      </c>
    </row>
    <row r="538" spans="1:43" x14ac:dyDescent="0.25">
      <c r="A538" s="161" t="str">
        <f t="shared" si="11"/>
        <v>FIGHTER_OTTOMAN</v>
      </c>
      <c r="B538" s="9" t="s">
        <v>113</v>
      </c>
      <c r="C538" s="4" t="s">
        <v>1037</v>
      </c>
      <c r="E538" s="4" t="s">
        <v>113</v>
      </c>
      <c r="F538" s="4" t="s">
        <v>113</v>
      </c>
      <c r="G538" s="14" t="s">
        <v>132</v>
      </c>
      <c r="H538" s="14" t="s">
        <v>1038</v>
      </c>
      <c r="I538" s="4" t="s">
        <v>120</v>
      </c>
      <c r="J538" s="167"/>
    </row>
    <row r="539" spans="1:43" x14ac:dyDescent="0.25">
      <c r="A539" s="161" t="str">
        <f t="shared" si="11"/>
        <v>FIGHTER_EASTEU</v>
      </c>
      <c r="B539" s="9" t="s">
        <v>113</v>
      </c>
      <c r="C539" s="4" t="s">
        <v>698</v>
      </c>
      <c r="E539" s="4" t="s">
        <v>113</v>
      </c>
      <c r="F539" s="4" t="s">
        <v>113</v>
      </c>
      <c r="G539" s="14"/>
      <c r="H539" s="4" t="s">
        <v>612</v>
      </c>
      <c r="I539" s="4" t="s">
        <v>102</v>
      </c>
    </row>
    <row r="540" spans="1:43" x14ac:dyDescent="0.25">
      <c r="A540" s="161" t="str">
        <f t="shared" si="11"/>
        <v>FIGHTER_HUNS</v>
      </c>
      <c r="B540" s="9" t="s">
        <v>113</v>
      </c>
      <c r="C540" s="4" t="s">
        <v>904</v>
      </c>
      <c r="E540" s="4" t="s">
        <v>113</v>
      </c>
      <c r="F540" s="4" t="s">
        <v>113</v>
      </c>
      <c r="H540" s="4" t="s">
        <v>1101</v>
      </c>
      <c r="I540" s="4" t="s">
        <v>102</v>
      </c>
    </row>
    <row r="541" spans="1:43" x14ac:dyDescent="0.25">
      <c r="A541" s="161" t="str">
        <f t="shared" si="11"/>
        <v>FIGHTER_POLAND</v>
      </c>
      <c r="B541" s="9" t="s">
        <v>113</v>
      </c>
      <c r="C541" s="4" t="s">
        <v>732</v>
      </c>
      <c r="E541" s="4" t="s">
        <v>113</v>
      </c>
      <c r="F541" s="4" t="s">
        <v>113</v>
      </c>
      <c r="G541" s="14" t="s">
        <v>132</v>
      </c>
      <c r="H541" s="4" t="s">
        <v>569</v>
      </c>
      <c r="I541" s="4" t="s">
        <v>102</v>
      </c>
    </row>
    <row r="542" spans="1:43" x14ac:dyDescent="0.25">
      <c r="A542" s="161" t="str">
        <f t="shared" si="11"/>
        <v>FIGHTER_RUSSIA</v>
      </c>
      <c r="B542" s="9" t="s">
        <v>113</v>
      </c>
      <c r="C542" s="4" t="s">
        <v>735</v>
      </c>
      <c r="D542" s="4" t="s">
        <v>698</v>
      </c>
      <c r="E542" s="4" t="s">
        <v>113</v>
      </c>
      <c r="F542" s="4" t="s">
        <v>113</v>
      </c>
      <c r="G542" s="14"/>
    </row>
    <row r="543" spans="1:43" x14ac:dyDescent="0.25">
      <c r="A543" s="161" t="str">
        <f t="shared" si="11"/>
        <v>FIGHTER_AMERICA</v>
      </c>
      <c r="B543" s="9" t="s">
        <v>113</v>
      </c>
      <c r="C543" s="4" t="s">
        <v>699</v>
      </c>
      <c r="E543" s="4" t="s">
        <v>113</v>
      </c>
      <c r="F543" s="4" t="s">
        <v>113</v>
      </c>
      <c r="G543" s="14"/>
      <c r="H543" s="4" t="s">
        <v>138</v>
      </c>
      <c r="I543" s="4" t="s">
        <v>130</v>
      </c>
    </row>
    <row r="544" spans="1:43" x14ac:dyDescent="0.25">
      <c r="A544" s="161" t="str">
        <f t="shared" si="11"/>
        <v>FIGHTER_AUSTRALIA</v>
      </c>
      <c r="B544" s="9" t="s">
        <v>113</v>
      </c>
      <c r="C544" s="4" t="s">
        <v>1302</v>
      </c>
      <c r="E544" s="4" t="s">
        <v>113</v>
      </c>
      <c r="F544" s="4" t="s">
        <v>113</v>
      </c>
      <c r="G544" s="14"/>
      <c r="H544" s="4" t="s">
        <v>2240</v>
      </c>
      <c r="I544" s="4" t="s">
        <v>120</v>
      </c>
    </row>
    <row r="545" spans="1:9" x14ac:dyDescent="0.25">
      <c r="A545" s="161" t="str">
        <f t="shared" si="11"/>
        <v>FIGHTER_AUSTRIA</v>
      </c>
      <c r="B545" s="9" t="s">
        <v>113</v>
      </c>
      <c r="C545" s="4" t="s">
        <v>701</v>
      </c>
      <c r="E545" s="4" t="s">
        <v>113</v>
      </c>
      <c r="F545" s="4" t="s">
        <v>113</v>
      </c>
      <c r="G545" s="14"/>
      <c r="H545" s="4" t="s">
        <v>178</v>
      </c>
      <c r="I545" s="4" t="s">
        <v>102</v>
      </c>
    </row>
    <row r="546" spans="1:9" x14ac:dyDescent="0.25">
      <c r="A546" s="161" t="str">
        <f t="shared" si="11"/>
        <v>FIGHTER_CANADA</v>
      </c>
      <c r="B546" s="9" t="s">
        <v>113</v>
      </c>
      <c r="C546" s="4" t="s">
        <v>2209</v>
      </c>
      <c r="D546" s="4" t="s">
        <v>713</v>
      </c>
      <c r="E546" s="4" t="s">
        <v>113</v>
      </c>
      <c r="F546" s="4" t="s">
        <v>113</v>
      </c>
      <c r="G546" s="14"/>
    </row>
    <row r="547" spans="1:9" x14ac:dyDescent="0.25">
      <c r="A547" s="161" t="str">
        <f t="shared" si="11"/>
        <v>FIGHTER_CELTS</v>
      </c>
      <c r="B547" s="9" t="s">
        <v>113</v>
      </c>
      <c r="C547" s="4" t="s">
        <v>709</v>
      </c>
      <c r="D547" s="4" t="s">
        <v>713</v>
      </c>
      <c r="E547" s="4" t="s">
        <v>113</v>
      </c>
      <c r="F547" s="4" t="s">
        <v>113</v>
      </c>
      <c r="G547" s="14"/>
    </row>
    <row r="548" spans="1:9" x14ac:dyDescent="0.25">
      <c r="A548" s="161" t="str">
        <f t="shared" si="11"/>
        <v>FIGHTER_ENGLAND</v>
      </c>
      <c r="B548" s="9" t="s">
        <v>113</v>
      </c>
      <c r="C548" s="4" t="s">
        <v>713</v>
      </c>
      <c r="E548" s="4" t="s">
        <v>113</v>
      </c>
      <c r="F548" s="4" t="s">
        <v>113</v>
      </c>
      <c r="G548" s="14" t="s">
        <v>132</v>
      </c>
      <c r="H548" s="4" t="s">
        <v>297</v>
      </c>
      <c r="I548" s="4" t="s">
        <v>1056</v>
      </c>
    </row>
    <row r="549" spans="1:9" x14ac:dyDescent="0.25">
      <c r="A549" s="161" t="str">
        <f t="shared" si="11"/>
        <v>FIGHTER_FRANCE</v>
      </c>
      <c r="B549" s="9" t="s">
        <v>113</v>
      </c>
      <c r="C549" s="4" t="s">
        <v>715</v>
      </c>
      <c r="E549" s="4" t="s">
        <v>113</v>
      </c>
      <c r="F549" s="4" t="s">
        <v>113</v>
      </c>
      <c r="G549" s="14" t="s">
        <v>132</v>
      </c>
      <c r="H549" s="4" t="s">
        <v>343</v>
      </c>
      <c r="I549" s="4" t="s">
        <v>102</v>
      </c>
    </row>
    <row r="550" spans="1:9" x14ac:dyDescent="0.25">
      <c r="A550" s="161" t="str">
        <f t="shared" si="11"/>
        <v>FIGHTER_GERMANY</v>
      </c>
      <c r="B550" s="9" t="s">
        <v>113</v>
      </c>
      <c r="C550" s="4" t="s">
        <v>717</v>
      </c>
      <c r="E550" s="4" t="s">
        <v>113</v>
      </c>
      <c r="F550" s="4" t="s">
        <v>113</v>
      </c>
      <c r="G550" s="14" t="s">
        <v>132</v>
      </c>
      <c r="H550" s="4" t="s">
        <v>373</v>
      </c>
      <c r="I550" s="4" t="s">
        <v>102</v>
      </c>
    </row>
    <row r="551" spans="1:9" x14ac:dyDescent="0.25">
      <c r="A551" s="161" t="str">
        <f t="shared" si="11"/>
        <v>FIGHTER_NETHERLANDS</v>
      </c>
      <c r="B551" s="9" t="s">
        <v>113</v>
      </c>
      <c r="C551" s="4" t="s">
        <v>730</v>
      </c>
      <c r="E551" s="4" t="s">
        <v>113</v>
      </c>
      <c r="F551" s="4" t="s">
        <v>113</v>
      </c>
      <c r="G551" s="14" t="s">
        <v>132</v>
      </c>
      <c r="H551" s="4" t="s">
        <v>541</v>
      </c>
      <c r="I551" s="4" t="s">
        <v>102</v>
      </c>
    </row>
    <row r="552" spans="1:9" x14ac:dyDescent="0.25">
      <c r="A552" s="161" t="str">
        <f t="shared" si="11"/>
        <v>FIGHTER_BRAZIL</v>
      </c>
      <c r="B552" s="9" t="s">
        <v>113</v>
      </c>
      <c r="C552" s="4" t="s">
        <v>706</v>
      </c>
      <c r="E552" s="4" t="s">
        <v>113</v>
      </c>
      <c r="F552" s="4" t="s">
        <v>113</v>
      </c>
      <c r="G552" s="14" t="s">
        <v>132</v>
      </c>
      <c r="H552" s="4" t="s">
        <v>222</v>
      </c>
      <c r="I552" s="4" t="s">
        <v>120</v>
      </c>
    </row>
    <row r="553" spans="1:9" x14ac:dyDescent="0.25">
      <c r="A553" s="161" t="str">
        <f t="shared" si="11"/>
        <v>FIGHTER_GREECE</v>
      </c>
      <c r="B553" s="9" t="s">
        <v>113</v>
      </c>
      <c r="C553" s="4" t="s">
        <v>718</v>
      </c>
      <c r="E553" s="4" t="s">
        <v>113</v>
      </c>
      <c r="F553" s="4" t="s">
        <v>113</v>
      </c>
      <c r="G553" s="14" t="s">
        <v>132</v>
      </c>
      <c r="H553" s="4" t="s">
        <v>402</v>
      </c>
      <c r="I553" s="4" t="s">
        <v>102</v>
      </c>
    </row>
    <row r="554" spans="1:9" x14ac:dyDescent="0.25">
      <c r="A554" s="161" t="str">
        <f t="shared" si="11"/>
        <v>FIGHTER_ROME</v>
      </c>
      <c r="B554" s="9" t="s">
        <v>113</v>
      </c>
      <c r="C554" s="4" t="s">
        <v>734</v>
      </c>
      <c r="E554" s="4" t="s">
        <v>113</v>
      </c>
      <c r="F554" s="4" t="s">
        <v>113</v>
      </c>
      <c r="G554" s="14" t="s">
        <v>132</v>
      </c>
      <c r="H554" s="4" t="s">
        <v>587</v>
      </c>
      <c r="I554" s="4" t="s">
        <v>1067</v>
      </c>
    </row>
    <row r="555" spans="1:9" x14ac:dyDescent="0.25">
      <c r="A555" s="161" t="str">
        <f t="shared" si="11"/>
        <v>FIGHTER_SPAIN</v>
      </c>
      <c r="B555" s="9" t="s">
        <v>113</v>
      </c>
      <c r="C555" s="4" t="s">
        <v>738</v>
      </c>
      <c r="E555" s="4" t="s">
        <v>113</v>
      </c>
      <c r="F555" s="4" t="s">
        <v>113</v>
      </c>
      <c r="G555" s="14" t="s">
        <v>132</v>
      </c>
      <c r="H555" s="4" t="s">
        <v>651</v>
      </c>
      <c r="I555" s="4" t="s">
        <v>102</v>
      </c>
    </row>
    <row r="556" spans="1:9" x14ac:dyDescent="0.25">
      <c r="A556" s="161" t="str">
        <f t="shared" si="11"/>
        <v>FIGHTER_MIDEAST</v>
      </c>
      <c r="B556" s="9" t="s">
        <v>113</v>
      </c>
      <c r="C556" s="4" t="s">
        <v>690</v>
      </c>
      <c r="E556" s="4" t="s">
        <v>113</v>
      </c>
      <c r="F556" s="4" t="s">
        <v>113</v>
      </c>
      <c r="H556" s="4" t="s">
        <v>160</v>
      </c>
      <c r="I556" s="4" t="s">
        <v>102</v>
      </c>
    </row>
    <row r="557" spans="1:9" x14ac:dyDescent="0.25">
      <c r="A557" s="161" t="str">
        <f t="shared" si="11"/>
        <v>FIGHTER_EGYPT</v>
      </c>
      <c r="B557" s="9" t="s">
        <v>113</v>
      </c>
      <c r="C557" s="4" t="s">
        <v>712</v>
      </c>
      <c r="E557" s="4" t="s">
        <v>113</v>
      </c>
      <c r="F557" s="4" t="s">
        <v>113</v>
      </c>
      <c r="G557" s="14" t="s">
        <v>132</v>
      </c>
      <c r="H557" s="4" t="s">
        <v>278</v>
      </c>
      <c r="I557" s="4" t="s">
        <v>120</v>
      </c>
    </row>
    <row r="558" spans="1:9" x14ac:dyDescent="0.25">
      <c r="A558" s="161" t="str">
        <f t="shared" si="11"/>
        <v>FIGHTER_NORTHAF</v>
      </c>
      <c r="B558" s="9" t="s">
        <v>113</v>
      </c>
      <c r="C558" s="4" t="s">
        <v>2011</v>
      </c>
      <c r="D558" s="4" t="s">
        <v>715</v>
      </c>
      <c r="E558" s="4" t="s">
        <v>113</v>
      </c>
      <c r="F558" s="4" t="s">
        <v>113</v>
      </c>
      <c r="G558" s="14"/>
    </row>
    <row r="559" spans="1:9" x14ac:dyDescent="0.25">
      <c r="A559" s="161" t="str">
        <f t="shared" si="11"/>
        <v>FIGHTER_SWEDEN</v>
      </c>
      <c r="B559" s="9" t="s">
        <v>113</v>
      </c>
      <c r="C559" s="4" t="s">
        <v>739</v>
      </c>
      <c r="E559" s="4" t="s">
        <v>113</v>
      </c>
      <c r="F559" s="4" t="s">
        <v>113</v>
      </c>
      <c r="G559" s="14" t="s">
        <v>132</v>
      </c>
      <c r="H559" s="4" t="s">
        <v>670</v>
      </c>
      <c r="I559" s="4" t="s">
        <v>102</v>
      </c>
    </row>
    <row r="560" spans="1:9" x14ac:dyDescent="0.25">
      <c r="A560" s="161" t="str">
        <f t="shared" si="11"/>
        <v>FIGHTER_OCEAN</v>
      </c>
      <c r="B560" s="9" t="s">
        <v>113</v>
      </c>
      <c r="C560" s="4" t="s">
        <v>994</v>
      </c>
      <c r="D560" s="4" t="s">
        <v>690</v>
      </c>
      <c r="E560" s="4" t="s">
        <v>113</v>
      </c>
      <c r="F560" s="4" t="s">
        <v>113</v>
      </c>
    </row>
    <row r="561" spans="1:43" x14ac:dyDescent="0.25">
      <c r="A561" s="161" t="str">
        <f t="shared" si="11"/>
        <v>FIGHTER_SAHUL</v>
      </c>
      <c r="B561" s="9" t="s">
        <v>113</v>
      </c>
      <c r="C561" s="4" t="s">
        <v>1788</v>
      </c>
      <c r="D561" s="4" t="s">
        <v>1302</v>
      </c>
      <c r="E561" s="4" t="s">
        <v>113</v>
      </c>
      <c r="F561" s="4" t="s">
        <v>113</v>
      </c>
    </row>
    <row r="562" spans="1:43" x14ac:dyDescent="0.25">
      <c r="A562" s="161" t="str">
        <f t="shared" si="11"/>
        <v>FIGHTER_SEASIA</v>
      </c>
      <c r="B562" s="9" t="s">
        <v>113</v>
      </c>
      <c r="C562" s="4" t="s">
        <v>696</v>
      </c>
      <c r="D562" s="4" t="s">
        <v>715</v>
      </c>
      <c r="E562" s="4" t="s">
        <v>113</v>
      </c>
      <c r="F562" s="4" t="s">
        <v>113</v>
      </c>
    </row>
    <row r="563" spans="1:43" x14ac:dyDescent="0.25">
      <c r="A563" s="161" t="str">
        <f t="shared" si="11"/>
        <v>FIGHTER_SOUTHAM</v>
      </c>
      <c r="B563" s="9" t="s">
        <v>113</v>
      </c>
      <c r="C563" s="4" t="s">
        <v>691</v>
      </c>
      <c r="D563" s="4" t="s">
        <v>690</v>
      </c>
      <c r="E563" s="4" t="s">
        <v>113</v>
      </c>
      <c r="F563" s="4" t="s">
        <v>113</v>
      </c>
    </row>
    <row r="564" spans="1:43" x14ac:dyDescent="0.25">
      <c r="A564" s="161" t="str">
        <f t="shared" si="11"/>
        <v>FIGHTER_SOUTHAS</v>
      </c>
      <c r="B564" s="9" t="s">
        <v>113</v>
      </c>
      <c r="C564" s="4" t="s">
        <v>695</v>
      </c>
      <c r="D564" s="4" t="s">
        <v>713</v>
      </c>
      <c r="E564" s="4" t="s">
        <v>113</v>
      </c>
      <c r="F564" s="4" t="s">
        <v>113</v>
      </c>
    </row>
    <row r="565" spans="1:43" x14ac:dyDescent="0.25">
      <c r="A565" s="161" t="str">
        <f t="shared" ref="A565:A631" si="12">CONCATENATE(E565,IF(ISBLANK(C565),"",CONCATENATE("_",C565)))</f>
        <v>FRIGATE</v>
      </c>
      <c r="B565" s="9" t="s">
        <v>753</v>
      </c>
      <c r="C565" s="5"/>
      <c r="D565" s="5"/>
      <c r="E565" s="5" t="s">
        <v>753</v>
      </c>
      <c r="F565" s="5" t="s">
        <v>753</v>
      </c>
      <c r="G565" s="5"/>
      <c r="H565" s="5" t="s">
        <v>31</v>
      </c>
      <c r="I565" s="5" t="s">
        <v>128</v>
      </c>
      <c r="J565" s="6"/>
      <c r="K565" s="7"/>
      <c r="L565" s="13" t="s">
        <v>1712</v>
      </c>
      <c r="M565" s="8"/>
      <c r="N565" s="13" t="s">
        <v>1727</v>
      </c>
      <c r="O565" s="13"/>
      <c r="P565" s="13"/>
      <c r="Q565" s="7">
        <v>1</v>
      </c>
      <c r="R565" s="6" t="s">
        <v>1737</v>
      </c>
      <c r="S565" s="13"/>
      <c r="T565" s="7">
        <v>2</v>
      </c>
      <c r="U565" s="6">
        <v>0.115</v>
      </c>
      <c r="V565" s="5" t="s">
        <v>1700</v>
      </c>
      <c r="W565" s="6"/>
      <c r="X565" s="6"/>
      <c r="Y565" s="5"/>
      <c r="Z565" s="6"/>
      <c r="AA565" s="6"/>
      <c r="AB565" s="5"/>
      <c r="AC565" s="6"/>
      <c r="AD565" s="6"/>
      <c r="AE565" s="5"/>
      <c r="AF565" s="6"/>
      <c r="AG565" s="6"/>
      <c r="AH565" s="5"/>
      <c r="AI565" s="6"/>
      <c r="AJ565" s="6"/>
      <c r="AK565" s="5"/>
      <c r="AL565" s="5"/>
      <c r="AM565" s="5"/>
      <c r="AN565" s="5"/>
      <c r="AO565" s="5"/>
      <c r="AP565" s="5"/>
      <c r="AQ565" s="5"/>
    </row>
    <row r="566" spans="1:43" x14ac:dyDescent="0.25">
      <c r="A566" s="161" t="str">
        <f t="shared" si="12"/>
        <v>GADRAUHTS_SWORDSMAN</v>
      </c>
      <c r="C566" s="5"/>
      <c r="D566" s="5"/>
      <c r="E566" s="5" t="s">
        <v>1340</v>
      </c>
      <c r="F566" s="5" t="s">
        <v>1340</v>
      </c>
      <c r="G566" s="5"/>
      <c r="H566" s="5" t="s">
        <v>1442</v>
      </c>
      <c r="I566" s="5" t="s">
        <v>128</v>
      </c>
      <c r="J566" s="6"/>
      <c r="K566" s="6"/>
      <c r="L566" s="13" t="s">
        <v>1708</v>
      </c>
      <c r="M566" s="8"/>
      <c r="N566" s="5"/>
      <c r="O566" s="5"/>
      <c r="P566" s="5"/>
      <c r="Q566" s="7">
        <v>10</v>
      </c>
      <c r="R566" s="6" t="s">
        <v>1737</v>
      </c>
      <c r="S566" s="13" t="s">
        <v>1620</v>
      </c>
      <c r="T566" s="7" t="s">
        <v>1737</v>
      </c>
      <c r="U566" s="7" t="s">
        <v>1737</v>
      </c>
      <c r="V566" s="5"/>
      <c r="W566" s="6" t="s">
        <v>3</v>
      </c>
      <c r="X566" s="6" t="s">
        <v>3</v>
      </c>
      <c r="Y566" s="5"/>
      <c r="Z566" s="6">
        <v>1</v>
      </c>
      <c r="AA566" s="6"/>
      <c r="AB566" s="5"/>
      <c r="AC566" s="6"/>
      <c r="AD566" s="6" t="s">
        <v>3</v>
      </c>
      <c r="AE566" s="5"/>
      <c r="AF566" s="7" t="s">
        <v>1737</v>
      </c>
      <c r="AG566" s="6"/>
      <c r="AH566" s="5"/>
      <c r="AI566" s="7">
        <v>6</v>
      </c>
      <c r="AJ566" s="6"/>
      <c r="AK566" s="5"/>
      <c r="AL566" s="5"/>
      <c r="AM566" s="5"/>
      <c r="AN566" s="5"/>
      <c r="AO566" s="5"/>
      <c r="AP566" s="5"/>
      <c r="AQ566" s="5"/>
    </row>
    <row r="567" spans="1:43" x14ac:dyDescent="0.25">
      <c r="A567" s="161" t="str">
        <f t="shared" si="12"/>
        <v>GALLEASS</v>
      </c>
      <c r="B567" s="9" t="s">
        <v>754</v>
      </c>
      <c r="C567" s="5"/>
      <c r="D567" s="5"/>
      <c r="E567" s="5" t="s">
        <v>754</v>
      </c>
      <c r="F567" s="5" t="s">
        <v>754</v>
      </c>
      <c r="G567" s="5"/>
      <c r="H567" s="5" t="s">
        <v>1278</v>
      </c>
      <c r="I567" s="5" t="s">
        <v>128</v>
      </c>
      <c r="J567" s="6"/>
      <c r="K567" s="7"/>
      <c r="L567" s="13" t="s">
        <v>1712</v>
      </c>
      <c r="M567" s="8"/>
      <c r="N567" s="13" t="s">
        <v>1727</v>
      </c>
      <c r="O567" s="13"/>
      <c r="P567" s="13"/>
      <c r="Q567" s="7">
        <v>1</v>
      </c>
      <c r="R567" s="6" t="s">
        <v>1737</v>
      </c>
      <c r="S567" s="5"/>
      <c r="T567" s="7">
        <v>3</v>
      </c>
      <c r="U567" s="7" t="s">
        <v>1737</v>
      </c>
      <c r="V567" s="5" t="s">
        <v>1698</v>
      </c>
      <c r="W567" s="6"/>
      <c r="X567" s="6"/>
      <c r="Y567" s="5"/>
      <c r="Z567" s="6"/>
      <c r="AA567" s="6"/>
      <c r="AB567" s="5"/>
      <c r="AC567" s="6"/>
      <c r="AD567" s="6"/>
      <c r="AE567" s="5"/>
      <c r="AF567" s="6"/>
      <c r="AG567" s="6"/>
      <c r="AH567" s="5"/>
      <c r="AI567" s="6"/>
      <c r="AJ567" s="6"/>
      <c r="AK567" s="5"/>
      <c r="AL567" s="5"/>
      <c r="AM567" s="5"/>
      <c r="AN567" s="5"/>
      <c r="AO567" s="5"/>
      <c r="AP567" s="5"/>
      <c r="AQ567" s="5"/>
    </row>
    <row r="568" spans="1:43" x14ac:dyDescent="0.25">
      <c r="A568" s="161" t="str">
        <f t="shared" si="12"/>
        <v>GALLEON</v>
      </c>
      <c r="C568" s="5"/>
      <c r="D568" s="5"/>
      <c r="E568" s="5" t="s">
        <v>844</v>
      </c>
      <c r="F568" s="5" t="s">
        <v>844</v>
      </c>
      <c r="G568" s="5"/>
      <c r="H568" s="5" t="s">
        <v>850</v>
      </c>
      <c r="I568" s="5" t="s">
        <v>964</v>
      </c>
      <c r="J568" s="6"/>
      <c r="K568" s="7"/>
      <c r="L568" s="13" t="s">
        <v>1712</v>
      </c>
      <c r="M568" s="8"/>
      <c r="N568" s="13" t="s">
        <v>1727</v>
      </c>
      <c r="O568" s="13"/>
      <c r="P568" s="13"/>
      <c r="Q568" s="7">
        <v>2</v>
      </c>
      <c r="R568" s="6" t="s">
        <v>1695</v>
      </c>
      <c r="S568" s="13" t="s">
        <v>1613</v>
      </c>
      <c r="T568" s="7">
        <v>3</v>
      </c>
      <c r="U568" s="6">
        <v>0.115</v>
      </c>
      <c r="V568" s="5" t="s">
        <v>1696</v>
      </c>
      <c r="W568" s="6"/>
      <c r="X568" s="6"/>
      <c r="Y568" s="5"/>
      <c r="Z568" s="6">
        <v>1</v>
      </c>
      <c r="AA568" s="6"/>
      <c r="AB568" s="5"/>
      <c r="AC568" s="6"/>
      <c r="AD568" s="6"/>
      <c r="AE568" s="5"/>
      <c r="AF568" s="6"/>
      <c r="AG568" s="6"/>
      <c r="AH568" s="5"/>
      <c r="AI568" s="6"/>
      <c r="AJ568" s="6"/>
      <c r="AK568" s="5"/>
      <c r="AL568" s="5"/>
      <c r="AM568" s="5"/>
      <c r="AN568" s="5"/>
      <c r="AO568" s="5"/>
      <c r="AP568" s="5"/>
      <c r="AQ568" s="5"/>
    </row>
    <row r="569" spans="1:43" x14ac:dyDescent="0.25">
      <c r="A569" s="161" t="str">
        <f t="shared" si="12"/>
        <v>GALLEON_AFRI</v>
      </c>
      <c r="C569" s="4" t="s">
        <v>694</v>
      </c>
      <c r="D569" s="4" t="s">
        <v>692</v>
      </c>
      <c r="E569" s="4" t="s">
        <v>844</v>
      </c>
      <c r="F569" s="4" t="s">
        <v>844</v>
      </c>
    </row>
    <row r="570" spans="1:43" x14ac:dyDescent="0.25">
      <c r="A570" s="161" t="str">
        <f t="shared" si="12"/>
        <v>GALLEON_AMER</v>
      </c>
      <c r="C570" s="4" t="s">
        <v>697</v>
      </c>
      <c r="D570" s="4" t="s">
        <v>689</v>
      </c>
      <c r="E570" s="4" t="s">
        <v>844</v>
      </c>
      <c r="F570" s="4" t="s">
        <v>844</v>
      </c>
    </row>
    <row r="571" spans="1:43" x14ac:dyDescent="0.25">
      <c r="A571" s="161" t="str">
        <f t="shared" si="12"/>
        <v>GALLEON_ASIA</v>
      </c>
      <c r="C571" s="4" t="s">
        <v>693</v>
      </c>
      <c r="E571" s="4" t="s">
        <v>844</v>
      </c>
      <c r="F571" s="4" t="s">
        <v>844</v>
      </c>
      <c r="H571" s="4" t="s">
        <v>852</v>
      </c>
      <c r="I571" s="4" t="s">
        <v>1052</v>
      </c>
      <c r="R571" s="11">
        <v>0.11</v>
      </c>
      <c r="U571" s="11">
        <v>9.5000000000000001E-2</v>
      </c>
    </row>
    <row r="572" spans="1:43" x14ac:dyDescent="0.25">
      <c r="A572" s="161" t="str">
        <f t="shared" si="12"/>
        <v>GALLEON_CENTAS</v>
      </c>
      <c r="C572" s="4" t="s">
        <v>918</v>
      </c>
      <c r="D572" s="4" t="s">
        <v>692</v>
      </c>
      <c r="E572" s="4" t="s">
        <v>844</v>
      </c>
      <c r="F572" s="4" t="s">
        <v>844</v>
      </c>
      <c r="G572" s="14"/>
      <c r="H572" s="14"/>
      <c r="J572" s="167"/>
    </row>
    <row r="573" spans="1:43" x14ac:dyDescent="0.25">
      <c r="A573" s="161" t="str">
        <f t="shared" si="12"/>
        <v>GALLEON_EASTEU</v>
      </c>
      <c r="C573" s="4" t="s">
        <v>698</v>
      </c>
      <c r="D573" s="4" t="s">
        <v>689</v>
      </c>
      <c r="E573" s="4" t="s">
        <v>844</v>
      </c>
      <c r="F573" s="4" t="s">
        <v>844</v>
      </c>
    </row>
    <row r="574" spans="1:43" x14ac:dyDescent="0.25">
      <c r="A574" s="161" t="str">
        <f t="shared" si="12"/>
        <v>GALLEON_RUSSIA</v>
      </c>
      <c r="C574" s="4" t="s">
        <v>735</v>
      </c>
      <c r="E574" s="4" t="s">
        <v>844</v>
      </c>
      <c r="F574" s="4" t="s">
        <v>844</v>
      </c>
      <c r="H574" s="4" t="s">
        <v>983</v>
      </c>
      <c r="I574" s="4" t="s">
        <v>991</v>
      </c>
    </row>
    <row r="575" spans="1:43" x14ac:dyDescent="0.25">
      <c r="A575" s="161" t="str">
        <f t="shared" si="12"/>
        <v>GALLEON_ENGLAND</v>
      </c>
      <c r="C575" s="4" t="s">
        <v>713</v>
      </c>
      <c r="E575" s="4" t="s">
        <v>844</v>
      </c>
      <c r="F575" s="4" t="s">
        <v>844</v>
      </c>
      <c r="H575" s="4" t="s">
        <v>987</v>
      </c>
      <c r="I575" s="4" t="s">
        <v>991</v>
      </c>
    </row>
    <row r="576" spans="1:43" x14ac:dyDescent="0.25">
      <c r="A576" s="161" t="str">
        <f t="shared" si="12"/>
        <v>GALLEON_FRANCE</v>
      </c>
      <c r="C576" s="4" t="s">
        <v>715</v>
      </c>
      <c r="E576" s="4" t="s">
        <v>844</v>
      </c>
      <c r="F576" s="4" t="s">
        <v>844</v>
      </c>
      <c r="H576" s="4" t="s">
        <v>988</v>
      </c>
      <c r="I576" s="4" t="s">
        <v>991</v>
      </c>
    </row>
    <row r="577" spans="1:43" x14ac:dyDescent="0.25">
      <c r="A577" s="161" t="str">
        <f t="shared" si="12"/>
        <v>GALLEON_GERMANY</v>
      </c>
      <c r="C577" s="4" t="s">
        <v>717</v>
      </c>
      <c r="E577" s="4" t="s">
        <v>844</v>
      </c>
      <c r="F577" s="4" t="s">
        <v>844</v>
      </c>
      <c r="H577" s="4" t="s">
        <v>989</v>
      </c>
      <c r="I577" s="4" t="s">
        <v>991</v>
      </c>
    </row>
    <row r="578" spans="1:43" x14ac:dyDescent="0.25">
      <c r="A578" s="161" t="str">
        <f t="shared" si="12"/>
        <v>GALLEON_MED</v>
      </c>
      <c r="C578" s="4" t="s">
        <v>692</v>
      </c>
      <c r="E578" s="4" t="s">
        <v>844</v>
      </c>
      <c r="F578" s="4" t="s">
        <v>844</v>
      </c>
      <c r="H578" s="4" t="s">
        <v>843</v>
      </c>
      <c r="I578" s="4" t="s">
        <v>964</v>
      </c>
    </row>
    <row r="579" spans="1:43" x14ac:dyDescent="0.25">
      <c r="A579" s="161" t="str">
        <f t="shared" si="12"/>
        <v>GALLEON_GREECE</v>
      </c>
      <c r="C579" s="4" t="s">
        <v>718</v>
      </c>
      <c r="E579" s="4" t="s">
        <v>844</v>
      </c>
      <c r="F579" s="4" t="s">
        <v>844</v>
      </c>
      <c r="H579" s="4" t="s">
        <v>990</v>
      </c>
      <c r="I579" s="4" t="s">
        <v>991</v>
      </c>
    </row>
    <row r="580" spans="1:43" x14ac:dyDescent="0.25">
      <c r="A580" s="161" t="str">
        <f t="shared" si="12"/>
        <v>GALLEON_PORTUGAL</v>
      </c>
      <c r="C580" s="4" t="s">
        <v>733</v>
      </c>
      <c r="E580" s="4" t="s">
        <v>844</v>
      </c>
      <c r="F580" s="4" t="s">
        <v>844</v>
      </c>
      <c r="H580" s="4" t="s">
        <v>981</v>
      </c>
      <c r="I580" s="4" t="s">
        <v>991</v>
      </c>
    </row>
    <row r="581" spans="1:43" x14ac:dyDescent="0.25">
      <c r="A581" s="161" t="str">
        <f t="shared" si="12"/>
        <v>GALLEON_ROME</v>
      </c>
      <c r="C581" s="4" t="s">
        <v>734</v>
      </c>
      <c r="E581" s="4" t="s">
        <v>844</v>
      </c>
      <c r="F581" s="4" t="s">
        <v>844</v>
      </c>
      <c r="H581" s="4" t="s">
        <v>982</v>
      </c>
      <c r="I581" s="4" t="s">
        <v>991</v>
      </c>
    </row>
    <row r="582" spans="1:43" x14ac:dyDescent="0.25">
      <c r="A582" s="161" t="str">
        <f t="shared" si="12"/>
        <v>GALLEON_SPAIN</v>
      </c>
      <c r="C582" s="4" t="s">
        <v>738</v>
      </c>
      <c r="E582" s="4" t="s">
        <v>844</v>
      </c>
      <c r="F582" s="4" t="s">
        <v>844</v>
      </c>
      <c r="H582" s="4" t="s">
        <v>984</v>
      </c>
      <c r="I582" s="4" t="s">
        <v>991</v>
      </c>
    </row>
    <row r="583" spans="1:43" x14ac:dyDescent="0.25">
      <c r="A583" s="161" t="str">
        <f t="shared" si="12"/>
        <v>GALLEON_MIDEAST</v>
      </c>
      <c r="C583" s="4" t="s">
        <v>690</v>
      </c>
      <c r="D583" s="4" t="s">
        <v>692</v>
      </c>
      <c r="E583" s="4" t="s">
        <v>844</v>
      </c>
      <c r="F583" s="4" t="s">
        <v>844</v>
      </c>
    </row>
    <row r="584" spans="1:43" x14ac:dyDescent="0.25">
      <c r="A584" s="161" t="str">
        <f t="shared" si="12"/>
        <v>GALLEON_NORTHEU</v>
      </c>
      <c r="C584" s="4" t="s">
        <v>962</v>
      </c>
      <c r="D584" s="4" t="s">
        <v>689</v>
      </c>
      <c r="E584" s="4" t="s">
        <v>844</v>
      </c>
      <c r="F584" s="4" t="s">
        <v>844</v>
      </c>
    </row>
    <row r="585" spans="1:43" x14ac:dyDescent="0.25">
      <c r="A585" s="161" t="str">
        <f t="shared" si="12"/>
        <v>GALLEON_DENMARK</v>
      </c>
      <c r="C585" s="4" t="s">
        <v>711</v>
      </c>
      <c r="E585" s="4" t="s">
        <v>844</v>
      </c>
      <c r="F585" s="4" t="s">
        <v>844</v>
      </c>
      <c r="H585" s="4" t="s">
        <v>986</v>
      </c>
      <c r="I585" s="4" t="s">
        <v>991</v>
      </c>
    </row>
    <row r="586" spans="1:43" x14ac:dyDescent="0.25">
      <c r="A586" s="161" t="str">
        <f t="shared" si="12"/>
        <v>GALLEON_SWEDEN</v>
      </c>
      <c r="C586" s="4" t="s">
        <v>739</v>
      </c>
      <c r="E586" s="4" t="s">
        <v>844</v>
      </c>
      <c r="F586" s="4" t="s">
        <v>844</v>
      </c>
      <c r="H586" s="4" t="s">
        <v>985</v>
      </c>
      <c r="I586" s="4" t="s">
        <v>991</v>
      </c>
    </row>
    <row r="587" spans="1:43" x14ac:dyDescent="0.25">
      <c r="A587" s="161" t="str">
        <f t="shared" si="12"/>
        <v>GALLEON_OCEAN</v>
      </c>
      <c r="C587" s="4" t="s">
        <v>994</v>
      </c>
      <c r="D587" s="4" t="s">
        <v>689</v>
      </c>
      <c r="E587" s="4" t="s">
        <v>844</v>
      </c>
      <c r="F587" s="4" t="s">
        <v>844</v>
      </c>
    </row>
    <row r="588" spans="1:43" x14ac:dyDescent="0.25">
      <c r="A588" s="161" t="str">
        <f t="shared" si="12"/>
        <v>GALLEON_SEASIA</v>
      </c>
      <c r="C588" s="4" t="s">
        <v>696</v>
      </c>
      <c r="D588" s="4" t="s">
        <v>693</v>
      </c>
      <c r="E588" s="4" t="s">
        <v>844</v>
      </c>
      <c r="F588" s="4" t="s">
        <v>844</v>
      </c>
    </row>
    <row r="589" spans="1:43" x14ac:dyDescent="0.25">
      <c r="A589" s="161" t="str">
        <f t="shared" si="12"/>
        <v>GALLEON_SOUTHAM</v>
      </c>
      <c r="C589" s="4" t="s">
        <v>691</v>
      </c>
      <c r="D589" s="4" t="s">
        <v>689</v>
      </c>
      <c r="E589" s="4" t="s">
        <v>844</v>
      </c>
      <c r="F589" s="4" t="s">
        <v>844</v>
      </c>
    </row>
    <row r="590" spans="1:43" x14ac:dyDescent="0.25">
      <c r="A590" s="161" t="str">
        <f t="shared" si="12"/>
        <v>GALLEON_SOUTHAS</v>
      </c>
      <c r="C590" s="4" t="s">
        <v>695</v>
      </c>
      <c r="D590" s="4" t="s">
        <v>692</v>
      </c>
      <c r="E590" s="4" t="s">
        <v>844</v>
      </c>
      <c r="F590" s="4" t="s">
        <v>844</v>
      </c>
    </row>
    <row r="591" spans="1:43" x14ac:dyDescent="0.25">
      <c r="A591" s="161" t="str">
        <f t="shared" si="12"/>
        <v>GALLEY</v>
      </c>
      <c r="C591" s="5"/>
      <c r="D591" s="5"/>
      <c r="E591" s="5" t="s">
        <v>784</v>
      </c>
      <c r="F591" s="5" t="s">
        <v>784</v>
      </c>
      <c r="G591" s="5"/>
      <c r="H591" s="5" t="s">
        <v>1118</v>
      </c>
      <c r="I591" s="5" t="s">
        <v>128</v>
      </c>
      <c r="J591" s="6"/>
      <c r="K591" s="7"/>
      <c r="L591" s="13" t="s">
        <v>1712</v>
      </c>
      <c r="M591" s="8"/>
      <c r="N591" s="13" t="s">
        <v>1727</v>
      </c>
      <c r="O591" s="13"/>
      <c r="P591" s="13"/>
      <c r="Q591" s="7">
        <v>2</v>
      </c>
      <c r="R591" s="6" t="s">
        <v>1737</v>
      </c>
      <c r="S591" s="13" t="s">
        <v>1613</v>
      </c>
      <c r="T591" s="7">
        <v>5</v>
      </c>
      <c r="U591" s="7">
        <v>0.1</v>
      </c>
      <c r="V591" s="5" t="s">
        <v>1696</v>
      </c>
      <c r="W591" s="6"/>
      <c r="X591" s="6"/>
      <c r="Y591" s="5"/>
      <c r="Z591" s="6">
        <v>1</v>
      </c>
      <c r="AA591" s="6"/>
      <c r="AB591" s="5"/>
      <c r="AC591" s="6"/>
      <c r="AD591" s="6"/>
      <c r="AE591" s="5"/>
      <c r="AF591" s="6"/>
      <c r="AG591" s="6"/>
      <c r="AH591" s="5"/>
      <c r="AI591" s="6"/>
      <c r="AJ591" s="6"/>
      <c r="AK591" s="5"/>
      <c r="AL591" s="5"/>
      <c r="AM591" s="5"/>
      <c r="AN591" s="5"/>
      <c r="AO591" s="5"/>
      <c r="AP591" s="5"/>
      <c r="AQ591" s="5"/>
    </row>
    <row r="592" spans="1:43" x14ac:dyDescent="0.25">
      <c r="A592" s="161" t="str">
        <f t="shared" si="12"/>
        <v>GALLEY_AFRI</v>
      </c>
      <c r="C592" s="4" t="s">
        <v>694</v>
      </c>
      <c r="D592" s="4" t="s">
        <v>690</v>
      </c>
      <c r="E592" s="4" t="s">
        <v>784</v>
      </c>
      <c r="F592" s="4" t="s">
        <v>784</v>
      </c>
    </row>
    <row r="593" spans="1:43" x14ac:dyDescent="0.25">
      <c r="A593" s="161" t="str">
        <f t="shared" si="12"/>
        <v>GALLEY_AMER</v>
      </c>
      <c r="C593" s="4" t="s">
        <v>697</v>
      </c>
      <c r="E593" s="4" t="s">
        <v>784</v>
      </c>
      <c r="F593" s="4" t="s">
        <v>784</v>
      </c>
      <c r="H593" s="4" t="s">
        <v>858</v>
      </c>
      <c r="I593" s="4" t="s">
        <v>965</v>
      </c>
      <c r="R593" s="11">
        <v>0.1</v>
      </c>
      <c r="U593" s="11">
        <v>0.1</v>
      </c>
    </row>
    <row r="594" spans="1:43" x14ac:dyDescent="0.25">
      <c r="A594" s="161" t="str">
        <f t="shared" si="12"/>
        <v>GALLEY_CENTAS</v>
      </c>
      <c r="C594" s="4" t="s">
        <v>918</v>
      </c>
      <c r="D594" s="4" t="s">
        <v>690</v>
      </c>
      <c r="E594" s="4" t="s">
        <v>784</v>
      </c>
      <c r="F594" s="4" t="s">
        <v>784</v>
      </c>
    </row>
    <row r="595" spans="1:43" x14ac:dyDescent="0.25">
      <c r="A595" s="161" t="str">
        <f t="shared" si="12"/>
        <v>GALLEY_MIDEAST</v>
      </c>
      <c r="C595" s="4" t="s">
        <v>690</v>
      </c>
      <c r="E595" s="4" t="s">
        <v>784</v>
      </c>
      <c r="F595" s="4" t="s">
        <v>784</v>
      </c>
      <c r="H595" s="4" t="s">
        <v>960</v>
      </c>
      <c r="I595" s="4" t="s">
        <v>966</v>
      </c>
      <c r="R595" s="11">
        <v>0.14499999999999999</v>
      </c>
      <c r="U595" s="11">
        <v>0.1</v>
      </c>
    </row>
    <row r="596" spans="1:43" x14ac:dyDescent="0.25">
      <c r="A596" s="161" t="str">
        <f t="shared" si="12"/>
        <v>GALLEY_NORTHEU</v>
      </c>
      <c r="C596" s="4" t="s">
        <v>962</v>
      </c>
      <c r="E596" s="4" t="s">
        <v>784</v>
      </c>
      <c r="F596" s="4" t="s">
        <v>784</v>
      </c>
      <c r="G596" s="14" t="s">
        <v>132</v>
      </c>
      <c r="H596" s="14" t="s">
        <v>992</v>
      </c>
      <c r="I596" s="4" t="s">
        <v>128</v>
      </c>
      <c r="J596" s="167"/>
      <c r="R596" s="11">
        <v>0.06</v>
      </c>
      <c r="U596" s="11">
        <v>5.5E-2</v>
      </c>
    </row>
    <row r="597" spans="1:43" x14ac:dyDescent="0.25">
      <c r="A597" s="161" t="str">
        <f t="shared" si="12"/>
        <v>GALLEY_OCEAN</v>
      </c>
      <c r="C597" s="4" t="s">
        <v>994</v>
      </c>
      <c r="E597" s="4" t="s">
        <v>784</v>
      </c>
      <c r="F597" s="4" t="s">
        <v>784</v>
      </c>
      <c r="G597" s="14"/>
      <c r="H597" s="14" t="s">
        <v>995</v>
      </c>
      <c r="I597" s="4" t="s">
        <v>128</v>
      </c>
      <c r="J597" s="167"/>
      <c r="R597" s="11">
        <v>0.05</v>
      </c>
      <c r="U597" s="11">
        <v>0.04</v>
      </c>
    </row>
    <row r="598" spans="1:43" x14ac:dyDescent="0.25">
      <c r="A598" s="161" t="str">
        <f t="shared" si="12"/>
        <v>GALLEY_SOUTHAM</v>
      </c>
      <c r="C598" s="4" t="s">
        <v>691</v>
      </c>
      <c r="E598" s="4" t="s">
        <v>784</v>
      </c>
      <c r="F598" s="4" t="s">
        <v>784</v>
      </c>
      <c r="H598" s="4" t="s">
        <v>194</v>
      </c>
      <c r="I598" s="4" t="s">
        <v>1054</v>
      </c>
      <c r="R598" s="11">
        <v>0.14499999999999999</v>
      </c>
      <c r="U598" s="11">
        <v>0.1</v>
      </c>
    </row>
    <row r="599" spans="1:43" x14ac:dyDescent="0.25">
      <c r="A599" s="161" t="str">
        <f t="shared" si="12"/>
        <v>GATLINGGUN</v>
      </c>
      <c r="B599" s="9" t="s">
        <v>755</v>
      </c>
      <c r="C599" s="5"/>
      <c r="D599" s="5"/>
      <c r="E599" s="5" t="s">
        <v>755</v>
      </c>
      <c r="F599" s="5" t="s">
        <v>755</v>
      </c>
      <c r="G599" s="5"/>
      <c r="H599" s="5" t="s">
        <v>1443</v>
      </c>
      <c r="I599" s="5" t="s">
        <v>128</v>
      </c>
      <c r="J599" s="6"/>
      <c r="K599" s="6"/>
      <c r="L599" s="13" t="s">
        <v>1708</v>
      </c>
      <c r="M599" s="8"/>
      <c r="N599" s="5"/>
      <c r="O599" s="5"/>
      <c r="P599" s="5"/>
      <c r="Q599" s="7">
        <v>3</v>
      </c>
      <c r="R599" s="6" t="s">
        <v>1695</v>
      </c>
      <c r="S599" s="13" t="s">
        <v>1611</v>
      </c>
      <c r="T599" s="6"/>
      <c r="U599" s="7" t="s">
        <v>1695</v>
      </c>
      <c r="V599" s="5"/>
      <c r="W599" s="6">
        <v>7</v>
      </c>
      <c r="X599" s="6" t="s">
        <v>3</v>
      </c>
      <c r="Y599" s="5"/>
      <c r="Z599" s="6">
        <v>1</v>
      </c>
      <c r="AA599" s="6"/>
      <c r="AB599" s="5"/>
      <c r="AC599" s="6"/>
      <c r="AD599" s="6" t="s">
        <v>3</v>
      </c>
      <c r="AE599" s="5"/>
      <c r="AF599" s="6"/>
      <c r="AG599" s="6"/>
      <c r="AH599" s="5"/>
      <c r="AI599" s="6"/>
      <c r="AJ599" s="6"/>
      <c r="AK599" s="5"/>
      <c r="AL599" s="5"/>
      <c r="AM599" s="5"/>
      <c r="AN599" s="5"/>
      <c r="AO599" s="5"/>
      <c r="AP599" s="5"/>
      <c r="AQ599" s="5"/>
    </row>
    <row r="600" spans="1:43" x14ac:dyDescent="0.25">
      <c r="A600" s="161" t="str">
        <f t="shared" si="12"/>
        <v>GENERAL</v>
      </c>
      <c r="B600" s="9" t="s">
        <v>2317</v>
      </c>
      <c r="C600" s="5"/>
      <c r="D600" s="5"/>
      <c r="E600" s="5" t="s">
        <v>1341</v>
      </c>
      <c r="F600" s="5" t="s">
        <v>1344</v>
      </c>
      <c r="G600" s="5"/>
      <c r="H600" s="5" t="s">
        <v>1476</v>
      </c>
      <c r="I600" s="5" t="s">
        <v>128</v>
      </c>
      <c r="J600" s="6">
        <v>1</v>
      </c>
      <c r="K600" s="6"/>
      <c r="L600" s="13" t="s">
        <v>1710</v>
      </c>
      <c r="M600" s="8"/>
      <c r="N600" s="5"/>
      <c r="O600" s="5"/>
      <c r="P600" s="5"/>
      <c r="Q600" s="7">
        <v>1</v>
      </c>
      <c r="R600" s="7" t="s">
        <v>1695</v>
      </c>
      <c r="S600" s="5"/>
      <c r="T600" s="6"/>
      <c r="U600" s="7" t="s">
        <v>1737</v>
      </c>
      <c r="V600" s="5"/>
      <c r="W600" s="6"/>
      <c r="X600" s="6" t="s">
        <v>3</v>
      </c>
      <c r="Y600" s="5"/>
      <c r="Z600" s="6"/>
      <c r="AA600" s="6"/>
      <c r="AB600" s="5"/>
      <c r="AC600" s="6"/>
      <c r="AD600" s="6" t="s">
        <v>3</v>
      </c>
      <c r="AE600" s="5"/>
      <c r="AF600" s="6"/>
      <c r="AG600" s="6"/>
      <c r="AH600" s="5"/>
      <c r="AI600" s="6"/>
      <c r="AJ600" s="6"/>
      <c r="AK600" s="5"/>
      <c r="AL600" s="5"/>
      <c r="AM600" s="5"/>
      <c r="AN600" s="5"/>
      <c r="AO600" s="5"/>
      <c r="AP600" s="5"/>
      <c r="AQ600" s="5"/>
    </row>
    <row r="601" spans="1:43" x14ac:dyDescent="0.25">
      <c r="A601" s="161" t="str">
        <f t="shared" si="12"/>
        <v>GENERAL_ROME</v>
      </c>
      <c r="B601" s="9" t="s">
        <v>2317</v>
      </c>
      <c r="C601" s="5" t="s">
        <v>734</v>
      </c>
      <c r="D601" s="5"/>
      <c r="E601" s="5" t="s">
        <v>1341</v>
      </c>
      <c r="F601" s="5" t="s">
        <v>1344</v>
      </c>
      <c r="G601" s="5"/>
      <c r="H601" s="5" t="s">
        <v>2016</v>
      </c>
      <c r="I601" s="5" t="s">
        <v>1971</v>
      </c>
      <c r="J601" s="6">
        <v>1</v>
      </c>
      <c r="K601" s="6"/>
      <c r="L601" s="13"/>
      <c r="M601" s="8"/>
      <c r="N601" s="5"/>
      <c r="O601" s="5"/>
      <c r="P601" s="5"/>
      <c r="Q601" s="7"/>
      <c r="R601" s="7"/>
      <c r="S601" s="5"/>
      <c r="T601" s="6"/>
      <c r="U601" s="7"/>
      <c r="V601" s="5"/>
      <c r="W601" s="6"/>
      <c r="X601" s="6"/>
      <c r="Y601" s="5"/>
      <c r="Z601" s="6"/>
      <c r="AA601" s="6"/>
      <c r="AB601" s="5"/>
      <c r="AC601" s="6"/>
      <c r="AD601" s="6"/>
      <c r="AE601" s="5"/>
      <c r="AF601" s="6"/>
      <c r="AG601" s="6"/>
      <c r="AH601" s="5"/>
      <c r="AI601" s="6"/>
      <c r="AJ601" s="6"/>
      <c r="AK601" s="5"/>
      <c r="AL601" s="5"/>
      <c r="AM601" s="5"/>
      <c r="AN601" s="5"/>
      <c r="AO601" s="5"/>
      <c r="AP601" s="5"/>
      <c r="AQ601" s="5"/>
    </row>
    <row r="602" spans="1:43" x14ac:dyDescent="0.25">
      <c r="A602" s="161" t="str">
        <f t="shared" si="12"/>
        <v>GENERAL_KHAN</v>
      </c>
      <c r="B602" s="9" t="s">
        <v>2381</v>
      </c>
      <c r="C602" s="5"/>
      <c r="D602" s="5"/>
      <c r="E602" s="5" t="s">
        <v>1342</v>
      </c>
      <c r="F602" s="5" t="s">
        <v>1345</v>
      </c>
      <c r="G602" s="5"/>
      <c r="H602" s="5" t="s">
        <v>1475</v>
      </c>
      <c r="I602" s="5" t="s">
        <v>128</v>
      </c>
      <c r="J602" s="6"/>
      <c r="K602" s="6"/>
      <c r="L602" s="13" t="s">
        <v>1710</v>
      </c>
      <c r="M602" s="8"/>
      <c r="N602" s="5"/>
      <c r="O602" s="5"/>
      <c r="P602" s="5"/>
      <c r="Q602" s="7">
        <v>1</v>
      </c>
      <c r="R602" s="7" t="s">
        <v>1695</v>
      </c>
      <c r="S602" s="5"/>
      <c r="T602" s="6"/>
      <c r="U602" s="7" t="s">
        <v>1695</v>
      </c>
      <c r="V602" s="5"/>
      <c r="W602" s="6"/>
      <c r="X602" s="6" t="s">
        <v>3</v>
      </c>
      <c r="Y602" s="5"/>
      <c r="Z602" s="6"/>
      <c r="AA602" s="6"/>
      <c r="AB602" s="5"/>
      <c r="AC602" s="6"/>
      <c r="AD602" s="6" t="s">
        <v>3</v>
      </c>
      <c r="AE602" s="5"/>
      <c r="AF602" s="6"/>
      <c r="AG602" s="6"/>
      <c r="AH602" s="5"/>
      <c r="AI602" s="6"/>
      <c r="AJ602" s="6"/>
      <c r="AK602" s="5"/>
      <c r="AL602" s="5"/>
      <c r="AM602" s="5"/>
      <c r="AN602" s="5"/>
      <c r="AO602" s="5"/>
      <c r="AP602" s="5"/>
      <c r="AQ602" s="5"/>
    </row>
    <row r="603" spans="1:43" x14ac:dyDescent="0.25">
      <c r="A603" s="161" t="str">
        <f t="shared" si="12"/>
        <v>GENERAL_LATE</v>
      </c>
      <c r="B603" s="9" t="s">
        <v>2317</v>
      </c>
      <c r="C603" s="5"/>
      <c r="D603" s="5"/>
      <c r="E603" s="5" t="s">
        <v>1343</v>
      </c>
      <c r="F603" s="5" t="s">
        <v>1346</v>
      </c>
      <c r="G603" s="5"/>
      <c r="H603" s="5" t="s">
        <v>1477</v>
      </c>
      <c r="I603" s="5" t="s">
        <v>128</v>
      </c>
      <c r="J603" s="6"/>
      <c r="K603" s="6"/>
      <c r="L603" s="13" t="s">
        <v>1710</v>
      </c>
      <c r="M603" s="8"/>
      <c r="N603" s="5"/>
      <c r="O603" s="5"/>
      <c r="P603" s="5"/>
      <c r="Q603" s="7">
        <v>1</v>
      </c>
      <c r="R603" s="7" t="s">
        <v>1695</v>
      </c>
      <c r="S603" s="5"/>
      <c r="T603" s="6"/>
      <c r="U603" s="7" t="s">
        <v>1737</v>
      </c>
      <c r="V603" s="5"/>
      <c r="W603" s="6"/>
      <c r="X603" s="6" t="s">
        <v>3</v>
      </c>
      <c r="Y603" s="5"/>
      <c r="Z603" s="6"/>
      <c r="AA603" s="6"/>
      <c r="AB603" s="5"/>
      <c r="AC603" s="6"/>
      <c r="AD603" s="6" t="s">
        <v>3</v>
      </c>
      <c r="AE603" s="5"/>
      <c r="AF603" s="6"/>
      <c r="AG603" s="6"/>
      <c r="AH603" s="5"/>
      <c r="AI603" s="6"/>
      <c r="AJ603" s="6"/>
      <c r="AK603" s="5"/>
      <c r="AL603" s="5"/>
      <c r="AM603" s="5"/>
      <c r="AN603" s="5"/>
      <c r="AO603" s="5"/>
      <c r="AP603" s="5"/>
      <c r="AQ603" s="5"/>
    </row>
    <row r="604" spans="1:43" x14ac:dyDescent="0.25">
      <c r="A604" s="161" t="str">
        <f t="shared" si="12"/>
        <v>GREAT_ADMIRAL</v>
      </c>
      <c r="B604" s="9" t="s">
        <v>1347</v>
      </c>
      <c r="C604" s="5"/>
      <c r="D604" s="5"/>
      <c r="E604" s="5" t="s">
        <v>1347</v>
      </c>
      <c r="F604" s="5" t="s">
        <v>1347</v>
      </c>
      <c r="G604" s="5"/>
      <c r="H604" s="5" t="s">
        <v>1444</v>
      </c>
      <c r="I604" s="5" t="s">
        <v>128</v>
      </c>
      <c r="J604" s="6">
        <v>1</v>
      </c>
      <c r="K604" s="7"/>
      <c r="L604" s="13" t="s">
        <v>1712</v>
      </c>
      <c r="M604" s="8"/>
      <c r="N604" s="13" t="s">
        <v>1727</v>
      </c>
      <c r="O604" s="13"/>
      <c r="P604" s="13"/>
      <c r="Q604" s="7">
        <v>1</v>
      </c>
      <c r="R604" s="6">
        <v>0.125</v>
      </c>
      <c r="S604" s="13" t="s">
        <v>1695</v>
      </c>
      <c r="T604" s="6"/>
      <c r="U604" s="6">
        <v>0.1</v>
      </c>
      <c r="V604" s="5"/>
      <c r="W604" s="6"/>
      <c r="X604" s="6"/>
      <c r="Y604" s="5"/>
      <c r="Z604" s="6"/>
      <c r="AA604" s="6"/>
      <c r="AB604" s="5"/>
      <c r="AC604" s="6"/>
      <c r="AD604" s="6"/>
      <c r="AE604" s="5"/>
      <c r="AF604" s="6"/>
      <c r="AG604" s="6"/>
      <c r="AH604" s="5"/>
      <c r="AI604" s="6"/>
      <c r="AJ604" s="6"/>
      <c r="AK604" s="5"/>
      <c r="AL604" s="5"/>
      <c r="AM604" s="5"/>
      <c r="AN604" s="5"/>
      <c r="AO604" s="5"/>
      <c r="AP604" s="5"/>
      <c r="AQ604" s="5"/>
    </row>
    <row r="605" spans="1:43" x14ac:dyDescent="0.25">
      <c r="A605" s="161" t="str">
        <f t="shared" si="12"/>
        <v>GREAT_ADMIRAL_LATE</v>
      </c>
      <c r="B605" s="9" t="s">
        <v>1347</v>
      </c>
      <c r="C605" s="5"/>
      <c r="D605" s="5"/>
      <c r="E605" s="5" t="s">
        <v>1348</v>
      </c>
      <c r="F605" s="5" t="s">
        <v>1348</v>
      </c>
      <c r="G605" s="5"/>
      <c r="H605" s="5" t="s">
        <v>1123</v>
      </c>
      <c r="I605" s="5" t="s">
        <v>128</v>
      </c>
      <c r="J605" s="6"/>
      <c r="K605" s="7"/>
      <c r="L605" s="13" t="s">
        <v>1712</v>
      </c>
      <c r="M605" s="8"/>
      <c r="N605" s="13" t="s">
        <v>1727</v>
      </c>
      <c r="O605" s="13"/>
      <c r="P605" s="13"/>
      <c r="Q605" s="7">
        <v>1</v>
      </c>
      <c r="R605" s="6" t="s">
        <v>1695</v>
      </c>
      <c r="S605" s="13" t="s">
        <v>1695</v>
      </c>
      <c r="T605" s="6"/>
      <c r="U605" s="6">
        <v>0.1</v>
      </c>
      <c r="V605" s="5"/>
      <c r="W605" s="6"/>
      <c r="X605" s="6"/>
      <c r="Y605" s="5"/>
      <c r="Z605" s="6"/>
      <c r="AA605" s="6"/>
      <c r="AB605" s="5"/>
      <c r="AC605" s="6"/>
      <c r="AD605" s="6"/>
      <c r="AE605" s="5"/>
      <c r="AF605" s="6"/>
      <c r="AG605" s="6"/>
      <c r="AH605" s="5"/>
      <c r="AI605" s="6"/>
      <c r="AJ605" s="6"/>
      <c r="AK605" s="5"/>
      <c r="AL605" s="5"/>
      <c r="AM605" s="5"/>
      <c r="AN605" s="5"/>
      <c r="AO605" s="5"/>
      <c r="AP605" s="5"/>
      <c r="AQ605" s="5"/>
    </row>
    <row r="606" spans="1:43" x14ac:dyDescent="0.25">
      <c r="A606" s="161" t="str">
        <f t="shared" si="12"/>
        <v>GREAT_ARTIST</v>
      </c>
      <c r="B606" s="9" t="s">
        <v>1312</v>
      </c>
      <c r="C606" s="5"/>
      <c r="D606" s="5"/>
      <c r="E606" s="5" t="s">
        <v>1349</v>
      </c>
      <c r="F606" s="5" t="s">
        <v>1349</v>
      </c>
      <c r="G606" s="5"/>
      <c r="H606" s="5" t="s">
        <v>1445</v>
      </c>
      <c r="I606" s="5" t="s">
        <v>128</v>
      </c>
      <c r="J606" s="6">
        <v>1</v>
      </c>
      <c r="K606" s="6"/>
      <c r="L606" s="13" t="s">
        <v>1710</v>
      </c>
      <c r="M606" s="8"/>
      <c r="N606" s="5"/>
      <c r="O606" s="5"/>
      <c r="P606" s="5"/>
      <c r="Q606" s="6">
        <v>1</v>
      </c>
      <c r="R606" s="6" t="s">
        <v>1695</v>
      </c>
      <c r="S606" s="13" t="s">
        <v>1695</v>
      </c>
      <c r="T606" s="6">
        <v>1</v>
      </c>
      <c r="U606" s="7" t="s">
        <v>1737</v>
      </c>
      <c r="V606" s="5"/>
      <c r="W606" s="6"/>
      <c r="X606" s="6" t="s">
        <v>3</v>
      </c>
      <c r="Y606" s="5"/>
      <c r="Z606" s="6">
        <v>1</v>
      </c>
      <c r="AA606" s="6"/>
      <c r="AB606" s="5"/>
      <c r="AC606" s="6"/>
      <c r="AD606" s="6" t="s">
        <v>3</v>
      </c>
      <c r="AE606" s="5"/>
      <c r="AF606" s="6">
        <v>1</v>
      </c>
      <c r="AG606" s="6"/>
      <c r="AH606" s="5"/>
      <c r="AI606" s="6"/>
      <c r="AJ606" s="6"/>
      <c r="AK606" s="5"/>
      <c r="AL606" s="5"/>
      <c r="AM606" s="5"/>
      <c r="AN606" s="5"/>
      <c r="AO606" s="5"/>
      <c r="AP606" s="5"/>
      <c r="AQ606" s="5"/>
    </row>
    <row r="607" spans="1:43" x14ac:dyDescent="0.25">
      <c r="A607" s="161" t="str">
        <f t="shared" si="12"/>
        <v>GREAT_ARTIST</v>
      </c>
      <c r="B607" s="9" t="s">
        <v>1312</v>
      </c>
      <c r="C607" s="5"/>
      <c r="D607" s="5"/>
      <c r="E607" s="5" t="s">
        <v>1349</v>
      </c>
      <c r="F607" s="5" t="s">
        <v>1349</v>
      </c>
      <c r="G607" s="5" t="s">
        <v>2040</v>
      </c>
      <c r="H607" s="5" t="s">
        <v>1446</v>
      </c>
      <c r="I607" s="5" t="s">
        <v>128</v>
      </c>
      <c r="J607" s="6">
        <v>1</v>
      </c>
      <c r="K607" s="6"/>
      <c r="L607" s="13" t="s">
        <v>1710</v>
      </c>
      <c r="M607" s="8"/>
      <c r="N607" s="5"/>
      <c r="O607" s="5"/>
      <c r="P607" s="5"/>
      <c r="Q607" s="6">
        <v>1</v>
      </c>
      <c r="R607" s="6" t="s">
        <v>1695</v>
      </c>
      <c r="S607" s="13" t="s">
        <v>1695</v>
      </c>
      <c r="T607" s="6">
        <v>1</v>
      </c>
      <c r="U607" s="7" t="s">
        <v>1737</v>
      </c>
      <c r="V607" s="5"/>
      <c r="W607" s="6"/>
      <c r="X607" s="6" t="s">
        <v>3</v>
      </c>
      <c r="Y607" s="5"/>
      <c r="Z607" s="6">
        <v>0</v>
      </c>
      <c r="AA607" s="6"/>
      <c r="AB607" s="5"/>
      <c r="AC607" s="6"/>
      <c r="AD607" s="6" t="s">
        <v>3</v>
      </c>
      <c r="AE607" s="5"/>
      <c r="AF607" s="6">
        <v>1</v>
      </c>
      <c r="AG607" s="6"/>
      <c r="AH607" s="5"/>
      <c r="AI607" s="6"/>
      <c r="AJ607" s="6"/>
      <c r="AK607" s="5"/>
      <c r="AL607" s="5"/>
      <c r="AM607" s="5"/>
      <c r="AN607" s="5"/>
      <c r="AO607" s="5"/>
      <c r="AP607" s="5"/>
      <c r="AQ607" s="5"/>
    </row>
    <row r="608" spans="1:43" x14ac:dyDescent="0.25">
      <c r="A608" s="161" t="str">
        <f t="shared" si="12"/>
        <v>GREAT_ARTIST</v>
      </c>
      <c r="B608" s="9" t="s">
        <v>1312</v>
      </c>
      <c r="C608" s="5"/>
      <c r="D608" s="5"/>
      <c r="E608" s="5" t="s">
        <v>1349</v>
      </c>
      <c r="F608" s="5" t="s">
        <v>1349</v>
      </c>
      <c r="G608" s="5" t="s">
        <v>2041</v>
      </c>
      <c r="H608" s="5" t="s">
        <v>1447</v>
      </c>
      <c r="I608" s="5" t="s">
        <v>128</v>
      </c>
      <c r="J608" s="6">
        <v>1</v>
      </c>
      <c r="K608" s="6"/>
      <c r="L608" s="13" t="s">
        <v>1710</v>
      </c>
      <c r="M608" s="8"/>
      <c r="N608" s="5"/>
      <c r="O608" s="5"/>
      <c r="P608" s="5"/>
      <c r="Q608" s="6">
        <v>1</v>
      </c>
      <c r="R608" s="6" t="s">
        <v>1695</v>
      </c>
      <c r="S608" s="13" t="s">
        <v>1695</v>
      </c>
      <c r="T608" s="6">
        <v>1</v>
      </c>
      <c r="U608" s="7" t="s">
        <v>1737</v>
      </c>
      <c r="V608" s="5"/>
      <c r="W608" s="6"/>
      <c r="X608" s="6" t="s">
        <v>3</v>
      </c>
      <c r="Y608" s="5"/>
      <c r="Z608" s="6">
        <v>0</v>
      </c>
      <c r="AA608" s="6"/>
      <c r="AB608" s="5"/>
      <c r="AC608" s="6"/>
      <c r="AD608" s="6" t="s">
        <v>3</v>
      </c>
      <c r="AE608" s="5"/>
      <c r="AF608" s="6">
        <v>0</v>
      </c>
      <c r="AG608" s="6"/>
      <c r="AH608" s="5"/>
      <c r="AI608" s="6"/>
      <c r="AJ608" s="6"/>
      <c r="AK608" s="5"/>
      <c r="AL608" s="5"/>
      <c r="AM608" s="5"/>
      <c r="AN608" s="5"/>
      <c r="AO608" s="5"/>
      <c r="AP608" s="5"/>
      <c r="AQ608" s="5"/>
    </row>
    <row r="609" spans="1:43" x14ac:dyDescent="0.25">
      <c r="A609" s="161" t="str">
        <f t="shared" si="12"/>
        <v>GREAT_ARTIST_POSTMODERN</v>
      </c>
      <c r="B609" s="9" t="s">
        <v>1312</v>
      </c>
      <c r="C609" s="5"/>
      <c r="D609" s="5"/>
      <c r="E609" s="5" t="s">
        <v>1350</v>
      </c>
      <c r="F609" s="5" t="s">
        <v>1355</v>
      </c>
      <c r="G609" s="5"/>
      <c r="H609" s="5" t="s">
        <v>1450</v>
      </c>
      <c r="I609" s="5" t="s">
        <v>128</v>
      </c>
      <c r="J609" s="6"/>
      <c r="K609" s="6"/>
      <c r="L609" s="13" t="s">
        <v>1710</v>
      </c>
      <c r="M609" s="8"/>
      <c r="N609" s="5"/>
      <c r="O609" s="5"/>
      <c r="P609" s="5"/>
      <c r="Q609" s="6">
        <v>1</v>
      </c>
      <c r="R609" s="6" t="s">
        <v>1695</v>
      </c>
      <c r="S609" s="13" t="s">
        <v>1695</v>
      </c>
      <c r="T609" s="6">
        <v>1</v>
      </c>
      <c r="U609" s="7" t="s">
        <v>1737</v>
      </c>
      <c r="V609" s="5"/>
      <c r="W609" s="6"/>
      <c r="X609" s="6" t="s">
        <v>3</v>
      </c>
      <c r="Y609" s="5"/>
      <c r="Z609" s="7">
        <v>1</v>
      </c>
      <c r="AA609" s="6"/>
      <c r="AB609" s="5"/>
      <c r="AC609" s="6"/>
      <c r="AD609" s="6" t="s">
        <v>3</v>
      </c>
      <c r="AE609" s="5"/>
      <c r="AF609" s="6">
        <v>1</v>
      </c>
      <c r="AG609" s="6"/>
      <c r="AH609" s="5"/>
      <c r="AI609" s="6"/>
      <c r="AJ609" s="6"/>
      <c r="AK609" s="5"/>
      <c r="AL609" s="5"/>
      <c r="AM609" s="5"/>
      <c r="AN609" s="5"/>
      <c r="AO609" s="5"/>
      <c r="AP609" s="5"/>
      <c r="AQ609" s="5"/>
    </row>
    <row r="610" spans="1:43" x14ac:dyDescent="0.25">
      <c r="A610" s="161" t="str">
        <f t="shared" si="12"/>
        <v>GREAT_ARTIST_POSTMODERN</v>
      </c>
      <c r="B610" s="9" t="s">
        <v>1312</v>
      </c>
      <c r="C610" s="5"/>
      <c r="D610" s="5"/>
      <c r="E610" s="5" t="s">
        <v>1350</v>
      </c>
      <c r="F610" s="5" t="s">
        <v>1355</v>
      </c>
      <c r="G610" s="5" t="s">
        <v>2040</v>
      </c>
      <c r="H610" s="5" t="s">
        <v>1448</v>
      </c>
      <c r="I610" s="5" t="s">
        <v>128</v>
      </c>
      <c r="J610" s="6"/>
      <c r="K610" s="6"/>
      <c r="L610" s="13" t="s">
        <v>1710</v>
      </c>
      <c r="M610" s="8"/>
      <c r="N610" s="5"/>
      <c r="O610" s="5"/>
      <c r="P610" s="5"/>
      <c r="Q610" s="6">
        <v>1</v>
      </c>
      <c r="R610" s="6" t="s">
        <v>1695</v>
      </c>
      <c r="S610" s="13" t="s">
        <v>1695</v>
      </c>
      <c r="T610" s="6">
        <v>1</v>
      </c>
      <c r="U610" s="7" t="s">
        <v>1737</v>
      </c>
      <c r="V610" s="5"/>
      <c r="W610" s="6"/>
      <c r="X610" s="6" t="s">
        <v>3</v>
      </c>
      <c r="Y610" s="5"/>
      <c r="Z610" s="7">
        <v>0</v>
      </c>
      <c r="AA610" s="6"/>
      <c r="AB610" s="5"/>
      <c r="AC610" s="6"/>
      <c r="AD610" s="6" t="s">
        <v>3</v>
      </c>
      <c r="AE610" s="5"/>
      <c r="AF610" s="6">
        <v>1</v>
      </c>
      <c r="AG610" s="6"/>
      <c r="AH610" s="5"/>
      <c r="AI610" s="6"/>
      <c r="AJ610" s="6"/>
      <c r="AK610" s="5"/>
      <c r="AL610" s="5"/>
      <c r="AM610" s="5"/>
      <c r="AN610" s="5"/>
      <c r="AO610" s="5"/>
      <c r="AP610" s="5"/>
      <c r="AQ610" s="5"/>
    </row>
    <row r="611" spans="1:43" x14ac:dyDescent="0.25">
      <c r="A611" s="161" t="str">
        <f t="shared" si="12"/>
        <v>GREAT_ARTIST_POSTMODERN</v>
      </c>
      <c r="B611" s="9" t="s">
        <v>1312</v>
      </c>
      <c r="C611" s="5"/>
      <c r="D611" s="5"/>
      <c r="E611" s="5" t="s">
        <v>1350</v>
      </c>
      <c r="F611" s="5" t="s">
        <v>1355</v>
      </c>
      <c r="G611" s="5" t="s">
        <v>2041</v>
      </c>
      <c r="H611" s="5" t="s">
        <v>1449</v>
      </c>
      <c r="I611" s="5" t="s">
        <v>128</v>
      </c>
      <c r="J611" s="6"/>
      <c r="K611" s="6"/>
      <c r="L611" s="13" t="s">
        <v>1710</v>
      </c>
      <c r="M611" s="8"/>
      <c r="N611" s="5"/>
      <c r="O611" s="5"/>
      <c r="P611" s="5"/>
      <c r="Q611" s="6">
        <v>1</v>
      </c>
      <c r="R611" s="6" t="s">
        <v>1695</v>
      </c>
      <c r="S611" s="13" t="s">
        <v>1695</v>
      </c>
      <c r="T611" s="6">
        <v>1</v>
      </c>
      <c r="U611" s="7" t="s">
        <v>1737</v>
      </c>
      <c r="V611" s="5"/>
      <c r="W611" s="6"/>
      <c r="X611" s="6" t="s">
        <v>3</v>
      </c>
      <c r="Y611" s="5"/>
      <c r="Z611" s="7">
        <v>0</v>
      </c>
      <c r="AA611" s="6"/>
      <c r="AB611" s="5"/>
      <c r="AC611" s="6"/>
      <c r="AD611" s="6" t="s">
        <v>3</v>
      </c>
      <c r="AE611" s="5"/>
      <c r="AF611" s="6">
        <v>0</v>
      </c>
      <c r="AG611" s="6"/>
      <c r="AH611" s="5"/>
      <c r="AI611" s="6"/>
      <c r="AJ611" s="6"/>
      <c r="AK611" s="5"/>
      <c r="AL611" s="5"/>
      <c r="AM611" s="5"/>
      <c r="AN611" s="5"/>
      <c r="AO611" s="5"/>
      <c r="AP611" s="5"/>
      <c r="AQ611" s="5"/>
    </row>
    <row r="612" spans="1:43" x14ac:dyDescent="0.25">
      <c r="A612" s="161" t="str">
        <f t="shared" si="12"/>
        <v>GREAT_MUSICIAN</v>
      </c>
      <c r="B612" s="9" t="s">
        <v>2318</v>
      </c>
      <c r="C612" s="5"/>
      <c r="D612" s="5"/>
      <c r="E612" s="5" t="s">
        <v>1351</v>
      </c>
      <c r="F612" s="5" t="s">
        <v>1351</v>
      </c>
      <c r="G612" s="5"/>
      <c r="H612" s="5" t="s">
        <v>1456</v>
      </c>
      <c r="I612" s="5" t="s">
        <v>128</v>
      </c>
      <c r="J612" s="6">
        <v>1</v>
      </c>
      <c r="K612" s="6"/>
      <c r="L612" s="13" t="s">
        <v>1710</v>
      </c>
      <c r="M612" s="8"/>
      <c r="N612" s="5"/>
      <c r="O612" s="5"/>
      <c r="P612" s="5"/>
      <c r="Q612" s="6">
        <v>1</v>
      </c>
      <c r="R612" s="6" t="s">
        <v>1695</v>
      </c>
      <c r="S612" s="13" t="s">
        <v>1614</v>
      </c>
      <c r="T612" s="6">
        <v>1</v>
      </c>
      <c r="U612" s="7" t="s">
        <v>1737</v>
      </c>
      <c r="V612" s="5"/>
      <c r="W612" s="6"/>
      <c r="X612" s="6" t="s">
        <v>3</v>
      </c>
      <c r="Y612" s="5"/>
      <c r="Z612" s="7">
        <v>1</v>
      </c>
      <c r="AA612" s="6"/>
      <c r="AB612" s="5"/>
      <c r="AC612" s="6"/>
      <c r="AD612" s="6" t="s">
        <v>3</v>
      </c>
      <c r="AE612" s="5"/>
      <c r="AF612" s="6">
        <v>1</v>
      </c>
      <c r="AG612" s="6"/>
      <c r="AH612" s="5"/>
      <c r="AI612" s="6"/>
      <c r="AJ612" s="6"/>
      <c r="AK612" s="5"/>
      <c r="AL612" s="5"/>
      <c r="AM612" s="5"/>
      <c r="AN612" s="5"/>
      <c r="AO612" s="5"/>
      <c r="AP612" s="5"/>
      <c r="AQ612" s="5"/>
    </row>
    <row r="613" spans="1:43" x14ac:dyDescent="0.25">
      <c r="A613" s="161" t="str">
        <f t="shared" si="12"/>
        <v>GREAT_MUSICIAN</v>
      </c>
      <c r="B613" s="9" t="s">
        <v>2318</v>
      </c>
      <c r="C613" s="5"/>
      <c r="D613" s="5"/>
      <c r="E613" s="5" t="s">
        <v>1351</v>
      </c>
      <c r="F613" s="5" t="s">
        <v>1351</v>
      </c>
      <c r="G613" s="5" t="s">
        <v>2040</v>
      </c>
      <c r="H613" s="5" t="s">
        <v>1457</v>
      </c>
      <c r="I613" s="5" t="s">
        <v>128</v>
      </c>
      <c r="J613" s="6">
        <v>1</v>
      </c>
      <c r="K613" s="6"/>
      <c r="L613" s="13" t="s">
        <v>1710</v>
      </c>
      <c r="M613" s="8"/>
      <c r="N613" s="5"/>
      <c r="O613" s="5"/>
      <c r="P613" s="5"/>
      <c r="Q613" s="6">
        <v>1</v>
      </c>
      <c r="R613" s="6" t="s">
        <v>1695</v>
      </c>
      <c r="S613" s="13" t="s">
        <v>1614</v>
      </c>
      <c r="T613" s="6">
        <v>1</v>
      </c>
      <c r="U613" s="7" t="s">
        <v>1737</v>
      </c>
      <c r="V613" s="5"/>
      <c r="W613" s="6"/>
      <c r="X613" s="6" t="s">
        <v>3</v>
      </c>
      <c r="Y613" s="5"/>
      <c r="Z613" s="7">
        <v>0</v>
      </c>
      <c r="AA613" s="6"/>
      <c r="AB613" s="5"/>
      <c r="AC613" s="6"/>
      <c r="AD613" s="6" t="s">
        <v>3</v>
      </c>
      <c r="AE613" s="5"/>
      <c r="AF613" s="6">
        <v>1</v>
      </c>
      <c r="AG613" s="6"/>
      <c r="AH613" s="5"/>
      <c r="AI613" s="6"/>
      <c r="AJ613" s="6"/>
      <c r="AK613" s="5"/>
      <c r="AL613" s="5"/>
      <c r="AM613" s="5"/>
      <c r="AN613" s="5"/>
      <c r="AO613" s="5"/>
      <c r="AP613" s="5"/>
      <c r="AQ613" s="5"/>
    </row>
    <row r="614" spans="1:43" x14ac:dyDescent="0.25">
      <c r="A614" s="161" t="str">
        <f t="shared" si="12"/>
        <v>GREAT_MUSICIAN</v>
      </c>
      <c r="B614" s="9" t="s">
        <v>2318</v>
      </c>
      <c r="C614" s="5"/>
      <c r="D614" s="5"/>
      <c r="E614" s="5" t="s">
        <v>1351</v>
      </c>
      <c r="F614" s="5" t="s">
        <v>1351</v>
      </c>
      <c r="G614" s="5" t="s">
        <v>2041</v>
      </c>
      <c r="H614" s="5" t="s">
        <v>1454</v>
      </c>
      <c r="I614" s="5" t="s">
        <v>128</v>
      </c>
      <c r="J614" s="6">
        <v>1</v>
      </c>
      <c r="K614" s="6"/>
      <c r="L614" s="13" t="s">
        <v>1710</v>
      </c>
      <c r="M614" s="8"/>
      <c r="N614" s="5"/>
      <c r="O614" s="5"/>
      <c r="P614" s="5"/>
      <c r="Q614" s="6">
        <v>1</v>
      </c>
      <c r="R614" s="6" t="s">
        <v>1695</v>
      </c>
      <c r="S614" s="13" t="s">
        <v>1614</v>
      </c>
      <c r="T614" s="6">
        <v>1</v>
      </c>
      <c r="U614" s="7" t="s">
        <v>1737</v>
      </c>
      <c r="V614" s="5"/>
      <c r="W614" s="6"/>
      <c r="X614" s="6" t="s">
        <v>3</v>
      </c>
      <c r="Y614" s="5"/>
      <c r="Z614" s="7">
        <v>0</v>
      </c>
      <c r="AA614" s="6"/>
      <c r="AB614" s="5"/>
      <c r="AC614" s="6"/>
      <c r="AD614" s="6" t="s">
        <v>3</v>
      </c>
      <c r="AE614" s="5"/>
      <c r="AF614" s="6">
        <v>0</v>
      </c>
      <c r="AG614" s="6"/>
      <c r="AH614" s="5"/>
      <c r="AI614" s="6"/>
      <c r="AJ614" s="6"/>
      <c r="AK614" s="5"/>
      <c r="AL614" s="5"/>
      <c r="AM614" s="5"/>
      <c r="AN614" s="5"/>
      <c r="AO614" s="5"/>
      <c r="AP614" s="5"/>
      <c r="AQ614" s="5"/>
    </row>
    <row r="615" spans="1:43" x14ac:dyDescent="0.25">
      <c r="A615" s="161" t="str">
        <f t="shared" si="12"/>
        <v>GREAT_MUSICIAN_POSTMODERN</v>
      </c>
      <c r="B615" s="9" t="s">
        <v>2318</v>
      </c>
      <c r="C615" s="5"/>
      <c r="D615" s="5"/>
      <c r="E615" s="5" t="s">
        <v>1352</v>
      </c>
      <c r="F615" s="5" t="s">
        <v>1356</v>
      </c>
      <c r="G615" s="5"/>
      <c r="H615" s="5" t="s">
        <v>1458</v>
      </c>
      <c r="I615" s="5" t="s">
        <v>128</v>
      </c>
      <c r="J615" s="6"/>
      <c r="K615" s="6"/>
      <c r="L615" s="13" t="s">
        <v>1710</v>
      </c>
      <c r="M615" s="8"/>
      <c r="N615" s="5"/>
      <c r="O615" s="5"/>
      <c r="P615" s="5"/>
      <c r="Q615" s="6">
        <v>1</v>
      </c>
      <c r="R615" s="6">
        <v>0.125</v>
      </c>
      <c r="S615" s="13" t="s">
        <v>1614</v>
      </c>
      <c r="T615" s="6">
        <v>1</v>
      </c>
      <c r="U615" s="7" t="s">
        <v>1737</v>
      </c>
      <c r="V615" s="5"/>
      <c r="W615" s="6"/>
      <c r="X615" s="6" t="s">
        <v>3</v>
      </c>
      <c r="Y615" s="5"/>
      <c r="Z615" s="7">
        <v>1</v>
      </c>
      <c r="AA615" s="6"/>
      <c r="AB615" s="5"/>
      <c r="AC615" s="6"/>
      <c r="AD615" s="6" t="s">
        <v>3</v>
      </c>
      <c r="AE615" s="5"/>
      <c r="AF615" s="6">
        <v>1</v>
      </c>
      <c r="AG615" s="6"/>
      <c r="AH615" s="5"/>
      <c r="AI615" s="6"/>
      <c r="AJ615" s="6"/>
      <c r="AK615" s="5"/>
      <c r="AL615" s="5"/>
      <c r="AM615" s="5"/>
      <c r="AN615" s="5"/>
      <c r="AO615" s="5"/>
      <c r="AP615" s="5"/>
      <c r="AQ615" s="5"/>
    </row>
    <row r="616" spans="1:43" x14ac:dyDescent="0.25">
      <c r="A616" s="161" t="str">
        <f t="shared" si="12"/>
        <v>GREAT_MUSICIAN_POSTMODERN</v>
      </c>
      <c r="B616" s="9" t="s">
        <v>2318</v>
      </c>
      <c r="C616" s="5"/>
      <c r="D616" s="5"/>
      <c r="E616" s="5" t="s">
        <v>1352</v>
      </c>
      <c r="F616" s="5" t="s">
        <v>1356</v>
      </c>
      <c r="G616" s="5" t="s">
        <v>2040</v>
      </c>
      <c r="H616" s="5" t="s">
        <v>1459</v>
      </c>
      <c r="I616" s="5" t="s">
        <v>128</v>
      </c>
      <c r="J616" s="6"/>
      <c r="K616" s="6"/>
      <c r="L616" s="13" t="s">
        <v>1710</v>
      </c>
      <c r="M616" s="8"/>
      <c r="N616" s="5"/>
      <c r="O616" s="5"/>
      <c r="P616" s="5"/>
      <c r="Q616" s="6">
        <v>1</v>
      </c>
      <c r="R616" s="6">
        <v>0.125</v>
      </c>
      <c r="S616" s="13" t="s">
        <v>1614</v>
      </c>
      <c r="T616" s="6">
        <v>1</v>
      </c>
      <c r="U616" s="7" t="s">
        <v>1737</v>
      </c>
      <c r="V616" s="5"/>
      <c r="W616" s="6"/>
      <c r="X616" s="6" t="s">
        <v>3</v>
      </c>
      <c r="Y616" s="5"/>
      <c r="Z616" s="7">
        <v>0</v>
      </c>
      <c r="AA616" s="6"/>
      <c r="AB616" s="5"/>
      <c r="AC616" s="6"/>
      <c r="AD616" s="6" t="s">
        <v>3</v>
      </c>
      <c r="AE616" s="5"/>
      <c r="AF616" s="6">
        <v>1</v>
      </c>
      <c r="AG616" s="6"/>
      <c r="AH616" s="5"/>
      <c r="AI616" s="6"/>
      <c r="AJ616" s="6"/>
      <c r="AK616" s="5"/>
      <c r="AL616" s="5"/>
      <c r="AM616" s="5"/>
      <c r="AN616" s="5"/>
      <c r="AO616" s="5"/>
      <c r="AP616" s="5"/>
      <c r="AQ616" s="5"/>
    </row>
    <row r="617" spans="1:43" x14ac:dyDescent="0.25">
      <c r="A617" s="161" t="str">
        <f t="shared" si="12"/>
        <v>GREAT_MUSICIAN_POSTMODERN</v>
      </c>
      <c r="B617" s="9" t="s">
        <v>2318</v>
      </c>
      <c r="C617" s="5"/>
      <c r="D617" s="5"/>
      <c r="E617" s="5" t="s">
        <v>1352</v>
      </c>
      <c r="F617" s="5" t="s">
        <v>1356</v>
      </c>
      <c r="G617" s="5" t="s">
        <v>2041</v>
      </c>
      <c r="H617" s="5" t="s">
        <v>1455</v>
      </c>
      <c r="I617" s="5" t="s">
        <v>128</v>
      </c>
      <c r="J617" s="6"/>
      <c r="K617" s="6"/>
      <c r="L617" s="13" t="s">
        <v>1710</v>
      </c>
      <c r="M617" s="8"/>
      <c r="N617" s="5"/>
      <c r="O617" s="5"/>
      <c r="P617" s="5"/>
      <c r="Q617" s="6">
        <v>1</v>
      </c>
      <c r="R617" s="6">
        <v>0.125</v>
      </c>
      <c r="S617" s="13" t="s">
        <v>1614</v>
      </c>
      <c r="T617" s="6">
        <v>1</v>
      </c>
      <c r="U617" s="7" t="s">
        <v>1737</v>
      </c>
      <c r="V617" s="5"/>
      <c r="W617" s="6"/>
      <c r="X617" s="6" t="s">
        <v>3</v>
      </c>
      <c r="Y617" s="5"/>
      <c r="Z617" s="7">
        <v>0</v>
      </c>
      <c r="AA617" s="6"/>
      <c r="AB617" s="5"/>
      <c r="AC617" s="6"/>
      <c r="AD617" s="6" t="s">
        <v>3</v>
      </c>
      <c r="AE617" s="5"/>
      <c r="AF617" s="6">
        <v>0</v>
      </c>
      <c r="AG617" s="6"/>
      <c r="AH617" s="5"/>
      <c r="AI617" s="6"/>
      <c r="AJ617" s="6"/>
      <c r="AK617" s="5"/>
      <c r="AL617" s="5"/>
      <c r="AM617" s="5"/>
      <c r="AN617" s="5"/>
      <c r="AO617" s="5"/>
      <c r="AP617" s="5"/>
      <c r="AQ617" s="5"/>
    </row>
    <row r="618" spans="1:43" x14ac:dyDescent="0.25">
      <c r="A618" s="161" t="str">
        <f t="shared" si="12"/>
        <v>GREAT_PROPHET</v>
      </c>
      <c r="B618" s="9" t="s">
        <v>2319</v>
      </c>
      <c r="C618" s="5"/>
      <c r="D618" s="5"/>
      <c r="E618" s="5" t="s">
        <v>756</v>
      </c>
      <c r="F618" s="5" t="s">
        <v>756</v>
      </c>
      <c r="G618" s="5"/>
      <c r="H618" s="5" t="s">
        <v>1113</v>
      </c>
      <c r="I618" s="5" t="s">
        <v>128</v>
      </c>
      <c r="J618" s="6">
        <v>1</v>
      </c>
      <c r="K618" s="6"/>
      <c r="L618" s="13" t="s">
        <v>1710</v>
      </c>
      <c r="M618" s="8"/>
      <c r="N618" s="5"/>
      <c r="O618" s="5"/>
      <c r="P618" s="5"/>
      <c r="Q618" s="6">
        <v>1</v>
      </c>
      <c r="R618" s="6" t="s">
        <v>1695</v>
      </c>
      <c r="S618" s="13" t="s">
        <v>1614</v>
      </c>
      <c r="T618" s="6">
        <v>1</v>
      </c>
      <c r="U618" s="7" t="s">
        <v>1737</v>
      </c>
      <c r="V618" s="5"/>
      <c r="W618" s="6"/>
      <c r="X618" s="6" t="s">
        <v>3</v>
      </c>
      <c r="Y618" s="5"/>
      <c r="Z618" s="7">
        <v>1</v>
      </c>
      <c r="AA618" s="6"/>
      <c r="AB618" s="5"/>
      <c r="AC618" s="6"/>
      <c r="AD618" s="6" t="s">
        <v>3</v>
      </c>
      <c r="AE618" s="5"/>
      <c r="AF618" s="6">
        <v>1</v>
      </c>
      <c r="AG618" s="6"/>
      <c r="AH618" s="5"/>
      <c r="AI618" s="6"/>
      <c r="AJ618" s="6"/>
      <c r="AK618" s="5"/>
      <c r="AL618" s="5"/>
      <c r="AM618" s="5"/>
      <c r="AN618" s="5"/>
      <c r="AO618" s="5"/>
      <c r="AP618" s="5"/>
      <c r="AQ618" s="5"/>
    </row>
    <row r="619" spans="1:43" x14ac:dyDescent="0.25">
      <c r="A619" s="161" t="str">
        <f t="shared" si="12"/>
        <v>GREAT_PROPHET</v>
      </c>
      <c r="B619" s="9" t="s">
        <v>2319</v>
      </c>
      <c r="C619" s="5"/>
      <c r="D619" s="5"/>
      <c r="E619" s="5" t="s">
        <v>756</v>
      </c>
      <c r="F619" s="5" t="s">
        <v>756</v>
      </c>
      <c r="G619" s="5" t="s">
        <v>2056</v>
      </c>
      <c r="H619" s="5" t="s">
        <v>1460</v>
      </c>
      <c r="I619" s="5" t="s">
        <v>128</v>
      </c>
      <c r="J619" s="6">
        <v>1</v>
      </c>
      <c r="K619" s="6"/>
      <c r="L619" s="13" t="s">
        <v>1710</v>
      </c>
      <c r="M619" s="8"/>
      <c r="N619" s="5"/>
      <c r="O619" s="5"/>
      <c r="P619" s="5"/>
      <c r="Q619" s="6">
        <v>1</v>
      </c>
      <c r="R619" s="6" t="s">
        <v>1695</v>
      </c>
      <c r="S619" s="13" t="s">
        <v>1614</v>
      </c>
      <c r="T619" s="6">
        <v>1</v>
      </c>
      <c r="U619" s="7" t="s">
        <v>1695</v>
      </c>
      <c r="V619" s="5"/>
      <c r="W619" s="6"/>
      <c r="X619" s="6" t="s">
        <v>3</v>
      </c>
      <c r="Y619" s="5"/>
      <c r="Z619" s="7">
        <v>0</v>
      </c>
      <c r="AA619" s="6"/>
      <c r="AB619" s="5"/>
      <c r="AC619" s="6"/>
      <c r="AD619" s="6" t="s">
        <v>3</v>
      </c>
      <c r="AE619" s="5"/>
      <c r="AF619" s="6">
        <v>1</v>
      </c>
      <c r="AG619" s="6"/>
      <c r="AH619" s="5"/>
      <c r="AI619" s="6"/>
      <c r="AJ619" s="6"/>
      <c r="AK619" s="5"/>
      <c r="AL619" s="5"/>
      <c r="AM619" s="5"/>
      <c r="AN619" s="5"/>
      <c r="AO619" s="5"/>
      <c r="AP619" s="5"/>
      <c r="AQ619" s="5"/>
    </row>
    <row r="620" spans="1:43" x14ac:dyDescent="0.25">
      <c r="A620" s="161" t="str">
        <f t="shared" si="12"/>
        <v>GREAT_PROPHET</v>
      </c>
      <c r="B620" s="9" t="s">
        <v>2319</v>
      </c>
      <c r="C620" s="5"/>
      <c r="D620" s="5"/>
      <c r="E620" s="5" t="s">
        <v>756</v>
      </c>
      <c r="F620" s="5" t="s">
        <v>756</v>
      </c>
      <c r="G620" s="5" t="s">
        <v>2057</v>
      </c>
      <c r="H620" s="5" t="s">
        <v>1461</v>
      </c>
      <c r="I620" s="5" t="s">
        <v>128</v>
      </c>
      <c r="J620" s="6">
        <v>1</v>
      </c>
      <c r="K620" s="6"/>
      <c r="L620" s="13" t="s">
        <v>1710</v>
      </c>
      <c r="M620" s="8"/>
      <c r="N620" s="5"/>
      <c r="O620" s="5"/>
      <c r="P620" s="5"/>
      <c r="Q620" s="6">
        <v>1</v>
      </c>
      <c r="R620" s="6" t="s">
        <v>1695</v>
      </c>
      <c r="S620" s="13" t="s">
        <v>1614</v>
      </c>
      <c r="T620" s="6">
        <v>1</v>
      </c>
      <c r="U620" s="7" t="s">
        <v>1737</v>
      </c>
      <c r="V620" s="5"/>
      <c r="W620" s="6"/>
      <c r="X620" s="6" t="s">
        <v>3</v>
      </c>
      <c r="Y620" s="5"/>
      <c r="Z620" s="7">
        <v>0</v>
      </c>
      <c r="AA620" s="6"/>
      <c r="AB620" s="5"/>
      <c r="AC620" s="6"/>
      <c r="AD620" s="6" t="s">
        <v>3</v>
      </c>
      <c r="AE620" s="5"/>
      <c r="AF620" s="6">
        <v>0</v>
      </c>
      <c r="AG620" s="6"/>
      <c r="AH620" s="5"/>
      <c r="AI620" s="6"/>
      <c r="AJ620" s="6"/>
      <c r="AK620" s="5"/>
      <c r="AL620" s="5"/>
      <c r="AM620" s="5"/>
      <c r="AN620" s="5"/>
      <c r="AO620" s="5"/>
      <c r="AP620" s="5"/>
      <c r="AQ620" s="5"/>
    </row>
    <row r="621" spans="1:43" x14ac:dyDescent="0.25">
      <c r="A621" s="161" t="str">
        <f>CONCATENATE(E621,IF(ISBLANK(C621),"",CONCATENATE("_",C621)))</f>
        <v>GREAT_PROPHET_RENAISSANCE</v>
      </c>
      <c r="B621" s="9" t="s">
        <v>2319</v>
      </c>
      <c r="C621" s="5"/>
      <c r="D621" s="5"/>
      <c r="E621" s="5" t="s">
        <v>2127</v>
      </c>
      <c r="F621" s="5" t="s">
        <v>756</v>
      </c>
      <c r="G621" s="5"/>
      <c r="H621" s="5" t="s">
        <v>1113</v>
      </c>
      <c r="I621" s="5" t="s">
        <v>128</v>
      </c>
      <c r="J621" s="6"/>
      <c r="K621" s="6"/>
      <c r="L621" s="13" t="s">
        <v>1710</v>
      </c>
      <c r="M621" s="8"/>
      <c r="N621" s="5"/>
      <c r="O621" s="5"/>
      <c r="P621" s="5"/>
      <c r="Q621" s="6">
        <v>1</v>
      </c>
      <c r="R621" s="6" t="s">
        <v>1695</v>
      </c>
      <c r="S621" s="13" t="s">
        <v>1614</v>
      </c>
      <c r="T621" s="6">
        <v>1</v>
      </c>
      <c r="U621" s="7" t="s">
        <v>1737</v>
      </c>
      <c r="V621" s="5"/>
      <c r="W621" s="6"/>
      <c r="X621" s="6" t="s">
        <v>3</v>
      </c>
      <c r="Y621" s="5"/>
      <c r="Z621" s="7">
        <v>1</v>
      </c>
      <c r="AA621" s="6"/>
      <c r="AB621" s="5"/>
      <c r="AC621" s="6"/>
      <c r="AD621" s="6" t="s">
        <v>3</v>
      </c>
      <c r="AE621" s="5"/>
      <c r="AF621" s="6">
        <v>1</v>
      </c>
      <c r="AG621" s="6"/>
      <c r="AH621" s="5"/>
      <c r="AI621" s="6"/>
      <c r="AJ621" s="6"/>
      <c r="AK621" s="5"/>
      <c r="AL621" s="5"/>
      <c r="AM621" s="5"/>
      <c r="AN621" s="5"/>
      <c r="AO621" s="5"/>
      <c r="AP621" s="5"/>
      <c r="AQ621" s="5"/>
    </row>
    <row r="622" spans="1:43" x14ac:dyDescent="0.25">
      <c r="A622" s="161" t="str">
        <f>CONCATENATE(E622,IF(ISBLANK(C622),"",CONCATENATE("_",C622)))</f>
        <v>GREAT_PROPHET_RENAISSANCE</v>
      </c>
      <c r="B622" s="9" t="s">
        <v>2319</v>
      </c>
      <c r="C622" s="5"/>
      <c r="D622" s="5"/>
      <c r="E622" s="5" t="s">
        <v>2127</v>
      </c>
      <c r="F622" s="5" t="s">
        <v>756</v>
      </c>
      <c r="G622" s="5" t="s">
        <v>2056</v>
      </c>
      <c r="H622" s="5" t="s">
        <v>1460</v>
      </c>
      <c r="I622" s="5" t="s">
        <v>128</v>
      </c>
      <c r="J622" s="6"/>
      <c r="K622" s="6"/>
      <c r="L622" s="13" t="s">
        <v>1710</v>
      </c>
      <c r="M622" s="8"/>
      <c r="N622" s="5"/>
      <c r="O622" s="5"/>
      <c r="P622" s="5"/>
      <c r="Q622" s="6">
        <v>1</v>
      </c>
      <c r="R622" s="6" t="s">
        <v>1695</v>
      </c>
      <c r="S622" s="13" t="s">
        <v>1614</v>
      </c>
      <c r="T622" s="6">
        <v>1</v>
      </c>
      <c r="U622" s="7" t="s">
        <v>1695</v>
      </c>
      <c r="V622" s="5"/>
      <c r="W622" s="6"/>
      <c r="X622" s="6" t="s">
        <v>3</v>
      </c>
      <c r="Y622" s="5"/>
      <c r="Z622" s="7">
        <v>0</v>
      </c>
      <c r="AA622" s="6"/>
      <c r="AB622" s="5"/>
      <c r="AC622" s="6"/>
      <c r="AD622" s="6" t="s">
        <v>3</v>
      </c>
      <c r="AE622" s="5"/>
      <c r="AF622" s="6">
        <v>1</v>
      </c>
      <c r="AG622" s="6"/>
      <c r="AH622" s="5"/>
      <c r="AI622" s="6"/>
      <c r="AJ622" s="6"/>
      <c r="AK622" s="5"/>
      <c r="AL622" s="5"/>
      <c r="AM622" s="5"/>
      <c r="AN622" s="5"/>
      <c r="AO622" s="5"/>
      <c r="AP622" s="5"/>
      <c r="AQ622" s="5"/>
    </row>
    <row r="623" spans="1:43" x14ac:dyDescent="0.25">
      <c r="A623" s="161" t="str">
        <f>CONCATENATE(E623,IF(ISBLANK(C623),"",CONCATENATE("_",C623)))</f>
        <v>GREAT_PROPHET_RENAISSANCE</v>
      </c>
      <c r="B623" s="9" t="s">
        <v>2319</v>
      </c>
      <c r="C623" s="5"/>
      <c r="D623" s="5"/>
      <c r="E623" s="5" t="s">
        <v>2127</v>
      </c>
      <c r="F623" s="5" t="s">
        <v>756</v>
      </c>
      <c r="G623" s="5" t="s">
        <v>2057</v>
      </c>
      <c r="H623" s="5" t="s">
        <v>1461</v>
      </c>
      <c r="I623" s="5" t="s">
        <v>128</v>
      </c>
      <c r="J623" s="6"/>
      <c r="K623" s="6"/>
      <c r="L623" s="13" t="s">
        <v>1710</v>
      </c>
      <c r="M623" s="8"/>
      <c r="N623" s="5"/>
      <c r="O623" s="5"/>
      <c r="P623" s="5"/>
      <c r="Q623" s="6">
        <v>1</v>
      </c>
      <c r="R623" s="6" t="s">
        <v>1695</v>
      </c>
      <c r="S623" s="13" t="s">
        <v>1614</v>
      </c>
      <c r="T623" s="6">
        <v>1</v>
      </c>
      <c r="U623" s="7" t="s">
        <v>1737</v>
      </c>
      <c r="V623" s="5"/>
      <c r="W623" s="6"/>
      <c r="X623" s="6" t="s">
        <v>3</v>
      </c>
      <c r="Y623" s="5"/>
      <c r="Z623" s="7">
        <v>0</v>
      </c>
      <c r="AA623" s="6"/>
      <c r="AB623" s="5"/>
      <c r="AC623" s="6"/>
      <c r="AD623" s="6" t="s">
        <v>3</v>
      </c>
      <c r="AE623" s="5"/>
      <c r="AF623" s="6">
        <v>0</v>
      </c>
      <c r="AG623" s="6"/>
      <c r="AH623" s="5"/>
      <c r="AI623" s="6"/>
      <c r="AJ623" s="6"/>
      <c r="AK623" s="5"/>
      <c r="AL623" s="5"/>
      <c r="AM623" s="5"/>
      <c r="AN623" s="5"/>
      <c r="AO623" s="5"/>
      <c r="AP623" s="5"/>
      <c r="AQ623" s="5"/>
    </row>
    <row r="624" spans="1:43" x14ac:dyDescent="0.25">
      <c r="A624" s="161" t="str">
        <f t="shared" si="12"/>
        <v>GREAT_WRITER</v>
      </c>
      <c r="B624" s="9" t="s">
        <v>2320</v>
      </c>
      <c r="C624" s="5"/>
      <c r="D624" s="5"/>
      <c r="E624" s="5" t="s">
        <v>1353</v>
      </c>
      <c r="F624" s="5" t="s">
        <v>1353</v>
      </c>
      <c r="G624" s="5"/>
      <c r="H624" s="5" t="s">
        <v>1462</v>
      </c>
      <c r="I624" s="5" t="s">
        <v>128</v>
      </c>
      <c r="J624" s="6">
        <v>1</v>
      </c>
      <c r="K624" s="6"/>
      <c r="L624" s="13" t="s">
        <v>1710</v>
      </c>
      <c r="M624" s="8"/>
      <c r="N624" s="5"/>
      <c r="O624" s="5"/>
      <c r="P624" s="5"/>
      <c r="Q624" s="6">
        <v>1</v>
      </c>
      <c r="R624" s="6" t="s">
        <v>1695</v>
      </c>
      <c r="S624" s="13" t="s">
        <v>1695</v>
      </c>
      <c r="T624" s="6">
        <v>1</v>
      </c>
      <c r="U624" s="7" t="s">
        <v>1737</v>
      </c>
      <c r="V624" s="5"/>
      <c r="W624" s="6"/>
      <c r="X624" s="6" t="s">
        <v>3</v>
      </c>
      <c r="Y624" s="5"/>
      <c r="Z624" s="7">
        <v>1</v>
      </c>
      <c r="AA624" s="6"/>
      <c r="AB624" s="5"/>
      <c r="AC624" s="6"/>
      <c r="AD624" s="6" t="s">
        <v>3</v>
      </c>
      <c r="AE624" s="5"/>
      <c r="AF624" s="6">
        <v>1</v>
      </c>
      <c r="AG624" s="6"/>
      <c r="AH624" s="5"/>
      <c r="AI624" s="6"/>
      <c r="AJ624" s="6"/>
      <c r="AK624" s="5"/>
      <c r="AL624" s="5"/>
      <c r="AM624" s="5"/>
      <c r="AN624" s="5"/>
      <c r="AO624" s="5"/>
      <c r="AP624" s="5"/>
      <c r="AQ624" s="5"/>
    </row>
    <row r="625" spans="1:43" x14ac:dyDescent="0.25">
      <c r="A625" s="161" t="str">
        <f t="shared" si="12"/>
        <v>GREAT_WRITER</v>
      </c>
      <c r="B625" s="9" t="s">
        <v>2320</v>
      </c>
      <c r="C625" s="5"/>
      <c r="D625" s="5"/>
      <c r="E625" s="5" t="s">
        <v>1353</v>
      </c>
      <c r="F625" s="5" t="s">
        <v>1353</v>
      </c>
      <c r="G625" s="5" t="s">
        <v>2040</v>
      </c>
      <c r="H625" s="5" t="s">
        <v>1463</v>
      </c>
      <c r="I625" s="5" t="s">
        <v>128</v>
      </c>
      <c r="J625" s="6">
        <v>1</v>
      </c>
      <c r="K625" s="6"/>
      <c r="L625" s="13" t="s">
        <v>1710</v>
      </c>
      <c r="M625" s="8"/>
      <c r="N625" s="5"/>
      <c r="O625" s="5"/>
      <c r="P625" s="5"/>
      <c r="Q625" s="6">
        <v>1</v>
      </c>
      <c r="R625" s="6" t="s">
        <v>1695</v>
      </c>
      <c r="S625" s="13" t="s">
        <v>1695</v>
      </c>
      <c r="T625" s="6">
        <v>1</v>
      </c>
      <c r="U625" s="7" t="s">
        <v>1737</v>
      </c>
      <c r="V625" s="5"/>
      <c r="W625" s="6"/>
      <c r="X625" s="6" t="s">
        <v>3</v>
      </c>
      <c r="Y625" s="5"/>
      <c r="Z625" s="7">
        <v>0</v>
      </c>
      <c r="AA625" s="6"/>
      <c r="AB625" s="5"/>
      <c r="AC625" s="6"/>
      <c r="AD625" s="6" t="s">
        <v>3</v>
      </c>
      <c r="AE625" s="5"/>
      <c r="AF625" s="6">
        <v>1</v>
      </c>
      <c r="AG625" s="6"/>
      <c r="AH625" s="5"/>
      <c r="AI625" s="6"/>
      <c r="AJ625" s="6"/>
      <c r="AK625" s="5"/>
      <c r="AL625" s="5"/>
      <c r="AM625" s="5"/>
      <c r="AN625" s="5"/>
      <c r="AO625" s="5"/>
      <c r="AP625" s="5"/>
      <c r="AQ625" s="5"/>
    </row>
    <row r="626" spans="1:43" x14ac:dyDescent="0.25">
      <c r="A626" s="161" t="str">
        <f t="shared" si="12"/>
        <v>GREAT_WRITER</v>
      </c>
      <c r="B626" s="9" t="s">
        <v>2320</v>
      </c>
      <c r="C626" s="5"/>
      <c r="D626" s="5"/>
      <c r="E626" s="5" t="s">
        <v>1353</v>
      </c>
      <c r="F626" s="5" t="s">
        <v>1353</v>
      </c>
      <c r="G626" s="5" t="s">
        <v>2041</v>
      </c>
      <c r="H626" s="5" t="s">
        <v>1464</v>
      </c>
      <c r="I626" s="5" t="s">
        <v>128</v>
      </c>
      <c r="J626" s="6">
        <v>1</v>
      </c>
      <c r="K626" s="6"/>
      <c r="L626" s="13" t="s">
        <v>1710</v>
      </c>
      <c r="M626" s="8"/>
      <c r="N626" s="5"/>
      <c r="O626" s="5"/>
      <c r="P626" s="5"/>
      <c r="Q626" s="6">
        <v>1</v>
      </c>
      <c r="R626" s="6" t="s">
        <v>1695</v>
      </c>
      <c r="S626" s="13" t="s">
        <v>1695</v>
      </c>
      <c r="T626" s="6">
        <v>1</v>
      </c>
      <c r="U626" s="7" t="s">
        <v>1737</v>
      </c>
      <c r="V626" s="5"/>
      <c r="W626" s="6"/>
      <c r="X626" s="6" t="s">
        <v>3</v>
      </c>
      <c r="Y626" s="5"/>
      <c r="Z626" s="7">
        <v>0</v>
      </c>
      <c r="AA626" s="6"/>
      <c r="AB626" s="5"/>
      <c r="AC626" s="6"/>
      <c r="AD626" s="6" t="s">
        <v>3</v>
      </c>
      <c r="AE626" s="5"/>
      <c r="AF626" s="6">
        <v>0</v>
      </c>
      <c r="AG626" s="6"/>
      <c r="AH626" s="5"/>
      <c r="AI626" s="6"/>
      <c r="AJ626" s="6"/>
      <c r="AK626" s="5"/>
      <c r="AL626" s="5"/>
      <c r="AM626" s="5"/>
      <c r="AN626" s="5"/>
      <c r="AO626" s="5"/>
      <c r="AP626" s="5"/>
      <c r="AQ626" s="5"/>
    </row>
    <row r="627" spans="1:43" x14ac:dyDescent="0.25">
      <c r="A627" s="161" t="str">
        <f t="shared" si="12"/>
        <v>GREAT_WRITER_POSTMODERN</v>
      </c>
      <c r="B627" s="9" t="s">
        <v>2320</v>
      </c>
      <c r="C627" s="5"/>
      <c r="D627" s="5"/>
      <c r="E627" s="5" t="s">
        <v>1354</v>
      </c>
      <c r="F627" s="5" t="s">
        <v>1357</v>
      </c>
      <c r="G627" s="5"/>
      <c r="H627" s="5" t="s">
        <v>1466</v>
      </c>
      <c r="I627" s="5" t="s">
        <v>128</v>
      </c>
      <c r="J627" s="6"/>
      <c r="K627" s="6"/>
      <c r="L627" s="13" t="s">
        <v>1710</v>
      </c>
      <c r="M627" s="8"/>
      <c r="N627" s="5"/>
      <c r="O627" s="5"/>
      <c r="P627" s="5"/>
      <c r="Q627" s="6">
        <v>1</v>
      </c>
      <c r="R627" s="6">
        <v>0.125</v>
      </c>
      <c r="S627" s="13" t="s">
        <v>1695</v>
      </c>
      <c r="T627" s="6">
        <v>1</v>
      </c>
      <c r="U627" s="7" t="s">
        <v>1737</v>
      </c>
      <c r="V627" s="5"/>
      <c r="W627" s="6"/>
      <c r="X627" s="6" t="s">
        <v>3</v>
      </c>
      <c r="Y627" s="5"/>
      <c r="Z627" s="7">
        <v>1</v>
      </c>
      <c r="AA627" s="6"/>
      <c r="AB627" s="5"/>
      <c r="AC627" s="6"/>
      <c r="AD627" s="6" t="s">
        <v>3</v>
      </c>
      <c r="AE627" s="5"/>
      <c r="AF627" s="6">
        <v>1</v>
      </c>
      <c r="AG627" s="6"/>
      <c r="AH627" s="5"/>
      <c r="AI627" s="6"/>
      <c r="AJ627" s="6"/>
      <c r="AK627" s="5"/>
      <c r="AL627" s="5"/>
      <c r="AM627" s="5"/>
      <c r="AN627" s="5"/>
      <c r="AO627" s="5"/>
      <c r="AP627" s="5"/>
      <c r="AQ627" s="5"/>
    </row>
    <row r="628" spans="1:43" x14ac:dyDescent="0.25">
      <c r="A628" s="161" t="str">
        <f t="shared" si="12"/>
        <v>GREAT_WRITER_POSTMODERN</v>
      </c>
      <c r="B628" s="9" t="s">
        <v>2320</v>
      </c>
      <c r="C628" s="5"/>
      <c r="D628" s="5"/>
      <c r="E628" s="5" t="s">
        <v>1354</v>
      </c>
      <c r="F628" s="5" t="s">
        <v>1357</v>
      </c>
      <c r="G628" s="5" t="s">
        <v>2040</v>
      </c>
      <c r="H628" s="5" t="s">
        <v>1467</v>
      </c>
      <c r="I628" s="5" t="s">
        <v>128</v>
      </c>
      <c r="J628" s="6"/>
      <c r="K628" s="6"/>
      <c r="L628" s="13" t="s">
        <v>1710</v>
      </c>
      <c r="M628" s="8"/>
      <c r="N628" s="5"/>
      <c r="O628" s="5"/>
      <c r="P628" s="5"/>
      <c r="Q628" s="6">
        <v>1</v>
      </c>
      <c r="R628" s="6">
        <v>0.125</v>
      </c>
      <c r="S628" s="13" t="s">
        <v>1695</v>
      </c>
      <c r="T628" s="6">
        <v>1</v>
      </c>
      <c r="U628" s="7" t="s">
        <v>1737</v>
      </c>
      <c r="V628" s="5"/>
      <c r="W628" s="6"/>
      <c r="X628" s="6" t="s">
        <v>3</v>
      </c>
      <c r="Y628" s="5"/>
      <c r="Z628" s="7">
        <v>0</v>
      </c>
      <c r="AA628" s="6"/>
      <c r="AB628" s="5"/>
      <c r="AC628" s="6"/>
      <c r="AD628" s="6" t="s">
        <v>3</v>
      </c>
      <c r="AE628" s="5"/>
      <c r="AF628" s="6">
        <v>1</v>
      </c>
      <c r="AG628" s="6"/>
      <c r="AH628" s="5"/>
      <c r="AI628" s="6"/>
      <c r="AJ628" s="6"/>
      <c r="AK628" s="5"/>
      <c r="AL628" s="5"/>
      <c r="AM628" s="5"/>
      <c r="AN628" s="5"/>
      <c r="AO628" s="5"/>
      <c r="AP628" s="5"/>
      <c r="AQ628" s="5"/>
    </row>
    <row r="629" spans="1:43" x14ac:dyDescent="0.25">
      <c r="A629" s="161" t="str">
        <f t="shared" si="12"/>
        <v>GREAT_WRITER_POSTMODERN</v>
      </c>
      <c r="B629" s="9" t="s">
        <v>2320</v>
      </c>
      <c r="C629" s="5"/>
      <c r="D629" s="5"/>
      <c r="E629" s="5" t="s">
        <v>1354</v>
      </c>
      <c r="F629" s="5" t="s">
        <v>1357</v>
      </c>
      <c r="G629" s="5" t="s">
        <v>2041</v>
      </c>
      <c r="H629" s="5" t="s">
        <v>1465</v>
      </c>
      <c r="I629" s="5" t="s">
        <v>128</v>
      </c>
      <c r="J629" s="6"/>
      <c r="K629" s="6"/>
      <c r="L629" s="13" t="s">
        <v>1710</v>
      </c>
      <c r="M629" s="8"/>
      <c r="N629" s="5"/>
      <c r="O629" s="5"/>
      <c r="P629" s="5"/>
      <c r="Q629" s="6">
        <v>1</v>
      </c>
      <c r="R629" s="6">
        <v>0.125</v>
      </c>
      <c r="S629" s="13" t="s">
        <v>1695</v>
      </c>
      <c r="T629" s="6">
        <v>1</v>
      </c>
      <c r="U629" s="7" t="s">
        <v>1737</v>
      </c>
      <c r="V629" s="5"/>
      <c r="W629" s="6"/>
      <c r="X629" s="6" t="s">
        <v>3</v>
      </c>
      <c r="Y629" s="5"/>
      <c r="Z629" s="7">
        <v>0</v>
      </c>
      <c r="AA629" s="6"/>
      <c r="AB629" s="5"/>
      <c r="AC629" s="6"/>
      <c r="AD629" s="6" t="s">
        <v>3</v>
      </c>
      <c r="AE629" s="5"/>
      <c r="AF629" s="6">
        <v>0</v>
      </c>
      <c r="AG629" s="6"/>
      <c r="AH629" s="5"/>
      <c r="AI629" s="6"/>
      <c r="AJ629" s="6"/>
      <c r="AK629" s="5"/>
      <c r="AL629" s="5"/>
      <c r="AM629" s="5"/>
      <c r="AN629" s="5"/>
      <c r="AO629" s="5"/>
      <c r="AP629" s="5"/>
      <c r="AQ629" s="5"/>
    </row>
    <row r="630" spans="1:43" x14ac:dyDescent="0.25">
      <c r="A630" s="161" t="str">
        <f t="shared" si="12"/>
        <v>GUIDED_MISSILE</v>
      </c>
      <c r="B630" s="9" t="s">
        <v>757</v>
      </c>
      <c r="C630" s="5"/>
      <c r="D630" s="5"/>
      <c r="E630" s="5" t="s">
        <v>757</v>
      </c>
      <c r="F630" s="5" t="s">
        <v>792</v>
      </c>
      <c r="G630" s="5"/>
      <c r="H630" s="5" t="s">
        <v>1483</v>
      </c>
      <c r="I630" s="5" t="s">
        <v>128</v>
      </c>
      <c r="J630" s="6"/>
      <c r="K630" s="7"/>
      <c r="L630" s="13" t="s">
        <v>1711</v>
      </c>
      <c r="M630" s="8"/>
      <c r="N630" s="13" t="s">
        <v>1725</v>
      </c>
      <c r="O630" s="13"/>
      <c r="P630" s="13"/>
      <c r="Q630" s="7">
        <v>1</v>
      </c>
      <c r="R630" s="6" t="s">
        <v>1737</v>
      </c>
      <c r="S630" s="5"/>
      <c r="T630" s="6"/>
      <c r="U630" s="6"/>
      <c r="V630" s="5"/>
      <c r="W630" s="6"/>
      <c r="X630" s="6" t="s">
        <v>3</v>
      </c>
      <c r="Y630" s="5"/>
      <c r="Z630" s="6"/>
      <c r="AA630" s="6"/>
      <c r="AB630" s="5"/>
      <c r="AC630" s="6"/>
      <c r="AD630" s="6" t="s">
        <v>3</v>
      </c>
      <c r="AE630" s="5"/>
      <c r="AF630" s="6"/>
      <c r="AG630" s="6"/>
      <c r="AH630" s="5"/>
      <c r="AI630" s="6"/>
      <c r="AJ630" s="6"/>
      <c r="AK630" s="5"/>
      <c r="AL630" s="5"/>
      <c r="AM630" s="5"/>
      <c r="AN630" s="5"/>
      <c r="AO630" s="5"/>
      <c r="AP630" s="5"/>
      <c r="AQ630" s="5"/>
    </row>
    <row r="631" spans="1:43" x14ac:dyDescent="0.25">
      <c r="A631" s="161" t="str">
        <f t="shared" si="12"/>
        <v>GUIDED_MISSILE_AUSTRIA</v>
      </c>
      <c r="B631" s="9" t="s">
        <v>757</v>
      </c>
      <c r="C631" s="5" t="s">
        <v>701</v>
      </c>
      <c r="D631" s="5" t="s">
        <v>717</v>
      </c>
      <c r="E631" s="5" t="s">
        <v>757</v>
      </c>
      <c r="F631" s="5" t="s">
        <v>792</v>
      </c>
      <c r="G631" s="5"/>
      <c r="H631" s="5"/>
      <c r="I631" s="5"/>
      <c r="J631" s="6"/>
      <c r="K631" s="7"/>
      <c r="L631" s="13"/>
      <c r="M631" s="8"/>
      <c r="N631" s="13"/>
      <c r="O631" s="13"/>
      <c r="P631" s="13"/>
      <c r="Q631" s="7"/>
      <c r="R631" s="6"/>
      <c r="S631" s="5"/>
      <c r="T631" s="6"/>
      <c r="U631" s="6"/>
      <c r="V631" s="5"/>
      <c r="W631" s="6"/>
      <c r="X631" s="6"/>
      <c r="Y631" s="5"/>
      <c r="Z631" s="6"/>
      <c r="AA631" s="6"/>
      <c r="AB631" s="5"/>
      <c r="AC631" s="6"/>
      <c r="AD631" s="6"/>
      <c r="AE631" s="5"/>
      <c r="AF631" s="6"/>
      <c r="AG631" s="6"/>
      <c r="AH631" s="5"/>
      <c r="AI631" s="6"/>
      <c r="AJ631" s="6"/>
      <c r="AK631" s="5"/>
      <c r="AL631" s="5"/>
      <c r="AM631" s="5"/>
      <c r="AN631" s="5"/>
      <c r="AO631" s="5"/>
      <c r="AP631" s="5"/>
      <c r="AQ631" s="5"/>
    </row>
    <row r="632" spans="1:43" x14ac:dyDescent="0.25">
      <c r="A632" s="161" t="str">
        <f t="shared" ref="A632:A714" si="13">CONCATENATE(E632,IF(ISBLANK(C632),"",CONCATENATE("_",C632)))</f>
        <v>GUIDED_MISSILE_GERMANY</v>
      </c>
      <c r="B632" s="9" t="s">
        <v>757</v>
      </c>
      <c r="C632" s="4" t="s">
        <v>717</v>
      </c>
      <c r="E632" s="4" t="s">
        <v>757</v>
      </c>
      <c r="F632" s="4" t="s">
        <v>792</v>
      </c>
      <c r="G632" s="14" t="s">
        <v>132</v>
      </c>
      <c r="H632" s="4" t="s">
        <v>374</v>
      </c>
      <c r="I632" s="4" t="s">
        <v>966</v>
      </c>
    </row>
    <row r="633" spans="1:43" x14ac:dyDescent="0.25">
      <c r="A633" s="161" t="str">
        <f t="shared" si="13"/>
        <v>HAND_AXE_BARBARIAN</v>
      </c>
      <c r="B633" s="9" t="s">
        <v>2322</v>
      </c>
      <c r="C633" s="5"/>
      <c r="D633" s="5"/>
      <c r="E633" s="5" t="s">
        <v>1358</v>
      </c>
      <c r="F633" s="5" t="s">
        <v>1358</v>
      </c>
      <c r="G633" s="5"/>
      <c r="H633" s="5" t="s">
        <v>1484</v>
      </c>
      <c r="I633" s="5" t="s">
        <v>128</v>
      </c>
      <c r="J633" s="6"/>
      <c r="K633" s="6"/>
      <c r="L633" s="13" t="s">
        <v>1708</v>
      </c>
      <c r="M633" s="8"/>
      <c r="N633" s="5"/>
      <c r="O633" s="5"/>
      <c r="P633" s="5"/>
      <c r="Q633" s="7">
        <v>10</v>
      </c>
      <c r="R633" s="6" t="s">
        <v>1737</v>
      </c>
      <c r="S633" s="13" t="s">
        <v>44</v>
      </c>
      <c r="T633" s="6"/>
      <c r="U633" s="7" t="s">
        <v>1695</v>
      </c>
      <c r="V633" s="5"/>
      <c r="W633" s="6" t="s">
        <v>3</v>
      </c>
      <c r="X633" s="6" t="s">
        <v>3</v>
      </c>
      <c r="Y633" s="5"/>
      <c r="Z633" s="7">
        <v>1</v>
      </c>
      <c r="AA633" s="6"/>
      <c r="AB633" s="5"/>
      <c r="AC633" s="6"/>
      <c r="AD633" s="6" t="s">
        <v>3</v>
      </c>
      <c r="AE633" s="5"/>
      <c r="AF633" s="7" t="s">
        <v>1737</v>
      </c>
      <c r="AG633" s="6"/>
      <c r="AH633" s="5"/>
      <c r="AI633" s="7">
        <v>6</v>
      </c>
      <c r="AJ633" s="6"/>
      <c r="AK633" s="5"/>
      <c r="AL633" s="5"/>
      <c r="AM633" s="5"/>
      <c r="AN633" s="5"/>
      <c r="AO633" s="5"/>
      <c r="AP633" s="5"/>
      <c r="AQ633" s="5"/>
    </row>
    <row r="634" spans="1:43" x14ac:dyDescent="0.25">
      <c r="A634" s="161" t="str">
        <f t="shared" si="13"/>
        <v>HELICOPTER_GUNSHIP</v>
      </c>
      <c r="B634" s="9" t="s">
        <v>758</v>
      </c>
      <c r="C634" s="5"/>
      <c r="D634" s="5"/>
      <c r="E634" s="5" t="s">
        <v>758</v>
      </c>
      <c r="F634" s="5" t="s">
        <v>793</v>
      </c>
      <c r="G634" s="5"/>
      <c r="H634" s="5" t="s">
        <v>1485</v>
      </c>
      <c r="I634" s="5" t="s">
        <v>128</v>
      </c>
      <c r="J634" s="6"/>
      <c r="K634" s="7"/>
      <c r="L634" s="13" t="s">
        <v>1709</v>
      </c>
      <c r="M634" s="8"/>
      <c r="N634" s="13" t="s">
        <v>1726</v>
      </c>
      <c r="O634" s="13"/>
      <c r="P634" s="13"/>
      <c r="Q634" s="7">
        <v>1</v>
      </c>
      <c r="R634" s="6">
        <v>0.1</v>
      </c>
      <c r="S634" s="5"/>
      <c r="T634" s="6"/>
      <c r="U634" s="6">
        <v>0.1</v>
      </c>
      <c r="V634" s="5"/>
      <c r="W634" s="6" t="s">
        <v>3</v>
      </c>
      <c r="X634" s="6" t="s">
        <v>3</v>
      </c>
      <c r="Y634" s="5" t="s">
        <v>1723</v>
      </c>
      <c r="Z634" s="6"/>
      <c r="AA634" s="6"/>
      <c r="AB634" s="5"/>
      <c r="AC634" s="6"/>
      <c r="AD634" s="6" t="s">
        <v>3</v>
      </c>
      <c r="AE634" s="5"/>
      <c r="AF634" s="6"/>
      <c r="AG634" s="6"/>
      <c r="AH634" s="5"/>
      <c r="AI634" s="6"/>
      <c r="AJ634" s="6"/>
      <c r="AK634" s="5"/>
      <c r="AL634" s="5"/>
      <c r="AM634" s="5"/>
      <c r="AN634" s="5"/>
      <c r="AO634" s="5"/>
      <c r="AP634" s="5"/>
      <c r="AQ634" s="5"/>
    </row>
    <row r="635" spans="1:43" x14ac:dyDescent="0.25">
      <c r="A635" s="161" t="str">
        <f t="shared" si="13"/>
        <v>HELICOPTER_GUNSHIP_AFRI</v>
      </c>
      <c r="B635" s="9" t="s">
        <v>758</v>
      </c>
      <c r="C635" s="4" t="s">
        <v>694</v>
      </c>
      <c r="D635" s="4" t="s">
        <v>690</v>
      </c>
      <c r="E635" s="4" t="s">
        <v>758</v>
      </c>
      <c r="F635" s="4" t="s">
        <v>793</v>
      </c>
    </row>
    <row r="636" spans="1:43" x14ac:dyDescent="0.25">
      <c r="A636" s="161" t="str">
        <f t="shared" si="13"/>
        <v>HELICOPTER_GUNSHIP_ETHIOPIA</v>
      </c>
      <c r="B636" s="9" t="s">
        <v>758</v>
      </c>
      <c r="C636" s="4" t="s">
        <v>714</v>
      </c>
      <c r="E636" s="4" t="s">
        <v>758</v>
      </c>
      <c r="F636" s="4" t="s">
        <v>793</v>
      </c>
      <c r="G636" s="14" t="s">
        <v>132</v>
      </c>
      <c r="H636" s="4" t="s">
        <v>322</v>
      </c>
      <c r="I636" s="4" t="s">
        <v>120</v>
      </c>
    </row>
    <row r="637" spans="1:43" x14ac:dyDescent="0.25">
      <c r="A637" s="161" t="str">
        <f t="shared" si="13"/>
        <v>HELICOPTER_GUNSHIP_ZULU</v>
      </c>
      <c r="B637" s="9" t="s">
        <v>758</v>
      </c>
      <c r="C637" s="4" t="s">
        <v>742</v>
      </c>
      <c r="D637" s="4" t="s">
        <v>713</v>
      </c>
      <c r="E637" s="4" t="s">
        <v>758</v>
      </c>
      <c r="F637" s="4" t="s">
        <v>793</v>
      </c>
      <c r="G637" s="14"/>
    </row>
    <row r="638" spans="1:43" x14ac:dyDescent="0.25">
      <c r="A638" s="161" t="str">
        <f t="shared" si="13"/>
        <v>HELICOPTER_GUNSHIP_AMER</v>
      </c>
      <c r="B638" s="9" t="s">
        <v>758</v>
      </c>
      <c r="C638" s="4" t="s">
        <v>697</v>
      </c>
      <c r="D638" s="4" t="s">
        <v>699</v>
      </c>
      <c r="E638" s="4" t="s">
        <v>758</v>
      </c>
      <c r="F638" s="4" t="s">
        <v>793</v>
      </c>
      <c r="G638" s="14"/>
    </row>
    <row r="639" spans="1:43" x14ac:dyDescent="0.25">
      <c r="A639" s="161" t="str">
        <f t="shared" si="13"/>
        <v>HELICOPTER_GUNSHIP_ASIA</v>
      </c>
      <c r="B639" s="9" t="s">
        <v>758</v>
      </c>
      <c r="C639" s="4" t="s">
        <v>693</v>
      </c>
      <c r="D639" s="4" t="s">
        <v>698</v>
      </c>
      <c r="E639" s="4" t="s">
        <v>758</v>
      </c>
      <c r="F639" s="4" t="s">
        <v>793</v>
      </c>
    </row>
    <row r="640" spans="1:43" x14ac:dyDescent="0.25">
      <c r="A640" s="161" t="str">
        <f t="shared" si="13"/>
        <v>HELICOPTER_GUNSHIP_JAPAN</v>
      </c>
      <c r="B640" s="9" t="s">
        <v>758</v>
      </c>
      <c r="C640" s="4" t="s">
        <v>722</v>
      </c>
      <c r="E640" s="4" t="s">
        <v>758</v>
      </c>
      <c r="F640" s="4" t="s">
        <v>793</v>
      </c>
      <c r="G640" s="14" t="s">
        <v>132</v>
      </c>
      <c r="H640" s="4" t="s">
        <v>479</v>
      </c>
      <c r="I640" s="4" t="s">
        <v>120</v>
      </c>
    </row>
    <row r="641" spans="1:9" x14ac:dyDescent="0.25">
      <c r="A641" s="161" t="str">
        <f t="shared" si="13"/>
        <v>HELICOPTER_GUNSHIP_EASTEU</v>
      </c>
      <c r="B641" s="9" t="s">
        <v>758</v>
      </c>
      <c r="C641" s="4" t="s">
        <v>698</v>
      </c>
      <c r="E641" s="4" t="s">
        <v>758</v>
      </c>
      <c r="F641" s="4" t="s">
        <v>793</v>
      </c>
      <c r="G641" s="14"/>
      <c r="H641" s="4" t="s">
        <v>247</v>
      </c>
      <c r="I641" s="4" t="s">
        <v>120</v>
      </c>
    </row>
    <row r="642" spans="1:9" x14ac:dyDescent="0.25">
      <c r="A642" s="161" t="str">
        <f t="shared" si="13"/>
        <v>HELICOPTER_GUNSHIP_KIEV</v>
      </c>
      <c r="B642" s="9" t="s">
        <v>758</v>
      </c>
      <c r="C642" s="4" t="s">
        <v>1187</v>
      </c>
      <c r="E642" s="4" t="s">
        <v>758</v>
      </c>
      <c r="F642" s="4" t="s">
        <v>793</v>
      </c>
      <c r="G642" s="14"/>
      <c r="H642" s="4" t="s">
        <v>1945</v>
      </c>
      <c r="I642" s="4" t="s">
        <v>120</v>
      </c>
    </row>
    <row r="643" spans="1:9" x14ac:dyDescent="0.25">
      <c r="A643" s="161" t="str">
        <f t="shared" si="13"/>
        <v>HELICOPTER_GUNSHIP_POLAND</v>
      </c>
      <c r="B643" s="9" t="s">
        <v>758</v>
      </c>
      <c r="C643" s="4" t="s">
        <v>732</v>
      </c>
      <c r="E643" s="4" t="s">
        <v>758</v>
      </c>
      <c r="F643" s="4" t="s">
        <v>793</v>
      </c>
      <c r="G643" s="14" t="s">
        <v>132</v>
      </c>
      <c r="H643" s="4" t="s">
        <v>570</v>
      </c>
      <c r="I643" s="4" t="s">
        <v>120</v>
      </c>
    </row>
    <row r="644" spans="1:9" x14ac:dyDescent="0.25">
      <c r="A644" s="161" t="str">
        <f t="shared" si="13"/>
        <v>HELICOPTER_GUNSHIP_RUSSIA</v>
      </c>
      <c r="B644" s="9" t="s">
        <v>758</v>
      </c>
      <c r="C644" s="4" t="s">
        <v>735</v>
      </c>
      <c r="E644" s="4" t="s">
        <v>758</v>
      </c>
      <c r="F644" s="4" t="s">
        <v>793</v>
      </c>
      <c r="G644" s="14"/>
      <c r="H644" s="4" t="s">
        <v>1946</v>
      </c>
      <c r="I644" s="4" t="s">
        <v>120</v>
      </c>
    </row>
    <row r="645" spans="1:9" x14ac:dyDescent="0.25">
      <c r="A645" s="161" t="str">
        <f t="shared" si="13"/>
        <v>HELICOPTER_GUNSHIP_AMERICA</v>
      </c>
      <c r="B645" s="9" t="s">
        <v>758</v>
      </c>
      <c r="C645" s="4" t="s">
        <v>699</v>
      </c>
      <c r="E645" s="4" t="s">
        <v>758</v>
      </c>
      <c r="F645" s="4" t="s">
        <v>793</v>
      </c>
      <c r="G645" s="14"/>
      <c r="H645" s="4" t="s">
        <v>139</v>
      </c>
      <c r="I645" s="4" t="s">
        <v>120</v>
      </c>
    </row>
    <row r="646" spans="1:9" x14ac:dyDescent="0.25">
      <c r="A646" s="161" t="str">
        <f t="shared" si="13"/>
        <v>HELICOPTER_GUNSHIP_AUSTRALIA</v>
      </c>
      <c r="B646" s="9" t="s">
        <v>758</v>
      </c>
      <c r="C646" s="4" t="s">
        <v>1302</v>
      </c>
      <c r="E646" s="4" t="s">
        <v>758</v>
      </c>
      <c r="F646" s="4" t="s">
        <v>793</v>
      </c>
      <c r="G646" s="14"/>
      <c r="H646" s="4" t="s">
        <v>1303</v>
      </c>
      <c r="I646" s="4" t="s">
        <v>1050</v>
      </c>
    </row>
    <row r="647" spans="1:9" x14ac:dyDescent="0.25">
      <c r="A647" s="161" t="str">
        <f t="shared" si="13"/>
        <v>HELICOPTER_GUNSHIP_AUSTRIA</v>
      </c>
      <c r="B647" s="9" t="s">
        <v>758</v>
      </c>
      <c r="C647" s="4" t="s">
        <v>701</v>
      </c>
      <c r="E647" s="4" t="s">
        <v>758</v>
      </c>
      <c r="F647" s="4" t="s">
        <v>793</v>
      </c>
      <c r="G647" s="14"/>
      <c r="H647" s="4" t="s">
        <v>179</v>
      </c>
      <c r="I647" s="4" t="s">
        <v>1050</v>
      </c>
    </row>
    <row r="648" spans="1:9" x14ac:dyDescent="0.25">
      <c r="A648" s="161" t="str">
        <f t="shared" si="13"/>
        <v>HELICOPTER_GUNSHIP_CANADA</v>
      </c>
      <c r="B648" s="9" t="s">
        <v>758</v>
      </c>
      <c r="C648" s="4" t="s">
        <v>2209</v>
      </c>
      <c r="D648" s="4" t="s">
        <v>713</v>
      </c>
      <c r="E648" s="4" t="s">
        <v>758</v>
      </c>
      <c r="F648" s="4" t="s">
        <v>793</v>
      </c>
      <c r="G648" s="14"/>
    </row>
    <row r="649" spans="1:9" x14ac:dyDescent="0.25">
      <c r="A649" s="161" t="str">
        <f t="shared" si="13"/>
        <v>HELICOPTER_GUNSHIP_CELTS</v>
      </c>
      <c r="B649" s="9" t="s">
        <v>758</v>
      </c>
      <c r="C649" s="4" t="s">
        <v>709</v>
      </c>
      <c r="D649" s="4" t="s">
        <v>713</v>
      </c>
      <c r="E649" s="4" t="s">
        <v>758</v>
      </c>
      <c r="F649" s="4" t="s">
        <v>793</v>
      </c>
      <c r="G649" s="14"/>
    </row>
    <row r="650" spans="1:9" x14ac:dyDescent="0.25">
      <c r="A650" s="161" t="str">
        <f t="shared" si="13"/>
        <v>HELICOPTER_GUNSHIP_ENGLAND</v>
      </c>
      <c r="B650" s="9" t="s">
        <v>758</v>
      </c>
      <c r="C650" s="4" t="s">
        <v>713</v>
      </c>
      <c r="E650" s="4" t="s">
        <v>758</v>
      </c>
      <c r="F650" s="4" t="s">
        <v>793</v>
      </c>
      <c r="G650" s="14" t="s">
        <v>132</v>
      </c>
      <c r="H650" s="4" t="s">
        <v>298</v>
      </c>
      <c r="I650" s="4" t="s">
        <v>120</v>
      </c>
    </row>
    <row r="651" spans="1:9" x14ac:dyDescent="0.25">
      <c r="A651" s="161" t="str">
        <f t="shared" si="13"/>
        <v>HELICOPTER_GUNSHIP_FRANCE</v>
      </c>
      <c r="B651" s="9" t="s">
        <v>758</v>
      </c>
      <c r="C651" s="4" t="s">
        <v>715</v>
      </c>
      <c r="E651" s="4" t="s">
        <v>758</v>
      </c>
      <c r="F651" s="4" t="s">
        <v>793</v>
      </c>
      <c r="G651" s="14" t="s">
        <v>132</v>
      </c>
      <c r="H651" s="4" t="s">
        <v>344</v>
      </c>
      <c r="I651" s="4" t="s">
        <v>1050</v>
      </c>
    </row>
    <row r="652" spans="1:9" x14ac:dyDescent="0.25">
      <c r="A652" s="161" t="str">
        <f t="shared" si="13"/>
        <v>HELICOPTER_GUNSHIP_GERMANY</v>
      </c>
      <c r="B652" s="9" t="s">
        <v>758</v>
      </c>
      <c r="C652" s="4" t="s">
        <v>717</v>
      </c>
      <c r="E652" s="4" t="s">
        <v>758</v>
      </c>
      <c r="F652" s="4" t="s">
        <v>793</v>
      </c>
      <c r="G652" s="14" t="s">
        <v>132</v>
      </c>
      <c r="H652" s="4" t="s">
        <v>375</v>
      </c>
      <c r="I652" s="4" t="s">
        <v>1050</v>
      </c>
    </row>
    <row r="653" spans="1:9" x14ac:dyDescent="0.25">
      <c r="A653" s="161" t="str">
        <f t="shared" si="13"/>
        <v>HELICOPTER_GUNSHIP_NETHERLANDS</v>
      </c>
      <c r="B653" s="9" t="s">
        <v>758</v>
      </c>
      <c r="C653" s="4" t="s">
        <v>730</v>
      </c>
      <c r="E653" s="4" t="s">
        <v>758</v>
      </c>
      <c r="F653" s="4" t="s">
        <v>793</v>
      </c>
      <c r="G653" s="14" t="s">
        <v>132</v>
      </c>
      <c r="H653" s="4" t="s">
        <v>542</v>
      </c>
      <c r="I653" s="4" t="s">
        <v>1050</v>
      </c>
    </row>
    <row r="654" spans="1:9" x14ac:dyDescent="0.25">
      <c r="A654" s="161" t="str">
        <f t="shared" si="13"/>
        <v>HELICOPTER_GUNSHIP_GREECE</v>
      </c>
      <c r="B654" s="9" t="s">
        <v>758</v>
      </c>
      <c r="C654" s="4" t="s">
        <v>718</v>
      </c>
      <c r="E654" s="4" t="s">
        <v>758</v>
      </c>
      <c r="F654" s="4" t="s">
        <v>793</v>
      </c>
      <c r="G654" s="14" t="s">
        <v>132</v>
      </c>
      <c r="H654" s="4" t="s">
        <v>403</v>
      </c>
      <c r="I654" s="4" t="s">
        <v>120</v>
      </c>
    </row>
    <row r="655" spans="1:9" x14ac:dyDescent="0.25">
      <c r="A655" s="161" t="str">
        <f t="shared" si="13"/>
        <v>HELICOPTER_GUNSHIP_ROME</v>
      </c>
      <c r="B655" s="9" t="s">
        <v>758</v>
      </c>
      <c r="C655" s="4" t="s">
        <v>734</v>
      </c>
      <c r="E655" s="4" t="s">
        <v>758</v>
      </c>
      <c r="F655" s="4" t="s">
        <v>793</v>
      </c>
      <c r="G655" s="14" t="s">
        <v>132</v>
      </c>
      <c r="H655" s="4" t="s">
        <v>588</v>
      </c>
      <c r="I655" s="4" t="s">
        <v>1068</v>
      </c>
    </row>
    <row r="656" spans="1:9" x14ac:dyDescent="0.25">
      <c r="A656" s="161" t="str">
        <f t="shared" si="13"/>
        <v>HELICOPTER_GUNSHIP_SPAIN</v>
      </c>
      <c r="B656" s="9" t="s">
        <v>758</v>
      </c>
      <c r="C656" s="4" t="s">
        <v>738</v>
      </c>
      <c r="E656" s="4" t="s">
        <v>758</v>
      </c>
      <c r="F656" s="4" t="s">
        <v>793</v>
      </c>
      <c r="G656" s="14" t="s">
        <v>132</v>
      </c>
      <c r="H656" s="4" t="s">
        <v>652</v>
      </c>
      <c r="I656" s="4" t="s">
        <v>1050</v>
      </c>
    </row>
    <row r="657" spans="1:43" x14ac:dyDescent="0.25">
      <c r="A657" s="161" t="str">
        <f t="shared" si="13"/>
        <v>HELICOPTER_GUNSHIP_MIDEAST</v>
      </c>
      <c r="B657" s="9" t="s">
        <v>758</v>
      </c>
      <c r="C657" s="4" t="s">
        <v>690</v>
      </c>
      <c r="E657" s="4" t="s">
        <v>758</v>
      </c>
      <c r="F657" s="4" t="s">
        <v>793</v>
      </c>
      <c r="G657" s="14" t="s">
        <v>132</v>
      </c>
      <c r="H657" s="4" t="s">
        <v>228</v>
      </c>
      <c r="I657" s="4" t="s">
        <v>120</v>
      </c>
    </row>
    <row r="658" spans="1:43" x14ac:dyDescent="0.25">
      <c r="A658" s="161" t="str">
        <f t="shared" si="13"/>
        <v>HELICOPTER_GUNSHIP_ARABIA</v>
      </c>
      <c r="B658" s="9" t="s">
        <v>758</v>
      </c>
      <c r="C658" s="4" t="s">
        <v>700</v>
      </c>
      <c r="D658" s="14"/>
      <c r="E658" s="4" t="s">
        <v>758</v>
      </c>
      <c r="F658" s="4" t="s">
        <v>793</v>
      </c>
      <c r="G658" s="14"/>
      <c r="H658" s="4" t="s">
        <v>161</v>
      </c>
      <c r="I658" s="4" t="s">
        <v>120</v>
      </c>
    </row>
    <row r="659" spans="1:43" x14ac:dyDescent="0.25">
      <c r="A659" s="161" t="str">
        <f t="shared" si="13"/>
        <v>HELICOPTER_GUNSHIP_BABYLON</v>
      </c>
      <c r="B659" s="9" t="s">
        <v>758</v>
      </c>
      <c r="C659" s="4" t="s">
        <v>703</v>
      </c>
      <c r="E659" s="4" t="s">
        <v>758</v>
      </c>
      <c r="F659" s="4" t="s">
        <v>793</v>
      </c>
      <c r="G659" s="14"/>
      <c r="H659" s="4" t="s">
        <v>208</v>
      </c>
      <c r="I659" s="4" t="s">
        <v>120</v>
      </c>
    </row>
    <row r="660" spans="1:43" x14ac:dyDescent="0.25">
      <c r="A660" s="161" t="str">
        <f t="shared" si="13"/>
        <v>HELICOPTER_GUNSHIP_EGYPT</v>
      </c>
      <c r="B660" s="9" t="s">
        <v>758</v>
      </c>
      <c r="C660" s="4" t="s">
        <v>712</v>
      </c>
      <c r="E660" s="4" t="s">
        <v>758</v>
      </c>
      <c r="F660" s="4" t="s">
        <v>793</v>
      </c>
      <c r="G660" s="14" t="s">
        <v>132</v>
      </c>
      <c r="H660" s="4" t="s">
        <v>279</v>
      </c>
      <c r="I660" s="4" t="s">
        <v>120</v>
      </c>
    </row>
    <row r="661" spans="1:43" x14ac:dyDescent="0.25">
      <c r="A661" s="161" t="str">
        <f t="shared" si="13"/>
        <v>HELICOPTER_GUNSHIP_LEVANT</v>
      </c>
      <c r="B661" s="9" t="s">
        <v>758</v>
      </c>
      <c r="C661" s="4" t="s">
        <v>724</v>
      </c>
      <c r="D661" s="4" t="s">
        <v>699</v>
      </c>
      <c r="E661" s="4" t="s">
        <v>758</v>
      </c>
      <c r="F661" s="4" t="s">
        <v>793</v>
      </c>
      <c r="G661" s="14"/>
    </row>
    <row r="662" spans="1:43" x14ac:dyDescent="0.25">
      <c r="A662" s="161" t="str">
        <f>CONCATENATE(E662,IF(ISBLANK(C662),"",CONCATENATE("_",C662)))</f>
        <v>HELICOPTER_GUNSHIP_NORTHAF</v>
      </c>
      <c r="B662" s="9" t="s">
        <v>758</v>
      </c>
      <c r="C662" s="4" t="s">
        <v>2011</v>
      </c>
      <c r="D662" s="4" t="s">
        <v>690</v>
      </c>
      <c r="E662" s="4" t="s">
        <v>758</v>
      </c>
      <c r="F662" s="4" t="s">
        <v>793</v>
      </c>
      <c r="G662" s="14" t="s">
        <v>132</v>
      </c>
    </row>
    <row r="663" spans="1:43" x14ac:dyDescent="0.25">
      <c r="A663" s="161" t="str">
        <f t="shared" si="13"/>
        <v>HELICOPTER_GUNSHIP_SWEDEN</v>
      </c>
      <c r="B663" s="9" t="s">
        <v>758</v>
      </c>
      <c r="C663" s="4" t="s">
        <v>739</v>
      </c>
      <c r="E663" s="4" t="s">
        <v>758</v>
      </c>
      <c r="F663" s="4" t="s">
        <v>793</v>
      </c>
      <c r="G663" s="14" t="s">
        <v>132</v>
      </c>
      <c r="H663" s="4" t="s">
        <v>671</v>
      </c>
      <c r="I663" s="4" t="s">
        <v>1050</v>
      </c>
    </row>
    <row r="664" spans="1:43" x14ac:dyDescent="0.25">
      <c r="A664" s="161" t="str">
        <f t="shared" si="13"/>
        <v>HELICOPTER_GUNSHIP_OCEAN</v>
      </c>
      <c r="B664" s="9" t="s">
        <v>758</v>
      </c>
      <c r="C664" s="4" t="s">
        <v>994</v>
      </c>
      <c r="D664" s="4" t="s">
        <v>699</v>
      </c>
      <c r="E664" s="4" t="s">
        <v>758</v>
      </c>
      <c r="F664" s="4" t="s">
        <v>793</v>
      </c>
      <c r="G664" s="14"/>
    </row>
    <row r="665" spans="1:43" x14ac:dyDescent="0.25">
      <c r="A665" s="161" t="str">
        <f t="shared" si="13"/>
        <v>HELICOPTER_GUNSHIP_SAHUL</v>
      </c>
      <c r="B665" s="9" t="s">
        <v>758</v>
      </c>
      <c r="C665" s="4" t="s">
        <v>1788</v>
      </c>
      <c r="D665" s="4" t="s">
        <v>1302</v>
      </c>
      <c r="E665" s="4" t="s">
        <v>758</v>
      </c>
      <c r="F665" s="4" t="s">
        <v>793</v>
      </c>
      <c r="G665" s="14"/>
    </row>
    <row r="666" spans="1:43" x14ac:dyDescent="0.25">
      <c r="A666" s="161" t="str">
        <f t="shared" si="13"/>
        <v>HELICOPTER_GUNSHIP_SEASIA</v>
      </c>
      <c r="B666" s="9" t="s">
        <v>758</v>
      </c>
      <c r="C666" s="4" t="s">
        <v>696</v>
      </c>
      <c r="D666" s="4" t="s">
        <v>715</v>
      </c>
      <c r="E666" s="4" t="s">
        <v>758</v>
      </c>
      <c r="F666" s="4" t="s">
        <v>793</v>
      </c>
      <c r="G666" s="14"/>
    </row>
    <row r="667" spans="1:43" x14ac:dyDescent="0.25">
      <c r="A667" s="161" t="str">
        <f t="shared" si="13"/>
        <v>HELICOPTER_GUNSHIP_SOUTHAM</v>
      </c>
      <c r="B667" s="9" t="s">
        <v>758</v>
      </c>
      <c r="C667" s="4" t="s">
        <v>691</v>
      </c>
      <c r="D667" s="4" t="s">
        <v>693</v>
      </c>
      <c r="E667" s="4" t="s">
        <v>758</v>
      </c>
      <c r="F667" s="4" t="s">
        <v>793</v>
      </c>
    </row>
    <row r="668" spans="1:43" x14ac:dyDescent="0.25">
      <c r="A668" s="161" t="str">
        <f t="shared" si="13"/>
        <v>HELICOPTER_GUNSHIP_AZTEC</v>
      </c>
      <c r="B668" s="9" t="s">
        <v>758</v>
      </c>
      <c r="C668" s="4" t="s">
        <v>702</v>
      </c>
      <c r="E668" s="4" t="s">
        <v>758</v>
      </c>
      <c r="F668" s="4" t="s">
        <v>793</v>
      </c>
      <c r="G668" s="14"/>
      <c r="H668" s="4" t="s">
        <v>195</v>
      </c>
      <c r="I668" s="4" t="s">
        <v>120</v>
      </c>
    </row>
    <row r="669" spans="1:43" x14ac:dyDescent="0.25">
      <c r="A669" s="161" t="str">
        <f t="shared" si="13"/>
        <v>HELICOPTER_GUNSHIP_SOUTHAS</v>
      </c>
      <c r="B669" s="9" t="s">
        <v>758</v>
      </c>
      <c r="C669" s="4" t="s">
        <v>695</v>
      </c>
      <c r="D669" s="4" t="s">
        <v>698</v>
      </c>
      <c r="E669" s="4" t="s">
        <v>758</v>
      </c>
      <c r="F669" s="4" t="s">
        <v>793</v>
      </c>
    </row>
    <row r="670" spans="1:43" x14ac:dyDescent="0.25">
      <c r="A670" s="161" t="str">
        <f t="shared" si="13"/>
        <v>HELICOPTER_GUNSHIP_INDIA</v>
      </c>
      <c r="B670" s="9" t="s">
        <v>758</v>
      </c>
      <c r="C670" s="4" t="s">
        <v>720</v>
      </c>
      <c r="E670" s="4" t="s">
        <v>758</v>
      </c>
      <c r="F670" s="4" t="s">
        <v>793</v>
      </c>
      <c r="H670" s="4" t="s">
        <v>433</v>
      </c>
      <c r="I670" s="4" t="s">
        <v>120</v>
      </c>
    </row>
    <row r="671" spans="1:43" x14ac:dyDescent="0.25">
      <c r="A671" s="161" t="str">
        <f t="shared" si="13"/>
        <v>HORSEMAN</v>
      </c>
      <c r="B671" s="9" t="s">
        <v>112</v>
      </c>
      <c r="C671" s="5"/>
      <c r="D671" s="5"/>
      <c r="E671" s="5" t="s">
        <v>112</v>
      </c>
      <c r="F671" s="5" t="s">
        <v>112</v>
      </c>
      <c r="G671" s="5"/>
      <c r="H671" s="5" t="s">
        <v>30</v>
      </c>
      <c r="I671" s="5" t="s">
        <v>128</v>
      </c>
      <c r="J671" s="6"/>
      <c r="K671" s="6"/>
      <c r="L671" s="13" t="s">
        <v>1714</v>
      </c>
      <c r="M671" s="8"/>
      <c r="N671" s="5"/>
      <c r="O671" s="5"/>
      <c r="P671" s="5"/>
      <c r="Q671" s="7" t="s">
        <v>1695</v>
      </c>
      <c r="R671" s="6" t="s">
        <v>1695</v>
      </c>
      <c r="S671" s="13" t="s">
        <v>1695</v>
      </c>
      <c r="T671" s="6"/>
      <c r="U671" s="6" t="s">
        <v>1695</v>
      </c>
      <c r="V671" s="5"/>
      <c r="W671" s="6" t="s">
        <v>3</v>
      </c>
      <c r="X671" s="6" t="s">
        <v>3</v>
      </c>
      <c r="Y671" s="5"/>
      <c r="Z671" s="7">
        <v>1</v>
      </c>
      <c r="AA671" s="6"/>
      <c r="AB671" s="5"/>
      <c r="AC671" s="6"/>
      <c r="AD671" s="6" t="s">
        <v>3</v>
      </c>
      <c r="AE671" s="5"/>
      <c r="AF671" s="7" t="s">
        <v>1695</v>
      </c>
      <c r="AG671" s="6"/>
      <c r="AH671" s="5"/>
      <c r="AI671" s="6"/>
      <c r="AJ671" s="6"/>
      <c r="AK671" s="5"/>
      <c r="AL671" s="5"/>
      <c r="AM671" s="5"/>
      <c r="AN671" s="5"/>
      <c r="AO671" s="5"/>
      <c r="AP671" s="5"/>
      <c r="AQ671" s="5"/>
    </row>
    <row r="672" spans="1:43" x14ac:dyDescent="0.25">
      <c r="A672" s="161" t="str">
        <f t="shared" si="13"/>
        <v>HORSEMAN_AFRI</v>
      </c>
      <c r="B672" s="9" t="s">
        <v>112</v>
      </c>
      <c r="C672" s="4" t="s">
        <v>694</v>
      </c>
      <c r="E672" s="4" t="s">
        <v>112</v>
      </c>
      <c r="F672" s="4" t="s">
        <v>112</v>
      </c>
      <c r="H672" s="4" t="s">
        <v>683</v>
      </c>
      <c r="I672" s="4" t="s">
        <v>1796</v>
      </c>
      <c r="Q672" s="11">
        <v>1</v>
      </c>
      <c r="T672" s="11">
        <v>1</v>
      </c>
      <c r="Z672" s="11">
        <v>1</v>
      </c>
      <c r="AF672" s="11">
        <v>1</v>
      </c>
    </row>
    <row r="673" spans="1:32" x14ac:dyDescent="0.25">
      <c r="A673" s="161" t="str">
        <f>CONCATENATE(E673,IF(ISBLANK(C673),"",CONCATENATE("_",C673)))</f>
        <v>HORSEMAN_AFRI</v>
      </c>
      <c r="B673" s="9" t="s">
        <v>112</v>
      </c>
      <c r="C673" s="4" t="s">
        <v>694</v>
      </c>
      <c r="E673" s="4" t="s">
        <v>112</v>
      </c>
      <c r="F673" s="4" t="s">
        <v>112</v>
      </c>
      <c r="G673" s="4" t="s">
        <v>2047</v>
      </c>
      <c r="H673" s="4" t="s">
        <v>1797</v>
      </c>
      <c r="I673" s="4" t="s">
        <v>1796</v>
      </c>
      <c r="Q673" s="11">
        <v>2</v>
      </c>
      <c r="T673" s="11">
        <v>2</v>
      </c>
      <c r="Z673" s="11">
        <v>0</v>
      </c>
      <c r="AF673" s="11">
        <v>1</v>
      </c>
    </row>
    <row r="674" spans="1:32" x14ac:dyDescent="0.25">
      <c r="A674" s="161" t="str">
        <f>CONCATENATE(E674,IF(ISBLANK(C674),"",CONCATENATE("_",C674)))</f>
        <v>HORSEMAN_AFRI</v>
      </c>
      <c r="B674" s="9" t="s">
        <v>112</v>
      </c>
      <c r="C674" s="4" t="s">
        <v>694</v>
      </c>
      <c r="E674" s="4" t="s">
        <v>112</v>
      </c>
      <c r="F674" s="4" t="s">
        <v>112</v>
      </c>
      <c r="H674" s="4" t="s">
        <v>683</v>
      </c>
      <c r="I674" s="4" t="s">
        <v>1796</v>
      </c>
      <c r="Q674" s="11">
        <v>1</v>
      </c>
      <c r="T674" s="11">
        <v>2</v>
      </c>
      <c r="Z674" s="11">
        <v>0</v>
      </c>
      <c r="AF674" s="11">
        <v>1</v>
      </c>
    </row>
    <row r="675" spans="1:32" x14ac:dyDescent="0.25">
      <c r="A675" s="161" t="str">
        <f>CONCATENATE(E675,IF(ISBLANK(C675),"",CONCATENATE("_",C675)))</f>
        <v>HORSEMAN_AFRI</v>
      </c>
      <c r="B675" s="9" t="s">
        <v>112</v>
      </c>
      <c r="C675" s="4" t="s">
        <v>694</v>
      </c>
      <c r="E675" s="4" t="s">
        <v>112</v>
      </c>
      <c r="F675" s="4" t="s">
        <v>112</v>
      </c>
      <c r="G675" s="4" t="s">
        <v>2047</v>
      </c>
      <c r="H675" s="4" t="s">
        <v>1797</v>
      </c>
      <c r="I675" s="4" t="s">
        <v>1796</v>
      </c>
      <c r="Q675" s="11">
        <v>1</v>
      </c>
      <c r="T675" s="11">
        <v>2</v>
      </c>
      <c r="Z675" s="11">
        <v>0</v>
      </c>
      <c r="AF675" s="11">
        <v>0</v>
      </c>
    </row>
    <row r="676" spans="1:32" x14ac:dyDescent="0.25">
      <c r="A676" s="161" t="str">
        <f t="shared" si="13"/>
        <v>HORSEMAN_ETHIOPIA</v>
      </c>
      <c r="B676" s="9" t="s">
        <v>112</v>
      </c>
      <c r="C676" s="4" t="s">
        <v>714</v>
      </c>
      <c r="E676" s="4" t="s">
        <v>112</v>
      </c>
      <c r="F676" s="4" t="s">
        <v>112</v>
      </c>
      <c r="G676" s="14" t="s">
        <v>132</v>
      </c>
      <c r="H676" s="4" t="s">
        <v>323</v>
      </c>
      <c r="I676" s="4" t="s">
        <v>1025</v>
      </c>
      <c r="Q676" s="11" t="s">
        <v>1695</v>
      </c>
      <c r="T676" s="11" t="s">
        <v>1695</v>
      </c>
      <c r="W676" s="11" t="s">
        <v>3</v>
      </c>
      <c r="Z676" s="11">
        <v>1</v>
      </c>
      <c r="AD676" s="11" t="s">
        <v>3</v>
      </c>
      <c r="AF676" s="11" t="s">
        <v>1695</v>
      </c>
    </row>
    <row r="677" spans="1:32" x14ac:dyDescent="0.25">
      <c r="A677" s="161" t="str">
        <f t="shared" si="13"/>
        <v>HORSEMAN_SONGHAI</v>
      </c>
      <c r="B677" s="9" t="s">
        <v>112</v>
      </c>
      <c r="C677" s="4" t="s">
        <v>737</v>
      </c>
      <c r="E677" s="4" t="s">
        <v>112</v>
      </c>
      <c r="F677" s="4" t="s">
        <v>112</v>
      </c>
      <c r="G677" s="14"/>
      <c r="H677" s="4" t="s">
        <v>1968</v>
      </c>
      <c r="I677" s="4" t="s">
        <v>1025</v>
      </c>
      <c r="Q677" s="11">
        <v>1</v>
      </c>
      <c r="T677" s="11">
        <v>1</v>
      </c>
      <c r="Z677" s="11">
        <v>0</v>
      </c>
      <c r="AF677" s="11">
        <v>1</v>
      </c>
    </row>
    <row r="678" spans="1:32" x14ac:dyDescent="0.25">
      <c r="A678" s="161" t="str">
        <f>CONCATENATE(E678,IF(ISBLANK(C678),"",CONCATENATE("_",C678)))</f>
        <v>HORSEMAN_SONGHAI</v>
      </c>
      <c r="B678" s="9" t="s">
        <v>112</v>
      </c>
      <c r="C678" s="4" t="s">
        <v>737</v>
      </c>
      <c r="E678" s="4" t="s">
        <v>112</v>
      </c>
      <c r="F678" s="4" t="s">
        <v>112</v>
      </c>
      <c r="G678" s="14" t="s">
        <v>2047</v>
      </c>
      <c r="H678" s="4" t="s">
        <v>1986</v>
      </c>
      <c r="I678" s="4" t="s">
        <v>1025</v>
      </c>
      <c r="Q678" s="11">
        <v>3</v>
      </c>
      <c r="T678" s="11">
        <v>2</v>
      </c>
      <c r="Z678" s="11">
        <v>1</v>
      </c>
      <c r="AF678" s="11">
        <v>2</v>
      </c>
    </row>
    <row r="679" spans="1:32" x14ac:dyDescent="0.25">
      <c r="A679" s="161" t="str">
        <f>CONCATENATE(E679,IF(ISBLANK(C679),"",CONCATENATE("_",C679)))</f>
        <v>HORSEMAN_SONGHAI</v>
      </c>
      <c r="B679" s="9" t="s">
        <v>112</v>
      </c>
      <c r="C679" s="4" t="s">
        <v>737</v>
      </c>
      <c r="E679" s="4" t="s">
        <v>112</v>
      </c>
      <c r="F679" s="4" t="s">
        <v>112</v>
      </c>
      <c r="G679" s="14"/>
      <c r="H679" s="4" t="s">
        <v>1968</v>
      </c>
      <c r="I679" s="4" t="s">
        <v>1025</v>
      </c>
      <c r="Q679" s="11">
        <v>1</v>
      </c>
      <c r="T679" s="11">
        <v>1</v>
      </c>
      <c r="Z679" s="11">
        <v>0</v>
      </c>
      <c r="AF679" s="11">
        <v>0</v>
      </c>
    </row>
    <row r="680" spans="1:32" x14ac:dyDescent="0.25">
      <c r="A680" s="161" t="str">
        <f>CONCATENATE(E680,IF(ISBLANK(C680),"",CONCATENATE("_",C680)))</f>
        <v>HORSEMAN_SONGHAI</v>
      </c>
      <c r="B680" s="9" t="s">
        <v>112</v>
      </c>
      <c r="C680" s="4" t="s">
        <v>737</v>
      </c>
      <c r="E680" s="4" t="s">
        <v>112</v>
      </c>
      <c r="F680" s="4" t="s">
        <v>112</v>
      </c>
      <c r="G680" s="14" t="s">
        <v>2047</v>
      </c>
      <c r="H680" s="4" t="s">
        <v>1986</v>
      </c>
      <c r="I680" s="4" t="s">
        <v>1025</v>
      </c>
      <c r="Q680" s="11">
        <v>0</v>
      </c>
      <c r="T680" s="11">
        <v>3</v>
      </c>
      <c r="Z680" s="11">
        <v>0</v>
      </c>
      <c r="AF680" s="11">
        <v>0</v>
      </c>
    </row>
    <row r="681" spans="1:32" x14ac:dyDescent="0.25">
      <c r="A681" s="161" t="str">
        <f t="shared" si="13"/>
        <v>HORSEMAN_AMER</v>
      </c>
      <c r="B681" s="9" t="s">
        <v>112</v>
      </c>
      <c r="C681" s="4" t="s">
        <v>697</v>
      </c>
      <c r="E681" s="4" t="s">
        <v>112</v>
      </c>
      <c r="F681" s="4" t="s">
        <v>112</v>
      </c>
      <c r="H681" s="4" t="s">
        <v>462</v>
      </c>
      <c r="I681" s="4" t="s">
        <v>1935</v>
      </c>
    </row>
    <row r="682" spans="1:32" x14ac:dyDescent="0.25">
      <c r="A682" s="161" t="str">
        <f t="shared" si="13"/>
        <v>HORSEMAN_IROQUOIS</v>
      </c>
      <c r="B682" s="9" t="s">
        <v>112</v>
      </c>
      <c r="C682" s="4" t="s">
        <v>721</v>
      </c>
      <c r="E682" s="4" t="s">
        <v>112</v>
      </c>
      <c r="F682" s="4" t="s">
        <v>112</v>
      </c>
      <c r="H682" s="4" t="s">
        <v>934</v>
      </c>
      <c r="I682" s="4" t="s">
        <v>1935</v>
      </c>
      <c r="Q682" s="11">
        <v>1</v>
      </c>
      <c r="T682" s="11">
        <v>1</v>
      </c>
      <c r="Z682" s="11">
        <v>0</v>
      </c>
      <c r="AF682" s="11">
        <v>1</v>
      </c>
    </row>
    <row r="683" spans="1:32" x14ac:dyDescent="0.25">
      <c r="A683" s="161" t="str">
        <f t="shared" si="13"/>
        <v>HORSEMAN_IROQUOIS</v>
      </c>
      <c r="B683" s="9" t="s">
        <v>112</v>
      </c>
      <c r="C683" s="4" t="s">
        <v>721</v>
      </c>
      <c r="E683" s="4" t="s">
        <v>112</v>
      </c>
      <c r="F683" s="4" t="s">
        <v>112</v>
      </c>
      <c r="G683" s="4" t="s">
        <v>2047</v>
      </c>
      <c r="H683" s="4" t="s">
        <v>935</v>
      </c>
      <c r="I683" s="4" t="s">
        <v>1935</v>
      </c>
      <c r="Q683" s="11">
        <v>1</v>
      </c>
      <c r="T683" s="11">
        <v>2</v>
      </c>
      <c r="Z683" s="11">
        <v>1</v>
      </c>
      <c r="AF683" s="11">
        <v>1</v>
      </c>
    </row>
    <row r="684" spans="1:32" x14ac:dyDescent="0.25">
      <c r="A684" s="161" t="str">
        <f t="shared" si="13"/>
        <v>HORSEMAN_IROQUOIS</v>
      </c>
      <c r="B684" s="9" t="s">
        <v>112</v>
      </c>
      <c r="C684" s="4" t="s">
        <v>721</v>
      </c>
      <c r="E684" s="4" t="s">
        <v>112</v>
      </c>
      <c r="F684" s="4" t="s">
        <v>112</v>
      </c>
      <c r="G684" s="4" t="s">
        <v>2049</v>
      </c>
      <c r="H684" s="4" t="s">
        <v>936</v>
      </c>
      <c r="I684" s="4" t="s">
        <v>1935</v>
      </c>
      <c r="Q684" s="11">
        <v>1</v>
      </c>
      <c r="T684" s="11">
        <v>1</v>
      </c>
      <c r="Z684" s="11">
        <v>0</v>
      </c>
      <c r="AF684" s="11">
        <v>1</v>
      </c>
    </row>
    <row r="685" spans="1:32" x14ac:dyDescent="0.25">
      <c r="A685" s="161" t="str">
        <f t="shared" si="13"/>
        <v>HORSEMAN_IROQUOIS</v>
      </c>
      <c r="B685" s="9" t="s">
        <v>112</v>
      </c>
      <c r="C685" s="4" t="s">
        <v>721</v>
      </c>
      <c r="E685" s="4" t="s">
        <v>112</v>
      </c>
      <c r="F685" s="4" t="s">
        <v>112</v>
      </c>
      <c r="G685" s="4" t="s">
        <v>2048</v>
      </c>
      <c r="H685" s="4" t="s">
        <v>937</v>
      </c>
      <c r="I685" s="4" t="s">
        <v>1935</v>
      </c>
      <c r="Q685" s="9">
        <v>1</v>
      </c>
      <c r="T685" s="11">
        <v>1</v>
      </c>
      <c r="Z685" s="9">
        <v>0</v>
      </c>
      <c r="AF685" s="11">
        <v>0</v>
      </c>
    </row>
    <row r="686" spans="1:32" x14ac:dyDescent="0.25">
      <c r="A686" s="161" t="str">
        <f t="shared" si="13"/>
        <v>HORSEMAN_IROQUOIS</v>
      </c>
      <c r="B686" s="9" t="s">
        <v>112</v>
      </c>
      <c r="C686" s="4" t="s">
        <v>721</v>
      </c>
      <c r="E686" s="4" t="s">
        <v>112</v>
      </c>
      <c r="F686" s="4" t="s">
        <v>112</v>
      </c>
      <c r="G686" s="4" t="s">
        <v>2058</v>
      </c>
      <c r="H686" s="4" t="s">
        <v>462</v>
      </c>
      <c r="I686" s="4" t="s">
        <v>1935</v>
      </c>
      <c r="Q686" s="9">
        <v>1</v>
      </c>
      <c r="T686" s="11">
        <v>2</v>
      </c>
      <c r="Z686" s="9">
        <v>0</v>
      </c>
      <c r="AF686" s="11">
        <v>0</v>
      </c>
    </row>
    <row r="687" spans="1:32" x14ac:dyDescent="0.25">
      <c r="A687" s="161" t="str">
        <f t="shared" si="13"/>
        <v>HORSEMAN_ASIA</v>
      </c>
      <c r="B687" s="9" t="s">
        <v>112</v>
      </c>
      <c r="C687" s="4" t="s">
        <v>693</v>
      </c>
      <c r="E687" s="4" t="s">
        <v>112</v>
      </c>
      <c r="F687" s="4" t="s">
        <v>112</v>
      </c>
      <c r="H687" s="4" t="s">
        <v>448</v>
      </c>
      <c r="I687" s="4" t="s">
        <v>102</v>
      </c>
    </row>
    <row r="688" spans="1:32" x14ac:dyDescent="0.25">
      <c r="A688" s="161" t="str">
        <f t="shared" si="13"/>
        <v>HORSEMAN_CHINA</v>
      </c>
      <c r="B688" s="9" t="s">
        <v>112</v>
      </c>
      <c r="C688" s="4" t="s">
        <v>710</v>
      </c>
      <c r="E688" s="4" t="s">
        <v>112</v>
      </c>
      <c r="F688" s="4" t="s">
        <v>112</v>
      </c>
      <c r="G688" s="14" t="s">
        <v>132</v>
      </c>
      <c r="H688" s="4" t="s">
        <v>248</v>
      </c>
      <c r="I688" s="4" t="s">
        <v>102</v>
      </c>
    </row>
    <row r="689" spans="1:32" x14ac:dyDescent="0.25">
      <c r="A689" s="161" t="str">
        <f t="shared" si="13"/>
        <v>HORSEMAN_JAPAN</v>
      </c>
      <c r="B689" s="9" t="s">
        <v>112</v>
      </c>
      <c r="C689" s="4" t="s">
        <v>722</v>
      </c>
      <c r="E689" s="4" t="s">
        <v>112</v>
      </c>
      <c r="F689" s="4" t="s">
        <v>112</v>
      </c>
      <c r="G689" s="14" t="s">
        <v>132</v>
      </c>
      <c r="H689" s="4" t="s">
        <v>480</v>
      </c>
      <c r="I689" s="4" t="s">
        <v>102</v>
      </c>
    </row>
    <row r="690" spans="1:32" x14ac:dyDescent="0.25">
      <c r="A690" s="161" t="str">
        <f t="shared" si="13"/>
        <v>HORSEMAN_KOREA</v>
      </c>
      <c r="B690" s="9" t="s">
        <v>112</v>
      </c>
      <c r="C690" s="4" t="s">
        <v>723</v>
      </c>
      <c r="E690" s="4" t="s">
        <v>112</v>
      </c>
      <c r="F690" s="4" t="s">
        <v>112</v>
      </c>
      <c r="G690" s="14" t="s">
        <v>132</v>
      </c>
      <c r="H690" s="4" t="s">
        <v>498</v>
      </c>
      <c r="I690" s="4" t="s">
        <v>102</v>
      </c>
    </row>
    <row r="691" spans="1:32" x14ac:dyDescent="0.25">
      <c r="A691" s="161" t="str">
        <f t="shared" si="13"/>
        <v>HORSEMAN_MONGOL</v>
      </c>
      <c r="B691" s="9" t="s">
        <v>112</v>
      </c>
      <c r="C691" s="4" t="s">
        <v>728</v>
      </c>
      <c r="E691" s="4" t="s">
        <v>112</v>
      </c>
      <c r="F691" s="4" t="s">
        <v>112</v>
      </c>
      <c r="G691" s="14" t="s">
        <v>132</v>
      </c>
      <c r="H691" s="4" t="s">
        <v>529</v>
      </c>
      <c r="I691" s="4" t="s">
        <v>2098</v>
      </c>
    </row>
    <row r="692" spans="1:32" x14ac:dyDescent="0.25">
      <c r="A692" s="161" t="str">
        <f t="shared" si="13"/>
        <v>HORSEMAN_CENTAS</v>
      </c>
      <c r="B692" s="9" t="s">
        <v>112</v>
      </c>
      <c r="C692" s="4" t="s">
        <v>918</v>
      </c>
      <c r="E692" s="4" t="s">
        <v>112</v>
      </c>
      <c r="F692" s="4" t="s">
        <v>112</v>
      </c>
      <c r="G692" s="14" t="s">
        <v>132</v>
      </c>
      <c r="H692" s="4" t="s">
        <v>907</v>
      </c>
      <c r="I692" s="4" t="s">
        <v>1063</v>
      </c>
    </row>
    <row r="693" spans="1:32" x14ac:dyDescent="0.25">
      <c r="A693" s="161" t="str">
        <f t="shared" si="13"/>
        <v>HORSEMAN_OTTOMAN</v>
      </c>
      <c r="B693" s="9" t="s">
        <v>112</v>
      </c>
      <c r="C693" s="4" t="s">
        <v>1037</v>
      </c>
      <c r="E693" s="4" t="s">
        <v>112</v>
      </c>
      <c r="F693" s="4" t="s">
        <v>112</v>
      </c>
      <c r="G693" s="14" t="s">
        <v>132</v>
      </c>
      <c r="H693" s="4" t="s">
        <v>1028</v>
      </c>
      <c r="I693" s="4" t="s">
        <v>2098</v>
      </c>
    </row>
    <row r="694" spans="1:32" x14ac:dyDescent="0.25">
      <c r="A694" s="161" t="str">
        <f t="shared" si="13"/>
        <v>HORSEMAN_EASTEU</v>
      </c>
      <c r="B694" s="9" t="s">
        <v>112</v>
      </c>
      <c r="C694" s="4" t="s">
        <v>698</v>
      </c>
      <c r="E694" s="4" t="s">
        <v>112</v>
      </c>
      <c r="F694" s="4" t="s">
        <v>112</v>
      </c>
      <c r="G694" s="14" t="s">
        <v>132</v>
      </c>
      <c r="H694" s="4" t="s">
        <v>1002</v>
      </c>
      <c r="I694" s="4" t="s">
        <v>2098</v>
      </c>
    </row>
    <row r="695" spans="1:32" x14ac:dyDescent="0.25">
      <c r="A695" s="161" t="str">
        <f t="shared" si="13"/>
        <v>HORSEMAN_RUSSIA</v>
      </c>
      <c r="B695" s="9" t="s">
        <v>112</v>
      </c>
      <c r="C695" s="4" t="s">
        <v>735</v>
      </c>
      <c r="E695" s="4" t="s">
        <v>112</v>
      </c>
      <c r="F695" s="4" t="s">
        <v>112</v>
      </c>
      <c r="H695" s="4" t="s">
        <v>1002</v>
      </c>
      <c r="I695" s="4" t="s">
        <v>2098</v>
      </c>
      <c r="Q695" s="11">
        <v>1</v>
      </c>
      <c r="T695" s="11">
        <v>1</v>
      </c>
      <c r="Z695" s="11">
        <v>0</v>
      </c>
      <c r="AF695" s="11">
        <v>0</v>
      </c>
    </row>
    <row r="696" spans="1:32" x14ac:dyDescent="0.25">
      <c r="A696" s="161" t="str">
        <f t="shared" si="13"/>
        <v>HORSEMAN_RUSSIA</v>
      </c>
      <c r="B696" s="9" t="s">
        <v>112</v>
      </c>
      <c r="C696" s="4" t="s">
        <v>735</v>
      </c>
      <c r="E696" s="4" t="s">
        <v>112</v>
      </c>
      <c r="F696" s="4" t="s">
        <v>112</v>
      </c>
      <c r="G696" s="4" t="s">
        <v>2047</v>
      </c>
      <c r="H696" s="4" t="s">
        <v>613</v>
      </c>
      <c r="I696" s="4" t="s">
        <v>2098</v>
      </c>
      <c r="Q696" s="11">
        <v>2</v>
      </c>
      <c r="T696" s="11">
        <v>2</v>
      </c>
      <c r="Z696" s="11">
        <v>1</v>
      </c>
      <c r="AF696" s="11">
        <v>1</v>
      </c>
    </row>
    <row r="697" spans="1:32" x14ac:dyDescent="0.25">
      <c r="A697" s="161" t="str">
        <f t="shared" si="13"/>
        <v>HORSEMAN_RUSSIA</v>
      </c>
      <c r="B697" s="9" t="s">
        <v>112</v>
      </c>
      <c r="C697" s="4" t="s">
        <v>735</v>
      </c>
      <c r="E697" s="4" t="s">
        <v>112</v>
      </c>
      <c r="F697" s="4" t="s">
        <v>112</v>
      </c>
      <c r="H697" s="4" t="s">
        <v>1002</v>
      </c>
      <c r="I697" s="4" t="s">
        <v>2098</v>
      </c>
      <c r="Q697" s="11">
        <v>1</v>
      </c>
      <c r="T697" s="11">
        <v>2</v>
      </c>
      <c r="Z697" s="11">
        <v>0</v>
      </c>
      <c r="AF697" s="11">
        <v>1</v>
      </c>
    </row>
    <row r="698" spans="1:32" x14ac:dyDescent="0.25">
      <c r="A698" s="161" t="str">
        <f t="shared" si="13"/>
        <v>HORSEMAN_RUSSIA</v>
      </c>
      <c r="B698" s="9" t="s">
        <v>112</v>
      </c>
      <c r="C698" s="4" t="s">
        <v>735</v>
      </c>
      <c r="E698" s="4" t="s">
        <v>112</v>
      </c>
      <c r="F698" s="4" t="s">
        <v>112</v>
      </c>
      <c r="G698" s="4" t="s">
        <v>2047</v>
      </c>
      <c r="H698" s="4" t="s">
        <v>613</v>
      </c>
      <c r="I698" s="4" t="s">
        <v>2098</v>
      </c>
      <c r="Q698" s="9">
        <v>1</v>
      </c>
      <c r="T698" s="11">
        <v>2</v>
      </c>
      <c r="Z698" s="9">
        <v>0</v>
      </c>
      <c r="AF698" s="11">
        <v>1</v>
      </c>
    </row>
    <row r="699" spans="1:32" x14ac:dyDescent="0.25">
      <c r="A699" s="161" t="str">
        <f t="shared" si="13"/>
        <v>HORSEMAN_ENGLAND</v>
      </c>
      <c r="B699" s="9" t="s">
        <v>112</v>
      </c>
      <c r="C699" s="4" t="s">
        <v>713</v>
      </c>
      <c r="E699" s="4" t="s">
        <v>112</v>
      </c>
      <c r="F699" s="4" t="s">
        <v>112</v>
      </c>
      <c r="G699" s="14" t="s">
        <v>132</v>
      </c>
      <c r="H699" s="4" t="s">
        <v>299</v>
      </c>
      <c r="I699" s="4" t="s">
        <v>102</v>
      </c>
    </row>
    <row r="700" spans="1:32" x14ac:dyDescent="0.25">
      <c r="A700" s="161" t="str">
        <f t="shared" si="13"/>
        <v>HORSEMAN_FRANCE</v>
      </c>
      <c r="B700" s="9" t="s">
        <v>112</v>
      </c>
      <c r="C700" s="4" t="s">
        <v>715</v>
      </c>
      <c r="E700" s="4" t="s">
        <v>112</v>
      </c>
      <c r="F700" s="4" t="s">
        <v>112</v>
      </c>
      <c r="G700" s="14" t="s">
        <v>132</v>
      </c>
      <c r="H700" s="4" t="s">
        <v>345</v>
      </c>
      <c r="I700" s="4" t="s">
        <v>102</v>
      </c>
    </row>
    <row r="701" spans="1:32" x14ac:dyDescent="0.25">
      <c r="A701" s="161" t="str">
        <f t="shared" si="13"/>
        <v>HORSEMAN_GERMANY</v>
      </c>
      <c r="B701" s="9" t="s">
        <v>112</v>
      </c>
      <c r="C701" s="4" t="s">
        <v>717</v>
      </c>
      <c r="E701" s="4" t="s">
        <v>112</v>
      </c>
      <c r="F701" s="4" t="s">
        <v>112</v>
      </c>
      <c r="G701" s="14" t="s">
        <v>132</v>
      </c>
      <c r="H701" s="4" t="s">
        <v>376</v>
      </c>
      <c r="I701" s="4" t="s">
        <v>102</v>
      </c>
    </row>
    <row r="702" spans="1:32" x14ac:dyDescent="0.25">
      <c r="A702" s="161" t="str">
        <f t="shared" si="13"/>
        <v>HORSEMAN_MED</v>
      </c>
      <c r="B702" s="9" t="s">
        <v>112</v>
      </c>
      <c r="C702" s="4" t="s">
        <v>692</v>
      </c>
      <c r="E702" s="4" t="s">
        <v>112</v>
      </c>
      <c r="F702" s="4" t="s">
        <v>112</v>
      </c>
      <c r="H702" s="4" t="s">
        <v>925</v>
      </c>
      <c r="I702" s="4" t="s">
        <v>128</v>
      </c>
      <c r="U702" s="11" t="s">
        <v>1695</v>
      </c>
    </row>
    <row r="703" spans="1:32" x14ac:dyDescent="0.25">
      <c r="A703" s="161" t="str">
        <f t="shared" si="13"/>
        <v>HORSEMAN_ROME</v>
      </c>
      <c r="B703" s="9" t="s">
        <v>112</v>
      </c>
      <c r="C703" s="4" t="s">
        <v>734</v>
      </c>
      <c r="E703" s="4" t="s">
        <v>112</v>
      </c>
      <c r="F703" s="4" t="s">
        <v>112</v>
      </c>
      <c r="H703" s="4" t="s">
        <v>1000</v>
      </c>
      <c r="I703" s="4" t="s">
        <v>102</v>
      </c>
      <c r="Q703" s="11">
        <v>1</v>
      </c>
      <c r="T703" s="11">
        <v>1</v>
      </c>
      <c r="Z703" s="11">
        <v>0</v>
      </c>
      <c r="AF703" s="11">
        <v>0</v>
      </c>
    </row>
    <row r="704" spans="1:32" x14ac:dyDescent="0.25">
      <c r="A704" s="161" t="str">
        <f t="shared" si="13"/>
        <v>HORSEMAN_ROME</v>
      </c>
      <c r="B704" s="9" t="s">
        <v>112</v>
      </c>
      <c r="C704" s="4" t="s">
        <v>734</v>
      </c>
      <c r="E704" s="4" t="s">
        <v>112</v>
      </c>
      <c r="F704" s="4" t="s">
        <v>112</v>
      </c>
      <c r="G704" s="4" t="s">
        <v>2047</v>
      </c>
      <c r="H704" s="4" t="s">
        <v>589</v>
      </c>
      <c r="I704" s="4" t="s">
        <v>102</v>
      </c>
      <c r="Q704" s="11">
        <v>2</v>
      </c>
      <c r="T704" s="11">
        <v>2</v>
      </c>
      <c r="Z704" s="11">
        <v>1</v>
      </c>
      <c r="AF704" s="11">
        <v>1</v>
      </c>
    </row>
    <row r="705" spans="1:32" x14ac:dyDescent="0.25">
      <c r="A705" s="161" t="str">
        <f t="shared" si="13"/>
        <v>HORSEMAN_ROME</v>
      </c>
      <c r="B705" s="9" t="s">
        <v>112</v>
      </c>
      <c r="C705" s="4" t="s">
        <v>734</v>
      </c>
      <c r="E705" s="4" t="s">
        <v>112</v>
      </c>
      <c r="F705" s="4" t="s">
        <v>112</v>
      </c>
      <c r="H705" s="4" t="s">
        <v>1000</v>
      </c>
      <c r="I705" s="4" t="s">
        <v>102</v>
      </c>
      <c r="Q705" s="11">
        <v>1</v>
      </c>
      <c r="T705" s="11">
        <v>1</v>
      </c>
      <c r="Z705" s="11">
        <v>0</v>
      </c>
      <c r="AF705" s="11">
        <v>1</v>
      </c>
    </row>
    <row r="706" spans="1:32" x14ac:dyDescent="0.25">
      <c r="A706" s="161" t="str">
        <f t="shared" si="13"/>
        <v>HORSEMAN_ROME</v>
      </c>
      <c r="B706" s="9" t="s">
        <v>112</v>
      </c>
      <c r="C706" s="4" t="s">
        <v>734</v>
      </c>
      <c r="E706" s="4" t="s">
        <v>112</v>
      </c>
      <c r="F706" s="4" t="s">
        <v>112</v>
      </c>
      <c r="G706" s="4" t="s">
        <v>2047</v>
      </c>
      <c r="H706" s="4" t="s">
        <v>589</v>
      </c>
      <c r="I706" s="4" t="s">
        <v>102</v>
      </c>
      <c r="Q706" s="9">
        <v>1</v>
      </c>
      <c r="T706" s="11">
        <v>3</v>
      </c>
      <c r="Z706" s="9">
        <v>0</v>
      </c>
      <c r="AF706" s="11">
        <v>1</v>
      </c>
    </row>
    <row r="707" spans="1:32" x14ac:dyDescent="0.25">
      <c r="A707" s="161" t="str">
        <f t="shared" si="13"/>
        <v>HORSEMAN_SPAIN</v>
      </c>
      <c r="B707" s="9" t="s">
        <v>112</v>
      </c>
      <c r="C707" s="4" t="s">
        <v>738</v>
      </c>
      <c r="E707" s="4" t="s">
        <v>112</v>
      </c>
      <c r="F707" s="4" t="s">
        <v>112</v>
      </c>
      <c r="G707" s="14" t="s">
        <v>132</v>
      </c>
      <c r="H707" s="4" t="s">
        <v>653</v>
      </c>
      <c r="I707" s="4" t="s">
        <v>2098</v>
      </c>
    </row>
    <row r="708" spans="1:32" x14ac:dyDescent="0.25">
      <c r="A708" s="161" t="str">
        <f t="shared" si="13"/>
        <v>HORSEMAN_MIDEAST</v>
      </c>
      <c r="B708" s="9" t="s">
        <v>112</v>
      </c>
      <c r="C708" s="4" t="s">
        <v>690</v>
      </c>
      <c r="E708" s="4" t="s">
        <v>112</v>
      </c>
      <c r="F708" s="4" t="s">
        <v>112</v>
      </c>
      <c r="H708" s="4" t="s">
        <v>162</v>
      </c>
      <c r="I708" s="4" t="s">
        <v>2098</v>
      </c>
    </row>
    <row r="709" spans="1:32" x14ac:dyDescent="0.25">
      <c r="A709" s="161" t="str">
        <f t="shared" si="13"/>
        <v>HORSEMAN_ARABIA</v>
      </c>
      <c r="B709" s="9" t="s">
        <v>112</v>
      </c>
      <c r="C709" s="4" t="s">
        <v>700</v>
      </c>
      <c r="D709" s="14" t="s">
        <v>690</v>
      </c>
      <c r="E709" s="4" t="s">
        <v>112</v>
      </c>
      <c r="F709" s="4" t="s">
        <v>112</v>
      </c>
      <c r="G709" s="14"/>
    </row>
    <row r="710" spans="1:32" x14ac:dyDescent="0.25">
      <c r="A710" s="161" t="str">
        <f t="shared" si="13"/>
        <v>HORSEMAN_BABYLON</v>
      </c>
      <c r="B710" s="9" t="s">
        <v>112</v>
      </c>
      <c r="C710" s="4" t="s">
        <v>703</v>
      </c>
      <c r="E710" s="4" t="s">
        <v>112</v>
      </c>
      <c r="F710" s="4" t="s">
        <v>112</v>
      </c>
      <c r="G710" s="14"/>
      <c r="H710" s="4" t="s">
        <v>209</v>
      </c>
      <c r="I710" s="4" t="s">
        <v>102</v>
      </c>
    </row>
    <row r="711" spans="1:32" x14ac:dyDescent="0.25">
      <c r="A711" s="161" t="str">
        <f t="shared" si="13"/>
        <v>HORSEMAN_EGYPT</v>
      </c>
      <c r="B711" s="9" t="s">
        <v>112</v>
      </c>
      <c r="C711" s="4" t="s">
        <v>712</v>
      </c>
      <c r="E711" s="4" t="s">
        <v>112</v>
      </c>
      <c r="F711" s="4" t="s">
        <v>112</v>
      </c>
      <c r="G711" s="14" t="s">
        <v>132</v>
      </c>
      <c r="H711" s="4" t="s">
        <v>280</v>
      </c>
      <c r="I711" s="4" t="s">
        <v>2098</v>
      </c>
    </row>
    <row r="712" spans="1:32" x14ac:dyDescent="0.25">
      <c r="A712" s="161" t="str">
        <f t="shared" si="13"/>
        <v>HORSEMAN_LEVANT</v>
      </c>
      <c r="B712" s="9" t="s">
        <v>112</v>
      </c>
      <c r="C712" s="4" t="s">
        <v>724</v>
      </c>
      <c r="E712" s="4" t="s">
        <v>112</v>
      </c>
      <c r="F712" s="4" t="s">
        <v>112</v>
      </c>
      <c r="G712" s="14" t="s">
        <v>132</v>
      </c>
      <c r="H712" s="4" t="s">
        <v>509</v>
      </c>
      <c r="I712" s="4" t="s">
        <v>1063</v>
      </c>
    </row>
    <row r="713" spans="1:32" x14ac:dyDescent="0.25">
      <c r="A713" s="161" t="str">
        <f t="shared" si="13"/>
        <v>HORSEMAN_PERSIA</v>
      </c>
      <c r="B713" s="9" t="s">
        <v>112</v>
      </c>
      <c r="C713" s="4" t="s">
        <v>731</v>
      </c>
      <c r="E713" s="4" t="s">
        <v>112</v>
      </c>
      <c r="F713" s="4" t="s">
        <v>112</v>
      </c>
      <c r="G713" s="14" t="s">
        <v>132</v>
      </c>
      <c r="H713" s="4" t="s">
        <v>554</v>
      </c>
      <c r="I713" s="4" t="s">
        <v>102</v>
      </c>
    </row>
    <row r="714" spans="1:32" x14ac:dyDescent="0.25">
      <c r="A714" s="161" t="str">
        <f t="shared" si="13"/>
        <v>HORSEMAN_NORTHEU</v>
      </c>
      <c r="B714" s="9" t="s">
        <v>112</v>
      </c>
      <c r="C714" s="4" t="s">
        <v>962</v>
      </c>
      <c r="E714" s="4" t="s">
        <v>112</v>
      </c>
      <c r="F714" s="4" t="s">
        <v>112</v>
      </c>
      <c r="G714" s="14" t="s">
        <v>132</v>
      </c>
      <c r="H714" s="4" t="s">
        <v>267</v>
      </c>
      <c r="I714" s="4" t="s">
        <v>102</v>
      </c>
    </row>
    <row r="715" spans="1:32" x14ac:dyDescent="0.25">
      <c r="A715" s="161" t="str">
        <f t="shared" ref="A715:A810" si="14">CONCATENATE(E715,IF(ISBLANK(C715),"",CONCATENATE("_",C715)))</f>
        <v>HORSEMAN_OCEAN</v>
      </c>
      <c r="B715" s="9" t="s">
        <v>112</v>
      </c>
      <c r="C715" s="4" t="s">
        <v>994</v>
      </c>
      <c r="D715" s="4" t="s">
        <v>691</v>
      </c>
      <c r="E715" s="4" t="s">
        <v>112</v>
      </c>
      <c r="F715" s="4" t="s">
        <v>112</v>
      </c>
    </row>
    <row r="716" spans="1:32" x14ac:dyDescent="0.25">
      <c r="A716" s="161" t="str">
        <f t="shared" si="14"/>
        <v>HORSEMAN_SEASIA</v>
      </c>
      <c r="B716" s="9" t="s">
        <v>112</v>
      </c>
      <c r="C716" s="4" t="s">
        <v>696</v>
      </c>
      <c r="D716" s="4" t="s">
        <v>693</v>
      </c>
      <c r="E716" s="4" t="s">
        <v>112</v>
      </c>
      <c r="F716" s="4" t="s">
        <v>112</v>
      </c>
    </row>
    <row r="717" spans="1:32" x14ac:dyDescent="0.25">
      <c r="A717" s="161" t="str">
        <f t="shared" si="14"/>
        <v>HORSEMAN_SOUTHAM</v>
      </c>
      <c r="B717" s="9" t="s">
        <v>112</v>
      </c>
      <c r="C717" s="4" t="s">
        <v>691</v>
      </c>
      <c r="E717" s="4" t="s">
        <v>112</v>
      </c>
      <c r="F717" s="4" t="s">
        <v>112</v>
      </c>
      <c r="H717" s="4" t="s">
        <v>517</v>
      </c>
      <c r="I717" s="4" t="s">
        <v>2098</v>
      </c>
    </row>
    <row r="718" spans="1:32" x14ac:dyDescent="0.25">
      <c r="A718" s="161" t="str">
        <f t="shared" si="14"/>
        <v>HORSEMAN_AZTEC</v>
      </c>
      <c r="B718" s="9" t="s">
        <v>112</v>
      </c>
      <c r="C718" s="4" t="s">
        <v>702</v>
      </c>
      <c r="E718" s="4" t="s">
        <v>112</v>
      </c>
      <c r="F718" s="4" t="s">
        <v>112</v>
      </c>
      <c r="G718" s="14"/>
      <c r="H718" s="4" t="s">
        <v>196</v>
      </c>
      <c r="I718" s="4" t="s">
        <v>2098</v>
      </c>
    </row>
    <row r="719" spans="1:32" x14ac:dyDescent="0.25">
      <c r="A719" s="161" t="str">
        <f t="shared" si="14"/>
        <v>HORSEMAN_INCA</v>
      </c>
      <c r="B719" s="9" t="s">
        <v>112</v>
      </c>
      <c r="C719" s="4" t="s">
        <v>719</v>
      </c>
      <c r="E719" s="4" t="s">
        <v>112</v>
      </c>
      <c r="F719" s="4" t="s">
        <v>112</v>
      </c>
      <c r="G719" s="14" t="s">
        <v>132</v>
      </c>
      <c r="H719" s="4" t="s">
        <v>420</v>
      </c>
      <c r="I719" s="4" t="s">
        <v>2098</v>
      </c>
    </row>
    <row r="720" spans="1:32" x14ac:dyDescent="0.25">
      <c r="A720" s="161" t="str">
        <f t="shared" si="14"/>
        <v>HORSEMAN_MAYA</v>
      </c>
      <c r="B720" s="9" t="s">
        <v>112</v>
      </c>
      <c r="C720" s="4" t="s">
        <v>725</v>
      </c>
      <c r="D720" s="4" t="s">
        <v>691</v>
      </c>
      <c r="E720" s="4" t="s">
        <v>112</v>
      </c>
      <c r="F720" s="4" t="s">
        <v>112</v>
      </c>
      <c r="G720" s="14" t="s">
        <v>132</v>
      </c>
    </row>
    <row r="721" spans="1:43" x14ac:dyDescent="0.25">
      <c r="A721" s="161" t="str">
        <f t="shared" si="14"/>
        <v>HORSEMAN_SOUTHAS</v>
      </c>
      <c r="B721" s="9" t="s">
        <v>112</v>
      </c>
      <c r="C721" s="4" t="s">
        <v>695</v>
      </c>
      <c r="E721" s="4" t="s">
        <v>112</v>
      </c>
      <c r="F721" s="4" t="s">
        <v>112</v>
      </c>
      <c r="H721" s="4" t="s">
        <v>434</v>
      </c>
      <c r="I721" s="4" t="s">
        <v>102</v>
      </c>
    </row>
    <row r="722" spans="1:43" x14ac:dyDescent="0.25">
      <c r="A722" s="161" t="str">
        <f t="shared" si="14"/>
        <v>INFANTRY</v>
      </c>
      <c r="C722" s="5"/>
      <c r="D722" s="5"/>
      <c r="E722" s="5" t="s">
        <v>111</v>
      </c>
      <c r="F722" s="5" t="s">
        <v>111</v>
      </c>
      <c r="G722" s="5"/>
      <c r="H722" s="5" t="s">
        <v>1502</v>
      </c>
      <c r="I722" s="5" t="s">
        <v>102</v>
      </c>
      <c r="J722" s="6"/>
      <c r="K722" s="6"/>
      <c r="L722" s="13" t="s">
        <v>1708</v>
      </c>
      <c r="M722" s="8"/>
      <c r="N722" s="5"/>
      <c r="O722" s="5"/>
      <c r="P722" s="5"/>
      <c r="Q722" s="7" t="s">
        <v>1737</v>
      </c>
      <c r="R722" s="6" t="s">
        <v>1737</v>
      </c>
      <c r="S722" s="13" t="s">
        <v>1620</v>
      </c>
      <c r="T722" s="6">
        <v>18</v>
      </c>
      <c r="U722" s="7" t="s">
        <v>1737</v>
      </c>
      <c r="V722" s="5"/>
      <c r="W722" s="6" t="s">
        <v>3</v>
      </c>
      <c r="X722" s="6" t="s">
        <v>3</v>
      </c>
      <c r="Y722" s="5"/>
      <c r="Z722" s="7">
        <v>1</v>
      </c>
      <c r="AA722" s="6"/>
      <c r="AB722" s="5"/>
      <c r="AC722" s="6"/>
      <c r="AD722" s="6" t="s">
        <v>3</v>
      </c>
      <c r="AE722" s="5"/>
      <c r="AF722" s="7" t="s">
        <v>1737</v>
      </c>
      <c r="AG722" s="6"/>
      <c r="AH722" s="5"/>
      <c r="AI722" s="6" t="s">
        <v>1737</v>
      </c>
      <c r="AJ722" s="6"/>
      <c r="AK722" s="5"/>
      <c r="AL722" s="5"/>
      <c r="AM722" s="5"/>
      <c r="AN722" s="5"/>
      <c r="AO722" s="5"/>
      <c r="AP722" s="5"/>
      <c r="AQ722" s="5"/>
    </row>
    <row r="723" spans="1:43" x14ac:dyDescent="0.25">
      <c r="A723" s="161" t="str">
        <f t="shared" si="14"/>
        <v>INQUISITOR</v>
      </c>
      <c r="B723" s="9" t="s">
        <v>759</v>
      </c>
      <c r="C723" s="5"/>
      <c r="D723" s="5"/>
      <c r="E723" s="5" t="s">
        <v>759</v>
      </c>
      <c r="F723" s="5" t="s">
        <v>759</v>
      </c>
      <c r="G723" s="5"/>
      <c r="H723" s="5" t="s">
        <v>7</v>
      </c>
      <c r="I723" s="5" t="s">
        <v>128</v>
      </c>
      <c r="J723" s="11">
        <v>1</v>
      </c>
      <c r="K723" s="6"/>
      <c r="L723" s="13" t="s">
        <v>1708</v>
      </c>
      <c r="M723" s="8"/>
      <c r="N723" s="5"/>
      <c r="O723" s="5"/>
      <c r="P723" s="5"/>
      <c r="Q723" s="6">
        <v>1</v>
      </c>
      <c r="R723" s="6" t="s">
        <v>1737</v>
      </c>
      <c r="S723" s="13" t="s">
        <v>1614</v>
      </c>
      <c r="T723" s="6">
        <v>1</v>
      </c>
      <c r="U723" s="7" t="s">
        <v>1737</v>
      </c>
      <c r="V723" s="5"/>
      <c r="W723" s="6"/>
      <c r="X723" s="6" t="s">
        <v>3</v>
      </c>
      <c r="Y723" s="5"/>
      <c r="Z723" s="7">
        <v>1</v>
      </c>
      <c r="AA723" s="6"/>
      <c r="AB723" s="5"/>
      <c r="AC723" s="6"/>
      <c r="AD723" s="6" t="s">
        <v>3</v>
      </c>
      <c r="AE723" s="5"/>
      <c r="AF723" s="6">
        <v>1</v>
      </c>
      <c r="AG723" s="6"/>
      <c r="AH723" s="5"/>
      <c r="AI723" s="6"/>
      <c r="AJ723" s="6"/>
      <c r="AK723" s="5"/>
      <c r="AL723" s="5"/>
      <c r="AM723" s="5"/>
      <c r="AN723" s="5"/>
      <c r="AO723" s="5"/>
      <c r="AP723" s="5"/>
      <c r="AQ723" s="5"/>
    </row>
    <row r="724" spans="1:43" x14ac:dyDescent="0.25">
      <c r="A724" s="161" t="str">
        <f t="shared" si="14"/>
        <v>INQUISITOR</v>
      </c>
      <c r="B724" s="9" t="s">
        <v>759</v>
      </c>
      <c r="C724" s="5"/>
      <c r="D724" s="5"/>
      <c r="E724" s="5" t="s">
        <v>759</v>
      </c>
      <c r="F724" s="5" t="s">
        <v>759</v>
      </c>
      <c r="G724" s="5" t="s">
        <v>2079</v>
      </c>
      <c r="H724" s="5" t="s">
        <v>1486</v>
      </c>
      <c r="I724" s="5" t="s">
        <v>128</v>
      </c>
      <c r="J724" s="11">
        <v>1</v>
      </c>
      <c r="K724" s="6"/>
      <c r="L724" s="13" t="s">
        <v>1708</v>
      </c>
      <c r="M724" s="8"/>
      <c r="N724" s="5"/>
      <c r="O724" s="5"/>
      <c r="P724" s="5"/>
      <c r="Q724" s="6">
        <v>1</v>
      </c>
      <c r="R724" s="6">
        <v>0.125</v>
      </c>
      <c r="S724" s="13" t="s">
        <v>1614</v>
      </c>
      <c r="T724" s="6">
        <v>1</v>
      </c>
      <c r="U724" s="7" t="s">
        <v>1737</v>
      </c>
      <c r="V724" s="5"/>
      <c r="W724" s="6"/>
      <c r="X724" s="6" t="s">
        <v>3</v>
      </c>
      <c r="Y724" s="5"/>
      <c r="Z724" s="7">
        <v>0</v>
      </c>
      <c r="AA724" s="6"/>
      <c r="AB724" s="5"/>
      <c r="AC724" s="6"/>
      <c r="AD724" s="6" t="s">
        <v>3</v>
      </c>
      <c r="AE724" s="5"/>
      <c r="AF724" s="6">
        <v>1</v>
      </c>
      <c r="AG724" s="6"/>
      <c r="AH724" s="5"/>
      <c r="AI724" s="6"/>
      <c r="AJ724" s="6"/>
      <c r="AK724" s="5"/>
      <c r="AL724" s="5"/>
      <c r="AM724" s="5"/>
      <c r="AN724" s="5"/>
      <c r="AO724" s="5"/>
      <c r="AP724" s="5"/>
      <c r="AQ724" s="5"/>
    </row>
    <row r="725" spans="1:43" x14ac:dyDescent="0.25">
      <c r="A725" s="161" t="str">
        <f t="shared" si="14"/>
        <v>INQUISITOR</v>
      </c>
      <c r="B725" s="9" t="s">
        <v>759</v>
      </c>
      <c r="C725" s="5"/>
      <c r="D725" s="5"/>
      <c r="E725" s="5" t="s">
        <v>759</v>
      </c>
      <c r="F725" s="5" t="s">
        <v>759</v>
      </c>
      <c r="G725" s="5" t="s">
        <v>2080</v>
      </c>
      <c r="H725" s="5" t="s">
        <v>1487</v>
      </c>
      <c r="I725" s="5" t="s">
        <v>128</v>
      </c>
      <c r="J725" s="11">
        <v>1</v>
      </c>
      <c r="K725" s="6"/>
      <c r="L725" s="13" t="s">
        <v>1708</v>
      </c>
      <c r="M725" s="8"/>
      <c r="N725" s="5"/>
      <c r="O725" s="5"/>
      <c r="P725" s="5"/>
      <c r="Q725" s="6">
        <v>1</v>
      </c>
      <c r="R725" s="6">
        <v>0.13</v>
      </c>
      <c r="S725" s="13" t="s">
        <v>1614</v>
      </c>
      <c r="T725" s="6">
        <v>1</v>
      </c>
      <c r="U725" s="7" t="s">
        <v>1737</v>
      </c>
      <c r="V725" s="5"/>
      <c r="W725" s="6"/>
      <c r="X725" s="6" t="s">
        <v>3</v>
      </c>
      <c r="Y725" s="5"/>
      <c r="Z725" s="7">
        <v>0</v>
      </c>
      <c r="AA725" s="6"/>
      <c r="AB725" s="5"/>
      <c r="AC725" s="6"/>
      <c r="AD725" s="6" t="s">
        <v>3</v>
      </c>
      <c r="AE725" s="5"/>
      <c r="AF725" s="6">
        <v>0</v>
      </c>
      <c r="AG725" s="6"/>
      <c r="AH725" s="5"/>
      <c r="AI725" s="6"/>
      <c r="AJ725" s="6"/>
      <c r="AK725" s="5"/>
      <c r="AL725" s="5"/>
      <c r="AM725" s="5"/>
      <c r="AN725" s="5"/>
      <c r="AO725" s="5"/>
      <c r="AP725" s="5"/>
      <c r="AQ725" s="5"/>
    </row>
    <row r="726" spans="1:43" x14ac:dyDescent="0.25">
      <c r="A726" s="161" t="str">
        <f t="shared" si="14"/>
        <v>INQUISITOR_AFRI</v>
      </c>
      <c r="B726" s="9" t="s">
        <v>759</v>
      </c>
      <c r="C726" s="4" t="s">
        <v>694</v>
      </c>
      <c r="D726" s="4" t="s">
        <v>690</v>
      </c>
      <c r="E726" s="4" t="s">
        <v>759</v>
      </c>
      <c r="F726" s="4" t="s">
        <v>759</v>
      </c>
    </row>
    <row r="727" spans="1:43" x14ac:dyDescent="0.25">
      <c r="A727" s="161" t="str">
        <f>CONCATENATE(E727,IF(ISBLANK(C727),"",CONCATENATE("_",C727)))</f>
        <v>INQUISITOR_AMER</v>
      </c>
      <c r="B727" s="9" t="s">
        <v>759</v>
      </c>
      <c r="C727" s="4" t="s">
        <v>697</v>
      </c>
      <c r="E727" s="4" t="s">
        <v>759</v>
      </c>
      <c r="F727" s="4" t="s">
        <v>759</v>
      </c>
      <c r="H727" s="4" t="s">
        <v>1798</v>
      </c>
      <c r="I727" s="4" t="s">
        <v>963</v>
      </c>
      <c r="J727" s="11">
        <v>1</v>
      </c>
      <c r="Q727" s="11">
        <v>1</v>
      </c>
      <c r="R727" s="11" t="s">
        <v>1737</v>
      </c>
      <c r="Z727" s="11">
        <v>1</v>
      </c>
      <c r="AF727" s="11">
        <v>1</v>
      </c>
    </row>
    <row r="728" spans="1:43" x14ac:dyDescent="0.25">
      <c r="A728" s="161" t="str">
        <f>CONCATENATE(E728,IF(ISBLANK(C728),"",CONCATENATE("_",C728)))</f>
        <v>INQUISITOR_AMER</v>
      </c>
      <c r="B728" s="9" t="s">
        <v>759</v>
      </c>
      <c r="C728" s="4" t="s">
        <v>697</v>
      </c>
      <c r="E728" s="4" t="s">
        <v>759</v>
      </c>
      <c r="F728" s="4" t="s">
        <v>759</v>
      </c>
      <c r="G728" s="4" t="s">
        <v>2040</v>
      </c>
      <c r="H728" s="4" t="s">
        <v>1801</v>
      </c>
      <c r="I728" s="4" t="s">
        <v>963</v>
      </c>
      <c r="J728" s="11">
        <v>1</v>
      </c>
      <c r="Q728" s="11">
        <v>2</v>
      </c>
      <c r="R728" s="11" t="s">
        <v>1737</v>
      </c>
      <c r="Z728" s="11">
        <v>0</v>
      </c>
      <c r="AF728" s="11">
        <v>1</v>
      </c>
    </row>
    <row r="729" spans="1:43" x14ac:dyDescent="0.25">
      <c r="A729" s="161" t="str">
        <f t="shared" si="14"/>
        <v>INQUISITOR_ASIA</v>
      </c>
      <c r="B729" s="9" t="s">
        <v>759</v>
      </c>
      <c r="C729" s="4" t="s">
        <v>693</v>
      </c>
      <c r="E729" s="4" t="s">
        <v>759</v>
      </c>
      <c r="F729" s="4" t="s">
        <v>759</v>
      </c>
      <c r="H729" s="4" t="s">
        <v>842</v>
      </c>
      <c r="I729" s="4" t="s">
        <v>102</v>
      </c>
      <c r="J729" s="11">
        <v>1</v>
      </c>
      <c r="Q729" s="11">
        <v>1</v>
      </c>
      <c r="R729" s="11" t="s">
        <v>1737</v>
      </c>
      <c r="Z729" s="11">
        <v>1</v>
      </c>
      <c r="AF729" s="11">
        <v>1</v>
      </c>
    </row>
    <row r="730" spans="1:43" x14ac:dyDescent="0.25">
      <c r="A730" s="161" t="str">
        <f>CONCATENATE(E730,IF(ISBLANK(C730),"",CONCATENATE("_",C730)))</f>
        <v>INQUISITOR_ASIA</v>
      </c>
      <c r="B730" s="9" t="s">
        <v>759</v>
      </c>
      <c r="C730" s="4" t="s">
        <v>693</v>
      </c>
      <c r="E730" s="4" t="s">
        <v>759</v>
      </c>
      <c r="F730" s="4" t="s">
        <v>759</v>
      </c>
      <c r="G730" s="4" t="s">
        <v>2040</v>
      </c>
      <c r="H730" s="4" t="s">
        <v>1793</v>
      </c>
      <c r="I730" s="4" t="s">
        <v>102</v>
      </c>
      <c r="J730" s="11">
        <v>1</v>
      </c>
      <c r="Q730" s="11">
        <v>2</v>
      </c>
      <c r="R730" s="11">
        <v>0.13500000000000001</v>
      </c>
      <c r="Z730" s="11">
        <v>0</v>
      </c>
      <c r="AF730" s="11">
        <v>1</v>
      </c>
    </row>
    <row r="731" spans="1:43" x14ac:dyDescent="0.25">
      <c r="A731" s="161" t="str">
        <f t="shared" si="14"/>
        <v>INQUISITOR_CENTAS</v>
      </c>
      <c r="B731" s="9" t="s">
        <v>759</v>
      </c>
      <c r="C731" s="4" t="s">
        <v>918</v>
      </c>
      <c r="D731" s="4" t="s">
        <v>690</v>
      </c>
      <c r="E731" s="4" t="s">
        <v>759</v>
      </c>
      <c r="F731" s="4" t="s">
        <v>759</v>
      </c>
      <c r="G731" s="14" t="s">
        <v>132</v>
      </c>
      <c r="H731" s="14"/>
    </row>
    <row r="732" spans="1:43" x14ac:dyDescent="0.25">
      <c r="A732" s="161" t="str">
        <f t="shared" si="14"/>
        <v>INQUISITOR_CELTS</v>
      </c>
      <c r="B732" s="9" t="s">
        <v>759</v>
      </c>
      <c r="C732" s="4" t="s">
        <v>709</v>
      </c>
      <c r="E732" s="4" t="s">
        <v>759</v>
      </c>
      <c r="F732" s="4" t="s">
        <v>759</v>
      </c>
      <c r="G732" s="14" t="s">
        <v>132</v>
      </c>
      <c r="H732" s="4" t="s">
        <v>237</v>
      </c>
      <c r="I732" s="4" t="s">
        <v>957</v>
      </c>
      <c r="J732" s="11">
        <v>1</v>
      </c>
      <c r="Q732" s="11">
        <v>3</v>
      </c>
      <c r="R732" s="11">
        <v>0.11</v>
      </c>
      <c r="Z732" s="11">
        <v>1</v>
      </c>
      <c r="AF732" s="11">
        <v>2</v>
      </c>
    </row>
    <row r="733" spans="1:43" x14ac:dyDescent="0.25">
      <c r="A733" s="161" t="str">
        <f t="shared" si="14"/>
        <v>INQUISITOR_MIDEAST</v>
      </c>
      <c r="B733" s="9" t="s">
        <v>759</v>
      </c>
      <c r="C733" s="4" t="s">
        <v>690</v>
      </c>
      <c r="E733" s="4" t="s">
        <v>759</v>
      </c>
      <c r="F733" s="4" t="s">
        <v>759</v>
      </c>
      <c r="H733" s="4" t="s">
        <v>859</v>
      </c>
      <c r="I733" s="4" t="s">
        <v>951</v>
      </c>
      <c r="J733" s="11">
        <v>1</v>
      </c>
      <c r="Q733" s="11">
        <v>3</v>
      </c>
      <c r="R733" s="11">
        <v>1.66</v>
      </c>
      <c r="U733" s="11">
        <v>1.3</v>
      </c>
      <c r="Z733" s="9">
        <v>1</v>
      </c>
      <c r="AF733" s="11">
        <v>2</v>
      </c>
    </row>
    <row r="734" spans="1:43" x14ac:dyDescent="0.25">
      <c r="A734" s="161" t="str">
        <f t="shared" si="14"/>
        <v>INQUISITOR_OCEAN</v>
      </c>
      <c r="B734" s="9" t="s">
        <v>759</v>
      </c>
      <c r="C734" s="4" t="s">
        <v>994</v>
      </c>
      <c r="D734" s="4" t="s">
        <v>691</v>
      </c>
      <c r="E734" s="4" t="s">
        <v>759</v>
      </c>
      <c r="F734" s="4" t="s">
        <v>759</v>
      </c>
    </row>
    <row r="735" spans="1:43" x14ac:dyDescent="0.25">
      <c r="A735" s="161" t="str">
        <f t="shared" si="14"/>
        <v>INQUISITOR_SEASIA</v>
      </c>
      <c r="B735" s="9" t="s">
        <v>759</v>
      </c>
      <c r="C735" s="4" t="s">
        <v>696</v>
      </c>
      <c r="D735" s="4" t="s">
        <v>693</v>
      </c>
      <c r="E735" s="4" t="s">
        <v>759</v>
      </c>
      <c r="F735" s="4" t="s">
        <v>759</v>
      </c>
    </row>
    <row r="736" spans="1:43" x14ac:dyDescent="0.25">
      <c r="A736" s="161" t="str">
        <f>CONCATENATE(E736,IF(ISBLANK(C736),"",CONCATENATE("_",C736)))</f>
        <v>INQUISITOR_SOUTHAM</v>
      </c>
      <c r="B736" s="9" t="s">
        <v>759</v>
      </c>
      <c r="C736" s="4" t="s">
        <v>691</v>
      </c>
      <c r="E736" s="4" t="s">
        <v>759</v>
      </c>
      <c r="F736" s="4" t="s">
        <v>759</v>
      </c>
      <c r="H736" s="4" t="s">
        <v>2178</v>
      </c>
      <c r="I736" s="4" t="s">
        <v>1046</v>
      </c>
      <c r="J736" s="11">
        <v>1</v>
      </c>
      <c r="Q736" s="11">
        <v>1</v>
      </c>
      <c r="R736" s="11" t="s">
        <v>1737</v>
      </c>
      <c r="Z736" s="11">
        <v>1</v>
      </c>
      <c r="AF736" s="11">
        <v>1</v>
      </c>
    </row>
    <row r="737" spans="1:43" x14ac:dyDescent="0.25">
      <c r="A737" s="161" t="str">
        <f>CONCATENATE(E737,IF(ISBLANK(C737),"",CONCATENATE("_",C737)))</f>
        <v>INQUISITOR_SOUTHAM</v>
      </c>
      <c r="B737" s="9" t="s">
        <v>759</v>
      </c>
      <c r="C737" s="4" t="s">
        <v>691</v>
      </c>
      <c r="E737" s="4" t="s">
        <v>759</v>
      </c>
      <c r="F737" s="4" t="s">
        <v>759</v>
      </c>
      <c r="G737" s="4" t="s">
        <v>2040</v>
      </c>
      <c r="H737" s="4" t="s">
        <v>1799</v>
      </c>
      <c r="I737" s="4" t="s">
        <v>963</v>
      </c>
      <c r="J737" s="11">
        <v>1</v>
      </c>
      <c r="Q737" s="11">
        <v>2</v>
      </c>
      <c r="R737" s="11" t="s">
        <v>1737</v>
      </c>
      <c r="Z737" s="11">
        <v>0</v>
      </c>
      <c r="AF737" s="11">
        <v>1</v>
      </c>
    </row>
    <row r="738" spans="1:43" x14ac:dyDescent="0.25">
      <c r="A738" s="161" t="str">
        <f t="shared" si="14"/>
        <v>INQUISITOR_SOUTHAS</v>
      </c>
      <c r="B738" s="9" t="s">
        <v>759</v>
      </c>
      <c r="C738" s="4" t="s">
        <v>695</v>
      </c>
      <c r="D738" s="4" t="s">
        <v>693</v>
      </c>
      <c r="E738" s="4" t="s">
        <v>759</v>
      </c>
      <c r="F738" s="4" t="s">
        <v>759</v>
      </c>
    </row>
    <row r="739" spans="1:43" x14ac:dyDescent="0.25">
      <c r="A739" s="161" t="str">
        <f t="shared" ref="A739:A754" si="15">CONCATENATE(E739,IF(ISBLANK(C739),"",CONCATENATE("_",C739)))</f>
        <v>INQUISITOR_RENAISSANCE</v>
      </c>
      <c r="B739" s="9" t="s">
        <v>759</v>
      </c>
      <c r="C739" s="5"/>
      <c r="D739" s="5"/>
      <c r="E739" s="5" t="s">
        <v>2126</v>
      </c>
      <c r="F739" s="5" t="s">
        <v>759</v>
      </c>
      <c r="G739" s="5"/>
      <c r="H739" s="5" t="s">
        <v>7</v>
      </c>
      <c r="I739" s="5" t="s">
        <v>128</v>
      </c>
      <c r="K739" s="6"/>
      <c r="L739" s="13" t="s">
        <v>1708</v>
      </c>
      <c r="M739" s="8"/>
      <c r="N739" s="5"/>
      <c r="O739" s="5"/>
      <c r="P739" s="5"/>
      <c r="Q739" s="6">
        <v>1</v>
      </c>
      <c r="R739" s="6" t="s">
        <v>1737</v>
      </c>
      <c r="S739" s="13" t="s">
        <v>1614</v>
      </c>
      <c r="T739" s="6">
        <v>1</v>
      </c>
      <c r="U739" s="7" t="s">
        <v>1737</v>
      </c>
      <c r="V739" s="5"/>
      <c r="W739" s="6"/>
      <c r="X739" s="6" t="s">
        <v>3</v>
      </c>
      <c r="Y739" s="5"/>
      <c r="Z739" s="7">
        <v>1</v>
      </c>
      <c r="AA739" s="6"/>
      <c r="AB739" s="5"/>
      <c r="AC739" s="6"/>
      <c r="AD739" s="6" t="s">
        <v>3</v>
      </c>
      <c r="AE739" s="5"/>
      <c r="AF739" s="6">
        <v>1</v>
      </c>
      <c r="AG739" s="6"/>
      <c r="AH739" s="5"/>
      <c r="AI739" s="6"/>
      <c r="AJ739" s="6"/>
      <c r="AK739" s="5"/>
      <c r="AL739" s="5"/>
      <c r="AM739" s="5"/>
      <c r="AN739" s="5"/>
      <c r="AO739" s="5"/>
      <c r="AP739" s="5"/>
      <c r="AQ739" s="5"/>
    </row>
    <row r="740" spans="1:43" x14ac:dyDescent="0.25">
      <c r="A740" s="161" t="str">
        <f t="shared" si="15"/>
        <v>INQUISITOR_RENAISSANCE</v>
      </c>
      <c r="B740" s="9" t="s">
        <v>759</v>
      </c>
      <c r="C740" s="5"/>
      <c r="D740" s="5"/>
      <c r="E740" s="5" t="s">
        <v>2126</v>
      </c>
      <c r="F740" s="5" t="s">
        <v>759</v>
      </c>
      <c r="G740" s="5" t="s">
        <v>2079</v>
      </c>
      <c r="H740" s="5" t="s">
        <v>1486</v>
      </c>
      <c r="I740" s="5" t="s">
        <v>128</v>
      </c>
      <c r="K740" s="6"/>
      <c r="L740" s="13" t="s">
        <v>1708</v>
      </c>
      <c r="M740" s="8"/>
      <c r="N740" s="5"/>
      <c r="O740" s="5"/>
      <c r="P740" s="5"/>
      <c r="Q740" s="6">
        <v>1</v>
      </c>
      <c r="R740" s="6">
        <v>0.125</v>
      </c>
      <c r="S740" s="13" t="s">
        <v>1614</v>
      </c>
      <c r="T740" s="6">
        <v>1</v>
      </c>
      <c r="U740" s="7" t="s">
        <v>1737</v>
      </c>
      <c r="V740" s="5"/>
      <c r="W740" s="6"/>
      <c r="X740" s="6" t="s">
        <v>3</v>
      </c>
      <c r="Y740" s="5"/>
      <c r="Z740" s="7">
        <v>0</v>
      </c>
      <c r="AA740" s="6"/>
      <c r="AB740" s="5"/>
      <c r="AC740" s="6"/>
      <c r="AD740" s="6" t="s">
        <v>3</v>
      </c>
      <c r="AE740" s="5"/>
      <c r="AF740" s="6">
        <v>1</v>
      </c>
      <c r="AG740" s="6"/>
      <c r="AH740" s="5"/>
      <c r="AI740" s="6"/>
      <c r="AJ740" s="6"/>
      <c r="AK740" s="5"/>
      <c r="AL740" s="5"/>
      <c r="AM740" s="5"/>
      <c r="AN740" s="5"/>
      <c r="AO740" s="5"/>
      <c r="AP740" s="5"/>
      <c r="AQ740" s="5"/>
    </row>
    <row r="741" spans="1:43" x14ac:dyDescent="0.25">
      <c r="A741" s="161" t="str">
        <f t="shared" si="15"/>
        <v>INQUISITOR_RENAISSANCE</v>
      </c>
      <c r="B741" s="9" t="s">
        <v>759</v>
      </c>
      <c r="C741" s="5"/>
      <c r="D741" s="5"/>
      <c r="E741" s="5" t="s">
        <v>2126</v>
      </c>
      <c r="F741" s="5" t="s">
        <v>759</v>
      </c>
      <c r="G741" s="5" t="s">
        <v>2080</v>
      </c>
      <c r="H741" s="5" t="s">
        <v>1487</v>
      </c>
      <c r="I741" s="5" t="s">
        <v>128</v>
      </c>
      <c r="K741" s="6"/>
      <c r="L741" s="13" t="s">
        <v>1708</v>
      </c>
      <c r="M741" s="8"/>
      <c r="N741" s="5"/>
      <c r="O741" s="5"/>
      <c r="P741" s="5"/>
      <c r="Q741" s="6">
        <v>1</v>
      </c>
      <c r="R741" s="6">
        <v>0.13</v>
      </c>
      <c r="S741" s="13" t="s">
        <v>1614</v>
      </c>
      <c r="T741" s="6">
        <v>1</v>
      </c>
      <c r="U741" s="7" t="s">
        <v>1737</v>
      </c>
      <c r="V741" s="5"/>
      <c r="W741" s="6"/>
      <c r="X741" s="6" t="s">
        <v>3</v>
      </c>
      <c r="Y741" s="5"/>
      <c r="Z741" s="7">
        <v>0</v>
      </c>
      <c r="AA741" s="6"/>
      <c r="AB741" s="5"/>
      <c r="AC741" s="6"/>
      <c r="AD741" s="6" t="s">
        <v>3</v>
      </c>
      <c r="AE741" s="5"/>
      <c r="AF741" s="6">
        <v>0</v>
      </c>
      <c r="AG741" s="6"/>
      <c r="AH741" s="5"/>
      <c r="AI741" s="6"/>
      <c r="AJ741" s="6"/>
      <c r="AK741" s="5"/>
      <c r="AL741" s="5"/>
      <c r="AM741" s="5"/>
      <c r="AN741" s="5"/>
      <c r="AO741" s="5"/>
      <c r="AP741" s="5"/>
      <c r="AQ741" s="5"/>
    </row>
    <row r="742" spans="1:43" x14ac:dyDescent="0.25">
      <c r="A742" s="161" t="str">
        <f t="shared" si="15"/>
        <v>INQUISITOR_RENAISSANCE_AFRI</v>
      </c>
      <c r="B742" s="9" t="s">
        <v>759</v>
      </c>
      <c r="C742" s="4" t="s">
        <v>694</v>
      </c>
      <c r="D742" s="4" t="s">
        <v>690</v>
      </c>
      <c r="E742" s="4" t="s">
        <v>2126</v>
      </c>
      <c r="F742" s="4" t="s">
        <v>759</v>
      </c>
    </row>
    <row r="743" spans="1:43" x14ac:dyDescent="0.25">
      <c r="A743" s="161" t="str">
        <f t="shared" si="15"/>
        <v>INQUISITOR_RENAISSANCE_AMER</v>
      </c>
      <c r="B743" s="9" t="s">
        <v>759</v>
      </c>
      <c r="C743" s="4" t="s">
        <v>697</v>
      </c>
      <c r="E743" s="4" t="s">
        <v>2126</v>
      </c>
      <c r="F743" s="4" t="s">
        <v>759</v>
      </c>
      <c r="H743" s="4" t="s">
        <v>1798</v>
      </c>
      <c r="I743" s="4" t="s">
        <v>963</v>
      </c>
      <c r="Q743" s="11">
        <v>1</v>
      </c>
      <c r="R743" s="11" t="s">
        <v>1737</v>
      </c>
      <c r="Z743" s="11">
        <v>1</v>
      </c>
      <c r="AF743" s="11">
        <v>1</v>
      </c>
    </row>
    <row r="744" spans="1:43" x14ac:dyDescent="0.25">
      <c r="A744" s="161" t="str">
        <f t="shared" si="15"/>
        <v>INQUISITOR_RENAISSANCE_AMER</v>
      </c>
      <c r="B744" s="9" t="s">
        <v>759</v>
      </c>
      <c r="C744" s="4" t="s">
        <v>697</v>
      </c>
      <c r="E744" s="4" t="s">
        <v>2126</v>
      </c>
      <c r="F744" s="4" t="s">
        <v>759</v>
      </c>
      <c r="G744" s="4" t="s">
        <v>2040</v>
      </c>
      <c r="H744" s="4" t="s">
        <v>1801</v>
      </c>
      <c r="I744" s="4" t="s">
        <v>963</v>
      </c>
      <c r="Q744" s="11">
        <v>2</v>
      </c>
      <c r="R744" s="11" t="s">
        <v>1737</v>
      </c>
      <c r="Z744" s="11">
        <v>0</v>
      </c>
      <c r="AF744" s="11">
        <v>1</v>
      </c>
    </row>
    <row r="745" spans="1:43" x14ac:dyDescent="0.25">
      <c r="A745" s="161" t="str">
        <f t="shared" si="15"/>
        <v>INQUISITOR_RENAISSANCE_ASIA</v>
      </c>
      <c r="B745" s="9" t="s">
        <v>759</v>
      </c>
      <c r="C745" s="4" t="s">
        <v>693</v>
      </c>
      <c r="E745" s="4" t="s">
        <v>2126</v>
      </c>
      <c r="F745" s="4" t="s">
        <v>759</v>
      </c>
      <c r="H745" s="4" t="s">
        <v>842</v>
      </c>
      <c r="I745" s="4" t="s">
        <v>102</v>
      </c>
      <c r="Q745" s="11">
        <v>1</v>
      </c>
      <c r="R745" s="11" t="s">
        <v>1737</v>
      </c>
      <c r="Z745" s="11">
        <v>1</v>
      </c>
      <c r="AF745" s="11">
        <v>1</v>
      </c>
    </row>
    <row r="746" spans="1:43" x14ac:dyDescent="0.25">
      <c r="A746" s="161" t="str">
        <f t="shared" si="15"/>
        <v>INQUISITOR_RENAISSANCE_ASIA</v>
      </c>
      <c r="B746" s="9" t="s">
        <v>759</v>
      </c>
      <c r="C746" s="4" t="s">
        <v>693</v>
      </c>
      <c r="E746" s="4" t="s">
        <v>2126</v>
      </c>
      <c r="F746" s="4" t="s">
        <v>759</v>
      </c>
      <c r="G746" s="4" t="s">
        <v>2040</v>
      </c>
      <c r="H746" s="4" t="s">
        <v>1793</v>
      </c>
      <c r="I746" s="4" t="s">
        <v>102</v>
      </c>
      <c r="Q746" s="11">
        <v>2</v>
      </c>
      <c r="R746" s="11">
        <v>0.13500000000000001</v>
      </c>
      <c r="Z746" s="11">
        <v>0</v>
      </c>
      <c r="AF746" s="11">
        <v>1</v>
      </c>
    </row>
    <row r="747" spans="1:43" x14ac:dyDescent="0.25">
      <c r="A747" s="161" t="str">
        <f t="shared" si="15"/>
        <v>INQUISITOR_RENAISSANCE_CENTAS</v>
      </c>
      <c r="B747" s="9" t="s">
        <v>759</v>
      </c>
      <c r="C747" s="4" t="s">
        <v>918</v>
      </c>
      <c r="D747" s="4" t="s">
        <v>690</v>
      </c>
      <c r="E747" s="4" t="s">
        <v>2126</v>
      </c>
      <c r="F747" s="4" t="s">
        <v>759</v>
      </c>
      <c r="G747" s="14" t="s">
        <v>132</v>
      </c>
      <c r="H747" s="14"/>
    </row>
    <row r="748" spans="1:43" x14ac:dyDescent="0.25">
      <c r="A748" s="161" t="str">
        <f t="shared" si="15"/>
        <v>INQUISITOR_RENAISSANCE_CELTS</v>
      </c>
      <c r="B748" s="9" t="s">
        <v>759</v>
      </c>
      <c r="C748" s="4" t="s">
        <v>709</v>
      </c>
      <c r="E748" s="4" t="s">
        <v>2126</v>
      </c>
      <c r="F748" s="4" t="s">
        <v>759</v>
      </c>
      <c r="G748" s="14" t="s">
        <v>132</v>
      </c>
      <c r="H748" s="4" t="s">
        <v>237</v>
      </c>
      <c r="I748" s="4" t="s">
        <v>957</v>
      </c>
      <c r="Q748" s="11">
        <v>3</v>
      </c>
      <c r="R748" s="11">
        <v>0.11</v>
      </c>
      <c r="Z748" s="11">
        <v>1</v>
      </c>
      <c r="AF748" s="11">
        <v>2</v>
      </c>
    </row>
    <row r="749" spans="1:43" x14ac:dyDescent="0.25">
      <c r="A749" s="161" t="str">
        <f t="shared" si="15"/>
        <v>INQUISITOR_RENAISSANCE_MIDEAST</v>
      </c>
      <c r="B749" s="9" t="s">
        <v>759</v>
      </c>
      <c r="C749" s="4" t="s">
        <v>690</v>
      </c>
      <c r="E749" s="4" t="s">
        <v>2126</v>
      </c>
      <c r="F749" s="4" t="s">
        <v>759</v>
      </c>
      <c r="H749" s="4" t="s">
        <v>859</v>
      </c>
      <c r="I749" s="4" t="s">
        <v>951</v>
      </c>
      <c r="Q749" s="11">
        <v>3</v>
      </c>
      <c r="R749" s="11">
        <v>1.66</v>
      </c>
      <c r="U749" s="11">
        <v>1.1000000000000001</v>
      </c>
      <c r="Z749" s="9">
        <v>1</v>
      </c>
      <c r="AF749" s="11">
        <v>2</v>
      </c>
    </row>
    <row r="750" spans="1:43" x14ac:dyDescent="0.25">
      <c r="A750" s="161" t="str">
        <f t="shared" si="15"/>
        <v>INQUISITOR_RENAISSANCE_OCEAN</v>
      </c>
      <c r="B750" s="9" t="s">
        <v>759</v>
      </c>
      <c r="C750" s="4" t="s">
        <v>994</v>
      </c>
      <c r="D750" s="4" t="s">
        <v>691</v>
      </c>
      <c r="E750" s="4" t="s">
        <v>2126</v>
      </c>
      <c r="F750" s="4" t="s">
        <v>759</v>
      </c>
    </row>
    <row r="751" spans="1:43" x14ac:dyDescent="0.25">
      <c r="A751" s="161" t="str">
        <f t="shared" si="15"/>
        <v>INQUISITOR_RENAISSANCE_SEASIA</v>
      </c>
      <c r="B751" s="9" t="s">
        <v>759</v>
      </c>
      <c r="C751" s="4" t="s">
        <v>696</v>
      </c>
      <c r="D751" s="4" t="s">
        <v>693</v>
      </c>
      <c r="E751" s="4" t="s">
        <v>2126</v>
      </c>
      <c r="F751" s="4" t="s">
        <v>759</v>
      </c>
    </row>
    <row r="752" spans="1:43" x14ac:dyDescent="0.25">
      <c r="A752" s="161" t="str">
        <f t="shared" si="15"/>
        <v>INQUISITOR_RENAISSANCE_SOUTHAM</v>
      </c>
      <c r="B752" s="9" t="s">
        <v>759</v>
      </c>
      <c r="C752" s="4" t="s">
        <v>691</v>
      </c>
      <c r="E752" s="4" t="s">
        <v>2126</v>
      </c>
      <c r="F752" s="4" t="s">
        <v>759</v>
      </c>
      <c r="H752" s="4" t="s">
        <v>2178</v>
      </c>
      <c r="I752" s="4" t="s">
        <v>957</v>
      </c>
      <c r="Q752" s="11">
        <v>1</v>
      </c>
      <c r="R752" s="11" t="s">
        <v>1737</v>
      </c>
      <c r="Z752" s="11">
        <v>1</v>
      </c>
      <c r="AF752" s="11">
        <v>1</v>
      </c>
    </row>
    <row r="753" spans="1:43" x14ac:dyDescent="0.25">
      <c r="A753" s="161" t="str">
        <f t="shared" si="15"/>
        <v>INQUISITOR_RENAISSANCE_SOUTHAM</v>
      </c>
      <c r="B753" s="9" t="s">
        <v>759</v>
      </c>
      <c r="C753" s="4" t="s">
        <v>691</v>
      </c>
      <c r="E753" s="4" t="s">
        <v>2126</v>
      </c>
      <c r="F753" s="4" t="s">
        <v>759</v>
      </c>
      <c r="G753" s="4" t="s">
        <v>2040</v>
      </c>
      <c r="H753" s="4" t="s">
        <v>1799</v>
      </c>
      <c r="I753" s="4" t="s">
        <v>963</v>
      </c>
      <c r="Q753" s="11">
        <v>2</v>
      </c>
      <c r="R753" s="11" t="s">
        <v>1737</v>
      </c>
      <c r="Z753" s="11">
        <v>0</v>
      </c>
      <c r="AF753" s="11">
        <v>1</v>
      </c>
    </row>
    <row r="754" spans="1:43" x14ac:dyDescent="0.25">
      <c r="A754" s="161" t="str">
        <f t="shared" si="15"/>
        <v>INQUISITOR_RENAISSANCE_SOUTHAS</v>
      </c>
      <c r="B754" s="9" t="s">
        <v>759</v>
      </c>
      <c r="C754" s="4" t="s">
        <v>695</v>
      </c>
      <c r="D754" s="4" t="s">
        <v>693</v>
      </c>
      <c r="E754" s="4" t="s">
        <v>2126</v>
      </c>
      <c r="F754" s="4" t="s">
        <v>759</v>
      </c>
    </row>
    <row r="755" spans="1:43" x14ac:dyDescent="0.25">
      <c r="A755" s="161" t="str">
        <f t="shared" si="14"/>
        <v>IRONCLAD</v>
      </c>
      <c r="B755" s="9" t="s">
        <v>760</v>
      </c>
      <c r="C755" s="5"/>
      <c r="D755" s="5"/>
      <c r="E755" s="5" t="s">
        <v>760</v>
      </c>
      <c r="F755" s="5" t="s">
        <v>760</v>
      </c>
      <c r="G755" s="5"/>
      <c r="H755" s="5" t="s">
        <v>29</v>
      </c>
      <c r="I755" s="5" t="s">
        <v>128</v>
      </c>
      <c r="J755" s="6"/>
      <c r="K755" s="7"/>
      <c r="L755" s="13" t="s">
        <v>1713</v>
      </c>
      <c r="M755" s="8"/>
      <c r="N755" s="13" t="s">
        <v>1727</v>
      </c>
      <c r="O755" s="13"/>
      <c r="P755" s="13"/>
      <c r="Q755" s="7">
        <v>1</v>
      </c>
      <c r="R755" s="6" t="s">
        <v>1695</v>
      </c>
      <c r="S755" s="5"/>
      <c r="T755" s="6"/>
      <c r="U755" s="6">
        <v>0.1</v>
      </c>
      <c r="V755" s="5"/>
      <c r="W755" s="6"/>
      <c r="X755" s="6"/>
      <c r="Y755" s="5"/>
      <c r="Z755" s="6"/>
      <c r="AA755" s="6"/>
      <c r="AB755" s="5"/>
      <c r="AC755" s="6"/>
      <c r="AD755" s="6"/>
      <c r="AE755" s="5"/>
      <c r="AF755" s="6"/>
      <c r="AG755" s="6"/>
      <c r="AH755" s="5"/>
      <c r="AI755" s="6"/>
      <c r="AJ755" s="6"/>
      <c r="AK755" s="5"/>
      <c r="AL755" s="5"/>
      <c r="AM755" s="5"/>
      <c r="AN755" s="5"/>
      <c r="AO755" s="5"/>
      <c r="AP755" s="5"/>
      <c r="AQ755" s="5"/>
    </row>
    <row r="756" spans="1:43" x14ac:dyDescent="0.25">
      <c r="A756" s="161" t="str">
        <f t="shared" si="14"/>
        <v>IRONCLAD_AMER</v>
      </c>
      <c r="B756" s="9" t="s">
        <v>760</v>
      </c>
      <c r="C756" s="5" t="s">
        <v>697</v>
      </c>
      <c r="D756" s="5" t="s">
        <v>699</v>
      </c>
      <c r="E756" s="5" t="s">
        <v>760</v>
      </c>
      <c r="F756" s="5" t="s">
        <v>760</v>
      </c>
      <c r="G756" s="5"/>
      <c r="H756" s="5"/>
      <c r="I756" s="5"/>
      <c r="J756" s="6"/>
      <c r="K756" s="7"/>
      <c r="L756" s="13"/>
      <c r="M756" s="8"/>
      <c r="N756" s="13"/>
      <c r="O756" s="13"/>
      <c r="P756" s="13"/>
      <c r="Q756" s="7"/>
      <c r="R756" s="6"/>
      <c r="S756" s="5"/>
      <c r="T756" s="6"/>
      <c r="U756" s="6"/>
      <c r="V756" s="5"/>
      <c r="W756" s="6"/>
      <c r="X756" s="6"/>
      <c r="Y756" s="5"/>
      <c r="Z756" s="6"/>
      <c r="AA756" s="6"/>
      <c r="AB756" s="5"/>
      <c r="AC756" s="6"/>
      <c r="AD756" s="6"/>
      <c r="AE756" s="5"/>
      <c r="AF756" s="6"/>
      <c r="AG756" s="6"/>
      <c r="AH756" s="5"/>
      <c r="AI756" s="6"/>
      <c r="AJ756" s="6"/>
      <c r="AK756" s="5"/>
      <c r="AL756" s="5"/>
      <c r="AM756" s="5"/>
      <c r="AN756" s="5"/>
      <c r="AO756" s="5"/>
      <c r="AP756" s="5"/>
      <c r="AQ756" s="5"/>
    </row>
    <row r="757" spans="1:43" x14ac:dyDescent="0.25">
      <c r="A757" s="161" t="str">
        <f t="shared" si="14"/>
        <v>IRONCLAD_ASIA</v>
      </c>
      <c r="B757" s="9" t="s">
        <v>760</v>
      </c>
      <c r="C757" s="5" t="s">
        <v>693</v>
      </c>
      <c r="D757" s="5"/>
      <c r="E757" s="5" t="s">
        <v>760</v>
      </c>
      <c r="F757" s="5" t="s">
        <v>760</v>
      </c>
      <c r="G757" s="5"/>
      <c r="H757" s="5" t="s">
        <v>1934</v>
      </c>
      <c r="I757" s="5" t="s">
        <v>1943</v>
      </c>
      <c r="J757" s="6"/>
      <c r="K757" s="7"/>
      <c r="L757" s="13"/>
      <c r="M757" s="8"/>
      <c r="N757" s="13"/>
      <c r="O757" s="13"/>
      <c r="P757" s="13"/>
      <c r="Q757" s="7"/>
      <c r="R757" s="6">
        <v>8.5000000000000006E-2</v>
      </c>
      <c r="S757" s="5"/>
      <c r="T757" s="1"/>
      <c r="U757" s="6">
        <v>0.08</v>
      </c>
      <c r="V757" s="5"/>
      <c r="W757" s="6"/>
      <c r="X757" s="6"/>
      <c r="Y757" s="5"/>
      <c r="Z757" s="6"/>
      <c r="AA757" s="6"/>
      <c r="AB757" s="5"/>
      <c r="AC757" s="6"/>
      <c r="AD757" s="6"/>
      <c r="AE757" s="5"/>
      <c r="AF757" s="6"/>
      <c r="AG757" s="6"/>
      <c r="AH757" s="5"/>
      <c r="AI757" s="6"/>
      <c r="AJ757" s="6"/>
      <c r="AK757" s="5"/>
      <c r="AL757" s="5"/>
      <c r="AM757" s="5"/>
      <c r="AN757" s="5"/>
      <c r="AO757" s="5"/>
      <c r="AP757" s="5"/>
      <c r="AQ757" s="5"/>
    </row>
    <row r="758" spans="1:43" x14ac:dyDescent="0.25">
      <c r="A758" s="161" t="str">
        <f t="shared" si="14"/>
        <v>IRONCLAD_JAPAN</v>
      </c>
      <c r="B758" s="9" t="s">
        <v>760</v>
      </c>
      <c r="C758" s="5" t="s">
        <v>722</v>
      </c>
      <c r="D758" s="5" t="s">
        <v>693</v>
      </c>
      <c r="E758" s="5" t="s">
        <v>760</v>
      </c>
      <c r="F758" s="5" t="s">
        <v>760</v>
      </c>
      <c r="G758" s="5"/>
      <c r="H758" s="5"/>
      <c r="I758" s="5"/>
      <c r="J758" s="6"/>
      <c r="K758" s="7"/>
      <c r="L758" s="13"/>
      <c r="M758" s="8"/>
      <c r="N758" s="13"/>
      <c r="O758" s="13"/>
      <c r="P758" s="13"/>
      <c r="Q758" s="7"/>
      <c r="R758" s="6"/>
      <c r="S758" s="5"/>
      <c r="T758" s="1"/>
      <c r="U758" s="6"/>
      <c r="V758" s="5"/>
      <c r="W758" s="6"/>
      <c r="X758" s="6"/>
      <c r="Y758" s="5"/>
      <c r="Z758" s="6"/>
      <c r="AA758" s="6"/>
      <c r="AB758" s="5"/>
      <c r="AC758" s="6"/>
      <c r="AD758" s="6"/>
      <c r="AE758" s="5"/>
      <c r="AF758" s="6"/>
      <c r="AG758" s="6"/>
      <c r="AH758" s="5"/>
      <c r="AI758" s="6"/>
      <c r="AJ758" s="6"/>
      <c r="AK758" s="5"/>
      <c r="AL758" s="5"/>
      <c r="AM758" s="5"/>
      <c r="AN758" s="5"/>
      <c r="AO758" s="5"/>
      <c r="AP758" s="5"/>
      <c r="AQ758" s="5"/>
    </row>
    <row r="759" spans="1:43" x14ac:dyDescent="0.25">
      <c r="A759" s="161" t="str">
        <f t="shared" si="14"/>
        <v>IRONCLAD_CENTAS</v>
      </c>
      <c r="B759" s="9" t="s">
        <v>760</v>
      </c>
      <c r="C759" s="5" t="s">
        <v>918</v>
      </c>
      <c r="D759" s="5" t="s">
        <v>701</v>
      </c>
      <c r="E759" s="5" t="s">
        <v>760</v>
      </c>
      <c r="F759" s="5" t="s">
        <v>760</v>
      </c>
      <c r="G759" s="5"/>
      <c r="H759" s="5"/>
      <c r="I759" s="5"/>
      <c r="J759" s="6"/>
      <c r="K759" s="7"/>
      <c r="L759" s="13"/>
      <c r="M759" s="8"/>
      <c r="N759" s="13"/>
      <c r="O759" s="13"/>
      <c r="P759" s="13"/>
      <c r="Q759" s="7"/>
      <c r="R759" s="6"/>
      <c r="S759" s="5"/>
      <c r="T759" s="1"/>
      <c r="U759" s="6"/>
      <c r="V759" s="5"/>
      <c r="W759" s="6"/>
      <c r="X759" s="6"/>
      <c r="Y759" s="5"/>
      <c r="Z759" s="6"/>
      <c r="AA759" s="6"/>
      <c r="AB759" s="5"/>
      <c r="AC759" s="6"/>
      <c r="AD759" s="6"/>
      <c r="AE759" s="5"/>
      <c r="AF759" s="6"/>
      <c r="AG759" s="6"/>
      <c r="AH759" s="5"/>
      <c r="AI759" s="6"/>
      <c r="AJ759" s="6"/>
      <c r="AK759" s="5"/>
      <c r="AL759" s="5"/>
      <c r="AM759" s="5"/>
      <c r="AN759" s="5"/>
      <c r="AO759" s="5"/>
      <c r="AP759" s="5"/>
      <c r="AQ759" s="5"/>
    </row>
    <row r="760" spans="1:43" x14ac:dyDescent="0.25">
      <c r="A760" s="161" t="str">
        <f t="shared" si="14"/>
        <v>IRONCLAD_EASTEU</v>
      </c>
      <c r="B760" s="9" t="s">
        <v>760</v>
      </c>
      <c r="C760" s="5" t="s">
        <v>698</v>
      </c>
      <c r="D760" s="5"/>
      <c r="E760" s="5" t="s">
        <v>760</v>
      </c>
      <c r="F760" s="5" t="s">
        <v>760</v>
      </c>
      <c r="G760" s="5"/>
      <c r="H760" s="5" t="s">
        <v>1927</v>
      </c>
      <c r="I760" s="5" t="s">
        <v>1943</v>
      </c>
      <c r="J760" s="6"/>
      <c r="K760" s="7"/>
      <c r="L760" s="13"/>
      <c r="M760" s="8"/>
      <c r="N760" s="13"/>
      <c r="O760" s="13"/>
      <c r="P760" s="13"/>
      <c r="Q760" s="7"/>
      <c r="R760" s="6">
        <v>8.2000000000000003E-2</v>
      </c>
      <c r="S760" s="5"/>
      <c r="T760" s="1"/>
      <c r="U760" s="6">
        <v>7.4999999999999997E-2</v>
      </c>
      <c r="V760" s="5"/>
      <c r="W760" s="6"/>
      <c r="X760" s="6"/>
      <c r="Y760" s="5"/>
      <c r="Z760" s="6"/>
      <c r="AA760" s="6"/>
      <c r="AB760" s="5"/>
      <c r="AC760" s="6"/>
      <c r="AD760" s="6"/>
      <c r="AE760" s="5"/>
      <c r="AF760" s="6"/>
      <c r="AG760" s="6"/>
      <c r="AH760" s="5"/>
      <c r="AI760" s="6"/>
      <c r="AJ760" s="6"/>
      <c r="AK760" s="5"/>
      <c r="AL760" s="5"/>
      <c r="AM760" s="5"/>
      <c r="AN760" s="5"/>
      <c r="AO760" s="5"/>
      <c r="AP760" s="5"/>
      <c r="AQ760" s="5"/>
    </row>
    <row r="761" spans="1:43" x14ac:dyDescent="0.25">
      <c r="A761" s="161" t="str">
        <f>CONCATENATE(E761,IF(ISBLANK(C761),"",CONCATENATE("_",C761)))</f>
        <v>IRONCLAD_RUSSIA</v>
      </c>
      <c r="B761" s="9" t="s">
        <v>760</v>
      </c>
      <c r="C761" s="5" t="s">
        <v>735</v>
      </c>
      <c r="D761" s="5" t="s">
        <v>698</v>
      </c>
      <c r="E761" s="5" t="s">
        <v>760</v>
      </c>
      <c r="F761" s="5" t="s">
        <v>760</v>
      </c>
      <c r="G761" s="5"/>
      <c r="H761" s="5"/>
      <c r="I761" s="5"/>
      <c r="J761" s="6"/>
      <c r="K761" s="7"/>
      <c r="L761" s="13"/>
      <c r="M761" s="8"/>
      <c r="N761" s="13"/>
      <c r="O761" s="13"/>
      <c r="P761" s="13"/>
      <c r="Q761" s="7"/>
      <c r="R761" s="6"/>
      <c r="S761" s="5"/>
      <c r="T761" s="1"/>
      <c r="U761" s="6"/>
      <c r="V761" s="5"/>
      <c r="W761" s="6"/>
      <c r="X761" s="6"/>
      <c r="Y761" s="5"/>
      <c r="Z761" s="6"/>
      <c r="AA761" s="6"/>
      <c r="AB761" s="5"/>
      <c r="AC761" s="6"/>
      <c r="AD761" s="6"/>
      <c r="AE761" s="5"/>
      <c r="AF761" s="6"/>
      <c r="AG761" s="6"/>
      <c r="AH761" s="5"/>
      <c r="AI761" s="6"/>
      <c r="AJ761" s="6"/>
      <c r="AK761" s="5"/>
      <c r="AL761" s="5"/>
      <c r="AM761" s="5"/>
      <c r="AN761" s="5"/>
      <c r="AO761" s="5"/>
      <c r="AP761" s="5"/>
      <c r="AQ761" s="5"/>
    </row>
    <row r="762" spans="1:43" x14ac:dyDescent="0.25">
      <c r="A762" s="161" t="str">
        <f>CONCATENATE(E762,IF(ISBLANK(C762),"",CONCATENATE("_",C762)))</f>
        <v>IRONCLAD_EURO</v>
      </c>
      <c r="B762" s="9" t="s">
        <v>760</v>
      </c>
      <c r="C762" s="5" t="s">
        <v>689</v>
      </c>
      <c r="D762" s="5"/>
      <c r="E762" s="5" t="s">
        <v>760</v>
      </c>
      <c r="F762" s="5" t="s">
        <v>760</v>
      </c>
      <c r="G762" s="5"/>
      <c r="H762" s="5" t="s">
        <v>1931</v>
      </c>
      <c r="I762" s="5" t="s">
        <v>1943</v>
      </c>
      <c r="J762" s="6"/>
      <c r="K762" s="7"/>
      <c r="L762" s="13"/>
      <c r="M762" s="8"/>
      <c r="N762" s="13"/>
      <c r="O762" s="13"/>
      <c r="P762" s="13"/>
      <c r="Q762" s="7"/>
      <c r="R762" s="6">
        <v>7.4999999999999997E-2</v>
      </c>
      <c r="S762" s="5"/>
      <c r="T762" s="1"/>
      <c r="U762" s="6">
        <v>7.0000000000000007E-2</v>
      </c>
      <c r="V762" s="5"/>
      <c r="W762" s="6"/>
      <c r="X762" s="6"/>
      <c r="Y762" s="5"/>
      <c r="Z762" s="6"/>
      <c r="AA762" s="6"/>
      <c r="AB762" s="5"/>
      <c r="AC762" s="6"/>
      <c r="AD762" s="6"/>
      <c r="AE762" s="5"/>
      <c r="AF762" s="6"/>
      <c r="AG762" s="6"/>
      <c r="AH762" s="5"/>
      <c r="AI762" s="6"/>
      <c r="AJ762" s="6"/>
      <c r="AK762" s="5"/>
      <c r="AL762" s="5"/>
      <c r="AM762" s="5"/>
      <c r="AN762" s="5"/>
      <c r="AO762" s="5"/>
      <c r="AP762" s="5"/>
      <c r="AQ762" s="5"/>
    </row>
    <row r="763" spans="1:43" x14ac:dyDescent="0.25">
      <c r="A763" s="161" t="str">
        <f t="shared" si="14"/>
        <v>IRONCLAD_AMERICA</v>
      </c>
      <c r="B763" s="9" t="s">
        <v>760</v>
      </c>
      <c r="C763" s="5" t="s">
        <v>699</v>
      </c>
      <c r="D763" s="5"/>
      <c r="E763" s="5" t="s">
        <v>760</v>
      </c>
      <c r="F763" s="5" t="s">
        <v>760</v>
      </c>
      <c r="G763" s="5"/>
      <c r="H763" s="5" t="s">
        <v>1933</v>
      </c>
      <c r="I763" s="5" t="s">
        <v>1943</v>
      </c>
      <c r="J763" s="6"/>
      <c r="K763" s="7"/>
      <c r="L763" s="13"/>
      <c r="M763" s="8"/>
      <c r="N763" s="13"/>
      <c r="O763" s="13"/>
      <c r="P763" s="13"/>
      <c r="Q763" s="7"/>
      <c r="R763" s="6">
        <v>7.0000000000000007E-2</v>
      </c>
      <c r="S763" s="5"/>
      <c r="T763" s="1"/>
      <c r="U763" s="6">
        <v>6.5000000000000002E-2</v>
      </c>
      <c r="V763" s="5"/>
      <c r="W763" s="6"/>
      <c r="X763" s="6"/>
      <c r="Y763" s="5"/>
      <c r="Z763" s="6"/>
      <c r="AA763" s="6"/>
      <c r="AB763" s="5"/>
      <c r="AC763" s="6"/>
      <c r="AD763" s="6"/>
      <c r="AE763" s="5"/>
      <c r="AF763" s="6"/>
      <c r="AG763" s="6"/>
      <c r="AH763" s="5"/>
      <c r="AI763" s="6"/>
      <c r="AJ763" s="6"/>
      <c r="AK763" s="5"/>
      <c r="AL763" s="5"/>
      <c r="AM763" s="5"/>
      <c r="AN763" s="5"/>
      <c r="AO763" s="5"/>
      <c r="AP763" s="5"/>
      <c r="AQ763" s="5"/>
    </row>
    <row r="764" spans="1:43" x14ac:dyDescent="0.25">
      <c r="A764" s="161" t="str">
        <f t="shared" si="14"/>
        <v>IRONCLAD_AUSTRALIA</v>
      </c>
      <c r="B764" s="9" t="s">
        <v>760</v>
      </c>
      <c r="C764" s="5" t="s">
        <v>1302</v>
      </c>
      <c r="D764" s="5" t="s">
        <v>713</v>
      </c>
      <c r="E764" s="5" t="s">
        <v>760</v>
      </c>
      <c r="F764" s="5" t="s">
        <v>760</v>
      </c>
      <c r="G764" s="5"/>
      <c r="H764" s="5"/>
      <c r="I764" s="5"/>
      <c r="J764" s="6"/>
      <c r="K764" s="7"/>
      <c r="L764" s="13"/>
      <c r="M764" s="8"/>
      <c r="N764" s="13"/>
      <c r="O764" s="13"/>
      <c r="P764" s="13"/>
      <c r="Q764" s="7"/>
      <c r="R764" s="6"/>
      <c r="S764" s="5"/>
      <c r="T764" s="1"/>
      <c r="U764" s="6"/>
      <c r="V764" s="5"/>
      <c r="W764" s="6"/>
      <c r="X764" s="6"/>
      <c r="Y764" s="5"/>
      <c r="Z764" s="6"/>
      <c r="AA764" s="6"/>
      <c r="AB764" s="5"/>
      <c r="AC764" s="6"/>
      <c r="AD764" s="6"/>
      <c r="AE764" s="5"/>
      <c r="AF764" s="6"/>
      <c r="AG764" s="6"/>
      <c r="AH764" s="5"/>
      <c r="AI764" s="6"/>
      <c r="AJ764" s="6"/>
      <c r="AK764" s="5"/>
      <c r="AL764" s="5"/>
      <c r="AM764" s="5"/>
      <c r="AN764" s="5"/>
      <c r="AO764" s="5"/>
      <c r="AP764" s="5"/>
      <c r="AQ764" s="5"/>
    </row>
    <row r="765" spans="1:43" x14ac:dyDescent="0.25">
      <c r="A765" s="161" t="str">
        <f t="shared" si="14"/>
        <v>IRONCLAD_AUSTRIA</v>
      </c>
      <c r="B765" s="9" t="s">
        <v>760</v>
      </c>
      <c r="C765" s="5" t="s">
        <v>701</v>
      </c>
      <c r="D765" s="5"/>
      <c r="E765" s="5" t="s">
        <v>760</v>
      </c>
      <c r="F765" s="5" t="s">
        <v>760</v>
      </c>
      <c r="G765" s="5"/>
      <c r="H765" s="5" t="s">
        <v>1932</v>
      </c>
      <c r="I765" s="5" t="s">
        <v>1943</v>
      </c>
      <c r="J765" s="6"/>
      <c r="K765" s="7"/>
      <c r="L765" s="13"/>
      <c r="M765" s="8"/>
      <c r="N765" s="13"/>
      <c r="O765" s="13"/>
      <c r="P765" s="13"/>
      <c r="Q765" s="7"/>
      <c r="R765" s="6">
        <v>8.6999999999999994E-2</v>
      </c>
      <c r="S765" s="5"/>
      <c r="T765" s="1"/>
      <c r="U765" s="6">
        <v>0.08</v>
      </c>
      <c r="V765" s="5"/>
      <c r="W765" s="6"/>
      <c r="X765" s="6"/>
      <c r="Y765" s="5"/>
      <c r="Z765" s="6"/>
      <c r="AA765" s="6"/>
      <c r="AB765" s="5"/>
      <c r="AC765" s="6"/>
      <c r="AD765" s="6"/>
      <c r="AE765" s="5"/>
      <c r="AF765" s="6"/>
      <c r="AG765" s="6"/>
      <c r="AH765" s="5"/>
      <c r="AI765" s="6"/>
      <c r="AJ765" s="6"/>
      <c r="AK765" s="5"/>
      <c r="AL765" s="5"/>
      <c r="AM765" s="5"/>
      <c r="AN765" s="5"/>
      <c r="AO765" s="5"/>
      <c r="AP765" s="5"/>
      <c r="AQ765" s="5"/>
    </row>
    <row r="766" spans="1:43" x14ac:dyDescent="0.25">
      <c r="A766" s="161" t="str">
        <f t="shared" si="14"/>
        <v>IRONCLAD_CANADA</v>
      </c>
      <c r="B766" s="9" t="s">
        <v>760</v>
      </c>
      <c r="C766" s="5" t="s">
        <v>2209</v>
      </c>
      <c r="D766" s="5" t="s">
        <v>713</v>
      </c>
      <c r="E766" s="5" t="s">
        <v>760</v>
      </c>
      <c r="F766" s="5" t="s">
        <v>760</v>
      </c>
      <c r="G766" s="5"/>
      <c r="H766" s="5"/>
      <c r="I766" s="5"/>
      <c r="J766" s="6"/>
      <c r="K766" s="7"/>
      <c r="L766" s="13"/>
      <c r="M766" s="8"/>
      <c r="N766" s="13"/>
      <c r="O766" s="13"/>
      <c r="P766" s="13"/>
      <c r="Q766" s="7"/>
      <c r="R766" s="6"/>
      <c r="S766" s="5"/>
      <c r="T766" s="1"/>
      <c r="U766" s="6"/>
      <c r="V766" s="5"/>
      <c r="W766" s="6"/>
      <c r="X766" s="6"/>
      <c r="Y766" s="5"/>
      <c r="Z766" s="6"/>
      <c r="AA766" s="6"/>
      <c r="AB766" s="5"/>
      <c r="AC766" s="6"/>
      <c r="AD766" s="6"/>
      <c r="AE766" s="5"/>
      <c r="AF766" s="6"/>
      <c r="AG766" s="6"/>
      <c r="AH766" s="5"/>
      <c r="AI766" s="6"/>
      <c r="AJ766" s="6"/>
      <c r="AK766" s="5"/>
      <c r="AL766" s="5"/>
      <c r="AM766" s="5"/>
      <c r="AN766" s="5"/>
      <c r="AO766" s="5"/>
      <c r="AP766" s="5"/>
      <c r="AQ766" s="5"/>
    </row>
    <row r="767" spans="1:43" x14ac:dyDescent="0.25">
      <c r="A767" s="161" t="str">
        <f t="shared" si="14"/>
        <v>IRONCLAD_CELTS</v>
      </c>
      <c r="B767" s="9" t="s">
        <v>760</v>
      </c>
      <c r="C767" s="5" t="s">
        <v>709</v>
      </c>
      <c r="D767" s="5" t="s">
        <v>713</v>
      </c>
      <c r="E767" s="5" t="s">
        <v>760</v>
      </c>
      <c r="F767" s="5" t="s">
        <v>760</v>
      </c>
      <c r="G767" s="5"/>
      <c r="H767" s="5"/>
      <c r="I767" s="5"/>
      <c r="J767" s="6"/>
      <c r="K767" s="7"/>
      <c r="L767" s="13"/>
      <c r="M767" s="8"/>
      <c r="N767" s="13"/>
      <c r="O767" s="13"/>
      <c r="P767" s="13"/>
      <c r="Q767" s="7"/>
      <c r="R767" s="6"/>
      <c r="S767" s="5"/>
      <c r="T767" s="1"/>
      <c r="U767" s="6"/>
      <c r="V767" s="5"/>
      <c r="W767" s="6"/>
      <c r="X767" s="6"/>
      <c r="Y767" s="5"/>
      <c r="Z767" s="6"/>
      <c r="AA767" s="6"/>
      <c r="AB767" s="5"/>
      <c r="AC767" s="6"/>
      <c r="AD767" s="6"/>
      <c r="AE767" s="5"/>
      <c r="AF767" s="6"/>
      <c r="AG767" s="6"/>
      <c r="AH767" s="5"/>
      <c r="AI767" s="6"/>
      <c r="AJ767" s="6"/>
      <c r="AK767" s="5"/>
      <c r="AL767" s="5"/>
      <c r="AM767" s="5"/>
      <c r="AN767" s="5"/>
      <c r="AO767" s="5"/>
      <c r="AP767" s="5"/>
      <c r="AQ767" s="5"/>
    </row>
    <row r="768" spans="1:43" x14ac:dyDescent="0.25">
      <c r="A768" s="161" t="str">
        <f t="shared" si="14"/>
        <v>IRONCLAD_ENGLAND</v>
      </c>
      <c r="B768" s="9" t="s">
        <v>760</v>
      </c>
      <c r="C768" s="5" t="s">
        <v>713</v>
      </c>
      <c r="D768" s="5" t="s">
        <v>689</v>
      </c>
      <c r="E768" s="5" t="s">
        <v>760</v>
      </c>
      <c r="F768" s="5" t="s">
        <v>760</v>
      </c>
      <c r="G768" s="5"/>
      <c r="H768" s="5"/>
      <c r="I768" s="5"/>
      <c r="J768" s="6"/>
      <c r="K768" s="7"/>
      <c r="L768" s="13"/>
      <c r="M768" s="8"/>
      <c r="N768" s="13"/>
      <c r="O768" s="13"/>
      <c r="P768" s="13"/>
      <c r="Q768" s="7"/>
      <c r="R768" s="6"/>
      <c r="S768" s="5"/>
      <c r="T768" s="1"/>
      <c r="U768" s="6"/>
      <c r="V768" s="5"/>
      <c r="W768" s="6"/>
      <c r="X768" s="6"/>
      <c r="Y768" s="5"/>
      <c r="Z768" s="6"/>
      <c r="AA768" s="6"/>
      <c r="AB768" s="5"/>
      <c r="AC768" s="6"/>
      <c r="AD768" s="6"/>
      <c r="AE768" s="5"/>
      <c r="AF768" s="6"/>
      <c r="AG768" s="6"/>
      <c r="AH768" s="5"/>
      <c r="AI768" s="6"/>
      <c r="AJ768" s="6"/>
      <c r="AK768" s="5"/>
      <c r="AL768" s="5"/>
      <c r="AM768" s="5"/>
      <c r="AN768" s="5"/>
      <c r="AO768" s="5"/>
      <c r="AP768" s="5"/>
      <c r="AQ768" s="5"/>
    </row>
    <row r="769" spans="1:43" x14ac:dyDescent="0.25">
      <c r="A769" s="161" t="str">
        <f t="shared" si="14"/>
        <v>IRONCLAD_FRANCE</v>
      </c>
      <c r="B769" s="9" t="s">
        <v>760</v>
      </c>
      <c r="C769" s="5" t="s">
        <v>715</v>
      </c>
      <c r="D769" s="5"/>
      <c r="E769" s="5" t="s">
        <v>760</v>
      </c>
      <c r="F769" s="5" t="s">
        <v>760</v>
      </c>
      <c r="G769" s="5"/>
      <c r="H769" s="5" t="s">
        <v>1930</v>
      </c>
      <c r="I769" s="5" t="s">
        <v>1943</v>
      </c>
      <c r="J769" s="6"/>
      <c r="K769" s="7"/>
      <c r="L769" s="13"/>
      <c r="M769" s="8"/>
      <c r="N769" s="13"/>
      <c r="O769" s="13"/>
      <c r="P769" s="13"/>
      <c r="Q769" s="7"/>
      <c r="R769" s="6">
        <v>0.09</v>
      </c>
      <c r="S769" s="5"/>
      <c r="T769" s="1"/>
      <c r="U769" s="6" t="s">
        <v>1695</v>
      </c>
      <c r="V769" s="5"/>
      <c r="W769" s="6"/>
      <c r="X769" s="6"/>
      <c r="Y769" s="5"/>
      <c r="Z769" s="6"/>
      <c r="AA769" s="6"/>
      <c r="AB769" s="5"/>
      <c r="AC769" s="6"/>
      <c r="AD769" s="6"/>
      <c r="AE769" s="5"/>
      <c r="AF769" s="6"/>
      <c r="AG769" s="6"/>
      <c r="AH769" s="5"/>
      <c r="AI769" s="6"/>
      <c r="AJ769" s="6"/>
      <c r="AK769" s="5"/>
      <c r="AL769" s="5"/>
      <c r="AM769" s="5"/>
      <c r="AN769" s="5"/>
      <c r="AO769" s="5"/>
      <c r="AP769" s="5"/>
      <c r="AQ769" s="5"/>
    </row>
    <row r="770" spans="1:43" x14ac:dyDescent="0.25">
      <c r="A770" s="161" t="str">
        <f t="shared" si="14"/>
        <v>IRONCLAD_GERMANY</v>
      </c>
      <c r="B770" s="9" t="s">
        <v>760</v>
      </c>
      <c r="C770" s="5" t="s">
        <v>717</v>
      </c>
      <c r="D770" s="5"/>
      <c r="E770" s="5" t="s">
        <v>760</v>
      </c>
      <c r="F770" s="5" t="s">
        <v>760</v>
      </c>
      <c r="G770" s="5"/>
      <c r="H770" s="5" t="s">
        <v>1929</v>
      </c>
      <c r="I770" s="5" t="s">
        <v>1943</v>
      </c>
      <c r="J770" s="6"/>
      <c r="K770" s="7"/>
      <c r="L770" s="13"/>
      <c r="M770" s="8"/>
      <c r="N770" s="13"/>
      <c r="O770" s="13"/>
      <c r="P770" s="13"/>
      <c r="Q770" s="7"/>
      <c r="R770" s="6">
        <v>0.08</v>
      </c>
      <c r="S770" s="5"/>
      <c r="T770" s="1"/>
      <c r="U770" s="6">
        <v>7.4999999999999997E-2</v>
      </c>
      <c r="V770" s="5"/>
      <c r="W770" s="6"/>
      <c r="X770" s="6"/>
      <c r="Y770" s="5"/>
      <c r="Z770" s="6"/>
      <c r="AA770" s="6"/>
      <c r="AB770" s="5"/>
      <c r="AC770" s="6"/>
      <c r="AD770" s="6"/>
      <c r="AE770" s="5"/>
      <c r="AF770" s="6"/>
      <c r="AG770" s="6"/>
      <c r="AH770" s="5"/>
      <c r="AI770" s="6"/>
      <c r="AJ770" s="6"/>
      <c r="AK770" s="5"/>
      <c r="AL770" s="5"/>
      <c r="AM770" s="5"/>
      <c r="AN770" s="5"/>
      <c r="AO770" s="5"/>
      <c r="AP770" s="5"/>
      <c r="AQ770" s="5"/>
    </row>
    <row r="771" spans="1:43" x14ac:dyDescent="0.25">
      <c r="A771" s="161" t="str">
        <f t="shared" si="14"/>
        <v>IRONCLAD_MED</v>
      </c>
      <c r="B771" s="9" t="s">
        <v>760</v>
      </c>
      <c r="C771" s="5" t="s">
        <v>692</v>
      </c>
      <c r="D771" s="5"/>
      <c r="E771" s="5" t="s">
        <v>760</v>
      </c>
      <c r="F771" s="5" t="s">
        <v>760</v>
      </c>
      <c r="G771" s="5"/>
      <c r="H771" s="5" t="s">
        <v>1926</v>
      </c>
      <c r="I771" s="5" t="s">
        <v>1943</v>
      </c>
      <c r="J771" s="6"/>
      <c r="K771" s="7"/>
      <c r="L771" s="13"/>
      <c r="M771" s="8"/>
      <c r="N771" s="13"/>
      <c r="O771" s="13"/>
      <c r="P771" s="13"/>
      <c r="Q771" s="7"/>
      <c r="R771" s="6">
        <v>9.1999999999999998E-2</v>
      </c>
      <c r="S771" s="5"/>
      <c r="T771" s="1"/>
      <c r="U771" s="6" t="s">
        <v>1695</v>
      </c>
      <c r="V771" s="5"/>
      <c r="W771" s="6"/>
      <c r="X771" s="6"/>
      <c r="Y771" s="5"/>
      <c r="Z771" s="6"/>
      <c r="AA771" s="6"/>
      <c r="AB771" s="5"/>
      <c r="AC771" s="6"/>
      <c r="AD771" s="6"/>
      <c r="AE771" s="5"/>
      <c r="AF771" s="6"/>
      <c r="AG771" s="6"/>
      <c r="AH771" s="5"/>
      <c r="AI771" s="6"/>
      <c r="AJ771" s="6"/>
      <c r="AK771" s="5"/>
      <c r="AL771" s="5"/>
      <c r="AM771" s="5"/>
      <c r="AN771" s="5"/>
      <c r="AO771" s="5"/>
      <c r="AP771" s="5"/>
      <c r="AQ771" s="5"/>
    </row>
    <row r="772" spans="1:43" x14ac:dyDescent="0.25">
      <c r="A772" s="161" t="str">
        <f t="shared" si="14"/>
        <v>IRONCLAD_ROME</v>
      </c>
      <c r="B772" s="9" t="s">
        <v>760</v>
      </c>
      <c r="C772" s="5" t="s">
        <v>734</v>
      </c>
      <c r="D772" s="5"/>
      <c r="E772" s="5" t="s">
        <v>760</v>
      </c>
      <c r="F772" s="5" t="s">
        <v>760</v>
      </c>
      <c r="G772" s="5"/>
      <c r="H772" s="5" t="s">
        <v>1928</v>
      </c>
      <c r="I772" s="5" t="s">
        <v>1943</v>
      </c>
      <c r="J772" s="6"/>
      <c r="K772" s="7"/>
      <c r="L772" s="13"/>
      <c r="M772" s="8"/>
      <c r="N772" s="13"/>
      <c r="O772" s="13"/>
      <c r="P772" s="13"/>
      <c r="Q772" s="7"/>
      <c r="R772" s="6">
        <v>8.5000000000000006E-2</v>
      </c>
      <c r="S772" s="5"/>
      <c r="T772" s="1"/>
      <c r="U772" s="6">
        <v>0.08</v>
      </c>
      <c r="V772" s="5"/>
      <c r="W772" s="6"/>
      <c r="X772" s="6"/>
      <c r="Y772" s="5"/>
      <c r="Z772" s="6"/>
      <c r="AA772" s="6"/>
      <c r="AB772" s="5"/>
      <c r="AC772" s="6"/>
      <c r="AD772" s="6"/>
      <c r="AE772" s="5"/>
      <c r="AF772" s="6"/>
      <c r="AG772" s="6"/>
      <c r="AH772" s="5"/>
      <c r="AI772" s="6"/>
      <c r="AJ772" s="6"/>
      <c r="AK772" s="5"/>
      <c r="AL772" s="5"/>
      <c r="AM772" s="5"/>
      <c r="AN772" s="5"/>
      <c r="AO772" s="5"/>
      <c r="AP772" s="5"/>
      <c r="AQ772" s="5"/>
    </row>
    <row r="773" spans="1:43" x14ac:dyDescent="0.25">
      <c r="A773" s="161" t="str">
        <f t="shared" si="14"/>
        <v>IRONCLAD_SPAIN</v>
      </c>
      <c r="B773" s="9" t="s">
        <v>760</v>
      </c>
      <c r="C773" s="5" t="s">
        <v>738</v>
      </c>
      <c r="D773" s="5" t="s">
        <v>692</v>
      </c>
      <c r="E773" s="5" t="s">
        <v>760</v>
      </c>
      <c r="F773" s="5" t="s">
        <v>760</v>
      </c>
      <c r="G773" s="5"/>
      <c r="H773" s="5"/>
      <c r="I773" s="5"/>
      <c r="J773" s="6"/>
      <c r="K773" s="7"/>
      <c r="L773" s="13"/>
      <c r="M773" s="8"/>
      <c r="N773" s="13"/>
      <c r="O773" s="13"/>
      <c r="P773" s="13"/>
      <c r="Q773" s="7"/>
      <c r="R773" s="6"/>
      <c r="S773" s="5"/>
      <c r="T773" s="6"/>
      <c r="U773" s="6"/>
      <c r="V773" s="5"/>
      <c r="W773" s="6"/>
      <c r="X773" s="6"/>
      <c r="Y773" s="5"/>
      <c r="Z773" s="6"/>
      <c r="AA773" s="6"/>
      <c r="AB773" s="5"/>
      <c r="AC773" s="6"/>
      <c r="AD773" s="6"/>
      <c r="AE773" s="5"/>
      <c r="AF773" s="6"/>
      <c r="AG773" s="6"/>
      <c r="AH773" s="5"/>
      <c r="AI773" s="6"/>
      <c r="AJ773" s="6"/>
      <c r="AK773" s="5"/>
      <c r="AL773" s="5"/>
      <c r="AM773" s="5"/>
      <c r="AN773" s="5"/>
      <c r="AO773" s="5"/>
      <c r="AP773" s="5"/>
      <c r="AQ773" s="5"/>
    </row>
    <row r="774" spans="1:43" x14ac:dyDescent="0.25">
      <c r="A774" s="161" t="str">
        <f t="shared" si="14"/>
        <v>IRONCLAD_NORTHAF</v>
      </c>
      <c r="B774" s="9" t="s">
        <v>760</v>
      </c>
      <c r="C774" s="5" t="s">
        <v>2011</v>
      </c>
      <c r="D774" s="5" t="s">
        <v>715</v>
      </c>
      <c r="E774" s="5" t="s">
        <v>760</v>
      </c>
      <c r="F774" s="5" t="s">
        <v>760</v>
      </c>
      <c r="G774" s="5"/>
      <c r="H774" s="5"/>
      <c r="I774" s="5"/>
      <c r="J774" s="6"/>
      <c r="K774" s="7"/>
      <c r="L774" s="13"/>
      <c r="M774" s="8"/>
      <c r="N774" s="13"/>
      <c r="O774" s="13"/>
      <c r="P774" s="13"/>
      <c r="Q774" s="7"/>
      <c r="R774" s="6"/>
      <c r="S774" s="5"/>
      <c r="T774" s="6"/>
      <c r="U774" s="6"/>
      <c r="V774" s="5"/>
      <c r="W774" s="6"/>
      <c r="X774" s="6"/>
      <c r="Y774" s="5"/>
      <c r="Z774" s="6"/>
      <c r="AA774" s="6"/>
      <c r="AB774" s="5"/>
      <c r="AC774" s="6"/>
      <c r="AD774" s="6"/>
      <c r="AE774" s="5"/>
      <c r="AF774" s="6"/>
      <c r="AG774" s="6"/>
      <c r="AH774" s="5"/>
      <c r="AI774" s="6"/>
      <c r="AJ774" s="6"/>
      <c r="AK774" s="5"/>
      <c r="AL774" s="5"/>
      <c r="AM774" s="5"/>
      <c r="AN774" s="5"/>
      <c r="AO774" s="5"/>
      <c r="AP774" s="5"/>
      <c r="AQ774" s="5"/>
    </row>
    <row r="775" spans="1:43" x14ac:dyDescent="0.25">
      <c r="A775" s="161" t="str">
        <f t="shared" si="14"/>
        <v>IRONCLAD_SEASIA</v>
      </c>
      <c r="B775" s="9" t="s">
        <v>760</v>
      </c>
      <c r="C775" s="5" t="s">
        <v>696</v>
      </c>
      <c r="D775" s="5" t="s">
        <v>715</v>
      </c>
      <c r="E775" s="5" t="s">
        <v>760</v>
      </c>
      <c r="F775" s="5" t="s">
        <v>760</v>
      </c>
      <c r="G775" s="5"/>
      <c r="H775" s="5"/>
      <c r="I775" s="5"/>
      <c r="J775" s="6"/>
      <c r="K775" s="7"/>
      <c r="L775" s="13"/>
      <c r="M775" s="8"/>
      <c r="N775" s="13"/>
      <c r="O775" s="13"/>
      <c r="P775" s="13"/>
      <c r="Q775" s="7"/>
      <c r="R775" s="6"/>
      <c r="S775" s="5"/>
      <c r="T775" s="6"/>
      <c r="U775" s="6"/>
      <c r="V775" s="5"/>
      <c r="W775" s="6"/>
      <c r="X775" s="6"/>
      <c r="Y775" s="5"/>
      <c r="Z775" s="6"/>
      <c r="AA775" s="6"/>
      <c r="AB775" s="5"/>
      <c r="AC775" s="6"/>
      <c r="AD775" s="6"/>
      <c r="AE775" s="5"/>
      <c r="AF775" s="6"/>
      <c r="AG775" s="6"/>
      <c r="AH775" s="5"/>
      <c r="AI775" s="6"/>
      <c r="AJ775" s="6"/>
      <c r="AK775" s="5"/>
      <c r="AL775" s="5"/>
      <c r="AM775" s="5"/>
      <c r="AN775" s="5"/>
      <c r="AO775" s="5"/>
      <c r="AP775" s="5"/>
      <c r="AQ775" s="5"/>
    </row>
    <row r="776" spans="1:43" x14ac:dyDescent="0.25">
      <c r="A776" s="161" t="str">
        <f t="shared" si="14"/>
        <v>IRONCLAD_SOUTHAS</v>
      </c>
      <c r="B776" s="9" t="s">
        <v>760</v>
      </c>
      <c r="C776" s="5" t="s">
        <v>695</v>
      </c>
      <c r="D776" s="5" t="s">
        <v>713</v>
      </c>
      <c r="E776" s="5" t="s">
        <v>760</v>
      </c>
      <c r="F776" s="5" t="s">
        <v>760</v>
      </c>
      <c r="G776" s="5"/>
      <c r="H776" s="5"/>
      <c r="I776" s="5"/>
      <c r="J776" s="6"/>
      <c r="K776" s="7"/>
      <c r="L776" s="13"/>
      <c r="M776" s="8"/>
      <c r="N776" s="13"/>
      <c r="O776" s="13"/>
      <c r="P776" s="13"/>
      <c r="Q776" s="7"/>
      <c r="R776" s="6"/>
      <c r="S776" s="5"/>
      <c r="T776" s="6"/>
      <c r="U776" s="6"/>
      <c r="V776" s="5"/>
      <c r="W776" s="6"/>
      <c r="X776" s="6"/>
      <c r="Y776" s="5"/>
      <c r="Z776" s="6"/>
      <c r="AA776" s="6"/>
      <c r="AB776" s="5"/>
      <c r="AC776" s="6"/>
      <c r="AD776" s="6"/>
      <c r="AE776" s="5"/>
      <c r="AF776" s="6"/>
      <c r="AG776" s="6"/>
      <c r="AH776" s="5"/>
      <c r="AI776" s="6"/>
      <c r="AJ776" s="6"/>
      <c r="AK776" s="5"/>
      <c r="AL776" s="5"/>
      <c r="AM776" s="5"/>
      <c r="AN776" s="5"/>
      <c r="AO776" s="5"/>
      <c r="AP776" s="5"/>
      <c r="AQ776" s="5"/>
    </row>
    <row r="777" spans="1:43" x14ac:dyDescent="0.25">
      <c r="A777" s="161" t="str">
        <f t="shared" si="14"/>
        <v>JET_FIGHTER</v>
      </c>
      <c r="B777" s="9" t="s">
        <v>761</v>
      </c>
      <c r="C777" s="5"/>
      <c r="D777" s="5"/>
      <c r="E777" s="5" t="s">
        <v>761</v>
      </c>
      <c r="F777" s="5" t="s">
        <v>794</v>
      </c>
      <c r="G777" s="5"/>
      <c r="H777" s="5" t="s">
        <v>1503</v>
      </c>
      <c r="I777" s="5" t="s">
        <v>102</v>
      </c>
      <c r="J777" s="6"/>
      <c r="K777" s="7"/>
      <c r="L777" s="13" t="s">
        <v>1711</v>
      </c>
      <c r="M777" s="8">
        <v>2.5</v>
      </c>
      <c r="N777" s="13" t="s">
        <v>1725</v>
      </c>
      <c r="O777" s="13"/>
      <c r="P777" s="13"/>
      <c r="Q777" s="7">
        <v>1</v>
      </c>
      <c r="R777" s="6">
        <v>0.11</v>
      </c>
      <c r="S777" s="13" t="s">
        <v>1621</v>
      </c>
      <c r="T777" s="7">
        <v>2</v>
      </c>
      <c r="U777" s="6">
        <v>0.105</v>
      </c>
      <c r="V777" s="5" t="s">
        <v>1621</v>
      </c>
      <c r="W777" s="6" t="s">
        <v>3</v>
      </c>
      <c r="X777" s="6" t="s">
        <v>3</v>
      </c>
      <c r="Y777" s="5"/>
      <c r="Z777" s="6"/>
      <c r="AA777" s="6"/>
      <c r="AB777" s="5"/>
      <c r="AC777" s="6"/>
      <c r="AD777" s="6" t="s">
        <v>3</v>
      </c>
      <c r="AE777" s="5"/>
      <c r="AF777" s="6"/>
      <c r="AG777" s="6"/>
      <c r="AH777" s="5"/>
      <c r="AI777" s="6"/>
      <c r="AJ777" s="6"/>
      <c r="AK777" s="5"/>
      <c r="AL777" s="5"/>
      <c r="AM777" s="5"/>
      <c r="AN777" s="5"/>
      <c r="AO777" s="5"/>
      <c r="AP777" s="5"/>
      <c r="AQ777" s="5"/>
    </row>
    <row r="778" spans="1:43" x14ac:dyDescent="0.25">
      <c r="A778" s="161" t="str">
        <f t="shared" si="14"/>
        <v>JET_FIGHTER_ZULU</v>
      </c>
      <c r="B778" s="9" t="s">
        <v>761</v>
      </c>
      <c r="C778" s="5" t="s">
        <v>742</v>
      </c>
      <c r="D778" s="5" t="s">
        <v>713</v>
      </c>
      <c r="E778" s="5" t="s">
        <v>761</v>
      </c>
      <c r="F778" s="5" t="s">
        <v>794</v>
      </c>
      <c r="G778" s="5"/>
      <c r="H778" s="5"/>
      <c r="I778" s="5"/>
      <c r="J778" s="6"/>
      <c r="K778" s="7"/>
      <c r="L778" s="13"/>
      <c r="M778" s="8"/>
      <c r="N778" s="13"/>
      <c r="O778" s="13"/>
      <c r="P778" s="13"/>
      <c r="Q778" s="7"/>
      <c r="R778" s="6"/>
      <c r="S778" s="13"/>
      <c r="T778" s="7"/>
      <c r="U778" s="6"/>
      <c r="V778" s="5"/>
      <c r="W778" s="6"/>
      <c r="X778" s="6"/>
      <c r="Y778" s="5"/>
      <c r="Z778" s="6"/>
      <c r="AA778" s="6"/>
      <c r="AB778" s="5"/>
      <c r="AC778" s="6"/>
      <c r="AD778" s="6"/>
      <c r="AE778" s="5"/>
      <c r="AF778" s="6"/>
      <c r="AG778" s="6"/>
      <c r="AH778" s="5"/>
      <c r="AI778" s="6"/>
      <c r="AJ778" s="6"/>
      <c r="AK778" s="5"/>
      <c r="AL778" s="5"/>
      <c r="AM778" s="5"/>
      <c r="AN778" s="5"/>
      <c r="AO778" s="5"/>
      <c r="AP778" s="5"/>
      <c r="AQ778" s="5"/>
    </row>
    <row r="779" spans="1:43" x14ac:dyDescent="0.25">
      <c r="A779" s="161" t="str">
        <f t="shared" si="14"/>
        <v>JET_FIGHTER_AMER</v>
      </c>
      <c r="B779" s="9" t="s">
        <v>761</v>
      </c>
      <c r="C779" s="5" t="s">
        <v>697</v>
      </c>
      <c r="D779" s="5" t="s">
        <v>699</v>
      </c>
      <c r="E779" s="5" t="s">
        <v>761</v>
      </c>
      <c r="F779" s="5" t="s">
        <v>794</v>
      </c>
      <c r="G779" s="5"/>
      <c r="H779" s="5"/>
      <c r="I779" s="5"/>
      <c r="J779" s="6"/>
      <c r="K779" s="7"/>
      <c r="L779" s="13"/>
      <c r="M779" s="8"/>
      <c r="N779" s="13"/>
      <c r="O779" s="13"/>
      <c r="P779" s="13"/>
      <c r="Q779" s="7"/>
      <c r="R779" s="6"/>
      <c r="S779" s="13"/>
      <c r="T779" s="7"/>
      <c r="U779" s="6"/>
      <c r="V779" s="5"/>
      <c r="W779" s="6"/>
      <c r="X779" s="6"/>
      <c r="Y779" s="5"/>
      <c r="Z779" s="6"/>
      <c r="AA779" s="6"/>
      <c r="AB779" s="5"/>
      <c r="AC779" s="6"/>
      <c r="AD779" s="6"/>
      <c r="AE779" s="5"/>
      <c r="AF779" s="6"/>
      <c r="AG779" s="6"/>
      <c r="AH779" s="5"/>
      <c r="AI779" s="6"/>
      <c r="AJ779" s="6"/>
      <c r="AK779" s="5"/>
      <c r="AL779" s="5"/>
      <c r="AM779" s="5"/>
      <c r="AN779" s="5"/>
      <c r="AO779" s="5"/>
      <c r="AP779" s="5"/>
      <c r="AQ779" s="5"/>
    </row>
    <row r="780" spans="1:43" x14ac:dyDescent="0.25">
      <c r="A780" s="161" t="str">
        <f t="shared" si="14"/>
        <v>JET_FIGHTER_IROQUOIS</v>
      </c>
      <c r="B780" s="9" t="s">
        <v>761</v>
      </c>
      <c r="C780" s="5" t="s">
        <v>721</v>
      </c>
      <c r="D780" s="5" t="s">
        <v>2209</v>
      </c>
      <c r="E780" s="5" t="s">
        <v>761</v>
      </c>
      <c r="F780" s="5" t="s">
        <v>794</v>
      </c>
      <c r="G780" s="5"/>
      <c r="H780" s="5"/>
      <c r="I780" s="5"/>
      <c r="J780" s="6"/>
      <c r="K780" s="7"/>
      <c r="L780" s="13"/>
      <c r="M780" s="8"/>
      <c r="N780" s="13"/>
      <c r="O780" s="13"/>
      <c r="P780" s="13"/>
      <c r="Q780" s="7"/>
      <c r="R780" s="6"/>
      <c r="S780" s="13"/>
      <c r="T780" s="7"/>
      <c r="U780" s="6"/>
      <c r="V780" s="5"/>
      <c r="W780" s="6"/>
      <c r="X780" s="6"/>
      <c r="Y780" s="5"/>
      <c r="Z780" s="6"/>
      <c r="AA780" s="6"/>
      <c r="AB780" s="5"/>
      <c r="AC780" s="6"/>
      <c r="AD780" s="6"/>
      <c r="AE780" s="5"/>
      <c r="AF780" s="6"/>
      <c r="AG780" s="6"/>
      <c r="AH780" s="5"/>
      <c r="AI780" s="6"/>
      <c r="AJ780" s="6"/>
      <c r="AK780" s="5"/>
      <c r="AL780" s="5"/>
      <c r="AM780" s="5"/>
      <c r="AN780" s="5"/>
      <c r="AO780" s="5"/>
      <c r="AP780" s="5"/>
      <c r="AQ780" s="5"/>
    </row>
    <row r="781" spans="1:43" x14ac:dyDescent="0.25">
      <c r="A781" s="161" t="str">
        <f t="shared" si="14"/>
        <v>JET_FIGHTER_ASIA</v>
      </c>
      <c r="B781" s="9" t="s">
        <v>761</v>
      </c>
      <c r="C781" s="5" t="s">
        <v>693</v>
      </c>
      <c r="D781" s="5" t="s">
        <v>698</v>
      </c>
      <c r="E781" s="5" t="s">
        <v>761</v>
      </c>
      <c r="F781" s="5" t="s">
        <v>794</v>
      </c>
      <c r="G781" s="5"/>
      <c r="H781" s="5"/>
      <c r="I781" s="5"/>
      <c r="J781" s="6"/>
      <c r="K781" s="7"/>
      <c r="L781" s="13"/>
      <c r="M781" s="8"/>
      <c r="N781" s="13"/>
      <c r="O781" s="13"/>
      <c r="P781" s="13"/>
      <c r="Q781" s="7"/>
      <c r="R781" s="6"/>
      <c r="S781" s="13"/>
      <c r="T781" s="7"/>
      <c r="U781" s="6"/>
      <c r="V781" s="5"/>
      <c r="W781" s="6"/>
      <c r="X781" s="6"/>
      <c r="Y781" s="5"/>
      <c r="Z781" s="6"/>
      <c r="AA781" s="6"/>
      <c r="AB781" s="5"/>
      <c r="AC781" s="6"/>
      <c r="AD781" s="6"/>
      <c r="AE781" s="5"/>
      <c r="AF781" s="6"/>
      <c r="AG781" s="6"/>
      <c r="AH781" s="5"/>
      <c r="AI781" s="6"/>
      <c r="AJ781" s="6"/>
      <c r="AK781" s="5"/>
      <c r="AL781" s="5"/>
      <c r="AM781" s="5"/>
      <c r="AN781" s="5"/>
      <c r="AO781" s="5"/>
      <c r="AP781" s="5"/>
      <c r="AQ781" s="5"/>
    </row>
    <row r="782" spans="1:43" x14ac:dyDescent="0.25">
      <c r="A782" s="161" t="str">
        <f t="shared" si="14"/>
        <v>JET_FIGHTER_JAPAN</v>
      </c>
      <c r="B782" s="9" t="s">
        <v>761</v>
      </c>
      <c r="C782" s="4" t="s">
        <v>722</v>
      </c>
      <c r="E782" s="4" t="s">
        <v>761</v>
      </c>
      <c r="F782" s="4" t="s">
        <v>794</v>
      </c>
      <c r="G782" s="14" t="s">
        <v>132</v>
      </c>
      <c r="H782" s="4" t="s">
        <v>482</v>
      </c>
      <c r="I782" s="4" t="s">
        <v>120</v>
      </c>
    </row>
    <row r="783" spans="1:43" x14ac:dyDescent="0.25">
      <c r="A783" s="161" t="str">
        <f t="shared" si="14"/>
        <v>JET_FIGHTER_KOREA</v>
      </c>
      <c r="B783" s="9" t="s">
        <v>761</v>
      </c>
      <c r="C783" s="4" t="s">
        <v>723</v>
      </c>
      <c r="E783" s="4" t="s">
        <v>761</v>
      </c>
      <c r="F783" s="4" t="s">
        <v>794</v>
      </c>
      <c r="G783" s="14" t="s">
        <v>132</v>
      </c>
      <c r="H783" s="4" t="s">
        <v>499</v>
      </c>
      <c r="I783" s="4" t="s">
        <v>120</v>
      </c>
    </row>
    <row r="784" spans="1:43" x14ac:dyDescent="0.25">
      <c r="A784" s="161" t="str">
        <f t="shared" si="14"/>
        <v>JET_FIGHTER_OTTOMAN</v>
      </c>
      <c r="B784" s="9" t="s">
        <v>761</v>
      </c>
      <c r="C784" s="4" t="s">
        <v>1037</v>
      </c>
      <c r="E784" s="4" t="s">
        <v>761</v>
      </c>
      <c r="F784" s="4" t="s">
        <v>794</v>
      </c>
      <c r="G784" s="14" t="s">
        <v>132</v>
      </c>
      <c r="H784" s="4" t="s">
        <v>1039</v>
      </c>
      <c r="I784" s="4" t="s">
        <v>120</v>
      </c>
    </row>
    <row r="785" spans="1:21" x14ac:dyDescent="0.25">
      <c r="A785" s="161" t="str">
        <f t="shared" si="14"/>
        <v>JET_FIGHTER_EASTEU</v>
      </c>
      <c r="B785" s="9" t="s">
        <v>761</v>
      </c>
      <c r="C785" s="4" t="s">
        <v>698</v>
      </c>
      <c r="E785" s="4" t="s">
        <v>761</v>
      </c>
      <c r="F785" s="4" t="s">
        <v>794</v>
      </c>
      <c r="G785" s="14"/>
      <c r="H785" s="5" t="s">
        <v>1939</v>
      </c>
      <c r="I785" s="4" t="s">
        <v>120</v>
      </c>
      <c r="J785" s="6"/>
    </row>
    <row r="786" spans="1:21" x14ac:dyDescent="0.25">
      <c r="A786" s="161" t="str">
        <f t="shared" si="14"/>
        <v>JET_FIGHTER_KIEV</v>
      </c>
      <c r="B786" s="9" t="s">
        <v>761</v>
      </c>
      <c r="C786" s="4" t="s">
        <v>1187</v>
      </c>
      <c r="E786" s="4" t="s">
        <v>761</v>
      </c>
      <c r="F786" s="4" t="s">
        <v>794</v>
      </c>
      <c r="G786" s="14"/>
      <c r="H786" s="5" t="s">
        <v>1940</v>
      </c>
      <c r="I786" s="4" t="s">
        <v>120</v>
      </c>
      <c r="J786" s="6"/>
    </row>
    <row r="787" spans="1:21" x14ac:dyDescent="0.25">
      <c r="A787" s="161" t="str">
        <f t="shared" si="14"/>
        <v>JET_FIGHTER_RUSSIA</v>
      </c>
      <c r="B787" s="9" t="s">
        <v>761</v>
      </c>
      <c r="C787" s="4" t="s">
        <v>735</v>
      </c>
      <c r="E787" s="4" t="s">
        <v>761</v>
      </c>
      <c r="F787" s="4" t="s">
        <v>794</v>
      </c>
      <c r="G787" s="14" t="s">
        <v>132</v>
      </c>
      <c r="H787" s="4" t="s">
        <v>615</v>
      </c>
      <c r="I787" s="4" t="s">
        <v>120</v>
      </c>
    </row>
    <row r="788" spans="1:21" x14ac:dyDescent="0.25">
      <c r="A788" s="161" t="str">
        <f t="shared" si="14"/>
        <v>JET_FIGHTER_AMERICA</v>
      </c>
      <c r="B788" s="9" t="s">
        <v>761</v>
      </c>
      <c r="C788" s="4" t="s">
        <v>699</v>
      </c>
      <c r="E788" s="4" t="s">
        <v>761</v>
      </c>
      <c r="F788" s="4" t="s">
        <v>794</v>
      </c>
      <c r="G788" s="14"/>
      <c r="H788" s="4" t="s">
        <v>141</v>
      </c>
      <c r="I788" s="4" t="s">
        <v>1935</v>
      </c>
      <c r="R788" s="11">
        <v>0.115</v>
      </c>
      <c r="U788" s="11">
        <v>0.11</v>
      </c>
    </row>
    <row r="789" spans="1:21" x14ac:dyDescent="0.25">
      <c r="A789" s="161" t="str">
        <f t="shared" si="14"/>
        <v>JET_FIGHTER_AUSTRALIA</v>
      </c>
      <c r="B789" s="9" t="s">
        <v>761</v>
      </c>
      <c r="C789" s="4" t="s">
        <v>1302</v>
      </c>
      <c r="D789" s="4" t="s">
        <v>713</v>
      </c>
      <c r="E789" s="4" t="s">
        <v>761</v>
      </c>
      <c r="F789" s="4" t="s">
        <v>794</v>
      </c>
      <c r="G789" s="14"/>
    </row>
    <row r="790" spans="1:21" x14ac:dyDescent="0.25">
      <c r="A790" s="161" t="str">
        <f t="shared" si="14"/>
        <v>JET_FIGHTER_AUSTRIA</v>
      </c>
      <c r="B790" s="9" t="s">
        <v>761</v>
      </c>
      <c r="C790" s="4" t="s">
        <v>701</v>
      </c>
      <c r="E790" s="4" t="s">
        <v>761</v>
      </c>
      <c r="F790" s="4" t="s">
        <v>794</v>
      </c>
      <c r="G790" s="14"/>
      <c r="H790" s="4" t="s">
        <v>181</v>
      </c>
      <c r="I790" s="4" t="s">
        <v>120</v>
      </c>
      <c r="R790" s="11">
        <v>0.12</v>
      </c>
    </row>
    <row r="791" spans="1:21" x14ac:dyDescent="0.25">
      <c r="A791" s="161" t="str">
        <f t="shared" si="14"/>
        <v>JET_FIGHTER_CANADA</v>
      </c>
      <c r="B791" s="9" t="s">
        <v>761</v>
      </c>
      <c r="C791" s="4" t="s">
        <v>2209</v>
      </c>
      <c r="E791" s="4" t="s">
        <v>761</v>
      </c>
      <c r="F791" s="4" t="s">
        <v>794</v>
      </c>
      <c r="G791" s="14"/>
      <c r="H791" s="4" t="s">
        <v>2212</v>
      </c>
      <c r="I791" s="4" t="s">
        <v>2213</v>
      </c>
    </row>
    <row r="792" spans="1:21" x14ac:dyDescent="0.25">
      <c r="A792" s="161" t="str">
        <f t="shared" si="14"/>
        <v>JET_FIGHTER_CELTS</v>
      </c>
      <c r="B792" s="9" t="s">
        <v>761</v>
      </c>
      <c r="C792" s="4" t="s">
        <v>709</v>
      </c>
      <c r="D792" s="4" t="s">
        <v>713</v>
      </c>
      <c r="E792" s="4" t="s">
        <v>761</v>
      </c>
      <c r="F792" s="4" t="s">
        <v>794</v>
      </c>
      <c r="G792" s="14"/>
    </row>
    <row r="793" spans="1:21" x14ac:dyDescent="0.25">
      <c r="A793" s="161" t="str">
        <f t="shared" si="14"/>
        <v>JET_FIGHTER_ENGLAND</v>
      </c>
      <c r="B793" s="9" t="s">
        <v>761</v>
      </c>
      <c r="C793" s="4" t="s">
        <v>713</v>
      </c>
      <c r="E793" s="4" t="s">
        <v>761</v>
      </c>
      <c r="F793" s="4" t="s">
        <v>794</v>
      </c>
      <c r="G793" s="14" t="s">
        <v>132</v>
      </c>
      <c r="H793" s="4" t="s">
        <v>301</v>
      </c>
      <c r="I793" s="4" t="s">
        <v>120</v>
      </c>
      <c r="R793" s="11">
        <v>0.12</v>
      </c>
    </row>
    <row r="794" spans="1:21" x14ac:dyDescent="0.25">
      <c r="A794" s="161" t="str">
        <f t="shared" si="14"/>
        <v>JET_FIGHTER_FRANCE</v>
      </c>
      <c r="B794" s="9" t="s">
        <v>761</v>
      </c>
      <c r="C794" s="4" t="s">
        <v>715</v>
      </c>
      <c r="E794" s="4" t="s">
        <v>761</v>
      </c>
      <c r="F794" s="4" t="s">
        <v>794</v>
      </c>
      <c r="G794" s="14" t="s">
        <v>132</v>
      </c>
      <c r="H794" s="4" t="s">
        <v>347</v>
      </c>
      <c r="I794" s="4" t="s">
        <v>966</v>
      </c>
      <c r="R794" s="11">
        <v>0.105</v>
      </c>
      <c r="U794" s="11">
        <v>0.1</v>
      </c>
    </row>
    <row r="795" spans="1:21" x14ac:dyDescent="0.25">
      <c r="A795" s="161" t="str">
        <f t="shared" si="14"/>
        <v>JET_FIGHTER_GERMANY</v>
      </c>
      <c r="B795" s="9" t="s">
        <v>761</v>
      </c>
      <c r="C795" s="4" t="s">
        <v>717</v>
      </c>
      <c r="E795" s="4" t="s">
        <v>761</v>
      </c>
      <c r="F795" s="4" t="s">
        <v>794</v>
      </c>
      <c r="G795" s="14" t="s">
        <v>132</v>
      </c>
      <c r="H795" s="4" t="s">
        <v>378</v>
      </c>
      <c r="I795" s="4" t="s">
        <v>120</v>
      </c>
    </row>
    <row r="796" spans="1:21" x14ac:dyDescent="0.25">
      <c r="A796" s="161" t="str">
        <f t="shared" si="14"/>
        <v>JET_FIGHTER_GREECE</v>
      </c>
      <c r="B796" s="9" t="s">
        <v>761</v>
      </c>
      <c r="C796" s="4" t="s">
        <v>718</v>
      </c>
      <c r="E796" s="4" t="s">
        <v>761</v>
      </c>
      <c r="F796" s="4" t="s">
        <v>794</v>
      </c>
      <c r="G796" s="14" t="s">
        <v>132</v>
      </c>
      <c r="H796" s="4" t="s">
        <v>405</v>
      </c>
      <c r="I796" s="4" t="s">
        <v>120</v>
      </c>
    </row>
    <row r="797" spans="1:21" x14ac:dyDescent="0.25">
      <c r="A797" s="161" t="str">
        <f t="shared" si="14"/>
        <v>JET_FIGHTER_PORTUGAL</v>
      </c>
      <c r="B797" s="9" t="s">
        <v>761</v>
      </c>
      <c r="C797" s="4" t="s">
        <v>733</v>
      </c>
      <c r="E797" s="4" t="s">
        <v>761</v>
      </c>
      <c r="F797" s="4" t="s">
        <v>794</v>
      </c>
      <c r="G797" s="14" t="s">
        <v>132</v>
      </c>
      <c r="H797" s="4" t="s">
        <v>578</v>
      </c>
      <c r="I797" s="4" t="s">
        <v>1062</v>
      </c>
      <c r="R797" s="11">
        <v>0.105</v>
      </c>
      <c r="U797" s="11">
        <v>0.1</v>
      </c>
    </row>
    <row r="798" spans="1:21" x14ac:dyDescent="0.25">
      <c r="A798" s="161" t="str">
        <f t="shared" si="14"/>
        <v>JET_FIGHTER_ROME</v>
      </c>
      <c r="B798" s="9" t="s">
        <v>761</v>
      </c>
      <c r="C798" s="4" t="s">
        <v>734</v>
      </c>
      <c r="E798" s="4" t="s">
        <v>761</v>
      </c>
      <c r="F798" s="4" t="s">
        <v>794</v>
      </c>
      <c r="G798" s="14" t="s">
        <v>132</v>
      </c>
      <c r="H798" s="4" t="s">
        <v>591</v>
      </c>
      <c r="I798" s="4" t="s">
        <v>120</v>
      </c>
      <c r="R798" s="11">
        <v>0.12</v>
      </c>
    </row>
    <row r="799" spans="1:21" x14ac:dyDescent="0.25">
      <c r="A799" s="161" t="str">
        <f t="shared" si="14"/>
        <v>JET_FIGHTER_SPAIN</v>
      </c>
      <c r="B799" s="9" t="s">
        <v>761</v>
      </c>
      <c r="C799" s="4" t="s">
        <v>738</v>
      </c>
      <c r="E799" s="4" t="s">
        <v>761</v>
      </c>
      <c r="F799" s="4" t="s">
        <v>794</v>
      </c>
      <c r="G799" s="14" t="s">
        <v>132</v>
      </c>
      <c r="H799" s="4" t="s">
        <v>655</v>
      </c>
      <c r="I799" s="4" t="s">
        <v>120</v>
      </c>
      <c r="R799" s="11">
        <v>0.12</v>
      </c>
    </row>
    <row r="800" spans="1:21" x14ac:dyDescent="0.25">
      <c r="A800" s="161" t="str">
        <f t="shared" si="14"/>
        <v>JET_FIGHTER_BABYLON</v>
      </c>
      <c r="B800" s="9" t="s">
        <v>761</v>
      </c>
      <c r="C800" s="4" t="s">
        <v>703</v>
      </c>
      <c r="E800" s="4" t="s">
        <v>761</v>
      </c>
      <c r="F800" s="4" t="s">
        <v>794</v>
      </c>
      <c r="G800" s="14"/>
      <c r="H800" s="4" t="s">
        <v>210</v>
      </c>
      <c r="I800" s="4" t="s">
        <v>120</v>
      </c>
    </row>
    <row r="801" spans="1:43" x14ac:dyDescent="0.25">
      <c r="A801" s="161" t="str">
        <f t="shared" si="14"/>
        <v>JET_FIGHTER_EGYPT</v>
      </c>
      <c r="B801" s="9" t="s">
        <v>761</v>
      </c>
      <c r="C801" s="4" t="s">
        <v>712</v>
      </c>
      <c r="E801" s="4" t="s">
        <v>761</v>
      </c>
      <c r="F801" s="4" t="s">
        <v>794</v>
      </c>
      <c r="G801" s="14" t="s">
        <v>132</v>
      </c>
      <c r="H801" s="4" t="s">
        <v>281</v>
      </c>
      <c r="I801" s="4" t="s">
        <v>120</v>
      </c>
    </row>
    <row r="802" spans="1:43" x14ac:dyDescent="0.25">
      <c r="A802" s="161" t="str">
        <f t="shared" si="14"/>
        <v>JET_FIGHTER_LEVANT</v>
      </c>
      <c r="B802" s="9" t="s">
        <v>761</v>
      </c>
      <c r="C802" s="4" t="s">
        <v>724</v>
      </c>
      <c r="E802" s="4" t="s">
        <v>761</v>
      </c>
      <c r="F802" s="4" t="s">
        <v>794</v>
      </c>
      <c r="G802" s="14" t="s">
        <v>132</v>
      </c>
      <c r="H802" s="4" t="s">
        <v>510</v>
      </c>
      <c r="I802" s="4" t="s">
        <v>120</v>
      </c>
    </row>
    <row r="803" spans="1:43" x14ac:dyDescent="0.25">
      <c r="A803" s="161" t="str">
        <f t="shared" si="14"/>
        <v>JET_FIGHTER_PERSIA</v>
      </c>
      <c r="B803" s="9" t="s">
        <v>761</v>
      </c>
      <c r="C803" s="4" t="s">
        <v>731</v>
      </c>
      <c r="E803" s="4" t="s">
        <v>761</v>
      </c>
      <c r="F803" s="4" t="s">
        <v>794</v>
      </c>
      <c r="G803" s="14" t="s">
        <v>132</v>
      </c>
      <c r="H803" s="4" t="s">
        <v>555</v>
      </c>
      <c r="I803" s="4" t="s">
        <v>120</v>
      </c>
    </row>
    <row r="804" spans="1:43" x14ac:dyDescent="0.25">
      <c r="A804" s="161" t="str">
        <f t="shared" si="14"/>
        <v>JET_FIGHTER_NORTHAF</v>
      </c>
      <c r="B804" s="9" t="s">
        <v>761</v>
      </c>
      <c r="C804" s="4" t="s">
        <v>2011</v>
      </c>
      <c r="D804" s="4" t="s">
        <v>715</v>
      </c>
      <c r="E804" s="4" t="s">
        <v>761</v>
      </c>
      <c r="F804" s="4" t="s">
        <v>794</v>
      </c>
      <c r="G804" s="14"/>
    </row>
    <row r="805" spans="1:43" x14ac:dyDescent="0.25">
      <c r="A805" s="161" t="str">
        <f t="shared" si="14"/>
        <v>JET_FIGHTER_NORTHEU</v>
      </c>
      <c r="B805" s="9" t="s">
        <v>761</v>
      </c>
      <c r="C805" s="4" t="s">
        <v>962</v>
      </c>
      <c r="E805" s="4" t="s">
        <v>761</v>
      </c>
      <c r="F805" s="4" t="s">
        <v>794</v>
      </c>
      <c r="G805" s="14"/>
      <c r="H805" s="4" t="s">
        <v>2220</v>
      </c>
      <c r="I805" s="4" t="s">
        <v>1062</v>
      </c>
    </row>
    <row r="806" spans="1:43" x14ac:dyDescent="0.25">
      <c r="A806" s="161" t="str">
        <f t="shared" si="14"/>
        <v>JET_FIGHTER_OCEAN</v>
      </c>
      <c r="B806" s="9" t="s">
        <v>761</v>
      </c>
      <c r="C806" s="4" t="s">
        <v>994</v>
      </c>
      <c r="D806" s="4" t="s">
        <v>699</v>
      </c>
      <c r="E806" s="4" t="s">
        <v>761</v>
      </c>
      <c r="F806" s="4" t="s">
        <v>794</v>
      </c>
      <c r="G806" s="14"/>
    </row>
    <row r="807" spans="1:43" x14ac:dyDescent="0.25">
      <c r="A807" s="161" t="str">
        <f t="shared" si="14"/>
        <v>JET_FIGHTER_SIAM</v>
      </c>
      <c r="B807" s="9" t="s">
        <v>761</v>
      </c>
      <c r="C807" s="4" t="s">
        <v>736</v>
      </c>
      <c r="E807" s="4" t="s">
        <v>761</v>
      </c>
      <c r="F807" s="4" t="s">
        <v>794</v>
      </c>
      <c r="G807" s="14" t="s">
        <v>132</v>
      </c>
      <c r="H807" s="4" t="s">
        <v>637</v>
      </c>
      <c r="I807" s="4" t="s">
        <v>1062</v>
      </c>
      <c r="R807" s="11">
        <v>0.105</v>
      </c>
      <c r="U807" s="11">
        <v>0.1</v>
      </c>
    </row>
    <row r="808" spans="1:43" x14ac:dyDescent="0.25">
      <c r="A808" s="161" t="str">
        <f t="shared" si="14"/>
        <v>JET_FIGHTER_SOUTHAM</v>
      </c>
      <c r="B808" s="9" t="s">
        <v>761</v>
      </c>
      <c r="C808" s="4" t="s">
        <v>691</v>
      </c>
      <c r="E808" s="4" t="s">
        <v>761</v>
      </c>
      <c r="F808" s="4" t="s">
        <v>794</v>
      </c>
      <c r="G808" s="14" t="s">
        <v>132</v>
      </c>
      <c r="H808" s="4" t="s">
        <v>421</v>
      </c>
      <c r="I808" s="4" t="s">
        <v>120</v>
      </c>
    </row>
    <row r="809" spans="1:43" x14ac:dyDescent="0.25">
      <c r="A809" s="161" t="str">
        <f t="shared" si="14"/>
        <v>JET_FIGHTER_SOUTHAS</v>
      </c>
      <c r="B809" s="9" t="s">
        <v>761</v>
      </c>
      <c r="C809" s="4" t="s">
        <v>695</v>
      </c>
      <c r="D809" s="4" t="s">
        <v>698</v>
      </c>
      <c r="E809" s="4" t="s">
        <v>761</v>
      </c>
      <c r="F809" s="4" t="s">
        <v>794</v>
      </c>
    </row>
    <row r="810" spans="1:43" x14ac:dyDescent="0.25">
      <c r="A810" s="161" t="str">
        <f t="shared" si="14"/>
        <v>JET_FIGHTER_INDIA</v>
      </c>
      <c r="B810" s="9" t="s">
        <v>761</v>
      </c>
      <c r="C810" s="4" t="s">
        <v>720</v>
      </c>
      <c r="E810" s="4" t="s">
        <v>761</v>
      </c>
      <c r="F810" s="4" t="s">
        <v>794</v>
      </c>
      <c r="H810" s="4" t="s">
        <v>435</v>
      </c>
      <c r="I810" s="4" t="s">
        <v>120</v>
      </c>
      <c r="R810" s="11">
        <v>0.115</v>
      </c>
    </row>
    <row r="811" spans="1:43" x14ac:dyDescent="0.25">
      <c r="A811" s="161" t="str">
        <f t="shared" ref="A811:A876" si="16">CONCATENATE(E811,IF(ISBLANK(C811),"",CONCATENATE("_",C811)))</f>
        <v>KNIGHT</v>
      </c>
      <c r="B811" s="9" t="s">
        <v>110</v>
      </c>
      <c r="C811" s="5"/>
      <c r="D811" s="5"/>
      <c r="E811" s="5" t="s">
        <v>110</v>
      </c>
      <c r="F811" s="5" t="s">
        <v>110</v>
      </c>
      <c r="G811" s="5"/>
      <c r="H811" s="5" t="s">
        <v>28</v>
      </c>
      <c r="I811" s="5" t="s">
        <v>128</v>
      </c>
      <c r="J811" s="6"/>
      <c r="K811" s="6"/>
      <c r="L811" s="13" t="s">
        <v>1714</v>
      </c>
      <c r="M811" s="8"/>
      <c r="N811" s="5"/>
      <c r="O811" s="5"/>
      <c r="P811" s="5"/>
      <c r="Q811" s="7" t="s">
        <v>1695</v>
      </c>
      <c r="R811" s="6" t="s">
        <v>1695</v>
      </c>
      <c r="S811" s="13" t="s">
        <v>1695</v>
      </c>
      <c r="T811" s="7" t="s">
        <v>1695</v>
      </c>
      <c r="U811" s="7" t="s">
        <v>1695</v>
      </c>
      <c r="V811" s="5"/>
      <c r="W811" s="6" t="s">
        <v>3</v>
      </c>
      <c r="X811" s="6" t="s">
        <v>3</v>
      </c>
      <c r="Y811" s="5"/>
      <c r="Z811" s="7">
        <v>1</v>
      </c>
      <c r="AA811" s="6"/>
      <c r="AB811" s="5"/>
      <c r="AC811" s="6"/>
      <c r="AD811" s="6" t="s">
        <v>3</v>
      </c>
      <c r="AE811" s="5"/>
      <c r="AF811" s="7" t="s">
        <v>1695</v>
      </c>
      <c r="AG811" s="6"/>
      <c r="AH811" s="5"/>
      <c r="AI811" s="6"/>
      <c r="AJ811" s="6"/>
      <c r="AK811" s="5"/>
      <c r="AL811" s="5"/>
      <c r="AM811" s="5"/>
      <c r="AN811" s="5"/>
      <c r="AO811" s="5"/>
      <c r="AP811" s="5"/>
      <c r="AQ811" s="5"/>
    </row>
    <row r="812" spans="1:43" x14ac:dyDescent="0.25">
      <c r="A812" s="161" t="str">
        <f t="shared" si="16"/>
        <v>KNIGHT_AFRI</v>
      </c>
      <c r="B812" s="9" t="s">
        <v>110</v>
      </c>
      <c r="C812" s="4" t="s">
        <v>694</v>
      </c>
      <c r="E812" s="4" t="s">
        <v>110</v>
      </c>
      <c r="F812" s="4" t="s">
        <v>110</v>
      </c>
      <c r="H812" s="4" t="s">
        <v>325</v>
      </c>
      <c r="I812" s="4" t="s">
        <v>1025</v>
      </c>
    </row>
    <row r="813" spans="1:43" x14ac:dyDescent="0.25">
      <c r="A813" s="161" t="str">
        <f t="shared" si="16"/>
        <v>KNIGHT_AMER</v>
      </c>
      <c r="B813" s="9" t="s">
        <v>110</v>
      </c>
      <c r="C813" s="4" t="s">
        <v>697</v>
      </c>
      <c r="E813" s="4" t="s">
        <v>110</v>
      </c>
      <c r="F813" s="4" t="s">
        <v>110</v>
      </c>
      <c r="H813" s="4" t="s">
        <v>633</v>
      </c>
      <c r="I813" s="4" t="s">
        <v>1013</v>
      </c>
    </row>
    <row r="814" spans="1:43" x14ac:dyDescent="0.25">
      <c r="A814" s="161" t="str">
        <f t="shared" si="16"/>
        <v>KNIGHT_IROQUOIS</v>
      </c>
      <c r="B814" s="9" t="s">
        <v>110</v>
      </c>
      <c r="C814" s="4" t="s">
        <v>721</v>
      </c>
      <c r="E814" s="4" t="s">
        <v>110</v>
      </c>
      <c r="F814" s="4" t="s">
        <v>110</v>
      </c>
      <c r="H814" s="4" t="s">
        <v>938</v>
      </c>
      <c r="I814" s="4" t="s">
        <v>1935</v>
      </c>
      <c r="Q814" s="11">
        <v>1</v>
      </c>
      <c r="T814" s="11">
        <v>1</v>
      </c>
      <c r="Z814" s="11">
        <v>0</v>
      </c>
      <c r="AF814" s="11">
        <v>1</v>
      </c>
      <c r="AI814" s="11">
        <v>0</v>
      </c>
    </row>
    <row r="815" spans="1:43" x14ac:dyDescent="0.25">
      <c r="A815" s="161" t="str">
        <f t="shared" si="16"/>
        <v>KNIGHT_IROQUOIS</v>
      </c>
      <c r="B815" s="9" t="s">
        <v>110</v>
      </c>
      <c r="C815" s="4" t="s">
        <v>721</v>
      </c>
      <c r="E815" s="4" t="s">
        <v>110</v>
      </c>
      <c r="F815" s="4" t="s">
        <v>110</v>
      </c>
      <c r="G815" s="4" t="s">
        <v>2047</v>
      </c>
      <c r="H815" s="4" t="s">
        <v>939</v>
      </c>
      <c r="I815" s="4" t="s">
        <v>1935</v>
      </c>
      <c r="Q815" s="11">
        <v>1</v>
      </c>
      <c r="T815" s="11">
        <v>2</v>
      </c>
      <c r="Z815" s="11">
        <v>1</v>
      </c>
      <c r="AF815" s="11">
        <v>1</v>
      </c>
      <c r="AI815" s="11">
        <v>1</v>
      </c>
    </row>
    <row r="816" spans="1:43" x14ac:dyDescent="0.25">
      <c r="A816" s="161" t="str">
        <f t="shared" si="16"/>
        <v>KNIGHT_IROQUOIS</v>
      </c>
      <c r="B816" s="9" t="s">
        <v>110</v>
      </c>
      <c r="C816" s="4" t="s">
        <v>721</v>
      </c>
      <c r="E816" s="4" t="s">
        <v>110</v>
      </c>
      <c r="F816" s="4" t="s">
        <v>110</v>
      </c>
      <c r="G816" s="4" t="s">
        <v>2049</v>
      </c>
      <c r="H816" s="4" t="s">
        <v>940</v>
      </c>
      <c r="I816" s="4" t="s">
        <v>1935</v>
      </c>
      <c r="Q816" s="11">
        <v>1</v>
      </c>
      <c r="T816" s="11">
        <v>1</v>
      </c>
      <c r="Z816" s="11">
        <v>0</v>
      </c>
      <c r="AF816" s="11">
        <v>0</v>
      </c>
      <c r="AI816" s="11">
        <v>0</v>
      </c>
    </row>
    <row r="817" spans="1:35" x14ac:dyDescent="0.25">
      <c r="A817" s="161" t="str">
        <f t="shared" si="16"/>
        <v>KNIGHT_IROQUOIS</v>
      </c>
      <c r="B817" s="9" t="s">
        <v>110</v>
      </c>
      <c r="C817" s="4" t="s">
        <v>721</v>
      </c>
      <c r="E817" s="4" t="s">
        <v>110</v>
      </c>
      <c r="F817" s="4" t="s">
        <v>110</v>
      </c>
      <c r="G817" s="4" t="s">
        <v>2048</v>
      </c>
      <c r="H817" s="4" t="s">
        <v>941</v>
      </c>
      <c r="I817" s="4" t="s">
        <v>1935</v>
      </c>
      <c r="Q817" s="9">
        <v>1</v>
      </c>
      <c r="T817" s="11">
        <v>1</v>
      </c>
      <c r="Z817" s="9">
        <v>0</v>
      </c>
      <c r="AF817" s="11">
        <v>0</v>
      </c>
      <c r="AI817" s="11">
        <v>0</v>
      </c>
    </row>
    <row r="818" spans="1:35" x14ac:dyDescent="0.25">
      <c r="A818" s="161" t="str">
        <f t="shared" si="16"/>
        <v>KNIGHT_IROQUOIS</v>
      </c>
      <c r="B818" s="9" t="s">
        <v>110</v>
      </c>
      <c r="C818" s="4" t="s">
        <v>721</v>
      </c>
      <c r="E818" s="4" t="s">
        <v>110</v>
      </c>
      <c r="F818" s="4" t="s">
        <v>110</v>
      </c>
      <c r="G818" s="4" t="s">
        <v>2058</v>
      </c>
      <c r="H818" s="4" t="s">
        <v>464</v>
      </c>
      <c r="I818" s="4" t="s">
        <v>1935</v>
      </c>
      <c r="Q818" s="9">
        <v>1</v>
      </c>
      <c r="T818" s="11">
        <v>2</v>
      </c>
      <c r="Z818" s="9">
        <v>0</v>
      </c>
      <c r="AF818" s="11">
        <v>1</v>
      </c>
      <c r="AI818" s="11">
        <v>1</v>
      </c>
    </row>
    <row r="819" spans="1:35" x14ac:dyDescent="0.25">
      <c r="A819" s="161" t="str">
        <f t="shared" si="16"/>
        <v>KNIGHT_ASIA</v>
      </c>
      <c r="B819" s="9" t="s">
        <v>110</v>
      </c>
      <c r="C819" s="4" t="s">
        <v>693</v>
      </c>
      <c r="E819" s="4" t="s">
        <v>110</v>
      </c>
      <c r="F819" s="4" t="s">
        <v>110</v>
      </c>
      <c r="H819" s="4" t="s">
        <v>530</v>
      </c>
      <c r="I819" s="4" t="s">
        <v>2098</v>
      </c>
    </row>
    <row r="820" spans="1:35" x14ac:dyDescent="0.25">
      <c r="A820" s="161" t="str">
        <f t="shared" si="16"/>
        <v>KNIGHT_CHINA</v>
      </c>
      <c r="B820" s="9" t="s">
        <v>110</v>
      </c>
      <c r="C820" s="4" t="s">
        <v>710</v>
      </c>
      <c r="E820" s="4" t="s">
        <v>110</v>
      </c>
      <c r="F820" s="4" t="s">
        <v>110</v>
      </c>
      <c r="G820" s="14" t="s">
        <v>132</v>
      </c>
      <c r="H820" s="4" t="s">
        <v>250</v>
      </c>
      <c r="I820" s="4" t="s">
        <v>102</v>
      </c>
    </row>
    <row r="821" spans="1:35" x14ac:dyDescent="0.25">
      <c r="A821" s="161" t="str">
        <f t="shared" si="16"/>
        <v>KNIGHT_JAPAN</v>
      </c>
      <c r="B821" s="9" t="s">
        <v>110</v>
      </c>
      <c r="C821" s="4" t="s">
        <v>722</v>
      </c>
      <c r="E821" s="4" t="s">
        <v>110</v>
      </c>
      <c r="F821" s="4" t="s">
        <v>110</v>
      </c>
      <c r="G821" s="14" t="s">
        <v>132</v>
      </c>
      <c r="H821" s="4" t="s">
        <v>483</v>
      </c>
      <c r="I821" s="10" t="s">
        <v>102</v>
      </c>
    </row>
    <row r="822" spans="1:35" x14ac:dyDescent="0.25">
      <c r="A822" s="161" t="str">
        <f t="shared" si="16"/>
        <v>KNIGHT_KOREA</v>
      </c>
      <c r="B822" s="9" t="s">
        <v>110</v>
      </c>
      <c r="C822" s="4" t="s">
        <v>723</v>
      </c>
      <c r="E822" s="4" t="s">
        <v>110</v>
      </c>
      <c r="F822" s="4" t="s">
        <v>110</v>
      </c>
      <c r="G822" s="14" t="s">
        <v>132</v>
      </c>
      <c r="H822" s="4" t="s">
        <v>500</v>
      </c>
      <c r="I822" s="4" t="s">
        <v>102</v>
      </c>
    </row>
    <row r="823" spans="1:35" x14ac:dyDescent="0.25">
      <c r="A823" s="161" t="str">
        <f t="shared" si="16"/>
        <v>KNIGHT_CENTAS</v>
      </c>
      <c r="B823" s="9" t="s">
        <v>110</v>
      </c>
      <c r="C823" s="4" t="s">
        <v>918</v>
      </c>
      <c r="E823" s="4" t="s">
        <v>110</v>
      </c>
      <c r="F823" s="4" t="s">
        <v>110</v>
      </c>
      <c r="H823" s="4" t="s">
        <v>909</v>
      </c>
      <c r="I823" s="4" t="s">
        <v>1063</v>
      </c>
    </row>
    <row r="824" spans="1:35" x14ac:dyDescent="0.25">
      <c r="A824" s="161" t="str">
        <f t="shared" si="16"/>
        <v>KNIGHT_OTTOMAN</v>
      </c>
      <c r="B824" s="9" t="s">
        <v>110</v>
      </c>
      <c r="C824" s="4" t="s">
        <v>1037</v>
      </c>
      <c r="E824" s="4" t="s">
        <v>110</v>
      </c>
      <c r="F824" s="4" t="s">
        <v>110</v>
      </c>
      <c r="H824" s="4" t="s">
        <v>1033</v>
      </c>
      <c r="I824" s="4" t="s">
        <v>2098</v>
      </c>
    </row>
    <row r="825" spans="1:35" x14ac:dyDescent="0.25">
      <c r="A825" s="161" t="str">
        <f t="shared" si="16"/>
        <v>KNIGHT_EASTEU</v>
      </c>
      <c r="B825" s="9" t="s">
        <v>110</v>
      </c>
      <c r="C825" s="4" t="s">
        <v>698</v>
      </c>
      <c r="E825" s="4" t="s">
        <v>110</v>
      </c>
      <c r="F825" s="4" t="s">
        <v>110</v>
      </c>
      <c r="H825" s="4" t="s">
        <v>2099</v>
      </c>
      <c r="I825" s="4" t="s">
        <v>1024</v>
      </c>
    </row>
    <row r="826" spans="1:35" x14ac:dyDescent="0.25">
      <c r="A826" s="161" t="str">
        <f t="shared" si="16"/>
        <v>KNIGHT_POLAN D</v>
      </c>
      <c r="B826" s="9" t="s">
        <v>110</v>
      </c>
      <c r="C826" s="4" t="s">
        <v>2182</v>
      </c>
      <c r="E826" s="4" t="s">
        <v>110</v>
      </c>
      <c r="F826" s="4" t="s">
        <v>110</v>
      </c>
      <c r="H826" s="4" t="s">
        <v>2181</v>
      </c>
      <c r="I826" s="4" t="s">
        <v>1024</v>
      </c>
    </row>
    <row r="827" spans="1:35" x14ac:dyDescent="0.25">
      <c r="A827" s="161" t="str">
        <f t="shared" si="16"/>
        <v>KNIGHT_RUSSIA</v>
      </c>
      <c r="B827" s="9" t="s">
        <v>110</v>
      </c>
      <c r="C827" s="4" t="s">
        <v>735</v>
      </c>
      <c r="E827" s="4" t="s">
        <v>110</v>
      </c>
      <c r="F827" s="4" t="s">
        <v>110</v>
      </c>
      <c r="H827" s="4" t="s">
        <v>616</v>
      </c>
      <c r="I827" s="4" t="s">
        <v>2098</v>
      </c>
      <c r="Q827" s="11">
        <v>1</v>
      </c>
      <c r="T827" s="11">
        <v>1</v>
      </c>
      <c r="Z827" s="11">
        <v>0</v>
      </c>
      <c r="AF827" s="11">
        <v>1</v>
      </c>
    </row>
    <row r="828" spans="1:35" x14ac:dyDescent="0.25">
      <c r="A828" s="161" t="str">
        <f t="shared" si="16"/>
        <v>KNIGHT_RUSSIA</v>
      </c>
      <c r="B828" s="9" t="s">
        <v>110</v>
      </c>
      <c r="C828" s="4" t="s">
        <v>735</v>
      </c>
      <c r="E828" s="4" t="s">
        <v>110</v>
      </c>
      <c r="F828" s="4" t="s">
        <v>110</v>
      </c>
      <c r="G828" s="4" t="s">
        <v>2047</v>
      </c>
      <c r="H828" s="4" t="s">
        <v>1003</v>
      </c>
      <c r="I828" s="4" t="s">
        <v>2098</v>
      </c>
      <c r="Q828" s="11">
        <v>2</v>
      </c>
      <c r="T828" s="11">
        <v>2</v>
      </c>
      <c r="Z828" s="11">
        <v>1</v>
      </c>
      <c r="AF828" s="11">
        <v>1</v>
      </c>
    </row>
    <row r="829" spans="1:35" x14ac:dyDescent="0.25">
      <c r="A829" s="161" t="str">
        <f t="shared" si="16"/>
        <v>KNIGHT_RUSSIA</v>
      </c>
      <c r="B829" s="9" t="s">
        <v>110</v>
      </c>
      <c r="C829" s="4" t="s">
        <v>735</v>
      </c>
      <c r="E829" s="4" t="s">
        <v>110</v>
      </c>
      <c r="F829" s="4" t="s">
        <v>110</v>
      </c>
      <c r="G829" s="4" t="s">
        <v>2049</v>
      </c>
      <c r="H829" s="4" t="s">
        <v>1004</v>
      </c>
      <c r="I829" s="4" t="s">
        <v>2098</v>
      </c>
      <c r="Q829" s="11">
        <v>1</v>
      </c>
      <c r="T829" s="11">
        <v>2</v>
      </c>
      <c r="Z829" s="11">
        <v>0</v>
      </c>
      <c r="AF829" s="11">
        <v>1</v>
      </c>
    </row>
    <row r="830" spans="1:35" x14ac:dyDescent="0.25">
      <c r="A830" s="161" t="str">
        <f t="shared" si="16"/>
        <v>KNIGHT_RUSSIA</v>
      </c>
      <c r="B830" s="9" t="s">
        <v>110</v>
      </c>
      <c r="C830" s="4" t="s">
        <v>735</v>
      </c>
      <c r="E830" s="4" t="s">
        <v>110</v>
      </c>
      <c r="F830" s="4" t="s">
        <v>110</v>
      </c>
      <c r="G830" s="14" t="s">
        <v>132</v>
      </c>
      <c r="H830" s="4" t="s">
        <v>616</v>
      </c>
      <c r="I830" s="4" t="s">
        <v>2098</v>
      </c>
      <c r="Q830" s="9">
        <v>1</v>
      </c>
      <c r="T830" s="11">
        <v>2</v>
      </c>
      <c r="Z830" s="11">
        <v>0</v>
      </c>
      <c r="AF830" s="11">
        <v>0</v>
      </c>
    </row>
    <row r="831" spans="1:35" x14ac:dyDescent="0.25">
      <c r="A831" s="161" t="str">
        <f t="shared" si="16"/>
        <v>KNIGHT_ENGLAND</v>
      </c>
      <c r="B831" s="9" t="s">
        <v>110</v>
      </c>
      <c r="C831" s="4" t="s">
        <v>713</v>
      </c>
      <c r="E831" s="4" t="s">
        <v>110</v>
      </c>
      <c r="F831" s="4" t="s">
        <v>110</v>
      </c>
      <c r="H831" s="4" t="s">
        <v>863</v>
      </c>
      <c r="I831" s="4" t="s">
        <v>102</v>
      </c>
      <c r="Q831" s="9">
        <v>5</v>
      </c>
      <c r="T831" s="11">
        <v>1</v>
      </c>
      <c r="Z831" s="9">
        <v>0</v>
      </c>
      <c r="AF831" s="11">
        <v>0</v>
      </c>
    </row>
    <row r="832" spans="1:35" x14ac:dyDescent="0.25">
      <c r="A832" s="161" t="str">
        <f t="shared" si="16"/>
        <v>KNIGHT_ENGLAND</v>
      </c>
      <c r="B832" s="9" t="s">
        <v>110</v>
      </c>
      <c r="C832" s="4" t="s">
        <v>713</v>
      </c>
      <c r="E832" s="4" t="s">
        <v>110</v>
      </c>
      <c r="F832" s="4" t="s">
        <v>110</v>
      </c>
      <c r="G832" s="4" t="s">
        <v>2047</v>
      </c>
      <c r="H832" s="4" t="s">
        <v>302</v>
      </c>
      <c r="I832" s="4" t="s">
        <v>125</v>
      </c>
      <c r="Q832" s="9">
        <v>0</v>
      </c>
      <c r="T832" s="11">
        <v>1</v>
      </c>
      <c r="Z832" s="9">
        <v>1</v>
      </c>
      <c r="AF832" s="11">
        <v>1</v>
      </c>
    </row>
    <row r="833" spans="1:35" x14ac:dyDescent="0.25">
      <c r="A833" s="161" t="str">
        <f t="shared" si="16"/>
        <v>KNIGHT_ENGLAND</v>
      </c>
      <c r="B833" s="9" t="s">
        <v>110</v>
      </c>
      <c r="C833" s="4" t="s">
        <v>713</v>
      </c>
      <c r="E833" s="4" t="s">
        <v>110</v>
      </c>
      <c r="F833" s="4" t="s">
        <v>110</v>
      </c>
      <c r="H833" s="4" t="s">
        <v>863</v>
      </c>
      <c r="I833" s="4" t="s">
        <v>102</v>
      </c>
      <c r="Q833" s="9">
        <v>0</v>
      </c>
      <c r="T833" s="11">
        <v>2</v>
      </c>
      <c r="Z833" s="9">
        <v>0</v>
      </c>
      <c r="AF833" s="11">
        <v>1</v>
      </c>
    </row>
    <row r="834" spans="1:35" x14ac:dyDescent="0.25">
      <c r="A834" s="161" t="str">
        <f t="shared" si="16"/>
        <v>KNIGHT_ENGLAND</v>
      </c>
      <c r="B834" s="9" t="s">
        <v>110</v>
      </c>
      <c r="C834" s="4" t="s">
        <v>713</v>
      </c>
      <c r="E834" s="4" t="s">
        <v>110</v>
      </c>
      <c r="F834" s="4" t="s">
        <v>110</v>
      </c>
      <c r="G834" s="4" t="s">
        <v>2047</v>
      </c>
      <c r="H834" s="4" t="s">
        <v>302</v>
      </c>
      <c r="I834" s="4" t="s">
        <v>125</v>
      </c>
      <c r="Q834" s="9">
        <v>0</v>
      </c>
      <c r="T834" s="11">
        <v>3</v>
      </c>
      <c r="Z834" s="9">
        <v>0</v>
      </c>
      <c r="AF834" s="11">
        <v>1</v>
      </c>
    </row>
    <row r="835" spans="1:35" x14ac:dyDescent="0.25">
      <c r="A835" s="161" t="str">
        <f t="shared" si="16"/>
        <v>KNIGHT_FRANCE</v>
      </c>
      <c r="B835" s="9" t="s">
        <v>110</v>
      </c>
      <c r="C835" s="4" t="s">
        <v>715</v>
      </c>
      <c r="E835" s="4" t="s">
        <v>110</v>
      </c>
      <c r="F835" s="4" t="s">
        <v>110</v>
      </c>
      <c r="H835" s="4" t="s">
        <v>874</v>
      </c>
      <c r="I835" s="4" t="s">
        <v>125</v>
      </c>
      <c r="Q835" s="9">
        <v>0</v>
      </c>
      <c r="T835" s="11">
        <v>1</v>
      </c>
      <c r="Z835" s="9">
        <v>0</v>
      </c>
      <c r="AF835" s="11">
        <v>1</v>
      </c>
    </row>
    <row r="836" spans="1:35" x14ac:dyDescent="0.25">
      <c r="A836" s="161" t="str">
        <f t="shared" si="16"/>
        <v>KNIGHT_FRANCE</v>
      </c>
      <c r="B836" s="9" t="s">
        <v>110</v>
      </c>
      <c r="C836" s="4" t="s">
        <v>715</v>
      </c>
      <c r="E836" s="4" t="s">
        <v>110</v>
      </c>
      <c r="F836" s="4" t="s">
        <v>110</v>
      </c>
      <c r="G836" s="4" t="s">
        <v>2047</v>
      </c>
      <c r="H836" s="4" t="s">
        <v>875</v>
      </c>
      <c r="I836" s="4" t="s">
        <v>102</v>
      </c>
      <c r="Q836" s="9">
        <v>1</v>
      </c>
      <c r="T836" s="11">
        <v>1</v>
      </c>
      <c r="Z836" s="9">
        <v>1</v>
      </c>
      <c r="AF836" s="11">
        <v>1</v>
      </c>
    </row>
    <row r="837" spans="1:35" x14ac:dyDescent="0.25">
      <c r="A837" s="161" t="str">
        <f t="shared" si="16"/>
        <v>KNIGHT_FRANCE</v>
      </c>
      <c r="B837" s="9" t="s">
        <v>110</v>
      </c>
      <c r="C837" s="4" t="s">
        <v>715</v>
      </c>
      <c r="E837" s="4" t="s">
        <v>110</v>
      </c>
      <c r="F837" s="4" t="s">
        <v>110</v>
      </c>
      <c r="G837" s="4" t="s">
        <v>2049</v>
      </c>
      <c r="H837" s="4" t="s">
        <v>348</v>
      </c>
      <c r="I837" s="4" t="s">
        <v>102</v>
      </c>
      <c r="Q837" s="9">
        <v>2</v>
      </c>
      <c r="T837" s="11">
        <v>1</v>
      </c>
      <c r="Z837" s="9">
        <v>0</v>
      </c>
      <c r="AF837" s="11">
        <v>1</v>
      </c>
    </row>
    <row r="838" spans="1:35" x14ac:dyDescent="0.25">
      <c r="A838" s="161" t="str">
        <f t="shared" si="16"/>
        <v>KNIGHT_FRANCE</v>
      </c>
      <c r="B838" s="9" t="s">
        <v>110</v>
      </c>
      <c r="C838" s="4" t="s">
        <v>715</v>
      </c>
      <c r="E838" s="4" t="s">
        <v>110</v>
      </c>
      <c r="F838" s="4" t="s">
        <v>110</v>
      </c>
      <c r="H838" s="4" t="s">
        <v>874</v>
      </c>
      <c r="I838" s="4" t="s">
        <v>125</v>
      </c>
      <c r="Q838" s="9">
        <v>0</v>
      </c>
      <c r="T838" s="11">
        <v>1</v>
      </c>
      <c r="Z838" s="9">
        <v>0</v>
      </c>
      <c r="AF838" s="11">
        <v>0</v>
      </c>
    </row>
    <row r="839" spans="1:35" x14ac:dyDescent="0.25">
      <c r="A839" s="161" t="str">
        <f t="shared" si="16"/>
        <v>KNIGHT_FRANCE</v>
      </c>
      <c r="B839" s="9" t="s">
        <v>110</v>
      </c>
      <c r="C839" s="4" t="s">
        <v>715</v>
      </c>
      <c r="E839" s="4" t="s">
        <v>110</v>
      </c>
      <c r="F839" s="4" t="s">
        <v>110</v>
      </c>
      <c r="G839" s="4" t="s">
        <v>2047</v>
      </c>
      <c r="H839" s="4" t="s">
        <v>875</v>
      </c>
      <c r="I839" s="4" t="s">
        <v>102</v>
      </c>
      <c r="Q839" s="9">
        <v>1</v>
      </c>
      <c r="T839" s="11">
        <v>1</v>
      </c>
      <c r="Z839" s="9">
        <v>0</v>
      </c>
      <c r="AF839" s="11">
        <v>0</v>
      </c>
    </row>
    <row r="840" spans="1:35" x14ac:dyDescent="0.25">
      <c r="A840" s="161" t="str">
        <f t="shared" si="16"/>
        <v>KNIGHT_FRANCE</v>
      </c>
      <c r="B840" s="9" t="s">
        <v>110</v>
      </c>
      <c r="C840" s="4" t="s">
        <v>715</v>
      </c>
      <c r="E840" s="4" t="s">
        <v>110</v>
      </c>
      <c r="F840" s="4" t="s">
        <v>110</v>
      </c>
      <c r="G840" s="4" t="s">
        <v>2049</v>
      </c>
      <c r="H840" s="4" t="s">
        <v>348</v>
      </c>
      <c r="I840" s="4" t="s">
        <v>102</v>
      </c>
      <c r="Q840" s="9">
        <v>1</v>
      </c>
      <c r="T840" s="11">
        <v>2</v>
      </c>
      <c r="Z840" s="9">
        <v>0</v>
      </c>
      <c r="AF840" s="11">
        <v>0</v>
      </c>
    </row>
    <row r="841" spans="1:35" x14ac:dyDescent="0.25">
      <c r="A841" s="161" t="str">
        <f t="shared" si="16"/>
        <v>KNIGHT_GERMANY</v>
      </c>
      <c r="B841" s="9" t="s">
        <v>110</v>
      </c>
      <c r="C841" s="4" t="s">
        <v>717</v>
      </c>
      <c r="E841" s="4" t="s">
        <v>110</v>
      </c>
      <c r="F841" s="4" t="s">
        <v>110</v>
      </c>
      <c r="H841" s="4" t="s">
        <v>888</v>
      </c>
      <c r="I841" s="4" t="s">
        <v>102</v>
      </c>
      <c r="Q841" s="9">
        <v>1</v>
      </c>
      <c r="T841" s="11">
        <v>1</v>
      </c>
      <c r="Z841" s="9">
        <v>1</v>
      </c>
      <c r="AF841" s="11">
        <v>1</v>
      </c>
    </row>
    <row r="842" spans="1:35" x14ac:dyDescent="0.25">
      <c r="A842" s="161" t="str">
        <f t="shared" si="16"/>
        <v>KNIGHT_GERMANY</v>
      </c>
      <c r="B842" s="9" t="s">
        <v>110</v>
      </c>
      <c r="C842" s="4" t="s">
        <v>717</v>
      </c>
      <c r="E842" s="4" t="s">
        <v>110</v>
      </c>
      <c r="F842" s="4" t="s">
        <v>110</v>
      </c>
      <c r="G842" s="4" t="s">
        <v>2047</v>
      </c>
      <c r="H842" s="4" t="s">
        <v>889</v>
      </c>
      <c r="I842" s="4" t="s">
        <v>122</v>
      </c>
      <c r="Q842" s="9">
        <v>1</v>
      </c>
      <c r="T842" s="11">
        <v>1</v>
      </c>
      <c r="Z842" s="9">
        <v>0</v>
      </c>
      <c r="AF842" s="11">
        <v>1</v>
      </c>
    </row>
    <row r="843" spans="1:35" x14ac:dyDescent="0.25">
      <c r="A843" s="161" t="str">
        <f t="shared" si="16"/>
        <v>KNIGHT_GERMANY</v>
      </c>
      <c r="B843" s="9" t="s">
        <v>110</v>
      </c>
      <c r="C843" s="4" t="s">
        <v>717</v>
      </c>
      <c r="E843" s="4" t="s">
        <v>110</v>
      </c>
      <c r="F843" s="4" t="s">
        <v>110</v>
      </c>
      <c r="G843" s="4" t="s">
        <v>2049</v>
      </c>
      <c r="H843" s="4" t="s">
        <v>890</v>
      </c>
      <c r="I843" s="4" t="s">
        <v>122</v>
      </c>
      <c r="Q843" s="9">
        <v>1</v>
      </c>
      <c r="T843" s="11">
        <v>1</v>
      </c>
      <c r="Z843" s="9">
        <v>0</v>
      </c>
      <c r="AF843" s="11">
        <v>1</v>
      </c>
    </row>
    <row r="844" spans="1:35" x14ac:dyDescent="0.25">
      <c r="A844" s="161" t="str">
        <f t="shared" si="16"/>
        <v>KNIGHT_GERMANY</v>
      </c>
      <c r="B844" s="9" t="s">
        <v>110</v>
      </c>
      <c r="C844" s="4" t="s">
        <v>717</v>
      </c>
      <c r="E844" s="4" t="s">
        <v>110</v>
      </c>
      <c r="F844" s="4" t="s">
        <v>110</v>
      </c>
      <c r="G844" s="4" t="s">
        <v>2048</v>
      </c>
      <c r="H844" s="4" t="s">
        <v>891</v>
      </c>
      <c r="I844" s="4" t="s">
        <v>122</v>
      </c>
      <c r="Q844" s="9">
        <v>1</v>
      </c>
      <c r="T844" s="11">
        <v>1</v>
      </c>
      <c r="Z844" s="9">
        <v>0</v>
      </c>
      <c r="AF844" s="11">
        <v>0</v>
      </c>
    </row>
    <row r="845" spans="1:35" x14ac:dyDescent="0.25">
      <c r="A845" s="161" t="str">
        <f t="shared" si="16"/>
        <v>KNIGHT_GERMANY</v>
      </c>
      <c r="B845" s="9" t="s">
        <v>110</v>
      </c>
      <c r="C845" s="4" t="s">
        <v>717</v>
      </c>
      <c r="E845" s="4" t="s">
        <v>110</v>
      </c>
      <c r="F845" s="4" t="s">
        <v>110</v>
      </c>
      <c r="G845" s="4" t="s">
        <v>2058</v>
      </c>
      <c r="H845" s="4" t="s">
        <v>892</v>
      </c>
      <c r="I845" s="4" t="s">
        <v>122</v>
      </c>
      <c r="Q845" s="9">
        <v>0</v>
      </c>
      <c r="T845" s="11">
        <v>1</v>
      </c>
      <c r="Z845" s="9">
        <v>0</v>
      </c>
      <c r="AF845" s="11">
        <v>0</v>
      </c>
    </row>
    <row r="846" spans="1:35" x14ac:dyDescent="0.25">
      <c r="A846" s="161" t="str">
        <f t="shared" si="16"/>
        <v>KNIGHT_GERMANY</v>
      </c>
      <c r="B846" s="9" t="s">
        <v>110</v>
      </c>
      <c r="C846" s="4" t="s">
        <v>717</v>
      </c>
      <c r="E846" s="4" t="s">
        <v>110</v>
      </c>
      <c r="F846" s="4" t="s">
        <v>110</v>
      </c>
      <c r="G846" s="4" t="s">
        <v>2059</v>
      </c>
      <c r="H846" s="4" t="s">
        <v>379</v>
      </c>
      <c r="I846" s="4" t="s">
        <v>122</v>
      </c>
      <c r="Q846" s="9">
        <v>1</v>
      </c>
      <c r="T846" s="11">
        <v>2</v>
      </c>
      <c r="Z846" s="9">
        <v>0</v>
      </c>
      <c r="AF846" s="11">
        <v>0</v>
      </c>
    </row>
    <row r="847" spans="1:35" x14ac:dyDescent="0.25">
      <c r="A847" s="161" t="str">
        <f t="shared" si="16"/>
        <v>KNIGHT_WITTENBERG</v>
      </c>
      <c r="B847" s="9" t="s">
        <v>110</v>
      </c>
      <c r="C847" s="4" t="s">
        <v>1215</v>
      </c>
      <c r="E847" s="4" t="s">
        <v>110</v>
      </c>
      <c r="F847" s="4" t="s">
        <v>110</v>
      </c>
      <c r="H847" s="4" t="s">
        <v>1958</v>
      </c>
      <c r="I847" s="4" t="s">
        <v>1959</v>
      </c>
      <c r="Q847" s="9"/>
      <c r="Z847" s="9"/>
    </row>
    <row r="848" spans="1:35" x14ac:dyDescent="0.25">
      <c r="A848" s="161" t="str">
        <f t="shared" si="16"/>
        <v>KNIGHT_GREECE</v>
      </c>
      <c r="B848" s="9" t="s">
        <v>110</v>
      </c>
      <c r="C848" s="4" t="s">
        <v>718</v>
      </c>
      <c r="E848" s="4" t="s">
        <v>110</v>
      </c>
      <c r="F848" s="4" t="s">
        <v>110</v>
      </c>
      <c r="G848" s="14" t="s">
        <v>132</v>
      </c>
      <c r="H848" s="4" t="s">
        <v>406</v>
      </c>
      <c r="I848" s="4" t="s">
        <v>102</v>
      </c>
      <c r="Q848" s="9">
        <v>1</v>
      </c>
      <c r="T848" s="9">
        <v>2</v>
      </c>
      <c r="W848" s="9"/>
      <c r="Z848" s="9">
        <v>1</v>
      </c>
      <c r="AF848" s="9">
        <v>1</v>
      </c>
      <c r="AI848" s="9"/>
    </row>
    <row r="849" spans="1:35" x14ac:dyDescent="0.25">
      <c r="A849" s="161" t="str">
        <f t="shared" si="16"/>
        <v>KNIGHT_GREECE</v>
      </c>
      <c r="B849" s="9" t="s">
        <v>110</v>
      </c>
      <c r="C849" s="4" t="s">
        <v>718</v>
      </c>
      <c r="E849" s="4" t="s">
        <v>110</v>
      </c>
      <c r="F849" s="4" t="s">
        <v>110</v>
      </c>
      <c r="G849" s="14" t="s">
        <v>132</v>
      </c>
      <c r="H849" s="4" t="s">
        <v>1072</v>
      </c>
      <c r="I849" s="4" t="s">
        <v>102</v>
      </c>
      <c r="Q849" s="9">
        <v>1</v>
      </c>
      <c r="T849" s="9">
        <v>1</v>
      </c>
      <c r="W849" s="9"/>
      <c r="Z849" s="9">
        <v>0</v>
      </c>
      <c r="AF849" s="9">
        <v>1</v>
      </c>
      <c r="AI849" s="9"/>
    </row>
    <row r="850" spans="1:35" x14ac:dyDescent="0.25">
      <c r="A850" s="161" t="str">
        <f t="shared" si="16"/>
        <v>KNIGHT_GREECE</v>
      </c>
      <c r="B850" s="9" t="s">
        <v>110</v>
      </c>
      <c r="C850" s="4" t="s">
        <v>718</v>
      </c>
      <c r="E850" s="4" t="s">
        <v>110</v>
      </c>
      <c r="F850" s="4" t="s">
        <v>110</v>
      </c>
      <c r="G850" s="14" t="s">
        <v>132</v>
      </c>
      <c r="H850" s="4" t="s">
        <v>406</v>
      </c>
      <c r="I850" s="4" t="s">
        <v>102</v>
      </c>
      <c r="Q850" s="9">
        <v>2</v>
      </c>
      <c r="T850" s="9">
        <v>3</v>
      </c>
      <c r="W850" s="9"/>
      <c r="Z850" s="9">
        <v>0</v>
      </c>
      <c r="AF850" s="9">
        <v>1</v>
      </c>
      <c r="AI850" s="9"/>
    </row>
    <row r="851" spans="1:35" x14ac:dyDescent="0.25">
      <c r="A851" s="161" t="str">
        <f t="shared" si="16"/>
        <v>KNIGHT_GREECE</v>
      </c>
      <c r="B851" s="9" t="s">
        <v>110</v>
      </c>
      <c r="C851" s="4" t="s">
        <v>718</v>
      </c>
      <c r="E851" s="4" t="s">
        <v>110</v>
      </c>
      <c r="F851" s="4" t="s">
        <v>110</v>
      </c>
      <c r="G851" s="14" t="s">
        <v>132</v>
      </c>
      <c r="H851" s="4" t="s">
        <v>1072</v>
      </c>
      <c r="I851" s="4" t="s">
        <v>102</v>
      </c>
      <c r="Q851" s="9">
        <v>1</v>
      </c>
      <c r="T851" s="9">
        <v>1</v>
      </c>
      <c r="W851" s="9"/>
      <c r="Z851" s="9">
        <v>0</v>
      </c>
      <c r="AF851" s="9">
        <v>0</v>
      </c>
      <c r="AI851" s="9"/>
    </row>
    <row r="852" spans="1:35" x14ac:dyDescent="0.25">
      <c r="A852" s="161" t="str">
        <f t="shared" si="16"/>
        <v>KNIGHT_ROME</v>
      </c>
      <c r="B852" s="9" t="s">
        <v>110</v>
      </c>
      <c r="C852" s="4" t="s">
        <v>734</v>
      </c>
      <c r="E852" s="4" t="s">
        <v>110</v>
      </c>
      <c r="F852" s="4" t="s">
        <v>110</v>
      </c>
      <c r="H852" s="4" t="s">
        <v>1001</v>
      </c>
      <c r="I852" s="4" t="s">
        <v>1024</v>
      </c>
      <c r="Q852" s="9">
        <v>1</v>
      </c>
      <c r="T852" s="11">
        <v>1</v>
      </c>
      <c r="Z852" s="9">
        <v>1</v>
      </c>
      <c r="AF852" s="11">
        <v>1</v>
      </c>
    </row>
    <row r="853" spans="1:35" x14ac:dyDescent="0.25">
      <c r="A853" s="161" t="str">
        <f t="shared" si="16"/>
        <v>KNIGHT_ROME</v>
      </c>
      <c r="B853" s="9" t="s">
        <v>110</v>
      </c>
      <c r="C853" s="4" t="s">
        <v>734</v>
      </c>
      <c r="E853" s="4" t="s">
        <v>110</v>
      </c>
      <c r="F853" s="4" t="s">
        <v>110</v>
      </c>
      <c r="G853" s="4" t="s">
        <v>2047</v>
      </c>
      <c r="H853" s="4" t="s">
        <v>592</v>
      </c>
      <c r="I853" s="4" t="s">
        <v>1024</v>
      </c>
      <c r="Q853" s="9">
        <v>2</v>
      </c>
      <c r="T853" s="11">
        <v>2</v>
      </c>
      <c r="Z853" s="9">
        <v>0</v>
      </c>
      <c r="AF853" s="11">
        <v>1</v>
      </c>
    </row>
    <row r="854" spans="1:35" x14ac:dyDescent="0.25">
      <c r="A854" s="161" t="str">
        <f t="shared" si="16"/>
        <v>KNIGHT_ROME</v>
      </c>
      <c r="B854" s="9" t="s">
        <v>110</v>
      </c>
      <c r="C854" s="4" t="s">
        <v>734</v>
      </c>
      <c r="E854" s="4" t="s">
        <v>110</v>
      </c>
      <c r="F854" s="4" t="s">
        <v>110</v>
      </c>
      <c r="H854" s="4" t="s">
        <v>1001</v>
      </c>
      <c r="I854" s="4" t="s">
        <v>1024</v>
      </c>
      <c r="Q854" s="9">
        <v>1</v>
      </c>
      <c r="T854" s="11">
        <v>2</v>
      </c>
      <c r="Z854" s="9">
        <v>0</v>
      </c>
      <c r="AF854" s="11">
        <v>1</v>
      </c>
    </row>
    <row r="855" spans="1:35" x14ac:dyDescent="0.25">
      <c r="A855" s="161" t="str">
        <f t="shared" si="16"/>
        <v>KNIGHT_ROME</v>
      </c>
      <c r="B855" s="9" t="s">
        <v>110</v>
      </c>
      <c r="C855" s="4" t="s">
        <v>734</v>
      </c>
      <c r="E855" s="4" t="s">
        <v>110</v>
      </c>
      <c r="F855" s="4" t="s">
        <v>110</v>
      </c>
      <c r="G855" s="4" t="s">
        <v>2047</v>
      </c>
      <c r="H855" s="4" t="s">
        <v>592</v>
      </c>
      <c r="I855" s="4" t="s">
        <v>1024</v>
      </c>
      <c r="Q855" s="9">
        <v>1</v>
      </c>
      <c r="T855" s="11">
        <v>2</v>
      </c>
      <c r="Z855" s="9">
        <v>0</v>
      </c>
      <c r="AF855" s="11">
        <v>0</v>
      </c>
    </row>
    <row r="856" spans="1:35" x14ac:dyDescent="0.25">
      <c r="A856" s="161" t="str">
        <f t="shared" si="16"/>
        <v>KNIGHT_SPAIN</v>
      </c>
      <c r="B856" s="9" t="s">
        <v>110</v>
      </c>
      <c r="C856" s="4" t="s">
        <v>738</v>
      </c>
      <c r="E856" s="4" t="s">
        <v>110</v>
      </c>
      <c r="F856" s="4" t="s">
        <v>110</v>
      </c>
      <c r="G856" s="14" t="s">
        <v>132</v>
      </c>
      <c r="H856" s="4" t="s">
        <v>656</v>
      </c>
      <c r="I856" s="4" t="s">
        <v>2098</v>
      </c>
    </row>
    <row r="857" spans="1:35" x14ac:dyDescent="0.25">
      <c r="A857" s="161" t="str">
        <f t="shared" si="16"/>
        <v>KNIGHT_MIDEAST</v>
      </c>
      <c r="B857" s="9" t="s">
        <v>110</v>
      </c>
      <c r="C857" s="4" t="s">
        <v>690</v>
      </c>
      <c r="E857" s="4" t="s">
        <v>110</v>
      </c>
      <c r="F857" s="4" t="s">
        <v>110</v>
      </c>
      <c r="H857" s="4" t="s">
        <v>163</v>
      </c>
      <c r="I857" s="4" t="s">
        <v>2098</v>
      </c>
    </row>
    <row r="858" spans="1:35" x14ac:dyDescent="0.25">
      <c r="A858" s="161" t="str">
        <f t="shared" si="16"/>
        <v>KNIGHT_ARABIA</v>
      </c>
      <c r="B858" s="9" t="s">
        <v>110</v>
      </c>
      <c r="C858" s="4" t="s">
        <v>700</v>
      </c>
      <c r="D858" s="14" t="s">
        <v>690</v>
      </c>
      <c r="E858" s="4" t="s">
        <v>110</v>
      </c>
      <c r="F858" s="4" t="s">
        <v>110</v>
      </c>
      <c r="G858" s="14"/>
    </row>
    <row r="859" spans="1:35" x14ac:dyDescent="0.25">
      <c r="A859" s="161" t="str">
        <f t="shared" si="16"/>
        <v>KNIGHT_BABYLON</v>
      </c>
      <c r="B859" s="9" t="s">
        <v>110</v>
      </c>
      <c r="C859" s="4" t="s">
        <v>703</v>
      </c>
      <c r="E859" s="4" t="s">
        <v>110</v>
      </c>
      <c r="F859" s="4" t="s">
        <v>110</v>
      </c>
      <c r="G859" s="14"/>
      <c r="H859" s="4" t="s">
        <v>211</v>
      </c>
      <c r="I859" s="4" t="s">
        <v>102</v>
      </c>
    </row>
    <row r="860" spans="1:35" x14ac:dyDescent="0.25">
      <c r="A860" s="161" t="str">
        <f t="shared" si="16"/>
        <v>KNIGHT_EGYPT</v>
      </c>
      <c r="B860" s="9" t="s">
        <v>110</v>
      </c>
      <c r="C860" s="4" t="s">
        <v>712</v>
      </c>
      <c r="E860" s="4" t="s">
        <v>110</v>
      </c>
      <c r="F860" s="4" t="s">
        <v>110</v>
      </c>
      <c r="G860" s="14" t="s">
        <v>132</v>
      </c>
      <c r="H860" s="4" t="s">
        <v>282</v>
      </c>
      <c r="I860" s="4" t="s">
        <v>2098</v>
      </c>
    </row>
    <row r="861" spans="1:35" x14ac:dyDescent="0.25">
      <c r="A861" s="161" t="str">
        <f t="shared" si="16"/>
        <v>KNIGHT_LEVANT</v>
      </c>
      <c r="B861" s="9" t="s">
        <v>110</v>
      </c>
      <c r="C861" s="4" t="s">
        <v>724</v>
      </c>
      <c r="E861" s="4" t="s">
        <v>110</v>
      </c>
      <c r="F861" s="4" t="s">
        <v>110</v>
      </c>
      <c r="G861" s="14" t="s">
        <v>132</v>
      </c>
      <c r="H861" s="4" t="s">
        <v>511</v>
      </c>
      <c r="I861" s="4" t="s">
        <v>102</v>
      </c>
    </row>
    <row r="862" spans="1:35" x14ac:dyDescent="0.25">
      <c r="A862" s="161" t="str">
        <f t="shared" si="16"/>
        <v>KNIGHT_PERSIA</v>
      </c>
      <c r="B862" s="9" t="s">
        <v>110</v>
      </c>
      <c r="C862" s="4" t="s">
        <v>731</v>
      </c>
      <c r="E862" s="4" t="s">
        <v>110</v>
      </c>
      <c r="F862" s="4" t="s">
        <v>110</v>
      </c>
      <c r="H862" s="4" t="s">
        <v>978</v>
      </c>
      <c r="I862" s="4" t="s">
        <v>102</v>
      </c>
      <c r="Q862" s="11">
        <v>1</v>
      </c>
      <c r="T862" s="11">
        <v>1</v>
      </c>
      <c r="Z862" s="11">
        <v>0</v>
      </c>
      <c r="AF862" s="11">
        <v>1</v>
      </c>
      <c r="AI862" s="11">
        <v>1</v>
      </c>
    </row>
    <row r="863" spans="1:35" x14ac:dyDescent="0.25">
      <c r="A863" s="161" t="str">
        <f t="shared" si="16"/>
        <v>KNIGHT_PERSIA</v>
      </c>
      <c r="B863" s="9" t="s">
        <v>110</v>
      </c>
      <c r="C863" s="4" t="s">
        <v>731</v>
      </c>
      <c r="E863" s="4" t="s">
        <v>110</v>
      </c>
      <c r="F863" s="4" t="s">
        <v>110</v>
      </c>
      <c r="G863" s="4" t="s">
        <v>2047</v>
      </c>
      <c r="H863" s="4" t="s">
        <v>556</v>
      </c>
      <c r="I863" s="4" t="s">
        <v>102</v>
      </c>
      <c r="Q863" s="11">
        <v>2</v>
      </c>
      <c r="T863" s="11">
        <v>2</v>
      </c>
      <c r="Z863" s="11">
        <v>1</v>
      </c>
      <c r="AF863" s="11">
        <v>1</v>
      </c>
      <c r="AI863" s="11">
        <v>2</v>
      </c>
    </row>
    <row r="864" spans="1:35" x14ac:dyDescent="0.25">
      <c r="A864" s="161" t="str">
        <f t="shared" si="16"/>
        <v>KNIGHT_PERSIA</v>
      </c>
      <c r="B864" s="9" t="s">
        <v>110</v>
      </c>
      <c r="C864" s="4" t="s">
        <v>731</v>
      </c>
      <c r="E864" s="4" t="s">
        <v>110</v>
      </c>
      <c r="F864" s="4" t="s">
        <v>110</v>
      </c>
      <c r="H864" s="4" t="s">
        <v>978</v>
      </c>
      <c r="I864" s="4" t="s">
        <v>102</v>
      </c>
      <c r="Q864" s="11">
        <v>1</v>
      </c>
      <c r="T864" s="11">
        <v>2</v>
      </c>
      <c r="Z864" s="11">
        <v>0</v>
      </c>
      <c r="AF864" s="11">
        <v>1</v>
      </c>
      <c r="AI864" s="11">
        <v>1</v>
      </c>
    </row>
    <row r="865" spans="1:43" x14ac:dyDescent="0.25">
      <c r="A865" s="161" t="str">
        <f t="shared" si="16"/>
        <v>KNIGHT_PERSIA</v>
      </c>
      <c r="B865" s="9" t="s">
        <v>110</v>
      </c>
      <c r="C865" s="4" t="s">
        <v>731</v>
      </c>
      <c r="E865" s="4" t="s">
        <v>110</v>
      </c>
      <c r="F865" s="4" t="s">
        <v>110</v>
      </c>
      <c r="G865" s="4" t="s">
        <v>2047</v>
      </c>
      <c r="H865" s="4" t="s">
        <v>556</v>
      </c>
      <c r="I865" s="4" t="s">
        <v>102</v>
      </c>
      <c r="Q865" s="9">
        <v>1</v>
      </c>
      <c r="T865" s="11">
        <v>2</v>
      </c>
      <c r="Z865" s="9">
        <v>0</v>
      </c>
      <c r="AF865" s="11">
        <v>0</v>
      </c>
      <c r="AI865" s="11">
        <v>1</v>
      </c>
    </row>
    <row r="866" spans="1:43" x14ac:dyDescent="0.25">
      <c r="A866" s="161" t="str">
        <f t="shared" si="16"/>
        <v>KNIGHT_NORTHEU</v>
      </c>
      <c r="B866" s="9" t="s">
        <v>110</v>
      </c>
      <c r="C866" s="4" t="s">
        <v>962</v>
      </c>
      <c r="E866" s="4" t="s">
        <v>110</v>
      </c>
      <c r="F866" s="4" t="s">
        <v>110</v>
      </c>
      <c r="G866" s="14" t="s">
        <v>132</v>
      </c>
      <c r="H866" s="4" t="s">
        <v>268</v>
      </c>
      <c r="I866" s="4" t="s">
        <v>102</v>
      </c>
    </row>
    <row r="867" spans="1:43" x14ac:dyDescent="0.25">
      <c r="A867" s="161" t="str">
        <f t="shared" si="16"/>
        <v>KNIGHT_OCEAN</v>
      </c>
      <c r="B867" s="9" t="s">
        <v>110</v>
      </c>
      <c r="C867" s="4" t="s">
        <v>994</v>
      </c>
      <c r="D867" s="4" t="s">
        <v>691</v>
      </c>
      <c r="E867" s="4" t="s">
        <v>110</v>
      </c>
      <c r="F867" s="4" t="s">
        <v>110</v>
      </c>
    </row>
    <row r="868" spans="1:43" x14ac:dyDescent="0.25">
      <c r="A868" s="161" t="str">
        <f t="shared" si="16"/>
        <v>KNIGHT_SEASIA</v>
      </c>
      <c r="B868" s="9" t="s">
        <v>110</v>
      </c>
      <c r="C868" s="4" t="s">
        <v>696</v>
      </c>
      <c r="E868" s="4" t="s">
        <v>110</v>
      </c>
      <c r="F868" s="4" t="s">
        <v>110</v>
      </c>
      <c r="H868" s="4" t="s">
        <v>1783</v>
      </c>
      <c r="I868" s="4" t="s">
        <v>1814</v>
      </c>
    </row>
    <row r="869" spans="1:43" x14ac:dyDescent="0.25">
      <c r="A869" s="161" t="str">
        <f t="shared" si="16"/>
        <v>KNIGHT_SOUTHAM</v>
      </c>
      <c r="B869" s="9" t="s">
        <v>110</v>
      </c>
      <c r="C869" s="4" t="s">
        <v>691</v>
      </c>
      <c r="E869" s="4" t="s">
        <v>110</v>
      </c>
      <c r="F869" s="4" t="s">
        <v>110</v>
      </c>
      <c r="H869" s="4" t="s">
        <v>518</v>
      </c>
      <c r="I869" s="4" t="s">
        <v>2098</v>
      </c>
    </row>
    <row r="870" spans="1:43" x14ac:dyDescent="0.25">
      <c r="A870" s="161" t="str">
        <f t="shared" si="16"/>
        <v>KNIGHT_AZTEC</v>
      </c>
      <c r="B870" s="9" t="s">
        <v>110</v>
      </c>
      <c r="C870" s="4" t="s">
        <v>702</v>
      </c>
      <c r="E870" s="4" t="s">
        <v>110</v>
      </c>
      <c r="F870" s="4" t="s">
        <v>110</v>
      </c>
      <c r="G870" s="14"/>
      <c r="H870" s="4" t="s">
        <v>197</v>
      </c>
      <c r="I870" s="4" t="s">
        <v>2098</v>
      </c>
    </row>
    <row r="871" spans="1:43" x14ac:dyDescent="0.25">
      <c r="A871" s="161" t="str">
        <f t="shared" si="16"/>
        <v>KNIGHT_INCA</v>
      </c>
      <c r="B871" s="9" t="s">
        <v>110</v>
      </c>
      <c r="C871" s="4" t="s">
        <v>719</v>
      </c>
      <c r="E871" s="4" t="s">
        <v>110</v>
      </c>
      <c r="F871" s="4" t="s">
        <v>110</v>
      </c>
      <c r="G871" s="14" t="s">
        <v>132</v>
      </c>
      <c r="H871" s="4" t="s">
        <v>422</v>
      </c>
      <c r="I871" s="4" t="s">
        <v>2098</v>
      </c>
    </row>
    <row r="872" spans="1:43" x14ac:dyDescent="0.25">
      <c r="A872" s="161" t="str">
        <f t="shared" si="16"/>
        <v>KNIGHT_MAYA</v>
      </c>
      <c r="B872" s="9" t="s">
        <v>110</v>
      </c>
      <c r="C872" s="4" t="s">
        <v>725</v>
      </c>
      <c r="D872" s="4" t="s">
        <v>691</v>
      </c>
      <c r="E872" s="4" t="s">
        <v>110</v>
      </c>
      <c r="F872" s="4" t="s">
        <v>110</v>
      </c>
      <c r="G872" s="14" t="s">
        <v>132</v>
      </c>
    </row>
    <row r="873" spans="1:43" x14ac:dyDescent="0.25">
      <c r="A873" s="161" t="str">
        <f t="shared" si="16"/>
        <v>KNIGHT_SOUTHAS</v>
      </c>
      <c r="B873" s="9" t="s">
        <v>110</v>
      </c>
      <c r="C873" s="4" t="s">
        <v>695</v>
      </c>
      <c r="E873" s="4" t="s">
        <v>110</v>
      </c>
      <c r="F873" s="4" t="s">
        <v>110</v>
      </c>
      <c r="H873" s="4" t="s">
        <v>849</v>
      </c>
      <c r="I873" s="4" t="s">
        <v>102</v>
      </c>
      <c r="Q873" s="11">
        <v>1</v>
      </c>
      <c r="T873" s="11">
        <v>1</v>
      </c>
      <c r="Z873" s="11">
        <v>0</v>
      </c>
      <c r="AF873" s="11">
        <v>1</v>
      </c>
      <c r="AI873" s="11">
        <v>1</v>
      </c>
    </row>
    <row r="874" spans="1:43" x14ac:dyDescent="0.25">
      <c r="A874" s="161" t="str">
        <f t="shared" si="16"/>
        <v>KNIGHT_SOUTHAS</v>
      </c>
      <c r="B874" s="9" t="s">
        <v>110</v>
      </c>
      <c r="C874" s="4" t="s">
        <v>695</v>
      </c>
      <c r="E874" s="4" t="s">
        <v>110</v>
      </c>
      <c r="F874" s="4" t="s">
        <v>110</v>
      </c>
      <c r="G874" s="4" t="s">
        <v>2047</v>
      </c>
      <c r="H874" s="4" t="s">
        <v>848</v>
      </c>
      <c r="I874" s="4" t="s">
        <v>102</v>
      </c>
      <c r="Q874" s="11">
        <v>1</v>
      </c>
      <c r="T874" s="11">
        <v>1</v>
      </c>
      <c r="Z874" s="11">
        <v>0</v>
      </c>
      <c r="AF874" s="11">
        <v>0</v>
      </c>
      <c r="AI874" s="11">
        <v>1</v>
      </c>
    </row>
    <row r="875" spans="1:43" x14ac:dyDescent="0.25">
      <c r="A875" s="161" t="str">
        <f t="shared" si="16"/>
        <v>KNIGHT_SOUTHAS</v>
      </c>
      <c r="B875" s="9" t="s">
        <v>110</v>
      </c>
      <c r="C875" s="4" t="s">
        <v>695</v>
      </c>
      <c r="E875" s="4" t="s">
        <v>110</v>
      </c>
      <c r="F875" s="4" t="s">
        <v>110</v>
      </c>
      <c r="G875" s="4" t="s">
        <v>2049</v>
      </c>
      <c r="H875" s="4" t="s">
        <v>847</v>
      </c>
      <c r="I875" s="4" t="s">
        <v>102</v>
      </c>
      <c r="Q875" s="11">
        <v>1</v>
      </c>
      <c r="T875" s="11">
        <v>2</v>
      </c>
      <c r="Z875" s="11">
        <v>1</v>
      </c>
      <c r="AF875" s="11">
        <v>1</v>
      </c>
      <c r="AI875" s="11">
        <v>1</v>
      </c>
    </row>
    <row r="876" spans="1:43" x14ac:dyDescent="0.25">
      <c r="A876" s="161" t="str">
        <f t="shared" si="16"/>
        <v>KNIGHT_SOUTHAS</v>
      </c>
      <c r="B876" s="9" t="s">
        <v>110</v>
      </c>
      <c r="C876" s="4" t="s">
        <v>695</v>
      </c>
      <c r="E876" s="4" t="s">
        <v>110</v>
      </c>
      <c r="F876" s="4" t="s">
        <v>110</v>
      </c>
      <c r="G876" s="4" t="s">
        <v>2048</v>
      </c>
      <c r="H876" s="4" t="s">
        <v>846</v>
      </c>
      <c r="I876" s="4" t="s">
        <v>102</v>
      </c>
      <c r="Q876" s="9">
        <v>1</v>
      </c>
      <c r="T876" s="11">
        <v>1</v>
      </c>
      <c r="Z876" s="9">
        <v>0</v>
      </c>
      <c r="AF876" s="11">
        <v>0</v>
      </c>
      <c r="AI876" s="11">
        <v>1</v>
      </c>
    </row>
    <row r="877" spans="1:43" x14ac:dyDescent="0.25">
      <c r="A877" s="161" t="str">
        <f t="shared" ref="A877:A947" si="17">CONCATENATE(E877,IF(ISBLANK(C877),"",CONCATENATE("_",C877)))</f>
        <v>KNIGHT_SOUTHAS</v>
      </c>
      <c r="B877" s="9" t="s">
        <v>110</v>
      </c>
      <c r="C877" s="4" t="s">
        <v>695</v>
      </c>
      <c r="E877" s="4" t="s">
        <v>110</v>
      </c>
      <c r="F877" s="4" t="s">
        <v>110</v>
      </c>
      <c r="G877" s="4" t="s">
        <v>2058</v>
      </c>
      <c r="H877" s="4" t="s">
        <v>436</v>
      </c>
      <c r="I877" s="4" t="s">
        <v>102</v>
      </c>
      <c r="Q877" s="9">
        <v>1</v>
      </c>
      <c r="T877" s="11">
        <v>2</v>
      </c>
      <c r="Z877" s="9">
        <v>0</v>
      </c>
      <c r="AF877" s="11">
        <v>1</v>
      </c>
      <c r="AI877" s="11">
        <v>1</v>
      </c>
    </row>
    <row r="878" spans="1:43" x14ac:dyDescent="0.25">
      <c r="A878" s="161" t="str">
        <f t="shared" si="17"/>
        <v>LANCER</v>
      </c>
      <c r="B878" s="9" t="s">
        <v>762</v>
      </c>
      <c r="C878" s="5"/>
      <c r="D878" s="5"/>
      <c r="E878" s="5" t="s">
        <v>762</v>
      </c>
      <c r="F878" s="5" t="s">
        <v>762</v>
      </c>
      <c r="G878" s="5"/>
      <c r="H878" s="5" t="s">
        <v>27</v>
      </c>
      <c r="I878" s="5" t="s">
        <v>128</v>
      </c>
      <c r="J878" s="6"/>
      <c r="K878" s="6"/>
      <c r="L878" s="13" t="s">
        <v>1714</v>
      </c>
      <c r="M878" s="8"/>
      <c r="N878" s="5"/>
      <c r="O878" s="5"/>
      <c r="P878" s="5"/>
      <c r="Q878" s="7" t="s">
        <v>1695</v>
      </c>
      <c r="R878" s="6" t="s">
        <v>1695</v>
      </c>
      <c r="S878" s="13" t="s">
        <v>1695</v>
      </c>
      <c r="T878" s="6" t="s">
        <v>1695</v>
      </c>
      <c r="U878" s="7" t="s">
        <v>1695</v>
      </c>
      <c r="V878" s="5" t="s">
        <v>1701</v>
      </c>
      <c r="W878" s="6" t="s">
        <v>3</v>
      </c>
      <c r="X878" s="6" t="s">
        <v>3</v>
      </c>
      <c r="Y878" s="5"/>
      <c r="Z878" s="7">
        <v>1</v>
      </c>
      <c r="AA878" s="6"/>
      <c r="AB878" s="5"/>
      <c r="AC878" s="6"/>
      <c r="AD878" s="6" t="s">
        <v>3</v>
      </c>
      <c r="AE878" s="5"/>
      <c r="AF878" s="7" t="s">
        <v>1695</v>
      </c>
      <c r="AG878" s="6"/>
      <c r="AH878" s="5"/>
      <c r="AI878" s="6"/>
      <c r="AJ878" s="6"/>
      <c r="AK878" s="5"/>
      <c r="AL878" s="5"/>
      <c r="AM878" s="5"/>
      <c r="AN878" s="5"/>
      <c r="AO878" s="5"/>
      <c r="AP878" s="5"/>
      <c r="AQ878" s="5"/>
    </row>
    <row r="879" spans="1:43" x14ac:dyDescent="0.25">
      <c r="A879" s="161" t="str">
        <f t="shared" si="17"/>
        <v>LANCER_JAPAN</v>
      </c>
      <c r="B879" s="9" t="s">
        <v>762</v>
      </c>
      <c r="C879" s="4" t="s">
        <v>722</v>
      </c>
      <c r="E879" s="4" t="s">
        <v>762</v>
      </c>
      <c r="F879" s="4" t="s">
        <v>762</v>
      </c>
      <c r="G879" s="14" t="s">
        <v>132</v>
      </c>
      <c r="H879" s="4" t="s">
        <v>484</v>
      </c>
      <c r="I879" s="4" t="s">
        <v>102</v>
      </c>
    </row>
    <row r="880" spans="1:43" x14ac:dyDescent="0.25">
      <c r="A880" s="161" t="str">
        <f t="shared" si="17"/>
        <v>LANCER_CENTAS</v>
      </c>
      <c r="B880" s="9" t="s">
        <v>762</v>
      </c>
      <c r="C880" s="4" t="s">
        <v>918</v>
      </c>
      <c r="D880" s="4" t="s">
        <v>690</v>
      </c>
      <c r="E880" s="4" t="s">
        <v>762</v>
      </c>
      <c r="F880" s="4" t="s">
        <v>762</v>
      </c>
      <c r="G880" s="14" t="s">
        <v>132</v>
      </c>
    </row>
    <row r="881" spans="1:43" x14ac:dyDescent="0.25">
      <c r="A881" s="161" t="str">
        <f t="shared" si="17"/>
        <v>LANCER_FRANCE</v>
      </c>
      <c r="B881" s="9" t="s">
        <v>762</v>
      </c>
      <c r="C881" s="4" t="s">
        <v>715</v>
      </c>
      <c r="E881" s="4" t="s">
        <v>762</v>
      </c>
      <c r="F881" s="4" t="s">
        <v>762</v>
      </c>
      <c r="G881" s="14" t="s">
        <v>132</v>
      </c>
      <c r="H881" s="4" t="s">
        <v>349</v>
      </c>
      <c r="I881" s="4" t="s">
        <v>122</v>
      </c>
    </row>
    <row r="882" spans="1:43" x14ac:dyDescent="0.25">
      <c r="A882" s="161" t="str">
        <f t="shared" si="17"/>
        <v>LANCER_GERMANY</v>
      </c>
      <c r="B882" s="9" t="s">
        <v>762</v>
      </c>
      <c r="C882" s="4" t="s">
        <v>717</v>
      </c>
      <c r="E882" s="4" t="s">
        <v>762</v>
      </c>
      <c r="F882" s="4" t="s">
        <v>762</v>
      </c>
      <c r="G882" s="14" t="s">
        <v>132</v>
      </c>
      <c r="H882" s="4" t="s">
        <v>380</v>
      </c>
      <c r="I882" s="4" t="s">
        <v>122</v>
      </c>
    </row>
    <row r="883" spans="1:43" x14ac:dyDescent="0.25">
      <c r="A883" s="161" t="str">
        <f t="shared" si="17"/>
        <v>LANCER_NETHERLANDS</v>
      </c>
      <c r="B883" s="9" t="s">
        <v>762</v>
      </c>
      <c r="C883" s="4" t="s">
        <v>730</v>
      </c>
      <c r="E883" s="4" t="s">
        <v>762</v>
      </c>
      <c r="F883" s="4" t="s">
        <v>762</v>
      </c>
      <c r="G883" s="14" t="s">
        <v>132</v>
      </c>
      <c r="H883" s="4" t="s">
        <v>544</v>
      </c>
      <c r="I883" s="4" t="s">
        <v>122</v>
      </c>
    </row>
    <row r="884" spans="1:43" x14ac:dyDescent="0.25">
      <c r="A884" s="161" t="str">
        <f t="shared" si="17"/>
        <v>LANCER_MIDEAST</v>
      </c>
      <c r="B884" s="9" t="s">
        <v>762</v>
      </c>
      <c r="C884" s="4" t="s">
        <v>690</v>
      </c>
      <c r="E884" s="4" t="s">
        <v>762</v>
      </c>
      <c r="F884" s="4" t="s">
        <v>762</v>
      </c>
      <c r="H884" s="4" t="s">
        <v>557</v>
      </c>
      <c r="I884" s="4" t="s">
        <v>966</v>
      </c>
    </row>
    <row r="885" spans="1:43" x14ac:dyDescent="0.25">
      <c r="A885" s="161" t="str">
        <f t="shared" si="17"/>
        <v>LONGSWORDSMAN</v>
      </c>
      <c r="B885" s="9" t="s">
        <v>109</v>
      </c>
      <c r="C885" s="5"/>
      <c r="D885" s="5"/>
      <c r="E885" s="5" t="s">
        <v>109</v>
      </c>
      <c r="F885" s="5" t="s">
        <v>109</v>
      </c>
      <c r="G885" s="5"/>
      <c r="H885" s="5" t="s">
        <v>26</v>
      </c>
      <c r="I885" s="5" t="s">
        <v>128</v>
      </c>
      <c r="J885" s="6"/>
      <c r="K885" s="6"/>
      <c r="L885" s="13" t="s">
        <v>1708</v>
      </c>
      <c r="M885" s="8"/>
      <c r="N885" s="5"/>
      <c r="O885" s="5"/>
      <c r="P885" s="5"/>
      <c r="Q885" s="7" t="s">
        <v>1737</v>
      </c>
      <c r="R885" s="6" t="s">
        <v>1737</v>
      </c>
      <c r="S885" s="13" t="s">
        <v>1737</v>
      </c>
      <c r="T885" s="6" t="s">
        <v>1737</v>
      </c>
      <c r="U885" s="7" t="s">
        <v>1737</v>
      </c>
      <c r="V885" s="5"/>
      <c r="W885" s="7" t="s">
        <v>3</v>
      </c>
      <c r="X885" s="6" t="s">
        <v>3</v>
      </c>
      <c r="Y885" s="5"/>
      <c r="Z885" s="7">
        <v>1</v>
      </c>
      <c r="AA885" s="6"/>
      <c r="AB885" s="5"/>
      <c r="AC885" s="6"/>
      <c r="AD885" s="6" t="s">
        <v>3</v>
      </c>
      <c r="AE885" s="5"/>
      <c r="AF885" s="7" t="s">
        <v>1737</v>
      </c>
      <c r="AG885" s="6"/>
      <c r="AH885" s="5"/>
      <c r="AI885" s="6" t="s">
        <v>1737</v>
      </c>
      <c r="AJ885" s="6"/>
      <c r="AK885" s="5"/>
      <c r="AL885" s="5"/>
      <c r="AM885" s="5"/>
      <c r="AN885" s="5"/>
      <c r="AO885" s="5"/>
      <c r="AP885" s="5"/>
      <c r="AQ885" s="5"/>
    </row>
    <row r="886" spans="1:43" x14ac:dyDescent="0.25">
      <c r="A886" s="161" t="str">
        <f t="shared" si="17"/>
        <v>LONGSWORDSMAN_AFRI</v>
      </c>
      <c r="B886" s="9" t="s">
        <v>109</v>
      </c>
      <c r="C886" s="5" t="s">
        <v>694</v>
      </c>
      <c r="D886" s="5"/>
      <c r="E886" s="5" t="s">
        <v>109</v>
      </c>
      <c r="F886" s="5" t="s">
        <v>109</v>
      </c>
      <c r="G886" s="5"/>
      <c r="H886" s="5" t="s">
        <v>2116</v>
      </c>
      <c r="I886" s="5" t="s">
        <v>1025</v>
      </c>
      <c r="J886" s="6"/>
      <c r="K886" s="6"/>
      <c r="L886" s="13"/>
      <c r="M886" s="8"/>
      <c r="N886" s="5"/>
      <c r="O886" s="5"/>
      <c r="P886" s="5"/>
      <c r="Q886" s="7">
        <v>1</v>
      </c>
      <c r="R886" s="6"/>
      <c r="S886" s="13"/>
      <c r="T886" s="6">
        <v>2</v>
      </c>
      <c r="U886" s="7"/>
      <c r="V886" s="5"/>
      <c r="W886" s="7"/>
      <c r="X886" s="6"/>
      <c r="Y886" s="5"/>
      <c r="Z886" s="7">
        <v>1</v>
      </c>
      <c r="AA886" s="6"/>
      <c r="AB886" s="5"/>
      <c r="AC886" s="6"/>
      <c r="AD886" s="6"/>
      <c r="AE886" s="5"/>
      <c r="AF886" s="7">
        <v>1</v>
      </c>
      <c r="AG886" s="6"/>
      <c r="AH886" s="5"/>
      <c r="AI886" s="6">
        <v>1</v>
      </c>
      <c r="AJ886" s="6"/>
      <c r="AK886" s="5"/>
      <c r="AL886" s="5"/>
      <c r="AM886" s="5"/>
      <c r="AN886" s="5"/>
      <c r="AO886" s="5"/>
      <c r="AP886" s="5"/>
      <c r="AQ886" s="5"/>
    </row>
    <row r="887" spans="1:43" x14ac:dyDescent="0.25">
      <c r="A887" s="161" t="str">
        <f t="shared" si="17"/>
        <v>LONGSWORDSMAN_AFRI</v>
      </c>
      <c r="B887" s="9" t="s">
        <v>109</v>
      </c>
      <c r="C887" s="5" t="s">
        <v>694</v>
      </c>
      <c r="D887" s="5"/>
      <c r="E887" s="5" t="s">
        <v>109</v>
      </c>
      <c r="F887" s="5" t="s">
        <v>109</v>
      </c>
      <c r="G887" s="5" t="s">
        <v>2047</v>
      </c>
      <c r="H887" s="5" t="s">
        <v>2117</v>
      </c>
      <c r="I887" s="5" t="s">
        <v>1025</v>
      </c>
      <c r="J887" s="6"/>
      <c r="K887" s="6"/>
      <c r="L887" s="13"/>
      <c r="M887" s="8"/>
      <c r="N887" s="5"/>
      <c r="O887" s="5"/>
      <c r="P887" s="5"/>
      <c r="Q887" s="7">
        <v>2</v>
      </c>
      <c r="R887" s="6"/>
      <c r="S887" s="13"/>
      <c r="T887" s="6">
        <v>2</v>
      </c>
      <c r="U887" s="7"/>
      <c r="V887" s="5"/>
      <c r="W887" s="7"/>
      <c r="X887" s="6"/>
      <c r="Y887" s="5"/>
      <c r="Z887" s="7">
        <v>0</v>
      </c>
      <c r="AA887" s="6"/>
      <c r="AB887" s="5"/>
      <c r="AC887" s="6"/>
      <c r="AD887" s="6"/>
      <c r="AE887" s="5"/>
      <c r="AF887" s="7">
        <v>1</v>
      </c>
      <c r="AG887" s="6"/>
      <c r="AH887" s="5"/>
      <c r="AI887" s="6">
        <v>1</v>
      </c>
      <c r="AJ887" s="6"/>
      <c r="AK887" s="5"/>
      <c r="AL887" s="5"/>
      <c r="AM887" s="5"/>
      <c r="AN887" s="5"/>
      <c r="AO887" s="5"/>
      <c r="AP887" s="5"/>
      <c r="AQ887" s="5"/>
    </row>
    <row r="888" spans="1:43" x14ac:dyDescent="0.25">
      <c r="A888" s="161" t="s">
        <v>2118</v>
      </c>
      <c r="B888" s="9" t="s">
        <v>109</v>
      </c>
      <c r="C888" s="4" t="s">
        <v>694</v>
      </c>
      <c r="E888" s="4" t="s">
        <v>109</v>
      </c>
      <c r="F888" s="4" t="s">
        <v>109</v>
      </c>
      <c r="H888" s="4" t="s">
        <v>2116</v>
      </c>
      <c r="I888" s="4" t="s">
        <v>1025</v>
      </c>
      <c r="Q888" s="11">
        <v>3</v>
      </c>
      <c r="T888" s="11">
        <v>4</v>
      </c>
      <c r="Z888" s="11">
        <v>0</v>
      </c>
      <c r="AF888" s="11">
        <v>1</v>
      </c>
      <c r="AI888" s="11">
        <v>2</v>
      </c>
    </row>
    <row r="889" spans="1:43" x14ac:dyDescent="0.25">
      <c r="A889" s="161" t="s">
        <v>2118</v>
      </c>
      <c r="B889" s="9" t="s">
        <v>109</v>
      </c>
      <c r="C889" s="4" t="s">
        <v>694</v>
      </c>
      <c r="E889" s="4" t="s">
        <v>109</v>
      </c>
      <c r="F889" s="4" t="s">
        <v>109</v>
      </c>
      <c r="G889" s="4" t="s">
        <v>2047</v>
      </c>
      <c r="H889" s="4" t="s">
        <v>2117</v>
      </c>
      <c r="I889" s="4" t="s">
        <v>1025</v>
      </c>
      <c r="Q889" s="11">
        <v>3</v>
      </c>
      <c r="T889" s="11">
        <v>4</v>
      </c>
      <c r="Z889" s="11">
        <v>0</v>
      </c>
      <c r="AF889" s="11">
        <v>0</v>
      </c>
      <c r="AI889" s="11">
        <v>1</v>
      </c>
    </row>
    <row r="890" spans="1:43" x14ac:dyDescent="0.25">
      <c r="A890" s="161" t="s">
        <v>2118</v>
      </c>
      <c r="B890" s="9" t="s">
        <v>109</v>
      </c>
      <c r="C890" s="4" t="s">
        <v>694</v>
      </c>
      <c r="E890" s="4" t="s">
        <v>109</v>
      </c>
      <c r="F890" s="4" t="s">
        <v>109</v>
      </c>
      <c r="H890" s="4" t="s">
        <v>2116</v>
      </c>
      <c r="I890" s="4" t="s">
        <v>1025</v>
      </c>
      <c r="Q890" s="11">
        <v>2</v>
      </c>
      <c r="T890" s="11">
        <v>2</v>
      </c>
      <c r="Z890" s="11">
        <v>0</v>
      </c>
      <c r="AF890" s="11">
        <v>0</v>
      </c>
      <c r="AI890" s="11">
        <v>1</v>
      </c>
    </row>
    <row r="891" spans="1:43" x14ac:dyDescent="0.25">
      <c r="A891" s="161" t="s">
        <v>2118</v>
      </c>
      <c r="B891" s="9" t="s">
        <v>109</v>
      </c>
      <c r="C891" s="4" t="s">
        <v>694</v>
      </c>
      <c r="E891" s="4" t="s">
        <v>109</v>
      </c>
      <c r="F891" s="4" t="s">
        <v>109</v>
      </c>
      <c r="G891" s="4" t="s">
        <v>2047</v>
      </c>
      <c r="H891" s="4" t="s">
        <v>2117</v>
      </c>
      <c r="I891" s="4" t="s">
        <v>1025</v>
      </c>
      <c r="Q891" s="9">
        <v>1</v>
      </c>
      <c r="T891" s="11">
        <v>2</v>
      </c>
      <c r="Z891" s="9">
        <v>0</v>
      </c>
      <c r="AF891" s="11">
        <v>0</v>
      </c>
      <c r="AI891" s="11">
        <v>1</v>
      </c>
    </row>
    <row r="892" spans="1:43" x14ac:dyDescent="0.25">
      <c r="A892" s="161" t="str">
        <f t="shared" si="17"/>
        <v>LONGSWORDSMAN_ETHIOPIA</v>
      </c>
      <c r="B892" s="9" t="s">
        <v>109</v>
      </c>
      <c r="C892" s="4" t="s">
        <v>714</v>
      </c>
      <c r="E892" s="4" t="s">
        <v>109</v>
      </c>
      <c r="F892" s="4" t="s">
        <v>109</v>
      </c>
      <c r="G892" s="14" t="s">
        <v>132</v>
      </c>
      <c r="H892" s="4" t="s">
        <v>332</v>
      </c>
      <c r="I892" s="4" t="s">
        <v>1025</v>
      </c>
      <c r="Q892" s="9" t="s">
        <v>1737</v>
      </c>
      <c r="Z892" s="9"/>
    </row>
    <row r="893" spans="1:43" x14ac:dyDescent="0.25">
      <c r="A893" s="161" t="str">
        <f t="shared" si="17"/>
        <v>LONGSWORDSMAN_SONGHAI</v>
      </c>
      <c r="B893" s="9" t="s">
        <v>109</v>
      </c>
      <c r="C893" s="4" t="s">
        <v>737</v>
      </c>
      <c r="E893" s="4" t="s">
        <v>109</v>
      </c>
      <c r="F893" s="4" t="s">
        <v>109</v>
      </c>
      <c r="G893" s="14"/>
      <c r="H893" s="4" t="s">
        <v>1964</v>
      </c>
      <c r="I893" s="4" t="s">
        <v>1025</v>
      </c>
      <c r="Q893" s="9">
        <v>1</v>
      </c>
      <c r="R893" s="11">
        <v>0.13500000000000001</v>
      </c>
      <c r="T893" s="11">
        <v>2</v>
      </c>
      <c r="Z893" s="9">
        <v>1</v>
      </c>
      <c r="AF893" s="11">
        <v>1</v>
      </c>
      <c r="AI893" s="11">
        <v>1</v>
      </c>
    </row>
    <row r="894" spans="1:43" x14ac:dyDescent="0.25">
      <c r="A894" s="161" t="str">
        <f>CONCATENATE(E894,IF(ISBLANK(C894),"",CONCATENATE("_",C894)))</f>
        <v>LONGSWORDSMAN_SONGHAI</v>
      </c>
      <c r="B894" s="9" t="s">
        <v>109</v>
      </c>
      <c r="C894" s="4" t="s">
        <v>737</v>
      </c>
      <c r="E894" s="4" t="s">
        <v>109</v>
      </c>
      <c r="F894" s="4" t="s">
        <v>109</v>
      </c>
      <c r="G894" s="14" t="s">
        <v>2047</v>
      </c>
      <c r="H894" s="4" t="s">
        <v>1965</v>
      </c>
      <c r="I894" s="4" t="s">
        <v>1025</v>
      </c>
      <c r="Q894" s="9">
        <v>2</v>
      </c>
      <c r="R894" s="11">
        <v>0.13500000000000001</v>
      </c>
      <c r="T894" s="11">
        <v>2</v>
      </c>
      <c r="Z894" s="9">
        <v>0</v>
      </c>
      <c r="AF894" s="11">
        <v>1</v>
      </c>
      <c r="AI894" s="11">
        <v>1</v>
      </c>
    </row>
    <row r="895" spans="1:43" x14ac:dyDescent="0.25">
      <c r="A895" s="161" t="str">
        <f>CONCATENATE(E895,IF(ISBLANK(C895),"",CONCATENATE("_",C895)))</f>
        <v>LONGSWORDSMAN_SONGHAI</v>
      </c>
      <c r="B895" s="9" t="s">
        <v>109</v>
      </c>
      <c r="C895" s="4" t="s">
        <v>737</v>
      </c>
      <c r="E895" s="4" t="s">
        <v>109</v>
      </c>
      <c r="F895" s="4" t="s">
        <v>109</v>
      </c>
      <c r="G895" s="14"/>
      <c r="H895" s="4" t="s">
        <v>1964</v>
      </c>
      <c r="I895" s="4" t="s">
        <v>1025</v>
      </c>
      <c r="Q895" s="9">
        <v>3</v>
      </c>
      <c r="R895" s="11">
        <v>0.13500000000000001</v>
      </c>
      <c r="T895" s="11">
        <v>4</v>
      </c>
      <c r="Z895" s="9">
        <v>0</v>
      </c>
      <c r="AF895" s="11">
        <v>1</v>
      </c>
      <c r="AI895" s="11">
        <v>2</v>
      </c>
    </row>
    <row r="896" spans="1:43" x14ac:dyDescent="0.25">
      <c r="A896" s="161" t="str">
        <f>CONCATENATE(E896,IF(ISBLANK(C896),"",CONCATENATE("_",C896)))</f>
        <v>LONGSWORDSMAN_SONGHAI</v>
      </c>
      <c r="B896" s="9" t="s">
        <v>109</v>
      </c>
      <c r="C896" s="4" t="s">
        <v>737</v>
      </c>
      <c r="E896" s="4" t="s">
        <v>109</v>
      </c>
      <c r="F896" s="4" t="s">
        <v>109</v>
      </c>
      <c r="G896" s="14" t="s">
        <v>2047</v>
      </c>
      <c r="H896" s="4" t="s">
        <v>1965</v>
      </c>
      <c r="I896" s="4" t="s">
        <v>1025</v>
      </c>
      <c r="Q896" s="9">
        <v>3</v>
      </c>
      <c r="R896" s="11">
        <v>0.13500000000000001</v>
      </c>
      <c r="T896" s="11">
        <v>4</v>
      </c>
      <c r="Z896" s="9">
        <v>0</v>
      </c>
      <c r="AF896" s="11">
        <v>0</v>
      </c>
      <c r="AI896" s="11">
        <v>1</v>
      </c>
    </row>
    <row r="897" spans="1:35" x14ac:dyDescent="0.25">
      <c r="A897" s="161" t="str">
        <f>CONCATENATE(E897,IF(ISBLANK(C897),"",CONCATENATE("_",C897)))</f>
        <v>LONGSWORDSMAN_SONGHAI</v>
      </c>
      <c r="B897" s="9" t="s">
        <v>109</v>
      </c>
      <c r="C897" s="4" t="s">
        <v>737</v>
      </c>
      <c r="E897" s="4" t="s">
        <v>109</v>
      </c>
      <c r="F897" s="4" t="s">
        <v>109</v>
      </c>
      <c r="G897" s="14"/>
      <c r="H897" s="4" t="s">
        <v>1964</v>
      </c>
      <c r="I897" s="4" t="s">
        <v>1025</v>
      </c>
      <c r="Q897" s="9">
        <v>2</v>
      </c>
      <c r="R897" s="11">
        <v>0.13500000000000001</v>
      </c>
      <c r="T897" s="11">
        <v>2</v>
      </c>
      <c r="Z897" s="9">
        <v>0</v>
      </c>
      <c r="AF897" s="11">
        <v>0</v>
      </c>
      <c r="AI897" s="11">
        <v>1</v>
      </c>
    </row>
    <row r="898" spans="1:35" x14ac:dyDescent="0.25">
      <c r="A898" s="161" t="str">
        <f>CONCATENATE(E898,IF(ISBLANK(C898),"",CONCATENATE("_",C898)))</f>
        <v>LONGSWORDSMAN_SONGHAI</v>
      </c>
      <c r="B898" s="9" t="s">
        <v>109</v>
      </c>
      <c r="C898" s="4" t="s">
        <v>737</v>
      </c>
      <c r="E898" s="4" t="s">
        <v>109</v>
      </c>
      <c r="F898" s="4" t="s">
        <v>109</v>
      </c>
      <c r="G898" s="14" t="s">
        <v>2047</v>
      </c>
      <c r="H898" s="4" t="s">
        <v>1965</v>
      </c>
      <c r="I898" s="4" t="s">
        <v>1025</v>
      </c>
      <c r="Q898" s="9">
        <v>1</v>
      </c>
      <c r="R898" s="11">
        <v>0.13500000000000001</v>
      </c>
      <c r="T898" s="11">
        <v>2</v>
      </c>
      <c r="Z898" s="9">
        <v>0</v>
      </c>
      <c r="AF898" s="11">
        <v>0</v>
      </c>
      <c r="AI898" s="11">
        <v>1</v>
      </c>
    </row>
    <row r="899" spans="1:35" x14ac:dyDescent="0.25">
      <c r="A899" s="161" t="str">
        <f t="shared" si="17"/>
        <v>LONGSWORDSMAN_AMER</v>
      </c>
      <c r="B899" s="9" t="s">
        <v>109</v>
      </c>
      <c r="C899" s="4" t="s">
        <v>697</v>
      </c>
      <c r="E899" s="4" t="s">
        <v>109</v>
      </c>
      <c r="F899" s="4" t="s">
        <v>109</v>
      </c>
      <c r="H899" s="4" t="s">
        <v>634</v>
      </c>
      <c r="I899" s="4" t="s">
        <v>1935</v>
      </c>
    </row>
    <row r="900" spans="1:35" x14ac:dyDescent="0.25">
      <c r="A900" s="161" t="str">
        <f t="shared" si="17"/>
        <v>LONGSWORDSMAN_IROQUOIS</v>
      </c>
      <c r="B900" s="9" t="s">
        <v>109</v>
      </c>
      <c r="C900" s="4" t="s">
        <v>721</v>
      </c>
      <c r="E900" s="4" t="s">
        <v>109</v>
      </c>
      <c r="F900" s="4" t="s">
        <v>109</v>
      </c>
      <c r="H900" s="4" t="s">
        <v>465</v>
      </c>
      <c r="I900" s="4" t="s">
        <v>1935</v>
      </c>
      <c r="Q900" s="11">
        <v>2</v>
      </c>
      <c r="T900" s="11">
        <v>2</v>
      </c>
      <c r="Z900" s="9">
        <v>1</v>
      </c>
      <c r="AF900" s="11">
        <v>1</v>
      </c>
      <c r="AI900" s="11">
        <v>1</v>
      </c>
    </row>
    <row r="901" spans="1:35" x14ac:dyDescent="0.25">
      <c r="A901" s="161" t="str">
        <f t="shared" si="17"/>
        <v>LONGSWORDSMAN_IROQUOIS</v>
      </c>
      <c r="B901" s="9" t="s">
        <v>109</v>
      </c>
      <c r="C901" s="4" t="s">
        <v>721</v>
      </c>
      <c r="E901" s="4" t="s">
        <v>109</v>
      </c>
      <c r="F901" s="4" t="s">
        <v>109</v>
      </c>
      <c r="G901" s="4" t="s">
        <v>2047</v>
      </c>
      <c r="H901" s="4" t="s">
        <v>942</v>
      </c>
      <c r="I901" s="4" t="s">
        <v>1935</v>
      </c>
      <c r="Q901" s="11">
        <v>3</v>
      </c>
      <c r="T901" s="11">
        <v>4</v>
      </c>
      <c r="Z901" s="9">
        <v>0</v>
      </c>
      <c r="AF901" s="11">
        <v>1</v>
      </c>
      <c r="AI901" s="11">
        <v>2</v>
      </c>
    </row>
    <row r="902" spans="1:35" x14ac:dyDescent="0.25">
      <c r="A902" s="161" t="str">
        <f t="shared" si="17"/>
        <v>LONGSWORDSMAN_IROQUOIS</v>
      </c>
      <c r="B902" s="9" t="s">
        <v>109</v>
      </c>
      <c r="C902" s="4" t="s">
        <v>721</v>
      </c>
      <c r="E902" s="4" t="s">
        <v>109</v>
      </c>
      <c r="F902" s="4" t="s">
        <v>109</v>
      </c>
      <c r="G902" s="4" t="s">
        <v>2049</v>
      </c>
      <c r="H902" s="4" t="s">
        <v>943</v>
      </c>
      <c r="I902" s="4" t="s">
        <v>1935</v>
      </c>
      <c r="Q902" s="11">
        <v>2</v>
      </c>
      <c r="T902" s="11">
        <v>4</v>
      </c>
      <c r="Z902" s="9">
        <v>0</v>
      </c>
      <c r="AF902" s="11">
        <v>1</v>
      </c>
      <c r="AI902" s="11">
        <v>2</v>
      </c>
    </row>
    <row r="903" spans="1:35" x14ac:dyDescent="0.25">
      <c r="A903" s="161" t="str">
        <f t="shared" si="17"/>
        <v>LONGSWORDSMAN_IROQUOIS</v>
      </c>
      <c r="B903" s="9" t="s">
        <v>109</v>
      </c>
      <c r="C903" s="4" t="s">
        <v>721</v>
      </c>
      <c r="E903" s="4" t="s">
        <v>109</v>
      </c>
      <c r="F903" s="4" t="s">
        <v>109</v>
      </c>
      <c r="G903" s="4" t="s">
        <v>2048</v>
      </c>
      <c r="H903" s="4" t="s">
        <v>634</v>
      </c>
      <c r="I903" s="4" t="s">
        <v>1935</v>
      </c>
      <c r="Q903" s="9">
        <v>3</v>
      </c>
      <c r="T903" s="11">
        <v>4</v>
      </c>
      <c r="Z903" s="9">
        <v>0</v>
      </c>
      <c r="AF903" s="11">
        <v>0</v>
      </c>
      <c r="AI903" s="11">
        <v>1</v>
      </c>
    </row>
    <row r="904" spans="1:35" x14ac:dyDescent="0.25">
      <c r="A904" s="161" t="str">
        <f t="shared" si="17"/>
        <v>LONGSWORDSMAN_IROQUOIS</v>
      </c>
      <c r="B904" s="9" t="s">
        <v>109</v>
      </c>
      <c r="C904" s="4" t="s">
        <v>721</v>
      </c>
      <c r="E904" s="4" t="s">
        <v>109</v>
      </c>
      <c r="F904" s="4" t="s">
        <v>109</v>
      </c>
      <c r="G904" s="14" t="s">
        <v>132</v>
      </c>
      <c r="H904" s="4" t="s">
        <v>465</v>
      </c>
      <c r="I904" s="4" t="s">
        <v>1935</v>
      </c>
      <c r="Q904" s="9">
        <v>2</v>
      </c>
      <c r="T904" s="11">
        <v>2</v>
      </c>
      <c r="Z904" s="9">
        <v>0</v>
      </c>
      <c r="AF904" s="11">
        <v>0</v>
      </c>
      <c r="AI904" s="11">
        <v>1</v>
      </c>
    </row>
    <row r="905" spans="1:35" x14ac:dyDescent="0.25">
      <c r="A905" s="161" t="str">
        <f t="shared" si="17"/>
        <v>LONGSWORDSMAN_ASIA</v>
      </c>
      <c r="B905" s="9" t="s">
        <v>109</v>
      </c>
      <c r="C905" s="4" t="s">
        <v>693</v>
      </c>
      <c r="E905" s="4" t="s">
        <v>109</v>
      </c>
      <c r="F905" s="4" t="s">
        <v>109</v>
      </c>
      <c r="H905" s="4" t="s">
        <v>450</v>
      </c>
      <c r="I905" s="4" t="s">
        <v>102</v>
      </c>
    </row>
    <row r="906" spans="1:35" x14ac:dyDescent="0.25">
      <c r="A906" s="161" t="str">
        <f t="shared" si="17"/>
        <v>LONGSWORDSMAN_CHINA</v>
      </c>
      <c r="B906" s="9" t="s">
        <v>109</v>
      </c>
      <c r="C906" s="4" t="s">
        <v>710</v>
      </c>
      <c r="E906" s="4" t="s">
        <v>109</v>
      </c>
      <c r="F906" s="4" t="s">
        <v>109</v>
      </c>
      <c r="H906" s="4" t="s">
        <v>450</v>
      </c>
      <c r="I906" s="4" t="s">
        <v>102</v>
      </c>
      <c r="Q906" s="9">
        <v>2</v>
      </c>
      <c r="T906" s="11">
        <v>3</v>
      </c>
      <c r="Z906" s="9">
        <v>0</v>
      </c>
      <c r="AF906" s="11">
        <v>1</v>
      </c>
      <c r="AI906" s="11">
        <v>1</v>
      </c>
    </row>
    <row r="907" spans="1:35" x14ac:dyDescent="0.25">
      <c r="A907" s="161" t="str">
        <f t="shared" si="17"/>
        <v>LONGSWORDSMAN_CHINA</v>
      </c>
      <c r="B907" s="9" t="s">
        <v>109</v>
      </c>
      <c r="C907" s="4" t="s">
        <v>710</v>
      </c>
      <c r="E907" s="4" t="s">
        <v>109</v>
      </c>
      <c r="F907" s="4" t="s">
        <v>109</v>
      </c>
      <c r="G907" s="4" t="s">
        <v>2047</v>
      </c>
      <c r="H907" s="4" t="s">
        <v>834</v>
      </c>
      <c r="I907" s="4" t="s">
        <v>102</v>
      </c>
      <c r="Q907" s="9">
        <v>2</v>
      </c>
      <c r="T907" s="11">
        <v>2</v>
      </c>
      <c r="Z907" s="9">
        <v>1</v>
      </c>
      <c r="AF907" s="11">
        <v>1</v>
      </c>
      <c r="AI907" s="11">
        <v>1</v>
      </c>
    </row>
    <row r="908" spans="1:35" x14ac:dyDescent="0.25">
      <c r="A908" s="161" t="str">
        <f t="shared" si="17"/>
        <v>LONGSWORDSMAN_CHINA</v>
      </c>
      <c r="B908" s="9" t="s">
        <v>109</v>
      </c>
      <c r="C908" s="4" t="s">
        <v>710</v>
      </c>
      <c r="E908" s="4" t="s">
        <v>109</v>
      </c>
      <c r="F908" s="4" t="s">
        <v>109</v>
      </c>
      <c r="G908" s="4" t="s">
        <v>2049</v>
      </c>
      <c r="H908" s="4" t="s">
        <v>251</v>
      </c>
      <c r="I908" s="4" t="s">
        <v>102</v>
      </c>
      <c r="Q908" s="9">
        <v>2</v>
      </c>
      <c r="T908" s="11">
        <v>3</v>
      </c>
      <c r="Z908" s="9">
        <v>0</v>
      </c>
      <c r="AF908" s="11">
        <v>1</v>
      </c>
      <c r="AI908" s="11">
        <v>1</v>
      </c>
    </row>
    <row r="909" spans="1:35" x14ac:dyDescent="0.25">
      <c r="A909" s="161" t="str">
        <f t="shared" si="17"/>
        <v>LONGSWORDSMAN_CHINA</v>
      </c>
      <c r="B909" s="9" t="s">
        <v>109</v>
      </c>
      <c r="C909" s="4" t="s">
        <v>710</v>
      </c>
      <c r="E909" s="4" t="s">
        <v>109</v>
      </c>
      <c r="F909" s="4" t="s">
        <v>109</v>
      </c>
      <c r="H909" s="4" t="s">
        <v>450</v>
      </c>
      <c r="I909" s="4" t="s">
        <v>102</v>
      </c>
      <c r="Q909" s="9">
        <v>2</v>
      </c>
      <c r="T909" s="11">
        <v>2</v>
      </c>
      <c r="Z909" s="9">
        <v>0</v>
      </c>
      <c r="AF909" s="11">
        <v>0</v>
      </c>
      <c r="AI909" s="11">
        <v>2</v>
      </c>
    </row>
    <row r="910" spans="1:35" x14ac:dyDescent="0.25">
      <c r="A910" s="161" t="str">
        <f t="shared" si="17"/>
        <v>LONGSWORDSMAN_CHINA</v>
      </c>
      <c r="B910" s="9" t="s">
        <v>109</v>
      </c>
      <c r="C910" s="4" t="s">
        <v>710</v>
      </c>
      <c r="E910" s="4" t="s">
        <v>109</v>
      </c>
      <c r="F910" s="4" t="s">
        <v>109</v>
      </c>
      <c r="G910" s="4" t="s">
        <v>2047</v>
      </c>
      <c r="H910" s="4" t="s">
        <v>834</v>
      </c>
      <c r="I910" s="4" t="s">
        <v>102</v>
      </c>
      <c r="Q910" s="9">
        <v>2</v>
      </c>
      <c r="T910" s="11">
        <v>3</v>
      </c>
      <c r="Z910" s="9">
        <v>0</v>
      </c>
      <c r="AF910" s="11">
        <v>0</v>
      </c>
      <c r="AI910" s="11">
        <v>1</v>
      </c>
    </row>
    <row r="911" spans="1:35" x14ac:dyDescent="0.25">
      <c r="A911" s="161" t="str">
        <f t="shared" si="17"/>
        <v>LONGSWORDSMAN_CHINA</v>
      </c>
      <c r="B911" s="9" t="s">
        <v>109</v>
      </c>
      <c r="C911" s="4" t="s">
        <v>710</v>
      </c>
      <c r="E911" s="4" t="s">
        <v>109</v>
      </c>
      <c r="F911" s="4" t="s">
        <v>109</v>
      </c>
      <c r="G911" s="4" t="s">
        <v>2049</v>
      </c>
      <c r="H911" s="4" t="s">
        <v>251</v>
      </c>
      <c r="I911" s="4" t="s">
        <v>102</v>
      </c>
      <c r="Q911" s="9">
        <v>2</v>
      </c>
      <c r="T911" s="11">
        <v>3</v>
      </c>
      <c r="Z911" s="9">
        <v>0</v>
      </c>
      <c r="AF911" s="11">
        <v>0</v>
      </c>
      <c r="AI911" s="11">
        <v>1</v>
      </c>
    </row>
    <row r="912" spans="1:35" x14ac:dyDescent="0.25">
      <c r="A912" s="161" t="str">
        <f t="shared" si="17"/>
        <v>LONGSWORDSMAN_JAPAN</v>
      </c>
      <c r="B912" s="9" t="s">
        <v>109</v>
      </c>
      <c r="C912" s="4" t="s">
        <v>722</v>
      </c>
      <c r="E912" s="4" t="s">
        <v>109</v>
      </c>
      <c r="F912" s="4" t="s">
        <v>109</v>
      </c>
      <c r="G912" s="14" t="s">
        <v>132</v>
      </c>
      <c r="H912" s="4" t="s">
        <v>485</v>
      </c>
      <c r="I912" s="4" t="s">
        <v>102</v>
      </c>
    </row>
    <row r="913" spans="1:35" x14ac:dyDescent="0.25">
      <c r="A913" s="161" t="str">
        <f t="shared" si="17"/>
        <v>LONGSWORDSMAN_KOREA</v>
      </c>
      <c r="B913" s="9" t="s">
        <v>109</v>
      </c>
      <c r="C913" s="4" t="s">
        <v>723</v>
      </c>
      <c r="E913" s="4" t="s">
        <v>109</v>
      </c>
      <c r="F913" s="4" t="s">
        <v>109</v>
      </c>
      <c r="G913" s="14" t="s">
        <v>132</v>
      </c>
      <c r="H913" s="4" t="s">
        <v>501</v>
      </c>
      <c r="I913" s="4" t="s">
        <v>102</v>
      </c>
    </row>
    <row r="914" spans="1:35" x14ac:dyDescent="0.25">
      <c r="A914" s="161" t="str">
        <f t="shared" si="17"/>
        <v>LONGSWORDSMAN_MONGOL</v>
      </c>
      <c r="B914" s="9" t="s">
        <v>109</v>
      </c>
      <c r="C914" s="4" t="s">
        <v>728</v>
      </c>
      <c r="E914" s="4" t="s">
        <v>109</v>
      </c>
      <c r="F914" s="4" t="s">
        <v>109</v>
      </c>
      <c r="G914" s="14" t="s">
        <v>132</v>
      </c>
      <c r="H914" s="4" t="s">
        <v>531</v>
      </c>
      <c r="I914" s="4" t="s">
        <v>2098</v>
      </c>
    </row>
    <row r="915" spans="1:35" x14ac:dyDescent="0.25">
      <c r="A915" s="161" t="str">
        <f t="shared" si="17"/>
        <v>LONGSWORDSMAN_CENTAS</v>
      </c>
      <c r="B915" s="9" t="s">
        <v>109</v>
      </c>
      <c r="C915" s="4" t="s">
        <v>918</v>
      </c>
      <c r="E915" s="4" t="s">
        <v>109</v>
      </c>
      <c r="F915" s="4" t="s">
        <v>109</v>
      </c>
      <c r="G915" s="14"/>
      <c r="H915" s="4" t="s">
        <v>1030</v>
      </c>
      <c r="I915" s="4" t="s">
        <v>2098</v>
      </c>
    </row>
    <row r="916" spans="1:35" x14ac:dyDescent="0.25">
      <c r="A916" s="161" t="str">
        <f t="shared" si="17"/>
        <v>LONGSWORDSMAN_HUNS</v>
      </c>
      <c r="B916" s="9" t="s">
        <v>109</v>
      </c>
      <c r="C916" s="4" t="s">
        <v>904</v>
      </c>
      <c r="E916" s="4" t="s">
        <v>109</v>
      </c>
      <c r="F916" s="4" t="s">
        <v>109</v>
      </c>
      <c r="H916" s="4" t="s">
        <v>910</v>
      </c>
      <c r="I916" s="4" t="s">
        <v>122</v>
      </c>
    </row>
    <row r="917" spans="1:35" x14ac:dyDescent="0.25">
      <c r="A917" s="161" t="str">
        <f t="shared" si="17"/>
        <v>LONGSWORDSMAN_OTTOMAN</v>
      </c>
      <c r="B917" s="9" t="s">
        <v>109</v>
      </c>
      <c r="C917" s="4" t="s">
        <v>1037</v>
      </c>
      <c r="E917" s="4" t="s">
        <v>109</v>
      </c>
      <c r="F917" s="4" t="s">
        <v>109</v>
      </c>
      <c r="G917" s="14" t="s">
        <v>132</v>
      </c>
      <c r="H917" s="4" t="s">
        <v>1030</v>
      </c>
      <c r="I917" s="4" t="s">
        <v>2098</v>
      </c>
      <c r="Q917" s="11">
        <v>3</v>
      </c>
      <c r="T917" s="11">
        <v>4</v>
      </c>
      <c r="Z917" s="11">
        <v>1</v>
      </c>
      <c r="AF917" s="11">
        <v>1</v>
      </c>
      <c r="AI917" s="11">
        <v>2</v>
      </c>
    </row>
    <row r="918" spans="1:35" x14ac:dyDescent="0.25">
      <c r="A918" s="161" t="str">
        <f t="shared" si="17"/>
        <v>LONGSWORDSMAN_OTTOMAN</v>
      </c>
      <c r="B918" s="9" t="s">
        <v>109</v>
      </c>
      <c r="C918" s="4" t="s">
        <v>1037</v>
      </c>
      <c r="E918" s="4" t="s">
        <v>109</v>
      </c>
      <c r="F918" s="4" t="s">
        <v>109</v>
      </c>
      <c r="G918" s="14" t="s">
        <v>2047</v>
      </c>
      <c r="H918" s="4" t="s">
        <v>1031</v>
      </c>
      <c r="I918" s="4" t="s">
        <v>2098</v>
      </c>
      <c r="Q918" s="11">
        <v>2</v>
      </c>
      <c r="T918" s="11">
        <v>3</v>
      </c>
      <c r="Z918" s="11">
        <v>0</v>
      </c>
      <c r="AF918" s="11">
        <v>1</v>
      </c>
      <c r="AI918" s="11">
        <v>1</v>
      </c>
    </row>
    <row r="919" spans="1:35" x14ac:dyDescent="0.25">
      <c r="A919" s="161" t="str">
        <f t="shared" si="17"/>
        <v>LONGSWORDSMAN_OTTOMAN</v>
      </c>
      <c r="B919" s="9" t="s">
        <v>109</v>
      </c>
      <c r="C919" s="4" t="s">
        <v>1037</v>
      </c>
      <c r="E919" s="4" t="s">
        <v>109</v>
      </c>
      <c r="F919" s="4" t="s">
        <v>109</v>
      </c>
      <c r="G919" s="14" t="s">
        <v>2049</v>
      </c>
      <c r="H919" s="4" t="s">
        <v>1032</v>
      </c>
      <c r="I919" s="4" t="s">
        <v>2098</v>
      </c>
      <c r="Q919" s="11">
        <v>1</v>
      </c>
      <c r="T919" s="11">
        <v>1</v>
      </c>
      <c r="Z919" s="11">
        <v>0</v>
      </c>
      <c r="AF919" s="11">
        <v>1</v>
      </c>
      <c r="AI919" s="11">
        <v>1</v>
      </c>
    </row>
    <row r="920" spans="1:35" x14ac:dyDescent="0.25">
      <c r="A920" s="161" t="str">
        <f t="shared" si="17"/>
        <v>LONGSWORDSMAN_OTTOMAN</v>
      </c>
      <c r="B920" s="9" t="s">
        <v>109</v>
      </c>
      <c r="C920" s="4" t="s">
        <v>1037</v>
      </c>
      <c r="E920" s="4" t="s">
        <v>109</v>
      </c>
      <c r="F920" s="4" t="s">
        <v>109</v>
      </c>
      <c r="G920" s="14" t="s">
        <v>132</v>
      </c>
      <c r="H920" s="4" t="s">
        <v>1030</v>
      </c>
      <c r="I920" s="4" t="s">
        <v>2098</v>
      </c>
      <c r="Q920" s="9">
        <v>3</v>
      </c>
      <c r="T920" s="11">
        <v>4</v>
      </c>
      <c r="Z920" s="9">
        <v>0</v>
      </c>
      <c r="AF920" s="11">
        <v>0</v>
      </c>
      <c r="AI920" s="11">
        <v>2</v>
      </c>
    </row>
    <row r="921" spans="1:35" x14ac:dyDescent="0.25">
      <c r="A921" s="161" t="str">
        <f t="shared" si="17"/>
        <v>LONGSWORDSMAN_OTTOMAN</v>
      </c>
      <c r="B921" s="9" t="s">
        <v>109</v>
      </c>
      <c r="C921" s="4" t="s">
        <v>1037</v>
      </c>
      <c r="E921" s="4" t="s">
        <v>109</v>
      </c>
      <c r="F921" s="4" t="s">
        <v>109</v>
      </c>
      <c r="G921" s="14" t="s">
        <v>2047</v>
      </c>
      <c r="H921" s="4" t="s">
        <v>1031</v>
      </c>
      <c r="I921" s="4" t="s">
        <v>2098</v>
      </c>
      <c r="Q921" s="9">
        <v>2</v>
      </c>
      <c r="T921" s="11">
        <v>3</v>
      </c>
      <c r="Z921" s="9">
        <v>0</v>
      </c>
      <c r="AF921" s="11">
        <v>0</v>
      </c>
      <c r="AI921" s="11">
        <v>1</v>
      </c>
    </row>
    <row r="922" spans="1:35" x14ac:dyDescent="0.25">
      <c r="A922" s="161" t="str">
        <f t="shared" si="17"/>
        <v>LONGSWORDSMAN_OTTOMAN</v>
      </c>
      <c r="B922" s="9" t="s">
        <v>109</v>
      </c>
      <c r="C922" s="4" t="s">
        <v>1037</v>
      </c>
      <c r="E922" s="4" t="s">
        <v>109</v>
      </c>
      <c r="F922" s="4" t="s">
        <v>109</v>
      </c>
      <c r="G922" s="14" t="s">
        <v>2049</v>
      </c>
      <c r="H922" s="4" t="s">
        <v>1032</v>
      </c>
      <c r="I922" s="4" t="s">
        <v>2098</v>
      </c>
      <c r="Q922" s="9">
        <v>1</v>
      </c>
      <c r="T922" s="11">
        <v>1</v>
      </c>
      <c r="Z922" s="9">
        <v>0</v>
      </c>
      <c r="AF922" s="11">
        <v>0</v>
      </c>
      <c r="AI922" s="11">
        <v>0</v>
      </c>
    </row>
    <row r="923" spans="1:35" x14ac:dyDescent="0.25">
      <c r="A923" s="161" t="str">
        <f t="shared" si="17"/>
        <v>LONGSWORDSMAN_POLAND</v>
      </c>
      <c r="B923" s="9" t="s">
        <v>109</v>
      </c>
      <c r="C923" s="4" t="s">
        <v>732</v>
      </c>
      <c r="E923" s="4" t="s">
        <v>109</v>
      </c>
      <c r="F923" s="4" t="s">
        <v>109</v>
      </c>
      <c r="G923" s="14" t="s">
        <v>132</v>
      </c>
      <c r="H923" s="4" t="s">
        <v>572</v>
      </c>
      <c r="I923" s="4" t="s">
        <v>122</v>
      </c>
      <c r="AF923" s="9"/>
    </row>
    <row r="924" spans="1:35" x14ac:dyDescent="0.25">
      <c r="A924" s="161" t="str">
        <f t="shared" si="17"/>
        <v>LONGSWORDSMAN_RUSSIA</v>
      </c>
      <c r="B924" s="9" t="s">
        <v>109</v>
      </c>
      <c r="C924" s="4" t="s">
        <v>735</v>
      </c>
      <c r="E924" s="4" t="s">
        <v>109</v>
      </c>
      <c r="F924" s="4" t="s">
        <v>109</v>
      </c>
      <c r="H924" s="4" t="s">
        <v>1005</v>
      </c>
      <c r="I924" s="4" t="s">
        <v>2098</v>
      </c>
      <c r="Q924" s="9">
        <v>2</v>
      </c>
      <c r="T924" s="11">
        <v>3</v>
      </c>
      <c r="Z924" s="9">
        <v>1</v>
      </c>
      <c r="AF924" s="11">
        <v>1</v>
      </c>
      <c r="AI924" s="11">
        <v>1</v>
      </c>
    </row>
    <row r="925" spans="1:35" x14ac:dyDescent="0.25">
      <c r="A925" s="161" t="str">
        <f t="shared" si="17"/>
        <v>LONGSWORDSMAN_RUSSIA</v>
      </c>
      <c r="B925" s="9" t="s">
        <v>109</v>
      </c>
      <c r="C925" s="4" t="s">
        <v>735</v>
      </c>
      <c r="E925" s="4" t="s">
        <v>109</v>
      </c>
      <c r="F925" s="4" t="s">
        <v>109</v>
      </c>
      <c r="G925" s="4" t="s">
        <v>2047</v>
      </c>
      <c r="H925" s="4" t="s">
        <v>1006</v>
      </c>
      <c r="I925" s="4" t="s">
        <v>2098</v>
      </c>
      <c r="Q925" s="9">
        <v>2</v>
      </c>
      <c r="T925" s="11">
        <v>2</v>
      </c>
      <c r="Z925" s="9">
        <v>0</v>
      </c>
      <c r="AF925" s="11">
        <v>1</v>
      </c>
      <c r="AI925" s="11">
        <v>1</v>
      </c>
    </row>
    <row r="926" spans="1:35" x14ac:dyDescent="0.25">
      <c r="A926" s="161" t="str">
        <f t="shared" si="17"/>
        <v>LONGSWORDSMAN_RUSSIA</v>
      </c>
      <c r="B926" s="9" t="s">
        <v>109</v>
      </c>
      <c r="C926" s="4" t="s">
        <v>735</v>
      </c>
      <c r="E926" s="4" t="s">
        <v>109</v>
      </c>
      <c r="F926" s="4" t="s">
        <v>109</v>
      </c>
      <c r="G926" s="4" t="s">
        <v>2049</v>
      </c>
      <c r="H926" s="4" t="s">
        <v>617</v>
      </c>
      <c r="I926" s="4" t="s">
        <v>2098</v>
      </c>
      <c r="Q926" s="9">
        <v>2</v>
      </c>
      <c r="T926" s="11">
        <v>3</v>
      </c>
      <c r="Z926" s="9">
        <v>0</v>
      </c>
      <c r="AF926" s="11">
        <v>1</v>
      </c>
      <c r="AI926" s="11">
        <v>1</v>
      </c>
    </row>
    <row r="927" spans="1:35" x14ac:dyDescent="0.25">
      <c r="A927" s="161" t="str">
        <f t="shared" si="17"/>
        <v>LONGSWORDSMAN_RUSSIA</v>
      </c>
      <c r="B927" s="9" t="s">
        <v>109</v>
      </c>
      <c r="C927" s="4" t="s">
        <v>735</v>
      </c>
      <c r="E927" s="4" t="s">
        <v>109</v>
      </c>
      <c r="F927" s="4" t="s">
        <v>109</v>
      </c>
      <c r="H927" s="4" t="s">
        <v>1005</v>
      </c>
      <c r="I927" s="4" t="s">
        <v>2098</v>
      </c>
      <c r="Q927" s="9">
        <v>2</v>
      </c>
      <c r="T927" s="11">
        <v>2</v>
      </c>
      <c r="Z927" s="9">
        <v>0</v>
      </c>
      <c r="AF927" s="11">
        <v>0</v>
      </c>
      <c r="AI927" s="11">
        <v>2</v>
      </c>
    </row>
    <row r="928" spans="1:35" x14ac:dyDescent="0.25">
      <c r="A928" s="161" t="str">
        <f t="shared" si="17"/>
        <v>LONGSWORDSMAN_RUSSIA</v>
      </c>
      <c r="B928" s="9" t="s">
        <v>109</v>
      </c>
      <c r="C928" s="4" t="s">
        <v>735</v>
      </c>
      <c r="E928" s="4" t="s">
        <v>109</v>
      </c>
      <c r="F928" s="4" t="s">
        <v>109</v>
      </c>
      <c r="G928" s="4" t="s">
        <v>2047</v>
      </c>
      <c r="H928" s="4" t="s">
        <v>1006</v>
      </c>
      <c r="I928" s="4" t="s">
        <v>2098</v>
      </c>
      <c r="Q928" s="9">
        <v>2</v>
      </c>
      <c r="T928" s="11">
        <v>3</v>
      </c>
      <c r="Z928" s="9">
        <v>0</v>
      </c>
      <c r="AF928" s="11">
        <v>0</v>
      </c>
      <c r="AI928" s="11">
        <v>1</v>
      </c>
    </row>
    <row r="929" spans="1:35" x14ac:dyDescent="0.25">
      <c r="A929" s="161" t="str">
        <f t="shared" si="17"/>
        <v>LONGSWORDSMAN_RUSSIA</v>
      </c>
      <c r="B929" s="9" t="s">
        <v>109</v>
      </c>
      <c r="C929" s="4" t="s">
        <v>735</v>
      </c>
      <c r="E929" s="4" t="s">
        <v>109</v>
      </c>
      <c r="F929" s="4" t="s">
        <v>109</v>
      </c>
      <c r="G929" s="4" t="s">
        <v>2049</v>
      </c>
      <c r="H929" s="4" t="s">
        <v>617</v>
      </c>
      <c r="I929" s="4" t="s">
        <v>2098</v>
      </c>
      <c r="Q929" s="9">
        <v>2</v>
      </c>
      <c r="T929" s="11">
        <v>3</v>
      </c>
      <c r="Z929" s="9">
        <v>0</v>
      </c>
      <c r="AF929" s="11">
        <v>0</v>
      </c>
      <c r="AI929" s="11">
        <v>1</v>
      </c>
    </row>
    <row r="930" spans="1:35" x14ac:dyDescent="0.25">
      <c r="A930" s="161" t="str">
        <f t="shared" si="17"/>
        <v>LONGSWORDSMAN_AMERICA</v>
      </c>
      <c r="B930" s="9" t="s">
        <v>109</v>
      </c>
      <c r="C930" s="4" t="s">
        <v>699</v>
      </c>
      <c r="E930" s="4" t="s">
        <v>109</v>
      </c>
      <c r="F930" s="4" t="s">
        <v>109</v>
      </c>
      <c r="G930" s="14"/>
      <c r="H930" s="4" t="s">
        <v>142</v>
      </c>
      <c r="I930" s="4" t="s">
        <v>122</v>
      </c>
    </row>
    <row r="931" spans="1:35" x14ac:dyDescent="0.25">
      <c r="A931" s="161" t="str">
        <f t="shared" si="17"/>
        <v>LONGSWORDSMAN_AUSTRIA</v>
      </c>
      <c r="B931" s="9" t="s">
        <v>109</v>
      </c>
      <c r="C931" s="4" t="s">
        <v>701</v>
      </c>
      <c r="E931" s="4" t="s">
        <v>109</v>
      </c>
      <c r="F931" s="4" t="s">
        <v>109</v>
      </c>
      <c r="G931" s="14"/>
      <c r="H931" s="4" t="s">
        <v>182</v>
      </c>
      <c r="I931" s="4" t="s">
        <v>122</v>
      </c>
    </row>
    <row r="932" spans="1:35" x14ac:dyDescent="0.25">
      <c r="A932" s="161" t="str">
        <f t="shared" si="17"/>
        <v>LONGSWORDSMAN_BOHEMIA</v>
      </c>
      <c r="B932" s="9" t="s">
        <v>109</v>
      </c>
      <c r="C932" s="4" t="s">
        <v>705</v>
      </c>
      <c r="E932" s="4" t="s">
        <v>109</v>
      </c>
      <c r="F932" s="4" t="s">
        <v>109</v>
      </c>
      <c r="G932" s="14"/>
      <c r="H932" s="4" t="s">
        <v>221</v>
      </c>
      <c r="I932" s="4" t="s">
        <v>967</v>
      </c>
    </row>
    <row r="933" spans="1:35" x14ac:dyDescent="0.25">
      <c r="A933" s="161" t="str">
        <f t="shared" si="17"/>
        <v>LONGSWORDSMAN_CELTS</v>
      </c>
      <c r="B933" s="9" t="s">
        <v>109</v>
      </c>
      <c r="C933" s="4" t="s">
        <v>709</v>
      </c>
      <c r="E933" s="4" t="s">
        <v>109</v>
      </c>
      <c r="F933" s="4" t="s">
        <v>109</v>
      </c>
      <c r="H933" s="4" t="s">
        <v>824</v>
      </c>
      <c r="I933" s="4" t="s">
        <v>122</v>
      </c>
      <c r="Q933" s="11">
        <v>2</v>
      </c>
      <c r="T933" s="11">
        <v>3</v>
      </c>
      <c r="Z933" s="11">
        <v>0</v>
      </c>
      <c r="AF933" s="11">
        <v>1</v>
      </c>
      <c r="AI933" s="11">
        <v>3</v>
      </c>
    </row>
    <row r="934" spans="1:35" x14ac:dyDescent="0.25">
      <c r="A934" s="161" t="str">
        <f t="shared" si="17"/>
        <v>LONGSWORDSMAN_CELTS</v>
      </c>
      <c r="B934" s="9" t="s">
        <v>109</v>
      </c>
      <c r="C934" s="4" t="s">
        <v>709</v>
      </c>
      <c r="E934" s="4" t="s">
        <v>109</v>
      </c>
      <c r="F934" s="4" t="s">
        <v>109</v>
      </c>
      <c r="G934" s="4" t="s">
        <v>2047</v>
      </c>
      <c r="H934" s="4" t="s">
        <v>238</v>
      </c>
      <c r="I934" s="4" t="s">
        <v>122</v>
      </c>
      <c r="Q934" s="11">
        <v>3</v>
      </c>
      <c r="T934" s="11">
        <v>5</v>
      </c>
      <c r="Z934" s="11">
        <v>1</v>
      </c>
      <c r="AF934" s="11">
        <v>1</v>
      </c>
      <c r="AI934" s="11">
        <v>5</v>
      </c>
    </row>
    <row r="935" spans="1:35" x14ac:dyDescent="0.25">
      <c r="A935" s="161" t="str">
        <f t="shared" si="17"/>
        <v>LONGSWORDSMAN_CELTS</v>
      </c>
      <c r="B935" s="9" t="s">
        <v>109</v>
      </c>
      <c r="C935" s="4" t="s">
        <v>709</v>
      </c>
      <c r="E935" s="4" t="s">
        <v>109</v>
      </c>
      <c r="F935" s="4" t="s">
        <v>109</v>
      </c>
      <c r="H935" s="4" t="s">
        <v>824</v>
      </c>
      <c r="I935" s="4" t="s">
        <v>122</v>
      </c>
      <c r="Q935" s="11">
        <v>4</v>
      </c>
      <c r="T935" s="11">
        <v>5</v>
      </c>
      <c r="Z935" s="11">
        <v>0</v>
      </c>
      <c r="AF935" s="11">
        <v>1</v>
      </c>
      <c r="AI935" s="11">
        <v>5</v>
      </c>
    </row>
    <row r="936" spans="1:35" x14ac:dyDescent="0.25">
      <c r="A936" s="161" t="str">
        <f t="shared" si="17"/>
        <v>LONGSWORDSMAN_CELTS</v>
      </c>
      <c r="B936" s="9" t="s">
        <v>109</v>
      </c>
      <c r="C936" s="4" t="s">
        <v>709</v>
      </c>
      <c r="E936" s="4" t="s">
        <v>109</v>
      </c>
      <c r="F936" s="4" t="s">
        <v>109</v>
      </c>
      <c r="G936" s="4" t="s">
        <v>2047</v>
      </c>
      <c r="H936" s="4" t="s">
        <v>238</v>
      </c>
      <c r="I936" s="4" t="s">
        <v>122</v>
      </c>
      <c r="Q936" s="9">
        <v>3</v>
      </c>
      <c r="T936" s="11">
        <v>3</v>
      </c>
      <c r="Z936" s="9">
        <v>0</v>
      </c>
      <c r="AF936" s="11">
        <v>0</v>
      </c>
      <c r="AI936" s="11">
        <v>3</v>
      </c>
    </row>
    <row r="937" spans="1:35" x14ac:dyDescent="0.25">
      <c r="A937" s="161" t="str">
        <f t="shared" si="17"/>
        <v>LONGSWORDSMAN_ENGLAND</v>
      </c>
      <c r="B937" s="9" t="s">
        <v>109</v>
      </c>
      <c r="C937" s="4" t="s">
        <v>713</v>
      </c>
      <c r="E937" s="4" t="s">
        <v>109</v>
      </c>
      <c r="F937" s="4" t="s">
        <v>109</v>
      </c>
      <c r="H937" s="4" t="s">
        <v>864</v>
      </c>
      <c r="I937" s="4" t="s">
        <v>102</v>
      </c>
      <c r="Q937" s="9">
        <v>2</v>
      </c>
      <c r="T937" s="11">
        <v>3</v>
      </c>
      <c r="Z937" s="9">
        <v>1</v>
      </c>
      <c r="AF937" s="11">
        <v>1</v>
      </c>
      <c r="AI937" s="11">
        <v>3</v>
      </c>
    </row>
    <row r="938" spans="1:35" x14ac:dyDescent="0.25">
      <c r="A938" s="161" t="str">
        <f t="shared" si="17"/>
        <v>LONGSWORDSMAN_ENGLAND</v>
      </c>
      <c r="B938" s="9" t="s">
        <v>109</v>
      </c>
      <c r="C938" s="4" t="s">
        <v>713</v>
      </c>
      <c r="E938" s="4" t="s">
        <v>109</v>
      </c>
      <c r="F938" s="4" t="s">
        <v>109</v>
      </c>
      <c r="G938" s="4" t="s">
        <v>2047</v>
      </c>
      <c r="H938" s="4" t="s">
        <v>865</v>
      </c>
      <c r="I938" s="4" t="s">
        <v>122</v>
      </c>
      <c r="Q938" s="9">
        <v>2</v>
      </c>
      <c r="T938" s="11">
        <v>2</v>
      </c>
      <c r="Z938" s="9">
        <v>0</v>
      </c>
      <c r="AF938" s="11">
        <v>1</v>
      </c>
      <c r="AI938" s="11">
        <v>2</v>
      </c>
    </row>
    <row r="939" spans="1:35" x14ac:dyDescent="0.25">
      <c r="A939" s="161" t="str">
        <f t="shared" si="17"/>
        <v>LONGSWORDSMAN_ENGLAND</v>
      </c>
      <c r="B939" s="9" t="s">
        <v>109</v>
      </c>
      <c r="C939" s="4" t="s">
        <v>713</v>
      </c>
      <c r="E939" s="4" t="s">
        <v>109</v>
      </c>
      <c r="F939" s="4" t="s">
        <v>109</v>
      </c>
      <c r="G939" s="4" t="s">
        <v>2049</v>
      </c>
      <c r="H939" s="4" t="s">
        <v>303</v>
      </c>
      <c r="I939" s="4" t="s">
        <v>122</v>
      </c>
      <c r="Q939" s="9">
        <v>2</v>
      </c>
      <c r="T939" s="11">
        <v>3</v>
      </c>
      <c r="Z939" s="9">
        <v>0</v>
      </c>
      <c r="AF939" s="11">
        <v>1</v>
      </c>
      <c r="AI939" s="11">
        <v>3</v>
      </c>
    </row>
    <row r="940" spans="1:35" x14ac:dyDescent="0.25">
      <c r="A940" s="161" t="str">
        <f t="shared" si="17"/>
        <v>LONGSWORDSMAN_ENGLAND</v>
      </c>
      <c r="B940" s="9" t="s">
        <v>109</v>
      </c>
      <c r="C940" s="4" t="s">
        <v>713</v>
      </c>
      <c r="E940" s="4" t="s">
        <v>109</v>
      </c>
      <c r="F940" s="4" t="s">
        <v>109</v>
      </c>
      <c r="H940" s="4" t="s">
        <v>864</v>
      </c>
      <c r="I940" s="4" t="s">
        <v>102</v>
      </c>
      <c r="Q940" s="9">
        <v>2</v>
      </c>
      <c r="T940" s="11">
        <v>2</v>
      </c>
      <c r="Z940" s="9">
        <v>0</v>
      </c>
      <c r="AF940" s="11">
        <v>0</v>
      </c>
      <c r="AI940" s="11">
        <v>2</v>
      </c>
    </row>
    <row r="941" spans="1:35" x14ac:dyDescent="0.25">
      <c r="A941" s="161" t="str">
        <f t="shared" si="17"/>
        <v>LONGSWORDSMAN_ENGLAND</v>
      </c>
      <c r="B941" s="9" t="s">
        <v>109</v>
      </c>
      <c r="C941" s="4" t="s">
        <v>713</v>
      </c>
      <c r="E941" s="4" t="s">
        <v>109</v>
      </c>
      <c r="F941" s="4" t="s">
        <v>109</v>
      </c>
      <c r="G941" s="4" t="s">
        <v>2047</v>
      </c>
      <c r="H941" s="4" t="s">
        <v>865</v>
      </c>
      <c r="I941" s="4" t="s">
        <v>122</v>
      </c>
      <c r="Q941" s="9">
        <v>2</v>
      </c>
      <c r="T941" s="11">
        <v>3</v>
      </c>
      <c r="Z941" s="9">
        <v>0</v>
      </c>
      <c r="AF941" s="11">
        <v>0</v>
      </c>
      <c r="AI941" s="11">
        <v>3</v>
      </c>
    </row>
    <row r="942" spans="1:35" x14ac:dyDescent="0.25">
      <c r="A942" s="161" t="str">
        <f t="shared" si="17"/>
        <v>LONGSWORDSMAN_ENGLAND</v>
      </c>
      <c r="B942" s="9" t="s">
        <v>109</v>
      </c>
      <c r="C942" s="4" t="s">
        <v>713</v>
      </c>
      <c r="E942" s="4" t="s">
        <v>109</v>
      </c>
      <c r="F942" s="4" t="s">
        <v>109</v>
      </c>
      <c r="G942" s="4" t="s">
        <v>2049</v>
      </c>
      <c r="H942" s="4" t="s">
        <v>303</v>
      </c>
      <c r="I942" s="4" t="s">
        <v>122</v>
      </c>
      <c r="Q942" s="9">
        <v>2</v>
      </c>
      <c r="T942" s="11">
        <v>3</v>
      </c>
      <c r="Z942" s="9">
        <v>0</v>
      </c>
      <c r="AF942" s="11">
        <v>0</v>
      </c>
      <c r="AI942" s="11">
        <v>3</v>
      </c>
    </row>
    <row r="943" spans="1:35" x14ac:dyDescent="0.25">
      <c r="A943" s="161" t="str">
        <f t="shared" si="17"/>
        <v>LONGSWORDSMAN_FRANCE</v>
      </c>
      <c r="B943" s="9" t="s">
        <v>109</v>
      </c>
      <c r="C943" s="4" t="s">
        <v>715</v>
      </c>
      <c r="E943" s="4" t="s">
        <v>109</v>
      </c>
      <c r="F943" s="4" t="s">
        <v>109</v>
      </c>
      <c r="H943" s="4" t="s">
        <v>876</v>
      </c>
      <c r="I943" s="4" t="s">
        <v>125</v>
      </c>
      <c r="Q943" s="9">
        <v>0</v>
      </c>
      <c r="T943" s="11">
        <v>1</v>
      </c>
      <c r="Z943" s="9">
        <v>0</v>
      </c>
      <c r="AF943" s="11">
        <v>0</v>
      </c>
      <c r="AI943" s="11">
        <v>1</v>
      </c>
    </row>
    <row r="944" spans="1:35" x14ac:dyDescent="0.25">
      <c r="A944" s="161" t="str">
        <f t="shared" si="17"/>
        <v>LONGSWORDSMAN_FRANCE</v>
      </c>
      <c r="B944" s="9" t="s">
        <v>109</v>
      </c>
      <c r="C944" s="4" t="s">
        <v>715</v>
      </c>
      <c r="E944" s="4" t="s">
        <v>109</v>
      </c>
      <c r="F944" s="4" t="s">
        <v>109</v>
      </c>
      <c r="G944" s="4" t="s">
        <v>2047</v>
      </c>
      <c r="H944" s="4" t="s">
        <v>877</v>
      </c>
      <c r="I944" s="4" t="s">
        <v>102</v>
      </c>
      <c r="Q944" s="9">
        <v>3</v>
      </c>
      <c r="T944" s="11">
        <v>2</v>
      </c>
      <c r="Z944" s="9">
        <v>1</v>
      </c>
      <c r="AF944" s="11">
        <v>1</v>
      </c>
      <c r="AI944" s="11">
        <v>2</v>
      </c>
    </row>
    <row r="945" spans="1:35" x14ac:dyDescent="0.25">
      <c r="A945" s="161" t="str">
        <f t="shared" si="17"/>
        <v>LONGSWORDSMAN_FRANCE</v>
      </c>
      <c r="B945" s="9" t="s">
        <v>109</v>
      </c>
      <c r="C945" s="4" t="s">
        <v>715</v>
      </c>
      <c r="E945" s="4" t="s">
        <v>109</v>
      </c>
      <c r="F945" s="4" t="s">
        <v>109</v>
      </c>
      <c r="G945" s="4" t="s">
        <v>2049</v>
      </c>
      <c r="H945" s="4" t="s">
        <v>878</v>
      </c>
      <c r="I945" s="4" t="s">
        <v>122</v>
      </c>
      <c r="Q945" s="9">
        <v>2</v>
      </c>
      <c r="T945" s="11">
        <v>3</v>
      </c>
      <c r="Z945" s="9">
        <v>0</v>
      </c>
      <c r="AF945" s="11">
        <v>1</v>
      </c>
      <c r="AI945" s="11">
        <v>3</v>
      </c>
    </row>
    <row r="946" spans="1:35" x14ac:dyDescent="0.25">
      <c r="A946" s="161" t="str">
        <f t="shared" si="17"/>
        <v>LONGSWORDSMAN_FRANCE</v>
      </c>
      <c r="B946" s="9" t="s">
        <v>109</v>
      </c>
      <c r="C946" s="4" t="s">
        <v>715</v>
      </c>
      <c r="E946" s="4" t="s">
        <v>109</v>
      </c>
      <c r="F946" s="4" t="s">
        <v>109</v>
      </c>
      <c r="G946" s="4" t="s">
        <v>2048</v>
      </c>
      <c r="H946" s="4" t="s">
        <v>350</v>
      </c>
      <c r="I946" s="4" t="s">
        <v>122</v>
      </c>
      <c r="Q946" s="9">
        <v>1</v>
      </c>
      <c r="T946" s="11">
        <v>2</v>
      </c>
      <c r="Z946" s="9">
        <v>0</v>
      </c>
      <c r="AF946" s="11">
        <v>1</v>
      </c>
      <c r="AI946" s="11">
        <v>2</v>
      </c>
    </row>
    <row r="947" spans="1:35" x14ac:dyDescent="0.25">
      <c r="A947" s="161" t="str">
        <f t="shared" si="17"/>
        <v>LONGSWORDSMAN_FRANCE</v>
      </c>
      <c r="B947" s="9" t="s">
        <v>109</v>
      </c>
      <c r="C947" s="4" t="s">
        <v>715</v>
      </c>
      <c r="E947" s="4" t="s">
        <v>109</v>
      </c>
      <c r="F947" s="4" t="s">
        <v>109</v>
      </c>
      <c r="H947" s="4" t="s">
        <v>876</v>
      </c>
      <c r="I947" s="4" t="s">
        <v>125</v>
      </c>
      <c r="Q947" s="9">
        <v>0</v>
      </c>
      <c r="T947" s="11">
        <v>1</v>
      </c>
      <c r="Z947" s="9">
        <v>0</v>
      </c>
      <c r="AF947" s="11">
        <v>0</v>
      </c>
      <c r="AI947" s="11">
        <v>1</v>
      </c>
    </row>
    <row r="948" spans="1:35" x14ac:dyDescent="0.25">
      <c r="A948" s="161" t="str">
        <f t="shared" ref="A948:A1007" si="18">CONCATENATE(E948,IF(ISBLANK(C948),"",CONCATENATE("_",C948)))</f>
        <v>LONGSWORDSMAN_FRANCE</v>
      </c>
      <c r="B948" s="9" t="s">
        <v>109</v>
      </c>
      <c r="C948" s="4" t="s">
        <v>715</v>
      </c>
      <c r="E948" s="4" t="s">
        <v>109</v>
      </c>
      <c r="F948" s="4" t="s">
        <v>109</v>
      </c>
      <c r="G948" s="4" t="s">
        <v>2047</v>
      </c>
      <c r="H948" s="4" t="s">
        <v>877</v>
      </c>
      <c r="I948" s="4" t="s">
        <v>102</v>
      </c>
      <c r="Q948" s="9">
        <v>3</v>
      </c>
      <c r="T948" s="11">
        <v>2</v>
      </c>
      <c r="Z948" s="9">
        <v>0</v>
      </c>
      <c r="AF948" s="11">
        <v>0</v>
      </c>
      <c r="AI948" s="11">
        <v>2</v>
      </c>
    </row>
    <row r="949" spans="1:35" x14ac:dyDescent="0.25">
      <c r="A949" s="161" t="str">
        <f t="shared" si="18"/>
        <v>LONGSWORDSMAN_FRANCE</v>
      </c>
      <c r="B949" s="9" t="s">
        <v>109</v>
      </c>
      <c r="C949" s="4" t="s">
        <v>715</v>
      </c>
      <c r="E949" s="4" t="s">
        <v>109</v>
      </c>
      <c r="F949" s="4" t="s">
        <v>109</v>
      </c>
      <c r="G949" s="4" t="s">
        <v>2049</v>
      </c>
      <c r="H949" s="4" t="s">
        <v>878</v>
      </c>
      <c r="I949" s="4" t="s">
        <v>122</v>
      </c>
      <c r="Q949" s="9">
        <v>1</v>
      </c>
      <c r="T949" s="11">
        <v>2</v>
      </c>
      <c r="Z949" s="9">
        <v>0</v>
      </c>
      <c r="AF949" s="11">
        <v>0</v>
      </c>
      <c r="AI949" s="11">
        <v>2</v>
      </c>
    </row>
    <row r="950" spans="1:35" x14ac:dyDescent="0.25">
      <c r="A950" s="161" t="str">
        <f t="shared" si="18"/>
        <v>LONGSWORDSMAN_FRANCE</v>
      </c>
      <c r="B950" s="9" t="s">
        <v>109</v>
      </c>
      <c r="C950" s="4" t="s">
        <v>715</v>
      </c>
      <c r="E950" s="4" t="s">
        <v>109</v>
      </c>
      <c r="F950" s="4" t="s">
        <v>109</v>
      </c>
      <c r="G950" s="4" t="s">
        <v>2048</v>
      </c>
      <c r="H950" s="4" t="s">
        <v>350</v>
      </c>
      <c r="I950" s="4" t="s">
        <v>122</v>
      </c>
      <c r="Q950" s="9">
        <v>2</v>
      </c>
      <c r="T950" s="11">
        <v>3</v>
      </c>
      <c r="Z950" s="9">
        <v>0</v>
      </c>
      <c r="AF950" s="11">
        <v>0</v>
      </c>
      <c r="AI950" s="11">
        <v>3</v>
      </c>
    </row>
    <row r="951" spans="1:35" x14ac:dyDescent="0.25">
      <c r="A951" s="161" t="str">
        <f t="shared" si="18"/>
        <v>LONGSWORDSMAN_GERMANY</v>
      </c>
      <c r="B951" s="9" t="s">
        <v>109</v>
      </c>
      <c r="C951" s="4" t="s">
        <v>717</v>
      </c>
      <c r="E951" s="4" t="s">
        <v>109</v>
      </c>
      <c r="F951" s="4" t="s">
        <v>109</v>
      </c>
      <c r="H951" s="4" t="s">
        <v>893</v>
      </c>
      <c r="I951" s="4" t="s">
        <v>102</v>
      </c>
      <c r="Q951" s="9">
        <v>1</v>
      </c>
      <c r="T951" s="11">
        <v>1</v>
      </c>
      <c r="Z951" s="9">
        <v>1</v>
      </c>
      <c r="AF951" s="11">
        <v>1</v>
      </c>
      <c r="AI951" s="11">
        <v>1</v>
      </c>
    </row>
    <row r="952" spans="1:35" x14ac:dyDescent="0.25">
      <c r="A952" s="161" t="str">
        <f t="shared" si="18"/>
        <v>LONGSWORDSMAN_GERMANY</v>
      </c>
      <c r="B952" s="9" t="s">
        <v>109</v>
      </c>
      <c r="C952" s="4" t="s">
        <v>717</v>
      </c>
      <c r="E952" s="4" t="s">
        <v>109</v>
      </c>
      <c r="F952" s="4" t="s">
        <v>109</v>
      </c>
      <c r="G952" s="4" t="s">
        <v>2047</v>
      </c>
      <c r="H952" s="4" t="s">
        <v>894</v>
      </c>
      <c r="I952" s="4" t="s">
        <v>122</v>
      </c>
      <c r="Q952" s="9">
        <v>1</v>
      </c>
      <c r="T952" s="11">
        <v>1</v>
      </c>
      <c r="Z952" s="9">
        <v>0</v>
      </c>
      <c r="AF952" s="11">
        <v>1</v>
      </c>
      <c r="AI952" s="11">
        <v>1</v>
      </c>
    </row>
    <row r="953" spans="1:35" x14ac:dyDescent="0.25">
      <c r="A953" s="161" t="str">
        <f t="shared" si="18"/>
        <v>LONGSWORDSMAN_GERMANY</v>
      </c>
      <c r="B953" s="9" t="s">
        <v>109</v>
      </c>
      <c r="C953" s="4" t="s">
        <v>717</v>
      </c>
      <c r="E953" s="4" t="s">
        <v>109</v>
      </c>
      <c r="F953" s="4" t="s">
        <v>109</v>
      </c>
      <c r="G953" s="4" t="s">
        <v>2049</v>
      </c>
      <c r="H953" s="4" t="s">
        <v>895</v>
      </c>
      <c r="I953" s="4" t="s">
        <v>122</v>
      </c>
      <c r="Q953" s="9">
        <v>1</v>
      </c>
      <c r="T953" s="11">
        <v>1</v>
      </c>
      <c r="Z953" s="9">
        <v>0</v>
      </c>
      <c r="AF953" s="11">
        <v>0</v>
      </c>
      <c r="AI953" s="11">
        <v>1</v>
      </c>
    </row>
    <row r="954" spans="1:35" x14ac:dyDescent="0.25">
      <c r="A954" s="161" t="str">
        <f t="shared" si="18"/>
        <v>LONGSWORDSMAN_GERMANY</v>
      </c>
      <c r="B954" s="9" t="s">
        <v>109</v>
      </c>
      <c r="C954" s="4" t="s">
        <v>717</v>
      </c>
      <c r="E954" s="4" t="s">
        <v>109</v>
      </c>
      <c r="F954" s="4" t="s">
        <v>109</v>
      </c>
      <c r="G954" s="4" t="s">
        <v>2048</v>
      </c>
      <c r="H954" s="4" t="s">
        <v>896</v>
      </c>
      <c r="I954" s="4" t="s">
        <v>122</v>
      </c>
      <c r="Q954" s="9">
        <v>1</v>
      </c>
      <c r="T954" s="11">
        <v>1</v>
      </c>
      <c r="Z954" s="9">
        <v>0</v>
      </c>
      <c r="AF954" s="11">
        <v>0</v>
      </c>
      <c r="AI954" s="11">
        <v>1</v>
      </c>
    </row>
    <row r="955" spans="1:35" x14ac:dyDescent="0.25">
      <c r="A955" s="161" t="str">
        <f t="shared" si="18"/>
        <v>LONGSWORDSMAN_GERMANY</v>
      </c>
      <c r="B955" s="9" t="s">
        <v>109</v>
      </c>
      <c r="C955" s="4" t="s">
        <v>717</v>
      </c>
      <c r="E955" s="4" t="s">
        <v>109</v>
      </c>
      <c r="F955" s="4" t="s">
        <v>109</v>
      </c>
      <c r="G955" s="4" t="s">
        <v>2058</v>
      </c>
      <c r="H955" s="4" t="s">
        <v>897</v>
      </c>
      <c r="I955" s="4" t="s">
        <v>122</v>
      </c>
      <c r="Q955" s="9">
        <v>2</v>
      </c>
      <c r="T955" s="11">
        <v>2</v>
      </c>
      <c r="Z955" s="9">
        <v>0</v>
      </c>
      <c r="AF955" s="11">
        <v>1</v>
      </c>
      <c r="AI955" s="11">
        <v>1</v>
      </c>
    </row>
    <row r="956" spans="1:35" x14ac:dyDescent="0.25">
      <c r="A956" s="161" t="str">
        <f t="shared" si="18"/>
        <v>LONGSWORDSMAN_GERMANY</v>
      </c>
      <c r="B956" s="9" t="s">
        <v>109</v>
      </c>
      <c r="C956" s="4" t="s">
        <v>717</v>
      </c>
      <c r="E956" s="4" t="s">
        <v>109</v>
      </c>
      <c r="F956" s="4" t="s">
        <v>109</v>
      </c>
      <c r="G956" s="4" t="s">
        <v>2059</v>
      </c>
      <c r="H956" s="4" t="s">
        <v>898</v>
      </c>
      <c r="I956" s="4" t="s">
        <v>122</v>
      </c>
      <c r="Q956" s="9">
        <v>1</v>
      </c>
      <c r="T956" s="11">
        <v>1</v>
      </c>
      <c r="Z956" s="9">
        <v>0</v>
      </c>
      <c r="AF956" s="11">
        <v>0</v>
      </c>
      <c r="AI956" s="11">
        <v>1</v>
      </c>
    </row>
    <row r="957" spans="1:35" x14ac:dyDescent="0.25">
      <c r="A957" s="161" t="str">
        <f t="shared" si="18"/>
        <v>LONGSWORDSMAN_GERMANY</v>
      </c>
      <c r="B957" s="9" t="s">
        <v>109</v>
      </c>
      <c r="C957" s="4" t="s">
        <v>717</v>
      </c>
      <c r="E957" s="4" t="s">
        <v>109</v>
      </c>
      <c r="F957" s="4" t="s">
        <v>109</v>
      </c>
      <c r="G957" s="4" t="s">
        <v>2060</v>
      </c>
      <c r="H957" s="4" t="s">
        <v>381</v>
      </c>
      <c r="I957" s="4" t="s">
        <v>967</v>
      </c>
      <c r="Q957" s="9">
        <v>1</v>
      </c>
      <c r="T957" s="11">
        <v>1</v>
      </c>
      <c r="Z957" s="9">
        <v>0</v>
      </c>
      <c r="AF957" s="11">
        <v>0</v>
      </c>
      <c r="AI957" s="11">
        <v>1</v>
      </c>
    </row>
    <row r="958" spans="1:35" x14ac:dyDescent="0.25">
      <c r="A958" s="161" t="str">
        <f t="shared" si="18"/>
        <v>LONGSWORDSMAN_GERMANY</v>
      </c>
      <c r="B958" s="9" t="s">
        <v>109</v>
      </c>
      <c r="C958" s="4" t="s">
        <v>717</v>
      </c>
      <c r="E958" s="4" t="s">
        <v>109</v>
      </c>
      <c r="F958" s="4" t="s">
        <v>109</v>
      </c>
      <c r="H958" s="4" t="s">
        <v>893</v>
      </c>
      <c r="I958" s="4" t="s">
        <v>102</v>
      </c>
      <c r="Q958" s="9">
        <v>1</v>
      </c>
      <c r="T958" s="11">
        <v>1</v>
      </c>
      <c r="Z958" s="9">
        <v>0</v>
      </c>
      <c r="AF958" s="11">
        <v>0</v>
      </c>
      <c r="AI958" s="11">
        <v>0</v>
      </c>
    </row>
    <row r="959" spans="1:35" x14ac:dyDescent="0.25">
      <c r="A959" s="161" t="str">
        <f t="shared" si="18"/>
        <v>LONGSWORDSMAN_GERMANY</v>
      </c>
      <c r="B959" s="9" t="s">
        <v>109</v>
      </c>
      <c r="C959" s="4" t="s">
        <v>717</v>
      </c>
      <c r="E959" s="4" t="s">
        <v>109</v>
      </c>
      <c r="F959" s="4" t="s">
        <v>109</v>
      </c>
      <c r="G959" s="4" t="s">
        <v>2047</v>
      </c>
      <c r="H959" s="4" t="s">
        <v>894</v>
      </c>
      <c r="I959" s="4" t="s">
        <v>122</v>
      </c>
      <c r="Q959" s="9">
        <v>1</v>
      </c>
      <c r="T959" s="11">
        <v>1</v>
      </c>
      <c r="Z959" s="9">
        <v>0</v>
      </c>
      <c r="AF959" s="11">
        <v>0</v>
      </c>
      <c r="AI959" s="11">
        <v>0</v>
      </c>
    </row>
    <row r="960" spans="1:35" x14ac:dyDescent="0.25">
      <c r="A960" s="161" t="str">
        <f t="shared" si="18"/>
        <v>LONGSWORDSMAN_GERMANY</v>
      </c>
      <c r="B960" s="9" t="s">
        <v>109</v>
      </c>
      <c r="C960" s="4" t="s">
        <v>717</v>
      </c>
      <c r="E960" s="4" t="s">
        <v>109</v>
      </c>
      <c r="F960" s="4" t="s">
        <v>109</v>
      </c>
      <c r="G960" s="4" t="s">
        <v>2049</v>
      </c>
      <c r="H960" s="4" t="s">
        <v>895</v>
      </c>
      <c r="I960" s="4" t="s">
        <v>122</v>
      </c>
      <c r="Q960" s="9">
        <v>1</v>
      </c>
      <c r="T960" s="11">
        <v>1</v>
      </c>
      <c r="Z960" s="9">
        <v>0</v>
      </c>
      <c r="AF960" s="11">
        <v>0</v>
      </c>
      <c r="AI960" s="11">
        <v>0</v>
      </c>
    </row>
    <row r="961" spans="1:35" x14ac:dyDescent="0.25">
      <c r="A961" s="161" t="str">
        <f t="shared" si="18"/>
        <v>LONGSWORDSMAN_GERMANY</v>
      </c>
      <c r="B961" s="9" t="s">
        <v>109</v>
      </c>
      <c r="C961" s="4" t="s">
        <v>717</v>
      </c>
      <c r="E961" s="4" t="s">
        <v>109</v>
      </c>
      <c r="F961" s="4" t="s">
        <v>109</v>
      </c>
      <c r="G961" s="4" t="s">
        <v>2048</v>
      </c>
      <c r="H961" s="4" t="s">
        <v>896</v>
      </c>
      <c r="I961" s="4" t="s">
        <v>122</v>
      </c>
      <c r="Q961" s="9">
        <v>1</v>
      </c>
      <c r="T961" s="11">
        <v>1</v>
      </c>
      <c r="Z961" s="9">
        <v>0</v>
      </c>
      <c r="AF961" s="11">
        <v>0</v>
      </c>
      <c r="AI961" s="11">
        <v>0</v>
      </c>
    </row>
    <row r="962" spans="1:35" x14ac:dyDescent="0.25">
      <c r="A962" s="161" t="str">
        <f t="shared" si="18"/>
        <v>LONGSWORDSMAN_GERMANY</v>
      </c>
      <c r="B962" s="9" t="s">
        <v>109</v>
      </c>
      <c r="C962" s="4" t="s">
        <v>717</v>
      </c>
      <c r="E962" s="4" t="s">
        <v>109</v>
      </c>
      <c r="F962" s="4" t="s">
        <v>109</v>
      </c>
      <c r="G962" s="4" t="s">
        <v>2058</v>
      </c>
      <c r="H962" s="4" t="s">
        <v>897</v>
      </c>
      <c r="I962" s="4" t="s">
        <v>122</v>
      </c>
      <c r="Q962" s="9">
        <v>1</v>
      </c>
      <c r="T962" s="11">
        <v>2</v>
      </c>
      <c r="Z962" s="9">
        <v>0</v>
      </c>
      <c r="AF962" s="11">
        <v>0</v>
      </c>
      <c r="AI962" s="11">
        <v>0</v>
      </c>
    </row>
    <row r="963" spans="1:35" x14ac:dyDescent="0.25">
      <c r="A963" s="161" t="str">
        <f t="shared" si="18"/>
        <v>LONGSWORDSMAN_GERMANY</v>
      </c>
      <c r="B963" s="9" t="s">
        <v>109</v>
      </c>
      <c r="C963" s="4" t="s">
        <v>717</v>
      </c>
      <c r="E963" s="4" t="s">
        <v>109</v>
      </c>
      <c r="F963" s="4" t="s">
        <v>109</v>
      </c>
      <c r="G963" s="4" t="s">
        <v>2059</v>
      </c>
      <c r="H963" s="4" t="s">
        <v>898</v>
      </c>
      <c r="I963" s="4" t="s">
        <v>122</v>
      </c>
      <c r="Q963" s="9">
        <v>0</v>
      </c>
      <c r="T963" s="11">
        <v>1</v>
      </c>
      <c r="Z963" s="9">
        <v>0</v>
      </c>
      <c r="AF963" s="11">
        <v>0</v>
      </c>
      <c r="AI963" s="11">
        <v>0</v>
      </c>
    </row>
    <row r="964" spans="1:35" x14ac:dyDescent="0.25">
      <c r="A964" s="161" t="str">
        <f t="shared" si="18"/>
        <v>LONGSWORDSMAN_GERMANY</v>
      </c>
      <c r="B964" s="9" t="s">
        <v>109</v>
      </c>
      <c r="C964" s="4" t="s">
        <v>717</v>
      </c>
      <c r="E964" s="4" t="s">
        <v>109</v>
      </c>
      <c r="F964" s="4" t="s">
        <v>109</v>
      </c>
      <c r="G964" s="4" t="s">
        <v>2060</v>
      </c>
      <c r="H964" s="4" t="s">
        <v>381</v>
      </c>
      <c r="I964" s="4" t="s">
        <v>967</v>
      </c>
      <c r="Q964" s="9">
        <v>0</v>
      </c>
      <c r="T964" s="11">
        <v>1</v>
      </c>
      <c r="Z964" s="9">
        <v>0</v>
      </c>
      <c r="AF964" s="11">
        <v>0</v>
      </c>
      <c r="AI964" s="11">
        <v>0</v>
      </c>
    </row>
    <row r="965" spans="1:35" x14ac:dyDescent="0.25">
      <c r="A965" s="161" t="str">
        <f t="shared" si="18"/>
        <v>LONGSWORDSMAN_SWISS</v>
      </c>
      <c r="B965" s="9" t="s">
        <v>109</v>
      </c>
      <c r="C965" s="4" t="s">
        <v>740</v>
      </c>
      <c r="E965" s="4" t="s">
        <v>109</v>
      </c>
      <c r="F965" s="4" t="s">
        <v>109</v>
      </c>
      <c r="H965" s="4" t="s">
        <v>1243</v>
      </c>
      <c r="I965" s="4" t="s">
        <v>1244</v>
      </c>
    </row>
    <row r="966" spans="1:35" x14ac:dyDescent="0.25">
      <c r="A966" s="161" t="str">
        <f t="shared" si="18"/>
        <v>LONGSWORDSMAN_MED</v>
      </c>
      <c r="B966" s="9" t="s">
        <v>109</v>
      </c>
      <c r="C966" s="4" t="s">
        <v>692</v>
      </c>
      <c r="E966" s="4" t="s">
        <v>109</v>
      </c>
      <c r="F966" s="4" t="s">
        <v>109</v>
      </c>
      <c r="H966" s="4" t="s">
        <v>657</v>
      </c>
      <c r="I966" s="4" t="s">
        <v>122</v>
      </c>
    </row>
    <row r="967" spans="1:35" x14ac:dyDescent="0.25">
      <c r="A967" s="161" t="str">
        <f t="shared" si="18"/>
        <v>LONGSWORDSMAN_BYZANTIUM</v>
      </c>
      <c r="B967" s="9" t="s">
        <v>109</v>
      </c>
      <c r="C967" s="4" t="s">
        <v>707</v>
      </c>
      <c r="E967" s="4" t="s">
        <v>109</v>
      </c>
      <c r="F967" s="4" t="s">
        <v>109</v>
      </c>
      <c r="H967" s="4" t="s">
        <v>819</v>
      </c>
      <c r="I967" s="4" t="s">
        <v>122</v>
      </c>
      <c r="Q967" s="9">
        <v>3</v>
      </c>
      <c r="T967" s="11">
        <v>3</v>
      </c>
      <c r="Z967" s="9">
        <v>1</v>
      </c>
      <c r="AF967" s="11">
        <v>1</v>
      </c>
      <c r="AI967" s="11">
        <v>2</v>
      </c>
    </row>
    <row r="968" spans="1:35" x14ac:dyDescent="0.25">
      <c r="A968" s="161" t="str">
        <f t="shared" si="18"/>
        <v>LONGSWORDSMAN_BYZANTIUM</v>
      </c>
      <c r="B968" s="9" t="s">
        <v>109</v>
      </c>
      <c r="C968" s="4" t="s">
        <v>707</v>
      </c>
      <c r="E968" s="4" t="s">
        <v>109</v>
      </c>
      <c r="F968" s="4" t="s">
        <v>109</v>
      </c>
      <c r="G968" s="4" t="s">
        <v>2047</v>
      </c>
      <c r="H968" s="4" t="s">
        <v>226</v>
      </c>
      <c r="I968" s="4" t="s">
        <v>122</v>
      </c>
      <c r="Q968" s="9">
        <v>3</v>
      </c>
      <c r="T968" s="11">
        <v>5</v>
      </c>
      <c r="Z968" s="9">
        <v>0</v>
      </c>
      <c r="AF968" s="11">
        <v>1</v>
      </c>
      <c r="AI968" s="11">
        <v>1</v>
      </c>
    </row>
    <row r="969" spans="1:35" x14ac:dyDescent="0.25">
      <c r="A969" s="161" t="str">
        <f t="shared" si="18"/>
        <v>LONGSWORDSMAN_BYZANTIUM</v>
      </c>
      <c r="B969" s="9" t="s">
        <v>109</v>
      </c>
      <c r="C969" s="4" t="s">
        <v>707</v>
      </c>
      <c r="E969" s="4" t="s">
        <v>109</v>
      </c>
      <c r="F969" s="4" t="s">
        <v>109</v>
      </c>
      <c r="H969" s="4" t="s">
        <v>819</v>
      </c>
      <c r="I969" s="4" t="s">
        <v>122</v>
      </c>
      <c r="Q969" s="9">
        <v>3</v>
      </c>
      <c r="T969" s="11">
        <v>5</v>
      </c>
      <c r="Z969" s="9">
        <v>0</v>
      </c>
      <c r="AF969" s="11">
        <v>1</v>
      </c>
      <c r="AI969" s="11">
        <v>2</v>
      </c>
    </row>
    <row r="970" spans="1:35" x14ac:dyDescent="0.25">
      <c r="A970" s="161" t="str">
        <f t="shared" si="18"/>
        <v>LONGSWORDSMAN_BYZANTIUM</v>
      </c>
      <c r="B970" s="9" t="s">
        <v>109</v>
      </c>
      <c r="C970" s="4" t="s">
        <v>707</v>
      </c>
      <c r="E970" s="4" t="s">
        <v>109</v>
      </c>
      <c r="F970" s="4" t="s">
        <v>109</v>
      </c>
      <c r="G970" s="4" t="s">
        <v>2047</v>
      </c>
      <c r="H970" s="4" t="s">
        <v>226</v>
      </c>
      <c r="I970" s="4" t="s">
        <v>122</v>
      </c>
      <c r="Q970" s="9">
        <v>3</v>
      </c>
      <c r="T970" s="11">
        <v>3</v>
      </c>
      <c r="Z970" s="9">
        <v>0</v>
      </c>
      <c r="AF970" s="11">
        <v>0</v>
      </c>
      <c r="AI970" s="11">
        <v>2</v>
      </c>
    </row>
    <row r="971" spans="1:35" x14ac:dyDescent="0.25">
      <c r="A971" s="161" t="str">
        <f t="shared" si="18"/>
        <v>LONGSWORDSMAN_GREECE</v>
      </c>
      <c r="B971" s="9" t="s">
        <v>109</v>
      </c>
      <c r="C971" s="4" t="s">
        <v>718</v>
      </c>
      <c r="E971" s="4" t="s">
        <v>109</v>
      </c>
      <c r="F971" s="4" t="s">
        <v>109</v>
      </c>
      <c r="G971" s="14" t="s">
        <v>132</v>
      </c>
      <c r="H971" s="4" t="s">
        <v>407</v>
      </c>
      <c r="I971" s="4" t="s">
        <v>102</v>
      </c>
      <c r="Q971" s="9"/>
    </row>
    <row r="972" spans="1:35" x14ac:dyDescent="0.25">
      <c r="A972" s="161" t="str">
        <f t="shared" si="18"/>
        <v>LONGSWORDSMAN_PORTUGAL</v>
      </c>
      <c r="B972" s="9" t="s">
        <v>109</v>
      </c>
      <c r="C972" s="4" t="s">
        <v>733</v>
      </c>
      <c r="E972" s="4" t="s">
        <v>109</v>
      </c>
      <c r="F972" s="4" t="s">
        <v>109</v>
      </c>
      <c r="G972" s="14" t="s">
        <v>132</v>
      </c>
      <c r="H972" s="4" t="s">
        <v>579</v>
      </c>
      <c r="I972" s="4" t="s">
        <v>122</v>
      </c>
    </row>
    <row r="973" spans="1:35" x14ac:dyDescent="0.25">
      <c r="A973" s="161" t="str">
        <f t="shared" si="18"/>
        <v>LONGSWORDSMAN_ROME</v>
      </c>
      <c r="B973" s="9" t="s">
        <v>109</v>
      </c>
      <c r="C973" s="4" t="s">
        <v>734</v>
      </c>
      <c r="E973" s="4" t="s">
        <v>109</v>
      </c>
      <c r="F973" s="4" t="s">
        <v>109</v>
      </c>
      <c r="G973" s="14" t="s">
        <v>132</v>
      </c>
      <c r="H973" s="4" t="s">
        <v>593</v>
      </c>
      <c r="I973" s="4" t="s">
        <v>102</v>
      </c>
    </row>
    <row r="974" spans="1:35" x14ac:dyDescent="0.25">
      <c r="A974" s="161" t="str">
        <f t="shared" si="18"/>
        <v>LONGSWORDSMAN_SPAIN</v>
      </c>
      <c r="B974" s="9" t="s">
        <v>109</v>
      </c>
      <c r="C974" s="4" t="s">
        <v>738</v>
      </c>
      <c r="E974" s="4" t="s">
        <v>109</v>
      </c>
      <c r="F974" s="4" t="s">
        <v>109</v>
      </c>
      <c r="H974" s="4" t="s">
        <v>1016</v>
      </c>
      <c r="I974" s="4" t="s">
        <v>122</v>
      </c>
      <c r="Q974" s="11">
        <v>3</v>
      </c>
      <c r="T974" s="11">
        <v>3</v>
      </c>
      <c r="Z974" s="11">
        <v>1</v>
      </c>
      <c r="AF974" s="11">
        <v>1</v>
      </c>
      <c r="AI974" s="11">
        <v>2</v>
      </c>
    </row>
    <row r="975" spans="1:35" x14ac:dyDescent="0.25">
      <c r="A975" s="161" t="str">
        <f t="shared" si="18"/>
        <v>LONGSWORDSMAN_SPAIN</v>
      </c>
      <c r="B975" s="9" t="s">
        <v>109</v>
      </c>
      <c r="C975" s="4" t="s">
        <v>738</v>
      </c>
      <c r="E975" s="4" t="s">
        <v>109</v>
      </c>
      <c r="F975" s="4" t="s">
        <v>109</v>
      </c>
      <c r="G975" s="4" t="s">
        <v>2047</v>
      </c>
      <c r="H975" s="4" t="s">
        <v>657</v>
      </c>
      <c r="I975" s="4" t="s">
        <v>122</v>
      </c>
      <c r="Q975" s="11">
        <v>3</v>
      </c>
      <c r="T975" s="11">
        <v>5</v>
      </c>
      <c r="Z975" s="11">
        <v>0</v>
      </c>
      <c r="AF975" s="11">
        <v>1</v>
      </c>
      <c r="AI975" s="11">
        <v>1</v>
      </c>
    </row>
    <row r="976" spans="1:35" x14ac:dyDescent="0.25">
      <c r="A976" s="161" t="str">
        <f t="shared" si="18"/>
        <v>LONGSWORDSMAN_SPAIN</v>
      </c>
      <c r="B976" s="9" t="s">
        <v>109</v>
      </c>
      <c r="C976" s="4" t="s">
        <v>738</v>
      </c>
      <c r="E976" s="4" t="s">
        <v>109</v>
      </c>
      <c r="F976" s="4" t="s">
        <v>109</v>
      </c>
      <c r="H976" s="4" t="s">
        <v>1016</v>
      </c>
      <c r="I976" s="4" t="s">
        <v>122</v>
      </c>
      <c r="Q976" s="11">
        <v>3</v>
      </c>
      <c r="T976" s="11">
        <v>5</v>
      </c>
      <c r="Z976" s="11">
        <v>0</v>
      </c>
      <c r="AF976" s="11">
        <v>1</v>
      </c>
      <c r="AI976" s="11">
        <v>2</v>
      </c>
    </row>
    <row r="977" spans="1:35" x14ac:dyDescent="0.25">
      <c r="A977" s="161" t="str">
        <f t="shared" si="18"/>
        <v>LONGSWORDSMAN_SPAIN</v>
      </c>
      <c r="B977" s="9" t="s">
        <v>109</v>
      </c>
      <c r="C977" s="4" t="s">
        <v>738</v>
      </c>
      <c r="E977" s="4" t="s">
        <v>109</v>
      </c>
      <c r="F977" s="4" t="s">
        <v>109</v>
      </c>
      <c r="G977" s="4" t="s">
        <v>2047</v>
      </c>
      <c r="H977" s="4" t="s">
        <v>657</v>
      </c>
      <c r="I977" s="4" t="s">
        <v>122</v>
      </c>
      <c r="Q977" s="9">
        <v>3</v>
      </c>
      <c r="T977" s="11">
        <v>3</v>
      </c>
      <c r="Z977" s="9">
        <v>0</v>
      </c>
      <c r="AF977" s="11">
        <v>0</v>
      </c>
      <c r="AI977" s="11">
        <v>2</v>
      </c>
    </row>
    <row r="978" spans="1:35" x14ac:dyDescent="0.25">
      <c r="A978" s="161" t="str">
        <f t="shared" si="18"/>
        <v>LONGSWORDSMAN_VATICAN_CITY</v>
      </c>
      <c r="B978" s="9" t="s">
        <v>109</v>
      </c>
      <c r="C978" s="4" t="s">
        <v>741</v>
      </c>
      <c r="E978" s="4" t="s">
        <v>109</v>
      </c>
      <c r="F978" s="4" t="s">
        <v>109</v>
      </c>
      <c r="G978" s="14" t="s">
        <v>132</v>
      </c>
      <c r="H978" s="4" t="s">
        <v>681</v>
      </c>
      <c r="I978" s="4" t="s">
        <v>122</v>
      </c>
    </row>
    <row r="979" spans="1:35" x14ac:dyDescent="0.25">
      <c r="A979" s="161" t="str">
        <f t="shared" si="18"/>
        <v>LONGSWORDSMAN_MIDEAST</v>
      </c>
      <c r="B979" s="9" t="s">
        <v>109</v>
      </c>
      <c r="C979" s="4" t="s">
        <v>690</v>
      </c>
      <c r="E979" s="4" t="s">
        <v>109</v>
      </c>
      <c r="F979" s="4" t="s">
        <v>109</v>
      </c>
      <c r="H979" s="4" t="s">
        <v>164</v>
      </c>
      <c r="I979" s="4" t="s">
        <v>2098</v>
      </c>
    </row>
    <row r="980" spans="1:35" x14ac:dyDescent="0.25">
      <c r="A980" s="161" t="str">
        <f t="shared" si="18"/>
        <v>LONGSWORDSMAN_ARABIA</v>
      </c>
      <c r="B980" s="9" t="s">
        <v>109</v>
      </c>
      <c r="C980" s="4" t="s">
        <v>700</v>
      </c>
      <c r="D980" s="14" t="s">
        <v>690</v>
      </c>
      <c r="E980" s="4" t="s">
        <v>109</v>
      </c>
      <c r="F980" s="4" t="s">
        <v>109</v>
      </c>
      <c r="G980" s="14"/>
    </row>
    <row r="981" spans="1:35" x14ac:dyDescent="0.25">
      <c r="A981" s="161" t="str">
        <f t="shared" si="18"/>
        <v>LONGSWORDSMAN_BABYLON</v>
      </c>
      <c r="B981" s="9" t="s">
        <v>109</v>
      </c>
      <c r="C981" s="4" t="s">
        <v>703</v>
      </c>
      <c r="E981" s="4" t="s">
        <v>109</v>
      </c>
      <c r="F981" s="4" t="s">
        <v>109</v>
      </c>
      <c r="G981" s="14"/>
      <c r="H981" s="4" t="s">
        <v>212</v>
      </c>
      <c r="I981" s="4" t="s">
        <v>102</v>
      </c>
    </row>
    <row r="982" spans="1:35" x14ac:dyDescent="0.25">
      <c r="A982" s="161" t="str">
        <f t="shared" si="18"/>
        <v>LONGSWORDSMAN_EGYPT</v>
      </c>
      <c r="B982" s="9" t="s">
        <v>109</v>
      </c>
      <c r="C982" s="4" t="s">
        <v>712</v>
      </c>
      <c r="E982" s="4" t="s">
        <v>109</v>
      </c>
      <c r="F982" s="4" t="s">
        <v>109</v>
      </c>
      <c r="G982" s="14" t="s">
        <v>132</v>
      </c>
      <c r="H982" s="4" t="s">
        <v>283</v>
      </c>
      <c r="I982" s="4" t="s">
        <v>2098</v>
      </c>
    </row>
    <row r="983" spans="1:35" x14ac:dyDescent="0.25">
      <c r="A983" s="161" t="str">
        <f t="shared" si="18"/>
        <v>LONGSWORDSMAN_LEVANT</v>
      </c>
      <c r="B983" s="9" t="s">
        <v>109</v>
      </c>
      <c r="C983" s="4" t="s">
        <v>724</v>
      </c>
      <c r="E983" s="4" t="s">
        <v>109</v>
      </c>
      <c r="F983" s="4" t="s">
        <v>109</v>
      </c>
      <c r="G983" s="14" t="s">
        <v>132</v>
      </c>
      <c r="H983" s="4" t="s">
        <v>512</v>
      </c>
      <c r="I983" s="4" t="s">
        <v>102</v>
      </c>
    </row>
    <row r="984" spans="1:35" x14ac:dyDescent="0.25">
      <c r="A984" s="161" t="str">
        <f t="shared" si="18"/>
        <v>LONGSWORDSMAN_PERSIA</v>
      </c>
      <c r="B984" s="9" t="s">
        <v>109</v>
      </c>
      <c r="C984" s="4" t="s">
        <v>731</v>
      </c>
      <c r="E984" s="4" t="s">
        <v>109</v>
      </c>
      <c r="F984" s="4" t="s">
        <v>109</v>
      </c>
      <c r="G984" s="14" t="s">
        <v>132</v>
      </c>
      <c r="H984" s="4" t="s">
        <v>558</v>
      </c>
      <c r="I984" s="4" t="s">
        <v>102</v>
      </c>
    </row>
    <row r="985" spans="1:35" x14ac:dyDescent="0.25">
      <c r="A985" s="161" t="str">
        <f>CONCATENATE(E985,IF(ISBLANK(C985),"",CONCATENATE("_",C985)))</f>
        <v>LONGSWORDSMAN_NORTHAF</v>
      </c>
      <c r="B985" s="9" t="s">
        <v>109</v>
      </c>
      <c r="C985" s="4" t="s">
        <v>2011</v>
      </c>
      <c r="E985" s="4" t="s">
        <v>109</v>
      </c>
      <c r="F985" s="4" t="s">
        <v>109</v>
      </c>
      <c r="G985" s="14" t="s">
        <v>132</v>
      </c>
      <c r="H985" s="10" t="s">
        <v>641</v>
      </c>
      <c r="I985" s="10" t="s">
        <v>1819</v>
      </c>
    </row>
    <row r="986" spans="1:35" x14ac:dyDescent="0.25">
      <c r="A986" s="161" t="str">
        <f>CONCATENATE(E986,IF(ISBLANK(C986),"",CONCATENATE("_",C986)))</f>
        <v>LONGSWORDSMAN_MOROCCO</v>
      </c>
      <c r="B986" s="9" t="s">
        <v>109</v>
      </c>
      <c r="C986" s="4" t="s">
        <v>729</v>
      </c>
      <c r="E986" s="4" t="s">
        <v>109</v>
      </c>
      <c r="F986" s="4" t="s">
        <v>109</v>
      </c>
      <c r="G986" s="14" t="s">
        <v>132</v>
      </c>
      <c r="H986" s="4" t="s">
        <v>537</v>
      </c>
      <c r="I986" s="4" t="s">
        <v>1066</v>
      </c>
    </row>
    <row r="987" spans="1:35" x14ac:dyDescent="0.25">
      <c r="A987" s="161" t="str">
        <f t="shared" si="18"/>
        <v>LONGSWORDSMAN_NORTHEU</v>
      </c>
      <c r="B987" s="9" t="s">
        <v>109</v>
      </c>
      <c r="C987" s="4" t="s">
        <v>962</v>
      </c>
      <c r="E987" s="4" t="s">
        <v>109</v>
      </c>
      <c r="F987" s="4" t="s">
        <v>109</v>
      </c>
      <c r="H987" s="4" t="s">
        <v>837</v>
      </c>
      <c r="I987" s="4" t="s">
        <v>102</v>
      </c>
      <c r="Q987" s="11">
        <v>2</v>
      </c>
      <c r="T987" s="11">
        <v>3</v>
      </c>
      <c r="Z987" s="11">
        <v>1</v>
      </c>
      <c r="AF987" s="11">
        <v>1</v>
      </c>
      <c r="AI987" s="11">
        <v>1</v>
      </c>
    </row>
    <row r="988" spans="1:35" x14ac:dyDescent="0.25">
      <c r="A988" s="161" t="str">
        <f t="shared" si="18"/>
        <v>LONGSWORDSMAN_NORTHEU</v>
      </c>
      <c r="B988" s="9" t="s">
        <v>109</v>
      </c>
      <c r="C988" s="4" t="s">
        <v>962</v>
      </c>
      <c r="E988" s="4" t="s">
        <v>109</v>
      </c>
      <c r="F988" s="4" t="s">
        <v>109</v>
      </c>
      <c r="G988" s="4" t="s">
        <v>2047</v>
      </c>
      <c r="H988" s="4" t="s">
        <v>838</v>
      </c>
      <c r="I988" s="4" t="s">
        <v>102</v>
      </c>
      <c r="Q988" s="11">
        <v>2</v>
      </c>
      <c r="T988" s="11">
        <v>2</v>
      </c>
      <c r="Z988" s="11">
        <v>0</v>
      </c>
      <c r="AF988" s="11">
        <v>1</v>
      </c>
      <c r="AI988" s="11">
        <v>1</v>
      </c>
    </row>
    <row r="989" spans="1:35" x14ac:dyDescent="0.25">
      <c r="A989" s="161" t="str">
        <f t="shared" si="18"/>
        <v>LONGSWORDSMAN_NORTHEU</v>
      </c>
      <c r="B989" s="9" t="s">
        <v>109</v>
      </c>
      <c r="C989" s="4" t="s">
        <v>962</v>
      </c>
      <c r="E989" s="4" t="s">
        <v>109</v>
      </c>
      <c r="F989" s="4" t="s">
        <v>109</v>
      </c>
      <c r="G989" s="4" t="s">
        <v>2049</v>
      </c>
      <c r="H989" s="4" t="s">
        <v>269</v>
      </c>
      <c r="I989" s="4" t="s">
        <v>102</v>
      </c>
      <c r="Q989" s="11">
        <v>2</v>
      </c>
      <c r="T989" s="11">
        <v>3</v>
      </c>
      <c r="Z989" s="11">
        <v>0</v>
      </c>
      <c r="AF989" s="11">
        <v>1</v>
      </c>
      <c r="AI989" s="11">
        <v>1</v>
      </c>
    </row>
    <row r="990" spans="1:35" x14ac:dyDescent="0.25">
      <c r="A990" s="161" t="str">
        <f t="shared" si="18"/>
        <v>LONGSWORDSMAN_NORTHEU</v>
      </c>
      <c r="B990" s="9" t="s">
        <v>109</v>
      </c>
      <c r="C990" s="4" t="s">
        <v>962</v>
      </c>
      <c r="E990" s="4" t="s">
        <v>109</v>
      </c>
      <c r="F990" s="4" t="s">
        <v>109</v>
      </c>
      <c r="H990" s="4" t="s">
        <v>837</v>
      </c>
      <c r="I990" s="4" t="s">
        <v>102</v>
      </c>
      <c r="Q990" s="9">
        <v>2</v>
      </c>
      <c r="T990" s="11">
        <v>2</v>
      </c>
      <c r="Z990" s="9">
        <v>0</v>
      </c>
      <c r="AF990" s="11">
        <v>0</v>
      </c>
      <c r="AI990" s="11">
        <v>2</v>
      </c>
    </row>
    <row r="991" spans="1:35" x14ac:dyDescent="0.25">
      <c r="A991" s="161" t="str">
        <f t="shared" si="18"/>
        <v>LONGSWORDSMAN_NORTHEU</v>
      </c>
      <c r="B991" s="9" t="s">
        <v>109</v>
      </c>
      <c r="C991" s="4" t="s">
        <v>962</v>
      </c>
      <c r="E991" s="4" t="s">
        <v>109</v>
      </c>
      <c r="F991" s="4" t="s">
        <v>109</v>
      </c>
      <c r="G991" s="4" t="s">
        <v>2047</v>
      </c>
      <c r="H991" s="4" t="s">
        <v>838</v>
      </c>
      <c r="I991" s="4" t="s">
        <v>102</v>
      </c>
      <c r="Q991" s="9">
        <v>2</v>
      </c>
      <c r="T991" s="11">
        <v>3</v>
      </c>
      <c r="Z991" s="9">
        <v>0</v>
      </c>
      <c r="AF991" s="11">
        <v>0</v>
      </c>
      <c r="AI991" s="11">
        <v>1</v>
      </c>
    </row>
    <row r="992" spans="1:35" x14ac:dyDescent="0.25">
      <c r="A992" s="161" t="str">
        <f t="shared" si="18"/>
        <v>LONGSWORDSMAN_NORTHEU</v>
      </c>
      <c r="B992" s="9" t="s">
        <v>109</v>
      </c>
      <c r="C992" s="4" t="s">
        <v>962</v>
      </c>
      <c r="E992" s="4" t="s">
        <v>109</v>
      </c>
      <c r="F992" s="4" t="s">
        <v>109</v>
      </c>
      <c r="G992" s="4" t="s">
        <v>2049</v>
      </c>
      <c r="H992" s="4" t="s">
        <v>269</v>
      </c>
      <c r="I992" s="4" t="s">
        <v>102</v>
      </c>
      <c r="Q992" s="9">
        <v>2</v>
      </c>
      <c r="T992" s="11">
        <v>3</v>
      </c>
      <c r="Z992" s="9">
        <v>0</v>
      </c>
      <c r="AF992" s="11">
        <v>0</v>
      </c>
      <c r="AI992" s="11">
        <v>1</v>
      </c>
    </row>
    <row r="993" spans="1:43" x14ac:dyDescent="0.25">
      <c r="A993" s="161" t="str">
        <f t="shared" si="18"/>
        <v>LONGSWORDSMAN_OCEAN</v>
      </c>
      <c r="B993" s="9" t="s">
        <v>109</v>
      </c>
      <c r="C993" s="4" t="s">
        <v>994</v>
      </c>
      <c r="D993" s="4" t="s">
        <v>691</v>
      </c>
      <c r="E993" s="4" t="s">
        <v>109</v>
      </c>
      <c r="F993" s="4" t="s">
        <v>109</v>
      </c>
    </row>
    <row r="994" spans="1:43" x14ac:dyDescent="0.25">
      <c r="A994" s="161" t="str">
        <f t="shared" si="18"/>
        <v>LONGSWORDSMAN_SEASIA</v>
      </c>
      <c r="B994" s="9" t="s">
        <v>109</v>
      </c>
      <c r="C994" s="4" t="s">
        <v>696</v>
      </c>
      <c r="D994" s="4" t="s">
        <v>693</v>
      </c>
      <c r="E994" s="4" t="s">
        <v>109</v>
      </c>
      <c r="F994" s="4" t="s">
        <v>109</v>
      </c>
    </row>
    <row r="995" spans="1:43" x14ac:dyDescent="0.25">
      <c r="A995" s="161" t="str">
        <f t="shared" si="18"/>
        <v>LONGSWORDSMAN_SOUTHAM</v>
      </c>
      <c r="B995" s="9" t="s">
        <v>109</v>
      </c>
      <c r="C995" s="4" t="s">
        <v>691</v>
      </c>
      <c r="E995" s="4" t="s">
        <v>109</v>
      </c>
      <c r="F995" s="4" t="s">
        <v>109</v>
      </c>
      <c r="H995" s="4" t="s">
        <v>519</v>
      </c>
      <c r="I995" s="4" t="s">
        <v>102</v>
      </c>
    </row>
    <row r="996" spans="1:43" x14ac:dyDescent="0.25">
      <c r="A996" s="161" t="str">
        <f t="shared" si="18"/>
        <v>LONGSWORDSMAN_AZTEC</v>
      </c>
      <c r="B996" s="9" t="s">
        <v>109</v>
      </c>
      <c r="C996" s="4" t="s">
        <v>702</v>
      </c>
      <c r="E996" s="4" t="s">
        <v>109</v>
      </c>
      <c r="F996" s="4" t="s">
        <v>109</v>
      </c>
      <c r="G996" s="14"/>
      <c r="H996" s="4" t="s">
        <v>198</v>
      </c>
      <c r="I996" s="4" t="s">
        <v>102</v>
      </c>
    </row>
    <row r="997" spans="1:43" x14ac:dyDescent="0.25">
      <c r="A997" s="161" t="str">
        <f t="shared" si="18"/>
        <v>LONGSWORDSMAN_INCA</v>
      </c>
      <c r="B997" s="9" t="s">
        <v>109</v>
      </c>
      <c r="C997" s="4" t="s">
        <v>719</v>
      </c>
      <c r="E997" s="4" t="s">
        <v>109</v>
      </c>
      <c r="F997" s="4" t="s">
        <v>109</v>
      </c>
      <c r="H997" s="4" t="s">
        <v>929</v>
      </c>
      <c r="I997" s="4" t="s">
        <v>2098</v>
      </c>
    </row>
    <row r="998" spans="1:43" x14ac:dyDescent="0.25">
      <c r="A998" s="161" t="str">
        <f t="shared" si="18"/>
        <v>LONGSWORDSMAN_MAYA</v>
      </c>
      <c r="B998" s="9" t="s">
        <v>109</v>
      </c>
      <c r="C998" s="4" t="s">
        <v>725</v>
      </c>
      <c r="D998" s="4" t="s">
        <v>691</v>
      </c>
      <c r="E998" s="4" t="s">
        <v>109</v>
      </c>
      <c r="F998" s="4" t="s">
        <v>109</v>
      </c>
      <c r="G998" s="14" t="s">
        <v>132</v>
      </c>
    </row>
    <row r="999" spans="1:43" x14ac:dyDescent="0.25">
      <c r="A999" s="161" t="str">
        <f t="shared" si="18"/>
        <v>LONGSWORDSMAN_SOUTHAS</v>
      </c>
      <c r="B999" s="9" t="s">
        <v>109</v>
      </c>
      <c r="C999" s="4" t="s">
        <v>695</v>
      </c>
      <c r="E999" s="4" t="s">
        <v>109</v>
      </c>
      <c r="F999" s="4" t="s">
        <v>109</v>
      </c>
      <c r="H999" s="4" t="s">
        <v>845</v>
      </c>
      <c r="I999" s="4" t="s">
        <v>102</v>
      </c>
      <c r="Q999" s="9">
        <v>2</v>
      </c>
      <c r="T999" s="11">
        <v>3</v>
      </c>
      <c r="Z999" s="9">
        <v>1</v>
      </c>
      <c r="AF999" s="11">
        <v>1</v>
      </c>
      <c r="AI999" s="11">
        <v>1</v>
      </c>
    </row>
    <row r="1000" spans="1:43" x14ac:dyDescent="0.25">
      <c r="A1000" s="161" t="str">
        <f t="shared" si="18"/>
        <v>LONGSWORDSMAN_SOUTHAS</v>
      </c>
      <c r="B1000" s="9" t="s">
        <v>109</v>
      </c>
      <c r="C1000" s="4" t="s">
        <v>695</v>
      </c>
      <c r="E1000" s="4" t="s">
        <v>109</v>
      </c>
      <c r="F1000" s="4" t="s">
        <v>109</v>
      </c>
      <c r="G1000" s="4" t="s">
        <v>2047</v>
      </c>
      <c r="H1000" s="4" t="s">
        <v>437</v>
      </c>
      <c r="I1000" s="4" t="s">
        <v>102</v>
      </c>
      <c r="Q1000" s="9">
        <v>2</v>
      </c>
      <c r="T1000" s="11">
        <v>2</v>
      </c>
      <c r="Z1000" s="9">
        <v>0</v>
      </c>
      <c r="AF1000" s="11">
        <v>1</v>
      </c>
      <c r="AI1000" s="11">
        <v>1</v>
      </c>
    </row>
    <row r="1001" spans="1:43" x14ac:dyDescent="0.25">
      <c r="A1001" s="161" t="str">
        <f t="shared" si="18"/>
        <v>LONGSWORDSMAN_SOUTHAS</v>
      </c>
      <c r="B1001" s="9" t="s">
        <v>109</v>
      </c>
      <c r="C1001" s="4" t="s">
        <v>695</v>
      </c>
      <c r="E1001" s="4" t="s">
        <v>109</v>
      </c>
      <c r="F1001" s="4" t="s">
        <v>109</v>
      </c>
      <c r="H1001" s="4" t="s">
        <v>845</v>
      </c>
      <c r="I1001" s="4" t="s">
        <v>102</v>
      </c>
      <c r="Q1001" s="9">
        <v>3</v>
      </c>
      <c r="T1001" s="11">
        <v>3</v>
      </c>
      <c r="Z1001" s="9">
        <v>0</v>
      </c>
      <c r="AF1001" s="11">
        <v>1</v>
      </c>
      <c r="AI1001" s="11">
        <v>2</v>
      </c>
    </row>
    <row r="1002" spans="1:43" x14ac:dyDescent="0.25">
      <c r="A1002" s="161" t="str">
        <f t="shared" si="18"/>
        <v>LONGSWORDSMAN_SOUTHAS</v>
      </c>
      <c r="B1002" s="9" t="s">
        <v>109</v>
      </c>
      <c r="C1002" s="4" t="s">
        <v>695</v>
      </c>
      <c r="E1002" s="4" t="s">
        <v>109</v>
      </c>
      <c r="F1002" s="4" t="s">
        <v>109</v>
      </c>
      <c r="G1002" s="4" t="s">
        <v>2047</v>
      </c>
      <c r="H1002" s="4" t="s">
        <v>437</v>
      </c>
      <c r="I1002" s="4" t="s">
        <v>102</v>
      </c>
      <c r="Q1002" s="9">
        <v>2</v>
      </c>
      <c r="T1002" s="11">
        <v>2</v>
      </c>
      <c r="Z1002" s="9">
        <v>0</v>
      </c>
      <c r="AF1002" s="11">
        <v>0</v>
      </c>
      <c r="AI1002" s="11">
        <v>1</v>
      </c>
    </row>
    <row r="1003" spans="1:43" x14ac:dyDescent="0.25">
      <c r="A1003" s="161" t="str">
        <f t="shared" si="18"/>
        <v>LONGSWORDSMAN_SOUTHAS</v>
      </c>
      <c r="B1003" s="9" t="s">
        <v>109</v>
      </c>
      <c r="C1003" s="4" t="s">
        <v>695</v>
      </c>
      <c r="E1003" s="4" t="s">
        <v>109</v>
      </c>
      <c r="F1003" s="4" t="s">
        <v>109</v>
      </c>
      <c r="H1003" s="4" t="s">
        <v>845</v>
      </c>
      <c r="I1003" s="4" t="s">
        <v>102</v>
      </c>
      <c r="Q1003" s="9">
        <v>2</v>
      </c>
      <c r="T1003" s="11">
        <v>3</v>
      </c>
      <c r="Z1003" s="9">
        <v>0</v>
      </c>
      <c r="AF1003" s="11">
        <v>0</v>
      </c>
      <c r="AI1003" s="11">
        <v>1</v>
      </c>
    </row>
    <row r="1004" spans="1:43" x14ac:dyDescent="0.25">
      <c r="A1004" s="161" t="str">
        <f t="shared" si="18"/>
        <v>LONGSWORDSMAN_SOUTHAS</v>
      </c>
      <c r="B1004" s="9" t="s">
        <v>109</v>
      </c>
      <c r="C1004" s="4" t="s">
        <v>695</v>
      </c>
      <c r="E1004" s="4" t="s">
        <v>109</v>
      </c>
      <c r="F1004" s="4" t="s">
        <v>109</v>
      </c>
      <c r="G1004" s="4" t="s">
        <v>2047</v>
      </c>
      <c r="H1004" s="4" t="s">
        <v>437</v>
      </c>
      <c r="I1004" s="4" t="s">
        <v>102</v>
      </c>
      <c r="Q1004" s="9">
        <v>1</v>
      </c>
      <c r="T1004" s="11">
        <v>3</v>
      </c>
      <c r="Z1004" s="9">
        <v>0</v>
      </c>
      <c r="AF1004" s="11">
        <v>0</v>
      </c>
      <c r="AI1004" s="11">
        <v>1</v>
      </c>
    </row>
    <row r="1005" spans="1:43" x14ac:dyDescent="0.25">
      <c r="A1005" s="161" t="str">
        <f t="shared" si="18"/>
        <v>MACHINEGUN</v>
      </c>
      <c r="B1005" s="9" t="s">
        <v>2323</v>
      </c>
      <c r="C1005" s="5"/>
      <c r="D1005" s="5"/>
      <c r="E1005" s="5" t="s">
        <v>763</v>
      </c>
      <c r="F1005" s="5" t="s">
        <v>763</v>
      </c>
      <c r="G1005" s="5"/>
      <c r="H1005" s="5" t="s">
        <v>1488</v>
      </c>
      <c r="I1005" s="5" t="s">
        <v>128</v>
      </c>
      <c r="J1005" s="6"/>
      <c r="K1005" s="6"/>
      <c r="L1005" s="13" t="s">
        <v>1708</v>
      </c>
      <c r="M1005" s="8"/>
      <c r="N1005" s="5"/>
      <c r="O1005" s="5"/>
      <c r="P1005" s="5"/>
      <c r="Q1005" s="7">
        <v>3</v>
      </c>
      <c r="R1005" s="6" t="s">
        <v>1695</v>
      </c>
      <c r="S1005" s="13" t="s">
        <v>1611</v>
      </c>
      <c r="T1005" s="6"/>
      <c r="U1005" s="7" t="s">
        <v>1737</v>
      </c>
      <c r="V1005" s="5"/>
      <c r="W1005" s="6">
        <v>7</v>
      </c>
      <c r="X1005" s="6" t="s">
        <v>3</v>
      </c>
      <c r="Y1005" s="5"/>
      <c r="Z1005" s="7">
        <v>1</v>
      </c>
      <c r="AA1005" s="6"/>
      <c r="AB1005" s="5"/>
      <c r="AC1005" s="6"/>
      <c r="AD1005" s="6" t="s">
        <v>3</v>
      </c>
      <c r="AE1005" s="5"/>
      <c r="AF1005" s="6"/>
      <c r="AG1005" s="6"/>
      <c r="AH1005" s="5"/>
      <c r="AI1005" s="6"/>
      <c r="AJ1005" s="6"/>
      <c r="AK1005" s="5"/>
      <c r="AL1005" s="5"/>
      <c r="AM1005" s="5"/>
      <c r="AN1005" s="5"/>
      <c r="AO1005" s="5"/>
      <c r="AP1005" s="5"/>
      <c r="AQ1005" s="5"/>
    </row>
    <row r="1006" spans="1:43" x14ac:dyDescent="0.25">
      <c r="A1006" s="161" t="str">
        <f t="shared" si="18"/>
        <v>MARINE</v>
      </c>
      <c r="B1006" s="9" t="s">
        <v>764</v>
      </c>
      <c r="C1006" s="5"/>
      <c r="D1006" s="5"/>
      <c r="E1006" s="5" t="s">
        <v>764</v>
      </c>
      <c r="F1006" s="5" t="s">
        <v>764</v>
      </c>
      <c r="G1006" s="5"/>
      <c r="H1006" s="5" t="s">
        <v>11</v>
      </c>
      <c r="I1006" s="5" t="s">
        <v>128</v>
      </c>
      <c r="J1006" s="6"/>
      <c r="K1006" s="6"/>
      <c r="L1006" s="13" t="s">
        <v>1708</v>
      </c>
      <c r="M1006" s="8"/>
      <c r="N1006" s="5"/>
      <c r="O1006" s="5"/>
      <c r="P1006" s="5"/>
      <c r="Q1006" s="7">
        <v>14</v>
      </c>
      <c r="R1006" s="6" t="s">
        <v>1737</v>
      </c>
      <c r="S1006" s="13" t="s">
        <v>1620</v>
      </c>
      <c r="T1006" s="6">
        <v>18</v>
      </c>
      <c r="U1006" s="7" t="s">
        <v>1737</v>
      </c>
      <c r="V1006" s="5"/>
      <c r="W1006" s="7" t="s">
        <v>3</v>
      </c>
      <c r="X1006" s="6" t="s">
        <v>3</v>
      </c>
      <c r="Y1006" s="5"/>
      <c r="Z1006" s="7">
        <v>1</v>
      </c>
      <c r="AA1006" s="6"/>
      <c r="AB1006" s="5"/>
      <c r="AC1006" s="6"/>
      <c r="AD1006" s="6" t="s">
        <v>3</v>
      </c>
      <c r="AE1006" s="5"/>
      <c r="AF1006" s="7" t="s">
        <v>1737</v>
      </c>
      <c r="AG1006" s="6"/>
      <c r="AH1006" s="5"/>
      <c r="AI1006" s="6" t="s">
        <v>1737</v>
      </c>
      <c r="AJ1006" s="6"/>
      <c r="AK1006" s="5"/>
      <c r="AL1006" s="5"/>
      <c r="AM1006" s="5"/>
      <c r="AN1006" s="5"/>
      <c r="AO1006" s="5"/>
      <c r="AP1006" s="5"/>
      <c r="AQ1006" s="5"/>
    </row>
    <row r="1007" spans="1:43" x14ac:dyDescent="0.25">
      <c r="A1007" s="161" t="str">
        <f t="shared" si="18"/>
        <v>MARINE_AFRI</v>
      </c>
      <c r="B1007" s="9" t="s">
        <v>764</v>
      </c>
      <c r="C1007" s="13" t="s">
        <v>694</v>
      </c>
      <c r="E1007" s="4" t="s">
        <v>764</v>
      </c>
      <c r="F1007" s="4" t="s">
        <v>764</v>
      </c>
      <c r="H1007" s="4" t="s">
        <v>1245</v>
      </c>
      <c r="I1007" s="4" t="s">
        <v>1249</v>
      </c>
      <c r="Z1007" s="9"/>
    </row>
    <row r="1008" spans="1:43" x14ac:dyDescent="0.25">
      <c r="A1008" s="161" t="str">
        <f t="shared" ref="A1008:A1112" si="19">CONCATENATE(E1008,IF(ISBLANK(C1008),"",CONCATENATE("_",C1008)))</f>
        <v>MARINE_AMER</v>
      </c>
      <c r="B1008" s="9" t="s">
        <v>764</v>
      </c>
      <c r="C1008" s="13" t="s">
        <v>697</v>
      </c>
      <c r="D1008" s="4" t="s">
        <v>691</v>
      </c>
      <c r="E1008" s="4" t="s">
        <v>764</v>
      </c>
      <c r="F1008" s="4" t="s">
        <v>764</v>
      </c>
    </row>
    <row r="1009" spans="1:43" x14ac:dyDescent="0.25">
      <c r="A1009" s="161" t="str">
        <f t="shared" si="19"/>
        <v>MARINE_ASIA</v>
      </c>
      <c r="B1009" s="9" t="s">
        <v>764</v>
      </c>
      <c r="C1009" s="13" t="s">
        <v>693</v>
      </c>
      <c r="E1009" s="4" t="s">
        <v>764</v>
      </c>
      <c r="F1009" s="4" t="s">
        <v>764</v>
      </c>
      <c r="H1009" s="4" t="s">
        <v>1247</v>
      </c>
      <c r="I1009" s="4" t="s">
        <v>1249</v>
      </c>
      <c r="R1009" s="11">
        <v>0.15</v>
      </c>
      <c r="U1009" s="11">
        <v>9.5000000000000001E-2</v>
      </c>
      <c r="X1009" s="11" t="s">
        <v>3</v>
      </c>
      <c r="AA1009" s="11">
        <v>0.23499999999999999</v>
      </c>
      <c r="AD1009" s="11" t="s">
        <v>3</v>
      </c>
    </row>
    <row r="1010" spans="1:43" x14ac:dyDescent="0.25">
      <c r="A1010" s="161" t="str">
        <f t="shared" si="19"/>
        <v>MARINE_CENTAS</v>
      </c>
      <c r="B1010" s="9" t="s">
        <v>764</v>
      </c>
      <c r="C1010" s="13" t="s">
        <v>918</v>
      </c>
      <c r="D1010" s="4" t="s">
        <v>690</v>
      </c>
      <c r="E1010" s="4" t="s">
        <v>764</v>
      </c>
      <c r="F1010" s="4" t="s">
        <v>764</v>
      </c>
    </row>
    <row r="1011" spans="1:43" x14ac:dyDescent="0.25">
      <c r="A1011" s="161" t="str">
        <f t="shared" si="19"/>
        <v>MARINE_EASTEU</v>
      </c>
      <c r="B1011" s="9" t="s">
        <v>764</v>
      </c>
      <c r="C1011" s="13" t="s">
        <v>698</v>
      </c>
      <c r="E1011" s="4" t="s">
        <v>764</v>
      </c>
      <c r="F1011" s="4" t="s">
        <v>764</v>
      </c>
      <c r="H1011" s="4" t="s">
        <v>1947</v>
      </c>
      <c r="I1011" s="4" t="s">
        <v>1249</v>
      </c>
    </row>
    <row r="1012" spans="1:43" x14ac:dyDescent="0.25">
      <c r="A1012" s="161" t="str">
        <f t="shared" si="19"/>
        <v>MARINE_RUSSIA</v>
      </c>
      <c r="B1012" s="9" t="s">
        <v>764</v>
      </c>
      <c r="C1012" s="13" t="s">
        <v>735</v>
      </c>
      <c r="D1012" s="4" t="s">
        <v>698</v>
      </c>
      <c r="E1012" s="4" t="s">
        <v>764</v>
      </c>
      <c r="F1012" s="4" t="s">
        <v>764</v>
      </c>
    </row>
    <row r="1013" spans="1:43" x14ac:dyDescent="0.25">
      <c r="A1013" s="161" t="str">
        <f t="shared" si="19"/>
        <v>MARINE_CELTS</v>
      </c>
      <c r="B1013" s="9" t="s">
        <v>764</v>
      </c>
      <c r="C1013" s="13" t="s">
        <v>709</v>
      </c>
      <c r="D1013" s="4" t="s">
        <v>713</v>
      </c>
      <c r="E1013" s="4" t="s">
        <v>764</v>
      </c>
      <c r="F1013" s="4" t="s">
        <v>764</v>
      </c>
    </row>
    <row r="1014" spans="1:43" x14ac:dyDescent="0.25">
      <c r="A1014" s="161" t="str">
        <f t="shared" si="19"/>
        <v>MARINE_ENGLAND</v>
      </c>
      <c r="B1014" s="9" t="s">
        <v>764</v>
      </c>
      <c r="C1014" s="4" t="s">
        <v>713</v>
      </c>
      <c r="E1014" s="4" t="s">
        <v>764</v>
      </c>
      <c r="F1014" s="4" t="s">
        <v>764</v>
      </c>
      <c r="G1014" s="14" t="s">
        <v>132</v>
      </c>
      <c r="H1014" s="4" t="s">
        <v>304</v>
      </c>
      <c r="I1014" s="4" t="s">
        <v>1057</v>
      </c>
      <c r="R1014" s="11">
        <v>0.16</v>
      </c>
      <c r="U1014" s="11">
        <v>0.1</v>
      </c>
      <c r="X1014" s="11" t="s">
        <v>3</v>
      </c>
      <c r="AA1014" s="11">
        <v>0.25</v>
      </c>
      <c r="AD1014" s="11" t="s">
        <v>3</v>
      </c>
    </row>
    <row r="1015" spans="1:43" x14ac:dyDescent="0.25">
      <c r="A1015" s="161" t="str">
        <f t="shared" si="19"/>
        <v>MARINE_MIDEAST</v>
      </c>
      <c r="B1015" s="9" t="s">
        <v>764</v>
      </c>
      <c r="C1015" s="13" t="s">
        <v>690</v>
      </c>
      <c r="E1015" s="4" t="s">
        <v>764</v>
      </c>
      <c r="F1015" s="4" t="s">
        <v>764</v>
      </c>
      <c r="H1015" s="4" t="s">
        <v>1246</v>
      </c>
      <c r="I1015" s="4" t="s">
        <v>1249</v>
      </c>
    </row>
    <row r="1016" spans="1:43" x14ac:dyDescent="0.25">
      <c r="A1016" s="161" t="str">
        <f t="shared" si="19"/>
        <v>MARINE_NORTHEU</v>
      </c>
      <c r="B1016" s="9" t="s">
        <v>764</v>
      </c>
      <c r="C1016" s="13" t="s">
        <v>962</v>
      </c>
      <c r="E1016" s="4" t="s">
        <v>764</v>
      </c>
      <c r="F1016" s="4" t="s">
        <v>764</v>
      </c>
      <c r="H1016" s="4" t="s">
        <v>1948</v>
      </c>
      <c r="I1016" s="4" t="s">
        <v>1249</v>
      </c>
      <c r="R1016" s="11">
        <v>0.15</v>
      </c>
      <c r="U1016" s="11">
        <v>9.5000000000000001E-2</v>
      </c>
      <c r="X1016" s="11" t="s">
        <v>3</v>
      </c>
      <c r="AA1016" s="11">
        <v>0.23499999999999999</v>
      </c>
      <c r="AD1016" s="11" t="s">
        <v>3</v>
      </c>
    </row>
    <row r="1017" spans="1:43" x14ac:dyDescent="0.25">
      <c r="A1017" s="161" t="str">
        <f t="shared" si="19"/>
        <v>MARINE_OCEAN</v>
      </c>
      <c r="B1017" s="9" t="s">
        <v>764</v>
      </c>
      <c r="C1017" s="13" t="s">
        <v>994</v>
      </c>
      <c r="D1017" s="4" t="s">
        <v>691</v>
      </c>
      <c r="E1017" s="4" t="s">
        <v>764</v>
      </c>
      <c r="F1017" s="4" t="s">
        <v>764</v>
      </c>
    </row>
    <row r="1018" spans="1:43" x14ac:dyDescent="0.25">
      <c r="A1018" s="161" t="str">
        <f t="shared" si="19"/>
        <v>MARINE_SEASIA</v>
      </c>
      <c r="B1018" s="9" t="s">
        <v>764</v>
      </c>
      <c r="C1018" s="4" t="s">
        <v>696</v>
      </c>
      <c r="E1018" s="4" t="s">
        <v>764</v>
      </c>
      <c r="F1018" s="4" t="s">
        <v>764</v>
      </c>
      <c r="H1018" s="4" t="s">
        <v>1047</v>
      </c>
      <c r="I1018" s="4" t="s">
        <v>1064</v>
      </c>
      <c r="R1018" s="11">
        <v>1.5</v>
      </c>
      <c r="U1018" s="11">
        <v>0.96499999999999997</v>
      </c>
      <c r="X1018" s="11" t="s">
        <v>3</v>
      </c>
      <c r="AA1018" s="11">
        <v>2.355</v>
      </c>
      <c r="AD1018" s="11" t="s">
        <v>3</v>
      </c>
      <c r="AG1018" s="11">
        <v>1.93</v>
      </c>
      <c r="AJ1018" s="11">
        <v>1.7150000000000001</v>
      </c>
    </row>
    <row r="1019" spans="1:43" x14ac:dyDescent="0.25">
      <c r="A1019" s="161" t="str">
        <f t="shared" si="19"/>
        <v>MARINE_SOUTHAM</v>
      </c>
      <c r="B1019" s="9" t="s">
        <v>764</v>
      </c>
      <c r="C1019" s="13" t="s">
        <v>691</v>
      </c>
      <c r="E1019" s="4" t="s">
        <v>764</v>
      </c>
      <c r="F1019" s="4" t="s">
        <v>764</v>
      </c>
      <c r="H1019" s="4" t="s">
        <v>1248</v>
      </c>
      <c r="I1019" s="4" t="s">
        <v>1249</v>
      </c>
      <c r="R1019" s="11">
        <v>0.15</v>
      </c>
      <c r="U1019" s="11">
        <v>9.5000000000000001E-2</v>
      </c>
      <c r="X1019" s="11" t="s">
        <v>3</v>
      </c>
      <c r="AA1019" s="11">
        <v>0.23499999999999999</v>
      </c>
      <c r="AD1019" s="11" t="s">
        <v>3</v>
      </c>
    </row>
    <row r="1020" spans="1:43" x14ac:dyDescent="0.25">
      <c r="A1020" s="161" t="str">
        <f t="shared" si="19"/>
        <v>MECH</v>
      </c>
      <c r="B1020" s="9" t="s">
        <v>765</v>
      </c>
      <c r="C1020" s="5"/>
      <c r="D1020" s="5"/>
      <c r="E1020" s="5" t="s">
        <v>765</v>
      </c>
      <c r="F1020" s="5" t="s">
        <v>765</v>
      </c>
      <c r="G1020" s="5"/>
      <c r="H1020" s="5" t="s">
        <v>1144</v>
      </c>
      <c r="I1020" s="5" t="s">
        <v>128</v>
      </c>
      <c r="J1020" s="6"/>
      <c r="K1020" s="6"/>
      <c r="L1020" s="13" t="s">
        <v>1715</v>
      </c>
      <c r="M1020" s="8"/>
      <c r="N1020" s="5"/>
      <c r="O1020" s="5"/>
      <c r="P1020" s="5"/>
      <c r="Q1020" s="7">
        <v>1</v>
      </c>
      <c r="R1020" s="6" t="s">
        <v>1695</v>
      </c>
      <c r="S1020" s="13" t="s">
        <v>1623</v>
      </c>
      <c r="T1020" s="6">
        <v>3</v>
      </c>
      <c r="U1020" s="6">
        <v>6.5000000000000002E-2</v>
      </c>
      <c r="V1020" s="5" t="s">
        <v>1702</v>
      </c>
      <c r="W1020" s="7" t="s">
        <v>3</v>
      </c>
      <c r="X1020" s="6" t="s">
        <v>3</v>
      </c>
      <c r="Y1020" s="5"/>
      <c r="Z1020" s="6"/>
      <c r="AA1020" s="6"/>
      <c r="AB1020" s="5"/>
      <c r="AC1020" s="6"/>
      <c r="AD1020" s="6" t="s">
        <v>3</v>
      </c>
      <c r="AE1020" s="5"/>
      <c r="AF1020" s="6"/>
      <c r="AG1020" s="6"/>
      <c r="AH1020" s="5"/>
      <c r="AI1020" s="6"/>
      <c r="AJ1020" s="6"/>
      <c r="AK1020" s="5"/>
      <c r="AL1020" s="5"/>
      <c r="AM1020" s="5"/>
      <c r="AN1020" s="5"/>
      <c r="AO1020" s="5"/>
      <c r="AP1020" s="5"/>
      <c r="AQ1020" s="5"/>
    </row>
    <row r="1021" spans="1:43" x14ac:dyDescent="0.25">
      <c r="A1021" s="161" t="str">
        <f t="shared" si="19"/>
        <v>MECHANIZED_INFANTRY</v>
      </c>
      <c r="B1021" s="9" t="s">
        <v>766</v>
      </c>
      <c r="C1021" s="5"/>
      <c r="D1021" s="5"/>
      <c r="E1021" s="5" t="s">
        <v>766</v>
      </c>
      <c r="F1021" s="5" t="s">
        <v>795</v>
      </c>
      <c r="G1021" s="5"/>
      <c r="H1021" s="5" t="s">
        <v>1489</v>
      </c>
      <c r="I1021" s="5" t="s">
        <v>128</v>
      </c>
      <c r="J1021" s="6"/>
      <c r="K1021" s="6"/>
      <c r="L1021" s="13" t="s">
        <v>1709</v>
      </c>
      <c r="M1021" s="8"/>
      <c r="N1021" s="5"/>
      <c r="O1021" s="5"/>
      <c r="P1021" s="5"/>
      <c r="Q1021" s="7">
        <v>3</v>
      </c>
      <c r="R1021" s="6">
        <v>0.1</v>
      </c>
      <c r="S1021" s="13" t="s">
        <v>1623</v>
      </c>
      <c r="T1021" s="6"/>
      <c r="U1021" s="6"/>
      <c r="V1021" s="5"/>
      <c r="W1021" s="6">
        <v>7</v>
      </c>
      <c r="X1021" s="6" t="s">
        <v>3</v>
      </c>
      <c r="Y1021" s="5"/>
      <c r="Z1021" s="7">
        <v>1</v>
      </c>
      <c r="AA1021" s="6"/>
      <c r="AB1021" s="5"/>
      <c r="AC1021" s="6"/>
      <c r="AD1021" s="6" t="s">
        <v>3</v>
      </c>
      <c r="AE1021" s="5"/>
      <c r="AF1021" s="6"/>
      <c r="AG1021" s="6"/>
      <c r="AH1021" s="5"/>
      <c r="AI1021" s="6"/>
      <c r="AJ1021" s="6"/>
      <c r="AK1021" s="5"/>
      <c r="AL1021" s="5"/>
      <c r="AM1021" s="5"/>
      <c r="AN1021" s="5"/>
      <c r="AO1021" s="5"/>
      <c r="AP1021" s="5"/>
      <c r="AQ1021" s="5"/>
    </row>
    <row r="1022" spans="1:43" x14ac:dyDescent="0.25">
      <c r="A1022" s="161" t="str">
        <f t="shared" si="19"/>
        <v>MECHANIZED_INFANTRY_AFRI</v>
      </c>
      <c r="B1022" s="9" t="s">
        <v>766</v>
      </c>
      <c r="C1022" s="4" t="s">
        <v>694</v>
      </c>
      <c r="D1022" s="4" t="s">
        <v>690</v>
      </c>
      <c r="E1022" s="4" t="s">
        <v>766</v>
      </c>
      <c r="F1022" s="4" t="s">
        <v>795</v>
      </c>
    </row>
    <row r="1023" spans="1:43" x14ac:dyDescent="0.25">
      <c r="A1023" s="161" t="str">
        <f t="shared" si="19"/>
        <v>MECHANIZED_INFANTRY_ZULU</v>
      </c>
      <c r="B1023" s="9" t="s">
        <v>766</v>
      </c>
      <c r="C1023" s="4" t="s">
        <v>742</v>
      </c>
      <c r="D1023" s="4" t="s">
        <v>713</v>
      </c>
      <c r="E1023" s="4" t="s">
        <v>766</v>
      </c>
      <c r="F1023" s="4" t="s">
        <v>795</v>
      </c>
    </row>
    <row r="1024" spans="1:43" x14ac:dyDescent="0.25">
      <c r="A1024" s="161" t="str">
        <f t="shared" si="19"/>
        <v>MECHANIZED_INFANTRY_AMER</v>
      </c>
      <c r="B1024" s="9" t="s">
        <v>766</v>
      </c>
      <c r="C1024" s="4" t="s">
        <v>697</v>
      </c>
      <c r="D1024" s="4" t="s">
        <v>699</v>
      </c>
      <c r="E1024" s="4" t="s">
        <v>766</v>
      </c>
      <c r="F1024" s="4" t="s">
        <v>795</v>
      </c>
    </row>
    <row r="1025" spans="1:18" x14ac:dyDescent="0.25">
      <c r="A1025" s="161" t="str">
        <f t="shared" si="19"/>
        <v>MECHANIZED_INFANTRY_ASIA</v>
      </c>
      <c r="B1025" s="9" t="s">
        <v>766</v>
      </c>
      <c r="C1025" s="4" t="s">
        <v>693</v>
      </c>
      <c r="D1025" s="4" t="s">
        <v>698</v>
      </c>
      <c r="E1025" s="4" t="s">
        <v>766</v>
      </c>
      <c r="F1025" s="4" t="s">
        <v>795</v>
      </c>
    </row>
    <row r="1026" spans="1:18" x14ac:dyDescent="0.25">
      <c r="A1026" s="161" t="str">
        <f t="shared" si="19"/>
        <v>MECHANIZED_INFANTRY_EASTEU</v>
      </c>
      <c r="B1026" s="9" t="s">
        <v>766</v>
      </c>
      <c r="C1026" s="4" t="s">
        <v>698</v>
      </c>
      <c r="E1026" s="4" t="s">
        <v>766</v>
      </c>
      <c r="F1026" s="4" t="s">
        <v>795</v>
      </c>
      <c r="H1026" s="4" t="s">
        <v>252</v>
      </c>
      <c r="I1026" s="4" t="s">
        <v>120</v>
      </c>
      <c r="R1026" s="11">
        <v>0.105</v>
      </c>
    </row>
    <row r="1027" spans="1:18" x14ac:dyDescent="0.25">
      <c r="A1027" s="161" t="str">
        <f t="shared" si="19"/>
        <v>MECHANIZED_INFANTRY_RUSSIA</v>
      </c>
      <c r="B1027" s="9" t="s">
        <v>766</v>
      </c>
      <c r="C1027" s="4" t="s">
        <v>735</v>
      </c>
      <c r="E1027" s="4" t="s">
        <v>766</v>
      </c>
      <c r="F1027" s="4" t="s">
        <v>795</v>
      </c>
      <c r="G1027" s="14" t="s">
        <v>132</v>
      </c>
      <c r="H1027" s="4" t="s">
        <v>618</v>
      </c>
      <c r="I1027" s="4" t="s">
        <v>120</v>
      </c>
      <c r="R1027" s="11">
        <v>0.105</v>
      </c>
    </row>
    <row r="1028" spans="1:18" x14ac:dyDescent="0.25">
      <c r="A1028" s="161" t="str">
        <f t="shared" si="19"/>
        <v>MECHANIZED_INFANTRY_EURO</v>
      </c>
      <c r="B1028" s="9" t="s">
        <v>766</v>
      </c>
      <c r="C1028" s="4" t="s">
        <v>689</v>
      </c>
      <c r="E1028" s="4" t="s">
        <v>766</v>
      </c>
      <c r="F1028" s="4" t="s">
        <v>795</v>
      </c>
      <c r="H1028" s="4" t="s">
        <v>855</v>
      </c>
      <c r="I1028" s="4" t="s">
        <v>1935</v>
      </c>
      <c r="R1028" s="11">
        <v>0.1</v>
      </c>
    </row>
    <row r="1029" spans="1:18" x14ac:dyDescent="0.25">
      <c r="A1029" s="161" t="str">
        <f t="shared" si="19"/>
        <v>MECHANIZED_INFANTRY_AMERICA</v>
      </c>
      <c r="B1029" s="9" t="s">
        <v>766</v>
      </c>
      <c r="C1029" s="4" t="s">
        <v>699</v>
      </c>
      <c r="E1029" s="4" t="s">
        <v>766</v>
      </c>
      <c r="F1029" s="4" t="s">
        <v>795</v>
      </c>
      <c r="G1029" s="14"/>
      <c r="H1029" s="4" t="s">
        <v>143</v>
      </c>
      <c r="I1029" s="4" t="s">
        <v>1935</v>
      </c>
    </row>
    <row r="1030" spans="1:18" x14ac:dyDescent="0.25">
      <c r="A1030" s="161" t="str">
        <f t="shared" si="19"/>
        <v>MECHANIZED_INFANTRY_AUSTRALIA</v>
      </c>
      <c r="B1030" s="9" t="s">
        <v>766</v>
      </c>
      <c r="C1030" s="4" t="s">
        <v>1302</v>
      </c>
      <c r="D1030" s="4" t="s">
        <v>713</v>
      </c>
      <c r="E1030" s="4" t="s">
        <v>766</v>
      </c>
      <c r="F1030" s="4" t="s">
        <v>795</v>
      </c>
      <c r="G1030" s="14"/>
    </row>
    <row r="1031" spans="1:18" x14ac:dyDescent="0.25">
      <c r="A1031" s="161" t="str">
        <f t="shared" si="19"/>
        <v>MECHANIZED_INFANTRY_AUSTRIA</v>
      </c>
      <c r="B1031" s="9" t="s">
        <v>766</v>
      </c>
      <c r="C1031" s="4" t="s">
        <v>701</v>
      </c>
      <c r="D1031" s="4" t="s">
        <v>717</v>
      </c>
      <c r="E1031" s="4" t="s">
        <v>766</v>
      </c>
      <c r="F1031" s="4" t="s">
        <v>795</v>
      </c>
      <c r="G1031" s="14"/>
    </row>
    <row r="1032" spans="1:18" x14ac:dyDescent="0.25">
      <c r="A1032" s="161" t="str">
        <f t="shared" si="19"/>
        <v>MECHANIZED_INFANTRY_CANADA</v>
      </c>
      <c r="B1032" s="9" t="s">
        <v>766</v>
      </c>
      <c r="C1032" s="4" t="s">
        <v>2209</v>
      </c>
      <c r="D1032" s="4" t="s">
        <v>713</v>
      </c>
      <c r="E1032" s="4" t="s">
        <v>766</v>
      </c>
      <c r="F1032" s="4" t="s">
        <v>795</v>
      </c>
      <c r="G1032" s="14"/>
    </row>
    <row r="1033" spans="1:18" x14ac:dyDescent="0.25">
      <c r="A1033" s="161" t="str">
        <f t="shared" si="19"/>
        <v>MECHANIZED_INFANTRY_CELTS</v>
      </c>
      <c r="B1033" s="9" t="s">
        <v>766</v>
      </c>
      <c r="C1033" s="4" t="s">
        <v>709</v>
      </c>
      <c r="D1033" s="4" t="s">
        <v>713</v>
      </c>
      <c r="E1033" s="4" t="s">
        <v>766</v>
      </c>
      <c r="F1033" s="4" t="s">
        <v>795</v>
      </c>
      <c r="G1033" s="14"/>
    </row>
    <row r="1034" spans="1:18" x14ac:dyDescent="0.25">
      <c r="A1034" s="161" t="str">
        <f t="shared" si="19"/>
        <v>MECHANIZED_INFANTRY_ENGLAND</v>
      </c>
      <c r="B1034" s="9" t="s">
        <v>766</v>
      </c>
      <c r="C1034" s="4" t="s">
        <v>713</v>
      </c>
      <c r="E1034" s="4" t="s">
        <v>766</v>
      </c>
      <c r="F1034" s="4" t="s">
        <v>795</v>
      </c>
      <c r="G1034" s="14"/>
      <c r="H1034" s="4" t="s">
        <v>2219</v>
      </c>
      <c r="I1034" s="4" t="s">
        <v>1068</v>
      </c>
    </row>
    <row r="1035" spans="1:18" x14ac:dyDescent="0.25">
      <c r="A1035" s="161" t="str">
        <f t="shared" si="19"/>
        <v>MECHANIZED_INFANTRY_GERMANY</v>
      </c>
      <c r="B1035" s="9" t="s">
        <v>766</v>
      </c>
      <c r="C1035" s="4" t="s">
        <v>717</v>
      </c>
      <c r="E1035" s="4" t="s">
        <v>766</v>
      </c>
      <c r="F1035" s="4" t="s">
        <v>795</v>
      </c>
      <c r="G1035" s="14" t="s">
        <v>132</v>
      </c>
      <c r="H1035" s="4" t="s">
        <v>382</v>
      </c>
      <c r="I1035" s="4" t="s">
        <v>1051</v>
      </c>
      <c r="R1035" s="11">
        <v>0.105</v>
      </c>
    </row>
    <row r="1036" spans="1:18" x14ac:dyDescent="0.25">
      <c r="A1036" s="161" t="str">
        <f t="shared" si="19"/>
        <v>MECHANIZED_INFANTRY_ROME</v>
      </c>
      <c r="B1036" s="9" t="s">
        <v>766</v>
      </c>
      <c r="C1036" s="4" t="s">
        <v>734</v>
      </c>
      <c r="E1036" s="4" t="s">
        <v>766</v>
      </c>
      <c r="F1036" s="4" t="s">
        <v>795</v>
      </c>
      <c r="G1036" s="14" t="s">
        <v>132</v>
      </c>
      <c r="H1036" s="4" t="s">
        <v>594</v>
      </c>
      <c r="I1036" s="4" t="s">
        <v>1069</v>
      </c>
    </row>
    <row r="1037" spans="1:18" x14ac:dyDescent="0.25">
      <c r="A1037" s="161" t="str">
        <f t="shared" si="19"/>
        <v>MECHANIZED_INFANTRY_MIDEAST</v>
      </c>
      <c r="B1037" s="9" t="s">
        <v>766</v>
      </c>
      <c r="C1037" s="4" t="s">
        <v>690</v>
      </c>
      <c r="E1037" s="4" t="s">
        <v>766</v>
      </c>
      <c r="F1037" s="4" t="s">
        <v>795</v>
      </c>
      <c r="H1037" s="4" t="s">
        <v>173</v>
      </c>
      <c r="I1037" s="4" t="s">
        <v>120</v>
      </c>
      <c r="R1037" s="11">
        <v>0.10199999999999999</v>
      </c>
    </row>
    <row r="1038" spans="1:18" x14ac:dyDescent="0.25">
      <c r="A1038" s="161" t="str">
        <f t="shared" si="19"/>
        <v>MECHANIZED_INFANTRY_ARABIA</v>
      </c>
      <c r="B1038" s="9" t="s">
        <v>766</v>
      </c>
      <c r="C1038" s="4" t="s">
        <v>700</v>
      </c>
      <c r="D1038" s="14"/>
      <c r="E1038" s="4" t="s">
        <v>766</v>
      </c>
      <c r="F1038" s="4" t="s">
        <v>795</v>
      </c>
      <c r="G1038" s="14"/>
      <c r="H1038" s="4" t="s">
        <v>165</v>
      </c>
      <c r="I1038" s="4" t="s">
        <v>1935</v>
      </c>
    </row>
    <row r="1039" spans="1:18" x14ac:dyDescent="0.25">
      <c r="A1039" s="161" t="str">
        <f t="shared" si="19"/>
        <v>MECHANIZED_INFANTRY_BABYLON</v>
      </c>
      <c r="B1039" s="9" t="s">
        <v>766</v>
      </c>
      <c r="C1039" s="4" t="s">
        <v>703</v>
      </c>
      <c r="E1039" s="4" t="s">
        <v>766</v>
      </c>
      <c r="F1039" s="4" t="s">
        <v>795</v>
      </c>
      <c r="G1039" s="14"/>
      <c r="H1039" s="4" t="s">
        <v>213</v>
      </c>
      <c r="I1039" s="4" t="s">
        <v>120</v>
      </c>
      <c r="R1039" s="11">
        <v>0.10199999999999999</v>
      </c>
    </row>
    <row r="1040" spans="1:18" x14ac:dyDescent="0.25">
      <c r="A1040" s="161" t="str">
        <f t="shared" si="19"/>
        <v>MECHANIZED_INFANTRY_PERSIA</v>
      </c>
      <c r="B1040" s="9" t="s">
        <v>766</v>
      </c>
      <c r="C1040" s="4" t="s">
        <v>731</v>
      </c>
      <c r="E1040" s="4" t="s">
        <v>766</v>
      </c>
      <c r="F1040" s="4" t="s">
        <v>795</v>
      </c>
      <c r="G1040" s="14" t="s">
        <v>132</v>
      </c>
      <c r="H1040" s="4" t="s">
        <v>559</v>
      </c>
      <c r="I1040" s="4" t="s">
        <v>120</v>
      </c>
      <c r="R1040" s="11">
        <v>0.10199999999999999</v>
      </c>
    </row>
    <row r="1041" spans="1:43" x14ac:dyDescent="0.25">
      <c r="A1041" s="161" t="str">
        <f>CONCATENATE(E1041,IF(ISBLANK(C1041),"",CONCATENATE("_",C1041)))</f>
        <v>MECHANIZED_INFANTRY_NORTHAF</v>
      </c>
      <c r="B1041" s="9" t="s">
        <v>766</v>
      </c>
      <c r="C1041" s="4" t="s">
        <v>2011</v>
      </c>
      <c r="E1041" s="4" t="s">
        <v>766</v>
      </c>
      <c r="F1041" s="4" t="s">
        <v>795</v>
      </c>
      <c r="G1041" s="14" t="s">
        <v>132</v>
      </c>
      <c r="H1041" s="4" t="s">
        <v>229</v>
      </c>
      <c r="I1041" s="4" t="s">
        <v>120</v>
      </c>
      <c r="R1041" s="11">
        <v>0.10199999999999999</v>
      </c>
    </row>
    <row r="1042" spans="1:43" x14ac:dyDescent="0.25">
      <c r="A1042" s="161" t="str">
        <f t="shared" si="19"/>
        <v>MECHANIZED_INFANTRY_OCEAN</v>
      </c>
      <c r="B1042" s="9" t="s">
        <v>766</v>
      </c>
      <c r="C1042" s="4" t="s">
        <v>994</v>
      </c>
      <c r="D1042" s="4" t="s">
        <v>699</v>
      </c>
      <c r="E1042" s="4" t="s">
        <v>766</v>
      </c>
      <c r="F1042" s="4" t="s">
        <v>795</v>
      </c>
      <c r="G1042" s="14"/>
    </row>
    <row r="1043" spans="1:43" x14ac:dyDescent="0.25">
      <c r="A1043" s="161" t="str">
        <f t="shared" si="19"/>
        <v>MECHANIZED_INFANTRY_SAHUL</v>
      </c>
      <c r="B1043" s="9" t="s">
        <v>766</v>
      </c>
      <c r="C1043" s="4" t="s">
        <v>1788</v>
      </c>
      <c r="D1043" s="4" t="s">
        <v>700</v>
      </c>
      <c r="E1043" s="4" t="s">
        <v>766</v>
      </c>
      <c r="F1043" s="4" t="s">
        <v>795</v>
      </c>
      <c r="G1043" s="14"/>
    </row>
    <row r="1044" spans="1:43" x14ac:dyDescent="0.25">
      <c r="A1044" s="161" t="str">
        <f t="shared" si="19"/>
        <v>MECHANIZED_INFANTRY_SEASIA</v>
      </c>
      <c r="B1044" s="9" t="s">
        <v>766</v>
      </c>
      <c r="C1044" s="4" t="s">
        <v>696</v>
      </c>
      <c r="D1044" s="4" t="s">
        <v>698</v>
      </c>
      <c r="E1044" s="4" t="s">
        <v>766</v>
      </c>
      <c r="F1044" s="4" t="s">
        <v>795</v>
      </c>
    </row>
    <row r="1045" spans="1:43" x14ac:dyDescent="0.25">
      <c r="A1045" s="161" t="str">
        <f t="shared" si="19"/>
        <v>MECHANIZED_INFANTRY_SOUTHAS</v>
      </c>
      <c r="B1045" s="9" t="s">
        <v>766</v>
      </c>
      <c r="C1045" s="4" t="s">
        <v>695</v>
      </c>
      <c r="D1045" s="4" t="s">
        <v>690</v>
      </c>
      <c r="E1045" s="4" t="s">
        <v>766</v>
      </c>
      <c r="F1045" s="4" t="s">
        <v>795</v>
      </c>
    </row>
    <row r="1046" spans="1:43" x14ac:dyDescent="0.25">
      <c r="A1046" s="161" t="str">
        <f t="shared" si="19"/>
        <v>MECHANIZED_INFANTRY_INDIA</v>
      </c>
      <c r="B1046" s="9" t="s">
        <v>766</v>
      </c>
      <c r="C1046" s="4" t="s">
        <v>720</v>
      </c>
      <c r="E1046" s="4" t="s">
        <v>766</v>
      </c>
      <c r="F1046" s="4" t="s">
        <v>795</v>
      </c>
      <c r="H1046" s="4" t="s">
        <v>438</v>
      </c>
      <c r="I1046" s="4" t="s">
        <v>120</v>
      </c>
      <c r="R1046" s="11">
        <v>0.10199999999999999</v>
      </c>
    </row>
    <row r="1047" spans="1:43" x14ac:dyDescent="0.25">
      <c r="A1047" s="161" t="str">
        <f t="shared" si="19"/>
        <v>MERCHANT</v>
      </c>
      <c r="B1047" s="9" t="s">
        <v>1359</v>
      </c>
      <c r="C1047" s="5"/>
      <c r="D1047" s="5"/>
      <c r="E1047" s="5" t="s">
        <v>1359</v>
      </c>
      <c r="F1047" s="5" t="s">
        <v>1361</v>
      </c>
      <c r="G1047" s="5"/>
      <c r="H1047" s="5" t="s">
        <v>1480</v>
      </c>
      <c r="I1047" s="5" t="s">
        <v>128</v>
      </c>
      <c r="J1047" s="6">
        <v>1</v>
      </c>
      <c r="K1047" s="6"/>
      <c r="L1047" s="13" t="s">
        <v>1710</v>
      </c>
      <c r="M1047" s="8"/>
      <c r="N1047" s="5"/>
      <c r="O1047" s="5"/>
      <c r="P1047" s="5"/>
      <c r="Q1047" s="6">
        <v>1</v>
      </c>
      <c r="R1047" s="7" t="s">
        <v>1695</v>
      </c>
      <c r="S1047" s="13" t="s">
        <v>1624</v>
      </c>
      <c r="T1047" s="6">
        <v>1</v>
      </c>
      <c r="U1047" s="7" t="s">
        <v>1737</v>
      </c>
      <c r="V1047" s="5"/>
      <c r="W1047" s="6"/>
      <c r="X1047" s="6" t="s">
        <v>3</v>
      </c>
      <c r="Y1047" s="5"/>
      <c r="Z1047" s="7">
        <v>1</v>
      </c>
      <c r="AA1047" s="6"/>
      <c r="AB1047" s="5"/>
      <c r="AC1047" s="6"/>
      <c r="AD1047" s="6" t="s">
        <v>3</v>
      </c>
      <c r="AE1047" s="5"/>
      <c r="AF1047" s="6">
        <v>1</v>
      </c>
      <c r="AG1047" s="6"/>
      <c r="AH1047" s="5"/>
      <c r="AI1047" s="6"/>
      <c r="AJ1047" s="6"/>
      <c r="AK1047" s="5"/>
      <c r="AL1047" s="5"/>
      <c r="AM1047" s="5"/>
      <c r="AN1047" s="5"/>
      <c r="AO1047" s="5"/>
      <c r="AP1047" s="5"/>
      <c r="AQ1047" s="5"/>
    </row>
    <row r="1048" spans="1:43" x14ac:dyDescent="0.25">
      <c r="A1048" s="161" t="str">
        <f t="shared" si="19"/>
        <v>MERCHANT</v>
      </c>
      <c r="B1048" s="9" t="s">
        <v>1359</v>
      </c>
      <c r="C1048" s="5"/>
      <c r="D1048" s="5"/>
      <c r="E1048" s="5" t="s">
        <v>1359</v>
      </c>
      <c r="F1048" s="5" t="s">
        <v>1361</v>
      </c>
      <c r="G1048" s="5" t="s">
        <v>2062</v>
      </c>
      <c r="H1048" s="5" t="s">
        <v>1478</v>
      </c>
      <c r="I1048" s="5" t="s">
        <v>128</v>
      </c>
      <c r="J1048" s="6">
        <v>1</v>
      </c>
      <c r="K1048" s="6"/>
      <c r="L1048" s="13" t="s">
        <v>1710</v>
      </c>
      <c r="M1048" s="8"/>
      <c r="N1048" s="5"/>
      <c r="O1048" s="5"/>
      <c r="P1048" s="5"/>
      <c r="Q1048" s="6">
        <v>1</v>
      </c>
      <c r="R1048" s="7" t="s">
        <v>1695</v>
      </c>
      <c r="S1048" s="13" t="s">
        <v>1624</v>
      </c>
      <c r="T1048" s="6">
        <v>1</v>
      </c>
      <c r="U1048" s="7" t="s">
        <v>1737</v>
      </c>
      <c r="V1048" s="5"/>
      <c r="W1048" s="6"/>
      <c r="X1048" s="6" t="s">
        <v>3</v>
      </c>
      <c r="Y1048" s="5"/>
      <c r="Z1048" s="7">
        <v>0</v>
      </c>
      <c r="AA1048" s="6"/>
      <c r="AB1048" s="5"/>
      <c r="AC1048" s="6"/>
      <c r="AD1048" s="6" t="s">
        <v>3</v>
      </c>
      <c r="AE1048" s="5"/>
      <c r="AF1048" s="6">
        <v>1</v>
      </c>
      <c r="AG1048" s="6"/>
      <c r="AH1048" s="5"/>
      <c r="AI1048" s="6"/>
      <c r="AJ1048" s="6"/>
      <c r="AK1048" s="5"/>
      <c r="AL1048" s="5"/>
      <c r="AM1048" s="5"/>
      <c r="AN1048" s="5"/>
      <c r="AO1048" s="5"/>
      <c r="AP1048" s="5"/>
      <c r="AQ1048" s="5"/>
    </row>
    <row r="1049" spans="1:43" x14ac:dyDescent="0.25">
      <c r="A1049" s="161" t="str">
        <f t="shared" si="19"/>
        <v>MERCHANT</v>
      </c>
      <c r="B1049" s="9" t="s">
        <v>1359</v>
      </c>
      <c r="C1049" s="5"/>
      <c r="D1049" s="5"/>
      <c r="E1049" s="5" t="s">
        <v>1359</v>
      </c>
      <c r="F1049" s="5" t="s">
        <v>1361</v>
      </c>
      <c r="G1049" s="5" t="s">
        <v>2063</v>
      </c>
      <c r="H1049" s="5" t="s">
        <v>1479</v>
      </c>
      <c r="I1049" s="5" t="s">
        <v>128</v>
      </c>
      <c r="J1049" s="6">
        <v>1</v>
      </c>
      <c r="K1049" s="6"/>
      <c r="L1049" s="13" t="s">
        <v>1710</v>
      </c>
      <c r="M1049" s="8"/>
      <c r="N1049" s="5"/>
      <c r="O1049" s="5"/>
      <c r="P1049" s="5"/>
      <c r="Q1049" s="6">
        <v>1</v>
      </c>
      <c r="R1049" s="7" t="s">
        <v>1695</v>
      </c>
      <c r="S1049" s="13" t="s">
        <v>1624</v>
      </c>
      <c r="T1049" s="6">
        <v>1</v>
      </c>
      <c r="U1049" s="7" t="s">
        <v>1737</v>
      </c>
      <c r="V1049" s="5"/>
      <c r="W1049" s="6"/>
      <c r="X1049" s="6" t="s">
        <v>3</v>
      </c>
      <c r="Y1049" s="5"/>
      <c r="Z1049" s="7">
        <v>0</v>
      </c>
      <c r="AA1049" s="6"/>
      <c r="AB1049" s="5"/>
      <c r="AC1049" s="6"/>
      <c r="AD1049" s="6" t="s">
        <v>3</v>
      </c>
      <c r="AE1049" s="5"/>
      <c r="AF1049" s="6">
        <v>0</v>
      </c>
      <c r="AG1049" s="6"/>
      <c r="AH1049" s="5"/>
      <c r="AI1049" s="6"/>
      <c r="AJ1049" s="6"/>
      <c r="AK1049" s="5"/>
      <c r="AL1049" s="5"/>
      <c r="AM1049" s="5"/>
      <c r="AN1049" s="5"/>
      <c r="AO1049" s="5"/>
      <c r="AP1049" s="5"/>
      <c r="AQ1049" s="5"/>
    </row>
    <row r="1050" spans="1:43" x14ac:dyDescent="0.25">
      <c r="A1050" s="161" t="str">
        <f>CONCATENATE(E1050,IF(ISBLANK(C1050),"",CONCATENATE("_",C1050)))</f>
        <v>MERCHANT</v>
      </c>
      <c r="C1050" s="5"/>
      <c r="D1050" s="5"/>
      <c r="E1050" s="5" t="s">
        <v>1359</v>
      </c>
      <c r="F1050" s="5" t="s">
        <v>1361</v>
      </c>
      <c r="G1050" s="5" t="s">
        <v>2576</v>
      </c>
      <c r="H1050" s="5" t="s">
        <v>1480</v>
      </c>
      <c r="I1050" s="5" t="s">
        <v>128</v>
      </c>
      <c r="J1050" s="6">
        <v>1</v>
      </c>
      <c r="K1050" s="6"/>
      <c r="L1050" s="13" t="s">
        <v>1710</v>
      </c>
      <c r="M1050" s="8"/>
      <c r="N1050" s="5"/>
      <c r="O1050" s="5"/>
      <c r="P1050" s="5"/>
      <c r="Q1050" s="6">
        <v>0</v>
      </c>
      <c r="R1050" s="7" t="s">
        <v>1695</v>
      </c>
      <c r="S1050" s="13" t="s">
        <v>1624</v>
      </c>
      <c r="T1050" s="6">
        <v>0</v>
      </c>
      <c r="U1050" s="7" t="s">
        <v>1737</v>
      </c>
      <c r="V1050" s="5"/>
      <c r="W1050" s="6">
        <v>0</v>
      </c>
      <c r="X1050" s="6" t="s">
        <v>3</v>
      </c>
      <c r="Y1050" s="5"/>
      <c r="Z1050" s="7">
        <v>0</v>
      </c>
      <c r="AA1050" s="6"/>
      <c r="AB1050" s="5"/>
      <c r="AC1050" s="6">
        <v>0</v>
      </c>
      <c r="AD1050" s="6" t="s">
        <v>3</v>
      </c>
      <c r="AE1050" s="5"/>
      <c r="AF1050" s="6">
        <v>0</v>
      </c>
      <c r="AG1050" s="6"/>
      <c r="AH1050" s="5"/>
      <c r="AI1050" s="6">
        <v>0</v>
      </c>
      <c r="AJ1050" s="6"/>
      <c r="AK1050" s="5"/>
      <c r="AL1050" s="5"/>
      <c r="AM1050" s="5"/>
      <c r="AN1050" s="5"/>
      <c r="AO1050" s="5"/>
      <c r="AP1050" s="5"/>
      <c r="AQ1050" s="5"/>
    </row>
    <row r="1051" spans="1:43" x14ac:dyDescent="0.25">
      <c r="A1051" s="161" t="str">
        <f t="shared" si="19"/>
        <v>MERCHANT_LATE</v>
      </c>
      <c r="B1051" s="9" t="s">
        <v>1359</v>
      </c>
      <c r="C1051" s="5"/>
      <c r="D1051" s="5"/>
      <c r="E1051" s="5" t="s">
        <v>1360</v>
      </c>
      <c r="F1051" s="5" t="s">
        <v>1362</v>
      </c>
      <c r="G1051" s="5"/>
      <c r="H1051" s="5" t="s">
        <v>1491</v>
      </c>
      <c r="I1051" s="5" t="s">
        <v>128</v>
      </c>
      <c r="J1051" s="6"/>
      <c r="K1051" s="6"/>
      <c r="L1051" s="13" t="s">
        <v>1710</v>
      </c>
      <c r="M1051" s="8"/>
      <c r="N1051" s="5"/>
      <c r="O1051" s="5"/>
      <c r="P1051" s="5"/>
      <c r="Q1051" s="7">
        <v>1</v>
      </c>
      <c r="R1051" s="7">
        <v>0.11</v>
      </c>
      <c r="S1051" s="5"/>
      <c r="T1051" s="6"/>
      <c r="U1051" s="7" t="s">
        <v>1695</v>
      </c>
      <c r="V1051" s="5"/>
      <c r="W1051" s="6"/>
      <c r="X1051" s="6" t="s">
        <v>3</v>
      </c>
      <c r="Y1051" s="5"/>
      <c r="Z1051" s="6"/>
      <c r="AA1051" s="6"/>
      <c r="AB1051" s="5"/>
      <c r="AC1051" s="6"/>
      <c r="AD1051" s="6" t="s">
        <v>3</v>
      </c>
      <c r="AE1051" s="5"/>
      <c r="AF1051" s="6"/>
      <c r="AG1051" s="6"/>
      <c r="AH1051" s="5"/>
      <c r="AI1051" s="6"/>
      <c r="AJ1051" s="6"/>
      <c r="AK1051" s="5"/>
      <c r="AL1051" s="5"/>
      <c r="AM1051" s="5"/>
      <c r="AN1051" s="5"/>
      <c r="AO1051" s="5"/>
      <c r="AP1051" s="5"/>
      <c r="AQ1051" s="5"/>
    </row>
    <row r="1052" spans="1:43" x14ac:dyDescent="0.25">
      <c r="A1052" s="161" t="str">
        <f t="shared" si="19"/>
        <v>MILITARY_ENGINEER</v>
      </c>
      <c r="C1052" s="5"/>
      <c r="D1052" s="5"/>
      <c r="E1052" s="5" t="s">
        <v>1363</v>
      </c>
      <c r="F1052" s="5" t="s">
        <v>1363</v>
      </c>
      <c r="G1052" s="5"/>
      <c r="H1052" s="5" t="s">
        <v>1490</v>
      </c>
      <c r="I1052" s="5" t="s">
        <v>128</v>
      </c>
      <c r="J1052" s="6"/>
      <c r="K1052" s="6"/>
      <c r="L1052" s="13" t="s">
        <v>1708</v>
      </c>
      <c r="M1052" s="8"/>
      <c r="N1052" s="5"/>
      <c r="O1052" s="5"/>
      <c r="P1052" s="5"/>
      <c r="Q1052" s="7">
        <v>8</v>
      </c>
      <c r="R1052" s="6" t="s">
        <v>1695</v>
      </c>
      <c r="S1052" s="13" t="s">
        <v>1620</v>
      </c>
      <c r="T1052" s="6"/>
      <c r="U1052" s="6"/>
      <c r="V1052" s="5"/>
      <c r="W1052" s="6"/>
      <c r="X1052" s="6" t="s">
        <v>3</v>
      </c>
      <c r="Y1052" s="5"/>
      <c r="Z1052" s="7">
        <v>1</v>
      </c>
      <c r="AA1052" s="6"/>
      <c r="AB1052" s="5"/>
      <c r="AC1052" s="6"/>
      <c r="AD1052" s="6" t="s">
        <v>3</v>
      </c>
      <c r="AE1052" s="5"/>
      <c r="AF1052" s="7" t="s">
        <v>1737</v>
      </c>
      <c r="AG1052" s="6"/>
      <c r="AH1052" s="5"/>
      <c r="AI1052" s="7">
        <v>6</v>
      </c>
      <c r="AJ1052" s="6"/>
      <c r="AK1052" s="5"/>
      <c r="AL1052" s="5"/>
      <c r="AM1052" s="5"/>
      <c r="AN1052" s="5"/>
      <c r="AO1052" s="5"/>
      <c r="AP1052" s="5"/>
      <c r="AQ1052" s="5"/>
    </row>
    <row r="1053" spans="1:43" x14ac:dyDescent="0.25">
      <c r="A1053" s="161" t="str">
        <f t="shared" si="19"/>
        <v>MISSILE_CRUISER</v>
      </c>
      <c r="B1053" s="9" t="s">
        <v>767</v>
      </c>
      <c r="C1053" s="5"/>
      <c r="D1053" s="5"/>
      <c r="E1053" s="5" t="s">
        <v>767</v>
      </c>
      <c r="F1053" s="5" t="s">
        <v>796</v>
      </c>
      <c r="G1053" s="5"/>
      <c r="H1053" s="5" t="s">
        <v>1492</v>
      </c>
      <c r="I1053" s="5" t="s">
        <v>128</v>
      </c>
      <c r="J1053" s="6"/>
      <c r="K1053" s="7"/>
      <c r="L1053" s="13" t="s">
        <v>1713</v>
      </c>
      <c r="M1053" s="8"/>
      <c r="N1053" s="13" t="s">
        <v>1727</v>
      </c>
      <c r="O1053" s="13"/>
      <c r="P1053" s="13"/>
      <c r="Q1053" s="7">
        <v>1</v>
      </c>
      <c r="R1053" s="6">
        <v>0.11</v>
      </c>
      <c r="S1053" s="5"/>
      <c r="T1053" s="6"/>
      <c r="U1053" s="6"/>
      <c r="V1053" s="5"/>
      <c r="W1053" s="6"/>
      <c r="X1053" s="6"/>
      <c r="Y1053" s="5"/>
      <c r="Z1053" s="6"/>
      <c r="AA1053" s="6"/>
      <c r="AB1053" s="5"/>
      <c r="AC1053" s="6"/>
      <c r="AD1053" s="6"/>
      <c r="AE1053" s="5"/>
      <c r="AF1053" s="6"/>
      <c r="AG1053" s="6"/>
      <c r="AH1053" s="5"/>
      <c r="AI1053" s="6"/>
      <c r="AJ1053" s="6"/>
      <c r="AK1053" s="5"/>
      <c r="AL1053" s="5"/>
      <c r="AM1053" s="5"/>
      <c r="AN1053" s="5"/>
      <c r="AO1053" s="5"/>
      <c r="AP1053" s="5"/>
      <c r="AQ1053" s="5"/>
    </row>
    <row r="1054" spans="1:43" x14ac:dyDescent="0.25">
      <c r="A1054" s="161" t="str">
        <f t="shared" si="19"/>
        <v>MISSILE_CRUISER_ASIA</v>
      </c>
      <c r="B1054" s="9" t="s">
        <v>767</v>
      </c>
      <c r="C1054" s="5" t="s">
        <v>693</v>
      </c>
      <c r="D1054" s="5" t="s">
        <v>698</v>
      </c>
      <c r="E1054" s="5" t="s">
        <v>767</v>
      </c>
      <c r="F1054" s="5" t="s">
        <v>796</v>
      </c>
      <c r="G1054" s="5"/>
      <c r="H1054" s="5"/>
      <c r="I1054" s="5"/>
      <c r="J1054" s="6"/>
      <c r="K1054" s="7"/>
      <c r="L1054" s="13"/>
      <c r="M1054" s="8"/>
      <c r="N1054" s="13"/>
      <c r="O1054" s="13"/>
      <c r="P1054" s="13"/>
      <c r="Q1054" s="7"/>
      <c r="R1054" s="6"/>
      <c r="S1054" s="5"/>
      <c r="T1054" s="6"/>
      <c r="U1054" s="6"/>
      <c r="V1054" s="5"/>
      <c r="W1054" s="6"/>
      <c r="X1054" s="6"/>
      <c r="Y1054" s="5"/>
      <c r="Z1054" s="6"/>
      <c r="AA1054" s="6"/>
      <c r="AB1054" s="5"/>
      <c r="AC1054" s="6"/>
      <c r="AD1054" s="6"/>
      <c r="AE1054" s="5"/>
      <c r="AF1054" s="6"/>
      <c r="AG1054" s="6"/>
      <c r="AH1054" s="5"/>
      <c r="AI1054" s="6"/>
      <c r="AJ1054" s="6"/>
      <c r="AK1054" s="5"/>
      <c r="AL1054" s="5"/>
      <c r="AM1054" s="5"/>
      <c r="AN1054" s="5"/>
      <c r="AO1054" s="5"/>
      <c r="AP1054" s="5"/>
      <c r="AQ1054" s="5"/>
    </row>
    <row r="1055" spans="1:43" x14ac:dyDescent="0.25">
      <c r="A1055" s="161" t="str">
        <f t="shared" si="19"/>
        <v>MISSILE_CRUISER_CENTAS</v>
      </c>
      <c r="B1055" s="9" t="s">
        <v>767</v>
      </c>
      <c r="C1055" s="5" t="s">
        <v>918</v>
      </c>
      <c r="D1055" s="5" t="s">
        <v>698</v>
      </c>
      <c r="E1055" s="5" t="s">
        <v>767</v>
      </c>
      <c r="F1055" s="5" t="s">
        <v>796</v>
      </c>
      <c r="G1055" s="5"/>
      <c r="H1055" s="5"/>
      <c r="I1055" s="5"/>
      <c r="J1055" s="6"/>
      <c r="K1055" s="7"/>
      <c r="L1055" s="13"/>
      <c r="M1055" s="8"/>
      <c r="N1055" s="13"/>
      <c r="O1055" s="13"/>
      <c r="P1055" s="13"/>
      <c r="Q1055" s="7"/>
      <c r="R1055" s="6"/>
      <c r="S1055" s="5"/>
      <c r="T1055" s="6"/>
      <c r="U1055" s="6"/>
      <c r="V1055" s="5"/>
      <c r="W1055" s="6"/>
      <c r="X1055" s="6"/>
      <c r="Y1055" s="5"/>
      <c r="Z1055" s="6"/>
      <c r="AA1055" s="6"/>
      <c r="AB1055" s="5"/>
      <c r="AC1055" s="6"/>
      <c r="AD1055" s="6"/>
      <c r="AE1055" s="5"/>
      <c r="AF1055" s="6"/>
      <c r="AG1055" s="6"/>
      <c r="AH1055" s="5"/>
      <c r="AI1055" s="6"/>
      <c r="AJ1055" s="6"/>
      <c r="AK1055" s="5"/>
      <c r="AL1055" s="5"/>
      <c r="AM1055" s="5"/>
      <c r="AN1055" s="5"/>
      <c r="AO1055" s="5"/>
      <c r="AP1055" s="5"/>
      <c r="AQ1055" s="5"/>
    </row>
    <row r="1056" spans="1:43" x14ac:dyDescent="0.25">
      <c r="A1056" s="161" t="str">
        <f t="shared" si="19"/>
        <v>MISSILE_CRUISER_EASTEU</v>
      </c>
      <c r="B1056" s="9" t="s">
        <v>767</v>
      </c>
      <c r="C1056" s="5" t="s">
        <v>698</v>
      </c>
      <c r="D1056" s="5"/>
      <c r="E1056" s="5" t="s">
        <v>767</v>
      </c>
      <c r="F1056" s="5" t="s">
        <v>796</v>
      </c>
      <c r="G1056" s="5"/>
      <c r="H1056" s="5" t="s">
        <v>1937</v>
      </c>
      <c r="I1056" s="5" t="s">
        <v>1938</v>
      </c>
      <c r="J1056" s="6"/>
      <c r="K1056" s="7"/>
      <c r="L1056" s="13"/>
      <c r="M1056" s="8"/>
      <c r="N1056" s="13"/>
      <c r="O1056" s="13"/>
      <c r="P1056" s="13"/>
      <c r="Q1056" s="7"/>
      <c r="R1056" s="6">
        <v>0.1</v>
      </c>
      <c r="S1056" s="5"/>
      <c r="T1056" s="6"/>
      <c r="U1056" s="6"/>
      <c r="V1056" s="5"/>
      <c r="W1056" s="6"/>
      <c r="X1056" s="6"/>
      <c r="Y1056" s="5"/>
      <c r="Z1056" s="6"/>
      <c r="AA1056" s="6"/>
      <c r="AB1056" s="5"/>
      <c r="AC1056" s="6"/>
      <c r="AD1056" s="6"/>
      <c r="AE1056" s="5"/>
      <c r="AF1056" s="6"/>
      <c r="AG1056" s="6"/>
      <c r="AH1056" s="5"/>
      <c r="AI1056" s="6"/>
      <c r="AJ1056" s="6"/>
      <c r="AK1056" s="5"/>
      <c r="AL1056" s="5"/>
      <c r="AM1056" s="5"/>
      <c r="AN1056" s="5"/>
      <c r="AO1056" s="5"/>
      <c r="AP1056" s="5"/>
      <c r="AQ1056" s="5"/>
    </row>
    <row r="1057" spans="1:43" x14ac:dyDescent="0.25">
      <c r="A1057" s="161" t="str">
        <f t="shared" si="19"/>
        <v>MISSIONARY</v>
      </c>
      <c r="B1057" s="9" t="s">
        <v>768</v>
      </c>
      <c r="C1057" s="5"/>
      <c r="D1057" s="5"/>
      <c r="E1057" s="5" t="s">
        <v>768</v>
      </c>
      <c r="F1057" s="5" t="s">
        <v>768</v>
      </c>
      <c r="G1057" s="5"/>
      <c r="H1057" s="5" t="s">
        <v>8</v>
      </c>
      <c r="I1057" s="5" t="s">
        <v>128</v>
      </c>
      <c r="J1057" s="6">
        <v>1</v>
      </c>
      <c r="K1057" s="6"/>
      <c r="L1057" s="13" t="s">
        <v>1708</v>
      </c>
      <c r="M1057" s="8"/>
      <c r="N1057" s="5"/>
      <c r="O1057" s="5"/>
      <c r="P1057" s="5"/>
      <c r="Q1057" s="6">
        <v>1</v>
      </c>
      <c r="R1057" s="6" t="s">
        <v>1737</v>
      </c>
      <c r="S1057" s="13" t="s">
        <v>1614</v>
      </c>
      <c r="T1057" s="6">
        <v>1</v>
      </c>
      <c r="U1057" s="7" t="s">
        <v>1737</v>
      </c>
      <c r="V1057" s="5"/>
      <c r="W1057" s="6"/>
      <c r="X1057" s="6" t="s">
        <v>3</v>
      </c>
      <c r="Y1057" s="5"/>
      <c r="Z1057" s="7">
        <v>1</v>
      </c>
      <c r="AA1057" s="6"/>
      <c r="AB1057" s="5"/>
      <c r="AC1057" s="6"/>
      <c r="AD1057" s="6" t="s">
        <v>3</v>
      </c>
      <c r="AE1057" s="5"/>
      <c r="AF1057" s="6">
        <v>1</v>
      </c>
      <c r="AG1057" s="6"/>
      <c r="AH1057" s="5"/>
      <c r="AI1057" s="6"/>
      <c r="AJ1057" s="6"/>
      <c r="AK1057" s="5"/>
      <c r="AL1057" s="5"/>
      <c r="AM1057" s="5"/>
      <c r="AN1057" s="5"/>
      <c r="AO1057" s="5"/>
      <c r="AP1057" s="5"/>
      <c r="AQ1057" s="5"/>
    </row>
    <row r="1058" spans="1:43" x14ac:dyDescent="0.25">
      <c r="A1058" s="161" t="str">
        <f t="shared" si="19"/>
        <v>MISSIONARY</v>
      </c>
      <c r="B1058" s="9" t="s">
        <v>768</v>
      </c>
      <c r="C1058" s="5"/>
      <c r="D1058" s="5"/>
      <c r="E1058" s="5" t="s">
        <v>768</v>
      </c>
      <c r="F1058" s="5" t="s">
        <v>768</v>
      </c>
      <c r="G1058" s="5" t="s">
        <v>2079</v>
      </c>
      <c r="H1058" s="5" t="s">
        <v>1493</v>
      </c>
      <c r="I1058" s="5" t="s">
        <v>128</v>
      </c>
      <c r="J1058" s="6">
        <v>1</v>
      </c>
      <c r="K1058" s="6"/>
      <c r="L1058" s="13" t="s">
        <v>1708</v>
      </c>
      <c r="M1058" s="8"/>
      <c r="N1058" s="5"/>
      <c r="O1058" s="5"/>
      <c r="P1058" s="5"/>
      <c r="Q1058" s="6">
        <v>1</v>
      </c>
      <c r="R1058" s="6" t="s">
        <v>1737</v>
      </c>
      <c r="S1058" s="13" t="s">
        <v>1614</v>
      </c>
      <c r="T1058" s="6">
        <v>1</v>
      </c>
      <c r="U1058" s="7" t="s">
        <v>1737</v>
      </c>
      <c r="V1058" s="5"/>
      <c r="W1058" s="6"/>
      <c r="X1058" s="6" t="s">
        <v>3</v>
      </c>
      <c r="Y1058" s="5"/>
      <c r="Z1058" s="7">
        <v>0</v>
      </c>
      <c r="AA1058" s="6"/>
      <c r="AB1058" s="5"/>
      <c r="AC1058" s="6"/>
      <c r="AD1058" s="6" t="s">
        <v>3</v>
      </c>
      <c r="AE1058" s="5"/>
      <c r="AF1058" s="6">
        <v>1</v>
      </c>
      <c r="AG1058" s="6"/>
      <c r="AH1058" s="5"/>
      <c r="AI1058" s="6"/>
      <c r="AJ1058" s="6"/>
      <c r="AK1058" s="5"/>
      <c r="AL1058" s="5"/>
      <c r="AM1058" s="5"/>
      <c r="AN1058" s="5"/>
      <c r="AO1058" s="5"/>
      <c r="AP1058" s="5"/>
      <c r="AQ1058" s="5"/>
    </row>
    <row r="1059" spans="1:43" x14ac:dyDescent="0.25">
      <c r="A1059" s="161" t="str">
        <f t="shared" si="19"/>
        <v>MISSIONARY</v>
      </c>
      <c r="B1059" s="9" t="s">
        <v>768</v>
      </c>
      <c r="C1059" s="5"/>
      <c r="D1059" s="5"/>
      <c r="E1059" s="5" t="s">
        <v>768</v>
      </c>
      <c r="F1059" s="5" t="s">
        <v>768</v>
      </c>
      <c r="G1059" s="5" t="s">
        <v>2080</v>
      </c>
      <c r="H1059" s="5" t="s">
        <v>1494</v>
      </c>
      <c r="I1059" s="5" t="s">
        <v>128</v>
      </c>
      <c r="J1059" s="6">
        <v>1</v>
      </c>
      <c r="K1059" s="6"/>
      <c r="L1059" s="13" t="s">
        <v>1708</v>
      </c>
      <c r="M1059" s="8"/>
      <c r="N1059" s="5"/>
      <c r="O1059" s="5"/>
      <c r="P1059" s="5"/>
      <c r="Q1059" s="6">
        <v>1</v>
      </c>
      <c r="R1059" s="6" t="s">
        <v>1737</v>
      </c>
      <c r="S1059" s="13" t="s">
        <v>1614</v>
      </c>
      <c r="T1059" s="6">
        <v>1</v>
      </c>
      <c r="U1059" s="7" t="s">
        <v>1737</v>
      </c>
      <c r="V1059" s="5"/>
      <c r="W1059" s="6"/>
      <c r="X1059" s="6" t="s">
        <v>3</v>
      </c>
      <c r="Y1059" s="5"/>
      <c r="Z1059" s="7">
        <v>0</v>
      </c>
      <c r="AA1059" s="6"/>
      <c r="AB1059" s="5"/>
      <c r="AC1059" s="6"/>
      <c r="AD1059" s="6" t="s">
        <v>3</v>
      </c>
      <c r="AE1059" s="5"/>
      <c r="AF1059" s="6">
        <v>0</v>
      </c>
      <c r="AG1059" s="6"/>
      <c r="AH1059" s="5"/>
      <c r="AI1059" s="6"/>
      <c r="AJ1059" s="6"/>
      <c r="AK1059" s="5"/>
      <c r="AL1059" s="5"/>
      <c r="AM1059" s="5"/>
      <c r="AN1059" s="5"/>
      <c r="AO1059" s="5"/>
      <c r="AP1059" s="5"/>
      <c r="AQ1059" s="5"/>
    </row>
    <row r="1060" spans="1:43" x14ac:dyDescent="0.25">
      <c r="A1060" s="161" t="str">
        <f>CONCATENATE(E1060,IF(ISBLANK(C1060),"",CONCATENATE("_",C1060)))</f>
        <v>MISSIONARY_AFRI</v>
      </c>
      <c r="B1060" s="9" t="s">
        <v>768</v>
      </c>
      <c r="C1060" s="4" t="s">
        <v>694</v>
      </c>
      <c r="E1060" s="5" t="s">
        <v>768</v>
      </c>
      <c r="F1060" s="5" t="s">
        <v>768</v>
      </c>
      <c r="G1060" s="14" t="s">
        <v>132</v>
      </c>
      <c r="H1060" s="4" t="s">
        <v>330</v>
      </c>
      <c r="I1060" s="4" t="s">
        <v>1796</v>
      </c>
      <c r="J1060" s="11">
        <v>1</v>
      </c>
      <c r="Q1060" s="11">
        <v>3</v>
      </c>
    </row>
    <row r="1061" spans="1:43" x14ac:dyDescent="0.25">
      <c r="A1061" s="161" t="str">
        <f t="shared" si="19"/>
        <v>MISSIONARY_AMER</v>
      </c>
      <c r="B1061" s="9" t="s">
        <v>768</v>
      </c>
      <c r="C1061" s="4" t="s">
        <v>697</v>
      </c>
      <c r="E1061" s="4" t="s">
        <v>768</v>
      </c>
      <c r="F1061" s="4" t="s">
        <v>768</v>
      </c>
      <c r="H1061" s="4" t="s">
        <v>466</v>
      </c>
      <c r="I1061" s="4" t="s">
        <v>957</v>
      </c>
      <c r="J1061" s="11">
        <v>1</v>
      </c>
      <c r="Q1061" s="11">
        <v>3</v>
      </c>
      <c r="AF1061" s="11">
        <v>2</v>
      </c>
    </row>
    <row r="1062" spans="1:43" x14ac:dyDescent="0.25">
      <c r="A1062" s="161" t="str">
        <f t="shared" si="19"/>
        <v>MISSIONARY_ASIA</v>
      </c>
      <c r="B1062" s="9" t="s">
        <v>768</v>
      </c>
      <c r="C1062" s="4" t="s">
        <v>693</v>
      </c>
      <c r="E1062" s="4" t="s">
        <v>768</v>
      </c>
      <c r="F1062" s="4" t="s">
        <v>768</v>
      </c>
      <c r="H1062" s="4" t="s">
        <v>832</v>
      </c>
      <c r="I1062" s="4" t="s">
        <v>963</v>
      </c>
      <c r="J1062" s="11">
        <v>1</v>
      </c>
      <c r="Q1062" s="11">
        <v>1</v>
      </c>
      <c r="Z1062" s="11">
        <v>1</v>
      </c>
      <c r="AF1062" s="11">
        <v>1</v>
      </c>
    </row>
    <row r="1063" spans="1:43" x14ac:dyDescent="0.25">
      <c r="A1063" s="161" t="str">
        <f t="shared" si="19"/>
        <v>MISSIONARY_ASIA</v>
      </c>
      <c r="B1063" s="9" t="s">
        <v>768</v>
      </c>
      <c r="C1063" s="4" t="s">
        <v>693</v>
      </c>
      <c r="E1063" s="4" t="s">
        <v>768</v>
      </c>
      <c r="F1063" s="4" t="s">
        <v>768</v>
      </c>
      <c r="G1063" s="4" t="s">
        <v>2040</v>
      </c>
      <c r="H1063" s="4" t="s">
        <v>833</v>
      </c>
      <c r="I1063" s="4" t="s">
        <v>963</v>
      </c>
      <c r="J1063" s="11">
        <v>1</v>
      </c>
      <c r="Q1063" s="11">
        <v>1</v>
      </c>
      <c r="Z1063" s="11">
        <v>0</v>
      </c>
      <c r="AF1063" s="11">
        <v>1</v>
      </c>
    </row>
    <row r="1064" spans="1:43" x14ac:dyDescent="0.25">
      <c r="A1064" s="161" t="str">
        <f t="shared" si="19"/>
        <v>MISSIONARY_ASIA</v>
      </c>
      <c r="B1064" s="9" t="s">
        <v>768</v>
      </c>
      <c r="C1064" s="4" t="s">
        <v>693</v>
      </c>
      <c r="E1064" s="4" t="s">
        <v>768</v>
      </c>
      <c r="F1064" s="4" t="s">
        <v>768</v>
      </c>
      <c r="G1064" s="4" t="s">
        <v>2041</v>
      </c>
      <c r="H1064" s="4" t="s">
        <v>253</v>
      </c>
      <c r="I1064" s="4" t="s">
        <v>963</v>
      </c>
      <c r="J1064" s="11">
        <v>1</v>
      </c>
      <c r="Q1064" s="9">
        <v>1</v>
      </c>
      <c r="Z1064" s="11">
        <v>0</v>
      </c>
      <c r="AF1064" s="9">
        <v>0</v>
      </c>
    </row>
    <row r="1065" spans="1:43" x14ac:dyDescent="0.25">
      <c r="A1065" s="161" t="str">
        <f t="shared" si="19"/>
        <v>MISSIONARY_CELTS</v>
      </c>
      <c r="B1065" s="9" t="s">
        <v>768</v>
      </c>
      <c r="C1065" s="4" t="s">
        <v>709</v>
      </c>
      <c r="E1065" s="4" t="s">
        <v>768</v>
      </c>
      <c r="F1065" s="4" t="s">
        <v>768</v>
      </c>
      <c r="G1065" s="14" t="s">
        <v>132</v>
      </c>
      <c r="H1065" s="4" t="s">
        <v>239</v>
      </c>
      <c r="I1065" s="4" t="s">
        <v>957</v>
      </c>
      <c r="J1065" s="11">
        <v>1</v>
      </c>
      <c r="Q1065" s="11">
        <v>3</v>
      </c>
      <c r="AF1065" s="11">
        <v>2</v>
      </c>
    </row>
    <row r="1066" spans="1:43" x14ac:dyDescent="0.25">
      <c r="A1066" s="161" t="str">
        <f t="shared" si="19"/>
        <v>MISSIONARY_OCEAN</v>
      </c>
      <c r="B1066" s="9" t="s">
        <v>768</v>
      </c>
      <c r="C1066" s="4" t="s">
        <v>994</v>
      </c>
      <c r="D1066" s="4" t="s">
        <v>691</v>
      </c>
      <c r="E1066" s="4" t="s">
        <v>768</v>
      </c>
      <c r="F1066" s="4" t="s">
        <v>768</v>
      </c>
    </row>
    <row r="1067" spans="1:43" x14ac:dyDescent="0.25">
      <c r="A1067" s="161" t="str">
        <f t="shared" si="19"/>
        <v>MISSIONARY_SEASIA</v>
      </c>
      <c r="B1067" s="9" t="s">
        <v>768</v>
      </c>
      <c r="C1067" s="4" t="s">
        <v>696</v>
      </c>
      <c r="D1067" s="4" t="s">
        <v>693</v>
      </c>
      <c r="E1067" s="4" t="s">
        <v>768</v>
      </c>
      <c r="F1067" s="4" t="s">
        <v>768</v>
      </c>
    </row>
    <row r="1068" spans="1:43" x14ac:dyDescent="0.25">
      <c r="A1068" s="161" t="str">
        <f t="shared" si="19"/>
        <v>MISSIONARY_SOUTHAM</v>
      </c>
      <c r="B1068" s="9" t="s">
        <v>768</v>
      </c>
      <c r="C1068" s="4" t="s">
        <v>691</v>
      </c>
      <c r="E1068" s="4" t="s">
        <v>768</v>
      </c>
      <c r="F1068" s="4" t="s">
        <v>768</v>
      </c>
      <c r="H1068" s="4" t="s">
        <v>1802</v>
      </c>
      <c r="I1068" s="4" t="s">
        <v>963</v>
      </c>
      <c r="J1068" s="11">
        <v>1</v>
      </c>
      <c r="Q1068" s="11">
        <v>3</v>
      </c>
    </row>
    <row r="1069" spans="1:43" x14ac:dyDescent="0.25">
      <c r="A1069" s="161" t="str">
        <f t="shared" si="19"/>
        <v>MISSIONARY_SOUTHAS</v>
      </c>
      <c r="B1069" s="9" t="s">
        <v>768</v>
      </c>
      <c r="C1069" s="4" t="s">
        <v>695</v>
      </c>
      <c r="D1069" s="4" t="s">
        <v>693</v>
      </c>
      <c r="E1069" s="4" t="s">
        <v>768</v>
      </c>
      <c r="F1069" s="4" t="s">
        <v>768</v>
      </c>
    </row>
    <row r="1070" spans="1:43" x14ac:dyDescent="0.25">
      <c r="A1070" s="161" t="str">
        <f t="shared" si="19"/>
        <v>MISSIONARY_RENAISSANCE</v>
      </c>
      <c r="B1070" s="9" t="s">
        <v>768</v>
      </c>
      <c r="E1070" s="4" t="s">
        <v>1972</v>
      </c>
      <c r="F1070" s="4" t="s">
        <v>1972</v>
      </c>
      <c r="H1070" s="4" t="s">
        <v>1974</v>
      </c>
      <c r="I1070" s="4" t="s">
        <v>1973</v>
      </c>
      <c r="Q1070" s="6">
        <v>1</v>
      </c>
      <c r="R1070" s="6" t="s">
        <v>1737</v>
      </c>
      <c r="S1070" s="13" t="s">
        <v>1614</v>
      </c>
      <c r="T1070" s="6">
        <v>1</v>
      </c>
      <c r="U1070" s="7" t="s">
        <v>1737</v>
      </c>
      <c r="V1070" s="5"/>
      <c r="W1070" s="6"/>
      <c r="X1070" s="6" t="s">
        <v>3</v>
      </c>
      <c r="Y1070" s="5"/>
      <c r="Z1070" s="7">
        <v>1</v>
      </c>
      <c r="AA1070" s="6"/>
      <c r="AB1070" s="5"/>
      <c r="AC1070" s="6"/>
      <c r="AD1070" s="6" t="s">
        <v>3</v>
      </c>
      <c r="AE1070" s="5"/>
      <c r="AF1070" s="6">
        <v>1</v>
      </c>
      <c r="AG1070" s="6"/>
      <c r="AH1070" s="5"/>
      <c r="AI1070" s="6"/>
      <c r="AJ1070" s="6"/>
      <c r="AK1070" s="5"/>
      <c r="AL1070" s="5"/>
      <c r="AM1070" s="5"/>
      <c r="AN1070" s="5"/>
      <c r="AO1070" s="5"/>
      <c r="AP1070" s="5"/>
      <c r="AQ1070" s="5"/>
    </row>
    <row r="1071" spans="1:43" x14ac:dyDescent="0.25">
      <c r="A1071" s="161" t="str">
        <f t="shared" si="19"/>
        <v>MISSIONARY_RENAISSANCE</v>
      </c>
      <c r="B1071" s="9" t="s">
        <v>768</v>
      </c>
      <c r="E1071" s="4" t="s">
        <v>1972</v>
      </c>
      <c r="F1071" s="4" t="s">
        <v>1972</v>
      </c>
      <c r="G1071" s="4" t="s">
        <v>2040</v>
      </c>
      <c r="H1071" s="4" t="s">
        <v>1975</v>
      </c>
      <c r="I1071" s="4" t="s">
        <v>1973</v>
      </c>
      <c r="Q1071" s="6">
        <v>1</v>
      </c>
      <c r="R1071" s="6" t="s">
        <v>1737</v>
      </c>
      <c r="S1071" s="13" t="s">
        <v>1614</v>
      </c>
      <c r="T1071" s="6">
        <v>1</v>
      </c>
      <c r="U1071" s="7" t="s">
        <v>1737</v>
      </c>
      <c r="V1071" s="5"/>
      <c r="W1071" s="6"/>
      <c r="X1071" s="6" t="s">
        <v>3</v>
      </c>
      <c r="Y1071" s="5"/>
      <c r="Z1071" s="7">
        <v>0</v>
      </c>
      <c r="AA1071" s="6"/>
      <c r="AB1071" s="5"/>
      <c r="AC1071" s="6"/>
      <c r="AD1071" s="6" t="s">
        <v>3</v>
      </c>
      <c r="AE1071" s="5"/>
      <c r="AF1071" s="6">
        <v>1</v>
      </c>
      <c r="AG1071" s="6"/>
      <c r="AH1071" s="5"/>
      <c r="AI1071" s="6"/>
      <c r="AJ1071" s="6"/>
      <c r="AK1071" s="5"/>
      <c r="AL1071" s="5"/>
      <c r="AM1071" s="5"/>
      <c r="AN1071" s="5"/>
      <c r="AO1071" s="5"/>
      <c r="AP1071" s="5"/>
      <c r="AQ1071" s="5"/>
    </row>
    <row r="1072" spans="1:43" x14ac:dyDescent="0.25">
      <c r="A1072" s="161" t="str">
        <f t="shared" ref="A1072:A1081" si="20">CONCATENATE(E1072,IF(ISBLANK(C1072),"",CONCATENATE("_",C1072)))</f>
        <v>MISSIONARY_RENAISSANCE</v>
      </c>
      <c r="B1072" s="9" t="s">
        <v>768</v>
      </c>
      <c r="E1072" s="4" t="s">
        <v>1972</v>
      </c>
      <c r="F1072" s="4" t="s">
        <v>1972</v>
      </c>
      <c r="G1072" s="4" t="s">
        <v>2041</v>
      </c>
      <c r="H1072" s="4" t="s">
        <v>1976</v>
      </c>
      <c r="I1072" s="4" t="s">
        <v>1973</v>
      </c>
      <c r="Q1072" s="6">
        <v>1</v>
      </c>
      <c r="R1072" s="6" t="s">
        <v>1737</v>
      </c>
      <c r="S1072" s="13" t="s">
        <v>1614</v>
      </c>
      <c r="T1072" s="6">
        <v>1</v>
      </c>
      <c r="U1072" s="7" t="s">
        <v>1737</v>
      </c>
      <c r="V1072" s="5"/>
      <c r="W1072" s="6"/>
      <c r="X1072" s="6" t="s">
        <v>3</v>
      </c>
      <c r="Y1072" s="5"/>
      <c r="Z1072" s="7">
        <v>0</v>
      </c>
      <c r="AA1072" s="6"/>
      <c r="AB1072" s="5"/>
      <c r="AC1072" s="6"/>
      <c r="AD1072" s="6" t="s">
        <v>3</v>
      </c>
      <c r="AE1072" s="5"/>
      <c r="AF1072" s="6">
        <v>0</v>
      </c>
      <c r="AG1072" s="6"/>
      <c r="AH1072" s="5"/>
      <c r="AI1072" s="6"/>
      <c r="AJ1072" s="6"/>
      <c r="AK1072" s="5"/>
      <c r="AL1072" s="5"/>
      <c r="AM1072" s="5"/>
      <c r="AN1072" s="5"/>
      <c r="AO1072" s="5"/>
      <c r="AP1072" s="5"/>
      <c r="AQ1072" s="5"/>
    </row>
    <row r="1073" spans="1:43" x14ac:dyDescent="0.25">
      <c r="A1073" s="161" t="str">
        <f>CONCATENATE(E1073,IF(ISBLANK(C1073),"",CONCATENATE("_",C1073)))</f>
        <v>MISSIONARY_RENAISSANCE_AFRI</v>
      </c>
      <c r="B1073" s="9" t="s">
        <v>768</v>
      </c>
      <c r="C1073" s="4" t="s">
        <v>694</v>
      </c>
      <c r="E1073" s="4" t="s">
        <v>1972</v>
      </c>
      <c r="F1073" s="4" t="s">
        <v>768</v>
      </c>
      <c r="H1073" s="4" t="s">
        <v>330</v>
      </c>
      <c r="I1073" s="4" t="s">
        <v>1796</v>
      </c>
      <c r="Q1073" s="11">
        <v>3</v>
      </c>
    </row>
    <row r="1074" spans="1:43" x14ac:dyDescent="0.25">
      <c r="A1074" s="161" t="str">
        <f t="shared" si="20"/>
        <v>MISSIONARY_RENAISSANCE_AMER</v>
      </c>
      <c r="B1074" s="9" t="s">
        <v>768</v>
      </c>
      <c r="C1074" s="4" t="s">
        <v>697</v>
      </c>
      <c r="E1074" s="4" t="s">
        <v>1972</v>
      </c>
      <c r="F1074" s="4" t="s">
        <v>768</v>
      </c>
      <c r="H1074" s="4" t="s">
        <v>466</v>
      </c>
      <c r="I1074" s="4" t="s">
        <v>957</v>
      </c>
      <c r="Q1074" s="11">
        <v>3</v>
      </c>
      <c r="AF1074" s="11">
        <v>2</v>
      </c>
    </row>
    <row r="1075" spans="1:43" x14ac:dyDescent="0.25">
      <c r="A1075" s="161" t="str">
        <f t="shared" si="20"/>
        <v>MISSIONARY_RENAISSANCE_ASIA</v>
      </c>
      <c r="B1075" s="9" t="s">
        <v>768</v>
      </c>
      <c r="C1075" s="4" t="s">
        <v>693</v>
      </c>
      <c r="E1075" s="4" t="s">
        <v>1972</v>
      </c>
      <c r="F1075" s="4" t="s">
        <v>768</v>
      </c>
      <c r="H1075" s="4" t="s">
        <v>832</v>
      </c>
      <c r="I1075" s="4" t="s">
        <v>963</v>
      </c>
      <c r="Q1075" s="11">
        <v>1</v>
      </c>
      <c r="Z1075" s="11">
        <v>1</v>
      </c>
      <c r="AF1075" s="11">
        <v>1</v>
      </c>
    </row>
    <row r="1076" spans="1:43" x14ac:dyDescent="0.25">
      <c r="A1076" s="161" t="str">
        <f t="shared" si="20"/>
        <v>MISSIONARY_RENAISSANCE_ASIA</v>
      </c>
      <c r="B1076" s="9" t="s">
        <v>768</v>
      </c>
      <c r="C1076" s="4" t="s">
        <v>693</v>
      </c>
      <c r="E1076" s="4" t="s">
        <v>1972</v>
      </c>
      <c r="F1076" s="4" t="s">
        <v>768</v>
      </c>
      <c r="G1076" s="4" t="s">
        <v>2040</v>
      </c>
      <c r="H1076" s="4" t="s">
        <v>833</v>
      </c>
      <c r="I1076" s="4" t="s">
        <v>963</v>
      </c>
      <c r="Q1076" s="11">
        <v>1</v>
      </c>
      <c r="Z1076" s="11">
        <v>0</v>
      </c>
      <c r="AF1076" s="11">
        <v>1</v>
      </c>
    </row>
    <row r="1077" spans="1:43" x14ac:dyDescent="0.25">
      <c r="A1077" s="161" t="str">
        <f t="shared" si="20"/>
        <v>MISSIONARY_RENAISSANCE_ASIA</v>
      </c>
      <c r="B1077" s="9" t="s">
        <v>768</v>
      </c>
      <c r="C1077" s="4" t="s">
        <v>693</v>
      </c>
      <c r="E1077" s="4" t="s">
        <v>1972</v>
      </c>
      <c r="F1077" s="4" t="s">
        <v>768</v>
      </c>
      <c r="G1077" s="4" t="s">
        <v>2041</v>
      </c>
      <c r="H1077" s="4" t="s">
        <v>253</v>
      </c>
      <c r="I1077" s="4" t="s">
        <v>963</v>
      </c>
      <c r="Q1077" s="9">
        <v>1</v>
      </c>
      <c r="Z1077" s="11">
        <v>0</v>
      </c>
      <c r="AF1077" s="9">
        <v>0</v>
      </c>
    </row>
    <row r="1078" spans="1:43" x14ac:dyDescent="0.25">
      <c r="A1078" s="161" t="str">
        <f t="shared" si="20"/>
        <v>MISSIONARY_RENAISSANCE_OCEAN</v>
      </c>
      <c r="B1078" s="9" t="s">
        <v>768</v>
      </c>
      <c r="C1078" s="4" t="s">
        <v>994</v>
      </c>
      <c r="D1078" s="4" t="s">
        <v>691</v>
      </c>
      <c r="E1078" s="4" t="s">
        <v>1972</v>
      </c>
      <c r="F1078" s="4" t="s">
        <v>768</v>
      </c>
    </row>
    <row r="1079" spans="1:43" x14ac:dyDescent="0.25">
      <c r="A1079" s="161" t="str">
        <f t="shared" si="20"/>
        <v>MISSIONARY_RENAISSANCE_SEASIA</v>
      </c>
      <c r="B1079" s="9" t="s">
        <v>768</v>
      </c>
      <c r="C1079" s="4" t="s">
        <v>696</v>
      </c>
      <c r="D1079" s="4" t="s">
        <v>693</v>
      </c>
      <c r="E1079" s="4" t="s">
        <v>1972</v>
      </c>
      <c r="F1079" s="4" t="s">
        <v>768</v>
      </c>
    </row>
    <row r="1080" spans="1:43" x14ac:dyDescent="0.25">
      <c r="A1080" s="161" t="str">
        <f t="shared" si="20"/>
        <v>MISSIONARY_RENAISSANCE_SOUTHAM</v>
      </c>
      <c r="B1080" s="9" t="s">
        <v>768</v>
      </c>
      <c r="C1080" s="4" t="s">
        <v>691</v>
      </c>
      <c r="E1080" s="4" t="s">
        <v>1972</v>
      </c>
      <c r="F1080" s="4" t="s">
        <v>768</v>
      </c>
      <c r="H1080" s="4" t="s">
        <v>1802</v>
      </c>
      <c r="I1080" s="4" t="s">
        <v>963</v>
      </c>
      <c r="Q1080" s="11">
        <v>3</v>
      </c>
    </row>
    <row r="1081" spans="1:43" x14ac:dyDescent="0.25">
      <c r="A1081" s="161" t="str">
        <f t="shared" si="20"/>
        <v>MISSIONARY_RENAISSANCE_SOUTHAS</v>
      </c>
      <c r="B1081" s="9" t="s">
        <v>768</v>
      </c>
      <c r="C1081" s="4" t="s">
        <v>695</v>
      </c>
      <c r="D1081" s="4" t="s">
        <v>693</v>
      </c>
      <c r="E1081" s="4" t="s">
        <v>1972</v>
      </c>
      <c r="F1081" s="4" t="s">
        <v>768</v>
      </c>
    </row>
    <row r="1082" spans="1:43" x14ac:dyDescent="0.25">
      <c r="A1082" s="161" t="str">
        <f t="shared" si="19"/>
        <v>MOBILE_SAM</v>
      </c>
      <c r="B1082" s="9" t="s">
        <v>769</v>
      </c>
      <c r="C1082" s="5"/>
      <c r="D1082" s="5"/>
      <c r="E1082" s="5" t="s">
        <v>769</v>
      </c>
      <c r="F1082" s="5" t="s">
        <v>797</v>
      </c>
      <c r="G1082" s="5"/>
      <c r="H1082" s="5" t="s">
        <v>1495</v>
      </c>
      <c r="I1082" s="5" t="s">
        <v>128</v>
      </c>
      <c r="J1082" s="6"/>
      <c r="K1082" s="6"/>
      <c r="L1082" s="13" t="s">
        <v>1709</v>
      </c>
      <c r="M1082" s="8"/>
      <c r="N1082" s="5"/>
      <c r="O1082" s="5"/>
      <c r="P1082" s="5"/>
      <c r="Q1082" s="7">
        <v>3</v>
      </c>
      <c r="R1082" s="6">
        <v>0.11</v>
      </c>
      <c r="S1082" s="13" t="s">
        <v>1623</v>
      </c>
      <c r="T1082" s="6"/>
      <c r="U1082" s="6"/>
      <c r="V1082" s="5"/>
      <c r="W1082" s="6" t="s">
        <v>3</v>
      </c>
      <c r="X1082" s="6" t="s">
        <v>3</v>
      </c>
      <c r="Y1082" s="5"/>
      <c r="Z1082" s="6">
        <v>1</v>
      </c>
      <c r="AA1082" s="6"/>
      <c r="AB1082" s="5"/>
      <c r="AC1082" s="6"/>
      <c r="AD1082" s="6" t="s">
        <v>3</v>
      </c>
      <c r="AE1082" s="5"/>
      <c r="AF1082" s="6"/>
      <c r="AG1082" s="6"/>
      <c r="AH1082" s="5"/>
      <c r="AI1082" s="6"/>
      <c r="AJ1082" s="6"/>
      <c r="AK1082" s="5"/>
      <c r="AL1082" s="5"/>
      <c r="AM1082" s="5"/>
      <c r="AN1082" s="5"/>
      <c r="AO1082" s="5"/>
      <c r="AP1082" s="5"/>
      <c r="AQ1082" s="5"/>
    </row>
    <row r="1083" spans="1:43" x14ac:dyDescent="0.25">
      <c r="A1083" s="161" t="str">
        <f t="shared" si="19"/>
        <v>MOBILE_SAM_FRANCE</v>
      </c>
      <c r="B1083" s="9" t="s">
        <v>769</v>
      </c>
      <c r="C1083" s="4" t="s">
        <v>715</v>
      </c>
      <c r="E1083" s="4" t="s">
        <v>769</v>
      </c>
      <c r="F1083" s="4" t="s">
        <v>797</v>
      </c>
      <c r="G1083" s="14" t="s">
        <v>132</v>
      </c>
      <c r="H1083" s="4" t="s">
        <v>351</v>
      </c>
      <c r="I1083" s="4" t="s">
        <v>120</v>
      </c>
      <c r="R1083" s="11">
        <v>0.12</v>
      </c>
    </row>
    <row r="1084" spans="1:43" x14ac:dyDescent="0.25">
      <c r="A1084" s="161" t="str">
        <f t="shared" si="19"/>
        <v>MOBILE_SAM_GERMANY</v>
      </c>
      <c r="B1084" s="9" t="s">
        <v>769</v>
      </c>
      <c r="C1084" s="4" t="s">
        <v>717</v>
      </c>
      <c r="D1084" s="4" t="s">
        <v>715</v>
      </c>
      <c r="E1084" s="4" t="s">
        <v>769</v>
      </c>
      <c r="F1084" s="4" t="s">
        <v>797</v>
      </c>
      <c r="G1084" s="14"/>
    </row>
    <row r="1085" spans="1:43" x14ac:dyDescent="0.25">
      <c r="A1085" s="161" t="str">
        <f t="shared" si="19"/>
        <v>MOBILE_SAM_SPAIN</v>
      </c>
      <c r="B1085" s="9" t="s">
        <v>769</v>
      </c>
      <c r="C1085" s="4" t="s">
        <v>738</v>
      </c>
      <c r="E1085" s="4" t="s">
        <v>769</v>
      </c>
      <c r="F1085" s="4" t="s">
        <v>797</v>
      </c>
      <c r="G1085" s="14" t="s">
        <v>132</v>
      </c>
      <c r="H1085" s="4" t="s">
        <v>658</v>
      </c>
      <c r="I1085" s="4" t="s">
        <v>120</v>
      </c>
      <c r="R1085" s="11">
        <v>0.12</v>
      </c>
    </row>
    <row r="1086" spans="1:43" x14ac:dyDescent="0.25">
      <c r="A1086" s="161" t="str">
        <f t="shared" si="19"/>
        <v>MOBILE_SAM_MIDEAST</v>
      </c>
      <c r="B1086" s="9" t="s">
        <v>769</v>
      </c>
      <c r="C1086" s="4" t="s">
        <v>690</v>
      </c>
      <c r="E1086" s="4" t="s">
        <v>769</v>
      </c>
      <c r="F1086" s="4" t="s">
        <v>797</v>
      </c>
      <c r="H1086" s="4" t="s">
        <v>166</v>
      </c>
      <c r="I1086" s="4" t="s">
        <v>120</v>
      </c>
      <c r="R1086" s="11">
        <v>0.12</v>
      </c>
    </row>
    <row r="1087" spans="1:43" x14ac:dyDescent="0.25">
      <c r="A1087" s="161" t="str">
        <f t="shared" si="19"/>
        <v>MOBILE_SAM_NORTHAF</v>
      </c>
      <c r="B1087" s="9" t="s">
        <v>769</v>
      </c>
      <c r="C1087" s="4" t="s">
        <v>2011</v>
      </c>
      <c r="D1087" s="4" t="s">
        <v>715</v>
      </c>
      <c r="E1087" s="4" t="s">
        <v>769</v>
      </c>
      <c r="F1087" s="4" t="s">
        <v>797</v>
      </c>
    </row>
    <row r="1088" spans="1:43" x14ac:dyDescent="0.25">
      <c r="A1088" s="161" t="str">
        <f t="shared" si="19"/>
        <v>MOBILE_SAM_SEASIA</v>
      </c>
      <c r="B1088" s="9" t="s">
        <v>769</v>
      </c>
      <c r="C1088" s="4" t="s">
        <v>696</v>
      </c>
      <c r="D1088" s="4" t="s">
        <v>715</v>
      </c>
      <c r="E1088" s="4" t="s">
        <v>769</v>
      </c>
      <c r="F1088" s="4" t="s">
        <v>797</v>
      </c>
    </row>
    <row r="1089" spans="1:43" x14ac:dyDescent="0.25">
      <c r="A1089" s="161" t="str">
        <f t="shared" si="19"/>
        <v>MOBILE_SAM_SOUTHAM</v>
      </c>
      <c r="B1089" s="9" t="s">
        <v>769</v>
      </c>
      <c r="C1089" s="4" t="s">
        <v>691</v>
      </c>
      <c r="D1089" s="4" t="s">
        <v>738</v>
      </c>
      <c r="E1089" s="4" t="s">
        <v>769</v>
      </c>
      <c r="F1089" s="4" t="s">
        <v>797</v>
      </c>
    </row>
    <row r="1090" spans="1:43" x14ac:dyDescent="0.25">
      <c r="A1090" s="161" t="str">
        <f t="shared" si="19"/>
        <v>MOBILE_SAM_SOUTHAS</v>
      </c>
      <c r="B1090" s="9" t="s">
        <v>769</v>
      </c>
      <c r="C1090" s="4" t="s">
        <v>695</v>
      </c>
      <c r="D1090" s="4" t="s">
        <v>690</v>
      </c>
      <c r="E1090" s="4" t="s">
        <v>769</v>
      </c>
      <c r="F1090" s="4" t="s">
        <v>797</v>
      </c>
    </row>
    <row r="1091" spans="1:43" x14ac:dyDescent="0.25">
      <c r="A1091" s="161" t="str">
        <f t="shared" si="19"/>
        <v>MODERN_ARMOR</v>
      </c>
      <c r="B1091" s="9" t="s">
        <v>121</v>
      </c>
      <c r="C1091" s="5"/>
      <c r="D1091" s="5"/>
      <c r="E1091" s="5" t="s">
        <v>121</v>
      </c>
      <c r="F1091" s="5" t="s">
        <v>798</v>
      </c>
      <c r="G1091" s="5"/>
      <c r="H1091" s="5" t="s">
        <v>1496</v>
      </c>
      <c r="I1091" s="5" t="s">
        <v>128</v>
      </c>
      <c r="J1091" s="6"/>
      <c r="K1091" s="6"/>
      <c r="L1091" s="13" t="s">
        <v>1709</v>
      </c>
      <c r="M1091" s="8"/>
      <c r="N1091" s="5"/>
      <c r="O1091" s="5"/>
      <c r="P1091" s="5"/>
      <c r="Q1091" s="7">
        <v>3</v>
      </c>
      <c r="R1091" s="6">
        <v>0.1</v>
      </c>
      <c r="S1091" s="13" t="s">
        <v>1623</v>
      </c>
      <c r="T1091" s="6"/>
      <c r="U1091" s="6"/>
      <c r="V1091" s="5"/>
      <c r="W1091" s="6" t="s">
        <v>3</v>
      </c>
      <c r="X1091" s="6" t="s">
        <v>3</v>
      </c>
      <c r="Y1091" s="5"/>
      <c r="Z1091" s="7">
        <v>1</v>
      </c>
      <c r="AA1091" s="6"/>
      <c r="AB1091" s="5"/>
      <c r="AC1091" s="6"/>
      <c r="AD1091" s="6" t="s">
        <v>3</v>
      </c>
      <c r="AE1091" s="5"/>
      <c r="AF1091" s="6"/>
      <c r="AG1091" s="6"/>
      <c r="AH1091" s="5"/>
      <c r="AI1091" s="6"/>
      <c r="AJ1091" s="6"/>
      <c r="AK1091" s="5"/>
      <c r="AL1091" s="5"/>
      <c r="AM1091" s="5"/>
      <c r="AN1091" s="5"/>
      <c r="AO1091" s="5"/>
      <c r="AP1091" s="5"/>
      <c r="AQ1091" s="5"/>
    </row>
    <row r="1092" spans="1:43" x14ac:dyDescent="0.25">
      <c r="A1092" s="161" t="str">
        <f t="shared" si="19"/>
        <v>MODERN_ARMOR_AFRI</v>
      </c>
      <c r="B1092" s="9" t="s">
        <v>121</v>
      </c>
      <c r="C1092" s="4" t="s">
        <v>694</v>
      </c>
      <c r="E1092" s="4" t="s">
        <v>121</v>
      </c>
      <c r="F1092" s="4" t="s">
        <v>798</v>
      </c>
      <c r="H1092" s="4" t="s">
        <v>684</v>
      </c>
      <c r="I1092" s="4" t="s">
        <v>131</v>
      </c>
    </row>
    <row r="1093" spans="1:43" x14ac:dyDescent="0.25">
      <c r="A1093" s="161" t="str">
        <f t="shared" si="19"/>
        <v>MODERN_ARMOR_ETHIOPIA</v>
      </c>
      <c r="B1093" s="9" t="s">
        <v>121</v>
      </c>
      <c r="C1093" s="4" t="s">
        <v>714</v>
      </c>
      <c r="E1093" s="4" t="s">
        <v>121</v>
      </c>
      <c r="F1093" s="4" t="s">
        <v>798</v>
      </c>
      <c r="G1093" s="14" t="s">
        <v>132</v>
      </c>
      <c r="H1093" s="4" t="s">
        <v>327</v>
      </c>
      <c r="I1093" s="4" t="s">
        <v>131</v>
      </c>
    </row>
    <row r="1094" spans="1:43" x14ac:dyDescent="0.25">
      <c r="A1094" s="161" t="str">
        <f t="shared" si="19"/>
        <v>MODERN_ARMOR_SONGHAI</v>
      </c>
      <c r="B1094" s="9" t="s">
        <v>121</v>
      </c>
      <c r="C1094" s="4" t="s">
        <v>737</v>
      </c>
      <c r="E1094" s="4" t="s">
        <v>121</v>
      </c>
      <c r="F1094" s="4" t="s">
        <v>798</v>
      </c>
      <c r="G1094" s="14" t="s">
        <v>132</v>
      </c>
      <c r="H1094" s="4" t="s">
        <v>642</v>
      </c>
      <c r="I1094" s="4" t="s">
        <v>131</v>
      </c>
    </row>
    <row r="1095" spans="1:43" x14ac:dyDescent="0.25">
      <c r="A1095" s="161" t="str">
        <f t="shared" si="19"/>
        <v>MODERN_ARMOR_ZULU</v>
      </c>
      <c r="B1095" s="9" t="s">
        <v>121</v>
      </c>
      <c r="C1095" s="4" t="s">
        <v>742</v>
      </c>
      <c r="D1095" s="4" t="s">
        <v>713</v>
      </c>
      <c r="E1095" s="4" t="s">
        <v>121</v>
      </c>
      <c r="F1095" s="4" t="s">
        <v>798</v>
      </c>
      <c r="G1095" s="14"/>
    </row>
    <row r="1096" spans="1:43" x14ac:dyDescent="0.25">
      <c r="A1096" s="161" t="str">
        <f t="shared" si="19"/>
        <v>MODERN_ARMOR_AMER</v>
      </c>
      <c r="B1096" s="9" t="s">
        <v>121</v>
      </c>
      <c r="C1096" s="4" t="s">
        <v>697</v>
      </c>
      <c r="D1096" s="4" t="s">
        <v>699</v>
      </c>
      <c r="E1096" s="4" t="s">
        <v>121</v>
      </c>
      <c r="F1096" s="4" t="s">
        <v>798</v>
      </c>
      <c r="G1096" s="14"/>
    </row>
    <row r="1097" spans="1:43" x14ac:dyDescent="0.25">
      <c r="A1097" s="161" t="str">
        <f t="shared" si="19"/>
        <v>MODERN_ARMOR_ASIA</v>
      </c>
      <c r="B1097" s="9" t="s">
        <v>121</v>
      </c>
      <c r="C1097" s="4" t="s">
        <v>693</v>
      </c>
      <c r="D1097" s="4" t="s">
        <v>698</v>
      </c>
      <c r="E1097" s="4" t="s">
        <v>121</v>
      </c>
      <c r="F1097" s="4" t="s">
        <v>798</v>
      </c>
    </row>
    <row r="1098" spans="1:43" x14ac:dyDescent="0.25">
      <c r="A1098" s="161" t="str">
        <f t="shared" si="19"/>
        <v>MODERN_ARMOR_CHINA</v>
      </c>
      <c r="B1098" s="9" t="s">
        <v>121</v>
      </c>
      <c r="C1098" s="4" t="s">
        <v>710</v>
      </c>
      <c r="E1098" s="4" t="s">
        <v>121</v>
      </c>
      <c r="F1098" s="4" t="s">
        <v>798</v>
      </c>
      <c r="G1098" s="14" t="s">
        <v>132</v>
      </c>
      <c r="H1098" s="4" t="s">
        <v>254</v>
      </c>
      <c r="I1098" s="4" t="s">
        <v>131</v>
      </c>
    </row>
    <row r="1099" spans="1:43" x14ac:dyDescent="0.25">
      <c r="A1099" s="161" t="str">
        <f t="shared" si="19"/>
        <v>MODERN_ARMOR_MONGOL</v>
      </c>
      <c r="B1099" s="9" t="s">
        <v>121</v>
      </c>
      <c r="C1099" s="4" t="s">
        <v>728</v>
      </c>
      <c r="E1099" s="4" t="s">
        <v>121</v>
      </c>
      <c r="F1099" s="4" t="s">
        <v>798</v>
      </c>
      <c r="G1099" s="14" t="s">
        <v>132</v>
      </c>
      <c r="H1099" s="4" t="s">
        <v>532</v>
      </c>
      <c r="I1099" s="4" t="s">
        <v>131</v>
      </c>
    </row>
    <row r="1100" spans="1:43" x14ac:dyDescent="0.25">
      <c r="A1100" s="161" t="str">
        <f t="shared" si="19"/>
        <v>MODERN_ARMOR_CENTAS</v>
      </c>
      <c r="B1100" s="9" t="s">
        <v>121</v>
      </c>
      <c r="C1100" s="4" t="s">
        <v>918</v>
      </c>
      <c r="D1100" s="4" t="s">
        <v>698</v>
      </c>
      <c r="E1100" s="4" t="s">
        <v>121</v>
      </c>
      <c r="F1100" s="4" t="s">
        <v>798</v>
      </c>
      <c r="G1100" s="14" t="s">
        <v>132</v>
      </c>
    </row>
    <row r="1101" spans="1:43" x14ac:dyDescent="0.25">
      <c r="A1101" s="161" t="str">
        <f t="shared" si="19"/>
        <v>MODERN_ARMOR_OTTOMAN</v>
      </c>
      <c r="B1101" s="9" t="s">
        <v>121</v>
      </c>
      <c r="C1101" s="4" t="s">
        <v>1037</v>
      </c>
      <c r="E1101" s="4" t="s">
        <v>121</v>
      </c>
      <c r="F1101" s="4" t="s">
        <v>798</v>
      </c>
      <c r="G1101" s="14" t="s">
        <v>132</v>
      </c>
      <c r="H1101" s="4" t="s">
        <v>1040</v>
      </c>
      <c r="I1101" s="4" t="s">
        <v>120</v>
      </c>
    </row>
    <row r="1102" spans="1:43" x14ac:dyDescent="0.25">
      <c r="A1102" s="161" t="str">
        <f t="shared" si="19"/>
        <v>MODERN_ARMOR_EASTEU</v>
      </c>
      <c r="B1102" s="9" t="s">
        <v>121</v>
      </c>
      <c r="C1102" s="4" t="s">
        <v>698</v>
      </c>
      <c r="E1102" s="4" t="s">
        <v>121</v>
      </c>
      <c r="F1102" s="4" t="s">
        <v>798</v>
      </c>
      <c r="H1102" s="4" t="s">
        <v>451</v>
      </c>
      <c r="I1102" s="4" t="s">
        <v>1935</v>
      </c>
      <c r="R1102" s="11">
        <v>9.5000000000000001E-2</v>
      </c>
    </row>
    <row r="1103" spans="1:43" x14ac:dyDescent="0.25">
      <c r="A1103" s="161" t="str">
        <f t="shared" si="19"/>
        <v>MODERN_ARMOR_RUSSIA</v>
      </c>
      <c r="B1103" s="9" t="s">
        <v>121</v>
      </c>
      <c r="C1103" s="4" t="s">
        <v>735</v>
      </c>
      <c r="E1103" s="4" t="s">
        <v>121</v>
      </c>
      <c r="F1103" s="4" t="s">
        <v>798</v>
      </c>
      <c r="G1103" s="14" t="s">
        <v>132</v>
      </c>
      <c r="H1103" s="4" t="s">
        <v>619</v>
      </c>
      <c r="I1103" s="4" t="s">
        <v>1061</v>
      </c>
    </row>
    <row r="1104" spans="1:43" x14ac:dyDescent="0.25">
      <c r="A1104" s="161" t="str">
        <f t="shared" si="19"/>
        <v>MODERN_ARMOR_AMERICA</v>
      </c>
      <c r="B1104" s="9" t="s">
        <v>121</v>
      </c>
      <c r="C1104" s="4" t="s">
        <v>699</v>
      </c>
      <c r="E1104" s="4" t="s">
        <v>121</v>
      </c>
      <c r="F1104" s="4" t="s">
        <v>798</v>
      </c>
      <c r="G1104" s="14"/>
      <c r="H1104" s="4" t="s">
        <v>144</v>
      </c>
      <c r="I1104" s="4" t="s">
        <v>124</v>
      </c>
      <c r="R1104" s="11">
        <v>9.5000000000000001E-2</v>
      </c>
    </row>
    <row r="1105" spans="1:18" x14ac:dyDescent="0.25">
      <c r="A1105" s="161" t="str">
        <f t="shared" si="19"/>
        <v>MODERN_ARMOR_AUSTRALIA</v>
      </c>
      <c r="B1105" s="9" t="s">
        <v>121</v>
      </c>
      <c r="C1105" s="4" t="s">
        <v>1302</v>
      </c>
      <c r="D1105" s="4" t="s">
        <v>713</v>
      </c>
      <c r="E1105" s="4" t="s">
        <v>121</v>
      </c>
      <c r="F1105" s="4" t="s">
        <v>798</v>
      </c>
      <c r="G1105" s="14"/>
    </row>
    <row r="1106" spans="1:18" x14ac:dyDescent="0.25">
      <c r="A1106" s="161" t="str">
        <f t="shared" si="19"/>
        <v>MODERN_ARMOR_AUSTRIA</v>
      </c>
      <c r="B1106" s="9" t="s">
        <v>121</v>
      </c>
      <c r="C1106" s="4" t="s">
        <v>701</v>
      </c>
      <c r="D1106" s="4" t="s">
        <v>717</v>
      </c>
      <c r="E1106" s="4" t="s">
        <v>121</v>
      </c>
      <c r="F1106" s="4" t="s">
        <v>798</v>
      </c>
      <c r="G1106" s="14"/>
    </row>
    <row r="1107" spans="1:18" x14ac:dyDescent="0.25">
      <c r="A1107" s="161" t="str">
        <f t="shared" si="19"/>
        <v>MODERN_ARMOR_CANADA</v>
      </c>
      <c r="B1107" s="9" t="s">
        <v>121</v>
      </c>
      <c r="C1107" s="4" t="s">
        <v>2209</v>
      </c>
      <c r="D1107" s="4" t="s">
        <v>713</v>
      </c>
      <c r="E1107" s="4" t="s">
        <v>121</v>
      </c>
      <c r="F1107" s="4" t="s">
        <v>798</v>
      </c>
      <c r="G1107" s="14"/>
    </row>
    <row r="1108" spans="1:18" x14ac:dyDescent="0.25">
      <c r="A1108" s="161" t="str">
        <f t="shared" si="19"/>
        <v>MODERN_ARMOR_CELTS</v>
      </c>
      <c r="B1108" s="9" t="s">
        <v>121</v>
      </c>
      <c r="C1108" s="4" t="s">
        <v>709</v>
      </c>
      <c r="D1108" s="4" t="s">
        <v>713</v>
      </c>
      <c r="E1108" s="4" t="s">
        <v>121</v>
      </c>
      <c r="F1108" s="4" t="s">
        <v>798</v>
      </c>
      <c r="G1108" s="14"/>
    </row>
    <row r="1109" spans="1:18" x14ac:dyDescent="0.25">
      <c r="A1109" s="161" t="str">
        <f t="shared" si="19"/>
        <v>MODERN_ARMOR_ENGLAND</v>
      </c>
      <c r="B1109" s="9" t="s">
        <v>121</v>
      </c>
      <c r="C1109" s="4" t="s">
        <v>713</v>
      </c>
      <c r="E1109" s="4" t="s">
        <v>121</v>
      </c>
      <c r="F1109" s="4" t="s">
        <v>798</v>
      </c>
      <c r="G1109" s="14" t="s">
        <v>132</v>
      </c>
      <c r="H1109" s="4" t="s">
        <v>305</v>
      </c>
      <c r="I1109" s="4" t="s">
        <v>120</v>
      </c>
    </row>
    <row r="1110" spans="1:18" x14ac:dyDescent="0.25">
      <c r="A1110" s="161" t="str">
        <f t="shared" si="19"/>
        <v>MODERN_ARMOR_FRANCE</v>
      </c>
      <c r="B1110" s="9" t="s">
        <v>121</v>
      </c>
      <c r="C1110" s="4" t="s">
        <v>715</v>
      </c>
      <c r="E1110" s="4" t="s">
        <v>121</v>
      </c>
      <c r="F1110" s="4" t="s">
        <v>798</v>
      </c>
      <c r="G1110" s="14" t="s">
        <v>132</v>
      </c>
      <c r="H1110" s="4" t="s">
        <v>352</v>
      </c>
      <c r="I1110" s="4" t="s">
        <v>1051</v>
      </c>
      <c r="R1110" s="11">
        <v>0.10299999999999999</v>
      </c>
    </row>
    <row r="1111" spans="1:18" x14ac:dyDescent="0.25">
      <c r="A1111" s="161" t="str">
        <f t="shared" si="19"/>
        <v>MODERN_ARMOR_GERMANY</v>
      </c>
      <c r="B1111" s="9" t="s">
        <v>121</v>
      </c>
      <c r="C1111" s="4" t="s">
        <v>717</v>
      </c>
      <c r="E1111" s="4" t="s">
        <v>121</v>
      </c>
      <c r="F1111" s="4" t="s">
        <v>798</v>
      </c>
      <c r="G1111" s="14" t="s">
        <v>132</v>
      </c>
      <c r="H1111" s="4" t="s">
        <v>383</v>
      </c>
      <c r="I1111" s="4" t="s">
        <v>1061</v>
      </c>
    </row>
    <row r="1112" spans="1:18" x14ac:dyDescent="0.25">
      <c r="A1112" s="161" t="str">
        <f t="shared" si="19"/>
        <v>MODERN_ARMOR_NETHERLANDS</v>
      </c>
      <c r="B1112" s="9" t="s">
        <v>121</v>
      </c>
      <c r="C1112" s="4" t="s">
        <v>730</v>
      </c>
      <c r="E1112" s="4" t="s">
        <v>121</v>
      </c>
      <c r="F1112" s="4" t="s">
        <v>798</v>
      </c>
      <c r="G1112" s="14" t="s">
        <v>132</v>
      </c>
      <c r="H1112" s="4" t="s">
        <v>545</v>
      </c>
      <c r="I1112" s="4" t="s">
        <v>120</v>
      </c>
    </row>
    <row r="1113" spans="1:18" x14ac:dyDescent="0.25">
      <c r="A1113" s="161" t="str">
        <f t="shared" ref="A1113:A1192" si="21">CONCATENATE(E1113,IF(ISBLANK(C1113),"",CONCATENATE("_",C1113)))</f>
        <v>MODERN_ARMOR_GREECE</v>
      </c>
      <c r="B1113" s="9" t="s">
        <v>121</v>
      </c>
      <c r="C1113" s="4" t="s">
        <v>718</v>
      </c>
      <c r="E1113" s="4" t="s">
        <v>121</v>
      </c>
      <c r="F1113" s="4" t="s">
        <v>798</v>
      </c>
      <c r="G1113" s="14" t="s">
        <v>132</v>
      </c>
      <c r="H1113" s="4" t="s">
        <v>408</v>
      </c>
      <c r="I1113" s="4" t="s">
        <v>120</v>
      </c>
      <c r="R1113" s="11">
        <v>0.10299999999999999</v>
      </c>
    </row>
    <row r="1114" spans="1:18" x14ac:dyDescent="0.25">
      <c r="A1114" s="161" t="str">
        <f t="shared" si="21"/>
        <v>MODERN_ARMOR_ROME</v>
      </c>
      <c r="B1114" s="9" t="s">
        <v>121</v>
      </c>
      <c r="C1114" s="4" t="s">
        <v>734</v>
      </c>
      <c r="E1114" s="4" t="s">
        <v>121</v>
      </c>
      <c r="F1114" s="4" t="s">
        <v>798</v>
      </c>
      <c r="G1114" s="14" t="s">
        <v>132</v>
      </c>
      <c r="H1114" s="4" t="s">
        <v>595</v>
      </c>
      <c r="I1114" s="4" t="s">
        <v>1069</v>
      </c>
    </row>
    <row r="1115" spans="1:18" x14ac:dyDescent="0.25">
      <c r="A1115" s="161" t="str">
        <f t="shared" si="21"/>
        <v>MODERN_ARMOR_MIDEAST</v>
      </c>
      <c r="B1115" s="9" t="s">
        <v>121</v>
      </c>
      <c r="C1115" s="4" t="s">
        <v>690</v>
      </c>
      <c r="E1115" s="4" t="s">
        <v>121</v>
      </c>
      <c r="F1115" s="4" t="s">
        <v>798</v>
      </c>
      <c r="H1115" s="4" t="s">
        <v>174</v>
      </c>
      <c r="I1115" s="4" t="s">
        <v>1935</v>
      </c>
      <c r="R1115" s="11">
        <v>9.5000000000000001E-2</v>
      </c>
    </row>
    <row r="1116" spans="1:18" x14ac:dyDescent="0.25">
      <c r="A1116" s="161" t="str">
        <f t="shared" si="21"/>
        <v>MODERN_ARMOR_LEVANT</v>
      </c>
      <c r="B1116" s="9" t="s">
        <v>121</v>
      </c>
      <c r="C1116" s="4" t="s">
        <v>724</v>
      </c>
      <c r="D1116" s="4" t="s">
        <v>699</v>
      </c>
      <c r="E1116" s="4" t="s">
        <v>121</v>
      </c>
      <c r="F1116" s="4" t="s">
        <v>798</v>
      </c>
    </row>
    <row r="1117" spans="1:18" x14ac:dyDescent="0.25">
      <c r="A1117" s="161" t="str">
        <f t="shared" si="21"/>
        <v>MODERN_ARMOR_ARABIA</v>
      </c>
      <c r="B1117" s="9" t="s">
        <v>121</v>
      </c>
      <c r="C1117" s="4" t="s">
        <v>700</v>
      </c>
      <c r="D1117" s="14"/>
      <c r="E1117" s="4" t="s">
        <v>121</v>
      </c>
      <c r="F1117" s="4" t="s">
        <v>798</v>
      </c>
      <c r="G1117" s="14"/>
      <c r="H1117" s="4" t="s">
        <v>167</v>
      </c>
      <c r="I1117" s="4" t="s">
        <v>120</v>
      </c>
    </row>
    <row r="1118" spans="1:18" x14ac:dyDescent="0.25">
      <c r="A1118" s="161" t="str">
        <f t="shared" si="21"/>
        <v>MODERN_ARMOR_BABYLON</v>
      </c>
      <c r="B1118" s="9" t="s">
        <v>121</v>
      </c>
      <c r="C1118" s="4" t="s">
        <v>703</v>
      </c>
      <c r="E1118" s="4" t="s">
        <v>121</v>
      </c>
      <c r="F1118" s="4" t="s">
        <v>798</v>
      </c>
      <c r="G1118" s="14"/>
      <c r="H1118" s="4" t="s">
        <v>214</v>
      </c>
      <c r="I1118" s="4" t="s">
        <v>1935</v>
      </c>
      <c r="R1118" s="11">
        <v>9.5000000000000001E-2</v>
      </c>
    </row>
    <row r="1119" spans="1:18" x14ac:dyDescent="0.25">
      <c r="A1119" s="161" t="str">
        <f t="shared" si="21"/>
        <v>MODERN_ARMOR_EGYPT</v>
      </c>
      <c r="B1119" s="9" t="s">
        <v>121</v>
      </c>
      <c r="C1119" s="4" t="s">
        <v>712</v>
      </c>
      <c r="E1119" s="4" t="s">
        <v>121</v>
      </c>
      <c r="F1119" s="4" t="s">
        <v>798</v>
      </c>
      <c r="G1119" s="14" t="s">
        <v>132</v>
      </c>
      <c r="H1119" s="4" t="s">
        <v>284</v>
      </c>
      <c r="I1119" s="4" t="s">
        <v>131</v>
      </c>
    </row>
    <row r="1120" spans="1:18" x14ac:dyDescent="0.25">
      <c r="A1120" s="161" t="str">
        <f t="shared" si="21"/>
        <v>MODERN_ARMOR_PERSIA</v>
      </c>
      <c r="B1120" s="9" t="s">
        <v>121</v>
      </c>
      <c r="C1120" s="4" t="s">
        <v>731</v>
      </c>
      <c r="E1120" s="4" t="s">
        <v>121</v>
      </c>
      <c r="F1120" s="4" t="s">
        <v>798</v>
      </c>
      <c r="G1120" s="14" t="s">
        <v>132</v>
      </c>
      <c r="H1120" s="4" t="s">
        <v>560</v>
      </c>
      <c r="I1120" s="4" t="s">
        <v>1935</v>
      </c>
      <c r="R1120" s="11">
        <v>9.5000000000000001E-2</v>
      </c>
    </row>
    <row r="1121" spans="1:43" x14ac:dyDescent="0.25">
      <c r="A1121" s="161" t="str">
        <f>CONCATENATE(E1121,IF(ISBLANK(C1121),"",CONCATENATE("_",C1121)))</f>
        <v>MODERN_ARMOR_NORTHAF</v>
      </c>
      <c r="B1121" s="9" t="s">
        <v>121</v>
      </c>
      <c r="C1121" s="4" t="s">
        <v>2011</v>
      </c>
      <c r="E1121" s="4" t="s">
        <v>121</v>
      </c>
      <c r="F1121" s="4" t="s">
        <v>798</v>
      </c>
      <c r="G1121" s="14" t="s">
        <v>132</v>
      </c>
      <c r="H1121" s="4" t="s">
        <v>230</v>
      </c>
      <c r="I1121" s="4" t="s">
        <v>1935</v>
      </c>
      <c r="R1121" s="11">
        <v>9.5000000000000001E-2</v>
      </c>
    </row>
    <row r="1122" spans="1:43" x14ac:dyDescent="0.25">
      <c r="A1122" s="161" t="str">
        <f t="shared" si="21"/>
        <v>MODERN_ARMOR_OCEAN</v>
      </c>
      <c r="B1122" s="9" t="s">
        <v>121</v>
      </c>
      <c r="C1122" s="4" t="s">
        <v>994</v>
      </c>
      <c r="D1122" s="4" t="s">
        <v>699</v>
      </c>
      <c r="E1122" s="4" t="s">
        <v>121</v>
      </c>
      <c r="F1122" s="4" t="s">
        <v>798</v>
      </c>
      <c r="G1122" s="14"/>
    </row>
    <row r="1123" spans="1:43" x14ac:dyDescent="0.25">
      <c r="A1123" s="161" t="str">
        <f>CONCATENATE(E1123,IF(ISBLANK(C1123),"",CONCATENATE("_",C1123)))</f>
        <v>MODERN_ARMOR_SAHUL</v>
      </c>
      <c r="B1123" s="9" t="s">
        <v>121</v>
      </c>
      <c r="C1123" s="4" t="s">
        <v>1788</v>
      </c>
      <c r="D1123" s="4" t="s">
        <v>730</v>
      </c>
      <c r="E1123" s="4" t="s">
        <v>121</v>
      </c>
      <c r="F1123" s="4" t="s">
        <v>798</v>
      </c>
      <c r="G1123" s="14"/>
    </row>
    <row r="1124" spans="1:43" x14ac:dyDescent="0.25">
      <c r="A1124" s="161" t="str">
        <f t="shared" si="21"/>
        <v>MODERN_ARMOR_SEASIA</v>
      </c>
      <c r="B1124" s="9" t="s">
        <v>121</v>
      </c>
      <c r="C1124" s="4" t="s">
        <v>696</v>
      </c>
      <c r="D1124" s="4" t="s">
        <v>698</v>
      </c>
      <c r="E1124" s="4" t="s">
        <v>121</v>
      </c>
      <c r="F1124" s="4" t="s">
        <v>798</v>
      </c>
    </row>
    <row r="1125" spans="1:43" x14ac:dyDescent="0.25">
      <c r="A1125" s="161" t="str">
        <f t="shared" si="21"/>
        <v>MODERN_ARMOR_SIAM</v>
      </c>
      <c r="B1125" s="9" t="s">
        <v>121</v>
      </c>
      <c r="C1125" s="4" t="s">
        <v>736</v>
      </c>
      <c r="E1125" s="4" t="s">
        <v>121</v>
      </c>
      <c r="F1125" s="4" t="s">
        <v>798</v>
      </c>
      <c r="G1125" s="14" t="s">
        <v>132</v>
      </c>
      <c r="H1125" s="4" t="s">
        <v>638</v>
      </c>
      <c r="I1125" s="4" t="s">
        <v>124</v>
      </c>
    </row>
    <row r="1126" spans="1:43" x14ac:dyDescent="0.25">
      <c r="A1126" s="161" t="str">
        <f t="shared" si="21"/>
        <v>MODERN_ARMOR_INCA</v>
      </c>
      <c r="B1126" s="9" t="s">
        <v>121</v>
      </c>
      <c r="C1126" s="4" t="s">
        <v>719</v>
      </c>
      <c r="E1126" s="4" t="s">
        <v>121</v>
      </c>
      <c r="F1126" s="4" t="s">
        <v>798</v>
      </c>
      <c r="G1126" s="14" t="s">
        <v>132</v>
      </c>
      <c r="H1126" s="4" t="s">
        <v>424</v>
      </c>
      <c r="I1126" s="4" t="s">
        <v>131</v>
      </c>
    </row>
    <row r="1127" spans="1:43" x14ac:dyDescent="0.25">
      <c r="A1127" s="161" t="str">
        <f t="shared" si="21"/>
        <v>MODERN_ARMOR_SOUTHAS</v>
      </c>
      <c r="B1127" s="9" t="s">
        <v>121</v>
      </c>
      <c r="C1127" s="4" t="s">
        <v>695</v>
      </c>
      <c r="D1127" s="4" t="s">
        <v>698</v>
      </c>
      <c r="E1127" s="4" t="s">
        <v>121</v>
      </c>
      <c r="F1127" s="4" t="s">
        <v>798</v>
      </c>
    </row>
    <row r="1128" spans="1:43" x14ac:dyDescent="0.25">
      <c r="A1128" s="161" t="str">
        <f t="shared" si="21"/>
        <v>MODERN_ARMOR_INDIA</v>
      </c>
      <c r="B1128" s="9" t="s">
        <v>121</v>
      </c>
      <c r="C1128" s="4" t="s">
        <v>720</v>
      </c>
      <c r="E1128" s="4" t="s">
        <v>121</v>
      </c>
      <c r="F1128" s="4" t="s">
        <v>798</v>
      </c>
      <c r="G1128" s="14" t="s">
        <v>132</v>
      </c>
      <c r="H1128" s="4" t="s">
        <v>439</v>
      </c>
      <c r="I1128" s="4" t="s">
        <v>1935</v>
      </c>
      <c r="R1128" s="11">
        <v>9.5000000000000001E-2</v>
      </c>
    </row>
    <row r="1129" spans="1:43" x14ac:dyDescent="0.25">
      <c r="A1129" s="161" t="str">
        <f t="shared" si="21"/>
        <v>MUSKETMAN</v>
      </c>
      <c r="B1129" s="9" t="s">
        <v>129</v>
      </c>
      <c r="C1129" s="5"/>
      <c r="D1129" s="5"/>
      <c r="E1129" s="5" t="s">
        <v>129</v>
      </c>
      <c r="F1129" s="5" t="s">
        <v>129</v>
      </c>
      <c r="G1129" s="5"/>
      <c r="H1129" s="5" t="s">
        <v>25</v>
      </c>
      <c r="I1129" s="5" t="s">
        <v>128</v>
      </c>
      <c r="J1129" s="6"/>
      <c r="K1129" s="6"/>
      <c r="L1129" s="13" t="s">
        <v>1708</v>
      </c>
      <c r="M1129" s="8"/>
      <c r="N1129" s="5"/>
      <c r="O1129" s="5"/>
      <c r="P1129" s="5"/>
      <c r="Q1129" s="7">
        <v>14</v>
      </c>
      <c r="R1129" s="6" t="s">
        <v>1737</v>
      </c>
      <c r="S1129" s="13" t="s">
        <v>1619</v>
      </c>
      <c r="T1129" s="7">
        <v>19</v>
      </c>
      <c r="U1129" s="7" t="s">
        <v>1737</v>
      </c>
      <c r="V1129" s="5"/>
      <c r="W1129" s="6" t="s">
        <v>3</v>
      </c>
      <c r="X1129" s="6" t="s">
        <v>3</v>
      </c>
      <c r="Y1129" s="5"/>
      <c r="Z1129" s="7">
        <v>1</v>
      </c>
      <c r="AA1129" s="6"/>
      <c r="AB1129" s="5"/>
      <c r="AC1129" s="6"/>
      <c r="AD1129" s="6" t="s">
        <v>3</v>
      </c>
      <c r="AE1129" s="5"/>
      <c r="AF1129" s="7" t="s">
        <v>1737</v>
      </c>
      <c r="AG1129" s="6"/>
      <c r="AH1129" s="5"/>
      <c r="AI1129" s="7" t="s">
        <v>1737</v>
      </c>
      <c r="AJ1129" s="6"/>
      <c r="AK1129" s="5"/>
      <c r="AL1129" s="5"/>
      <c r="AM1129" s="5"/>
      <c r="AN1129" s="5"/>
      <c r="AO1129" s="5"/>
      <c r="AP1129" s="5"/>
      <c r="AQ1129" s="5"/>
    </row>
    <row r="1130" spans="1:43" x14ac:dyDescent="0.25">
      <c r="A1130" s="161" t="str">
        <f t="shared" si="21"/>
        <v>MUSKETMAN_ETHIOPIA</v>
      </c>
      <c r="B1130" s="9" t="s">
        <v>129</v>
      </c>
      <c r="C1130" s="4" t="s">
        <v>714</v>
      </c>
      <c r="E1130" s="4" t="s">
        <v>129</v>
      </c>
      <c r="F1130" s="4" t="s">
        <v>129</v>
      </c>
      <c r="H1130" s="4" t="s">
        <v>871</v>
      </c>
      <c r="I1130" s="4" t="s">
        <v>1944</v>
      </c>
      <c r="Q1130" s="11">
        <v>4</v>
      </c>
      <c r="T1130" s="11">
        <v>3</v>
      </c>
      <c r="Z1130" s="11">
        <v>1</v>
      </c>
      <c r="AF1130" s="11">
        <v>1</v>
      </c>
      <c r="AI1130" s="11">
        <v>3</v>
      </c>
    </row>
    <row r="1131" spans="1:43" x14ac:dyDescent="0.25">
      <c r="A1131" s="161" t="str">
        <f t="shared" si="21"/>
        <v>MUSKETMAN_ETHIOPIA</v>
      </c>
      <c r="B1131" s="9" t="s">
        <v>129</v>
      </c>
      <c r="C1131" s="4" t="s">
        <v>714</v>
      </c>
      <c r="E1131" s="4" t="s">
        <v>129</v>
      </c>
      <c r="F1131" s="4" t="s">
        <v>129</v>
      </c>
      <c r="G1131" s="4" t="s">
        <v>2047</v>
      </c>
      <c r="H1131" s="4" t="s">
        <v>872</v>
      </c>
      <c r="I1131" s="4" t="s">
        <v>1944</v>
      </c>
      <c r="Q1131" s="11">
        <v>3</v>
      </c>
      <c r="T1131" s="11">
        <v>4</v>
      </c>
      <c r="Z1131" s="11">
        <v>0</v>
      </c>
      <c r="AF1131" s="11">
        <v>1</v>
      </c>
      <c r="AI1131" s="11">
        <v>4</v>
      </c>
    </row>
    <row r="1132" spans="1:43" x14ac:dyDescent="0.25">
      <c r="A1132" s="161" t="str">
        <f t="shared" si="21"/>
        <v>MUSKETMAN_ETHIOPIA</v>
      </c>
      <c r="B1132" s="9" t="s">
        <v>129</v>
      </c>
      <c r="C1132" s="4" t="s">
        <v>714</v>
      </c>
      <c r="E1132" s="4" t="s">
        <v>129</v>
      </c>
      <c r="F1132" s="4" t="s">
        <v>129</v>
      </c>
      <c r="G1132" s="4" t="s">
        <v>2049</v>
      </c>
      <c r="H1132" s="4" t="s">
        <v>328</v>
      </c>
      <c r="I1132" s="4" t="s">
        <v>1944</v>
      </c>
      <c r="Q1132" s="11">
        <v>4</v>
      </c>
      <c r="T1132" s="11">
        <v>3</v>
      </c>
      <c r="Z1132" s="11">
        <v>0</v>
      </c>
      <c r="AF1132" s="11">
        <v>1</v>
      </c>
      <c r="AI1132" s="11">
        <v>3</v>
      </c>
    </row>
    <row r="1133" spans="1:43" x14ac:dyDescent="0.25">
      <c r="A1133" s="161" t="str">
        <f t="shared" si="21"/>
        <v>MUSKETMAN_ETHIOPIA</v>
      </c>
      <c r="B1133" s="9" t="s">
        <v>129</v>
      </c>
      <c r="C1133" s="4" t="s">
        <v>714</v>
      </c>
      <c r="E1133" s="4" t="s">
        <v>129</v>
      </c>
      <c r="F1133" s="4" t="s">
        <v>129</v>
      </c>
      <c r="H1133" s="4" t="s">
        <v>871</v>
      </c>
      <c r="I1133" s="4" t="s">
        <v>1944</v>
      </c>
      <c r="Q1133" s="9">
        <v>1</v>
      </c>
      <c r="T1133" s="11">
        <v>3</v>
      </c>
      <c r="Z1133" s="9">
        <v>0</v>
      </c>
      <c r="AF1133" s="11">
        <v>0</v>
      </c>
      <c r="AI1133" s="11">
        <v>3</v>
      </c>
    </row>
    <row r="1134" spans="1:43" x14ac:dyDescent="0.25">
      <c r="A1134" s="161" t="str">
        <f t="shared" si="21"/>
        <v>MUSKETMAN_ETHIOPIA</v>
      </c>
      <c r="B1134" s="9" t="s">
        <v>129</v>
      </c>
      <c r="C1134" s="4" t="s">
        <v>714</v>
      </c>
      <c r="E1134" s="4" t="s">
        <v>129</v>
      </c>
      <c r="F1134" s="4" t="s">
        <v>129</v>
      </c>
      <c r="G1134" s="4" t="s">
        <v>2047</v>
      </c>
      <c r="H1134" s="4" t="s">
        <v>872</v>
      </c>
      <c r="I1134" s="4" t="s">
        <v>1944</v>
      </c>
      <c r="Q1134" s="9">
        <v>2</v>
      </c>
      <c r="T1134" s="11">
        <v>3</v>
      </c>
      <c r="Z1134" s="9">
        <v>0</v>
      </c>
      <c r="AF1134" s="11">
        <v>0</v>
      </c>
      <c r="AI1134" s="11">
        <v>3</v>
      </c>
    </row>
    <row r="1135" spans="1:43" x14ac:dyDescent="0.25">
      <c r="A1135" s="161" t="str">
        <f t="shared" si="21"/>
        <v>MUSKETMAN_ETHIOPIA</v>
      </c>
      <c r="B1135" s="9" t="s">
        <v>129</v>
      </c>
      <c r="C1135" s="4" t="s">
        <v>714</v>
      </c>
      <c r="E1135" s="4" t="s">
        <v>129</v>
      </c>
      <c r="F1135" s="4" t="s">
        <v>129</v>
      </c>
      <c r="G1135" s="4" t="s">
        <v>2049</v>
      </c>
      <c r="H1135" s="4" t="s">
        <v>328</v>
      </c>
      <c r="I1135" s="4" t="s">
        <v>1944</v>
      </c>
      <c r="Q1135" s="9">
        <v>0</v>
      </c>
      <c r="T1135" s="11">
        <v>3</v>
      </c>
      <c r="Z1135" s="9">
        <v>0</v>
      </c>
      <c r="AF1135" s="11">
        <v>0</v>
      </c>
      <c r="AI1135" s="11">
        <v>3</v>
      </c>
    </row>
    <row r="1136" spans="1:43" x14ac:dyDescent="0.25">
      <c r="A1136" s="161" t="str">
        <f t="shared" si="21"/>
        <v>MUSKETMAN_AMER</v>
      </c>
      <c r="B1136" s="9" t="s">
        <v>129</v>
      </c>
      <c r="C1136" s="4" t="s">
        <v>697</v>
      </c>
      <c r="E1136" s="4" t="s">
        <v>129</v>
      </c>
      <c r="F1136" s="4" t="s">
        <v>129</v>
      </c>
      <c r="H1136" s="4" t="s">
        <v>635</v>
      </c>
      <c r="I1136" s="4" t="s">
        <v>965</v>
      </c>
      <c r="Q1136" s="12"/>
      <c r="R1136" s="12"/>
      <c r="Z1136" s="9"/>
    </row>
    <row r="1137" spans="1:35" x14ac:dyDescent="0.25">
      <c r="A1137" s="161" t="str">
        <f t="shared" si="21"/>
        <v>MUSKETMAN_IROQUOIS</v>
      </c>
      <c r="B1137" s="9" t="s">
        <v>129</v>
      </c>
      <c r="C1137" s="4" t="s">
        <v>721</v>
      </c>
      <c r="E1137" s="4" t="s">
        <v>129</v>
      </c>
      <c r="F1137" s="4" t="s">
        <v>129</v>
      </c>
      <c r="H1137" s="4" t="s">
        <v>944</v>
      </c>
      <c r="I1137" s="4" t="s">
        <v>1935</v>
      </c>
      <c r="Q1137" s="9">
        <v>3</v>
      </c>
      <c r="T1137" s="11">
        <v>3</v>
      </c>
      <c r="Z1137" s="9">
        <v>1</v>
      </c>
      <c r="AF1137" s="11">
        <v>1</v>
      </c>
      <c r="AI1137" s="11">
        <v>3</v>
      </c>
    </row>
    <row r="1138" spans="1:35" x14ac:dyDescent="0.25">
      <c r="A1138" s="161" t="str">
        <f t="shared" si="21"/>
        <v>MUSKETMAN_IROQUOIS</v>
      </c>
      <c r="B1138" s="9" t="s">
        <v>129</v>
      </c>
      <c r="C1138" s="4" t="s">
        <v>721</v>
      </c>
      <c r="E1138" s="4" t="s">
        <v>129</v>
      </c>
      <c r="F1138" s="4" t="s">
        <v>129</v>
      </c>
      <c r="G1138" s="4" t="s">
        <v>2047</v>
      </c>
      <c r="H1138" s="4" t="s">
        <v>467</v>
      </c>
      <c r="I1138" s="4" t="s">
        <v>1935</v>
      </c>
      <c r="Q1138" s="9">
        <v>4</v>
      </c>
      <c r="T1138" s="11">
        <v>4</v>
      </c>
      <c r="Z1138" s="9">
        <v>0</v>
      </c>
      <c r="AF1138" s="11">
        <v>1</v>
      </c>
      <c r="AI1138" s="11">
        <v>4</v>
      </c>
    </row>
    <row r="1139" spans="1:35" x14ac:dyDescent="0.25">
      <c r="A1139" s="161" t="str">
        <f t="shared" si="21"/>
        <v>MUSKETMAN_IROQUOIS</v>
      </c>
      <c r="B1139" s="9" t="s">
        <v>129</v>
      </c>
      <c r="C1139" s="4" t="s">
        <v>721</v>
      </c>
      <c r="E1139" s="4" t="s">
        <v>129</v>
      </c>
      <c r="F1139" s="4" t="s">
        <v>129</v>
      </c>
      <c r="H1139" s="4" t="s">
        <v>944</v>
      </c>
      <c r="I1139" s="4" t="s">
        <v>1935</v>
      </c>
      <c r="Q1139" s="9">
        <v>3</v>
      </c>
      <c r="T1139" s="11">
        <v>3</v>
      </c>
      <c r="Z1139" s="9">
        <v>0</v>
      </c>
      <c r="AF1139" s="11">
        <v>1</v>
      </c>
      <c r="AI1139" s="11">
        <v>3</v>
      </c>
    </row>
    <row r="1140" spans="1:35" x14ac:dyDescent="0.25">
      <c r="A1140" s="161" t="str">
        <f t="shared" si="21"/>
        <v>MUSKETMAN_IROQUOIS</v>
      </c>
      <c r="B1140" s="9" t="s">
        <v>129</v>
      </c>
      <c r="C1140" s="4" t="s">
        <v>721</v>
      </c>
      <c r="E1140" s="4" t="s">
        <v>129</v>
      </c>
      <c r="F1140" s="4" t="s">
        <v>129</v>
      </c>
      <c r="G1140" s="4" t="s">
        <v>2047</v>
      </c>
      <c r="H1140" s="4" t="s">
        <v>467</v>
      </c>
      <c r="I1140" s="4" t="s">
        <v>1935</v>
      </c>
      <c r="Q1140" s="9">
        <v>4</v>
      </c>
      <c r="T1140" s="11">
        <v>3</v>
      </c>
      <c r="Z1140" s="9">
        <v>0</v>
      </c>
      <c r="AF1140" s="11">
        <v>0</v>
      </c>
      <c r="AI1140" s="11">
        <v>3</v>
      </c>
    </row>
    <row r="1141" spans="1:35" x14ac:dyDescent="0.25">
      <c r="A1141" s="161" t="str">
        <f t="shared" si="21"/>
        <v>MUSKETMAN_IROQUOIS</v>
      </c>
      <c r="B1141" s="9" t="s">
        <v>129</v>
      </c>
      <c r="C1141" s="4" t="s">
        <v>721</v>
      </c>
      <c r="E1141" s="4" t="s">
        <v>129</v>
      </c>
      <c r="F1141" s="4" t="s">
        <v>129</v>
      </c>
      <c r="H1141" s="4" t="s">
        <v>944</v>
      </c>
      <c r="I1141" s="4" t="s">
        <v>1935</v>
      </c>
      <c r="Q1141" s="9">
        <v>0</v>
      </c>
      <c r="T1141" s="11">
        <v>3</v>
      </c>
      <c r="Z1141" s="9">
        <v>0</v>
      </c>
      <c r="AF1141" s="11">
        <v>0</v>
      </c>
      <c r="AI1141" s="11">
        <v>3</v>
      </c>
    </row>
    <row r="1142" spans="1:35" x14ac:dyDescent="0.25">
      <c r="A1142" s="161" t="str">
        <f t="shared" si="21"/>
        <v>MUSKETMAN_IROQUOIS</v>
      </c>
      <c r="B1142" s="9" t="s">
        <v>129</v>
      </c>
      <c r="C1142" s="4" t="s">
        <v>721</v>
      </c>
      <c r="E1142" s="4" t="s">
        <v>129</v>
      </c>
      <c r="F1142" s="4" t="s">
        <v>129</v>
      </c>
      <c r="G1142" s="4" t="s">
        <v>2047</v>
      </c>
      <c r="H1142" s="4" t="s">
        <v>467</v>
      </c>
      <c r="I1142" s="4" t="s">
        <v>1935</v>
      </c>
      <c r="Q1142" s="9">
        <v>0</v>
      </c>
      <c r="T1142" s="11">
        <v>3</v>
      </c>
      <c r="Z1142" s="9">
        <v>0</v>
      </c>
      <c r="AF1142" s="11">
        <v>0</v>
      </c>
      <c r="AI1142" s="11">
        <v>3</v>
      </c>
    </row>
    <row r="1143" spans="1:35" x14ac:dyDescent="0.25">
      <c r="A1143" s="161" t="str">
        <f t="shared" si="21"/>
        <v>MUSKETMAN_SHOSHONE</v>
      </c>
      <c r="B1143" s="9" t="s">
        <v>129</v>
      </c>
      <c r="C1143" s="4" t="s">
        <v>1082</v>
      </c>
      <c r="E1143" s="4" t="s">
        <v>129</v>
      </c>
      <c r="F1143" s="4" t="s">
        <v>129</v>
      </c>
      <c r="H1143" s="4" t="s">
        <v>1736</v>
      </c>
      <c r="I1143" s="4" t="s">
        <v>1735</v>
      </c>
    </row>
    <row r="1144" spans="1:35" x14ac:dyDescent="0.25">
      <c r="A1144" s="161" t="str">
        <f t="shared" si="21"/>
        <v>MUSKETMAN_EASTEU</v>
      </c>
      <c r="B1144" s="9" t="s">
        <v>129</v>
      </c>
      <c r="C1144" s="4" t="s">
        <v>698</v>
      </c>
      <c r="D1144" s="4" t="s">
        <v>730</v>
      </c>
      <c r="E1144" s="4" t="s">
        <v>129</v>
      </c>
      <c r="F1144" s="4" t="s">
        <v>129</v>
      </c>
    </row>
    <row r="1145" spans="1:35" x14ac:dyDescent="0.25">
      <c r="A1145" s="161" t="str">
        <f t="shared" si="21"/>
        <v>MUSKETMAN_KIEV</v>
      </c>
      <c r="B1145" s="9" t="s">
        <v>129</v>
      </c>
      <c r="C1145" s="4" t="s">
        <v>1187</v>
      </c>
      <c r="D1145" s="4" t="s">
        <v>735</v>
      </c>
      <c r="E1145" s="4" t="s">
        <v>129</v>
      </c>
      <c r="F1145" s="4" t="s">
        <v>129</v>
      </c>
    </row>
    <row r="1146" spans="1:35" x14ac:dyDescent="0.25">
      <c r="A1146" s="161" t="str">
        <f t="shared" si="21"/>
        <v>MUSKETMAN_POLAND</v>
      </c>
      <c r="B1146" s="9" t="s">
        <v>129</v>
      </c>
      <c r="C1146" s="4" t="s">
        <v>732</v>
      </c>
      <c r="E1146" s="4" t="s">
        <v>129</v>
      </c>
      <c r="F1146" s="4" t="s">
        <v>129</v>
      </c>
      <c r="H1146" s="4" t="s">
        <v>2014</v>
      </c>
      <c r="I1146" s="4" t="s">
        <v>2015</v>
      </c>
    </row>
    <row r="1147" spans="1:35" x14ac:dyDescent="0.25">
      <c r="A1147" s="161" t="str">
        <f>CONCATENATE(E1147,IF(ISBLANK(C1147),"",CONCATENATE("_",C1147)))</f>
        <v>MUSKETMAN_RUSSIA</v>
      </c>
      <c r="B1147" s="9" t="s">
        <v>129</v>
      </c>
      <c r="C1147" s="4" t="s">
        <v>735</v>
      </c>
      <c r="E1147" s="4" t="s">
        <v>129</v>
      </c>
      <c r="F1147" s="4" t="s">
        <v>129</v>
      </c>
      <c r="H1147" s="4" t="s">
        <v>1007</v>
      </c>
      <c r="I1147" s="4" t="s">
        <v>1071</v>
      </c>
      <c r="Q1147" s="9">
        <v>1</v>
      </c>
      <c r="T1147" s="11">
        <v>1</v>
      </c>
      <c r="Z1147" s="9">
        <v>0</v>
      </c>
      <c r="AF1147" s="11">
        <v>0</v>
      </c>
      <c r="AI1147" s="11">
        <v>1</v>
      </c>
    </row>
    <row r="1148" spans="1:35" x14ac:dyDescent="0.25">
      <c r="A1148" s="161" t="str">
        <f>CONCATENATE(E1148,IF(ISBLANK(C1148),"",CONCATENATE("_",C1148)))</f>
        <v>MUSKETMAN_RUSSIA</v>
      </c>
      <c r="B1148" s="9" t="s">
        <v>129</v>
      </c>
      <c r="C1148" s="4" t="s">
        <v>735</v>
      </c>
      <c r="E1148" s="4" t="s">
        <v>129</v>
      </c>
      <c r="F1148" s="4" t="s">
        <v>129</v>
      </c>
      <c r="G1148" s="4" t="s">
        <v>2048</v>
      </c>
      <c r="H1148" s="4" t="s">
        <v>1951</v>
      </c>
      <c r="I1148" s="4" t="s">
        <v>1952</v>
      </c>
      <c r="Q1148" s="9">
        <v>2</v>
      </c>
      <c r="T1148" s="11">
        <v>3</v>
      </c>
      <c r="Z1148" s="9">
        <v>0</v>
      </c>
      <c r="AF1148" s="11">
        <v>0</v>
      </c>
      <c r="AI1148" s="11">
        <v>0</v>
      </c>
    </row>
    <row r="1149" spans="1:35" x14ac:dyDescent="0.25">
      <c r="A1149" s="161" t="str">
        <f>CONCATENATE(E1149,IF(ISBLANK(C1149),"",CONCATENATE("_",C1149)))</f>
        <v>MUSKETMAN_RUSSIA</v>
      </c>
      <c r="B1149" s="9" t="s">
        <v>129</v>
      </c>
      <c r="C1149" s="4" t="s">
        <v>735</v>
      </c>
      <c r="E1149" s="4" t="s">
        <v>129</v>
      </c>
      <c r="F1149" s="4" t="s">
        <v>129</v>
      </c>
      <c r="G1149" s="4" t="s">
        <v>2047</v>
      </c>
      <c r="H1149" s="4" t="s">
        <v>1954</v>
      </c>
      <c r="I1149" s="4" t="s">
        <v>1071</v>
      </c>
      <c r="Q1149" s="9">
        <v>2</v>
      </c>
      <c r="T1149" s="11">
        <v>3</v>
      </c>
      <c r="Z1149" s="9">
        <v>0</v>
      </c>
      <c r="AF1149" s="11">
        <v>0</v>
      </c>
      <c r="AI1149" s="11">
        <v>1</v>
      </c>
    </row>
    <row r="1150" spans="1:35" x14ac:dyDescent="0.25">
      <c r="A1150" s="161" t="str">
        <f t="shared" si="21"/>
        <v>MUSKETMAN_RUSSIA</v>
      </c>
      <c r="B1150" s="9" t="s">
        <v>129</v>
      </c>
      <c r="C1150" s="4" t="s">
        <v>735</v>
      </c>
      <c r="E1150" s="4" t="s">
        <v>129</v>
      </c>
      <c r="F1150" s="4" t="s">
        <v>129</v>
      </c>
      <c r="G1150" s="4" t="s">
        <v>2049</v>
      </c>
      <c r="H1150" s="4" t="s">
        <v>620</v>
      </c>
      <c r="I1150" s="4" t="s">
        <v>1071</v>
      </c>
      <c r="Q1150" s="9">
        <v>4</v>
      </c>
      <c r="T1150" s="11">
        <v>7</v>
      </c>
      <c r="Z1150" s="9">
        <v>1</v>
      </c>
      <c r="AF1150" s="11">
        <v>1</v>
      </c>
      <c r="AI1150" s="11">
        <v>2</v>
      </c>
    </row>
    <row r="1151" spans="1:35" x14ac:dyDescent="0.25">
      <c r="A1151" s="161" t="str">
        <f>CONCATENATE(E1151,IF(ISBLANK(C1151),"",CONCATENATE("_",C1151)))</f>
        <v>MUSKETMAN_RUSSIA</v>
      </c>
      <c r="B1151" s="9" t="s">
        <v>129</v>
      </c>
      <c r="C1151" s="4" t="s">
        <v>735</v>
      </c>
      <c r="E1151" s="4" t="s">
        <v>129</v>
      </c>
      <c r="F1151" s="4" t="s">
        <v>129</v>
      </c>
      <c r="G1151" s="4" t="s">
        <v>2048</v>
      </c>
      <c r="H1151" s="4" t="s">
        <v>1951</v>
      </c>
      <c r="I1151" s="4" t="s">
        <v>1952</v>
      </c>
      <c r="Q1151" s="9">
        <v>2</v>
      </c>
      <c r="T1151" s="11">
        <v>2</v>
      </c>
      <c r="Z1151" s="9">
        <v>0</v>
      </c>
      <c r="AF1151" s="11">
        <v>1</v>
      </c>
      <c r="AI1151" s="11">
        <v>1</v>
      </c>
    </row>
    <row r="1152" spans="1:35" x14ac:dyDescent="0.25">
      <c r="A1152" s="161" t="str">
        <f>CONCATENATE(E1152,IF(ISBLANK(C1152),"",CONCATENATE("_",C1152)))</f>
        <v>MUSKETMAN_RUSSIA</v>
      </c>
      <c r="B1152" s="9" t="s">
        <v>129</v>
      </c>
      <c r="C1152" s="4" t="s">
        <v>735</v>
      </c>
      <c r="E1152" s="4" t="s">
        <v>129</v>
      </c>
      <c r="F1152" s="4" t="s">
        <v>129</v>
      </c>
      <c r="G1152" s="4" t="s">
        <v>2058</v>
      </c>
      <c r="H1152" s="4" t="s">
        <v>1953</v>
      </c>
      <c r="I1152" s="4" t="s">
        <v>1952</v>
      </c>
      <c r="Q1152" s="9">
        <v>3</v>
      </c>
      <c r="T1152" s="11">
        <v>3</v>
      </c>
      <c r="Z1152" s="9">
        <v>0</v>
      </c>
      <c r="AF1152" s="11">
        <v>1</v>
      </c>
      <c r="AI1152" s="11">
        <v>2</v>
      </c>
    </row>
    <row r="1153" spans="1:43" x14ac:dyDescent="0.25">
      <c r="A1153" s="161" t="str">
        <f t="shared" si="21"/>
        <v>MUSKETMAN_AMERICA</v>
      </c>
      <c r="B1153" s="9" t="s">
        <v>129</v>
      </c>
      <c r="C1153" s="4" t="s">
        <v>699</v>
      </c>
      <c r="E1153" s="4" t="s">
        <v>129</v>
      </c>
      <c r="F1153" s="4" t="s">
        <v>129</v>
      </c>
      <c r="G1153" s="14"/>
      <c r="H1153" s="4" t="s">
        <v>145</v>
      </c>
      <c r="I1153" s="4" t="s">
        <v>1270</v>
      </c>
      <c r="R1153" s="11">
        <v>0.15</v>
      </c>
      <c r="U1153" s="11">
        <v>9.5000000000000001E-2</v>
      </c>
    </row>
    <row r="1154" spans="1:43" x14ac:dyDescent="0.25">
      <c r="A1154" s="161" t="str">
        <f t="shared" si="21"/>
        <v>MUSKETMAN_AUSTRIA</v>
      </c>
      <c r="B1154" s="9" t="s">
        <v>129</v>
      </c>
      <c r="C1154" s="4" t="s">
        <v>701</v>
      </c>
      <c r="D1154" s="4" t="s">
        <v>730</v>
      </c>
      <c r="E1154" s="4" t="s">
        <v>129</v>
      </c>
      <c r="F1154" s="4" t="s">
        <v>129</v>
      </c>
      <c r="G1154" s="14"/>
    </row>
    <row r="1155" spans="1:43" x14ac:dyDescent="0.25">
      <c r="A1155" s="161" t="str">
        <f t="shared" si="21"/>
        <v>MUSKETMAN_BELGIUM</v>
      </c>
      <c r="B1155" s="9" t="s">
        <v>129</v>
      </c>
      <c r="C1155" s="4" t="s">
        <v>704</v>
      </c>
      <c r="D1155" s="4" t="s">
        <v>730</v>
      </c>
      <c r="E1155" s="4" t="s">
        <v>129</v>
      </c>
      <c r="F1155" s="4" t="s">
        <v>129</v>
      </c>
      <c r="G1155" s="14"/>
    </row>
    <row r="1156" spans="1:43" x14ac:dyDescent="0.25">
      <c r="A1156" s="161" t="str">
        <f t="shared" si="21"/>
        <v>MUSKETMAN_ENGLAND</v>
      </c>
      <c r="B1156" s="9" t="s">
        <v>129</v>
      </c>
      <c r="C1156" s="4" t="s">
        <v>713</v>
      </c>
      <c r="E1156" s="4" t="s">
        <v>129</v>
      </c>
      <c r="F1156" s="4" t="s">
        <v>129</v>
      </c>
      <c r="G1156" s="14" t="s">
        <v>132</v>
      </c>
      <c r="H1156" s="4" t="s">
        <v>306</v>
      </c>
      <c r="I1156" s="4" t="s">
        <v>1271</v>
      </c>
    </row>
    <row r="1157" spans="1:43" x14ac:dyDescent="0.25">
      <c r="A1157" s="161" t="str">
        <f t="shared" si="21"/>
        <v>MUSKETMAN_GERMANY</v>
      </c>
      <c r="B1157" s="9" t="s">
        <v>129</v>
      </c>
      <c r="C1157" s="4" t="s">
        <v>717</v>
      </c>
      <c r="E1157" s="4" t="s">
        <v>129</v>
      </c>
      <c r="F1157" s="4" t="s">
        <v>129</v>
      </c>
      <c r="H1157" s="4" t="s">
        <v>899</v>
      </c>
      <c r="I1157" s="4" t="s">
        <v>1060</v>
      </c>
      <c r="Q1157" s="11">
        <v>3</v>
      </c>
      <c r="T1157" s="11">
        <v>4</v>
      </c>
      <c r="Z1157" s="11">
        <v>1</v>
      </c>
      <c r="AF1157" s="11">
        <v>1</v>
      </c>
      <c r="AI1157" s="11">
        <v>1</v>
      </c>
    </row>
    <row r="1158" spans="1:43" x14ac:dyDescent="0.25">
      <c r="A1158" s="161" t="str">
        <f t="shared" si="21"/>
        <v>MUSKETMAN_GERMANY</v>
      </c>
      <c r="B1158" s="9" t="s">
        <v>129</v>
      </c>
      <c r="C1158" s="4" t="s">
        <v>717</v>
      </c>
      <c r="E1158" s="4" t="s">
        <v>129</v>
      </c>
      <c r="F1158" s="4" t="s">
        <v>129</v>
      </c>
      <c r="G1158" s="4" t="s">
        <v>2047</v>
      </c>
      <c r="H1158" s="4" t="s">
        <v>900</v>
      </c>
      <c r="I1158" s="4" t="s">
        <v>1060</v>
      </c>
      <c r="Q1158" s="11">
        <v>2</v>
      </c>
      <c r="T1158" s="11">
        <v>3</v>
      </c>
      <c r="Z1158" s="11">
        <v>0</v>
      </c>
      <c r="AF1158" s="11">
        <v>1</v>
      </c>
      <c r="AI1158" s="11">
        <v>1</v>
      </c>
    </row>
    <row r="1159" spans="1:43" x14ac:dyDescent="0.25">
      <c r="A1159" s="161" t="str">
        <f t="shared" si="21"/>
        <v>MUSKETMAN_GERMANY</v>
      </c>
      <c r="B1159" s="9" t="s">
        <v>129</v>
      </c>
      <c r="C1159" s="4" t="s">
        <v>717</v>
      </c>
      <c r="E1159" s="4" t="s">
        <v>129</v>
      </c>
      <c r="F1159" s="4" t="s">
        <v>129</v>
      </c>
      <c r="G1159" s="4" t="s">
        <v>2049</v>
      </c>
      <c r="H1159" s="4" t="s">
        <v>384</v>
      </c>
      <c r="I1159" s="4" t="s">
        <v>1060</v>
      </c>
      <c r="Q1159" s="11">
        <v>3</v>
      </c>
      <c r="T1159" s="11">
        <v>3</v>
      </c>
      <c r="Z1159" s="11">
        <v>0</v>
      </c>
      <c r="AF1159" s="11">
        <v>1</v>
      </c>
      <c r="AI1159" s="11">
        <v>1</v>
      </c>
    </row>
    <row r="1160" spans="1:43" x14ac:dyDescent="0.25">
      <c r="A1160" s="161" t="str">
        <f t="shared" si="21"/>
        <v>MUSKETMAN_GERMANY</v>
      </c>
      <c r="B1160" s="9" t="s">
        <v>129</v>
      </c>
      <c r="C1160" s="4" t="s">
        <v>717</v>
      </c>
      <c r="E1160" s="4" t="s">
        <v>129</v>
      </c>
      <c r="F1160" s="4" t="s">
        <v>129</v>
      </c>
      <c r="H1160" s="4" t="s">
        <v>899</v>
      </c>
      <c r="I1160" s="4" t="s">
        <v>1060</v>
      </c>
      <c r="Q1160" s="9">
        <v>2</v>
      </c>
      <c r="T1160" s="11">
        <v>3</v>
      </c>
      <c r="Z1160" s="9">
        <v>0</v>
      </c>
      <c r="AF1160" s="11">
        <v>0</v>
      </c>
      <c r="AI1160" s="11">
        <v>1</v>
      </c>
    </row>
    <row r="1161" spans="1:43" x14ac:dyDescent="0.25">
      <c r="A1161" s="161" t="str">
        <f t="shared" si="21"/>
        <v>MUSKETMAN_GERMANY</v>
      </c>
      <c r="B1161" s="9" t="s">
        <v>129</v>
      </c>
      <c r="C1161" s="4" t="s">
        <v>717</v>
      </c>
      <c r="E1161" s="4" t="s">
        <v>129</v>
      </c>
      <c r="F1161" s="4" t="s">
        <v>129</v>
      </c>
      <c r="G1161" s="4" t="s">
        <v>2047</v>
      </c>
      <c r="H1161" s="4" t="s">
        <v>900</v>
      </c>
      <c r="I1161" s="4" t="s">
        <v>1060</v>
      </c>
      <c r="Q1161" s="9">
        <v>3</v>
      </c>
      <c r="T1161" s="11">
        <v>3</v>
      </c>
      <c r="Z1161" s="9">
        <v>0</v>
      </c>
      <c r="AF1161" s="11">
        <v>0</v>
      </c>
      <c r="AI1161" s="11">
        <v>2</v>
      </c>
    </row>
    <row r="1162" spans="1:43" x14ac:dyDescent="0.25">
      <c r="A1162" s="161" t="str">
        <f t="shared" si="21"/>
        <v>MUSKETMAN_GERMANY</v>
      </c>
      <c r="B1162" s="9" t="s">
        <v>129</v>
      </c>
      <c r="C1162" s="4" t="s">
        <v>717</v>
      </c>
      <c r="E1162" s="4" t="s">
        <v>129</v>
      </c>
      <c r="F1162" s="4" t="s">
        <v>129</v>
      </c>
      <c r="G1162" s="4" t="s">
        <v>2049</v>
      </c>
      <c r="H1162" s="4" t="s">
        <v>384</v>
      </c>
      <c r="I1162" s="4" t="s">
        <v>1060</v>
      </c>
      <c r="Q1162" s="9">
        <v>1</v>
      </c>
      <c r="T1162" s="11">
        <v>3</v>
      </c>
      <c r="Z1162" s="9">
        <v>0</v>
      </c>
      <c r="AF1162" s="11">
        <v>0</v>
      </c>
      <c r="AI1162" s="11">
        <v>1</v>
      </c>
    </row>
    <row r="1163" spans="1:43" x14ac:dyDescent="0.25">
      <c r="A1163" s="161" t="str">
        <f t="shared" si="21"/>
        <v>MUSKETMAN_NETHERLANDS</v>
      </c>
      <c r="B1163" s="9" t="s">
        <v>129</v>
      </c>
      <c r="C1163" s="4" t="s">
        <v>730</v>
      </c>
      <c r="E1163" s="4" t="s">
        <v>129</v>
      </c>
      <c r="F1163" s="4" t="s">
        <v>129</v>
      </c>
      <c r="G1163" s="14" t="s">
        <v>132</v>
      </c>
      <c r="H1163" s="4" t="s">
        <v>183</v>
      </c>
      <c r="I1163" s="4" t="s">
        <v>1053</v>
      </c>
    </row>
    <row r="1164" spans="1:43" x14ac:dyDescent="0.25">
      <c r="A1164" s="161" t="str">
        <f t="shared" si="21"/>
        <v>MUSKETMAN_SWISS</v>
      </c>
      <c r="B1164" s="9" t="s">
        <v>129</v>
      </c>
      <c r="C1164" s="4" t="s">
        <v>740</v>
      </c>
      <c r="D1164" s="4" t="s">
        <v>730</v>
      </c>
      <c r="E1164" s="4" t="s">
        <v>129</v>
      </c>
      <c r="F1164" s="4" t="s">
        <v>129</v>
      </c>
      <c r="G1164" s="14" t="s">
        <v>132</v>
      </c>
    </row>
    <row r="1165" spans="1:43" x14ac:dyDescent="0.25">
      <c r="A1165" s="161" t="str">
        <f t="shared" si="21"/>
        <v>MUSKETMAN_BRAZIL</v>
      </c>
      <c r="B1165" s="9" t="s">
        <v>129</v>
      </c>
      <c r="C1165" s="4" t="s">
        <v>706</v>
      </c>
      <c r="E1165" s="4" t="s">
        <v>129</v>
      </c>
      <c r="F1165" s="4" t="s">
        <v>129</v>
      </c>
      <c r="G1165" s="14" t="s">
        <v>132</v>
      </c>
      <c r="H1165" s="4" t="s">
        <v>223</v>
      </c>
      <c r="I1165" s="4" t="s">
        <v>1025</v>
      </c>
    </row>
    <row r="1166" spans="1:43" x14ac:dyDescent="0.25">
      <c r="A1166" s="161" t="str">
        <f t="shared" si="21"/>
        <v>NUCLEAR_MISSILE</v>
      </c>
      <c r="B1166" s="9" t="s">
        <v>770</v>
      </c>
      <c r="C1166" s="5"/>
      <c r="D1166" s="5"/>
      <c r="E1166" s="5" t="s">
        <v>770</v>
      </c>
      <c r="F1166" s="5" t="s">
        <v>799</v>
      </c>
      <c r="G1166" s="5"/>
      <c r="H1166" s="5" t="s">
        <v>1497</v>
      </c>
      <c r="I1166" s="5" t="s">
        <v>128</v>
      </c>
      <c r="J1166" s="6"/>
      <c r="K1166" s="7"/>
      <c r="L1166" s="13" t="s">
        <v>1711</v>
      </c>
      <c r="M1166" s="8"/>
      <c r="N1166" s="13" t="s">
        <v>1725</v>
      </c>
      <c r="O1166" s="13"/>
      <c r="P1166" s="13"/>
      <c r="Q1166" s="7">
        <v>1</v>
      </c>
      <c r="R1166" s="6" t="s">
        <v>1737</v>
      </c>
      <c r="S1166" s="5"/>
      <c r="T1166" s="6"/>
      <c r="U1166" s="6"/>
      <c r="V1166" s="5"/>
      <c r="W1166" s="6"/>
      <c r="X1166" s="6" t="s">
        <v>3</v>
      </c>
      <c r="Y1166" s="5"/>
      <c r="Z1166" s="6"/>
      <c r="AA1166" s="6"/>
      <c r="AB1166" s="5"/>
      <c r="AC1166" s="6"/>
      <c r="AD1166" s="6" t="s">
        <v>3</v>
      </c>
      <c r="AE1166" s="5"/>
      <c r="AF1166" s="6"/>
      <c r="AG1166" s="6"/>
      <c r="AH1166" s="5"/>
      <c r="AI1166" s="6"/>
      <c r="AJ1166" s="6"/>
      <c r="AK1166" s="5"/>
      <c r="AL1166" s="5"/>
      <c r="AM1166" s="5"/>
      <c r="AN1166" s="5"/>
      <c r="AO1166" s="5"/>
      <c r="AP1166" s="5"/>
      <c r="AQ1166" s="5"/>
    </row>
    <row r="1167" spans="1:43" x14ac:dyDescent="0.25">
      <c r="A1167" s="161" t="str">
        <f t="shared" si="21"/>
        <v>NUCLEAR_SUBMARINE</v>
      </c>
      <c r="B1167" s="9" t="s">
        <v>771</v>
      </c>
      <c r="C1167" s="5"/>
      <c r="D1167" s="5"/>
      <c r="E1167" s="5" t="s">
        <v>771</v>
      </c>
      <c r="F1167" s="5" t="s">
        <v>800</v>
      </c>
      <c r="G1167" s="5"/>
      <c r="H1167" s="5" t="s">
        <v>1498</v>
      </c>
      <c r="I1167" s="5" t="s">
        <v>128</v>
      </c>
      <c r="J1167" s="6"/>
      <c r="K1167" s="7"/>
      <c r="L1167" s="13" t="s">
        <v>1716</v>
      </c>
      <c r="M1167" s="8"/>
      <c r="N1167" s="13" t="s">
        <v>1727</v>
      </c>
      <c r="O1167" s="13"/>
      <c r="P1167" s="13"/>
      <c r="Q1167" s="7">
        <v>1</v>
      </c>
      <c r="R1167" s="6">
        <v>0.1</v>
      </c>
      <c r="S1167" s="5"/>
      <c r="T1167" s="6"/>
      <c r="U1167" s="6">
        <v>0.12</v>
      </c>
      <c r="V1167" s="5"/>
      <c r="W1167" s="6"/>
      <c r="X1167" s="6"/>
      <c r="Y1167" s="5"/>
      <c r="Z1167" s="6"/>
      <c r="AA1167" s="6"/>
      <c r="AB1167" s="5"/>
      <c r="AC1167" s="6"/>
      <c r="AD1167" s="6"/>
      <c r="AE1167" s="5"/>
      <c r="AF1167" s="6"/>
      <c r="AG1167" s="6"/>
      <c r="AH1167" s="5"/>
      <c r="AI1167" s="6"/>
      <c r="AJ1167" s="6"/>
      <c r="AK1167" s="5"/>
      <c r="AL1167" s="5"/>
      <c r="AM1167" s="5"/>
      <c r="AN1167" s="5"/>
      <c r="AO1167" s="5"/>
      <c r="AP1167" s="5"/>
      <c r="AQ1167" s="5"/>
    </row>
    <row r="1168" spans="1:43" x14ac:dyDescent="0.25">
      <c r="A1168" s="161" t="str">
        <f t="shared" si="21"/>
        <v>NUCLEAR_SUBMARINE_AMER</v>
      </c>
      <c r="B1168" s="9" t="s">
        <v>771</v>
      </c>
      <c r="C1168" s="5" t="s">
        <v>697</v>
      </c>
      <c r="D1168" s="5" t="s">
        <v>699</v>
      </c>
      <c r="E1168" s="5" t="s">
        <v>771</v>
      </c>
      <c r="F1168" s="5" t="s">
        <v>800</v>
      </c>
      <c r="G1168" s="5"/>
      <c r="H1168" s="5"/>
      <c r="I1168" s="5"/>
      <c r="J1168" s="6"/>
      <c r="K1168" s="7"/>
      <c r="L1168" s="13"/>
      <c r="M1168" s="8"/>
      <c r="N1168" s="13"/>
      <c r="O1168" s="13"/>
      <c r="P1168" s="13"/>
      <c r="Q1168" s="7"/>
      <c r="R1168" s="6"/>
      <c r="S1168" s="5"/>
      <c r="T1168" s="6"/>
      <c r="U1168" s="6"/>
      <c r="V1168" s="5"/>
      <c r="W1168" s="6"/>
      <c r="X1168" s="6"/>
      <c r="Y1168" s="5"/>
      <c r="Z1168" s="6"/>
      <c r="AA1168" s="6"/>
      <c r="AB1168" s="5"/>
      <c r="AC1168" s="6"/>
      <c r="AD1168" s="6"/>
      <c r="AE1168" s="5"/>
      <c r="AF1168" s="6"/>
      <c r="AG1168" s="6"/>
      <c r="AH1168" s="5"/>
      <c r="AI1168" s="6"/>
      <c r="AJ1168" s="6"/>
      <c r="AK1168" s="5"/>
      <c r="AL1168" s="5"/>
      <c r="AM1168" s="5"/>
      <c r="AN1168" s="5"/>
      <c r="AO1168" s="5"/>
      <c r="AP1168" s="5"/>
      <c r="AQ1168" s="5"/>
    </row>
    <row r="1169" spans="1:43" x14ac:dyDescent="0.25">
      <c r="A1169" s="161" t="str">
        <f t="shared" si="21"/>
        <v>NUCLEAR_SUBMARINE_ASIA</v>
      </c>
      <c r="B1169" s="9" t="s">
        <v>771</v>
      </c>
      <c r="C1169" s="5" t="s">
        <v>693</v>
      </c>
      <c r="D1169" s="5" t="s">
        <v>698</v>
      </c>
      <c r="E1169" s="5" t="s">
        <v>771</v>
      </c>
      <c r="F1169" s="5" t="s">
        <v>800</v>
      </c>
      <c r="G1169" s="5"/>
      <c r="H1169" s="5"/>
      <c r="I1169" s="5"/>
      <c r="J1169" s="6"/>
      <c r="K1169" s="7"/>
      <c r="L1169" s="13"/>
      <c r="M1169" s="8"/>
      <c r="N1169" s="13"/>
      <c r="O1169" s="13"/>
      <c r="P1169" s="13"/>
      <c r="Q1169" s="7"/>
      <c r="R1169" s="6"/>
      <c r="S1169" s="5"/>
      <c r="T1169" s="6"/>
      <c r="U1169" s="6"/>
      <c r="V1169" s="5"/>
      <c r="W1169" s="6"/>
      <c r="X1169" s="6"/>
      <c r="Y1169" s="5"/>
      <c r="Z1169" s="6"/>
      <c r="AA1169" s="6"/>
      <c r="AB1169" s="5"/>
      <c r="AC1169" s="6"/>
      <c r="AD1169" s="6"/>
      <c r="AE1169" s="5"/>
      <c r="AF1169" s="6"/>
      <c r="AG1169" s="6"/>
      <c r="AH1169" s="5"/>
      <c r="AI1169" s="6"/>
      <c r="AJ1169" s="6"/>
      <c r="AK1169" s="5"/>
      <c r="AL1169" s="5"/>
      <c r="AM1169" s="5"/>
      <c r="AN1169" s="5"/>
      <c r="AO1169" s="5"/>
      <c r="AP1169" s="5"/>
      <c r="AQ1169" s="5"/>
    </row>
    <row r="1170" spans="1:43" x14ac:dyDescent="0.25">
      <c r="A1170" s="161" t="str">
        <f t="shared" si="21"/>
        <v>NUCLEAR_SUBMARINE_EASTEU</v>
      </c>
      <c r="B1170" s="9" t="s">
        <v>771</v>
      </c>
      <c r="C1170" s="5" t="s">
        <v>698</v>
      </c>
      <c r="D1170" s="5"/>
      <c r="E1170" s="5" t="s">
        <v>771</v>
      </c>
      <c r="F1170" s="5" t="s">
        <v>800</v>
      </c>
      <c r="G1170" s="5"/>
      <c r="H1170" s="5" t="s">
        <v>621</v>
      </c>
      <c r="I1170" s="5" t="s">
        <v>1062</v>
      </c>
      <c r="J1170" s="6"/>
      <c r="K1170" s="7"/>
      <c r="L1170" s="13"/>
      <c r="M1170" s="8"/>
      <c r="N1170" s="13"/>
      <c r="O1170" s="13"/>
      <c r="P1170" s="13"/>
      <c r="Q1170" s="7"/>
      <c r="R1170" s="6"/>
      <c r="S1170" s="5"/>
      <c r="T1170" s="6"/>
      <c r="U1170" s="6"/>
      <c r="V1170" s="5"/>
      <c r="W1170" s="6"/>
      <c r="X1170" s="6"/>
      <c r="Y1170" s="5"/>
      <c r="Z1170" s="6"/>
      <c r="AA1170" s="6"/>
      <c r="AB1170" s="5"/>
      <c r="AC1170" s="6"/>
      <c r="AD1170" s="6"/>
      <c r="AE1170" s="5"/>
      <c r="AF1170" s="6"/>
      <c r="AG1170" s="6"/>
      <c r="AH1170" s="5"/>
      <c r="AI1170" s="6"/>
      <c r="AJ1170" s="6"/>
      <c r="AK1170" s="5"/>
      <c r="AL1170" s="5"/>
      <c r="AM1170" s="5"/>
      <c r="AN1170" s="5"/>
      <c r="AO1170" s="5"/>
      <c r="AP1170" s="5"/>
      <c r="AQ1170" s="5"/>
    </row>
    <row r="1171" spans="1:43" x14ac:dyDescent="0.25">
      <c r="A1171" s="161" t="str">
        <f t="shared" si="21"/>
        <v>NUCLEAR_SUBMARINE_RUSSIA</v>
      </c>
      <c r="B1171" s="9" t="s">
        <v>771</v>
      </c>
      <c r="C1171" s="4" t="s">
        <v>735</v>
      </c>
      <c r="D1171" s="4" t="s">
        <v>698</v>
      </c>
      <c r="E1171" s="4" t="s">
        <v>771</v>
      </c>
      <c r="F1171" s="4" t="s">
        <v>800</v>
      </c>
      <c r="G1171" s="14" t="s">
        <v>132</v>
      </c>
    </row>
    <row r="1172" spans="1:43" x14ac:dyDescent="0.25">
      <c r="A1172" s="161" t="str">
        <f t="shared" si="21"/>
        <v>NUCLEAR_SUBMARINE_AMERICA</v>
      </c>
      <c r="B1172" s="9" t="s">
        <v>771</v>
      </c>
      <c r="C1172" s="4" t="s">
        <v>699</v>
      </c>
      <c r="E1172" s="4" t="s">
        <v>771</v>
      </c>
      <c r="F1172" s="4" t="s">
        <v>800</v>
      </c>
      <c r="G1172" s="14"/>
      <c r="H1172" s="4" t="s">
        <v>146</v>
      </c>
      <c r="I1172" s="4" t="s">
        <v>1051</v>
      </c>
    </row>
    <row r="1173" spans="1:43" x14ac:dyDescent="0.25">
      <c r="A1173" s="161" t="str">
        <f t="shared" si="21"/>
        <v>NUCLEAR_SUBMARINE_AUSTRALIA</v>
      </c>
      <c r="B1173" s="9" t="s">
        <v>771</v>
      </c>
      <c r="C1173" s="4" t="s">
        <v>1302</v>
      </c>
      <c r="D1173" s="4" t="s">
        <v>713</v>
      </c>
      <c r="E1173" s="4" t="s">
        <v>771</v>
      </c>
      <c r="F1173" s="4" t="s">
        <v>800</v>
      </c>
      <c r="G1173" s="14"/>
    </row>
    <row r="1174" spans="1:43" x14ac:dyDescent="0.25">
      <c r="A1174" s="161" t="str">
        <f t="shared" si="21"/>
        <v>NUCLEAR_SUBMARINE_CANADA</v>
      </c>
      <c r="B1174" s="9" t="s">
        <v>771</v>
      </c>
      <c r="C1174" s="4" t="s">
        <v>2209</v>
      </c>
      <c r="D1174" s="4" t="s">
        <v>713</v>
      </c>
      <c r="E1174" s="4" t="s">
        <v>771</v>
      </c>
      <c r="F1174" s="4" t="s">
        <v>800</v>
      </c>
      <c r="G1174" s="14"/>
    </row>
    <row r="1175" spans="1:43" x14ac:dyDescent="0.25">
      <c r="A1175" s="161" t="str">
        <f t="shared" si="21"/>
        <v>NUCLEAR_SUBMARINE_CELTS</v>
      </c>
      <c r="B1175" s="9" t="s">
        <v>771</v>
      </c>
      <c r="C1175" s="4" t="s">
        <v>709</v>
      </c>
      <c r="D1175" s="4" t="s">
        <v>713</v>
      </c>
      <c r="E1175" s="4" t="s">
        <v>771</v>
      </c>
      <c r="F1175" s="4" t="s">
        <v>800</v>
      </c>
      <c r="G1175" s="14"/>
    </row>
    <row r="1176" spans="1:43" x14ac:dyDescent="0.25">
      <c r="A1176" s="161" t="str">
        <f t="shared" si="21"/>
        <v>NUCLEAR_SUBMARINE_ENGLAND</v>
      </c>
      <c r="B1176" s="9" t="s">
        <v>771</v>
      </c>
      <c r="C1176" s="4" t="s">
        <v>713</v>
      </c>
      <c r="E1176" s="4" t="s">
        <v>771</v>
      </c>
      <c r="F1176" s="4" t="s">
        <v>800</v>
      </c>
      <c r="G1176" s="14" t="s">
        <v>132</v>
      </c>
      <c r="H1176" s="4" t="s">
        <v>307</v>
      </c>
      <c r="I1176" s="4" t="s">
        <v>1058</v>
      </c>
    </row>
    <row r="1177" spans="1:43" x14ac:dyDescent="0.25">
      <c r="A1177" s="161" t="str">
        <f t="shared" si="21"/>
        <v>NUCLEAR_SUBMARINE_OCEAN</v>
      </c>
      <c r="B1177" s="9" t="s">
        <v>771</v>
      </c>
      <c r="C1177" s="4" t="s">
        <v>994</v>
      </c>
      <c r="D1177" s="4" t="s">
        <v>699</v>
      </c>
      <c r="E1177" s="4" t="s">
        <v>771</v>
      </c>
      <c r="F1177" s="4" t="s">
        <v>800</v>
      </c>
      <c r="G1177" s="14"/>
    </row>
    <row r="1178" spans="1:43" x14ac:dyDescent="0.25">
      <c r="A1178" s="161" t="str">
        <f t="shared" si="21"/>
        <v>PARATROOPER</v>
      </c>
      <c r="B1178" s="9" t="s">
        <v>108</v>
      </c>
      <c r="C1178" s="5"/>
      <c r="D1178" s="5"/>
      <c r="E1178" s="5" t="s">
        <v>108</v>
      </c>
      <c r="F1178" s="5" t="s">
        <v>108</v>
      </c>
      <c r="G1178" s="5"/>
      <c r="H1178" s="5" t="s">
        <v>2121</v>
      </c>
      <c r="I1178" s="5" t="s">
        <v>102</v>
      </c>
      <c r="J1178" s="6"/>
      <c r="K1178" s="6"/>
      <c r="L1178" s="13" t="s">
        <v>1708</v>
      </c>
      <c r="M1178" s="8"/>
      <c r="N1178" s="5"/>
      <c r="O1178" s="5"/>
      <c r="P1178" s="5"/>
      <c r="Q1178" s="6">
        <v>3</v>
      </c>
      <c r="R1178" s="6" t="s">
        <v>1737</v>
      </c>
      <c r="S1178" s="13" t="s">
        <v>1620</v>
      </c>
      <c r="T1178" s="6">
        <v>3</v>
      </c>
      <c r="U1178" s="7" t="s">
        <v>1737</v>
      </c>
      <c r="V1178" s="5"/>
      <c r="W1178" s="7" t="s">
        <v>3</v>
      </c>
      <c r="X1178" s="6" t="s">
        <v>3</v>
      </c>
      <c r="Y1178" s="5"/>
      <c r="Z1178" s="7">
        <v>1</v>
      </c>
      <c r="AA1178" s="6"/>
      <c r="AB1178" s="5"/>
      <c r="AC1178" s="6"/>
      <c r="AD1178" s="6" t="s">
        <v>3</v>
      </c>
      <c r="AE1178" s="5"/>
      <c r="AF1178" s="6">
        <v>2</v>
      </c>
      <c r="AG1178" s="6"/>
      <c r="AH1178" s="5"/>
      <c r="AI1178" s="6">
        <v>2</v>
      </c>
      <c r="AJ1178" s="6"/>
      <c r="AK1178" s="5"/>
      <c r="AL1178" s="5"/>
      <c r="AM1178" s="5"/>
      <c r="AN1178" s="5"/>
      <c r="AO1178" s="5"/>
      <c r="AP1178" s="5"/>
      <c r="AQ1178" s="5"/>
    </row>
    <row r="1179" spans="1:43" x14ac:dyDescent="0.25">
      <c r="A1179" s="161" t="str">
        <f t="shared" si="21"/>
        <v>PARATROOPER</v>
      </c>
      <c r="B1179" s="9" t="s">
        <v>108</v>
      </c>
      <c r="C1179" s="5"/>
      <c r="D1179" s="5"/>
      <c r="E1179" s="5" t="s">
        <v>108</v>
      </c>
      <c r="F1179" s="5" t="s">
        <v>108</v>
      </c>
      <c r="G1179" s="5" t="s">
        <v>2047</v>
      </c>
      <c r="H1179" s="5" t="s">
        <v>2123</v>
      </c>
      <c r="I1179" s="5" t="s">
        <v>102</v>
      </c>
      <c r="J1179" s="6"/>
      <c r="K1179" s="6"/>
      <c r="L1179" s="13" t="s">
        <v>1708</v>
      </c>
      <c r="M1179" s="8"/>
      <c r="N1179" s="5"/>
      <c r="O1179" s="5"/>
      <c r="P1179" s="5"/>
      <c r="Q1179" s="6">
        <v>1</v>
      </c>
      <c r="R1179" s="6" t="s">
        <v>1737</v>
      </c>
      <c r="S1179" s="13" t="s">
        <v>1620</v>
      </c>
      <c r="T1179" s="6">
        <v>1</v>
      </c>
      <c r="U1179" s="7" t="s">
        <v>1737</v>
      </c>
      <c r="V1179" s="5"/>
      <c r="W1179" s="7" t="s">
        <v>3</v>
      </c>
      <c r="X1179" s="6" t="s">
        <v>3</v>
      </c>
      <c r="Y1179" s="5"/>
      <c r="Z1179" s="7">
        <v>0</v>
      </c>
      <c r="AA1179" s="6"/>
      <c r="AB1179" s="5"/>
      <c r="AC1179" s="6"/>
      <c r="AD1179" s="6" t="s">
        <v>3</v>
      </c>
      <c r="AE1179" s="5"/>
      <c r="AF1179" s="6">
        <v>1</v>
      </c>
      <c r="AG1179" s="6"/>
      <c r="AH1179" s="5"/>
      <c r="AI1179" s="6">
        <v>1</v>
      </c>
      <c r="AJ1179" s="6"/>
      <c r="AK1179" s="5"/>
      <c r="AL1179" s="5"/>
      <c r="AM1179" s="5"/>
      <c r="AN1179" s="5"/>
      <c r="AO1179" s="5"/>
      <c r="AP1179" s="5"/>
      <c r="AQ1179" s="5"/>
    </row>
    <row r="1180" spans="1:43" x14ac:dyDescent="0.25">
      <c r="A1180" s="161" t="str">
        <f>CONCATENATE(E1180,IF(ISBLANK(C1180),"",CONCATENATE("_",C1180)))</f>
        <v>PARATROOPER</v>
      </c>
      <c r="B1180" s="9" t="s">
        <v>108</v>
      </c>
      <c r="C1180" s="5"/>
      <c r="D1180" s="5"/>
      <c r="E1180" s="5" t="s">
        <v>108</v>
      </c>
      <c r="F1180" s="5" t="s">
        <v>108</v>
      </c>
      <c r="G1180" s="5" t="s">
        <v>2049</v>
      </c>
      <c r="H1180" s="5" t="s">
        <v>2120</v>
      </c>
      <c r="I1180" s="5" t="s">
        <v>102</v>
      </c>
      <c r="J1180" s="6"/>
      <c r="K1180" s="6"/>
      <c r="L1180" s="13" t="s">
        <v>1708</v>
      </c>
      <c r="M1180" s="8"/>
      <c r="N1180" s="5"/>
      <c r="O1180" s="5"/>
      <c r="P1180" s="5"/>
      <c r="Q1180" s="6">
        <v>0</v>
      </c>
      <c r="R1180" s="6" t="s">
        <v>1737</v>
      </c>
      <c r="S1180" s="13" t="s">
        <v>1620</v>
      </c>
      <c r="T1180" s="6">
        <v>1</v>
      </c>
      <c r="U1180" s="7" t="s">
        <v>1737</v>
      </c>
      <c r="V1180" s="5"/>
      <c r="W1180" s="7" t="s">
        <v>3</v>
      </c>
      <c r="X1180" s="6" t="s">
        <v>3</v>
      </c>
      <c r="Y1180" s="5"/>
      <c r="Z1180" s="7">
        <v>0</v>
      </c>
      <c r="AA1180" s="6"/>
      <c r="AB1180" s="5"/>
      <c r="AC1180" s="6"/>
      <c r="AD1180" s="6" t="s">
        <v>3</v>
      </c>
      <c r="AE1180" s="5"/>
      <c r="AF1180" s="6">
        <v>0</v>
      </c>
      <c r="AG1180" s="6"/>
      <c r="AH1180" s="5"/>
      <c r="AI1180" s="6">
        <v>0</v>
      </c>
      <c r="AJ1180" s="6"/>
      <c r="AK1180" s="5"/>
      <c r="AL1180" s="5"/>
      <c r="AM1180" s="5"/>
      <c r="AN1180" s="5"/>
      <c r="AO1180" s="5"/>
      <c r="AP1180" s="5"/>
      <c r="AQ1180" s="5"/>
    </row>
    <row r="1181" spans="1:43" x14ac:dyDescent="0.25">
      <c r="A1181" s="161" t="str">
        <f>CONCATENATE(E1181,IF(ISBLANK(C1181),"",CONCATENATE("_",C1181)))</f>
        <v>PARATROOPER</v>
      </c>
      <c r="B1181" s="9" t="s">
        <v>108</v>
      </c>
      <c r="C1181" s="5"/>
      <c r="D1181" s="5"/>
      <c r="E1181" s="5" t="s">
        <v>108</v>
      </c>
      <c r="F1181" s="5" t="s">
        <v>108</v>
      </c>
      <c r="G1181" s="5" t="s">
        <v>2047</v>
      </c>
      <c r="H1181" s="5" t="s">
        <v>2123</v>
      </c>
      <c r="I1181" s="5" t="s">
        <v>102</v>
      </c>
      <c r="J1181" s="6"/>
      <c r="K1181" s="6"/>
      <c r="L1181" s="13" t="s">
        <v>1708</v>
      </c>
      <c r="M1181" s="8"/>
      <c r="N1181" s="5"/>
      <c r="O1181" s="5"/>
      <c r="P1181" s="5"/>
      <c r="Q1181" s="7">
        <v>1</v>
      </c>
      <c r="R1181" s="6" t="s">
        <v>1737</v>
      </c>
      <c r="S1181" s="13" t="s">
        <v>1620</v>
      </c>
      <c r="T1181" s="7">
        <v>1</v>
      </c>
      <c r="U1181" s="7" t="s">
        <v>1737</v>
      </c>
      <c r="V1181" s="5"/>
      <c r="W1181" s="7" t="s">
        <v>3</v>
      </c>
      <c r="X1181" s="6" t="s">
        <v>3</v>
      </c>
      <c r="Y1181" s="5"/>
      <c r="Z1181" s="7">
        <v>0</v>
      </c>
      <c r="AA1181" s="6"/>
      <c r="AB1181" s="5"/>
      <c r="AC1181" s="6"/>
      <c r="AD1181" s="6" t="s">
        <v>3</v>
      </c>
      <c r="AE1181" s="5"/>
      <c r="AF1181" s="7">
        <v>0</v>
      </c>
      <c r="AG1181" s="6"/>
      <c r="AH1181" s="5"/>
      <c r="AI1181" s="7">
        <v>0</v>
      </c>
      <c r="AJ1181" s="6"/>
      <c r="AK1181" s="5"/>
      <c r="AL1181" s="5"/>
      <c r="AM1181" s="5"/>
      <c r="AN1181" s="5"/>
      <c r="AO1181" s="5"/>
      <c r="AP1181" s="5"/>
      <c r="AQ1181" s="5"/>
    </row>
    <row r="1182" spans="1:43" x14ac:dyDescent="0.25">
      <c r="A1182" s="161" t="str">
        <f t="shared" si="21"/>
        <v>PARATROOPER</v>
      </c>
      <c r="B1182" s="9" t="s">
        <v>108</v>
      </c>
      <c r="C1182" s="5"/>
      <c r="D1182" s="5"/>
      <c r="E1182" s="5" t="s">
        <v>108</v>
      </c>
      <c r="F1182" s="5" t="s">
        <v>108</v>
      </c>
      <c r="G1182" s="5"/>
      <c r="H1182" s="5" t="s">
        <v>2121</v>
      </c>
      <c r="I1182" s="5" t="s">
        <v>102</v>
      </c>
      <c r="J1182" s="6"/>
      <c r="K1182" s="6"/>
      <c r="L1182" s="13" t="s">
        <v>1708</v>
      </c>
      <c r="M1182" s="8"/>
      <c r="N1182" s="5"/>
      <c r="O1182" s="5"/>
      <c r="P1182" s="5"/>
      <c r="Q1182" s="6">
        <v>4</v>
      </c>
      <c r="R1182" s="6" t="s">
        <v>1737</v>
      </c>
      <c r="S1182" s="13" t="s">
        <v>1620</v>
      </c>
      <c r="T1182" s="6">
        <v>5</v>
      </c>
      <c r="U1182" s="7" t="s">
        <v>1737</v>
      </c>
      <c r="V1182" s="5"/>
      <c r="W1182" s="7" t="s">
        <v>3</v>
      </c>
      <c r="X1182" s="6" t="s">
        <v>3</v>
      </c>
      <c r="Y1182" s="5"/>
      <c r="Z1182" s="7">
        <v>0</v>
      </c>
      <c r="AA1182" s="6"/>
      <c r="AB1182" s="5"/>
      <c r="AC1182" s="6"/>
      <c r="AD1182" s="6" t="s">
        <v>3</v>
      </c>
      <c r="AE1182" s="5"/>
      <c r="AF1182" s="6">
        <v>0</v>
      </c>
      <c r="AG1182" s="6"/>
      <c r="AH1182" s="5"/>
      <c r="AI1182" s="6">
        <v>2</v>
      </c>
      <c r="AJ1182" s="6"/>
      <c r="AK1182" s="5"/>
      <c r="AL1182" s="5"/>
      <c r="AM1182" s="5"/>
      <c r="AN1182" s="5"/>
      <c r="AO1182" s="5"/>
      <c r="AP1182" s="5"/>
      <c r="AQ1182" s="5"/>
    </row>
    <row r="1183" spans="1:43" x14ac:dyDescent="0.25">
      <c r="A1183" s="161" t="str">
        <f t="shared" si="21"/>
        <v>PARATROOPER</v>
      </c>
      <c r="B1183" s="9" t="s">
        <v>108</v>
      </c>
      <c r="C1183" s="5"/>
      <c r="D1183" s="5"/>
      <c r="E1183" s="5" t="s">
        <v>108</v>
      </c>
      <c r="F1183" s="5" t="s">
        <v>108</v>
      </c>
      <c r="G1183" s="5" t="s">
        <v>2048</v>
      </c>
      <c r="H1183" s="5" t="s">
        <v>2122</v>
      </c>
      <c r="I1183" s="5" t="s">
        <v>102</v>
      </c>
      <c r="J1183" s="6"/>
      <c r="K1183" s="6"/>
      <c r="L1183" s="13" t="s">
        <v>1708</v>
      </c>
      <c r="M1183" s="8"/>
      <c r="N1183" s="5"/>
      <c r="O1183" s="5"/>
      <c r="P1183" s="5"/>
      <c r="Q1183" s="7">
        <v>1</v>
      </c>
      <c r="R1183" s="6" t="s">
        <v>1737</v>
      </c>
      <c r="S1183" s="13" t="s">
        <v>1620</v>
      </c>
      <c r="T1183" s="7">
        <v>1</v>
      </c>
      <c r="U1183" s="7" t="s">
        <v>1737</v>
      </c>
      <c r="V1183" s="5"/>
      <c r="W1183" s="7" t="s">
        <v>3</v>
      </c>
      <c r="X1183" s="6" t="s">
        <v>3</v>
      </c>
      <c r="Y1183" s="5"/>
      <c r="Z1183" s="7">
        <v>0</v>
      </c>
      <c r="AA1183" s="6"/>
      <c r="AB1183" s="5"/>
      <c r="AC1183" s="6"/>
      <c r="AD1183" s="6" t="s">
        <v>3</v>
      </c>
      <c r="AE1183" s="5"/>
      <c r="AF1183" s="7">
        <v>0</v>
      </c>
      <c r="AG1183" s="6"/>
      <c r="AH1183" s="5"/>
      <c r="AI1183" s="7">
        <v>0</v>
      </c>
      <c r="AJ1183" s="6"/>
      <c r="AK1183" s="5"/>
      <c r="AL1183" s="5"/>
      <c r="AM1183" s="5"/>
      <c r="AN1183" s="5"/>
      <c r="AO1183" s="5"/>
      <c r="AP1183" s="5"/>
      <c r="AQ1183" s="5"/>
    </row>
    <row r="1184" spans="1:43" x14ac:dyDescent="0.25">
      <c r="A1184" s="161" t="str">
        <f t="shared" si="21"/>
        <v>PARATROOPER_AMER</v>
      </c>
      <c r="B1184" s="9" t="s">
        <v>108</v>
      </c>
      <c r="C1184" s="4" t="s">
        <v>697</v>
      </c>
      <c r="D1184" s="4" t="s">
        <v>994</v>
      </c>
      <c r="E1184" s="4" t="s">
        <v>108</v>
      </c>
      <c r="F1184" s="4" t="s">
        <v>108</v>
      </c>
      <c r="G1184" s="14"/>
    </row>
    <row r="1185" spans="1:35" x14ac:dyDescent="0.25">
      <c r="A1185" s="161" t="str">
        <f t="shared" si="21"/>
        <v>PARATROOPER_ASIA</v>
      </c>
      <c r="B1185" s="9" t="s">
        <v>108</v>
      </c>
      <c r="C1185" s="4" t="s">
        <v>693</v>
      </c>
      <c r="E1185" s="4" t="s">
        <v>108</v>
      </c>
      <c r="F1185" s="4" t="s">
        <v>108</v>
      </c>
      <c r="H1185" s="4" t="s">
        <v>954</v>
      </c>
      <c r="I1185" s="4" t="s">
        <v>102</v>
      </c>
      <c r="Q1185" s="11">
        <v>4</v>
      </c>
      <c r="T1185" s="11">
        <v>4</v>
      </c>
      <c r="Z1185" s="11">
        <v>1</v>
      </c>
      <c r="AF1185" s="11">
        <v>1</v>
      </c>
      <c r="AI1185" s="11">
        <v>2</v>
      </c>
    </row>
    <row r="1186" spans="1:35" x14ac:dyDescent="0.25">
      <c r="A1186" s="161" t="str">
        <f t="shared" si="21"/>
        <v>PARATROOPER_ASIA</v>
      </c>
      <c r="B1186" s="9" t="s">
        <v>108</v>
      </c>
      <c r="C1186" s="4" t="s">
        <v>693</v>
      </c>
      <c r="E1186" s="4" t="s">
        <v>108</v>
      </c>
      <c r="F1186" s="4" t="s">
        <v>108</v>
      </c>
      <c r="G1186" s="4" t="s">
        <v>2047</v>
      </c>
      <c r="H1186" s="4" t="s">
        <v>486</v>
      </c>
      <c r="I1186" s="4" t="s">
        <v>102</v>
      </c>
      <c r="Q1186" s="11">
        <v>1</v>
      </c>
      <c r="T1186" s="11">
        <v>2</v>
      </c>
      <c r="Z1186" s="11">
        <v>0</v>
      </c>
      <c r="AF1186" s="11">
        <v>1</v>
      </c>
      <c r="AI1186" s="11">
        <v>1</v>
      </c>
    </row>
    <row r="1187" spans="1:35" x14ac:dyDescent="0.25">
      <c r="A1187" s="161" t="str">
        <f t="shared" si="21"/>
        <v>PARATROOPER_ASIA</v>
      </c>
      <c r="B1187" s="9" t="s">
        <v>108</v>
      </c>
      <c r="C1187" s="4" t="s">
        <v>693</v>
      </c>
      <c r="E1187" s="4" t="s">
        <v>108</v>
      </c>
      <c r="F1187" s="4" t="s">
        <v>108</v>
      </c>
      <c r="H1187" s="4" t="s">
        <v>954</v>
      </c>
      <c r="I1187" s="4" t="s">
        <v>102</v>
      </c>
      <c r="Q1187" s="11">
        <v>4</v>
      </c>
      <c r="T1187" s="11">
        <v>4</v>
      </c>
      <c r="Z1187" s="11">
        <v>0</v>
      </c>
      <c r="AF1187" s="11">
        <v>1</v>
      </c>
      <c r="AI1187" s="11">
        <v>2</v>
      </c>
    </row>
    <row r="1188" spans="1:35" x14ac:dyDescent="0.25">
      <c r="A1188" s="161" t="str">
        <f t="shared" si="21"/>
        <v>PARATROOPER_ASIA</v>
      </c>
      <c r="B1188" s="9" t="s">
        <v>108</v>
      </c>
      <c r="C1188" s="4" t="s">
        <v>693</v>
      </c>
      <c r="E1188" s="4" t="s">
        <v>108</v>
      </c>
      <c r="F1188" s="4" t="s">
        <v>108</v>
      </c>
      <c r="G1188" s="4" t="s">
        <v>2047</v>
      </c>
      <c r="H1188" s="4" t="s">
        <v>486</v>
      </c>
      <c r="I1188" s="4" t="s">
        <v>102</v>
      </c>
      <c r="Q1188" s="9">
        <v>1</v>
      </c>
      <c r="T1188" s="11">
        <v>2</v>
      </c>
      <c r="Z1188" s="9">
        <v>0</v>
      </c>
      <c r="AF1188" s="11">
        <v>0</v>
      </c>
      <c r="AI1188" s="11">
        <v>1</v>
      </c>
    </row>
    <row r="1189" spans="1:35" x14ac:dyDescent="0.25">
      <c r="A1189" s="161" t="str">
        <f t="shared" si="21"/>
        <v>PARATROOPER_CHINA</v>
      </c>
      <c r="B1189" s="9" t="s">
        <v>108</v>
      </c>
      <c r="C1189" s="4" t="s">
        <v>710</v>
      </c>
      <c r="E1189" s="4" t="s">
        <v>108</v>
      </c>
      <c r="F1189" s="4" t="s">
        <v>108</v>
      </c>
      <c r="H1189" s="4" t="s">
        <v>829</v>
      </c>
      <c r="I1189" s="4" t="s">
        <v>102</v>
      </c>
      <c r="Q1189" s="9">
        <v>4</v>
      </c>
      <c r="T1189" s="11">
        <v>4</v>
      </c>
      <c r="Z1189" s="9">
        <v>1</v>
      </c>
      <c r="AF1189" s="11">
        <v>1</v>
      </c>
      <c r="AI1189" s="11">
        <v>2</v>
      </c>
    </row>
    <row r="1190" spans="1:35" x14ac:dyDescent="0.25">
      <c r="A1190" s="161" t="str">
        <f t="shared" si="21"/>
        <v>PARATROOPER_CHINA</v>
      </c>
      <c r="B1190" s="9" t="s">
        <v>108</v>
      </c>
      <c r="C1190" s="4" t="s">
        <v>710</v>
      </c>
      <c r="E1190" s="4" t="s">
        <v>108</v>
      </c>
      <c r="F1190" s="4" t="s">
        <v>108</v>
      </c>
      <c r="G1190" s="4" t="s">
        <v>2047</v>
      </c>
      <c r="H1190" s="4" t="s">
        <v>255</v>
      </c>
      <c r="I1190" s="4" t="s">
        <v>102</v>
      </c>
      <c r="Q1190" s="9">
        <v>1</v>
      </c>
      <c r="T1190" s="11">
        <v>2</v>
      </c>
      <c r="Z1190" s="9">
        <v>0</v>
      </c>
      <c r="AF1190" s="11">
        <v>1</v>
      </c>
      <c r="AI1190" s="11">
        <v>1</v>
      </c>
    </row>
    <row r="1191" spans="1:35" x14ac:dyDescent="0.25">
      <c r="A1191" s="161" t="str">
        <f t="shared" si="21"/>
        <v>PARATROOPER_CHINA</v>
      </c>
      <c r="B1191" s="9" t="s">
        <v>108</v>
      </c>
      <c r="C1191" s="4" t="s">
        <v>710</v>
      </c>
      <c r="E1191" s="4" t="s">
        <v>108</v>
      </c>
      <c r="F1191" s="4" t="s">
        <v>108</v>
      </c>
      <c r="H1191" s="4" t="s">
        <v>829</v>
      </c>
      <c r="I1191" s="4" t="s">
        <v>102</v>
      </c>
      <c r="Q1191" s="9">
        <v>4</v>
      </c>
      <c r="T1191" s="11">
        <v>4</v>
      </c>
      <c r="Z1191" s="9">
        <v>0</v>
      </c>
      <c r="AF1191" s="11">
        <v>1</v>
      </c>
      <c r="AI1191" s="11">
        <v>2</v>
      </c>
    </row>
    <row r="1192" spans="1:35" x14ac:dyDescent="0.25">
      <c r="A1192" s="161" t="str">
        <f t="shared" si="21"/>
        <v>PARATROOPER_CHINA</v>
      </c>
      <c r="B1192" s="9" t="s">
        <v>108</v>
      </c>
      <c r="C1192" s="4" t="s">
        <v>710</v>
      </c>
      <c r="E1192" s="4" t="s">
        <v>108</v>
      </c>
      <c r="F1192" s="4" t="s">
        <v>108</v>
      </c>
      <c r="G1192" s="4" t="s">
        <v>2047</v>
      </c>
      <c r="H1192" s="4" t="s">
        <v>255</v>
      </c>
      <c r="I1192" s="4" t="s">
        <v>102</v>
      </c>
      <c r="Q1192" s="9">
        <v>1</v>
      </c>
      <c r="T1192" s="11">
        <v>2</v>
      </c>
      <c r="Z1192" s="9">
        <v>0</v>
      </c>
      <c r="AF1192" s="11">
        <v>0</v>
      </c>
      <c r="AI1192" s="11">
        <v>1</v>
      </c>
    </row>
    <row r="1193" spans="1:35" x14ac:dyDescent="0.25">
      <c r="A1193" s="161" t="str">
        <f t="shared" ref="A1193:A1259" si="22">CONCATENATE(E1193,IF(ISBLANK(C1193),"",CONCATENATE("_",C1193)))</f>
        <v>PARATROOPER_JAPAN</v>
      </c>
      <c r="B1193" s="9" t="s">
        <v>108</v>
      </c>
      <c r="C1193" s="4" t="s">
        <v>722</v>
      </c>
      <c r="D1193" s="4" t="s">
        <v>693</v>
      </c>
      <c r="E1193" s="4" t="s">
        <v>108</v>
      </c>
      <c r="F1193" s="4" t="s">
        <v>108</v>
      </c>
      <c r="I1193" s="4" t="s">
        <v>102</v>
      </c>
      <c r="Q1193" s="9"/>
    </row>
    <row r="1194" spans="1:35" x14ac:dyDescent="0.25">
      <c r="A1194" s="161" t="str">
        <f t="shared" si="22"/>
        <v>PARATROOPER_HUNS</v>
      </c>
      <c r="B1194" s="9" t="s">
        <v>108</v>
      </c>
      <c r="C1194" s="4" t="s">
        <v>904</v>
      </c>
      <c r="E1194" s="4" t="s">
        <v>108</v>
      </c>
      <c r="F1194" s="4" t="s">
        <v>108</v>
      </c>
      <c r="H1194" s="4" t="s">
        <v>911</v>
      </c>
      <c r="I1194" s="4" t="s">
        <v>102</v>
      </c>
      <c r="Q1194" s="9">
        <v>4</v>
      </c>
      <c r="T1194" s="11">
        <v>4</v>
      </c>
      <c r="Z1194" s="9">
        <v>1</v>
      </c>
      <c r="AF1194" s="11">
        <v>1</v>
      </c>
      <c r="AI1194" s="11">
        <v>2</v>
      </c>
    </row>
    <row r="1195" spans="1:35" x14ac:dyDescent="0.25">
      <c r="A1195" s="161" t="str">
        <f t="shared" si="22"/>
        <v>PARATROOPER_HUNS</v>
      </c>
      <c r="B1195" s="9" t="s">
        <v>108</v>
      </c>
      <c r="C1195" s="4" t="s">
        <v>904</v>
      </c>
      <c r="E1195" s="4" t="s">
        <v>108</v>
      </c>
      <c r="F1195" s="4" t="s">
        <v>108</v>
      </c>
      <c r="G1195" s="4" t="s">
        <v>2047</v>
      </c>
      <c r="H1195" s="4" t="s">
        <v>912</v>
      </c>
      <c r="I1195" s="4" t="s">
        <v>102</v>
      </c>
      <c r="Q1195" s="9">
        <v>1</v>
      </c>
      <c r="T1195" s="11">
        <v>2</v>
      </c>
      <c r="Z1195" s="9">
        <v>0</v>
      </c>
      <c r="AF1195" s="11">
        <v>1</v>
      </c>
      <c r="AI1195" s="11">
        <v>1</v>
      </c>
    </row>
    <row r="1196" spans="1:35" x14ac:dyDescent="0.25">
      <c r="A1196" s="161" t="str">
        <f t="shared" si="22"/>
        <v>PARATROOPER_HUNS</v>
      </c>
      <c r="B1196" s="9" t="s">
        <v>108</v>
      </c>
      <c r="C1196" s="4" t="s">
        <v>904</v>
      </c>
      <c r="E1196" s="4" t="s">
        <v>108</v>
      </c>
      <c r="F1196" s="4" t="s">
        <v>108</v>
      </c>
      <c r="H1196" s="4" t="s">
        <v>911</v>
      </c>
      <c r="I1196" s="4" t="s">
        <v>102</v>
      </c>
      <c r="Q1196" s="9">
        <v>4</v>
      </c>
      <c r="T1196" s="11">
        <v>4</v>
      </c>
      <c r="Z1196" s="9">
        <v>0</v>
      </c>
      <c r="AF1196" s="11">
        <v>1</v>
      </c>
      <c r="AI1196" s="11">
        <v>2</v>
      </c>
    </row>
    <row r="1197" spans="1:35" x14ac:dyDescent="0.25">
      <c r="A1197" s="161" t="str">
        <f t="shared" si="22"/>
        <v>PARATROOPER_HUNS</v>
      </c>
      <c r="B1197" s="9" t="s">
        <v>108</v>
      </c>
      <c r="C1197" s="4" t="s">
        <v>904</v>
      </c>
      <c r="E1197" s="4" t="s">
        <v>108</v>
      </c>
      <c r="F1197" s="4" t="s">
        <v>108</v>
      </c>
      <c r="G1197" s="4" t="s">
        <v>2047</v>
      </c>
      <c r="H1197" s="4" t="s">
        <v>912</v>
      </c>
      <c r="I1197" s="4" t="s">
        <v>102</v>
      </c>
      <c r="Q1197" s="9">
        <v>1</v>
      </c>
      <c r="T1197" s="11">
        <v>2</v>
      </c>
      <c r="Z1197" s="9">
        <v>0</v>
      </c>
      <c r="AF1197" s="11">
        <v>0</v>
      </c>
      <c r="AI1197" s="11">
        <v>1</v>
      </c>
    </row>
    <row r="1198" spans="1:35" x14ac:dyDescent="0.25">
      <c r="A1198" s="161" t="str">
        <f t="shared" si="22"/>
        <v>PARATROOPER_EASTEU</v>
      </c>
      <c r="B1198" s="9" t="s">
        <v>108</v>
      </c>
      <c r="C1198" s="4" t="s">
        <v>698</v>
      </c>
      <c r="E1198" s="4" t="s">
        <v>108</v>
      </c>
      <c r="F1198" s="4" t="s">
        <v>108</v>
      </c>
      <c r="H1198" s="4" t="s">
        <v>969</v>
      </c>
      <c r="I1198" s="4" t="s">
        <v>102</v>
      </c>
      <c r="Q1198" s="9">
        <v>4</v>
      </c>
      <c r="T1198" s="11">
        <v>4</v>
      </c>
      <c r="Z1198" s="9">
        <v>1</v>
      </c>
      <c r="AF1198" s="11">
        <v>1</v>
      </c>
      <c r="AI1198" s="11">
        <v>2</v>
      </c>
    </row>
    <row r="1199" spans="1:35" x14ac:dyDescent="0.25">
      <c r="A1199" s="161" t="str">
        <f t="shared" si="22"/>
        <v>PARATROOPER_EASTEU</v>
      </c>
      <c r="B1199" s="9" t="s">
        <v>108</v>
      </c>
      <c r="C1199" s="4" t="s">
        <v>698</v>
      </c>
      <c r="E1199" s="4" t="s">
        <v>108</v>
      </c>
      <c r="F1199" s="4" t="s">
        <v>108</v>
      </c>
      <c r="G1199" s="4" t="s">
        <v>2047</v>
      </c>
      <c r="H1199" s="4" t="s">
        <v>573</v>
      </c>
      <c r="I1199" s="4" t="s">
        <v>102</v>
      </c>
      <c r="Q1199" s="9">
        <v>1</v>
      </c>
      <c r="T1199" s="11">
        <v>2</v>
      </c>
      <c r="Z1199" s="9">
        <v>0</v>
      </c>
      <c r="AF1199" s="11">
        <v>1</v>
      </c>
      <c r="AI1199" s="11">
        <v>1</v>
      </c>
    </row>
    <row r="1200" spans="1:35" x14ac:dyDescent="0.25">
      <c r="A1200" s="161" t="str">
        <f t="shared" si="22"/>
        <v>PARATROOPER_EASTEU</v>
      </c>
      <c r="B1200" s="9" t="s">
        <v>108</v>
      </c>
      <c r="C1200" s="4" t="s">
        <v>698</v>
      </c>
      <c r="E1200" s="4" t="s">
        <v>108</v>
      </c>
      <c r="F1200" s="4" t="s">
        <v>108</v>
      </c>
      <c r="H1200" s="4" t="s">
        <v>969</v>
      </c>
      <c r="I1200" s="4" t="s">
        <v>102</v>
      </c>
      <c r="Q1200" s="9">
        <v>4</v>
      </c>
      <c r="T1200" s="11">
        <v>4</v>
      </c>
      <c r="Z1200" s="9">
        <v>0</v>
      </c>
      <c r="AF1200" s="11">
        <v>1</v>
      </c>
      <c r="AI1200" s="11">
        <v>2</v>
      </c>
    </row>
    <row r="1201" spans="1:35" x14ac:dyDescent="0.25">
      <c r="A1201" s="161" t="str">
        <f t="shared" si="22"/>
        <v>PARATROOPER_EASTEU</v>
      </c>
      <c r="B1201" s="9" t="s">
        <v>108</v>
      </c>
      <c r="C1201" s="4" t="s">
        <v>698</v>
      </c>
      <c r="E1201" s="4" t="s">
        <v>108</v>
      </c>
      <c r="F1201" s="4" t="s">
        <v>108</v>
      </c>
      <c r="G1201" s="4" t="s">
        <v>2047</v>
      </c>
      <c r="H1201" s="4" t="s">
        <v>573</v>
      </c>
      <c r="I1201" s="4" t="s">
        <v>102</v>
      </c>
      <c r="Q1201" s="9">
        <v>1</v>
      </c>
      <c r="T1201" s="11">
        <v>2</v>
      </c>
      <c r="Z1201" s="9">
        <v>0</v>
      </c>
      <c r="AF1201" s="11">
        <v>0</v>
      </c>
      <c r="AI1201" s="11">
        <v>1</v>
      </c>
    </row>
    <row r="1202" spans="1:35" x14ac:dyDescent="0.25">
      <c r="A1202" s="161" t="str">
        <f t="shared" si="22"/>
        <v>PARATROOPER_RUSSIA</v>
      </c>
      <c r="B1202" s="9" t="s">
        <v>108</v>
      </c>
      <c r="C1202" s="4" t="s">
        <v>735</v>
      </c>
      <c r="E1202" s="4" t="s">
        <v>108</v>
      </c>
      <c r="F1202" s="4" t="s">
        <v>108</v>
      </c>
      <c r="H1202" s="4" t="s">
        <v>971</v>
      </c>
      <c r="I1202" s="4" t="s">
        <v>102</v>
      </c>
      <c r="Q1202" s="9">
        <v>4</v>
      </c>
      <c r="R1202" s="11">
        <v>0.14299999999999999</v>
      </c>
      <c r="T1202" s="11">
        <v>4</v>
      </c>
      <c r="U1202" s="11">
        <v>9.0999999999999998E-2</v>
      </c>
      <c r="Z1202" s="9">
        <v>1</v>
      </c>
      <c r="AF1202" s="11">
        <v>1</v>
      </c>
      <c r="AI1202" s="11">
        <v>2</v>
      </c>
    </row>
    <row r="1203" spans="1:35" x14ac:dyDescent="0.25">
      <c r="A1203" s="161" t="str">
        <f t="shared" si="22"/>
        <v>PARATROOPER_RUSSIA</v>
      </c>
      <c r="B1203" s="9" t="s">
        <v>108</v>
      </c>
      <c r="C1203" s="4" t="s">
        <v>735</v>
      </c>
      <c r="E1203" s="4" t="s">
        <v>108</v>
      </c>
      <c r="F1203" s="4" t="s">
        <v>108</v>
      </c>
      <c r="G1203" s="4" t="s">
        <v>2047</v>
      </c>
      <c r="H1203" s="4" t="s">
        <v>622</v>
      </c>
      <c r="I1203" s="4" t="s">
        <v>102</v>
      </c>
      <c r="Q1203" s="9">
        <v>1</v>
      </c>
      <c r="R1203" s="11">
        <v>0.14299999999999999</v>
      </c>
      <c r="T1203" s="11">
        <v>2</v>
      </c>
      <c r="U1203" s="11">
        <v>9.0999999999999998E-2</v>
      </c>
      <c r="Z1203" s="9">
        <v>0</v>
      </c>
      <c r="AF1203" s="11">
        <v>1</v>
      </c>
      <c r="AI1203" s="11">
        <v>1</v>
      </c>
    </row>
    <row r="1204" spans="1:35" x14ac:dyDescent="0.25">
      <c r="A1204" s="161" t="str">
        <f t="shared" si="22"/>
        <v>PARATROOPER_RUSSIA</v>
      </c>
      <c r="B1204" s="9" t="s">
        <v>108</v>
      </c>
      <c r="C1204" s="4" t="s">
        <v>735</v>
      </c>
      <c r="E1204" s="4" t="s">
        <v>108</v>
      </c>
      <c r="F1204" s="4" t="s">
        <v>108</v>
      </c>
      <c r="H1204" s="4" t="s">
        <v>971</v>
      </c>
      <c r="I1204" s="4" t="s">
        <v>102</v>
      </c>
      <c r="Q1204" s="9">
        <v>4</v>
      </c>
      <c r="R1204" s="11">
        <v>0.14299999999999999</v>
      </c>
      <c r="T1204" s="11">
        <v>4</v>
      </c>
      <c r="U1204" s="11">
        <v>9.0999999999999998E-2</v>
      </c>
      <c r="Z1204" s="9">
        <v>0</v>
      </c>
      <c r="AF1204" s="11">
        <v>1</v>
      </c>
      <c r="AI1204" s="11">
        <v>2</v>
      </c>
    </row>
    <row r="1205" spans="1:35" x14ac:dyDescent="0.25">
      <c r="A1205" s="161" t="str">
        <f t="shared" si="22"/>
        <v>PARATROOPER_RUSSIA</v>
      </c>
      <c r="B1205" s="9" t="s">
        <v>108</v>
      </c>
      <c r="C1205" s="4" t="s">
        <v>735</v>
      </c>
      <c r="E1205" s="4" t="s">
        <v>108</v>
      </c>
      <c r="F1205" s="4" t="s">
        <v>108</v>
      </c>
      <c r="G1205" s="4" t="s">
        <v>2047</v>
      </c>
      <c r="H1205" s="4" t="s">
        <v>622</v>
      </c>
      <c r="I1205" s="4" t="s">
        <v>102</v>
      </c>
      <c r="Q1205" s="9">
        <v>1</v>
      </c>
      <c r="R1205" s="11">
        <v>0.14299999999999999</v>
      </c>
      <c r="T1205" s="11">
        <v>2</v>
      </c>
      <c r="U1205" s="11">
        <v>9.0999999999999998E-2</v>
      </c>
      <c r="Z1205" s="9">
        <v>0</v>
      </c>
      <c r="AF1205" s="11">
        <v>0</v>
      </c>
      <c r="AI1205" s="11">
        <v>1</v>
      </c>
    </row>
    <row r="1206" spans="1:35" x14ac:dyDescent="0.25">
      <c r="A1206" s="161" t="str">
        <f t="shared" si="22"/>
        <v>PARATROOPER_AMERICA</v>
      </c>
      <c r="B1206" s="9" t="s">
        <v>108</v>
      </c>
      <c r="C1206" s="4" t="s">
        <v>699</v>
      </c>
      <c r="E1206" s="4" t="s">
        <v>108</v>
      </c>
      <c r="F1206" s="4" t="s">
        <v>108</v>
      </c>
      <c r="H1206" s="4" t="s">
        <v>803</v>
      </c>
      <c r="I1206" s="4" t="s">
        <v>102</v>
      </c>
      <c r="Q1206" s="9">
        <v>4</v>
      </c>
      <c r="T1206" s="11">
        <v>4</v>
      </c>
      <c r="Z1206" s="9">
        <v>1</v>
      </c>
      <c r="AF1206" s="11">
        <v>1</v>
      </c>
      <c r="AI1206" s="11">
        <v>2</v>
      </c>
    </row>
    <row r="1207" spans="1:35" x14ac:dyDescent="0.25">
      <c r="A1207" s="161" t="str">
        <f t="shared" si="22"/>
        <v>PARATROOPER_AMERICA</v>
      </c>
      <c r="B1207" s="9" t="s">
        <v>108</v>
      </c>
      <c r="C1207" s="4" t="s">
        <v>699</v>
      </c>
      <c r="E1207" s="4" t="s">
        <v>108</v>
      </c>
      <c r="F1207" s="4" t="s">
        <v>108</v>
      </c>
      <c r="G1207" s="4" t="s">
        <v>2047</v>
      </c>
      <c r="H1207" s="4" t="s">
        <v>147</v>
      </c>
      <c r="I1207" s="4" t="s">
        <v>102</v>
      </c>
      <c r="Q1207" s="9">
        <v>1</v>
      </c>
      <c r="T1207" s="11">
        <v>2</v>
      </c>
      <c r="Z1207" s="9">
        <v>0</v>
      </c>
      <c r="AF1207" s="11">
        <v>1</v>
      </c>
      <c r="AI1207" s="11">
        <v>1</v>
      </c>
    </row>
    <row r="1208" spans="1:35" x14ac:dyDescent="0.25">
      <c r="A1208" s="161" t="str">
        <f t="shared" si="22"/>
        <v>PARATROOPER_AMERICA</v>
      </c>
      <c r="B1208" s="9" t="s">
        <v>108</v>
      </c>
      <c r="C1208" s="4" t="s">
        <v>699</v>
      </c>
      <c r="E1208" s="4" t="s">
        <v>108</v>
      </c>
      <c r="F1208" s="4" t="s">
        <v>108</v>
      </c>
      <c r="H1208" s="4" t="s">
        <v>803</v>
      </c>
      <c r="I1208" s="4" t="s">
        <v>102</v>
      </c>
      <c r="Q1208" s="9">
        <v>4</v>
      </c>
      <c r="T1208" s="11">
        <v>4</v>
      </c>
      <c r="Z1208" s="9">
        <v>0</v>
      </c>
      <c r="AF1208" s="11">
        <v>1</v>
      </c>
      <c r="AI1208" s="11">
        <v>2</v>
      </c>
    </row>
    <row r="1209" spans="1:35" x14ac:dyDescent="0.25">
      <c r="A1209" s="161" t="str">
        <f t="shared" si="22"/>
        <v>PARATROOPER_AMERICA</v>
      </c>
      <c r="B1209" s="9" t="s">
        <v>108</v>
      </c>
      <c r="C1209" s="4" t="s">
        <v>699</v>
      </c>
      <c r="E1209" s="4" t="s">
        <v>108</v>
      </c>
      <c r="F1209" s="4" t="s">
        <v>108</v>
      </c>
      <c r="G1209" s="4" t="s">
        <v>2047</v>
      </c>
      <c r="H1209" s="4" t="s">
        <v>147</v>
      </c>
      <c r="I1209" s="4" t="s">
        <v>102</v>
      </c>
      <c r="Q1209" s="9">
        <v>1</v>
      </c>
      <c r="T1209" s="11">
        <v>2</v>
      </c>
      <c r="Z1209" s="9">
        <v>0</v>
      </c>
      <c r="AF1209" s="11">
        <v>0</v>
      </c>
      <c r="AI1209" s="11">
        <v>1</v>
      </c>
    </row>
    <row r="1210" spans="1:35" x14ac:dyDescent="0.25">
      <c r="A1210" s="161" t="str">
        <f t="shared" si="22"/>
        <v>PARATROOPER_AUSTRIA</v>
      </c>
      <c r="B1210" s="9" t="s">
        <v>108</v>
      </c>
      <c r="C1210" s="4" t="s">
        <v>701</v>
      </c>
      <c r="E1210" s="4" t="s">
        <v>108</v>
      </c>
      <c r="F1210" s="4" t="s">
        <v>108</v>
      </c>
      <c r="H1210" s="4" t="s">
        <v>811</v>
      </c>
      <c r="I1210" s="4" t="s">
        <v>102</v>
      </c>
      <c r="Q1210" s="9">
        <v>4</v>
      </c>
      <c r="T1210" s="11">
        <v>4</v>
      </c>
      <c r="Z1210" s="9">
        <v>1</v>
      </c>
      <c r="AF1210" s="11">
        <v>1</v>
      </c>
      <c r="AI1210" s="11">
        <v>2</v>
      </c>
    </row>
    <row r="1211" spans="1:35" x14ac:dyDescent="0.25">
      <c r="A1211" s="161" t="str">
        <f t="shared" si="22"/>
        <v>PARATROOPER_AUSTRIA</v>
      </c>
      <c r="B1211" s="9" t="s">
        <v>108</v>
      </c>
      <c r="C1211" s="4" t="s">
        <v>701</v>
      </c>
      <c r="E1211" s="4" t="s">
        <v>108</v>
      </c>
      <c r="F1211" s="4" t="s">
        <v>108</v>
      </c>
      <c r="G1211" s="4" t="s">
        <v>2047</v>
      </c>
      <c r="H1211" s="4" t="s">
        <v>184</v>
      </c>
      <c r="I1211" s="4" t="s">
        <v>102</v>
      </c>
      <c r="Q1211" s="9">
        <v>1</v>
      </c>
      <c r="T1211" s="11">
        <v>2</v>
      </c>
      <c r="Z1211" s="9">
        <v>0</v>
      </c>
      <c r="AF1211" s="11">
        <v>1</v>
      </c>
      <c r="AI1211" s="11">
        <v>1</v>
      </c>
    </row>
    <row r="1212" spans="1:35" x14ac:dyDescent="0.25">
      <c r="A1212" s="161" t="str">
        <f t="shared" si="22"/>
        <v>PARATROOPER_AUSTRIA</v>
      </c>
      <c r="B1212" s="9" t="s">
        <v>108</v>
      </c>
      <c r="C1212" s="4" t="s">
        <v>701</v>
      </c>
      <c r="E1212" s="4" t="s">
        <v>108</v>
      </c>
      <c r="F1212" s="4" t="s">
        <v>108</v>
      </c>
      <c r="H1212" s="4" t="s">
        <v>811</v>
      </c>
      <c r="I1212" s="4" t="s">
        <v>102</v>
      </c>
      <c r="Q1212" s="9">
        <v>4</v>
      </c>
      <c r="T1212" s="11">
        <v>4</v>
      </c>
      <c r="Z1212" s="9">
        <v>0</v>
      </c>
      <c r="AF1212" s="11">
        <v>1</v>
      </c>
      <c r="AI1212" s="11">
        <v>2</v>
      </c>
    </row>
    <row r="1213" spans="1:35" x14ac:dyDescent="0.25">
      <c r="A1213" s="161" t="str">
        <f t="shared" si="22"/>
        <v>PARATROOPER_AUSTRIA</v>
      </c>
      <c r="B1213" s="9" t="s">
        <v>108</v>
      </c>
      <c r="C1213" s="4" t="s">
        <v>701</v>
      </c>
      <c r="E1213" s="4" t="s">
        <v>108</v>
      </c>
      <c r="F1213" s="4" t="s">
        <v>108</v>
      </c>
      <c r="G1213" s="4" t="s">
        <v>2047</v>
      </c>
      <c r="H1213" s="4" t="s">
        <v>184</v>
      </c>
      <c r="I1213" s="4" t="s">
        <v>102</v>
      </c>
      <c r="Q1213" s="9">
        <v>1</v>
      </c>
      <c r="T1213" s="11">
        <v>2</v>
      </c>
      <c r="Z1213" s="9">
        <v>0</v>
      </c>
      <c r="AF1213" s="11">
        <v>0</v>
      </c>
      <c r="AI1213" s="11">
        <v>1</v>
      </c>
    </row>
    <row r="1214" spans="1:35" x14ac:dyDescent="0.25">
      <c r="A1214" s="161" t="str">
        <f t="shared" si="22"/>
        <v>PARATROOPER_ENGLAND</v>
      </c>
      <c r="B1214" s="9" t="s">
        <v>108</v>
      </c>
      <c r="C1214" s="4" t="s">
        <v>713</v>
      </c>
      <c r="E1214" s="4" t="s">
        <v>108</v>
      </c>
      <c r="F1214" s="4" t="s">
        <v>108</v>
      </c>
      <c r="H1214" s="4" t="s">
        <v>866</v>
      </c>
      <c r="I1214" s="4" t="s">
        <v>102</v>
      </c>
      <c r="Q1214" s="9">
        <v>4</v>
      </c>
      <c r="R1214" s="11">
        <v>0.14299999999999999</v>
      </c>
      <c r="T1214" s="11">
        <v>4</v>
      </c>
      <c r="U1214" s="11">
        <v>9.0999999999999998E-2</v>
      </c>
      <c r="Z1214" s="9">
        <v>1</v>
      </c>
      <c r="AF1214" s="11">
        <v>1</v>
      </c>
      <c r="AI1214" s="11">
        <v>2</v>
      </c>
    </row>
    <row r="1215" spans="1:35" x14ac:dyDescent="0.25">
      <c r="A1215" s="161" t="str">
        <f t="shared" si="22"/>
        <v>PARATROOPER_ENGLAND</v>
      </c>
      <c r="B1215" s="9" t="s">
        <v>108</v>
      </c>
      <c r="C1215" s="4" t="s">
        <v>713</v>
      </c>
      <c r="E1215" s="4" t="s">
        <v>108</v>
      </c>
      <c r="F1215" s="4" t="s">
        <v>108</v>
      </c>
      <c r="G1215" s="4" t="s">
        <v>2047</v>
      </c>
      <c r="H1215" s="4" t="s">
        <v>308</v>
      </c>
      <c r="I1215" s="4" t="s">
        <v>102</v>
      </c>
      <c r="Q1215" s="9">
        <v>1</v>
      </c>
      <c r="R1215" s="11">
        <v>0.14299999999999999</v>
      </c>
      <c r="T1215" s="11">
        <v>2</v>
      </c>
      <c r="U1215" s="11">
        <v>9.0999999999999998E-2</v>
      </c>
      <c r="Z1215" s="9">
        <v>0</v>
      </c>
      <c r="AF1215" s="11">
        <v>1</v>
      </c>
      <c r="AI1215" s="11">
        <v>1</v>
      </c>
    </row>
    <row r="1216" spans="1:35" x14ac:dyDescent="0.25">
      <c r="A1216" s="161" t="str">
        <f t="shared" si="22"/>
        <v>PARATROOPER_ENGLAND</v>
      </c>
      <c r="B1216" s="9" t="s">
        <v>108</v>
      </c>
      <c r="C1216" s="4" t="s">
        <v>713</v>
      </c>
      <c r="E1216" s="4" t="s">
        <v>108</v>
      </c>
      <c r="F1216" s="4" t="s">
        <v>108</v>
      </c>
      <c r="H1216" s="4" t="s">
        <v>866</v>
      </c>
      <c r="I1216" s="4" t="s">
        <v>102</v>
      </c>
      <c r="Q1216" s="9">
        <v>4</v>
      </c>
      <c r="R1216" s="11">
        <v>0.14299999999999999</v>
      </c>
      <c r="T1216" s="11">
        <v>4</v>
      </c>
      <c r="U1216" s="11">
        <v>9.0999999999999998E-2</v>
      </c>
      <c r="Z1216" s="9">
        <v>0</v>
      </c>
      <c r="AF1216" s="11">
        <v>1</v>
      </c>
      <c r="AI1216" s="11">
        <v>2</v>
      </c>
    </row>
    <row r="1217" spans="1:35" x14ac:dyDescent="0.25">
      <c r="A1217" s="161" t="str">
        <f t="shared" si="22"/>
        <v>PARATROOPER_ENGLAND</v>
      </c>
      <c r="B1217" s="9" t="s">
        <v>108</v>
      </c>
      <c r="C1217" s="4" t="s">
        <v>713</v>
      </c>
      <c r="E1217" s="4" t="s">
        <v>108</v>
      </c>
      <c r="F1217" s="4" t="s">
        <v>108</v>
      </c>
      <c r="G1217" s="4" t="s">
        <v>2047</v>
      </c>
      <c r="H1217" s="4" t="s">
        <v>308</v>
      </c>
      <c r="I1217" s="4" t="s">
        <v>102</v>
      </c>
      <c r="Q1217" s="9">
        <v>1</v>
      </c>
      <c r="R1217" s="11">
        <v>0.14299999999999999</v>
      </c>
      <c r="T1217" s="11">
        <v>2</v>
      </c>
      <c r="U1217" s="11">
        <v>9.0999999999999998E-2</v>
      </c>
      <c r="Z1217" s="9">
        <v>0</v>
      </c>
      <c r="AF1217" s="11">
        <v>0</v>
      </c>
      <c r="AI1217" s="11">
        <v>1</v>
      </c>
    </row>
    <row r="1218" spans="1:35" x14ac:dyDescent="0.25">
      <c r="A1218" s="161" t="str">
        <f t="shared" si="22"/>
        <v>PARATROOPER_FRANCE</v>
      </c>
      <c r="B1218" s="9" t="s">
        <v>108</v>
      </c>
      <c r="C1218" s="4" t="s">
        <v>715</v>
      </c>
      <c r="E1218" s="4" t="s">
        <v>108</v>
      </c>
      <c r="F1218" s="4" t="s">
        <v>108</v>
      </c>
      <c r="H1218" s="4" t="s">
        <v>879</v>
      </c>
      <c r="I1218" s="4" t="s">
        <v>102</v>
      </c>
      <c r="Q1218" s="9">
        <v>4</v>
      </c>
      <c r="T1218" s="11">
        <v>4</v>
      </c>
      <c r="Z1218" s="9">
        <v>1</v>
      </c>
      <c r="AF1218" s="11">
        <v>1</v>
      </c>
      <c r="AI1218" s="11">
        <v>2</v>
      </c>
    </row>
    <row r="1219" spans="1:35" x14ac:dyDescent="0.25">
      <c r="A1219" s="161" t="str">
        <f t="shared" si="22"/>
        <v>PARATROOPER_FRANCE</v>
      </c>
      <c r="B1219" s="9" t="s">
        <v>108</v>
      </c>
      <c r="C1219" s="4" t="s">
        <v>715</v>
      </c>
      <c r="E1219" s="4" t="s">
        <v>108</v>
      </c>
      <c r="F1219" s="4" t="s">
        <v>108</v>
      </c>
      <c r="G1219" s="4" t="s">
        <v>2047</v>
      </c>
      <c r="H1219" s="4" t="s">
        <v>353</v>
      </c>
      <c r="I1219" s="4" t="s">
        <v>102</v>
      </c>
      <c r="Q1219" s="9">
        <v>1</v>
      </c>
      <c r="T1219" s="11">
        <v>2</v>
      </c>
      <c r="Z1219" s="9">
        <v>0</v>
      </c>
      <c r="AF1219" s="11">
        <v>1</v>
      </c>
      <c r="AI1219" s="11">
        <v>1</v>
      </c>
    </row>
    <row r="1220" spans="1:35" x14ac:dyDescent="0.25">
      <c r="A1220" s="161" t="str">
        <f t="shared" si="22"/>
        <v>PARATROOPER_FRANCE</v>
      </c>
      <c r="B1220" s="9" t="s">
        <v>108</v>
      </c>
      <c r="C1220" s="4" t="s">
        <v>715</v>
      </c>
      <c r="E1220" s="4" t="s">
        <v>108</v>
      </c>
      <c r="F1220" s="4" t="s">
        <v>108</v>
      </c>
      <c r="H1220" s="4" t="s">
        <v>879</v>
      </c>
      <c r="I1220" s="4" t="s">
        <v>102</v>
      </c>
      <c r="Q1220" s="9">
        <v>4</v>
      </c>
      <c r="T1220" s="11">
        <v>4</v>
      </c>
      <c r="Z1220" s="9">
        <v>0</v>
      </c>
      <c r="AF1220" s="11">
        <v>1</v>
      </c>
      <c r="AI1220" s="11">
        <v>2</v>
      </c>
    </row>
    <row r="1221" spans="1:35" x14ac:dyDescent="0.25">
      <c r="A1221" s="161" t="str">
        <f t="shared" si="22"/>
        <v>PARATROOPER_FRANCE</v>
      </c>
      <c r="B1221" s="9" t="s">
        <v>108</v>
      </c>
      <c r="C1221" s="4" t="s">
        <v>715</v>
      </c>
      <c r="E1221" s="4" t="s">
        <v>108</v>
      </c>
      <c r="F1221" s="4" t="s">
        <v>108</v>
      </c>
      <c r="G1221" s="4" t="s">
        <v>2047</v>
      </c>
      <c r="H1221" s="4" t="s">
        <v>353</v>
      </c>
      <c r="I1221" s="4" t="s">
        <v>102</v>
      </c>
      <c r="Q1221" s="9">
        <v>1</v>
      </c>
      <c r="T1221" s="11">
        <v>2</v>
      </c>
      <c r="Z1221" s="9">
        <v>0</v>
      </c>
      <c r="AF1221" s="11">
        <v>0</v>
      </c>
      <c r="AI1221" s="11">
        <v>1</v>
      </c>
    </row>
    <row r="1222" spans="1:35" x14ac:dyDescent="0.25">
      <c r="A1222" s="161" t="str">
        <f t="shared" si="22"/>
        <v>PARATROOPER_GERMANY</v>
      </c>
      <c r="B1222" s="9" t="s">
        <v>108</v>
      </c>
      <c r="C1222" s="4" t="s">
        <v>717</v>
      </c>
      <c r="E1222" s="4" t="s">
        <v>108</v>
      </c>
      <c r="F1222" s="4" t="s">
        <v>108</v>
      </c>
      <c r="H1222" s="4" t="s">
        <v>901</v>
      </c>
      <c r="I1222" s="4" t="s">
        <v>102</v>
      </c>
      <c r="Q1222" s="9">
        <v>4</v>
      </c>
      <c r="T1222" s="11">
        <v>4</v>
      </c>
      <c r="Z1222" s="9">
        <v>1</v>
      </c>
      <c r="AF1222" s="11">
        <v>1</v>
      </c>
      <c r="AI1222" s="11">
        <v>2</v>
      </c>
    </row>
    <row r="1223" spans="1:35" x14ac:dyDescent="0.25">
      <c r="A1223" s="161" t="str">
        <f t="shared" si="22"/>
        <v>PARATROOPER_GERMANY</v>
      </c>
      <c r="B1223" s="9" t="s">
        <v>108</v>
      </c>
      <c r="C1223" s="4" t="s">
        <v>717</v>
      </c>
      <c r="E1223" s="4" t="s">
        <v>108</v>
      </c>
      <c r="F1223" s="4" t="s">
        <v>108</v>
      </c>
      <c r="G1223" s="4" t="s">
        <v>2047</v>
      </c>
      <c r="H1223" s="4" t="s">
        <v>385</v>
      </c>
      <c r="I1223" s="4" t="s">
        <v>102</v>
      </c>
      <c r="Q1223" s="9">
        <v>1</v>
      </c>
      <c r="T1223" s="11">
        <v>2</v>
      </c>
      <c r="Z1223" s="9">
        <v>0</v>
      </c>
      <c r="AF1223" s="11">
        <v>1</v>
      </c>
      <c r="AI1223" s="11">
        <v>1</v>
      </c>
    </row>
    <row r="1224" spans="1:35" x14ac:dyDescent="0.25">
      <c r="A1224" s="161" t="str">
        <f t="shared" si="22"/>
        <v>PARATROOPER_GERMANY</v>
      </c>
      <c r="B1224" s="9" t="s">
        <v>108</v>
      </c>
      <c r="C1224" s="4" t="s">
        <v>717</v>
      </c>
      <c r="E1224" s="4" t="s">
        <v>108</v>
      </c>
      <c r="F1224" s="4" t="s">
        <v>108</v>
      </c>
      <c r="H1224" s="4" t="s">
        <v>901</v>
      </c>
      <c r="I1224" s="4" t="s">
        <v>102</v>
      </c>
      <c r="Q1224" s="9">
        <v>4</v>
      </c>
      <c r="T1224" s="11">
        <v>4</v>
      </c>
      <c r="Z1224" s="9">
        <v>0</v>
      </c>
      <c r="AF1224" s="11">
        <v>1</v>
      </c>
      <c r="AI1224" s="11">
        <v>2</v>
      </c>
    </row>
    <row r="1225" spans="1:35" x14ac:dyDescent="0.25">
      <c r="A1225" s="161" t="str">
        <f t="shared" si="22"/>
        <v>PARATROOPER_GERMANY</v>
      </c>
      <c r="B1225" s="9" t="s">
        <v>108</v>
      </c>
      <c r="C1225" s="4" t="s">
        <v>717</v>
      </c>
      <c r="E1225" s="4" t="s">
        <v>108</v>
      </c>
      <c r="F1225" s="4" t="s">
        <v>108</v>
      </c>
      <c r="G1225" s="4" t="s">
        <v>2047</v>
      </c>
      <c r="H1225" s="4" t="s">
        <v>385</v>
      </c>
      <c r="I1225" s="4" t="s">
        <v>102</v>
      </c>
      <c r="Q1225" s="9">
        <v>1</v>
      </c>
      <c r="T1225" s="11">
        <v>2</v>
      </c>
      <c r="Z1225" s="9">
        <v>0</v>
      </c>
      <c r="AF1225" s="11">
        <v>0</v>
      </c>
      <c r="AI1225" s="11">
        <v>1</v>
      </c>
    </row>
    <row r="1226" spans="1:35" x14ac:dyDescent="0.25">
      <c r="A1226" s="161" t="str">
        <f t="shared" si="22"/>
        <v>PARATROOPER_NETHERLANDS</v>
      </c>
      <c r="B1226" s="9" t="s">
        <v>108</v>
      </c>
      <c r="C1226" s="4" t="s">
        <v>730</v>
      </c>
      <c r="E1226" s="4" t="s">
        <v>108</v>
      </c>
      <c r="F1226" s="4" t="s">
        <v>108</v>
      </c>
      <c r="H1226" s="4" t="s">
        <v>968</v>
      </c>
      <c r="I1226" s="4" t="s">
        <v>102</v>
      </c>
      <c r="Q1226" s="9">
        <v>4</v>
      </c>
      <c r="T1226" s="11">
        <v>4</v>
      </c>
      <c r="Z1226" s="9">
        <v>1</v>
      </c>
      <c r="AF1226" s="11">
        <v>1</v>
      </c>
      <c r="AI1226" s="11">
        <v>2</v>
      </c>
    </row>
    <row r="1227" spans="1:35" x14ac:dyDescent="0.25">
      <c r="A1227" s="161" t="str">
        <f t="shared" si="22"/>
        <v>PARATROOPER_NETHERLANDS</v>
      </c>
      <c r="B1227" s="9" t="s">
        <v>108</v>
      </c>
      <c r="C1227" s="4" t="s">
        <v>730</v>
      </c>
      <c r="E1227" s="4" t="s">
        <v>108</v>
      </c>
      <c r="F1227" s="4" t="s">
        <v>108</v>
      </c>
      <c r="G1227" s="4" t="s">
        <v>2047</v>
      </c>
      <c r="H1227" s="4" t="s">
        <v>546</v>
      </c>
      <c r="I1227" s="4" t="s">
        <v>102</v>
      </c>
      <c r="Q1227" s="9">
        <v>1</v>
      </c>
      <c r="T1227" s="11">
        <v>2</v>
      </c>
      <c r="Z1227" s="9">
        <v>0</v>
      </c>
      <c r="AF1227" s="11">
        <v>1</v>
      </c>
      <c r="AI1227" s="11">
        <v>1</v>
      </c>
    </row>
    <row r="1228" spans="1:35" x14ac:dyDescent="0.25">
      <c r="A1228" s="161" t="str">
        <f t="shared" si="22"/>
        <v>PARATROOPER_NETHERLANDS</v>
      </c>
      <c r="B1228" s="9" t="s">
        <v>108</v>
      </c>
      <c r="C1228" s="4" t="s">
        <v>730</v>
      </c>
      <c r="E1228" s="4" t="s">
        <v>108</v>
      </c>
      <c r="F1228" s="4" t="s">
        <v>108</v>
      </c>
      <c r="H1228" s="4" t="s">
        <v>968</v>
      </c>
      <c r="I1228" s="4" t="s">
        <v>102</v>
      </c>
      <c r="Q1228" s="9">
        <v>4</v>
      </c>
      <c r="T1228" s="11">
        <v>4</v>
      </c>
      <c r="Z1228" s="9">
        <v>0</v>
      </c>
      <c r="AF1228" s="11">
        <v>1</v>
      </c>
      <c r="AI1228" s="11">
        <v>2</v>
      </c>
    </row>
    <row r="1229" spans="1:35" x14ac:dyDescent="0.25">
      <c r="A1229" s="161" t="str">
        <f t="shared" si="22"/>
        <v>PARATROOPER_NETHERLANDS</v>
      </c>
      <c r="B1229" s="9" t="s">
        <v>108</v>
      </c>
      <c r="C1229" s="4" t="s">
        <v>730</v>
      </c>
      <c r="E1229" s="4" t="s">
        <v>108</v>
      </c>
      <c r="F1229" s="4" t="s">
        <v>108</v>
      </c>
      <c r="G1229" s="4" t="s">
        <v>2047</v>
      </c>
      <c r="H1229" s="4" t="s">
        <v>546</v>
      </c>
      <c r="I1229" s="4" t="s">
        <v>102</v>
      </c>
      <c r="Q1229" s="9">
        <v>1</v>
      </c>
      <c r="T1229" s="11">
        <v>2</v>
      </c>
      <c r="Z1229" s="9">
        <v>0</v>
      </c>
      <c r="AF1229" s="11">
        <v>0</v>
      </c>
      <c r="AI1229" s="11">
        <v>1</v>
      </c>
    </row>
    <row r="1230" spans="1:35" x14ac:dyDescent="0.25">
      <c r="A1230" s="161" t="str">
        <f t="shared" si="22"/>
        <v>PARATROOPER_GREECE</v>
      </c>
      <c r="B1230" s="9" t="s">
        <v>108</v>
      </c>
      <c r="C1230" s="4" t="s">
        <v>718</v>
      </c>
      <c r="E1230" s="4" t="s">
        <v>108</v>
      </c>
      <c r="F1230" s="4" t="s">
        <v>108</v>
      </c>
      <c r="H1230" s="4" t="s">
        <v>919</v>
      </c>
      <c r="I1230" s="4" t="s">
        <v>102</v>
      </c>
      <c r="Q1230" s="9">
        <v>4</v>
      </c>
      <c r="T1230" s="11">
        <v>4</v>
      </c>
      <c r="Z1230" s="9">
        <v>1</v>
      </c>
      <c r="AF1230" s="11">
        <v>1</v>
      </c>
      <c r="AI1230" s="11">
        <v>2</v>
      </c>
    </row>
    <row r="1231" spans="1:35" x14ac:dyDescent="0.25">
      <c r="A1231" s="161" t="str">
        <f t="shared" si="22"/>
        <v>PARATROOPER_GREECE</v>
      </c>
      <c r="B1231" s="9" t="s">
        <v>108</v>
      </c>
      <c r="C1231" s="4" t="s">
        <v>718</v>
      </c>
      <c r="E1231" s="4" t="s">
        <v>108</v>
      </c>
      <c r="F1231" s="4" t="s">
        <v>108</v>
      </c>
      <c r="G1231" s="4" t="s">
        <v>2047</v>
      </c>
      <c r="H1231" s="4" t="s">
        <v>409</v>
      </c>
      <c r="I1231" s="4" t="s">
        <v>102</v>
      </c>
      <c r="Q1231" s="9">
        <v>1</v>
      </c>
      <c r="T1231" s="11">
        <v>2</v>
      </c>
      <c r="Z1231" s="9">
        <v>0</v>
      </c>
      <c r="AF1231" s="11">
        <v>1</v>
      </c>
      <c r="AI1231" s="11">
        <v>1</v>
      </c>
    </row>
    <row r="1232" spans="1:35" x14ac:dyDescent="0.25">
      <c r="A1232" s="161" t="str">
        <f t="shared" si="22"/>
        <v>PARATROOPER_GREECE</v>
      </c>
      <c r="B1232" s="9" t="s">
        <v>108</v>
      </c>
      <c r="C1232" s="4" t="s">
        <v>718</v>
      </c>
      <c r="E1232" s="4" t="s">
        <v>108</v>
      </c>
      <c r="F1232" s="4" t="s">
        <v>108</v>
      </c>
      <c r="H1232" s="4" t="s">
        <v>919</v>
      </c>
      <c r="I1232" s="4" t="s">
        <v>102</v>
      </c>
      <c r="Q1232" s="9">
        <v>4</v>
      </c>
      <c r="T1232" s="11">
        <v>4</v>
      </c>
      <c r="Z1232" s="9">
        <v>0</v>
      </c>
      <c r="AF1232" s="11">
        <v>1</v>
      </c>
      <c r="AI1232" s="11">
        <v>2</v>
      </c>
    </row>
    <row r="1233" spans="1:43" x14ac:dyDescent="0.25">
      <c r="A1233" s="161" t="str">
        <f t="shared" si="22"/>
        <v>PARATROOPER_GREECE</v>
      </c>
      <c r="B1233" s="9" t="s">
        <v>108</v>
      </c>
      <c r="C1233" s="4" t="s">
        <v>718</v>
      </c>
      <c r="E1233" s="4" t="s">
        <v>108</v>
      </c>
      <c r="F1233" s="4" t="s">
        <v>108</v>
      </c>
      <c r="G1233" s="4" t="s">
        <v>2047</v>
      </c>
      <c r="H1233" s="4" t="s">
        <v>409</v>
      </c>
      <c r="I1233" s="4" t="s">
        <v>102</v>
      </c>
      <c r="Q1233" s="9">
        <v>1</v>
      </c>
      <c r="T1233" s="11">
        <v>2</v>
      </c>
      <c r="Z1233" s="9">
        <v>0</v>
      </c>
      <c r="AF1233" s="11">
        <v>0</v>
      </c>
      <c r="AI1233" s="11">
        <v>1</v>
      </c>
    </row>
    <row r="1234" spans="1:43" x14ac:dyDescent="0.25">
      <c r="A1234" s="161" t="str">
        <f t="shared" si="22"/>
        <v>PARATROOPER_ROME</v>
      </c>
      <c r="B1234" s="9" t="s">
        <v>108</v>
      </c>
      <c r="C1234" s="4" t="s">
        <v>734</v>
      </c>
      <c r="E1234" s="4" t="s">
        <v>108</v>
      </c>
      <c r="F1234" s="4" t="s">
        <v>108</v>
      </c>
      <c r="H1234" s="4" t="s">
        <v>970</v>
      </c>
      <c r="I1234" s="4" t="s">
        <v>102</v>
      </c>
      <c r="Q1234" s="9">
        <v>4</v>
      </c>
      <c r="R1234" s="11">
        <v>0.14299999999999999</v>
      </c>
      <c r="T1234" s="11">
        <v>4</v>
      </c>
      <c r="U1234" s="11">
        <v>9.0999999999999998E-2</v>
      </c>
      <c r="Z1234" s="9">
        <v>1</v>
      </c>
      <c r="AF1234" s="11">
        <v>1</v>
      </c>
      <c r="AI1234" s="11">
        <v>2</v>
      </c>
    </row>
    <row r="1235" spans="1:43" x14ac:dyDescent="0.25">
      <c r="A1235" s="161" t="str">
        <f t="shared" si="22"/>
        <v>PARATROOPER_ROME</v>
      </c>
      <c r="B1235" s="9" t="s">
        <v>108</v>
      </c>
      <c r="C1235" s="4" t="s">
        <v>734</v>
      </c>
      <c r="E1235" s="4" t="s">
        <v>108</v>
      </c>
      <c r="F1235" s="4" t="s">
        <v>108</v>
      </c>
      <c r="G1235" s="4" t="s">
        <v>2047</v>
      </c>
      <c r="H1235" s="4" t="s">
        <v>596</v>
      </c>
      <c r="I1235" s="4" t="s">
        <v>102</v>
      </c>
      <c r="Q1235" s="9">
        <v>1</v>
      </c>
      <c r="R1235" s="11">
        <v>0.14299999999999999</v>
      </c>
      <c r="T1235" s="11">
        <v>2</v>
      </c>
      <c r="U1235" s="11">
        <v>9.0999999999999998E-2</v>
      </c>
      <c r="Z1235" s="9">
        <v>0</v>
      </c>
      <c r="AF1235" s="11">
        <v>1</v>
      </c>
      <c r="AI1235" s="11">
        <v>1</v>
      </c>
    </row>
    <row r="1236" spans="1:43" x14ac:dyDescent="0.25">
      <c r="A1236" s="161" t="str">
        <f t="shared" si="22"/>
        <v>PARATROOPER_ROME</v>
      </c>
      <c r="B1236" s="9" t="s">
        <v>108</v>
      </c>
      <c r="C1236" s="4" t="s">
        <v>734</v>
      </c>
      <c r="E1236" s="4" t="s">
        <v>108</v>
      </c>
      <c r="F1236" s="4" t="s">
        <v>108</v>
      </c>
      <c r="H1236" s="4" t="s">
        <v>970</v>
      </c>
      <c r="I1236" s="4" t="s">
        <v>102</v>
      </c>
      <c r="Q1236" s="9">
        <v>4</v>
      </c>
      <c r="R1236" s="11">
        <v>0.14299999999999999</v>
      </c>
      <c r="T1236" s="11">
        <v>4</v>
      </c>
      <c r="U1236" s="11">
        <v>9.0999999999999998E-2</v>
      </c>
      <c r="Z1236" s="9">
        <v>0</v>
      </c>
      <c r="AF1236" s="11">
        <v>1</v>
      </c>
      <c r="AI1236" s="11">
        <v>2</v>
      </c>
    </row>
    <row r="1237" spans="1:43" x14ac:dyDescent="0.25">
      <c r="A1237" s="161" t="str">
        <f t="shared" si="22"/>
        <v>PARATROOPER_ROME</v>
      </c>
      <c r="B1237" s="9" t="s">
        <v>108</v>
      </c>
      <c r="C1237" s="4" t="s">
        <v>734</v>
      </c>
      <c r="E1237" s="4" t="s">
        <v>108</v>
      </c>
      <c r="F1237" s="4" t="s">
        <v>108</v>
      </c>
      <c r="G1237" s="4" t="s">
        <v>2047</v>
      </c>
      <c r="H1237" s="4" t="s">
        <v>596</v>
      </c>
      <c r="I1237" s="4" t="s">
        <v>102</v>
      </c>
      <c r="Q1237" s="9">
        <v>1</v>
      </c>
      <c r="R1237" s="11">
        <v>0.14299999999999999</v>
      </c>
      <c r="T1237" s="11">
        <v>2</v>
      </c>
      <c r="U1237" s="11">
        <v>9.0999999999999998E-2</v>
      </c>
      <c r="Z1237" s="9">
        <v>0</v>
      </c>
      <c r="AF1237" s="11">
        <v>0</v>
      </c>
      <c r="AI1237" s="11">
        <v>1</v>
      </c>
    </row>
    <row r="1238" spans="1:43" x14ac:dyDescent="0.25">
      <c r="A1238" s="161" t="str">
        <f t="shared" si="22"/>
        <v>PARATROOPER_SPAIN</v>
      </c>
      <c r="B1238" s="9" t="s">
        <v>108</v>
      </c>
      <c r="C1238" s="4" t="s">
        <v>738</v>
      </c>
      <c r="E1238" s="4" t="s">
        <v>108</v>
      </c>
      <c r="F1238" s="4" t="s">
        <v>108</v>
      </c>
      <c r="H1238" s="4" t="s">
        <v>972</v>
      </c>
      <c r="I1238" s="4" t="s">
        <v>102</v>
      </c>
      <c r="Q1238" s="9">
        <v>4</v>
      </c>
      <c r="T1238" s="11">
        <v>4</v>
      </c>
      <c r="Z1238" s="9">
        <v>1</v>
      </c>
      <c r="AF1238" s="11">
        <v>1</v>
      </c>
      <c r="AI1238" s="11">
        <v>2</v>
      </c>
    </row>
    <row r="1239" spans="1:43" x14ac:dyDescent="0.25">
      <c r="A1239" s="161" t="str">
        <f t="shared" si="22"/>
        <v>PARATROOPER_SPAIN</v>
      </c>
      <c r="B1239" s="9" t="s">
        <v>108</v>
      </c>
      <c r="C1239" s="4" t="s">
        <v>738</v>
      </c>
      <c r="E1239" s="4" t="s">
        <v>108</v>
      </c>
      <c r="F1239" s="4" t="s">
        <v>108</v>
      </c>
      <c r="G1239" s="4" t="s">
        <v>2047</v>
      </c>
      <c r="H1239" s="4" t="s">
        <v>659</v>
      </c>
      <c r="I1239" s="4" t="s">
        <v>102</v>
      </c>
      <c r="Q1239" s="9">
        <v>1</v>
      </c>
      <c r="T1239" s="11">
        <v>2</v>
      </c>
      <c r="Z1239" s="9">
        <v>0</v>
      </c>
      <c r="AF1239" s="11">
        <v>1</v>
      </c>
      <c r="AI1239" s="11">
        <v>1</v>
      </c>
    </row>
    <row r="1240" spans="1:43" x14ac:dyDescent="0.25">
      <c r="A1240" s="161" t="str">
        <f t="shared" si="22"/>
        <v>PARATROOPER_SPAIN</v>
      </c>
      <c r="B1240" s="9" t="s">
        <v>108</v>
      </c>
      <c r="C1240" s="4" t="s">
        <v>738</v>
      </c>
      <c r="E1240" s="4" t="s">
        <v>108</v>
      </c>
      <c r="F1240" s="4" t="s">
        <v>108</v>
      </c>
      <c r="H1240" s="4" t="s">
        <v>972</v>
      </c>
      <c r="I1240" s="4" t="s">
        <v>102</v>
      </c>
      <c r="Q1240" s="9">
        <v>4</v>
      </c>
      <c r="T1240" s="11">
        <v>4</v>
      </c>
      <c r="Z1240" s="9">
        <v>0</v>
      </c>
      <c r="AF1240" s="11">
        <v>1</v>
      </c>
      <c r="AI1240" s="11">
        <v>2</v>
      </c>
    </row>
    <row r="1241" spans="1:43" x14ac:dyDescent="0.25">
      <c r="A1241" s="161" t="str">
        <f t="shared" si="22"/>
        <v>PARATROOPER_SPAIN</v>
      </c>
      <c r="B1241" s="9" t="s">
        <v>108</v>
      </c>
      <c r="C1241" s="4" t="s">
        <v>738</v>
      </c>
      <c r="E1241" s="4" t="s">
        <v>108</v>
      </c>
      <c r="F1241" s="4" t="s">
        <v>108</v>
      </c>
      <c r="G1241" s="4" t="s">
        <v>2047</v>
      </c>
      <c r="H1241" s="4" t="s">
        <v>659</v>
      </c>
      <c r="I1241" s="4" t="s">
        <v>102</v>
      </c>
      <c r="Q1241" s="9">
        <v>1</v>
      </c>
      <c r="T1241" s="11">
        <v>2</v>
      </c>
      <c r="Z1241" s="9">
        <v>0</v>
      </c>
      <c r="AF1241" s="11">
        <v>0</v>
      </c>
      <c r="AI1241" s="11">
        <v>1</v>
      </c>
    </row>
    <row r="1242" spans="1:43" x14ac:dyDescent="0.25">
      <c r="A1242" s="161" t="str">
        <f t="shared" si="22"/>
        <v>PARATROOPER_NORTHEU</v>
      </c>
      <c r="B1242" s="9" t="s">
        <v>108</v>
      </c>
      <c r="C1242" s="4" t="s">
        <v>962</v>
      </c>
      <c r="E1242" s="4" t="s">
        <v>108</v>
      </c>
      <c r="F1242" s="4" t="s">
        <v>108</v>
      </c>
      <c r="H1242" s="4" t="s">
        <v>973</v>
      </c>
      <c r="I1242" s="4" t="s">
        <v>102</v>
      </c>
      <c r="Q1242" s="9">
        <v>4</v>
      </c>
      <c r="T1242" s="11">
        <v>4</v>
      </c>
      <c r="Z1242" s="9">
        <v>1</v>
      </c>
      <c r="AF1242" s="11">
        <v>1</v>
      </c>
      <c r="AI1242" s="11">
        <v>2</v>
      </c>
    </row>
    <row r="1243" spans="1:43" x14ac:dyDescent="0.25">
      <c r="A1243" s="161" t="str">
        <f t="shared" si="22"/>
        <v>PARATROOPER_NORTHEU</v>
      </c>
      <c r="B1243" s="9" t="s">
        <v>108</v>
      </c>
      <c r="C1243" s="4" t="s">
        <v>962</v>
      </c>
      <c r="E1243" s="4" t="s">
        <v>108</v>
      </c>
      <c r="F1243" s="4" t="s">
        <v>108</v>
      </c>
      <c r="G1243" s="4" t="s">
        <v>2047</v>
      </c>
      <c r="H1243" s="4" t="s">
        <v>673</v>
      </c>
      <c r="I1243" s="4" t="s">
        <v>102</v>
      </c>
      <c r="Q1243" s="9">
        <v>1</v>
      </c>
      <c r="T1243" s="11">
        <v>2</v>
      </c>
      <c r="Z1243" s="9">
        <v>0</v>
      </c>
      <c r="AF1243" s="11">
        <v>1</v>
      </c>
      <c r="AI1243" s="11">
        <v>1</v>
      </c>
    </row>
    <row r="1244" spans="1:43" x14ac:dyDescent="0.25">
      <c r="A1244" s="161" t="str">
        <f t="shared" si="22"/>
        <v>PARATROOPER_NORTHEU</v>
      </c>
      <c r="B1244" s="9" t="s">
        <v>108</v>
      </c>
      <c r="C1244" s="4" t="s">
        <v>962</v>
      </c>
      <c r="E1244" s="4" t="s">
        <v>108</v>
      </c>
      <c r="F1244" s="4" t="s">
        <v>108</v>
      </c>
      <c r="H1244" s="4" t="s">
        <v>973</v>
      </c>
      <c r="I1244" s="4" t="s">
        <v>102</v>
      </c>
      <c r="Q1244" s="9">
        <v>4</v>
      </c>
      <c r="T1244" s="11">
        <v>4</v>
      </c>
      <c r="Z1244" s="9">
        <v>0</v>
      </c>
      <c r="AF1244" s="11">
        <v>1</v>
      </c>
      <c r="AI1244" s="11">
        <v>2</v>
      </c>
    </row>
    <row r="1245" spans="1:43" x14ac:dyDescent="0.25">
      <c r="A1245" s="161" t="str">
        <f t="shared" si="22"/>
        <v>PARATROOPER_NORTHEU</v>
      </c>
      <c r="B1245" s="9" t="s">
        <v>108</v>
      </c>
      <c r="C1245" s="4" t="s">
        <v>962</v>
      </c>
      <c r="E1245" s="4" t="s">
        <v>108</v>
      </c>
      <c r="F1245" s="4" t="s">
        <v>108</v>
      </c>
      <c r="G1245" s="4" t="s">
        <v>2047</v>
      </c>
      <c r="H1245" s="4" t="s">
        <v>673</v>
      </c>
      <c r="I1245" s="4" t="s">
        <v>102</v>
      </c>
      <c r="Q1245" s="9">
        <v>1</v>
      </c>
      <c r="T1245" s="11">
        <v>2</v>
      </c>
      <c r="Z1245" s="9">
        <v>0</v>
      </c>
      <c r="AF1245" s="11">
        <v>0</v>
      </c>
      <c r="AI1245" s="11">
        <v>1</v>
      </c>
    </row>
    <row r="1246" spans="1:43" x14ac:dyDescent="0.25">
      <c r="A1246" s="161" t="str">
        <f t="shared" si="22"/>
        <v>PARATROOPER_OCEAN</v>
      </c>
      <c r="B1246" s="9" t="s">
        <v>108</v>
      </c>
      <c r="C1246" s="5" t="s">
        <v>994</v>
      </c>
      <c r="D1246" s="5"/>
      <c r="E1246" s="5" t="s">
        <v>108</v>
      </c>
      <c r="F1246" s="5" t="s">
        <v>108</v>
      </c>
      <c r="G1246" s="5"/>
      <c r="H1246" s="5" t="s">
        <v>1504</v>
      </c>
      <c r="I1246" s="5" t="s">
        <v>102</v>
      </c>
      <c r="J1246" s="6"/>
      <c r="K1246" s="6"/>
      <c r="L1246" s="13" t="s">
        <v>1708</v>
      </c>
      <c r="M1246" s="8"/>
      <c r="N1246" s="5"/>
      <c r="O1246" s="5"/>
      <c r="P1246" s="5"/>
      <c r="Q1246" s="6">
        <v>3</v>
      </c>
      <c r="R1246" s="6" t="s">
        <v>1737</v>
      </c>
      <c r="S1246" s="13" t="s">
        <v>1620</v>
      </c>
      <c r="T1246" s="6">
        <v>4</v>
      </c>
      <c r="U1246" s="7" t="s">
        <v>1737</v>
      </c>
      <c r="V1246" s="5"/>
      <c r="W1246" s="7" t="s">
        <v>3</v>
      </c>
      <c r="X1246" s="6" t="s">
        <v>3</v>
      </c>
      <c r="Y1246" s="5"/>
      <c r="Z1246" s="7">
        <v>1</v>
      </c>
      <c r="AA1246" s="6"/>
      <c r="AB1246" s="5"/>
      <c r="AC1246" s="6"/>
      <c r="AD1246" s="6" t="s">
        <v>3</v>
      </c>
      <c r="AE1246" s="5"/>
      <c r="AF1246" s="6">
        <v>1</v>
      </c>
      <c r="AG1246" s="6"/>
      <c r="AH1246" s="5"/>
      <c r="AI1246" s="6">
        <v>2</v>
      </c>
      <c r="AJ1246" s="6"/>
      <c r="AK1246" s="5"/>
      <c r="AL1246" s="5"/>
      <c r="AM1246" s="5"/>
      <c r="AN1246" s="5"/>
      <c r="AO1246" s="5"/>
      <c r="AP1246" s="5"/>
      <c r="AQ1246" s="5"/>
    </row>
    <row r="1247" spans="1:43" x14ac:dyDescent="0.25">
      <c r="A1247" s="161" t="str">
        <f t="shared" si="22"/>
        <v>PARATROOPER_OCEAN</v>
      </c>
      <c r="B1247" s="9" t="s">
        <v>108</v>
      </c>
      <c r="C1247" s="5" t="s">
        <v>994</v>
      </c>
      <c r="D1247" s="5"/>
      <c r="E1247" s="5" t="s">
        <v>108</v>
      </c>
      <c r="F1247" s="5" t="s">
        <v>108</v>
      </c>
      <c r="G1247" s="5" t="s">
        <v>2047</v>
      </c>
      <c r="H1247" s="5" t="s">
        <v>1505</v>
      </c>
      <c r="I1247" s="5" t="s">
        <v>102</v>
      </c>
      <c r="J1247" s="6"/>
      <c r="K1247" s="6"/>
      <c r="L1247" s="13" t="s">
        <v>1708</v>
      </c>
      <c r="M1247" s="8"/>
      <c r="N1247" s="5"/>
      <c r="O1247" s="5"/>
      <c r="P1247" s="5"/>
      <c r="Q1247" s="6">
        <v>1</v>
      </c>
      <c r="R1247" s="6" t="s">
        <v>1737</v>
      </c>
      <c r="S1247" s="13" t="s">
        <v>1620</v>
      </c>
      <c r="T1247" s="6">
        <v>2</v>
      </c>
      <c r="U1247" s="7" t="s">
        <v>1737</v>
      </c>
      <c r="V1247" s="5"/>
      <c r="W1247" s="7" t="s">
        <v>3</v>
      </c>
      <c r="X1247" s="6" t="s">
        <v>3</v>
      </c>
      <c r="Y1247" s="5"/>
      <c r="Z1247" s="7">
        <v>0</v>
      </c>
      <c r="AA1247" s="6"/>
      <c r="AB1247" s="5"/>
      <c r="AC1247" s="6"/>
      <c r="AD1247" s="6" t="s">
        <v>3</v>
      </c>
      <c r="AE1247" s="5"/>
      <c r="AF1247" s="6">
        <v>1</v>
      </c>
      <c r="AG1247" s="6"/>
      <c r="AH1247" s="5"/>
      <c r="AI1247" s="6">
        <v>1</v>
      </c>
      <c r="AJ1247" s="6"/>
      <c r="AK1247" s="5"/>
      <c r="AL1247" s="5"/>
      <c r="AM1247" s="5"/>
      <c r="AN1247" s="5"/>
      <c r="AO1247" s="5"/>
      <c r="AP1247" s="5"/>
      <c r="AQ1247" s="5"/>
    </row>
    <row r="1248" spans="1:43" x14ac:dyDescent="0.25">
      <c r="A1248" s="161" t="str">
        <f t="shared" si="22"/>
        <v>PARATROOPER_OCEAN</v>
      </c>
      <c r="B1248" s="9" t="s">
        <v>108</v>
      </c>
      <c r="C1248" s="5" t="s">
        <v>994</v>
      </c>
      <c r="D1248" s="5"/>
      <c r="E1248" s="5" t="s">
        <v>108</v>
      </c>
      <c r="F1248" s="5" t="s">
        <v>108</v>
      </c>
      <c r="G1248" s="5"/>
      <c r="H1248" s="5" t="s">
        <v>1504</v>
      </c>
      <c r="I1248" s="5" t="s">
        <v>102</v>
      </c>
      <c r="J1248" s="6"/>
      <c r="K1248" s="6"/>
      <c r="L1248" s="13" t="s">
        <v>1708</v>
      </c>
      <c r="M1248" s="8"/>
      <c r="N1248" s="5"/>
      <c r="O1248" s="5"/>
      <c r="P1248" s="5"/>
      <c r="Q1248" s="6">
        <v>4</v>
      </c>
      <c r="R1248" s="6" t="s">
        <v>1737</v>
      </c>
      <c r="S1248" s="13" t="s">
        <v>1620</v>
      </c>
      <c r="T1248" s="6">
        <v>4</v>
      </c>
      <c r="U1248" s="7" t="s">
        <v>1737</v>
      </c>
      <c r="V1248" s="5"/>
      <c r="W1248" s="7" t="s">
        <v>3</v>
      </c>
      <c r="X1248" s="6" t="s">
        <v>3</v>
      </c>
      <c r="Y1248" s="5"/>
      <c r="Z1248" s="7">
        <v>0</v>
      </c>
      <c r="AA1248" s="6"/>
      <c r="AB1248" s="5"/>
      <c r="AC1248" s="6"/>
      <c r="AD1248" s="6" t="s">
        <v>3</v>
      </c>
      <c r="AE1248" s="5"/>
      <c r="AF1248" s="6">
        <v>1</v>
      </c>
      <c r="AG1248" s="6"/>
      <c r="AH1248" s="5"/>
      <c r="AI1248" s="6">
        <v>2</v>
      </c>
      <c r="AJ1248" s="6"/>
      <c r="AK1248" s="5"/>
      <c r="AL1248" s="5"/>
      <c r="AM1248" s="5"/>
      <c r="AN1248" s="5"/>
      <c r="AO1248" s="5"/>
      <c r="AP1248" s="5"/>
      <c r="AQ1248" s="5"/>
    </row>
    <row r="1249" spans="1:43" x14ac:dyDescent="0.25">
      <c r="A1249" s="161" t="str">
        <f t="shared" si="22"/>
        <v>PARATROOPER_OCEAN</v>
      </c>
      <c r="B1249" s="9" t="s">
        <v>108</v>
      </c>
      <c r="C1249" s="5" t="s">
        <v>994</v>
      </c>
      <c r="D1249" s="5"/>
      <c r="E1249" s="5" t="s">
        <v>108</v>
      </c>
      <c r="F1249" s="5" t="s">
        <v>108</v>
      </c>
      <c r="G1249" s="5" t="s">
        <v>2047</v>
      </c>
      <c r="H1249" s="5" t="s">
        <v>1505</v>
      </c>
      <c r="I1249" s="5" t="s">
        <v>102</v>
      </c>
      <c r="J1249" s="6"/>
      <c r="K1249" s="6"/>
      <c r="L1249" s="13" t="s">
        <v>1708</v>
      </c>
      <c r="M1249" s="8"/>
      <c r="N1249" s="5"/>
      <c r="O1249" s="5"/>
      <c r="P1249" s="5"/>
      <c r="Q1249" s="7">
        <v>2</v>
      </c>
      <c r="R1249" s="6" t="s">
        <v>1737</v>
      </c>
      <c r="S1249" s="13" t="s">
        <v>1620</v>
      </c>
      <c r="T1249" s="7">
        <v>2</v>
      </c>
      <c r="U1249" s="7" t="s">
        <v>1737</v>
      </c>
      <c r="V1249" s="5"/>
      <c r="W1249" s="7" t="s">
        <v>3</v>
      </c>
      <c r="X1249" s="6" t="s">
        <v>3</v>
      </c>
      <c r="Y1249" s="5"/>
      <c r="Z1249" s="7">
        <v>0</v>
      </c>
      <c r="AA1249" s="6"/>
      <c r="AB1249" s="5"/>
      <c r="AC1249" s="6"/>
      <c r="AD1249" s="6" t="s">
        <v>3</v>
      </c>
      <c r="AE1249" s="5"/>
      <c r="AF1249" s="7">
        <v>0</v>
      </c>
      <c r="AG1249" s="6"/>
      <c r="AH1249" s="5"/>
      <c r="AI1249" s="7">
        <v>1</v>
      </c>
      <c r="AJ1249" s="6"/>
      <c r="AK1249" s="5"/>
      <c r="AL1249" s="5"/>
      <c r="AM1249" s="5"/>
      <c r="AN1249" s="5"/>
      <c r="AO1249" s="5"/>
      <c r="AP1249" s="5"/>
      <c r="AQ1249" s="5"/>
    </row>
    <row r="1250" spans="1:43" x14ac:dyDescent="0.25">
      <c r="A1250" s="161" t="str">
        <f t="shared" si="22"/>
        <v>PARATROOPER_SEASIA</v>
      </c>
      <c r="B1250" s="9" t="s">
        <v>108</v>
      </c>
      <c r="C1250" s="4" t="s">
        <v>696</v>
      </c>
      <c r="D1250" s="4" t="s">
        <v>994</v>
      </c>
      <c r="E1250" s="4" t="s">
        <v>108</v>
      </c>
      <c r="F1250" s="4" t="s">
        <v>108</v>
      </c>
    </row>
    <row r="1251" spans="1:43" x14ac:dyDescent="0.25">
      <c r="A1251" s="161" t="str">
        <f t="shared" si="22"/>
        <v>PARATROOPER_SOUTHAM</v>
      </c>
      <c r="B1251" s="9" t="s">
        <v>108</v>
      </c>
      <c r="C1251" s="4" t="s">
        <v>691</v>
      </c>
      <c r="D1251" s="4" t="s">
        <v>994</v>
      </c>
      <c r="E1251" s="4" t="s">
        <v>108</v>
      </c>
      <c r="F1251" s="4" t="s">
        <v>108</v>
      </c>
    </row>
    <row r="1252" spans="1:43" x14ac:dyDescent="0.25">
      <c r="A1252" s="161" t="str">
        <f t="shared" si="22"/>
        <v>PARATROOPER_SOUTHAS</v>
      </c>
      <c r="B1252" s="9" t="s">
        <v>108</v>
      </c>
      <c r="C1252" s="4" t="s">
        <v>695</v>
      </c>
      <c r="D1252" s="4" t="s">
        <v>693</v>
      </c>
      <c r="E1252" s="4" t="s">
        <v>108</v>
      </c>
      <c r="F1252" s="4" t="s">
        <v>108</v>
      </c>
    </row>
    <row r="1253" spans="1:43" x14ac:dyDescent="0.25">
      <c r="A1253" s="161" t="str">
        <f t="shared" si="22"/>
        <v>PIKEMAN</v>
      </c>
      <c r="B1253" s="9" t="s">
        <v>107</v>
      </c>
      <c r="C1253" s="5"/>
      <c r="D1253" s="5"/>
      <c r="E1253" s="5" t="s">
        <v>107</v>
      </c>
      <c r="F1253" s="5" t="s">
        <v>107</v>
      </c>
      <c r="G1253" s="5"/>
      <c r="H1253" s="5" t="s">
        <v>22</v>
      </c>
      <c r="I1253" s="5" t="s">
        <v>128</v>
      </c>
      <c r="J1253" s="6"/>
      <c r="K1253" s="6"/>
      <c r="L1253" s="13" t="s">
        <v>1708</v>
      </c>
      <c r="M1253" s="8"/>
      <c r="N1253" s="5"/>
      <c r="O1253" s="5"/>
      <c r="P1253" s="5"/>
      <c r="Q1253" s="7" t="s">
        <v>1737</v>
      </c>
      <c r="R1253" s="6">
        <v>0.13</v>
      </c>
      <c r="S1253" s="13" t="s">
        <v>22</v>
      </c>
      <c r="T1253" s="7" t="s">
        <v>1737</v>
      </c>
      <c r="U1253" s="7" t="s">
        <v>1695</v>
      </c>
      <c r="V1253" s="5"/>
      <c r="W1253" s="6" t="s">
        <v>3</v>
      </c>
      <c r="X1253" s="6" t="s">
        <v>3</v>
      </c>
      <c r="Y1253" s="5"/>
      <c r="Z1253" s="7">
        <v>1</v>
      </c>
      <c r="AA1253" s="6"/>
      <c r="AB1253" s="5"/>
      <c r="AC1253" s="6"/>
      <c r="AD1253" s="6" t="s">
        <v>3</v>
      </c>
      <c r="AE1253" s="5"/>
      <c r="AF1253" s="7" t="s">
        <v>1737</v>
      </c>
      <c r="AG1253" s="6"/>
      <c r="AH1253" s="5"/>
      <c r="AI1253" s="7" t="s">
        <v>1737</v>
      </c>
      <c r="AJ1253" s="6"/>
      <c r="AK1253" s="5"/>
      <c r="AL1253" s="5"/>
      <c r="AM1253" s="5"/>
      <c r="AN1253" s="5"/>
      <c r="AO1253" s="5"/>
      <c r="AP1253" s="5"/>
      <c r="AQ1253" s="5"/>
    </row>
    <row r="1254" spans="1:43" x14ac:dyDescent="0.25">
      <c r="A1254" s="161" t="str">
        <f t="shared" si="22"/>
        <v>PIKEMAN_AFRI</v>
      </c>
      <c r="B1254" s="9" t="s">
        <v>107</v>
      </c>
      <c r="C1254" s="4" t="s">
        <v>694</v>
      </c>
      <c r="E1254" s="4" t="s">
        <v>107</v>
      </c>
      <c r="F1254" s="4" t="s">
        <v>107</v>
      </c>
      <c r="H1254" s="4" t="s">
        <v>329</v>
      </c>
      <c r="I1254" s="4" t="s">
        <v>1025</v>
      </c>
      <c r="R1254" s="11" t="s">
        <v>1737</v>
      </c>
    </row>
    <row r="1255" spans="1:43" x14ac:dyDescent="0.25">
      <c r="A1255" s="161" t="str">
        <f t="shared" si="22"/>
        <v>PIKEMAN_SONGHAI</v>
      </c>
      <c r="B1255" s="9" t="s">
        <v>107</v>
      </c>
      <c r="C1255" s="4" t="s">
        <v>737</v>
      </c>
      <c r="E1255" s="4" t="s">
        <v>107</v>
      </c>
      <c r="F1255" s="4" t="s">
        <v>107</v>
      </c>
      <c r="G1255" s="14"/>
      <c r="H1255" s="4" t="s">
        <v>1961</v>
      </c>
      <c r="I1255" s="4" t="s">
        <v>1025</v>
      </c>
      <c r="R1255" s="11" t="s">
        <v>1737</v>
      </c>
    </row>
    <row r="1256" spans="1:43" x14ac:dyDescent="0.25">
      <c r="A1256" s="161" t="str">
        <f t="shared" si="22"/>
        <v>PIKEMAN_AMER</v>
      </c>
      <c r="B1256" s="9" t="s">
        <v>107</v>
      </c>
      <c r="C1256" s="4" t="s">
        <v>697</v>
      </c>
      <c r="E1256" s="4" t="s">
        <v>107</v>
      </c>
      <c r="F1256" s="4" t="s">
        <v>107</v>
      </c>
      <c r="H1256" s="4" t="s">
        <v>468</v>
      </c>
      <c r="I1256" s="4" t="s">
        <v>1935</v>
      </c>
      <c r="R1256" s="11" t="s">
        <v>1737</v>
      </c>
    </row>
    <row r="1257" spans="1:43" x14ac:dyDescent="0.25">
      <c r="A1257" s="161" t="str">
        <f t="shared" si="22"/>
        <v>PIKEMAN_ASIA</v>
      </c>
      <c r="B1257" s="9" t="s">
        <v>107</v>
      </c>
      <c r="C1257" s="4" t="s">
        <v>693</v>
      </c>
      <c r="E1257" s="4" t="s">
        <v>107</v>
      </c>
      <c r="F1257" s="4" t="s">
        <v>107</v>
      </c>
      <c r="H1257" s="4" t="s">
        <v>857</v>
      </c>
      <c r="I1257" s="4" t="s">
        <v>102</v>
      </c>
      <c r="R1257" s="11" t="s">
        <v>1737</v>
      </c>
    </row>
    <row r="1258" spans="1:43" x14ac:dyDescent="0.25">
      <c r="A1258" s="161" t="str">
        <f t="shared" si="22"/>
        <v>PIKEMAN_CHINA</v>
      </c>
      <c r="B1258" s="9" t="s">
        <v>107</v>
      </c>
      <c r="C1258" s="4" t="s">
        <v>710</v>
      </c>
      <c r="E1258" s="4" t="s">
        <v>107</v>
      </c>
      <c r="F1258" s="4" t="s">
        <v>107</v>
      </c>
      <c r="G1258" s="14" t="s">
        <v>132</v>
      </c>
      <c r="H1258" s="4" t="s">
        <v>256</v>
      </c>
      <c r="I1258" s="4" t="s">
        <v>102</v>
      </c>
      <c r="R1258" s="11" t="s">
        <v>1737</v>
      </c>
    </row>
    <row r="1259" spans="1:43" x14ac:dyDescent="0.25">
      <c r="A1259" s="161" t="str">
        <f t="shared" si="22"/>
        <v>PIKEMAN_JAPAN</v>
      </c>
      <c r="B1259" s="9" t="s">
        <v>107</v>
      </c>
      <c r="C1259" s="4" t="s">
        <v>722</v>
      </c>
      <c r="E1259" s="4" t="s">
        <v>107</v>
      </c>
      <c r="F1259" s="4" t="s">
        <v>107</v>
      </c>
      <c r="G1259" s="14" t="s">
        <v>132</v>
      </c>
      <c r="H1259" s="4" t="s">
        <v>487</v>
      </c>
      <c r="I1259" s="4" t="s">
        <v>102</v>
      </c>
      <c r="R1259" s="11" t="s">
        <v>1737</v>
      </c>
    </row>
    <row r="1260" spans="1:43" x14ac:dyDescent="0.25">
      <c r="A1260" s="161" t="str">
        <f t="shared" ref="A1260:A1329" si="23">CONCATENATE(E1260,IF(ISBLANK(C1260),"",CONCATENATE("_",C1260)))</f>
        <v>PIKEMAN_KOREA</v>
      </c>
      <c r="B1260" s="9" t="s">
        <v>107</v>
      </c>
      <c r="C1260" s="4" t="s">
        <v>723</v>
      </c>
      <c r="E1260" s="4" t="s">
        <v>107</v>
      </c>
      <c r="F1260" s="4" t="s">
        <v>107</v>
      </c>
      <c r="G1260" s="14" t="s">
        <v>132</v>
      </c>
      <c r="H1260" s="4" t="s">
        <v>502</v>
      </c>
      <c r="I1260" s="4" t="s">
        <v>102</v>
      </c>
      <c r="R1260" s="11" t="s">
        <v>1737</v>
      </c>
    </row>
    <row r="1261" spans="1:43" x14ac:dyDescent="0.25">
      <c r="A1261" s="161" t="str">
        <f t="shared" si="23"/>
        <v>PIKEMAN_MONGOL</v>
      </c>
      <c r="B1261" s="9" t="s">
        <v>107</v>
      </c>
      <c r="C1261" s="4" t="s">
        <v>728</v>
      </c>
      <c r="E1261" s="4" t="s">
        <v>107</v>
      </c>
      <c r="F1261" s="4" t="s">
        <v>107</v>
      </c>
      <c r="G1261" s="14" t="s">
        <v>132</v>
      </c>
      <c r="H1261" s="4" t="s">
        <v>533</v>
      </c>
      <c r="I1261" s="4" t="s">
        <v>2098</v>
      </c>
      <c r="R1261" s="11" t="s">
        <v>1737</v>
      </c>
    </row>
    <row r="1262" spans="1:43" x14ac:dyDescent="0.25">
      <c r="A1262" s="161" t="str">
        <f t="shared" si="23"/>
        <v>PIKEMAN_CENTAS</v>
      </c>
      <c r="B1262" s="9" t="s">
        <v>107</v>
      </c>
      <c r="C1262" s="4" t="s">
        <v>918</v>
      </c>
      <c r="E1262" s="4" t="s">
        <v>107</v>
      </c>
      <c r="F1262" s="4" t="s">
        <v>107</v>
      </c>
      <c r="G1262" s="14" t="s">
        <v>132</v>
      </c>
      <c r="H1262" s="4" t="s">
        <v>1034</v>
      </c>
      <c r="I1262" s="4" t="s">
        <v>2098</v>
      </c>
      <c r="R1262" s="11" t="s">
        <v>1737</v>
      </c>
    </row>
    <row r="1263" spans="1:43" x14ac:dyDescent="0.25">
      <c r="A1263" s="161" t="str">
        <f t="shared" si="23"/>
        <v>PIKEMAN_EASTEU</v>
      </c>
      <c r="B1263" s="9" t="s">
        <v>107</v>
      </c>
      <c r="C1263" s="4" t="s">
        <v>698</v>
      </c>
      <c r="E1263" s="4" t="s">
        <v>107</v>
      </c>
      <c r="F1263" s="4" t="s">
        <v>107</v>
      </c>
      <c r="H1263" s="4" t="s">
        <v>623</v>
      </c>
      <c r="I1263" s="4" t="s">
        <v>2098</v>
      </c>
      <c r="R1263" s="11" t="s">
        <v>1737</v>
      </c>
    </row>
    <row r="1264" spans="1:43" x14ac:dyDescent="0.25">
      <c r="A1264" s="161" t="str">
        <f t="shared" si="23"/>
        <v>PIKEMAN_AMERICA</v>
      </c>
      <c r="B1264" s="9" t="s">
        <v>107</v>
      </c>
      <c r="C1264" s="4" t="s">
        <v>699</v>
      </c>
      <c r="E1264" s="4" t="s">
        <v>107</v>
      </c>
      <c r="F1264" s="4" t="s">
        <v>107</v>
      </c>
      <c r="G1264" s="14"/>
      <c r="H1264" s="4" t="s">
        <v>148</v>
      </c>
      <c r="I1264" s="4" t="s">
        <v>1941</v>
      </c>
      <c r="R1264" s="11" t="s">
        <v>1737</v>
      </c>
    </row>
    <row r="1265" spans="1:35" x14ac:dyDescent="0.25">
      <c r="A1265" s="161" t="str">
        <f t="shared" si="23"/>
        <v>PIKEMAN_ENGLAND</v>
      </c>
      <c r="B1265" s="9" t="s">
        <v>107</v>
      </c>
      <c r="C1265" s="4" t="s">
        <v>713</v>
      </c>
      <c r="E1265" s="4" t="s">
        <v>107</v>
      </c>
      <c r="F1265" s="4" t="s">
        <v>107</v>
      </c>
      <c r="G1265" s="14" t="s">
        <v>132</v>
      </c>
      <c r="H1265" s="4" t="s">
        <v>309</v>
      </c>
      <c r="I1265" s="4" t="s">
        <v>102</v>
      </c>
      <c r="R1265" s="11" t="s">
        <v>1737</v>
      </c>
    </row>
    <row r="1266" spans="1:35" x14ac:dyDescent="0.25">
      <c r="A1266" s="161" t="str">
        <f t="shared" si="23"/>
        <v>PIKEMAN_FRANCE</v>
      </c>
      <c r="B1266" s="9" t="s">
        <v>107</v>
      </c>
      <c r="C1266" s="4" t="s">
        <v>715</v>
      </c>
      <c r="E1266" s="4" t="s">
        <v>107</v>
      </c>
      <c r="F1266" s="4" t="s">
        <v>107</v>
      </c>
      <c r="G1266" s="14" t="s">
        <v>132</v>
      </c>
      <c r="H1266" s="4" t="s">
        <v>354</v>
      </c>
      <c r="I1266" s="4" t="s">
        <v>102</v>
      </c>
      <c r="R1266" s="11" t="s">
        <v>1737</v>
      </c>
    </row>
    <row r="1267" spans="1:35" x14ac:dyDescent="0.25">
      <c r="A1267" s="161" t="str">
        <f t="shared" si="23"/>
        <v>PIKEMAN_GERMANY</v>
      </c>
      <c r="B1267" s="9" t="s">
        <v>107</v>
      </c>
      <c r="C1267" s="4" t="s">
        <v>717</v>
      </c>
      <c r="E1267" s="4" t="s">
        <v>107</v>
      </c>
      <c r="F1267" s="4" t="s">
        <v>107</v>
      </c>
      <c r="G1267" s="14" t="s">
        <v>132</v>
      </c>
      <c r="H1267" s="4" t="s">
        <v>386</v>
      </c>
      <c r="I1267" s="4" t="s">
        <v>102</v>
      </c>
      <c r="R1267" s="11" t="s">
        <v>1737</v>
      </c>
    </row>
    <row r="1268" spans="1:35" x14ac:dyDescent="0.25">
      <c r="A1268" s="161" t="str">
        <f t="shared" si="23"/>
        <v>PIKEMAN_SWISS</v>
      </c>
      <c r="B1268" s="9" t="s">
        <v>107</v>
      </c>
      <c r="C1268" s="4" t="s">
        <v>740</v>
      </c>
      <c r="E1268" s="4" t="s">
        <v>107</v>
      </c>
      <c r="F1268" s="4" t="s">
        <v>107</v>
      </c>
      <c r="G1268" s="14" t="s">
        <v>132</v>
      </c>
      <c r="H1268" s="4" t="s">
        <v>678</v>
      </c>
      <c r="I1268" s="4" t="s">
        <v>1046</v>
      </c>
      <c r="R1268" s="11" t="s">
        <v>1737</v>
      </c>
    </row>
    <row r="1269" spans="1:35" x14ac:dyDescent="0.25">
      <c r="A1269" s="161" t="str">
        <f t="shared" si="23"/>
        <v>PIKEMAN_MED</v>
      </c>
      <c r="B1269" s="9" t="s">
        <v>107</v>
      </c>
      <c r="C1269" s="4" t="s">
        <v>692</v>
      </c>
      <c r="E1269" s="4" t="s">
        <v>107</v>
      </c>
      <c r="F1269" s="4" t="s">
        <v>107</v>
      </c>
      <c r="H1269" s="4" t="s">
        <v>660</v>
      </c>
      <c r="I1269" s="4" t="s">
        <v>2098</v>
      </c>
      <c r="R1269" s="11" t="s">
        <v>1737</v>
      </c>
    </row>
    <row r="1270" spans="1:35" x14ac:dyDescent="0.25">
      <c r="A1270" s="161" t="str">
        <f t="shared" si="23"/>
        <v>PIKEMAN_CARTHAGE</v>
      </c>
      <c r="B1270" s="9" t="s">
        <v>107</v>
      </c>
      <c r="C1270" s="4" t="s">
        <v>708</v>
      </c>
      <c r="E1270" s="4" t="s">
        <v>107</v>
      </c>
      <c r="F1270" s="4" t="s">
        <v>107</v>
      </c>
      <c r="G1270" s="14" t="s">
        <v>132</v>
      </c>
      <c r="H1270" s="4" t="s">
        <v>231</v>
      </c>
      <c r="I1270" s="4" t="s">
        <v>1025</v>
      </c>
      <c r="R1270" s="11" t="s">
        <v>1737</v>
      </c>
    </row>
    <row r="1271" spans="1:35" x14ac:dyDescent="0.25">
      <c r="A1271" s="161" t="str">
        <f t="shared" si="23"/>
        <v>PIKEMAN_GREECE</v>
      </c>
      <c r="B1271" s="9" t="s">
        <v>107</v>
      </c>
      <c r="C1271" s="4" t="s">
        <v>718</v>
      </c>
      <c r="E1271" s="4" t="s">
        <v>107</v>
      </c>
      <c r="F1271" s="4" t="s">
        <v>107</v>
      </c>
      <c r="G1271" s="14" t="s">
        <v>132</v>
      </c>
      <c r="H1271" s="4" t="s">
        <v>410</v>
      </c>
      <c r="I1271" s="4" t="s">
        <v>102</v>
      </c>
      <c r="R1271" s="11" t="s">
        <v>1737</v>
      </c>
    </row>
    <row r="1272" spans="1:35" x14ac:dyDescent="0.25">
      <c r="A1272" s="161" t="str">
        <f t="shared" si="23"/>
        <v>PIKEMAN_ROME</v>
      </c>
      <c r="B1272" s="9" t="s">
        <v>107</v>
      </c>
      <c r="C1272" s="4" t="s">
        <v>734</v>
      </c>
      <c r="E1272" s="4" t="s">
        <v>107</v>
      </c>
      <c r="F1272" s="4" t="s">
        <v>107</v>
      </c>
      <c r="G1272" s="14" t="s">
        <v>132</v>
      </c>
      <c r="H1272" s="4" t="s">
        <v>597</v>
      </c>
      <c r="I1272" s="4" t="s">
        <v>102</v>
      </c>
      <c r="Q1272" s="11">
        <v>2</v>
      </c>
      <c r="R1272" s="11" t="s">
        <v>1737</v>
      </c>
      <c r="T1272" s="11">
        <v>3</v>
      </c>
      <c r="Z1272" s="11">
        <v>1</v>
      </c>
      <c r="AF1272" s="11">
        <v>1</v>
      </c>
      <c r="AI1272" s="11">
        <v>1</v>
      </c>
    </row>
    <row r="1273" spans="1:35" x14ac:dyDescent="0.25">
      <c r="A1273" s="161" t="str">
        <f>CONCATENATE(E1273,IF(ISBLANK(C1273),"",CONCATENATE("_",C1273)))</f>
        <v>PIKEMAN_ROME</v>
      </c>
      <c r="B1273" s="9" t="s">
        <v>107</v>
      </c>
      <c r="C1273" s="4" t="s">
        <v>734</v>
      </c>
      <c r="E1273" s="4" t="s">
        <v>107</v>
      </c>
      <c r="F1273" s="4" t="s">
        <v>107</v>
      </c>
      <c r="G1273" s="14" t="s">
        <v>2047</v>
      </c>
      <c r="H1273" s="4" t="s">
        <v>598</v>
      </c>
      <c r="I1273" s="4" t="s">
        <v>102</v>
      </c>
      <c r="Q1273" s="11">
        <v>2</v>
      </c>
      <c r="R1273" s="11" t="s">
        <v>1737</v>
      </c>
      <c r="T1273" s="11">
        <v>2</v>
      </c>
      <c r="Z1273" s="11">
        <v>0</v>
      </c>
      <c r="AF1273" s="11">
        <v>1</v>
      </c>
      <c r="AI1273" s="11">
        <v>1</v>
      </c>
    </row>
    <row r="1274" spans="1:35" x14ac:dyDescent="0.25">
      <c r="A1274" s="161" t="str">
        <f>CONCATENATE(E1274,IF(ISBLANK(C1274),"",CONCATENATE("_",C1274)))</f>
        <v>PIKEMAN_ROME</v>
      </c>
      <c r="B1274" s="9" t="s">
        <v>107</v>
      </c>
      <c r="C1274" s="4" t="s">
        <v>734</v>
      </c>
      <c r="E1274" s="4" t="s">
        <v>107</v>
      </c>
      <c r="F1274" s="4" t="s">
        <v>107</v>
      </c>
      <c r="G1274" s="14" t="s">
        <v>132</v>
      </c>
      <c r="H1274" s="4" t="s">
        <v>597</v>
      </c>
      <c r="I1274" s="4" t="s">
        <v>102</v>
      </c>
      <c r="Q1274" s="11">
        <v>2</v>
      </c>
      <c r="R1274" s="11" t="s">
        <v>1737</v>
      </c>
      <c r="T1274" s="11">
        <v>3</v>
      </c>
      <c r="Z1274" s="11">
        <v>0</v>
      </c>
      <c r="AF1274" s="11">
        <v>1</v>
      </c>
      <c r="AI1274" s="11">
        <v>2</v>
      </c>
    </row>
    <row r="1275" spans="1:35" x14ac:dyDescent="0.25">
      <c r="A1275" s="161" t="str">
        <f>CONCATENATE(E1275,IF(ISBLANK(C1275),"",CONCATENATE("_",C1275)))</f>
        <v>PIKEMAN_ROME</v>
      </c>
      <c r="B1275" s="9" t="s">
        <v>107</v>
      </c>
      <c r="C1275" s="4" t="s">
        <v>734</v>
      </c>
      <c r="E1275" s="4" t="s">
        <v>107</v>
      </c>
      <c r="F1275" s="4" t="s">
        <v>107</v>
      </c>
      <c r="G1275" s="14" t="s">
        <v>2047</v>
      </c>
      <c r="H1275" s="4" t="s">
        <v>598</v>
      </c>
      <c r="I1275" s="4" t="s">
        <v>102</v>
      </c>
      <c r="Q1275" s="11">
        <v>2</v>
      </c>
      <c r="R1275" s="11" t="s">
        <v>1737</v>
      </c>
      <c r="T1275" s="11">
        <v>2</v>
      </c>
      <c r="Z1275" s="11">
        <v>0</v>
      </c>
      <c r="AF1275" s="11">
        <v>0</v>
      </c>
      <c r="AI1275" s="11">
        <v>1</v>
      </c>
    </row>
    <row r="1276" spans="1:35" x14ac:dyDescent="0.25">
      <c r="A1276" s="161" t="str">
        <f>CONCATENATE(E1276,IF(ISBLANK(C1276),"",CONCATENATE("_",C1276)))</f>
        <v>PIKEMAN_ROME</v>
      </c>
      <c r="B1276" s="9" t="s">
        <v>107</v>
      </c>
      <c r="C1276" s="4" t="s">
        <v>734</v>
      </c>
      <c r="E1276" s="4" t="s">
        <v>107</v>
      </c>
      <c r="F1276" s="4" t="s">
        <v>107</v>
      </c>
      <c r="G1276" s="14" t="s">
        <v>132</v>
      </c>
      <c r="H1276" s="4" t="s">
        <v>597</v>
      </c>
      <c r="I1276" s="4" t="s">
        <v>102</v>
      </c>
      <c r="Q1276" s="11">
        <v>2</v>
      </c>
      <c r="R1276" s="11" t="s">
        <v>1737</v>
      </c>
      <c r="T1276" s="11">
        <v>3</v>
      </c>
      <c r="Z1276" s="11">
        <v>0</v>
      </c>
      <c r="AF1276" s="11">
        <v>0</v>
      </c>
      <c r="AI1276" s="11">
        <v>1</v>
      </c>
    </row>
    <row r="1277" spans="1:35" x14ac:dyDescent="0.25">
      <c r="A1277" s="161" t="str">
        <f>CONCATENATE(E1277,IF(ISBLANK(C1277),"",CONCATENATE("_",C1277)))</f>
        <v>PIKEMAN_ROME</v>
      </c>
      <c r="B1277" s="9" t="s">
        <v>107</v>
      </c>
      <c r="C1277" s="4" t="s">
        <v>734</v>
      </c>
      <c r="E1277" s="4" t="s">
        <v>107</v>
      </c>
      <c r="F1277" s="4" t="s">
        <v>107</v>
      </c>
      <c r="G1277" s="14" t="s">
        <v>2047</v>
      </c>
      <c r="H1277" s="4" t="s">
        <v>598</v>
      </c>
      <c r="I1277" s="4" t="s">
        <v>102</v>
      </c>
      <c r="Q1277" s="11">
        <v>2</v>
      </c>
      <c r="R1277" s="11" t="s">
        <v>1737</v>
      </c>
      <c r="T1277" s="11">
        <v>3</v>
      </c>
      <c r="Z1277" s="11">
        <v>0</v>
      </c>
      <c r="AF1277" s="11">
        <v>0</v>
      </c>
      <c r="AI1277" s="11">
        <v>1</v>
      </c>
    </row>
    <row r="1278" spans="1:35" x14ac:dyDescent="0.25">
      <c r="A1278" s="161" t="str">
        <f t="shared" si="23"/>
        <v>PIKEMAN_SPAIN</v>
      </c>
      <c r="B1278" s="9" t="s">
        <v>107</v>
      </c>
      <c r="C1278" s="4" t="s">
        <v>738</v>
      </c>
      <c r="D1278" s="4" t="s">
        <v>692</v>
      </c>
      <c r="E1278" s="4" t="s">
        <v>107</v>
      </c>
      <c r="F1278" s="4" t="s">
        <v>107</v>
      </c>
      <c r="G1278" s="14" t="s">
        <v>132</v>
      </c>
    </row>
    <row r="1279" spans="1:35" x14ac:dyDescent="0.25">
      <c r="A1279" s="161" t="str">
        <f t="shared" si="23"/>
        <v>PIKEMAN_VATICAN_CITY</v>
      </c>
      <c r="B1279" s="9" t="s">
        <v>107</v>
      </c>
      <c r="C1279" s="4" t="s">
        <v>741</v>
      </c>
      <c r="D1279" s="4" t="s">
        <v>740</v>
      </c>
      <c r="E1279" s="4" t="s">
        <v>107</v>
      </c>
      <c r="F1279" s="4" t="s">
        <v>107</v>
      </c>
      <c r="G1279" s="14" t="s">
        <v>132</v>
      </c>
    </row>
    <row r="1280" spans="1:35" x14ac:dyDescent="0.25">
      <c r="A1280" s="161" t="str">
        <f t="shared" si="23"/>
        <v>PIKEMAN_MIDEAST</v>
      </c>
      <c r="B1280" s="9" t="s">
        <v>107</v>
      </c>
      <c r="C1280" s="4" t="s">
        <v>690</v>
      </c>
      <c r="E1280" s="4" t="s">
        <v>107</v>
      </c>
      <c r="F1280" s="4" t="s">
        <v>107</v>
      </c>
      <c r="H1280" s="4" t="s">
        <v>168</v>
      </c>
      <c r="I1280" s="4" t="s">
        <v>2098</v>
      </c>
      <c r="R1280" s="11" t="s">
        <v>1737</v>
      </c>
    </row>
    <row r="1281" spans="1:43" x14ac:dyDescent="0.25">
      <c r="A1281" s="161" t="str">
        <f t="shared" si="23"/>
        <v>PIKEMAN_ARABIA</v>
      </c>
      <c r="B1281" s="9" t="s">
        <v>107</v>
      </c>
      <c r="C1281" s="4" t="s">
        <v>700</v>
      </c>
      <c r="D1281" s="14" t="s">
        <v>690</v>
      </c>
      <c r="E1281" s="4" t="s">
        <v>107</v>
      </c>
      <c r="F1281" s="4" t="s">
        <v>107</v>
      </c>
      <c r="G1281" s="14"/>
    </row>
    <row r="1282" spans="1:43" x14ac:dyDescent="0.25">
      <c r="A1282" s="161" t="str">
        <f t="shared" si="23"/>
        <v>PIKEMAN_BABYLON</v>
      </c>
      <c r="B1282" s="9" t="s">
        <v>107</v>
      </c>
      <c r="C1282" s="4" t="s">
        <v>703</v>
      </c>
      <c r="E1282" s="4" t="s">
        <v>107</v>
      </c>
      <c r="F1282" s="4" t="s">
        <v>107</v>
      </c>
      <c r="G1282" s="14"/>
      <c r="H1282" s="4" t="s">
        <v>215</v>
      </c>
      <c r="I1282" s="4" t="s">
        <v>102</v>
      </c>
      <c r="R1282" s="11" t="s">
        <v>1737</v>
      </c>
    </row>
    <row r="1283" spans="1:43" x14ac:dyDescent="0.25">
      <c r="A1283" s="161" t="str">
        <f t="shared" si="23"/>
        <v>PIKEMAN_EGYPT</v>
      </c>
      <c r="B1283" s="9" t="s">
        <v>107</v>
      </c>
      <c r="C1283" s="4" t="s">
        <v>712</v>
      </c>
      <c r="E1283" s="4" t="s">
        <v>107</v>
      </c>
      <c r="F1283" s="4" t="s">
        <v>107</v>
      </c>
      <c r="G1283" s="14" t="s">
        <v>132</v>
      </c>
      <c r="H1283" s="4" t="s">
        <v>285</v>
      </c>
      <c r="I1283" s="4" t="s">
        <v>2098</v>
      </c>
      <c r="R1283" s="11" t="s">
        <v>1737</v>
      </c>
    </row>
    <row r="1284" spans="1:43" x14ac:dyDescent="0.25">
      <c r="A1284" s="161" t="str">
        <f t="shared" si="23"/>
        <v>PIKEMAN_LEVANT</v>
      </c>
      <c r="B1284" s="9" t="s">
        <v>107</v>
      </c>
      <c r="C1284" s="4" t="s">
        <v>724</v>
      </c>
      <c r="E1284" s="4" t="s">
        <v>107</v>
      </c>
      <c r="F1284" s="4" t="s">
        <v>107</v>
      </c>
      <c r="G1284" s="14" t="s">
        <v>132</v>
      </c>
      <c r="H1284" s="4" t="s">
        <v>513</v>
      </c>
      <c r="I1284" s="4" t="s">
        <v>102</v>
      </c>
      <c r="R1284" s="11" t="s">
        <v>1737</v>
      </c>
    </row>
    <row r="1285" spans="1:43" x14ac:dyDescent="0.25">
      <c r="A1285" s="161" t="str">
        <f t="shared" si="23"/>
        <v>PIKEMAN_PERSIA</v>
      </c>
      <c r="B1285" s="9" t="s">
        <v>107</v>
      </c>
      <c r="C1285" s="4" t="s">
        <v>731</v>
      </c>
      <c r="E1285" s="4" t="s">
        <v>107</v>
      </c>
      <c r="F1285" s="4" t="s">
        <v>107</v>
      </c>
      <c r="G1285" s="14" t="s">
        <v>132</v>
      </c>
      <c r="H1285" s="4" t="s">
        <v>561</v>
      </c>
      <c r="I1285" s="4" t="s">
        <v>102</v>
      </c>
      <c r="R1285" s="11" t="s">
        <v>1737</v>
      </c>
    </row>
    <row r="1286" spans="1:43" x14ac:dyDescent="0.25">
      <c r="A1286" s="161" t="str">
        <f>CONCATENATE(E1286,IF(ISBLANK(C1286),"",CONCATENATE("_",C1286)))</f>
        <v>PIKEMAN_NORTHAF</v>
      </c>
      <c r="B1286" s="9" t="s">
        <v>107</v>
      </c>
      <c r="C1286" s="4" t="s">
        <v>2011</v>
      </c>
      <c r="E1286" s="4" t="s">
        <v>107</v>
      </c>
      <c r="F1286" s="4" t="s">
        <v>107</v>
      </c>
      <c r="G1286" s="14"/>
      <c r="H1286" s="4" t="s">
        <v>643</v>
      </c>
      <c r="I1286" s="4" t="s">
        <v>1935</v>
      </c>
      <c r="R1286" s="11" t="s">
        <v>1737</v>
      </c>
    </row>
    <row r="1287" spans="1:43" x14ac:dyDescent="0.25">
      <c r="A1287" s="161" t="str">
        <f t="shared" si="23"/>
        <v>PIKEMAN_NORTHEU</v>
      </c>
      <c r="B1287" s="9" t="s">
        <v>107</v>
      </c>
      <c r="C1287" s="4" t="s">
        <v>962</v>
      </c>
      <c r="E1287" s="4" t="s">
        <v>107</v>
      </c>
      <c r="F1287" s="4" t="s">
        <v>107</v>
      </c>
      <c r="G1287" s="14" t="s">
        <v>132</v>
      </c>
      <c r="H1287" s="4" t="s">
        <v>270</v>
      </c>
      <c r="I1287" s="4" t="s">
        <v>102</v>
      </c>
      <c r="R1287" s="11" t="s">
        <v>1737</v>
      </c>
    </row>
    <row r="1288" spans="1:43" x14ac:dyDescent="0.25">
      <c r="A1288" s="161" t="str">
        <f t="shared" si="23"/>
        <v>PIKEMAN_OCEAN</v>
      </c>
      <c r="B1288" s="9" t="s">
        <v>107</v>
      </c>
      <c r="C1288" s="4" t="s">
        <v>994</v>
      </c>
      <c r="D1288" s="4" t="s">
        <v>691</v>
      </c>
      <c r="E1288" s="4" t="s">
        <v>107</v>
      </c>
      <c r="F1288" s="4" t="s">
        <v>107</v>
      </c>
    </row>
    <row r="1289" spans="1:43" x14ac:dyDescent="0.25">
      <c r="A1289" s="161" t="str">
        <f t="shared" si="23"/>
        <v>PIKEMAN_SEASIA</v>
      </c>
      <c r="B1289" s="9" t="s">
        <v>107</v>
      </c>
      <c r="C1289" s="4" t="s">
        <v>696</v>
      </c>
      <c r="E1289" s="4" t="s">
        <v>107</v>
      </c>
      <c r="F1289" s="4" t="s">
        <v>107</v>
      </c>
      <c r="H1289" s="4" t="s">
        <v>452</v>
      </c>
      <c r="I1289" s="4" t="s">
        <v>1063</v>
      </c>
      <c r="R1289" s="11" t="s">
        <v>1737</v>
      </c>
    </row>
    <row r="1290" spans="1:43" x14ac:dyDescent="0.25">
      <c r="A1290" s="161" t="str">
        <f t="shared" si="23"/>
        <v>PIKEMAN_SOUTHAM</v>
      </c>
      <c r="B1290" s="9" t="s">
        <v>107</v>
      </c>
      <c r="C1290" s="4" t="s">
        <v>691</v>
      </c>
      <c r="E1290" s="4" t="s">
        <v>107</v>
      </c>
      <c r="F1290" s="4" t="s">
        <v>107</v>
      </c>
      <c r="H1290" s="4" t="s">
        <v>1815</v>
      </c>
      <c r="I1290" s="4" t="s">
        <v>963</v>
      </c>
      <c r="R1290" s="11" t="s">
        <v>1737</v>
      </c>
    </row>
    <row r="1291" spans="1:43" x14ac:dyDescent="0.25">
      <c r="A1291" s="161" t="str">
        <f t="shared" si="23"/>
        <v>PIKEMAN_AZTEC</v>
      </c>
      <c r="B1291" s="9" t="s">
        <v>107</v>
      </c>
      <c r="C1291" s="4" t="s">
        <v>702</v>
      </c>
      <c r="E1291" s="4" t="s">
        <v>107</v>
      </c>
      <c r="F1291" s="4" t="s">
        <v>107</v>
      </c>
      <c r="G1291" s="14"/>
      <c r="H1291" s="4" t="s">
        <v>199</v>
      </c>
      <c r="I1291" s="4" t="s">
        <v>102</v>
      </c>
      <c r="R1291" s="11" t="s">
        <v>1737</v>
      </c>
    </row>
    <row r="1292" spans="1:43" x14ac:dyDescent="0.25">
      <c r="A1292" s="161" t="str">
        <f t="shared" si="23"/>
        <v>PIKEMAN_INCA</v>
      </c>
      <c r="B1292" s="9" t="s">
        <v>107</v>
      </c>
      <c r="C1292" s="4" t="s">
        <v>719</v>
      </c>
      <c r="E1292" s="4" t="s">
        <v>107</v>
      </c>
      <c r="F1292" s="4" t="s">
        <v>107</v>
      </c>
      <c r="G1292" s="14" t="s">
        <v>132</v>
      </c>
      <c r="H1292" s="4" t="s">
        <v>425</v>
      </c>
      <c r="I1292" s="4" t="s">
        <v>102</v>
      </c>
      <c r="R1292" s="11" t="s">
        <v>1737</v>
      </c>
    </row>
    <row r="1293" spans="1:43" x14ac:dyDescent="0.25">
      <c r="A1293" s="161" t="str">
        <f t="shared" si="23"/>
        <v>PIKEMAN_MAYA</v>
      </c>
      <c r="B1293" s="9" t="s">
        <v>107</v>
      </c>
      <c r="C1293" s="4" t="s">
        <v>725</v>
      </c>
      <c r="E1293" s="4" t="s">
        <v>107</v>
      </c>
      <c r="F1293" s="4" t="s">
        <v>107</v>
      </c>
      <c r="G1293" s="14" t="s">
        <v>132</v>
      </c>
      <c r="H1293" s="4" t="s">
        <v>520</v>
      </c>
      <c r="I1293" s="4" t="s">
        <v>102</v>
      </c>
      <c r="R1293" s="11" t="s">
        <v>1737</v>
      </c>
    </row>
    <row r="1294" spans="1:43" x14ac:dyDescent="0.25">
      <c r="A1294" s="161" t="str">
        <f t="shared" si="23"/>
        <v>PIKEMAN_SOUTHAS</v>
      </c>
      <c r="B1294" s="9" t="s">
        <v>107</v>
      </c>
      <c r="C1294" s="4" t="s">
        <v>695</v>
      </c>
      <c r="E1294" s="4" t="s">
        <v>107</v>
      </c>
      <c r="F1294" s="4" t="s">
        <v>107</v>
      </c>
      <c r="H1294" s="4" t="s">
        <v>440</v>
      </c>
      <c r="I1294" s="4" t="s">
        <v>102</v>
      </c>
      <c r="R1294" s="11" t="s">
        <v>1737</v>
      </c>
    </row>
    <row r="1295" spans="1:43" x14ac:dyDescent="0.25">
      <c r="A1295" s="161" t="str">
        <f t="shared" si="23"/>
        <v>PRIVATEER</v>
      </c>
      <c r="C1295" s="5"/>
      <c r="D1295" s="5"/>
      <c r="E1295" s="5" t="s">
        <v>1364</v>
      </c>
      <c r="F1295" s="5" t="s">
        <v>1364</v>
      </c>
      <c r="G1295" s="5"/>
      <c r="H1295" s="5" t="s">
        <v>1506</v>
      </c>
      <c r="I1295" s="5" t="s">
        <v>128</v>
      </c>
      <c r="J1295" s="6"/>
      <c r="K1295" s="7"/>
      <c r="L1295" s="13" t="s">
        <v>1712</v>
      </c>
      <c r="M1295" s="8"/>
      <c r="N1295" s="13" t="s">
        <v>1727</v>
      </c>
      <c r="O1295" s="13"/>
      <c r="P1295" s="13"/>
      <c r="Q1295" s="7">
        <v>1</v>
      </c>
      <c r="R1295" s="6" t="s">
        <v>1737</v>
      </c>
      <c r="S1295" s="5"/>
      <c r="T1295" s="8"/>
      <c r="U1295" s="7" t="s">
        <v>1737</v>
      </c>
      <c r="V1295" s="5"/>
      <c r="W1295" s="6"/>
      <c r="X1295" s="6"/>
      <c r="Y1295" s="5"/>
      <c r="Z1295" s="6"/>
      <c r="AA1295" s="6"/>
      <c r="AB1295" s="5"/>
      <c r="AC1295" s="6"/>
      <c r="AD1295" s="6"/>
      <c r="AE1295" s="5"/>
      <c r="AF1295" s="6"/>
      <c r="AG1295" s="6"/>
      <c r="AH1295" s="5"/>
      <c r="AI1295" s="6"/>
      <c r="AJ1295" s="6"/>
      <c r="AK1295" s="5"/>
      <c r="AL1295" s="5"/>
      <c r="AM1295" s="5"/>
      <c r="AN1295" s="5"/>
      <c r="AO1295" s="5"/>
      <c r="AP1295" s="5"/>
      <c r="AQ1295" s="5"/>
    </row>
    <row r="1296" spans="1:43" x14ac:dyDescent="0.25">
      <c r="A1296" s="161" t="str">
        <f t="shared" si="23"/>
        <v>RIFLEMAN</v>
      </c>
      <c r="B1296" s="9" t="s">
        <v>123</v>
      </c>
      <c r="C1296" s="5"/>
      <c r="D1296" s="5"/>
      <c r="E1296" s="5" t="s">
        <v>123</v>
      </c>
      <c r="F1296" s="5" t="s">
        <v>123</v>
      </c>
      <c r="G1296" s="5"/>
      <c r="H1296" s="5" t="s">
        <v>21</v>
      </c>
      <c r="I1296" s="5" t="s">
        <v>128</v>
      </c>
      <c r="J1296" s="6"/>
      <c r="K1296" s="6"/>
      <c r="L1296" s="13" t="s">
        <v>1708</v>
      </c>
      <c r="M1296" s="8"/>
      <c r="N1296" s="5"/>
      <c r="O1296" s="5"/>
      <c r="P1296" s="5"/>
      <c r="Q1296" s="7">
        <v>14</v>
      </c>
      <c r="R1296" s="6" t="s">
        <v>1737</v>
      </c>
      <c r="S1296" s="13" t="s">
        <v>1619</v>
      </c>
      <c r="T1296" s="7">
        <v>19</v>
      </c>
      <c r="U1296" s="7" t="s">
        <v>1737</v>
      </c>
      <c r="V1296" s="5"/>
      <c r="W1296" s="6" t="s">
        <v>3</v>
      </c>
      <c r="X1296" s="6" t="s">
        <v>3</v>
      </c>
      <c r="Y1296" s="5"/>
      <c r="Z1296" s="7">
        <v>1</v>
      </c>
      <c r="AA1296" s="6"/>
      <c r="AB1296" s="5"/>
      <c r="AC1296" s="6"/>
      <c r="AD1296" s="6" t="s">
        <v>3</v>
      </c>
      <c r="AE1296" s="5"/>
      <c r="AF1296" s="7" t="s">
        <v>1737</v>
      </c>
      <c r="AG1296" s="6"/>
      <c r="AH1296" s="5"/>
      <c r="AI1296" s="7" t="s">
        <v>1737</v>
      </c>
      <c r="AJ1296" s="6"/>
      <c r="AK1296" s="5"/>
      <c r="AL1296" s="5"/>
      <c r="AM1296" s="5"/>
      <c r="AN1296" s="5"/>
      <c r="AO1296" s="5"/>
      <c r="AP1296" s="5"/>
      <c r="AQ1296" s="5"/>
    </row>
    <row r="1297" spans="1:35" x14ac:dyDescent="0.25">
      <c r="A1297" s="17" t="str">
        <f t="shared" si="23"/>
        <v>RIFLEMAN_AFRI</v>
      </c>
      <c r="B1297" s="9" t="s">
        <v>123</v>
      </c>
      <c r="C1297" s="4" t="s">
        <v>694</v>
      </c>
      <c r="E1297" s="4" t="s">
        <v>123</v>
      </c>
      <c r="F1297" s="4" t="s">
        <v>123</v>
      </c>
      <c r="H1297" s="4" t="s">
        <v>820</v>
      </c>
      <c r="I1297" s="4" t="s">
        <v>993</v>
      </c>
      <c r="Q1297" s="9">
        <v>1</v>
      </c>
      <c r="R1297" s="11">
        <v>0.122</v>
      </c>
      <c r="T1297" s="11">
        <v>2</v>
      </c>
      <c r="Z1297" s="9">
        <v>1</v>
      </c>
      <c r="AF1297" s="11">
        <v>1</v>
      </c>
      <c r="AI1297" s="11">
        <v>1</v>
      </c>
    </row>
    <row r="1298" spans="1:35" x14ac:dyDescent="0.25">
      <c r="A1298" s="17" t="str">
        <f t="shared" si="23"/>
        <v>RIFLEMAN_AFRI</v>
      </c>
      <c r="B1298" s="9" t="s">
        <v>123</v>
      </c>
      <c r="C1298" s="4" t="s">
        <v>694</v>
      </c>
      <c r="E1298" s="4" t="s">
        <v>123</v>
      </c>
      <c r="F1298" s="4" t="s">
        <v>123</v>
      </c>
      <c r="G1298" s="4" t="s">
        <v>1163</v>
      </c>
      <c r="H1298" s="4" t="s">
        <v>821</v>
      </c>
      <c r="I1298" s="4" t="s">
        <v>993</v>
      </c>
      <c r="Q1298" s="9">
        <v>3</v>
      </c>
      <c r="R1298" s="11">
        <v>0.122</v>
      </c>
      <c r="T1298" s="11">
        <v>4</v>
      </c>
      <c r="Z1298" s="9">
        <v>0</v>
      </c>
      <c r="AF1298" s="11">
        <v>1</v>
      </c>
      <c r="AI1298" s="11">
        <v>2</v>
      </c>
    </row>
    <row r="1299" spans="1:35" x14ac:dyDescent="0.25">
      <c r="A1299" s="17" t="str">
        <f t="shared" si="23"/>
        <v>RIFLEMAN_AFRI</v>
      </c>
      <c r="B1299" s="9" t="s">
        <v>123</v>
      </c>
      <c r="C1299" s="4" t="s">
        <v>694</v>
      </c>
      <c r="E1299" s="4" t="s">
        <v>123</v>
      </c>
      <c r="F1299" s="4" t="s">
        <v>123</v>
      </c>
      <c r="G1299" s="4" t="s">
        <v>1164</v>
      </c>
      <c r="H1299" s="4" t="s">
        <v>232</v>
      </c>
      <c r="I1299" s="4" t="s">
        <v>993</v>
      </c>
      <c r="Q1299" s="9">
        <v>1</v>
      </c>
      <c r="R1299" s="11">
        <v>0.122</v>
      </c>
      <c r="T1299" s="11">
        <v>4</v>
      </c>
      <c r="Z1299" s="9">
        <v>0</v>
      </c>
      <c r="AF1299" s="11">
        <v>1</v>
      </c>
      <c r="AI1299" s="11">
        <v>1</v>
      </c>
    </row>
    <row r="1300" spans="1:35" x14ac:dyDescent="0.25">
      <c r="A1300" s="17" t="str">
        <f>CONCATENATE(E1300,IF(ISBLANK(C1300),"",CONCATENATE("_",C1300)))</f>
        <v>RIFLEMAN_AFRI</v>
      </c>
      <c r="B1300" s="9" t="s">
        <v>123</v>
      </c>
      <c r="C1300" s="4" t="s">
        <v>694</v>
      </c>
      <c r="E1300" s="4" t="s">
        <v>123</v>
      </c>
      <c r="F1300" s="4" t="s">
        <v>123</v>
      </c>
      <c r="G1300" s="4" t="s">
        <v>1164</v>
      </c>
      <c r="H1300" s="4" t="s">
        <v>232</v>
      </c>
      <c r="I1300" s="4" t="s">
        <v>993</v>
      </c>
      <c r="Q1300" s="9">
        <v>3</v>
      </c>
      <c r="R1300" s="11">
        <v>0.122</v>
      </c>
      <c r="T1300" s="11">
        <v>2</v>
      </c>
      <c r="Z1300" s="9">
        <v>0</v>
      </c>
      <c r="AF1300" s="11">
        <v>0</v>
      </c>
      <c r="AI1300" s="11">
        <v>1</v>
      </c>
    </row>
    <row r="1301" spans="1:35" x14ac:dyDescent="0.25">
      <c r="A1301" s="17" t="str">
        <f>CONCATENATE(E1301,IF(ISBLANK(C1301),"",CONCATENATE("_",C1301)))</f>
        <v>RIFLEMAN_AFRI</v>
      </c>
      <c r="B1301" s="9" t="s">
        <v>123</v>
      </c>
      <c r="C1301" s="4" t="s">
        <v>694</v>
      </c>
      <c r="E1301" s="4" t="s">
        <v>123</v>
      </c>
      <c r="F1301" s="4" t="s">
        <v>123</v>
      </c>
      <c r="G1301" s="4" t="s">
        <v>1163</v>
      </c>
      <c r="H1301" s="4" t="s">
        <v>821</v>
      </c>
      <c r="I1301" s="4" t="s">
        <v>993</v>
      </c>
      <c r="Q1301" s="9">
        <v>2</v>
      </c>
      <c r="R1301" s="11">
        <v>0.122</v>
      </c>
      <c r="T1301" s="11">
        <v>3</v>
      </c>
      <c r="Z1301" s="9">
        <v>0</v>
      </c>
      <c r="AF1301" s="11">
        <v>0</v>
      </c>
      <c r="AI1301" s="11">
        <v>1</v>
      </c>
    </row>
    <row r="1302" spans="1:35" x14ac:dyDescent="0.25">
      <c r="A1302" s="17" t="str">
        <f t="shared" si="23"/>
        <v>RIFLEMAN_AFRI</v>
      </c>
      <c r="B1302" s="9" t="s">
        <v>123</v>
      </c>
      <c r="C1302" s="4" t="s">
        <v>694</v>
      </c>
      <c r="E1302" s="4" t="s">
        <v>123</v>
      </c>
      <c r="F1302" s="4" t="s">
        <v>123</v>
      </c>
      <c r="H1302" s="4" t="s">
        <v>820</v>
      </c>
      <c r="I1302" s="4" t="s">
        <v>993</v>
      </c>
      <c r="Q1302" s="9">
        <v>4</v>
      </c>
      <c r="R1302" s="11">
        <v>0.122</v>
      </c>
      <c r="T1302" s="11">
        <v>4</v>
      </c>
      <c r="Z1302" s="9">
        <v>0</v>
      </c>
      <c r="AF1302" s="11">
        <v>0</v>
      </c>
      <c r="AI1302" s="11">
        <v>1</v>
      </c>
    </row>
    <row r="1303" spans="1:35" x14ac:dyDescent="0.25">
      <c r="A1303" s="161" t="str">
        <f t="shared" si="23"/>
        <v>RIFLEMAN_AMER</v>
      </c>
      <c r="B1303" s="9" t="s">
        <v>123</v>
      </c>
      <c r="C1303" s="4" t="s">
        <v>697</v>
      </c>
      <c r="E1303" s="4" t="s">
        <v>123</v>
      </c>
      <c r="F1303" s="4" t="s">
        <v>123</v>
      </c>
      <c r="H1303" s="4" t="s">
        <v>469</v>
      </c>
      <c r="I1303" s="4" t="s">
        <v>122</v>
      </c>
      <c r="R1303" s="11">
        <v>0.13</v>
      </c>
    </row>
    <row r="1304" spans="1:35" x14ac:dyDescent="0.25">
      <c r="A1304" s="161" t="str">
        <f t="shared" si="23"/>
        <v>RIFLEMAN_IROQUOIS</v>
      </c>
      <c r="B1304" s="9" t="s">
        <v>123</v>
      </c>
      <c r="C1304" s="4" t="s">
        <v>721</v>
      </c>
      <c r="E1304" s="4" t="s">
        <v>123</v>
      </c>
      <c r="F1304" s="4" t="s">
        <v>123</v>
      </c>
      <c r="H1304" s="4" t="s">
        <v>945</v>
      </c>
      <c r="I1304" s="4" t="s">
        <v>122</v>
      </c>
      <c r="Q1304" s="9">
        <v>1</v>
      </c>
      <c r="R1304" s="11">
        <v>0.13</v>
      </c>
      <c r="T1304" s="11">
        <v>3</v>
      </c>
      <c r="Z1304" s="9">
        <v>1</v>
      </c>
      <c r="AF1304" s="11">
        <v>1</v>
      </c>
      <c r="AI1304" s="11">
        <v>1</v>
      </c>
    </row>
    <row r="1305" spans="1:35" x14ac:dyDescent="0.25">
      <c r="A1305" s="161" t="str">
        <f t="shared" si="23"/>
        <v>RIFLEMAN_IROQUOIS</v>
      </c>
      <c r="B1305" s="9" t="s">
        <v>123</v>
      </c>
      <c r="C1305" s="4" t="s">
        <v>721</v>
      </c>
      <c r="E1305" s="4" t="s">
        <v>123</v>
      </c>
      <c r="F1305" s="4" t="s">
        <v>123</v>
      </c>
      <c r="G1305" s="4" t="s">
        <v>2047</v>
      </c>
      <c r="H1305" s="4" t="s">
        <v>946</v>
      </c>
      <c r="I1305" s="4" t="s">
        <v>122</v>
      </c>
      <c r="Q1305" s="9">
        <v>3</v>
      </c>
      <c r="R1305" s="11">
        <v>0.13</v>
      </c>
      <c r="T1305" s="11">
        <v>4</v>
      </c>
      <c r="Z1305" s="9">
        <v>0</v>
      </c>
      <c r="AF1305" s="11">
        <v>1</v>
      </c>
      <c r="AI1305" s="11">
        <v>2</v>
      </c>
    </row>
    <row r="1306" spans="1:35" x14ac:dyDescent="0.25">
      <c r="A1306" s="161" t="str">
        <f t="shared" si="23"/>
        <v>RIFLEMAN_IROQUOIS</v>
      </c>
      <c r="B1306" s="9" t="s">
        <v>123</v>
      </c>
      <c r="C1306" s="4" t="s">
        <v>721</v>
      </c>
      <c r="E1306" s="4" t="s">
        <v>123</v>
      </c>
      <c r="F1306" s="4" t="s">
        <v>123</v>
      </c>
      <c r="G1306" s="4" t="s">
        <v>2049</v>
      </c>
      <c r="H1306" s="4" t="s">
        <v>469</v>
      </c>
      <c r="I1306" s="4" t="s">
        <v>122</v>
      </c>
      <c r="Q1306" s="9">
        <v>1</v>
      </c>
      <c r="R1306" s="11">
        <v>0.13</v>
      </c>
      <c r="T1306" s="11">
        <v>3</v>
      </c>
      <c r="Z1306" s="9">
        <v>0</v>
      </c>
      <c r="AF1306" s="11">
        <v>1</v>
      </c>
      <c r="AI1306" s="11">
        <v>1</v>
      </c>
    </row>
    <row r="1307" spans="1:35" x14ac:dyDescent="0.25">
      <c r="A1307" s="161" t="str">
        <f t="shared" si="23"/>
        <v>RIFLEMAN_IROQUOIS</v>
      </c>
      <c r="B1307" s="9" t="s">
        <v>123</v>
      </c>
      <c r="C1307" s="4" t="s">
        <v>721</v>
      </c>
      <c r="E1307" s="4" t="s">
        <v>123</v>
      </c>
      <c r="F1307" s="4" t="s">
        <v>123</v>
      </c>
      <c r="H1307" s="4" t="s">
        <v>945</v>
      </c>
      <c r="I1307" s="4" t="s">
        <v>122</v>
      </c>
      <c r="Q1307" s="9">
        <v>3</v>
      </c>
      <c r="R1307" s="11">
        <v>0.13</v>
      </c>
      <c r="T1307" s="11">
        <v>3</v>
      </c>
      <c r="Z1307" s="9">
        <v>0</v>
      </c>
      <c r="AF1307" s="11">
        <v>0</v>
      </c>
      <c r="AI1307" s="11">
        <v>1</v>
      </c>
    </row>
    <row r="1308" spans="1:35" x14ac:dyDescent="0.25">
      <c r="A1308" s="161" t="str">
        <f t="shared" si="23"/>
        <v>RIFLEMAN_IROQUOIS</v>
      </c>
      <c r="B1308" s="9" t="s">
        <v>123</v>
      </c>
      <c r="C1308" s="4" t="s">
        <v>721</v>
      </c>
      <c r="E1308" s="4" t="s">
        <v>123</v>
      </c>
      <c r="F1308" s="4" t="s">
        <v>123</v>
      </c>
      <c r="G1308" s="4" t="s">
        <v>2047</v>
      </c>
      <c r="H1308" s="4" t="s">
        <v>946</v>
      </c>
      <c r="I1308" s="4" t="s">
        <v>122</v>
      </c>
      <c r="Q1308" s="9">
        <v>2</v>
      </c>
      <c r="R1308" s="11">
        <v>0.13</v>
      </c>
      <c r="T1308" s="11">
        <v>3</v>
      </c>
      <c r="Z1308" s="9">
        <v>0</v>
      </c>
      <c r="AF1308" s="11">
        <v>0</v>
      </c>
      <c r="AI1308" s="11">
        <v>1</v>
      </c>
    </row>
    <row r="1309" spans="1:35" x14ac:dyDescent="0.25">
      <c r="A1309" s="161" t="str">
        <f t="shared" si="23"/>
        <v>RIFLEMAN_IROQUOIS</v>
      </c>
      <c r="B1309" s="9" t="s">
        <v>123</v>
      </c>
      <c r="C1309" s="4" t="s">
        <v>721</v>
      </c>
      <c r="E1309" s="4" t="s">
        <v>123</v>
      </c>
      <c r="F1309" s="4" t="s">
        <v>123</v>
      </c>
      <c r="G1309" s="4" t="s">
        <v>2049</v>
      </c>
      <c r="H1309" s="4" t="s">
        <v>469</v>
      </c>
      <c r="I1309" s="4" t="s">
        <v>122</v>
      </c>
      <c r="Q1309" s="9">
        <v>4</v>
      </c>
      <c r="R1309" s="11">
        <v>0.13</v>
      </c>
      <c r="T1309" s="11">
        <v>3</v>
      </c>
      <c r="Z1309" s="9">
        <v>0</v>
      </c>
      <c r="AF1309" s="11">
        <v>0</v>
      </c>
      <c r="AI1309" s="11">
        <v>1</v>
      </c>
    </row>
    <row r="1310" spans="1:35" x14ac:dyDescent="0.25">
      <c r="A1310" s="161" t="str">
        <f t="shared" si="23"/>
        <v>RIFLEMAN_ASIA</v>
      </c>
      <c r="B1310" s="9" t="s">
        <v>123</v>
      </c>
      <c r="C1310" s="4" t="s">
        <v>693</v>
      </c>
      <c r="E1310" s="4" t="s">
        <v>123</v>
      </c>
      <c r="F1310" s="4" t="s">
        <v>123</v>
      </c>
      <c r="H1310" s="4" t="s">
        <v>453</v>
      </c>
      <c r="I1310" s="4" t="s">
        <v>122</v>
      </c>
      <c r="R1310" s="11">
        <v>0.125</v>
      </c>
    </row>
    <row r="1311" spans="1:35" x14ac:dyDescent="0.25">
      <c r="A1311" s="161" t="str">
        <f t="shared" si="23"/>
        <v>RIFLEMAN_CHINA</v>
      </c>
      <c r="B1311" s="9" t="s">
        <v>123</v>
      </c>
      <c r="C1311" s="4" t="s">
        <v>710</v>
      </c>
      <c r="E1311" s="4" t="s">
        <v>123</v>
      </c>
      <c r="F1311" s="4" t="s">
        <v>123</v>
      </c>
      <c r="H1311" s="4" t="s">
        <v>830</v>
      </c>
      <c r="I1311" s="4" t="s">
        <v>122</v>
      </c>
      <c r="Q1311" s="9">
        <v>1</v>
      </c>
      <c r="R1311" s="11">
        <v>0.125</v>
      </c>
      <c r="T1311" s="11">
        <v>2</v>
      </c>
      <c r="Z1311" s="9">
        <v>1</v>
      </c>
      <c r="AF1311" s="11">
        <v>1</v>
      </c>
      <c r="AI1311" s="11">
        <v>1</v>
      </c>
    </row>
    <row r="1312" spans="1:35" x14ac:dyDescent="0.25">
      <c r="A1312" s="161" t="str">
        <f t="shared" si="23"/>
        <v>RIFLEMAN_CHINA</v>
      </c>
      <c r="B1312" s="9" t="s">
        <v>123</v>
      </c>
      <c r="C1312" s="4" t="s">
        <v>710</v>
      </c>
      <c r="E1312" s="4" t="s">
        <v>123</v>
      </c>
      <c r="F1312" s="4" t="s">
        <v>123</v>
      </c>
      <c r="G1312" s="4" t="s">
        <v>2047</v>
      </c>
      <c r="H1312" s="4" t="s">
        <v>831</v>
      </c>
      <c r="I1312" s="4" t="s">
        <v>122</v>
      </c>
      <c r="Q1312" s="9">
        <v>4</v>
      </c>
      <c r="R1312" s="11">
        <v>0.125</v>
      </c>
      <c r="T1312" s="11">
        <v>4</v>
      </c>
      <c r="Z1312" s="9">
        <v>0</v>
      </c>
      <c r="AF1312" s="11">
        <v>1</v>
      </c>
      <c r="AI1312" s="11">
        <v>2</v>
      </c>
    </row>
    <row r="1313" spans="1:35" x14ac:dyDescent="0.25">
      <c r="A1313" s="161" t="str">
        <f t="shared" si="23"/>
        <v>RIFLEMAN_CHINA</v>
      </c>
      <c r="B1313" s="9" t="s">
        <v>123</v>
      </c>
      <c r="C1313" s="4" t="s">
        <v>710</v>
      </c>
      <c r="E1313" s="4" t="s">
        <v>123</v>
      </c>
      <c r="F1313" s="4" t="s">
        <v>123</v>
      </c>
      <c r="G1313" s="4" t="s">
        <v>2049</v>
      </c>
      <c r="H1313" s="4" t="s">
        <v>257</v>
      </c>
      <c r="I1313" s="4" t="s">
        <v>122</v>
      </c>
      <c r="Q1313" s="9">
        <v>3</v>
      </c>
      <c r="R1313" s="11">
        <v>0.125</v>
      </c>
      <c r="T1313" s="11">
        <v>4</v>
      </c>
      <c r="Z1313" s="9">
        <v>0</v>
      </c>
      <c r="AF1313" s="11">
        <v>1</v>
      </c>
      <c r="AI1313" s="11">
        <v>1</v>
      </c>
    </row>
    <row r="1314" spans="1:35" x14ac:dyDescent="0.25">
      <c r="A1314" s="161" t="str">
        <f t="shared" si="23"/>
        <v>RIFLEMAN_CHINA</v>
      </c>
      <c r="B1314" s="9" t="s">
        <v>123</v>
      </c>
      <c r="C1314" s="4" t="s">
        <v>710</v>
      </c>
      <c r="E1314" s="4" t="s">
        <v>123</v>
      </c>
      <c r="F1314" s="4" t="s">
        <v>123</v>
      </c>
      <c r="H1314" s="4" t="s">
        <v>830</v>
      </c>
      <c r="I1314" s="4" t="s">
        <v>122</v>
      </c>
      <c r="Q1314" s="9">
        <v>3</v>
      </c>
      <c r="R1314" s="11">
        <v>0.125</v>
      </c>
      <c r="T1314" s="11">
        <v>4</v>
      </c>
      <c r="Z1314" s="9">
        <v>0</v>
      </c>
      <c r="AF1314" s="11">
        <v>0</v>
      </c>
      <c r="AI1314" s="11">
        <v>1</v>
      </c>
    </row>
    <row r="1315" spans="1:35" x14ac:dyDescent="0.25">
      <c r="A1315" s="161" t="str">
        <f t="shared" si="23"/>
        <v>RIFLEMAN_CHINA</v>
      </c>
      <c r="B1315" s="9" t="s">
        <v>123</v>
      </c>
      <c r="C1315" s="4" t="s">
        <v>710</v>
      </c>
      <c r="E1315" s="4" t="s">
        <v>123</v>
      </c>
      <c r="F1315" s="4" t="s">
        <v>123</v>
      </c>
      <c r="G1315" s="4" t="s">
        <v>2047</v>
      </c>
      <c r="H1315" s="4" t="s">
        <v>831</v>
      </c>
      <c r="I1315" s="4" t="s">
        <v>122</v>
      </c>
      <c r="Q1315" s="9">
        <v>1</v>
      </c>
      <c r="R1315" s="11">
        <v>0.125</v>
      </c>
      <c r="T1315" s="11">
        <v>3</v>
      </c>
      <c r="Z1315" s="9">
        <v>0</v>
      </c>
      <c r="AF1315" s="11">
        <v>0</v>
      </c>
      <c r="AI1315" s="11">
        <v>1</v>
      </c>
    </row>
    <row r="1316" spans="1:35" x14ac:dyDescent="0.25">
      <c r="A1316" s="161" t="str">
        <f t="shared" si="23"/>
        <v>RIFLEMAN_CHINA</v>
      </c>
      <c r="B1316" s="9" t="s">
        <v>123</v>
      </c>
      <c r="C1316" s="4" t="s">
        <v>710</v>
      </c>
      <c r="E1316" s="4" t="s">
        <v>123</v>
      </c>
      <c r="F1316" s="4" t="s">
        <v>123</v>
      </c>
      <c r="G1316" s="4" t="s">
        <v>2049</v>
      </c>
      <c r="H1316" s="4" t="s">
        <v>257</v>
      </c>
      <c r="I1316" s="4" t="s">
        <v>122</v>
      </c>
      <c r="Q1316" s="9">
        <v>2</v>
      </c>
      <c r="R1316" s="11">
        <v>0.125</v>
      </c>
      <c r="T1316" s="11">
        <v>2</v>
      </c>
      <c r="Z1316" s="9">
        <v>0</v>
      </c>
      <c r="AF1316" s="11">
        <v>0</v>
      </c>
      <c r="AI1316" s="11">
        <v>1</v>
      </c>
    </row>
    <row r="1317" spans="1:35" x14ac:dyDescent="0.25">
      <c r="A1317" s="161" t="str">
        <f t="shared" si="23"/>
        <v>RIFLEMAN_JAPAN</v>
      </c>
      <c r="B1317" s="9" t="s">
        <v>123</v>
      </c>
      <c r="C1317" s="4" t="s">
        <v>722</v>
      </c>
      <c r="E1317" s="4" t="s">
        <v>123</v>
      </c>
      <c r="F1317" s="4" t="s">
        <v>123</v>
      </c>
      <c r="H1317" s="4" t="s">
        <v>955</v>
      </c>
      <c r="I1317" s="4" t="s">
        <v>122</v>
      </c>
      <c r="Q1317" s="9">
        <v>1</v>
      </c>
      <c r="R1317" s="11">
        <v>0.13</v>
      </c>
      <c r="T1317" s="11">
        <v>3</v>
      </c>
      <c r="Z1317" s="9">
        <v>1</v>
      </c>
      <c r="AF1317" s="11">
        <v>1</v>
      </c>
      <c r="AI1317" s="11">
        <v>1</v>
      </c>
    </row>
    <row r="1318" spans="1:35" x14ac:dyDescent="0.25">
      <c r="A1318" s="161" t="str">
        <f t="shared" si="23"/>
        <v>RIFLEMAN_JAPAN</v>
      </c>
      <c r="B1318" s="9" t="s">
        <v>123</v>
      </c>
      <c r="C1318" s="4" t="s">
        <v>722</v>
      </c>
      <c r="E1318" s="4" t="s">
        <v>123</v>
      </c>
      <c r="F1318" s="4" t="s">
        <v>123</v>
      </c>
      <c r="G1318" s="4" t="s">
        <v>2047</v>
      </c>
      <c r="H1318" s="4" t="s">
        <v>956</v>
      </c>
      <c r="I1318" s="4" t="s">
        <v>122</v>
      </c>
      <c r="Q1318" s="9">
        <v>4</v>
      </c>
      <c r="R1318" s="11">
        <v>0.13</v>
      </c>
      <c r="T1318" s="11">
        <v>4</v>
      </c>
      <c r="Z1318" s="9">
        <v>0</v>
      </c>
      <c r="AF1318" s="11">
        <v>1</v>
      </c>
      <c r="AI1318" s="11">
        <v>2</v>
      </c>
    </row>
    <row r="1319" spans="1:35" x14ac:dyDescent="0.25">
      <c r="A1319" s="161" t="str">
        <f t="shared" si="23"/>
        <v>RIFLEMAN_JAPAN</v>
      </c>
      <c r="B1319" s="9" t="s">
        <v>123</v>
      </c>
      <c r="C1319" s="4" t="s">
        <v>722</v>
      </c>
      <c r="E1319" s="4" t="s">
        <v>123</v>
      </c>
      <c r="F1319" s="4" t="s">
        <v>123</v>
      </c>
      <c r="G1319" s="4" t="s">
        <v>2049</v>
      </c>
      <c r="H1319" s="4" t="s">
        <v>488</v>
      </c>
      <c r="I1319" s="4" t="s">
        <v>122</v>
      </c>
      <c r="Q1319" s="9">
        <v>3</v>
      </c>
      <c r="R1319" s="11">
        <v>0.13</v>
      </c>
      <c r="T1319" s="11">
        <v>3</v>
      </c>
      <c r="Z1319" s="9">
        <v>0</v>
      </c>
      <c r="AF1319" s="11">
        <v>1</v>
      </c>
      <c r="AI1319" s="11">
        <v>1</v>
      </c>
    </row>
    <row r="1320" spans="1:35" x14ac:dyDescent="0.25">
      <c r="A1320" s="161" t="str">
        <f t="shared" si="23"/>
        <v>RIFLEMAN_JAPAN</v>
      </c>
      <c r="B1320" s="9" t="s">
        <v>123</v>
      </c>
      <c r="C1320" s="4" t="s">
        <v>722</v>
      </c>
      <c r="E1320" s="4" t="s">
        <v>123</v>
      </c>
      <c r="F1320" s="4" t="s">
        <v>123</v>
      </c>
      <c r="H1320" s="4" t="s">
        <v>955</v>
      </c>
      <c r="I1320" s="4" t="s">
        <v>122</v>
      </c>
      <c r="Q1320" s="9">
        <v>3</v>
      </c>
      <c r="R1320" s="11">
        <v>0.13</v>
      </c>
      <c r="T1320" s="11">
        <v>3</v>
      </c>
      <c r="Z1320" s="9">
        <v>0</v>
      </c>
      <c r="AF1320" s="11">
        <v>0</v>
      </c>
      <c r="AI1320" s="11">
        <v>1</v>
      </c>
    </row>
    <row r="1321" spans="1:35" x14ac:dyDescent="0.25">
      <c r="A1321" s="161" t="str">
        <f t="shared" si="23"/>
        <v>RIFLEMAN_JAPAN</v>
      </c>
      <c r="B1321" s="9" t="s">
        <v>123</v>
      </c>
      <c r="C1321" s="4" t="s">
        <v>722</v>
      </c>
      <c r="E1321" s="4" t="s">
        <v>123</v>
      </c>
      <c r="F1321" s="4" t="s">
        <v>123</v>
      </c>
      <c r="G1321" s="4" t="s">
        <v>2047</v>
      </c>
      <c r="H1321" s="4" t="s">
        <v>956</v>
      </c>
      <c r="I1321" s="4" t="s">
        <v>122</v>
      </c>
      <c r="Q1321" s="9">
        <v>1</v>
      </c>
      <c r="R1321" s="11">
        <v>0.13</v>
      </c>
      <c r="T1321" s="11">
        <v>3</v>
      </c>
      <c r="Z1321" s="9">
        <v>0</v>
      </c>
      <c r="AF1321" s="11">
        <v>0</v>
      </c>
      <c r="AI1321" s="11">
        <v>1</v>
      </c>
    </row>
    <row r="1322" spans="1:35" x14ac:dyDescent="0.25">
      <c r="A1322" s="161" t="str">
        <f t="shared" si="23"/>
        <v>RIFLEMAN_JAPAN</v>
      </c>
      <c r="B1322" s="9" t="s">
        <v>123</v>
      </c>
      <c r="C1322" s="4" t="s">
        <v>722</v>
      </c>
      <c r="E1322" s="4" t="s">
        <v>123</v>
      </c>
      <c r="F1322" s="4" t="s">
        <v>123</v>
      </c>
      <c r="G1322" s="4" t="s">
        <v>2049</v>
      </c>
      <c r="H1322" s="4" t="s">
        <v>488</v>
      </c>
      <c r="I1322" s="4" t="s">
        <v>122</v>
      </c>
      <c r="Q1322" s="9">
        <v>2</v>
      </c>
      <c r="R1322" s="11">
        <v>0.13</v>
      </c>
      <c r="T1322" s="11">
        <v>3</v>
      </c>
      <c r="Z1322" s="9">
        <v>0</v>
      </c>
      <c r="AF1322" s="11">
        <v>0</v>
      </c>
      <c r="AI1322" s="11">
        <v>1</v>
      </c>
    </row>
    <row r="1323" spans="1:35" x14ac:dyDescent="0.25">
      <c r="A1323" s="161" t="str">
        <f t="shared" si="23"/>
        <v>RIFLEMAN_CENTAS</v>
      </c>
      <c r="B1323" s="9" t="s">
        <v>123</v>
      </c>
      <c r="C1323" s="4" t="s">
        <v>918</v>
      </c>
      <c r="E1323" s="4" t="s">
        <v>123</v>
      </c>
      <c r="F1323" s="4" t="s">
        <v>123</v>
      </c>
      <c r="H1323" s="4" t="s">
        <v>1044</v>
      </c>
      <c r="I1323" s="4" t="s">
        <v>122</v>
      </c>
      <c r="Q1323" s="9">
        <v>1</v>
      </c>
      <c r="R1323" s="11">
        <v>0.13</v>
      </c>
      <c r="T1323" s="9">
        <v>3</v>
      </c>
      <c r="Z1323" s="9">
        <v>1</v>
      </c>
      <c r="AF1323" s="11">
        <v>1</v>
      </c>
      <c r="AI1323" s="11">
        <v>1</v>
      </c>
    </row>
    <row r="1324" spans="1:35" x14ac:dyDescent="0.25">
      <c r="A1324" s="161" t="str">
        <f t="shared" si="23"/>
        <v>RIFLEMAN_CENTAS</v>
      </c>
      <c r="B1324" s="9" t="s">
        <v>123</v>
      </c>
      <c r="C1324" s="4" t="s">
        <v>918</v>
      </c>
      <c r="E1324" s="4" t="s">
        <v>123</v>
      </c>
      <c r="F1324" s="4" t="s">
        <v>123</v>
      </c>
      <c r="G1324" s="4" t="s">
        <v>2047</v>
      </c>
      <c r="H1324" s="4" t="s">
        <v>1043</v>
      </c>
      <c r="I1324" s="4" t="s">
        <v>122</v>
      </c>
      <c r="Q1324" s="9">
        <v>3</v>
      </c>
      <c r="R1324" s="11">
        <v>0.13</v>
      </c>
      <c r="T1324" s="9">
        <v>4</v>
      </c>
      <c r="Z1324" s="9">
        <v>0</v>
      </c>
      <c r="AF1324" s="11">
        <v>1</v>
      </c>
      <c r="AI1324" s="11">
        <v>2</v>
      </c>
    </row>
    <row r="1325" spans="1:35" x14ac:dyDescent="0.25">
      <c r="A1325" s="161" t="str">
        <f t="shared" si="23"/>
        <v>RIFLEMAN_CENTAS</v>
      </c>
      <c r="B1325" s="9" t="s">
        <v>123</v>
      </c>
      <c r="C1325" s="4" t="s">
        <v>918</v>
      </c>
      <c r="E1325" s="4" t="s">
        <v>123</v>
      </c>
      <c r="F1325" s="4" t="s">
        <v>123</v>
      </c>
      <c r="G1325" s="4" t="s">
        <v>2049</v>
      </c>
      <c r="H1325" s="4" t="s">
        <v>1042</v>
      </c>
      <c r="I1325" s="4" t="s">
        <v>122</v>
      </c>
      <c r="Q1325" s="9">
        <v>1</v>
      </c>
      <c r="R1325" s="11">
        <v>0.13</v>
      </c>
      <c r="T1325" s="9">
        <v>3</v>
      </c>
      <c r="Z1325" s="9">
        <v>0</v>
      </c>
      <c r="AF1325" s="11">
        <v>1</v>
      </c>
      <c r="AI1325" s="11">
        <v>1</v>
      </c>
    </row>
    <row r="1326" spans="1:35" x14ac:dyDescent="0.25">
      <c r="A1326" s="161" t="str">
        <f t="shared" si="23"/>
        <v>RIFLEMAN_CENTAS</v>
      </c>
      <c r="B1326" s="9" t="s">
        <v>123</v>
      </c>
      <c r="C1326" s="4" t="s">
        <v>918</v>
      </c>
      <c r="E1326" s="4" t="s">
        <v>123</v>
      </c>
      <c r="F1326" s="4" t="s">
        <v>123</v>
      </c>
      <c r="H1326" s="4" t="s">
        <v>1044</v>
      </c>
      <c r="I1326" s="4" t="s">
        <v>122</v>
      </c>
      <c r="Q1326" s="9">
        <v>3</v>
      </c>
      <c r="R1326" s="11">
        <v>0.13</v>
      </c>
      <c r="T1326" s="9">
        <v>3</v>
      </c>
      <c r="Z1326" s="9">
        <v>0</v>
      </c>
      <c r="AF1326" s="11">
        <v>0</v>
      </c>
      <c r="AI1326" s="11">
        <v>1</v>
      </c>
    </row>
    <row r="1327" spans="1:35" x14ac:dyDescent="0.25">
      <c r="A1327" s="161" t="str">
        <f t="shared" si="23"/>
        <v>RIFLEMAN_CENTAS</v>
      </c>
      <c r="B1327" s="9" t="s">
        <v>123</v>
      </c>
      <c r="C1327" s="4" t="s">
        <v>918</v>
      </c>
      <c r="E1327" s="4" t="s">
        <v>123</v>
      </c>
      <c r="F1327" s="4" t="s">
        <v>123</v>
      </c>
      <c r="G1327" s="4" t="s">
        <v>2047</v>
      </c>
      <c r="H1327" s="4" t="s">
        <v>1043</v>
      </c>
      <c r="I1327" s="4" t="s">
        <v>122</v>
      </c>
      <c r="Q1327" s="9">
        <v>2</v>
      </c>
      <c r="R1327" s="11">
        <v>0.13</v>
      </c>
      <c r="T1327" s="9">
        <v>3</v>
      </c>
      <c r="Z1327" s="9">
        <v>0</v>
      </c>
      <c r="AF1327" s="11">
        <v>0</v>
      </c>
      <c r="AI1327" s="11">
        <v>1</v>
      </c>
    </row>
    <row r="1328" spans="1:35" x14ac:dyDescent="0.25">
      <c r="A1328" s="161" t="str">
        <f t="shared" si="23"/>
        <v>RIFLEMAN_CENTAS</v>
      </c>
      <c r="B1328" s="9" t="s">
        <v>123</v>
      </c>
      <c r="C1328" s="4" t="s">
        <v>918</v>
      </c>
      <c r="E1328" s="4" t="s">
        <v>123</v>
      </c>
      <c r="F1328" s="4" t="s">
        <v>123</v>
      </c>
      <c r="G1328" s="4" t="s">
        <v>2049</v>
      </c>
      <c r="H1328" s="4" t="s">
        <v>1042</v>
      </c>
      <c r="I1328" s="4" t="s">
        <v>122</v>
      </c>
      <c r="Q1328" s="9">
        <v>4</v>
      </c>
      <c r="R1328" s="11">
        <v>0.13</v>
      </c>
      <c r="T1328" s="9">
        <v>3</v>
      </c>
      <c r="Z1328" s="9">
        <v>0</v>
      </c>
      <c r="AF1328" s="11">
        <v>0</v>
      </c>
      <c r="AI1328" s="11">
        <v>1</v>
      </c>
    </row>
    <row r="1329" spans="1:35" x14ac:dyDescent="0.25">
      <c r="A1329" s="161" t="str">
        <f t="shared" si="23"/>
        <v>RIFLEMAN_HUNS</v>
      </c>
      <c r="B1329" s="9" t="s">
        <v>123</v>
      </c>
      <c r="C1329" s="4" t="s">
        <v>904</v>
      </c>
      <c r="E1329" s="4" t="s">
        <v>123</v>
      </c>
      <c r="F1329" s="4" t="s">
        <v>123</v>
      </c>
      <c r="H1329" s="4" t="s">
        <v>913</v>
      </c>
      <c r="I1329" s="4" t="s">
        <v>122</v>
      </c>
      <c r="Q1329" s="11">
        <v>14</v>
      </c>
      <c r="R1329" s="11">
        <v>0.125</v>
      </c>
      <c r="T1329" s="11">
        <v>19</v>
      </c>
      <c r="W1329" s="11" t="s">
        <v>3</v>
      </c>
      <c r="Z1329" s="11">
        <v>1</v>
      </c>
      <c r="AD1329" s="11" t="s">
        <v>3</v>
      </c>
      <c r="AF1329" s="11" t="s">
        <v>1737</v>
      </c>
      <c r="AI1329" s="11" t="s">
        <v>1737</v>
      </c>
    </row>
    <row r="1330" spans="1:35" x14ac:dyDescent="0.25">
      <c r="A1330" s="161" t="str">
        <f t="shared" ref="A1330:A1387" si="24">CONCATENATE(E1330,IF(ISBLANK(C1330),"",CONCATENATE("_",C1330)))</f>
        <v>RIFLEMAN_RUSSIA</v>
      </c>
      <c r="B1330" s="9" t="s">
        <v>123</v>
      </c>
      <c r="C1330" s="4" t="s">
        <v>735</v>
      </c>
      <c r="E1330" s="4" t="s">
        <v>123</v>
      </c>
      <c r="F1330" s="4" t="s">
        <v>123</v>
      </c>
      <c r="H1330" s="4" t="s">
        <v>1011</v>
      </c>
      <c r="I1330" s="4" t="s">
        <v>122</v>
      </c>
      <c r="Q1330" s="9">
        <v>1</v>
      </c>
      <c r="R1330" s="11">
        <v>0.13</v>
      </c>
      <c r="T1330" s="11">
        <v>3</v>
      </c>
      <c r="Z1330" s="9">
        <v>1</v>
      </c>
      <c r="AF1330" s="11">
        <v>1</v>
      </c>
      <c r="AI1330" s="11">
        <v>1</v>
      </c>
    </row>
    <row r="1331" spans="1:35" x14ac:dyDescent="0.25">
      <c r="A1331" s="161" t="str">
        <f t="shared" si="24"/>
        <v>RIFLEMAN_RUSSIA</v>
      </c>
      <c r="B1331" s="9" t="s">
        <v>123</v>
      </c>
      <c r="C1331" s="4" t="s">
        <v>735</v>
      </c>
      <c r="E1331" s="4" t="s">
        <v>123</v>
      </c>
      <c r="F1331" s="4" t="s">
        <v>123</v>
      </c>
      <c r="G1331" s="4" t="s">
        <v>2047</v>
      </c>
      <c r="H1331" s="4" t="s">
        <v>1012</v>
      </c>
      <c r="I1331" s="4" t="s">
        <v>122</v>
      </c>
      <c r="Q1331" s="9">
        <v>4</v>
      </c>
      <c r="R1331" s="11">
        <v>0.13</v>
      </c>
      <c r="T1331" s="11">
        <v>4</v>
      </c>
      <c r="Z1331" s="9">
        <v>0</v>
      </c>
      <c r="AF1331" s="11">
        <v>1</v>
      </c>
      <c r="AI1331" s="11">
        <v>2</v>
      </c>
    </row>
    <row r="1332" spans="1:35" x14ac:dyDescent="0.25">
      <c r="A1332" s="161" t="str">
        <f t="shared" si="24"/>
        <v>RIFLEMAN_RUSSIA</v>
      </c>
      <c r="B1332" s="9" t="s">
        <v>123</v>
      </c>
      <c r="C1332" s="4" t="s">
        <v>735</v>
      </c>
      <c r="E1332" s="4" t="s">
        <v>123</v>
      </c>
      <c r="F1332" s="4" t="s">
        <v>123</v>
      </c>
      <c r="G1332" s="4" t="s">
        <v>2049</v>
      </c>
      <c r="H1332" s="4" t="s">
        <v>624</v>
      </c>
      <c r="I1332" s="4" t="s">
        <v>122</v>
      </c>
      <c r="Q1332" s="9">
        <v>2</v>
      </c>
      <c r="R1332" s="11">
        <v>0.13</v>
      </c>
      <c r="T1332" s="11">
        <v>3</v>
      </c>
      <c r="Z1332" s="9">
        <v>0</v>
      </c>
      <c r="AF1332" s="11">
        <v>1</v>
      </c>
      <c r="AI1332" s="11">
        <v>1</v>
      </c>
    </row>
    <row r="1333" spans="1:35" x14ac:dyDescent="0.25">
      <c r="A1333" s="161" t="str">
        <f t="shared" si="24"/>
        <v>RIFLEMAN_RUSSIA</v>
      </c>
      <c r="B1333" s="9" t="s">
        <v>123</v>
      </c>
      <c r="C1333" s="4" t="s">
        <v>735</v>
      </c>
      <c r="E1333" s="4" t="s">
        <v>123</v>
      </c>
      <c r="F1333" s="4" t="s">
        <v>123</v>
      </c>
      <c r="H1333" s="4" t="s">
        <v>1011</v>
      </c>
      <c r="I1333" s="4" t="s">
        <v>122</v>
      </c>
      <c r="Q1333" s="9">
        <v>3</v>
      </c>
      <c r="R1333" s="11">
        <v>0.13</v>
      </c>
      <c r="T1333" s="11">
        <v>3</v>
      </c>
      <c r="Z1333" s="9">
        <v>0</v>
      </c>
      <c r="AF1333" s="11">
        <v>0</v>
      </c>
      <c r="AI1333" s="11">
        <v>1</v>
      </c>
    </row>
    <row r="1334" spans="1:35" x14ac:dyDescent="0.25">
      <c r="A1334" s="161" t="str">
        <f t="shared" si="24"/>
        <v>RIFLEMAN_RUSSIA</v>
      </c>
      <c r="B1334" s="9" t="s">
        <v>123</v>
      </c>
      <c r="C1334" s="4" t="s">
        <v>735</v>
      </c>
      <c r="E1334" s="4" t="s">
        <v>123</v>
      </c>
      <c r="F1334" s="4" t="s">
        <v>123</v>
      </c>
      <c r="G1334" s="4" t="s">
        <v>2047</v>
      </c>
      <c r="H1334" s="4" t="s">
        <v>1012</v>
      </c>
      <c r="I1334" s="4" t="s">
        <v>122</v>
      </c>
      <c r="Q1334" s="9">
        <v>1</v>
      </c>
      <c r="R1334" s="11">
        <v>0.13</v>
      </c>
      <c r="T1334" s="11">
        <v>3</v>
      </c>
      <c r="Z1334" s="9">
        <v>0</v>
      </c>
      <c r="AF1334" s="11">
        <v>0</v>
      </c>
      <c r="AI1334" s="11">
        <v>1</v>
      </c>
    </row>
    <row r="1335" spans="1:35" x14ac:dyDescent="0.25">
      <c r="A1335" s="161" t="str">
        <f t="shared" si="24"/>
        <v>RIFLEMAN_RUSSIA</v>
      </c>
      <c r="B1335" s="9" t="s">
        <v>123</v>
      </c>
      <c r="C1335" s="4" t="s">
        <v>735</v>
      </c>
      <c r="E1335" s="4" t="s">
        <v>123</v>
      </c>
      <c r="F1335" s="4" t="s">
        <v>123</v>
      </c>
      <c r="G1335" s="4" t="s">
        <v>2049</v>
      </c>
      <c r="H1335" s="4" t="s">
        <v>624</v>
      </c>
      <c r="I1335" s="4" t="s">
        <v>122</v>
      </c>
      <c r="Q1335" s="9">
        <v>3</v>
      </c>
      <c r="R1335" s="11">
        <v>0.13</v>
      </c>
      <c r="T1335" s="11">
        <v>3</v>
      </c>
      <c r="Z1335" s="9">
        <v>0</v>
      </c>
      <c r="AF1335" s="11">
        <v>0</v>
      </c>
      <c r="AI1335" s="11">
        <v>1</v>
      </c>
    </row>
    <row r="1336" spans="1:35" x14ac:dyDescent="0.25">
      <c r="A1336" s="161" t="str">
        <f t="shared" si="24"/>
        <v>RIFLEMAN_AMERICA</v>
      </c>
      <c r="B1336" s="9" t="s">
        <v>123</v>
      </c>
      <c r="C1336" s="4" t="s">
        <v>699</v>
      </c>
      <c r="E1336" s="4" t="s">
        <v>123</v>
      </c>
      <c r="F1336" s="4" t="s">
        <v>123</v>
      </c>
      <c r="H1336" s="4" t="s">
        <v>804</v>
      </c>
      <c r="I1336" s="4" t="s">
        <v>122</v>
      </c>
      <c r="Q1336" s="9">
        <v>1</v>
      </c>
      <c r="R1336" s="11">
        <v>0.13</v>
      </c>
      <c r="T1336" s="11">
        <v>3</v>
      </c>
      <c r="U1336" s="11">
        <v>9.5000000000000001E-2</v>
      </c>
      <c r="Z1336" s="9">
        <v>1</v>
      </c>
      <c r="AF1336" s="11">
        <v>1</v>
      </c>
      <c r="AI1336" s="11">
        <v>1</v>
      </c>
    </row>
    <row r="1337" spans="1:35" x14ac:dyDescent="0.25">
      <c r="A1337" s="161" t="str">
        <f t="shared" si="24"/>
        <v>RIFLEMAN_AMERICA</v>
      </c>
      <c r="B1337" s="9" t="s">
        <v>123</v>
      </c>
      <c r="C1337" s="4" t="s">
        <v>699</v>
      </c>
      <c r="E1337" s="4" t="s">
        <v>123</v>
      </c>
      <c r="F1337" s="4" t="s">
        <v>123</v>
      </c>
      <c r="G1337" s="4" t="s">
        <v>2047</v>
      </c>
      <c r="H1337" s="4" t="s">
        <v>805</v>
      </c>
      <c r="I1337" s="4" t="s">
        <v>122</v>
      </c>
      <c r="Q1337" s="9">
        <v>4</v>
      </c>
      <c r="R1337" s="11">
        <v>0.13</v>
      </c>
      <c r="T1337" s="11">
        <v>4</v>
      </c>
      <c r="U1337" s="11">
        <v>9.5000000000000001E-2</v>
      </c>
      <c r="Z1337" s="9">
        <v>0</v>
      </c>
      <c r="AF1337" s="11">
        <v>1</v>
      </c>
      <c r="AI1337" s="11">
        <v>2</v>
      </c>
    </row>
    <row r="1338" spans="1:35" x14ac:dyDescent="0.25">
      <c r="A1338" s="161" t="str">
        <f t="shared" si="24"/>
        <v>RIFLEMAN_AMERICA</v>
      </c>
      <c r="B1338" s="9" t="s">
        <v>123</v>
      </c>
      <c r="C1338" s="4" t="s">
        <v>699</v>
      </c>
      <c r="E1338" s="4" t="s">
        <v>123</v>
      </c>
      <c r="F1338" s="4" t="s">
        <v>123</v>
      </c>
      <c r="G1338" s="4" t="s">
        <v>2049</v>
      </c>
      <c r="H1338" s="4" t="s">
        <v>149</v>
      </c>
      <c r="I1338" s="4" t="s">
        <v>122</v>
      </c>
      <c r="Q1338" s="9">
        <v>2</v>
      </c>
      <c r="R1338" s="11">
        <v>0.13</v>
      </c>
      <c r="T1338" s="11">
        <v>3</v>
      </c>
      <c r="U1338" s="11">
        <v>9.5000000000000001E-2</v>
      </c>
      <c r="Z1338" s="9">
        <v>0</v>
      </c>
      <c r="AF1338" s="11">
        <v>1</v>
      </c>
      <c r="AI1338" s="11">
        <v>1</v>
      </c>
    </row>
    <row r="1339" spans="1:35" x14ac:dyDescent="0.25">
      <c r="A1339" s="161" t="str">
        <f t="shared" si="24"/>
        <v>RIFLEMAN_AMERICA</v>
      </c>
      <c r="B1339" s="9" t="s">
        <v>123</v>
      </c>
      <c r="C1339" s="4" t="s">
        <v>699</v>
      </c>
      <c r="E1339" s="4" t="s">
        <v>123</v>
      </c>
      <c r="F1339" s="4" t="s">
        <v>123</v>
      </c>
      <c r="H1339" s="4" t="s">
        <v>804</v>
      </c>
      <c r="I1339" s="4" t="s">
        <v>122</v>
      </c>
      <c r="Q1339" s="9">
        <v>3</v>
      </c>
      <c r="R1339" s="11">
        <v>0.13</v>
      </c>
      <c r="T1339" s="11">
        <v>3</v>
      </c>
      <c r="U1339" s="11">
        <v>9.5000000000000001E-2</v>
      </c>
      <c r="Z1339" s="9">
        <v>0</v>
      </c>
      <c r="AF1339" s="11">
        <v>0</v>
      </c>
      <c r="AI1339" s="11">
        <v>1</v>
      </c>
    </row>
    <row r="1340" spans="1:35" x14ac:dyDescent="0.25">
      <c r="A1340" s="161" t="str">
        <f t="shared" si="24"/>
        <v>RIFLEMAN_AMERICA</v>
      </c>
      <c r="B1340" s="9" t="s">
        <v>123</v>
      </c>
      <c r="C1340" s="4" t="s">
        <v>699</v>
      </c>
      <c r="E1340" s="4" t="s">
        <v>123</v>
      </c>
      <c r="F1340" s="4" t="s">
        <v>123</v>
      </c>
      <c r="G1340" s="4" t="s">
        <v>2047</v>
      </c>
      <c r="H1340" s="4" t="s">
        <v>805</v>
      </c>
      <c r="I1340" s="4" t="s">
        <v>122</v>
      </c>
      <c r="Q1340" s="9">
        <v>1</v>
      </c>
      <c r="R1340" s="11">
        <v>0.13</v>
      </c>
      <c r="T1340" s="11">
        <v>3</v>
      </c>
      <c r="U1340" s="11">
        <v>9.5000000000000001E-2</v>
      </c>
      <c r="Z1340" s="9">
        <v>0</v>
      </c>
      <c r="AF1340" s="11">
        <v>0</v>
      </c>
      <c r="AI1340" s="11">
        <v>1</v>
      </c>
    </row>
    <row r="1341" spans="1:35" x14ac:dyDescent="0.25">
      <c r="A1341" s="161" t="str">
        <f t="shared" si="24"/>
        <v>RIFLEMAN_AMERICA</v>
      </c>
      <c r="B1341" s="9" t="s">
        <v>123</v>
      </c>
      <c r="C1341" s="4" t="s">
        <v>699</v>
      </c>
      <c r="E1341" s="4" t="s">
        <v>123</v>
      </c>
      <c r="F1341" s="4" t="s">
        <v>123</v>
      </c>
      <c r="G1341" s="4" t="s">
        <v>2049</v>
      </c>
      <c r="H1341" s="4" t="s">
        <v>149</v>
      </c>
      <c r="I1341" s="4" t="s">
        <v>122</v>
      </c>
      <c r="Q1341" s="9">
        <v>3</v>
      </c>
      <c r="R1341" s="11">
        <v>0.13</v>
      </c>
      <c r="T1341" s="11">
        <v>3</v>
      </c>
      <c r="U1341" s="11">
        <v>9.5000000000000001E-2</v>
      </c>
      <c r="Z1341" s="9">
        <v>0</v>
      </c>
      <c r="AF1341" s="11">
        <v>0</v>
      </c>
      <c r="AI1341" s="11">
        <v>1</v>
      </c>
    </row>
    <row r="1342" spans="1:35" x14ac:dyDescent="0.25">
      <c r="A1342" s="161" t="str">
        <f t="shared" si="24"/>
        <v>RIFLEMAN_AUSTRIA</v>
      </c>
      <c r="B1342" s="9" t="s">
        <v>123</v>
      </c>
      <c r="C1342" s="4" t="s">
        <v>701</v>
      </c>
      <c r="E1342" s="4" t="s">
        <v>123</v>
      </c>
      <c r="F1342" s="4" t="s">
        <v>123</v>
      </c>
      <c r="H1342" s="4" t="s">
        <v>812</v>
      </c>
      <c r="I1342" s="4" t="s">
        <v>122</v>
      </c>
      <c r="Q1342" s="9">
        <v>1</v>
      </c>
      <c r="R1342" s="11">
        <v>0.125</v>
      </c>
      <c r="T1342" s="11">
        <v>3</v>
      </c>
      <c r="Z1342" s="9">
        <v>1</v>
      </c>
      <c r="AF1342" s="11">
        <v>1</v>
      </c>
      <c r="AI1342" s="11">
        <v>1</v>
      </c>
    </row>
    <row r="1343" spans="1:35" x14ac:dyDescent="0.25">
      <c r="A1343" s="161" t="str">
        <f t="shared" si="24"/>
        <v>RIFLEMAN_AUSTRIA</v>
      </c>
      <c r="B1343" s="9" t="s">
        <v>123</v>
      </c>
      <c r="C1343" s="4" t="s">
        <v>701</v>
      </c>
      <c r="E1343" s="4" t="s">
        <v>123</v>
      </c>
      <c r="F1343" s="4" t="s">
        <v>123</v>
      </c>
      <c r="G1343" s="4" t="s">
        <v>2047</v>
      </c>
      <c r="H1343" s="4" t="s">
        <v>813</v>
      </c>
      <c r="I1343" s="4" t="s">
        <v>122</v>
      </c>
      <c r="Q1343" s="9">
        <v>4</v>
      </c>
      <c r="R1343" s="11">
        <v>0.125</v>
      </c>
      <c r="T1343" s="11">
        <v>4</v>
      </c>
      <c r="Z1343" s="9">
        <v>0</v>
      </c>
      <c r="AF1343" s="11">
        <v>1</v>
      </c>
      <c r="AI1343" s="11">
        <v>2</v>
      </c>
    </row>
    <row r="1344" spans="1:35" x14ac:dyDescent="0.25">
      <c r="A1344" s="161" t="str">
        <f t="shared" si="24"/>
        <v>RIFLEMAN_AUSTRIA</v>
      </c>
      <c r="B1344" s="9" t="s">
        <v>123</v>
      </c>
      <c r="C1344" s="4" t="s">
        <v>701</v>
      </c>
      <c r="E1344" s="4" t="s">
        <v>123</v>
      </c>
      <c r="F1344" s="4" t="s">
        <v>123</v>
      </c>
      <c r="G1344" s="4" t="s">
        <v>2049</v>
      </c>
      <c r="H1344" s="4" t="s">
        <v>185</v>
      </c>
      <c r="I1344" s="4" t="s">
        <v>122</v>
      </c>
      <c r="Q1344" s="9">
        <v>2</v>
      </c>
      <c r="R1344" s="11">
        <v>0.125</v>
      </c>
      <c r="T1344" s="11">
        <v>3</v>
      </c>
      <c r="Z1344" s="9">
        <v>0</v>
      </c>
      <c r="AF1344" s="11">
        <v>1</v>
      </c>
      <c r="AI1344" s="11">
        <v>1</v>
      </c>
    </row>
    <row r="1345" spans="1:35" x14ac:dyDescent="0.25">
      <c r="A1345" s="161" t="str">
        <f t="shared" si="24"/>
        <v>RIFLEMAN_AUSTRIA</v>
      </c>
      <c r="B1345" s="9" t="s">
        <v>123</v>
      </c>
      <c r="C1345" s="4" t="s">
        <v>701</v>
      </c>
      <c r="E1345" s="4" t="s">
        <v>123</v>
      </c>
      <c r="F1345" s="4" t="s">
        <v>123</v>
      </c>
      <c r="H1345" s="4" t="s">
        <v>812</v>
      </c>
      <c r="I1345" s="4" t="s">
        <v>122</v>
      </c>
      <c r="Q1345" s="9">
        <v>3</v>
      </c>
      <c r="R1345" s="11">
        <v>0.125</v>
      </c>
      <c r="T1345" s="11">
        <v>3</v>
      </c>
      <c r="Z1345" s="9">
        <v>0</v>
      </c>
      <c r="AF1345" s="11">
        <v>0</v>
      </c>
      <c r="AI1345" s="11">
        <v>1</v>
      </c>
    </row>
    <row r="1346" spans="1:35" x14ac:dyDescent="0.25">
      <c r="A1346" s="161" t="str">
        <f t="shared" si="24"/>
        <v>RIFLEMAN_AUSTRIA</v>
      </c>
      <c r="B1346" s="9" t="s">
        <v>123</v>
      </c>
      <c r="C1346" s="4" t="s">
        <v>701</v>
      </c>
      <c r="E1346" s="4" t="s">
        <v>123</v>
      </c>
      <c r="F1346" s="4" t="s">
        <v>123</v>
      </c>
      <c r="G1346" s="4" t="s">
        <v>2047</v>
      </c>
      <c r="H1346" s="4" t="s">
        <v>813</v>
      </c>
      <c r="I1346" s="4" t="s">
        <v>122</v>
      </c>
      <c r="Q1346" s="9">
        <v>1</v>
      </c>
      <c r="R1346" s="11">
        <v>0.125</v>
      </c>
      <c r="T1346" s="11">
        <v>3</v>
      </c>
      <c r="Z1346" s="9">
        <v>0</v>
      </c>
      <c r="AF1346" s="11">
        <v>0</v>
      </c>
      <c r="AI1346" s="11">
        <v>1</v>
      </c>
    </row>
    <row r="1347" spans="1:35" x14ac:dyDescent="0.25">
      <c r="A1347" s="161" t="str">
        <f t="shared" si="24"/>
        <v>RIFLEMAN_AUSTRIA</v>
      </c>
      <c r="B1347" s="9" t="s">
        <v>123</v>
      </c>
      <c r="C1347" s="4" t="s">
        <v>701</v>
      </c>
      <c r="E1347" s="4" t="s">
        <v>123</v>
      </c>
      <c r="F1347" s="4" t="s">
        <v>123</v>
      </c>
      <c r="G1347" s="4" t="s">
        <v>2049</v>
      </c>
      <c r="H1347" s="4" t="s">
        <v>185</v>
      </c>
      <c r="I1347" s="4" t="s">
        <v>122</v>
      </c>
      <c r="Q1347" s="9">
        <v>3</v>
      </c>
      <c r="R1347" s="11">
        <v>0.125</v>
      </c>
      <c r="T1347" s="11">
        <v>3</v>
      </c>
      <c r="Z1347" s="9">
        <v>0</v>
      </c>
      <c r="AF1347" s="11">
        <v>0</v>
      </c>
      <c r="AI1347" s="11">
        <v>1</v>
      </c>
    </row>
    <row r="1348" spans="1:35" x14ac:dyDescent="0.25">
      <c r="A1348" s="161" t="str">
        <f t="shared" si="24"/>
        <v>RIFLEMAN_CELTS</v>
      </c>
      <c r="B1348" s="9" t="s">
        <v>123</v>
      </c>
      <c r="C1348" s="4" t="s">
        <v>709</v>
      </c>
      <c r="E1348" s="4" t="s">
        <v>123</v>
      </c>
      <c r="F1348" s="4" t="s">
        <v>123</v>
      </c>
      <c r="H1348" s="4" t="s">
        <v>825</v>
      </c>
      <c r="I1348" s="4" t="s">
        <v>122</v>
      </c>
      <c r="Q1348" s="9">
        <v>1</v>
      </c>
      <c r="R1348" s="11">
        <v>0.125</v>
      </c>
      <c r="T1348" s="11">
        <v>3</v>
      </c>
      <c r="Z1348" s="9">
        <v>1</v>
      </c>
      <c r="AF1348" s="11">
        <v>1</v>
      </c>
      <c r="AI1348" s="11">
        <v>1</v>
      </c>
    </row>
    <row r="1349" spans="1:35" x14ac:dyDescent="0.25">
      <c r="A1349" s="161" t="str">
        <f t="shared" si="24"/>
        <v>RIFLEMAN_CELTS</v>
      </c>
      <c r="B1349" s="9" t="s">
        <v>123</v>
      </c>
      <c r="C1349" s="4" t="s">
        <v>709</v>
      </c>
      <c r="E1349" s="4" t="s">
        <v>123</v>
      </c>
      <c r="F1349" s="4" t="s">
        <v>123</v>
      </c>
      <c r="G1349" s="4" t="s">
        <v>2047</v>
      </c>
      <c r="H1349" s="4" t="s">
        <v>826</v>
      </c>
      <c r="I1349" s="4" t="s">
        <v>122</v>
      </c>
      <c r="Q1349" s="9">
        <v>4</v>
      </c>
      <c r="R1349" s="11">
        <v>0.125</v>
      </c>
      <c r="T1349" s="11">
        <v>4</v>
      </c>
      <c r="Z1349" s="9">
        <v>0</v>
      </c>
      <c r="AF1349" s="11">
        <v>1</v>
      </c>
      <c r="AI1349" s="11">
        <v>2</v>
      </c>
    </row>
    <row r="1350" spans="1:35" x14ac:dyDescent="0.25">
      <c r="A1350" s="161" t="str">
        <f t="shared" si="24"/>
        <v>RIFLEMAN_CELTS</v>
      </c>
      <c r="B1350" s="9" t="s">
        <v>123</v>
      </c>
      <c r="C1350" s="4" t="s">
        <v>709</v>
      </c>
      <c r="E1350" s="4" t="s">
        <v>123</v>
      </c>
      <c r="F1350" s="4" t="s">
        <v>123</v>
      </c>
      <c r="G1350" s="4" t="s">
        <v>2049</v>
      </c>
      <c r="H1350" s="4" t="s">
        <v>240</v>
      </c>
      <c r="I1350" s="4" t="s">
        <v>122</v>
      </c>
      <c r="Q1350" s="9">
        <v>2</v>
      </c>
      <c r="R1350" s="11">
        <v>0.125</v>
      </c>
      <c r="T1350" s="11">
        <v>3</v>
      </c>
      <c r="Z1350" s="9">
        <v>0</v>
      </c>
      <c r="AF1350" s="11">
        <v>1</v>
      </c>
      <c r="AI1350" s="11">
        <v>1</v>
      </c>
    </row>
    <row r="1351" spans="1:35" x14ac:dyDescent="0.25">
      <c r="A1351" s="161" t="str">
        <f t="shared" si="24"/>
        <v>RIFLEMAN_CELTS</v>
      </c>
      <c r="B1351" s="9" t="s">
        <v>123</v>
      </c>
      <c r="C1351" s="4" t="s">
        <v>709</v>
      </c>
      <c r="E1351" s="4" t="s">
        <v>123</v>
      </c>
      <c r="F1351" s="4" t="s">
        <v>123</v>
      </c>
      <c r="H1351" s="4" t="s">
        <v>825</v>
      </c>
      <c r="I1351" s="4" t="s">
        <v>122</v>
      </c>
      <c r="Q1351" s="9">
        <v>3</v>
      </c>
      <c r="R1351" s="11">
        <v>0.125</v>
      </c>
      <c r="T1351" s="11">
        <v>3</v>
      </c>
      <c r="Z1351" s="9">
        <v>0</v>
      </c>
      <c r="AF1351" s="11">
        <v>0</v>
      </c>
      <c r="AI1351" s="11">
        <v>1</v>
      </c>
    </row>
    <row r="1352" spans="1:35" x14ac:dyDescent="0.25">
      <c r="A1352" s="161" t="str">
        <f t="shared" si="24"/>
        <v>RIFLEMAN_CELTS</v>
      </c>
      <c r="B1352" s="9" t="s">
        <v>123</v>
      </c>
      <c r="C1352" s="4" t="s">
        <v>709</v>
      </c>
      <c r="E1352" s="4" t="s">
        <v>123</v>
      </c>
      <c r="F1352" s="4" t="s">
        <v>123</v>
      </c>
      <c r="G1352" s="4" t="s">
        <v>2047</v>
      </c>
      <c r="H1352" s="4" t="s">
        <v>826</v>
      </c>
      <c r="I1352" s="4" t="s">
        <v>122</v>
      </c>
      <c r="Q1352" s="9">
        <v>1</v>
      </c>
      <c r="R1352" s="11">
        <v>0.125</v>
      </c>
      <c r="T1352" s="11">
        <v>3</v>
      </c>
      <c r="Z1352" s="9">
        <v>0</v>
      </c>
      <c r="AF1352" s="11">
        <v>0</v>
      </c>
      <c r="AI1352" s="11">
        <v>1</v>
      </c>
    </row>
    <row r="1353" spans="1:35" x14ac:dyDescent="0.25">
      <c r="A1353" s="161" t="str">
        <f t="shared" si="24"/>
        <v>RIFLEMAN_CELTS</v>
      </c>
      <c r="B1353" s="9" t="s">
        <v>123</v>
      </c>
      <c r="C1353" s="4" t="s">
        <v>709</v>
      </c>
      <c r="E1353" s="4" t="s">
        <v>123</v>
      </c>
      <c r="F1353" s="4" t="s">
        <v>123</v>
      </c>
      <c r="G1353" s="4" t="s">
        <v>2049</v>
      </c>
      <c r="H1353" s="4" t="s">
        <v>240</v>
      </c>
      <c r="I1353" s="4" t="s">
        <v>122</v>
      </c>
      <c r="Q1353" s="9">
        <v>3</v>
      </c>
      <c r="R1353" s="11">
        <v>0.125</v>
      </c>
      <c r="T1353" s="11">
        <v>3</v>
      </c>
      <c r="Z1353" s="9">
        <v>0</v>
      </c>
      <c r="AF1353" s="11">
        <v>0</v>
      </c>
      <c r="AI1353" s="11">
        <v>1</v>
      </c>
    </row>
    <row r="1354" spans="1:35" x14ac:dyDescent="0.25">
      <c r="A1354" s="161" t="str">
        <f t="shared" si="24"/>
        <v>RIFLEMAN_ENGLAND</v>
      </c>
      <c r="B1354" s="9" t="s">
        <v>123</v>
      </c>
      <c r="C1354" s="4" t="s">
        <v>713</v>
      </c>
      <c r="E1354" s="4" t="s">
        <v>123</v>
      </c>
      <c r="F1354" s="4" t="s">
        <v>123</v>
      </c>
      <c r="H1354" s="4" t="s">
        <v>867</v>
      </c>
      <c r="I1354" s="4" t="s">
        <v>122</v>
      </c>
      <c r="Q1354" s="9">
        <v>1</v>
      </c>
      <c r="R1354" s="11">
        <v>0.13</v>
      </c>
      <c r="T1354" s="11">
        <v>3</v>
      </c>
      <c r="U1354" s="11">
        <v>0.08</v>
      </c>
      <c r="Z1354" s="9">
        <v>1</v>
      </c>
      <c r="AF1354" s="11">
        <v>1</v>
      </c>
      <c r="AI1354" s="11">
        <v>1</v>
      </c>
    </row>
    <row r="1355" spans="1:35" x14ac:dyDescent="0.25">
      <c r="A1355" s="161" t="str">
        <f t="shared" si="24"/>
        <v>RIFLEMAN_ENGLAND</v>
      </c>
      <c r="B1355" s="9" t="s">
        <v>123</v>
      </c>
      <c r="C1355" s="4" t="s">
        <v>713</v>
      </c>
      <c r="E1355" s="4" t="s">
        <v>123</v>
      </c>
      <c r="F1355" s="4" t="s">
        <v>123</v>
      </c>
      <c r="G1355" s="4" t="s">
        <v>2047</v>
      </c>
      <c r="H1355" s="4" t="s">
        <v>868</v>
      </c>
      <c r="I1355" s="4" t="s">
        <v>122</v>
      </c>
      <c r="Q1355" s="9">
        <v>4</v>
      </c>
      <c r="R1355" s="11">
        <v>0.13</v>
      </c>
      <c r="T1355" s="11">
        <v>4</v>
      </c>
      <c r="U1355" s="11">
        <v>0.08</v>
      </c>
      <c r="Z1355" s="9">
        <v>0</v>
      </c>
      <c r="AF1355" s="11">
        <v>1</v>
      </c>
      <c r="AI1355" s="11">
        <v>2</v>
      </c>
    </row>
    <row r="1356" spans="1:35" x14ac:dyDescent="0.25">
      <c r="A1356" s="161" t="str">
        <f t="shared" si="24"/>
        <v>RIFLEMAN_ENGLAND</v>
      </c>
      <c r="B1356" s="9" t="s">
        <v>123</v>
      </c>
      <c r="C1356" s="4" t="s">
        <v>713</v>
      </c>
      <c r="E1356" s="4" t="s">
        <v>123</v>
      </c>
      <c r="F1356" s="4" t="s">
        <v>123</v>
      </c>
      <c r="G1356" s="4" t="s">
        <v>2049</v>
      </c>
      <c r="H1356" s="4" t="s">
        <v>310</v>
      </c>
      <c r="I1356" s="4" t="s">
        <v>122</v>
      </c>
      <c r="Q1356" s="9">
        <v>2</v>
      </c>
      <c r="R1356" s="11">
        <v>0.13</v>
      </c>
      <c r="T1356" s="11">
        <v>3</v>
      </c>
      <c r="U1356" s="11">
        <v>0.08</v>
      </c>
      <c r="Z1356" s="9">
        <v>0</v>
      </c>
      <c r="AF1356" s="11">
        <v>1</v>
      </c>
      <c r="AI1356" s="11">
        <v>1</v>
      </c>
    </row>
    <row r="1357" spans="1:35" x14ac:dyDescent="0.25">
      <c r="A1357" s="161" t="str">
        <f t="shared" si="24"/>
        <v>RIFLEMAN_ENGLAND</v>
      </c>
      <c r="B1357" s="9" t="s">
        <v>123</v>
      </c>
      <c r="C1357" s="4" t="s">
        <v>713</v>
      </c>
      <c r="E1357" s="4" t="s">
        <v>123</v>
      </c>
      <c r="F1357" s="4" t="s">
        <v>123</v>
      </c>
      <c r="H1357" s="4" t="s">
        <v>867</v>
      </c>
      <c r="I1357" s="4" t="s">
        <v>122</v>
      </c>
      <c r="Q1357" s="9">
        <v>3</v>
      </c>
      <c r="R1357" s="11">
        <v>0.13</v>
      </c>
      <c r="T1357" s="11">
        <v>3</v>
      </c>
      <c r="U1357" s="11">
        <v>0.08</v>
      </c>
      <c r="Z1357" s="9">
        <v>0</v>
      </c>
      <c r="AF1357" s="11">
        <v>0</v>
      </c>
      <c r="AI1357" s="11">
        <v>1</v>
      </c>
    </row>
    <row r="1358" spans="1:35" x14ac:dyDescent="0.25">
      <c r="A1358" s="161" t="str">
        <f t="shared" si="24"/>
        <v>RIFLEMAN_ENGLAND</v>
      </c>
      <c r="B1358" s="9" t="s">
        <v>123</v>
      </c>
      <c r="C1358" s="4" t="s">
        <v>713</v>
      </c>
      <c r="E1358" s="4" t="s">
        <v>123</v>
      </c>
      <c r="F1358" s="4" t="s">
        <v>123</v>
      </c>
      <c r="G1358" s="4" t="s">
        <v>2047</v>
      </c>
      <c r="H1358" s="4" t="s">
        <v>868</v>
      </c>
      <c r="I1358" s="4" t="s">
        <v>122</v>
      </c>
      <c r="Q1358" s="9">
        <v>1</v>
      </c>
      <c r="R1358" s="11">
        <v>0.13</v>
      </c>
      <c r="T1358" s="11">
        <v>3</v>
      </c>
      <c r="U1358" s="11">
        <v>0.08</v>
      </c>
      <c r="Z1358" s="9">
        <v>0</v>
      </c>
      <c r="AF1358" s="11">
        <v>0</v>
      </c>
      <c r="AI1358" s="11">
        <v>1</v>
      </c>
    </row>
    <row r="1359" spans="1:35" x14ac:dyDescent="0.25">
      <c r="A1359" s="161" t="str">
        <f t="shared" si="24"/>
        <v>RIFLEMAN_ENGLAND</v>
      </c>
      <c r="B1359" s="9" t="s">
        <v>123</v>
      </c>
      <c r="C1359" s="4" t="s">
        <v>713</v>
      </c>
      <c r="E1359" s="4" t="s">
        <v>123</v>
      </c>
      <c r="F1359" s="4" t="s">
        <v>123</v>
      </c>
      <c r="G1359" s="4" t="s">
        <v>2049</v>
      </c>
      <c r="H1359" s="4" t="s">
        <v>310</v>
      </c>
      <c r="I1359" s="4" t="s">
        <v>122</v>
      </c>
      <c r="Q1359" s="9">
        <v>3</v>
      </c>
      <c r="R1359" s="11">
        <v>0.13</v>
      </c>
      <c r="T1359" s="11">
        <v>3</v>
      </c>
      <c r="U1359" s="11">
        <v>0.08</v>
      </c>
      <c r="Z1359" s="9">
        <v>0</v>
      </c>
      <c r="AF1359" s="11">
        <v>0</v>
      </c>
      <c r="AI1359" s="11">
        <v>1</v>
      </c>
    </row>
    <row r="1360" spans="1:35" x14ac:dyDescent="0.25">
      <c r="A1360" s="161" t="str">
        <f t="shared" si="24"/>
        <v>RIFLEMAN_FRANCE</v>
      </c>
      <c r="B1360" s="9" t="s">
        <v>123</v>
      </c>
      <c r="C1360" s="4" t="s">
        <v>715</v>
      </c>
      <c r="E1360" s="4" t="s">
        <v>123</v>
      </c>
      <c r="F1360" s="4" t="s">
        <v>123</v>
      </c>
      <c r="H1360" s="4" t="s">
        <v>880</v>
      </c>
      <c r="I1360" s="4" t="s">
        <v>122</v>
      </c>
      <c r="Q1360" s="9">
        <v>1</v>
      </c>
      <c r="R1360" s="11">
        <v>0.13</v>
      </c>
      <c r="T1360" s="11">
        <v>3</v>
      </c>
      <c r="Z1360" s="9">
        <v>1</v>
      </c>
      <c r="AF1360" s="11">
        <v>1</v>
      </c>
      <c r="AI1360" s="11">
        <v>1</v>
      </c>
    </row>
    <row r="1361" spans="1:35" x14ac:dyDescent="0.25">
      <c r="A1361" s="161" t="str">
        <f t="shared" si="24"/>
        <v>RIFLEMAN_FRANCE</v>
      </c>
      <c r="B1361" s="9" t="s">
        <v>123</v>
      </c>
      <c r="C1361" s="4" t="s">
        <v>715</v>
      </c>
      <c r="E1361" s="4" t="s">
        <v>123</v>
      </c>
      <c r="F1361" s="4" t="s">
        <v>123</v>
      </c>
      <c r="G1361" s="4" t="s">
        <v>2047</v>
      </c>
      <c r="H1361" s="4" t="s">
        <v>881</v>
      </c>
      <c r="I1361" s="4" t="s">
        <v>122</v>
      </c>
      <c r="Q1361" s="9">
        <v>4</v>
      </c>
      <c r="R1361" s="11">
        <v>0.13</v>
      </c>
      <c r="T1361" s="11">
        <v>4</v>
      </c>
      <c r="Z1361" s="9">
        <v>0</v>
      </c>
      <c r="AF1361" s="11">
        <v>1</v>
      </c>
      <c r="AI1361" s="11">
        <v>2</v>
      </c>
    </row>
    <row r="1362" spans="1:35" x14ac:dyDescent="0.25">
      <c r="A1362" s="161" t="str">
        <f t="shared" si="24"/>
        <v>RIFLEMAN_FRANCE</v>
      </c>
      <c r="B1362" s="9" t="s">
        <v>123</v>
      </c>
      <c r="C1362" s="4" t="s">
        <v>715</v>
      </c>
      <c r="E1362" s="4" t="s">
        <v>123</v>
      </c>
      <c r="F1362" s="4" t="s">
        <v>123</v>
      </c>
      <c r="G1362" s="4" t="s">
        <v>2049</v>
      </c>
      <c r="H1362" s="4" t="s">
        <v>355</v>
      </c>
      <c r="I1362" s="4" t="s">
        <v>122</v>
      </c>
      <c r="Q1362" s="9">
        <v>2</v>
      </c>
      <c r="R1362" s="11">
        <v>0.13</v>
      </c>
      <c r="T1362" s="11">
        <v>3</v>
      </c>
      <c r="Z1362" s="9">
        <v>0</v>
      </c>
      <c r="AF1362" s="11">
        <v>1</v>
      </c>
      <c r="AI1362" s="11">
        <v>1</v>
      </c>
    </row>
    <row r="1363" spans="1:35" x14ac:dyDescent="0.25">
      <c r="A1363" s="161" t="str">
        <f t="shared" si="24"/>
        <v>RIFLEMAN_FRANCE</v>
      </c>
      <c r="B1363" s="9" t="s">
        <v>123</v>
      </c>
      <c r="C1363" s="4" t="s">
        <v>715</v>
      </c>
      <c r="E1363" s="4" t="s">
        <v>123</v>
      </c>
      <c r="F1363" s="4" t="s">
        <v>123</v>
      </c>
      <c r="H1363" s="4" t="s">
        <v>880</v>
      </c>
      <c r="I1363" s="4" t="s">
        <v>122</v>
      </c>
      <c r="Q1363" s="9">
        <v>3</v>
      </c>
      <c r="R1363" s="11">
        <v>0.13</v>
      </c>
      <c r="T1363" s="11">
        <v>3</v>
      </c>
      <c r="Z1363" s="9">
        <v>0</v>
      </c>
      <c r="AF1363" s="11">
        <v>0</v>
      </c>
      <c r="AI1363" s="11">
        <v>1</v>
      </c>
    </row>
    <row r="1364" spans="1:35" x14ac:dyDescent="0.25">
      <c r="A1364" s="161" t="str">
        <f t="shared" si="24"/>
        <v>RIFLEMAN_FRANCE</v>
      </c>
      <c r="B1364" s="9" t="s">
        <v>123</v>
      </c>
      <c r="C1364" s="4" t="s">
        <v>715</v>
      </c>
      <c r="E1364" s="4" t="s">
        <v>123</v>
      </c>
      <c r="F1364" s="4" t="s">
        <v>123</v>
      </c>
      <c r="G1364" s="4" t="s">
        <v>2047</v>
      </c>
      <c r="H1364" s="4" t="s">
        <v>881</v>
      </c>
      <c r="I1364" s="4" t="s">
        <v>122</v>
      </c>
      <c r="Q1364" s="9">
        <v>2</v>
      </c>
      <c r="R1364" s="11">
        <v>0.13</v>
      </c>
      <c r="T1364" s="11">
        <v>4</v>
      </c>
      <c r="Z1364" s="9">
        <v>0</v>
      </c>
      <c r="AF1364" s="11">
        <v>0</v>
      </c>
      <c r="AI1364" s="11">
        <v>1</v>
      </c>
    </row>
    <row r="1365" spans="1:35" x14ac:dyDescent="0.25">
      <c r="A1365" s="161" t="str">
        <f t="shared" si="24"/>
        <v>RIFLEMAN_FRANCE</v>
      </c>
      <c r="B1365" s="9" t="s">
        <v>123</v>
      </c>
      <c r="C1365" s="4" t="s">
        <v>715</v>
      </c>
      <c r="E1365" s="4" t="s">
        <v>123</v>
      </c>
      <c r="F1365" s="4" t="s">
        <v>123</v>
      </c>
      <c r="G1365" s="4" t="s">
        <v>2049</v>
      </c>
      <c r="H1365" s="4" t="s">
        <v>355</v>
      </c>
      <c r="I1365" s="4" t="s">
        <v>122</v>
      </c>
      <c r="Q1365" s="9">
        <v>2</v>
      </c>
      <c r="R1365" s="11">
        <v>0.13</v>
      </c>
      <c r="T1365" s="11">
        <v>2</v>
      </c>
      <c r="Z1365" s="9">
        <v>0</v>
      </c>
      <c r="AF1365" s="11">
        <v>0</v>
      </c>
      <c r="AI1365" s="11">
        <v>1</v>
      </c>
    </row>
    <row r="1366" spans="1:35" x14ac:dyDescent="0.25">
      <c r="A1366" s="161" t="str">
        <f t="shared" si="24"/>
        <v>RIFLEMAN_GERMANY</v>
      </c>
      <c r="B1366" s="9" t="s">
        <v>123</v>
      </c>
      <c r="C1366" s="4" t="s">
        <v>717</v>
      </c>
      <c r="E1366" s="4" t="s">
        <v>123</v>
      </c>
      <c r="F1366" s="4" t="s">
        <v>123</v>
      </c>
      <c r="H1366" s="4" t="s">
        <v>902</v>
      </c>
      <c r="I1366" s="4" t="s">
        <v>122</v>
      </c>
      <c r="Q1366" s="9">
        <v>1</v>
      </c>
      <c r="R1366" s="11">
        <v>0.13</v>
      </c>
      <c r="T1366" s="11">
        <v>3</v>
      </c>
      <c r="Z1366" s="9">
        <v>1</v>
      </c>
      <c r="AF1366" s="11">
        <v>1</v>
      </c>
      <c r="AI1366" s="11">
        <v>1</v>
      </c>
    </row>
    <row r="1367" spans="1:35" x14ac:dyDescent="0.25">
      <c r="A1367" s="161" t="str">
        <f t="shared" si="24"/>
        <v>RIFLEMAN_GERMANY</v>
      </c>
      <c r="B1367" s="9" t="s">
        <v>123</v>
      </c>
      <c r="C1367" s="4" t="s">
        <v>717</v>
      </c>
      <c r="E1367" s="4" t="s">
        <v>123</v>
      </c>
      <c r="F1367" s="4" t="s">
        <v>123</v>
      </c>
      <c r="G1367" s="4" t="s">
        <v>2047</v>
      </c>
      <c r="H1367" s="4" t="s">
        <v>903</v>
      </c>
      <c r="I1367" s="4" t="s">
        <v>122</v>
      </c>
      <c r="Q1367" s="9">
        <v>4</v>
      </c>
      <c r="R1367" s="11">
        <v>0.13</v>
      </c>
      <c r="T1367" s="11">
        <v>4</v>
      </c>
      <c r="Z1367" s="9">
        <v>0</v>
      </c>
      <c r="AF1367" s="11">
        <v>1</v>
      </c>
      <c r="AI1367" s="11">
        <v>2</v>
      </c>
    </row>
    <row r="1368" spans="1:35" x14ac:dyDescent="0.25">
      <c r="A1368" s="161" t="str">
        <f t="shared" si="24"/>
        <v>RIFLEMAN_GERMANY</v>
      </c>
      <c r="B1368" s="9" t="s">
        <v>123</v>
      </c>
      <c r="C1368" s="4" t="s">
        <v>717</v>
      </c>
      <c r="E1368" s="4" t="s">
        <v>123</v>
      </c>
      <c r="F1368" s="4" t="s">
        <v>123</v>
      </c>
      <c r="G1368" s="4" t="s">
        <v>2049</v>
      </c>
      <c r="H1368" s="4" t="s">
        <v>387</v>
      </c>
      <c r="I1368" s="4" t="s">
        <v>122</v>
      </c>
      <c r="Q1368" s="9">
        <v>2</v>
      </c>
      <c r="R1368" s="11">
        <v>0.13</v>
      </c>
      <c r="T1368" s="11">
        <v>3</v>
      </c>
      <c r="Z1368" s="9">
        <v>0</v>
      </c>
      <c r="AF1368" s="11">
        <v>1</v>
      </c>
      <c r="AI1368" s="11">
        <v>1</v>
      </c>
    </row>
    <row r="1369" spans="1:35" x14ac:dyDescent="0.25">
      <c r="A1369" s="161" t="str">
        <f t="shared" si="24"/>
        <v>RIFLEMAN_GERMANY</v>
      </c>
      <c r="B1369" s="9" t="s">
        <v>123</v>
      </c>
      <c r="C1369" s="4" t="s">
        <v>717</v>
      </c>
      <c r="E1369" s="4" t="s">
        <v>123</v>
      </c>
      <c r="F1369" s="4" t="s">
        <v>123</v>
      </c>
      <c r="H1369" s="4" t="s">
        <v>902</v>
      </c>
      <c r="I1369" s="4" t="s">
        <v>122</v>
      </c>
      <c r="Q1369" s="9">
        <v>3</v>
      </c>
      <c r="R1369" s="11">
        <v>0.13</v>
      </c>
      <c r="T1369" s="11">
        <v>3</v>
      </c>
      <c r="Z1369" s="9">
        <v>0</v>
      </c>
      <c r="AF1369" s="11">
        <v>0</v>
      </c>
      <c r="AI1369" s="11">
        <v>1</v>
      </c>
    </row>
    <row r="1370" spans="1:35" x14ac:dyDescent="0.25">
      <c r="A1370" s="161" t="str">
        <f t="shared" si="24"/>
        <v>RIFLEMAN_GERMANY</v>
      </c>
      <c r="B1370" s="9" t="s">
        <v>123</v>
      </c>
      <c r="C1370" s="4" t="s">
        <v>717</v>
      </c>
      <c r="E1370" s="4" t="s">
        <v>123</v>
      </c>
      <c r="F1370" s="4" t="s">
        <v>123</v>
      </c>
      <c r="G1370" s="4" t="s">
        <v>2047</v>
      </c>
      <c r="H1370" s="4" t="s">
        <v>903</v>
      </c>
      <c r="I1370" s="4" t="s">
        <v>122</v>
      </c>
      <c r="Q1370" s="9">
        <v>1</v>
      </c>
      <c r="R1370" s="11">
        <v>0.13</v>
      </c>
      <c r="T1370" s="11">
        <v>3</v>
      </c>
      <c r="Z1370" s="9">
        <v>0</v>
      </c>
      <c r="AF1370" s="11">
        <v>0</v>
      </c>
      <c r="AI1370" s="11">
        <v>1</v>
      </c>
    </row>
    <row r="1371" spans="1:35" x14ac:dyDescent="0.25">
      <c r="A1371" s="161" t="str">
        <f t="shared" si="24"/>
        <v>RIFLEMAN_GERMANY</v>
      </c>
      <c r="B1371" s="9" t="s">
        <v>123</v>
      </c>
      <c r="C1371" s="4" t="s">
        <v>717</v>
      </c>
      <c r="E1371" s="4" t="s">
        <v>123</v>
      </c>
      <c r="F1371" s="4" t="s">
        <v>123</v>
      </c>
      <c r="G1371" s="4" t="s">
        <v>2049</v>
      </c>
      <c r="H1371" s="4" t="s">
        <v>387</v>
      </c>
      <c r="I1371" s="4" t="s">
        <v>122</v>
      </c>
      <c r="Q1371" s="9">
        <v>3</v>
      </c>
      <c r="R1371" s="11">
        <v>0.13</v>
      </c>
      <c r="T1371" s="11">
        <v>3</v>
      </c>
      <c r="Z1371" s="9">
        <v>0</v>
      </c>
      <c r="AF1371" s="11">
        <v>0</v>
      </c>
      <c r="AI1371" s="11">
        <v>1</v>
      </c>
    </row>
    <row r="1372" spans="1:35" x14ac:dyDescent="0.25">
      <c r="A1372" s="161" t="str">
        <f t="shared" si="24"/>
        <v>RIFLEMAN_NETHERLANDS</v>
      </c>
      <c r="B1372" s="9" t="s">
        <v>123</v>
      </c>
      <c r="C1372" s="4" t="s">
        <v>730</v>
      </c>
      <c r="E1372" s="4" t="s">
        <v>123</v>
      </c>
      <c r="F1372" s="4" t="s">
        <v>123</v>
      </c>
      <c r="G1372" s="14" t="s">
        <v>132</v>
      </c>
      <c r="H1372" s="4" t="s">
        <v>547</v>
      </c>
      <c r="I1372" s="4" t="s">
        <v>122</v>
      </c>
      <c r="R1372" s="11" t="s">
        <v>1695</v>
      </c>
    </row>
    <row r="1373" spans="1:35" x14ac:dyDescent="0.25">
      <c r="A1373" s="161" t="str">
        <f t="shared" si="24"/>
        <v>RIFLEMAN_GREECE</v>
      </c>
      <c r="B1373" s="9" t="s">
        <v>123</v>
      </c>
      <c r="C1373" s="4" t="s">
        <v>718</v>
      </c>
      <c r="E1373" s="4" t="s">
        <v>123</v>
      </c>
      <c r="F1373" s="4" t="s">
        <v>123</v>
      </c>
      <c r="H1373" s="4" t="s">
        <v>921</v>
      </c>
      <c r="I1373" s="4" t="s">
        <v>122</v>
      </c>
      <c r="Q1373" s="9">
        <v>1</v>
      </c>
      <c r="R1373" s="11">
        <v>0.13</v>
      </c>
      <c r="T1373" s="11">
        <v>3</v>
      </c>
      <c r="Z1373" s="9">
        <v>1</v>
      </c>
      <c r="AF1373" s="11">
        <v>1</v>
      </c>
      <c r="AI1373" s="11">
        <v>1</v>
      </c>
    </row>
    <row r="1374" spans="1:35" x14ac:dyDescent="0.25">
      <c r="A1374" s="161" t="str">
        <f t="shared" si="24"/>
        <v>RIFLEMAN_GREECE</v>
      </c>
      <c r="B1374" s="9" t="s">
        <v>123</v>
      </c>
      <c r="C1374" s="4" t="s">
        <v>718</v>
      </c>
      <c r="E1374" s="4" t="s">
        <v>123</v>
      </c>
      <c r="F1374" s="4" t="s">
        <v>123</v>
      </c>
      <c r="G1374" s="4" t="s">
        <v>2047</v>
      </c>
      <c r="H1374" s="4" t="s">
        <v>920</v>
      </c>
      <c r="I1374" s="4" t="s">
        <v>122</v>
      </c>
      <c r="Q1374" s="9">
        <v>4</v>
      </c>
      <c r="R1374" s="11">
        <v>0.13</v>
      </c>
      <c r="T1374" s="11">
        <v>4</v>
      </c>
      <c r="Z1374" s="9">
        <v>0</v>
      </c>
      <c r="AF1374" s="11">
        <v>1</v>
      </c>
      <c r="AI1374" s="11">
        <v>2</v>
      </c>
    </row>
    <row r="1375" spans="1:35" x14ac:dyDescent="0.25">
      <c r="A1375" s="161" t="str">
        <f t="shared" si="24"/>
        <v>RIFLEMAN_GREECE</v>
      </c>
      <c r="B1375" s="9" t="s">
        <v>123</v>
      </c>
      <c r="C1375" s="4" t="s">
        <v>718</v>
      </c>
      <c r="E1375" s="4" t="s">
        <v>123</v>
      </c>
      <c r="F1375" s="4" t="s">
        <v>123</v>
      </c>
      <c r="G1375" s="4" t="s">
        <v>2049</v>
      </c>
      <c r="H1375" s="4" t="s">
        <v>411</v>
      </c>
      <c r="I1375" s="4" t="s">
        <v>122</v>
      </c>
      <c r="Q1375" s="9">
        <v>2</v>
      </c>
      <c r="R1375" s="11">
        <v>0.13</v>
      </c>
      <c r="T1375" s="11">
        <v>3</v>
      </c>
      <c r="Z1375" s="9">
        <v>0</v>
      </c>
      <c r="AF1375" s="11">
        <v>1</v>
      </c>
      <c r="AI1375" s="11">
        <v>1</v>
      </c>
    </row>
    <row r="1376" spans="1:35" x14ac:dyDescent="0.25">
      <c r="A1376" s="161" t="str">
        <f t="shared" si="24"/>
        <v>RIFLEMAN_GREECE</v>
      </c>
      <c r="B1376" s="9" t="s">
        <v>123</v>
      </c>
      <c r="C1376" s="4" t="s">
        <v>718</v>
      </c>
      <c r="E1376" s="4" t="s">
        <v>123</v>
      </c>
      <c r="F1376" s="4" t="s">
        <v>123</v>
      </c>
      <c r="H1376" s="4" t="s">
        <v>921</v>
      </c>
      <c r="I1376" s="4" t="s">
        <v>122</v>
      </c>
      <c r="Q1376" s="9">
        <v>3</v>
      </c>
      <c r="R1376" s="11">
        <v>0.13</v>
      </c>
      <c r="T1376" s="11">
        <v>3</v>
      </c>
      <c r="Z1376" s="9">
        <v>0</v>
      </c>
      <c r="AF1376" s="11">
        <v>0</v>
      </c>
      <c r="AI1376" s="11">
        <v>1</v>
      </c>
    </row>
    <row r="1377" spans="1:35" x14ac:dyDescent="0.25">
      <c r="A1377" s="161" t="str">
        <f t="shared" si="24"/>
        <v>RIFLEMAN_GREECE</v>
      </c>
      <c r="B1377" s="9" t="s">
        <v>123</v>
      </c>
      <c r="C1377" s="4" t="s">
        <v>718</v>
      </c>
      <c r="E1377" s="4" t="s">
        <v>123</v>
      </c>
      <c r="F1377" s="4" t="s">
        <v>123</v>
      </c>
      <c r="G1377" s="4" t="s">
        <v>2047</v>
      </c>
      <c r="H1377" s="4" t="s">
        <v>920</v>
      </c>
      <c r="I1377" s="4" t="s">
        <v>122</v>
      </c>
      <c r="Q1377" s="9">
        <v>1</v>
      </c>
      <c r="R1377" s="11">
        <v>0.13</v>
      </c>
      <c r="T1377" s="11">
        <v>3</v>
      </c>
      <c r="Z1377" s="9">
        <v>0</v>
      </c>
      <c r="AF1377" s="11">
        <v>0</v>
      </c>
      <c r="AI1377" s="11">
        <v>1</v>
      </c>
    </row>
    <row r="1378" spans="1:35" x14ac:dyDescent="0.25">
      <c r="A1378" s="161" t="str">
        <f t="shared" si="24"/>
        <v>RIFLEMAN_GREECE</v>
      </c>
      <c r="B1378" s="9" t="s">
        <v>123</v>
      </c>
      <c r="C1378" s="4" t="s">
        <v>718</v>
      </c>
      <c r="E1378" s="4" t="s">
        <v>123</v>
      </c>
      <c r="F1378" s="4" t="s">
        <v>123</v>
      </c>
      <c r="G1378" s="4" t="s">
        <v>2049</v>
      </c>
      <c r="H1378" s="4" t="s">
        <v>411</v>
      </c>
      <c r="I1378" s="4" t="s">
        <v>122</v>
      </c>
      <c r="Q1378" s="9">
        <v>3</v>
      </c>
      <c r="R1378" s="11">
        <v>0.13</v>
      </c>
      <c r="T1378" s="11">
        <v>3</v>
      </c>
      <c r="Z1378" s="9">
        <v>0</v>
      </c>
      <c r="AF1378" s="11">
        <v>0</v>
      </c>
      <c r="AI1378" s="11">
        <v>1</v>
      </c>
    </row>
    <row r="1379" spans="1:35" x14ac:dyDescent="0.25">
      <c r="A1379" s="161" t="str">
        <f t="shared" si="24"/>
        <v>RIFLEMAN_SPAIN</v>
      </c>
      <c r="B1379" s="9" t="s">
        <v>123</v>
      </c>
      <c r="C1379" s="4" t="s">
        <v>738</v>
      </c>
      <c r="E1379" s="4" t="s">
        <v>123</v>
      </c>
      <c r="F1379" s="4" t="s">
        <v>123</v>
      </c>
      <c r="H1379" s="4" t="s">
        <v>1017</v>
      </c>
      <c r="I1379" s="4" t="s">
        <v>122</v>
      </c>
      <c r="Q1379" s="9">
        <v>1</v>
      </c>
      <c r="R1379" s="11">
        <v>0.13</v>
      </c>
      <c r="T1379" s="11">
        <v>2</v>
      </c>
      <c r="Z1379" s="9">
        <v>0</v>
      </c>
      <c r="AF1379" s="11">
        <v>1</v>
      </c>
      <c r="AI1379" s="11">
        <v>1</v>
      </c>
    </row>
    <row r="1380" spans="1:35" x14ac:dyDescent="0.25">
      <c r="A1380" s="161" t="str">
        <f t="shared" si="24"/>
        <v>RIFLEMAN_SPAIN</v>
      </c>
      <c r="B1380" s="9" t="s">
        <v>123</v>
      </c>
      <c r="C1380" s="4" t="s">
        <v>738</v>
      </c>
      <c r="E1380" s="4" t="s">
        <v>123</v>
      </c>
      <c r="F1380" s="4" t="s">
        <v>123</v>
      </c>
      <c r="G1380" s="4" t="s">
        <v>2047</v>
      </c>
      <c r="H1380" s="4" t="s">
        <v>1018</v>
      </c>
      <c r="I1380" s="4" t="s">
        <v>122</v>
      </c>
      <c r="Q1380" s="9">
        <v>4</v>
      </c>
      <c r="R1380" s="11">
        <v>0.13</v>
      </c>
      <c r="T1380" s="11">
        <v>5</v>
      </c>
      <c r="Z1380" s="9">
        <v>0</v>
      </c>
      <c r="AF1380" s="11">
        <v>1</v>
      </c>
      <c r="AI1380" s="11">
        <v>2</v>
      </c>
    </row>
    <row r="1381" spans="1:35" x14ac:dyDescent="0.25">
      <c r="A1381" s="161" t="str">
        <f t="shared" si="24"/>
        <v>RIFLEMAN_SPAIN</v>
      </c>
      <c r="B1381" s="9" t="s">
        <v>123</v>
      </c>
      <c r="C1381" s="4" t="s">
        <v>738</v>
      </c>
      <c r="E1381" s="4" t="s">
        <v>123</v>
      </c>
      <c r="F1381" s="4" t="s">
        <v>123</v>
      </c>
      <c r="G1381" s="4" t="s">
        <v>2049</v>
      </c>
      <c r="H1381" s="4" t="s">
        <v>661</v>
      </c>
      <c r="I1381" s="4" t="s">
        <v>122</v>
      </c>
      <c r="Q1381" s="9">
        <v>2</v>
      </c>
      <c r="R1381" s="11">
        <v>0.13</v>
      </c>
      <c r="T1381" s="11">
        <v>3</v>
      </c>
      <c r="Z1381" s="9">
        <v>1</v>
      </c>
      <c r="AF1381" s="11">
        <v>1</v>
      </c>
      <c r="AI1381" s="11">
        <v>1</v>
      </c>
    </row>
    <row r="1382" spans="1:35" x14ac:dyDescent="0.25">
      <c r="A1382" s="161" t="str">
        <f t="shared" si="24"/>
        <v>RIFLEMAN_SPAIN</v>
      </c>
      <c r="B1382" s="9" t="s">
        <v>123</v>
      </c>
      <c r="C1382" s="4" t="s">
        <v>738</v>
      </c>
      <c r="E1382" s="4" t="s">
        <v>123</v>
      </c>
      <c r="F1382" s="4" t="s">
        <v>123</v>
      </c>
      <c r="H1382" s="4" t="s">
        <v>1017</v>
      </c>
      <c r="I1382" s="4" t="s">
        <v>122</v>
      </c>
      <c r="Q1382" s="9">
        <v>3</v>
      </c>
      <c r="R1382" s="11">
        <v>0.13</v>
      </c>
      <c r="T1382" s="11">
        <v>3</v>
      </c>
      <c r="Z1382" s="9">
        <v>0</v>
      </c>
      <c r="AF1382" s="11">
        <v>0</v>
      </c>
      <c r="AI1382" s="11">
        <v>1</v>
      </c>
    </row>
    <row r="1383" spans="1:35" x14ac:dyDescent="0.25">
      <c r="A1383" s="161" t="str">
        <f t="shared" si="24"/>
        <v>RIFLEMAN_SPAIN</v>
      </c>
      <c r="B1383" s="9" t="s">
        <v>123</v>
      </c>
      <c r="C1383" s="4" t="s">
        <v>738</v>
      </c>
      <c r="E1383" s="4" t="s">
        <v>123</v>
      </c>
      <c r="F1383" s="4" t="s">
        <v>123</v>
      </c>
      <c r="G1383" s="4" t="s">
        <v>2047</v>
      </c>
      <c r="H1383" s="4" t="s">
        <v>1018</v>
      </c>
      <c r="I1383" s="4" t="s">
        <v>122</v>
      </c>
      <c r="Q1383" s="9">
        <v>2</v>
      </c>
      <c r="R1383" s="11">
        <v>0.13</v>
      </c>
      <c r="T1383" s="11">
        <v>4</v>
      </c>
      <c r="Z1383" s="9">
        <v>0</v>
      </c>
      <c r="AF1383" s="11">
        <v>0</v>
      </c>
      <c r="AI1383" s="11">
        <v>1</v>
      </c>
    </row>
    <row r="1384" spans="1:35" x14ac:dyDescent="0.25">
      <c r="A1384" s="161" t="str">
        <f t="shared" si="24"/>
        <v>RIFLEMAN_SPAIN</v>
      </c>
      <c r="B1384" s="9" t="s">
        <v>123</v>
      </c>
      <c r="C1384" s="4" t="s">
        <v>738</v>
      </c>
      <c r="E1384" s="4" t="s">
        <v>123</v>
      </c>
      <c r="F1384" s="4" t="s">
        <v>123</v>
      </c>
      <c r="G1384" s="4" t="s">
        <v>2049</v>
      </c>
      <c r="H1384" s="4" t="s">
        <v>661</v>
      </c>
      <c r="I1384" s="4" t="s">
        <v>122</v>
      </c>
      <c r="Q1384" s="9">
        <v>2</v>
      </c>
      <c r="R1384" s="11">
        <v>0.13</v>
      </c>
      <c r="T1384" s="11">
        <v>2</v>
      </c>
      <c r="Z1384" s="9">
        <v>0</v>
      </c>
      <c r="AF1384" s="11">
        <v>0</v>
      </c>
      <c r="AI1384" s="11">
        <v>1</v>
      </c>
    </row>
    <row r="1385" spans="1:35" x14ac:dyDescent="0.25">
      <c r="A1385" s="161" t="str">
        <f t="shared" si="24"/>
        <v>RIFLEMAN_MIDEAST</v>
      </c>
      <c r="B1385" s="9" t="s">
        <v>123</v>
      </c>
      <c r="C1385" s="4" t="s">
        <v>690</v>
      </c>
      <c r="E1385" s="4" t="s">
        <v>123</v>
      </c>
      <c r="F1385" s="4" t="s">
        <v>123</v>
      </c>
      <c r="H1385" s="4" t="s">
        <v>836</v>
      </c>
      <c r="I1385" s="4" t="s">
        <v>1272</v>
      </c>
      <c r="R1385" s="11">
        <v>0.125</v>
      </c>
    </row>
    <row r="1386" spans="1:35" x14ac:dyDescent="0.25">
      <c r="A1386" s="161" t="str">
        <f t="shared" si="24"/>
        <v>RIFLEMAN_ARABIA</v>
      </c>
      <c r="B1386" s="9" t="s">
        <v>123</v>
      </c>
      <c r="C1386" s="4" t="s">
        <v>700</v>
      </c>
      <c r="D1386" s="14"/>
      <c r="E1386" s="4" t="s">
        <v>123</v>
      </c>
      <c r="F1386" s="4" t="s">
        <v>123</v>
      </c>
      <c r="H1386" s="4" t="s">
        <v>808</v>
      </c>
      <c r="I1386" s="4" t="s">
        <v>122</v>
      </c>
      <c r="Q1386" s="9">
        <v>1</v>
      </c>
      <c r="R1386" s="11" t="s">
        <v>1695</v>
      </c>
      <c r="T1386" s="11">
        <v>3</v>
      </c>
      <c r="Z1386" s="9">
        <v>1</v>
      </c>
      <c r="AF1386" s="11">
        <v>1</v>
      </c>
      <c r="AI1386" s="11">
        <v>1</v>
      </c>
    </row>
    <row r="1387" spans="1:35" x14ac:dyDescent="0.25">
      <c r="A1387" s="161" t="str">
        <f t="shared" si="24"/>
        <v>RIFLEMAN_ARABIA</v>
      </c>
      <c r="B1387" s="9" t="s">
        <v>123</v>
      </c>
      <c r="C1387" s="4" t="s">
        <v>700</v>
      </c>
      <c r="D1387" s="14"/>
      <c r="E1387" s="4" t="s">
        <v>123</v>
      </c>
      <c r="F1387" s="4" t="s">
        <v>123</v>
      </c>
      <c r="G1387" s="4" t="s">
        <v>2047</v>
      </c>
      <c r="H1387" s="4" t="s">
        <v>809</v>
      </c>
      <c r="I1387" s="4" t="s">
        <v>122</v>
      </c>
      <c r="Q1387" s="9">
        <v>3</v>
      </c>
      <c r="R1387" s="11" t="s">
        <v>1695</v>
      </c>
      <c r="T1387" s="11">
        <v>4</v>
      </c>
      <c r="Z1387" s="9">
        <v>0</v>
      </c>
      <c r="AF1387" s="11">
        <v>1</v>
      </c>
      <c r="AI1387" s="11">
        <v>2</v>
      </c>
    </row>
    <row r="1388" spans="1:35" x14ac:dyDescent="0.25">
      <c r="A1388" s="161" t="str">
        <f t="shared" ref="A1388:A1465" si="25">CONCATENATE(E1388,IF(ISBLANK(C1388),"",CONCATENATE("_",C1388)))</f>
        <v>RIFLEMAN_ARABIA</v>
      </c>
      <c r="B1388" s="9" t="s">
        <v>123</v>
      </c>
      <c r="C1388" s="4" t="s">
        <v>700</v>
      </c>
      <c r="D1388" s="14"/>
      <c r="E1388" s="4" t="s">
        <v>123</v>
      </c>
      <c r="F1388" s="4" t="s">
        <v>123</v>
      </c>
      <c r="G1388" s="4" t="s">
        <v>2049</v>
      </c>
      <c r="H1388" s="4" t="s">
        <v>169</v>
      </c>
      <c r="I1388" s="4" t="s">
        <v>122</v>
      </c>
      <c r="Q1388" s="9">
        <v>1</v>
      </c>
      <c r="R1388" s="11" t="s">
        <v>1695</v>
      </c>
      <c r="T1388" s="11">
        <v>3</v>
      </c>
      <c r="Z1388" s="9">
        <v>0</v>
      </c>
      <c r="AF1388" s="11">
        <v>1</v>
      </c>
      <c r="AI1388" s="11">
        <v>1</v>
      </c>
    </row>
    <row r="1389" spans="1:35" x14ac:dyDescent="0.25">
      <c r="A1389" s="161" t="str">
        <f t="shared" si="25"/>
        <v>RIFLEMAN_ARABIA</v>
      </c>
      <c r="B1389" s="9" t="s">
        <v>123</v>
      </c>
      <c r="C1389" s="4" t="s">
        <v>700</v>
      </c>
      <c r="D1389" s="14"/>
      <c r="E1389" s="4" t="s">
        <v>123</v>
      </c>
      <c r="F1389" s="4" t="s">
        <v>123</v>
      </c>
      <c r="H1389" s="4" t="s">
        <v>808</v>
      </c>
      <c r="I1389" s="4" t="s">
        <v>122</v>
      </c>
      <c r="Q1389" s="9">
        <v>3</v>
      </c>
      <c r="R1389" s="11" t="s">
        <v>1695</v>
      </c>
      <c r="T1389" s="11">
        <v>3</v>
      </c>
      <c r="Z1389" s="9">
        <v>0</v>
      </c>
      <c r="AF1389" s="11">
        <v>0</v>
      </c>
      <c r="AI1389" s="11">
        <v>1</v>
      </c>
    </row>
    <row r="1390" spans="1:35" x14ac:dyDescent="0.25">
      <c r="A1390" s="161" t="str">
        <f t="shared" si="25"/>
        <v>RIFLEMAN_ARABIA</v>
      </c>
      <c r="B1390" s="9" t="s">
        <v>123</v>
      </c>
      <c r="C1390" s="4" t="s">
        <v>700</v>
      </c>
      <c r="D1390" s="14"/>
      <c r="E1390" s="4" t="s">
        <v>123</v>
      </c>
      <c r="F1390" s="4" t="s">
        <v>123</v>
      </c>
      <c r="G1390" s="4" t="s">
        <v>2047</v>
      </c>
      <c r="H1390" s="4" t="s">
        <v>809</v>
      </c>
      <c r="I1390" s="4" t="s">
        <v>122</v>
      </c>
      <c r="Q1390" s="9">
        <v>2</v>
      </c>
      <c r="R1390" s="11" t="s">
        <v>1695</v>
      </c>
      <c r="T1390" s="11">
        <v>3</v>
      </c>
      <c r="Z1390" s="9">
        <v>0</v>
      </c>
      <c r="AF1390" s="11">
        <v>0</v>
      </c>
      <c r="AI1390" s="11">
        <v>1</v>
      </c>
    </row>
    <row r="1391" spans="1:35" x14ac:dyDescent="0.25">
      <c r="A1391" s="161" t="str">
        <f t="shared" si="25"/>
        <v>RIFLEMAN_ARABIA</v>
      </c>
      <c r="B1391" s="9" t="s">
        <v>123</v>
      </c>
      <c r="C1391" s="4" t="s">
        <v>700</v>
      </c>
      <c r="D1391" s="14"/>
      <c r="E1391" s="4" t="s">
        <v>123</v>
      </c>
      <c r="F1391" s="4" t="s">
        <v>123</v>
      </c>
      <c r="G1391" s="4" t="s">
        <v>2049</v>
      </c>
      <c r="H1391" s="4" t="s">
        <v>169</v>
      </c>
      <c r="I1391" s="4" t="s">
        <v>122</v>
      </c>
      <c r="Q1391" s="9">
        <v>4</v>
      </c>
      <c r="R1391" s="11" t="s">
        <v>1695</v>
      </c>
      <c r="T1391" s="11">
        <v>3</v>
      </c>
      <c r="Z1391" s="9">
        <v>0</v>
      </c>
      <c r="AF1391" s="11">
        <v>0</v>
      </c>
      <c r="AI1391" s="11">
        <v>1</v>
      </c>
    </row>
    <row r="1392" spans="1:35" x14ac:dyDescent="0.25">
      <c r="A1392" s="161" t="str">
        <f t="shared" si="25"/>
        <v>RIFLEMAN_BABYLON</v>
      </c>
      <c r="B1392" s="9" t="s">
        <v>123</v>
      </c>
      <c r="C1392" s="4" t="s">
        <v>703</v>
      </c>
      <c r="E1392" s="4" t="s">
        <v>123</v>
      </c>
      <c r="F1392" s="4" t="s">
        <v>123</v>
      </c>
      <c r="H1392" s="4" t="s">
        <v>816</v>
      </c>
      <c r="I1392" s="4" t="s">
        <v>993</v>
      </c>
      <c r="Q1392" s="9">
        <v>1</v>
      </c>
      <c r="R1392" s="11">
        <v>0.122</v>
      </c>
      <c r="T1392" s="11">
        <v>2</v>
      </c>
      <c r="Z1392" s="9">
        <v>1</v>
      </c>
      <c r="AF1392" s="11">
        <v>1</v>
      </c>
      <c r="AI1392" s="11">
        <v>1</v>
      </c>
    </row>
    <row r="1393" spans="1:35" x14ac:dyDescent="0.25">
      <c r="A1393" s="161" t="str">
        <f t="shared" si="25"/>
        <v>RIFLEMAN_BABYLON</v>
      </c>
      <c r="B1393" s="9" t="s">
        <v>123</v>
      </c>
      <c r="C1393" s="4" t="s">
        <v>703</v>
      </c>
      <c r="E1393" s="4" t="s">
        <v>123</v>
      </c>
      <c r="F1393" s="4" t="s">
        <v>123</v>
      </c>
      <c r="G1393" s="4" t="s">
        <v>2047</v>
      </c>
      <c r="H1393" s="4" t="s">
        <v>644</v>
      </c>
      <c r="I1393" s="4" t="s">
        <v>993</v>
      </c>
      <c r="Q1393" s="9">
        <v>3</v>
      </c>
      <c r="R1393" s="11">
        <v>0.122</v>
      </c>
      <c r="T1393" s="11">
        <v>4</v>
      </c>
      <c r="Z1393" s="9">
        <v>0</v>
      </c>
      <c r="AF1393" s="11">
        <v>1</v>
      </c>
      <c r="AI1393" s="11">
        <v>2</v>
      </c>
    </row>
    <row r="1394" spans="1:35" x14ac:dyDescent="0.25">
      <c r="A1394" s="161" t="str">
        <f t="shared" si="25"/>
        <v>RIFLEMAN_BABYLON</v>
      </c>
      <c r="B1394" s="9" t="s">
        <v>123</v>
      </c>
      <c r="C1394" s="4" t="s">
        <v>703</v>
      </c>
      <c r="E1394" s="4" t="s">
        <v>123</v>
      </c>
      <c r="F1394" s="4" t="s">
        <v>123</v>
      </c>
      <c r="G1394" s="4" t="s">
        <v>2049</v>
      </c>
      <c r="H1394" s="4" t="s">
        <v>216</v>
      </c>
      <c r="I1394" s="4" t="s">
        <v>993</v>
      </c>
      <c r="Q1394" s="9">
        <v>1</v>
      </c>
      <c r="R1394" s="11">
        <v>0.122</v>
      </c>
      <c r="T1394" s="11">
        <v>4</v>
      </c>
      <c r="Z1394" s="9">
        <v>0</v>
      </c>
      <c r="AF1394" s="11">
        <v>1</v>
      </c>
      <c r="AI1394" s="11">
        <v>1</v>
      </c>
    </row>
    <row r="1395" spans="1:35" x14ac:dyDescent="0.25">
      <c r="A1395" s="161" t="str">
        <f t="shared" si="25"/>
        <v>RIFLEMAN_BABYLON</v>
      </c>
      <c r="B1395" s="9" t="s">
        <v>123</v>
      </c>
      <c r="C1395" s="4" t="s">
        <v>703</v>
      </c>
      <c r="E1395" s="4" t="s">
        <v>123</v>
      </c>
      <c r="F1395" s="4" t="s">
        <v>123</v>
      </c>
      <c r="H1395" s="4" t="s">
        <v>816</v>
      </c>
      <c r="I1395" s="4" t="s">
        <v>993</v>
      </c>
      <c r="Q1395" s="9">
        <v>3</v>
      </c>
      <c r="R1395" s="11">
        <v>0.122</v>
      </c>
      <c r="T1395" s="11">
        <v>4</v>
      </c>
      <c r="Z1395" s="9">
        <v>0</v>
      </c>
      <c r="AF1395" s="11">
        <v>0</v>
      </c>
      <c r="AI1395" s="11">
        <v>1</v>
      </c>
    </row>
    <row r="1396" spans="1:35" x14ac:dyDescent="0.25">
      <c r="A1396" s="161" t="str">
        <f t="shared" si="25"/>
        <v>RIFLEMAN_BABYLON</v>
      </c>
      <c r="B1396" s="9" t="s">
        <v>123</v>
      </c>
      <c r="C1396" s="4" t="s">
        <v>703</v>
      </c>
      <c r="E1396" s="4" t="s">
        <v>123</v>
      </c>
      <c r="F1396" s="4" t="s">
        <v>123</v>
      </c>
      <c r="G1396" s="4" t="s">
        <v>2047</v>
      </c>
      <c r="H1396" s="4" t="s">
        <v>644</v>
      </c>
      <c r="I1396" s="4" t="s">
        <v>993</v>
      </c>
      <c r="Q1396" s="9">
        <v>2</v>
      </c>
      <c r="R1396" s="11">
        <v>0.122</v>
      </c>
      <c r="T1396" s="11">
        <v>3</v>
      </c>
      <c r="Z1396" s="9">
        <v>0</v>
      </c>
      <c r="AF1396" s="11">
        <v>0</v>
      </c>
      <c r="AI1396" s="11">
        <v>1</v>
      </c>
    </row>
    <row r="1397" spans="1:35" x14ac:dyDescent="0.25">
      <c r="A1397" s="161" t="str">
        <f t="shared" si="25"/>
        <v>RIFLEMAN_BABYLON</v>
      </c>
      <c r="B1397" s="9" t="s">
        <v>123</v>
      </c>
      <c r="C1397" s="4" t="s">
        <v>703</v>
      </c>
      <c r="E1397" s="4" t="s">
        <v>123</v>
      </c>
      <c r="F1397" s="4" t="s">
        <v>123</v>
      </c>
      <c r="G1397" s="4" t="s">
        <v>2049</v>
      </c>
      <c r="H1397" s="4" t="s">
        <v>216</v>
      </c>
      <c r="I1397" s="4" t="s">
        <v>993</v>
      </c>
      <c r="Q1397" s="9">
        <v>4</v>
      </c>
      <c r="R1397" s="11">
        <v>0.122</v>
      </c>
      <c r="T1397" s="11">
        <v>2</v>
      </c>
      <c r="Z1397" s="9">
        <v>0</v>
      </c>
      <c r="AF1397" s="11">
        <v>0</v>
      </c>
      <c r="AI1397" s="11">
        <v>1</v>
      </c>
    </row>
    <row r="1398" spans="1:35" x14ac:dyDescent="0.25">
      <c r="A1398" s="161" t="str">
        <f t="shared" si="25"/>
        <v>RIFLEMAN_EGYPT</v>
      </c>
      <c r="B1398" s="9" t="s">
        <v>123</v>
      </c>
      <c r="C1398" s="4" t="s">
        <v>712</v>
      </c>
      <c r="E1398" s="4" t="s">
        <v>123</v>
      </c>
      <c r="F1398" s="4" t="s">
        <v>123</v>
      </c>
      <c r="H1398" s="4" t="s">
        <v>840</v>
      </c>
      <c r="I1398" s="4" t="s">
        <v>122</v>
      </c>
      <c r="Q1398" s="9">
        <v>1</v>
      </c>
      <c r="R1398" s="11">
        <v>0.13</v>
      </c>
      <c r="T1398" s="11">
        <v>3</v>
      </c>
      <c r="Z1398" s="9">
        <v>1</v>
      </c>
      <c r="AF1398" s="11">
        <v>1</v>
      </c>
      <c r="AI1398" s="11">
        <v>1</v>
      </c>
    </row>
    <row r="1399" spans="1:35" x14ac:dyDescent="0.25">
      <c r="A1399" s="161" t="str">
        <f t="shared" si="25"/>
        <v>RIFLEMAN_EGYPT</v>
      </c>
      <c r="B1399" s="9" t="s">
        <v>123</v>
      </c>
      <c r="C1399" s="4" t="s">
        <v>712</v>
      </c>
      <c r="E1399" s="4" t="s">
        <v>123</v>
      </c>
      <c r="F1399" s="4" t="s">
        <v>123</v>
      </c>
      <c r="G1399" s="4" t="s">
        <v>2047</v>
      </c>
      <c r="H1399" s="4" t="s">
        <v>841</v>
      </c>
      <c r="I1399" s="4" t="s">
        <v>122</v>
      </c>
      <c r="Q1399" s="9">
        <v>3</v>
      </c>
      <c r="R1399" s="11">
        <v>0.13</v>
      </c>
      <c r="T1399" s="11">
        <v>4</v>
      </c>
      <c r="Z1399" s="9">
        <v>0</v>
      </c>
      <c r="AF1399" s="11">
        <v>1</v>
      </c>
      <c r="AI1399" s="11">
        <v>2</v>
      </c>
    </row>
    <row r="1400" spans="1:35" x14ac:dyDescent="0.25">
      <c r="A1400" s="161" t="str">
        <f t="shared" si="25"/>
        <v>RIFLEMAN_EGYPT</v>
      </c>
      <c r="B1400" s="9" t="s">
        <v>123</v>
      </c>
      <c r="C1400" s="4" t="s">
        <v>712</v>
      </c>
      <c r="E1400" s="4" t="s">
        <v>123</v>
      </c>
      <c r="F1400" s="4" t="s">
        <v>123</v>
      </c>
      <c r="G1400" s="4" t="s">
        <v>2049</v>
      </c>
      <c r="H1400" s="4" t="s">
        <v>286</v>
      </c>
      <c r="I1400" s="4" t="s">
        <v>122</v>
      </c>
      <c r="Q1400" s="9">
        <v>1</v>
      </c>
      <c r="R1400" s="11">
        <v>0.13</v>
      </c>
      <c r="T1400" s="11">
        <v>3</v>
      </c>
      <c r="Z1400" s="9">
        <v>0</v>
      </c>
      <c r="AF1400" s="11">
        <v>1</v>
      </c>
      <c r="AI1400" s="11">
        <v>1</v>
      </c>
    </row>
    <row r="1401" spans="1:35" x14ac:dyDescent="0.25">
      <c r="A1401" s="161" t="str">
        <f t="shared" si="25"/>
        <v>RIFLEMAN_EGYPT</v>
      </c>
      <c r="B1401" s="9" t="s">
        <v>123</v>
      </c>
      <c r="C1401" s="4" t="s">
        <v>712</v>
      </c>
      <c r="E1401" s="4" t="s">
        <v>123</v>
      </c>
      <c r="F1401" s="4" t="s">
        <v>123</v>
      </c>
      <c r="H1401" s="4" t="s">
        <v>840</v>
      </c>
      <c r="I1401" s="4" t="s">
        <v>122</v>
      </c>
      <c r="Q1401" s="9">
        <v>3</v>
      </c>
      <c r="R1401" s="11">
        <v>0.13</v>
      </c>
      <c r="T1401" s="11">
        <v>3</v>
      </c>
      <c r="Z1401" s="9">
        <v>0</v>
      </c>
      <c r="AF1401" s="11">
        <v>0</v>
      </c>
      <c r="AI1401" s="11">
        <v>1</v>
      </c>
    </row>
    <row r="1402" spans="1:35" x14ac:dyDescent="0.25">
      <c r="A1402" s="161" t="str">
        <f t="shared" si="25"/>
        <v>RIFLEMAN_EGYPT</v>
      </c>
      <c r="B1402" s="9" t="s">
        <v>123</v>
      </c>
      <c r="C1402" s="4" t="s">
        <v>712</v>
      </c>
      <c r="E1402" s="4" t="s">
        <v>123</v>
      </c>
      <c r="F1402" s="4" t="s">
        <v>123</v>
      </c>
      <c r="G1402" s="4" t="s">
        <v>2047</v>
      </c>
      <c r="H1402" s="4" t="s">
        <v>841</v>
      </c>
      <c r="I1402" s="4" t="s">
        <v>122</v>
      </c>
      <c r="Q1402" s="9">
        <v>2</v>
      </c>
      <c r="R1402" s="11">
        <v>0.13</v>
      </c>
      <c r="T1402" s="11">
        <v>3</v>
      </c>
      <c r="Z1402" s="9">
        <v>0</v>
      </c>
      <c r="AF1402" s="11">
        <v>0</v>
      </c>
      <c r="AI1402" s="11">
        <v>1</v>
      </c>
    </row>
    <row r="1403" spans="1:35" x14ac:dyDescent="0.25">
      <c r="A1403" s="161" t="str">
        <f t="shared" si="25"/>
        <v>RIFLEMAN_EGYPT</v>
      </c>
      <c r="B1403" s="9" t="s">
        <v>123</v>
      </c>
      <c r="C1403" s="4" t="s">
        <v>712</v>
      </c>
      <c r="E1403" s="4" t="s">
        <v>123</v>
      </c>
      <c r="F1403" s="4" t="s">
        <v>123</v>
      </c>
      <c r="G1403" s="4" t="s">
        <v>2049</v>
      </c>
      <c r="H1403" s="4" t="s">
        <v>286</v>
      </c>
      <c r="I1403" s="4" t="s">
        <v>122</v>
      </c>
      <c r="Q1403" s="9">
        <v>4</v>
      </c>
      <c r="R1403" s="11">
        <v>0.13</v>
      </c>
      <c r="T1403" s="11">
        <v>3</v>
      </c>
      <c r="Z1403" s="9">
        <v>0</v>
      </c>
      <c r="AF1403" s="11">
        <v>0</v>
      </c>
      <c r="AI1403" s="11">
        <v>1</v>
      </c>
    </row>
    <row r="1404" spans="1:35" x14ac:dyDescent="0.25">
      <c r="A1404" s="161" t="str">
        <f t="shared" si="25"/>
        <v>RIFLEMAN_PERSIA</v>
      </c>
      <c r="B1404" s="9" t="s">
        <v>123</v>
      </c>
      <c r="C1404" s="4" t="s">
        <v>731</v>
      </c>
      <c r="E1404" s="4" t="s">
        <v>123</v>
      </c>
      <c r="F1404" s="4" t="s">
        <v>123</v>
      </c>
      <c r="H1404" s="4" t="s">
        <v>979</v>
      </c>
      <c r="I1404" s="4" t="s">
        <v>122</v>
      </c>
      <c r="Q1404" s="9">
        <v>1</v>
      </c>
      <c r="R1404" s="11">
        <v>0.13</v>
      </c>
      <c r="T1404" s="11">
        <v>3</v>
      </c>
      <c r="Z1404" s="9">
        <v>1</v>
      </c>
      <c r="AF1404" s="11">
        <v>1</v>
      </c>
      <c r="AI1404" s="11">
        <v>1</v>
      </c>
    </row>
    <row r="1405" spans="1:35" x14ac:dyDescent="0.25">
      <c r="A1405" s="161" t="str">
        <f t="shared" si="25"/>
        <v>RIFLEMAN_PERSIA</v>
      </c>
      <c r="B1405" s="9" t="s">
        <v>123</v>
      </c>
      <c r="C1405" s="4" t="s">
        <v>731</v>
      </c>
      <c r="E1405" s="4" t="s">
        <v>123</v>
      </c>
      <c r="F1405" s="4" t="s">
        <v>123</v>
      </c>
      <c r="G1405" s="4" t="s">
        <v>2047</v>
      </c>
      <c r="H1405" s="4" t="s">
        <v>980</v>
      </c>
      <c r="I1405" s="4" t="s">
        <v>122</v>
      </c>
      <c r="Q1405" s="9">
        <v>3</v>
      </c>
      <c r="R1405" s="11">
        <v>0.13</v>
      </c>
      <c r="T1405" s="11">
        <v>4</v>
      </c>
      <c r="Z1405" s="9">
        <v>0</v>
      </c>
      <c r="AF1405" s="11">
        <v>1</v>
      </c>
      <c r="AI1405" s="11">
        <v>2</v>
      </c>
    </row>
    <row r="1406" spans="1:35" x14ac:dyDescent="0.25">
      <c r="A1406" s="161" t="str">
        <f t="shared" si="25"/>
        <v>RIFLEMAN_PERSIA</v>
      </c>
      <c r="B1406" s="9" t="s">
        <v>123</v>
      </c>
      <c r="C1406" s="4" t="s">
        <v>731</v>
      </c>
      <c r="E1406" s="4" t="s">
        <v>123</v>
      </c>
      <c r="F1406" s="4" t="s">
        <v>123</v>
      </c>
      <c r="G1406" s="4" t="s">
        <v>2049</v>
      </c>
      <c r="H1406" s="4" t="s">
        <v>562</v>
      </c>
      <c r="I1406" s="4" t="s">
        <v>122</v>
      </c>
      <c r="Q1406" s="9">
        <v>1</v>
      </c>
      <c r="R1406" s="11">
        <v>0.13</v>
      </c>
      <c r="T1406" s="11">
        <v>3</v>
      </c>
      <c r="Z1406" s="9">
        <v>0</v>
      </c>
      <c r="AF1406" s="11">
        <v>1</v>
      </c>
      <c r="AI1406" s="11">
        <v>1</v>
      </c>
    </row>
    <row r="1407" spans="1:35" x14ac:dyDescent="0.25">
      <c r="A1407" s="161" t="str">
        <f t="shared" si="25"/>
        <v>RIFLEMAN_PERSIA</v>
      </c>
      <c r="B1407" s="9" t="s">
        <v>123</v>
      </c>
      <c r="C1407" s="4" t="s">
        <v>731</v>
      </c>
      <c r="E1407" s="4" t="s">
        <v>123</v>
      </c>
      <c r="F1407" s="4" t="s">
        <v>123</v>
      </c>
      <c r="H1407" s="4" t="s">
        <v>979</v>
      </c>
      <c r="I1407" s="4" t="s">
        <v>122</v>
      </c>
      <c r="Q1407" s="9">
        <v>3</v>
      </c>
      <c r="R1407" s="11">
        <v>0.13</v>
      </c>
      <c r="T1407" s="11">
        <v>3</v>
      </c>
      <c r="Z1407" s="9">
        <v>0</v>
      </c>
      <c r="AF1407" s="11">
        <v>0</v>
      </c>
      <c r="AI1407" s="11">
        <v>1</v>
      </c>
    </row>
    <row r="1408" spans="1:35" x14ac:dyDescent="0.25">
      <c r="A1408" s="161" t="str">
        <f t="shared" si="25"/>
        <v>RIFLEMAN_PERSIA</v>
      </c>
      <c r="B1408" s="9" t="s">
        <v>123</v>
      </c>
      <c r="C1408" s="4" t="s">
        <v>731</v>
      </c>
      <c r="E1408" s="4" t="s">
        <v>123</v>
      </c>
      <c r="F1408" s="4" t="s">
        <v>123</v>
      </c>
      <c r="G1408" s="4" t="s">
        <v>2047</v>
      </c>
      <c r="H1408" s="4" t="s">
        <v>980</v>
      </c>
      <c r="I1408" s="4" t="s">
        <v>122</v>
      </c>
      <c r="Q1408" s="9">
        <v>2</v>
      </c>
      <c r="R1408" s="11">
        <v>0.13</v>
      </c>
      <c r="T1408" s="11">
        <v>3</v>
      </c>
      <c r="Z1408" s="9">
        <v>0</v>
      </c>
      <c r="AF1408" s="11">
        <v>0</v>
      </c>
      <c r="AI1408" s="11">
        <v>1</v>
      </c>
    </row>
    <row r="1409" spans="1:35" x14ac:dyDescent="0.25">
      <c r="A1409" s="161" t="str">
        <f t="shared" si="25"/>
        <v>RIFLEMAN_PERSIA</v>
      </c>
      <c r="B1409" s="9" t="s">
        <v>123</v>
      </c>
      <c r="C1409" s="4" t="s">
        <v>731</v>
      </c>
      <c r="E1409" s="4" t="s">
        <v>123</v>
      </c>
      <c r="F1409" s="4" t="s">
        <v>123</v>
      </c>
      <c r="G1409" s="4" t="s">
        <v>2049</v>
      </c>
      <c r="H1409" s="4" t="s">
        <v>562</v>
      </c>
      <c r="I1409" s="4" t="s">
        <v>122</v>
      </c>
      <c r="Q1409" s="9">
        <v>4</v>
      </c>
      <c r="R1409" s="11">
        <v>0.13</v>
      </c>
      <c r="T1409" s="11">
        <v>3</v>
      </c>
      <c r="Z1409" s="9">
        <v>0</v>
      </c>
      <c r="AF1409" s="11">
        <v>0</v>
      </c>
      <c r="AI1409" s="11">
        <v>1</v>
      </c>
    </row>
    <row r="1410" spans="1:35" x14ac:dyDescent="0.25">
      <c r="A1410" s="161" t="str">
        <f t="shared" ref="A1410:A1415" si="26">CONCATENATE(E1410,IF(ISBLANK(C1410),"",CONCATENATE("_",C1410)))</f>
        <v>RIFLEMAN_NORTHAF</v>
      </c>
      <c r="B1410" s="9" t="s">
        <v>123</v>
      </c>
      <c r="C1410" s="4" t="s">
        <v>2011</v>
      </c>
      <c r="E1410" s="4" t="s">
        <v>123</v>
      </c>
      <c r="F1410" s="4" t="s">
        <v>123</v>
      </c>
      <c r="H1410" s="4" t="s">
        <v>1014</v>
      </c>
      <c r="I1410" s="4" t="s">
        <v>993</v>
      </c>
      <c r="Q1410" s="11">
        <v>1</v>
      </c>
      <c r="R1410" s="11">
        <v>0.122</v>
      </c>
      <c r="T1410" s="11">
        <v>3</v>
      </c>
      <c r="Z1410" s="11">
        <v>1</v>
      </c>
      <c r="AF1410" s="11">
        <v>1</v>
      </c>
      <c r="AI1410" s="11">
        <v>1</v>
      </c>
    </row>
    <row r="1411" spans="1:35" x14ac:dyDescent="0.25">
      <c r="A1411" s="161" t="str">
        <f t="shared" si="26"/>
        <v>RIFLEMAN_NORTHAF</v>
      </c>
      <c r="B1411" s="9" t="s">
        <v>123</v>
      </c>
      <c r="C1411" s="4" t="s">
        <v>2011</v>
      </c>
      <c r="E1411" s="4" t="s">
        <v>123</v>
      </c>
      <c r="F1411" s="4" t="s">
        <v>123</v>
      </c>
      <c r="G1411" s="4" t="s">
        <v>2047</v>
      </c>
      <c r="H1411" s="4" t="s">
        <v>1015</v>
      </c>
      <c r="I1411" s="4" t="s">
        <v>993</v>
      </c>
      <c r="Q1411" s="11">
        <v>3</v>
      </c>
      <c r="R1411" s="11">
        <v>0.122</v>
      </c>
      <c r="T1411" s="11">
        <v>4</v>
      </c>
      <c r="Z1411" s="11">
        <v>0</v>
      </c>
      <c r="AF1411" s="11">
        <v>1</v>
      </c>
      <c r="AI1411" s="11">
        <v>2</v>
      </c>
    </row>
    <row r="1412" spans="1:35" x14ac:dyDescent="0.25">
      <c r="A1412" s="161" t="str">
        <f t="shared" si="26"/>
        <v>RIFLEMAN_NORTHAF</v>
      </c>
      <c r="B1412" s="9" t="s">
        <v>123</v>
      </c>
      <c r="C1412" s="4" t="s">
        <v>2011</v>
      </c>
      <c r="E1412" s="4" t="s">
        <v>123</v>
      </c>
      <c r="F1412" s="4" t="s">
        <v>123</v>
      </c>
      <c r="G1412" s="4" t="s">
        <v>2049</v>
      </c>
      <c r="H1412" s="4" t="s">
        <v>644</v>
      </c>
      <c r="I1412" s="4" t="s">
        <v>993</v>
      </c>
      <c r="Q1412" s="11">
        <v>1</v>
      </c>
      <c r="R1412" s="11">
        <v>0.122</v>
      </c>
      <c r="T1412" s="11">
        <v>3</v>
      </c>
      <c r="Z1412" s="11">
        <v>0</v>
      </c>
      <c r="AF1412" s="11">
        <v>1</v>
      </c>
      <c r="AI1412" s="11">
        <v>1</v>
      </c>
    </row>
    <row r="1413" spans="1:35" x14ac:dyDescent="0.25">
      <c r="A1413" s="161" t="str">
        <f t="shared" si="26"/>
        <v>RIFLEMAN_NORTHAF</v>
      </c>
      <c r="B1413" s="9" t="s">
        <v>123</v>
      </c>
      <c r="C1413" s="4" t="s">
        <v>2011</v>
      </c>
      <c r="E1413" s="4" t="s">
        <v>123</v>
      </c>
      <c r="F1413" s="4" t="s">
        <v>123</v>
      </c>
      <c r="H1413" s="4" t="s">
        <v>1014</v>
      </c>
      <c r="I1413" s="4" t="s">
        <v>993</v>
      </c>
      <c r="Q1413" s="9">
        <v>3</v>
      </c>
      <c r="R1413" s="11">
        <v>0.122</v>
      </c>
      <c r="T1413" s="11">
        <v>3</v>
      </c>
      <c r="Z1413" s="9">
        <v>0</v>
      </c>
      <c r="AF1413" s="11">
        <v>0</v>
      </c>
      <c r="AI1413" s="11">
        <v>1</v>
      </c>
    </row>
    <row r="1414" spans="1:35" x14ac:dyDescent="0.25">
      <c r="A1414" s="161" t="str">
        <f t="shared" si="26"/>
        <v>RIFLEMAN_NORTHAF</v>
      </c>
      <c r="B1414" s="9" t="s">
        <v>123</v>
      </c>
      <c r="C1414" s="4" t="s">
        <v>2011</v>
      </c>
      <c r="E1414" s="4" t="s">
        <v>123</v>
      </c>
      <c r="F1414" s="4" t="s">
        <v>123</v>
      </c>
      <c r="G1414" s="4" t="s">
        <v>2047</v>
      </c>
      <c r="H1414" s="4" t="s">
        <v>1015</v>
      </c>
      <c r="I1414" s="4" t="s">
        <v>993</v>
      </c>
      <c r="Q1414" s="9">
        <v>2</v>
      </c>
      <c r="R1414" s="11">
        <v>0.122</v>
      </c>
      <c r="T1414" s="11">
        <v>3</v>
      </c>
      <c r="Z1414" s="9">
        <v>0</v>
      </c>
      <c r="AF1414" s="11">
        <v>0</v>
      </c>
      <c r="AI1414" s="11">
        <v>1</v>
      </c>
    </row>
    <row r="1415" spans="1:35" x14ac:dyDescent="0.25">
      <c r="A1415" s="161" t="str">
        <f t="shared" si="26"/>
        <v>RIFLEMAN_NORTHAF</v>
      </c>
      <c r="B1415" s="9" t="s">
        <v>123</v>
      </c>
      <c r="C1415" s="4" t="s">
        <v>2011</v>
      </c>
      <c r="E1415" s="4" t="s">
        <v>123</v>
      </c>
      <c r="F1415" s="4" t="s">
        <v>123</v>
      </c>
      <c r="G1415" s="4" t="s">
        <v>2049</v>
      </c>
      <c r="H1415" s="4" t="s">
        <v>644</v>
      </c>
      <c r="I1415" s="4" t="s">
        <v>993</v>
      </c>
      <c r="Q1415" s="9">
        <v>4</v>
      </c>
      <c r="R1415" s="11">
        <v>0.122</v>
      </c>
      <c r="T1415" s="11">
        <v>3</v>
      </c>
      <c r="Z1415" s="9">
        <v>0</v>
      </c>
      <c r="AF1415" s="11">
        <v>0</v>
      </c>
      <c r="AI1415" s="11">
        <v>1</v>
      </c>
    </row>
    <row r="1416" spans="1:35" x14ac:dyDescent="0.25">
      <c r="A1416" s="161" t="str">
        <f t="shared" si="25"/>
        <v>RIFLEMAN_NORTHEU</v>
      </c>
      <c r="B1416" s="9" t="s">
        <v>123</v>
      </c>
      <c r="C1416" s="4" t="s">
        <v>962</v>
      </c>
      <c r="E1416" s="4" t="s">
        <v>123</v>
      </c>
      <c r="F1416" s="4" t="s">
        <v>123</v>
      </c>
      <c r="G1416" s="14"/>
      <c r="H1416" s="4" t="s">
        <v>271</v>
      </c>
      <c r="I1416" s="4" t="s">
        <v>122</v>
      </c>
      <c r="R1416" s="11">
        <v>0.13</v>
      </c>
    </row>
    <row r="1417" spans="1:35" x14ac:dyDescent="0.25">
      <c r="A1417" s="161" t="str">
        <f t="shared" si="25"/>
        <v>RIFLEMAN_SWEDEN</v>
      </c>
      <c r="B1417" s="9" t="s">
        <v>123</v>
      </c>
      <c r="C1417" s="4" t="s">
        <v>739</v>
      </c>
      <c r="E1417" s="4" t="s">
        <v>123</v>
      </c>
      <c r="F1417" s="4" t="s">
        <v>123</v>
      </c>
      <c r="G1417" s="14" t="s">
        <v>132</v>
      </c>
      <c r="H1417" s="4" t="s">
        <v>674</v>
      </c>
      <c r="I1417" s="4" t="s">
        <v>122</v>
      </c>
      <c r="R1417" s="11">
        <v>0.13</v>
      </c>
    </row>
    <row r="1418" spans="1:35" x14ac:dyDescent="0.25">
      <c r="A1418" s="161" t="str">
        <f t="shared" si="25"/>
        <v>RIFLEMAN_OCEAN</v>
      </c>
      <c r="B1418" s="9" t="s">
        <v>123</v>
      </c>
      <c r="C1418" s="4" t="s">
        <v>994</v>
      </c>
      <c r="D1418" s="4" t="s">
        <v>691</v>
      </c>
      <c r="E1418" s="4" t="s">
        <v>123</v>
      </c>
      <c r="F1418" s="4" t="s">
        <v>123</v>
      </c>
    </row>
    <row r="1419" spans="1:35" x14ac:dyDescent="0.25">
      <c r="A1419" s="161" t="str">
        <f t="shared" si="25"/>
        <v>RIFLEMAN_SEASIA</v>
      </c>
      <c r="B1419" s="9" t="s">
        <v>123</v>
      </c>
      <c r="C1419" s="4" t="s">
        <v>696</v>
      </c>
      <c r="E1419" s="4" t="s">
        <v>123</v>
      </c>
      <c r="F1419" s="4" t="s">
        <v>123</v>
      </c>
      <c r="H1419" s="4" t="s">
        <v>639</v>
      </c>
      <c r="I1419" s="4" t="s">
        <v>122</v>
      </c>
      <c r="R1419" s="11">
        <v>0.13</v>
      </c>
    </row>
    <row r="1420" spans="1:35" x14ac:dyDescent="0.25">
      <c r="A1420" s="161" t="str">
        <f t="shared" si="25"/>
        <v>RIFLEMAN_SOUTHAM</v>
      </c>
      <c r="B1420" s="9" t="s">
        <v>123</v>
      </c>
      <c r="C1420" s="4" t="s">
        <v>691</v>
      </c>
      <c r="E1420" s="4" t="s">
        <v>123</v>
      </c>
      <c r="F1420" s="4" t="s">
        <v>123</v>
      </c>
      <c r="H1420" s="4" t="s">
        <v>200</v>
      </c>
      <c r="I1420" s="4" t="s">
        <v>122</v>
      </c>
      <c r="R1420" s="11" t="s">
        <v>1695</v>
      </c>
    </row>
    <row r="1421" spans="1:35" x14ac:dyDescent="0.25">
      <c r="A1421" s="161" t="str">
        <f t="shared" si="25"/>
        <v>RIFLEMAN_AZTEC</v>
      </c>
      <c r="B1421" s="9" t="s">
        <v>123</v>
      </c>
      <c r="C1421" s="4" t="s">
        <v>702</v>
      </c>
      <c r="E1421" s="4" t="s">
        <v>123</v>
      </c>
      <c r="F1421" s="4" t="s">
        <v>123</v>
      </c>
      <c r="H1421" s="4" t="s">
        <v>426</v>
      </c>
      <c r="I1421" s="4" t="s">
        <v>122</v>
      </c>
      <c r="Q1421" s="11">
        <v>1</v>
      </c>
      <c r="R1421" s="11" t="s">
        <v>1695</v>
      </c>
      <c r="T1421" s="11">
        <v>3</v>
      </c>
      <c r="Z1421" s="11">
        <v>1</v>
      </c>
      <c r="AF1421" s="11">
        <v>1</v>
      </c>
      <c r="AI1421" s="11">
        <v>1</v>
      </c>
    </row>
    <row r="1422" spans="1:35" x14ac:dyDescent="0.25">
      <c r="A1422" s="161" t="str">
        <f t="shared" si="25"/>
        <v>RIFLEMAN_AZTEC</v>
      </c>
      <c r="B1422" s="9" t="s">
        <v>123</v>
      </c>
      <c r="C1422" s="4" t="s">
        <v>702</v>
      </c>
      <c r="E1422" s="4" t="s">
        <v>123</v>
      </c>
      <c r="F1422" s="4" t="s">
        <v>123</v>
      </c>
      <c r="G1422" s="4" t="s">
        <v>2047</v>
      </c>
      <c r="H1422" s="4" t="s">
        <v>521</v>
      </c>
      <c r="I1422" s="4" t="s">
        <v>122</v>
      </c>
      <c r="Q1422" s="11">
        <v>3</v>
      </c>
      <c r="R1422" s="11" t="s">
        <v>1695</v>
      </c>
      <c r="T1422" s="11">
        <v>4</v>
      </c>
      <c r="Z1422" s="11">
        <v>0</v>
      </c>
      <c r="AF1422" s="11">
        <v>1</v>
      </c>
      <c r="AI1422" s="11">
        <v>2</v>
      </c>
    </row>
    <row r="1423" spans="1:35" x14ac:dyDescent="0.25">
      <c r="A1423" s="161" t="str">
        <f t="shared" si="25"/>
        <v>RIFLEMAN_AZTEC</v>
      </c>
      <c r="B1423" s="9" t="s">
        <v>123</v>
      </c>
      <c r="C1423" s="4" t="s">
        <v>702</v>
      </c>
      <c r="E1423" s="4" t="s">
        <v>123</v>
      </c>
      <c r="F1423" s="4" t="s">
        <v>123</v>
      </c>
      <c r="G1423" s="4" t="s">
        <v>2049</v>
      </c>
      <c r="H1423" s="4" t="s">
        <v>200</v>
      </c>
      <c r="I1423" s="4" t="s">
        <v>122</v>
      </c>
      <c r="Q1423" s="11">
        <v>1</v>
      </c>
      <c r="R1423" s="11" t="s">
        <v>1695</v>
      </c>
      <c r="T1423" s="11">
        <v>3</v>
      </c>
      <c r="Z1423" s="11">
        <v>0</v>
      </c>
      <c r="AF1423" s="11">
        <v>1</v>
      </c>
      <c r="AI1423" s="11">
        <v>1</v>
      </c>
    </row>
    <row r="1424" spans="1:35" x14ac:dyDescent="0.25">
      <c r="A1424" s="161" t="str">
        <f t="shared" si="25"/>
        <v>RIFLEMAN_AZTEC</v>
      </c>
      <c r="B1424" s="9" t="s">
        <v>123</v>
      </c>
      <c r="C1424" s="4" t="s">
        <v>702</v>
      </c>
      <c r="E1424" s="4" t="s">
        <v>123</v>
      </c>
      <c r="F1424" s="4" t="s">
        <v>123</v>
      </c>
      <c r="H1424" s="4" t="s">
        <v>426</v>
      </c>
      <c r="I1424" s="4" t="s">
        <v>122</v>
      </c>
      <c r="Q1424" s="9">
        <v>3</v>
      </c>
      <c r="R1424" s="11" t="s">
        <v>1695</v>
      </c>
      <c r="T1424" s="11">
        <v>3</v>
      </c>
      <c r="Z1424" s="9">
        <v>0</v>
      </c>
      <c r="AF1424" s="11">
        <v>0</v>
      </c>
      <c r="AI1424" s="11">
        <v>1</v>
      </c>
    </row>
    <row r="1425" spans="1:43" x14ac:dyDescent="0.25">
      <c r="A1425" s="161" t="str">
        <f t="shared" si="25"/>
        <v>RIFLEMAN_AZTEC</v>
      </c>
      <c r="B1425" s="9" t="s">
        <v>123</v>
      </c>
      <c r="C1425" s="4" t="s">
        <v>702</v>
      </c>
      <c r="E1425" s="4" t="s">
        <v>123</v>
      </c>
      <c r="F1425" s="4" t="s">
        <v>123</v>
      </c>
      <c r="G1425" s="4" t="s">
        <v>2047</v>
      </c>
      <c r="H1425" s="4" t="s">
        <v>521</v>
      </c>
      <c r="I1425" s="4" t="s">
        <v>122</v>
      </c>
      <c r="Q1425" s="9">
        <v>2</v>
      </c>
      <c r="R1425" s="11" t="s">
        <v>1695</v>
      </c>
      <c r="T1425" s="11">
        <v>3</v>
      </c>
      <c r="Z1425" s="9">
        <v>0</v>
      </c>
      <c r="AF1425" s="11">
        <v>0</v>
      </c>
      <c r="AI1425" s="11">
        <v>1</v>
      </c>
    </row>
    <row r="1426" spans="1:43" x14ac:dyDescent="0.25">
      <c r="A1426" s="161" t="str">
        <f t="shared" si="25"/>
        <v>RIFLEMAN_AZTEC</v>
      </c>
      <c r="B1426" s="9" t="s">
        <v>123</v>
      </c>
      <c r="C1426" s="4" t="s">
        <v>702</v>
      </c>
      <c r="E1426" s="4" t="s">
        <v>123</v>
      </c>
      <c r="F1426" s="4" t="s">
        <v>123</v>
      </c>
      <c r="G1426" s="4" t="s">
        <v>2049</v>
      </c>
      <c r="H1426" s="4" t="s">
        <v>200</v>
      </c>
      <c r="I1426" s="4" t="s">
        <v>122</v>
      </c>
      <c r="Q1426" s="9">
        <v>4</v>
      </c>
      <c r="R1426" s="11" t="s">
        <v>1695</v>
      </c>
      <c r="T1426" s="11">
        <v>3</v>
      </c>
      <c r="Z1426" s="9">
        <v>0</v>
      </c>
      <c r="AF1426" s="11">
        <v>0</v>
      </c>
      <c r="AI1426" s="11">
        <v>1</v>
      </c>
    </row>
    <row r="1427" spans="1:43" x14ac:dyDescent="0.25">
      <c r="A1427" s="161" t="str">
        <f t="shared" si="25"/>
        <v>RIFLEMAN_INCA</v>
      </c>
      <c r="B1427" s="9" t="s">
        <v>123</v>
      </c>
      <c r="C1427" s="4" t="s">
        <v>719</v>
      </c>
      <c r="E1427" s="4" t="s">
        <v>123</v>
      </c>
      <c r="F1427" s="4" t="s">
        <v>123</v>
      </c>
      <c r="G1427" s="14" t="s">
        <v>132</v>
      </c>
      <c r="H1427" s="4" t="s">
        <v>426</v>
      </c>
      <c r="I1427" s="4" t="s">
        <v>122</v>
      </c>
      <c r="R1427" s="11" t="s">
        <v>1695</v>
      </c>
      <c r="Z1427" s="9"/>
    </row>
    <row r="1428" spans="1:43" x14ac:dyDescent="0.25">
      <c r="A1428" s="161" t="str">
        <f t="shared" si="25"/>
        <v>RIFLEMAN_MAYA</v>
      </c>
      <c r="B1428" s="9" t="s">
        <v>123</v>
      </c>
      <c r="C1428" s="4" t="s">
        <v>725</v>
      </c>
      <c r="E1428" s="4" t="s">
        <v>123</v>
      </c>
      <c r="F1428" s="4" t="s">
        <v>123</v>
      </c>
      <c r="G1428" s="14" t="s">
        <v>132</v>
      </c>
      <c r="H1428" s="4" t="s">
        <v>521</v>
      </c>
      <c r="I1428" s="4" t="s">
        <v>122</v>
      </c>
      <c r="R1428" s="11" t="s">
        <v>1695</v>
      </c>
    </row>
    <row r="1429" spans="1:43" x14ac:dyDescent="0.25">
      <c r="A1429" s="161" t="str">
        <f t="shared" si="25"/>
        <v>RIFLEMAN_SOUTHAS</v>
      </c>
      <c r="B1429" s="9" t="s">
        <v>123</v>
      </c>
      <c r="C1429" s="4" t="s">
        <v>695</v>
      </c>
      <c r="D1429" s="4" t="s">
        <v>693</v>
      </c>
      <c r="E1429" s="4" t="s">
        <v>123</v>
      </c>
      <c r="F1429" s="4" t="s">
        <v>123</v>
      </c>
    </row>
    <row r="1430" spans="1:43" x14ac:dyDescent="0.25">
      <c r="A1430" s="161" t="str">
        <f t="shared" si="25"/>
        <v>RIFLEMAN_INDIA</v>
      </c>
      <c r="B1430" s="9" t="s">
        <v>123</v>
      </c>
      <c r="C1430" s="4" t="s">
        <v>720</v>
      </c>
      <c r="E1430" s="4" t="s">
        <v>123</v>
      </c>
      <c r="F1430" s="4" t="s">
        <v>123</v>
      </c>
      <c r="H1430" s="4" t="s">
        <v>926</v>
      </c>
      <c r="I1430" s="4" t="s">
        <v>122</v>
      </c>
      <c r="Q1430" s="11">
        <v>1</v>
      </c>
      <c r="R1430" s="11">
        <v>0.13</v>
      </c>
      <c r="T1430" s="11">
        <v>3</v>
      </c>
      <c r="Z1430" s="11">
        <v>1</v>
      </c>
      <c r="AF1430" s="11">
        <v>1</v>
      </c>
      <c r="AI1430" s="11">
        <v>1</v>
      </c>
    </row>
    <row r="1431" spans="1:43" x14ac:dyDescent="0.25">
      <c r="A1431" s="161" t="str">
        <f t="shared" si="25"/>
        <v>RIFLEMAN_INDIA</v>
      </c>
      <c r="B1431" s="9" t="s">
        <v>123</v>
      </c>
      <c r="C1431" s="4" t="s">
        <v>720</v>
      </c>
      <c r="E1431" s="4" t="s">
        <v>123</v>
      </c>
      <c r="F1431" s="4" t="s">
        <v>123</v>
      </c>
      <c r="G1431" s="4" t="s">
        <v>2047</v>
      </c>
      <c r="H1431" s="4" t="s">
        <v>927</v>
      </c>
      <c r="I1431" s="4" t="s">
        <v>122</v>
      </c>
      <c r="Q1431" s="11">
        <v>3</v>
      </c>
      <c r="R1431" s="11">
        <v>0.13</v>
      </c>
      <c r="T1431" s="11">
        <v>4</v>
      </c>
      <c r="Z1431" s="11">
        <v>0</v>
      </c>
      <c r="AF1431" s="11">
        <v>1</v>
      </c>
      <c r="AI1431" s="11">
        <v>2</v>
      </c>
    </row>
    <row r="1432" spans="1:43" x14ac:dyDescent="0.25">
      <c r="A1432" s="161" t="str">
        <f t="shared" si="25"/>
        <v>RIFLEMAN_INDIA</v>
      </c>
      <c r="B1432" s="9" t="s">
        <v>123</v>
      </c>
      <c r="C1432" s="4" t="s">
        <v>720</v>
      </c>
      <c r="E1432" s="4" t="s">
        <v>123</v>
      </c>
      <c r="F1432" s="4" t="s">
        <v>123</v>
      </c>
      <c r="G1432" s="4" t="s">
        <v>2049</v>
      </c>
      <c r="H1432" s="4" t="s">
        <v>441</v>
      </c>
      <c r="I1432" s="4" t="s">
        <v>122</v>
      </c>
      <c r="Q1432" s="11">
        <v>1</v>
      </c>
      <c r="R1432" s="11">
        <v>0.13</v>
      </c>
      <c r="T1432" s="11">
        <v>3</v>
      </c>
      <c r="Z1432" s="11">
        <v>0</v>
      </c>
      <c r="AF1432" s="11">
        <v>1</v>
      </c>
      <c r="AI1432" s="11">
        <v>1</v>
      </c>
    </row>
    <row r="1433" spans="1:43" x14ac:dyDescent="0.25">
      <c r="A1433" s="161" t="str">
        <f t="shared" si="25"/>
        <v>RIFLEMAN_INDIA</v>
      </c>
      <c r="B1433" s="9" t="s">
        <v>123</v>
      </c>
      <c r="C1433" s="4" t="s">
        <v>720</v>
      </c>
      <c r="E1433" s="4" t="s">
        <v>123</v>
      </c>
      <c r="F1433" s="4" t="s">
        <v>123</v>
      </c>
      <c r="H1433" s="4" t="s">
        <v>926</v>
      </c>
      <c r="I1433" s="4" t="s">
        <v>122</v>
      </c>
      <c r="Q1433" s="9">
        <v>3</v>
      </c>
      <c r="R1433" s="11">
        <v>0.13</v>
      </c>
      <c r="T1433" s="11">
        <v>3</v>
      </c>
      <c r="Z1433" s="9">
        <v>0</v>
      </c>
      <c r="AF1433" s="11">
        <v>0</v>
      </c>
      <c r="AI1433" s="11">
        <v>1</v>
      </c>
    </row>
    <row r="1434" spans="1:43" x14ac:dyDescent="0.25">
      <c r="A1434" s="161" t="str">
        <f t="shared" si="25"/>
        <v>RIFLEMAN_INDIA</v>
      </c>
      <c r="B1434" s="9" t="s">
        <v>123</v>
      </c>
      <c r="C1434" s="4" t="s">
        <v>720</v>
      </c>
      <c r="E1434" s="4" t="s">
        <v>123</v>
      </c>
      <c r="F1434" s="4" t="s">
        <v>123</v>
      </c>
      <c r="G1434" s="4" t="s">
        <v>2047</v>
      </c>
      <c r="H1434" s="4" t="s">
        <v>927</v>
      </c>
      <c r="I1434" s="4" t="s">
        <v>122</v>
      </c>
      <c r="Q1434" s="9">
        <v>2</v>
      </c>
      <c r="R1434" s="11">
        <v>0.13</v>
      </c>
      <c r="T1434" s="11">
        <v>3</v>
      </c>
      <c r="Z1434" s="9">
        <v>0</v>
      </c>
      <c r="AF1434" s="11">
        <v>0</v>
      </c>
      <c r="AI1434" s="11">
        <v>1</v>
      </c>
    </row>
    <row r="1435" spans="1:43" x14ac:dyDescent="0.25">
      <c r="A1435" s="161" t="str">
        <f t="shared" si="25"/>
        <v>RIFLEMAN_INDIA</v>
      </c>
      <c r="B1435" s="9" t="s">
        <v>123</v>
      </c>
      <c r="C1435" s="4" t="s">
        <v>720</v>
      </c>
      <c r="E1435" s="4" t="s">
        <v>123</v>
      </c>
      <c r="F1435" s="4" t="s">
        <v>123</v>
      </c>
      <c r="G1435" s="4" t="s">
        <v>2049</v>
      </c>
      <c r="H1435" s="4" t="s">
        <v>441</v>
      </c>
      <c r="I1435" s="4" t="s">
        <v>122</v>
      </c>
      <c r="Q1435" s="9">
        <v>4</v>
      </c>
      <c r="R1435" s="11">
        <v>0.13</v>
      </c>
      <c r="T1435" s="11">
        <v>3</v>
      </c>
      <c r="Z1435" s="9">
        <v>0</v>
      </c>
      <c r="AF1435" s="11">
        <v>0</v>
      </c>
      <c r="AI1435" s="11">
        <v>1</v>
      </c>
    </row>
    <row r="1436" spans="1:43" x14ac:dyDescent="0.25">
      <c r="A1436" s="161" t="str">
        <f t="shared" si="25"/>
        <v>ROCKET_ARTILLERY</v>
      </c>
      <c r="B1436" s="9" t="s">
        <v>772</v>
      </c>
      <c r="C1436" s="5"/>
      <c r="D1436" s="5"/>
      <c r="E1436" s="5" t="s">
        <v>772</v>
      </c>
      <c r="F1436" s="5" t="s">
        <v>801</v>
      </c>
      <c r="G1436" s="5"/>
      <c r="H1436" s="5" t="s">
        <v>1507</v>
      </c>
      <c r="I1436" s="5" t="s">
        <v>128</v>
      </c>
      <c r="J1436" s="6"/>
      <c r="K1436" s="6"/>
      <c r="L1436" s="13" t="s">
        <v>1709</v>
      </c>
      <c r="M1436" s="8"/>
      <c r="N1436" s="5"/>
      <c r="O1436" s="5"/>
      <c r="P1436" s="5"/>
      <c r="Q1436" s="7">
        <v>2</v>
      </c>
      <c r="R1436" s="6">
        <v>0.09</v>
      </c>
      <c r="S1436" s="13" t="s">
        <v>1613</v>
      </c>
      <c r="T1436" s="6"/>
      <c r="U1436" s="6"/>
      <c r="V1436" s="5"/>
      <c r="W1436" s="6" t="s">
        <v>3</v>
      </c>
      <c r="X1436" s="6" t="s">
        <v>3</v>
      </c>
      <c r="Y1436" s="5"/>
      <c r="Z1436" s="7">
        <v>1</v>
      </c>
      <c r="AA1436" s="6"/>
      <c r="AB1436" s="5"/>
      <c r="AC1436" s="6"/>
      <c r="AD1436" s="6" t="s">
        <v>3</v>
      </c>
      <c r="AE1436" s="5"/>
      <c r="AF1436" s="6"/>
      <c r="AG1436" s="6"/>
      <c r="AH1436" s="5"/>
      <c r="AI1436" s="6"/>
      <c r="AJ1436" s="6"/>
      <c r="AK1436" s="5"/>
      <c r="AL1436" s="5"/>
      <c r="AM1436" s="5"/>
      <c r="AN1436" s="5"/>
      <c r="AO1436" s="5"/>
      <c r="AP1436" s="5"/>
      <c r="AQ1436" s="5"/>
    </row>
    <row r="1437" spans="1:43" x14ac:dyDescent="0.25">
      <c r="A1437" s="161" t="str">
        <f t="shared" si="25"/>
        <v>SCIENTIST</v>
      </c>
      <c r="B1437" s="9" t="s">
        <v>1365</v>
      </c>
      <c r="C1437" s="5"/>
      <c r="D1437" s="5"/>
      <c r="E1437" s="5" t="s">
        <v>1365</v>
      </c>
      <c r="F1437" s="5" t="s">
        <v>1367</v>
      </c>
      <c r="G1437" s="5"/>
      <c r="H1437" s="5" t="s">
        <v>1481</v>
      </c>
      <c r="I1437" s="5" t="s">
        <v>128</v>
      </c>
      <c r="J1437" s="6">
        <v>1</v>
      </c>
      <c r="K1437" s="6"/>
      <c r="L1437" s="13" t="s">
        <v>1710</v>
      </c>
      <c r="M1437" s="8"/>
      <c r="N1437" s="5"/>
      <c r="O1437" s="5"/>
      <c r="P1437" s="5"/>
      <c r="Q1437" s="7">
        <v>1</v>
      </c>
      <c r="R1437" s="7" t="s">
        <v>1695</v>
      </c>
      <c r="S1437" s="5"/>
      <c r="T1437" s="6"/>
      <c r="U1437" s="7" t="s">
        <v>1737</v>
      </c>
      <c r="V1437" s="5"/>
      <c r="W1437" s="6"/>
      <c r="X1437" s="6" t="s">
        <v>3</v>
      </c>
      <c r="Y1437" s="5"/>
      <c r="Z1437" s="6"/>
      <c r="AA1437" s="6"/>
      <c r="AB1437" s="5"/>
      <c r="AC1437" s="6"/>
      <c r="AD1437" s="6" t="s">
        <v>3</v>
      </c>
      <c r="AE1437" s="5"/>
      <c r="AF1437" s="6"/>
      <c r="AG1437" s="6"/>
      <c r="AH1437" s="5"/>
      <c r="AI1437" s="6"/>
      <c r="AJ1437" s="6"/>
      <c r="AK1437" s="5"/>
      <c r="AL1437" s="5"/>
      <c r="AM1437" s="5"/>
      <c r="AN1437" s="5"/>
      <c r="AO1437" s="5"/>
      <c r="AP1437" s="5"/>
      <c r="AQ1437" s="5"/>
    </row>
    <row r="1438" spans="1:43" x14ac:dyDescent="0.25">
      <c r="A1438" s="161" t="str">
        <f t="shared" si="25"/>
        <v>SCIENTIST_LATE</v>
      </c>
      <c r="B1438" s="9" t="s">
        <v>1365</v>
      </c>
      <c r="C1438" s="5"/>
      <c r="D1438" s="5"/>
      <c r="E1438" s="5" t="s">
        <v>1366</v>
      </c>
      <c r="F1438" s="5" t="s">
        <v>1368</v>
      </c>
      <c r="G1438" s="5"/>
      <c r="H1438" s="5" t="s">
        <v>1482</v>
      </c>
      <c r="I1438" s="5" t="s">
        <v>128</v>
      </c>
      <c r="J1438" s="6"/>
      <c r="K1438" s="6"/>
      <c r="L1438" s="13" t="s">
        <v>1710</v>
      </c>
      <c r="M1438" s="8"/>
      <c r="N1438" s="5"/>
      <c r="O1438" s="5"/>
      <c r="P1438" s="5"/>
      <c r="Q1438" s="7">
        <v>1</v>
      </c>
      <c r="R1438" s="7" t="s">
        <v>1695</v>
      </c>
      <c r="S1438" s="5"/>
      <c r="T1438" s="6"/>
      <c r="U1438" s="7" t="s">
        <v>1737</v>
      </c>
      <c r="V1438" s="5"/>
      <c r="W1438" s="6"/>
      <c r="X1438" s="6" t="s">
        <v>3</v>
      </c>
      <c r="Y1438" s="5"/>
      <c r="Z1438" s="6"/>
      <c r="AA1438" s="6"/>
      <c r="AB1438" s="5"/>
      <c r="AC1438" s="6"/>
      <c r="AD1438" s="6" t="s">
        <v>3</v>
      </c>
      <c r="AE1438" s="5"/>
      <c r="AF1438" s="6"/>
      <c r="AG1438" s="6"/>
      <c r="AH1438" s="5"/>
      <c r="AI1438" s="6"/>
      <c r="AJ1438" s="6"/>
      <c r="AK1438" s="5"/>
      <c r="AL1438" s="5"/>
      <c r="AM1438" s="5"/>
      <c r="AN1438" s="5"/>
      <c r="AO1438" s="5"/>
      <c r="AP1438" s="5"/>
      <c r="AQ1438" s="5"/>
    </row>
    <row r="1439" spans="1:43" x14ac:dyDescent="0.25">
      <c r="A1439" s="161" t="str">
        <f t="shared" si="25"/>
        <v>SCOUT</v>
      </c>
      <c r="B1439" s="9" t="s">
        <v>773</v>
      </c>
      <c r="C1439" s="5"/>
      <c r="D1439" s="5"/>
      <c r="E1439" s="5" t="s">
        <v>773</v>
      </c>
      <c r="F1439" s="5" t="s">
        <v>773</v>
      </c>
      <c r="G1439" s="5"/>
      <c r="H1439" s="5" t="s">
        <v>20</v>
      </c>
      <c r="I1439" s="5" t="s">
        <v>128</v>
      </c>
      <c r="J1439" s="6"/>
      <c r="K1439" s="6"/>
      <c r="L1439" s="13" t="s">
        <v>1708</v>
      </c>
      <c r="M1439" s="8"/>
      <c r="N1439" s="5"/>
      <c r="O1439" s="5"/>
      <c r="P1439" s="5"/>
      <c r="Q1439" s="7">
        <v>6</v>
      </c>
      <c r="R1439" s="6" t="s">
        <v>1737</v>
      </c>
      <c r="S1439" s="13" t="s">
        <v>20</v>
      </c>
      <c r="T1439" s="6"/>
      <c r="U1439" s="6">
        <v>0.08</v>
      </c>
      <c r="V1439" s="5"/>
      <c r="W1439" s="6" t="s">
        <v>3</v>
      </c>
      <c r="X1439" s="6" t="s">
        <v>3</v>
      </c>
      <c r="Y1439" s="5"/>
      <c r="Z1439" s="6">
        <v>1</v>
      </c>
      <c r="AA1439" s="6"/>
      <c r="AB1439" s="5"/>
      <c r="AC1439" s="6"/>
      <c r="AD1439" s="6" t="s">
        <v>3</v>
      </c>
      <c r="AE1439" s="5"/>
      <c r="AF1439" s="6">
        <v>2</v>
      </c>
      <c r="AG1439" s="6"/>
      <c r="AH1439" s="5"/>
      <c r="AI1439" s="6">
        <v>5</v>
      </c>
      <c r="AJ1439" s="6"/>
      <c r="AK1439" s="5"/>
      <c r="AL1439" s="5"/>
      <c r="AM1439" s="5"/>
      <c r="AN1439" s="5"/>
      <c r="AO1439" s="5"/>
      <c r="AP1439" s="5"/>
      <c r="AQ1439" s="5"/>
    </row>
    <row r="1440" spans="1:43" x14ac:dyDescent="0.25">
      <c r="A1440" s="161" t="str">
        <f t="shared" si="25"/>
        <v>SCOUT_AFRI</v>
      </c>
      <c r="B1440" s="9" t="s">
        <v>773</v>
      </c>
      <c r="C1440" s="4" t="s">
        <v>694</v>
      </c>
      <c r="E1440" s="4" t="s">
        <v>773</v>
      </c>
      <c r="F1440" s="4" t="s">
        <v>773</v>
      </c>
      <c r="H1440" s="4" t="s">
        <v>685</v>
      </c>
      <c r="I1440" s="4" t="s">
        <v>1796</v>
      </c>
      <c r="R1440" s="11">
        <v>0.14399999999999999</v>
      </c>
    </row>
    <row r="1441" spans="1:35" x14ac:dyDescent="0.25">
      <c r="A1441" s="161" t="str">
        <f t="shared" si="25"/>
        <v>SCOUT_AMER</v>
      </c>
      <c r="B1441" s="9" t="s">
        <v>773</v>
      </c>
      <c r="C1441" s="4" t="s">
        <v>697</v>
      </c>
      <c r="E1441" s="4" t="s">
        <v>773</v>
      </c>
      <c r="F1441" s="4" t="s">
        <v>773</v>
      </c>
      <c r="H1441" s="4" t="s">
        <v>470</v>
      </c>
      <c r="I1441" s="4" t="s">
        <v>1935</v>
      </c>
    </row>
    <row r="1442" spans="1:35" x14ac:dyDescent="0.25">
      <c r="A1442" s="161" t="str">
        <f t="shared" si="25"/>
        <v>SCOUT_IROQUOIS</v>
      </c>
      <c r="B1442" s="9" t="s">
        <v>773</v>
      </c>
      <c r="C1442" s="4" t="s">
        <v>721</v>
      </c>
      <c r="E1442" s="4" t="s">
        <v>773</v>
      </c>
      <c r="F1442" s="4" t="s">
        <v>773</v>
      </c>
      <c r="H1442" s="4" t="s">
        <v>947</v>
      </c>
      <c r="I1442" s="4" t="s">
        <v>1935</v>
      </c>
      <c r="Q1442" s="11">
        <v>1</v>
      </c>
      <c r="T1442" s="11">
        <v>1</v>
      </c>
      <c r="Z1442" s="11">
        <v>1</v>
      </c>
      <c r="AF1442" s="11">
        <v>1</v>
      </c>
      <c r="AI1442" s="11">
        <v>1</v>
      </c>
    </row>
    <row r="1443" spans="1:35" x14ac:dyDescent="0.25">
      <c r="A1443" s="161" t="str">
        <f t="shared" si="25"/>
        <v>SCOUT_IROQUOIS</v>
      </c>
      <c r="B1443" s="9" t="s">
        <v>773</v>
      </c>
      <c r="C1443" s="4" t="s">
        <v>721</v>
      </c>
      <c r="E1443" s="4" t="s">
        <v>773</v>
      </c>
      <c r="F1443" s="4" t="s">
        <v>773</v>
      </c>
      <c r="G1443" s="4" t="s">
        <v>2047</v>
      </c>
      <c r="H1443" s="4" t="s">
        <v>470</v>
      </c>
      <c r="I1443" s="4" t="s">
        <v>1935</v>
      </c>
      <c r="Q1443" s="11">
        <v>1</v>
      </c>
      <c r="T1443" s="11">
        <v>1</v>
      </c>
      <c r="Z1443" s="11">
        <v>0</v>
      </c>
      <c r="AF1443" s="11">
        <v>1</v>
      </c>
      <c r="AI1443" s="11">
        <v>1</v>
      </c>
    </row>
    <row r="1444" spans="1:35" x14ac:dyDescent="0.25">
      <c r="A1444" s="161" t="str">
        <f t="shared" si="25"/>
        <v>SCOUT_IROQUOIS</v>
      </c>
      <c r="B1444" s="9" t="s">
        <v>773</v>
      </c>
      <c r="C1444" s="4" t="s">
        <v>721</v>
      </c>
      <c r="E1444" s="4" t="s">
        <v>773</v>
      </c>
      <c r="F1444" s="4" t="s">
        <v>773</v>
      </c>
      <c r="H1444" s="4" t="s">
        <v>947</v>
      </c>
      <c r="I1444" s="4" t="s">
        <v>1935</v>
      </c>
      <c r="Q1444" s="11">
        <v>2</v>
      </c>
      <c r="T1444" s="11">
        <v>2</v>
      </c>
      <c r="Z1444" s="11">
        <v>0</v>
      </c>
      <c r="AF1444" s="11">
        <v>0</v>
      </c>
      <c r="AI1444" s="11">
        <v>2</v>
      </c>
    </row>
    <row r="1445" spans="1:35" x14ac:dyDescent="0.25">
      <c r="A1445" s="161" t="str">
        <f t="shared" si="25"/>
        <v>SCOUT_IROQUOIS</v>
      </c>
      <c r="B1445" s="9" t="s">
        <v>773</v>
      </c>
      <c r="C1445" s="4" t="s">
        <v>721</v>
      </c>
      <c r="E1445" s="4" t="s">
        <v>773</v>
      </c>
      <c r="F1445" s="4" t="s">
        <v>773</v>
      </c>
      <c r="G1445" s="4" t="s">
        <v>2047</v>
      </c>
      <c r="H1445" s="4" t="s">
        <v>470</v>
      </c>
      <c r="I1445" s="4" t="s">
        <v>1935</v>
      </c>
      <c r="Q1445" s="9">
        <v>2</v>
      </c>
      <c r="T1445" s="11">
        <v>2</v>
      </c>
      <c r="Z1445" s="9">
        <v>0</v>
      </c>
      <c r="AF1445" s="11">
        <v>0</v>
      </c>
      <c r="AI1445" s="11">
        <v>1</v>
      </c>
    </row>
    <row r="1446" spans="1:35" x14ac:dyDescent="0.25">
      <c r="A1446" s="161" t="str">
        <f t="shared" si="25"/>
        <v>SCOUT_ASIA</v>
      </c>
      <c r="B1446" s="9" t="s">
        <v>773</v>
      </c>
      <c r="C1446" s="4" t="s">
        <v>693</v>
      </c>
      <c r="E1446" s="4" t="s">
        <v>773</v>
      </c>
      <c r="F1446" s="4" t="s">
        <v>773</v>
      </c>
      <c r="H1446" s="4" t="s">
        <v>454</v>
      </c>
      <c r="I1446" s="4" t="s">
        <v>2098</v>
      </c>
    </row>
    <row r="1447" spans="1:35" x14ac:dyDescent="0.25">
      <c r="A1447" s="161" t="str">
        <f t="shared" si="25"/>
        <v>SCOUT_BELGIUM</v>
      </c>
      <c r="B1447" s="9" t="s">
        <v>773</v>
      </c>
      <c r="C1447" s="4" t="s">
        <v>704</v>
      </c>
      <c r="D1447" s="4" t="s">
        <v>709</v>
      </c>
      <c r="E1447" s="4" t="s">
        <v>773</v>
      </c>
      <c r="F1447" s="4" t="s">
        <v>773</v>
      </c>
    </row>
    <row r="1448" spans="1:35" x14ac:dyDescent="0.25">
      <c r="A1448" s="161" t="str">
        <f t="shared" si="25"/>
        <v>SCOUT_CELTS</v>
      </c>
      <c r="B1448" s="9" t="s">
        <v>773</v>
      </c>
      <c r="C1448" s="4" t="s">
        <v>709</v>
      </c>
      <c r="E1448" s="4" t="s">
        <v>773</v>
      </c>
      <c r="F1448" s="4" t="s">
        <v>773</v>
      </c>
      <c r="G1448" s="14" t="s">
        <v>132</v>
      </c>
      <c r="H1448" s="4" t="s">
        <v>241</v>
      </c>
      <c r="I1448" s="4" t="s">
        <v>1055</v>
      </c>
    </row>
    <row r="1449" spans="1:35" x14ac:dyDescent="0.25">
      <c r="A1449" s="161" t="str">
        <f t="shared" si="25"/>
        <v>SCOUT_ENGLAND</v>
      </c>
      <c r="B1449" s="9" t="s">
        <v>773</v>
      </c>
      <c r="C1449" s="4" t="s">
        <v>713</v>
      </c>
      <c r="D1449" s="4" t="s">
        <v>709</v>
      </c>
      <c r="E1449" s="4" t="s">
        <v>773</v>
      </c>
      <c r="F1449" s="4" t="s">
        <v>773</v>
      </c>
      <c r="G1449" s="14" t="s">
        <v>132</v>
      </c>
      <c r="H1449" s="1"/>
      <c r="I1449" s="1"/>
    </row>
    <row r="1450" spans="1:35" x14ac:dyDescent="0.25">
      <c r="A1450" s="161" t="str">
        <f t="shared" si="25"/>
        <v>SCOUT_FRANCE</v>
      </c>
      <c r="B1450" s="9" t="s">
        <v>773</v>
      </c>
      <c r="C1450" s="4" t="s">
        <v>715</v>
      </c>
      <c r="D1450" s="4" t="s">
        <v>709</v>
      </c>
      <c r="E1450" s="4" t="s">
        <v>773</v>
      </c>
      <c r="F1450" s="4" t="s">
        <v>773</v>
      </c>
      <c r="G1450" s="14"/>
    </row>
    <row r="1451" spans="1:35" x14ac:dyDescent="0.25">
      <c r="A1451" s="161" t="str">
        <f>CONCATENATE(E1451,IF(ISBLANK(C1451),"",CONCATENATE("_",C1451)))</f>
        <v>SCOUT_NETHERLANDS</v>
      </c>
      <c r="B1451" s="9" t="s">
        <v>773</v>
      </c>
      <c r="C1451" s="4" t="s">
        <v>730</v>
      </c>
      <c r="D1451" s="4" t="s">
        <v>962</v>
      </c>
      <c r="E1451" s="4" t="s">
        <v>773</v>
      </c>
      <c r="F1451" s="4" t="s">
        <v>773</v>
      </c>
    </row>
    <row r="1452" spans="1:35" x14ac:dyDescent="0.25">
      <c r="A1452" s="161" t="str">
        <f t="shared" si="25"/>
        <v>SCOUT_SWISS</v>
      </c>
      <c r="B1452" s="9" t="s">
        <v>773</v>
      </c>
      <c r="C1452" s="4" t="s">
        <v>740</v>
      </c>
      <c r="D1452" s="4" t="s">
        <v>709</v>
      </c>
      <c r="E1452" s="4" t="s">
        <v>773</v>
      </c>
      <c r="F1452" s="4" t="s">
        <v>773</v>
      </c>
      <c r="G1452" s="14"/>
    </row>
    <row r="1453" spans="1:35" x14ac:dyDescent="0.25">
      <c r="A1453" s="161" t="str">
        <f t="shared" si="25"/>
        <v>SCOUT_MED</v>
      </c>
      <c r="B1453" s="9" t="s">
        <v>773</v>
      </c>
      <c r="C1453" s="4" t="s">
        <v>692</v>
      </c>
      <c r="E1453" s="4" t="s">
        <v>773</v>
      </c>
      <c r="F1453" s="4" t="s">
        <v>773</v>
      </c>
      <c r="H1453" s="4" t="s">
        <v>233</v>
      </c>
      <c r="I1453" s="4" t="s">
        <v>1055</v>
      </c>
    </row>
    <row r="1454" spans="1:35" x14ac:dyDescent="0.25">
      <c r="A1454" s="161" t="str">
        <f t="shared" si="25"/>
        <v>SCOUT_MIDEAST</v>
      </c>
      <c r="B1454" s="9" t="s">
        <v>773</v>
      </c>
      <c r="C1454" s="4" t="s">
        <v>690</v>
      </c>
      <c r="E1454" s="4" t="s">
        <v>773</v>
      </c>
      <c r="F1454" s="4" t="s">
        <v>773</v>
      </c>
      <c r="H1454" s="4" t="s">
        <v>961</v>
      </c>
      <c r="I1454" s="4" t="s">
        <v>1055</v>
      </c>
    </row>
    <row r="1455" spans="1:35" x14ac:dyDescent="0.25">
      <c r="A1455" s="161" t="str">
        <f t="shared" si="25"/>
        <v>SCOUT_EGYPT</v>
      </c>
      <c r="B1455" s="9" t="s">
        <v>773</v>
      </c>
      <c r="C1455" s="4" t="s">
        <v>712</v>
      </c>
      <c r="E1455" s="4" t="s">
        <v>773</v>
      </c>
      <c r="F1455" s="4" t="s">
        <v>773</v>
      </c>
      <c r="H1455" s="4" t="s">
        <v>1811</v>
      </c>
      <c r="I1455" s="4" t="s">
        <v>1813</v>
      </c>
    </row>
    <row r="1456" spans="1:35" x14ac:dyDescent="0.25">
      <c r="A1456" s="161" t="str">
        <f t="shared" si="25"/>
        <v>SCOUT_LEVANT</v>
      </c>
      <c r="B1456" s="9" t="s">
        <v>773</v>
      </c>
      <c r="C1456" s="4" t="s">
        <v>724</v>
      </c>
      <c r="D1456" s="4" t="s">
        <v>731</v>
      </c>
      <c r="E1456" s="4" t="s">
        <v>773</v>
      </c>
      <c r="F1456" s="4" t="s">
        <v>773</v>
      </c>
    </row>
    <row r="1457" spans="1:43" x14ac:dyDescent="0.25">
      <c r="A1457" s="161" t="str">
        <f>CONCATENATE(E1457,IF(ISBLANK(C1457),"",CONCATENATE("_",C1457)))</f>
        <v>SCOUT_PERSIA</v>
      </c>
      <c r="B1457" s="9" t="s">
        <v>773</v>
      </c>
      <c r="C1457" s="4" t="s">
        <v>731</v>
      </c>
      <c r="E1457" s="4" t="s">
        <v>773</v>
      </c>
      <c r="F1457" s="4" t="s">
        <v>773</v>
      </c>
      <c r="H1457" s="4" t="s">
        <v>1787</v>
      </c>
      <c r="I1457" s="4" t="s">
        <v>1794</v>
      </c>
    </row>
    <row r="1458" spans="1:43" x14ac:dyDescent="0.25">
      <c r="A1458" s="161" t="str">
        <f>CONCATENATE(E1458,IF(ISBLANK(C1458),"",CONCATENATE("_",C1458)))</f>
        <v>SCOUT_NORTHAF</v>
      </c>
      <c r="B1458" s="9" t="s">
        <v>773</v>
      </c>
      <c r="C1458" s="4" t="s">
        <v>2011</v>
      </c>
      <c r="E1458" s="4" t="s">
        <v>773</v>
      </c>
      <c r="F1458" s="4" t="s">
        <v>773</v>
      </c>
      <c r="H1458" s="4" t="s">
        <v>645</v>
      </c>
      <c r="I1458" s="4" t="s">
        <v>1055</v>
      </c>
    </row>
    <row r="1459" spans="1:43" x14ac:dyDescent="0.25">
      <c r="A1459" s="161" t="str">
        <f t="shared" si="25"/>
        <v>SCOUT_NORTHEU</v>
      </c>
      <c r="B1459" s="9" t="s">
        <v>773</v>
      </c>
      <c r="C1459" s="4" t="s">
        <v>962</v>
      </c>
      <c r="E1459" s="4" t="s">
        <v>773</v>
      </c>
      <c r="F1459" s="4" t="s">
        <v>773</v>
      </c>
      <c r="H1459" s="4" t="s">
        <v>1985</v>
      </c>
      <c r="I1459" s="4" t="s">
        <v>835</v>
      </c>
    </row>
    <row r="1460" spans="1:43" x14ac:dyDescent="0.25">
      <c r="A1460" s="161" t="str">
        <f t="shared" si="25"/>
        <v>SCOUT_OCEAN</v>
      </c>
      <c r="B1460" s="9" t="s">
        <v>773</v>
      </c>
      <c r="C1460" s="4" t="s">
        <v>994</v>
      </c>
      <c r="D1460" s="4" t="s">
        <v>702</v>
      </c>
      <c r="E1460" s="4" t="s">
        <v>773</v>
      </c>
      <c r="F1460" s="4" t="s">
        <v>773</v>
      </c>
    </row>
    <row r="1461" spans="1:43" x14ac:dyDescent="0.25">
      <c r="A1461" s="161" t="str">
        <f t="shared" si="25"/>
        <v>SCOUT_SAHUL</v>
      </c>
      <c r="B1461" s="9" t="s">
        <v>773</v>
      </c>
      <c r="C1461" s="4" t="s">
        <v>1788</v>
      </c>
      <c r="E1461" s="4" t="s">
        <v>773</v>
      </c>
      <c r="F1461" s="4" t="s">
        <v>773</v>
      </c>
      <c r="H1461" s="4" t="s">
        <v>1789</v>
      </c>
      <c r="I1461" s="4" t="s">
        <v>1794</v>
      </c>
    </row>
    <row r="1462" spans="1:43" x14ac:dyDescent="0.25">
      <c r="A1462" s="161" t="str">
        <f t="shared" si="25"/>
        <v>SCOUT_SEASIA</v>
      </c>
      <c r="B1462" s="9" t="s">
        <v>773</v>
      </c>
      <c r="C1462" s="4" t="s">
        <v>696</v>
      </c>
      <c r="D1462" s="4" t="s">
        <v>693</v>
      </c>
      <c r="E1462" s="4" t="s">
        <v>773</v>
      </c>
      <c r="F1462" s="4" t="s">
        <v>773</v>
      </c>
    </row>
    <row r="1463" spans="1:43" x14ac:dyDescent="0.25">
      <c r="A1463" s="161" t="str">
        <f t="shared" si="25"/>
        <v>SCOUT_SOUTHAM</v>
      </c>
      <c r="B1463" s="9" t="s">
        <v>773</v>
      </c>
      <c r="C1463" s="4" t="s">
        <v>691</v>
      </c>
      <c r="E1463" s="4" t="s">
        <v>773</v>
      </c>
      <c r="F1463" s="4" t="s">
        <v>773</v>
      </c>
      <c r="H1463" s="4" t="s">
        <v>1817</v>
      </c>
      <c r="I1463" s="4" t="s">
        <v>963</v>
      </c>
    </row>
    <row r="1464" spans="1:43" x14ac:dyDescent="0.25">
      <c r="A1464" s="161" t="str">
        <f t="shared" si="25"/>
        <v>SCOUT_AZTEC</v>
      </c>
      <c r="B1464" s="9" t="s">
        <v>773</v>
      </c>
      <c r="C1464" s="4" t="s">
        <v>702</v>
      </c>
      <c r="E1464" s="4" t="s">
        <v>773</v>
      </c>
      <c r="F1464" s="4" t="s">
        <v>773</v>
      </c>
      <c r="G1464" s="14"/>
      <c r="H1464" s="4" t="s">
        <v>201</v>
      </c>
      <c r="I1464" s="4" t="s">
        <v>102</v>
      </c>
    </row>
    <row r="1465" spans="1:43" x14ac:dyDescent="0.25">
      <c r="A1465" s="161" t="str">
        <f t="shared" si="25"/>
        <v>SCOUT_INCA</v>
      </c>
      <c r="B1465" s="9" t="s">
        <v>773</v>
      </c>
      <c r="C1465" s="4" t="s">
        <v>719</v>
      </c>
      <c r="E1465" s="4" t="s">
        <v>773</v>
      </c>
      <c r="F1465" s="4" t="s">
        <v>773</v>
      </c>
      <c r="G1465" s="14" t="s">
        <v>132</v>
      </c>
      <c r="H1465" s="4" t="s">
        <v>427</v>
      </c>
      <c r="I1465" s="4" t="s">
        <v>1025</v>
      </c>
    </row>
    <row r="1466" spans="1:43" x14ac:dyDescent="0.25">
      <c r="A1466" s="161" t="str">
        <f t="shared" ref="A1466:A1533" si="27">CONCATENATE(E1466,IF(ISBLANK(C1466),"",CONCATENATE("_",C1466)))</f>
        <v>SCOUT_SOUTHAS</v>
      </c>
      <c r="B1466" s="9" t="s">
        <v>773</v>
      </c>
      <c r="C1466" s="4" t="s">
        <v>695</v>
      </c>
      <c r="E1466" s="4" t="s">
        <v>773</v>
      </c>
      <c r="F1466" s="4" t="s">
        <v>773</v>
      </c>
      <c r="H1466" s="4" t="s">
        <v>1812</v>
      </c>
      <c r="I1466" s="4" t="s">
        <v>1794</v>
      </c>
    </row>
    <row r="1467" spans="1:43" x14ac:dyDescent="0.25">
      <c r="A1467" s="161" t="str">
        <f t="shared" si="27"/>
        <v>SCOUT_INDIA</v>
      </c>
      <c r="B1467" s="9" t="s">
        <v>773</v>
      </c>
      <c r="C1467" s="4" t="s">
        <v>720</v>
      </c>
      <c r="E1467" s="4" t="s">
        <v>773</v>
      </c>
      <c r="F1467" s="4" t="s">
        <v>773</v>
      </c>
      <c r="G1467" s="14" t="s">
        <v>132</v>
      </c>
      <c r="H1467" s="4" t="s">
        <v>442</v>
      </c>
      <c r="I1467" s="4" t="s">
        <v>102</v>
      </c>
    </row>
    <row r="1468" spans="1:43" x14ac:dyDescent="0.25">
      <c r="A1468" s="161" t="str">
        <f t="shared" si="27"/>
        <v>SCRAMBLE_FORCE_PUBLIQUE</v>
      </c>
      <c r="C1468" s="5"/>
      <c r="D1468" s="5"/>
      <c r="E1468" s="5" t="s">
        <v>1369</v>
      </c>
      <c r="F1468" s="5" t="s">
        <v>1369</v>
      </c>
      <c r="G1468" s="5"/>
      <c r="H1468" s="5" t="s">
        <v>1508</v>
      </c>
      <c r="I1468" s="5" t="s">
        <v>128</v>
      </c>
      <c r="J1468" s="6"/>
      <c r="K1468" s="6"/>
      <c r="L1468" s="13" t="s">
        <v>1708</v>
      </c>
      <c r="M1468" s="8"/>
      <c r="N1468" s="5"/>
      <c r="O1468" s="5"/>
      <c r="P1468" s="5"/>
      <c r="Q1468" s="7" t="s">
        <v>1737</v>
      </c>
      <c r="R1468" s="6" t="s">
        <v>1737</v>
      </c>
      <c r="S1468" s="13" t="s">
        <v>1620</v>
      </c>
      <c r="T1468" s="6"/>
      <c r="U1468" s="6"/>
      <c r="V1468" s="5"/>
      <c r="W1468" s="7" t="s">
        <v>3</v>
      </c>
      <c r="X1468" s="6" t="s">
        <v>3</v>
      </c>
      <c r="Y1468" s="5"/>
      <c r="Z1468" s="7">
        <v>1</v>
      </c>
      <c r="AA1468" s="6"/>
      <c r="AB1468" s="5"/>
      <c r="AC1468" s="6"/>
      <c r="AD1468" s="6" t="s">
        <v>3</v>
      </c>
      <c r="AE1468" s="5"/>
      <c r="AF1468" s="6" t="s">
        <v>1737</v>
      </c>
      <c r="AG1468" s="6"/>
      <c r="AH1468" s="5"/>
      <c r="AI1468" s="6" t="s">
        <v>1737</v>
      </c>
      <c r="AJ1468" s="6"/>
      <c r="AK1468" s="5"/>
      <c r="AL1468" s="5"/>
      <c r="AM1468" s="5"/>
      <c r="AN1468" s="5"/>
      <c r="AO1468" s="5"/>
      <c r="AP1468" s="5"/>
      <c r="AQ1468" s="5"/>
    </row>
    <row r="1469" spans="1:43" x14ac:dyDescent="0.25">
      <c r="A1469" s="161" t="str">
        <f t="shared" si="27"/>
        <v>SCRAMBLE_FOREIGN_VOLUNTEERS</v>
      </c>
      <c r="C1469" s="5"/>
      <c r="D1469" s="5"/>
      <c r="E1469" s="5" t="s">
        <v>1370</v>
      </c>
      <c r="F1469" s="5" t="s">
        <v>1370</v>
      </c>
      <c r="G1469" s="5"/>
      <c r="H1469" s="5" t="s">
        <v>21</v>
      </c>
      <c r="I1469" s="5" t="s">
        <v>128</v>
      </c>
      <c r="J1469" s="6"/>
      <c r="K1469" s="6"/>
      <c r="L1469" s="13" t="s">
        <v>1708</v>
      </c>
      <c r="M1469" s="8"/>
      <c r="N1469" s="5"/>
      <c r="O1469" s="5"/>
      <c r="P1469" s="5"/>
      <c r="Q1469" s="7">
        <v>14</v>
      </c>
      <c r="R1469" s="6" t="s">
        <v>1737</v>
      </c>
      <c r="S1469" s="13" t="s">
        <v>1619</v>
      </c>
      <c r="T1469" s="6"/>
      <c r="U1469" s="6"/>
      <c r="V1469" s="5"/>
      <c r="W1469" s="7" t="s">
        <v>3</v>
      </c>
      <c r="X1469" s="6" t="s">
        <v>3</v>
      </c>
      <c r="Y1469" s="5"/>
      <c r="Z1469" s="7">
        <v>1</v>
      </c>
      <c r="AA1469" s="6"/>
      <c r="AB1469" s="5"/>
      <c r="AC1469" s="6"/>
      <c r="AD1469" s="6" t="s">
        <v>3</v>
      </c>
      <c r="AE1469" s="5"/>
      <c r="AF1469" s="6" t="s">
        <v>1737</v>
      </c>
      <c r="AG1469" s="6"/>
      <c r="AH1469" s="5"/>
      <c r="AI1469" s="6" t="s">
        <v>1737</v>
      </c>
      <c r="AJ1469" s="6"/>
      <c r="AK1469" s="5"/>
      <c r="AL1469" s="5"/>
      <c r="AM1469" s="5"/>
      <c r="AN1469" s="5"/>
      <c r="AO1469" s="5"/>
      <c r="AP1469" s="5"/>
      <c r="AQ1469" s="5"/>
    </row>
    <row r="1470" spans="1:43" x14ac:dyDescent="0.25">
      <c r="A1470" s="161" t="str">
        <f t="shared" si="27"/>
        <v>SMOKEY_LANDSHIP_LEVEL_1</v>
      </c>
      <c r="C1470" s="5"/>
      <c r="D1470" s="5"/>
      <c r="E1470" s="5" t="s">
        <v>1371</v>
      </c>
      <c r="F1470" s="5" t="s">
        <v>1371</v>
      </c>
      <c r="G1470" s="5"/>
      <c r="H1470" s="5" t="s">
        <v>1523</v>
      </c>
      <c r="I1470" s="5" t="s">
        <v>128</v>
      </c>
      <c r="J1470" s="6"/>
      <c r="K1470" s="6"/>
      <c r="L1470" s="13" t="s">
        <v>1709</v>
      </c>
      <c r="M1470" s="8"/>
      <c r="N1470" s="5"/>
      <c r="O1470" s="5"/>
      <c r="P1470" s="5"/>
      <c r="Q1470" s="7">
        <v>2</v>
      </c>
      <c r="R1470" s="6">
        <v>0.16</v>
      </c>
      <c r="S1470" s="13" t="s">
        <v>1613</v>
      </c>
      <c r="T1470" s="6"/>
      <c r="U1470" s="6"/>
      <c r="V1470" s="5"/>
      <c r="W1470" s="6" t="s">
        <v>3</v>
      </c>
      <c r="X1470" s="6" t="s">
        <v>3</v>
      </c>
      <c r="Y1470" s="5"/>
      <c r="Z1470" s="7">
        <v>1</v>
      </c>
      <c r="AA1470" s="6"/>
      <c r="AB1470" s="5"/>
      <c r="AC1470" s="6"/>
      <c r="AD1470" s="6" t="s">
        <v>3</v>
      </c>
      <c r="AE1470" s="5"/>
      <c r="AF1470" s="6"/>
      <c r="AG1470" s="6"/>
      <c r="AH1470" s="5"/>
      <c r="AI1470" s="6"/>
      <c r="AJ1470" s="6"/>
      <c r="AK1470" s="5"/>
      <c r="AL1470" s="5"/>
      <c r="AM1470" s="5"/>
      <c r="AN1470" s="5"/>
      <c r="AO1470" s="5"/>
      <c r="AP1470" s="5"/>
      <c r="AQ1470" s="5"/>
    </row>
    <row r="1471" spans="1:43" x14ac:dyDescent="0.25">
      <c r="A1471" s="161" t="str">
        <f t="shared" si="27"/>
        <v>SMOKEY_LANDSHIP_LEVEL_2</v>
      </c>
      <c r="C1471" s="5"/>
      <c r="D1471" s="5"/>
      <c r="E1471" s="5" t="s">
        <v>1372</v>
      </c>
      <c r="F1471" s="5" t="s">
        <v>1372</v>
      </c>
      <c r="G1471" s="5"/>
      <c r="H1471" s="5" t="s">
        <v>1524</v>
      </c>
      <c r="I1471" s="5" t="s">
        <v>128</v>
      </c>
      <c r="J1471" s="6"/>
      <c r="K1471" s="6"/>
      <c r="L1471" s="13" t="s">
        <v>1709</v>
      </c>
      <c r="M1471" s="8"/>
      <c r="N1471" s="5"/>
      <c r="O1471" s="5"/>
      <c r="P1471" s="5"/>
      <c r="Q1471" s="7">
        <v>2</v>
      </c>
      <c r="R1471" s="6">
        <v>0.15</v>
      </c>
      <c r="S1471" s="13" t="s">
        <v>1613</v>
      </c>
      <c r="T1471" s="6"/>
      <c r="U1471" s="6"/>
      <c r="V1471" s="5"/>
      <c r="W1471" s="6" t="s">
        <v>3</v>
      </c>
      <c r="X1471" s="6" t="s">
        <v>3</v>
      </c>
      <c r="Y1471" s="5"/>
      <c r="Z1471" s="7">
        <v>1</v>
      </c>
      <c r="AA1471" s="6"/>
      <c r="AB1471" s="5"/>
      <c r="AC1471" s="6"/>
      <c r="AD1471" s="6" t="s">
        <v>3</v>
      </c>
      <c r="AE1471" s="5"/>
      <c r="AF1471" s="6"/>
      <c r="AG1471" s="6"/>
      <c r="AH1471" s="5"/>
      <c r="AI1471" s="6"/>
      <c r="AJ1471" s="6"/>
      <c r="AK1471" s="5"/>
      <c r="AL1471" s="5"/>
      <c r="AM1471" s="5"/>
      <c r="AN1471" s="5"/>
      <c r="AO1471" s="5"/>
      <c r="AP1471" s="5"/>
      <c r="AQ1471" s="5"/>
    </row>
    <row r="1472" spans="1:43" x14ac:dyDescent="0.25">
      <c r="A1472" s="161" t="str">
        <f t="shared" si="27"/>
        <v>SMOKEY_LANDSHIP_LEVEL_3</v>
      </c>
      <c r="C1472" s="5"/>
      <c r="D1472" s="5"/>
      <c r="E1472" s="5" t="s">
        <v>1373</v>
      </c>
      <c r="F1472" s="5" t="s">
        <v>1373</v>
      </c>
      <c r="G1472" s="5"/>
      <c r="H1472" s="5" t="s">
        <v>1525</v>
      </c>
      <c r="I1472" s="5" t="s">
        <v>128</v>
      </c>
      <c r="J1472" s="6"/>
      <c r="K1472" s="6"/>
      <c r="L1472" s="13" t="s">
        <v>1709</v>
      </c>
      <c r="M1472" s="8"/>
      <c r="N1472" s="5"/>
      <c r="O1472" s="5"/>
      <c r="P1472" s="5"/>
      <c r="Q1472" s="7">
        <v>1</v>
      </c>
      <c r="R1472" s="6">
        <v>0.2</v>
      </c>
      <c r="S1472" s="13" t="s">
        <v>1613</v>
      </c>
      <c r="T1472" s="6"/>
      <c r="U1472" s="6"/>
      <c r="V1472" s="5"/>
      <c r="W1472" s="7" t="s">
        <v>3</v>
      </c>
      <c r="X1472" s="6" t="s">
        <v>3</v>
      </c>
      <c r="Y1472" s="5"/>
      <c r="Z1472" s="6"/>
      <c r="AA1472" s="6"/>
      <c r="AB1472" s="5"/>
      <c r="AC1472" s="6"/>
      <c r="AD1472" s="6" t="s">
        <v>3</v>
      </c>
      <c r="AE1472" s="5"/>
      <c r="AF1472" s="6"/>
      <c r="AG1472" s="6"/>
      <c r="AH1472" s="5"/>
      <c r="AI1472" s="6"/>
      <c r="AJ1472" s="6"/>
      <c r="AK1472" s="5"/>
      <c r="AL1472" s="5"/>
      <c r="AM1472" s="5"/>
      <c r="AN1472" s="5"/>
      <c r="AO1472" s="5"/>
      <c r="AP1472" s="5"/>
      <c r="AQ1472" s="5"/>
    </row>
    <row r="1473" spans="1:43" x14ac:dyDescent="0.25">
      <c r="A1473" s="161" t="str">
        <f t="shared" si="27"/>
        <v>SMOKEY_STEAM_AIRSHIP</v>
      </c>
      <c r="C1473" s="5"/>
      <c r="D1473" s="5"/>
      <c r="E1473" s="5" t="s">
        <v>1374</v>
      </c>
      <c r="F1473" s="5" t="s">
        <v>1377</v>
      </c>
      <c r="G1473" s="5"/>
      <c r="H1473" s="5" t="s">
        <v>1522</v>
      </c>
      <c r="I1473" s="5" t="s">
        <v>128</v>
      </c>
      <c r="J1473" s="6"/>
      <c r="K1473" s="7"/>
      <c r="L1473" s="13" t="s">
        <v>1709</v>
      </c>
      <c r="M1473" s="8"/>
      <c r="N1473" s="13" t="s">
        <v>1726</v>
      </c>
      <c r="O1473" s="13"/>
      <c r="P1473" s="13"/>
      <c r="Q1473" s="7">
        <v>1</v>
      </c>
      <c r="R1473" s="7">
        <v>0.21</v>
      </c>
      <c r="S1473" s="13" t="s">
        <v>1621</v>
      </c>
      <c r="T1473" s="6"/>
      <c r="U1473" s="6"/>
      <c r="V1473" s="5"/>
      <c r="W1473" s="7" t="s">
        <v>3</v>
      </c>
      <c r="X1473" s="6" t="s">
        <v>3</v>
      </c>
      <c r="Y1473" s="5"/>
      <c r="Z1473" s="6"/>
      <c r="AA1473" s="6"/>
      <c r="AB1473" s="5"/>
      <c r="AC1473" s="6"/>
      <c r="AD1473" s="6" t="s">
        <v>3</v>
      </c>
      <c r="AE1473" s="5"/>
      <c r="AF1473" s="6"/>
      <c r="AG1473" s="6"/>
      <c r="AH1473" s="5"/>
      <c r="AI1473" s="6"/>
      <c r="AJ1473" s="6"/>
      <c r="AK1473" s="5"/>
      <c r="AL1473" s="5"/>
      <c r="AM1473" s="5"/>
      <c r="AN1473" s="5"/>
      <c r="AO1473" s="5"/>
      <c r="AP1473" s="5"/>
      <c r="AQ1473" s="5"/>
    </row>
    <row r="1474" spans="1:43" x14ac:dyDescent="0.25">
      <c r="A1474" s="161" t="str">
        <f t="shared" si="27"/>
        <v>SMOKEY_STEAM_AIRSHIP_LEVEL_1</v>
      </c>
      <c r="C1474" s="5"/>
      <c r="D1474" s="5"/>
      <c r="E1474" s="5" t="s">
        <v>1375</v>
      </c>
      <c r="F1474" s="5" t="s">
        <v>1378</v>
      </c>
      <c r="G1474" s="5"/>
      <c r="H1474" s="5" t="s">
        <v>1521</v>
      </c>
      <c r="I1474" s="5" t="s">
        <v>128</v>
      </c>
      <c r="J1474" s="6"/>
      <c r="K1474" s="7"/>
      <c r="L1474" s="13" t="s">
        <v>1709</v>
      </c>
      <c r="M1474" s="8"/>
      <c r="N1474" s="13" t="s">
        <v>1726</v>
      </c>
      <c r="O1474" s="13"/>
      <c r="P1474" s="13"/>
      <c r="Q1474" s="7">
        <v>2</v>
      </c>
      <c r="R1474" s="7">
        <v>0.21</v>
      </c>
      <c r="S1474" s="13" t="s">
        <v>1621</v>
      </c>
      <c r="T1474" s="6"/>
      <c r="U1474" s="6"/>
      <c r="V1474" s="5"/>
      <c r="W1474" s="7" t="s">
        <v>3</v>
      </c>
      <c r="X1474" s="6" t="s">
        <v>3</v>
      </c>
      <c r="Y1474" s="5"/>
      <c r="Z1474" s="7">
        <v>1</v>
      </c>
      <c r="AA1474" s="6"/>
      <c r="AB1474" s="5"/>
      <c r="AC1474" s="6"/>
      <c r="AD1474" s="6" t="s">
        <v>3</v>
      </c>
      <c r="AE1474" s="5"/>
      <c r="AF1474" s="6"/>
      <c r="AG1474" s="6"/>
      <c r="AH1474" s="5"/>
      <c r="AI1474" s="6"/>
      <c r="AJ1474" s="6"/>
      <c r="AK1474" s="5"/>
      <c r="AL1474" s="5"/>
      <c r="AM1474" s="5"/>
      <c r="AN1474" s="5"/>
      <c r="AO1474" s="5"/>
      <c r="AP1474" s="5"/>
      <c r="AQ1474" s="5"/>
    </row>
    <row r="1475" spans="1:43" x14ac:dyDescent="0.25">
      <c r="A1475" s="161" t="str">
        <f t="shared" si="27"/>
        <v>SMOKEY_STEAM_FIGHTER</v>
      </c>
      <c r="C1475" s="5"/>
      <c r="D1475" s="5"/>
      <c r="E1475" s="5" t="s">
        <v>1376</v>
      </c>
      <c r="F1475" s="5" t="s">
        <v>1376</v>
      </c>
      <c r="G1475" s="5"/>
      <c r="H1475" s="5" t="s">
        <v>1526</v>
      </c>
      <c r="I1475" s="5" t="s">
        <v>128</v>
      </c>
      <c r="J1475" s="6"/>
      <c r="K1475" s="7"/>
      <c r="L1475" s="13" t="s">
        <v>1711</v>
      </c>
      <c r="M1475" s="8"/>
      <c r="N1475" s="13" t="s">
        <v>1725</v>
      </c>
      <c r="O1475" s="13"/>
      <c r="P1475" s="13"/>
      <c r="Q1475" s="7">
        <v>3</v>
      </c>
      <c r="R1475" s="6">
        <v>0.09</v>
      </c>
      <c r="S1475" s="13" t="s">
        <v>1621</v>
      </c>
      <c r="T1475" s="6"/>
      <c r="U1475" s="6"/>
      <c r="V1475" s="5"/>
      <c r="W1475" s="7" t="s">
        <v>3</v>
      </c>
      <c r="X1475" s="6" t="s">
        <v>3</v>
      </c>
      <c r="Y1475" s="5"/>
      <c r="Z1475" s="7">
        <v>1</v>
      </c>
      <c r="AA1475" s="6"/>
      <c r="AB1475" s="5"/>
      <c r="AC1475" s="6"/>
      <c r="AD1475" s="6" t="s">
        <v>3</v>
      </c>
      <c r="AE1475" s="5"/>
      <c r="AF1475" s="6"/>
      <c r="AG1475" s="6"/>
      <c r="AH1475" s="5"/>
      <c r="AI1475" s="6"/>
      <c r="AJ1475" s="6"/>
      <c r="AK1475" s="5"/>
      <c r="AL1475" s="5"/>
      <c r="AM1475" s="5"/>
      <c r="AN1475" s="5"/>
      <c r="AO1475" s="5"/>
      <c r="AP1475" s="5"/>
      <c r="AQ1475" s="5"/>
    </row>
    <row r="1476" spans="1:43" x14ac:dyDescent="0.25">
      <c r="A1476" s="161" t="str">
        <f t="shared" si="27"/>
        <v>SPEARMAN</v>
      </c>
      <c r="B1476" s="9" t="s">
        <v>106</v>
      </c>
      <c r="C1476" s="5"/>
      <c r="D1476" s="5"/>
      <c r="E1476" s="5" t="s">
        <v>106</v>
      </c>
      <c r="F1476" s="5" t="s">
        <v>106</v>
      </c>
      <c r="G1476" s="5" t="s">
        <v>2047</v>
      </c>
      <c r="H1476" s="5" t="s">
        <v>1527</v>
      </c>
      <c r="I1476" s="5" t="s">
        <v>128</v>
      </c>
      <c r="J1476" s="6"/>
      <c r="K1476" s="6"/>
      <c r="L1476" s="13" t="s">
        <v>1708</v>
      </c>
      <c r="M1476" s="8"/>
      <c r="N1476" s="5"/>
      <c r="O1476" s="5"/>
      <c r="P1476" s="5"/>
      <c r="Q1476" s="6">
        <v>4</v>
      </c>
      <c r="R1476" s="6" t="s">
        <v>1737</v>
      </c>
      <c r="S1476" s="13" t="s">
        <v>1625</v>
      </c>
      <c r="T1476" s="6">
        <v>4</v>
      </c>
      <c r="U1476" s="7" t="s">
        <v>1737</v>
      </c>
      <c r="V1476" s="5"/>
      <c r="W1476" s="6">
        <v>6</v>
      </c>
      <c r="X1476" s="6" t="s">
        <v>3</v>
      </c>
      <c r="Y1476" s="5"/>
      <c r="Z1476" s="7">
        <v>1</v>
      </c>
      <c r="AA1476" s="6"/>
      <c r="AB1476" s="5"/>
      <c r="AC1476" s="6"/>
      <c r="AD1476" s="6" t="s">
        <v>3</v>
      </c>
      <c r="AE1476" s="5"/>
      <c r="AF1476" s="6">
        <v>1</v>
      </c>
      <c r="AG1476" s="6"/>
      <c r="AH1476" s="5"/>
      <c r="AI1476" s="6">
        <v>2</v>
      </c>
      <c r="AJ1476" s="6"/>
      <c r="AK1476" s="5"/>
      <c r="AL1476" s="5"/>
      <c r="AM1476" s="5"/>
      <c r="AN1476" s="5"/>
      <c r="AO1476" s="5"/>
      <c r="AP1476" s="5"/>
      <c r="AQ1476" s="5"/>
    </row>
    <row r="1477" spans="1:43" x14ac:dyDescent="0.25">
      <c r="A1477" s="161" t="str">
        <f t="shared" si="27"/>
        <v>SPEARMAN</v>
      </c>
      <c r="B1477" s="9" t="s">
        <v>106</v>
      </c>
      <c r="C1477" s="5"/>
      <c r="D1477" s="5"/>
      <c r="E1477" s="5" t="s">
        <v>106</v>
      </c>
      <c r="F1477" s="5" t="s">
        <v>106</v>
      </c>
      <c r="G1477" s="5"/>
      <c r="H1477" s="5" t="s">
        <v>19</v>
      </c>
      <c r="I1477" s="5" t="s">
        <v>128</v>
      </c>
      <c r="J1477" s="6"/>
      <c r="K1477" s="6"/>
      <c r="L1477" s="13" t="s">
        <v>1708</v>
      </c>
      <c r="M1477" s="8"/>
      <c r="N1477" s="5"/>
      <c r="O1477" s="5"/>
      <c r="P1477" s="5"/>
      <c r="Q1477" s="6">
        <v>5</v>
      </c>
      <c r="R1477" s="6" t="s">
        <v>1737</v>
      </c>
      <c r="S1477" s="13" t="s">
        <v>1625</v>
      </c>
      <c r="T1477" s="6">
        <v>3</v>
      </c>
      <c r="U1477" s="7" t="s">
        <v>1737</v>
      </c>
      <c r="V1477" s="5"/>
      <c r="W1477" s="6">
        <v>5</v>
      </c>
      <c r="X1477" s="6" t="s">
        <v>3</v>
      </c>
      <c r="Y1477" s="5"/>
      <c r="Z1477" s="7">
        <v>0</v>
      </c>
      <c r="AA1477" s="6"/>
      <c r="AB1477" s="5"/>
      <c r="AC1477" s="6"/>
      <c r="AD1477" s="6" t="s">
        <v>3</v>
      </c>
      <c r="AE1477" s="5"/>
      <c r="AF1477" s="6">
        <v>1</v>
      </c>
      <c r="AG1477" s="6"/>
      <c r="AH1477" s="5"/>
      <c r="AI1477" s="6">
        <v>3</v>
      </c>
      <c r="AJ1477" s="6"/>
      <c r="AK1477" s="5"/>
      <c r="AL1477" s="5"/>
      <c r="AM1477" s="5"/>
      <c r="AN1477" s="5"/>
      <c r="AO1477" s="5"/>
      <c r="AP1477" s="5"/>
      <c r="AQ1477" s="5"/>
    </row>
    <row r="1478" spans="1:43" x14ac:dyDescent="0.25">
      <c r="A1478" s="161" t="str">
        <f t="shared" si="27"/>
        <v>SPEARMAN</v>
      </c>
      <c r="B1478" s="9" t="s">
        <v>106</v>
      </c>
      <c r="C1478" s="5"/>
      <c r="D1478" s="5"/>
      <c r="E1478" s="5" t="s">
        <v>106</v>
      </c>
      <c r="F1478" s="5" t="s">
        <v>106</v>
      </c>
      <c r="G1478" s="5" t="s">
        <v>2049</v>
      </c>
      <c r="H1478" s="5" t="s">
        <v>1528</v>
      </c>
      <c r="I1478" s="5" t="s">
        <v>128</v>
      </c>
      <c r="J1478" s="6"/>
      <c r="K1478" s="6"/>
      <c r="L1478" s="13" t="s">
        <v>1708</v>
      </c>
      <c r="M1478" s="8"/>
      <c r="N1478" s="5"/>
      <c r="O1478" s="5"/>
      <c r="P1478" s="5"/>
      <c r="Q1478" s="6">
        <v>3</v>
      </c>
      <c r="R1478" s="6" t="s">
        <v>1737</v>
      </c>
      <c r="S1478" s="13" t="s">
        <v>1625</v>
      </c>
      <c r="T1478" s="6">
        <v>2</v>
      </c>
      <c r="U1478" s="7" t="s">
        <v>1737</v>
      </c>
      <c r="V1478" s="5"/>
      <c r="W1478" s="6">
        <v>3</v>
      </c>
      <c r="X1478" s="6" t="s">
        <v>3</v>
      </c>
      <c r="Y1478" s="5"/>
      <c r="Z1478" s="7">
        <v>0</v>
      </c>
      <c r="AA1478" s="6"/>
      <c r="AB1478" s="5"/>
      <c r="AC1478" s="6"/>
      <c r="AD1478" s="6" t="s">
        <v>3</v>
      </c>
      <c r="AE1478" s="5"/>
      <c r="AF1478" s="6">
        <v>1</v>
      </c>
      <c r="AG1478" s="6"/>
      <c r="AH1478" s="5"/>
      <c r="AI1478" s="6">
        <v>2</v>
      </c>
      <c r="AJ1478" s="6"/>
      <c r="AK1478" s="5"/>
      <c r="AL1478" s="5"/>
      <c r="AM1478" s="5"/>
      <c r="AN1478" s="5"/>
      <c r="AO1478" s="5"/>
      <c r="AP1478" s="5"/>
      <c r="AQ1478" s="5"/>
    </row>
    <row r="1479" spans="1:43" x14ac:dyDescent="0.25">
      <c r="A1479" s="161" t="str">
        <f t="shared" si="27"/>
        <v>SPEARMAN</v>
      </c>
      <c r="B1479" s="9" t="s">
        <v>106</v>
      </c>
      <c r="C1479" s="5"/>
      <c r="D1479" s="5"/>
      <c r="E1479" s="5" t="s">
        <v>106</v>
      </c>
      <c r="F1479" s="5" t="s">
        <v>106</v>
      </c>
      <c r="G1479" s="5" t="s">
        <v>2047</v>
      </c>
      <c r="H1479" s="5" t="s">
        <v>1527</v>
      </c>
      <c r="I1479" s="5" t="s">
        <v>128</v>
      </c>
      <c r="J1479" s="6"/>
      <c r="K1479" s="6"/>
      <c r="L1479" s="13" t="s">
        <v>1708</v>
      </c>
      <c r="M1479" s="8"/>
      <c r="N1479" s="5"/>
      <c r="O1479" s="5"/>
      <c r="P1479" s="5"/>
      <c r="Q1479" s="6">
        <v>0</v>
      </c>
      <c r="R1479" s="6" t="s">
        <v>1737</v>
      </c>
      <c r="S1479" s="13" t="s">
        <v>1625</v>
      </c>
      <c r="T1479" s="6">
        <v>5</v>
      </c>
      <c r="U1479" s="7" t="s">
        <v>1737</v>
      </c>
      <c r="V1479" s="5"/>
      <c r="W1479" s="7">
        <v>7</v>
      </c>
      <c r="X1479" s="6" t="s">
        <v>3</v>
      </c>
      <c r="Y1479" s="5"/>
      <c r="Z1479" s="7">
        <v>0</v>
      </c>
      <c r="AA1479" s="6"/>
      <c r="AB1479" s="5"/>
      <c r="AC1479" s="6"/>
      <c r="AD1479" s="6" t="s">
        <v>3</v>
      </c>
      <c r="AE1479" s="5"/>
      <c r="AF1479" s="6">
        <v>1</v>
      </c>
      <c r="AG1479" s="6"/>
      <c r="AH1479" s="5"/>
      <c r="AI1479" s="6">
        <v>0</v>
      </c>
      <c r="AJ1479" s="6"/>
      <c r="AK1479" s="5"/>
      <c r="AL1479" s="5"/>
      <c r="AM1479" s="5"/>
      <c r="AN1479" s="5"/>
      <c r="AO1479" s="5"/>
      <c r="AP1479" s="5"/>
      <c r="AQ1479" s="5"/>
    </row>
    <row r="1480" spans="1:43" x14ac:dyDescent="0.25">
      <c r="A1480" s="161" t="str">
        <f t="shared" si="27"/>
        <v>SPEARMAN</v>
      </c>
      <c r="B1480" s="9" t="s">
        <v>106</v>
      </c>
      <c r="C1480" s="5"/>
      <c r="D1480" s="5"/>
      <c r="E1480" s="5" t="s">
        <v>106</v>
      </c>
      <c r="F1480" s="5" t="s">
        <v>106</v>
      </c>
      <c r="G1480" s="5"/>
      <c r="H1480" s="5" t="s">
        <v>19</v>
      </c>
      <c r="I1480" s="5" t="s">
        <v>128</v>
      </c>
      <c r="J1480" s="6"/>
      <c r="K1480" s="6"/>
      <c r="L1480" s="13" t="s">
        <v>1708</v>
      </c>
      <c r="M1480" s="8"/>
      <c r="N1480" s="5"/>
      <c r="O1480" s="5"/>
      <c r="P1480" s="5"/>
      <c r="Q1480" s="6">
        <v>0</v>
      </c>
      <c r="R1480" s="6" t="s">
        <v>1737</v>
      </c>
      <c r="S1480" s="13" t="s">
        <v>1625</v>
      </c>
      <c r="T1480" s="6">
        <v>2</v>
      </c>
      <c r="U1480" s="7" t="s">
        <v>1737</v>
      </c>
      <c r="V1480" s="5"/>
      <c r="W1480" s="7">
        <v>3</v>
      </c>
      <c r="X1480" s="6" t="s">
        <v>3</v>
      </c>
      <c r="Y1480" s="5"/>
      <c r="Z1480" s="7">
        <v>0</v>
      </c>
      <c r="AA1480" s="6"/>
      <c r="AB1480" s="5"/>
      <c r="AC1480" s="6"/>
      <c r="AD1480" s="6" t="s">
        <v>3</v>
      </c>
      <c r="AE1480" s="5"/>
      <c r="AF1480" s="6">
        <v>1</v>
      </c>
      <c r="AG1480" s="6"/>
      <c r="AH1480" s="5"/>
      <c r="AI1480" s="6">
        <v>0</v>
      </c>
      <c r="AJ1480" s="6"/>
      <c r="AK1480" s="5"/>
      <c r="AL1480" s="5"/>
      <c r="AM1480" s="5"/>
      <c r="AN1480" s="5"/>
      <c r="AO1480" s="5"/>
      <c r="AP1480" s="5"/>
      <c r="AQ1480" s="5"/>
    </row>
    <row r="1481" spans="1:43" x14ac:dyDescent="0.25">
      <c r="A1481" s="161" t="str">
        <f t="shared" si="27"/>
        <v>SPEARMAN</v>
      </c>
      <c r="B1481" s="9" t="s">
        <v>106</v>
      </c>
      <c r="C1481" s="5"/>
      <c r="D1481" s="5"/>
      <c r="E1481" s="5" t="s">
        <v>106</v>
      </c>
      <c r="F1481" s="5" t="s">
        <v>106</v>
      </c>
      <c r="G1481" s="5" t="s">
        <v>2049</v>
      </c>
      <c r="H1481" s="5" t="s">
        <v>1528</v>
      </c>
      <c r="I1481" s="5" t="s">
        <v>128</v>
      </c>
      <c r="J1481" s="6"/>
      <c r="K1481" s="6"/>
      <c r="L1481" s="13" t="s">
        <v>1708</v>
      </c>
      <c r="M1481" s="8"/>
      <c r="N1481" s="5"/>
      <c r="O1481" s="5"/>
      <c r="P1481" s="5"/>
      <c r="Q1481" s="6">
        <v>0</v>
      </c>
      <c r="R1481" s="6" t="s">
        <v>1737</v>
      </c>
      <c r="S1481" s="13" t="s">
        <v>1625</v>
      </c>
      <c r="T1481" s="6">
        <v>4</v>
      </c>
      <c r="U1481" s="7" t="s">
        <v>1737</v>
      </c>
      <c r="V1481" s="5"/>
      <c r="W1481" s="7">
        <v>6</v>
      </c>
      <c r="X1481" s="6" t="s">
        <v>3</v>
      </c>
      <c r="Y1481" s="5"/>
      <c r="Z1481" s="7">
        <v>0</v>
      </c>
      <c r="AA1481" s="6"/>
      <c r="AB1481" s="5"/>
      <c r="AC1481" s="6"/>
      <c r="AD1481" s="6" t="s">
        <v>3</v>
      </c>
      <c r="AE1481" s="5"/>
      <c r="AF1481" s="6">
        <v>1</v>
      </c>
      <c r="AG1481" s="6"/>
      <c r="AH1481" s="5"/>
      <c r="AI1481" s="6">
        <v>0</v>
      </c>
      <c r="AJ1481" s="6"/>
      <c r="AK1481" s="5"/>
      <c r="AL1481" s="5"/>
      <c r="AM1481" s="5"/>
      <c r="AN1481" s="5"/>
      <c r="AO1481" s="5"/>
      <c r="AP1481" s="5"/>
      <c r="AQ1481" s="5"/>
    </row>
    <row r="1482" spans="1:43" x14ac:dyDescent="0.25">
      <c r="A1482" s="161" t="str">
        <f t="shared" si="27"/>
        <v>SPEARMAN_AFRI</v>
      </c>
      <c r="B1482" s="9" t="s">
        <v>106</v>
      </c>
      <c r="C1482" s="4" t="s">
        <v>694</v>
      </c>
      <c r="E1482" s="4" t="s">
        <v>106</v>
      </c>
      <c r="F1482" s="4" t="s">
        <v>106</v>
      </c>
      <c r="H1482" s="4" t="s">
        <v>686</v>
      </c>
      <c r="I1482" s="4" t="s">
        <v>1935</v>
      </c>
      <c r="Q1482" s="11" t="s">
        <v>1737</v>
      </c>
    </row>
    <row r="1483" spans="1:43" x14ac:dyDescent="0.25">
      <c r="A1483" s="161" t="str">
        <f t="shared" si="27"/>
        <v>SPEARMAN_ETHIOPIA</v>
      </c>
      <c r="B1483" s="9" t="s">
        <v>106</v>
      </c>
      <c r="C1483" s="4" t="s">
        <v>714</v>
      </c>
      <c r="E1483" s="4" t="s">
        <v>106</v>
      </c>
      <c r="F1483" s="4" t="s">
        <v>106</v>
      </c>
      <c r="G1483" s="14" t="s">
        <v>132</v>
      </c>
      <c r="H1483" s="4" t="s">
        <v>331</v>
      </c>
      <c r="I1483" s="4" t="s">
        <v>1025</v>
      </c>
      <c r="Q1483" s="11" t="s">
        <v>1737</v>
      </c>
    </row>
    <row r="1484" spans="1:43" x14ac:dyDescent="0.25">
      <c r="A1484" s="161" t="str">
        <f t="shared" si="27"/>
        <v>SPEARMAN_MOMBASA</v>
      </c>
      <c r="B1484" s="9" t="s">
        <v>106</v>
      </c>
      <c r="C1484" s="4" t="s">
        <v>727</v>
      </c>
      <c r="D1484" s="4" t="s">
        <v>733</v>
      </c>
      <c r="E1484" s="4" t="s">
        <v>106</v>
      </c>
      <c r="F1484" s="4" t="s">
        <v>106</v>
      </c>
      <c r="G1484" s="14" t="s">
        <v>132</v>
      </c>
    </row>
    <row r="1485" spans="1:43" x14ac:dyDescent="0.25">
      <c r="A1485" s="161" t="str">
        <f t="shared" si="27"/>
        <v>SPEARMAN_SONGHAI</v>
      </c>
      <c r="B1485" s="9" t="s">
        <v>106</v>
      </c>
      <c r="C1485" s="4" t="s">
        <v>737</v>
      </c>
      <c r="E1485" s="4" t="s">
        <v>106</v>
      </c>
      <c r="F1485" s="4" t="s">
        <v>106</v>
      </c>
      <c r="G1485" s="14" t="s">
        <v>132</v>
      </c>
      <c r="H1485" s="4" t="s">
        <v>1960</v>
      </c>
      <c r="I1485" s="4" t="s">
        <v>1025</v>
      </c>
      <c r="Q1485" s="9" t="s">
        <v>1737</v>
      </c>
      <c r="T1485" s="9"/>
      <c r="W1485" s="9"/>
      <c r="AF1485" s="9"/>
      <c r="AI1485" s="9"/>
    </row>
    <row r="1486" spans="1:43" x14ac:dyDescent="0.25">
      <c r="A1486" s="161" t="str">
        <f t="shared" si="27"/>
        <v>SPEARMAN_AMER</v>
      </c>
      <c r="B1486" s="9" t="s">
        <v>106</v>
      </c>
      <c r="C1486" s="4" t="s">
        <v>697</v>
      </c>
      <c r="E1486" s="4" t="s">
        <v>106</v>
      </c>
      <c r="F1486" s="4" t="s">
        <v>106</v>
      </c>
      <c r="H1486" s="4" t="s">
        <v>471</v>
      </c>
      <c r="I1486" s="4" t="s">
        <v>1935</v>
      </c>
      <c r="Q1486" s="9" t="s">
        <v>1737</v>
      </c>
      <c r="T1486" s="9"/>
      <c r="W1486" s="9"/>
      <c r="Z1486" s="9"/>
      <c r="AF1486" s="9"/>
      <c r="AI1486" s="9"/>
    </row>
    <row r="1487" spans="1:43" x14ac:dyDescent="0.25">
      <c r="A1487" s="161" t="str">
        <f t="shared" si="27"/>
        <v>SPEARMAN_IROQUOIS</v>
      </c>
      <c r="B1487" s="9" t="s">
        <v>106</v>
      </c>
      <c r="C1487" s="4" t="s">
        <v>721</v>
      </c>
      <c r="E1487" s="4" t="s">
        <v>106</v>
      </c>
      <c r="F1487" s="4" t="s">
        <v>106</v>
      </c>
      <c r="H1487" s="4" t="s">
        <v>948</v>
      </c>
      <c r="I1487" s="4" t="s">
        <v>1935</v>
      </c>
      <c r="Q1487" s="11">
        <v>1</v>
      </c>
      <c r="T1487" s="11">
        <v>2</v>
      </c>
      <c r="Z1487" s="9">
        <v>1</v>
      </c>
      <c r="AF1487" s="11">
        <v>1</v>
      </c>
      <c r="AI1487" s="11">
        <v>1</v>
      </c>
    </row>
    <row r="1488" spans="1:43" x14ac:dyDescent="0.25">
      <c r="A1488" s="161" t="str">
        <f t="shared" si="27"/>
        <v>SPEARMAN_IROQUOIS</v>
      </c>
      <c r="B1488" s="9" t="s">
        <v>106</v>
      </c>
      <c r="C1488" s="4" t="s">
        <v>721</v>
      </c>
      <c r="E1488" s="4" t="s">
        <v>106</v>
      </c>
      <c r="F1488" s="4" t="s">
        <v>106</v>
      </c>
      <c r="G1488" s="4" t="s">
        <v>2047</v>
      </c>
      <c r="H1488" s="4" t="s">
        <v>949</v>
      </c>
      <c r="I1488" s="4" t="s">
        <v>1935</v>
      </c>
      <c r="Q1488" s="11">
        <v>2</v>
      </c>
      <c r="T1488" s="11">
        <v>3</v>
      </c>
      <c r="Z1488" s="9">
        <v>0</v>
      </c>
      <c r="AF1488" s="11">
        <v>1</v>
      </c>
      <c r="AI1488" s="11">
        <v>1</v>
      </c>
    </row>
    <row r="1489" spans="1:35" x14ac:dyDescent="0.25">
      <c r="A1489" s="161" t="str">
        <f t="shared" si="27"/>
        <v>SPEARMAN_IROQUOIS</v>
      </c>
      <c r="B1489" s="9" t="s">
        <v>106</v>
      </c>
      <c r="C1489" s="4" t="s">
        <v>721</v>
      </c>
      <c r="E1489" s="4" t="s">
        <v>106</v>
      </c>
      <c r="F1489" s="4" t="s">
        <v>106</v>
      </c>
      <c r="G1489" s="4" t="s">
        <v>2049</v>
      </c>
      <c r="H1489" s="4" t="s">
        <v>950</v>
      </c>
      <c r="I1489" s="4" t="s">
        <v>1935</v>
      </c>
      <c r="Q1489" s="11">
        <v>1</v>
      </c>
      <c r="T1489" s="11">
        <v>2</v>
      </c>
      <c r="Z1489" s="9">
        <v>0</v>
      </c>
      <c r="AF1489" s="11">
        <v>1</v>
      </c>
      <c r="AI1489" s="11">
        <v>1</v>
      </c>
    </row>
    <row r="1490" spans="1:35" x14ac:dyDescent="0.25">
      <c r="A1490" s="161" t="str">
        <f t="shared" si="27"/>
        <v>SPEARMAN_IROQUOIS</v>
      </c>
      <c r="B1490" s="9" t="s">
        <v>106</v>
      </c>
      <c r="C1490" s="4" t="s">
        <v>721</v>
      </c>
      <c r="E1490" s="4" t="s">
        <v>106</v>
      </c>
      <c r="F1490" s="4" t="s">
        <v>106</v>
      </c>
      <c r="G1490" s="4" t="s">
        <v>2048</v>
      </c>
      <c r="H1490" s="4" t="s">
        <v>471</v>
      </c>
      <c r="I1490" s="4" t="s">
        <v>1935</v>
      </c>
      <c r="Q1490" s="9">
        <v>2</v>
      </c>
      <c r="T1490" s="11">
        <v>3</v>
      </c>
      <c r="Z1490" s="9">
        <v>0</v>
      </c>
      <c r="AF1490" s="11">
        <v>0</v>
      </c>
      <c r="AI1490" s="11">
        <v>1</v>
      </c>
    </row>
    <row r="1491" spans="1:35" x14ac:dyDescent="0.25">
      <c r="A1491" s="161" t="str">
        <f t="shared" si="27"/>
        <v>SPEARMAN_IROQUOIS</v>
      </c>
      <c r="B1491" s="9" t="s">
        <v>106</v>
      </c>
      <c r="C1491" s="4" t="s">
        <v>721</v>
      </c>
      <c r="E1491" s="4" t="s">
        <v>106</v>
      </c>
      <c r="F1491" s="4" t="s">
        <v>106</v>
      </c>
      <c r="H1491" s="4" t="s">
        <v>948</v>
      </c>
      <c r="I1491" s="4" t="s">
        <v>1935</v>
      </c>
      <c r="Q1491" s="9">
        <v>2</v>
      </c>
      <c r="T1491" s="11">
        <v>3</v>
      </c>
      <c r="Z1491" s="9">
        <v>0</v>
      </c>
      <c r="AF1491" s="11">
        <v>0</v>
      </c>
      <c r="AI1491" s="11">
        <v>1</v>
      </c>
    </row>
    <row r="1492" spans="1:35" x14ac:dyDescent="0.25">
      <c r="A1492" s="161" t="str">
        <f t="shared" si="27"/>
        <v>SPEARMAN_IROQUOIS</v>
      </c>
      <c r="B1492" s="9" t="s">
        <v>106</v>
      </c>
      <c r="C1492" s="4" t="s">
        <v>721</v>
      </c>
      <c r="E1492" s="4" t="s">
        <v>106</v>
      </c>
      <c r="F1492" s="4" t="s">
        <v>106</v>
      </c>
      <c r="G1492" s="4" t="s">
        <v>2047</v>
      </c>
      <c r="H1492" s="4" t="s">
        <v>949</v>
      </c>
      <c r="I1492" s="4" t="s">
        <v>1935</v>
      </c>
      <c r="Q1492" s="9">
        <v>1</v>
      </c>
      <c r="T1492" s="11">
        <v>2</v>
      </c>
      <c r="Z1492" s="9">
        <v>0</v>
      </c>
      <c r="AF1492" s="11">
        <v>0</v>
      </c>
      <c r="AI1492" s="11">
        <v>1</v>
      </c>
    </row>
    <row r="1493" spans="1:35" x14ac:dyDescent="0.25">
      <c r="A1493" s="161" t="str">
        <f t="shared" si="27"/>
        <v>SPEARMAN_IROQUOIS</v>
      </c>
      <c r="B1493" s="9" t="s">
        <v>106</v>
      </c>
      <c r="C1493" s="4" t="s">
        <v>721</v>
      </c>
      <c r="E1493" s="4" t="s">
        <v>106</v>
      </c>
      <c r="F1493" s="4" t="s">
        <v>106</v>
      </c>
      <c r="G1493" s="4" t="s">
        <v>2049</v>
      </c>
      <c r="H1493" s="4" t="s">
        <v>950</v>
      </c>
      <c r="I1493" s="4" t="s">
        <v>1935</v>
      </c>
      <c r="Q1493" s="9">
        <v>2</v>
      </c>
      <c r="T1493" s="11">
        <v>3</v>
      </c>
      <c r="Z1493" s="9">
        <v>0</v>
      </c>
      <c r="AF1493" s="11">
        <v>0</v>
      </c>
      <c r="AI1493" s="11">
        <v>1</v>
      </c>
    </row>
    <row r="1494" spans="1:35" x14ac:dyDescent="0.25">
      <c r="A1494" s="161" t="str">
        <f t="shared" si="27"/>
        <v>SPEARMAN_IROQUOIS</v>
      </c>
      <c r="B1494" s="9" t="s">
        <v>106</v>
      </c>
      <c r="C1494" s="4" t="s">
        <v>721</v>
      </c>
      <c r="E1494" s="4" t="s">
        <v>106</v>
      </c>
      <c r="F1494" s="4" t="s">
        <v>106</v>
      </c>
      <c r="G1494" s="4" t="s">
        <v>2048</v>
      </c>
      <c r="H1494" s="4" t="s">
        <v>471</v>
      </c>
      <c r="I1494" s="4" t="s">
        <v>1935</v>
      </c>
      <c r="Q1494" s="9">
        <v>1</v>
      </c>
      <c r="T1494" s="11">
        <v>2</v>
      </c>
      <c r="Z1494" s="9">
        <v>0</v>
      </c>
      <c r="AF1494" s="11">
        <v>0</v>
      </c>
      <c r="AI1494" s="11">
        <v>0</v>
      </c>
    </row>
    <row r="1495" spans="1:35" x14ac:dyDescent="0.25">
      <c r="A1495" s="161" t="str">
        <f t="shared" si="27"/>
        <v>SPEARMAN_ASIA</v>
      </c>
      <c r="B1495" s="9" t="s">
        <v>106</v>
      </c>
      <c r="C1495" s="4" t="s">
        <v>693</v>
      </c>
      <c r="E1495" s="4" t="s">
        <v>106</v>
      </c>
      <c r="F1495" s="4" t="s">
        <v>106</v>
      </c>
      <c r="H1495" s="4" t="s">
        <v>455</v>
      </c>
      <c r="I1495" s="4" t="s">
        <v>102</v>
      </c>
      <c r="Q1495" s="9" t="s">
        <v>1737</v>
      </c>
      <c r="T1495" s="9"/>
      <c r="W1495" s="9"/>
      <c r="Z1495" s="9"/>
      <c r="AF1495" s="9"/>
      <c r="AI1495" s="9"/>
    </row>
    <row r="1496" spans="1:35" x14ac:dyDescent="0.25">
      <c r="A1496" s="161" t="str">
        <f t="shared" si="27"/>
        <v>SPEARMAN_CHINA</v>
      </c>
      <c r="B1496" s="9" t="s">
        <v>106</v>
      </c>
      <c r="C1496" s="4" t="s">
        <v>710</v>
      </c>
      <c r="E1496" s="4" t="s">
        <v>106</v>
      </c>
      <c r="F1496" s="4" t="s">
        <v>106</v>
      </c>
      <c r="G1496" s="14" t="s">
        <v>132</v>
      </c>
      <c r="H1496" s="4" t="s">
        <v>258</v>
      </c>
      <c r="I1496" s="4" t="s">
        <v>102</v>
      </c>
      <c r="Q1496" s="9" t="s">
        <v>1737</v>
      </c>
      <c r="T1496" s="9"/>
      <c r="W1496" s="9"/>
      <c r="Z1496" s="9"/>
      <c r="AF1496" s="9"/>
      <c r="AI1496" s="9"/>
    </row>
    <row r="1497" spans="1:35" x14ac:dyDescent="0.25">
      <c r="A1497" s="161" t="str">
        <f t="shared" si="27"/>
        <v>SPEARMAN_JAPAN</v>
      </c>
      <c r="B1497" s="9" t="s">
        <v>106</v>
      </c>
      <c r="C1497" s="4" t="s">
        <v>722</v>
      </c>
      <c r="E1497" s="4" t="s">
        <v>106</v>
      </c>
      <c r="F1497" s="4" t="s">
        <v>106</v>
      </c>
      <c r="G1497" s="14" t="s">
        <v>132</v>
      </c>
      <c r="H1497" s="4" t="s">
        <v>489</v>
      </c>
      <c r="I1497" s="4" t="s">
        <v>102</v>
      </c>
      <c r="Q1497" s="9" t="s">
        <v>1737</v>
      </c>
      <c r="T1497" s="9"/>
      <c r="W1497" s="9"/>
      <c r="Z1497" s="9"/>
      <c r="AF1497" s="9"/>
      <c r="AI1497" s="9"/>
    </row>
    <row r="1498" spans="1:35" x14ac:dyDescent="0.25">
      <c r="A1498" s="161" t="str">
        <f t="shared" si="27"/>
        <v>SPEARMAN_KOREA</v>
      </c>
      <c r="B1498" s="9" t="s">
        <v>106</v>
      </c>
      <c r="C1498" s="4" t="s">
        <v>723</v>
      </c>
      <c r="E1498" s="4" t="s">
        <v>106</v>
      </c>
      <c r="F1498" s="4" t="s">
        <v>106</v>
      </c>
      <c r="G1498" s="14" t="s">
        <v>132</v>
      </c>
      <c r="H1498" s="4" t="s">
        <v>503</v>
      </c>
      <c r="I1498" s="4" t="s">
        <v>102</v>
      </c>
      <c r="Q1498" s="9" t="s">
        <v>1737</v>
      </c>
      <c r="T1498" s="9"/>
      <c r="W1498" s="9"/>
      <c r="Z1498" s="9"/>
      <c r="AF1498" s="9"/>
      <c r="AI1498" s="9"/>
    </row>
    <row r="1499" spans="1:35" x14ac:dyDescent="0.25">
      <c r="A1499" s="161" t="str">
        <f t="shared" si="27"/>
        <v>SPEARMAN_MONGOL</v>
      </c>
      <c r="B1499" s="9" t="s">
        <v>106</v>
      </c>
      <c r="C1499" s="4" t="s">
        <v>728</v>
      </c>
      <c r="E1499" s="4" t="s">
        <v>106</v>
      </c>
      <c r="F1499" s="4" t="s">
        <v>106</v>
      </c>
      <c r="G1499" s="14" t="s">
        <v>132</v>
      </c>
      <c r="H1499" s="4" t="s">
        <v>534</v>
      </c>
      <c r="I1499" s="4" t="s">
        <v>2098</v>
      </c>
      <c r="Q1499" s="9" t="s">
        <v>1737</v>
      </c>
      <c r="T1499" s="9"/>
      <c r="W1499" s="9"/>
      <c r="Z1499" s="9"/>
      <c r="AF1499" s="9"/>
      <c r="AI1499" s="9"/>
    </row>
    <row r="1500" spans="1:35" x14ac:dyDescent="0.25">
      <c r="A1500" s="161" t="str">
        <f t="shared" si="27"/>
        <v>SPEARMAN_CENTAS</v>
      </c>
      <c r="B1500" s="9" t="s">
        <v>106</v>
      </c>
      <c r="C1500" s="4" t="s">
        <v>918</v>
      </c>
      <c r="E1500" s="4" t="s">
        <v>106</v>
      </c>
      <c r="F1500" s="4" t="s">
        <v>106</v>
      </c>
      <c r="G1500" s="14" t="s">
        <v>132</v>
      </c>
      <c r="H1500" s="4" t="s">
        <v>1035</v>
      </c>
      <c r="I1500" s="4" t="s">
        <v>2098</v>
      </c>
      <c r="Q1500" s="9" t="s">
        <v>1737</v>
      </c>
      <c r="T1500" s="9"/>
      <c r="W1500" s="9"/>
      <c r="Z1500" s="9"/>
      <c r="AF1500" s="9"/>
      <c r="AI1500" s="9"/>
    </row>
    <row r="1501" spans="1:35" x14ac:dyDescent="0.25">
      <c r="A1501" s="161" t="str">
        <f t="shared" si="27"/>
        <v>SPEARMAN_EASTEU</v>
      </c>
      <c r="B1501" s="9" t="s">
        <v>106</v>
      </c>
      <c r="C1501" s="4" t="s">
        <v>698</v>
      </c>
      <c r="E1501" s="4" t="s">
        <v>106</v>
      </c>
      <c r="F1501" s="4" t="s">
        <v>106</v>
      </c>
      <c r="H1501" s="4" t="s">
        <v>625</v>
      </c>
      <c r="I1501" s="4" t="s">
        <v>2098</v>
      </c>
      <c r="Q1501" s="9" t="s">
        <v>1737</v>
      </c>
      <c r="T1501" s="9"/>
      <c r="W1501" s="9"/>
      <c r="Z1501" s="9"/>
      <c r="AF1501" s="9"/>
      <c r="AI1501" s="9"/>
    </row>
    <row r="1502" spans="1:35" x14ac:dyDescent="0.25">
      <c r="A1502" s="161" t="str">
        <f t="shared" si="27"/>
        <v>SPEARMAN_AMERICA</v>
      </c>
      <c r="B1502" s="9" t="s">
        <v>106</v>
      </c>
      <c r="C1502" s="4" t="s">
        <v>699</v>
      </c>
      <c r="E1502" s="4" t="s">
        <v>106</v>
      </c>
      <c r="F1502" s="4" t="s">
        <v>106</v>
      </c>
      <c r="G1502" s="14"/>
      <c r="H1502" s="4" t="s">
        <v>150</v>
      </c>
      <c r="I1502" s="4" t="s">
        <v>1941</v>
      </c>
      <c r="Q1502" s="9" t="s">
        <v>1737</v>
      </c>
      <c r="T1502" s="9"/>
      <c r="W1502" s="9"/>
      <c r="Z1502" s="9"/>
      <c r="AF1502" s="9"/>
      <c r="AI1502" s="9"/>
    </row>
    <row r="1503" spans="1:35" x14ac:dyDescent="0.25">
      <c r="A1503" s="161" t="str">
        <f t="shared" si="27"/>
        <v>SPEARMAN_AUSTRIA</v>
      </c>
      <c r="B1503" s="9" t="s">
        <v>106</v>
      </c>
      <c r="C1503" s="4" t="s">
        <v>701</v>
      </c>
      <c r="D1503" s="4" t="s">
        <v>717</v>
      </c>
      <c r="E1503" s="4" t="s">
        <v>106</v>
      </c>
      <c r="F1503" s="4" t="s">
        <v>106</v>
      </c>
      <c r="G1503" s="14"/>
      <c r="Q1503" s="9"/>
      <c r="T1503" s="9"/>
      <c r="W1503" s="9"/>
      <c r="AF1503" s="9"/>
      <c r="AI1503" s="9"/>
    </row>
    <row r="1504" spans="1:35" x14ac:dyDescent="0.25">
      <c r="A1504" s="161" t="str">
        <f t="shared" si="27"/>
        <v>SPEARMAN_CELTS</v>
      </c>
      <c r="B1504" s="9" t="s">
        <v>106</v>
      </c>
      <c r="C1504" s="4" t="s">
        <v>709</v>
      </c>
      <c r="D1504" s="4" t="s">
        <v>713</v>
      </c>
      <c r="E1504" s="4" t="s">
        <v>106</v>
      </c>
      <c r="F1504" s="4" t="s">
        <v>106</v>
      </c>
      <c r="G1504" s="14" t="s">
        <v>132</v>
      </c>
      <c r="Q1504" s="9"/>
      <c r="T1504" s="9"/>
      <c r="W1504" s="9"/>
      <c r="AF1504" s="9"/>
      <c r="AI1504" s="9"/>
    </row>
    <row r="1505" spans="1:43" x14ac:dyDescent="0.25">
      <c r="A1505" s="161" t="str">
        <f t="shared" si="27"/>
        <v>SPEARMAN_ENGLAND</v>
      </c>
      <c r="B1505" s="9" t="s">
        <v>106</v>
      </c>
      <c r="C1505" s="4" t="s">
        <v>713</v>
      </c>
      <c r="E1505" s="4" t="s">
        <v>106</v>
      </c>
      <c r="F1505" s="4" t="s">
        <v>106</v>
      </c>
      <c r="G1505" s="14" t="s">
        <v>132</v>
      </c>
      <c r="H1505" s="4" t="s">
        <v>311</v>
      </c>
      <c r="I1505" s="4" t="s">
        <v>102</v>
      </c>
      <c r="Q1505" s="9" t="s">
        <v>1737</v>
      </c>
      <c r="T1505" s="9"/>
      <c r="W1505" s="9"/>
      <c r="Z1505" s="9"/>
      <c r="AF1505" s="9"/>
      <c r="AI1505" s="9"/>
    </row>
    <row r="1506" spans="1:43" x14ac:dyDescent="0.25">
      <c r="A1506" s="161" t="str">
        <f t="shared" si="27"/>
        <v>SPEARMAN_FRANCE</v>
      </c>
      <c r="B1506" s="9" t="s">
        <v>106</v>
      </c>
      <c r="C1506" s="4" t="s">
        <v>715</v>
      </c>
      <c r="E1506" s="4" t="s">
        <v>106</v>
      </c>
      <c r="F1506" s="4" t="s">
        <v>106</v>
      </c>
      <c r="G1506" s="14" t="s">
        <v>132</v>
      </c>
      <c r="H1506" s="4" t="s">
        <v>356</v>
      </c>
      <c r="I1506" s="4" t="s">
        <v>102</v>
      </c>
      <c r="Q1506" s="9" t="s">
        <v>1737</v>
      </c>
      <c r="T1506" s="9"/>
      <c r="W1506" s="9"/>
      <c r="Z1506" s="9"/>
      <c r="AF1506" s="9"/>
      <c r="AI1506" s="9"/>
    </row>
    <row r="1507" spans="1:43" x14ac:dyDescent="0.25">
      <c r="A1507" s="161" t="str">
        <f t="shared" si="27"/>
        <v>SPEARMAN_GERMANY</v>
      </c>
      <c r="B1507" s="9" t="s">
        <v>106</v>
      </c>
      <c r="C1507" s="4" t="s">
        <v>717</v>
      </c>
      <c r="E1507" s="4" t="s">
        <v>106</v>
      </c>
      <c r="F1507" s="4" t="s">
        <v>106</v>
      </c>
      <c r="G1507" s="14" t="s">
        <v>132</v>
      </c>
      <c r="H1507" s="4" t="s">
        <v>388</v>
      </c>
      <c r="I1507" s="4" t="s">
        <v>102</v>
      </c>
      <c r="Q1507" s="9" t="s">
        <v>1737</v>
      </c>
      <c r="T1507" s="9"/>
      <c r="W1507" s="9"/>
      <c r="Z1507" s="9"/>
      <c r="AF1507" s="9"/>
      <c r="AI1507" s="9"/>
    </row>
    <row r="1508" spans="1:43" x14ac:dyDescent="0.25">
      <c r="A1508" s="161" t="str">
        <f t="shared" si="27"/>
        <v>SPEARMAN_NETHERLANDS</v>
      </c>
      <c r="B1508" s="9" t="s">
        <v>106</v>
      </c>
      <c r="C1508" s="4" t="s">
        <v>730</v>
      </c>
      <c r="E1508" s="4" t="s">
        <v>106</v>
      </c>
      <c r="F1508" s="4" t="s">
        <v>106</v>
      </c>
      <c r="G1508" s="14" t="s">
        <v>132</v>
      </c>
      <c r="H1508" s="4" t="s">
        <v>548</v>
      </c>
      <c r="I1508" s="4" t="s">
        <v>1822</v>
      </c>
      <c r="Q1508" s="9" t="s">
        <v>1737</v>
      </c>
      <c r="T1508" s="9"/>
      <c r="W1508" s="9"/>
      <c r="Z1508" s="9"/>
      <c r="AF1508" s="9"/>
      <c r="AI1508" s="9"/>
    </row>
    <row r="1509" spans="1:43" x14ac:dyDescent="0.25">
      <c r="A1509" s="161" t="str">
        <f t="shared" si="27"/>
        <v>SPEARMAN_MED</v>
      </c>
      <c r="B1509" s="9" t="s">
        <v>106</v>
      </c>
      <c r="C1509" s="4" t="s">
        <v>692</v>
      </c>
      <c r="E1509" s="4" t="s">
        <v>106</v>
      </c>
      <c r="F1509" s="4" t="s">
        <v>106</v>
      </c>
      <c r="H1509" s="4" t="s">
        <v>412</v>
      </c>
      <c r="I1509" s="4" t="s">
        <v>128</v>
      </c>
      <c r="Q1509" s="9" t="s">
        <v>1737</v>
      </c>
      <c r="T1509" s="9"/>
      <c r="W1509" s="9"/>
      <c r="Z1509" s="9"/>
      <c r="AF1509" s="9"/>
      <c r="AI1509" s="9"/>
    </row>
    <row r="1510" spans="1:43" x14ac:dyDescent="0.25">
      <c r="A1510" s="161" t="str">
        <f t="shared" si="27"/>
        <v>SPEARMAN_CARTHAGE</v>
      </c>
      <c r="B1510" s="9" t="s">
        <v>106</v>
      </c>
      <c r="C1510" s="4" t="s">
        <v>708</v>
      </c>
      <c r="E1510" s="4" t="s">
        <v>106</v>
      </c>
      <c r="F1510" s="4" t="s">
        <v>106</v>
      </c>
      <c r="G1510" s="14" t="s">
        <v>132</v>
      </c>
      <c r="H1510" s="4" t="s">
        <v>234</v>
      </c>
      <c r="I1510" s="4" t="s">
        <v>1796</v>
      </c>
      <c r="Q1510" s="9" t="s">
        <v>1737</v>
      </c>
      <c r="T1510" s="9"/>
      <c r="W1510" s="9"/>
      <c r="Z1510" s="9"/>
      <c r="AF1510" s="9"/>
      <c r="AI1510" s="9"/>
    </row>
    <row r="1511" spans="1:43" s="2" customFormat="1" x14ac:dyDescent="0.25">
      <c r="A1511" s="161" t="str">
        <f>CONCATENATE(E1511,IF(ISBLANK(C1511),"",CONCATENATE("_",C1511)))</f>
        <v>SPEARMAN_GREECE</v>
      </c>
      <c r="B1511" s="9" t="s">
        <v>106</v>
      </c>
      <c r="C1511" s="4" t="s">
        <v>718</v>
      </c>
      <c r="D1511" s="4"/>
      <c r="E1511" s="4" t="s">
        <v>106</v>
      </c>
      <c r="F1511" s="4" t="s">
        <v>106</v>
      </c>
      <c r="G1511" s="4"/>
      <c r="H1511" s="4" t="s">
        <v>924</v>
      </c>
      <c r="I1511" s="4" t="s">
        <v>1821</v>
      </c>
      <c r="J1511" s="11"/>
      <c r="K1511" s="11"/>
      <c r="L1511" s="4"/>
      <c r="M1511" s="12"/>
      <c r="N1511" s="4"/>
      <c r="O1511" s="4"/>
      <c r="P1511" s="4"/>
      <c r="Q1511" s="9" t="s">
        <v>1737</v>
      </c>
      <c r="R1511" s="11"/>
      <c r="S1511" s="4"/>
      <c r="T1511" s="11"/>
      <c r="U1511" s="11"/>
      <c r="V1511" s="4"/>
      <c r="W1511" s="11"/>
      <c r="X1511" s="11"/>
      <c r="Y1511" s="4"/>
      <c r="Z1511" s="9"/>
      <c r="AA1511" s="11"/>
      <c r="AB1511" s="4"/>
      <c r="AC1511" s="11"/>
      <c r="AD1511" s="11"/>
      <c r="AE1511" s="4"/>
      <c r="AF1511" s="11"/>
      <c r="AG1511" s="11"/>
      <c r="AH1511" s="4"/>
      <c r="AI1511" s="11"/>
      <c r="AJ1511" s="11"/>
      <c r="AK1511" s="4"/>
      <c r="AL1511" s="4"/>
      <c r="AM1511" s="4"/>
      <c r="AN1511" s="4"/>
      <c r="AO1511" s="4"/>
      <c r="AP1511" s="4"/>
      <c r="AQ1511" s="4"/>
    </row>
    <row r="1512" spans="1:43" x14ac:dyDescent="0.25">
      <c r="A1512" s="161" t="str">
        <f t="shared" si="27"/>
        <v>SPEARMAN_PORTUGAL</v>
      </c>
      <c r="B1512" s="9" t="s">
        <v>106</v>
      </c>
      <c r="C1512" s="4" t="s">
        <v>733</v>
      </c>
      <c r="E1512" s="4" t="s">
        <v>106</v>
      </c>
      <c r="F1512" s="4" t="s">
        <v>106</v>
      </c>
      <c r="G1512" s="14" t="s">
        <v>132</v>
      </c>
      <c r="H1512" s="4" t="s">
        <v>525</v>
      </c>
      <c r="I1512" s="4" t="s">
        <v>1796</v>
      </c>
      <c r="Q1512" s="9" t="s">
        <v>1737</v>
      </c>
      <c r="T1512" s="9"/>
      <c r="W1512" s="9"/>
      <c r="Z1512" s="9"/>
      <c r="AF1512" s="9"/>
      <c r="AI1512" s="9"/>
    </row>
    <row r="1513" spans="1:43" s="2" customFormat="1" x14ac:dyDescent="0.25">
      <c r="A1513" s="161" t="str">
        <f t="shared" si="27"/>
        <v>SPEARMAN_ROME</v>
      </c>
      <c r="B1513" s="9" t="s">
        <v>106</v>
      </c>
      <c r="C1513" s="4" t="s">
        <v>734</v>
      </c>
      <c r="D1513" s="4"/>
      <c r="E1513" s="4" t="s">
        <v>106</v>
      </c>
      <c r="F1513" s="4" t="s">
        <v>106</v>
      </c>
      <c r="G1513" s="4"/>
      <c r="H1513" s="4" t="s">
        <v>998</v>
      </c>
      <c r="I1513" s="4" t="s">
        <v>1796</v>
      </c>
      <c r="J1513" s="11"/>
      <c r="K1513" s="11"/>
      <c r="L1513" s="4"/>
      <c r="M1513" s="12"/>
      <c r="N1513" s="4"/>
      <c r="O1513" s="4"/>
      <c r="P1513" s="4"/>
      <c r="Q1513" s="9">
        <v>2</v>
      </c>
      <c r="R1513" s="11"/>
      <c r="S1513" s="4"/>
      <c r="T1513" s="11">
        <v>3</v>
      </c>
      <c r="U1513" s="11"/>
      <c r="V1513" s="4"/>
      <c r="W1513" s="11"/>
      <c r="X1513" s="11"/>
      <c r="Y1513" s="4"/>
      <c r="Z1513" s="9">
        <v>1</v>
      </c>
      <c r="AA1513" s="11"/>
      <c r="AB1513" s="4"/>
      <c r="AC1513" s="11"/>
      <c r="AD1513" s="11"/>
      <c r="AE1513" s="4"/>
      <c r="AF1513" s="11">
        <v>1</v>
      </c>
      <c r="AG1513" s="11"/>
      <c r="AH1513" s="4"/>
      <c r="AI1513" s="11">
        <v>1</v>
      </c>
      <c r="AJ1513" s="11"/>
      <c r="AK1513" s="4"/>
      <c r="AL1513" s="4"/>
      <c r="AM1513" s="4"/>
      <c r="AN1513" s="4"/>
      <c r="AO1513" s="4"/>
      <c r="AP1513" s="4"/>
      <c r="AQ1513" s="4"/>
    </row>
    <row r="1514" spans="1:43" s="2" customFormat="1" x14ac:dyDescent="0.25">
      <c r="A1514" s="161" t="str">
        <f t="shared" si="27"/>
        <v>SPEARMAN_ROME</v>
      </c>
      <c r="B1514" s="9" t="s">
        <v>106</v>
      </c>
      <c r="C1514" s="4" t="s">
        <v>734</v>
      </c>
      <c r="D1514" s="4"/>
      <c r="E1514" s="4" t="s">
        <v>106</v>
      </c>
      <c r="F1514" s="4" t="s">
        <v>106</v>
      </c>
      <c r="G1514" s="4" t="s">
        <v>2047</v>
      </c>
      <c r="H1514" s="4" t="s">
        <v>999</v>
      </c>
      <c r="I1514" s="4" t="s">
        <v>1796</v>
      </c>
      <c r="J1514" s="11"/>
      <c r="K1514" s="11"/>
      <c r="L1514" s="4"/>
      <c r="M1514" s="12"/>
      <c r="N1514" s="4"/>
      <c r="O1514" s="4"/>
      <c r="P1514" s="4"/>
      <c r="Q1514" s="9">
        <v>2</v>
      </c>
      <c r="R1514" s="11"/>
      <c r="S1514" s="4"/>
      <c r="T1514" s="11">
        <v>4</v>
      </c>
      <c r="U1514" s="11"/>
      <c r="V1514" s="4"/>
      <c r="W1514" s="11"/>
      <c r="X1514" s="11"/>
      <c r="Y1514" s="4"/>
      <c r="Z1514" s="9">
        <v>0</v>
      </c>
      <c r="AA1514" s="11"/>
      <c r="AB1514" s="4"/>
      <c r="AC1514" s="11"/>
      <c r="AD1514" s="11"/>
      <c r="AE1514" s="4"/>
      <c r="AF1514" s="11">
        <v>1</v>
      </c>
      <c r="AG1514" s="11"/>
      <c r="AH1514" s="4"/>
      <c r="AI1514" s="11">
        <v>1</v>
      </c>
      <c r="AJ1514" s="11"/>
      <c r="AK1514" s="4"/>
      <c r="AL1514" s="4"/>
      <c r="AM1514" s="4"/>
      <c r="AN1514" s="4"/>
      <c r="AO1514" s="4"/>
      <c r="AP1514" s="4"/>
      <c r="AQ1514" s="4"/>
    </row>
    <row r="1515" spans="1:43" s="2" customFormat="1" x14ac:dyDescent="0.25">
      <c r="A1515" s="161" t="str">
        <f t="shared" si="27"/>
        <v>SPEARMAN_ROME</v>
      </c>
      <c r="B1515" s="9" t="s">
        <v>106</v>
      </c>
      <c r="C1515" s="4" t="s">
        <v>734</v>
      </c>
      <c r="D1515" s="4"/>
      <c r="E1515" s="4" t="s">
        <v>106</v>
      </c>
      <c r="F1515" s="4" t="s">
        <v>106</v>
      </c>
      <c r="G1515" s="4" t="s">
        <v>2049</v>
      </c>
      <c r="H1515" s="4" t="s">
        <v>580</v>
      </c>
      <c r="I1515" s="4" t="s">
        <v>1796</v>
      </c>
      <c r="J1515" s="11"/>
      <c r="K1515" s="11"/>
      <c r="L1515" s="4"/>
      <c r="M1515" s="12"/>
      <c r="N1515" s="4"/>
      <c r="O1515" s="4"/>
      <c r="P1515" s="4"/>
      <c r="Q1515" s="9">
        <v>2</v>
      </c>
      <c r="R1515" s="11"/>
      <c r="S1515" s="4"/>
      <c r="T1515" s="11">
        <v>2</v>
      </c>
      <c r="U1515" s="11"/>
      <c r="V1515" s="4"/>
      <c r="W1515" s="11"/>
      <c r="X1515" s="11"/>
      <c r="Y1515" s="4"/>
      <c r="Z1515" s="9">
        <v>0</v>
      </c>
      <c r="AA1515" s="11"/>
      <c r="AB1515" s="4"/>
      <c r="AC1515" s="11"/>
      <c r="AD1515" s="11"/>
      <c r="AE1515" s="4"/>
      <c r="AF1515" s="11">
        <v>1</v>
      </c>
      <c r="AG1515" s="11"/>
      <c r="AH1515" s="4"/>
      <c r="AI1515" s="11">
        <v>1</v>
      </c>
      <c r="AJ1515" s="11"/>
      <c r="AK1515" s="4"/>
      <c r="AL1515" s="4"/>
      <c r="AM1515" s="4"/>
      <c r="AN1515" s="4"/>
      <c r="AO1515" s="4"/>
      <c r="AP1515" s="4"/>
      <c r="AQ1515" s="4"/>
    </row>
    <row r="1516" spans="1:43" s="2" customFormat="1" x14ac:dyDescent="0.25">
      <c r="A1516" s="161" t="str">
        <f t="shared" si="27"/>
        <v>SPEARMAN_ROME</v>
      </c>
      <c r="B1516" s="9" t="s">
        <v>106</v>
      </c>
      <c r="C1516" s="4" t="s">
        <v>734</v>
      </c>
      <c r="D1516" s="4"/>
      <c r="E1516" s="4" t="s">
        <v>106</v>
      </c>
      <c r="F1516" s="4" t="s">
        <v>106</v>
      </c>
      <c r="G1516" s="4"/>
      <c r="H1516" s="4" t="s">
        <v>998</v>
      </c>
      <c r="I1516" s="4" t="s">
        <v>1796</v>
      </c>
      <c r="J1516" s="11"/>
      <c r="K1516" s="11"/>
      <c r="L1516" s="4"/>
      <c r="M1516" s="12"/>
      <c r="N1516" s="4"/>
      <c r="O1516" s="4"/>
      <c r="P1516" s="4"/>
      <c r="Q1516" s="9">
        <v>2</v>
      </c>
      <c r="R1516" s="11"/>
      <c r="S1516" s="4"/>
      <c r="T1516" s="11">
        <v>4</v>
      </c>
      <c r="U1516" s="11"/>
      <c r="V1516" s="4"/>
      <c r="W1516" s="11"/>
      <c r="X1516" s="11"/>
      <c r="Y1516" s="4"/>
      <c r="Z1516" s="9">
        <v>0</v>
      </c>
      <c r="AA1516" s="11"/>
      <c r="AB1516" s="4"/>
      <c r="AC1516" s="11"/>
      <c r="AD1516" s="11"/>
      <c r="AE1516" s="4"/>
      <c r="AF1516" s="11">
        <v>0</v>
      </c>
      <c r="AG1516" s="11"/>
      <c r="AH1516" s="4"/>
      <c r="AI1516" s="11">
        <v>2</v>
      </c>
      <c r="AJ1516" s="11"/>
      <c r="AK1516" s="4"/>
      <c r="AL1516" s="4"/>
      <c r="AM1516" s="4"/>
      <c r="AN1516" s="4"/>
      <c r="AO1516" s="4"/>
      <c r="AP1516" s="4"/>
      <c r="AQ1516" s="4"/>
    </row>
    <row r="1517" spans="1:43" s="2" customFormat="1" x14ac:dyDescent="0.25">
      <c r="A1517" s="161" t="str">
        <f t="shared" si="27"/>
        <v>SPEARMAN_ROME</v>
      </c>
      <c r="B1517" s="9" t="s">
        <v>106</v>
      </c>
      <c r="C1517" s="4" t="s">
        <v>734</v>
      </c>
      <c r="D1517" s="4"/>
      <c r="E1517" s="4" t="s">
        <v>106</v>
      </c>
      <c r="F1517" s="4" t="s">
        <v>106</v>
      </c>
      <c r="G1517" s="4" t="s">
        <v>2047</v>
      </c>
      <c r="H1517" s="4" t="s">
        <v>999</v>
      </c>
      <c r="I1517" s="4" t="s">
        <v>1796</v>
      </c>
      <c r="J1517" s="11"/>
      <c r="K1517" s="11"/>
      <c r="L1517" s="4"/>
      <c r="M1517" s="12"/>
      <c r="N1517" s="4"/>
      <c r="O1517" s="4"/>
      <c r="P1517" s="4"/>
      <c r="Q1517" s="9">
        <v>2</v>
      </c>
      <c r="R1517" s="11"/>
      <c r="S1517" s="4"/>
      <c r="T1517" s="11">
        <v>2</v>
      </c>
      <c r="U1517" s="11"/>
      <c r="V1517" s="4"/>
      <c r="W1517" s="11"/>
      <c r="X1517" s="11"/>
      <c r="Y1517" s="4"/>
      <c r="Z1517" s="9">
        <v>0</v>
      </c>
      <c r="AA1517" s="11"/>
      <c r="AB1517" s="4"/>
      <c r="AC1517" s="11"/>
      <c r="AD1517" s="11"/>
      <c r="AE1517" s="4"/>
      <c r="AF1517" s="11">
        <v>0</v>
      </c>
      <c r="AG1517" s="11"/>
      <c r="AH1517" s="4"/>
      <c r="AI1517" s="11">
        <v>1</v>
      </c>
      <c r="AJ1517" s="11"/>
      <c r="AK1517" s="4"/>
      <c r="AL1517" s="4"/>
      <c r="AM1517" s="4"/>
      <c r="AN1517" s="4"/>
      <c r="AO1517" s="4"/>
      <c r="AP1517" s="4"/>
      <c r="AQ1517" s="4"/>
    </row>
    <row r="1518" spans="1:43" s="2" customFormat="1" x14ac:dyDescent="0.25">
      <c r="A1518" s="161" t="str">
        <f t="shared" si="27"/>
        <v>SPEARMAN_ROME</v>
      </c>
      <c r="B1518" s="9" t="s">
        <v>106</v>
      </c>
      <c r="C1518" s="4" t="s">
        <v>734</v>
      </c>
      <c r="D1518" s="4"/>
      <c r="E1518" s="4" t="s">
        <v>106</v>
      </c>
      <c r="F1518" s="4" t="s">
        <v>106</v>
      </c>
      <c r="G1518" s="4" t="s">
        <v>2049</v>
      </c>
      <c r="H1518" s="4" t="s">
        <v>580</v>
      </c>
      <c r="I1518" s="4" t="s">
        <v>1796</v>
      </c>
      <c r="J1518" s="11"/>
      <c r="K1518" s="11"/>
      <c r="L1518" s="4"/>
      <c r="M1518" s="12"/>
      <c r="N1518" s="4"/>
      <c r="O1518" s="4"/>
      <c r="P1518" s="4"/>
      <c r="Q1518" s="9">
        <v>2</v>
      </c>
      <c r="R1518" s="11"/>
      <c r="S1518" s="4"/>
      <c r="T1518" s="11">
        <v>3</v>
      </c>
      <c r="U1518" s="11"/>
      <c r="V1518" s="4"/>
      <c r="W1518" s="11"/>
      <c r="X1518" s="11"/>
      <c r="Y1518" s="4"/>
      <c r="Z1518" s="9">
        <v>0</v>
      </c>
      <c r="AA1518" s="11"/>
      <c r="AB1518" s="4"/>
      <c r="AC1518" s="11"/>
      <c r="AD1518" s="11"/>
      <c r="AE1518" s="4"/>
      <c r="AF1518" s="11">
        <v>0</v>
      </c>
      <c r="AG1518" s="11"/>
      <c r="AH1518" s="4"/>
      <c r="AI1518" s="11">
        <v>1</v>
      </c>
      <c r="AJ1518" s="11"/>
      <c r="AK1518" s="4"/>
      <c r="AL1518" s="4"/>
      <c r="AM1518" s="4"/>
      <c r="AN1518" s="4"/>
      <c r="AO1518" s="4"/>
      <c r="AP1518" s="4"/>
      <c r="AQ1518" s="4"/>
    </row>
    <row r="1519" spans="1:43" x14ac:dyDescent="0.25">
      <c r="A1519" s="161" t="str">
        <f t="shared" si="27"/>
        <v>SPEARMAN_SPAIN</v>
      </c>
      <c r="B1519" s="9" t="s">
        <v>106</v>
      </c>
      <c r="C1519" s="4" t="s">
        <v>738</v>
      </c>
      <c r="E1519" s="4" t="s">
        <v>106</v>
      </c>
      <c r="F1519" s="4" t="s">
        <v>106</v>
      </c>
      <c r="H1519" s="4" t="s">
        <v>1019</v>
      </c>
      <c r="I1519" s="4" t="s">
        <v>2098</v>
      </c>
      <c r="Q1519" s="11">
        <v>0</v>
      </c>
      <c r="T1519" s="11">
        <v>3</v>
      </c>
      <c r="Z1519" s="9">
        <v>1</v>
      </c>
      <c r="AF1519" s="11">
        <v>1</v>
      </c>
      <c r="AI1519" s="11">
        <v>1</v>
      </c>
    </row>
    <row r="1520" spans="1:43" x14ac:dyDescent="0.25">
      <c r="A1520" s="161" t="str">
        <f t="shared" si="27"/>
        <v>SPEARMAN_SPAIN</v>
      </c>
      <c r="B1520" s="9" t="s">
        <v>106</v>
      </c>
      <c r="C1520" s="4" t="s">
        <v>738</v>
      </c>
      <c r="E1520" s="4" t="s">
        <v>106</v>
      </c>
      <c r="F1520" s="4" t="s">
        <v>106</v>
      </c>
      <c r="G1520" s="4" t="s">
        <v>2047</v>
      </c>
      <c r="H1520" s="4" t="s">
        <v>662</v>
      </c>
      <c r="I1520" s="4" t="s">
        <v>2098</v>
      </c>
      <c r="Q1520" s="11">
        <v>2</v>
      </c>
      <c r="T1520" s="11">
        <v>3</v>
      </c>
      <c r="Z1520" s="9">
        <v>0</v>
      </c>
      <c r="AF1520" s="11">
        <v>1</v>
      </c>
      <c r="AI1520" s="11">
        <v>1</v>
      </c>
    </row>
    <row r="1521" spans="1:35" x14ac:dyDescent="0.25">
      <c r="A1521" s="161" t="str">
        <f t="shared" si="27"/>
        <v>SPEARMAN_SPAIN</v>
      </c>
      <c r="B1521" s="9" t="s">
        <v>106</v>
      </c>
      <c r="C1521" s="4" t="s">
        <v>738</v>
      </c>
      <c r="E1521" s="4" t="s">
        <v>106</v>
      </c>
      <c r="F1521" s="4" t="s">
        <v>106</v>
      </c>
      <c r="H1521" s="4" t="s">
        <v>1019</v>
      </c>
      <c r="I1521" s="4" t="s">
        <v>2098</v>
      </c>
      <c r="Q1521" s="11">
        <v>3</v>
      </c>
      <c r="T1521" s="11">
        <v>4</v>
      </c>
      <c r="Z1521" s="9">
        <v>0</v>
      </c>
      <c r="AF1521" s="11">
        <v>1</v>
      </c>
      <c r="AI1521" s="11">
        <v>2</v>
      </c>
    </row>
    <row r="1522" spans="1:35" x14ac:dyDescent="0.25">
      <c r="A1522" s="161" t="str">
        <f t="shared" si="27"/>
        <v>SPEARMAN_SPAIN</v>
      </c>
      <c r="B1522" s="9" t="s">
        <v>106</v>
      </c>
      <c r="C1522" s="4" t="s">
        <v>738</v>
      </c>
      <c r="E1522" s="4" t="s">
        <v>106</v>
      </c>
      <c r="F1522" s="4" t="s">
        <v>106</v>
      </c>
      <c r="G1522" s="4" t="s">
        <v>2047</v>
      </c>
      <c r="H1522" s="4" t="s">
        <v>662</v>
      </c>
      <c r="I1522" s="4" t="s">
        <v>2098</v>
      </c>
      <c r="Q1522" s="9">
        <v>2</v>
      </c>
      <c r="T1522" s="11">
        <v>3</v>
      </c>
      <c r="Z1522" s="9">
        <v>0</v>
      </c>
      <c r="AF1522" s="11">
        <v>0</v>
      </c>
      <c r="AI1522" s="11">
        <v>1</v>
      </c>
    </row>
    <row r="1523" spans="1:35" x14ac:dyDescent="0.25">
      <c r="A1523" s="161" t="str">
        <f t="shared" si="27"/>
        <v>SPEARMAN_SPAIN</v>
      </c>
      <c r="B1523" s="9" t="s">
        <v>106</v>
      </c>
      <c r="C1523" s="4" t="s">
        <v>738</v>
      </c>
      <c r="E1523" s="4" t="s">
        <v>106</v>
      </c>
      <c r="F1523" s="4" t="s">
        <v>106</v>
      </c>
      <c r="H1523" s="4" t="s">
        <v>1019</v>
      </c>
      <c r="I1523" s="4" t="s">
        <v>2098</v>
      </c>
      <c r="Q1523" s="9">
        <v>3</v>
      </c>
      <c r="T1523" s="11">
        <v>4</v>
      </c>
      <c r="Z1523" s="9">
        <v>0</v>
      </c>
      <c r="AF1523" s="11">
        <v>0</v>
      </c>
      <c r="AI1523" s="11">
        <v>1</v>
      </c>
    </row>
    <row r="1524" spans="1:35" x14ac:dyDescent="0.25">
      <c r="A1524" s="161" t="str">
        <f t="shared" si="27"/>
        <v>SPEARMAN_SPAIN</v>
      </c>
      <c r="B1524" s="9" t="s">
        <v>106</v>
      </c>
      <c r="C1524" s="4" t="s">
        <v>738</v>
      </c>
      <c r="E1524" s="4" t="s">
        <v>106</v>
      </c>
      <c r="F1524" s="4" t="s">
        <v>106</v>
      </c>
      <c r="G1524" s="4" t="s">
        <v>2047</v>
      </c>
      <c r="H1524" s="4" t="s">
        <v>662</v>
      </c>
      <c r="I1524" s="4" t="s">
        <v>2098</v>
      </c>
      <c r="Q1524" s="9">
        <v>2</v>
      </c>
      <c r="T1524" s="11">
        <v>3</v>
      </c>
      <c r="Z1524" s="9">
        <v>0</v>
      </c>
      <c r="AF1524" s="11">
        <v>0</v>
      </c>
      <c r="AI1524" s="11">
        <v>1</v>
      </c>
    </row>
    <row r="1525" spans="1:35" x14ac:dyDescent="0.25">
      <c r="A1525" s="161" t="str">
        <f t="shared" si="27"/>
        <v>SPEARMAN_MIDEAST</v>
      </c>
      <c r="B1525" s="9" t="s">
        <v>106</v>
      </c>
      <c r="C1525" s="4" t="s">
        <v>690</v>
      </c>
      <c r="E1525" s="4" t="s">
        <v>106</v>
      </c>
      <c r="F1525" s="4" t="s">
        <v>106</v>
      </c>
      <c r="H1525" s="4" t="s">
        <v>563</v>
      </c>
      <c r="I1525" s="4" t="s">
        <v>102</v>
      </c>
      <c r="Q1525" s="9" t="s">
        <v>1737</v>
      </c>
      <c r="T1525" s="9"/>
      <c r="W1525" s="9"/>
      <c r="Z1525" s="9"/>
      <c r="AF1525" s="9"/>
      <c r="AI1525" s="9"/>
    </row>
    <row r="1526" spans="1:35" x14ac:dyDescent="0.25">
      <c r="A1526" s="161" t="str">
        <f t="shared" si="27"/>
        <v>SPEARMAN_ARABIA</v>
      </c>
      <c r="B1526" s="9" t="s">
        <v>106</v>
      </c>
      <c r="C1526" s="4" t="s">
        <v>700</v>
      </c>
      <c r="D1526" s="14"/>
      <c r="E1526" s="4" t="s">
        <v>106</v>
      </c>
      <c r="F1526" s="4" t="s">
        <v>106</v>
      </c>
      <c r="G1526" s="14"/>
      <c r="H1526" s="4" t="s">
        <v>170</v>
      </c>
      <c r="I1526" s="4" t="s">
        <v>2098</v>
      </c>
      <c r="Q1526" s="9" t="s">
        <v>1737</v>
      </c>
      <c r="T1526" s="9"/>
      <c r="W1526" s="9"/>
      <c r="AF1526" s="9"/>
      <c r="AI1526" s="9"/>
    </row>
    <row r="1527" spans="1:35" x14ac:dyDescent="0.25">
      <c r="A1527" s="161" t="str">
        <f t="shared" si="27"/>
        <v>SPEARMAN_BABYLON</v>
      </c>
      <c r="B1527" s="9" t="s">
        <v>106</v>
      </c>
      <c r="C1527" s="4" t="s">
        <v>703</v>
      </c>
      <c r="E1527" s="4" t="s">
        <v>106</v>
      </c>
      <c r="F1527" s="4" t="s">
        <v>106</v>
      </c>
      <c r="G1527" s="14"/>
      <c r="H1527" s="4" t="s">
        <v>217</v>
      </c>
      <c r="I1527" s="4" t="s">
        <v>102</v>
      </c>
      <c r="Q1527" s="9" t="s">
        <v>1737</v>
      </c>
      <c r="T1527" s="9"/>
      <c r="W1527" s="9"/>
      <c r="Z1527" s="9"/>
      <c r="AF1527" s="9"/>
      <c r="AI1527" s="9"/>
    </row>
    <row r="1528" spans="1:35" x14ac:dyDescent="0.25">
      <c r="A1528" s="161" t="str">
        <f t="shared" si="27"/>
        <v>SPEARMAN_EGYPT</v>
      </c>
      <c r="B1528" s="9" t="s">
        <v>106</v>
      </c>
      <c r="C1528" s="4" t="s">
        <v>712</v>
      </c>
      <c r="E1528" s="4" t="s">
        <v>106</v>
      </c>
      <c r="F1528" s="4" t="s">
        <v>106</v>
      </c>
      <c r="G1528" s="14" t="s">
        <v>132</v>
      </c>
      <c r="H1528" s="4" t="s">
        <v>287</v>
      </c>
      <c r="I1528" s="4" t="s">
        <v>2098</v>
      </c>
      <c r="Q1528" s="9" t="s">
        <v>1737</v>
      </c>
      <c r="T1528" s="9"/>
      <c r="W1528" s="9"/>
      <c r="Z1528" s="9"/>
      <c r="AF1528" s="9"/>
      <c r="AI1528" s="9"/>
    </row>
    <row r="1529" spans="1:35" x14ac:dyDescent="0.25">
      <c r="A1529" s="161" t="str">
        <f t="shared" si="27"/>
        <v>SPEARMAN_GARAMANTES</v>
      </c>
      <c r="B1529" s="9" t="s">
        <v>106</v>
      </c>
      <c r="C1529" s="4" t="s">
        <v>716</v>
      </c>
      <c r="E1529" s="4" t="s">
        <v>106</v>
      </c>
      <c r="F1529" s="4" t="s">
        <v>106</v>
      </c>
      <c r="G1529" s="14" t="s">
        <v>132</v>
      </c>
      <c r="H1529" s="4" t="s">
        <v>363</v>
      </c>
      <c r="I1529" s="4" t="s">
        <v>1025</v>
      </c>
      <c r="Q1529" s="9" t="s">
        <v>1737</v>
      </c>
      <c r="T1529" s="9"/>
      <c r="W1529" s="9"/>
      <c r="Z1529" s="9"/>
      <c r="AF1529" s="9"/>
      <c r="AI1529" s="9"/>
    </row>
    <row r="1530" spans="1:35" x14ac:dyDescent="0.25">
      <c r="A1530" s="161" t="str">
        <f t="shared" si="27"/>
        <v>SPEARMAN_NORTHEU</v>
      </c>
      <c r="B1530" s="9" t="s">
        <v>106</v>
      </c>
      <c r="C1530" s="4" t="s">
        <v>962</v>
      </c>
      <c r="E1530" s="4" t="s">
        <v>106</v>
      </c>
      <c r="F1530" s="4" t="s">
        <v>106</v>
      </c>
      <c r="G1530" s="14" t="s">
        <v>132</v>
      </c>
      <c r="H1530" s="4" t="s">
        <v>272</v>
      </c>
      <c r="I1530" s="4" t="s">
        <v>102</v>
      </c>
      <c r="Q1530" s="9" t="s">
        <v>1737</v>
      </c>
      <c r="T1530" s="9"/>
      <c r="W1530" s="9"/>
      <c r="Z1530" s="9"/>
      <c r="AF1530" s="9"/>
      <c r="AI1530" s="9"/>
    </row>
    <row r="1531" spans="1:35" x14ac:dyDescent="0.25">
      <c r="A1531" s="161" t="str">
        <f t="shared" si="27"/>
        <v>SPEARMAN_OCEAN</v>
      </c>
      <c r="B1531" s="9" t="s">
        <v>106</v>
      </c>
      <c r="C1531" s="4" t="s">
        <v>994</v>
      </c>
      <c r="D1531" s="4" t="s">
        <v>691</v>
      </c>
      <c r="E1531" s="4" t="s">
        <v>106</v>
      </c>
      <c r="F1531" s="4" t="s">
        <v>106</v>
      </c>
      <c r="Q1531" s="9"/>
      <c r="T1531" s="9"/>
      <c r="W1531" s="9"/>
      <c r="AF1531" s="9"/>
      <c r="AI1531" s="9"/>
    </row>
    <row r="1532" spans="1:35" x14ac:dyDescent="0.25">
      <c r="A1532" s="161" t="str">
        <f t="shared" si="27"/>
        <v>SPEARMAN_SEASIA</v>
      </c>
      <c r="B1532" s="9" t="s">
        <v>106</v>
      </c>
      <c r="C1532" s="4" t="s">
        <v>696</v>
      </c>
      <c r="D1532" s="4" t="s">
        <v>693</v>
      </c>
      <c r="E1532" s="4" t="s">
        <v>106</v>
      </c>
      <c r="F1532" s="4" t="s">
        <v>106</v>
      </c>
      <c r="Q1532" s="9"/>
      <c r="T1532" s="9"/>
      <c r="W1532" s="9"/>
      <c r="AF1532" s="9"/>
      <c r="AI1532" s="9"/>
    </row>
    <row r="1533" spans="1:35" x14ac:dyDescent="0.25">
      <c r="A1533" s="161" t="str">
        <f t="shared" si="27"/>
        <v>SPEARMAN_SOUTHAM</v>
      </c>
      <c r="B1533" s="9" t="s">
        <v>106</v>
      </c>
      <c r="C1533" s="4" t="s">
        <v>691</v>
      </c>
      <c r="E1533" s="4" t="s">
        <v>106</v>
      </c>
      <c r="F1533" s="4" t="s">
        <v>106</v>
      </c>
      <c r="H1533" s="4" t="s">
        <v>522</v>
      </c>
      <c r="I1533" s="4" t="s">
        <v>102</v>
      </c>
      <c r="Q1533" s="9" t="s">
        <v>1737</v>
      </c>
      <c r="T1533" s="9"/>
      <c r="W1533" s="9"/>
      <c r="Z1533" s="9"/>
      <c r="AF1533" s="9"/>
      <c r="AI1533" s="9"/>
    </row>
    <row r="1534" spans="1:35" x14ac:dyDescent="0.25">
      <c r="A1534" s="161" t="str">
        <f t="shared" ref="A1534:A1621" si="28">CONCATENATE(E1534,IF(ISBLANK(C1534),"",CONCATENATE("_",C1534)))</f>
        <v>SPEARMAN_AZTEC</v>
      </c>
      <c r="B1534" s="9" t="s">
        <v>106</v>
      </c>
      <c r="C1534" s="4" t="s">
        <v>702</v>
      </c>
      <c r="E1534" s="4" t="s">
        <v>106</v>
      </c>
      <c r="F1534" s="4" t="s">
        <v>106</v>
      </c>
      <c r="G1534" s="14"/>
      <c r="H1534" s="4" t="s">
        <v>202</v>
      </c>
      <c r="I1534" s="4" t="s">
        <v>102</v>
      </c>
      <c r="Q1534" s="9" t="s">
        <v>1737</v>
      </c>
      <c r="T1534" s="9"/>
      <c r="W1534" s="9"/>
      <c r="Z1534" s="9"/>
      <c r="AF1534" s="9"/>
      <c r="AI1534" s="9"/>
    </row>
    <row r="1535" spans="1:35" x14ac:dyDescent="0.25">
      <c r="A1535" s="161" t="str">
        <f t="shared" si="28"/>
        <v>SPEARMAN_INCA</v>
      </c>
      <c r="B1535" s="9" t="s">
        <v>106</v>
      </c>
      <c r="C1535" s="4" t="s">
        <v>719</v>
      </c>
      <c r="E1535" s="4" t="s">
        <v>106</v>
      </c>
      <c r="F1535" s="4" t="s">
        <v>106</v>
      </c>
      <c r="G1535" s="14" t="s">
        <v>132</v>
      </c>
      <c r="H1535" s="4" t="s">
        <v>428</v>
      </c>
      <c r="I1535" s="4" t="s">
        <v>102</v>
      </c>
      <c r="Q1535" s="9" t="s">
        <v>1737</v>
      </c>
      <c r="T1535" s="9"/>
      <c r="W1535" s="9"/>
      <c r="Z1535" s="9"/>
      <c r="AF1535" s="9"/>
      <c r="AI1535" s="9"/>
    </row>
    <row r="1536" spans="1:35" x14ac:dyDescent="0.25">
      <c r="A1536" s="161" t="str">
        <f t="shared" si="28"/>
        <v>SPEARMAN_MAYA</v>
      </c>
      <c r="B1536" s="9" t="s">
        <v>106</v>
      </c>
      <c r="C1536" s="4" t="s">
        <v>725</v>
      </c>
      <c r="E1536" s="4" t="s">
        <v>106</v>
      </c>
      <c r="F1536" s="4" t="s">
        <v>106</v>
      </c>
      <c r="H1536" s="4" t="s">
        <v>974</v>
      </c>
      <c r="I1536" s="4" t="s">
        <v>1025</v>
      </c>
      <c r="Q1536" s="11">
        <v>0</v>
      </c>
      <c r="T1536" s="11">
        <v>3</v>
      </c>
      <c r="Z1536" s="9">
        <v>1</v>
      </c>
      <c r="AF1536" s="11">
        <v>1</v>
      </c>
      <c r="AI1536" s="11">
        <v>1</v>
      </c>
    </row>
    <row r="1537" spans="1:43" x14ac:dyDescent="0.25">
      <c r="A1537" s="161" t="str">
        <f t="shared" si="28"/>
        <v>SPEARMAN_MAYA</v>
      </c>
      <c r="B1537" s="9" t="s">
        <v>106</v>
      </c>
      <c r="C1537" s="4" t="s">
        <v>725</v>
      </c>
      <c r="E1537" s="4" t="s">
        <v>106</v>
      </c>
      <c r="F1537" s="4" t="s">
        <v>106</v>
      </c>
      <c r="G1537" s="4" t="s">
        <v>2047</v>
      </c>
      <c r="H1537" s="4" t="s">
        <v>522</v>
      </c>
      <c r="I1537" s="4" t="s">
        <v>102</v>
      </c>
      <c r="Q1537" s="11">
        <v>3</v>
      </c>
      <c r="T1537" s="11">
        <v>4</v>
      </c>
      <c r="Z1537" s="9">
        <v>0</v>
      </c>
      <c r="AF1537" s="11">
        <v>1</v>
      </c>
      <c r="AI1537" s="11">
        <v>1</v>
      </c>
    </row>
    <row r="1538" spans="1:43" x14ac:dyDescent="0.25">
      <c r="A1538" s="161" t="str">
        <f t="shared" si="28"/>
        <v>SPEARMAN_MAYA</v>
      </c>
      <c r="B1538" s="9" t="s">
        <v>106</v>
      </c>
      <c r="C1538" s="4" t="s">
        <v>725</v>
      </c>
      <c r="E1538" s="4" t="s">
        <v>106</v>
      </c>
      <c r="F1538" s="4" t="s">
        <v>106</v>
      </c>
      <c r="H1538" s="4" t="s">
        <v>974</v>
      </c>
      <c r="I1538" s="4" t="s">
        <v>1025</v>
      </c>
      <c r="Q1538" s="11">
        <v>3</v>
      </c>
      <c r="T1538" s="11">
        <v>4</v>
      </c>
      <c r="Z1538" s="9">
        <v>0</v>
      </c>
      <c r="AF1538" s="11">
        <v>1</v>
      </c>
      <c r="AI1538" s="11">
        <v>2</v>
      </c>
    </row>
    <row r="1539" spans="1:43" x14ac:dyDescent="0.25">
      <c r="A1539" s="161" t="str">
        <f t="shared" si="28"/>
        <v>SPEARMAN_MAYA</v>
      </c>
      <c r="B1539" s="9" t="s">
        <v>106</v>
      </c>
      <c r="C1539" s="4" t="s">
        <v>725</v>
      </c>
      <c r="E1539" s="4" t="s">
        <v>106</v>
      </c>
      <c r="F1539" s="4" t="s">
        <v>106</v>
      </c>
      <c r="G1539" s="4" t="s">
        <v>2047</v>
      </c>
      <c r="H1539" s="4" t="s">
        <v>522</v>
      </c>
      <c r="I1539" s="4" t="s">
        <v>102</v>
      </c>
      <c r="Q1539" s="9">
        <v>1</v>
      </c>
      <c r="T1539" s="11">
        <v>3</v>
      </c>
      <c r="Z1539" s="9">
        <v>0</v>
      </c>
      <c r="AF1539" s="11">
        <v>0</v>
      </c>
      <c r="AI1539" s="11">
        <v>1</v>
      </c>
    </row>
    <row r="1540" spans="1:43" x14ac:dyDescent="0.25">
      <c r="A1540" s="161" t="str">
        <f t="shared" si="28"/>
        <v>SPEARMAN_MAYA</v>
      </c>
      <c r="B1540" s="9" t="s">
        <v>106</v>
      </c>
      <c r="C1540" s="4" t="s">
        <v>725</v>
      </c>
      <c r="E1540" s="4" t="s">
        <v>106</v>
      </c>
      <c r="F1540" s="4" t="s">
        <v>106</v>
      </c>
      <c r="H1540" s="4" t="s">
        <v>974</v>
      </c>
      <c r="I1540" s="4" t="s">
        <v>1025</v>
      </c>
      <c r="Q1540" s="9">
        <v>3</v>
      </c>
      <c r="T1540" s="11">
        <v>3</v>
      </c>
      <c r="Z1540" s="9">
        <v>0</v>
      </c>
      <c r="AF1540" s="11">
        <v>0</v>
      </c>
      <c r="AI1540" s="11">
        <v>1</v>
      </c>
    </row>
    <row r="1541" spans="1:43" x14ac:dyDescent="0.25">
      <c r="A1541" s="161" t="str">
        <f t="shared" si="28"/>
        <v>SPEARMAN_MAYA</v>
      </c>
      <c r="B1541" s="9" t="s">
        <v>106</v>
      </c>
      <c r="C1541" s="4" t="s">
        <v>725</v>
      </c>
      <c r="E1541" s="4" t="s">
        <v>106</v>
      </c>
      <c r="F1541" s="4" t="s">
        <v>106</v>
      </c>
      <c r="G1541" s="4" t="s">
        <v>2047</v>
      </c>
      <c r="H1541" s="4" t="s">
        <v>522</v>
      </c>
      <c r="I1541" s="4" t="s">
        <v>102</v>
      </c>
      <c r="Q1541" s="9">
        <v>2</v>
      </c>
      <c r="T1541" s="11">
        <v>3</v>
      </c>
      <c r="Z1541" s="9">
        <v>0</v>
      </c>
      <c r="AF1541" s="11">
        <v>0</v>
      </c>
      <c r="AI1541" s="11">
        <v>1</v>
      </c>
    </row>
    <row r="1542" spans="1:43" x14ac:dyDescent="0.25">
      <c r="A1542" s="161" t="str">
        <f t="shared" si="28"/>
        <v>SPEARMAN_SOUTHAS</v>
      </c>
      <c r="B1542" s="9" t="s">
        <v>106</v>
      </c>
      <c r="C1542" s="4" t="s">
        <v>695</v>
      </c>
      <c r="D1542" s="4" t="s">
        <v>693</v>
      </c>
      <c r="E1542" s="4" t="s">
        <v>106</v>
      </c>
      <c r="F1542" s="4" t="s">
        <v>106</v>
      </c>
      <c r="Q1542" s="9"/>
      <c r="T1542" s="9"/>
      <c r="W1542" s="9"/>
      <c r="AF1542" s="9"/>
      <c r="AI1542" s="9"/>
    </row>
    <row r="1543" spans="1:43" x14ac:dyDescent="0.25">
      <c r="A1543" s="161" t="str">
        <f t="shared" si="28"/>
        <v>SPEARMAN_INDIA</v>
      </c>
      <c r="B1543" s="9" t="s">
        <v>106</v>
      </c>
      <c r="C1543" s="4" t="s">
        <v>720</v>
      </c>
      <c r="E1543" s="4" t="s">
        <v>106</v>
      </c>
      <c r="F1543" s="4" t="s">
        <v>106</v>
      </c>
      <c r="G1543" s="14" t="s">
        <v>132</v>
      </c>
      <c r="H1543" s="4" t="s">
        <v>443</v>
      </c>
      <c r="I1543" s="4" t="s">
        <v>102</v>
      </c>
      <c r="Q1543" s="9" t="s">
        <v>1737</v>
      </c>
      <c r="T1543" s="9">
        <v>20</v>
      </c>
      <c r="W1543" s="9"/>
      <c r="Z1543" s="9">
        <v>1</v>
      </c>
      <c r="AF1543" s="9" t="s">
        <v>1737</v>
      </c>
      <c r="AI1543" s="9" t="s">
        <v>1737</v>
      </c>
    </row>
    <row r="1544" spans="1:43" x14ac:dyDescent="0.25">
      <c r="A1544" s="161" t="str">
        <f t="shared" si="28"/>
        <v>SS_BOOSTER</v>
      </c>
      <c r="B1544" s="9" t="s">
        <v>1074</v>
      </c>
      <c r="C1544" s="5"/>
      <c r="D1544" s="5"/>
      <c r="E1544" s="5" t="s">
        <v>1074</v>
      </c>
      <c r="F1544" s="5" t="s">
        <v>1074</v>
      </c>
      <c r="G1544" s="5"/>
      <c r="H1544" s="5" t="s">
        <v>1114</v>
      </c>
      <c r="I1544" s="5" t="s">
        <v>128</v>
      </c>
      <c r="J1544" s="6"/>
      <c r="K1544" s="6"/>
      <c r="L1544" s="13" t="s">
        <v>1709</v>
      </c>
      <c r="M1544" s="8"/>
      <c r="N1544" s="5"/>
      <c r="O1544" s="5"/>
      <c r="P1544" s="5"/>
      <c r="Q1544" s="7">
        <v>1</v>
      </c>
      <c r="R1544" s="6">
        <v>0.1</v>
      </c>
      <c r="S1544" s="5"/>
      <c r="T1544" s="6"/>
      <c r="U1544" s="6">
        <v>0.12</v>
      </c>
      <c r="V1544" s="5"/>
      <c r="W1544" s="6"/>
      <c r="X1544" s="6" t="s">
        <v>3</v>
      </c>
      <c r="Y1544" s="5"/>
      <c r="Z1544" s="6"/>
      <c r="AA1544" s="6"/>
      <c r="AB1544" s="5"/>
      <c r="AC1544" s="6"/>
      <c r="AD1544" s="6" t="s">
        <v>3</v>
      </c>
      <c r="AE1544" s="5"/>
      <c r="AF1544" s="6"/>
      <c r="AG1544" s="6"/>
      <c r="AH1544" s="5"/>
      <c r="AI1544" s="6"/>
      <c r="AJ1544" s="6"/>
      <c r="AK1544" s="5"/>
      <c r="AL1544" s="5"/>
      <c r="AM1544" s="5"/>
      <c r="AN1544" s="5"/>
      <c r="AO1544" s="5"/>
      <c r="AP1544" s="5"/>
      <c r="AQ1544" s="5"/>
    </row>
    <row r="1545" spans="1:43" x14ac:dyDescent="0.25">
      <c r="A1545" s="161" t="str">
        <f t="shared" si="28"/>
        <v>SS_CAPSULE</v>
      </c>
      <c r="B1545" s="9" t="s">
        <v>2324</v>
      </c>
      <c r="C1545" s="5"/>
      <c r="D1545" s="5"/>
      <c r="E1545" s="5" t="s">
        <v>1075</v>
      </c>
      <c r="F1545" s="5" t="s">
        <v>1075</v>
      </c>
      <c r="G1545" s="5"/>
      <c r="H1545" s="5" t="s">
        <v>1115</v>
      </c>
      <c r="I1545" s="5" t="s">
        <v>128</v>
      </c>
      <c r="J1545" s="6"/>
      <c r="K1545" s="6"/>
      <c r="L1545" s="13" t="s">
        <v>1709</v>
      </c>
      <c r="M1545" s="8"/>
      <c r="N1545" s="5"/>
      <c r="O1545" s="5"/>
      <c r="P1545" s="5"/>
      <c r="Q1545" s="7">
        <v>1</v>
      </c>
      <c r="R1545" s="6">
        <v>0.1</v>
      </c>
      <c r="S1545" s="5"/>
      <c r="T1545" s="6"/>
      <c r="U1545" s="6">
        <v>0.12</v>
      </c>
      <c r="V1545" s="5"/>
      <c r="W1545" s="6"/>
      <c r="X1545" s="6" t="s">
        <v>3</v>
      </c>
      <c r="Y1545" s="5"/>
      <c r="Z1545" s="6"/>
      <c r="AA1545" s="6"/>
      <c r="AB1545" s="5"/>
      <c r="AC1545" s="6"/>
      <c r="AD1545" s="6" t="s">
        <v>3</v>
      </c>
      <c r="AE1545" s="5"/>
      <c r="AF1545" s="6"/>
      <c r="AG1545" s="6"/>
      <c r="AH1545" s="5"/>
      <c r="AI1545" s="6"/>
      <c r="AJ1545" s="6"/>
      <c r="AK1545" s="5"/>
      <c r="AL1545" s="5"/>
      <c r="AM1545" s="5"/>
      <c r="AN1545" s="5"/>
      <c r="AO1545" s="5"/>
      <c r="AP1545" s="5"/>
      <c r="AQ1545" s="5"/>
    </row>
    <row r="1546" spans="1:43" x14ac:dyDescent="0.25">
      <c r="A1546" s="161" t="str">
        <f t="shared" si="28"/>
        <v>SS_ENGINE</v>
      </c>
      <c r="B1546" s="9" t="s">
        <v>1076</v>
      </c>
      <c r="C1546" s="5"/>
      <c r="D1546" s="5"/>
      <c r="E1546" s="5" t="s">
        <v>1076</v>
      </c>
      <c r="F1546" s="5" t="s">
        <v>1076</v>
      </c>
      <c r="G1546" s="5"/>
      <c r="H1546" s="5" t="s">
        <v>1116</v>
      </c>
      <c r="I1546" s="5" t="s">
        <v>128</v>
      </c>
      <c r="J1546" s="6"/>
      <c r="K1546" s="6"/>
      <c r="L1546" s="13" t="s">
        <v>1709</v>
      </c>
      <c r="M1546" s="8"/>
      <c r="N1546" s="5"/>
      <c r="O1546" s="5"/>
      <c r="P1546" s="5"/>
      <c r="Q1546" s="7">
        <v>1</v>
      </c>
      <c r="R1546" s="6">
        <v>0.1</v>
      </c>
      <c r="S1546" s="5"/>
      <c r="T1546" s="6"/>
      <c r="U1546" s="6">
        <v>0.12</v>
      </c>
      <c r="V1546" s="5"/>
      <c r="W1546" s="6"/>
      <c r="X1546" s="6" t="s">
        <v>3</v>
      </c>
      <c r="Y1546" s="5"/>
      <c r="Z1546" s="6"/>
      <c r="AA1546" s="6"/>
      <c r="AB1546" s="5"/>
      <c r="AC1546" s="6"/>
      <c r="AD1546" s="6" t="s">
        <v>3</v>
      </c>
      <c r="AE1546" s="5"/>
      <c r="AF1546" s="6"/>
      <c r="AG1546" s="6"/>
      <c r="AH1546" s="5"/>
      <c r="AI1546" s="6"/>
      <c r="AJ1546" s="6"/>
      <c r="AK1546" s="5"/>
      <c r="AL1546" s="5"/>
      <c r="AM1546" s="5"/>
      <c r="AN1546" s="5"/>
      <c r="AO1546" s="5"/>
      <c r="AP1546" s="5"/>
      <c r="AQ1546" s="5"/>
    </row>
    <row r="1547" spans="1:43" x14ac:dyDescent="0.25">
      <c r="A1547" s="161" t="str">
        <f t="shared" si="28"/>
        <v>SS_STASIS_CHAMBER</v>
      </c>
      <c r="B1547" s="9" t="s">
        <v>1077</v>
      </c>
      <c r="C1547" s="5"/>
      <c r="D1547" s="5"/>
      <c r="E1547" s="5" t="s">
        <v>1077</v>
      </c>
      <c r="F1547" s="5" t="s">
        <v>1077</v>
      </c>
      <c r="G1547" s="5"/>
      <c r="H1547" s="5" t="s">
        <v>1117</v>
      </c>
      <c r="I1547" s="5" t="s">
        <v>128</v>
      </c>
      <c r="J1547" s="6"/>
      <c r="K1547" s="6"/>
      <c r="L1547" s="13" t="s">
        <v>1714</v>
      </c>
      <c r="M1547" s="8"/>
      <c r="N1547" s="5"/>
      <c r="O1547" s="5"/>
      <c r="P1547" s="5"/>
      <c r="Q1547" s="7">
        <v>1</v>
      </c>
      <c r="R1547" s="6">
        <v>0.1</v>
      </c>
      <c r="S1547" s="5"/>
      <c r="T1547" s="6"/>
      <c r="U1547" s="7">
        <v>0.12</v>
      </c>
      <c r="V1547" s="5"/>
      <c r="W1547" s="6"/>
      <c r="X1547" s="6" t="s">
        <v>3</v>
      </c>
      <c r="Y1547" s="5"/>
      <c r="Z1547" s="6"/>
      <c r="AA1547" s="6"/>
      <c r="AB1547" s="5"/>
      <c r="AC1547" s="6"/>
      <c r="AD1547" s="6" t="s">
        <v>3</v>
      </c>
      <c r="AE1547" s="5"/>
      <c r="AF1547" s="6"/>
      <c r="AG1547" s="6"/>
      <c r="AH1547" s="5"/>
      <c r="AI1547" s="6"/>
      <c r="AJ1547" s="6"/>
      <c r="AK1547" s="5"/>
      <c r="AL1547" s="5"/>
      <c r="AM1547" s="5"/>
      <c r="AN1547" s="5"/>
      <c r="AO1547" s="5"/>
      <c r="AP1547" s="5"/>
      <c r="AQ1547" s="5"/>
    </row>
    <row r="1548" spans="1:43" x14ac:dyDescent="0.25">
      <c r="A1548" s="161" t="str">
        <f t="shared" si="28"/>
        <v>STEALTH_BOMBER</v>
      </c>
      <c r="B1548" s="9" t="s">
        <v>774</v>
      </c>
      <c r="C1548" s="5"/>
      <c r="D1548" s="5"/>
      <c r="E1548" s="5" t="s">
        <v>774</v>
      </c>
      <c r="F1548" s="5" t="s">
        <v>802</v>
      </c>
      <c r="G1548" s="5"/>
      <c r="H1548" s="5" t="s">
        <v>1529</v>
      </c>
      <c r="I1548" s="5" t="s">
        <v>128</v>
      </c>
      <c r="J1548" s="6"/>
      <c r="K1548" s="7"/>
      <c r="L1548" s="13" t="s">
        <v>1711</v>
      </c>
      <c r="M1548" s="8">
        <v>2.35</v>
      </c>
      <c r="N1548" s="13" t="s">
        <v>1725</v>
      </c>
      <c r="O1548" s="13"/>
      <c r="P1548" s="13"/>
      <c r="Q1548" s="7">
        <v>1</v>
      </c>
      <c r="R1548" s="6">
        <v>0.08</v>
      </c>
      <c r="S1548" s="13" t="s">
        <v>1615</v>
      </c>
      <c r="T1548" s="6"/>
      <c r="U1548" s="6">
        <v>0.1</v>
      </c>
      <c r="V1548" s="5"/>
      <c r="W1548" s="6"/>
      <c r="X1548" s="6" t="s">
        <v>3</v>
      </c>
      <c r="Y1548" s="5"/>
      <c r="Z1548" s="6"/>
      <c r="AA1548" s="6"/>
      <c r="AB1548" s="5"/>
      <c r="AC1548" s="6"/>
      <c r="AD1548" s="6" t="s">
        <v>3</v>
      </c>
      <c r="AE1548" s="5"/>
      <c r="AF1548" s="6"/>
      <c r="AG1548" s="6"/>
      <c r="AH1548" s="5"/>
      <c r="AI1548" s="6"/>
      <c r="AJ1548" s="6"/>
      <c r="AK1548" s="5"/>
      <c r="AL1548" s="5"/>
      <c r="AM1548" s="5"/>
      <c r="AN1548" s="5"/>
      <c r="AO1548" s="5"/>
      <c r="AP1548" s="5"/>
      <c r="AQ1548" s="5"/>
    </row>
    <row r="1549" spans="1:43" x14ac:dyDescent="0.25">
      <c r="A1549" s="161" t="str">
        <f t="shared" si="28"/>
        <v>STEALTH_BOMBER_AUSTRIA</v>
      </c>
      <c r="B1549" s="9" t="s">
        <v>774</v>
      </c>
      <c r="C1549" s="4" t="s">
        <v>701</v>
      </c>
      <c r="D1549" s="4" t="s">
        <v>717</v>
      </c>
      <c r="E1549" s="4" t="s">
        <v>774</v>
      </c>
      <c r="F1549" s="4" t="s">
        <v>802</v>
      </c>
      <c r="G1549" s="14" t="s">
        <v>132</v>
      </c>
      <c r="Q1549" s="9"/>
      <c r="T1549" s="9"/>
      <c r="W1549" s="9"/>
      <c r="AF1549" s="9"/>
      <c r="AI1549" s="9"/>
    </row>
    <row r="1550" spans="1:43" x14ac:dyDescent="0.25">
      <c r="A1550" s="161" t="str">
        <f t="shared" si="28"/>
        <v>STEALTH_BOMBER_GERMANY</v>
      </c>
      <c r="B1550" s="9" t="s">
        <v>774</v>
      </c>
      <c r="C1550" s="4" t="s">
        <v>717</v>
      </c>
      <c r="E1550" s="4" t="s">
        <v>774</v>
      </c>
      <c r="F1550" s="4" t="s">
        <v>802</v>
      </c>
      <c r="G1550" s="14" t="s">
        <v>132</v>
      </c>
      <c r="H1550" s="4" t="s">
        <v>389</v>
      </c>
      <c r="I1550" s="4" t="s">
        <v>1062</v>
      </c>
    </row>
    <row r="1551" spans="1:43" x14ac:dyDescent="0.25">
      <c r="A1551" s="161" t="str">
        <f t="shared" si="28"/>
        <v>SUBMARINE</v>
      </c>
      <c r="B1551" s="9" t="s">
        <v>105</v>
      </c>
      <c r="C1551" s="5"/>
      <c r="D1551" s="5"/>
      <c r="E1551" s="5" t="s">
        <v>105</v>
      </c>
      <c r="F1551" s="5" t="s">
        <v>105</v>
      </c>
      <c r="G1551" s="5"/>
      <c r="H1551" s="5" t="s">
        <v>1721</v>
      </c>
      <c r="I1551" s="5" t="s">
        <v>102</v>
      </c>
      <c r="J1551" s="6"/>
      <c r="K1551" s="7"/>
      <c r="L1551" s="13" t="s">
        <v>1716</v>
      </c>
      <c r="M1551" s="8"/>
      <c r="N1551" s="13" t="s">
        <v>1727</v>
      </c>
      <c r="O1551" s="13"/>
      <c r="P1551" s="13"/>
      <c r="Q1551" s="7">
        <v>1</v>
      </c>
      <c r="R1551" s="6">
        <v>0.16</v>
      </c>
      <c r="S1551" s="5"/>
      <c r="T1551" s="7">
        <v>3</v>
      </c>
      <c r="U1551" s="6">
        <v>0.12</v>
      </c>
      <c r="V1551" s="5" t="s">
        <v>1703</v>
      </c>
      <c r="W1551" s="6"/>
      <c r="X1551" s="6"/>
      <c r="Y1551" s="5"/>
      <c r="Z1551" s="6"/>
      <c r="AA1551" s="6"/>
      <c r="AB1551" s="5"/>
      <c r="AC1551" s="6"/>
      <c r="AD1551" s="6"/>
      <c r="AE1551" s="5"/>
      <c r="AF1551" s="6"/>
      <c r="AG1551" s="6"/>
      <c r="AH1551" s="5"/>
      <c r="AI1551" s="6"/>
      <c r="AJ1551" s="6"/>
      <c r="AK1551" s="5"/>
      <c r="AL1551" s="5"/>
      <c r="AM1551" s="5"/>
      <c r="AN1551" s="5"/>
      <c r="AO1551" s="5"/>
      <c r="AP1551" s="5"/>
      <c r="AQ1551" s="5"/>
    </row>
    <row r="1552" spans="1:43" x14ac:dyDescent="0.25">
      <c r="A1552" s="161" t="str">
        <f t="shared" si="28"/>
        <v>SUBMARINE_ZULU</v>
      </c>
      <c r="B1552" s="9" t="s">
        <v>105</v>
      </c>
      <c r="C1552" s="5" t="s">
        <v>742</v>
      </c>
      <c r="D1552" s="5" t="s">
        <v>713</v>
      </c>
      <c r="E1552" s="5" t="s">
        <v>105</v>
      </c>
      <c r="F1552" s="5" t="s">
        <v>105</v>
      </c>
      <c r="G1552" s="5"/>
      <c r="H1552" s="5"/>
      <c r="I1552" s="5"/>
      <c r="J1552" s="6"/>
      <c r="K1552" s="7"/>
      <c r="L1552" s="13"/>
      <c r="M1552" s="8"/>
      <c r="N1552" s="13"/>
      <c r="O1552" s="13"/>
      <c r="P1552" s="13"/>
      <c r="Q1552" s="7"/>
      <c r="R1552" s="6"/>
      <c r="S1552" s="5"/>
      <c r="T1552" s="7"/>
      <c r="U1552" s="6"/>
      <c r="V1552" s="5"/>
      <c r="W1552" s="6"/>
      <c r="X1552" s="6"/>
      <c r="Y1552" s="5"/>
      <c r="Z1552" s="6"/>
      <c r="AA1552" s="6"/>
      <c r="AB1552" s="5"/>
      <c r="AC1552" s="6"/>
      <c r="AD1552" s="6"/>
      <c r="AE1552" s="5"/>
      <c r="AF1552" s="6"/>
      <c r="AG1552" s="6"/>
      <c r="AH1552" s="5"/>
      <c r="AI1552" s="6"/>
      <c r="AJ1552" s="6"/>
      <c r="AK1552" s="5"/>
      <c r="AL1552" s="5"/>
      <c r="AM1552" s="5"/>
      <c r="AN1552" s="5"/>
      <c r="AO1552" s="5"/>
      <c r="AP1552" s="5"/>
      <c r="AQ1552" s="5"/>
    </row>
    <row r="1553" spans="1:43" x14ac:dyDescent="0.25">
      <c r="A1553" s="161" t="str">
        <f t="shared" si="28"/>
        <v>SUBMARINE_AMER</v>
      </c>
      <c r="B1553" s="9" t="s">
        <v>105</v>
      </c>
      <c r="C1553" s="5" t="s">
        <v>697</v>
      </c>
      <c r="D1553" s="5" t="s">
        <v>699</v>
      </c>
      <c r="E1553" s="5" t="s">
        <v>105</v>
      </c>
      <c r="F1553" s="5" t="s">
        <v>105</v>
      </c>
      <c r="G1553" s="5"/>
      <c r="H1553" s="5"/>
      <c r="I1553" s="5"/>
      <c r="J1553" s="6"/>
      <c r="K1553" s="7"/>
      <c r="L1553" s="13"/>
      <c r="M1553" s="8"/>
      <c r="N1553" s="13"/>
      <c r="O1553" s="13"/>
      <c r="P1553" s="13"/>
      <c r="Q1553" s="7"/>
      <c r="R1553" s="6"/>
      <c r="S1553" s="5"/>
      <c r="T1553" s="7"/>
      <c r="U1553" s="6"/>
      <c r="V1553" s="5"/>
      <c r="W1553" s="6"/>
      <c r="X1553" s="6"/>
      <c r="Y1553" s="5"/>
      <c r="Z1553" s="6"/>
      <c r="AA1553" s="6"/>
      <c r="AB1553" s="5"/>
      <c r="AC1553" s="6"/>
      <c r="AD1553" s="6"/>
      <c r="AE1553" s="5"/>
      <c r="AF1553" s="6"/>
      <c r="AG1553" s="6"/>
      <c r="AH1553" s="5"/>
      <c r="AI1553" s="6"/>
      <c r="AJ1553" s="6"/>
      <c r="AK1553" s="5"/>
      <c r="AL1553" s="5"/>
      <c r="AM1553" s="5"/>
      <c r="AN1553" s="5"/>
      <c r="AO1553" s="5"/>
      <c r="AP1553" s="5"/>
      <c r="AQ1553" s="5"/>
    </row>
    <row r="1554" spans="1:43" x14ac:dyDescent="0.25">
      <c r="A1554" s="161" t="str">
        <f t="shared" si="28"/>
        <v>SUBMARINE_ASIA</v>
      </c>
      <c r="B1554" s="9" t="s">
        <v>105</v>
      </c>
      <c r="C1554" s="5" t="s">
        <v>693</v>
      </c>
      <c r="D1554" s="5"/>
      <c r="E1554" s="5" t="s">
        <v>105</v>
      </c>
      <c r="F1554" s="5" t="s">
        <v>105</v>
      </c>
      <c r="G1554" s="5"/>
      <c r="H1554" s="4" t="s">
        <v>490</v>
      </c>
      <c r="I1554" s="5" t="s">
        <v>102</v>
      </c>
      <c r="K1554" s="7"/>
      <c r="L1554" s="13"/>
      <c r="M1554" s="8"/>
      <c r="N1554" s="13"/>
      <c r="O1554" s="13"/>
      <c r="P1554" s="13"/>
      <c r="Q1554" s="7"/>
      <c r="R1554" s="6"/>
      <c r="S1554" s="5"/>
      <c r="T1554" s="7"/>
      <c r="U1554" s="6"/>
      <c r="V1554" s="5"/>
      <c r="W1554" s="6"/>
      <c r="X1554" s="6"/>
      <c r="Y1554" s="5"/>
      <c r="Z1554" s="6"/>
      <c r="AA1554" s="6"/>
      <c r="AB1554" s="5"/>
      <c r="AC1554" s="6"/>
      <c r="AD1554" s="6"/>
      <c r="AE1554" s="5"/>
      <c r="AF1554" s="6"/>
      <c r="AG1554" s="6"/>
      <c r="AH1554" s="5"/>
      <c r="AI1554" s="6"/>
      <c r="AJ1554" s="6"/>
      <c r="AK1554" s="5"/>
      <c r="AL1554" s="5"/>
      <c r="AM1554" s="5"/>
      <c r="AN1554" s="5"/>
      <c r="AO1554" s="5"/>
      <c r="AP1554" s="5"/>
      <c r="AQ1554" s="5"/>
    </row>
    <row r="1555" spans="1:43" x14ac:dyDescent="0.25">
      <c r="A1555" s="161" t="str">
        <f t="shared" si="28"/>
        <v>SUBMARINE_JAPAN</v>
      </c>
      <c r="B1555" s="9" t="s">
        <v>105</v>
      </c>
      <c r="C1555" s="4" t="s">
        <v>722</v>
      </c>
      <c r="D1555" s="4" t="s">
        <v>693</v>
      </c>
      <c r="E1555" s="4" t="s">
        <v>105</v>
      </c>
      <c r="F1555" s="4" t="s">
        <v>105</v>
      </c>
      <c r="G1555" s="14" t="s">
        <v>132</v>
      </c>
    </row>
    <row r="1556" spans="1:43" x14ac:dyDescent="0.25">
      <c r="A1556" s="161" t="str">
        <f t="shared" si="28"/>
        <v>SUBMARINE_HUNS</v>
      </c>
      <c r="B1556" s="9" t="s">
        <v>105</v>
      </c>
      <c r="C1556" s="4" t="s">
        <v>904</v>
      </c>
      <c r="D1556" s="4" t="s">
        <v>701</v>
      </c>
      <c r="E1556" s="4" t="s">
        <v>105</v>
      </c>
      <c r="F1556" s="4" t="s">
        <v>105</v>
      </c>
    </row>
    <row r="1557" spans="1:43" x14ac:dyDescent="0.25">
      <c r="A1557" s="161" t="str">
        <f t="shared" si="28"/>
        <v>SUBMARINE_EASTEU</v>
      </c>
      <c r="B1557" s="9" t="s">
        <v>105</v>
      </c>
      <c r="C1557" s="4" t="s">
        <v>698</v>
      </c>
      <c r="E1557" s="4" t="s">
        <v>105</v>
      </c>
      <c r="F1557" s="4" t="s">
        <v>105</v>
      </c>
      <c r="H1557" s="4" t="s">
        <v>626</v>
      </c>
      <c r="I1557" s="4" t="s">
        <v>102</v>
      </c>
    </row>
    <row r="1558" spans="1:43" x14ac:dyDescent="0.25">
      <c r="A1558" s="161" t="str">
        <f t="shared" si="28"/>
        <v>SUBMARINE_POLAND</v>
      </c>
      <c r="B1558" s="9" t="s">
        <v>105</v>
      </c>
      <c r="C1558" s="4" t="s">
        <v>732</v>
      </c>
      <c r="E1558" s="4" t="s">
        <v>105</v>
      </c>
      <c r="F1558" s="4" t="s">
        <v>105</v>
      </c>
      <c r="G1558" s="14" t="s">
        <v>132</v>
      </c>
      <c r="H1558" s="4" t="s">
        <v>574</v>
      </c>
      <c r="I1558" s="4" t="s">
        <v>102</v>
      </c>
    </row>
    <row r="1559" spans="1:43" x14ac:dyDescent="0.25">
      <c r="A1559" s="161" t="str">
        <f t="shared" si="28"/>
        <v>SUBMARINE_RUSSIA</v>
      </c>
      <c r="B1559" s="9" t="s">
        <v>105</v>
      </c>
      <c r="C1559" s="4" t="s">
        <v>735</v>
      </c>
      <c r="D1559" s="4" t="s">
        <v>698</v>
      </c>
      <c r="E1559" s="4" t="s">
        <v>105</v>
      </c>
      <c r="F1559" s="4" t="s">
        <v>105</v>
      </c>
      <c r="G1559" s="14" t="s">
        <v>132</v>
      </c>
    </row>
    <row r="1560" spans="1:43" x14ac:dyDescent="0.25">
      <c r="A1560" s="161" t="str">
        <f t="shared" si="28"/>
        <v>SUBMARINE_AMERICA</v>
      </c>
      <c r="B1560" s="9" t="s">
        <v>105</v>
      </c>
      <c r="C1560" s="4" t="s">
        <v>699</v>
      </c>
      <c r="E1560" s="4" t="s">
        <v>105</v>
      </c>
      <c r="F1560" s="4" t="s">
        <v>105</v>
      </c>
      <c r="G1560" s="14"/>
      <c r="H1560" s="4" t="s">
        <v>151</v>
      </c>
      <c r="I1560" s="4" t="s">
        <v>102</v>
      </c>
    </row>
    <row r="1561" spans="1:43" x14ac:dyDescent="0.25">
      <c r="A1561" s="161" t="str">
        <f t="shared" si="28"/>
        <v>SUBMARINE_AUSTRALIA</v>
      </c>
      <c r="B1561" s="9" t="s">
        <v>105</v>
      </c>
      <c r="C1561" s="4" t="s">
        <v>1302</v>
      </c>
      <c r="D1561" s="4" t="s">
        <v>713</v>
      </c>
      <c r="E1561" s="4" t="s">
        <v>105</v>
      </c>
      <c r="F1561" s="4" t="s">
        <v>105</v>
      </c>
      <c r="G1561" s="14"/>
    </row>
    <row r="1562" spans="1:43" x14ac:dyDescent="0.25">
      <c r="A1562" s="161" t="str">
        <f t="shared" si="28"/>
        <v>SUBMARINE_AUSTRIA</v>
      </c>
      <c r="B1562" s="9" t="s">
        <v>105</v>
      </c>
      <c r="C1562" s="4" t="s">
        <v>701</v>
      </c>
      <c r="E1562" s="4" t="s">
        <v>105</v>
      </c>
      <c r="F1562" s="4" t="s">
        <v>105</v>
      </c>
      <c r="G1562" s="14"/>
      <c r="H1562" s="4" t="s">
        <v>186</v>
      </c>
      <c r="I1562" s="4" t="s">
        <v>102</v>
      </c>
    </row>
    <row r="1563" spans="1:43" x14ac:dyDescent="0.25">
      <c r="A1563" s="161" t="str">
        <f t="shared" si="28"/>
        <v>SUBMARINE_CANADA</v>
      </c>
      <c r="B1563" s="9" t="s">
        <v>105</v>
      </c>
      <c r="C1563" s="4" t="s">
        <v>2209</v>
      </c>
      <c r="D1563" s="4" t="s">
        <v>713</v>
      </c>
      <c r="E1563" s="4" t="s">
        <v>105</v>
      </c>
      <c r="F1563" s="4" t="s">
        <v>105</v>
      </c>
      <c r="G1563" s="14"/>
    </row>
    <row r="1564" spans="1:43" x14ac:dyDescent="0.25">
      <c r="A1564" s="161" t="str">
        <f t="shared" si="28"/>
        <v>SUBMARINE_CELTS</v>
      </c>
      <c r="B1564" s="9" t="s">
        <v>105</v>
      </c>
      <c r="C1564" s="4" t="s">
        <v>709</v>
      </c>
      <c r="D1564" s="4" t="s">
        <v>713</v>
      </c>
      <c r="E1564" s="4" t="s">
        <v>105</v>
      </c>
      <c r="F1564" s="4" t="s">
        <v>105</v>
      </c>
      <c r="G1564" s="14"/>
    </row>
    <row r="1565" spans="1:43" x14ac:dyDescent="0.25">
      <c r="A1565" s="161" t="str">
        <f t="shared" si="28"/>
        <v>SUBMARINE_ENGLAND</v>
      </c>
      <c r="B1565" s="9" t="s">
        <v>105</v>
      </c>
      <c r="C1565" s="4" t="s">
        <v>713</v>
      </c>
      <c r="E1565" s="4" t="s">
        <v>105</v>
      </c>
      <c r="F1565" s="4" t="s">
        <v>105</v>
      </c>
      <c r="G1565" s="14" t="s">
        <v>132</v>
      </c>
      <c r="H1565" s="4" t="s">
        <v>312</v>
      </c>
      <c r="I1565" s="4" t="s">
        <v>102</v>
      </c>
    </row>
    <row r="1566" spans="1:43" x14ac:dyDescent="0.25">
      <c r="A1566" s="161" t="str">
        <f t="shared" si="28"/>
        <v>SUBMARINE_FRANCE</v>
      </c>
      <c r="B1566" s="9" t="s">
        <v>105</v>
      </c>
      <c r="C1566" s="4" t="s">
        <v>715</v>
      </c>
      <c r="E1566" s="4" t="s">
        <v>105</v>
      </c>
      <c r="F1566" s="4" t="s">
        <v>105</v>
      </c>
      <c r="G1566" s="14" t="s">
        <v>132</v>
      </c>
      <c r="H1566" s="4" t="s">
        <v>357</v>
      </c>
      <c r="I1566" s="4" t="s">
        <v>102</v>
      </c>
    </row>
    <row r="1567" spans="1:43" x14ac:dyDescent="0.25">
      <c r="A1567" s="161" t="str">
        <f t="shared" si="28"/>
        <v>SUBMARINE_GERMANY</v>
      </c>
      <c r="B1567" s="9" t="s">
        <v>105</v>
      </c>
      <c r="C1567" s="4" t="s">
        <v>717</v>
      </c>
      <c r="E1567" s="4" t="s">
        <v>105</v>
      </c>
      <c r="F1567" s="4" t="s">
        <v>105</v>
      </c>
      <c r="G1567" s="14" t="s">
        <v>132</v>
      </c>
      <c r="H1567" s="4" t="s">
        <v>390</v>
      </c>
      <c r="I1567" s="4" t="s">
        <v>102</v>
      </c>
    </row>
    <row r="1568" spans="1:43" x14ac:dyDescent="0.25">
      <c r="A1568" s="161" t="str">
        <f t="shared" si="28"/>
        <v>SUBMARINE_NETHERLANDS</v>
      </c>
      <c r="B1568" s="9" t="s">
        <v>105</v>
      </c>
      <c r="C1568" s="4" t="s">
        <v>730</v>
      </c>
      <c r="E1568" s="4" t="s">
        <v>105</v>
      </c>
      <c r="F1568" s="4" t="s">
        <v>105</v>
      </c>
      <c r="G1568" s="14" t="s">
        <v>132</v>
      </c>
      <c r="H1568" s="4" t="s">
        <v>549</v>
      </c>
      <c r="I1568" s="4" t="s">
        <v>102</v>
      </c>
    </row>
    <row r="1569" spans="1:43" x14ac:dyDescent="0.25">
      <c r="A1569" s="161" t="str">
        <f t="shared" si="28"/>
        <v>SUBMARINE_GREECE</v>
      </c>
      <c r="B1569" s="9" t="s">
        <v>105</v>
      </c>
      <c r="C1569" s="4" t="s">
        <v>718</v>
      </c>
      <c r="E1569" s="4" t="s">
        <v>105</v>
      </c>
      <c r="F1569" s="4" t="s">
        <v>105</v>
      </c>
      <c r="G1569" s="14" t="s">
        <v>132</v>
      </c>
      <c r="H1569" s="4" t="s">
        <v>413</v>
      </c>
      <c r="I1569" s="4" t="s">
        <v>102</v>
      </c>
    </row>
    <row r="1570" spans="1:43" x14ac:dyDescent="0.25">
      <c r="A1570" s="161" t="str">
        <f t="shared" si="28"/>
        <v>SUBMARINE_ROME</v>
      </c>
      <c r="B1570" s="9" t="s">
        <v>105</v>
      </c>
      <c r="C1570" s="4" t="s">
        <v>734</v>
      </c>
      <c r="E1570" s="4" t="s">
        <v>105</v>
      </c>
      <c r="F1570" s="4" t="s">
        <v>105</v>
      </c>
      <c r="G1570" s="14" t="s">
        <v>132</v>
      </c>
      <c r="H1570" s="4" t="s">
        <v>599</v>
      </c>
      <c r="I1570" s="4" t="s">
        <v>102</v>
      </c>
    </row>
    <row r="1571" spans="1:43" x14ac:dyDescent="0.25">
      <c r="A1571" s="161" t="str">
        <f t="shared" si="28"/>
        <v>SUBMARINE_NORTHAF</v>
      </c>
      <c r="B1571" s="9" t="s">
        <v>105</v>
      </c>
      <c r="C1571" s="4" t="s">
        <v>2011</v>
      </c>
      <c r="D1571" s="4" t="s">
        <v>715</v>
      </c>
      <c r="E1571" s="4" t="s">
        <v>105</v>
      </c>
      <c r="F1571" s="4" t="s">
        <v>105</v>
      </c>
      <c r="G1571" s="14"/>
    </row>
    <row r="1572" spans="1:43" x14ac:dyDescent="0.25">
      <c r="A1572" s="161" t="str">
        <f t="shared" si="28"/>
        <v>SUBMARINE_SWEDEN</v>
      </c>
      <c r="B1572" s="9" t="s">
        <v>105</v>
      </c>
      <c r="C1572" s="4" t="s">
        <v>739</v>
      </c>
      <c r="E1572" s="4" t="s">
        <v>105</v>
      </c>
      <c r="F1572" s="4" t="s">
        <v>105</v>
      </c>
      <c r="G1572" s="14" t="s">
        <v>132</v>
      </c>
      <c r="H1572" s="4" t="s">
        <v>675</v>
      </c>
      <c r="I1572" s="4" t="s">
        <v>102</v>
      </c>
    </row>
    <row r="1573" spans="1:43" x14ac:dyDescent="0.25">
      <c r="A1573" s="161" t="str">
        <f t="shared" si="28"/>
        <v>SUBMARINE_OCEAN</v>
      </c>
      <c r="B1573" s="9" t="s">
        <v>105</v>
      </c>
      <c r="C1573" s="4" t="s">
        <v>994</v>
      </c>
      <c r="D1573" s="4" t="s">
        <v>699</v>
      </c>
      <c r="E1573" s="4" t="s">
        <v>105</v>
      </c>
      <c r="F1573" s="4" t="s">
        <v>105</v>
      </c>
      <c r="G1573" s="14"/>
    </row>
    <row r="1574" spans="1:43" x14ac:dyDescent="0.25">
      <c r="A1574" s="161" t="str">
        <f t="shared" si="28"/>
        <v>SUBMARINE_SAHUL</v>
      </c>
      <c r="B1574" s="9" t="s">
        <v>105</v>
      </c>
      <c r="C1574" s="4" t="s">
        <v>1788</v>
      </c>
      <c r="D1574" s="4" t="s">
        <v>730</v>
      </c>
      <c r="E1574" s="4" t="s">
        <v>105</v>
      </c>
      <c r="F1574" s="4" t="s">
        <v>105</v>
      </c>
      <c r="G1574" s="14"/>
    </row>
    <row r="1575" spans="1:43" x14ac:dyDescent="0.25">
      <c r="A1575" s="161" t="str">
        <f t="shared" si="28"/>
        <v>SUBMARINE_SEASIA</v>
      </c>
      <c r="B1575" s="9" t="s">
        <v>105</v>
      </c>
      <c r="C1575" s="4" t="s">
        <v>696</v>
      </c>
      <c r="D1575" s="4" t="s">
        <v>715</v>
      </c>
      <c r="E1575" s="4" t="s">
        <v>105</v>
      </c>
      <c r="F1575" s="4" t="s">
        <v>105</v>
      </c>
      <c r="G1575" s="14"/>
    </row>
    <row r="1576" spans="1:43" x14ac:dyDescent="0.25">
      <c r="A1576" s="161" t="str">
        <f t="shared" si="28"/>
        <v>SUBMARINE_SOUTHAS</v>
      </c>
      <c r="B1576" s="9" t="s">
        <v>105</v>
      </c>
      <c r="C1576" s="4" t="s">
        <v>695</v>
      </c>
      <c r="D1576" s="4" t="s">
        <v>713</v>
      </c>
      <c r="E1576" s="4" t="s">
        <v>105</v>
      </c>
      <c r="F1576" s="4" t="s">
        <v>105</v>
      </c>
      <c r="G1576" s="14"/>
    </row>
    <row r="1577" spans="1:43" x14ac:dyDescent="0.25">
      <c r="A1577" s="161" t="str">
        <f t="shared" si="28"/>
        <v>SWORDSMAN</v>
      </c>
      <c r="B1577" s="9" t="s">
        <v>104</v>
      </c>
      <c r="C1577" s="5"/>
      <c r="D1577" s="5"/>
      <c r="E1577" s="5" t="s">
        <v>104</v>
      </c>
      <c r="F1577" s="5" t="s">
        <v>104</v>
      </c>
      <c r="G1577" s="5" t="s">
        <v>2047</v>
      </c>
      <c r="H1577" s="5" t="s">
        <v>1531</v>
      </c>
      <c r="I1577" s="5" t="s">
        <v>128</v>
      </c>
      <c r="J1577" s="6"/>
      <c r="K1577" s="6"/>
      <c r="L1577" s="13" t="s">
        <v>1718</v>
      </c>
      <c r="M1577" s="8"/>
      <c r="N1577" s="5"/>
      <c r="O1577" s="5"/>
      <c r="P1577" s="5"/>
      <c r="Q1577" s="6">
        <v>3</v>
      </c>
      <c r="R1577" s="6" t="s">
        <v>1737</v>
      </c>
      <c r="S1577" s="13" t="s">
        <v>1737</v>
      </c>
      <c r="T1577" s="6">
        <v>2</v>
      </c>
      <c r="U1577" s="7" t="s">
        <v>1737</v>
      </c>
      <c r="V1577" s="5" t="s">
        <v>1620</v>
      </c>
      <c r="W1577" s="6" t="s">
        <v>3</v>
      </c>
      <c r="X1577" s="6" t="s">
        <v>3</v>
      </c>
      <c r="Y1577" s="5"/>
      <c r="Z1577" s="6">
        <v>0</v>
      </c>
      <c r="AA1577" s="6"/>
      <c r="AB1577" s="5"/>
      <c r="AC1577" s="6"/>
      <c r="AD1577" s="6" t="s">
        <v>3</v>
      </c>
      <c r="AE1577" s="5"/>
      <c r="AF1577" s="6">
        <v>1</v>
      </c>
      <c r="AG1577" s="6"/>
      <c r="AH1577" s="5"/>
      <c r="AI1577" s="6">
        <v>2</v>
      </c>
      <c r="AJ1577" s="6"/>
      <c r="AK1577" s="5"/>
      <c r="AL1577" s="5"/>
      <c r="AM1577" s="5"/>
      <c r="AN1577" s="5"/>
      <c r="AO1577" s="5"/>
      <c r="AP1577" s="5"/>
      <c r="AQ1577" s="5"/>
    </row>
    <row r="1578" spans="1:43" x14ac:dyDescent="0.25">
      <c r="A1578" s="161" t="str">
        <f t="shared" si="28"/>
        <v>SWORDSMAN</v>
      </c>
      <c r="B1578" s="9" t="s">
        <v>104</v>
      </c>
      <c r="C1578" s="5"/>
      <c r="D1578" s="5"/>
      <c r="E1578" s="5" t="s">
        <v>104</v>
      </c>
      <c r="F1578" s="5" t="s">
        <v>104</v>
      </c>
      <c r="G1578" s="5"/>
      <c r="H1578" s="5" t="s">
        <v>16</v>
      </c>
      <c r="I1578" s="5" t="s">
        <v>128</v>
      </c>
      <c r="J1578" s="6"/>
      <c r="K1578" s="6"/>
      <c r="L1578" s="13" t="s">
        <v>1718</v>
      </c>
      <c r="M1578" s="8"/>
      <c r="N1578" s="5"/>
      <c r="O1578" s="5"/>
      <c r="P1578" s="5"/>
      <c r="Q1578" s="6">
        <v>6</v>
      </c>
      <c r="R1578" s="6" t="s">
        <v>1737</v>
      </c>
      <c r="S1578" s="13" t="s">
        <v>1737</v>
      </c>
      <c r="T1578" s="6">
        <v>3</v>
      </c>
      <c r="U1578" s="7" t="s">
        <v>1737</v>
      </c>
      <c r="V1578" s="5" t="s">
        <v>1620</v>
      </c>
      <c r="W1578" s="6" t="s">
        <v>3</v>
      </c>
      <c r="X1578" s="6" t="s">
        <v>3</v>
      </c>
      <c r="Y1578" s="5"/>
      <c r="Z1578" s="6">
        <v>1</v>
      </c>
      <c r="AA1578" s="6"/>
      <c r="AB1578" s="5"/>
      <c r="AC1578" s="6"/>
      <c r="AD1578" s="6" t="s">
        <v>3</v>
      </c>
      <c r="AE1578" s="5"/>
      <c r="AF1578" s="6">
        <v>1</v>
      </c>
      <c r="AG1578" s="6"/>
      <c r="AH1578" s="5"/>
      <c r="AI1578" s="6">
        <v>3</v>
      </c>
      <c r="AJ1578" s="6"/>
      <c r="AK1578" s="5"/>
      <c r="AL1578" s="5"/>
      <c r="AM1578" s="5"/>
      <c r="AN1578" s="5"/>
      <c r="AO1578" s="5"/>
      <c r="AP1578" s="5"/>
      <c r="AQ1578" s="5"/>
    </row>
    <row r="1579" spans="1:43" x14ac:dyDescent="0.25">
      <c r="A1579" s="161" t="str">
        <f t="shared" si="28"/>
        <v>SWORDSMAN</v>
      </c>
      <c r="B1579" s="9" t="s">
        <v>104</v>
      </c>
      <c r="C1579" s="5"/>
      <c r="D1579" s="5"/>
      <c r="E1579" s="5" t="s">
        <v>104</v>
      </c>
      <c r="F1579" s="5" t="s">
        <v>104</v>
      </c>
      <c r="G1579" s="5" t="s">
        <v>2049</v>
      </c>
      <c r="H1579" s="5" t="s">
        <v>1530</v>
      </c>
      <c r="I1579" s="5" t="s">
        <v>128</v>
      </c>
      <c r="J1579" s="6"/>
      <c r="K1579" s="6"/>
      <c r="L1579" s="13" t="s">
        <v>1718</v>
      </c>
      <c r="M1579" s="8"/>
      <c r="N1579" s="5"/>
      <c r="O1579" s="5"/>
      <c r="P1579" s="5"/>
      <c r="Q1579" s="6">
        <v>3</v>
      </c>
      <c r="R1579" s="6" t="s">
        <v>1737</v>
      </c>
      <c r="S1579" s="13" t="s">
        <v>1737</v>
      </c>
      <c r="T1579" s="6">
        <v>3</v>
      </c>
      <c r="U1579" s="7" t="s">
        <v>1737</v>
      </c>
      <c r="V1579" s="5" t="s">
        <v>1620</v>
      </c>
      <c r="W1579" s="6" t="s">
        <v>3</v>
      </c>
      <c r="X1579" s="6" t="s">
        <v>3</v>
      </c>
      <c r="Y1579" s="5"/>
      <c r="Z1579" s="6">
        <v>0</v>
      </c>
      <c r="AA1579" s="6"/>
      <c r="AB1579" s="5"/>
      <c r="AC1579" s="6"/>
      <c r="AD1579" s="6" t="s">
        <v>3</v>
      </c>
      <c r="AE1579" s="5"/>
      <c r="AF1579" s="6">
        <v>1</v>
      </c>
      <c r="AG1579" s="6"/>
      <c r="AH1579" s="5"/>
      <c r="AI1579" s="6">
        <v>2</v>
      </c>
      <c r="AJ1579" s="6"/>
      <c r="AK1579" s="5"/>
      <c r="AL1579" s="5"/>
      <c r="AM1579" s="5"/>
      <c r="AN1579" s="5"/>
      <c r="AO1579" s="5"/>
      <c r="AP1579" s="5"/>
      <c r="AQ1579" s="5"/>
    </row>
    <row r="1580" spans="1:43" x14ac:dyDescent="0.25">
      <c r="A1580" s="161" t="str">
        <f t="shared" si="28"/>
        <v>SWORDSMAN</v>
      </c>
      <c r="B1580" s="9" t="s">
        <v>104</v>
      </c>
      <c r="C1580" s="5"/>
      <c r="D1580" s="5"/>
      <c r="E1580" s="5" t="s">
        <v>104</v>
      </c>
      <c r="F1580" s="5" t="s">
        <v>104</v>
      </c>
      <c r="G1580" s="5" t="s">
        <v>2047</v>
      </c>
      <c r="H1580" s="5" t="s">
        <v>1531</v>
      </c>
      <c r="I1580" s="5" t="s">
        <v>128</v>
      </c>
      <c r="J1580" s="6"/>
      <c r="K1580" s="6"/>
      <c r="L1580" s="13" t="s">
        <v>1718</v>
      </c>
      <c r="M1580" s="8"/>
      <c r="N1580" s="5"/>
      <c r="O1580" s="5"/>
      <c r="P1580" s="5"/>
      <c r="Q1580" s="6">
        <v>0</v>
      </c>
      <c r="R1580" s="6" t="s">
        <v>1737</v>
      </c>
      <c r="S1580" s="13" t="s">
        <v>1737</v>
      </c>
      <c r="T1580" s="6">
        <v>3</v>
      </c>
      <c r="U1580" s="7" t="s">
        <v>1737</v>
      </c>
      <c r="V1580" s="5" t="s">
        <v>1620</v>
      </c>
      <c r="W1580" s="7" t="s">
        <v>3</v>
      </c>
      <c r="X1580" s="6" t="s">
        <v>3</v>
      </c>
      <c r="Y1580" s="5"/>
      <c r="Z1580" s="7">
        <v>0</v>
      </c>
      <c r="AA1580" s="6"/>
      <c r="AB1580" s="5"/>
      <c r="AC1580" s="6"/>
      <c r="AD1580" s="6" t="s">
        <v>3</v>
      </c>
      <c r="AE1580" s="5"/>
      <c r="AF1580" s="6">
        <v>1</v>
      </c>
      <c r="AG1580" s="6"/>
      <c r="AH1580" s="5"/>
      <c r="AI1580" s="6">
        <v>0</v>
      </c>
      <c r="AJ1580" s="6"/>
      <c r="AK1580" s="5"/>
      <c r="AL1580" s="5"/>
      <c r="AM1580" s="5"/>
      <c r="AN1580" s="5"/>
      <c r="AO1580" s="5"/>
      <c r="AP1580" s="5"/>
      <c r="AQ1580" s="5"/>
    </row>
    <row r="1581" spans="1:43" x14ac:dyDescent="0.25">
      <c r="A1581" s="161" t="str">
        <f t="shared" si="28"/>
        <v>SWORDSMAN</v>
      </c>
      <c r="B1581" s="9" t="s">
        <v>104</v>
      </c>
      <c r="C1581" s="5"/>
      <c r="D1581" s="5"/>
      <c r="E1581" s="5" t="s">
        <v>104</v>
      </c>
      <c r="F1581" s="5" t="s">
        <v>104</v>
      </c>
      <c r="G1581" s="5"/>
      <c r="H1581" s="5" t="s">
        <v>16</v>
      </c>
      <c r="I1581" s="5" t="s">
        <v>128</v>
      </c>
      <c r="J1581" s="6"/>
      <c r="K1581" s="6"/>
      <c r="L1581" s="13" t="s">
        <v>1718</v>
      </c>
      <c r="M1581" s="8"/>
      <c r="N1581" s="5"/>
      <c r="O1581" s="5"/>
      <c r="P1581" s="5"/>
      <c r="Q1581" s="6">
        <v>0</v>
      </c>
      <c r="R1581" s="6" t="s">
        <v>1737</v>
      </c>
      <c r="S1581" s="13" t="s">
        <v>1737</v>
      </c>
      <c r="T1581" s="6">
        <v>3</v>
      </c>
      <c r="U1581" s="7" t="s">
        <v>1737</v>
      </c>
      <c r="V1581" s="5" t="s">
        <v>1620</v>
      </c>
      <c r="W1581" s="7" t="s">
        <v>3</v>
      </c>
      <c r="X1581" s="6" t="s">
        <v>3</v>
      </c>
      <c r="Y1581" s="5"/>
      <c r="Z1581" s="7">
        <v>0</v>
      </c>
      <c r="AA1581" s="6"/>
      <c r="AB1581" s="5"/>
      <c r="AC1581" s="6"/>
      <c r="AD1581" s="6" t="s">
        <v>3</v>
      </c>
      <c r="AE1581" s="5"/>
      <c r="AF1581" s="6">
        <v>1</v>
      </c>
      <c r="AG1581" s="6"/>
      <c r="AH1581" s="5"/>
      <c r="AI1581" s="6">
        <v>0</v>
      </c>
      <c r="AJ1581" s="6"/>
      <c r="AK1581" s="5"/>
      <c r="AL1581" s="5"/>
      <c r="AM1581" s="5"/>
      <c r="AN1581" s="5"/>
      <c r="AO1581" s="5"/>
      <c r="AP1581" s="5"/>
      <c r="AQ1581" s="5"/>
    </row>
    <row r="1582" spans="1:43" x14ac:dyDescent="0.25">
      <c r="A1582" s="161" t="str">
        <f t="shared" si="28"/>
        <v>SWORDSMAN</v>
      </c>
      <c r="B1582" s="9" t="s">
        <v>104</v>
      </c>
      <c r="C1582" s="5"/>
      <c r="D1582" s="5"/>
      <c r="E1582" s="5" t="s">
        <v>104</v>
      </c>
      <c r="F1582" s="5" t="s">
        <v>104</v>
      </c>
      <c r="G1582" s="5" t="s">
        <v>2049</v>
      </c>
      <c r="H1582" s="5" t="s">
        <v>1530</v>
      </c>
      <c r="I1582" s="5" t="s">
        <v>128</v>
      </c>
      <c r="J1582" s="6"/>
      <c r="K1582" s="6"/>
      <c r="L1582" s="13" t="s">
        <v>1718</v>
      </c>
      <c r="M1582" s="8"/>
      <c r="N1582" s="5"/>
      <c r="O1582" s="5"/>
      <c r="P1582" s="5"/>
      <c r="Q1582" s="6">
        <v>0</v>
      </c>
      <c r="R1582" s="6" t="s">
        <v>1737</v>
      </c>
      <c r="S1582" s="13" t="s">
        <v>1737</v>
      </c>
      <c r="T1582" s="6">
        <v>2</v>
      </c>
      <c r="U1582" s="7" t="s">
        <v>1737</v>
      </c>
      <c r="V1582" s="5" t="s">
        <v>1620</v>
      </c>
      <c r="W1582" s="7" t="s">
        <v>3</v>
      </c>
      <c r="X1582" s="6" t="s">
        <v>3</v>
      </c>
      <c r="Y1582" s="5"/>
      <c r="Z1582" s="7">
        <v>0</v>
      </c>
      <c r="AA1582" s="6"/>
      <c r="AB1582" s="5"/>
      <c r="AC1582" s="6"/>
      <c r="AD1582" s="6" t="s">
        <v>3</v>
      </c>
      <c r="AE1582" s="5"/>
      <c r="AF1582" s="6">
        <v>1</v>
      </c>
      <c r="AG1582" s="6"/>
      <c r="AH1582" s="5"/>
      <c r="AI1582" s="6">
        <v>0</v>
      </c>
      <c r="AJ1582" s="6"/>
      <c r="AK1582" s="5"/>
      <c r="AL1582" s="5"/>
      <c r="AM1582" s="5"/>
      <c r="AN1582" s="5"/>
      <c r="AO1582" s="5"/>
      <c r="AP1582" s="5"/>
      <c r="AQ1582" s="5"/>
    </row>
    <row r="1583" spans="1:43" x14ac:dyDescent="0.25">
      <c r="A1583" s="161" t="str">
        <f t="shared" si="28"/>
        <v>SWORDSMAN_AFRI</v>
      </c>
      <c r="B1583" s="9" t="s">
        <v>104</v>
      </c>
      <c r="C1583" s="4" t="s">
        <v>694</v>
      </c>
      <c r="E1583" s="4" t="s">
        <v>104</v>
      </c>
      <c r="F1583" s="4" t="s">
        <v>104</v>
      </c>
      <c r="H1583" s="4" t="s">
        <v>687</v>
      </c>
      <c r="I1583" s="4" t="s">
        <v>1305</v>
      </c>
      <c r="Q1583" s="11" t="s">
        <v>1737</v>
      </c>
    </row>
    <row r="1584" spans="1:43" x14ac:dyDescent="0.25">
      <c r="A1584" s="161" t="str">
        <f t="shared" si="28"/>
        <v>SWORDSMAN_ETHIOPIA</v>
      </c>
      <c r="B1584" s="9" t="s">
        <v>104</v>
      </c>
      <c r="C1584" s="4" t="s">
        <v>714</v>
      </c>
      <c r="E1584" s="4" t="s">
        <v>104</v>
      </c>
      <c r="F1584" s="4" t="s">
        <v>104</v>
      </c>
      <c r="H1584" s="4" t="s">
        <v>326</v>
      </c>
      <c r="I1584" s="4" t="s">
        <v>1025</v>
      </c>
      <c r="Q1584" s="11" t="s">
        <v>1737</v>
      </c>
    </row>
    <row r="1585" spans="1:35" x14ac:dyDescent="0.25">
      <c r="A1585" s="161" t="str">
        <f t="shared" si="28"/>
        <v>SWORDSMAN_SONGHAI</v>
      </c>
      <c r="B1585" s="9" t="s">
        <v>104</v>
      </c>
      <c r="C1585" s="4" t="s">
        <v>737</v>
      </c>
      <c r="E1585" s="4" t="s">
        <v>104</v>
      </c>
      <c r="F1585" s="4" t="s">
        <v>104</v>
      </c>
      <c r="H1585" s="4" t="s">
        <v>1304</v>
      </c>
      <c r="I1585" s="4" t="s">
        <v>1305</v>
      </c>
      <c r="Q1585" s="11" t="s">
        <v>1737</v>
      </c>
      <c r="R1585" s="11">
        <v>0.13800000000000001</v>
      </c>
    </row>
    <row r="1586" spans="1:35" x14ac:dyDescent="0.25">
      <c r="A1586" s="161" t="str">
        <f>CONCATENATE(E1586,IF(ISBLANK(C1586),"",CONCATENATE("_",C1586)))</f>
        <v>SWORDSMAN_ASIA</v>
      </c>
      <c r="B1586" s="9" t="s">
        <v>104</v>
      </c>
      <c r="C1586" s="4" t="s">
        <v>693</v>
      </c>
      <c r="E1586" s="4" t="s">
        <v>104</v>
      </c>
      <c r="F1586" s="4" t="s">
        <v>104</v>
      </c>
      <c r="H1586" s="4" t="s">
        <v>1809</v>
      </c>
      <c r="I1586" s="4" t="s">
        <v>835</v>
      </c>
      <c r="Q1586" s="9" t="s">
        <v>1737</v>
      </c>
      <c r="T1586" s="9"/>
      <c r="W1586" s="9"/>
    </row>
    <row r="1587" spans="1:35" x14ac:dyDescent="0.25">
      <c r="A1587" s="161" t="str">
        <f t="shared" si="28"/>
        <v>SWORDSMAN_CHINA</v>
      </c>
      <c r="B1587" s="9" t="s">
        <v>104</v>
      </c>
      <c r="C1587" s="4" t="s">
        <v>710</v>
      </c>
      <c r="E1587" s="4" t="s">
        <v>104</v>
      </c>
      <c r="F1587" s="4" t="s">
        <v>104</v>
      </c>
      <c r="H1587" s="4" t="s">
        <v>456</v>
      </c>
      <c r="I1587" s="4" t="s">
        <v>102</v>
      </c>
      <c r="Q1587" s="9">
        <v>1</v>
      </c>
      <c r="T1587" s="9">
        <v>2</v>
      </c>
      <c r="W1587" s="9"/>
      <c r="Z1587" s="11">
        <v>1</v>
      </c>
      <c r="AF1587" s="11">
        <v>1</v>
      </c>
      <c r="AI1587" s="11">
        <v>1</v>
      </c>
    </row>
    <row r="1588" spans="1:35" x14ac:dyDescent="0.25">
      <c r="A1588" s="161" t="str">
        <f t="shared" si="28"/>
        <v>SWORDSMAN_CHINA</v>
      </c>
      <c r="B1588" s="9" t="s">
        <v>104</v>
      </c>
      <c r="C1588" s="4" t="s">
        <v>710</v>
      </c>
      <c r="E1588" s="4" t="s">
        <v>104</v>
      </c>
      <c r="F1588" s="4" t="s">
        <v>104</v>
      </c>
      <c r="G1588" s="14" t="s">
        <v>2047</v>
      </c>
      <c r="H1588" s="4" t="s">
        <v>259</v>
      </c>
      <c r="I1588" s="4" t="s">
        <v>102</v>
      </c>
      <c r="Q1588" s="9">
        <v>2</v>
      </c>
      <c r="T1588" s="9">
        <v>3</v>
      </c>
      <c r="W1588" s="9"/>
      <c r="Z1588" s="11">
        <v>0</v>
      </c>
      <c r="AF1588" s="11">
        <v>1</v>
      </c>
      <c r="AI1588" s="11">
        <v>1</v>
      </c>
    </row>
    <row r="1589" spans="1:35" x14ac:dyDescent="0.25">
      <c r="A1589" s="161" t="str">
        <f>CONCATENATE(E1589,IF(ISBLANK(C1589),"",CONCATENATE("_",C1589)))</f>
        <v>SWORDSMAN_CHINA</v>
      </c>
      <c r="B1589" s="9" t="s">
        <v>104</v>
      </c>
      <c r="C1589" s="4" t="s">
        <v>710</v>
      </c>
      <c r="E1589" s="4" t="s">
        <v>104</v>
      </c>
      <c r="F1589" s="4" t="s">
        <v>104</v>
      </c>
      <c r="H1589" s="4" t="s">
        <v>456</v>
      </c>
      <c r="I1589" s="4" t="s">
        <v>102</v>
      </c>
      <c r="Q1589" s="9">
        <v>3</v>
      </c>
      <c r="T1589" s="9">
        <v>3</v>
      </c>
      <c r="W1589" s="9"/>
      <c r="Z1589" s="11">
        <v>0</v>
      </c>
      <c r="AF1589" s="11">
        <v>1</v>
      </c>
      <c r="AI1589" s="11">
        <v>2</v>
      </c>
    </row>
    <row r="1590" spans="1:35" x14ac:dyDescent="0.25">
      <c r="A1590" s="161" t="str">
        <f>CONCATENATE(E1590,IF(ISBLANK(C1590),"",CONCATENATE("_",C1590)))</f>
        <v>SWORDSMAN_CHINA</v>
      </c>
      <c r="B1590" s="9" t="s">
        <v>104</v>
      </c>
      <c r="C1590" s="4" t="s">
        <v>710</v>
      </c>
      <c r="E1590" s="4" t="s">
        <v>104</v>
      </c>
      <c r="F1590" s="4" t="s">
        <v>104</v>
      </c>
      <c r="G1590" s="14" t="s">
        <v>2047</v>
      </c>
      <c r="H1590" s="4" t="s">
        <v>259</v>
      </c>
      <c r="I1590" s="4" t="s">
        <v>102</v>
      </c>
      <c r="Q1590" s="9">
        <v>3</v>
      </c>
      <c r="T1590" s="9">
        <v>3</v>
      </c>
      <c r="W1590" s="9"/>
      <c r="Z1590" s="11">
        <v>0</v>
      </c>
      <c r="AF1590" s="11">
        <v>0</v>
      </c>
      <c r="AI1590" s="11">
        <v>1</v>
      </c>
    </row>
    <row r="1591" spans="1:35" x14ac:dyDescent="0.25">
      <c r="A1591" s="161" t="str">
        <f>CONCATENATE(E1591,IF(ISBLANK(C1591),"",CONCATENATE("_",C1591)))</f>
        <v>SWORDSMAN_CHINA</v>
      </c>
      <c r="B1591" s="9" t="s">
        <v>104</v>
      </c>
      <c r="C1591" s="4" t="s">
        <v>710</v>
      </c>
      <c r="E1591" s="4" t="s">
        <v>104</v>
      </c>
      <c r="F1591" s="4" t="s">
        <v>104</v>
      </c>
      <c r="H1591" s="4" t="s">
        <v>456</v>
      </c>
      <c r="I1591" s="4" t="s">
        <v>102</v>
      </c>
      <c r="Q1591" s="9">
        <v>2</v>
      </c>
      <c r="T1591" s="9">
        <v>3</v>
      </c>
      <c r="W1591" s="9"/>
      <c r="Z1591" s="11">
        <v>0</v>
      </c>
      <c r="AF1591" s="11">
        <v>0</v>
      </c>
      <c r="AI1591" s="11">
        <v>1</v>
      </c>
    </row>
    <row r="1592" spans="1:35" x14ac:dyDescent="0.25">
      <c r="A1592" s="161" t="str">
        <f>CONCATENATE(E1592,IF(ISBLANK(C1592),"",CONCATENATE("_",C1592)))</f>
        <v>SWORDSMAN_CHINA</v>
      </c>
      <c r="B1592" s="9" t="s">
        <v>104</v>
      </c>
      <c r="C1592" s="4" t="s">
        <v>710</v>
      </c>
      <c r="E1592" s="4" t="s">
        <v>104</v>
      </c>
      <c r="F1592" s="4" t="s">
        <v>104</v>
      </c>
      <c r="G1592" s="14" t="s">
        <v>2047</v>
      </c>
      <c r="H1592" s="4" t="s">
        <v>259</v>
      </c>
      <c r="I1592" s="4" t="s">
        <v>102</v>
      </c>
      <c r="Q1592" s="9">
        <v>1</v>
      </c>
      <c r="T1592" s="9">
        <v>2</v>
      </c>
      <c r="W1592" s="9"/>
      <c r="Z1592" s="11">
        <v>0</v>
      </c>
      <c r="AF1592" s="11">
        <v>0</v>
      </c>
      <c r="AI1592" s="11">
        <v>1</v>
      </c>
    </row>
    <row r="1593" spans="1:35" x14ac:dyDescent="0.25">
      <c r="A1593" s="161" t="str">
        <f t="shared" si="28"/>
        <v>SWORDSMAN_JAPAN</v>
      </c>
      <c r="B1593" s="9" t="s">
        <v>104</v>
      </c>
      <c r="C1593" s="4" t="s">
        <v>722</v>
      </c>
      <c r="E1593" s="4" t="s">
        <v>104</v>
      </c>
      <c r="F1593" s="4" t="s">
        <v>104</v>
      </c>
      <c r="G1593" s="14" t="s">
        <v>132</v>
      </c>
      <c r="H1593" s="4" t="s">
        <v>491</v>
      </c>
      <c r="I1593" s="4" t="s">
        <v>102</v>
      </c>
      <c r="Q1593" s="9" t="s">
        <v>1737</v>
      </c>
      <c r="T1593" s="9"/>
      <c r="W1593" s="9"/>
    </row>
    <row r="1594" spans="1:35" x14ac:dyDescent="0.25">
      <c r="A1594" s="161" t="str">
        <f t="shared" si="28"/>
        <v>SWORDSMAN_KOREA</v>
      </c>
      <c r="B1594" s="9" t="s">
        <v>104</v>
      </c>
      <c r="C1594" s="4" t="s">
        <v>723</v>
      </c>
      <c r="E1594" s="4" t="s">
        <v>104</v>
      </c>
      <c r="F1594" s="4" t="s">
        <v>104</v>
      </c>
      <c r="G1594" s="14" t="s">
        <v>132</v>
      </c>
      <c r="H1594" s="4" t="s">
        <v>504</v>
      </c>
      <c r="I1594" s="4" t="s">
        <v>102</v>
      </c>
      <c r="Q1594" s="9" t="s">
        <v>1737</v>
      </c>
      <c r="T1594" s="9"/>
      <c r="W1594" s="9"/>
    </row>
    <row r="1595" spans="1:35" x14ac:dyDescent="0.25">
      <c r="A1595" s="161" t="str">
        <f t="shared" si="28"/>
        <v>SWORDSMAN_MONGOL</v>
      </c>
      <c r="B1595" s="9" t="s">
        <v>104</v>
      </c>
      <c r="C1595" s="4" t="s">
        <v>728</v>
      </c>
      <c r="E1595" s="4" t="s">
        <v>104</v>
      </c>
      <c r="F1595" s="4" t="s">
        <v>104</v>
      </c>
      <c r="G1595" s="14" t="s">
        <v>132</v>
      </c>
      <c r="H1595" s="4" t="s">
        <v>535</v>
      </c>
      <c r="I1595" s="4" t="s">
        <v>2098</v>
      </c>
      <c r="Q1595" s="9" t="s">
        <v>1737</v>
      </c>
      <c r="T1595" s="9"/>
      <c r="W1595" s="9"/>
    </row>
    <row r="1596" spans="1:35" x14ac:dyDescent="0.25">
      <c r="A1596" s="161" t="str">
        <f t="shared" si="28"/>
        <v>SWORDSMAN_CENTAS</v>
      </c>
      <c r="B1596" s="9" t="s">
        <v>104</v>
      </c>
      <c r="C1596" s="4" t="s">
        <v>918</v>
      </c>
      <c r="E1596" s="4" t="s">
        <v>104</v>
      </c>
      <c r="F1596" s="4" t="s">
        <v>104</v>
      </c>
      <c r="G1596" s="14" t="s">
        <v>132</v>
      </c>
      <c r="H1596" s="4" t="s">
        <v>1036</v>
      </c>
      <c r="I1596" s="4" t="s">
        <v>122</v>
      </c>
      <c r="Q1596" s="9" t="s">
        <v>1737</v>
      </c>
      <c r="T1596" s="9"/>
      <c r="W1596" s="9"/>
    </row>
    <row r="1597" spans="1:35" x14ac:dyDescent="0.25">
      <c r="A1597" s="161" t="str">
        <f>CONCATENATE(E1597,IF(ISBLANK(C1597),"",CONCATENATE("_",C1597)))</f>
        <v>SWORDSMAN_HUNS</v>
      </c>
      <c r="B1597" s="9" t="s">
        <v>104</v>
      </c>
      <c r="C1597" s="4" t="s">
        <v>904</v>
      </c>
      <c r="E1597" s="4" t="s">
        <v>104</v>
      </c>
      <c r="F1597" s="4" t="s">
        <v>104</v>
      </c>
      <c r="G1597" s="14" t="s">
        <v>132</v>
      </c>
      <c r="H1597" s="4" t="s">
        <v>1810</v>
      </c>
      <c r="I1597" s="4" t="s">
        <v>835</v>
      </c>
      <c r="Q1597" s="9" t="s">
        <v>1737</v>
      </c>
      <c r="T1597" s="9"/>
      <c r="W1597" s="9"/>
    </row>
    <row r="1598" spans="1:35" x14ac:dyDescent="0.25">
      <c r="A1598" s="161" t="str">
        <f t="shared" si="28"/>
        <v>SWORDSMAN_OTTOMAN</v>
      </c>
      <c r="B1598" s="9" t="s">
        <v>104</v>
      </c>
      <c r="C1598" s="4" t="s">
        <v>1037</v>
      </c>
      <c r="E1598" s="4" t="s">
        <v>104</v>
      </c>
      <c r="F1598" s="4" t="s">
        <v>104</v>
      </c>
      <c r="G1598" s="14" t="s">
        <v>132</v>
      </c>
      <c r="H1598" s="4" t="s">
        <v>1041</v>
      </c>
      <c r="I1598" s="4" t="s">
        <v>2098</v>
      </c>
      <c r="Q1598" s="9">
        <v>1</v>
      </c>
      <c r="T1598" s="9">
        <v>2</v>
      </c>
      <c r="W1598" s="9"/>
      <c r="Z1598" s="11">
        <v>1</v>
      </c>
      <c r="AF1598" s="11">
        <v>1</v>
      </c>
      <c r="AI1598" s="11">
        <v>1</v>
      </c>
    </row>
    <row r="1599" spans="1:35" x14ac:dyDescent="0.25">
      <c r="A1599" s="161" t="str">
        <f t="shared" si="28"/>
        <v>SWORDSMAN_OTTOMAN</v>
      </c>
      <c r="B1599" s="9" t="s">
        <v>104</v>
      </c>
      <c r="C1599" s="4" t="s">
        <v>1037</v>
      </c>
      <c r="E1599" s="4" t="s">
        <v>104</v>
      </c>
      <c r="F1599" s="4" t="s">
        <v>104</v>
      </c>
      <c r="G1599" s="14" t="s">
        <v>2047</v>
      </c>
      <c r="H1599" s="4" t="s">
        <v>1955</v>
      </c>
      <c r="I1599" s="4" t="s">
        <v>2098</v>
      </c>
      <c r="Q1599" s="9">
        <v>2</v>
      </c>
      <c r="T1599" s="9">
        <v>3</v>
      </c>
      <c r="W1599" s="9"/>
      <c r="Z1599" s="11">
        <v>0</v>
      </c>
      <c r="AF1599" s="11">
        <v>1</v>
      </c>
      <c r="AI1599" s="11">
        <v>1</v>
      </c>
    </row>
    <row r="1600" spans="1:35" x14ac:dyDescent="0.25">
      <c r="A1600" s="161" t="str">
        <f t="shared" ref="A1600:A1610" si="29">CONCATENATE(E1600,IF(ISBLANK(C1600),"",CONCATENATE("_",C1600)))</f>
        <v>SWORDSMAN_OTTOMAN</v>
      </c>
      <c r="B1600" s="9" t="s">
        <v>104</v>
      </c>
      <c r="C1600" s="4" t="s">
        <v>1037</v>
      </c>
      <c r="E1600" s="4" t="s">
        <v>104</v>
      </c>
      <c r="F1600" s="4" t="s">
        <v>104</v>
      </c>
      <c r="G1600" s="14" t="s">
        <v>132</v>
      </c>
      <c r="H1600" s="4" t="s">
        <v>1041</v>
      </c>
      <c r="I1600" s="4" t="s">
        <v>2098</v>
      </c>
      <c r="Q1600" s="9">
        <v>3</v>
      </c>
      <c r="T1600" s="9">
        <v>3</v>
      </c>
      <c r="W1600" s="9"/>
      <c r="Z1600" s="11">
        <v>0</v>
      </c>
      <c r="AF1600" s="11">
        <v>1</v>
      </c>
      <c r="AI1600" s="11">
        <v>2</v>
      </c>
    </row>
    <row r="1601" spans="1:43" x14ac:dyDescent="0.25">
      <c r="A1601" s="161" t="str">
        <f t="shared" si="29"/>
        <v>SWORDSMAN_OTTOMAN</v>
      </c>
      <c r="B1601" s="9" t="s">
        <v>104</v>
      </c>
      <c r="C1601" s="4" t="s">
        <v>1037</v>
      </c>
      <c r="E1601" s="4" t="s">
        <v>104</v>
      </c>
      <c r="F1601" s="4" t="s">
        <v>104</v>
      </c>
      <c r="G1601" s="14" t="s">
        <v>2047</v>
      </c>
      <c r="H1601" s="4" t="s">
        <v>1955</v>
      </c>
      <c r="I1601" s="4" t="s">
        <v>2098</v>
      </c>
      <c r="Q1601" s="9">
        <v>3</v>
      </c>
      <c r="T1601" s="9">
        <v>3</v>
      </c>
      <c r="W1601" s="9"/>
      <c r="Z1601" s="11">
        <v>0</v>
      </c>
      <c r="AF1601" s="11">
        <v>0</v>
      </c>
      <c r="AI1601" s="11">
        <v>1</v>
      </c>
    </row>
    <row r="1602" spans="1:43" x14ac:dyDescent="0.25">
      <c r="A1602" s="161" t="str">
        <f t="shared" si="29"/>
        <v>SWORDSMAN_OTTOMAN</v>
      </c>
      <c r="B1602" s="9" t="s">
        <v>104</v>
      </c>
      <c r="C1602" s="4" t="s">
        <v>1037</v>
      </c>
      <c r="E1602" s="4" t="s">
        <v>104</v>
      </c>
      <c r="F1602" s="4" t="s">
        <v>104</v>
      </c>
      <c r="G1602" s="14" t="s">
        <v>132</v>
      </c>
      <c r="H1602" s="4" t="s">
        <v>1041</v>
      </c>
      <c r="I1602" s="4" t="s">
        <v>2098</v>
      </c>
      <c r="Q1602" s="9">
        <v>2</v>
      </c>
      <c r="T1602" s="9">
        <v>3</v>
      </c>
      <c r="W1602" s="9"/>
      <c r="Z1602" s="11">
        <v>0</v>
      </c>
      <c r="AF1602" s="11">
        <v>0</v>
      </c>
      <c r="AI1602" s="11">
        <v>1</v>
      </c>
    </row>
    <row r="1603" spans="1:43" x14ac:dyDescent="0.25">
      <c r="A1603" s="161" t="str">
        <f t="shared" si="29"/>
        <v>SWORDSMAN_OTTOMAN</v>
      </c>
      <c r="B1603" s="9" t="s">
        <v>104</v>
      </c>
      <c r="C1603" s="4" t="s">
        <v>1037</v>
      </c>
      <c r="E1603" s="4" t="s">
        <v>104</v>
      </c>
      <c r="F1603" s="4" t="s">
        <v>104</v>
      </c>
      <c r="G1603" s="14" t="s">
        <v>2047</v>
      </c>
      <c r="H1603" s="4" t="s">
        <v>1955</v>
      </c>
      <c r="I1603" s="4" t="s">
        <v>2098</v>
      </c>
      <c r="Q1603" s="9">
        <v>1</v>
      </c>
      <c r="T1603" s="9">
        <v>2</v>
      </c>
      <c r="W1603" s="9"/>
      <c r="Z1603" s="11">
        <v>0</v>
      </c>
      <c r="AF1603" s="11">
        <v>0</v>
      </c>
      <c r="AI1603" s="11">
        <v>1</v>
      </c>
    </row>
    <row r="1604" spans="1:43" s="2" customFormat="1" x14ac:dyDescent="0.25">
      <c r="A1604" s="161" t="str">
        <f t="shared" si="29"/>
        <v>SWORDSMAN_EASTEU</v>
      </c>
      <c r="B1604" s="9" t="s">
        <v>104</v>
      </c>
      <c r="C1604" s="4" t="s">
        <v>698</v>
      </c>
      <c r="D1604" s="4"/>
      <c r="E1604" s="4" t="s">
        <v>104</v>
      </c>
      <c r="F1604" s="4" t="s">
        <v>104</v>
      </c>
      <c r="G1604" s="4"/>
      <c r="H1604" s="4" t="s">
        <v>915</v>
      </c>
      <c r="I1604" s="4" t="s">
        <v>1820</v>
      </c>
      <c r="J1604" s="11"/>
      <c r="K1604" s="11"/>
      <c r="L1604" s="4"/>
      <c r="M1604" s="12"/>
      <c r="N1604" s="4"/>
      <c r="O1604" s="4"/>
      <c r="P1604" s="4"/>
      <c r="Q1604" s="9">
        <v>3</v>
      </c>
      <c r="R1604" s="11"/>
      <c r="S1604" s="4"/>
      <c r="T1604" s="11">
        <v>2</v>
      </c>
      <c r="U1604" s="11"/>
      <c r="V1604" s="4"/>
      <c r="W1604" s="11"/>
      <c r="X1604" s="11"/>
      <c r="Y1604" s="4"/>
      <c r="Z1604" s="9">
        <v>1</v>
      </c>
      <c r="AA1604" s="11"/>
      <c r="AB1604" s="4"/>
      <c r="AC1604" s="11"/>
      <c r="AD1604" s="11"/>
      <c r="AE1604" s="4"/>
      <c r="AF1604" s="11">
        <v>1</v>
      </c>
      <c r="AG1604" s="11"/>
      <c r="AH1604" s="4"/>
      <c r="AI1604" s="11">
        <v>2</v>
      </c>
      <c r="AJ1604" s="11"/>
      <c r="AK1604" s="4"/>
      <c r="AL1604" s="4"/>
      <c r="AM1604" s="4"/>
      <c r="AN1604" s="4"/>
      <c r="AO1604" s="4"/>
      <c r="AP1604" s="4"/>
      <c r="AQ1604" s="4"/>
    </row>
    <row r="1605" spans="1:43" s="2" customFormat="1" x14ac:dyDescent="0.25">
      <c r="A1605" s="161" t="str">
        <f t="shared" si="29"/>
        <v>SWORDSMAN_EASTEU</v>
      </c>
      <c r="B1605" s="9" t="s">
        <v>104</v>
      </c>
      <c r="C1605" s="4" t="s">
        <v>698</v>
      </c>
      <c r="D1605" s="4"/>
      <c r="E1605" s="4" t="s">
        <v>104</v>
      </c>
      <c r="F1605" s="4" t="s">
        <v>104</v>
      </c>
      <c r="G1605" s="4" t="s">
        <v>2047</v>
      </c>
      <c r="H1605" s="4" t="s">
        <v>916</v>
      </c>
      <c r="I1605" s="4" t="s">
        <v>1820</v>
      </c>
      <c r="J1605" s="11"/>
      <c r="K1605" s="11"/>
      <c r="L1605" s="4"/>
      <c r="M1605" s="12"/>
      <c r="N1605" s="4"/>
      <c r="O1605" s="4"/>
      <c r="P1605" s="4"/>
      <c r="Q1605" s="9">
        <v>3</v>
      </c>
      <c r="R1605" s="11"/>
      <c r="S1605" s="4"/>
      <c r="T1605" s="11">
        <v>3</v>
      </c>
      <c r="U1605" s="11"/>
      <c r="V1605" s="4"/>
      <c r="W1605" s="11"/>
      <c r="X1605" s="11"/>
      <c r="Y1605" s="4"/>
      <c r="Z1605" s="9">
        <v>0</v>
      </c>
      <c r="AA1605" s="11"/>
      <c r="AB1605" s="4"/>
      <c r="AC1605" s="11"/>
      <c r="AD1605" s="11"/>
      <c r="AE1605" s="4"/>
      <c r="AF1605" s="11">
        <v>1</v>
      </c>
      <c r="AG1605" s="11"/>
      <c r="AH1605" s="4"/>
      <c r="AI1605" s="11">
        <v>1</v>
      </c>
      <c r="AJ1605" s="11"/>
      <c r="AK1605" s="4"/>
      <c r="AL1605" s="4"/>
      <c r="AM1605" s="4"/>
      <c r="AN1605" s="4"/>
      <c r="AO1605" s="4"/>
      <c r="AP1605" s="4"/>
      <c r="AQ1605" s="4"/>
    </row>
    <row r="1606" spans="1:43" s="2" customFormat="1" x14ac:dyDescent="0.25">
      <c r="A1606" s="161" t="str">
        <f t="shared" si="29"/>
        <v>SWORDSMAN_EASTEU</v>
      </c>
      <c r="B1606" s="9" t="s">
        <v>104</v>
      </c>
      <c r="C1606" s="4" t="s">
        <v>698</v>
      </c>
      <c r="D1606" s="4"/>
      <c r="E1606" s="4" t="s">
        <v>104</v>
      </c>
      <c r="F1606" s="4" t="s">
        <v>104</v>
      </c>
      <c r="G1606" s="4"/>
      <c r="H1606" s="4" t="s">
        <v>915</v>
      </c>
      <c r="I1606" s="4" t="s">
        <v>1820</v>
      </c>
      <c r="J1606" s="11"/>
      <c r="K1606" s="11"/>
      <c r="L1606" s="4"/>
      <c r="M1606" s="12"/>
      <c r="N1606" s="4"/>
      <c r="O1606" s="4"/>
      <c r="P1606" s="4"/>
      <c r="Q1606" s="9">
        <v>3</v>
      </c>
      <c r="R1606" s="11"/>
      <c r="S1606" s="4"/>
      <c r="T1606" s="11">
        <v>3</v>
      </c>
      <c r="U1606" s="11"/>
      <c r="V1606" s="4"/>
      <c r="W1606" s="11"/>
      <c r="X1606" s="11"/>
      <c r="Y1606" s="4"/>
      <c r="Z1606" s="9">
        <v>0</v>
      </c>
      <c r="AA1606" s="11"/>
      <c r="AB1606" s="4"/>
      <c r="AC1606" s="11"/>
      <c r="AD1606" s="11"/>
      <c r="AE1606" s="4"/>
      <c r="AF1606" s="11">
        <v>1</v>
      </c>
      <c r="AG1606" s="11"/>
      <c r="AH1606" s="4"/>
      <c r="AI1606" s="11">
        <v>2</v>
      </c>
      <c r="AJ1606" s="11"/>
      <c r="AK1606" s="4"/>
      <c r="AL1606" s="4"/>
      <c r="AM1606" s="4"/>
      <c r="AN1606" s="4"/>
      <c r="AO1606" s="4"/>
      <c r="AP1606" s="4"/>
      <c r="AQ1606" s="4"/>
    </row>
    <row r="1607" spans="1:43" s="2" customFormat="1" x14ac:dyDescent="0.25">
      <c r="A1607" s="161" t="str">
        <f t="shared" si="29"/>
        <v>SWORDSMAN_EASTEU</v>
      </c>
      <c r="B1607" s="9" t="s">
        <v>104</v>
      </c>
      <c r="C1607" s="4" t="s">
        <v>698</v>
      </c>
      <c r="D1607" s="4"/>
      <c r="E1607" s="4" t="s">
        <v>104</v>
      </c>
      <c r="F1607" s="4" t="s">
        <v>104</v>
      </c>
      <c r="G1607" s="4" t="s">
        <v>2047</v>
      </c>
      <c r="H1607" s="4" t="s">
        <v>916</v>
      </c>
      <c r="I1607" s="4" t="s">
        <v>1820</v>
      </c>
      <c r="J1607" s="11"/>
      <c r="K1607" s="11"/>
      <c r="L1607" s="4"/>
      <c r="M1607" s="12"/>
      <c r="N1607" s="4"/>
      <c r="O1607" s="4"/>
      <c r="P1607" s="4"/>
      <c r="Q1607" s="9">
        <v>3</v>
      </c>
      <c r="R1607" s="11"/>
      <c r="S1607" s="4"/>
      <c r="T1607" s="11">
        <v>3</v>
      </c>
      <c r="U1607" s="11"/>
      <c r="V1607" s="4"/>
      <c r="W1607" s="11"/>
      <c r="X1607" s="11"/>
      <c r="Y1607" s="4"/>
      <c r="Z1607" s="9">
        <v>0</v>
      </c>
      <c r="AA1607" s="11"/>
      <c r="AB1607" s="4"/>
      <c r="AC1607" s="11"/>
      <c r="AD1607" s="11"/>
      <c r="AE1607" s="4"/>
      <c r="AF1607" s="11">
        <v>0</v>
      </c>
      <c r="AG1607" s="11"/>
      <c r="AH1607" s="4"/>
      <c r="AI1607" s="11">
        <v>2</v>
      </c>
      <c r="AJ1607" s="11"/>
      <c r="AK1607" s="4"/>
      <c r="AL1607" s="4"/>
      <c r="AM1607" s="4"/>
      <c r="AN1607" s="4"/>
      <c r="AO1607" s="4"/>
      <c r="AP1607" s="4"/>
      <c r="AQ1607" s="4"/>
    </row>
    <row r="1608" spans="1:43" s="2" customFormat="1" x14ac:dyDescent="0.25">
      <c r="A1608" s="161" t="str">
        <f t="shared" si="29"/>
        <v>SWORDSMAN_EASTEU</v>
      </c>
      <c r="B1608" s="9" t="s">
        <v>104</v>
      </c>
      <c r="C1608" s="4" t="s">
        <v>698</v>
      </c>
      <c r="D1608" s="4"/>
      <c r="E1608" s="4" t="s">
        <v>104</v>
      </c>
      <c r="F1608" s="4" t="s">
        <v>104</v>
      </c>
      <c r="G1608" s="4"/>
      <c r="H1608" s="4" t="s">
        <v>915</v>
      </c>
      <c r="I1608" s="4" t="s">
        <v>1820</v>
      </c>
      <c r="J1608" s="11"/>
      <c r="K1608" s="11"/>
      <c r="L1608" s="4"/>
      <c r="M1608" s="12"/>
      <c r="N1608" s="4"/>
      <c r="O1608" s="4"/>
      <c r="P1608" s="4"/>
      <c r="Q1608" s="9">
        <v>3</v>
      </c>
      <c r="R1608" s="11"/>
      <c r="S1608" s="4"/>
      <c r="T1608" s="11">
        <v>3</v>
      </c>
      <c r="U1608" s="11"/>
      <c r="V1608" s="4"/>
      <c r="W1608" s="11"/>
      <c r="X1608" s="11"/>
      <c r="Y1608" s="4"/>
      <c r="Z1608" s="9">
        <v>0</v>
      </c>
      <c r="AA1608" s="11"/>
      <c r="AB1608" s="4"/>
      <c r="AC1608" s="11"/>
      <c r="AD1608" s="11"/>
      <c r="AE1608" s="4"/>
      <c r="AF1608" s="11">
        <v>1</v>
      </c>
      <c r="AG1608" s="11"/>
      <c r="AH1608" s="4"/>
      <c r="AI1608" s="11">
        <v>2</v>
      </c>
      <c r="AJ1608" s="11"/>
      <c r="AK1608" s="4"/>
      <c r="AL1608" s="4"/>
      <c r="AM1608" s="4"/>
      <c r="AN1608" s="4"/>
      <c r="AO1608" s="4"/>
      <c r="AP1608" s="4"/>
      <c r="AQ1608" s="4"/>
    </row>
    <row r="1609" spans="1:43" s="2" customFormat="1" x14ac:dyDescent="0.25">
      <c r="A1609" s="161" t="str">
        <f t="shared" si="29"/>
        <v>SWORDSMAN_EASTEU</v>
      </c>
      <c r="B1609" s="9" t="s">
        <v>104</v>
      </c>
      <c r="C1609" s="4" t="s">
        <v>698</v>
      </c>
      <c r="D1609" s="4"/>
      <c r="E1609" s="4" t="s">
        <v>104</v>
      </c>
      <c r="F1609" s="4" t="s">
        <v>104</v>
      </c>
      <c r="G1609" s="4" t="s">
        <v>2047</v>
      </c>
      <c r="H1609" s="4" t="s">
        <v>916</v>
      </c>
      <c r="I1609" s="4" t="s">
        <v>1820</v>
      </c>
      <c r="J1609" s="11"/>
      <c r="K1609" s="11"/>
      <c r="L1609" s="4"/>
      <c r="M1609" s="12"/>
      <c r="N1609" s="4"/>
      <c r="O1609" s="4"/>
      <c r="P1609" s="4"/>
      <c r="Q1609" s="9">
        <v>3</v>
      </c>
      <c r="R1609" s="11"/>
      <c r="S1609" s="4"/>
      <c r="T1609" s="11">
        <v>2</v>
      </c>
      <c r="U1609" s="11"/>
      <c r="V1609" s="4"/>
      <c r="W1609" s="11"/>
      <c r="X1609" s="11"/>
      <c r="Y1609" s="4"/>
      <c r="Z1609" s="9">
        <v>0</v>
      </c>
      <c r="AA1609" s="11"/>
      <c r="AB1609" s="4"/>
      <c r="AC1609" s="11"/>
      <c r="AD1609" s="11"/>
      <c r="AE1609" s="4"/>
      <c r="AF1609" s="11">
        <v>0</v>
      </c>
      <c r="AG1609" s="11"/>
      <c r="AH1609" s="4"/>
      <c r="AI1609" s="11">
        <v>2</v>
      </c>
      <c r="AJ1609" s="11"/>
      <c r="AK1609" s="4"/>
      <c r="AL1609" s="4"/>
      <c r="AM1609" s="4"/>
      <c r="AN1609" s="4"/>
      <c r="AO1609" s="4"/>
      <c r="AP1609" s="4"/>
      <c r="AQ1609" s="4"/>
    </row>
    <row r="1610" spans="1:43" s="2" customFormat="1" x14ac:dyDescent="0.25">
      <c r="A1610" s="161" t="str">
        <f t="shared" si="29"/>
        <v>SWORDSMAN_POLAND</v>
      </c>
      <c r="B1610" s="9" t="s">
        <v>104</v>
      </c>
      <c r="C1610" s="4" t="s">
        <v>732</v>
      </c>
      <c r="D1610" s="4"/>
      <c r="E1610" s="4" t="s">
        <v>104</v>
      </c>
      <c r="F1610" s="4" t="s">
        <v>104</v>
      </c>
      <c r="G1610" s="4"/>
      <c r="H1610" s="4" t="s">
        <v>2100</v>
      </c>
      <c r="I1610" s="4" t="s">
        <v>1935</v>
      </c>
      <c r="J1610" s="11"/>
      <c r="K1610" s="11"/>
      <c r="L1610" s="4"/>
      <c r="M1610" s="12"/>
      <c r="N1610" s="4"/>
      <c r="O1610" s="4"/>
      <c r="P1610" s="4"/>
      <c r="Q1610" s="9" t="s">
        <v>1737</v>
      </c>
      <c r="R1610" s="11"/>
      <c r="S1610" s="4"/>
      <c r="T1610" s="11"/>
      <c r="U1610" s="11"/>
      <c r="V1610" s="4"/>
      <c r="W1610" s="11"/>
      <c r="X1610" s="11"/>
      <c r="Y1610" s="4"/>
      <c r="Z1610" s="9"/>
      <c r="AA1610" s="11"/>
      <c r="AB1610" s="4"/>
      <c r="AC1610" s="11"/>
      <c r="AD1610" s="11"/>
      <c r="AE1610" s="4"/>
      <c r="AF1610" s="11"/>
      <c r="AG1610" s="11"/>
      <c r="AH1610" s="4"/>
      <c r="AI1610" s="11"/>
      <c r="AJ1610" s="11"/>
      <c r="AK1610" s="4"/>
      <c r="AL1610" s="4"/>
      <c r="AM1610" s="4"/>
      <c r="AN1610" s="4"/>
      <c r="AO1610" s="4"/>
      <c r="AP1610" s="4"/>
      <c r="AQ1610" s="4"/>
    </row>
    <row r="1611" spans="1:43" x14ac:dyDescent="0.25">
      <c r="A1611" s="161" t="str">
        <f t="shared" si="28"/>
        <v>SWORDSMAN_RUSSIA</v>
      </c>
      <c r="B1611" s="9" t="s">
        <v>104</v>
      </c>
      <c r="C1611" s="4" t="s">
        <v>735</v>
      </c>
      <c r="E1611" s="4" t="s">
        <v>104</v>
      </c>
      <c r="F1611" s="4" t="s">
        <v>104</v>
      </c>
      <c r="H1611" s="4" t="s">
        <v>1009</v>
      </c>
      <c r="I1611" s="4" t="s">
        <v>2098</v>
      </c>
      <c r="Q1611" s="9">
        <v>2</v>
      </c>
      <c r="T1611" s="11">
        <v>2</v>
      </c>
      <c r="Z1611" s="9">
        <v>1</v>
      </c>
      <c r="AF1611" s="11">
        <v>1</v>
      </c>
      <c r="AI1611" s="11">
        <v>1</v>
      </c>
    </row>
    <row r="1612" spans="1:43" x14ac:dyDescent="0.25">
      <c r="A1612" s="161" t="str">
        <f t="shared" si="28"/>
        <v>SWORDSMAN_RUSSIA</v>
      </c>
      <c r="B1612" s="9" t="s">
        <v>104</v>
      </c>
      <c r="C1612" s="4" t="s">
        <v>735</v>
      </c>
      <c r="E1612" s="4" t="s">
        <v>104</v>
      </c>
      <c r="F1612" s="4" t="s">
        <v>104</v>
      </c>
      <c r="G1612" s="4" t="s">
        <v>2047</v>
      </c>
      <c r="H1612" s="4" t="s">
        <v>1010</v>
      </c>
      <c r="I1612" s="4" t="s">
        <v>2098</v>
      </c>
      <c r="Q1612" s="9">
        <v>2</v>
      </c>
      <c r="T1612" s="11">
        <v>3</v>
      </c>
      <c r="Z1612" s="9">
        <v>0</v>
      </c>
      <c r="AF1612" s="11">
        <v>1</v>
      </c>
      <c r="AI1612" s="11">
        <v>1</v>
      </c>
    </row>
    <row r="1613" spans="1:43" x14ac:dyDescent="0.25">
      <c r="A1613" s="161" t="str">
        <f t="shared" si="28"/>
        <v>SWORDSMAN_RUSSIA</v>
      </c>
      <c r="B1613" s="9" t="s">
        <v>104</v>
      </c>
      <c r="C1613" s="4" t="s">
        <v>735</v>
      </c>
      <c r="E1613" s="4" t="s">
        <v>104</v>
      </c>
      <c r="F1613" s="4" t="s">
        <v>104</v>
      </c>
      <c r="G1613" s="4" t="s">
        <v>2049</v>
      </c>
      <c r="H1613" s="4" t="s">
        <v>627</v>
      </c>
      <c r="I1613" s="4" t="s">
        <v>2098</v>
      </c>
      <c r="Q1613" s="9">
        <v>2</v>
      </c>
      <c r="T1613" s="11">
        <v>3</v>
      </c>
      <c r="Z1613" s="9">
        <v>0</v>
      </c>
      <c r="AF1613" s="11">
        <v>1</v>
      </c>
      <c r="AI1613" s="11">
        <v>1</v>
      </c>
    </row>
    <row r="1614" spans="1:43" x14ac:dyDescent="0.25">
      <c r="A1614" s="161" t="str">
        <f t="shared" si="28"/>
        <v>SWORDSMAN_RUSSIA</v>
      </c>
      <c r="B1614" s="9" t="s">
        <v>104</v>
      </c>
      <c r="C1614" s="4" t="s">
        <v>735</v>
      </c>
      <c r="E1614" s="4" t="s">
        <v>104</v>
      </c>
      <c r="F1614" s="4" t="s">
        <v>104</v>
      </c>
      <c r="H1614" s="4" t="s">
        <v>1009</v>
      </c>
      <c r="I1614" s="4" t="s">
        <v>2098</v>
      </c>
      <c r="Q1614" s="9">
        <v>2</v>
      </c>
      <c r="T1614" s="11">
        <v>3</v>
      </c>
      <c r="Z1614" s="9">
        <v>0</v>
      </c>
      <c r="AF1614" s="11">
        <v>0</v>
      </c>
      <c r="AI1614" s="11">
        <v>2</v>
      </c>
    </row>
    <row r="1615" spans="1:43" x14ac:dyDescent="0.25">
      <c r="A1615" s="161" t="str">
        <f t="shared" si="28"/>
        <v>SWORDSMAN_RUSSIA</v>
      </c>
      <c r="B1615" s="9" t="s">
        <v>104</v>
      </c>
      <c r="C1615" s="4" t="s">
        <v>735</v>
      </c>
      <c r="E1615" s="4" t="s">
        <v>104</v>
      </c>
      <c r="F1615" s="4" t="s">
        <v>104</v>
      </c>
      <c r="G1615" s="4" t="s">
        <v>2047</v>
      </c>
      <c r="H1615" s="4" t="s">
        <v>1010</v>
      </c>
      <c r="I1615" s="4" t="s">
        <v>2098</v>
      </c>
      <c r="Q1615" s="9">
        <v>2</v>
      </c>
      <c r="T1615" s="11">
        <v>3</v>
      </c>
      <c r="Z1615" s="9">
        <v>0</v>
      </c>
      <c r="AF1615" s="11">
        <v>0</v>
      </c>
      <c r="AI1615" s="11">
        <v>1</v>
      </c>
    </row>
    <row r="1616" spans="1:43" x14ac:dyDescent="0.25">
      <c r="A1616" s="161" t="str">
        <f t="shared" si="28"/>
        <v>SWORDSMAN_RUSSIA</v>
      </c>
      <c r="B1616" s="9" t="s">
        <v>104</v>
      </c>
      <c r="C1616" s="4" t="s">
        <v>735</v>
      </c>
      <c r="E1616" s="4" t="s">
        <v>104</v>
      </c>
      <c r="F1616" s="4" t="s">
        <v>104</v>
      </c>
      <c r="G1616" s="4" t="s">
        <v>2049</v>
      </c>
      <c r="H1616" s="4" t="s">
        <v>627</v>
      </c>
      <c r="I1616" s="4" t="s">
        <v>2098</v>
      </c>
      <c r="Q1616" s="9">
        <v>2</v>
      </c>
      <c r="T1616" s="11">
        <v>2</v>
      </c>
      <c r="Z1616" s="9">
        <v>0</v>
      </c>
      <c r="AF1616" s="11">
        <v>0</v>
      </c>
      <c r="AI1616" s="11">
        <v>1</v>
      </c>
    </row>
    <row r="1617" spans="1:35" x14ac:dyDescent="0.25">
      <c r="A1617" s="161" t="str">
        <f t="shared" si="28"/>
        <v>SWORDSMAN_AMERICA</v>
      </c>
      <c r="B1617" s="9" t="s">
        <v>104</v>
      </c>
      <c r="C1617" s="4" t="s">
        <v>699</v>
      </c>
      <c r="E1617" s="4" t="s">
        <v>104</v>
      </c>
      <c r="F1617" s="4" t="s">
        <v>104</v>
      </c>
      <c r="G1617" s="14"/>
      <c r="H1617" s="4" t="s">
        <v>152</v>
      </c>
      <c r="I1617" s="4" t="s">
        <v>1941</v>
      </c>
      <c r="Q1617" s="9" t="s">
        <v>1737</v>
      </c>
      <c r="T1617" s="9"/>
      <c r="W1617" s="9"/>
      <c r="AF1617" s="9"/>
      <c r="AI1617" s="9"/>
    </row>
    <row r="1618" spans="1:35" x14ac:dyDescent="0.25">
      <c r="A1618" s="161" t="str">
        <f t="shared" si="28"/>
        <v>SWORDSMAN_ENGLAND</v>
      </c>
      <c r="B1618" s="9" t="s">
        <v>104</v>
      </c>
      <c r="C1618" s="4" t="s">
        <v>713</v>
      </c>
      <c r="E1618" s="4" t="s">
        <v>104</v>
      </c>
      <c r="F1618" s="4" t="s">
        <v>104</v>
      </c>
      <c r="G1618" s="14" t="s">
        <v>132</v>
      </c>
      <c r="H1618" s="4" t="s">
        <v>313</v>
      </c>
      <c r="I1618" s="4" t="s">
        <v>102</v>
      </c>
      <c r="Q1618" s="9" t="s">
        <v>1737</v>
      </c>
      <c r="T1618" s="9"/>
      <c r="W1618" s="9"/>
      <c r="AF1618" s="9"/>
      <c r="AI1618" s="9"/>
    </row>
    <row r="1619" spans="1:35" x14ac:dyDescent="0.25">
      <c r="A1619" s="161" t="str">
        <f t="shared" si="28"/>
        <v>SWORDSMAN_FRANCE</v>
      </c>
      <c r="B1619" s="9" t="s">
        <v>104</v>
      </c>
      <c r="C1619" s="4" t="s">
        <v>715</v>
      </c>
      <c r="E1619" s="4" t="s">
        <v>104</v>
      </c>
      <c r="F1619" s="4" t="s">
        <v>104</v>
      </c>
      <c r="G1619" s="14" t="s">
        <v>132</v>
      </c>
      <c r="H1619" s="4" t="s">
        <v>358</v>
      </c>
      <c r="I1619" s="4" t="s">
        <v>102</v>
      </c>
      <c r="Q1619" s="9" t="s">
        <v>1737</v>
      </c>
      <c r="R1619" s="11">
        <v>0.14199999999999999</v>
      </c>
      <c r="T1619" s="9"/>
      <c r="W1619" s="9"/>
      <c r="AF1619" s="9"/>
      <c r="AI1619" s="9"/>
    </row>
    <row r="1620" spans="1:35" x14ac:dyDescent="0.25">
      <c r="A1620" s="161" t="str">
        <f t="shared" si="28"/>
        <v>SWORDSMAN_GERMANY</v>
      </c>
      <c r="B1620" s="9" t="s">
        <v>104</v>
      </c>
      <c r="C1620" s="4" t="s">
        <v>717</v>
      </c>
      <c r="E1620" s="4" t="s">
        <v>104</v>
      </c>
      <c r="F1620" s="4" t="s">
        <v>104</v>
      </c>
      <c r="G1620" s="14" t="s">
        <v>132</v>
      </c>
      <c r="H1620" s="4" t="s">
        <v>391</v>
      </c>
      <c r="I1620" s="4" t="s">
        <v>102</v>
      </c>
      <c r="Q1620" s="9" t="s">
        <v>1737</v>
      </c>
      <c r="T1620" s="9"/>
      <c r="W1620" s="9"/>
      <c r="AF1620" s="9"/>
      <c r="AI1620" s="9"/>
    </row>
    <row r="1621" spans="1:35" x14ac:dyDescent="0.25">
      <c r="A1621" s="161" t="str">
        <f t="shared" si="28"/>
        <v>SWORDSMAN_MED</v>
      </c>
      <c r="B1621" s="9" t="s">
        <v>104</v>
      </c>
      <c r="C1621" s="4" t="s">
        <v>692</v>
      </c>
      <c r="E1621" s="4" t="s">
        <v>104</v>
      </c>
      <c r="F1621" s="4" t="s">
        <v>104</v>
      </c>
      <c r="H1621" s="4" t="s">
        <v>854</v>
      </c>
      <c r="I1621" s="4" t="s">
        <v>835</v>
      </c>
      <c r="Q1621" s="9" t="s">
        <v>1737</v>
      </c>
      <c r="R1621" s="11">
        <v>0.14399999999999999</v>
      </c>
      <c r="T1621" s="9"/>
      <c r="W1621" s="9"/>
      <c r="AF1621" s="9"/>
      <c r="AI1621" s="9"/>
    </row>
    <row r="1622" spans="1:35" x14ac:dyDescent="0.25">
      <c r="A1622" s="161" t="str">
        <f t="shared" ref="A1622:A1705" si="30">CONCATENATE(E1622,IF(ISBLANK(C1622),"",CONCATENATE("_",C1622)))</f>
        <v>SWORDSMAN_GREECE</v>
      </c>
      <c r="B1622" s="9" t="s">
        <v>104</v>
      </c>
      <c r="C1622" s="4" t="s">
        <v>718</v>
      </c>
      <c r="E1622" s="4" t="s">
        <v>104</v>
      </c>
      <c r="F1622" s="4" t="s">
        <v>104</v>
      </c>
      <c r="G1622" s="14" t="s">
        <v>132</v>
      </c>
      <c r="H1622" s="4" t="s">
        <v>414</v>
      </c>
      <c r="I1622" s="4" t="s">
        <v>122</v>
      </c>
      <c r="Q1622" s="9" t="s">
        <v>1737</v>
      </c>
      <c r="T1622" s="9"/>
      <c r="W1622" s="9"/>
      <c r="Z1622" s="9"/>
      <c r="AF1622" s="9"/>
      <c r="AI1622" s="9"/>
    </row>
    <row r="1623" spans="1:35" x14ac:dyDescent="0.25">
      <c r="A1623" s="161" t="str">
        <f t="shared" si="30"/>
        <v>SWORDSMAN_ROME</v>
      </c>
      <c r="B1623" s="9" t="s">
        <v>104</v>
      </c>
      <c r="C1623" s="4" t="s">
        <v>734</v>
      </c>
      <c r="E1623" s="4" t="s">
        <v>104</v>
      </c>
      <c r="F1623" s="4" t="s">
        <v>104</v>
      </c>
      <c r="G1623" s="14" t="s">
        <v>132</v>
      </c>
      <c r="H1623" s="4" t="s">
        <v>600</v>
      </c>
      <c r="I1623" s="4" t="s">
        <v>128</v>
      </c>
      <c r="Q1623" s="9" t="s">
        <v>1737</v>
      </c>
      <c r="T1623" s="9"/>
      <c r="W1623" s="9"/>
      <c r="Z1623" s="9"/>
      <c r="AF1623" s="9"/>
      <c r="AI1623" s="9"/>
    </row>
    <row r="1624" spans="1:35" x14ac:dyDescent="0.25">
      <c r="A1624" s="161" t="str">
        <f t="shared" si="30"/>
        <v>SWORDSMAN_SPAIN</v>
      </c>
      <c r="B1624" s="9" t="s">
        <v>104</v>
      </c>
      <c r="C1624" s="4" t="s">
        <v>738</v>
      </c>
      <c r="E1624" s="4" t="s">
        <v>104</v>
      </c>
      <c r="F1624" s="4" t="s">
        <v>104</v>
      </c>
      <c r="H1624" s="4" t="s">
        <v>1020</v>
      </c>
      <c r="I1624" s="4" t="s">
        <v>2098</v>
      </c>
      <c r="Q1624" s="9">
        <v>3</v>
      </c>
      <c r="T1624" s="11">
        <v>3</v>
      </c>
      <c r="Z1624" s="9">
        <v>1</v>
      </c>
      <c r="AF1624" s="11">
        <v>1</v>
      </c>
      <c r="AI1624" s="11">
        <v>2</v>
      </c>
    </row>
    <row r="1625" spans="1:35" x14ac:dyDescent="0.25">
      <c r="A1625" s="161" t="str">
        <f t="shared" si="30"/>
        <v>SWORDSMAN_SPAIN</v>
      </c>
      <c r="B1625" s="9" t="s">
        <v>104</v>
      </c>
      <c r="C1625" s="4" t="s">
        <v>738</v>
      </c>
      <c r="E1625" s="4" t="s">
        <v>104</v>
      </c>
      <c r="F1625" s="4" t="s">
        <v>104</v>
      </c>
      <c r="G1625" s="4" t="s">
        <v>2047</v>
      </c>
      <c r="H1625" s="4" t="s">
        <v>663</v>
      </c>
      <c r="I1625" s="4" t="s">
        <v>2098</v>
      </c>
      <c r="Q1625" s="9">
        <v>3</v>
      </c>
      <c r="T1625" s="11">
        <v>5</v>
      </c>
      <c r="Z1625" s="9">
        <v>0</v>
      </c>
      <c r="AF1625" s="11">
        <v>1</v>
      </c>
      <c r="AI1625" s="11">
        <v>1</v>
      </c>
    </row>
    <row r="1626" spans="1:35" x14ac:dyDescent="0.25">
      <c r="A1626" s="161" t="str">
        <f t="shared" si="30"/>
        <v>SWORDSMAN_SPAIN</v>
      </c>
      <c r="B1626" s="9" t="s">
        <v>104</v>
      </c>
      <c r="C1626" s="4" t="s">
        <v>738</v>
      </c>
      <c r="E1626" s="4" t="s">
        <v>104</v>
      </c>
      <c r="F1626" s="4" t="s">
        <v>104</v>
      </c>
      <c r="H1626" s="4" t="s">
        <v>1020</v>
      </c>
      <c r="I1626" s="4" t="s">
        <v>2098</v>
      </c>
      <c r="Q1626" s="9">
        <v>3</v>
      </c>
      <c r="T1626" s="11">
        <v>5</v>
      </c>
      <c r="Z1626" s="9">
        <v>0</v>
      </c>
      <c r="AF1626" s="11">
        <v>1</v>
      </c>
      <c r="AI1626" s="11">
        <v>2</v>
      </c>
    </row>
    <row r="1627" spans="1:35" x14ac:dyDescent="0.25">
      <c r="A1627" s="161" t="str">
        <f t="shared" si="30"/>
        <v>SWORDSMAN_SPAIN</v>
      </c>
      <c r="B1627" s="9" t="s">
        <v>104</v>
      </c>
      <c r="C1627" s="4" t="s">
        <v>738</v>
      </c>
      <c r="E1627" s="4" t="s">
        <v>104</v>
      </c>
      <c r="F1627" s="4" t="s">
        <v>104</v>
      </c>
      <c r="G1627" s="4" t="s">
        <v>2047</v>
      </c>
      <c r="H1627" s="4" t="s">
        <v>663</v>
      </c>
      <c r="I1627" s="4" t="s">
        <v>2098</v>
      </c>
      <c r="Q1627" s="9">
        <v>3</v>
      </c>
      <c r="T1627" s="11">
        <v>3</v>
      </c>
      <c r="Z1627" s="9">
        <v>0</v>
      </c>
      <c r="AF1627" s="11">
        <v>0</v>
      </c>
      <c r="AI1627" s="11">
        <v>2</v>
      </c>
    </row>
    <row r="1628" spans="1:35" x14ac:dyDescent="0.25">
      <c r="A1628" s="161" t="str">
        <f t="shared" si="30"/>
        <v>SWORDSMAN_MIDEAST</v>
      </c>
      <c r="B1628" s="9" t="s">
        <v>104</v>
      </c>
      <c r="C1628" s="4" t="s">
        <v>690</v>
      </c>
      <c r="E1628" s="4" t="s">
        <v>104</v>
      </c>
      <c r="F1628" s="4" t="s">
        <v>104</v>
      </c>
      <c r="H1628" s="4" t="s">
        <v>175</v>
      </c>
      <c r="I1628" s="4" t="s">
        <v>122</v>
      </c>
      <c r="Q1628" s="9" t="s">
        <v>1737</v>
      </c>
      <c r="T1628" s="9"/>
      <c r="W1628" s="9"/>
      <c r="Z1628" s="9"/>
      <c r="AF1628" s="9"/>
      <c r="AI1628" s="9"/>
    </row>
    <row r="1629" spans="1:35" x14ac:dyDescent="0.25">
      <c r="A1629" s="161" t="str">
        <f t="shared" si="30"/>
        <v>SWORDSMAN_ARABIA</v>
      </c>
      <c r="B1629" s="9" t="s">
        <v>104</v>
      </c>
      <c r="C1629" s="4" t="s">
        <v>700</v>
      </c>
      <c r="D1629" s="14"/>
      <c r="E1629" s="4" t="s">
        <v>104</v>
      </c>
      <c r="F1629" s="4" t="s">
        <v>104</v>
      </c>
      <c r="H1629" s="4" t="s">
        <v>806</v>
      </c>
      <c r="I1629" s="4" t="s">
        <v>2098</v>
      </c>
      <c r="Q1629" s="9">
        <v>2</v>
      </c>
      <c r="T1629" s="11">
        <v>2</v>
      </c>
      <c r="Z1629" s="9">
        <v>1</v>
      </c>
      <c r="AF1629" s="11">
        <v>1</v>
      </c>
      <c r="AI1629" s="11">
        <v>1</v>
      </c>
    </row>
    <row r="1630" spans="1:35" x14ac:dyDescent="0.25">
      <c r="A1630" s="161" t="str">
        <f t="shared" si="30"/>
        <v>SWORDSMAN_ARABIA</v>
      </c>
      <c r="B1630" s="9" t="s">
        <v>104</v>
      </c>
      <c r="C1630" s="4" t="s">
        <v>700</v>
      </c>
      <c r="D1630" s="14"/>
      <c r="E1630" s="4" t="s">
        <v>104</v>
      </c>
      <c r="F1630" s="4" t="s">
        <v>104</v>
      </c>
      <c r="G1630" s="4" t="s">
        <v>2047</v>
      </c>
      <c r="H1630" s="4" t="s">
        <v>807</v>
      </c>
      <c r="I1630" s="4" t="s">
        <v>2098</v>
      </c>
      <c r="Q1630" s="9">
        <v>2</v>
      </c>
      <c r="T1630" s="11">
        <v>3</v>
      </c>
      <c r="Z1630" s="9">
        <v>0</v>
      </c>
      <c r="AF1630" s="11">
        <v>1</v>
      </c>
      <c r="AI1630" s="11">
        <v>1</v>
      </c>
    </row>
    <row r="1631" spans="1:35" x14ac:dyDescent="0.25">
      <c r="A1631" s="161" t="str">
        <f t="shared" si="30"/>
        <v>SWORDSMAN_ARABIA</v>
      </c>
      <c r="B1631" s="9" t="s">
        <v>104</v>
      </c>
      <c r="C1631" s="4" t="s">
        <v>700</v>
      </c>
      <c r="D1631" s="14"/>
      <c r="E1631" s="4" t="s">
        <v>104</v>
      </c>
      <c r="F1631" s="4" t="s">
        <v>104</v>
      </c>
      <c r="G1631" s="4" t="s">
        <v>2049</v>
      </c>
      <c r="H1631" s="4" t="s">
        <v>171</v>
      </c>
      <c r="I1631" s="4" t="s">
        <v>2098</v>
      </c>
      <c r="Q1631" s="9">
        <v>2</v>
      </c>
      <c r="T1631" s="11">
        <v>3</v>
      </c>
      <c r="Z1631" s="9">
        <v>0</v>
      </c>
      <c r="AF1631" s="11">
        <v>1</v>
      </c>
      <c r="AI1631" s="11">
        <v>1</v>
      </c>
    </row>
    <row r="1632" spans="1:35" x14ac:dyDescent="0.25">
      <c r="A1632" s="161" t="str">
        <f t="shared" si="30"/>
        <v>SWORDSMAN_ARABIA</v>
      </c>
      <c r="B1632" s="9" t="s">
        <v>104</v>
      </c>
      <c r="C1632" s="4" t="s">
        <v>700</v>
      </c>
      <c r="D1632" s="14"/>
      <c r="E1632" s="4" t="s">
        <v>104</v>
      </c>
      <c r="F1632" s="4" t="s">
        <v>104</v>
      </c>
      <c r="H1632" s="4" t="s">
        <v>806</v>
      </c>
      <c r="I1632" s="4" t="s">
        <v>2098</v>
      </c>
      <c r="Q1632" s="9">
        <v>2</v>
      </c>
      <c r="T1632" s="11">
        <v>3</v>
      </c>
      <c r="Z1632" s="9">
        <v>0</v>
      </c>
      <c r="AF1632" s="11">
        <v>0</v>
      </c>
      <c r="AI1632" s="11">
        <v>2</v>
      </c>
    </row>
    <row r="1633" spans="1:35" x14ac:dyDescent="0.25">
      <c r="A1633" s="161" t="str">
        <f t="shared" si="30"/>
        <v>SWORDSMAN_ARABIA</v>
      </c>
      <c r="B1633" s="9" t="s">
        <v>104</v>
      </c>
      <c r="C1633" s="4" t="s">
        <v>700</v>
      </c>
      <c r="D1633" s="14"/>
      <c r="E1633" s="4" t="s">
        <v>104</v>
      </c>
      <c r="F1633" s="4" t="s">
        <v>104</v>
      </c>
      <c r="G1633" s="4" t="s">
        <v>2047</v>
      </c>
      <c r="H1633" s="4" t="s">
        <v>807</v>
      </c>
      <c r="I1633" s="4" t="s">
        <v>2098</v>
      </c>
      <c r="Q1633" s="9">
        <v>2</v>
      </c>
      <c r="T1633" s="11">
        <v>3</v>
      </c>
      <c r="Z1633" s="9">
        <v>0</v>
      </c>
      <c r="AF1633" s="11">
        <v>0</v>
      </c>
      <c r="AI1633" s="11">
        <v>1</v>
      </c>
    </row>
    <row r="1634" spans="1:35" x14ac:dyDescent="0.25">
      <c r="A1634" s="161" t="str">
        <f t="shared" si="30"/>
        <v>SWORDSMAN_ARABIA</v>
      </c>
      <c r="B1634" s="9" t="s">
        <v>104</v>
      </c>
      <c r="C1634" s="4" t="s">
        <v>700</v>
      </c>
      <c r="D1634" s="14"/>
      <c r="E1634" s="4" t="s">
        <v>104</v>
      </c>
      <c r="F1634" s="4" t="s">
        <v>104</v>
      </c>
      <c r="G1634" s="4" t="s">
        <v>2049</v>
      </c>
      <c r="H1634" s="4" t="s">
        <v>171</v>
      </c>
      <c r="I1634" s="4" t="s">
        <v>2098</v>
      </c>
      <c r="Q1634" s="9">
        <v>2</v>
      </c>
      <c r="T1634" s="11">
        <v>2</v>
      </c>
      <c r="Z1634" s="9">
        <v>0</v>
      </c>
      <c r="AF1634" s="11">
        <v>0</v>
      </c>
      <c r="AI1634" s="11">
        <v>1</v>
      </c>
    </row>
    <row r="1635" spans="1:35" x14ac:dyDescent="0.25">
      <c r="A1635" s="161" t="str">
        <f t="shared" si="30"/>
        <v>SWORDSMAN_BABYLON</v>
      </c>
      <c r="B1635" s="9" t="s">
        <v>104</v>
      </c>
      <c r="C1635" s="4" t="s">
        <v>703</v>
      </c>
      <c r="E1635" s="4" t="s">
        <v>104</v>
      </c>
      <c r="F1635" s="4" t="s">
        <v>104</v>
      </c>
      <c r="H1635" s="4" t="s">
        <v>814</v>
      </c>
      <c r="I1635" s="4" t="s">
        <v>102</v>
      </c>
      <c r="Q1635" s="9">
        <v>2</v>
      </c>
      <c r="T1635" s="11">
        <v>2</v>
      </c>
      <c r="Z1635" s="9">
        <v>1</v>
      </c>
      <c r="AF1635" s="11">
        <v>1</v>
      </c>
      <c r="AI1635" s="11">
        <v>1</v>
      </c>
    </row>
    <row r="1636" spans="1:35" x14ac:dyDescent="0.25">
      <c r="A1636" s="161" t="str">
        <f t="shared" si="30"/>
        <v>SWORDSMAN_BABYLON</v>
      </c>
      <c r="B1636" s="9" t="s">
        <v>104</v>
      </c>
      <c r="C1636" s="4" t="s">
        <v>703</v>
      </c>
      <c r="E1636" s="4" t="s">
        <v>104</v>
      </c>
      <c r="F1636" s="4" t="s">
        <v>104</v>
      </c>
      <c r="G1636" s="4" t="s">
        <v>2047</v>
      </c>
      <c r="H1636" s="4" t="s">
        <v>815</v>
      </c>
      <c r="I1636" s="4" t="s">
        <v>102</v>
      </c>
      <c r="Q1636" s="9">
        <v>2</v>
      </c>
      <c r="T1636" s="11">
        <v>3</v>
      </c>
      <c r="Z1636" s="9">
        <v>0</v>
      </c>
      <c r="AF1636" s="11">
        <v>1</v>
      </c>
      <c r="AI1636" s="11">
        <v>1</v>
      </c>
    </row>
    <row r="1637" spans="1:35" x14ac:dyDescent="0.25">
      <c r="A1637" s="161" t="str">
        <f t="shared" si="30"/>
        <v>SWORDSMAN_BABYLON</v>
      </c>
      <c r="B1637" s="9" t="s">
        <v>104</v>
      </c>
      <c r="C1637" s="4" t="s">
        <v>703</v>
      </c>
      <c r="E1637" s="4" t="s">
        <v>104</v>
      </c>
      <c r="F1637" s="4" t="s">
        <v>104</v>
      </c>
      <c r="G1637" s="4" t="s">
        <v>2049</v>
      </c>
      <c r="H1637" s="4" t="s">
        <v>218</v>
      </c>
      <c r="I1637" s="4" t="s">
        <v>102</v>
      </c>
      <c r="Q1637" s="9">
        <v>2</v>
      </c>
      <c r="T1637" s="11">
        <v>3</v>
      </c>
      <c r="Z1637" s="9">
        <v>0</v>
      </c>
      <c r="AF1637" s="11">
        <v>1</v>
      </c>
      <c r="AI1637" s="11">
        <v>1</v>
      </c>
    </row>
    <row r="1638" spans="1:35" x14ac:dyDescent="0.25">
      <c r="A1638" s="161" t="str">
        <f t="shared" si="30"/>
        <v>SWORDSMAN_BABYLON</v>
      </c>
      <c r="B1638" s="9" t="s">
        <v>104</v>
      </c>
      <c r="C1638" s="4" t="s">
        <v>703</v>
      </c>
      <c r="E1638" s="4" t="s">
        <v>104</v>
      </c>
      <c r="F1638" s="4" t="s">
        <v>104</v>
      </c>
      <c r="H1638" s="4" t="s">
        <v>814</v>
      </c>
      <c r="I1638" s="4" t="s">
        <v>102</v>
      </c>
      <c r="Q1638" s="9">
        <v>2</v>
      </c>
      <c r="T1638" s="11">
        <v>3</v>
      </c>
      <c r="Z1638" s="9">
        <v>0</v>
      </c>
      <c r="AF1638" s="11">
        <v>0</v>
      </c>
      <c r="AI1638" s="11">
        <v>2</v>
      </c>
    </row>
    <row r="1639" spans="1:35" x14ac:dyDescent="0.25">
      <c r="A1639" s="161" t="str">
        <f t="shared" si="30"/>
        <v>SWORDSMAN_BABYLON</v>
      </c>
      <c r="B1639" s="9" t="s">
        <v>104</v>
      </c>
      <c r="C1639" s="4" t="s">
        <v>703</v>
      </c>
      <c r="E1639" s="4" t="s">
        <v>104</v>
      </c>
      <c r="F1639" s="4" t="s">
        <v>104</v>
      </c>
      <c r="G1639" s="4" t="s">
        <v>2047</v>
      </c>
      <c r="H1639" s="4" t="s">
        <v>815</v>
      </c>
      <c r="I1639" s="4" t="s">
        <v>102</v>
      </c>
      <c r="Q1639" s="9">
        <v>2</v>
      </c>
      <c r="T1639" s="11">
        <v>3</v>
      </c>
      <c r="Z1639" s="9">
        <v>0</v>
      </c>
      <c r="AF1639" s="11">
        <v>0</v>
      </c>
      <c r="AI1639" s="11">
        <v>1</v>
      </c>
    </row>
    <row r="1640" spans="1:35" x14ac:dyDescent="0.25">
      <c r="A1640" s="161" t="str">
        <f t="shared" si="30"/>
        <v>SWORDSMAN_BABYLON</v>
      </c>
      <c r="B1640" s="9" t="s">
        <v>104</v>
      </c>
      <c r="C1640" s="4" t="s">
        <v>703</v>
      </c>
      <c r="E1640" s="4" t="s">
        <v>104</v>
      </c>
      <c r="F1640" s="4" t="s">
        <v>104</v>
      </c>
      <c r="G1640" s="4" t="s">
        <v>2049</v>
      </c>
      <c r="H1640" s="4" t="s">
        <v>218</v>
      </c>
      <c r="I1640" s="4" t="s">
        <v>102</v>
      </c>
      <c r="Q1640" s="9">
        <v>2</v>
      </c>
      <c r="T1640" s="11">
        <v>2</v>
      </c>
      <c r="Z1640" s="9">
        <v>0</v>
      </c>
      <c r="AF1640" s="11">
        <v>0</v>
      </c>
      <c r="AI1640" s="11">
        <v>1</v>
      </c>
    </row>
    <row r="1641" spans="1:35" x14ac:dyDescent="0.25">
      <c r="A1641" s="161" t="str">
        <f t="shared" si="30"/>
        <v>SWORDSMAN_EGYPT</v>
      </c>
      <c r="B1641" s="9" t="s">
        <v>104</v>
      </c>
      <c r="C1641" s="4" t="s">
        <v>712</v>
      </c>
      <c r="E1641" s="4" t="s">
        <v>104</v>
      </c>
      <c r="F1641" s="4" t="s">
        <v>104</v>
      </c>
      <c r="G1641" s="14" t="s">
        <v>132</v>
      </c>
      <c r="H1641" s="4" t="s">
        <v>288</v>
      </c>
      <c r="I1641" s="4" t="s">
        <v>122</v>
      </c>
      <c r="Q1641" s="9" t="s">
        <v>1737</v>
      </c>
      <c r="T1641" s="9"/>
      <c r="W1641" s="9"/>
      <c r="Z1641" s="9"/>
      <c r="AF1641" s="9"/>
      <c r="AI1641" s="9"/>
    </row>
    <row r="1642" spans="1:35" x14ac:dyDescent="0.25">
      <c r="A1642" s="161" t="str">
        <f t="shared" si="30"/>
        <v>SWORDSMAN_JERUSALEM</v>
      </c>
      <c r="B1642" s="9" t="s">
        <v>104</v>
      </c>
      <c r="C1642" s="4" t="s">
        <v>1184</v>
      </c>
      <c r="E1642" s="4" t="s">
        <v>104</v>
      </c>
      <c r="F1642" s="4" t="s">
        <v>104</v>
      </c>
      <c r="G1642" s="14" t="s">
        <v>132</v>
      </c>
      <c r="H1642" s="4" t="s">
        <v>1825</v>
      </c>
      <c r="I1642" s="4" t="s">
        <v>1025</v>
      </c>
      <c r="Q1642" s="9" t="s">
        <v>1737</v>
      </c>
      <c r="T1642" s="9"/>
      <c r="W1642" s="9"/>
      <c r="Z1642" s="9"/>
      <c r="AF1642" s="9"/>
      <c r="AI1642" s="9"/>
    </row>
    <row r="1643" spans="1:35" x14ac:dyDescent="0.25">
      <c r="A1643" s="161" t="str">
        <f t="shared" si="30"/>
        <v>SWORDSMAN_PERSIA</v>
      </c>
      <c r="B1643" s="9" t="s">
        <v>104</v>
      </c>
      <c r="C1643" s="4" t="s">
        <v>731</v>
      </c>
      <c r="E1643" s="4" t="s">
        <v>104</v>
      </c>
      <c r="F1643" s="4" t="s">
        <v>104</v>
      </c>
      <c r="G1643" s="14" t="s">
        <v>132</v>
      </c>
      <c r="H1643" s="4" t="s">
        <v>564</v>
      </c>
      <c r="I1643" s="4" t="s">
        <v>102</v>
      </c>
      <c r="Q1643" s="9" t="s">
        <v>1737</v>
      </c>
      <c r="T1643" s="9"/>
      <c r="W1643" s="9"/>
      <c r="Z1643" s="9"/>
      <c r="AF1643" s="9"/>
      <c r="AI1643" s="9"/>
    </row>
    <row r="1644" spans="1:35" x14ac:dyDescent="0.25">
      <c r="A1644" s="161" t="str">
        <f t="shared" si="30"/>
        <v>SWORDSMAN_NORTHAF</v>
      </c>
      <c r="B1644" s="9" t="s">
        <v>104</v>
      </c>
      <c r="C1644" s="4" t="s">
        <v>2011</v>
      </c>
      <c r="E1644" s="4" t="s">
        <v>104</v>
      </c>
      <c r="F1644" s="4" t="s">
        <v>104</v>
      </c>
      <c r="H1644" s="4" t="s">
        <v>822</v>
      </c>
      <c r="I1644" s="4" t="s">
        <v>1824</v>
      </c>
      <c r="Q1644" s="9">
        <v>2</v>
      </c>
      <c r="R1644" s="11">
        <v>0.15</v>
      </c>
      <c r="T1644" s="11">
        <v>2</v>
      </c>
      <c r="U1644" s="11">
        <v>9.5000000000000001E-2</v>
      </c>
      <c r="X1644" s="11" t="s">
        <v>3</v>
      </c>
      <c r="Z1644" s="9">
        <v>0</v>
      </c>
      <c r="AF1644" s="11">
        <v>1</v>
      </c>
      <c r="AI1644" s="11">
        <v>1</v>
      </c>
    </row>
    <row r="1645" spans="1:35" x14ac:dyDescent="0.25">
      <c r="A1645" s="161" t="str">
        <f t="shared" si="30"/>
        <v>SWORDSMAN_NORTHAF</v>
      </c>
      <c r="B1645" s="9" t="s">
        <v>104</v>
      </c>
      <c r="C1645" s="4" t="s">
        <v>2011</v>
      </c>
      <c r="E1645" s="4" t="s">
        <v>104</v>
      </c>
      <c r="F1645" s="4" t="s">
        <v>104</v>
      </c>
      <c r="G1645" s="4" t="s">
        <v>2047</v>
      </c>
      <c r="H1645" s="4" t="s">
        <v>823</v>
      </c>
      <c r="I1645" s="4" t="s">
        <v>1824</v>
      </c>
      <c r="Q1645" s="9">
        <v>1</v>
      </c>
      <c r="R1645" s="11">
        <v>0.15</v>
      </c>
      <c r="T1645" s="11">
        <v>3</v>
      </c>
      <c r="U1645" s="11">
        <v>9.5000000000000001E-2</v>
      </c>
      <c r="X1645" s="11" t="s">
        <v>3</v>
      </c>
      <c r="Z1645" s="9">
        <v>1</v>
      </c>
      <c r="AF1645" s="11">
        <v>1</v>
      </c>
      <c r="AI1645" s="11">
        <v>2</v>
      </c>
    </row>
    <row r="1646" spans="1:35" x14ac:dyDescent="0.25">
      <c r="A1646" s="161" t="str">
        <f t="shared" si="30"/>
        <v>SWORDSMAN_NORTHAF</v>
      </c>
      <c r="B1646" s="9" t="s">
        <v>104</v>
      </c>
      <c r="C1646" s="4" t="s">
        <v>2011</v>
      </c>
      <c r="E1646" s="4" t="s">
        <v>104</v>
      </c>
      <c r="F1646" s="4" t="s">
        <v>104</v>
      </c>
      <c r="G1646" s="4" t="s">
        <v>2049</v>
      </c>
      <c r="H1646" s="4" t="s">
        <v>235</v>
      </c>
      <c r="I1646" s="4" t="s">
        <v>1823</v>
      </c>
      <c r="Q1646" s="9">
        <v>3</v>
      </c>
      <c r="R1646" s="11">
        <v>0.15</v>
      </c>
      <c r="T1646" s="11">
        <v>2</v>
      </c>
      <c r="U1646" s="11">
        <v>9.5000000000000001E-2</v>
      </c>
      <c r="X1646" s="11" t="s">
        <v>3</v>
      </c>
      <c r="Z1646" s="9">
        <v>0</v>
      </c>
      <c r="AF1646" s="11">
        <v>1</v>
      </c>
      <c r="AI1646" s="11">
        <v>1</v>
      </c>
    </row>
    <row r="1647" spans="1:35" x14ac:dyDescent="0.25">
      <c r="A1647" s="161" t="str">
        <f t="shared" si="30"/>
        <v>SWORDSMAN_NORTHAF</v>
      </c>
      <c r="B1647" s="9" t="s">
        <v>104</v>
      </c>
      <c r="C1647" s="4" t="s">
        <v>2011</v>
      </c>
      <c r="E1647" s="4" t="s">
        <v>104</v>
      </c>
      <c r="F1647" s="4" t="s">
        <v>104</v>
      </c>
      <c r="H1647" s="4" t="s">
        <v>822</v>
      </c>
      <c r="I1647" s="4" t="s">
        <v>1824</v>
      </c>
      <c r="Q1647" s="9">
        <v>2</v>
      </c>
      <c r="R1647" s="11">
        <v>0.15</v>
      </c>
      <c r="T1647" s="11">
        <v>3</v>
      </c>
      <c r="U1647" s="11">
        <v>9.5000000000000001E-2</v>
      </c>
      <c r="X1647" s="11" t="s">
        <v>3</v>
      </c>
      <c r="Z1647" s="9">
        <v>0</v>
      </c>
      <c r="AF1647" s="11">
        <v>0</v>
      </c>
      <c r="AI1647" s="11">
        <v>1</v>
      </c>
    </row>
    <row r="1648" spans="1:35" x14ac:dyDescent="0.25">
      <c r="A1648" s="161" t="str">
        <f t="shared" si="30"/>
        <v>SWORDSMAN_NORTHAF</v>
      </c>
      <c r="B1648" s="9" t="s">
        <v>104</v>
      </c>
      <c r="C1648" s="4" t="s">
        <v>2011</v>
      </c>
      <c r="E1648" s="4" t="s">
        <v>104</v>
      </c>
      <c r="F1648" s="4" t="s">
        <v>104</v>
      </c>
      <c r="G1648" s="4" t="s">
        <v>2047</v>
      </c>
      <c r="H1648" s="4" t="s">
        <v>823</v>
      </c>
      <c r="I1648" s="4" t="s">
        <v>1824</v>
      </c>
      <c r="Q1648" s="9">
        <v>2</v>
      </c>
      <c r="R1648" s="11">
        <v>0.15</v>
      </c>
      <c r="T1648" s="11">
        <v>3</v>
      </c>
      <c r="U1648" s="11">
        <v>9.5000000000000001E-2</v>
      </c>
      <c r="X1648" s="11" t="s">
        <v>3</v>
      </c>
      <c r="Z1648" s="9">
        <v>0</v>
      </c>
      <c r="AF1648" s="11">
        <v>0</v>
      </c>
      <c r="AI1648" s="11">
        <v>1</v>
      </c>
    </row>
    <row r="1649" spans="1:35" x14ac:dyDescent="0.25">
      <c r="A1649" s="161" t="str">
        <f t="shared" si="30"/>
        <v>SWORDSMAN_NORTHAF</v>
      </c>
      <c r="B1649" s="9" t="s">
        <v>104</v>
      </c>
      <c r="C1649" s="4" t="s">
        <v>2011</v>
      </c>
      <c r="E1649" s="4" t="s">
        <v>104</v>
      </c>
      <c r="F1649" s="4" t="s">
        <v>104</v>
      </c>
      <c r="G1649" s="4" t="s">
        <v>2049</v>
      </c>
      <c r="H1649" s="4" t="s">
        <v>235</v>
      </c>
      <c r="I1649" s="4" t="s">
        <v>1823</v>
      </c>
      <c r="Q1649" s="9">
        <v>2</v>
      </c>
      <c r="R1649" s="11">
        <v>0.15</v>
      </c>
      <c r="T1649" s="11">
        <v>3</v>
      </c>
      <c r="U1649" s="11">
        <v>9.5000000000000001E-2</v>
      </c>
      <c r="X1649" s="11" t="s">
        <v>3</v>
      </c>
      <c r="Z1649" s="9">
        <v>0</v>
      </c>
      <c r="AF1649" s="11">
        <v>0</v>
      </c>
      <c r="AI1649" s="11">
        <v>1</v>
      </c>
    </row>
    <row r="1650" spans="1:35" x14ac:dyDescent="0.25">
      <c r="A1650" s="161" t="str">
        <f t="shared" si="30"/>
        <v>SWORDSMAN_NORTHEU</v>
      </c>
      <c r="B1650" s="9" t="s">
        <v>104</v>
      </c>
      <c r="C1650" s="4" t="s">
        <v>962</v>
      </c>
      <c r="E1650" s="4" t="s">
        <v>104</v>
      </c>
      <c r="F1650" s="4" t="s">
        <v>104</v>
      </c>
      <c r="G1650" s="14" t="s">
        <v>132</v>
      </c>
      <c r="H1650" s="4" t="s">
        <v>273</v>
      </c>
      <c r="I1650" s="4" t="s">
        <v>102</v>
      </c>
      <c r="Q1650" s="9" t="s">
        <v>1737</v>
      </c>
      <c r="T1650" s="9"/>
      <c r="W1650" s="9"/>
      <c r="Z1650" s="9"/>
      <c r="AF1650" s="9"/>
      <c r="AI1650" s="9"/>
    </row>
    <row r="1651" spans="1:35" x14ac:dyDescent="0.25">
      <c r="A1651" s="161" t="str">
        <f t="shared" si="30"/>
        <v>SWORDSMAN_OCEAN</v>
      </c>
      <c r="B1651" s="9" t="s">
        <v>104</v>
      </c>
      <c r="C1651" s="4" t="s">
        <v>994</v>
      </c>
      <c r="E1651" s="4" t="s">
        <v>104</v>
      </c>
      <c r="F1651" s="4" t="s">
        <v>104</v>
      </c>
      <c r="H1651" s="4" t="s">
        <v>996</v>
      </c>
      <c r="I1651" s="4" t="s">
        <v>1800</v>
      </c>
      <c r="Q1651" s="9" t="s">
        <v>1737</v>
      </c>
      <c r="T1651" s="9"/>
      <c r="W1651" s="9"/>
      <c r="Z1651" s="9"/>
      <c r="AF1651" s="9"/>
      <c r="AI1651" s="9"/>
    </row>
    <row r="1652" spans="1:35" x14ac:dyDescent="0.25">
      <c r="A1652" s="161" t="str">
        <f t="shared" si="30"/>
        <v>SWORDSMAN_POLYNESIA</v>
      </c>
      <c r="B1652" s="9" t="s">
        <v>104</v>
      </c>
      <c r="C1652" s="4" t="s">
        <v>1081</v>
      </c>
      <c r="E1652" s="4" t="s">
        <v>104</v>
      </c>
      <c r="F1652" s="4" t="s">
        <v>104</v>
      </c>
      <c r="H1652" s="4" t="s">
        <v>997</v>
      </c>
      <c r="I1652" s="4" t="s">
        <v>1025</v>
      </c>
      <c r="Q1652" s="9" t="s">
        <v>1737</v>
      </c>
      <c r="T1652" s="9"/>
      <c r="W1652" s="9"/>
      <c r="Z1652" s="9"/>
      <c r="AF1652" s="9"/>
      <c r="AI1652" s="9"/>
    </row>
    <row r="1653" spans="1:35" x14ac:dyDescent="0.25">
      <c r="A1653" s="161" t="str">
        <f t="shared" si="30"/>
        <v>SWORDSMAN_SEASIA</v>
      </c>
      <c r="B1653" s="9" t="s">
        <v>104</v>
      </c>
      <c r="C1653" s="4" t="s">
        <v>696</v>
      </c>
      <c r="D1653" s="4" t="s">
        <v>693</v>
      </c>
      <c r="E1653" s="4" t="s">
        <v>104</v>
      </c>
      <c r="F1653" s="4" t="s">
        <v>104</v>
      </c>
      <c r="Q1653" s="9"/>
      <c r="T1653" s="9"/>
      <c r="W1653" s="9"/>
      <c r="AF1653" s="9"/>
      <c r="AI1653" s="9"/>
    </row>
    <row r="1654" spans="1:35" x14ac:dyDescent="0.25">
      <c r="A1654" s="161" t="str">
        <f t="shared" si="30"/>
        <v>SWORDSMAN_SOUTHAM</v>
      </c>
      <c r="B1654" s="9" t="s">
        <v>104</v>
      </c>
      <c r="C1654" s="4" t="s">
        <v>691</v>
      </c>
      <c r="E1654" s="4" t="s">
        <v>104</v>
      </c>
      <c r="F1654" s="4" t="s">
        <v>104</v>
      </c>
      <c r="H1654" s="4" t="s">
        <v>523</v>
      </c>
      <c r="I1654" s="4" t="s">
        <v>2098</v>
      </c>
      <c r="Q1654" s="9" t="s">
        <v>1737</v>
      </c>
      <c r="T1654" s="9"/>
      <c r="W1654" s="9"/>
      <c r="Z1654" s="9"/>
      <c r="AF1654" s="9"/>
      <c r="AI1654" s="9"/>
    </row>
    <row r="1655" spans="1:35" x14ac:dyDescent="0.25">
      <c r="A1655" s="161" t="str">
        <f t="shared" si="30"/>
        <v>SWORDSMAN_AZTEC</v>
      </c>
      <c r="B1655" s="9" t="s">
        <v>104</v>
      </c>
      <c r="C1655" s="4" t="s">
        <v>702</v>
      </c>
      <c r="E1655" s="4" t="s">
        <v>104</v>
      </c>
      <c r="F1655" s="4" t="s">
        <v>104</v>
      </c>
      <c r="G1655" s="14"/>
      <c r="H1655" s="4" t="s">
        <v>203</v>
      </c>
      <c r="I1655" s="4" t="s">
        <v>2098</v>
      </c>
      <c r="Q1655" s="9" t="s">
        <v>1737</v>
      </c>
      <c r="T1655" s="9"/>
      <c r="W1655" s="9"/>
      <c r="Z1655" s="9"/>
      <c r="AF1655" s="9"/>
      <c r="AI1655" s="9"/>
    </row>
    <row r="1656" spans="1:35" x14ac:dyDescent="0.25">
      <c r="A1656" s="161" t="str">
        <f t="shared" si="30"/>
        <v>SWORDSMAN_INCA</v>
      </c>
      <c r="B1656" s="9" t="s">
        <v>104</v>
      </c>
      <c r="C1656" s="4" t="s">
        <v>719</v>
      </c>
      <c r="E1656" s="4" t="s">
        <v>104</v>
      </c>
      <c r="F1656" s="4" t="s">
        <v>104</v>
      </c>
      <c r="H1656" s="4" t="s">
        <v>429</v>
      </c>
      <c r="I1656" s="4" t="s">
        <v>2098</v>
      </c>
      <c r="Q1656" s="9"/>
      <c r="Z1656" s="9"/>
    </row>
    <row r="1657" spans="1:35" x14ac:dyDescent="0.25">
      <c r="A1657" s="161" t="str">
        <f t="shared" si="30"/>
        <v>SWORDSMAN_MAYA</v>
      </c>
      <c r="B1657" s="9" t="s">
        <v>104</v>
      </c>
      <c r="C1657" s="4" t="s">
        <v>725</v>
      </c>
      <c r="D1657" s="4" t="s">
        <v>691</v>
      </c>
      <c r="E1657" s="4" t="s">
        <v>104</v>
      </c>
      <c r="F1657" s="4" t="s">
        <v>104</v>
      </c>
      <c r="G1657" s="14" t="s">
        <v>132</v>
      </c>
      <c r="Q1657" s="9"/>
      <c r="T1657" s="9"/>
      <c r="W1657" s="9"/>
      <c r="AF1657" s="9"/>
      <c r="AI1657" s="9"/>
    </row>
    <row r="1658" spans="1:35" x14ac:dyDescent="0.25">
      <c r="A1658" s="161" t="str">
        <f>CONCATENATE(E1658,IF(ISBLANK(C1658),"",CONCATENATE("_",C1658)))</f>
        <v>SWORDSMAN_SOUTHAS</v>
      </c>
      <c r="B1658" s="9" t="s">
        <v>104</v>
      </c>
      <c r="C1658" s="4" t="s">
        <v>695</v>
      </c>
      <c r="E1658" s="4" t="s">
        <v>104</v>
      </c>
      <c r="F1658" s="4" t="s">
        <v>104</v>
      </c>
      <c r="H1658" s="4" t="s">
        <v>1803</v>
      </c>
      <c r="I1658" s="4" t="s">
        <v>835</v>
      </c>
      <c r="Q1658" s="9">
        <v>2</v>
      </c>
      <c r="T1658" s="9">
        <v>2</v>
      </c>
      <c r="W1658" s="9"/>
      <c r="Z1658" s="9">
        <v>0</v>
      </c>
      <c r="AF1658" s="9">
        <v>1</v>
      </c>
      <c r="AG1658" s="9"/>
      <c r="AI1658" s="9">
        <v>1</v>
      </c>
    </row>
    <row r="1659" spans="1:35" x14ac:dyDescent="0.25">
      <c r="A1659" s="161" t="str">
        <f t="shared" si="30"/>
        <v>SWORDSMAN_SOUTHAS</v>
      </c>
      <c r="B1659" s="9" t="s">
        <v>104</v>
      </c>
      <c r="C1659" s="4" t="s">
        <v>695</v>
      </c>
      <c r="E1659" s="4" t="s">
        <v>104</v>
      </c>
      <c r="F1659" s="4" t="s">
        <v>104</v>
      </c>
      <c r="G1659" s="4" t="s">
        <v>2047</v>
      </c>
      <c r="H1659" s="4" t="s">
        <v>1804</v>
      </c>
      <c r="I1659" s="4" t="s">
        <v>835</v>
      </c>
      <c r="Q1659" s="9">
        <v>2</v>
      </c>
      <c r="T1659" s="9">
        <v>3</v>
      </c>
      <c r="W1659" s="9"/>
      <c r="Z1659" s="9">
        <v>1</v>
      </c>
      <c r="AF1659" s="9">
        <v>1</v>
      </c>
      <c r="AG1659" s="9"/>
      <c r="AI1659" s="9">
        <v>2</v>
      </c>
    </row>
    <row r="1660" spans="1:35" x14ac:dyDescent="0.25">
      <c r="A1660" s="161" t="str">
        <f>CONCATENATE(E1660,IF(ISBLANK(C1660),"",CONCATENATE("_",C1660)))</f>
        <v>SWORDSMAN_SOUTHAS</v>
      </c>
      <c r="B1660" s="9" t="s">
        <v>104</v>
      </c>
      <c r="C1660" s="4" t="s">
        <v>695</v>
      </c>
      <c r="E1660" s="4" t="s">
        <v>104</v>
      </c>
      <c r="F1660" s="4" t="s">
        <v>104</v>
      </c>
      <c r="G1660" s="4" t="s">
        <v>2049</v>
      </c>
      <c r="H1660" s="4" t="s">
        <v>1805</v>
      </c>
      <c r="I1660" s="4" t="s">
        <v>835</v>
      </c>
      <c r="Q1660" s="9">
        <v>2</v>
      </c>
      <c r="T1660" s="9">
        <v>3</v>
      </c>
      <c r="W1660" s="9"/>
      <c r="Z1660" s="9">
        <v>0</v>
      </c>
      <c r="AF1660" s="9">
        <v>1</v>
      </c>
      <c r="AG1660" s="9"/>
      <c r="AI1660" s="9">
        <v>1</v>
      </c>
    </row>
    <row r="1661" spans="1:35" x14ac:dyDescent="0.25">
      <c r="A1661" s="161" t="str">
        <f>CONCATENATE(E1661,IF(ISBLANK(C1661),"",CONCATENATE("_",C1661)))</f>
        <v>SWORDSMAN_SOUTHAS</v>
      </c>
      <c r="B1661" s="9" t="s">
        <v>104</v>
      </c>
      <c r="C1661" s="4" t="s">
        <v>695</v>
      </c>
      <c r="E1661" s="4" t="s">
        <v>104</v>
      </c>
      <c r="F1661" s="4" t="s">
        <v>104</v>
      </c>
      <c r="G1661" s="4" t="s">
        <v>2048</v>
      </c>
      <c r="H1661" s="4" t="s">
        <v>1806</v>
      </c>
      <c r="I1661" s="4" t="s">
        <v>835</v>
      </c>
      <c r="Q1661" s="9">
        <v>2</v>
      </c>
      <c r="T1661" s="9">
        <v>3</v>
      </c>
      <c r="W1661" s="9"/>
      <c r="Z1661" s="9">
        <v>0</v>
      </c>
      <c r="AF1661" s="9">
        <v>0</v>
      </c>
      <c r="AG1661" s="9"/>
      <c r="AI1661" s="9">
        <v>1</v>
      </c>
    </row>
    <row r="1662" spans="1:35" x14ac:dyDescent="0.25">
      <c r="A1662" s="161" t="str">
        <f t="shared" si="30"/>
        <v>SWORDSMAN_SOUTHAS</v>
      </c>
      <c r="B1662" s="9" t="s">
        <v>104</v>
      </c>
      <c r="C1662" s="4" t="s">
        <v>695</v>
      </c>
      <c r="E1662" s="4" t="s">
        <v>104</v>
      </c>
      <c r="F1662" s="4" t="s">
        <v>104</v>
      </c>
      <c r="G1662" s="4" t="s">
        <v>2058</v>
      </c>
      <c r="H1662" s="4" t="s">
        <v>1807</v>
      </c>
      <c r="I1662" s="4" t="s">
        <v>835</v>
      </c>
      <c r="Q1662" s="9">
        <v>2</v>
      </c>
      <c r="T1662" s="9">
        <v>3</v>
      </c>
      <c r="W1662" s="9"/>
      <c r="Z1662" s="9">
        <v>0</v>
      </c>
      <c r="AF1662" s="9">
        <v>0</v>
      </c>
      <c r="AG1662" s="9"/>
      <c r="AI1662" s="9">
        <v>1</v>
      </c>
    </row>
    <row r="1663" spans="1:35" x14ac:dyDescent="0.25">
      <c r="A1663" s="161" t="str">
        <f>CONCATENATE(E1663,IF(ISBLANK(C1663),"",CONCATENATE("_",C1663)))</f>
        <v>SWORDSMAN_SOUTHAS</v>
      </c>
      <c r="B1663" s="9" t="s">
        <v>104</v>
      </c>
      <c r="C1663" s="4" t="s">
        <v>695</v>
      </c>
      <c r="E1663" s="4" t="s">
        <v>104</v>
      </c>
      <c r="F1663" s="4" t="s">
        <v>104</v>
      </c>
      <c r="G1663" s="4" t="s">
        <v>2059</v>
      </c>
      <c r="H1663" s="4" t="s">
        <v>1808</v>
      </c>
      <c r="I1663" s="4" t="s">
        <v>835</v>
      </c>
      <c r="Q1663" s="9">
        <v>2</v>
      </c>
      <c r="T1663" s="9">
        <v>2</v>
      </c>
      <c r="W1663" s="9"/>
      <c r="Z1663" s="9">
        <v>0</v>
      </c>
      <c r="AF1663" s="9">
        <v>0</v>
      </c>
      <c r="AG1663" s="9"/>
      <c r="AI1663" s="9">
        <v>1</v>
      </c>
    </row>
    <row r="1664" spans="1:35" x14ac:dyDescent="0.25">
      <c r="A1664" s="161" t="str">
        <f t="shared" si="30"/>
        <v>SWORDSMAN_INDIA</v>
      </c>
      <c r="B1664" s="9" t="s">
        <v>104</v>
      </c>
      <c r="C1664" s="4" t="s">
        <v>720</v>
      </c>
      <c r="E1664" s="4" t="s">
        <v>104</v>
      </c>
      <c r="F1664" s="4" t="s">
        <v>104</v>
      </c>
      <c r="H1664" s="4" t="s">
        <v>928</v>
      </c>
      <c r="I1664" s="4" t="s">
        <v>102</v>
      </c>
      <c r="Q1664" s="9">
        <v>1</v>
      </c>
      <c r="T1664" s="11">
        <v>2</v>
      </c>
      <c r="Z1664" s="9">
        <v>1</v>
      </c>
      <c r="AF1664" s="11">
        <v>1</v>
      </c>
      <c r="AG1664" s="9"/>
      <c r="AI1664" s="11">
        <v>1</v>
      </c>
    </row>
    <row r="1665" spans="1:43" x14ac:dyDescent="0.25">
      <c r="A1665" s="161" t="str">
        <f t="shared" si="30"/>
        <v>SWORDSMAN_INDIA</v>
      </c>
      <c r="B1665" s="9" t="s">
        <v>104</v>
      </c>
      <c r="C1665" s="4" t="s">
        <v>720</v>
      </c>
      <c r="E1665" s="4" t="s">
        <v>104</v>
      </c>
      <c r="F1665" s="4" t="s">
        <v>104</v>
      </c>
      <c r="G1665" s="4" t="s">
        <v>2047</v>
      </c>
      <c r="H1665" s="4" t="s">
        <v>444</v>
      </c>
      <c r="I1665" s="4" t="s">
        <v>102</v>
      </c>
      <c r="Q1665" s="9">
        <v>2</v>
      </c>
      <c r="T1665" s="11">
        <v>3</v>
      </c>
      <c r="Z1665" s="9">
        <v>0</v>
      </c>
      <c r="AF1665" s="11">
        <v>1</v>
      </c>
      <c r="AG1665" s="9"/>
      <c r="AI1665" s="11">
        <v>1</v>
      </c>
    </row>
    <row r="1666" spans="1:43" x14ac:dyDescent="0.25">
      <c r="A1666" s="161" t="str">
        <f t="shared" si="30"/>
        <v>SWORDSMAN_INDIA</v>
      </c>
      <c r="B1666" s="9" t="s">
        <v>104</v>
      </c>
      <c r="C1666" s="4" t="s">
        <v>720</v>
      </c>
      <c r="E1666" s="4" t="s">
        <v>104</v>
      </c>
      <c r="F1666" s="4" t="s">
        <v>104</v>
      </c>
      <c r="H1666" s="4" t="s">
        <v>928</v>
      </c>
      <c r="I1666" s="4" t="s">
        <v>102</v>
      </c>
      <c r="Q1666" s="9">
        <v>3</v>
      </c>
      <c r="T1666" s="11">
        <v>3</v>
      </c>
      <c r="Z1666" s="9">
        <v>0</v>
      </c>
      <c r="AF1666" s="11">
        <v>1</v>
      </c>
      <c r="AG1666" s="9"/>
      <c r="AI1666" s="11">
        <v>2</v>
      </c>
    </row>
    <row r="1667" spans="1:43" x14ac:dyDescent="0.25">
      <c r="A1667" s="161" t="str">
        <f t="shared" si="30"/>
        <v>SWORDSMAN_INDIA</v>
      </c>
      <c r="B1667" s="9" t="s">
        <v>104</v>
      </c>
      <c r="C1667" s="4" t="s">
        <v>720</v>
      </c>
      <c r="E1667" s="4" t="s">
        <v>104</v>
      </c>
      <c r="F1667" s="4" t="s">
        <v>104</v>
      </c>
      <c r="G1667" s="4" t="s">
        <v>2047</v>
      </c>
      <c r="H1667" s="4" t="s">
        <v>444</v>
      </c>
      <c r="I1667" s="4" t="s">
        <v>102</v>
      </c>
      <c r="Q1667" s="9">
        <v>2</v>
      </c>
      <c r="T1667" s="11">
        <v>3</v>
      </c>
      <c r="Z1667" s="9">
        <v>0</v>
      </c>
      <c r="AF1667" s="11">
        <v>0</v>
      </c>
      <c r="AI1667" s="11">
        <v>1</v>
      </c>
    </row>
    <row r="1668" spans="1:43" x14ac:dyDescent="0.25">
      <c r="A1668" s="161" t="str">
        <f t="shared" si="30"/>
        <v>SWORDSMAN_INDIA</v>
      </c>
      <c r="B1668" s="9" t="s">
        <v>104</v>
      </c>
      <c r="C1668" s="4" t="s">
        <v>720</v>
      </c>
      <c r="E1668" s="4" t="s">
        <v>104</v>
      </c>
      <c r="F1668" s="4" t="s">
        <v>104</v>
      </c>
      <c r="H1668" s="4" t="s">
        <v>928</v>
      </c>
      <c r="I1668" s="4" t="s">
        <v>102</v>
      </c>
      <c r="Q1668" s="9">
        <v>2</v>
      </c>
      <c r="T1668" s="11">
        <v>3</v>
      </c>
      <c r="Z1668" s="9">
        <v>0</v>
      </c>
      <c r="AF1668" s="11">
        <v>0</v>
      </c>
      <c r="AI1668" s="11">
        <v>1</v>
      </c>
    </row>
    <row r="1669" spans="1:43" x14ac:dyDescent="0.25">
      <c r="A1669" s="161" t="str">
        <f t="shared" si="30"/>
        <v>SWORDSMAN_INDIA</v>
      </c>
      <c r="B1669" s="9" t="s">
        <v>104</v>
      </c>
      <c r="C1669" s="4" t="s">
        <v>720</v>
      </c>
      <c r="E1669" s="4" t="s">
        <v>104</v>
      </c>
      <c r="F1669" s="4" t="s">
        <v>104</v>
      </c>
      <c r="G1669" s="4" t="s">
        <v>2047</v>
      </c>
      <c r="H1669" s="4" t="s">
        <v>444</v>
      </c>
      <c r="I1669" s="4" t="s">
        <v>102</v>
      </c>
      <c r="Q1669" s="9">
        <v>2</v>
      </c>
      <c r="T1669" s="11">
        <v>2</v>
      </c>
      <c r="Z1669" s="9">
        <v>0</v>
      </c>
      <c r="AF1669" s="11">
        <v>0</v>
      </c>
      <c r="AI1669" s="11">
        <v>1</v>
      </c>
    </row>
    <row r="1670" spans="1:43" x14ac:dyDescent="0.25">
      <c r="A1670" s="161" t="str">
        <f t="shared" si="30"/>
        <v>TANK</v>
      </c>
      <c r="B1670" s="9" t="s">
        <v>103</v>
      </c>
      <c r="C1670" s="5"/>
      <c r="D1670" s="5"/>
      <c r="E1670" s="5" t="s">
        <v>103</v>
      </c>
      <c r="F1670" s="5" t="s">
        <v>103</v>
      </c>
      <c r="G1670" s="5"/>
      <c r="H1670" s="5" t="s">
        <v>15</v>
      </c>
      <c r="I1670" s="5" t="s">
        <v>128</v>
      </c>
      <c r="J1670" s="6"/>
      <c r="K1670" s="6"/>
      <c r="L1670" s="13" t="s">
        <v>1709</v>
      </c>
      <c r="M1670" s="8"/>
      <c r="N1670" s="5"/>
      <c r="O1670" s="5"/>
      <c r="P1670" s="5"/>
      <c r="Q1670" s="7">
        <v>3</v>
      </c>
      <c r="R1670" s="6" t="s">
        <v>1695</v>
      </c>
      <c r="S1670" s="13" t="s">
        <v>1623</v>
      </c>
      <c r="T1670" s="6"/>
      <c r="U1670" s="6"/>
      <c r="V1670" s="5"/>
      <c r="W1670" s="6" t="s">
        <v>3</v>
      </c>
      <c r="X1670" s="6" t="s">
        <v>3</v>
      </c>
      <c r="Y1670" s="5"/>
      <c r="Z1670" s="7">
        <v>1</v>
      </c>
      <c r="AA1670" s="6"/>
      <c r="AB1670" s="5"/>
      <c r="AC1670" s="6"/>
      <c r="AD1670" s="6" t="s">
        <v>3</v>
      </c>
      <c r="AE1670" s="5"/>
      <c r="AF1670" s="6"/>
      <c r="AG1670" s="6"/>
      <c r="AH1670" s="5"/>
      <c r="AI1670" s="6"/>
      <c r="AJ1670" s="6"/>
      <c r="AK1670" s="5"/>
      <c r="AL1670" s="5"/>
      <c r="AM1670" s="5"/>
      <c r="AN1670" s="5"/>
      <c r="AO1670" s="5"/>
      <c r="AP1670" s="5"/>
      <c r="AQ1670" s="5"/>
    </row>
    <row r="1671" spans="1:43" x14ac:dyDescent="0.25">
      <c r="A1671" s="161" t="str">
        <f t="shared" si="30"/>
        <v>TANK_AFRI</v>
      </c>
      <c r="B1671" s="9" t="s">
        <v>103</v>
      </c>
      <c r="C1671" s="4" t="s">
        <v>694</v>
      </c>
      <c r="D1671" s="4" t="s">
        <v>690</v>
      </c>
      <c r="E1671" s="4" t="s">
        <v>103</v>
      </c>
      <c r="F1671" s="4" t="s">
        <v>103</v>
      </c>
      <c r="Q1671" s="9"/>
      <c r="T1671" s="9"/>
      <c r="W1671" s="9"/>
      <c r="AF1671" s="9"/>
      <c r="AI1671" s="9"/>
    </row>
    <row r="1672" spans="1:43" x14ac:dyDescent="0.25">
      <c r="A1672" s="161" t="str">
        <f t="shared" si="30"/>
        <v>TANK_ZULU</v>
      </c>
      <c r="B1672" s="9" t="s">
        <v>103</v>
      </c>
      <c r="C1672" s="4" t="s">
        <v>742</v>
      </c>
      <c r="D1672" s="4" t="s">
        <v>713</v>
      </c>
      <c r="E1672" s="4" t="s">
        <v>103</v>
      </c>
      <c r="F1672" s="4" t="s">
        <v>103</v>
      </c>
      <c r="Q1672" s="9"/>
      <c r="T1672" s="9"/>
      <c r="W1672" s="9"/>
      <c r="AF1672" s="9"/>
      <c r="AI1672" s="9"/>
    </row>
    <row r="1673" spans="1:43" x14ac:dyDescent="0.25">
      <c r="A1673" s="161" t="str">
        <f t="shared" si="30"/>
        <v>TANK_AMER</v>
      </c>
      <c r="B1673" s="9" t="s">
        <v>103</v>
      </c>
      <c r="C1673" s="4" t="s">
        <v>697</v>
      </c>
      <c r="D1673" s="4" t="s">
        <v>699</v>
      </c>
      <c r="E1673" s="4" t="s">
        <v>103</v>
      </c>
      <c r="F1673" s="4" t="s">
        <v>103</v>
      </c>
      <c r="Q1673" s="9"/>
      <c r="T1673" s="9"/>
      <c r="W1673" s="9"/>
      <c r="AF1673" s="9"/>
      <c r="AI1673" s="9"/>
    </row>
    <row r="1674" spans="1:43" x14ac:dyDescent="0.25">
      <c r="A1674" s="161" t="str">
        <f t="shared" si="30"/>
        <v>TANK_IROQUOIS</v>
      </c>
      <c r="B1674" s="9" t="s">
        <v>103</v>
      </c>
      <c r="C1674" s="4" t="s">
        <v>721</v>
      </c>
      <c r="D1674" s="4" t="s">
        <v>2209</v>
      </c>
      <c r="E1674" s="4" t="s">
        <v>103</v>
      </c>
      <c r="F1674" s="4" t="s">
        <v>103</v>
      </c>
    </row>
    <row r="1675" spans="1:43" x14ac:dyDescent="0.25">
      <c r="A1675" s="161" t="str">
        <f t="shared" si="30"/>
        <v>TANK_ASIA</v>
      </c>
      <c r="B1675" s="9" t="s">
        <v>103</v>
      </c>
      <c r="C1675" s="4" t="s">
        <v>693</v>
      </c>
      <c r="E1675" s="4" t="s">
        <v>103</v>
      </c>
      <c r="F1675" s="4" t="s">
        <v>103</v>
      </c>
      <c r="H1675" s="4" t="s">
        <v>260</v>
      </c>
      <c r="I1675" s="4" t="s">
        <v>102</v>
      </c>
      <c r="R1675" s="11">
        <v>0.115</v>
      </c>
    </row>
    <row r="1676" spans="1:43" x14ac:dyDescent="0.25">
      <c r="A1676" s="161" t="str">
        <f t="shared" si="30"/>
        <v>TANK_CHINA</v>
      </c>
      <c r="B1676" s="9" t="s">
        <v>103</v>
      </c>
      <c r="C1676" s="4" t="s">
        <v>710</v>
      </c>
      <c r="D1676" s="4" t="s">
        <v>693</v>
      </c>
      <c r="E1676" s="4" t="s">
        <v>103</v>
      </c>
      <c r="F1676" s="4" t="s">
        <v>103</v>
      </c>
      <c r="G1676" s="14" t="s">
        <v>132</v>
      </c>
    </row>
    <row r="1677" spans="1:43" x14ac:dyDescent="0.25">
      <c r="A1677" s="161" t="str">
        <f t="shared" si="30"/>
        <v>TANK_JAPAN</v>
      </c>
      <c r="B1677" s="9" t="s">
        <v>103</v>
      </c>
      <c r="C1677" s="4" t="s">
        <v>722</v>
      </c>
      <c r="E1677" s="4" t="s">
        <v>103</v>
      </c>
      <c r="F1677" s="4" t="s">
        <v>103</v>
      </c>
      <c r="G1677" s="14" t="s">
        <v>132</v>
      </c>
      <c r="H1677" s="4" t="s">
        <v>492</v>
      </c>
      <c r="I1677" s="4" t="s">
        <v>102</v>
      </c>
      <c r="R1677" s="11">
        <v>0.112</v>
      </c>
    </row>
    <row r="1678" spans="1:43" x14ac:dyDescent="0.25">
      <c r="A1678" s="161" t="str">
        <f t="shared" si="30"/>
        <v>TANK_KOREA</v>
      </c>
      <c r="B1678" s="9" t="s">
        <v>103</v>
      </c>
      <c r="C1678" s="4" t="s">
        <v>723</v>
      </c>
      <c r="D1678" s="4" t="s">
        <v>722</v>
      </c>
      <c r="E1678" s="4" t="s">
        <v>103</v>
      </c>
      <c r="F1678" s="4" t="s">
        <v>103</v>
      </c>
      <c r="G1678" s="14"/>
    </row>
    <row r="1679" spans="1:43" x14ac:dyDescent="0.25">
      <c r="A1679" s="161" t="str">
        <f t="shared" si="30"/>
        <v>TANK_HUNS</v>
      </c>
      <c r="B1679" s="9" t="s">
        <v>103</v>
      </c>
      <c r="C1679" s="4" t="s">
        <v>904</v>
      </c>
      <c r="E1679" s="4" t="s">
        <v>103</v>
      </c>
      <c r="F1679" s="4" t="s">
        <v>103</v>
      </c>
      <c r="H1679" s="4" t="s">
        <v>914</v>
      </c>
      <c r="I1679" s="4" t="s">
        <v>102</v>
      </c>
    </row>
    <row r="1680" spans="1:43" x14ac:dyDescent="0.25">
      <c r="A1680" s="161" t="str">
        <f t="shared" si="30"/>
        <v>TANK_EASTEU</v>
      </c>
      <c r="B1680" s="9" t="s">
        <v>103</v>
      </c>
      <c r="C1680" s="4" t="s">
        <v>698</v>
      </c>
      <c r="E1680" s="4" t="s">
        <v>103</v>
      </c>
      <c r="F1680" s="4" t="s">
        <v>103</v>
      </c>
      <c r="H1680" s="4" t="s">
        <v>628</v>
      </c>
      <c r="I1680" s="4" t="s">
        <v>131</v>
      </c>
      <c r="R1680" s="11">
        <v>0.113</v>
      </c>
    </row>
    <row r="1681" spans="1:18" x14ac:dyDescent="0.25">
      <c r="A1681" s="161" t="str">
        <f t="shared" si="30"/>
        <v>TANK_POLAND</v>
      </c>
      <c r="B1681" s="9" t="s">
        <v>103</v>
      </c>
      <c r="C1681" s="4" t="s">
        <v>732</v>
      </c>
      <c r="E1681" s="4" t="s">
        <v>103</v>
      </c>
      <c r="F1681" s="4" t="s">
        <v>103</v>
      </c>
      <c r="G1681" s="14" t="s">
        <v>132</v>
      </c>
      <c r="H1681" s="4" t="s">
        <v>575</v>
      </c>
      <c r="I1681" s="4" t="s">
        <v>1935</v>
      </c>
    </row>
    <row r="1682" spans="1:18" x14ac:dyDescent="0.25">
      <c r="A1682" s="161" t="str">
        <f t="shared" si="30"/>
        <v>TANK_RUSSIA</v>
      </c>
      <c r="B1682" s="9" t="s">
        <v>103</v>
      </c>
      <c r="C1682" s="4" t="s">
        <v>735</v>
      </c>
      <c r="D1682" s="4" t="s">
        <v>698</v>
      </c>
      <c r="E1682" s="4" t="s">
        <v>103</v>
      </c>
      <c r="F1682" s="4" t="s">
        <v>103</v>
      </c>
      <c r="G1682" s="14" t="s">
        <v>132</v>
      </c>
    </row>
    <row r="1683" spans="1:18" x14ac:dyDescent="0.25">
      <c r="A1683" s="161" t="str">
        <f t="shared" si="30"/>
        <v>TANK_AMERICA</v>
      </c>
      <c r="B1683" s="9" t="s">
        <v>103</v>
      </c>
      <c r="C1683" s="4" t="s">
        <v>699</v>
      </c>
      <c r="E1683" s="4" t="s">
        <v>103</v>
      </c>
      <c r="F1683" s="4" t="s">
        <v>103</v>
      </c>
      <c r="G1683" s="14"/>
      <c r="H1683" s="4" t="s">
        <v>153</v>
      </c>
      <c r="I1683" s="4" t="s">
        <v>131</v>
      </c>
      <c r="R1683" s="11">
        <v>0.115</v>
      </c>
    </row>
    <row r="1684" spans="1:18" x14ac:dyDescent="0.25">
      <c r="A1684" s="161" t="str">
        <f t="shared" si="30"/>
        <v>TANK_AUSTRALIA</v>
      </c>
      <c r="B1684" s="9" t="s">
        <v>103</v>
      </c>
      <c r="C1684" s="4" t="s">
        <v>1302</v>
      </c>
      <c r="D1684" s="4" t="s">
        <v>713</v>
      </c>
      <c r="E1684" s="4" t="s">
        <v>103</v>
      </c>
      <c r="F1684" s="4" t="s">
        <v>103</v>
      </c>
      <c r="G1684" s="14"/>
    </row>
    <row r="1685" spans="1:18" x14ac:dyDescent="0.25">
      <c r="A1685" s="161" t="str">
        <f t="shared" si="30"/>
        <v>TANK_AUSTRIA</v>
      </c>
      <c r="B1685" s="9" t="s">
        <v>103</v>
      </c>
      <c r="C1685" s="4" t="s">
        <v>701</v>
      </c>
      <c r="E1685" s="4" t="s">
        <v>103</v>
      </c>
      <c r="F1685" s="4" t="s">
        <v>103</v>
      </c>
      <c r="G1685" s="14"/>
      <c r="H1685" s="4" t="s">
        <v>187</v>
      </c>
      <c r="I1685" s="4" t="s">
        <v>102</v>
      </c>
    </row>
    <row r="1686" spans="1:18" x14ac:dyDescent="0.25">
      <c r="A1686" s="161" t="str">
        <f t="shared" si="30"/>
        <v>TANK_CANADA</v>
      </c>
      <c r="B1686" s="9" t="s">
        <v>103</v>
      </c>
      <c r="C1686" s="4" t="s">
        <v>2209</v>
      </c>
      <c r="E1686" s="4" t="s">
        <v>103</v>
      </c>
      <c r="F1686" s="4" t="s">
        <v>103</v>
      </c>
      <c r="G1686" s="14"/>
      <c r="H1686" s="4" t="s">
        <v>2210</v>
      </c>
      <c r="I1686" s="4" t="s">
        <v>102</v>
      </c>
    </row>
    <row r="1687" spans="1:18" x14ac:dyDescent="0.25">
      <c r="A1687" s="161" t="str">
        <f t="shared" si="30"/>
        <v>TANK_CELTS</v>
      </c>
      <c r="B1687" s="9" t="s">
        <v>103</v>
      </c>
      <c r="C1687" s="4" t="s">
        <v>709</v>
      </c>
      <c r="D1687" s="4" t="s">
        <v>713</v>
      </c>
      <c r="E1687" s="4" t="s">
        <v>103</v>
      </c>
      <c r="F1687" s="4" t="s">
        <v>103</v>
      </c>
      <c r="G1687" s="14"/>
    </row>
    <row r="1688" spans="1:18" x14ac:dyDescent="0.25">
      <c r="A1688" s="161" t="str">
        <f t="shared" si="30"/>
        <v>TANK_ENGLAND</v>
      </c>
      <c r="B1688" s="9" t="s">
        <v>103</v>
      </c>
      <c r="C1688" s="4" t="s">
        <v>713</v>
      </c>
      <c r="E1688" s="4" t="s">
        <v>103</v>
      </c>
      <c r="F1688" s="4" t="s">
        <v>103</v>
      </c>
      <c r="G1688" s="14" t="s">
        <v>132</v>
      </c>
      <c r="H1688" s="4" t="s">
        <v>314</v>
      </c>
      <c r="I1688" s="4" t="s">
        <v>1049</v>
      </c>
      <c r="R1688" s="11">
        <v>0.113</v>
      </c>
    </row>
    <row r="1689" spans="1:18" x14ac:dyDescent="0.25">
      <c r="A1689" s="161" t="str">
        <f t="shared" si="30"/>
        <v>TANK_FRANCE</v>
      </c>
      <c r="B1689" s="9" t="s">
        <v>103</v>
      </c>
      <c r="C1689" s="4" t="s">
        <v>715</v>
      </c>
      <c r="E1689" s="4" t="s">
        <v>103</v>
      </c>
      <c r="F1689" s="4" t="s">
        <v>103</v>
      </c>
      <c r="G1689" s="14" t="s">
        <v>132</v>
      </c>
      <c r="H1689" s="4" t="s">
        <v>359</v>
      </c>
      <c r="I1689" s="4" t="s">
        <v>102</v>
      </c>
      <c r="R1689" s="11">
        <v>0.113</v>
      </c>
    </row>
    <row r="1690" spans="1:18" x14ac:dyDescent="0.25">
      <c r="A1690" s="161" t="str">
        <f t="shared" si="30"/>
        <v>TANK_GERMANY</v>
      </c>
      <c r="B1690" s="9" t="s">
        <v>103</v>
      </c>
      <c r="C1690" s="4" t="s">
        <v>717</v>
      </c>
      <c r="E1690" s="4" t="s">
        <v>103</v>
      </c>
      <c r="F1690" s="4" t="s">
        <v>103</v>
      </c>
      <c r="G1690" s="14" t="s">
        <v>132</v>
      </c>
      <c r="H1690" s="4" t="s">
        <v>392</v>
      </c>
      <c r="I1690" s="4" t="s">
        <v>102</v>
      </c>
    </row>
    <row r="1691" spans="1:18" x14ac:dyDescent="0.25">
      <c r="A1691" s="161" t="str">
        <f t="shared" si="30"/>
        <v>TANK_MIDEAST</v>
      </c>
      <c r="B1691" s="9" t="s">
        <v>103</v>
      </c>
      <c r="C1691" s="4" t="s">
        <v>690</v>
      </c>
      <c r="E1691" s="4" t="s">
        <v>103</v>
      </c>
      <c r="F1691" s="4" t="s">
        <v>103</v>
      </c>
      <c r="G1691" s="14"/>
      <c r="H1691" s="4" t="s">
        <v>204</v>
      </c>
      <c r="I1691" s="4" t="s">
        <v>102</v>
      </c>
      <c r="R1691" s="11">
        <v>0.113</v>
      </c>
    </row>
    <row r="1692" spans="1:18" x14ac:dyDescent="0.25">
      <c r="A1692" s="161" t="str">
        <f t="shared" si="30"/>
        <v>TANK_NETHERLANDS</v>
      </c>
      <c r="B1692" s="9" t="s">
        <v>103</v>
      </c>
      <c r="C1692" s="4" t="s">
        <v>730</v>
      </c>
      <c r="E1692" s="4" t="s">
        <v>103</v>
      </c>
      <c r="F1692" s="4" t="s">
        <v>103</v>
      </c>
      <c r="G1692" s="14" t="s">
        <v>132</v>
      </c>
      <c r="H1692" s="4" t="s">
        <v>550</v>
      </c>
      <c r="I1692" s="4" t="s">
        <v>102</v>
      </c>
    </row>
    <row r="1693" spans="1:18" x14ac:dyDescent="0.25">
      <c r="A1693" s="161" t="str">
        <f t="shared" si="30"/>
        <v>TANK_ROME</v>
      </c>
      <c r="B1693" s="9" t="s">
        <v>103</v>
      </c>
      <c r="C1693" s="4" t="s">
        <v>734</v>
      </c>
      <c r="E1693" s="4" t="s">
        <v>103</v>
      </c>
      <c r="F1693" s="4" t="s">
        <v>103</v>
      </c>
      <c r="G1693" s="14" t="s">
        <v>132</v>
      </c>
      <c r="H1693" s="4" t="s">
        <v>127</v>
      </c>
      <c r="I1693" s="4" t="s">
        <v>1070</v>
      </c>
    </row>
    <row r="1694" spans="1:18" x14ac:dyDescent="0.25">
      <c r="A1694" s="161" t="str">
        <f t="shared" si="30"/>
        <v>TANK_SPAIN</v>
      </c>
      <c r="B1694" s="9" t="s">
        <v>103</v>
      </c>
      <c r="C1694" s="4" t="s">
        <v>738</v>
      </c>
      <c r="E1694" s="4" t="s">
        <v>103</v>
      </c>
      <c r="F1694" s="4" t="s">
        <v>103</v>
      </c>
      <c r="G1694" s="14" t="s">
        <v>132</v>
      </c>
      <c r="H1694" s="4" t="s">
        <v>664</v>
      </c>
      <c r="I1694" s="4" t="s">
        <v>102</v>
      </c>
    </row>
    <row r="1695" spans="1:18" x14ac:dyDescent="0.25">
      <c r="A1695" s="161" t="str">
        <f t="shared" si="30"/>
        <v>TANK_NORTHAF</v>
      </c>
      <c r="B1695" s="9" t="s">
        <v>103</v>
      </c>
      <c r="C1695" s="4" t="s">
        <v>2011</v>
      </c>
      <c r="D1695" s="4" t="s">
        <v>715</v>
      </c>
      <c r="E1695" s="4" t="s">
        <v>103</v>
      </c>
      <c r="F1695" s="4" t="s">
        <v>103</v>
      </c>
      <c r="G1695" s="14"/>
    </row>
    <row r="1696" spans="1:18" x14ac:dyDescent="0.25">
      <c r="A1696" s="161" t="str">
        <f t="shared" si="30"/>
        <v>TANK_SWEDEN</v>
      </c>
      <c r="B1696" s="9" t="s">
        <v>103</v>
      </c>
      <c r="C1696" s="4" t="s">
        <v>739</v>
      </c>
      <c r="E1696" s="4" t="s">
        <v>103</v>
      </c>
      <c r="F1696" s="4" t="s">
        <v>103</v>
      </c>
      <c r="G1696" s="14" t="s">
        <v>132</v>
      </c>
      <c r="H1696" s="4" t="s">
        <v>676</v>
      </c>
      <c r="I1696" s="4" t="s">
        <v>102</v>
      </c>
    </row>
    <row r="1697" spans="1:43" x14ac:dyDescent="0.25">
      <c r="A1697" s="161" t="str">
        <f t="shared" si="30"/>
        <v>TANK_OCEAN</v>
      </c>
      <c r="B1697" s="9" t="s">
        <v>103</v>
      </c>
      <c r="C1697" s="4" t="s">
        <v>994</v>
      </c>
      <c r="D1697" s="4" t="s">
        <v>690</v>
      </c>
      <c r="E1697" s="4" t="s">
        <v>103</v>
      </c>
      <c r="F1697" s="4" t="s">
        <v>103</v>
      </c>
    </row>
    <row r="1698" spans="1:43" x14ac:dyDescent="0.25">
      <c r="A1698" s="161" t="str">
        <f t="shared" si="30"/>
        <v>TANK_SAHUL</v>
      </c>
      <c r="B1698" s="9" t="s">
        <v>103</v>
      </c>
      <c r="C1698" s="4" t="s">
        <v>1788</v>
      </c>
      <c r="D1698" s="4" t="s">
        <v>730</v>
      </c>
      <c r="E1698" s="4" t="s">
        <v>103</v>
      </c>
      <c r="F1698" s="4" t="s">
        <v>103</v>
      </c>
    </row>
    <row r="1699" spans="1:43" x14ac:dyDescent="0.25">
      <c r="A1699" s="161" t="str">
        <f t="shared" si="30"/>
        <v>TANK_SEASIA</v>
      </c>
      <c r="B1699" s="9" t="s">
        <v>103</v>
      </c>
      <c r="C1699" s="4" t="s">
        <v>696</v>
      </c>
      <c r="D1699" s="4" t="s">
        <v>715</v>
      </c>
      <c r="E1699" s="4" t="s">
        <v>103</v>
      </c>
      <c r="F1699" s="4" t="s">
        <v>103</v>
      </c>
    </row>
    <row r="1700" spans="1:43" x14ac:dyDescent="0.25">
      <c r="A1700" s="161" t="str">
        <f t="shared" si="30"/>
        <v>TANK_SOUTHAM</v>
      </c>
      <c r="B1700" s="9" t="s">
        <v>103</v>
      </c>
      <c r="C1700" s="4" t="s">
        <v>691</v>
      </c>
      <c r="D1700" s="4" t="s">
        <v>690</v>
      </c>
      <c r="E1700" s="4" t="s">
        <v>103</v>
      </c>
      <c r="F1700" s="4" t="s">
        <v>103</v>
      </c>
    </row>
    <row r="1701" spans="1:43" x14ac:dyDescent="0.25">
      <c r="A1701" s="161" t="str">
        <f t="shared" si="30"/>
        <v>TANK_SOUTHAS</v>
      </c>
      <c r="B1701" s="9" t="s">
        <v>103</v>
      </c>
      <c r="C1701" s="4" t="s">
        <v>695</v>
      </c>
      <c r="D1701" s="4" t="s">
        <v>713</v>
      </c>
      <c r="E1701" s="4" t="s">
        <v>103</v>
      </c>
      <c r="F1701" s="4" t="s">
        <v>103</v>
      </c>
    </row>
    <row r="1702" spans="1:43" x14ac:dyDescent="0.25">
      <c r="A1702" s="161" t="str">
        <f t="shared" si="30"/>
        <v>TRANSPORT</v>
      </c>
      <c r="C1702" s="5"/>
      <c r="D1702" s="5"/>
      <c r="E1702" s="5" t="s">
        <v>775</v>
      </c>
      <c r="F1702" s="5" t="s">
        <v>775</v>
      </c>
      <c r="G1702" s="5"/>
      <c r="H1702" s="5" t="s">
        <v>1120</v>
      </c>
      <c r="I1702" s="5" t="s">
        <v>128</v>
      </c>
      <c r="J1702" s="6"/>
      <c r="K1702" s="7"/>
      <c r="L1702" s="13" t="s">
        <v>1713</v>
      </c>
      <c r="M1702" s="8"/>
      <c r="N1702" s="13" t="s">
        <v>1727</v>
      </c>
      <c r="O1702" s="13"/>
      <c r="P1702" s="13"/>
      <c r="Q1702" s="7">
        <v>2</v>
      </c>
      <c r="R1702" s="6">
        <v>0.11</v>
      </c>
      <c r="S1702" s="13" t="s">
        <v>1613</v>
      </c>
      <c r="T1702" s="7">
        <v>3</v>
      </c>
      <c r="U1702" s="6">
        <v>6.5000000000000002E-2</v>
      </c>
      <c r="V1702" s="5" t="s">
        <v>1696</v>
      </c>
      <c r="W1702" s="6"/>
      <c r="X1702" s="6"/>
      <c r="Y1702" s="5"/>
      <c r="Z1702" s="7">
        <v>1</v>
      </c>
      <c r="AA1702" s="6"/>
      <c r="AB1702" s="5"/>
      <c r="AC1702" s="6"/>
      <c r="AD1702" s="6"/>
      <c r="AE1702" s="5"/>
      <c r="AF1702" s="6"/>
      <c r="AG1702" s="6"/>
      <c r="AH1702" s="5"/>
      <c r="AI1702" s="6"/>
      <c r="AJ1702" s="6"/>
      <c r="AK1702" s="5"/>
      <c r="AL1702" s="5"/>
      <c r="AM1702" s="5"/>
      <c r="AN1702" s="5"/>
      <c r="AO1702" s="5"/>
      <c r="AP1702" s="5"/>
      <c r="AQ1702" s="5"/>
    </row>
    <row r="1703" spans="1:43" x14ac:dyDescent="0.25">
      <c r="A1703" s="161" t="str">
        <f t="shared" si="30"/>
        <v>TREBUCHET</v>
      </c>
      <c r="B1703" s="9" t="s">
        <v>776</v>
      </c>
      <c r="C1703" s="5"/>
      <c r="D1703" s="5"/>
      <c r="E1703" s="5" t="s">
        <v>776</v>
      </c>
      <c r="F1703" s="5" t="s">
        <v>776</v>
      </c>
      <c r="G1703" s="5"/>
      <c r="H1703" s="5" t="s">
        <v>14</v>
      </c>
      <c r="I1703" s="5" t="s">
        <v>128</v>
      </c>
      <c r="J1703" s="6"/>
      <c r="K1703" s="6"/>
      <c r="L1703" s="13" t="s">
        <v>746</v>
      </c>
      <c r="M1703" s="8"/>
      <c r="N1703" s="5"/>
      <c r="O1703" s="5"/>
      <c r="P1703" s="5"/>
      <c r="Q1703" s="7">
        <v>2</v>
      </c>
      <c r="R1703" s="6" t="s">
        <v>1695</v>
      </c>
      <c r="S1703" s="13" t="s">
        <v>1613</v>
      </c>
      <c r="T1703" s="7">
        <v>3</v>
      </c>
      <c r="U1703" s="7" t="s">
        <v>1737</v>
      </c>
      <c r="V1703" s="5" t="s">
        <v>688</v>
      </c>
      <c r="W1703" s="6">
        <v>7</v>
      </c>
      <c r="X1703" s="6" t="s">
        <v>3</v>
      </c>
      <c r="Y1703" s="5"/>
      <c r="Z1703" s="7">
        <v>1</v>
      </c>
      <c r="AA1703" s="6"/>
      <c r="AB1703" s="5"/>
      <c r="AC1703" s="6"/>
      <c r="AD1703" s="6" t="s">
        <v>3</v>
      </c>
      <c r="AE1703" s="5"/>
      <c r="AF1703" s="6"/>
      <c r="AG1703" s="6"/>
      <c r="AH1703" s="5"/>
      <c r="AI1703" s="6"/>
      <c r="AJ1703" s="6"/>
      <c r="AK1703" s="5"/>
      <c r="AL1703" s="5"/>
      <c r="AM1703" s="5"/>
      <c r="AN1703" s="5"/>
      <c r="AO1703" s="5"/>
      <c r="AP1703" s="5"/>
      <c r="AQ1703" s="5"/>
    </row>
    <row r="1704" spans="1:43" x14ac:dyDescent="0.25">
      <c r="A1704" s="161" t="str">
        <f t="shared" si="30"/>
        <v>TRIREME</v>
      </c>
      <c r="B1704" s="9" t="s">
        <v>777</v>
      </c>
      <c r="C1704" s="5"/>
      <c r="D1704" s="5"/>
      <c r="E1704" s="5" t="s">
        <v>777</v>
      </c>
      <c r="F1704" s="5" t="s">
        <v>777</v>
      </c>
      <c r="G1704" s="5"/>
      <c r="H1704" s="5" t="s">
        <v>13</v>
      </c>
      <c r="I1704" s="5" t="s">
        <v>128</v>
      </c>
      <c r="J1704" s="6"/>
      <c r="K1704" s="7"/>
      <c r="L1704" s="13" t="s">
        <v>1712</v>
      </c>
      <c r="M1704" s="8"/>
      <c r="N1704" s="13" t="s">
        <v>1727</v>
      </c>
      <c r="O1704" s="13"/>
      <c r="P1704" s="13"/>
      <c r="Q1704" s="7">
        <v>1</v>
      </c>
      <c r="R1704" s="6">
        <v>7.0000000000000007E-2</v>
      </c>
      <c r="S1704" s="5"/>
      <c r="T1704" s="7">
        <v>2</v>
      </c>
      <c r="U1704" s="6">
        <v>5.3999999999999999E-2</v>
      </c>
      <c r="V1704" s="5" t="s">
        <v>1696</v>
      </c>
      <c r="W1704" s="6"/>
      <c r="X1704" s="6"/>
      <c r="Y1704" s="5"/>
      <c r="Z1704" s="6"/>
      <c r="AA1704" s="6"/>
      <c r="AB1704" s="5"/>
      <c r="AC1704" s="6"/>
      <c r="AD1704" s="6"/>
      <c r="AE1704" s="5"/>
      <c r="AF1704" s="6"/>
      <c r="AG1704" s="6"/>
      <c r="AH1704" s="5"/>
      <c r="AI1704" s="6"/>
      <c r="AJ1704" s="6"/>
      <c r="AK1704" s="5"/>
      <c r="AL1704" s="5"/>
      <c r="AM1704" s="5"/>
      <c r="AN1704" s="5"/>
      <c r="AO1704" s="5"/>
      <c r="AP1704" s="5"/>
      <c r="AQ1704" s="5"/>
    </row>
    <row r="1705" spans="1:43" x14ac:dyDescent="0.25">
      <c r="A1705" s="161" t="str">
        <f t="shared" si="30"/>
        <v>TRIREME_NORTHEU</v>
      </c>
      <c r="B1705" s="9" t="s">
        <v>777</v>
      </c>
      <c r="C1705" s="5" t="s">
        <v>962</v>
      </c>
      <c r="D1705" s="5"/>
      <c r="E1705" s="5" t="s">
        <v>777</v>
      </c>
      <c r="F1705" s="5" t="s">
        <v>777</v>
      </c>
      <c r="G1705" s="5"/>
      <c r="H1705" s="5" t="s">
        <v>1949</v>
      </c>
      <c r="I1705" s="5" t="s">
        <v>1950</v>
      </c>
      <c r="J1705" s="6"/>
      <c r="K1705" s="7"/>
      <c r="L1705" s="13"/>
      <c r="M1705" s="8"/>
      <c r="N1705" s="13"/>
      <c r="O1705" s="13"/>
      <c r="P1705" s="13"/>
      <c r="Q1705" s="7"/>
      <c r="R1705" s="6">
        <v>0.08</v>
      </c>
      <c r="S1705" s="5"/>
      <c r="T1705" s="7"/>
      <c r="U1705" s="6"/>
      <c r="V1705" s="5"/>
      <c r="W1705" s="6"/>
      <c r="X1705" s="6"/>
      <c r="Y1705" s="5"/>
      <c r="Z1705" s="6"/>
      <c r="AA1705" s="6"/>
      <c r="AB1705" s="5"/>
      <c r="AC1705" s="6"/>
      <c r="AD1705" s="6"/>
      <c r="AE1705" s="5"/>
      <c r="AF1705" s="6"/>
      <c r="AG1705" s="6"/>
      <c r="AH1705" s="5"/>
      <c r="AI1705" s="6"/>
      <c r="AJ1705" s="6"/>
      <c r="AK1705" s="5"/>
      <c r="AL1705" s="5"/>
      <c r="AM1705" s="5"/>
      <c r="AN1705" s="5"/>
      <c r="AO1705" s="5"/>
      <c r="AP1705" s="5"/>
      <c r="AQ1705" s="5"/>
    </row>
    <row r="1706" spans="1:43" x14ac:dyDescent="0.25">
      <c r="A1706" s="161" t="str">
        <f t="shared" ref="A1706:A1770" si="31">CONCATENATE(E1706,IF(ISBLANK(C1706),"",CONCATENATE("_",C1706)))</f>
        <v>U_AMERICAN_B17</v>
      </c>
      <c r="B1706" s="9" t="s">
        <v>2325</v>
      </c>
      <c r="C1706" s="5"/>
      <c r="D1706" s="5"/>
      <c r="E1706" s="5" t="s">
        <v>1544</v>
      </c>
      <c r="F1706" s="5" t="s">
        <v>1544</v>
      </c>
      <c r="G1706" s="5"/>
      <c r="H1706" s="5" t="s">
        <v>1670</v>
      </c>
      <c r="I1706" s="5" t="s">
        <v>128</v>
      </c>
      <c r="J1706" s="6"/>
      <c r="K1706" s="7"/>
      <c r="L1706" s="13" t="s">
        <v>1711</v>
      </c>
      <c r="M1706" s="8">
        <v>1.7</v>
      </c>
      <c r="N1706" s="13" t="s">
        <v>1725</v>
      </c>
      <c r="O1706" s="13"/>
      <c r="P1706" s="13"/>
      <c r="Q1706" s="7">
        <v>1</v>
      </c>
      <c r="R1706" s="6">
        <v>0.08</v>
      </c>
      <c r="S1706" s="13" t="s">
        <v>1615</v>
      </c>
      <c r="T1706" s="7">
        <v>3</v>
      </c>
      <c r="U1706" s="6">
        <v>0.1</v>
      </c>
      <c r="V1706" s="5"/>
      <c r="W1706" s="6" t="s">
        <v>3</v>
      </c>
      <c r="X1706" s="6" t="s">
        <v>3</v>
      </c>
      <c r="Y1706" s="5"/>
      <c r="Z1706" s="6"/>
      <c r="AA1706" s="6"/>
      <c r="AB1706" s="5"/>
      <c r="AC1706" s="6"/>
      <c r="AD1706" s="6" t="s">
        <v>3</v>
      </c>
      <c r="AE1706" s="5"/>
      <c r="AF1706" s="6"/>
      <c r="AG1706" s="6"/>
      <c r="AH1706" s="5"/>
      <c r="AI1706" s="6"/>
      <c r="AJ1706" s="6"/>
      <c r="AK1706" s="5"/>
      <c r="AL1706" s="5"/>
      <c r="AM1706" s="5"/>
      <c r="AN1706" s="5"/>
      <c r="AO1706" s="5"/>
      <c r="AP1706" s="5"/>
      <c r="AQ1706" s="5"/>
    </row>
    <row r="1707" spans="1:43" x14ac:dyDescent="0.25">
      <c r="A1707" s="161" t="str">
        <f t="shared" si="31"/>
        <v>U_AMERICAN_MINUTEMAN</v>
      </c>
      <c r="B1707" s="9" t="s">
        <v>2326</v>
      </c>
      <c r="C1707" s="5"/>
      <c r="D1707" s="5"/>
      <c r="E1707" s="5" t="s">
        <v>1545</v>
      </c>
      <c r="F1707" s="5" t="s">
        <v>1545</v>
      </c>
      <c r="G1707" s="5"/>
      <c r="H1707" s="5" t="s">
        <v>1671</v>
      </c>
      <c r="I1707" s="5" t="s">
        <v>128</v>
      </c>
      <c r="J1707" s="6"/>
      <c r="K1707" s="6"/>
      <c r="L1707" s="13" t="s">
        <v>1708</v>
      </c>
      <c r="M1707" s="8"/>
      <c r="N1707" s="5"/>
      <c r="O1707" s="5"/>
      <c r="P1707" s="5"/>
      <c r="Q1707" s="7">
        <v>14</v>
      </c>
      <c r="R1707" s="6" t="s">
        <v>1737</v>
      </c>
      <c r="S1707" s="13" t="s">
        <v>1619</v>
      </c>
      <c r="T1707" s="6">
        <v>19</v>
      </c>
      <c r="U1707" s="7" t="s">
        <v>1737</v>
      </c>
      <c r="V1707" s="5"/>
      <c r="W1707" s="6" t="s">
        <v>3</v>
      </c>
      <c r="X1707" s="6" t="s">
        <v>3</v>
      </c>
      <c r="Y1707" s="5"/>
      <c r="Z1707" s="7">
        <v>1</v>
      </c>
      <c r="AA1707" s="6"/>
      <c r="AB1707" s="5"/>
      <c r="AC1707" s="6"/>
      <c r="AD1707" s="6" t="s">
        <v>3</v>
      </c>
      <c r="AE1707" s="5"/>
      <c r="AF1707" s="6" t="s">
        <v>1737</v>
      </c>
      <c r="AG1707" s="6"/>
      <c r="AH1707" s="5"/>
      <c r="AI1707" s="6" t="s">
        <v>1737</v>
      </c>
      <c r="AJ1707" s="6"/>
      <c r="AK1707" s="5"/>
      <c r="AL1707" s="5"/>
      <c r="AM1707" s="5"/>
      <c r="AN1707" s="5"/>
      <c r="AO1707" s="5"/>
      <c r="AP1707" s="5"/>
      <c r="AQ1707" s="5"/>
    </row>
    <row r="1708" spans="1:43" x14ac:dyDescent="0.25">
      <c r="A1708" s="161" t="str">
        <f t="shared" si="31"/>
        <v>U_ARABIAN_CAMELARCHER</v>
      </c>
      <c r="B1708" s="9" t="s">
        <v>2327</v>
      </c>
      <c r="C1708" s="5"/>
      <c r="D1708" s="5"/>
      <c r="E1708" s="5" t="s">
        <v>1546</v>
      </c>
      <c r="F1708" s="5" t="s">
        <v>1546</v>
      </c>
      <c r="G1708" s="5"/>
      <c r="H1708" s="5" t="s">
        <v>1672</v>
      </c>
      <c r="I1708" s="5" t="s">
        <v>128</v>
      </c>
      <c r="J1708" s="6"/>
      <c r="K1708" s="6"/>
      <c r="L1708" s="13" t="s">
        <v>1714</v>
      </c>
      <c r="M1708" s="8"/>
      <c r="N1708" s="5"/>
      <c r="O1708" s="5"/>
      <c r="P1708" s="5"/>
      <c r="Q1708" s="7" t="s">
        <v>1695</v>
      </c>
      <c r="R1708" s="6" t="s">
        <v>1695</v>
      </c>
      <c r="S1708" s="13" t="s">
        <v>1695</v>
      </c>
      <c r="T1708" s="6" t="s">
        <v>1695</v>
      </c>
      <c r="U1708" s="7" t="s">
        <v>1695</v>
      </c>
      <c r="V1708" s="5"/>
      <c r="W1708" s="6" t="s">
        <v>3</v>
      </c>
      <c r="X1708" s="6" t="s">
        <v>3</v>
      </c>
      <c r="Y1708" s="5"/>
      <c r="Z1708" s="7">
        <v>1</v>
      </c>
      <c r="AA1708" s="6"/>
      <c r="AB1708" s="5"/>
      <c r="AC1708" s="6"/>
      <c r="AD1708" s="6" t="s">
        <v>3</v>
      </c>
      <c r="AE1708" s="5"/>
      <c r="AF1708" s="6" t="s">
        <v>1695</v>
      </c>
      <c r="AG1708" s="6"/>
      <c r="AH1708" s="5"/>
      <c r="AI1708" s="6"/>
      <c r="AJ1708" s="6"/>
      <c r="AK1708" s="5"/>
      <c r="AL1708" s="5"/>
      <c r="AM1708" s="5"/>
      <c r="AN1708" s="5"/>
      <c r="AO1708" s="5"/>
      <c r="AP1708" s="5"/>
      <c r="AQ1708" s="5"/>
    </row>
    <row r="1709" spans="1:43" x14ac:dyDescent="0.25">
      <c r="A1709" s="161" t="str">
        <f t="shared" si="31"/>
        <v>U_ASSYRIAN_SIEGE_TOWER</v>
      </c>
      <c r="B1709" s="9" t="s">
        <v>2328</v>
      </c>
      <c r="C1709" s="5"/>
      <c r="D1709" s="5"/>
      <c r="E1709" s="5" t="s">
        <v>1547</v>
      </c>
      <c r="F1709" s="5" t="s">
        <v>1547</v>
      </c>
      <c r="G1709" s="5"/>
      <c r="H1709" s="5" t="s">
        <v>1628</v>
      </c>
      <c r="I1709" s="5" t="s">
        <v>128</v>
      </c>
      <c r="J1709" s="6"/>
      <c r="K1709" s="6"/>
      <c r="L1709" s="13" t="s">
        <v>746</v>
      </c>
      <c r="M1709" s="8"/>
      <c r="N1709" s="5"/>
      <c r="O1709" s="5"/>
      <c r="P1709" s="5"/>
      <c r="Q1709" s="7">
        <v>1</v>
      </c>
      <c r="R1709" s="6">
        <v>0.1</v>
      </c>
      <c r="S1709" s="13" t="s">
        <v>1613</v>
      </c>
      <c r="T1709" s="6"/>
      <c r="U1709" s="6" t="s">
        <v>1737</v>
      </c>
      <c r="V1709" s="5"/>
      <c r="W1709" s="6">
        <v>4</v>
      </c>
      <c r="X1709" s="6" t="s">
        <v>3</v>
      </c>
      <c r="Y1709" s="5"/>
      <c r="Z1709" s="6"/>
      <c r="AA1709" s="6"/>
      <c r="AB1709" s="5"/>
      <c r="AC1709" s="6"/>
      <c r="AD1709" s="6" t="s">
        <v>3</v>
      </c>
      <c r="AE1709" s="5"/>
      <c r="AF1709" s="6"/>
      <c r="AG1709" s="6"/>
      <c r="AH1709" s="5"/>
      <c r="AI1709" s="6"/>
      <c r="AJ1709" s="6"/>
      <c r="AK1709" s="5"/>
      <c r="AL1709" s="5"/>
      <c r="AM1709" s="5"/>
      <c r="AN1709" s="5"/>
      <c r="AO1709" s="5"/>
      <c r="AP1709" s="5"/>
      <c r="AQ1709" s="5"/>
    </row>
    <row r="1710" spans="1:43" x14ac:dyDescent="0.25">
      <c r="A1710" s="161" t="str">
        <f t="shared" si="31"/>
        <v>U_AUSTRIAN_HUSSAR</v>
      </c>
      <c r="B1710" s="9" t="s">
        <v>2329</v>
      </c>
      <c r="C1710" s="5"/>
      <c r="D1710" s="5"/>
      <c r="E1710" s="5" t="s">
        <v>1548</v>
      </c>
      <c r="F1710" s="5" t="s">
        <v>1548</v>
      </c>
      <c r="G1710" s="5"/>
      <c r="H1710" s="5" t="s">
        <v>1629</v>
      </c>
      <c r="I1710" s="5" t="s">
        <v>128</v>
      </c>
      <c r="J1710" s="6"/>
      <c r="K1710" s="6"/>
      <c r="L1710" s="13" t="s">
        <v>1714</v>
      </c>
      <c r="M1710" s="8"/>
      <c r="N1710" s="5"/>
      <c r="O1710" s="5"/>
      <c r="P1710" s="5"/>
      <c r="Q1710" s="7" t="s">
        <v>1695</v>
      </c>
      <c r="R1710" s="6" t="s">
        <v>1695</v>
      </c>
      <c r="S1710" s="13" t="s">
        <v>1695</v>
      </c>
      <c r="T1710" s="6" t="s">
        <v>1695</v>
      </c>
      <c r="U1710" s="7" t="s">
        <v>1695</v>
      </c>
      <c r="V1710" s="5"/>
      <c r="W1710" s="7" t="s">
        <v>3</v>
      </c>
      <c r="X1710" s="6" t="s">
        <v>3</v>
      </c>
      <c r="Y1710" s="5"/>
      <c r="Z1710" s="6">
        <v>1</v>
      </c>
      <c r="AA1710" s="6"/>
      <c r="AB1710" s="5"/>
      <c r="AC1710" s="6"/>
      <c r="AD1710" s="6" t="s">
        <v>3</v>
      </c>
      <c r="AE1710" s="5"/>
      <c r="AF1710" s="6" t="s">
        <v>1695</v>
      </c>
      <c r="AG1710" s="6"/>
      <c r="AH1710" s="5"/>
      <c r="AI1710" s="6"/>
      <c r="AJ1710" s="6"/>
      <c r="AK1710" s="5"/>
      <c r="AL1710" s="5"/>
      <c r="AM1710" s="5"/>
      <c r="AN1710" s="5"/>
      <c r="AO1710" s="5"/>
      <c r="AP1710" s="5"/>
      <c r="AQ1710" s="5"/>
    </row>
    <row r="1711" spans="1:43" x14ac:dyDescent="0.25">
      <c r="A1711" s="161" t="str">
        <f t="shared" si="31"/>
        <v>U_AZTEC_JAGUAR</v>
      </c>
      <c r="B1711" s="9" t="s">
        <v>2330</v>
      </c>
      <c r="C1711" s="5"/>
      <c r="D1711" s="5"/>
      <c r="E1711" s="5" t="s">
        <v>1549</v>
      </c>
      <c r="F1711" s="5" t="s">
        <v>1549</v>
      </c>
      <c r="G1711" s="5"/>
      <c r="H1711" s="5" t="s">
        <v>1673</v>
      </c>
      <c r="I1711" s="5" t="s">
        <v>128</v>
      </c>
      <c r="J1711" s="6"/>
      <c r="K1711" s="6"/>
      <c r="L1711" s="13" t="s">
        <v>1708</v>
      </c>
      <c r="M1711" s="8"/>
      <c r="N1711" s="5"/>
      <c r="O1711" s="5"/>
      <c r="P1711" s="5"/>
      <c r="Q1711" s="7" t="s">
        <v>1737</v>
      </c>
      <c r="R1711" s="6" t="s">
        <v>1737</v>
      </c>
      <c r="S1711" s="13" t="s">
        <v>1620</v>
      </c>
      <c r="T1711" s="6">
        <v>18</v>
      </c>
      <c r="U1711" s="7" t="s">
        <v>1737</v>
      </c>
      <c r="V1711" s="5"/>
      <c r="W1711" s="7" t="s">
        <v>3</v>
      </c>
      <c r="X1711" s="6" t="s">
        <v>3</v>
      </c>
      <c r="Y1711" s="5"/>
      <c r="Z1711" s="7">
        <v>1</v>
      </c>
      <c r="AA1711" s="6"/>
      <c r="AB1711" s="5"/>
      <c r="AC1711" s="6"/>
      <c r="AD1711" s="6" t="s">
        <v>3</v>
      </c>
      <c r="AE1711" s="5"/>
      <c r="AF1711" s="7" t="s">
        <v>1737</v>
      </c>
      <c r="AG1711" s="6"/>
      <c r="AH1711" s="5"/>
      <c r="AI1711" s="6" t="s">
        <v>1737</v>
      </c>
      <c r="AJ1711" s="6"/>
      <c r="AK1711" s="5"/>
      <c r="AL1711" s="5"/>
      <c r="AM1711" s="5"/>
      <c r="AN1711" s="5"/>
      <c r="AO1711" s="5"/>
      <c r="AP1711" s="5"/>
      <c r="AQ1711" s="5"/>
    </row>
    <row r="1712" spans="1:43" x14ac:dyDescent="0.25">
      <c r="A1712" s="161" t="str">
        <f t="shared" si="31"/>
        <v>U_BABYLONIAN_BOWMAN</v>
      </c>
      <c r="B1712" s="9" t="s">
        <v>2331</v>
      </c>
      <c r="C1712" s="5"/>
      <c r="D1712" s="5"/>
      <c r="E1712" s="5" t="s">
        <v>1550</v>
      </c>
      <c r="F1712" s="5" t="s">
        <v>1550</v>
      </c>
      <c r="G1712" s="5"/>
      <c r="H1712" s="5" t="s">
        <v>1630</v>
      </c>
      <c r="I1712" s="5" t="s">
        <v>128</v>
      </c>
      <c r="J1712" s="6"/>
      <c r="K1712" s="6"/>
      <c r="L1712" s="13" t="s">
        <v>1708</v>
      </c>
      <c r="M1712" s="8"/>
      <c r="N1712" s="5"/>
      <c r="O1712" s="5"/>
      <c r="P1712" s="5"/>
      <c r="Q1712" s="7" t="s">
        <v>1737</v>
      </c>
      <c r="R1712" s="6" t="s">
        <v>1737</v>
      </c>
      <c r="S1712" s="13" t="s">
        <v>44</v>
      </c>
      <c r="T1712" s="6" t="s">
        <v>1737</v>
      </c>
      <c r="U1712" s="7" t="s">
        <v>1737</v>
      </c>
      <c r="V1712" s="5"/>
      <c r="W1712" s="7" t="s">
        <v>3</v>
      </c>
      <c r="X1712" s="6" t="s">
        <v>3</v>
      </c>
      <c r="Y1712" s="5"/>
      <c r="Z1712" s="7">
        <v>1</v>
      </c>
      <c r="AA1712" s="6"/>
      <c r="AB1712" s="5"/>
      <c r="AC1712" s="6"/>
      <c r="AD1712" s="6" t="s">
        <v>3</v>
      </c>
      <c r="AE1712" s="5"/>
      <c r="AF1712" s="7" t="s">
        <v>1737</v>
      </c>
      <c r="AG1712" s="6"/>
      <c r="AH1712" s="5"/>
      <c r="AI1712" s="6" t="s">
        <v>1737</v>
      </c>
      <c r="AJ1712" s="6"/>
      <c r="AK1712" s="5"/>
      <c r="AL1712" s="5"/>
      <c r="AM1712" s="5"/>
      <c r="AN1712" s="5"/>
      <c r="AO1712" s="5"/>
      <c r="AP1712" s="5"/>
      <c r="AQ1712" s="5"/>
    </row>
    <row r="1713" spans="1:43" x14ac:dyDescent="0.25">
      <c r="A1713" s="161" t="str">
        <f t="shared" si="31"/>
        <v>U_BRAZILIAN_PRACINHAS</v>
      </c>
      <c r="B1713" s="9" t="s">
        <v>2370</v>
      </c>
      <c r="C1713" s="5"/>
      <c r="D1713" s="5"/>
      <c r="E1713" s="5" t="s">
        <v>1551</v>
      </c>
      <c r="F1713" s="5" t="s">
        <v>1551</v>
      </c>
      <c r="G1713" s="5"/>
      <c r="H1713" s="5" t="s">
        <v>1631</v>
      </c>
      <c r="I1713" s="5" t="s">
        <v>128</v>
      </c>
      <c r="J1713" s="6"/>
      <c r="K1713" s="6"/>
      <c r="L1713" s="13" t="s">
        <v>1708</v>
      </c>
      <c r="M1713" s="8"/>
      <c r="N1713" s="5"/>
      <c r="O1713" s="5"/>
      <c r="P1713" s="5"/>
      <c r="Q1713" s="7" t="s">
        <v>1737</v>
      </c>
      <c r="R1713" s="6" t="s">
        <v>1737</v>
      </c>
      <c r="S1713" s="13" t="s">
        <v>1620</v>
      </c>
      <c r="T1713" s="6"/>
      <c r="U1713" s="7" t="s">
        <v>1695</v>
      </c>
      <c r="V1713" s="5"/>
      <c r="W1713" s="7" t="s">
        <v>3</v>
      </c>
      <c r="X1713" s="6" t="s">
        <v>3</v>
      </c>
      <c r="Y1713" s="5"/>
      <c r="Z1713" s="7">
        <v>1</v>
      </c>
      <c r="AA1713" s="6"/>
      <c r="AB1713" s="5"/>
      <c r="AC1713" s="6"/>
      <c r="AD1713" s="6" t="s">
        <v>3</v>
      </c>
      <c r="AE1713" s="5"/>
      <c r="AF1713" s="7" t="s">
        <v>1695</v>
      </c>
      <c r="AG1713" s="6"/>
      <c r="AH1713" s="5"/>
      <c r="AI1713" s="6" t="s">
        <v>1737</v>
      </c>
      <c r="AJ1713" s="6"/>
      <c r="AK1713" s="5"/>
      <c r="AL1713" s="5"/>
      <c r="AM1713" s="5"/>
      <c r="AN1713" s="5"/>
      <c r="AO1713" s="5"/>
      <c r="AP1713" s="5"/>
      <c r="AQ1713" s="5"/>
    </row>
    <row r="1714" spans="1:43" x14ac:dyDescent="0.25">
      <c r="A1714" s="161" t="str">
        <f t="shared" si="31"/>
        <v>U_BYZANTIUM_CATAPHRACT</v>
      </c>
      <c r="B1714" s="9" t="s">
        <v>2371</v>
      </c>
      <c r="C1714" s="5"/>
      <c r="D1714" s="5"/>
      <c r="E1714" s="5" t="s">
        <v>1552</v>
      </c>
      <c r="F1714" s="5" t="s">
        <v>1552</v>
      </c>
      <c r="G1714" s="5"/>
      <c r="H1714" s="5" t="s">
        <v>1632</v>
      </c>
      <c r="I1714" s="5" t="s">
        <v>128</v>
      </c>
      <c r="J1714" s="6"/>
      <c r="K1714" s="6"/>
      <c r="L1714" s="13" t="s">
        <v>1714</v>
      </c>
      <c r="M1714" s="8"/>
      <c r="N1714" s="5"/>
      <c r="O1714" s="5"/>
      <c r="P1714" s="5"/>
      <c r="Q1714" s="7" t="s">
        <v>1695</v>
      </c>
      <c r="R1714" s="6" t="s">
        <v>1695</v>
      </c>
      <c r="S1714" s="13" t="s">
        <v>1695</v>
      </c>
      <c r="T1714" s="6" t="s">
        <v>1695</v>
      </c>
      <c r="U1714" s="7" t="s">
        <v>1695</v>
      </c>
      <c r="V1714" s="5" t="s">
        <v>1701</v>
      </c>
      <c r="W1714" s="7" t="s">
        <v>3</v>
      </c>
      <c r="X1714" s="6" t="s">
        <v>3</v>
      </c>
      <c r="Y1714" s="5"/>
      <c r="Z1714" s="7">
        <v>1</v>
      </c>
      <c r="AA1714" s="6"/>
      <c r="AB1714" s="5"/>
      <c r="AC1714" s="6"/>
      <c r="AD1714" s="6" t="s">
        <v>3</v>
      </c>
      <c r="AE1714" s="5"/>
      <c r="AF1714" s="7" t="s">
        <v>1695</v>
      </c>
      <c r="AG1714" s="6"/>
      <c r="AH1714" s="5"/>
      <c r="AI1714" s="6"/>
      <c r="AJ1714" s="6"/>
      <c r="AK1714" s="5"/>
      <c r="AL1714" s="5"/>
      <c r="AM1714" s="5"/>
      <c r="AN1714" s="5"/>
      <c r="AO1714" s="5"/>
      <c r="AP1714" s="5"/>
      <c r="AQ1714" s="5"/>
    </row>
    <row r="1715" spans="1:43" x14ac:dyDescent="0.25">
      <c r="A1715" s="161" t="str">
        <f t="shared" si="31"/>
        <v>U_BYZANTIUM_DROMON</v>
      </c>
      <c r="B1715" s="9" t="s">
        <v>2372</v>
      </c>
      <c r="C1715" s="5"/>
      <c r="D1715" s="5"/>
      <c r="E1715" s="5" t="s">
        <v>1553</v>
      </c>
      <c r="F1715" s="5" t="s">
        <v>1553</v>
      </c>
      <c r="G1715" s="5"/>
      <c r="H1715" s="5" t="s">
        <v>1633</v>
      </c>
      <c r="I1715" s="5" t="s">
        <v>128</v>
      </c>
      <c r="J1715" s="6"/>
      <c r="K1715" s="7"/>
      <c r="L1715" s="13" t="s">
        <v>1712</v>
      </c>
      <c r="M1715" s="8"/>
      <c r="N1715" s="13" t="s">
        <v>1727</v>
      </c>
      <c r="O1715" s="13"/>
      <c r="P1715" s="13"/>
      <c r="Q1715" s="7">
        <v>1</v>
      </c>
      <c r="R1715" s="6">
        <v>0.16</v>
      </c>
      <c r="S1715" s="5"/>
      <c r="T1715" s="7">
        <v>2</v>
      </c>
      <c r="U1715" s="6">
        <v>0.11</v>
      </c>
      <c r="V1715" s="5" t="s">
        <v>1696</v>
      </c>
      <c r="W1715" s="6"/>
      <c r="X1715" s="6"/>
      <c r="Y1715" s="5"/>
      <c r="Z1715" s="6"/>
      <c r="AA1715" s="6"/>
      <c r="AB1715" s="5"/>
      <c r="AC1715" s="6"/>
      <c r="AD1715" s="6"/>
      <c r="AE1715" s="5"/>
      <c r="AF1715" s="6"/>
      <c r="AG1715" s="6"/>
      <c r="AH1715" s="5"/>
      <c r="AI1715" s="6"/>
      <c r="AJ1715" s="6"/>
      <c r="AK1715" s="5"/>
      <c r="AL1715" s="5"/>
      <c r="AM1715" s="5"/>
      <c r="AN1715" s="5"/>
      <c r="AO1715" s="5"/>
      <c r="AP1715" s="5"/>
      <c r="AQ1715" s="5"/>
    </row>
    <row r="1716" spans="1:43" x14ac:dyDescent="0.25">
      <c r="A1716" s="161" t="str">
        <f t="shared" si="31"/>
        <v>U_CARTHAGE_AFRICANFOREST_ELEPHANT</v>
      </c>
      <c r="B1716" s="9" t="s">
        <v>2373</v>
      </c>
      <c r="C1716" s="5"/>
      <c r="D1716" s="5"/>
      <c r="E1716" s="5" t="s">
        <v>1554</v>
      </c>
      <c r="F1716" s="5" t="s">
        <v>1554</v>
      </c>
      <c r="G1716" s="5"/>
      <c r="H1716" s="5" t="s">
        <v>1634</v>
      </c>
      <c r="I1716" s="5" t="s">
        <v>128</v>
      </c>
      <c r="J1716" s="6"/>
      <c r="K1716" s="6"/>
      <c r="L1716" s="13" t="s">
        <v>1714</v>
      </c>
      <c r="M1716" s="8"/>
      <c r="N1716" s="5"/>
      <c r="O1716" s="5"/>
      <c r="P1716" s="5"/>
      <c r="Q1716" s="7">
        <v>2</v>
      </c>
      <c r="R1716" s="6">
        <v>0.13</v>
      </c>
      <c r="S1716" s="13" t="s">
        <v>1618</v>
      </c>
      <c r="T1716" s="6">
        <v>3</v>
      </c>
      <c r="U1716" s="6" t="s">
        <v>1695</v>
      </c>
      <c r="V1716" s="5"/>
      <c r="W1716" s="7" t="s">
        <v>3</v>
      </c>
      <c r="X1716" s="6" t="s">
        <v>3</v>
      </c>
      <c r="Y1716" s="5"/>
      <c r="Z1716" s="7">
        <v>1</v>
      </c>
      <c r="AA1716" s="6"/>
      <c r="AB1716" s="5"/>
      <c r="AC1716" s="6"/>
      <c r="AD1716" s="6" t="s">
        <v>3</v>
      </c>
      <c r="AE1716" s="5"/>
      <c r="AF1716" s="6"/>
      <c r="AG1716" s="6"/>
      <c r="AH1716" s="5"/>
      <c r="AI1716" s="6"/>
      <c r="AJ1716" s="6"/>
      <c r="AK1716" s="5"/>
      <c r="AL1716" s="5"/>
      <c r="AM1716" s="5"/>
      <c r="AN1716" s="5"/>
      <c r="AO1716" s="5"/>
      <c r="AP1716" s="5"/>
      <c r="AQ1716" s="5"/>
    </row>
    <row r="1717" spans="1:43" x14ac:dyDescent="0.25">
      <c r="A1717" s="161" t="str">
        <f t="shared" si="31"/>
        <v>U_CARTHAGE_QUINQUEREME</v>
      </c>
      <c r="B1717" s="9" t="s">
        <v>2374</v>
      </c>
      <c r="C1717" s="5"/>
      <c r="D1717" s="5"/>
      <c r="E1717" s="5" t="s">
        <v>1555</v>
      </c>
      <c r="F1717" s="5" t="s">
        <v>1555</v>
      </c>
      <c r="G1717" s="5"/>
      <c r="H1717" s="5" t="s">
        <v>1635</v>
      </c>
      <c r="I1717" s="5" t="s">
        <v>128</v>
      </c>
      <c r="J1717" s="6"/>
      <c r="K1717" s="7"/>
      <c r="L1717" s="13" t="s">
        <v>1712</v>
      </c>
      <c r="M1717" s="8"/>
      <c r="N1717" s="13" t="s">
        <v>1727</v>
      </c>
      <c r="O1717" s="13"/>
      <c r="P1717" s="13"/>
      <c r="Q1717" s="7">
        <v>1</v>
      </c>
      <c r="R1717" s="6">
        <v>7.2999999999999995E-2</v>
      </c>
      <c r="S1717" s="5"/>
      <c r="T1717" s="7">
        <v>2</v>
      </c>
      <c r="U1717" s="6">
        <v>0.05</v>
      </c>
      <c r="V1717" s="5" t="s">
        <v>1698</v>
      </c>
      <c r="W1717" s="6"/>
      <c r="X1717" s="6"/>
      <c r="Y1717" s="5"/>
      <c r="Z1717" s="6"/>
      <c r="AA1717" s="6"/>
      <c r="AB1717" s="5"/>
      <c r="AC1717" s="6"/>
      <c r="AD1717" s="6"/>
      <c r="AE1717" s="5"/>
      <c r="AF1717" s="6"/>
      <c r="AG1717" s="6"/>
      <c r="AH1717" s="5"/>
      <c r="AI1717" s="6"/>
      <c r="AJ1717" s="6"/>
      <c r="AK1717" s="5"/>
      <c r="AL1717" s="5"/>
      <c r="AM1717" s="5"/>
      <c r="AN1717" s="5"/>
      <c r="AO1717" s="5"/>
      <c r="AP1717" s="5"/>
      <c r="AQ1717" s="5"/>
    </row>
    <row r="1718" spans="1:43" x14ac:dyDescent="0.25">
      <c r="A1718" s="161" t="str">
        <f t="shared" si="31"/>
        <v>U_CELT_PICTISH_WARRIOR</v>
      </c>
      <c r="B1718" s="9" t="s">
        <v>2332</v>
      </c>
      <c r="C1718" s="5"/>
      <c r="D1718" s="5"/>
      <c r="E1718" s="5" t="s">
        <v>1556</v>
      </c>
      <c r="F1718" s="5" t="s">
        <v>1556</v>
      </c>
      <c r="G1718" s="5"/>
      <c r="H1718" s="5" t="s">
        <v>1636</v>
      </c>
      <c r="I1718" s="5" t="s">
        <v>128</v>
      </c>
      <c r="J1718" s="6"/>
      <c r="K1718" s="6"/>
      <c r="L1718" s="13" t="s">
        <v>1708</v>
      </c>
      <c r="M1718" s="8"/>
      <c r="N1718" s="5"/>
      <c r="O1718" s="5"/>
      <c r="P1718" s="5"/>
      <c r="Q1718" s="7">
        <v>10</v>
      </c>
      <c r="R1718" s="6" t="s">
        <v>1737</v>
      </c>
      <c r="S1718" s="13" t="s">
        <v>1620</v>
      </c>
      <c r="T1718" s="6">
        <v>18</v>
      </c>
      <c r="U1718" s="7" t="s">
        <v>1737</v>
      </c>
      <c r="V1718" s="5"/>
      <c r="W1718" s="6" t="s">
        <v>3</v>
      </c>
      <c r="X1718" s="6" t="s">
        <v>3</v>
      </c>
      <c r="Y1718" s="5"/>
      <c r="Z1718" s="7">
        <v>1</v>
      </c>
      <c r="AA1718" s="6"/>
      <c r="AB1718" s="5"/>
      <c r="AC1718" s="6"/>
      <c r="AD1718" s="6" t="s">
        <v>3</v>
      </c>
      <c r="AE1718" s="5"/>
      <c r="AF1718" s="6" t="s">
        <v>1737</v>
      </c>
      <c r="AG1718" s="6"/>
      <c r="AH1718" s="5"/>
      <c r="AI1718" s="6">
        <v>6</v>
      </c>
      <c r="AJ1718" s="6"/>
      <c r="AK1718" s="5"/>
      <c r="AL1718" s="5"/>
      <c r="AM1718" s="5"/>
      <c r="AN1718" s="5"/>
      <c r="AO1718" s="5"/>
      <c r="AP1718" s="5"/>
      <c r="AQ1718" s="5"/>
    </row>
    <row r="1719" spans="1:43" x14ac:dyDescent="0.25">
      <c r="A1719" s="161" t="str">
        <f t="shared" si="31"/>
        <v>U_CHINESE_CHUKONU</v>
      </c>
      <c r="B1719" s="9" t="s">
        <v>2333</v>
      </c>
      <c r="C1719" s="5"/>
      <c r="D1719" s="5"/>
      <c r="E1719" s="5" t="s">
        <v>1557</v>
      </c>
      <c r="F1719" s="5" t="s">
        <v>1557</v>
      </c>
      <c r="G1719" s="5"/>
      <c r="H1719" s="5" t="s">
        <v>1674</v>
      </c>
      <c r="I1719" s="5" t="s">
        <v>128</v>
      </c>
      <c r="J1719" s="6"/>
      <c r="K1719" s="6"/>
      <c r="L1719" s="13" t="s">
        <v>1708</v>
      </c>
      <c r="M1719" s="8"/>
      <c r="N1719" s="5"/>
      <c r="O1719" s="5"/>
      <c r="P1719" s="5"/>
      <c r="Q1719" s="7" t="s">
        <v>1737</v>
      </c>
      <c r="R1719" s="6" t="s">
        <v>1737</v>
      </c>
      <c r="S1719" s="13" t="s">
        <v>44</v>
      </c>
      <c r="T1719" s="7">
        <v>15</v>
      </c>
      <c r="U1719" s="7" t="s">
        <v>1737</v>
      </c>
      <c r="V1719" s="5" t="s">
        <v>34</v>
      </c>
      <c r="W1719" s="6" t="s">
        <v>3</v>
      </c>
      <c r="X1719" s="6" t="s">
        <v>3</v>
      </c>
      <c r="Y1719" s="5"/>
      <c r="Z1719" s="7">
        <v>1</v>
      </c>
      <c r="AA1719" s="6"/>
      <c r="AB1719" s="5"/>
      <c r="AC1719" s="6"/>
      <c r="AD1719" s="6" t="s">
        <v>3</v>
      </c>
      <c r="AE1719" s="5"/>
      <c r="AF1719" s="6" t="s">
        <v>1737</v>
      </c>
      <c r="AG1719" s="6"/>
      <c r="AH1719" s="5"/>
      <c r="AI1719" s="6" t="s">
        <v>1737</v>
      </c>
      <c r="AJ1719" s="6"/>
      <c r="AK1719" s="5"/>
      <c r="AL1719" s="5"/>
      <c r="AM1719" s="5"/>
      <c r="AN1719" s="5"/>
      <c r="AO1719" s="5"/>
      <c r="AP1719" s="5"/>
      <c r="AQ1719" s="5"/>
    </row>
    <row r="1720" spans="1:43" x14ac:dyDescent="0.25">
      <c r="A1720" s="161" t="str">
        <f t="shared" si="31"/>
        <v>U_DANISH_BERSERKER</v>
      </c>
      <c r="B1720" s="9" t="s">
        <v>2334</v>
      </c>
      <c r="C1720" s="5"/>
      <c r="D1720" s="5"/>
      <c r="E1720" s="5" t="s">
        <v>1558</v>
      </c>
      <c r="F1720" s="5" t="s">
        <v>1558</v>
      </c>
      <c r="G1720" s="5"/>
      <c r="H1720" s="5" t="s">
        <v>1637</v>
      </c>
      <c r="I1720" s="5" t="s">
        <v>128</v>
      </c>
      <c r="J1720" s="6"/>
      <c r="K1720" s="6"/>
      <c r="L1720" s="13" t="s">
        <v>1718</v>
      </c>
      <c r="M1720" s="8"/>
      <c r="N1720" s="5"/>
      <c r="O1720" s="5"/>
      <c r="P1720" s="5"/>
      <c r="Q1720" s="7" t="s">
        <v>1737</v>
      </c>
      <c r="R1720" s="6">
        <v>0.14000000000000001</v>
      </c>
      <c r="S1720" s="13" t="s">
        <v>1620</v>
      </c>
      <c r="T1720" s="7">
        <v>18</v>
      </c>
      <c r="U1720" s="6">
        <v>9.8000000000000004E-2</v>
      </c>
      <c r="V1720" s="5"/>
      <c r="W1720" s="6" t="s">
        <v>3</v>
      </c>
      <c r="X1720" s="6" t="s">
        <v>3</v>
      </c>
      <c r="Y1720" s="5"/>
      <c r="Z1720" s="7">
        <v>1</v>
      </c>
      <c r="AA1720" s="6"/>
      <c r="AB1720" s="5"/>
      <c r="AC1720" s="6"/>
      <c r="AD1720" s="6" t="s">
        <v>3</v>
      </c>
      <c r="AE1720" s="5"/>
      <c r="AF1720" s="6" t="s">
        <v>1737</v>
      </c>
      <c r="AG1720" s="6"/>
      <c r="AH1720" s="5"/>
      <c r="AI1720" s="6" t="s">
        <v>1737</v>
      </c>
      <c r="AJ1720" s="6"/>
      <c r="AK1720" s="5"/>
      <c r="AL1720" s="5"/>
      <c r="AM1720" s="5"/>
      <c r="AN1720" s="5"/>
      <c r="AO1720" s="5"/>
      <c r="AP1720" s="5"/>
      <c r="AQ1720" s="5"/>
    </row>
    <row r="1721" spans="1:43" x14ac:dyDescent="0.25">
      <c r="A1721" s="161" t="str">
        <f t="shared" si="31"/>
        <v>U_DANISH_LONGBOAT</v>
      </c>
      <c r="C1721" s="5"/>
      <c r="D1721" s="5"/>
      <c r="E1721" s="5" t="s">
        <v>1559</v>
      </c>
      <c r="F1721" s="5" t="s">
        <v>1559</v>
      </c>
      <c r="G1721" s="5"/>
      <c r="H1721" s="5" t="s">
        <v>992</v>
      </c>
      <c r="I1721" s="5" t="s">
        <v>128</v>
      </c>
      <c r="J1721" s="6"/>
      <c r="K1721" s="7"/>
      <c r="L1721" s="13" t="s">
        <v>1712</v>
      </c>
      <c r="M1721" s="8"/>
      <c r="N1721" s="13" t="s">
        <v>1727</v>
      </c>
      <c r="O1721" s="13"/>
      <c r="P1721" s="13"/>
      <c r="Q1721" s="7">
        <v>2</v>
      </c>
      <c r="R1721" s="6">
        <v>0.1</v>
      </c>
      <c r="S1721" s="13" t="s">
        <v>1613</v>
      </c>
      <c r="T1721" s="7">
        <v>4</v>
      </c>
      <c r="U1721" s="6">
        <v>5.5E-2</v>
      </c>
      <c r="V1721" s="5" t="s">
        <v>1696</v>
      </c>
      <c r="W1721" s="6"/>
      <c r="X1721" s="6"/>
      <c r="Y1721" s="5"/>
      <c r="Z1721" s="7">
        <v>1</v>
      </c>
      <c r="AA1721" s="6"/>
      <c r="AB1721" s="5"/>
      <c r="AC1721" s="6"/>
      <c r="AD1721" s="6"/>
      <c r="AE1721" s="5"/>
      <c r="AF1721" s="6"/>
      <c r="AG1721" s="6"/>
      <c r="AH1721" s="5"/>
      <c r="AI1721" s="6"/>
      <c r="AJ1721" s="6"/>
      <c r="AK1721" s="5"/>
      <c r="AL1721" s="5"/>
      <c r="AM1721" s="5"/>
      <c r="AN1721" s="5"/>
      <c r="AO1721" s="5"/>
      <c r="AP1721" s="5"/>
      <c r="AQ1721" s="5"/>
    </row>
    <row r="1722" spans="1:43" x14ac:dyDescent="0.25">
      <c r="A1722" s="161" t="str">
        <f t="shared" si="31"/>
        <v>U_DANISH_SKI_INFANTRY</v>
      </c>
      <c r="B1722" s="9" t="s">
        <v>2335</v>
      </c>
      <c r="C1722" s="5"/>
      <c r="D1722" s="5"/>
      <c r="E1722" s="5" t="s">
        <v>1560</v>
      </c>
      <c r="F1722" s="5" t="s">
        <v>1609</v>
      </c>
      <c r="G1722" s="5"/>
      <c r="H1722" s="5" t="s">
        <v>1638</v>
      </c>
      <c r="I1722" s="5" t="s">
        <v>128</v>
      </c>
      <c r="J1722" s="6"/>
      <c r="K1722" s="6"/>
      <c r="L1722" s="13" t="s">
        <v>1708</v>
      </c>
      <c r="M1722" s="8"/>
      <c r="N1722" s="5"/>
      <c r="O1722" s="5"/>
      <c r="P1722" s="5"/>
      <c r="Q1722" s="7">
        <v>14</v>
      </c>
      <c r="R1722" s="6">
        <v>0.13</v>
      </c>
      <c r="S1722" s="13" t="s">
        <v>1619</v>
      </c>
      <c r="T1722" s="7">
        <v>19</v>
      </c>
      <c r="U1722" s="6">
        <v>8.6999999999999994E-2</v>
      </c>
      <c r="V1722" s="5"/>
      <c r="W1722" s="6" t="s">
        <v>3</v>
      </c>
      <c r="X1722" s="6" t="s">
        <v>3</v>
      </c>
      <c r="Y1722" s="5"/>
      <c r="Z1722" s="7">
        <v>1</v>
      </c>
      <c r="AA1722" s="6"/>
      <c r="AB1722" s="5"/>
      <c r="AC1722" s="6"/>
      <c r="AD1722" s="6" t="s">
        <v>3</v>
      </c>
      <c r="AE1722" s="5"/>
      <c r="AF1722" s="7" t="s">
        <v>1737</v>
      </c>
      <c r="AG1722" s="6"/>
      <c r="AH1722" s="5"/>
      <c r="AI1722" s="7" t="s">
        <v>1737</v>
      </c>
      <c r="AJ1722" s="6"/>
      <c r="AK1722" s="5"/>
      <c r="AL1722" s="5"/>
      <c r="AM1722" s="5"/>
      <c r="AN1722" s="5"/>
      <c r="AO1722" s="5"/>
      <c r="AP1722" s="5"/>
      <c r="AQ1722" s="5"/>
    </row>
    <row r="1723" spans="1:43" x14ac:dyDescent="0.25">
      <c r="A1723" s="161" t="str">
        <f t="shared" si="31"/>
        <v>U_DUTCH_SEA_BEGGARS</v>
      </c>
      <c r="B1723" s="9" t="s">
        <v>2375</v>
      </c>
      <c r="C1723" s="5"/>
      <c r="D1723" s="5"/>
      <c r="E1723" s="5" t="s">
        <v>1561</v>
      </c>
      <c r="F1723" s="5" t="s">
        <v>1561</v>
      </c>
      <c r="G1723" s="5"/>
      <c r="H1723" s="5" t="s">
        <v>1639</v>
      </c>
      <c r="I1723" s="5" t="s">
        <v>128</v>
      </c>
      <c r="J1723" s="6"/>
      <c r="K1723" s="7"/>
      <c r="L1723" s="13" t="s">
        <v>1712</v>
      </c>
      <c r="M1723" s="8"/>
      <c r="N1723" s="13" t="s">
        <v>1727</v>
      </c>
      <c r="O1723" s="13"/>
      <c r="P1723" s="13"/>
      <c r="Q1723" s="7">
        <v>1</v>
      </c>
      <c r="R1723" s="6" t="s">
        <v>1737</v>
      </c>
      <c r="S1723" s="5"/>
      <c r="T1723" s="6"/>
      <c r="U1723" s="6">
        <v>0.1</v>
      </c>
      <c r="V1723" s="5" t="s">
        <v>1696</v>
      </c>
      <c r="W1723" s="6"/>
      <c r="X1723" s="6"/>
      <c r="Y1723" s="5"/>
      <c r="Z1723" s="6"/>
      <c r="AA1723" s="6"/>
      <c r="AB1723" s="5"/>
      <c r="AC1723" s="6"/>
      <c r="AD1723" s="6"/>
      <c r="AE1723" s="5"/>
      <c r="AF1723" s="6"/>
      <c r="AG1723" s="6"/>
      <c r="AH1723" s="5"/>
      <c r="AI1723" s="6"/>
      <c r="AJ1723" s="6"/>
      <c r="AK1723" s="5"/>
      <c r="AL1723" s="5"/>
      <c r="AM1723" s="5"/>
      <c r="AN1723" s="5"/>
      <c r="AO1723" s="5"/>
      <c r="AP1723" s="5"/>
      <c r="AQ1723" s="5"/>
    </row>
    <row r="1724" spans="1:43" x14ac:dyDescent="0.25">
      <c r="A1724" s="161" t="str">
        <f t="shared" si="31"/>
        <v>U_EGYPTIAN_WARCHARIOT</v>
      </c>
      <c r="B1724" s="9" t="s">
        <v>2336</v>
      </c>
      <c r="C1724" s="5"/>
      <c r="D1724" s="5"/>
      <c r="E1724" s="5" t="s">
        <v>1562</v>
      </c>
      <c r="F1724" s="5" t="s">
        <v>1562</v>
      </c>
      <c r="G1724" s="5"/>
      <c r="H1724" s="5" t="s">
        <v>1675</v>
      </c>
      <c r="I1724" s="5" t="s">
        <v>128</v>
      </c>
      <c r="J1724" s="6"/>
      <c r="K1724" s="6"/>
      <c r="L1724" s="13" t="s">
        <v>1709</v>
      </c>
      <c r="M1724" s="8"/>
      <c r="N1724" s="5"/>
      <c r="O1724" s="5"/>
      <c r="P1724" s="5"/>
      <c r="Q1724" s="7">
        <v>2</v>
      </c>
      <c r="R1724" s="6">
        <v>0.13</v>
      </c>
      <c r="S1724" s="13" t="s">
        <v>1618</v>
      </c>
      <c r="T1724" s="7">
        <v>3</v>
      </c>
      <c r="U1724" s="6" t="s">
        <v>1695</v>
      </c>
      <c r="V1724" s="5"/>
      <c r="W1724" s="6" t="s">
        <v>3</v>
      </c>
      <c r="X1724" s="6" t="s">
        <v>3</v>
      </c>
      <c r="Y1724" s="5"/>
      <c r="Z1724" s="7">
        <v>1</v>
      </c>
      <c r="AA1724" s="6"/>
      <c r="AB1724" s="5"/>
      <c r="AC1724" s="6"/>
      <c r="AD1724" s="6" t="s">
        <v>3</v>
      </c>
      <c r="AE1724" s="5"/>
      <c r="AF1724" s="6"/>
      <c r="AG1724" s="6"/>
      <c r="AH1724" s="5"/>
      <c r="AI1724" s="6"/>
      <c r="AJ1724" s="6"/>
      <c r="AK1724" s="5"/>
      <c r="AL1724" s="5"/>
      <c r="AM1724" s="5"/>
      <c r="AN1724" s="5"/>
      <c r="AO1724" s="5"/>
      <c r="AP1724" s="5"/>
      <c r="AQ1724" s="5"/>
    </row>
    <row r="1725" spans="1:43" x14ac:dyDescent="0.25">
      <c r="A1725" s="161" t="str">
        <f t="shared" si="31"/>
        <v>U_ENGLISH_LONGBOWMAN</v>
      </c>
      <c r="B1725" s="9" t="s">
        <v>2337</v>
      </c>
      <c r="C1725" s="5"/>
      <c r="D1725" s="5"/>
      <c r="E1725" s="5" t="s">
        <v>1563</v>
      </c>
      <c r="F1725" s="5" t="s">
        <v>1563</v>
      </c>
      <c r="G1725" s="5"/>
      <c r="H1725" s="5" t="s">
        <v>1676</v>
      </c>
      <c r="I1725" s="5" t="s">
        <v>128</v>
      </c>
      <c r="J1725" s="6"/>
      <c r="K1725" s="6"/>
      <c r="L1725" s="13" t="s">
        <v>1708</v>
      </c>
      <c r="M1725" s="8"/>
      <c r="N1725" s="5"/>
      <c r="O1725" s="5"/>
      <c r="P1725" s="5"/>
      <c r="Q1725" s="7" t="s">
        <v>1737</v>
      </c>
      <c r="R1725" s="6" t="s">
        <v>1737</v>
      </c>
      <c r="S1725" s="13" t="s">
        <v>44</v>
      </c>
      <c r="T1725" s="7">
        <v>19</v>
      </c>
      <c r="U1725" s="7" t="s">
        <v>1737</v>
      </c>
      <c r="V1725" s="5" t="s">
        <v>1704</v>
      </c>
      <c r="W1725" s="6">
        <v>31</v>
      </c>
      <c r="X1725" s="6" t="s">
        <v>3</v>
      </c>
      <c r="Y1725" s="5"/>
      <c r="Z1725" s="7">
        <v>1</v>
      </c>
      <c r="AA1725" s="6"/>
      <c r="AB1725" s="5"/>
      <c r="AC1725" s="6"/>
      <c r="AD1725" s="6" t="s">
        <v>3</v>
      </c>
      <c r="AE1725" s="5"/>
      <c r="AF1725" s="6" t="s">
        <v>1737</v>
      </c>
      <c r="AG1725" s="6"/>
      <c r="AH1725" s="5"/>
      <c r="AI1725" s="6" t="s">
        <v>1737</v>
      </c>
      <c r="AJ1725" s="6"/>
      <c r="AK1725" s="5"/>
      <c r="AL1725" s="5"/>
      <c r="AM1725" s="5"/>
      <c r="AN1725" s="5"/>
      <c r="AO1725" s="5"/>
      <c r="AP1725" s="5"/>
      <c r="AQ1725" s="5"/>
    </row>
    <row r="1726" spans="1:43" x14ac:dyDescent="0.25">
      <c r="A1726" s="161" t="str">
        <f t="shared" si="31"/>
        <v>U_ENGLISH_SHIPOFTHELINE</v>
      </c>
      <c r="B1726" s="9" t="s">
        <v>2338</v>
      </c>
      <c r="C1726" s="5"/>
      <c r="D1726" s="5"/>
      <c r="E1726" s="5" t="s">
        <v>1564</v>
      </c>
      <c r="F1726" s="5" t="s">
        <v>1564</v>
      </c>
      <c r="G1726" s="5"/>
      <c r="H1726" s="5" t="s">
        <v>1677</v>
      </c>
      <c r="I1726" s="5" t="s">
        <v>128</v>
      </c>
      <c r="J1726" s="6"/>
      <c r="K1726" s="7"/>
      <c r="L1726" s="13" t="s">
        <v>1712</v>
      </c>
      <c r="M1726" s="8"/>
      <c r="N1726" s="13" t="s">
        <v>1727</v>
      </c>
      <c r="O1726" s="13"/>
      <c r="P1726" s="13"/>
      <c r="Q1726" s="7">
        <v>1</v>
      </c>
      <c r="R1726" s="6">
        <v>0.13700000000000001</v>
      </c>
      <c r="S1726" s="5"/>
      <c r="T1726" s="6">
        <v>2</v>
      </c>
      <c r="U1726" s="7">
        <v>0.11</v>
      </c>
      <c r="V1726" s="5" t="s">
        <v>1700</v>
      </c>
      <c r="W1726" s="6"/>
      <c r="X1726" s="6"/>
      <c r="Y1726" s="5"/>
      <c r="Z1726" s="6"/>
      <c r="AA1726" s="6"/>
      <c r="AB1726" s="5"/>
      <c r="AC1726" s="6"/>
      <c r="AD1726" s="6"/>
      <c r="AE1726" s="5"/>
      <c r="AF1726" s="6"/>
      <c r="AG1726" s="6"/>
      <c r="AH1726" s="5"/>
      <c r="AI1726" s="6"/>
      <c r="AJ1726" s="6"/>
      <c r="AK1726" s="5"/>
      <c r="AL1726" s="5"/>
      <c r="AM1726" s="5"/>
      <c r="AN1726" s="5"/>
      <c r="AO1726" s="5"/>
      <c r="AP1726" s="5"/>
      <c r="AQ1726" s="5"/>
    </row>
    <row r="1727" spans="1:43" x14ac:dyDescent="0.25">
      <c r="A1727" s="161" t="str">
        <f t="shared" si="31"/>
        <v>U_ETHIOPIA_MEHAL_SEFARI</v>
      </c>
      <c r="B1727" s="9" t="s">
        <v>2376</v>
      </c>
      <c r="C1727" s="5"/>
      <c r="D1727" s="5"/>
      <c r="E1727" s="5" t="s">
        <v>1565</v>
      </c>
      <c r="F1727" s="5" t="s">
        <v>1565</v>
      </c>
      <c r="G1727" s="5"/>
      <c r="H1727" s="5" t="s">
        <v>1640</v>
      </c>
      <c r="I1727" s="5" t="s">
        <v>128</v>
      </c>
      <c r="J1727" s="6"/>
      <c r="K1727" s="6"/>
      <c r="L1727" s="13" t="s">
        <v>1708</v>
      </c>
      <c r="M1727" s="8"/>
      <c r="N1727" s="5"/>
      <c r="O1727" s="5"/>
      <c r="P1727" s="5"/>
      <c r="Q1727" s="7">
        <v>14</v>
      </c>
      <c r="R1727" s="6">
        <v>0.13</v>
      </c>
      <c r="S1727" s="13" t="s">
        <v>1619</v>
      </c>
      <c r="T1727" s="6">
        <v>19</v>
      </c>
      <c r="U1727" s="6" t="s">
        <v>1695</v>
      </c>
      <c r="V1727" s="5"/>
      <c r="W1727" s="6" t="s">
        <v>3</v>
      </c>
      <c r="X1727" s="6" t="s">
        <v>3</v>
      </c>
      <c r="Y1727" s="5"/>
      <c r="Z1727" s="7">
        <v>1</v>
      </c>
      <c r="AA1727" s="6"/>
      <c r="AB1727" s="5"/>
      <c r="AC1727" s="6"/>
      <c r="AD1727" s="6" t="s">
        <v>3</v>
      </c>
      <c r="AE1727" s="5"/>
      <c r="AF1727" s="6" t="s">
        <v>1695</v>
      </c>
      <c r="AG1727" s="6"/>
      <c r="AH1727" s="5"/>
      <c r="AI1727" s="6" t="s">
        <v>1737</v>
      </c>
      <c r="AJ1727" s="6"/>
      <c r="AK1727" s="5"/>
      <c r="AL1727" s="5"/>
      <c r="AM1727" s="5"/>
      <c r="AN1727" s="5"/>
      <c r="AO1727" s="5"/>
      <c r="AP1727" s="5"/>
      <c r="AQ1727" s="5"/>
    </row>
    <row r="1728" spans="1:43" x14ac:dyDescent="0.25">
      <c r="A1728" s="161" t="str">
        <f t="shared" si="31"/>
        <v>U_FRENCH_FOREIGNLEGION</v>
      </c>
      <c r="B1728" s="9" t="s">
        <v>2339</v>
      </c>
      <c r="C1728" s="5"/>
      <c r="D1728" s="5"/>
      <c r="E1728" s="5" t="s">
        <v>1566</v>
      </c>
      <c r="F1728" s="5" t="s">
        <v>1566</v>
      </c>
      <c r="G1728" s="5"/>
      <c r="H1728" s="5" t="s">
        <v>1508</v>
      </c>
      <c r="I1728" s="5" t="s">
        <v>128</v>
      </c>
      <c r="J1728" s="6"/>
      <c r="K1728" s="6"/>
      <c r="L1728" s="13" t="s">
        <v>1708</v>
      </c>
      <c r="M1728" s="8"/>
      <c r="N1728" s="5"/>
      <c r="O1728" s="5"/>
      <c r="P1728" s="5"/>
      <c r="Q1728" s="7" t="s">
        <v>1737</v>
      </c>
      <c r="R1728" s="6" t="s">
        <v>1737</v>
      </c>
      <c r="S1728" s="13" t="s">
        <v>1620</v>
      </c>
      <c r="T1728" s="6">
        <v>18</v>
      </c>
      <c r="U1728" s="7" t="s">
        <v>1737</v>
      </c>
      <c r="V1728" s="5"/>
      <c r="W1728" s="6" t="s">
        <v>3</v>
      </c>
      <c r="X1728" s="6" t="s">
        <v>3</v>
      </c>
      <c r="Y1728" s="5"/>
      <c r="Z1728" s="7">
        <v>1</v>
      </c>
      <c r="AA1728" s="6"/>
      <c r="AB1728" s="5"/>
      <c r="AC1728" s="6"/>
      <c r="AD1728" s="6" t="s">
        <v>3</v>
      </c>
      <c r="AE1728" s="5"/>
      <c r="AF1728" s="6" t="s">
        <v>1737</v>
      </c>
      <c r="AG1728" s="6"/>
      <c r="AH1728" s="5"/>
      <c r="AI1728" s="6" t="s">
        <v>1737</v>
      </c>
      <c r="AJ1728" s="6"/>
      <c r="AK1728" s="5"/>
      <c r="AL1728" s="5"/>
      <c r="AM1728" s="5"/>
      <c r="AN1728" s="5"/>
      <c r="AO1728" s="5"/>
      <c r="AP1728" s="5"/>
      <c r="AQ1728" s="5"/>
    </row>
    <row r="1729" spans="1:43" x14ac:dyDescent="0.25">
      <c r="A1729" s="161" t="str">
        <f t="shared" si="31"/>
        <v>U_FRENCH_MUSKETEER</v>
      </c>
      <c r="B1729" s="9" t="s">
        <v>2340</v>
      </c>
      <c r="C1729" s="5"/>
      <c r="D1729" s="5"/>
      <c r="E1729" s="5" t="s">
        <v>1567</v>
      </c>
      <c r="F1729" s="5" t="s">
        <v>1567</v>
      </c>
      <c r="G1729" s="5"/>
      <c r="H1729" s="5" t="s">
        <v>1678</v>
      </c>
      <c r="I1729" s="5" t="s">
        <v>128</v>
      </c>
      <c r="J1729" s="6"/>
      <c r="K1729" s="6"/>
      <c r="L1729" s="13" t="s">
        <v>1708</v>
      </c>
      <c r="M1729" s="8"/>
      <c r="N1729" s="5"/>
      <c r="O1729" s="5"/>
      <c r="P1729" s="5"/>
      <c r="Q1729" s="7">
        <v>14</v>
      </c>
      <c r="R1729" s="6" t="s">
        <v>1737</v>
      </c>
      <c r="S1729" s="13" t="s">
        <v>1619</v>
      </c>
      <c r="T1729" s="6">
        <v>19</v>
      </c>
      <c r="U1729" s="7" t="s">
        <v>1695</v>
      </c>
      <c r="V1729" s="5"/>
      <c r="W1729" s="6" t="s">
        <v>3</v>
      </c>
      <c r="X1729" s="6" t="s">
        <v>3</v>
      </c>
      <c r="Y1729" s="5"/>
      <c r="Z1729" s="7">
        <v>1</v>
      </c>
      <c r="AA1729" s="6"/>
      <c r="AB1729" s="5"/>
      <c r="AC1729" s="6"/>
      <c r="AD1729" s="6" t="s">
        <v>3</v>
      </c>
      <c r="AE1729" s="5"/>
      <c r="AF1729" s="7" t="s">
        <v>1737</v>
      </c>
      <c r="AG1729" s="6"/>
      <c r="AH1729" s="5"/>
      <c r="AI1729" s="7" t="s">
        <v>1737</v>
      </c>
      <c r="AJ1729" s="6"/>
      <c r="AK1729" s="5"/>
      <c r="AL1729" s="5"/>
      <c r="AM1729" s="5"/>
      <c r="AN1729" s="5"/>
      <c r="AO1729" s="5"/>
      <c r="AP1729" s="5"/>
      <c r="AQ1729" s="5"/>
    </row>
    <row r="1730" spans="1:43" x14ac:dyDescent="0.25">
      <c r="A1730" s="161" t="str">
        <f t="shared" si="31"/>
        <v>U_GERMAN_LANDSKNECHT</v>
      </c>
      <c r="B1730" s="9" t="s">
        <v>2341</v>
      </c>
      <c r="C1730" s="5"/>
      <c r="D1730" s="5"/>
      <c r="E1730" s="5" t="s">
        <v>1568</v>
      </c>
      <c r="F1730" s="5" t="s">
        <v>1568</v>
      </c>
      <c r="G1730" s="5"/>
      <c r="H1730" s="5" t="s">
        <v>1679</v>
      </c>
      <c r="I1730" s="5" t="s">
        <v>128</v>
      </c>
      <c r="J1730" s="6"/>
      <c r="K1730" s="6"/>
      <c r="L1730" s="13" t="s">
        <v>1708</v>
      </c>
      <c r="M1730" s="8"/>
      <c r="N1730" s="5"/>
      <c r="O1730" s="5"/>
      <c r="P1730" s="5"/>
      <c r="Q1730" s="7">
        <v>6</v>
      </c>
      <c r="R1730" s="6" t="s">
        <v>1737</v>
      </c>
      <c r="S1730" s="13" t="s">
        <v>22</v>
      </c>
      <c r="T1730" s="6">
        <v>5</v>
      </c>
      <c r="U1730" s="7" t="s">
        <v>1737</v>
      </c>
      <c r="V1730" s="5"/>
      <c r="W1730" s="7" t="s">
        <v>3</v>
      </c>
      <c r="X1730" s="6" t="s">
        <v>3</v>
      </c>
      <c r="Y1730" s="5"/>
      <c r="Z1730" s="7">
        <v>1</v>
      </c>
      <c r="AA1730" s="6"/>
      <c r="AB1730" s="5"/>
      <c r="AC1730" s="6"/>
      <c r="AD1730" s="6" t="s">
        <v>3</v>
      </c>
      <c r="AE1730" s="5"/>
      <c r="AF1730" s="7">
        <v>1</v>
      </c>
      <c r="AG1730" s="6"/>
      <c r="AH1730" s="5"/>
      <c r="AI1730" s="7">
        <v>2</v>
      </c>
      <c r="AJ1730" s="6"/>
      <c r="AK1730" s="5"/>
      <c r="AL1730" s="5"/>
      <c r="AM1730" s="5"/>
      <c r="AN1730" s="5"/>
      <c r="AO1730" s="5"/>
      <c r="AP1730" s="5"/>
      <c r="AQ1730" s="5"/>
    </row>
    <row r="1731" spans="1:43" x14ac:dyDescent="0.25">
      <c r="A1731" s="161" t="str">
        <f t="shared" si="31"/>
        <v>U_GERMAN_LANDSKNECHT</v>
      </c>
      <c r="B1731" s="9" t="s">
        <v>2341</v>
      </c>
      <c r="C1731" s="5"/>
      <c r="D1731" s="5"/>
      <c r="E1731" s="5" t="s">
        <v>1568</v>
      </c>
      <c r="F1731" s="5" t="s">
        <v>1568</v>
      </c>
      <c r="G1731" s="5" t="s">
        <v>92</v>
      </c>
      <c r="H1731" s="5" t="s">
        <v>1680</v>
      </c>
      <c r="I1731" s="5" t="s">
        <v>128</v>
      </c>
      <c r="J1731" s="6"/>
      <c r="K1731" s="6"/>
      <c r="L1731" s="13" t="s">
        <v>1708</v>
      </c>
      <c r="M1731" s="8"/>
      <c r="N1731" s="5"/>
      <c r="O1731" s="5"/>
      <c r="P1731" s="5"/>
      <c r="Q1731" s="7">
        <v>6</v>
      </c>
      <c r="R1731" s="6" t="s">
        <v>1737</v>
      </c>
      <c r="S1731" s="13" t="s">
        <v>22</v>
      </c>
      <c r="T1731" s="6">
        <v>6</v>
      </c>
      <c r="U1731" s="7" t="s">
        <v>1737</v>
      </c>
      <c r="V1731" s="5"/>
      <c r="W1731" s="7" t="s">
        <v>3</v>
      </c>
      <c r="X1731" s="6" t="s">
        <v>3</v>
      </c>
      <c r="Y1731" s="5"/>
      <c r="Z1731" s="7">
        <v>0</v>
      </c>
      <c r="AA1731" s="6"/>
      <c r="AB1731" s="5"/>
      <c r="AC1731" s="6"/>
      <c r="AD1731" s="6" t="s">
        <v>3</v>
      </c>
      <c r="AE1731" s="5"/>
      <c r="AF1731" s="7">
        <v>1</v>
      </c>
      <c r="AG1731" s="6"/>
      <c r="AH1731" s="5"/>
      <c r="AI1731" s="7">
        <v>3</v>
      </c>
      <c r="AJ1731" s="6"/>
      <c r="AK1731" s="5"/>
      <c r="AL1731" s="5"/>
      <c r="AM1731" s="5"/>
      <c r="AN1731" s="5"/>
      <c r="AO1731" s="5"/>
      <c r="AP1731" s="5"/>
      <c r="AQ1731" s="5"/>
    </row>
    <row r="1732" spans="1:43" x14ac:dyDescent="0.25">
      <c r="A1732" s="161" t="str">
        <f t="shared" si="31"/>
        <v>U_GERMAN_LANDSKNECHT</v>
      </c>
      <c r="B1732" s="9" t="s">
        <v>2341</v>
      </c>
      <c r="C1732" s="5"/>
      <c r="D1732" s="5"/>
      <c r="E1732" s="5" t="s">
        <v>1568</v>
      </c>
      <c r="F1732" s="5" t="s">
        <v>1568</v>
      </c>
      <c r="G1732" s="5"/>
      <c r="H1732" s="5" t="s">
        <v>1679</v>
      </c>
      <c r="I1732" s="5" t="s">
        <v>128</v>
      </c>
      <c r="J1732" s="6"/>
      <c r="K1732" s="6"/>
      <c r="L1732" s="13" t="s">
        <v>1708</v>
      </c>
      <c r="M1732" s="8"/>
      <c r="N1732" s="5"/>
      <c r="O1732" s="5"/>
      <c r="P1732" s="5"/>
      <c r="Q1732" s="7">
        <v>0</v>
      </c>
      <c r="R1732" s="6" t="s">
        <v>1737</v>
      </c>
      <c r="S1732" s="13" t="s">
        <v>22</v>
      </c>
      <c r="T1732" s="7">
        <v>5</v>
      </c>
      <c r="U1732" s="7" t="s">
        <v>1737</v>
      </c>
      <c r="V1732" s="5"/>
      <c r="W1732" s="7" t="s">
        <v>3</v>
      </c>
      <c r="X1732" s="6" t="s">
        <v>3</v>
      </c>
      <c r="Y1732" s="5"/>
      <c r="Z1732" s="7">
        <v>0</v>
      </c>
      <c r="AA1732" s="6"/>
      <c r="AB1732" s="5"/>
      <c r="AC1732" s="6"/>
      <c r="AD1732" s="6" t="s">
        <v>3</v>
      </c>
      <c r="AE1732" s="5"/>
      <c r="AF1732" s="7">
        <v>1</v>
      </c>
      <c r="AG1732" s="6"/>
      <c r="AH1732" s="5"/>
      <c r="AI1732" s="7">
        <v>2</v>
      </c>
      <c r="AJ1732" s="6"/>
      <c r="AK1732" s="5"/>
      <c r="AL1732" s="5"/>
      <c r="AM1732" s="5"/>
      <c r="AN1732" s="5"/>
      <c r="AO1732" s="5"/>
      <c r="AP1732" s="5"/>
      <c r="AQ1732" s="5"/>
    </row>
    <row r="1733" spans="1:43" x14ac:dyDescent="0.25">
      <c r="A1733" s="161" t="str">
        <f>CONCATENATE(E1733,IF(ISBLANK(C1733),"",CONCATENATE("_",C1733)))</f>
        <v>U_GERMAN_LANDSKNECHT</v>
      </c>
      <c r="C1733" s="5"/>
      <c r="D1733" s="5"/>
      <c r="E1733" s="5" t="s">
        <v>1568</v>
      </c>
      <c r="F1733" s="5" t="s">
        <v>1568</v>
      </c>
      <c r="G1733" s="5" t="s">
        <v>2577</v>
      </c>
      <c r="H1733" s="5" t="s">
        <v>1679</v>
      </c>
      <c r="I1733" s="5" t="s">
        <v>128</v>
      </c>
      <c r="J1733" s="6"/>
      <c r="K1733" s="6"/>
      <c r="L1733" s="13" t="s">
        <v>1708</v>
      </c>
      <c r="M1733" s="8"/>
      <c r="N1733" s="5"/>
      <c r="O1733" s="5"/>
      <c r="P1733" s="5"/>
      <c r="Q1733" s="7">
        <v>0</v>
      </c>
      <c r="R1733" s="6" t="s">
        <v>1737</v>
      </c>
      <c r="S1733" s="13" t="s">
        <v>22</v>
      </c>
      <c r="T1733" s="7">
        <v>0</v>
      </c>
      <c r="U1733" s="7" t="s">
        <v>1737</v>
      </c>
      <c r="V1733" s="5"/>
      <c r="W1733" s="7">
        <v>0</v>
      </c>
      <c r="X1733" s="6" t="s">
        <v>3</v>
      </c>
      <c r="Y1733" s="5"/>
      <c r="Z1733" s="7">
        <v>0</v>
      </c>
      <c r="AA1733" s="6"/>
      <c r="AB1733" s="5"/>
      <c r="AC1733" s="6">
        <v>0</v>
      </c>
      <c r="AD1733" s="6" t="s">
        <v>3</v>
      </c>
      <c r="AE1733" s="5"/>
      <c r="AF1733" s="7">
        <v>0</v>
      </c>
      <c r="AG1733" s="6"/>
      <c r="AH1733" s="5"/>
      <c r="AI1733" s="7">
        <v>0</v>
      </c>
      <c r="AJ1733" s="6"/>
      <c r="AK1733" s="5"/>
      <c r="AL1733" s="5" t="s">
        <v>1911</v>
      </c>
      <c r="AM1733" s="5"/>
      <c r="AN1733" s="5"/>
      <c r="AO1733" s="5" t="s">
        <v>1911</v>
      </c>
      <c r="AP1733" s="5"/>
      <c r="AQ1733" s="5"/>
    </row>
    <row r="1734" spans="1:43" x14ac:dyDescent="0.25">
      <c r="A1734" s="161" t="str">
        <f t="shared" si="31"/>
        <v>U_GERMAN_PANZER</v>
      </c>
      <c r="B1734" s="9" t="s">
        <v>2342</v>
      </c>
      <c r="C1734" s="5"/>
      <c r="D1734" s="5"/>
      <c r="E1734" s="5" t="s">
        <v>1569</v>
      </c>
      <c r="F1734" s="5" t="s">
        <v>1569</v>
      </c>
      <c r="G1734" s="5"/>
      <c r="H1734" s="5" t="s">
        <v>1681</v>
      </c>
      <c r="I1734" s="5" t="s">
        <v>128</v>
      </c>
      <c r="J1734" s="6"/>
      <c r="K1734" s="6"/>
      <c r="L1734" s="13" t="s">
        <v>1709</v>
      </c>
      <c r="M1734" s="8"/>
      <c r="N1734" s="5"/>
      <c r="O1734" s="5"/>
      <c r="P1734" s="5"/>
      <c r="Q1734" s="7">
        <v>3</v>
      </c>
      <c r="R1734" s="6">
        <v>0.11</v>
      </c>
      <c r="S1734" s="13" t="s">
        <v>1623</v>
      </c>
      <c r="T1734" s="6"/>
      <c r="U1734" s="6">
        <v>0.11</v>
      </c>
      <c r="V1734" s="5"/>
      <c r="W1734" s="6" t="s">
        <v>3</v>
      </c>
      <c r="X1734" s="6" t="s">
        <v>3</v>
      </c>
      <c r="Y1734" s="5"/>
      <c r="Z1734" s="7">
        <v>1</v>
      </c>
      <c r="AA1734" s="6"/>
      <c r="AB1734" s="5"/>
      <c r="AC1734" s="6"/>
      <c r="AD1734" s="6" t="s">
        <v>3</v>
      </c>
      <c r="AE1734" s="5"/>
      <c r="AF1734" s="6"/>
      <c r="AG1734" s="6"/>
      <c r="AH1734" s="5"/>
      <c r="AI1734" s="6"/>
      <c r="AJ1734" s="6"/>
      <c r="AK1734" s="5"/>
      <c r="AL1734" s="5"/>
      <c r="AM1734" s="5"/>
      <c r="AN1734" s="5"/>
      <c r="AO1734" s="5"/>
      <c r="AP1734" s="5"/>
      <c r="AQ1734" s="5"/>
    </row>
    <row r="1735" spans="1:43" x14ac:dyDescent="0.25">
      <c r="A1735" s="161" t="str">
        <f t="shared" si="31"/>
        <v>U_GREEK_COMPANIONCAVALRY</v>
      </c>
      <c r="B1735" s="9" t="s">
        <v>2343</v>
      </c>
      <c r="C1735" s="5"/>
      <c r="D1735" s="5"/>
      <c r="E1735" s="5" t="s">
        <v>1570</v>
      </c>
      <c r="F1735" s="5" t="s">
        <v>1570</v>
      </c>
      <c r="G1735" s="5"/>
      <c r="H1735" s="5" t="s">
        <v>925</v>
      </c>
      <c r="I1735" s="5" t="s">
        <v>128</v>
      </c>
      <c r="J1735" s="6"/>
      <c r="K1735" s="6"/>
      <c r="L1735" s="13" t="s">
        <v>1714</v>
      </c>
      <c r="M1735" s="8"/>
      <c r="N1735" s="5"/>
      <c r="O1735" s="5"/>
      <c r="P1735" s="5"/>
      <c r="Q1735" s="7" t="s">
        <v>1695</v>
      </c>
      <c r="R1735" s="6" t="s">
        <v>1695</v>
      </c>
      <c r="S1735" s="13" t="s">
        <v>1695</v>
      </c>
      <c r="T1735" s="6" t="s">
        <v>1695</v>
      </c>
      <c r="U1735" s="7" t="s">
        <v>1695</v>
      </c>
      <c r="V1735" s="5" t="s">
        <v>1701</v>
      </c>
      <c r="W1735" s="6" t="s">
        <v>3</v>
      </c>
      <c r="X1735" s="6" t="s">
        <v>3</v>
      </c>
      <c r="Y1735" s="5"/>
      <c r="Z1735" s="7">
        <v>1</v>
      </c>
      <c r="AA1735" s="6"/>
      <c r="AB1735" s="5"/>
      <c r="AC1735" s="6"/>
      <c r="AD1735" s="6" t="s">
        <v>3</v>
      </c>
      <c r="AE1735" s="5"/>
      <c r="AF1735" s="7" t="s">
        <v>1695</v>
      </c>
      <c r="AG1735" s="6"/>
      <c r="AH1735" s="5"/>
      <c r="AI1735" s="6"/>
      <c r="AJ1735" s="6"/>
      <c r="AK1735" s="5"/>
      <c r="AL1735" s="5"/>
      <c r="AM1735" s="5"/>
      <c r="AN1735" s="5"/>
      <c r="AO1735" s="5"/>
      <c r="AP1735" s="5"/>
      <c r="AQ1735" s="5"/>
    </row>
    <row r="1736" spans="1:43" x14ac:dyDescent="0.25">
      <c r="A1736" s="161" t="str">
        <f t="shared" si="31"/>
        <v>U_GREEK_HOPLITE</v>
      </c>
      <c r="B1736" s="9" t="s">
        <v>2344</v>
      </c>
      <c r="C1736" s="5"/>
      <c r="D1736" s="5"/>
      <c r="E1736" s="4" t="s">
        <v>785</v>
      </c>
      <c r="F1736" s="5" t="s">
        <v>785</v>
      </c>
      <c r="G1736" s="5"/>
      <c r="H1736" s="5" t="s">
        <v>412</v>
      </c>
      <c r="I1736" s="5" t="s">
        <v>128</v>
      </c>
      <c r="J1736" s="6"/>
      <c r="K1736" s="6"/>
      <c r="L1736" s="13" t="s">
        <v>1708</v>
      </c>
      <c r="M1736" s="8"/>
      <c r="N1736" s="5"/>
      <c r="O1736" s="5"/>
      <c r="P1736" s="5"/>
      <c r="Q1736" s="7">
        <v>0</v>
      </c>
      <c r="R1736" s="6" t="s">
        <v>1737</v>
      </c>
      <c r="S1736" s="13" t="s">
        <v>1625</v>
      </c>
      <c r="T1736" s="6">
        <v>0</v>
      </c>
      <c r="U1736" s="7" t="s">
        <v>1737</v>
      </c>
      <c r="V1736" s="5" t="s">
        <v>1705</v>
      </c>
      <c r="W1736" s="7">
        <v>0</v>
      </c>
      <c r="X1736" s="6" t="s">
        <v>3</v>
      </c>
      <c r="Y1736" s="5"/>
      <c r="Z1736" s="7">
        <v>0</v>
      </c>
      <c r="AA1736" s="6"/>
      <c r="AB1736" s="5"/>
      <c r="AC1736" s="6">
        <v>0</v>
      </c>
      <c r="AD1736" s="6" t="s">
        <v>3</v>
      </c>
      <c r="AE1736" s="5"/>
      <c r="AF1736" s="7">
        <v>0</v>
      </c>
      <c r="AG1736" s="6"/>
      <c r="AH1736" s="5"/>
      <c r="AI1736" s="7">
        <v>0</v>
      </c>
      <c r="AJ1736" s="6"/>
      <c r="AK1736" s="5"/>
      <c r="AL1736" s="5" t="s">
        <v>1911</v>
      </c>
      <c r="AM1736" s="5"/>
      <c r="AN1736" s="5"/>
      <c r="AO1736" s="5" t="s">
        <v>1911</v>
      </c>
      <c r="AP1736" s="5"/>
      <c r="AQ1736" s="5"/>
    </row>
    <row r="1737" spans="1:43" x14ac:dyDescent="0.25">
      <c r="A1737" s="161" t="str">
        <f t="shared" si="31"/>
        <v>U_GREEK_HOPLITE</v>
      </c>
      <c r="B1737" s="9" t="s">
        <v>2344</v>
      </c>
      <c r="E1737" s="4" t="s">
        <v>785</v>
      </c>
      <c r="F1737" s="4" t="s">
        <v>785</v>
      </c>
      <c r="G1737" s="4" t="s">
        <v>2055</v>
      </c>
      <c r="H1737" s="4" t="s">
        <v>922</v>
      </c>
      <c r="I1737" s="4" t="s">
        <v>102</v>
      </c>
      <c r="L1737" s="4" t="s">
        <v>1708</v>
      </c>
      <c r="Q1737" s="11">
        <v>2</v>
      </c>
      <c r="S1737" s="13" t="s">
        <v>1625</v>
      </c>
      <c r="T1737" s="11">
        <v>2</v>
      </c>
      <c r="V1737" s="5" t="s">
        <v>1705</v>
      </c>
      <c r="W1737" s="11" t="s">
        <v>3</v>
      </c>
      <c r="Z1737" s="11">
        <v>1</v>
      </c>
      <c r="AD1737" s="6" t="s">
        <v>3</v>
      </c>
      <c r="AF1737" s="11">
        <v>1</v>
      </c>
      <c r="AI1737" s="11">
        <v>1</v>
      </c>
    </row>
    <row r="1738" spans="1:43" x14ac:dyDescent="0.25">
      <c r="A1738" s="161" t="str">
        <f t="shared" si="31"/>
        <v>U_GREEK_HOPLITE</v>
      </c>
      <c r="B1738" s="9" t="s">
        <v>2344</v>
      </c>
      <c r="E1738" s="4" t="s">
        <v>785</v>
      </c>
      <c r="F1738" s="4" t="s">
        <v>785</v>
      </c>
      <c r="G1738" s="4" t="s">
        <v>2047</v>
      </c>
      <c r="H1738" s="4" t="s">
        <v>923</v>
      </c>
      <c r="I1738" s="4" t="s">
        <v>102</v>
      </c>
      <c r="L1738" s="4" t="s">
        <v>1708</v>
      </c>
      <c r="Q1738" s="11">
        <v>2</v>
      </c>
      <c r="S1738" s="13" t="s">
        <v>1625</v>
      </c>
      <c r="T1738" s="11">
        <v>3</v>
      </c>
      <c r="V1738" s="5" t="s">
        <v>1705</v>
      </c>
      <c r="W1738" s="11" t="s">
        <v>3</v>
      </c>
      <c r="Z1738" s="11">
        <v>0</v>
      </c>
      <c r="AD1738" s="6" t="s">
        <v>3</v>
      </c>
      <c r="AF1738" s="11">
        <v>1</v>
      </c>
      <c r="AI1738" s="11">
        <v>1</v>
      </c>
    </row>
    <row r="1739" spans="1:43" x14ac:dyDescent="0.25">
      <c r="A1739" s="161" t="str">
        <f t="shared" si="31"/>
        <v>U_GREEK_HOPLITE</v>
      </c>
      <c r="B1739" s="9" t="s">
        <v>2344</v>
      </c>
      <c r="E1739" s="4" t="s">
        <v>785</v>
      </c>
      <c r="F1739" s="4" t="s">
        <v>785</v>
      </c>
      <c r="G1739" s="4" t="s">
        <v>2049</v>
      </c>
      <c r="H1739" s="4" t="s">
        <v>679</v>
      </c>
      <c r="I1739" s="4" t="s">
        <v>102</v>
      </c>
      <c r="L1739" s="4" t="s">
        <v>1708</v>
      </c>
      <c r="Q1739" s="11">
        <v>2</v>
      </c>
      <c r="S1739" s="13" t="s">
        <v>1625</v>
      </c>
      <c r="T1739" s="11">
        <v>4</v>
      </c>
      <c r="V1739" s="5" t="s">
        <v>1705</v>
      </c>
      <c r="W1739" s="11" t="s">
        <v>3</v>
      </c>
      <c r="Z1739" s="11">
        <v>0</v>
      </c>
      <c r="AD1739" s="6" t="s">
        <v>3</v>
      </c>
      <c r="AF1739" s="11">
        <v>1</v>
      </c>
      <c r="AI1739" s="11">
        <v>1</v>
      </c>
    </row>
    <row r="1740" spans="1:43" x14ac:dyDescent="0.25">
      <c r="A1740" s="161" t="str">
        <f t="shared" si="31"/>
        <v>U_GREEK_HOPLITE</v>
      </c>
      <c r="B1740" s="9" t="s">
        <v>2344</v>
      </c>
      <c r="E1740" s="4" t="s">
        <v>785</v>
      </c>
      <c r="F1740" s="4" t="s">
        <v>785</v>
      </c>
      <c r="G1740" s="4" t="s">
        <v>2055</v>
      </c>
      <c r="H1740" s="4" t="s">
        <v>922</v>
      </c>
      <c r="I1740" s="4" t="s">
        <v>102</v>
      </c>
      <c r="L1740" s="4" t="s">
        <v>1708</v>
      </c>
      <c r="Q1740" s="9">
        <v>2</v>
      </c>
      <c r="S1740" s="13" t="s">
        <v>1625</v>
      </c>
      <c r="T1740" s="11">
        <v>4</v>
      </c>
      <c r="V1740" s="5" t="s">
        <v>1705</v>
      </c>
      <c r="W1740" s="9" t="s">
        <v>3</v>
      </c>
      <c r="Z1740" s="9">
        <v>0</v>
      </c>
      <c r="AD1740" s="6" t="s">
        <v>3</v>
      </c>
      <c r="AF1740" s="11">
        <v>0</v>
      </c>
      <c r="AI1740" s="11">
        <v>2</v>
      </c>
    </row>
    <row r="1741" spans="1:43" x14ac:dyDescent="0.25">
      <c r="A1741" s="161" t="str">
        <f t="shared" si="31"/>
        <v>U_GREEK_HOPLITE</v>
      </c>
      <c r="B1741" s="9" t="s">
        <v>2344</v>
      </c>
      <c r="E1741" s="4" t="s">
        <v>785</v>
      </c>
      <c r="F1741" s="4" t="s">
        <v>785</v>
      </c>
      <c r="G1741" s="4" t="s">
        <v>2047</v>
      </c>
      <c r="H1741" s="4" t="s">
        <v>923</v>
      </c>
      <c r="I1741" s="4" t="s">
        <v>102</v>
      </c>
      <c r="L1741" s="4" t="s">
        <v>1708</v>
      </c>
      <c r="Q1741" s="9">
        <v>2</v>
      </c>
      <c r="S1741" s="13" t="s">
        <v>1625</v>
      </c>
      <c r="T1741" s="11">
        <v>3</v>
      </c>
      <c r="V1741" s="5" t="s">
        <v>1705</v>
      </c>
      <c r="W1741" s="9" t="s">
        <v>3</v>
      </c>
      <c r="Z1741" s="9">
        <v>0</v>
      </c>
      <c r="AD1741" s="6" t="s">
        <v>3</v>
      </c>
      <c r="AF1741" s="11">
        <v>0</v>
      </c>
      <c r="AI1741" s="11">
        <v>1</v>
      </c>
    </row>
    <row r="1742" spans="1:43" x14ac:dyDescent="0.25">
      <c r="A1742" s="161" t="str">
        <f t="shared" si="31"/>
        <v>U_GREEK_HOPLITE</v>
      </c>
      <c r="B1742" s="9" t="s">
        <v>2344</v>
      </c>
      <c r="E1742" s="4" t="s">
        <v>785</v>
      </c>
      <c r="F1742" s="4" t="s">
        <v>785</v>
      </c>
      <c r="G1742" s="4" t="s">
        <v>2049</v>
      </c>
      <c r="H1742" s="4" t="s">
        <v>679</v>
      </c>
      <c r="I1742" s="4" t="s">
        <v>102</v>
      </c>
      <c r="L1742" s="4" t="s">
        <v>1708</v>
      </c>
      <c r="Q1742" s="9">
        <v>2</v>
      </c>
      <c r="S1742" s="13" t="s">
        <v>1625</v>
      </c>
      <c r="T1742" s="11">
        <v>2</v>
      </c>
      <c r="V1742" s="5" t="s">
        <v>1705</v>
      </c>
      <c r="W1742" s="9" t="s">
        <v>3</v>
      </c>
      <c r="Z1742" s="9">
        <v>0</v>
      </c>
      <c r="AD1742" s="6" t="s">
        <v>3</v>
      </c>
      <c r="AF1742" s="11">
        <v>0</v>
      </c>
      <c r="AI1742" s="11">
        <v>1</v>
      </c>
    </row>
    <row r="1743" spans="1:43" x14ac:dyDescent="0.25">
      <c r="A1743" s="161" t="str">
        <f t="shared" si="31"/>
        <v>U_HITTITE_WARCHARIOT</v>
      </c>
      <c r="C1743" s="5"/>
      <c r="D1743" s="5"/>
      <c r="E1743" s="5" t="s">
        <v>1571</v>
      </c>
      <c r="F1743" s="5" t="s">
        <v>1571</v>
      </c>
      <c r="G1743" s="5"/>
      <c r="H1743" s="5" t="s">
        <v>1641</v>
      </c>
      <c r="I1743" s="5" t="s">
        <v>128</v>
      </c>
      <c r="J1743" s="6"/>
      <c r="K1743" s="6"/>
      <c r="L1743" s="13" t="s">
        <v>1709</v>
      </c>
      <c r="M1743" s="8"/>
      <c r="N1743" s="5"/>
      <c r="O1743" s="5"/>
      <c r="P1743" s="5"/>
      <c r="Q1743" s="7">
        <v>2</v>
      </c>
      <c r="R1743" s="6">
        <v>0.14499999999999999</v>
      </c>
      <c r="S1743" s="13" t="s">
        <v>1613</v>
      </c>
      <c r="T1743" s="6">
        <v>3</v>
      </c>
      <c r="U1743" s="6" t="s">
        <v>1737</v>
      </c>
      <c r="V1743" s="5" t="s">
        <v>1618</v>
      </c>
      <c r="W1743" s="6" t="s">
        <v>3</v>
      </c>
      <c r="X1743" s="6" t="s">
        <v>3</v>
      </c>
      <c r="Y1743" s="5"/>
      <c r="Z1743" s="7">
        <v>1</v>
      </c>
      <c r="AA1743" s="6"/>
      <c r="AB1743" s="5"/>
      <c r="AC1743" s="6"/>
      <c r="AD1743" s="6" t="s">
        <v>3</v>
      </c>
      <c r="AE1743" s="5"/>
      <c r="AF1743" s="6"/>
      <c r="AG1743" s="6"/>
      <c r="AH1743" s="5"/>
      <c r="AI1743" s="6"/>
      <c r="AJ1743" s="6"/>
      <c r="AK1743" s="5"/>
      <c r="AL1743" s="5"/>
      <c r="AM1743" s="5"/>
      <c r="AN1743" s="5"/>
      <c r="AO1743" s="5"/>
      <c r="AP1743" s="5"/>
      <c r="AQ1743" s="5"/>
    </row>
    <row r="1744" spans="1:43" x14ac:dyDescent="0.25">
      <c r="A1744" s="161" t="str">
        <f t="shared" si="31"/>
        <v>U_HUNS_BATTERING_RAM</v>
      </c>
      <c r="B1744" s="9" t="s">
        <v>2377</v>
      </c>
      <c r="C1744" s="5"/>
      <c r="D1744" s="5"/>
      <c r="E1744" s="5" t="s">
        <v>1572</v>
      </c>
      <c r="F1744" s="5" t="s">
        <v>1572</v>
      </c>
      <c r="G1744" s="5"/>
      <c r="H1744" s="5" t="s">
        <v>1642</v>
      </c>
      <c r="I1744" s="5" t="s">
        <v>128</v>
      </c>
      <c r="J1744" s="6"/>
      <c r="K1744" s="6"/>
      <c r="L1744" s="13" t="s">
        <v>1708</v>
      </c>
      <c r="M1744" s="8"/>
      <c r="N1744" s="5"/>
      <c r="O1744" s="5"/>
      <c r="P1744" s="5"/>
      <c r="Q1744" s="7">
        <v>1</v>
      </c>
      <c r="R1744" s="6">
        <v>0.115</v>
      </c>
      <c r="S1744" s="13" t="s">
        <v>1613</v>
      </c>
      <c r="T1744" s="7">
        <v>3</v>
      </c>
      <c r="U1744" s="6">
        <v>7.4999999999999997E-2</v>
      </c>
      <c r="V1744" s="5" t="s">
        <v>1697</v>
      </c>
      <c r="W1744" s="7"/>
      <c r="X1744" s="6" t="s">
        <v>3</v>
      </c>
      <c r="Y1744" s="5"/>
      <c r="Z1744" s="6"/>
      <c r="AA1744" s="6"/>
      <c r="AB1744" s="5"/>
      <c r="AC1744" s="6"/>
      <c r="AD1744" s="6" t="s">
        <v>3</v>
      </c>
      <c r="AE1744" s="5"/>
      <c r="AF1744" s="6"/>
      <c r="AG1744" s="6"/>
      <c r="AH1744" s="5"/>
      <c r="AI1744" s="6"/>
      <c r="AJ1744" s="6"/>
      <c r="AK1744" s="5"/>
      <c r="AL1744" s="5"/>
      <c r="AM1744" s="5"/>
      <c r="AN1744" s="5"/>
      <c r="AO1744" s="5"/>
      <c r="AP1744" s="5"/>
      <c r="AQ1744" s="5"/>
    </row>
    <row r="1745" spans="1:43" x14ac:dyDescent="0.25">
      <c r="A1745" s="161" t="str">
        <f t="shared" si="31"/>
        <v>U_HUNS_BATTERING_RAM</v>
      </c>
      <c r="B1745" s="9" t="s">
        <v>2377</v>
      </c>
      <c r="C1745" s="5"/>
      <c r="D1745" s="5"/>
      <c r="E1745" s="5" t="s">
        <v>1572</v>
      </c>
      <c r="F1745" s="5" t="s">
        <v>1572</v>
      </c>
      <c r="G1745" s="5" t="s">
        <v>750</v>
      </c>
      <c r="H1745" s="5" t="s">
        <v>36</v>
      </c>
      <c r="I1745" s="5" t="s">
        <v>128</v>
      </c>
      <c r="J1745" s="6"/>
      <c r="K1745" s="6"/>
      <c r="L1745" s="13" t="s">
        <v>746</v>
      </c>
      <c r="M1745" s="8"/>
      <c r="N1745" s="5"/>
      <c r="O1745" s="5"/>
      <c r="P1745" s="5"/>
      <c r="Q1745" s="7">
        <v>0</v>
      </c>
      <c r="R1745" s="6" t="s">
        <v>1695</v>
      </c>
      <c r="S1745" s="13" t="s">
        <v>1613</v>
      </c>
      <c r="T1745" s="6">
        <v>0</v>
      </c>
      <c r="U1745" s="6"/>
      <c r="V1745" s="5" t="s">
        <v>1611</v>
      </c>
      <c r="W1745" s="6">
        <v>3</v>
      </c>
      <c r="X1745" s="6" t="s">
        <v>3</v>
      </c>
      <c r="Y1745" s="5"/>
      <c r="Z1745" s="7">
        <v>0</v>
      </c>
      <c r="AA1745" s="6"/>
      <c r="AB1745" s="5"/>
      <c r="AC1745" s="6"/>
      <c r="AD1745" s="6" t="s">
        <v>3</v>
      </c>
      <c r="AE1745" s="5"/>
      <c r="AF1745" s="6">
        <v>0</v>
      </c>
      <c r="AG1745" s="6"/>
      <c r="AH1745" s="5"/>
      <c r="AI1745" s="6">
        <v>0</v>
      </c>
      <c r="AJ1745" s="6"/>
      <c r="AK1745" s="5"/>
      <c r="AL1745" s="5"/>
      <c r="AM1745" s="5"/>
      <c r="AN1745" s="5"/>
      <c r="AO1745" s="5"/>
      <c r="AP1745" s="5"/>
      <c r="AQ1745" s="5"/>
    </row>
    <row r="1746" spans="1:43" x14ac:dyDescent="0.25">
      <c r="A1746" s="161" t="str">
        <f t="shared" si="31"/>
        <v>U_HUNS_HORSE_ARCHER</v>
      </c>
      <c r="B1746" s="9" t="s">
        <v>2378</v>
      </c>
      <c r="C1746" s="5"/>
      <c r="D1746" s="5"/>
      <c r="E1746" s="5" t="s">
        <v>1573</v>
      </c>
      <c r="F1746" s="5" t="s">
        <v>1573</v>
      </c>
      <c r="G1746" s="5"/>
      <c r="H1746" s="5" t="s">
        <v>1643</v>
      </c>
      <c r="I1746" s="5" t="s">
        <v>128</v>
      </c>
      <c r="J1746" s="6"/>
      <c r="K1746" s="6"/>
      <c r="L1746" s="13" t="s">
        <v>1714</v>
      </c>
      <c r="M1746" s="8"/>
      <c r="N1746" s="5"/>
      <c r="O1746" s="5"/>
      <c r="P1746" s="5"/>
      <c r="Q1746" s="7" t="s">
        <v>1695</v>
      </c>
      <c r="R1746" s="6" t="s">
        <v>1695</v>
      </c>
      <c r="S1746" s="13" t="s">
        <v>1695</v>
      </c>
      <c r="T1746" s="6" t="s">
        <v>1695</v>
      </c>
      <c r="U1746" s="7" t="s">
        <v>1695</v>
      </c>
      <c r="V1746" s="5"/>
      <c r="W1746" s="6" t="s">
        <v>3</v>
      </c>
      <c r="X1746" s="6" t="s">
        <v>3</v>
      </c>
      <c r="Y1746" s="5"/>
      <c r="Z1746" s="7">
        <v>1</v>
      </c>
      <c r="AA1746" s="6"/>
      <c r="AB1746" s="5"/>
      <c r="AC1746" s="6"/>
      <c r="AD1746" s="6" t="s">
        <v>3</v>
      </c>
      <c r="AE1746" s="5"/>
      <c r="AF1746" s="7" t="s">
        <v>1695</v>
      </c>
      <c r="AG1746" s="6"/>
      <c r="AH1746" s="5"/>
      <c r="AI1746" s="6"/>
      <c r="AJ1746" s="6"/>
      <c r="AK1746" s="5"/>
      <c r="AL1746" s="5"/>
      <c r="AM1746" s="5"/>
      <c r="AN1746" s="5"/>
      <c r="AO1746" s="5"/>
      <c r="AP1746" s="5"/>
      <c r="AQ1746" s="5"/>
    </row>
    <row r="1747" spans="1:43" x14ac:dyDescent="0.25">
      <c r="A1747" s="161" t="str">
        <f t="shared" si="31"/>
        <v>U_INCAN_SLINGER</v>
      </c>
      <c r="B1747" s="9" t="s">
        <v>2345</v>
      </c>
      <c r="C1747" s="5"/>
      <c r="D1747" s="5"/>
      <c r="E1747" s="5" t="s">
        <v>1574</v>
      </c>
      <c r="F1747" s="5" t="s">
        <v>1574</v>
      </c>
      <c r="G1747" s="5"/>
      <c r="H1747" s="5" t="s">
        <v>1644</v>
      </c>
      <c r="I1747" s="5" t="s">
        <v>128</v>
      </c>
      <c r="J1747" s="6"/>
      <c r="K1747" s="6"/>
      <c r="L1747" s="13" t="s">
        <v>1708</v>
      </c>
      <c r="M1747" s="8"/>
      <c r="N1747" s="5"/>
      <c r="O1747" s="5"/>
      <c r="P1747" s="5"/>
      <c r="Q1747" s="7" t="s">
        <v>1737</v>
      </c>
      <c r="R1747" s="6" t="s">
        <v>1737</v>
      </c>
      <c r="S1747" s="13" t="s">
        <v>44</v>
      </c>
      <c r="T1747" s="6"/>
      <c r="U1747" s="6"/>
      <c r="V1747" s="5"/>
      <c r="W1747" s="6" t="s">
        <v>3</v>
      </c>
      <c r="X1747" s="6" t="s">
        <v>3</v>
      </c>
      <c r="Y1747" s="5"/>
      <c r="Z1747" s="7">
        <v>1</v>
      </c>
      <c r="AA1747" s="6"/>
      <c r="AB1747" s="5"/>
      <c r="AC1747" s="6"/>
      <c r="AD1747" s="6" t="s">
        <v>3</v>
      </c>
      <c r="AE1747" s="5"/>
      <c r="AF1747" s="7" t="s">
        <v>1737</v>
      </c>
      <c r="AG1747" s="6"/>
      <c r="AH1747" s="5"/>
      <c r="AI1747" s="6" t="s">
        <v>1737</v>
      </c>
      <c r="AJ1747" s="6"/>
      <c r="AK1747" s="5"/>
      <c r="AL1747" s="5"/>
      <c r="AM1747" s="5"/>
      <c r="AN1747" s="5"/>
      <c r="AO1747" s="5"/>
      <c r="AP1747" s="5"/>
      <c r="AQ1747" s="5"/>
    </row>
    <row r="1748" spans="1:43" x14ac:dyDescent="0.25">
      <c r="A1748" s="161" t="str">
        <f t="shared" si="31"/>
        <v>U_INDIAN_WARELEPHANT</v>
      </c>
      <c r="B1748" s="9" t="s">
        <v>2346</v>
      </c>
      <c r="C1748" s="5"/>
      <c r="D1748" s="5"/>
      <c r="E1748" s="5" t="s">
        <v>1575</v>
      </c>
      <c r="F1748" s="5" t="s">
        <v>1575</v>
      </c>
      <c r="G1748" s="5"/>
      <c r="H1748" s="5" t="s">
        <v>1682</v>
      </c>
      <c r="I1748" s="5" t="s">
        <v>128</v>
      </c>
      <c r="J1748" s="6"/>
      <c r="K1748" s="6"/>
      <c r="L1748" s="13" t="s">
        <v>1717</v>
      </c>
      <c r="M1748" s="8"/>
      <c r="N1748" s="5"/>
      <c r="O1748" s="5"/>
      <c r="P1748" s="5"/>
      <c r="Q1748" s="7">
        <v>2</v>
      </c>
      <c r="R1748" s="6" t="s">
        <v>1695</v>
      </c>
      <c r="S1748" s="13" t="s">
        <v>1618</v>
      </c>
      <c r="T1748" s="7">
        <v>3</v>
      </c>
      <c r="U1748" s="7" t="s">
        <v>1695</v>
      </c>
      <c r="V1748" s="5"/>
      <c r="W1748" s="6" t="s">
        <v>3</v>
      </c>
      <c r="X1748" s="6" t="s">
        <v>3</v>
      </c>
      <c r="Y1748" s="5"/>
      <c r="Z1748" s="7">
        <v>1</v>
      </c>
      <c r="AA1748" s="6"/>
      <c r="AB1748" s="5"/>
      <c r="AC1748" s="6"/>
      <c r="AD1748" s="6" t="s">
        <v>3</v>
      </c>
      <c r="AE1748" s="5"/>
      <c r="AF1748" s="6"/>
      <c r="AG1748" s="6"/>
      <c r="AH1748" s="5"/>
      <c r="AI1748" s="6"/>
      <c r="AJ1748" s="6"/>
      <c r="AK1748" s="5"/>
      <c r="AL1748" s="5"/>
      <c r="AM1748" s="5"/>
      <c r="AN1748" s="5"/>
      <c r="AO1748" s="5"/>
      <c r="AP1748" s="5"/>
      <c r="AQ1748" s="5"/>
    </row>
    <row r="1749" spans="1:43" x14ac:dyDescent="0.25">
      <c r="A1749" s="161" t="str">
        <f t="shared" si="31"/>
        <v>U_INDONESIAN_KRIS_SWORDSMAN</v>
      </c>
      <c r="B1749" s="9" t="s">
        <v>2379</v>
      </c>
      <c r="C1749" s="5"/>
      <c r="D1749" s="5"/>
      <c r="E1749" s="5" t="s">
        <v>1576</v>
      </c>
      <c r="F1749" s="5" t="s">
        <v>1576</v>
      </c>
      <c r="G1749" s="5"/>
      <c r="H1749" s="5" t="s">
        <v>1645</v>
      </c>
      <c r="I1749" s="5" t="s">
        <v>128</v>
      </c>
      <c r="J1749" s="6"/>
      <c r="K1749" s="6"/>
      <c r="L1749" s="13" t="s">
        <v>1708</v>
      </c>
      <c r="M1749" s="8"/>
      <c r="N1749" s="5"/>
      <c r="O1749" s="5"/>
      <c r="P1749" s="5"/>
      <c r="Q1749" s="7" t="s">
        <v>1737</v>
      </c>
      <c r="R1749" s="6" t="s">
        <v>1737</v>
      </c>
      <c r="S1749" s="13" t="s">
        <v>1737</v>
      </c>
      <c r="T1749" s="6"/>
      <c r="U1749" s="7" t="s">
        <v>1695</v>
      </c>
      <c r="V1749" s="5"/>
      <c r="W1749" s="7" t="s">
        <v>3</v>
      </c>
      <c r="X1749" s="6" t="s">
        <v>3</v>
      </c>
      <c r="Y1749" s="5"/>
      <c r="Z1749" s="7">
        <v>1</v>
      </c>
      <c r="AA1749" s="6"/>
      <c r="AB1749" s="5"/>
      <c r="AC1749" s="6"/>
      <c r="AD1749" s="6" t="s">
        <v>3</v>
      </c>
      <c r="AE1749" s="5"/>
      <c r="AF1749" s="7" t="s">
        <v>1737</v>
      </c>
      <c r="AG1749" s="6"/>
      <c r="AH1749" s="5"/>
      <c r="AI1749" s="6" t="s">
        <v>1737</v>
      </c>
      <c r="AJ1749" s="6"/>
      <c r="AK1749" s="5"/>
      <c r="AL1749" s="5"/>
      <c r="AM1749" s="5"/>
      <c r="AN1749" s="5"/>
      <c r="AO1749" s="5"/>
      <c r="AP1749" s="5"/>
      <c r="AQ1749" s="5"/>
    </row>
    <row r="1750" spans="1:43" x14ac:dyDescent="0.25">
      <c r="A1750" s="161" t="str">
        <f t="shared" si="31"/>
        <v>U_IROQUOIAN_MOHAWKWARRIOR</v>
      </c>
      <c r="B1750" s="9" t="s">
        <v>2347</v>
      </c>
      <c r="C1750" s="5"/>
      <c r="D1750" s="5"/>
      <c r="E1750" s="5" t="s">
        <v>1577</v>
      </c>
      <c r="F1750" s="5" t="s">
        <v>1577</v>
      </c>
      <c r="G1750" s="5"/>
      <c r="H1750" s="5" t="s">
        <v>1683</v>
      </c>
      <c r="I1750" s="5" t="s">
        <v>128</v>
      </c>
      <c r="J1750" s="6"/>
      <c r="K1750" s="6"/>
      <c r="L1750" s="13" t="s">
        <v>1708</v>
      </c>
      <c r="M1750" s="8"/>
      <c r="N1750" s="5"/>
      <c r="O1750" s="5"/>
      <c r="P1750" s="5"/>
      <c r="Q1750" s="7" t="s">
        <v>1737</v>
      </c>
      <c r="R1750" s="6" t="s">
        <v>1737</v>
      </c>
      <c r="S1750" s="13" t="s">
        <v>1620</v>
      </c>
      <c r="T1750" s="6">
        <v>18</v>
      </c>
      <c r="U1750" s="7" t="s">
        <v>1737</v>
      </c>
      <c r="V1750" s="5"/>
      <c r="W1750" s="6" t="s">
        <v>3</v>
      </c>
      <c r="X1750" s="6" t="s">
        <v>3</v>
      </c>
      <c r="Y1750" s="5"/>
      <c r="Z1750" s="7">
        <v>1</v>
      </c>
      <c r="AA1750" s="6"/>
      <c r="AB1750" s="5"/>
      <c r="AC1750" s="6"/>
      <c r="AD1750" s="6" t="s">
        <v>3</v>
      </c>
      <c r="AE1750" s="5"/>
      <c r="AF1750" s="7" t="s">
        <v>1737</v>
      </c>
      <c r="AG1750" s="6"/>
      <c r="AH1750" s="5"/>
      <c r="AI1750" s="7" t="s">
        <v>1737</v>
      </c>
      <c r="AJ1750" s="6"/>
      <c r="AK1750" s="5"/>
      <c r="AL1750" s="5"/>
      <c r="AM1750" s="5"/>
      <c r="AN1750" s="5"/>
      <c r="AO1750" s="5"/>
      <c r="AP1750" s="5"/>
      <c r="AQ1750" s="5"/>
    </row>
    <row r="1751" spans="1:43" x14ac:dyDescent="0.25">
      <c r="A1751" s="161" t="str">
        <f t="shared" si="31"/>
        <v>U_JAPANESE_SAMURAI</v>
      </c>
      <c r="B1751" s="9" t="s">
        <v>2348</v>
      </c>
      <c r="C1751" s="5"/>
      <c r="D1751" s="5"/>
      <c r="E1751" s="4" t="s">
        <v>786</v>
      </c>
      <c r="F1751" s="5" t="s">
        <v>786</v>
      </c>
      <c r="G1751" s="5"/>
      <c r="H1751" s="5" t="s">
        <v>1684</v>
      </c>
      <c r="I1751" s="5" t="s">
        <v>128</v>
      </c>
      <c r="J1751" s="6"/>
      <c r="K1751" s="6"/>
      <c r="L1751" s="13" t="s">
        <v>1708</v>
      </c>
      <c r="M1751" s="8"/>
      <c r="N1751" s="5"/>
      <c r="O1751" s="5"/>
      <c r="P1751" s="5"/>
      <c r="Q1751" s="7">
        <v>0</v>
      </c>
      <c r="R1751" s="6" t="s">
        <v>1737</v>
      </c>
      <c r="S1751" s="13" t="s">
        <v>1626</v>
      </c>
      <c r="T1751" s="6">
        <v>0</v>
      </c>
      <c r="U1751" s="7" t="s">
        <v>1737</v>
      </c>
      <c r="V1751" s="5"/>
      <c r="W1751" s="6">
        <v>0</v>
      </c>
      <c r="X1751" s="6" t="s">
        <v>3</v>
      </c>
      <c r="Y1751" s="5"/>
      <c r="Z1751" s="7">
        <v>0</v>
      </c>
      <c r="AA1751" s="6"/>
      <c r="AB1751" s="5"/>
      <c r="AC1751" s="6">
        <v>0</v>
      </c>
      <c r="AD1751" s="6" t="s">
        <v>3</v>
      </c>
      <c r="AE1751" s="5"/>
      <c r="AF1751" s="7">
        <v>0</v>
      </c>
      <c r="AG1751" s="6"/>
      <c r="AH1751" s="5"/>
      <c r="AI1751" s="7">
        <v>0</v>
      </c>
      <c r="AJ1751" s="6"/>
      <c r="AK1751" s="5"/>
      <c r="AL1751" s="5" t="s">
        <v>1911</v>
      </c>
      <c r="AM1751" s="5"/>
      <c r="AN1751" s="5"/>
      <c r="AO1751" s="5" t="s">
        <v>1911</v>
      </c>
      <c r="AP1751" s="5"/>
      <c r="AQ1751" s="5"/>
    </row>
    <row r="1752" spans="1:43" x14ac:dyDescent="0.25">
      <c r="A1752" s="161" t="str">
        <f t="shared" si="31"/>
        <v>U_JAPANESE_SAMURAI</v>
      </c>
      <c r="B1752" s="9" t="s">
        <v>2348</v>
      </c>
      <c r="E1752" s="4" t="s">
        <v>786</v>
      </c>
      <c r="F1752" s="4" t="s">
        <v>786</v>
      </c>
      <c r="G1752" s="4" t="s">
        <v>2055</v>
      </c>
      <c r="H1752" s="4" t="s">
        <v>680</v>
      </c>
      <c r="I1752" s="4" t="s">
        <v>102</v>
      </c>
      <c r="L1752" s="4" t="s">
        <v>1708</v>
      </c>
      <c r="Q1752" s="9">
        <v>1</v>
      </c>
      <c r="S1752" s="13" t="s">
        <v>1626</v>
      </c>
      <c r="T1752" s="11">
        <v>2</v>
      </c>
      <c r="W1752" s="11">
        <v>3</v>
      </c>
      <c r="Z1752" s="9">
        <v>1</v>
      </c>
      <c r="AD1752" s="6" t="s">
        <v>3</v>
      </c>
      <c r="AF1752" s="11">
        <v>1</v>
      </c>
      <c r="AI1752" s="11">
        <v>1</v>
      </c>
    </row>
    <row r="1753" spans="1:43" x14ac:dyDescent="0.25">
      <c r="A1753" s="161" t="str">
        <f t="shared" si="31"/>
        <v>U_JAPANESE_SAMURAI</v>
      </c>
      <c r="B1753" s="9" t="s">
        <v>2348</v>
      </c>
      <c r="E1753" s="4" t="s">
        <v>786</v>
      </c>
      <c r="F1753" s="4" t="s">
        <v>786</v>
      </c>
      <c r="G1753" s="4" t="s">
        <v>2047</v>
      </c>
      <c r="H1753" s="4" t="s">
        <v>953</v>
      </c>
      <c r="I1753" s="4" t="s">
        <v>102</v>
      </c>
      <c r="L1753" s="4" t="s">
        <v>1708</v>
      </c>
      <c r="Q1753" s="9">
        <v>1</v>
      </c>
      <c r="S1753" s="13" t="s">
        <v>1626</v>
      </c>
      <c r="T1753" s="11">
        <v>2</v>
      </c>
      <c r="W1753" s="11">
        <v>4</v>
      </c>
      <c r="Z1753" s="9">
        <v>0</v>
      </c>
      <c r="AD1753" s="6" t="s">
        <v>3</v>
      </c>
      <c r="AF1753" s="11">
        <v>1</v>
      </c>
      <c r="AI1753" s="11">
        <v>1</v>
      </c>
    </row>
    <row r="1754" spans="1:43" x14ac:dyDescent="0.25">
      <c r="A1754" s="161" t="str">
        <f t="shared" si="31"/>
        <v>U_JAPANESE_SAMURAI</v>
      </c>
      <c r="B1754" s="9" t="s">
        <v>2348</v>
      </c>
      <c r="E1754" s="4" t="s">
        <v>786</v>
      </c>
      <c r="F1754" s="4" t="s">
        <v>786</v>
      </c>
      <c r="G1754" s="4" t="s">
        <v>2055</v>
      </c>
      <c r="H1754" s="4" t="s">
        <v>680</v>
      </c>
      <c r="I1754" s="4" t="s">
        <v>102</v>
      </c>
      <c r="L1754" s="4" t="s">
        <v>1708</v>
      </c>
      <c r="Q1754" s="9">
        <v>1</v>
      </c>
      <c r="S1754" s="13" t="s">
        <v>1626</v>
      </c>
      <c r="T1754" s="11">
        <v>2</v>
      </c>
      <c r="W1754" s="11">
        <v>3</v>
      </c>
      <c r="Z1754" s="9">
        <v>0</v>
      </c>
      <c r="AD1754" s="6" t="s">
        <v>3</v>
      </c>
      <c r="AF1754" s="11">
        <v>1</v>
      </c>
      <c r="AI1754" s="11">
        <v>1</v>
      </c>
    </row>
    <row r="1755" spans="1:43" x14ac:dyDescent="0.25">
      <c r="A1755" s="161" t="str">
        <f t="shared" si="31"/>
        <v>U_JAPANESE_SAMURAI</v>
      </c>
      <c r="B1755" s="9" t="s">
        <v>2348</v>
      </c>
      <c r="E1755" s="4" t="s">
        <v>786</v>
      </c>
      <c r="F1755" s="4" t="s">
        <v>786</v>
      </c>
      <c r="G1755" s="4" t="s">
        <v>2047</v>
      </c>
      <c r="H1755" s="4" t="s">
        <v>953</v>
      </c>
      <c r="I1755" s="4" t="s">
        <v>102</v>
      </c>
      <c r="L1755" s="4" t="s">
        <v>1708</v>
      </c>
      <c r="Q1755" s="9">
        <v>2</v>
      </c>
      <c r="S1755" s="13" t="s">
        <v>1626</v>
      </c>
      <c r="T1755" s="11">
        <v>2</v>
      </c>
      <c r="W1755" s="9">
        <v>3</v>
      </c>
      <c r="Z1755" s="9">
        <v>0</v>
      </c>
      <c r="AD1755" s="6" t="s">
        <v>3</v>
      </c>
      <c r="AF1755" s="11">
        <v>0</v>
      </c>
      <c r="AI1755" s="11">
        <v>1</v>
      </c>
    </row>
    <row r="1756" spans="1:43" x14ac:dyDescent="0.25">
      <c r="A1756" s="161" t="str">
        <f t="shared" si="31"/>
        <v>U_JAPANESE_SAMURAI</v>
      </c>
      <c r="B1756" s="9" t="s">
        <v>2348</v>
      </c>
      <c r="E1756" s="4" t="s">
        <v>786</v>
      </c>
      <c r="F1756" s="4" t="s">
        <v>786</v>
      </c>
      <c r="G1756" s="4" t="s">
        <v>2055</v>
      </c>
      <c r="H1756" s="4" t="s">
        <v>680</v>
      </c>
      <c r="I1756" s="4" t="s">
        <v>102</v>
      </c>
      <c r="L1756" s="4" t="s">
        <v>1708</v>
      </c>
      <c r="Q1756" s="9">
        <v>2</v>
      </c>
      <c r="S1756" s="13" t="s">
        <v>1626</v>
      </c>
      <c r="T1756" s="11">
        <v>2</v>
      </c>
      <c r="W1756" s="9">
        <v>4</v>
      </c>
      <c r="Z1756" s="9">
        <v>0</v>
      </c>
      <c r="AD1756" s="6" t="s">
        <v>3</v>
      </c>
      <c r="AF1756" s="11">
        <v>0</v>
      </c>
      <c r="AI1756" s="11">
        <v>1</v>
      </c>
    </row>
    <row r="1757" spans="1:43" x14ac:dyDescent="0.25">
      <c r="A1757" s="161" t="str">
        <f t="shared" si="31"/>
        <v>U_JAPANESE_SAMURAI</v>
      </c>
      <c r="B1757" s="9" t="s">
        <v>2348</v>
      </c>
      <c r="E1757" s="4" t="s">
        <v>786</v>
      </c>
      <c r="F1757" s="4" t="s">
        <v>786</v>
      </c>
      <c r="G1757" s="4" t="s">
        <v>2047</v>
      </c>
      <c r="H1757" s="4" t="s">
        <v>953</v>
      </c>
      <c r="I1757" s="4" t="s">
        <v>102</v>
      </c>
      <c r="L1757" s="4" t="s">
        <v>1708</v>
      </c>
      <c r="Q1757" s="9">
        <v>2</v>
      </c>
      <c r="S1757" s="13" t="s">
        <v>1626</v>
      </c>
      <c r="T1757" s="11">
        <v>2</v>
      </c>
      <c r="W1757" s="9">
        <v>3</v>
      </c>
      <c r="Z1757" s="9">
        <v>0</v>
      </c>
      <c r="AD1757" s="6" t="s">
        <v>3</v>
      </c>
      <c r="AF1757" s="11">
        <v>0</v>
      </c>
      <c r="AI1757" s="11">
        <v>1</v>
      </c>
    </row>
    <row r="1758" spans="1:43" x14ac:dyDescent="0.25">
      <c r="A1758" s="161" t="str">
        <f t="shared" si="31"/>
        <v>U_JAPANESE_SAMURAI</v>
      </c>
      <c r="B1758" s="9" t="s">
        <v>2348</v>
      </c>
      <c r="E1758" s="4" t="s">
        <v>786</v>
      </c>
      <c r="F1758" s="4" t="s">
        <v>786</v>
      </c>
      <c r="G1758" s="4" t="s">
        <v>2055</v>
      </c>
      <c r="H1758" s="4" t="s">
        <v>680</v>
      </c>
      <c r="I1758" s="4" t="s">
        <v>102</v>
      </c>
      <c r="L1758" s="4" t="s">
        <v>1708</v>
      </c>
      <c r="Q1758" s="9">
        <v>1</v>
      </c>
      <c r="S1758" s="13" t="s">
        <v>1626</v>
      </c>
      <c r="T1758" s="11">
        <v>2</v>
      </c>
      <c r="W1758" s="9">
        <v>3</v>
      </c>
      <c r="Z1758" s="9">
        <v>0</v>
      </c>
      <c r="AD1758" s="6" t="s">
        <v>3</v>
      </c>
      <c r="AF1758" s="11">
        <v>0</v>
      </c>
      <c r="AI1758" s="11">
        <v>1</v>
      </c>
    </row>
    <row r="1759" spans="1:43" x14ac:dyDescent="0.25">
      <c r="A1759" s="161" t="str">
        <f t="shared" si="31"/>
        <v>U_JAPANESE_SAMURAI</v>
      </c>
      <c r="B1759" s="9" t="s">
        <v>2348</v>
      </c>
      <c r="E1759" s="4" t="s">
        <v>786</v>
      </c>
      <c r="F1759" s="4" t="s">
        <v>786</v>
      </c>
      <c r="G1759" s="4" t="s">
        <v>2047</v>
      </c>
      <c r="H1759" s="4" t="s">
        <v>953</v>
      </c>
      <c r="I1759" s="4" t="s">
        <v>102</v>
      </c>
      <c r="L1759" s="4" t="s">
        <v>1708</v>
      </c>
      <c r="Q1759" s="9">
        <v>1</v>
      </c>
      <c r="S1759" s="13" t="s">
        <v>1626</v>
      </c>
      <c r="T1759" s="11">
        <v>2</v>
      </c>
      <c r="W1759" s="9">
        <v>3</v>
      </c>
      <c r="Z1759" s="9">
        <v>0</v>
      </c>
      <c r="AD1759" s="6" t="s">
        <v>3</v>
      </c>
      <c r="AF1759" s="11">
        <v>0</v>
      </c>
      <c r="AI1759" s="11">
        <v>1</v>
      </c>
    </row>
    <row r="1760" spans="1:43" x14ac:dyDescent="0.25">
      <c r="A1760" s="161" t="str">
        <f t="shared" si="31"/>
        <v>U_JAPANESE_SAMURAI</v>
      </c>
      <c r="B1760" s="9" t="s">
        <v>2348</v>
      </c>
      <c r="E1760" s="4" t="s">
        <v>786</v>
      </c>
      <c r="F1760" s="4" t="s">
        <v>786</v>
      </c>
      <c r="G1760" s="4" t="s">
        <v>2055</v>
      </c>
      <c r="H1760" s="4" t="s">
        <v>680</v>
      </c>
      <c r="I1760" s="4" t="s">
        <v>102</v>
      </c>
      <c r="L1760" s="4" t="s">
        <v>1708</v>
      </c>
      <c r="Q1760" s="9">
        <v>1</v>
      </c>
      <c r="S1760" s="13" t="s">
        <v>1626</v>
      </c>
      <c r="T1760" s="11">
        <v>2</v>
      </c>
      <c r="W1760" s="9">
        <v>4</v>
      </c>
      <c r="Z1760" s="9">
        <v>0</v>
      </c>
      <c r="AD1760" s="6" t="s">
        <v>3</v>
      </c>
      <c r="AF1760" s="11">
        <v>0</v>
      </c>
      <c r="AI1760" s="11">
        <v>1</v>
      </c>
    </row>
    <row r="1761" spans="1:43" x14ac:dyDescent="0.25">
      <c r="A1761" s="161" t="str">
        <f t="shared" si="31"/>
        <v>U_JAPANESE_ZERO</v>
      </c>
      <c r="B1761" s="9" t="s">
        <v>2349</v>
      </c>
      <c r="C1761" s="5"/>
      <c r="D1761" s="5"/>
      <c r="E1761" s="5" t="s">
        <v>1578</v>
      </c>
      <c r="F1761" s="5" t="s">
        <v>1578</v>
      </c>
      <c r="G1761" s="5"/>
      <c r="H1761" s="5" t="s">
        <v>1685</v>
      </c>
      <c r="I1761" s="5" t="s">
        <v>128</v>
      </c>
      <c r="J1761" s="6"/>
      <c r="K1761" s="7"/>
      <c r="L1761" s="13" t="s">
        <v>1711</v>
      </c>
      <c r="M1761" s="8">
        <v>2</v>
      </c>
      <c r="N1761" s="13" t="s">
        <v>1725</v>
      </c>
      <c r="O1761" s="13"/>
      <c r="P1761" s="13"/>
      <c r="Q1761" s="7">
        <v>3</v>
      </c>
      <c r="R1761" s="6">
        <v>7.0000000000000007E-2</v>
      </c>
      <c r="S1761" s="13" t="s">
        <v>1621</v>
      </c>
      <c r="T1761" s="7">
        <v>4</v>
      </c>
      <c r="U1761" s="6">
        <v>0.06</v>
      </c>
      <c r="V1761" s="5" t="s">
        <v>1699</v>
      </c>
      <c r="W1761" s="6" t="s">
        <v>3</v>
      </c>
      <c r="X1761" s="6" t="s">
        <v>3</v>
      </c>
      <c r="Y1761" s="5"/>
      <c r="Z1761" s="7">
        <v>1</v>
      </c>
      <c r="AA1761" s="6"/>
      <c r="AB1761" s="5"/>
      <c r="AC1761" s="6"/>
      <c r="AD1761" s="6" t="s">
        <v>3</v>
      </c>
      <c r="AE1761" s="5"/>
      <c r="AF1761" s="6"/>
      <c r="AG1761" s="6"/>
      <c r="AH1761" s="5"/>
      <c r="AI1761" s="6"/>
      <c r="AJ1761" s="6"/>
      <c r="AK1761" s="5"/>
      <c r="AL1761" s="5"/>
      <c r="AM1761" s="5"/>
      <c r="AN1761" s="5"/>
      <c r="AO1761" s="5"/>
      <c r="AP1761" s="5"/>
      <c r="AQ1761" s="5"/>
    </row>
    <row r="1762" spans="1:43" x14ac:dyDescent="0.25">
      <c r="A1762" s="161" t="str">
        <f t="shared" si="31"/>
        <v>U_KOREAN_HWACHA</v>
      </c>
      <c r="B1762" s="9" t="s">
        <v>2350</v>
      </c>
      <c r="C1762" s="5"/>
      <c r="D1762" s="5"/>
      <c r="E1762" s="5" t="s">
        <v>1579</v>
      </c>
      <c r="F1762" s="5" t="s">
        <v>1579</v>
      </c>
      <c r="G1762" s="5"/>
      <c r="H1762" s="5" t="s">
        <v>1646</v>
      </c>
      <c r="I1762" s="5" t="s">
        <v>128</v>
      </c>
      <c r="J1762" s="6"/>
      <c r="K1762" s="6"/>
      <c r="L1762" s="13" t="s">
        <v>746</v>
      </c>
      <c r="M1762" s="8"/>
      <c r="N1762" s="5"/>
      <c r="O1762" s="5"/>
      <c r="P1762" s="5"/>
      <c r="Q1762" s="7">
        <v>2</v>
      </c>
      <c r="R1762" s="6">
        <v>0.13</v>
      </c>
      <c r="S1762" s="13" t="s">
        <v>1613</v>
      </c>
      <c r="T1762" s="6">
        <v>3</v>
      </c>
      <c r="U1762" s="6" t="s">
        <v>1695</v>
      </c>
      <c r="V1762" s="5" t="s">
        <v>688</v>
      </c>
      <c r="W1762" s="7">
        <v>7</v>
      </c>
      <c r="X1762" s="6" t="s">
        <v>3</v>
      </c>
      <c r="Y1762" s="5"/>
      <c r="Z1762" s="7">
        <v>1</v>
      </c>
      <c r="AA1762" s="6"/>
      <c r="AB1762" s="5"/>
      <c r="AC1762" s="6"/>
      <c r="AD1762" s="6" t="s">
        <v>3</v>
      </c>
      <c r="AE1762" s="5"/>
      <c r="AF1762" s="6"/>
      <c r="AG1762" s="6"/>
      <c r="AH1762" s="5"/>
      <c r="AI1762" s="6"/>
      <c r="AJ1762" s="6"/>
      <c r="AK1762" s="5"/>
      <c r="AL1762" s="5"/>
      <c r="AM1762" s="5"/>
      <c r="AN1762" s="5"/>
      <c r="AO1762" s="5"/>
      <c r="AP1762" s="5"/>
      <c r="AQ1762" s="5"/>
    </row>
    <row r="1763" spans="1:43" x14ac:dyDescent="0.25">
      <c r="A1763" s="161" t="str">
        <f t="shared" si="31"/>
        <v>U_KOREAN_TURTLESHIP</v>
      </c>
      <c r="B1763" s="9" t="s">
        <v>2380</v>
      </c>
      <c r="C1763" s="5"/>
      <c r="D1763" s="5"/>
      <c r="E1763" s="5" t="s">
        <v>1580</v>
      </c>
      <c r="F1763" s="5" t="s">
        <v>1580</v>
      </c>
      <c r="G1763" s="5"/>
      <c r="H1763" s="5" t="s">
        <v>1647</v>
      </c>
      <c r="I1763" s="5" t="s">
        <v>128</v>
      </c>
      <c r="J1763" s="6"/>
      <c r="K1763" s="7"/>
      <c r="L1763" s="13" t="s">
        <v>1713</v>
      </c>
      <c r="M1763" s="8"/>
      <c r="N1763" s="13" t="s">
        <v>1727</v>
      </c>
      <c r="O1763" s="13"/>
      <c r="P1763" s="13"/>
      <c r="Q1763" s="7">
        <v>1</v>
      </c>
      <c r="R1763" s="6" t="s">
        <v>1737</v>
      </c>
      <c r="S1763" s="5"/>
      <c r="T1763" s="6">
        <v>2</v>
      </c>
      <c r="U1763" s="6">
        <v>0.11</v>
      </c>
      <c r="V1763" s="5" t="s">
        <v>1696</v>
      </c>
      <c r="W1763" s="6"/>
      <c r="X1763" s="6"/>
      <c r="Y1763" s="5"/>
      <c r="Z1763" s="6"/>
      <c r="AA1763" s="6"/>
      <c r="AB1763" s="5"/>
      <c r="AC1763" s="6"/>
      <c r="AD1763" s="6"/>
      <c r="AE1763" s="5"/>
      <c r="AF1763" s="6"/>
      <c r="AG1763" s="6"/>
      <c r="AH1763" s="5"/>
      <c r="AI1763" s="6"/>
      <c r="AJ1763" s="6"/>
      <c r="AK1763" s="5"/>
      <c r="AL1763" s="5"/>
      <c r="AM1763" s="5"/>
      <c r="AN1763" s="5"/>
      <c r="AO1763" s="5"/>
      <c r="AP1763" s="5"/>
      <c r="AQ1763" s="5"/>
    </row>
    <row r="1764" spans="1:43" x14ac:dyDescent="0.25">
      <c r="A1764" s="161" t="str">
        <f t="shared" si="31"/>
        <v>U_MAYAN_ATLALIST</v>
      </c>
      <c r="B1764" s="9" t="s">
        <v>2351</v>
      </c>
      <c r="C1764" s="5"/>
      <c r="D1764" s="5"/>
      <c r="E1764" s="5" t="s">
        <v>1581</v>
      </c>
      <c r="F1764" s="5" t="s">
        <v>1581</v>
      </c>
      <c r="G1764" s="5"/>
      <c r="H1764" s="5" t="s">
        <v>1648</v>
      </c>
      <c r="I1764" s="5" t="s">
        <v>128</v>
      </c>
      <c r="J1764" s="6"/>
      <c r="K1764" s="6"/>
      <c r="L1764" s="13" t="s">
        <v>1708</v>
      </c>
      <c r="M1764" s="8"/>
      <c r="N1764" s="5"/>
      <c r="O1764" s="5"/>
      <c r="P1764" s="5"/>
      <c r="Q1764" s="7">
        <v>10</v>
      </c>
      <c r="R1764" s="6" t="s">
        <v>1737</v>
      </c>
      <c r="S1764" s="13" t="s">
        <v>44</v>
      </c>
      <c r="T1764" s="6">
        <v>18</v>
      </c>
      <c r="U1764" s="7" t="s">
        <v>1737</v>
      </c>
      <c r="V1764" s="5"/>
      <c r="W1764" s="6" t="s">
        <v>3</v>
      </c>
      <c r="X1764" s="6" t="s">
        <v>3</v>
      </c>
      <c r="Y1764" s="5"/>
      <c r="Z1764" s="7">
        <v>1</v>
      </c>
      <c r="AA1764" s="6"/>
      <c r="AB1764" s="5"/>
      <c r="AC1764" s="6"/>
      <c r="AD1764" s="6" t="s">
        <v>3</v>
      </c>
      <c r="AE1764" s="5"/>
      <c r="AF1764" s="6" t="s">
        <v>1737</v>
      </c>
      <c r="AG1764" s="6"/>
      <c r="AH1764" s="5"/>
      <c r="AI1764" s="6">
        <v>6</v>
      </c>
      <c r="AJ1764" s="6"/>
      <c r="AK1764" s="5"/>
      <c r="AL1764" s="5"/>
      <c r="AM1764" s="5"/>
      <c r="AN1764" s="5"/>
      <c r="AO1764" s="5"/>
      <c r="AP1764" s="5"/>
      <c r="AQ1764" s="5"/>
    </row>
    <row r="1765" spans="1:43" x14ac:dyDescent="0.25">
      <c r="A1765" s="161" t="str">
        <f t="shared" si="31"/>
        <v>U_MONGOLIAN_KESHIK</v>
      </c>
      <c r="B1765" s="9" t="s">
        <v>2352</v>
      </c>
      <c r="C1765" s="5"/>
      <c r="D1765" s="5"/>
      <c r="E1765" s="5" t="s">
        <v>1582</v>
      </c>
      <c r="F1765" s="5" t="s">
        <v>1582</v>
      </c>
      <c r="G1765" s="5"/>
      <c r="H1765" s="5" t="s">
        <v>1649</v>
      </c>
      <c r="I1765" s="5" t="s">
        <v>128</v>
      </c>
      <c r="J1765" s="6"/>
      <c r="K1765" s="6"/>
      <c r="L1765" s="13" t="s">
        <v>1708</v>
      </c>
      <c r="M1765" s="8"/>
      <c r="N1765" s="5"/>
      <c r="O1765" s="5"/>
      <c r="P1765" s="5"/>
      <c r="Q1765" s="7" t="s">
        <v>1695</v>
      </c>
      <c r="R1765" s="6" t="s">
        <v>1695</v>
      </c>
      <c r="S1765" s="13" t="s">
        <v>1695</v>
      </c>
      <c r="T1765" s="7" t="s">
        <v>1695</v>
      </c>
      <c r="U1765" s="7" t="s">
        <v>1695</v>
      </c>
      <c r="V1765" s="5"/>
      <c r="W1765" s="6" t="s">
        <v>3</v>
      </c>
      <c r="X1765" s="6" t="s">
        <v>3</v>
      </c>
      <c r="Y1765" s="5"/>
      <c r="Z1765" s="7">
        <v>1</v>
      </c>
      <c r="AA1765" s="6"/>
      <c r="AB1765" s="5"/>
      <c r="AC1765" s="6"/>
      <c r="AD1765" s="6" t="s">
        <v>3</v>
      </c>
      <c r="AE1765" s="5"/>
      <c r="AF1765" s="6" t="s">
        <v>1695</v>
      </c>
      <c r="AG1765" s="6"/>
      <c r="AH1765" s="5"/>
      <c r="AI1765" s="6"/>
      <c r="AJ1765" s="6"/>
      <c r="AK1765" s="5"/>
      <c r="AL1765" s="5"/>
      <c r="AM1765" s="5"/>
      <c r="AN1765" s="5"/>
      <c r="AO1765" s="5"/>
      <c r="AP1765" s="5"/>
      <c r="AQ1765" s="5"/>
    </row>
    <row r="1766" spans="1:43" x14ac:dyDescent="0.25">
      <c r="A1766" s="161" t="str">
        <f t="shared" si="31"/>
        <v>U_MORROCAN_BERBER_CAVALRY</v>
      </c>
      <c r="B1766" s="9" t="s">
        <v>2382</v>
      </c>
      <c r="C1766" s="5"/>
      <c r="D1766" s="5"/>
      <c r="E1766" s="5" t="s">
        <v>1583</v>
      </c>
      <c r="F1766" s="5" t="s">
        <v>1583</v>
      </c>
      <c r="G1766" s="5"/>
      <c r="H1766" s="5" t="s">
        <v>1650</v>
      </c>
      <c r="I1766" s="5" t="s">
        <v>128</v>
      </c>
      <c r="J1766" s="6"/>
      <c r="K1766" s="6"/>
      <c r="L1766" s="13" t="s">
        <v>1714</v>
      </c>
      <c r="M1766" s="8"/>
      <c r="N1766" s="5"/>
      <c r="O1766" s="5"/>
      <c r="P1766" s="5"/>
      <c r="Q1766" s="7" t="s">
        <v>1695</v>
      </c>
      <c r="R1766" s="6" t="s">
        <v>1695</v>
      </c>
      <c r="S1766" s="13" t="s">
        <v>1695</v>
      </c>
      <c r="T1766" s="6" t="s">
        <v>1695</v>
      </c>
      <c r="U1766" s="7" t="s">
        <v>1695</v>
      </c>
      <c r="V1766" s="5"/>
      <c r="W1766" s="7" t="s">
        <v>3</v>
      </c>
      <c r="X1766" s="6" t="s">
        <v>3</v>
      </c>
      <c r="Y1766" s="5"/>
      <c r="Z1766" s="7">
        <v>1</v>
      </c>
      <c r="AA1766" s="6"/>
      <c r="AB1766" s="5"/>
      <c r="AC1766" s="6"/>
      <c r="AD1766" s="6" t="s">
        <v>3</v>
      </c>
      <c r="AE1766" s="5"/>
      <c r="AF1766" s="6" t="s">
        <v>1695</v>
      </c>
      <c r="AG1766" s="6"/>
      <c r="AH1766" s="5"/>
      <c r="AI1766" s="6"/>
      <c r="AJ1766" s="6"/>
      <c r="AK1766" s="5"/>
      <c r="AL1766" s="5"/>
      <c r="AM1766" s="5"/>
      <c r="AN1766" s="5"/>
      <c r="AO1766" s="5"/>
      <c r="AP1766" s="5"/>
      <c r="AQ1766" s="5"/>
    </row>
    <row r="1767" spans="1:43" x14ac:dyDescent="0.25">
      <c r="A1767" s="161" t="str">
        <f t="shared" si="31"/>
        <v>U_OTTOMAN_JANISSARY</v>
      </c>
      <c r="B1767" s="9" t="s">
        <v>2353</v>
      </c>
      <c r="C1767" s="5"/>
      <c r="D1767" s="5"/>
      <c r="E1767" s="5" t="s">
        <v>1584</v>
      </c>
      <c r="F1767" s="5" t="s">
        <v>1584</v>
      </c>
      <c r="G1767" s="5"/>
      <c r="H1767" s="5" t="s">
        <v>1686</v>
      </c>
      <c r="I1767" s="5" t="s">
        <v>128</v>
      </c>
      <c r="J1767" s="6"/>
      <c r="K1767" s="6"/>
      <c r="L1767" s="13" t="s">
        <v>1708</v>
      </c>
      <c r="M1767" s="8"/>
      <c r="N1767" s="5"/>
      <c r="O1767" s="5"/>
      <c r="P1767" s="5"/>
      <c r="Q1767" s="7">
        <v>14</v>
      </c>
      <c r="R1767" s="6" t="s">
        <v>1737</v>
      </c>
      <c r="S1767" s="13" t="s">
        <v>1619</v>
      </c>
      <c r="T1767" s="7">
        <v>19</v>
      </c>
      <c r="U1767" s="7" t="s">
        <v>1737</v>
      </c>
      <c r="V1767" s="5"/>
      <c r="W1767" s="6" t="s">
        <v>3</v>
      </c>
      <c r="X1767" s="6" t="s">
        <v>3</v>
      </c>
      <c r="Y1767" s="5"/>
      <c r="Z1767" s="7">
        <v>1</v>
      </c>
      <c r="AA1767" s="6"/>
      <c r="AB1767" s="5"/>
      <c r="AC1767" s="6"/>
      <c r="AD1767" s="6" t="s">
        <v>3</v>
      </c>
      <c r="AE1767" s="5"/>
      <c r="AF1767" s="7" t="s">
        <v>1737</v>
      </c>
      <c r="AG1767" s="6"/>
      <c r="AH1767" s="5"/>
      <c r="AI1767" s="6" t="s">
        <v>1737</v>
      </c>
      <c r="AJ1767" s="6"/>
      <c r="AK1767" s="5"/>
      <c r="AL1767" s="5"/>
      <c r="AM1767" s="5"/>
      <c r="AN1767" s="5"/>
      <c r="AO1767" s="5"/>
      <c r="AP1767" s="5"/>
      <c r="AQ1767" s="5"/>
    </row>
    <row r="1768" spans="1:43" x14ac:dyDescent="0.25">
      <c r="A1768" s="161" t="str">
        <f t="shared" si="31"/>
        <v>U_OTTOMAN_SIPAHI</v>
      </c>
      <c r="B1768" s="9" t="s">
        <v>2354</v>
      </c>
      <c r="C1768" s="5"/>
      <c r="D1768" s="5"/>
      <c r="E1768" s="5" t="s">
        <v>1585</v>
      </c>
      <c r="F1768" s="5" t="s">
        <v>1585</v>
      </c>
      <c r="G1768" s="5"/>
      <c r="H1768" s="5" t="s">
        <v>1687</v>
      </c>
      <c r="I1768" s="5" t="s">
        <v>128</v>
      </c>
      <c r="J1768" s="6"/>
      <c r="K1768" s="6"/>
      <c r="L1768" s="13" t="s">
        <v>1714</v>
      </c>
      <c r="M1768" s="8"/>
      <c r="N1768" s="5"/>
      <c r="O1768" s="5"/>
      <c r="P1768" s="5"/>
      <c r="Q1768" s="7" t="s">
        <v>1695</v>
      </c>
      <c r="R1768" s="6" t="s">
        <v>1695</v>
      </c>
      <c r="S1768" s="13" t="s">
        <v>1695</v>
      </c>
      <c r="T1768" s="7" t="s">
        <v>1695</v>
      </c>
      <c r="U1768" s="7" t="s">
        <v>1695</v>
      </c>
      <c r="V1768" s="5" t="s">
        <v>1701</v>
      </c>
      <c r="W1768" s="6" t="s">
        <v>3</v>
      </c>
      <c r="X1768" s="6" t="s">
        <v>3</v>
      </c>
      <c r="Y1768" s="5"/>
      <c r="Z1768" s="7">
        <v>1</v>
      </c>
      <c r="AA1768" s="6"/>
      <c r="AB1768" s="5"/>
      <c r="AC1768" s="6"/>
      <c r="AD1768" s="6" t="s">
        <v>3</v>
      </c>
      <c r="AE1768" s="5"/>
      <c r="AF1768" s="7" t="s">
        <v>1695</v>
      </c>
      <c r="AG1768" s="6"/>
      <c r="AH1768" s="5"/>
      <c r="AI1768" s="6"/>
      <c r="AJ1768" s="6"/>
      <c r="AK1768" s="5"/>
      <c r="AL1768" s="5"/>
      <c r="AM1768" s="5"/>
      <c r="AN1768" s="5"/>
      <c r="AO1768" s="5"/>
      <c r="AP1768" s="5"/>
      <c r="AQ1768" s="5"/>
    </row>
    <row r="1769" spans="1:43" x14ac:dyDescent="0.25">
      <c r="A1769" s="161" t="str">
        <f t="shared" si="31"/>
        <v>U_PERSIAN_IMMORTAL</v>
      </c>
      <c r="B1769" s="9" t="s">
        <v>2355</v>
      </c>
      <c r="C1769" s="5"/>
      <c r="D1769" s="5"/>
      <c r="E1769" s="5" t="s">
        <v>1586</v>
      </c>
      <c r="F1769" s="5" t="s">
        <v>1586</v>
      </c>
      <c r="G1769" s="5"/>
      <c r="H1769" s="5" t="s">
        <v>1688</v>
      </c>
      <c r="I1769" s="5" t="s">
        <v>128</v>
      </c>
      <c r="J1769" s="6"/>
      <c r="K1769" s="6"/>
      <c r="L1769" s="13" t="s">
        <v>1708</v>
      </c>
      <c r="M1769" s="8"/>
      <c r="N1769" s="5"/>
      <c r="O1769" s="5"/>
      <c r="P1769" s="5"/>
      <c r="Q1769" s="7" t="s">
        <v>1737</v>
      </c>
      <c r="R1769" s="6" t="s">
        <v>1737</v>
      </c>
      <c r="S1769" s="13" t="s">
        <v>1625</v>
      </c>
      <c r="T1769" s="7">
        <v>20</v>
      </c>
      <c r="U1769" s="7" t="s">
        <v>1737</v>
      </c>
      <c r="V1769" s="5"/>
      <c r="W1769" s="6">
        <v>30</v>
      </c>
      <c r="X1769" s="6" t="s">
        <v>3</v>
      </c>
      <c r="Y1769" s="5"/>
      <c r="Z1769" s="7">
        <v>1</v>
      </c>
      <c r="AA1769" s="6"/>
      <c r="AB1769" s="5"/>
      <c r="AC1769" s="6"/>
      <c r="AD1769" s="6" t="s">
        <v>3</v>
      </c>
      <c r="AE1769" s="5"/>
      <c r="AF1769" s="7" t="s">
        <v>1737</v>
      </c>
      <c r="AG1769" s="6"/>
      <c r="AH1769" s="5"/>
      <c r="AI1769" s="6" t="s">
        <v>1737</v>
      </c>
      <c r="AJ1769" s="6"/>
      <c r="AK1769" s="5"/>
      <c r="AL1769" s="5"/>
      <c r="AM1769" s="5"/>
      <c r="AN1769" s="5"/>
      <c r="AO1769" s="5"/>
      <c r="AP1769" s="5"/>
      <c r="AQ1769" s="5"/>
    </row>
    <row r="1770" spans="1:43" x14ac:dyDescent="0.25">
      <c r="A1770" s="161" t="str">
        <f t="shared" si="31"/>
        <v>U_POLISH_WINGED_HUSSAR</v>
      </c>
      <c r="B1770" s="9" t="s">
        <v>2356</v>
      </c>
      <c r="C1770" s="5"/>
      <c r="D1770" s="5"/>
      <c r="E1770" s="5" t="s">
        <v>1587</v>
      </c>
      <c r="F1770" s="5" t="s">
        <v>1587</v>
      </c>
      <c r="G1770" s="5"/>
      <c r="H1770" s="5" t="s">
        <v>1651</v>
      </c>
      <c r="I1770" s="5" t="s">
        <v>128</v>
      </c>
      <c r="J1770" s="6"/>
      <c r="K1770" s="6"/>
      <c r="L1770" s="13" t="s">
        <v>1714</v>
      </c>
      <c r="M1770" s="8"/>
      <c r="N1770" s="5"/>
      <c r="O1770" s="5"/>
      <c r="P1770" s="5"/>
      <c r="Q1770" s="7" t="s">
        <v>1695</v>
      </c>
      <c r="R1770" s="6">
        <v>0.13</v>
      </c>
      <c r="S1770" s="13" t="s">
        <v>1695</v>
      </c>
      <c r="T1770" s="6" t="s">
        <v>1695</v>
      </c>
      <c r="U1770" s="6" t="s">
        <v>1695</v>
      </c>
      <c r="V1770" s="5"/>
      <c r="W1770" s="7" t="s">
        <v>3</v>
      </c>
      <c r="X1770" s="6" t="s">
        <v>3</v>
      </c>
      <c r="Y1770" s="5"/>
      <c r="Z1770" s="7">
        <v>1</v>
      </c>
      <c r="AA1770" s="6"/>
      <c r="AB1770" s="5"/>
      <c r="AC1770" s="6"/>
      <c r="AD1770" s="6" t="s">
        <v>3</v>
      </c>
      <c r="AE1770" s="5"/>
      <c r="AF1770" s="7" t="s">
        <v>1695</v>
      </c>
      <c r="AG1770" s="6"/>
      <c r="AH1770" s="5"/>
      <c r="AI1770" s="6"/>
      <c r="AJ1770" s="6"/>
      <c r="AK1770" s="5"/>
      <c r="AL1770" s="5"/>
      <c r="AM1770" s="5"/>
      <c r="AN1770" s="5"/>
      <c r="AO1770" s="5"/>
      <c r="AP1770" s="5"/>
      <c r="AQ1770" s="5"/>
    </row>
    <row r="1771" spans="1:43" x14ac:dyDescent="0.25">
      <c r="A1771" s="161" t="str">
        <f t="shared" ref="A1771:A1858" si="32">CONCATENATE(E1771,IF(ISBLANK(C1771),"",CONCATENATE("_",C1771)))</f>
        <v>U_POLYNESIAN_MAORI_WARRIOR</v>
      </c>
      <c r="B1771" s="9" t="s">
        <v>2357</v>
      </c>
      <c r="C1771" s="5"/>
      <c r="D1771" s="5"/>
      <c r="E1771" s="5" t="s">
        <v>1588</v>
      </c>
      <c r="F1771" s="5" t="s">
        <v>1588</v>
      </c>
      <c r="G1771" s="5"/>
      <c r="H1771" s="5" t="s">
        <v>1652</v>
      </c>
      <c r="I1771" s="5" t="s">
        <v>128</v>
      </c>
      <c r="J1771" s="6"/>
      <c r="K1771" s="6"/>
      <c r="L1771" s="13" t="s">
        <v>1708</v>
      </c>
      <c r="M1771" s="8"/>
      <c r="N1771" s="5"/>
      <c r="O1771" s="5"/>
      <c r="P1771" s="5"/>
      <c r="Q1771" s="7">
        <v>10</v>
      </c>
      <c r="R1771" s="6">
        <v>0.13</v>
      </c>
      <c r="S1771" s="13" t="s">
        <v>1620</v>
      </c>
      <c r="T1771" s="7">
        <v>18</v>
      </c>
      <c r="U1771" s="6">
        <v>8.7999999999999995E-2</v>
      </c>
      <c r="V1771" s="5"/>
      <c r="W1771" s="6" t="s">
        <v>3</v>
      </c>
      <c r="X1771" s="6" t="s">
        <v>3</v>
      </c>
      <c r="Y1771" s="5"/>
      <c r="Z1771" s="7">
        <v>1</v>
      </c>
      <c r="AA1771" s="6"/>
      <c r="AB1771" s="5"/>
      <c r="AC1771" s="6"/>
      <c r="AD1771" s="6" t="s">
        <v>3</v>
      </c>
      <c r="AE1771" s="5"/>
      <c r="AF1771" s="7" t="s">
        <v>1737</v>
      </c>
      <c r="AG1771" s="6"/>
      <c r="AH1771" s="5"/>
      <c r="AI1771" s="6">
        <v>6</v>
      </c>
      <c r="AJ1771" s="6"/>
      <c r="AK1771" s="5"/>
      <c r="AL1771" s="5"/>
      <c r="AM1771" s="5"/>
      <c r="AN1771" s="5"/>
      <c r="AO1771" s="5"/>
      <c r="AP1771" s="5"/>
      <c r="AQ1771" s="5"/>
    </row>
    <row r="1772" spans="1:43" x14ac:dyDescent="0.25">
      <c r="A1772" s="161" t="str">
        <f t="shared" si="32"/>
        <v>U_POLYNESIAN_WAR_CANOE</v>
      </c>
      <c r="C1772" s="5"/>
      <c r="D1772" s="5"/>
      <c r="E1772" s="5" t="s">
        <v>1589</v>
      </c>
      <c r="F1772" s="5" t="s">
        <v>1589</v>
      </c>
      <c r="G1772" s="5"/>
      <c r="H1772" s="5" t="s">
        <v>995</v>
      </c>
      <c r="I1772" s="5" t="s">
        <v>128</v>
      </c>
      <c r="J1772" s="6"/>
      <c r="K1772" s="7"/>
      <c r="L1772" s="13" t="s">
        <v>1712</v>
      </c>
      <c r="M1772" s="8"/>
      <c r="N1772" s="13" t="s">
        <v>1727</v>
      </c>
      <c r="O1772" s="13"/>
      <c r="P1772" s="13"/>
      <c r="Q1772" s="7">
        <v>2</v>
      </c>
      <c r="R1772" s="6">
        <v>7.0000000000000007E-2</v>
      </c>
      <c r="S1772" s="13" t="s">
        <v>1613</v>
      </c>
      <c r="T1772" s="7">
        <v>5</v>
      </c>
      <c r="U1772" s="6">
        <v>0.04</v>
      </c>
      <c r="V1772" s="5" t="s">
        <v>1696</v>
      </c>
      <c r="W1772" s="6"/>
      <c r="X1772" s="6"/>
      <c r="Y1772" s="5"/>
      <c r="Z1772" s="7">
        <v>1</v>
      </c>
      <c r="AA1772" s="6"/>
      <c r="AB1772" s="5"/>
      <c r="AC1772" s="6"/>
      <c r="AD1772" s="6"/>
      <c r="AE1772" s="5"/>
      <c r="AF1772" s="6"/>
      <c r="AG1772" s="6"/>
      <c r="AH1772" s="5"/>
      <c r="AI1772" s="6"/>
      <c r="AJ1772" s="6"/>
      <c r="AK1772" s="5"/>
      <c r="AL1772" s="5"/>
      <c r="AM1772" s="5"/>
      <c r="AN1772" s="5"/>
      <c r="AO1772" s="5"/>
      <c r="AP1772" s="5"/>
      <c r="AQ1772" s="5"/>
    </row>
    <row r="1773" spans="1:43" x14ac:dyDescent="0.25">
      <c r="A1773" s="161" t="str">
        <f t="shared" si="32"/>
        <v>U_PORTUGUESE_CARRACK</v>
      </c>
      <c r="B1773" s="9" t="s">
        <v>2383</v>
      </c>
      <c r="C1773" s="5"/>
      <c r="D1773" s="5"/>
      <c r="E1773" s="5" t="s">
        <v>1590</v>
      </c>
      <c r="F1773" s="5" t="s">
        <v>1590</v>
      </c>
      <c r="G1773" s="5"/>
      <c r="H1773" s="5" t="s">
        <v>1653</v>
      </c>
      <c r="I1773" s="5" t="s">
        <v>128</v>
      </c>
      <c r="J1773" s="6"/>
      <c r="K1773" s="7"/>
      <c r="L1773" s="13" t="s">
        <v>1713</v>
      </c>
      <c r="M1773" s="8"/>
      <c r="N1773" s="13" t="s">
        <v>1727</v>
      </c>
      <c r="O1773" s="13"/>
      <c r="P1773" s="13"/>
      <c r="Q1773" s="7">
        <v>1</v>
      </c>
      <c r="R1773" s="6">
        <v>0.13700000000000001</v>
      </c>
      <c r="S1773" s="5"/>
      <c r="T1773" s="6">
        <v>3</v>
      </c>
      <c r="U1773" s="7" t="s">
        <v>1737</v>
      </c>
      <c r="V1773" s="5" t="s">
        <v>1696</v>
      </c>
      <c r="W1773" s="6"/>
      <c r="X1773" s="6"/>
      <c r="Y1773" s="5"/>
      <c r="Z1773" s="6"/>
      <c r="AA1773" s="6"/>
      <c r="AB1773" s="5"/>
      <c r="AC1773" s="6"/>
      <c r="AD1773" s="6"/>
      <c r="AE1773" s="5"/>
      <c r="AF1773" s="6"/>
      <c r="AG1773" s="6"/>
      <c r="AH1773" s="5"/>
      <c r="AI1773" s="6"/>
      <c r="AJ1773" s="6"/>
      <c r="AK1773" s="5"/>
      <c r="AL1773" s="5"/>
      <c r="AM1773" s="5"/>
      <c r="AN1773" s="5"/>
      <c r="AO1773" s="5"/>
      <c r="AP1773" s="5"/>
      <c r="AQ1773" s="5"/>
    </row>
    <row r="1774" spans="1:43" x14ac:dyDescent="0.25">
      <c r="A1774" s="161" t="str">
        <f t="shared" si="32"/>
        <v>U_ROMAN_BALLISTA</v>
      </c>
      <c r="B1774" s="9" t="s">
        <v>2358</v>
      </c>
      <c r="C1774" s="5"/>
      <c r="D1774" s="5"/>
      <c r="E1774" s="5" t="s">
        <v>1591</v>
      </c>
      <c r="F1774" s="5" t="s">
        <v>1591</v>
      </c>
      <c r="G1774" s="5"/>
      <c r="H1774" s="5" t="s">
        <v>1689</v>
      </c>
      <c r="I1774" s="5" t="s">
        <v>128</v>
      </c>
      <c r="J1774" s="6"/>
      <c r="K1774" s="6"/>
      <c r="L1774" s="13" t="s">
        <v>746</v>
      </c>
      <c r="M1774" s="8"/>
      <c r="N1774" s="5"/>
      <c r="O1774" s="5"/>
      <c r="P1774" s="5"/>
      <c r="Q1774" s="7">
        <v>2</v>
      </c>
      <c r="R1774" s="6" t="s">
        <v>1695</v>
      </c>
      <c r="S1774" s="13" t="s">
        <v>1613</v>
      </c>
      <c r="T1774" s="7">
        <v>4</v>
      </c>
      <c r="U1774" s="7" t="s">
        <v>1737</v>
      </c>
      <c r="V1774" s="5" t="s">
        <v>688</v>
      </c>
      <c r="W1774" s="6" t="s">
        <v>3</v>
      </c>
      <c r="X1774" s="6" t="s">
        <v>3</v>
      </c>
      <c r="Y1774" s="5"/>
      <c r="Z1774" s="7">
        <v>1</v>
      </c>
      <c r="AA1774" s="6"/>
      <c r="AB1774" s="5"/>
      <c r="AC1774" s="6"/>
      <c r="AD1774" s="6" t="s">
        <v>3</v>
      </c>
      <c r="AE1774" s="5"/>
      <c r="AF1774" s="6"/>
      <c r="AG1774" s="6"/>
      <c r="AH1774" s="5"/>
      <c r="AI1774" s="6"/>
      <c r="AJ1774" s="6"/>
      <c r="AK1774" s="5"/>
      <c r="AL1774" s="5"/>
      <c r="AM1774" s="5"/>
      <c r="AN1774" s="5"/>
      <c r="AO1774" s="5"/>
      <c r="AP1774" s="5"/>
      <c r="AQ1774" s="5"/>
    </row>
    <row r="1775" spans="1:43" x14ac:dyDescent="0.25">
      <c r="A1775" s="161" t="str">
        <f t="shared" si="32"/>
        <v>U_ROMAN_LEGION</v>
      </c>
      <c r="B1775" s="9" t="s">
        <v>2359</v>
      </c>
      <c r="C1775" s="5"/>
      <c r="D1775" s="5"/>
      <c r="E1775" s="5" t="s">
        <v>1592</v>
      </c>
      <c r="F1775" s="5" t="s">
        <v>1592</v>
      </c>
      <c r="G1775" s="5"/>
      <c r="H1775" s="5" t="s">
        <v>600</v>
      </c>
      <c r="I1775" s="5" t="s">
        <v>128</v>
      </c>
      <c r="J1775" s="6"/>
      <c r="K1775" s="6"/>
      <c r="L1775" s="13" t="s">
        <v>1718</v>
      </c>
      <c r="M1775" s="8"/>
      <c r="N1775" s="5"/>
      <c r="O1775" s="5"/>
      <c r="P1775" s="5"/>
      <c r="Q1775" s="7" t="s">
        <v>1737</v>
      </c>
      <c r="R1775" s="6" t="s">
        <v>1737</v>
      </c>
      <c r="S1775" s="13" t="s">
        <v>1625</v>
      </c>
      <c r="T1775" s="7" t="s">
        <v>1737</v>
      </c>
      <c r="U1775" s="7" t="s">
        <v>1737</v>
      </c>
      <c r="V1775" s="5" t="s">
        <v>1706</v>
      </c>
      <c r="W1775" s="6" t="s">
        <v>3</v>
      </c>
      <c r="X1775" s="6" t="s">
        <v>3</v>
      </c>
      <c r="Y1775" s="5"/>
      <c r="Z1775" s="7">
        <v>1</v>
      </c>
      <c r="AA1775" s="6"/>
      <c r="AB1775" s="5"/>
      <c r="AC1775" s="6"/>
      <c r="AD1775" s="6" t="s">
        <v>3</v>
      </c>
      <c r="AE1775" s="5"/>
      <c r="AF1775" s="6" t="s">
        <v>1737</v>
      </c>
      <c r="AG1775" s="6"/>
      <c r="AH1775" s="5"/>
      <c r="AI1775" s="6" t="s">
        <v>1737</v>
      </c>
      <c r="AJ1775" s="6"/>
      <c r="AK1775" s="5"/>
      <c r="AL1775" s="5"/>
      <c r="AM1775" s="5"/>
      <c r="AN1775" s="5"/>
      <c r="AO1775" s="5"/>
      <c r="AP1775" s="5"/>
      <c r="AQ1775" s="5"/>
    </row>
    <row r="1776" spans="1:43" x14ac:dyDescent="0.25">
      <c r="A1776" s="161" t="str">
        <f t="shared" si="32"/>
        <v>U_RUSSIAN_COSSACK</v>
      </c>
      <c r="B1776" s="9" t="s">
        <v>2360</v>
      </c>
      <c r="C1776" s="5"/>
      <c r="D1776" s="5"/>
      <c r="E1776" s="5" t="s">
        <v>1593</v>
      </c>
      <c r="F1776" s="5" t="s">
        <v>1593</v>
      </c>
      <c r="G1776" s="5"/>
      <c r="H1776" s="5" t="s">
        <v>1690</v>
      </c>
      <c r="I1776" s="5" t="s">
        <v>128</v>
      </c>
      <c r="J1776" s="6"/>
      <c r="K1776" s="6"/>
      <c r="L1776" s="13" t="s">
        <v>1714</v>
      </c>
      <c r="M1776" s="8"/>
      <c r="N1776" s="5"/>
      <c r="O1776" s="5"/>
      <c r="P1776" s="5"/>
      <c r="Q1776" s="7">
        <v>1</v>
      </c>
      <c r="R1776" s="6" t="s">
        <v>1695</v>
      </c>
      <c r="S1776" s="13" t="s">
        <v>1695</v>
      </c>
      <c r="T1776" s="7">
        <v>1</v>
      </c>
      <c r="U1776" s="7" t="s">
        <v>1695</v>
      </c>
      <c r="V1776" s="5"/>
      <c r="W1776" s="7" t="s">
        <v>3</v>
      </c>
      <c r="X1776" s="6" t="s">
        <v>3</v>
      </c>
      <c r="Y1776" s="5"/>
      <c r="Z1776" s="7">
        <v>0</v>
      </c>
      <c r="AA1776" s="6"/>
      <c r="AB1776" s="5"/>
      <c r="AC1776" s="6"/>
      <c r="AD1776" s="6" t="s">
        <v>3</v>
      </c>
      <c r="AE1776" s="5"/>
      <c r="AF1776" s="6">
        <v>1</v>
      </c>
      <c r="AG1776" s="6"/>
      <c r="AH1776" s="5"/>
      <c r="AI1776" s="6">
        <v>1</v>
      </c>
      <c r="AJ1776" s="6"/>
      <c r="AK1776" s="5"/>
      <c r="AL1776" s="5"/>
      <c r="AM1776" s="5"/>
      <c r="AN1776" s="5"/>
      <c r="AO1776" s="5"/>
      <c r="AP1776" s="5"/>
      <c r="AQ1776" s="5"/>
    </row>
    <row r="1777" spans="1:43" x14ac:dyDescent="0.25">
      <c r="A1777" s="161" t="str">
        <f t="shared" si="32"/>
        <v>U_RUSSIAN_COSSACK</v>
      </c>
      <c r="B1777" s="9" t="s">
        <v>2360</v>
      </c>
      <c r="C1777" s="5"/>
      <c r="D1777" s="5"/>
      <c r="E1777" s="5" t="s">
        <v>1593</v>
      </c>
      <c r="F1777" s="5" t="s">
        <v>1593</v>
      </c>
      <c r="G1777" s="5" t="s">
        <v>2047</v>
      </c>
      <c r="H1777" s="5" t="s">
        <v>1691</v>
      </c>
      <c r="I1777" s="5" t="s">
        <v>128</v>
      </c>
      <c r="J1777" s="6"/>
      <c r="K1777" s="6"/>
      <c r="L1777" s="13" t="s">
        <v>1714</v>
      </c>
      <c r="M1777" s="8"/>
      <c r="N1777" s="5"/>
      <c r="O1777" s="5"/>
      <c r="P1777" s="5"/>
      <c r="Q1777" s="7">
        <v>2</v>
      </c>
      <c r="R1777" s="6" t="s">
        <v>1695</v>
      </c>
      <c r="S1777" s="13" t="s">
        <v>1695</v>
      </c>
      <c r="T1777" s="7">
        <v>2</v>
      </c>
      <c r="U1777" s="7" t="s">
        <v>1695</v>
      </c>
      <c r="V1777" s="5"/>
      <c r="W1777" s="7" t="s">
        <v>3</v>
      </c>
      <c r="X1777" s="6" t="s">
        <v>3</v>
      </c>
      <c r="Y1777" s="5"/>
      <c r="Z1777" s="7">
        <v>1</v>
      </c>
      <c r="AA1777" s="6"/>
      <c r="AB1777" s="5"/>
      <c r="AC1777" s="6"/>
      <c r="AD1777" s="6" t="s">
        <v>3</v>
      </c>
      <c r="AE1777" s="5"/>
      <c r="AF1777" s="6">
        <v>1</v>
      </c>
      <c r="AG1777" s="6"/>
      <c r="AH1777" s="5"/>
      <c r="AI1777" s="6">
        <v>1</v>
      </c>
      <c r="AJ1777" s="6"/>
      <c r="AK1777" s="5"/>
      <c r="AL1777" s="5"/>
      <c r="AM1777" s="5"/>
      <c r="AN1777" s="5"/>
      <c r="AO1777" s="5"/>
      <c r="AP1777" s="5"/>
      <c r="AQ1777" s="5"/>
    </row>
    <row r="1778" spans="1:43" x14ac:dyDescent="0.25">
      <c r="A1778" s="161" t="str">
        <f t="shared" si="32"/>
        <v>U_RUSSIAN_COSSACK</v>
      </c>
      <c r="B1778" s="9" t="s">
        <v>2360</v>
      </c>
      <c r="C1778" s="5"/>
      <c r="D1778" s="5"/>
      <c r="E1778" s="5" t="s">
        <v>1593</v>
      </c>
      <c r="F1778" s="5" t="s">
        <v>1593</v>
      </c>
      <c r="G1778" s="5" t="s">
        <v>2049</v>
      </c>
      <c r="H1778" s="5" t="s">
        <v>1692</v>
      </c>
      <c r="I1778" s="5" t="s">
        <v>128</v>
      </c>
      <c r="J1778" s="6"/>
      <c r="K1778" s="6"/>
      <c r="L1778" s="13" t="s">
        <v>1714</v>
      </c>
      <c r="M1778" s="8"/>
      <c r="N1778" s="5"/>
      <c r="O1778" s="5"/>
      <c r="P1778" s="5"/>
      <c r="Q1778" s="7">
        <v>2</v>
      </c>
      <c r="R1778" s="6" t="s">
        <v>1695</v>
      </c>
      <c r="S1778" s="13" t="s">
        <v>1695</v>
      </c>
      <c r="T1778" s="7">
        <v>2</v>
      </c>
      <c r="U1778" s="7" t="s">
        <v>1695</v>
      </c>
      <c r="V1778" s="5"/>
      <c r="W1778" s="7" t="s">
        <v>3</v>
      </c>
      <c r="X1778" s="6" t="s">
        <v>3</v>
      </c>
      <c r="Y1778" s="5"/>
      <c r="Z1778" s="7">
        <v>0</v>
      </c>
      <c r="AA1778" s="6"/>
      <c r="AB1778" s="5"/>
      <c r="AC1778" s="6"/>
      <c r="AD1778" s="6" t="s">
        <v>3</v>
      </c>
      <c r="AE1778" s="5"/>
      <c r="AF1778" s="7">
        <v>1</v>
      </c>
      <c r="AG1778" s="6"/>
      <c r="AH1778" s="5"/>
      <c r="AI1778" s="7">
        <v>2</v>
      </c>
      <c r="AJ1778" s="6"/>
      <c r="AK1778" s="5"/>
      <c r="AL1778" s="5"/>
      <c r="AM1778" s="5"/>
      <c r="AN1778" s="5"/>
      <c r="AO1778" s="5"/>
      <c r="AP1778" s="5"/>
      <c r="AQ1778" s="5"/>
    </row>
    <row r="1779" spans="1:43" x14ac:dyDescent="0.25">
      <c r="A1779" s="161" t="str">
        <f t="shared" si="32"/>
        <v>U_RUSSIAN_COSSACK</v>
      </c>
      <c r="B1779" s="9" t="s">
        <v>2360</v>
      </c>
      <c r="C1779" s="5"/>
      <c r="D1779" s="5"/>
      <c r="E1779" s="5" t="s">
        <v>1593</v>
      </c>
      <c r="F1779" s="5" t="s">
        <v>1593</v>
      </c>
      <c r="G1779" s="5"/>
      <c r="H1779" s="5" t="s">
        <v>1690</v>
      </c>
      <c r="I1779" s="5" t="s">
        <v>128</v>
      </c>
      <c r="J1779" s="6"/>
      <c r="K1779" s="6"/>
      <c r="L1779" s="13" t="s">
        <v>1714</v>
      </c>
      <c r="M1779" s="8"/>
      <c r="N1779" s="5"/>
      <c r="O1779" s="5"/>
      <c r="P1779" s="5"/>
      <c r="Q1779" s="7">
        <v>0</v>
      </c>
      <c r="R1779" s="6" t="s">
        <v>1695</v>
      </c>
      <c r="S1779" s="13" t="s">
        <v>1695</v>
      </c>
      <c r="T1779" s="7">
        <v>1</v>
      </c>
      <c r="U1779" s="7" t="s">
        <v>1695</v>
      </c>
      <c r="V1779" s="5"/>
      <c r="W1779" s="7" t="s">
        <v>3</v>
      </c>
      <c r="X1779" s="6" t="s">
        <v>3</v>
      </c>
      <c r="Y1779" s="5"/>
      <c r="Z1779" s="7">
        <v>0</v>
      </c>
      <c r="AA1779" s="6"/>
      <c r="AB1779" s="5"/>
      <c r="AC1779" s="6"/>
      <c r="AD1779" s="6" t="s">
        <v>3</v>
      </c>
      <c r="AE1779" s="5"/>
      <c r="AF1779" s="7">
        <v>0</v>
      </c>
      <c r="AG1779" s="6"/>
      <c r="AH1779" s="5"/>
      <c r="AI1779" s="7">
        <v>2</v>
      </c>
      <c r="AJ1779" s="6"/>
      <c r="AK1779" s="5"/>
      <c r="AL1779" s="5"/>
      <c r="AM1779" s="5"/>
      <c r="AN1779" s="5"/>
      <c r="AO1779" s="5"/>
      <c r="AP1779" s="5"/>
      <c r="AQ1779" s="5"/>
    </row>
    <row r="1780" spans="1:43" x14ac:dyDescent="0.25">
      <c r="A1780" s="161" t="str">
        <f t="shared" si="32"/>
        <v>U_RUSSIAN_COSSACK</v>
      </c>
      <c r="B1780" s="9" t="s">
        <v>2360</v>
      </c>
      <c r="C1780" s="5"/>
      <c r="D1780" s="5"/>
      <c r="E1780" s="5" t="s">
        <v>1593</v>
      </c>
      <c r="F1780" s="5" t="s">
        <v>1593</v>
      </c>
      <c r="G1780" s="5" t="s">
        <v>2047</v>
      </c>
      <c r="H1780" s="5" t="s">
        <v>1691</v>
      </c>
      <c r="I1780" s="5" t="s">
        <v>128</v>
      </c>
      <c r="J1780" s="6"/>
      <c r="K1780" s="6"/>
      <c r="L1780" s="13" t="s">
        <v>1714</v>
      </c>
      <c r="M1780" s="8"/>
      <c r="N1780" s="5"/>
      <c r="O1780" s="5"/>
      <c r="P1780" s="5"/>
      <c r="Q1780" s="7">
        <v>0</v>
      </c>
      <c r="R1780" s="6" t="s">
        <v>1695</v>
      </c>
      <c r="S1780" s="13" t="s">
        <v>1695</v>
      </c>
      <c r="T1780" s="7">
        <v>1</v>
      </c>
      <c r="U1780" s="7" t="s">
        <v>1695</v>
      </c>
      <c r="V1780" s="5"/>
      <c r="W1780" s="7" t="s">
        <v>3</v>
      </c>
      <c r="X1780" s="6" t="s">
        <v>3</v>
      </c>
      <c r="Y1780" s="5"/>
      <c r="Z1780" s="7">
        <v>0</v>
      </c>
      <c r="AA1780" s="6"/>
      <c r="AB1780" s="5"/>
      <c r="AC1780" s="6"/>
      <c r="AD1780" s="6" t="s">
        <v>3</v>
      </c>
      <c r="AE1780" s="5"/>
      <c r="AF1780" s="7">
        <v>0</v>
      </c>
      <c r="AG1780" s="6"/>
      <c r="AH1780" s="5"/>
      <c r="AI1780" s="7">
        <v>1</v>
      </c>
      <c r="AJ1780" s="6"/>
      <c r="AK1780" s="5"/>
      <c r="AL1780" s="5"/>
      <c r="AM1780" s="5"/>
      <c r="AN1780" s="5"/>
      <c r="AO1780" s="5"/>
      <c r="AP1780" s="5"/>
      <c r="AQ1780" s="5"/>
    </row>
    <row r="1781" spans="1:43" x14ac:dyDescent="0.25">
      <c r="A1781" s="161" t="str">
        <f t="shared" si="32"/>
        <v>U_SAXON_HUSCARL</v>
      </c>
      <c r="C1781" s="5"/>
      <c r="D1781" s="5"/>
      <c r="E1781" s="5" t="s">
        <v>1594</v>
      </c>
      <c r="F1781" s="5" t="s">
        <v>1594</v>
      </c>
      <c r="G1781" s="5"/>
      <c r="H1781" s="5" t="s">
        <v>1654</v>
      </c>
      <c r="I1781" s="5" t="s">
        <v>128</v>
      </c>
      <c r="J1781" s="6"/>
      <c r="K1781" s="6"/>
      <c r="L1781" s="13" t="s">
        <v>1708</v>
      </c>
      <c r="M1781" s="8"/>
      <c r="N1781" s="5"/>
      <c r="O1781" s="5"/>
      <c r="P1781" s="5"/>
      <c r="Q1781" s="7">
        <v>9</v>
      </c>
      <c r="R1781" s="6" t="s">
        <v>1737</v>
      </c>
      <c r="S1781" s="13" t="s">
        <v>1621</v>
      </c>
      <c r="T1781" s="6" t="s">
        <v>1737</v>
      </c>
      <c r="U1781" s="7" t="s">
        <v>1737</v>
      </c>
      <c r="V1781" s="5" t="s">
        <v>1620</v>
      </c>
      <c r="W1781" s="6" t="s">
        <v>3</v>
      </c>
      <c r="X1781" s="6" t="s">
        <v>3</v>
      </c>
      <c r="Y1781" s="5"/>
      <c r="Z1781" s="7">
        <v>1</v>
      </c>
      <c r="AA1781" s="6"/>
      <c r="AB1781" s="5"/>
      <c r="AC1781" s="6"/>
      <c r="AD1781" s="6" t="s">
        <v>3</v>
      </c>
      <c r="AE1781" s="5"/>
      <c r="AF1781" s="7" t="s">
        <v>1737</v>
      </c>
      <c r="AG1781" s="6"/>
      <c r="AH1781" s="5"/>
      <c r="AI1781" s="7">
        <v>6</v>
      </c>
      <c r="AJ1781" s="6"/>
      <c r="AK1781" s="5"/>
      <c r="AL1781" s="5"/>
      <c r="AM1781" s="5"/>
      <c r="AN1781" s="5"/>
      <c r="AO1781" s="5"/>
      <c r="AP1781" s="5"/>
      <c r="AQ1781" s="5"/>
    </row>
    <row r="1782" spans="1:43" x14ac:dyDescent="0.25">
      <c r="A1782" s="161" t="str">
        <f t="shared" si="32"/>
        <v>U_SHOSHONE_COMANCHE_RIDERS</v>
      </c>
      <c r="B1782" s="9" t="s">
        <v>2361</v>
      </c>
      <c r="C1782" s="5"/>
      <c r="D1782" s="5"/>
      <c r="E1782" s="5" t="s">
        <v>1595</v>
      </c>
      <c r="F1782" s="5" t="s">
        <v>1595</v>
      </c>
      <c r="G1782" s="5"/>
      <c r="H1782" s="5" t="s">
        <v>1655</v>
      </c>
      <c r="I1782" s="5" t="s">
        <v>128</v>
      </c>
      <c r="J1782" s="6"/>
      <c r="K1782" s="6"/>
      <c r="L1782" s="13" t="s">
        <v>1714</v>
      </c>
      <c r="M1782" s="8"/>
      <c r="N1782" s="5"/>
      <c r="O1782" s="5"/>
      <c r="P1782" s="5"/>
      <c r="Q1782" s="7" t="s">
        <v>1695</v>
      </c>
      <c r="R1782" s="6" t="s">
        <v>1695</v>
      </c>
      <c r="S1782" s="13" t="s">
        <v>1695</v>
      </c>
      <c r="T1782" s="6" t="s">
        <v>1695</v>
      </c>
      <c r="U1782" s="7" t="s">
        <v>1695</v>
      </c>
      <c r="V1782" s="5"/>
      <c r="W1782" s="7" t="s">
        <v>3</v>
      </c>
      <c r="X1782" s="6" t="s">
        <v>3</v>
      </c>
      <c r="Y1782" s="5"/>
      <c r="Z1782" s="7">
        <v>1</v>
      </c>
      <c r="AA1782" s="6"/>
      <c r="AB1782" s="5"/>
      <c r="AC1782" s="6"/>
      <c r="AD1782" s="6" t="s">
        <v>3</v>
      </c>
      <c r="AE1782" s="5"/>
      <c r="AF1782" s="7" t="s">
        <v>1695</v>
      </c>
      <c r="AG1782" s="6"/>
      <c r="AH1782" s="5"/>
      <c r="AI1782" s="6"/>
      <c r="AJ1782" s="6"/>
      <c r="AK1782" s="5"/>
      <c r="AL1782" s="5"/>
      <c r="AM1782" s="5"/>
      <c r="AN1782" s="5"/>
      <c r="AO1782" s="5"/>
      <c r="AP1782" s="5"/>
      <c r="AQ1782" s="5"/>
    </row>
    <row r="1783" spans="1:43" x14ac:dyDescent="0.25">
      <c r="A1783" s="161" t="str">
        <f t="shared" si="32"/>
        <v>U_SHOSHONE_PATHFINDER</v>
      </c>
      <c r="B1783" s="9" t="s">
        <v>2362</v>
      </c>
      <c r="C1783" s="5"/>
      <c r="D1783" s="5"/>
      <c r="E1783" s="5" t="s">
        <v>1596</v>
      </c>
      <c r="F1783" s="5" t="s">
        <v>1596</v>
      </c>
      <c r="G1783" s="5"/>
      <c r="H1783" s="5" t="s">
        <v>1656</v>
      </c>
      <c r="I1783" s="5" t="s">
        <v>128</v>
      </c>
      <c r="J1783" s="6"/>
      <c r="K1783" s="6"/>
      <c r="L1783" s="13" t="s">
        <v>1708</v>
      </c>
      <c r="M1783" s="8"/>
      <c r="N1783" s="5"/>
      <c r="O1783" s="5"/>
      <c r="P1783" s="5"/>
      <c r="Q1783" s="7">
        <v>6</v>
      </c>
      <c r="R1783" s="6" t="s">
        <v>1737</v>
      </c>
      <c r="S1783" s="13" t="s">
        <v>20</v>
      </c>
      <c r="T1783" s="6"/>
      <c r="U1783" s="7" t="s">
        <v>1695</v>
      </c>
      <c r="V1783" s="5"/>
      <c r="W1783" s="7" t="s">
        <v>3</v>
      </c>
      <c r="X1783" s="6" t="s">
        <v>3</v>
      </c>
      <c r="Y1783" s="5"/>
      <c r="Z1783" s="7">
        <v>1</v>
      </c>
      <c r="AA1783" s="6"/>
      <c r="AB1783" s="5"/>
      <c r="AC1783" s="6"/>
      <c r="AD1783" s="6" t="s">
        <v>3</v>
      </c>
      <c r="AE1783" s="5"/>
      <c r="AF1783" s="7">
        <v>2</v>
      </c>
      <c r="AG1783" s="6"/>
      <c r="AH1783" s="5"/>
      <c r="AI1783" s="7">
        <v>5</v>
      </c>
      <c r="AJ1783" s="6"/>
      <c r="AK1783" s="5"/>
      <c r="AL1783" s="5"/>
      <c r="AM1783" s="5"/>
      <c r="AN1783" s="5"/>
      <c r="AO1783" s="5"/>
      <c r="AP1783" s="5"/>
      <c r="AQ1783" s="5"/>
    </row>
    <row r="1784" spans="1:43" x14ac:dyDescent="0.25">
      <c r="A1784" s="161" t="str">
        <f t="shared" si="32"/>
        <v>U_SIAMESE_WARELEPHANT</v>
      </c>
      <c r="B1784" s="9" t="s">
        <v>2363</v>
      </c>
      <c r="C1784" s="5"/>
      <c r="D1784" s="5"/>
      <c r="E1784" s="5" t="s">
        <v>1597</v>
      </c>
      <c r="F1784" s="5" t="s">
        <v>1597</v>
      </c>
      <c r="G1784" s="5"/>
      <c r="H1784" s="5" t="s">
        <v>1693</v>
      </c>
      <c r="I1784" s="5" t="s">
        <v>128</v>
      </c>
      <c r="J1784" s="6"/>
      <c r="K1784" s="6"/>
      <c r="L1784" s="13" t="s">
        <v>1717</v>
      </c>
      <c r="M1784" s="8"/>
      <c r="N1784" s="5"/>
      <c r="O1784" s="5"/>
      <c r="P1784" s="5"/>
      <c r="Q1784" s="7">
        <v>2</v>
      </c>
      <c r="R1784" s="6" t="s">
        <v>1695</v>
      </c>
      <c r="S1784" s="13" t="s">
        <v>1618</v>
      </c>
      <c r="T1784" s="6">
        <v>3</v>
      </c>
      <c r="U1784" s="7" t="s">
        <v>1695</v>
      </c>
      <c r="V1784" s="5"/>
      <c r="W1784" s="6" t="s">
        <v>3</v>
      </c>
      <c r="X1784" s="6" t="s">
        <v>3</v>
      </c>
      <c r="Y1784" s="5"/>
      <c r="Z1784" s="7">
        <v>1</v>
      </c>
      <c r="AA1784" s="6"/>
      <c r="AB1784" s="5"/>
      <c r="AC1784" s="6"/>
      <c r="AD1784" s="6" t="s">
        <v>3</v>
      </c>
      <c r="AE1784" s="5"/>
      <c r="AF1784" s="6"/>
      <c r="AG1784" s="6"/>
      <c r="AH1784" s="5"/>
      <c r="AI1784" s="6"/>
      <c r="AJ1784" s="6"/>
      <c r="AK1784" s="5"/>
      <c r="AL1784" s="5"/>
      <c r="AM1784" s="5"/>
      <c r="AN1784" s="5"/>
      <c r="AO1784" s="5"/>
      <c r="AP1784" s="5"/>
      <c r="AQ1784" s="5"/>
    </row>
    <row r="1785" spans="1:43" x14ac:dyDescent="0.25">
      <c r="A1785" s="161" t="str">
        <f t="shared" si="32"/>
        <v>U_SONGHAI_MUSLIMCAVALRY</v>
      </c>
      <c r="B1785" s="9" t="s">
        <v>2364</v>
      </c>
      <c r="C1785" s="5"/>
      <c r="D1785" s="5"/>
      <c r="E1785" s="5" t="s">
        <v>1598</v>
      </c>
      <c r="F1785" s="5" t="s">
        <v>1598</v>
      </c>
      <c r="G1785" s="5"/>
      <c r="H1785" s="5" t="s">
        <v>1694</v>
      </c>
      <c r="I1785" s="5" t="s">
        <v>128</v>
      </c>
      <c r="J1785" s="6"/>
      <c r="K1785" s="6"/>
      <c r="L1785" s="13" t="s">
        <v>1714</v>
      </c>
      <c r="M1785" s="8"/>
      <c r="N1785" s="5"/>
      <c r="O1785" s="5"/>
      <c r="P1785" s="5"/>
      <c r="Q1785" s="7" t="s">
        <v>1695</v>
      </c>
      <c r="R1785" s="6" t="s">
        <v>1695</v>
      </c>
      <c r="S1785" s="13" t="s">
        <v>1695</v>
      </c>
      <c r="T1785" s="6" t="s">
        <v>1695</v>
      </c>
      <c r="U1785" s="7" t="s">
        <v>1695</v>
      </c>
      <c r="V1785" s="5" t="s">
        <v>1701</v>
      </c>
      <c r="W1785" s="6" t="s">
        <v>3</v>
      </c>
      <c r="X1785" s="6" t="s">
        <v>3</v>
      </c>
      <c r="Y1785" s="5"/>
      <c r="Z1785" s="7">
        <v>1</v>
      </c>
      <c r="AA1785" s="6"/>
      <c r="AB1785" s="5"/>
      <c r="AC1785" s="6"/>
      <c r="AD1785" s="6" t="s">
        <v>3</v>
      </c>
      <c r="AE1785" s="5"/>
      <c r="AF1785" s="7" t="s">
        <v>1695</v>
      </c>
      <c r="AG1785" s="6"/>
      <c r="AH1785" s="5"/>
      <c r="AI1785" s="6"/>
      <c r="AJ1785" s="6"/>
      <c r="AK1785" s="5"/>
      <c r="AL1785" s="5"/>
      <c r="AM1785" s="5"/>
      <c r="AN1785" s="5"/>
      <c r="AO1785" s="5"/>
      <c r="AP1785" s="5"/>
      <c r="AQ1785" s="5"/>
    </row>
    <row r="1786" spans="1:43" x14ac:dyDescent="0.25">
      <c r="A1786" s="161" t="str">
        <f t="shared" si="32"/>
        <v>U_SPANISH_CONQUISTADOR</v>
      </c>
      <c r="B1786" s="9" t="s">
        <v>2365</v>
      </c>
      <c r="C1786" s="5"/>
      <c r="D1786" s="5"/>
      <c r="E1786" s="5" t="s">
        <v>1599</v>
      </c>
      <c r="F1786" s="5" t="s">
        <v>1599</v>
      </c>
      <c r="G1786" s="5"/>
      <c r="H1786" s="5" t="s">
        <v>1657</v>
      </c>
      <c r="I1786" s="5" t="s">
        <v>128</v>
      </c>
      <c r="J1786" s="6"/>
      <c r="K1786" s="6"/>
      <c r="L1786" s="13" t="s">
        <v>1708</v>
      </c>
      <c r="M1786" s="8"/>
      <c r="N1786" s="5"/>
      <c r="O1786" s="5"/>
      <c r="P1786" s="5"/>
      <c r="Q1786" s="7" t="s">
        <v>1695</v>
      </c>
      <c r="R1786" s="6">
        <v>0.13</v>
      </c>
      <c r="S1786" s="13" t="s">
        <v>1695</v>
      </c>
      <c r="T1786" s="6"/>
      <c r="U1786" s="6"/>
      <c r="V1786" s="5"/>
      <c r="W1786" s="6" t="s">
        <v>3</v>
      </c>
      <c r="X1786" s="6" t="s">
        <v>3</v>
      </c>
      <c r="Y1786" s="5"/>
      <c r="Z1786" s="7">
        <v>1</v>
      </c>
      <c r="AA1786" s="6"/>
      <c r="AB1786" s="5"/>
      <c r="AC1786" s="6"/>
      <c r="AD1786" s="6" t="s">
        <v>3</v>
      </c>
      <c r="AE1786" s="5"/>
      <c r="AF1786" s="7" t="s">
        <v>1695</v>
      </c>
      <c r="AG1786" s="6"/>
      <c r="AH1786" s="5"/>
      <c r="AI1786" s="6"/>
      <c r="AJ1786" s="6"/>
      <c r="AK1786" s="5"/>
      <c r="AL1786" s="5"/>
      <c r="AM1786" s="5"/>
      <c r="AN1786" s="5"/>
      <c r="AO1786" s="5"/>
      <c r="AP1786" s="5"/>
      <c r="AQ1786" s="5"/>
    </row>
    <row r="1787" spans="1:43" x14ac:dyDescent="0.25">
      <c r="A1787" s="161" t="str">
        <f t="shared" si="32"/>
        <v>U_SPANISH_GALLEON</v>
      </c>
      <c r="C1787" s="5"/>
      <c r="D1787" s="5"/>
      <c r="E1787" s="5" t="s">
        <v>1600</v>
      </c>
      <c r="F1787" s="5" t="s">
        <v>1600</v>
      </c>
      <c r="G1787" s="5"/>
      <c r="H1787" s="5" t="s">
        <v>1658</v>
      </c>
      <c r="I1787" s="5" t="s">
        <v>128</v>
      </c>
      <c r="J1787" s="6"/>
      <c r="K1787" s="7"/>
      <c r="L1787" s="13" t="s">
        <v>1712</v>
      </c>
      <c r="M1787" s="8"/>
      <c r="N1787" s="13" t="s">
        <v>1727</v>
      </c>
      <c r="O1787" s="13"/>
      <c r="P1787" s="13"/>
      <c r="Q1787" s="7">
        <v>2</v>
      </c>
      <c r="R1787" s="6">
        <v>0.13</v>
      </c>
      <c r="S1787" s="13" t="s">
        <v>1613</v>
      </c>
      <c r="T1787" s="6" t="s">
        <v>1695</v>
      </c>
      <c r="U1787" s="6" t="s">
        <v>1695</v>
      </c>
      <c r="V1787" s="5" t="s">
        <v>1696</v>
      </c>
      <c r="W1787" s="6"/>
      <c r="X1787" s="6"/>
      <c r="Y1787" s="5"/>
      <c r="Z1787" s="7">
        <v>1</v>
      </c>
      <c r="AA1787" s="6"/>
      <c r="AB1787" s="5"/>
      <c r="AC1787" s="6"/>
      <c r="AD1787" s="6"/>
      <c r="AE1787" s="5"/>
      <c r="AF1787" s="6"/>
      <c r="AG1787" s="6"/>
      <c r="AH1787" s="5"/>
      <c r="AI1787" s="6"/>
      <c r="AJ1787" s="6"/>
      <c r="AK1787" s="5"/>
      <c r="AL1787" s="5"/>
      <c r="AM1787" s="5"/>
      <c r="AN1787" s="5"/>
      <c r="AO1787" s="5"/>
      <c r="AP1787" s="5"/>
      <c r="AQ1787" s="5"/>
    </row>
    <row r="1788" spans="1:43" x14ac:dyDescent="0.25">
      <c r="A1788" s="161" t="str">
        <f t="shared" si="32"/>
        <v>U_SPANISH_TERCIO</v>
      </c>
      <c r="B1788" s="9" t="s">
        <v>2366</v>
      </c>
      <c r="C1788" s="5"/>
      <c r="D1788" s="5"/>
      <c r="E1788" s="5" t="s">
        <v>1601</v>
      </c>
      <c r="F1788" s="5" t="s">
        <v>1601</v>
      </c>
      <c r="G1788" s="5"/>
      <c r="H1788" s="5" t="s">
        <v>1659</v>
      </c>
      <c r="I1788" s="5" t="s">
        <v>128</v>
      </c>
      <c r="J1788" s="6"/>
      <c r="K1788" s="6"/>
      <c r="L1788" s="13" t="s">
        <v>1708</v>
      </c>
      <c r="M1788" s="8"/>
      <c r="N1788" s="5"/>
      <c r="O1788" s="5"/>
      <c r="P1788" s="5"/>
      <c r="Q1788" s="7">
        <v>6</v>
      </c>
      <c r="R1788" s="6" t="s">
        <v>1737</v>
      </c>
      <c r="S1788" s="13" t="s">
        <v>1627</v>
      </c>
      <c r="T1788" s="6">
        <v>9</v>
      </c>
      <c r="U1788" s="7" t="s">
        <v>1737</v>
      </c>
      <c r="V1788" s="5" t="s">
        <v>1707</v>
      </c>
      <c r="W1788" s="6">
        <v>16</v>
      </c>
      <c r="X1788" s="6" t="s">
        <v>3</v>
      </c>
      <c r="Y1788" s="5"/>
      <c r="Z1788" s="7">
        <v>1</v>
      </c>
      <c r="AA1788" s="6"/>
      <c r="AB1788" s="5"/>
      <c r="AC1788" s="6"/>
      <c r="AD1788" s="6" t="s">
        <v>3</v>
      </c>
      <c r="AE1788" s="5"/>
      <c r="AF1788" s="7">
        <v>2</v>
      </c>
      <c r="AG1788" s="6"/>
      <c r="AH1788" s="5"/>
      <c r="AI1788" s="6">
        <v>4</v>
      </c>
      <c r="AJ1788" s="6"/>
      <c r="AK1788" s="5"/>
      <c r="AL1788" s="5"/>
      <c r="AM1788" s="5"/>
      <c r="AN1788" s="5"/>
      <c r="AO1788" s="5"/>
      <c r="AP1788" s="5"/>
      <c r="AQ1788" s="5"/>
    </row>
    <row r="1789" spans="1:43" x14ac:dyDescent="0.25">
      <c r="A1789" s="161" t="str">
        <f t="shared" si="32"/>
        <v>U_SPANISH_TERCIO</v>
      </c>
      <c r="B1789" s="9" t="s">
        <v>2366</v>
      </c>
      <c r="C1789" s="5"/>
      <c r="D1789" s="5"/>
      <c r="E1789" s="5" t="s">
        <v>1601</v>
      </c>
      <c r="F1789" s="5" t="s">
        <v>1601</v>
      </c>
      <c r="G1789" s="5" t="s">
        <v>2061</v>
      </c>
      <c r="H1789" s="5" t="s">
        <v>1660</v>
      </c>
      <c r="I1789" s="5" t="s">
        <v>128</v>
      </c>
      <c r="J1789" s="6"/>
      <c r="K1789" s="6"/>
      <c r="L1789" s="13" t="s">
        <v>1708</v>
      </c>
      <c r="M1789" s="8"/>
      <c r="N1789" s="5"/>
      <c r="O1789" s="5"/>
      <c r="P1789" s="5"/>
      <c r="Q1789" s="7">
        <v>6</v>
      </c>
      <c r="R1789" s="6" t="s">
        <v>1737</v>
      </c>
      <c r="S1789" s="13" t="s">
        <v>1627</v>
      </c>
      <c r="T1789" s="6">
        <v>9</v>
      </c>
      <c r="U1789" s="7" t="s">
        <v>1737</v>
      </c>
      <c r="V1789" s="5" t="s">
        <v>1707</v>
      </c>
      <c r="W1789" s="6">
        <v>16</v>
      </c>
      <c r="X1789" s="6" t="s">
        <v>3</v>
      </c>
      <c r="Y1789" s="5"/>
      <c r="Z1789" s="7">
        <v>0</v>
      </c>
      <c r="AA1789" s="6"/>
      <c r="AB1789" s="5"/>
      <c r="AC1789" s="6"/>
      <c r="AD1789" s="6" t="s">
        <v>3</v>
      </c>
      <c r="AE1789" s="5"/>
      <c r="AF1789" s="7">
        <v>1</v>
      </c>
      <c r="AG1789" s="6"/>
      <c r="AH1789" s="5"/>
      <c r="AI1789" s="6">
        <v>3</v>
      </c>
      <c r="AJ1789" s="6"/>
      <c r="AK1789" s="5"/>
      <c r="AL1789" s="5"/>
      <c r="AM1789" s="5"/>
      <c r="AN1789" s="5"/>
      <c r="AO1789" s="5"/>
      <c r="AP1789" s="5"/>
      <c r="AQ1789" s="5"/>
    </row>
    <row r="1790" spans="1:43" x14ac:dyDescent="0.25">
      <c r="A1790" s="161" t="str">
        <f>CONCATENATE(E1790,IF(ISBLANK(C1790),"",CONCATENATE("_",C1790)))</f>
        <v>U_SPANISH_TERCIO</v>
      </c>
      <c r="C1790" s="5"/>
      <c r="D1790" s="5"/>
      <c r="E1790" s="5" t="s">
        <v>1601</v>
      </c>
      <c r="F1790" s="5" t="s">
        <v>1601</v>
      </c>
      <c r="G1790" s="5" t="s">
        <v>2578</v>
      </c>
      <c r="H1790" s="5" t="s">
        <v>1659</v>
      </c>
      <c r="I1790" s="5" t="s">
        <v>128</v>
      </c>
      <c r="J1790" s="6"/>
      <c r="K1790" s="6"/>
      <c r="L1790" s="13" t="s">
        <v>1708</v>
      </c>
      <c r="M1790" s="8"/>
      <c r="N1790" s="5"/>
      <c r="O1790" s="5"/>
      <c r="P1790" s="5"/>
      <c r="Q1790" s="7">
        <v>0</v>
      </c>
      <c r="R1790" s="6" t="s">
        <v>1737</v>
      </c>
      <c r="S1790" s="13" t="s">
        <v>1627</v>
      </c>
      <c r="T1790" s="6">
        <v>0</v>
      </c>
      <c r="U1790" s="7" t="s">
        <v>1737</v>
      </c>
      <c r="V1790" s="5" t="s">
        <v>1707</v>
      </c>
      <c r="W1790" s="6">
        <v>0</v>
      </c>
      <c r="X1790" s="6" t="s">
        <v>3</v>
      </c>
      <c r="Y1790" s="5"/>
      <c r="Z1790" s="7">
        <v>0</v>
      </c>
      <c r="AA1790" s="6"/>
      <c r="AB1790" s="5"/>
      <c r="AC1790" s="6">
        <v>0</v>
      </c>
      <c r="AD1790" s="6" t="s">
        <v>3</v>
      </c>
      <c r="AE1790" s="5"/>
      <c r="AF1790" s="7">
        <v>0</v>
      </c>
      <c r="AG1790" s="6"/>
      <c r="AH1790" s="5"/>
      <c r="AI1790" s="6">
        <v>0</v>
      </c>
      <c r="AJ1790" s="6"/>
      <c r="AK1790" s="5"/>
      <c r="AL1790" s="5" t="s">
        <v>1911</v>
      </c>
      <c r="AM1790" s="5"/>
      <c r="AN1790" s="5"/>
      <c r="AO1790" s="5" t="s">
        <v>1911</v>
      </c>
      <c r="AP1790" s="5"/>
      <c r="AQ1790" s="5"/>
    </row>
    <row r="1791" spans="1:43" x14ac:dyDescent="0.25">
      <c r="A1791" s="161" t="str">
        <f t="shared" si="32"/>
        <v>U_SPANISH_TREASURE_CART</v>
      </c>
      <c r="C1791" s="5"/>
      <c r="D1791" s="5"/>
      <c r="E1791" s="5" t="s">
        <v>1602</v>
      </c>
      <c r="F1791" s="5" t="s">
        <v>1602</v>
      </c>
      <c r="H1791" s="5" t="s">
        <v>1661</v>
      </c>
      <c r="I1791" s="5" t="s">
        <v>128</v>
      </c>
      <c r="J1791" s="6"/>
      <c r="K1791" s="6"/>
      <c r="L1791" s="13" t="s">
        <v>1709</v>
      </c>
      <c r="M1791" s="8"/>
      <c r="N1791" s="5"/>
      <c r="O1791" s="5"/>
      <c r="P1791" s="5"/>
      <c r="Q1791" s="7">
        <v>1</v>
      </c>
      <c r="R1791" s="6">
        <v>6.3E-2</v>
      </c>
      <c r="S1791" s="5"/>
      <c r="T1791" s="6"/>
      <c r="U1791" s="6"/>
      <c r="V1791" s="5"/>
      <c r="W1791" s="6"/>
      <c r="X1791" s="6" t="s">
        <v>3</v>
      </c>
      <c r="Y1791" s="5"/>
      <c r="Z1791" s="6"/>
      <c r="AA1791" s="6"/>
      <c r="AB1791" s="5"/>
      <c r="AC1791" s="6"/>
      <c r="AD1791" s="6" t="s">
        <v>3</v>
      </c>
      <c r="AE1791" s="5"/>
      <c r="AF1791" s="6"/>
      <c r="AG1791" s="6"/>
      <c r="AH1791" s="5"/>
      <c r="AI1791" s="6"/>
      <c r="AJ1791" s="6"/>
      <c r="AK1791" s="5"/>
      <c r="AL1791" s="5"/>
      <c r="AM1791" s="5"/>
      <c r="AN1791" s="5"/>
      <c r="AO1791" s="5"/>
      <c r="AP1791" s="5"/>
      <c r="AQ1791" s="5"/>
    </row>
    <row r="1792" spans="1:43" x14ac:dyDescent="0.25">
      <c r="A1792" s="161" t="str">
        <f t="shared" si="32"/>
        <v>U_SUMERIAN_PHALANX</v>
      </c>
      <c r="C1792" s="5"/>
      <c r="D1792" s="5"/>
      <c r="E1792" s="5" t="s">
        <v>1603</v>
      </c>
      <c r="F1792" s="5" t="s">
        <v>1603</v>
      </c>
      <c r="G1792" s="5"/>
      <c r="H1792" s="5" t="s">
        <v>1662</v>
      </c>
      <c r="I1792" s="5" t="s">
        <v>128</v>
      </c>
      <c r="J1792" s="6"/>
      <c r="K1792" s="6"/>
      <c r="L1792" s="13" t="s">
        <v>1708</v>
      </c>
      <c r="M1792" s="8"/>
      <c r="N1792" s="5"/>
      <c r="O1792" s="5"/>
      <c r="P1792" s="5"/>
      <c r="Q1792" s="7" t="s">
        <v>1737</v>
      </c>
      <c r="R1792" s="6">
        <v>0.13</v>
      </c>
      <c r="S1792" s="13" t="s">
        <v>1625</v>
      </c>
      <c r="T1792" s="6">
        <v>20</v>
      </c>
      <c r="U1792" s="6" t="s">
        <v>1695</v>
      </c>
      <c r="V1792" s="5"/>
      <c r="W1792" s="6" t="s">
        <v>3</v>
      </c>
      <c r="X1792" s="6" t="s">
        <v>3</v>
      </c>
      <c r="Y1792" s="5"/>
      <c r="Z1792" s="7">
        <v>1</v>
      </c>
      <c r="AA1792" s="6"/>
      <c r="AB1792" s="5"/>
      <c r="AC1792" s="6"/>
      <c r="AD1792" s="6" t="s">
        <v>3</v>
      </c>
      <c r="AE1792" s="5"/>
      <c r="AF1792" s="7" t="s">
        <v>1695</v>
      </c>
      <c r="AG1792" s="6"/>
      <c r="AH1792" s="5"/>
      <c r="AI1792" s="6" t="s">
        <v>1737</v>
      </c>
      <c r="AJ1792" s="6"/>
      <c r="AK1792" s="5"/>
      <c r="AL1792" s="5"/>
      <c r="AM1792" s="5"/>
      <c r="AN1792" s="5"/>
      <c r="AO1792" s="5"/>
      <c r="AP1792" s="5"/>
      <c r="AQ1792" s="5"/>
    </row>
    <row r="1793" spans="1:43" x14ac:dyDescent="0.25">
      <c r="A1793" s="161" t="str">
        <f t="shared" si="32"/>
        <v>U_SWEDISH_CAROLEAN</v>
      </c>
      <c r="B1793" s="9" t="s">
        <v>2367</v>
      </c>
      <c r="C1793" s="5"/>
      <c r="D1793" s="5"/>
      <c r="E1793" s="5" t="s">
        <v>1604</v>
      </c>
      <c r="F1793" s="5" t="s">
        <v>1604</v>
      </c>
      <c r="G1793" s="5"/>
      <c r="H1793" s="5" t="s">
        <v>1663</v>
      </c>
      <c r="I1793" s="5" t="s">
        <v>128</v>
      </c>
      <c r="J1793" s="6"/>
      <c r="K1793" s="6"/>
      <c r="L1793" s="13" t="s">
        <v>1708</v>
      </c>
      <c r="M1793" s="8"/>
      <c r="N1793" s="5"/>
      <c r="O1793" s="5"/>
      <c r="P1793" s="5"/>
      <c r="Q1793" s="7">
        <v>14</v>
      </c>
      <c r="R1793" s="6" t="s">
        <v>1737</v>
      </c>
      <c r="S1793" s="13" t="s">
        <v>1619</v>
      </c>
      <c r="T1793" s="6">
        <v>19</v>
      </c>
      <c r="U1793" s="7" t="s">
        <v>1737</v>
      </c>
      <c r="V1793" s="5"/>
      <c r="W1793" s="6" t="s">
        <v>3</v>
      </c>
      <c r="X1793" s="6" t="s">
        <v>3</v>
      </c>
      <c r="Y1793" s="5"/>
      <c r="Z1793" s="7">
        <v>1</v>
      </c>
      <c r="AA1793" s="6"/>
      <c r="AB1793" s="5"/>
      <c r="AC1793" s="6"/>
      <c r="AD1793" s="6" t="s">
        <v>3</v>
      </c>
      <c r="AE1793" s="5"/>
      <c r="AF1793" s="7" t="s">
        <v>1737</v>
      </c>
      <c r="AG1793" s="6"/>
      <c r="AH1793" s="5"/>
      <c r="AI1793" s="7" t="s">
        <v>1737</v>
      </c>
      <c r="AJ1793" s="6"/>
      <c r="AK1793" s="5"/>
      <c r="AL1793" s="5"/>
      <c r="AM1793" s="5"/>
      <c r="AN1793" s="5"/>
      <c r="AO1793" s="5"/>
      <c r="AP1793" s="5"/>
      <c r="AQ1793" s="5"/>
    </row>
    <row r="1794" spans="1:43" x14ac:dyDescent="0.25">
      <c r="A1794" s="161" t="str">
        <f t="shared" si="32"/>
        <v>U_SWEDISH_HAKKAPELITTA</v>
      </c>
      <c r="B1794" s="9" t="s">
        <v>2384</v>
      </c>
      <c r="C1794" s="5"/>
      <c r="D1794" s="5"/>
      <c r="E1794" s="5" t="s">
        <v>1605</v>
      </c>
      <c r="F1794" s="5" t="s">
        <v>1605</v>
      </c>
      <c r="G1794" s="5"/>
      <c r="H1794" s="5" t="s">
        <v>1664</v>
      </c>
      <c r="I1794" s="5" t="s">
        <v>128</v>
      </c>
      <c r="J1794" s="6"/>
      <c r="K1794" s="6"/>
      <c r="L1794" s="13" t="s">
        <v>1714</v>
      </c>
      <c r="M1794" s="8"/>
      <c r="N1794" s="5"/>
      <c r="O1794" s="5"/>
      <c r="P1794" s="5"/>
      <c r="Q1794" s="7" t="s">
        <v>1695</v>
      </c>
      <c r="R1794" s="6" t="s">
        <v>1695</v>
      </c>
      <c r="S1794" s="13" t="s">
        <v>1695</v>
      </c>
      <c r="T1794" s="6" t="s">
        <v>1695</v>
      </c>
      <c r="U1794" s="7" t="s">
        <v>1695</v>
      </c>
      <c r="V1794" s="5" t="s">
        <v>1701</v>
      </c>
      <c r="W1794" s="6" t="s">
        <v>3</v>
      </c>
      <c r="X1794" s="6" t="s">
        <v>3</v>
      </c>
      <c r="Y1794" s="5"/>
      <c r="Z1794" s="7">
        <v>1</v>
      </c>
      <c r="AA1794" s="6"/>
      <c r="AB1794" s="5"/>
      <c r="AC1794" s="6"/>
      <c r="AD1794" s="6" t="s">
        <v>3</v>
      </c>
      <c r="AE1794" s="5"/>
      <c r="AF1794" s="7" t="s">
        <v>1695</v>
      </c>
      <c r="AG1794" s="6"/>
      <c r="AH1794" s="5"/>
      <c r="AI1794" s="6"/>
      <c r="AJ1794" s="6"/>
      <c r="AK1794" s="5"/>
      <c r="AL1794" s="5"/>
      <c r="AM1794" s="5"/>
      <c r="AN1794" s="5"/>
      <c r="AO1794" s="5"/>
      <c r="AP1794" s="5"/>
      <c r="AQ1794" s="5"/>
    </row>
    <row r="1795" spans="1:43" x14ac:dyDescent="0.25">
      <c r="A1795" s="161" t="str">
        <f t="shared" si="32"/>
        <v>U_VENETIAN_GALLEASS</v>
      </c>
      <c r="B1795" s="9" t="s">
        <v>2368</v>
      </c>
      <c r="C1795" s="5"/>
      <c r="D1795" s="5"/>
      <c r="E1795" s="5" t="s">
        <v>1606</v>
      </c>
      <c r="F1795" s="5" t="s">
        <v>1606</v>
      </c>
      <c r="G1795" s="5"/>
      <c r="H1795" s="5" t="s">
        <v>1665</v>
      </c>
      <c r="I1795" s="5" t="s">
        <v>128</v>
      </c>
      <c r="J1795" s="6"/>
      <c r="K1795" s="7"/>
      <c r="L1795" s="13" t="s">
        <v>1712</v>
      </c>
      <c r="M1795" s="8"/>
      <c r="N1795" s="13" t="s">
        <v>1727</v>
      </c>
      <c r="O1795" s="13"/>
      <c r="P1795" s="13"/>
      <c r="Q1795" s="7">
        <v>1</v>
      </c>
      <c r="R1795" s="6" t="s">
        <v>1737</v>
      </c>
      <c r="S1795" s="5"/>
      <c r="T1795" s="6"/>
      <c r="U1795" s="6">
        <v>0.1</v>
      </c>
      <c r="V1795" s="5"/>
      <c r="W1795" s="6"/>
      <c r="X1795" s="6"/>
      <c r="Y1795" s="5"/>
      <c r="Z1795" s="6"/>
      <c r="AA1795" s="6"/>
      <c r="AB1795" s="5"/>
      <c r="AC1795" s="6"/>
      <c r="AD1795" s="6"/>
      <c r="AE1795" s="5"/>
      <c r="AF1795" s="6"/>
      <c r="AG1795" s="6"/>
      <c r="AH1795" s="5"/>
      <c r="AI1795" s="6"/>
      <c r="AJ1795" s="6"/>
      <c r="AK1795" s="5"/>
      <c r="AL1795" s="5"/>
      <c r="AM1795" s="5"/>
      <c r="AN1795" s="5"/>
      <c r="AO1795" s="5"/>
      <c r="AP1795" s="5"/>
      <c r="AQ1795" s="5"/>
    </row>
    <row r="1796" spans="1:43" x14ac:dyDescent="0.25">
      <c r="A1796" s="161" t="str">
        <f t="shared" si="32"/>
        <v>U_VENETIAN_MERCHANT</v>
      </c>
      <c r="B1796" s="9" t="s">
        <v>2369</v>
      </c>
      <c r="C1796" s="5"/>
      <c r="D1796" s="5"/>
      <c r="E1796" s="5" t="s">
        <v>1607</v>
      </c>
      <c r="F1796" s="5" t="s">
        <v>1607</v>
      </c>
      <c r="G1796" s="5"/>
      <c r="H1796" s="5" t="s">
        <v>1666</v>
      </c>
      <c r="I1796" s="5" t="s">
        <v>128</v>
      </c>
      <c r="J1796" s="6"/>
      <c r="K1796" s="6"/>
      <c r="L1796" s="13" t="s">
        <v>1712</v>
      </c>
      <c r="M1796" s="8"/>
      <c r="N1796" s="5"/>
      <c r="O1796" s="5"/>
      <c r="P1796" s="5"/>
      <c r="Q1796" s="7">
        <v>1</v>
      </c>
      <c r="R1796" s="6" t="s">
        <v>1695</v>
      </c>
      <c r="S1796" s="13" t="s">
        <v>1624</v>
      </c>
      <c r="T1796" s="6"/>
      <c r="U1796" s="6"/>
      <c r="V1796" s="5"/>
      <c r="W1796" s="6"/>
      <c r="X1796" s="6" t="s">
        <v>3</v>
      </c>
      <c r="Y1796" s="5"/>
      <c r="Z1796" s="6"/>
      <c r="AA1796" s="6"/>
      <c r="AB1796" s="5"/>
      <c r="AC1796" s="6"/>
      <c r="AD1796" s="6" t="s">
        <v>3</v>
      </c>
      <c r="AE1796" s="5"/>
      <c r="AF1796" s="6"/>
      <c r="AG1796" s="6"/>
      <c r="AH1796" s="5"/>
      <c r="AI1796" s="6"/>
      <c r="AJ1796" s="6"/>
      <c r="AK1796" s="5"/>
      <c r="AL1796" s="5"/>
      <c r="AM1796" s="5"/>
      <c r="AN1796" s="5"/>
      <c r="AO1796" s="5"/>
      <c r="AP1796" s="5"/>
      <c r="AQ1796" s="5"/>
    </row>
    <row r="1797" spans="1:43" x14ac:dyDescent="0.25">
      <c r="A1797" s="161" t="str">
        <f t="shared" si="32"/>
        <v>U_ZULU_IMPI_WARRIOR</v>
      </c>
      <c r="B1797" s="9" t="s">
        <v>2321</v>
      </c>
      <c r="C1797" s="5"/>
      <c r="D1797" s="5"/>
      <c r="E1797" s="5" t="s">
        <v>1608</v>
      </c>
      <c r="F1797" s="5" t="s">
        <v>1608</v>
      </c>
      <c r="G1797" s="5"/>
      <c r="H1797" s="5" t="s">
        <v>1667</v>
      </c>
      <c r="I1797" s="5" t="s">
        <v>128</v>
      </c>
      <c r="J1797" s="6"/>
      <c r="K1797" s="6"/>
      <c r="L1797" s="13" t="s">
        <v>1708</v>
      </c>
      <c r="M1797" s="8"/>
      <c r="N1797" s="5"/>
      <c r="O1797" s="5"/>
      <c r="P1797" s="5"/>
      <c r="Q1797" s="7">
        <v>4</v>
      </c>
      <c r="R1797" s="6" t="s">
        <v>1737</v>
      </c>
      <c r="S1797" s="13" t="s">
        <v>1620</v>
      </c>
      <c r="T1797" s="6"/>
      <c r="U1797" s="7" t="s">
        <v>1695</v>
      </c>
      <c r="V1797" s="5"/>
      <c r="W1797" s="7" t="s">
        <v>3</v>
      </c>
      <c r="X1797" s="6" t="s">
        <v>3</v>
      </c>
      <c r="Y1797" s="5"/>
      <c r="Z1797" s="7">
        <v>1</v>
      </c>
      <c r="AA1797" s="6"/>
      <c r="AB1797" s="5"/>
      <c r="AC1797" s="6"/>
      <c r="AD1797" s="6" t="s">
        <v>3</v>
      </c>
      <c r="AE1797" s="5"/>
      <c r="AF1797" s="7">
        <v>1</v>
      </c>
      <c r="AG1797" s="6"/>
      <c r="AH1797" s="5"/>
      <c r="AI1797" s="6">
        <v>3</v>
      </c>
      <c r="AJ1797" s="6"/>
      <c r="AK1797" s="5"/>
      <c r="AL1797" s="5"/>
      <c r="AM1797" s="5"/>
      <c r="AN1797" s="5"/>
      <c r="AO1797" s="5"/>
      <c r="AP1797" s="5"/>
      <c r="AQ1797" s="5"/>
    </row>
    <row r="1798" spans="1:43" x14ac:dyDescent="0.25">
      <c r="A1798" s="161" t="str">
        <f t="shared" si="32"/>
        <v>U_ZULU_IMPI_WARRIOR</v>
      </c>
      <c r="B1798" s="9" t="s">
        <v>2321</v>
      </c>
      <c r="C1798" s="5"/>
      <c r="D1798" s="5"/>
      <c r="E1798" s="5" t="s">
        <v>1608</v>
      </c>
      <c r="F1798" s="5" t="s">
        <v>1608</v>
      </c>
      <c r="G1798" s="5" t="s">
        <v>2047</v>
      </c>
      <c r="H1798" s="5" t="s">
        <v>1668</v>
      </c>
      <c r="I1798" s="5" t="s">
        <v>128</v>
      </c>
      <c r="J1798" s="6"/>
      <c r="K1798" s="6"/>
      <c r="L1798" s="13" t="s">
        <v>1708</v>
      </c>
      <c r="M1798" s="8"/>
      <c r="N1798" s="5"/>
      <c r="O1798" s="5"/>
      <c r="P1798" s="5"/>
      <c r="Q1798" s="7">
        <v>3</v>
      </c>
      <c r="R1798" s="6" t="s">
        <v>1737</v>
      </c>
      <c r="S1798" s="13" t="s">
        <v>1620</v>
      </c>
      <c r="T1798" s="6"/>
      <c r="U1798" s="7" t="s">
        <v>1695</v>
      </c>
      <c r="V1798" s="5"/>
      <c r="W1798" s="7" t="s">
        <v>3</v>
      </c>
      <c r="X1798" s="6" t="s">
        <v>3</v>
      </c>
      <c r="Y1798" s="5"/>
      <c r="Z1798" s="7">
        <v>0</v>
      </c>
      <c r="AA1798" s="6"/>
      <c r="AB1798" s="5"/>
      <c r="AC1798" s="6"/>
      <c r="AD1798" s="6" t="s">
        <v>3</v>
      </c>
      <c r="AE1798" s="5"/>
      <c r="AF1798" s="7">
        <v>1</v>
      </c>
      <c r="AG1798" s="6"/>
      <c r="AH1798" s="5"/>
      <c r="AI1798" s="6">
        <v>2</v>
      </c>
      <c r="AJ1798" s="6"/>
      <c r="AK1798" s="5"/>
      <c r="AL1798" s="5"/>
      <c r="AM1798" s="5"/>
      <c r="AN1798" s="5"/>
      <c r="AO1798" s="5"/>
      <c r="AP1798" s="5"/>
      <c r="AQ1798" s="5"/>
    </row>
    <row r="1799" spans="1:43" x14ac:dyDescent="0.25">
      <c r="A1799" s="161" t="str">
        <f t="shared" si="32"/>
        <v>U_ZULU_IMPI_WARRIOR</v>
      </c>
      <c r="B1799" s="9" t="s">
        <v>2321</v>
      </c>
      <c r="C1799" s="5"/>
      <c r="D1799" s="5"/>
      <c r="E1799" s="5" t="s">
        <v>1608</v>
      </c>
      <c r="F1799" s="5" t="s">
        <v>1608</v>
      </c>
      <c r="G1799" s="5" t="s">
        <v>2049</v>
      </c>
      <c r="H1799" s="5" t="s">
        <v>1669</v>
      </c>
      <c r="I1799" s="5" t="s">
        <v>128</v>
      </c>
      <c r="J1799" s="6"/>
      <c r="K1799" s="6"/>
      <c r="L1799" s="13" t="s">
        <v>1708</v>
      </c>
      <c r="M1799" s="8"/>
      <c r="N1799" s="5"/>
      <c r="O1799" s="5"/>
      <c r="P1799" s="5"/>
      <c r="Q1799" s="7">
        <v>5</v>
      </c>
      <c r="R1799" s="6" t="s">
        <v>1737</v>
      </c>
      <c r="S1799" s="13" t="s">
        <v>1620</v>
      </c>
      <c r="T1799" s="6"/>
      <c r="U1799" s="7" t="s">
        <v>1695</v>
      </c>
      <c r="V1799" s="5"/>
      <c r="W1799" s="7" t="s">
        <v>3</v>
      </c>
      <c r="X1799" s="6" t="s">
        <v>3</v>
      </c>
      <c r="Y1799" s="5"/>
      <c r="Z1799" s="7">
        <v>0</v>
      </c>
      <c r="AA1799" s="6"/>
      <c r="AB1799" s="5"/>
      <c r="AC1799" s="6"/>
      <c r="AD1799" s="6" t="s">
        <v>3</v>
      </c>
      <c r="AE1799" s="5"/>
      <c r="AF1799" s="7">
        <v>1</v>
      </c>
      <c r="AG1799" s="6"/>
      <c r="AH1799" s="5"/>
      <c r="AI1799" s="6">
        <v>2</v>
      </c>
      <c r="AJ1799" s="6"/>
      <c r="AK1799" s="5"/>
      <c r="AL1799" s="5"/>
      <c r="AM1799" s="5"/>
      <c r="AN1799" s="5"/>
      <c r="AO1799" s="5"/>
      <c r="AP1799" s="5"/>
      <c r="AQ1799" s="5"/>
    </row>
    <row r="1800" spans="1:43" x14ac:dyDescent="0.25">
      <c r="A1800" s="161" t="str">
        <f t="shared" si="32"/>
        <v>UNION_ARTILLERY_NAPOLEON</v>
      </c>
      <c r="C1800" s="5"/>
      <c r="D1800" s="5"/>
      <c r="E1800" s="5" t="s">
        <v>1379</v>
      </c>
      <c r="F1800" s="5" t="s">
        <v>1379</v>
      </c>
      <c r="G1800" s="5"/>
      <c r="H1800" s="5" t="s">
        <v>1532</v>
      </c>
      <c r="I1800" s="5" t="s">
        <v>128</v>
      </c>
      <c r="J1800" s="6"/>
      <c r="K1800" s="6"/>
      <c r="L1800" s="13" t="s">
        <v>746</v>
      </c>
      <c r="M1800" s="8"/>
      <c r="N1800" s="5"/>
      <c r="O1800" s="5"/>
      <c r="P1800" s="5"/>
      <c r="Q1800" s="7">
        <v>3</v>
      </c>
      <c r="R1800" s="6" t="s">
        <v>1695</v>
      </c>
      <c r="S1800" s="13" t="s">
        <v>1613</v>
      </c>
      <c r="T1800" s="6"/>
      <c r="U1800" s="7" t="s">
        <v>1695</v>
      </c>
      <c r="V1800" s="5"/>
      <c r="W1800" s="6" t="s">
        <v>3</v>
      </c>
      <c r="X1800" s="6" t="s">
        <v>3</v>
      </c>
      <c r="Y1800" s="5"/>
      <c r="Z1800" s="7">
        <v>1</v>
      </c>
      <c r="AA1800" s="6"/>
      <c r="AB1800" s="5"/>
      <c r="AC1800" s="6"/>
      <c r="AD1800" s="6" t="s">
        <v>3</v>
      </c>
      <c r="AE1800" s="5"/>
      <c r="AF1800" s="6"/>
      <c r="AG1800" s="6"/>
      <c r="AH1800" s="5"/>
      <c r="AI1800" s="6"/>
      <c r="AJ1800" s="6"/>
      <c r="AK1800" s="5"/>
      <c r="AL1800" s="5"/>
      <c r="AM1800" s="5"/>
      <c r="AN1800" s="5"/>
      <c r="AO1800" s="5"/>
      <c r="AP1800" s="5"/>
      <c r="AQ1800" s="5"/>
    </row>
    <row r="1801" spans="1:43" x14ac:dyDescent="0.25">
      <c r="A1801" s="161" t="str">
        <f t="shared" si="32"/>
        <v>UNION_ARTILLERY_PARROTT</v>
      </c>
      <c r="C1801" s="5"/>
      <c r="D1801" s="5"/>
      <c r="E1801" s="5" t="s">
        <v>1380</v>
      </c>
      <c r="F1801" s="5" t="s">
        <v>1380</v>
      </c>
      <c r="G1801" s="5"/>
      <c r="H1801" s="5" t="s">
        <v>1533</v>
      </c>
      <c r="I1801" s="5" t="s">
        <v>128</v>
      </c>
      <c r="J1801" s="6"/>
      <c r="K1801" s="6"/>
      <c r="L1801" s="13" t="s">
        <v>746</v>
      </c>
      <c r="M1801" s="8"/>
      <c r="N1801" s="5"/>
      <c r="O1801" s="5"/>
      <c r="P1801" s="5"/>
      <c r="Q1801" s="7">
        <v>3</v>
      </c>
      <c r="R1801" s="6" t="s">
        <v>1695</v>
      </c>
      <c r="S1801" s="13" t="s">
        <v>1613</v>
      </c>
      <c r="T1801" s="6"/>
      <c r="U1801" s="7" t="s">
        <v>1695</v>
      </c>
      <c r="V1801" s="5"/>
      <c r="W1801" s="6" t="s">
        <v>3</v>
      </c>
      <c r="X1801" s="6" t="s">
        <v>3</v>
      </c>
      <c r="Y1801" s="5"/>
      <c r="Z1801" s="7">
        <v>1</v>
      </c>
      <c r="AA1801" s="6"/>
      <c r="AB1801" s="5"/>
      <c r="AC1801" s="6"/>
      <c r="AD1801" s="6" t="s">
        <v>3</v>
      </c>
      <c r="AE1801" s="5"/>
      <c r="AF1801" s="6"/>
      <c r="AG1801" s="6"/>
      <c r="AH1801" s="5"/>
      <c r="AI1801" s="6"/>
      <c r="AJ1801" s="6"/>
      <c r="AK1801" s="5"/>
      <c r="AL1801" s="5"/>
      <c r="AM1801" s="5"/>
      <c r="AN1801" s="5"/>
      <c r="AO1801" s="5"/>
      <c r="AP1801" s="5"/>
      <c r="AQ1801" s="5"/>
    </row>
    <row r="1802" spans="1:43" x14ac:dyDescent="0.25">
      <c r="A1802" s="161" t="str">
        <f t="shared" si="32"/>
        <v>UNION_CAVALRY_CARBINE</v>
      </c>
      <c r="C1802" s="5"/>
      <c r="D1802" s="5"/>
      <c r="E1802" s="5" t="s">
        <v>1381</v>
      </c>
      <c r="F1802" s="5" t="s">
        <v>1381</v>
      </c>
      <c r="G1802" s="5"/>
      <c r="H1802" s="5" t="s">
        <v>1534</v>
      </c>
      <c r="I1802" s="5" t="s">
        <v>128</v>
      </c>
      <c r="J1802" s="6"/>
      <c r="K1802" s="6"/>
      <c r="L1802" s="13" t="s">
        <v>1714</v>
      </c>
      <c r="M1802" s="8"/>
      <c r="N1802" s="5"/>
      <c r="O1802" s="5"/>
      <c r="P1802" s="5"/>
      <c r="Q1802" s="7" t="s">
        <v>1695</v>
      </c>
      <c r="R1802" s="6" t="s">
        <v>1695</v>
      </c>
      <c r="S1802" s="13" t="s">
        <v>1695</v>
      </c>
      <c r="T1802" s="6"/>
      <c r="U1802" s="7" t="s">
        <v>1695</v>
      </c>
      <c r="V1802" s="5"/>
      <c r="W1802" s="6" t="s">
        <v>3</v>
      </c>
      <c r="X1802" s="6" t="s">
        <v>3</v>
      </c>
      <c r="Y1802" s="5"/>
      <c r="Z1802" s="7">
        <v>1</v>
      </c>
      <c r="AA1802" s="6"/>
      <c r="AB1802" s="5"/>
      <c r="AC1802" s="6"/>
      <c r="AD1802" s="6" t="s">
        <v>3</v>
      </c>
      <c r="AE1802" s="5"/>
      <c r="AF1802" s="7" t="s">
        <v>1695</v>
      </c>
      <c r="AG1802" s="6"/>
      <c r="AH1802" s="5"/>
      <c r="AI1802" s="6"/>
      <c r="AJ1802" s="6"/>
      <c r="AK1802" s="5"/>
      <c r="AL1802" s="5"/>
      <c r="AM1802" s="5"/>
      <c r="AN1802" s="5"/>
      <c r="AO1802" s="5"/>
      <c r="AP1802" s="5"/>
      <c r="AQ1802" s="5"/>
    </row>
    <row r="1803" spans="1:43" x14ac:dyDescent="0.25">
      <c r="A1803" s="161" t="str">
        <f t="shared" si="32"/>
        <v>UNION_CAVALRY_PISTOL</v>
      </c>
      <c r="C1803" s="5"/>
      <c r="D1803" s="5"/>
      <c r="E1803" s="5" t="s">
        <v>1382</v>
      </c>
      <c r="F1803" s="5" t="s">
        <v>1382</v>
      </c>
      <c r="G1803" s="5"/>
      <c r="H1803" s="5" t="s">
        <v>1535</v>
      </c>
      <c r="I1803" s="5" t="s">
        <v>128</v>
      </c>
      <c r="J1803" s="6"/>
      <c r="K1803" s="6"/>
      <c r="L1803" s="13" t="s">
        <v>1714</v>
      </c>
      <c r="M1803" s="8"/>
      <c r="N1803" s="5"/>
      <c r="O1803" s="5"/>
      <c r="P1803" s="5"/>
      <c r="Q1803" s="7" t="s">
        <v>1695</v>
      </c>
      <c r="R1803" s="6" t="s">
        <v>1695</v>
      </c>
      <c r="S1803" s="13" t="s">
        <v>1695</v>
      </c>
      <c r="T1803" s="6"/>
      <c r="U1803" s="7" t="s">
        <v>1695</v>
      </c>
      <c r="V1803" s="5"/>
      <c r="W1803" s="7" t="s">
        <v>3</v>
      </c>
      <c r="X1803" s="6" t="s">
        <v>3</v>
      </c>
      <c r="Y1803" s="5"/>
      <c r="Z1803" s="7">
        <v>1</v>
      </c>
      <c r="AA1803" s="6"/>
      <c r="AB1803" s="5"/>
      <c r="AC1803" s="6"/>
      <c r="AD1803" s="6" t="s">
        <v>3</v>
      </c>
      <c r="AE1803" s="5"/>
      <c r="AF1803" s="7" t="s">
        <v>1695</v>
      </c>
      <c r="AG1803" s="6"/>
      <c r="AH1803" s="5"/>
      <c r="AI1803" s="6"/>
      <c r="AJ1803" s="6"/>
      <c r="AK1803" s="5"/>
      <c r="AL1803" s="5"/>
      <c r="AM1803" s="5"/>
      <c r="AN1803" s="5"/>
      <c r="AO1803" s="5"/>
      <c r="AP1803" s="5"/>
      <c r="AQ1803" s="5"/>
    </row>
    <row r="1804" spans="1:43" x14ac:dyDescent="0.25">
      <c r="A1804" s="161" t="str">
        <f t="shared" si="32"/>
        <v>UNION_CORPS</v>
      </c>
      <c r="C1804" s="5"/>
      <c r="D1804" s="5"/>
      <c r="E1804" s="5" t="s">
        <v>1383</v>
      </c>
      <c r="F1804" s="5" t="s">
        <v>1539</v>
      </c>
      <c r="G1804" s="5"/>
      <c r="H1804" s="5" t="s">
        <v>1538</v>
      </c>
      <c r="I1804" s="5" t="s">
        <v>128</v>
      </c>
      <c r="J1804" s="6"/>
      <c r="K1804" s="6"/>
      <c r="L1804" s="13" t="s">
        <v>1708</v>
      </c>
      <c r="M1804" s="8"/>
      <c r="N1804" s="5"/>
      <c r="O1804" s="5"/>
      <c r="P1804" s="5"/>
      <c r="Q1804" s="7">
        <v>14</v>
      </c>
      <c r="R1804" s="6" t="s">
        <v>1737</v>
      </c>
      <c r="S1804" s="13" t="s">
        <v>1619</v>
      </c>
      <c r="T1804" s="6"/>
      <c r="U1804" s="7" t="s">
        <v>1737</v>
      </c>
      <c r="V1804" s="5"/>
      <c r="W1804" s="7" t="s">
        <v>3</v>
      </c>
      <c r="X1804" s="6" t="s">
        <v>3</v>
      </c>
      <c r="Y1804" s="5"/>
      <c r="Z1804" s="7">
        <v>2</v>
      </c>
      <c r="AA1804" s="6"/>
      <c r="AB1804" s="5"/>
      <c r="AC1804" s="6"/>
      <c r="AD1804" s="6" t="s">
        <v>3</v>
      </c>
      <c r="AE1804" s="5"/>
      <c r="AF1804" s="7">
        <v>4</v>
      </c>
      <c r="AG1804" s="6"/>
      <c r="AH1804" s="5"/>
      <c r="AI1804" s="6">
        <v>8</v>
      </c>
      <c r="AJ1804" s="6"/>
      <c r="AK1804" s="5"/>
      <c r="AL1804" s="5"/>
      <c r="AM1804" s="5"/>
      <c r="AN1804" s="5"/>
      <c r="AO1804" s="5"/>
      <c r="AP1804" s="5"/>
      <c r="AQ1804" s="5"/>
    </row>
    <row r="1805" spans="1:43" x14ac:dyDescent="0.25">
      <c r="A1805" s="161" t="str">
        <f t="shared" si="32"/>
        <v>UNION_DIVISION</v>
      </c>
      <c r="C1805" s="5"/>
      <c r="D1805" s="5"/>
      <c r="E1805" s="5" t="s">
        <v>1384</v>
      </c>
      <c r="F1805" s="5" t="s">
        <v>1539</v>
      </c>
      <c r="G1805" s="5"/>
      <c r="H1805" s="5" t="s">
        <v>1538</v>
      </c>
      <c r="I1805" s="5" t="s">
        <v>128</v>
      </c>
      <c r="J1805" s="6"/>
      <c r="K1805" s="6"/>
      <c r="L1805" s="13" t="s">
        <v>1708</v>
      </c>
      <c r="M1805" s="8"/>
      <c r="N1805" s="5"/>
      <c r="O1805" s="5"/>
      <c r="P1805" s="5"/>
      <c r="Q1805" s="7">
        <v>7</v>
      </c>
      <c r="R1805" s="6" t="s">
        <v>1737</v>
      </c>
      <c r="S1805" s="13" t="s">
        <v>1619</v>
      </c>
      <c r="T1805" s="6"/>
      <c r="U1805" s="7" t="s">
        <v>1737</v>
      </c>
      <c r="V1805" s="5"/>
      <c r="W1805" s="7" t="s">
        <v>3</v>
      </c>
      <c r="X1805" s="6" t="s">
        <v>3</v>
      </c>
      <c r="Y1805" s="5"/>
      <c r="Z1805" s="7">
        <v>1</v>
      </c>
      <c r="AA1805" s="6"/>
      <c r="AB1805" s="5"/>
      <c r="AC1805" s="6"/>
      <c r="AD1805" s="6" t="s">
        <v>3</v>
      </c>
      <c r="AE1805" s="5"/>
      <c r="AF1805" s="7">
        <v>2</v>
      </c>
      <c r="AG1805" s="6"/>
      <c r="AH1805" s="5"/>
      <c r="AI1805" s="6">
        <v>5</v>
      </c>
      <c r="AJ1805" s="6"/>
      <c r="AK1805" s="5"/>
      <c r="AL1805" s="5"/>
      <c r="AM1805" s="5"/>
      <c r="AN1805" s="5"/>
      <c r="AO1805" s="5"/>
      <c r="AP1805" s="5"/>
      <c r="AQ1805" s="5"/>
    </row>
    <row r="1806" spans="1:43" x14ac:dyDescent="0.25">
      <c r="A1806" s="161" t="str">
        <f t="shared" si="32"/>
        <v>UNION_GENERAL</v>
      </c>
      <c r="C1806" s="5"/>
      <c r="D1806" s="5"/>
      <c r="E1806" s="5" t="s">
        <v>1385</v>
      </c>
      <c r="F1806" s="5" t="s">
        <v>1387</v>
      </c>
      <c r="G1806" s="5"/>
      <c r="H1806" s="5" t="s">
        <v>1536</v>
      </c>
      <c r="I1806" s="5" t="s">
        <v>128</v>
      </c>
      <c r="J1806" s="6"/>
      <c r="K1806" s="6"/>
      <c r="L1806" s="13" t="s">
        <v>1708</v>
      </c>
      <c r="M1806" s="8"/>
      <c r="N1806" s="5"/>
      <c r="O1806" s="5"/>
      <c r="P1806" s="5"/>
      <c r="Q1806" s="7">
        <v>1</v>
      </c>
      <c r="R1806" s="6" t="s">
        <v>1695</v>
      </c>
      <c r="S1806" s="13" t="s">
        <v>1620</v>
      </c>
      <c r="T1806" s="6"/>
      <c r="U1806" s="7" t="s">
        <v>1737</v>
      </c>
      <c r="V1806" s="5"/>
      <c r="W1806" s="6"/>
      <c r="X1806" s="6" t="s">
        <v>3</v>
      </c>
      <c r="Y1806" s="5"/>
      <c r="Z1806" s="6"/>
      <c r="AA1806" s="6"/>
      <c r="AB1806" s="5"/>
      <c r="AC1806" s="6"/>
      <c r="AD1806" s="6" t="s">
        <v>3</v>
      </c>
      <c r="AE1806" s="5"/>
      <c r="AF1806" s="6"/>
      <c r="AG1806" s="6"/>
      <c r="AH1806" s="5"/>
      <c r="AI1806" s="6"/>
      <c r="AJ1806" s="6"/>
      <c r="AK1806" s="5"/>
      <c r="AL1806" s="5"/>
      <c r="AM1806" s="5"/>
      <c r="AN1806" s="5"/>
      <c r="AO1806" s="5"/>
      <c r="AP1806" s="5"/>
      <c r="AQ1806" s="5"/>
    </row>
    <row r="1807" spans="1:43" x14ac:dyDescent="0.25">
      <c r="A1807" s="161" t="str">
        <f t="shared" si="32"/>
        <v>UNION_IRONCLAD</v>
      </c>
      <c r="C1807" s="5"/>
      <c r="D1807" s="5"/>
      <c r="E1807" s="5" t="s">
        <v>1386</v>
      </c>
      <c r="F1807" s="5" t="s">
        <v>1386</v>
      </c>
      <c r="G1807" s="5"/>
      <c r="H1807" s="5" t="s">
        <v>1537</v>
      </c>
      <c r="I1807" s="5" t="s">
        <v>128</v>
      </c>
      <c r="J1807" s="6"/>
      <c r="K1807" s="7"/>
      <c r="L1807" s="13" t="s">
        <v>1713</v>
      </c>
      <c r="M1807" s="8"/>
      <c r="N1807" s="13" t="s">
        <v>1727</v>
      </c>
      <c r="O1807" s="13"/>
      <c r="P1807" s="13"/>
      <c r="Q1807" s="7">
        <v>1</v>
      </c>
      <c r="R1807" s="6" t="s">
        <v>1695</v>
      </c>
      <c r="S1807" s="5"/>
      <c r="T1807" s="6"/>
      <c r="U1807" s="7"/>
      <c r="V1807" s="5"/>
      <c r="W1807" s="7" t="s">
        <v>3</v>
      </c>
      <c r="X1807" s="6"/>
      <c r="Y1807" s="5"/>
      <c r="Z1807" s="6"/>
      <c r="AA1807" s="6"/>
      <c r="AB1807" s="5"/>
      <c r="AC1807" s="6"/>
      <c r="AD1807" s="6"/>
      <c r="AE1807" s="5"/>
      <c r="AF1807" s="6"/>
      <c r="AG1807" s="6"/>
      <c r="AH1807" s="5"/>
      <c r="AI1807" s="6"/>
      <c r="AJ1807" s="6"/>
      <c r="AK1807" s="5"/>
      <c r="AL1807" s="5"/>
      <c r="AM1807" s="5"/>
      <c r="AN1807" s="5"/>
      <c r="AO1807" s="5"/>
      <c r="AP1807" s="5"/>
      <c r="AQ1807" s="5"/>
    </row>
    <row r="1808" spans="1:43" x14ac:dyDescent="0.25">
      <c r="A1808" s="161" t="str">
        <f t="shared" si="32"/>
        <v>WORKBOAT</v>
      </c>
      <c r="B1808" s="9" t="s">
        <v>1388</v>
      </c>
      <c r="C1808" s="5"/>
      <c r="D1808" s="5"/>
      <c r="E1808" s="5" t="s">
        <v>1388</v>
      </c>
      <c r="F1808" s="5" t="s">
        <v>1388</v>
      </c>
      <c r="G1808" s="5"/>
      <c r="H1808" s="5" t="s">
        <v>4</v>
      </c>
      <c r="I1808" s="5" t="s">
        <v>128</v>
      </c>
      <c r="J1808" s="6">
        <v>1</v>
      </c>
      <c r="K1808" s="7"/>
      <c r="L1808" s="13" t="s">
        <v>1712</v>
      </c>
      <c r="M1808" s="8"/>
      <c r="N1808" s="13" t="s">
        <v>1727</v>
      </c>
      <c r="O1808" s="13"/>
      <c r="P1808" s="13"/>
      <c r="Q1808" s="7">
        <v>1</v>
      </c>
      <c r="R1808" s="6">
        <v>7.0000000000000007E-2</v>
      </c>
      <c r="S1808" s="5"/>
      <c r="T1808" s="7">
        <v>3</v>
      </c>
      <c r="U1808" s="6">
        <v>5.5E-2</v>
      </c>
      <c r="V1808" s="5" t="s">
        <v>1696</v>
      </c>
      <c r="W1808" s="6"/>
      <c r="X1808" s="6"/>
      <c r="Y1808" s="5"/>
      <c r="Z1808" s="6"/>
      <c r="AA1808" s="6"/>
      <c r="AB1808" s="5"/>
      <c r="AC1808" s="6"/>
      <c r="AD1808" s="6"/>
      <c r="AE1808" s="5"/>
      <c r="AF1808" s="6"/>
      <c r="AG1808" s="6"/>
      <c r="AH1808" s="5"/>
      <c r="AI1808" s="6"/>
      <c r="AJ1808" s="6"/>
      <c r="AK1808" s="5"/>
      <c r="AL1808" s="5"/>
      <c r="AM1808" s="5"/>
      <c r="AN1808" s="5"/>
      <c r="AO1808" s="5"/>
      <c r="AP1808" s="5"/>
      <c r="AQ1808" s="5"/>
    </row>
    <row r="1809" spans="1:43" x14ac:dyDescent="0.25">
      <c r="A1809" s="161" t="str">
        <f t="shared" si="32"/>
        <v>WORKBOAT_LATE</v>
      </c>
      <c r="B1809" s="9" t="s">
        <v>1388</v>
      </c>
      <c r="C1809" s="5"/>
      <c r="D1809" s="5"/>
      <c r="E1809" s="5" t="s">
        <v>1389</v>
      </c>
      <c r="F1809" s="5" t="s">
        <v>1390</v>
      </c>
      <c r="G1809" s="5"/>
      <c r="H1809" s="5" t="s">
        <v>1542</v>
      </c>
      <c r="I1809" s="5" t="s">
        <v>128</v>
      </c>
      <c r="J1809" s="6"/>
      <c r="K1809" s="7"/>
      <c r="L1809" s="13" t="s">
        <v>1712</v>
      </c>
      <c r="M1809" s="8"/>
      <c r="N1809" s="13" t="s">
        <v>1727</v>
      </c>
      <c r="O1809" s="13"/>
      <c r="P1809" s="13"/>
      <c r="Q1809" s="7">
        <v>1</v>
      </c>
      <c r="R1809" s="6">
        <v>7.0000000000000007E-2</v>
      </c>
      <c r="S1809" s="5"/>
      <c r="T1809" s="7">
        <v>2</v>
      </c>
      <c r="U1809" s="6">
        <v>5.7000000000000002E-2</v>
      </c>
      <c r="V1809" s="5" t="s">
        <v>1696</v>
      </c>
      <c r="W1809" s="6"/>
      <c r="X1809" s="6"/>
      <c r="Y1809" s="5"/>
      <c r="Z1809" s="6"/>
      <c r="AA1809" s="6"/>
      <c r="AB1809" s="5"/>
      <c r="AC1809" s="6"/>
      <c r="AD1809" s="6"/>
      <c r="AE1809" s="5"/>
      <c r="AF1809" s="6"/>
      <c r="AG1809" s="6"/>
      <c r="AH1809" s="5"/>
      <c r="AI1809" s="6"/>
      <c r="AJ1809" s="6"/>
      <c r="AK1809" s="5"/>
      <c r="AL1809" s="5"/>
      <c r="AM1809" s="5"/>
      <c r="AN1809" s="5"/>
      <c r="AO1809" s="5"/>
      <c r="AP1809" s="5"/>
      <c r="AQ1809" s="5"/>
    </row>
    <row r="1810" spans="1:43" x14ac:dyDescent="0.25">
      <c r="A1810" s="161" t="str">
        <f t="shared" si="32"/>
        <v>WW1_BOMBER</v>
      </c>
      <c r="B1810" s="9" t="s">
        <v>2386</v>
      </c>
      <c r="C1810" s="5"/>
      <c r="D1810" s="5"/>
      <c r="E1810" s="5" t="s">
        <v>778</v>
      </c>
      <c r="F1810" s="5" t="s">
        <v>778</v>
      </c>
      <c r="G1810" s="5"/>
      <c r="H1810" s="5" t="s">
        <v>1160</v>
      </c>
      <c r="I1810" s="5" t="s">
        <v>128</v>
      </c>
      <c r="J1810" s="6"/>
      <c r="K1810" s="7"/>
      <c r="L1810" s="13" t="s">
        <v>1711</v>
      </c>
      <c r="M1810" s="8">
        <v>1.5</v>
      </c>
      <c r="N1810" s="13" t="s">
        <v>1725</v>
      </c>
      <c r="O1810" s="13"/>
      <c r="P1810" s="13"/>
      <c r="Q1810" s="7">
        <v>1</v>
      </c>
      <c r="R1810" s="6">
        <v>0.08</v>
      </c>
      <c r="S1810" s="13" t="s">
        <v>1615</v>
      </c>
      <c r="T1810" s="7">
        <v>2</v>
      </c>
      <c r="U1810" s="6">
        <v>7.4999999999999997E-2</v>
      </c>
      <c r="V1810" s="5"/>
      <c r="W1810" s="6" t="s">
        <v>3</v>
      </c>
      <c r="X1810" s="6" t="s">
        <v>3</v>
      </c>
      <c r="Y1810" s="5"/>
      <c r="Z1810" s="6"/>
      <c r="AA1810" s="6"/>
      <c r="AB1810" s="5"/>
      <c r="AC1810" s="6"/>
      <c r="AD1810" s="6" t="s">
        <v>3</v>
      </c>
      <c r="AE1810" s="5"/>
      <c r="AF1810" s="6"/>
      <c r="AG1810" s="6"/>
      <c r="AH1810" s="5"/>
      <c r="AI1810" s="6"/>
      <c r="AJ1810" s="6"/>
      <c r="AK1810" s="5"/>
      <c r="AL1810" s="5"/>
      <c r="AM1810" s="5"/>
      <c r="AN1810" s="5"/>
      <c r="AO1810" s="5"/>
      <c r="AP1810" s="5"/>
      <c r="AQ1810" s="5"/>
    </row>
    <row r="1811" spans="1:43" x14ac:dyDescent="0.25">
      <c r="A1811" s="161" t="str">
        <f t="shared" si="32"/>
        <v>WW1_BOMBER_ZULU</v>
      </c>
      <c r="B1811" s="9" t="s">
        <v>2386</v>
      </c>
      <c r="C1811" s="5" t="s">
        <v>742</v>
      </c>
      <c r="D1811" s="5" t="s">
        <v>713</v>
      </c>
      <c r="E1811" s="5" t="s">
        <v>778</v>
      </c>
      <c r="F1811" s="5" t="s">
        <v>778</v>
      </c>
      <c r="G1811" s="5"/>
      <c r="H1811" s="5"/>
      <c r="I1811" s="5"/>
      <c r="J1811" s="6"/>
      <c r="K1811" s="7"/>
      <c r="L1811" s="13"/>
      <c r="M1811" s="8"/>
      <c r="N1811" s="13"/>
      <c r="O1811" s="13"/>
      <c r="P1811" s="13"/>
      <c r="Q1811" s="7"/>
      <c r="R1811" s="6"/>
      <c r="S1811" s="13"/>
      <c r="T1811" s="7"/>
      <c r="U1811" s="6"/>
      <c r="V1811" s="5"/>
      <c r="W1811" s="6"/>
      <c r="X1811" s="6"/>
      <c r="Y1811" s="5"/>
      <c r="Z1811" s="6"/>
      <c r="AA1811" s="6"/>
      <c r="AB1811" s="5"/>
      <c r="AC1811" s="6"/>
      <c r="AD1811" s="6"/>
      <c r="AE1811" s="5"/>
      <c r="AF1811" s="6"/>
      <c r="AG1811" s="6"/>
      <c r="AH1811" s="5"/>
      <c r="AI1811" s="6"/>
      <c r="AJ1811" s="6"/>
      <c r="AK1811" s="5"/>
      <c r="AL1811" s="5"/>
      <c r="AM1811" s="5"/>
      <c r="AN1811" s="5"/>
      <c r="AO1811" s="5"/>
      <c r="AP1811" s="5"/>
      <c r="AQ1811" s="5"/>
    </row>
    <row r="1812" spans="1:43" x14ac:dyDescent="0.25">
      <c r="A1812" s="161" t="str">
        <f t="shared" si="32"/>
        <v>WW1_BOMBER_AUSTRALIA</v>
      </c>
      <c r="B1812" s="9" t="s">
        <v>2386</v>
      </c>
      <c r="C1812" s="5" t="s">
        <v>1302</v>
      </c>
      <c r="D1812" s="5" t="s">
        <v>713</v>
      </c>
      <c r="E1812" s="5" t="s">
        <v>778</v>
      </c>
      <c r="F1812" s="5" t="s">
        <v>778</v>
      </c>
      <c r="G1812" s="5"/>
      <c r="H1812" s="5"/>
      <c r="I1812" s="5"/>
      <c r="J1812" s="6"/>
      <c r="K1812" s="7"/>
      <c r="L1812" s="13"/>
      <c r="M1812" s="8"/>
      <c r="N1812" s="13"/>
      <c r="O1812" s="13"/>
      <c r="P1812" s="13"/>
      <c r="Q1812" s="7"/>
      <c r="R1812" s="6"/>
      <c r="S1812" s="13"/>
      <c r="T1812" s="7"/>
      <c r="U1812" s="6"/>
      <c r="V1812" s="5"/>
      <c r="W1812" s="6"/>
      <c r="X1812" s="6"/>
      <c r="Y1812" s="5"/>
      <c r="Z1812" s="6"/>
      <c r="AA1812" s="6"/>
      <c r="AB1812" s="5"/>
      <c r="AC1812" s="6"/>
      <c r="AD1812" s="6"/>
      <c r="AE1812" s="5"/>
      <c r="AF1812" s="6"/>
      <c r="AG1812" s="6"/>
      <c r="AH1812" s="5"/>
      <c r="AI1812" s="6"/>
      <c r="AJ1812" s="6"/>
      <c r="AK1812" s="5"/>
      <c r="AL1812" s="5"/>
      <c r="AM1812" s="5"/>
      <c r="AN1812" s="5"/>
      <c r="AO1812" s="5"/>
      <c r="AP1812" s="5"/>
      <c r="AQ1812" s="5"/>
    </row>
    <row r="1813" spans="1:43" x14ac:dyDescent="0.25">
      <c r="A1813" s="161" t="str">
        <f t="shared" si="32"/>
        <v>WW1_BOMBER_CANADA</v>
      </c>
      <c r="B1813" s="9" t="s">
        <v>2386</v>
      </c>
      <c r="C1813" s="5" t="s">
        <v>2209</v>
      </c>
      <c r="D1813" s="5" t="s">
        <v>713</v>
      </c>
      <c r="E1813" s="5" t="s">
        <v>778</v>
      </c>
      <c r="F1813" s="5" t="s">
        <v>778</v>
      </c>
      <c r="G1813" s="5"/>
      <c r="H1813" s="5"/>
      <c r="I1813" s="5"/>
      <c r="J1813" s="6"/>
      <c r="K1813" s="7"/>
      <c r="L1813" s="13"/>
      <c r="M1813" s="8"/>
      <c r="N1813" s="13"/>
      <c r="O1813" s="13"/>
      <c r="P1813" s="13"/>
      <c r="Q1813" s="7"/>
      <c r="R1813" s="6"/>
      <c r="S1813" s="13"/>
      <c r="T1813" s="7"/>
      <c r="U1813" s="6"/>
      <c r="V1813" s="5"/>
      <c r="W1813" s="6"/>
      <c r="X1813" s="6"/>
      <c r="Y1813" s="5"/>
      <c r="Z1813" s="6"/>
      <c r="AA1813" s="6"/>
      <c r="AB1813" s="5"/>
      <c r="AC1813" s="6"/>
      <c r="AD1813" s="6"/>
      <c r="AE1813" s="5"/>
      <c r="AF1813" s="6"/>
      <c r="AG1813" s="6"/>
      <c r="AH1813" s="5"/>
      <c r="AI1813" s="6"/>
      <c r="AJ1813" s="6"/>
      <c r="AK1813" s="5"/>
      <c r="AL1813" s="5"/>
      <c r="AM1813" s="5"/>
      <c r="AN1813" s="5"/>
      <c r="AO1813" s="5"/>
      <c r="AP1813" s="5"/>
      <c r="AQ1813" s="5"/>
    </row>
    <row r="1814" spans="1:43" x14ac:dyDescent="0.25">
      <c r="A1814" s="161" t="str">
        <f t="shared" si="32"/>
        <v>WW1_BOMBER_CELTS</v>
      </c>
      <c r="B1814" s="9" t="s">
        <v>2386</v>
      </c>
      <c r="C1814" s="5" t="s">
        <v>709</v>
      </c>
      <c r="D1814" s="5" t="s">
        <v>713</v>
      </c>
      <c r="E1814" s="5" t="s">
        <v>778</v>
      </c>
      <c r="F1814" s="5" t="s">
        <v>778</v>
      </c>
      <c r="G1814" s="5"/>
      <c r="H1814" s="5"/>
      <c r="I1814" s="5"/>
      <c r="J1814" s="6"/>
      <c r="K1814" s="7"/>
      <c r="L1814" s="13"/>
      <c r="M1814" s="8"/>
      <c r="N1814" s="13"/>
      <c r="O1814" s="13"/>
      <c r="P1814" s="13"/>
      <c r="Q1814" s="7"/>
      <c r="R1814" s="6"/>
      <c r="S1814" s="13"/>
      <c r="T1814" s="7"/>
      <c r="U1814" s="6"/>
      <c r="V1814" s="5"/>
      <c r="W1814" s="6"/>
      <c r="X1814" s="6"/>
      <c r="Y1814" s="5"/>
      <c r="Z1814" s="6"/>
      <c r="AA1814" s="6"/>
      <c r="AB1814" s="5"/>
      <c r="AC1814" s="6"/>
      <c r="AD1814" s="6"/>
      <c r="AE1814" s="5"/>
      <c r="AF1814" s="6"/>
      <c r="AG1814" s="6"/>
      <c r="AH1814" s="5"/>
      <c r="AI1814" s="6"/>
      <c r="AJ1814" s="6"/>
      <c r="AK1814" s="5"/>
      <c r="AL1814" s="5"/>
      <c r="AM1814" s="5"/>
      <c r="AN1814" s="5"/>
      <c r="AO1814" s="5"/>
      <c r="AP1814" s="5"/>
      <c r="AQ1814" s="5"/>
    </row>
    <row r="1815" spans="1:43" x14ac:dyDescent="0.25">
      <c r="A1815" s="161" t="str">
        <f t="shared" si="32"/>
        <v>WW1_BOMBER_ENGLAND</v>
      </c>
      <c r="B1815" s="9" t="s">
        <v>2386</v>
      </c>
      <c r="C1815" s="5" t="s">
        <v>713</v>
      </c>
      <c r="D1815" s="5"/>
      <c r="E1815" s="5" t="s">
        <v>778</v>
      </c>
      <c r="F1815" s="5" t="s">
        <v>778</v>
      </c>
      <c r="G1815" s="5"/>
      <c r="H1815" s="5" t="s">
        <v>2227</v>
      </c>
      <c r="I1815" s="5" t="s">
        <v>2225</v>
      </c>
      <c r="J1815" s="6"/>
      <c r="K1815" s="7"/>
      <c r="L1815" s="13"/>
      <c r="M1815" s="8"/>
      <c r="N1815" s="13"/>
      <c r="O1815" s="13"/>
      <c r="P1815" s="13"/>
      <c r="Q1815" s="7"/>
      <c r="R1815" s="6">
        <v>0.17799999999999999</v>
      </c>
      <c r="S1815" s="13"/>
      <c r="T1815" s="7"/>
      <c r="U1815" s="6">
        <v>0.16500000000000001</v>
      </c>
      <c r="V1815" s="5"/>
      <c r="W1815" s="6"/>
      <c r="X1815" s="6"/>
      <c r="Y1815" s="5"/>
      <c r="Z1815" s="6"/>
      <c r="AA1815" s="6"/>
      <c r="AB1815" s="5"/>
      <c r="AC1815" s="6"/>
      <c r="AD1815" s="6"/>
      <c r="AE1815" s="5"/>
      <c r="AF1815" s="6"/>
      <c r="AG1815" s="6"/>
      <c r="AH1815" s="5"/>
      <c r="AI1815" s="6"/>
      <c r="AJ1815" s="6"/>
      <c r="AK1815" s="5"/>
      <c r="AL1815" s="5"/>
      <c r="AM1815" s="5"/>
      <c r="AN1815" s="5"/>
      <c r="AO1815" s="5"/>
      <c r="AP1815" s="5"/>
      <c r="AQ1815" s="5"/>
    </row>
    <row r="1816" spans="1:43" x14ac:dyDescent="0.25">
      <c r="A1816" s="161" t="str">
        <f t="shared" si="32"/>
        <v>WW1_BOMBER_SOUTHAS</v>
      </c>
      <c r="B1816" s="9" t="s">
        <v>2386</v>
      </c>
      <c r="C1816" s="5" t="s">
        <v>695</v>
      </c>
      <c r="D1816" s="5" t="s">
        <v>713</v>
      </c>
      <c r="E1816" s="5" t="s">
        <v>778</v>
      </c>
      <c r="F1816" s="5" t="s">
        <v>778</v>
      </c>
      <c r="G1816" s="5"/>
      <c r="H1816" s="5"/>
      <c r="I1816" s="5"/>
      <c r="J1816" s="6"/>
      <c r="K1816" s="7"/>
      <c r="L1816" s="13"/>
      <c r="M1816" s="8"/>
      <c r="N1816" s="13"/>
      <c r="O1816" s="13"/>
      <c r="P1816" s="13"/>
      <c r="Q1816" s="7"/>
      <c r="R1816" s="6"/>
      <c r="S1816" s="13"/>
      <c r="T1816" s="7"/>
      <c r="U1816" s="6"/>
      <c r="V1816" s="5"/>
      <c r="W1816" s="6"/>
      <c r="X1816" s="6"/>
      <c r="Y1816" s="5"/>
      <c r="Z1816" s="6"/>
      <c r="AA1816" s="6"/>
      <c r="AB1816" s="5"/>
      <c r="AC1816" s="6"/>
      <c r="AD1816" s="6"/>
      <c r="AE1816" s="5"/>
      <c r="AF1816" s="6"/>
      <c r="AG1816" s="6"/>
      <c r="AH1816" s="5"/>
      <c r="AI1816" s="6"/>
      <c r="AJ1816" s="6"/>
      <c r="AK1816" s="5"/>
      <c r="AL1816" s="5"/>
      <c r="AM1816" s="5"/>
      <c r="AN1816" s="5"/>
      <c r="AO1816" s="5"/>
      <c r="AP1816" s="5"/>
      <c r="AQ1816" s="5"/>
    </row>
    <row r="1817" spans="1:43" x14ac:dyDescent="0.25">
      <c r="A1817" s="161" t="str">
        <f t="shared" si="32"/>
        <v>WW1_FIGHTER</v>
      </c>
      <c r="B1817" s="9" t="s">
        <v>2387</v>
      </c>
      <c r="C1817" s="5"/>
      <c r="D1817" s="5"/>
      <c r="E1817" s="5" t="s">
        <v>779</v>
      </c>
      <c r="F1817" s="5" t="s">
        <v>779</v>
      </c>
      <c r="G1817" s="5"/>
      <c r="H1817" s="5" t="s">
        <v>1159</v>
      </c>
      <c r="I1817" s="5" t="s">
        <v>128</v>
      </c>
      <c r="J1817" s="6"/>
      <c r="K1817" s="7"/>
      <c r="L1817" s="13" t="s">
        <v>1711</v>
      </c>
      <c r="M1817" s="8">
        <v>1.8</v>
      </c>
      <c r="N1817" s="13" t="s">
        <v>1725</v>
      </c>
      <c r="O1817" s="13"/>
      <c r="P1817" s="13"/>
      <c r="Q1817" s="7">
        <v>3</v>
      </c>
      <c r="R1817" s="6">
        <v>0.08</v>
      </c>
      <c r="S1817" s="13" t="s">
        <v>1621</v>
      </c>
      <c r="T1817" s="6"/>
      <c r="U1817" s="6">
        <v>7.0000000000000007E-2</v>
      </c>
      <c r="V1817" s="5"/>
      <c r="W1817" s="6" t="s">
        <v>3</v>
      </c>
      <c r="X1817" s="6" t="s">
        <v>3</v>
      </c>
      <c r="Y1817" s="5"/>
      <c r="Z1817" s="6">
        <v>1</v>
      </c>
      <c r="AA1817" s="6"/>
      <c r="AB1817" s="5"/>
      <c r="AC1817" s="6"/>
      <c r="AD1817" s="6" t="s">
        <v>3</v>
      </c>
      <c r="AE1817" s="5"/>
      <c r="AF1817" s="6"/>
      <c r="AG1817" s="6"/>
      <c r="AH1817" s="5"/>
      <c r="AI1817" s="6"/>
      <c r="AJ1817" s="6"/>
      <c r="AK1817" s="5"/>
      <c r="AL1817" s="5"/>
      <c r="AM1817" s="5"/>
      <c r="AN1817" s="5"/>
      <c r="AO1817" s="5"/>
      <c r="AP1817" s="5"/>
      <c r="AQ1817" s="5"/>
    </row>
    <row r="1818" spans="1:43" x14ac:dyDescent="0.25">
      <c r="A1818" s="161" t="str">
        <f t="shared" si="32"/>
        <v>WW1_FIGHTER_ZULU</v>
      </c>
      <c r="B1818" s="9" t="s">
        <v>2387</v>
      </c>
      <c r="C1818" s="5" t="s">
        <v>742</v>
      </c>
      <c r="D1818" s="5" t="s">
        <v>713</v>
      </c>
      <c r="E1818" s="5" t="s">
        <v>779</v>
      </c>
      <c r="F1818" s="5" t="s">
        <v>779</v>
      </c>
      <c r="G1818" s="5"/>
      <c r="H1818" s="5"/>
      <c r="I1818" s="5"/>
      <c r="J1818" s="6"/>
      <c r="K1818" s="7"/>
      <c r="L1818" s="13"/>
      <c r="M1818" s="8"/>
      <c r="N1818" s="13"/>
      <c r="O1818" s="13"/>
      <c r="P1818" s="13"/>
      <c r="Q1818" s="7"/>
      <c r="R1818" s="6"/>
      <c r="S1818" s="13"/>
      <c r="T1818" s="6"/>
      <c r="U1818" s="6"/>
      <c r="V1818" s="5"/>
      <c r="W1818" s="6"/>
      <c r="X1818" s="6"/>
      <c r="Y1818" s="5"/>
      <c r="Z1818" s="6"/>
      <c r="AA1818" s="6"/>
      <c r="AB1818" s="5"/>
      <c r="AC1818" s="6"/>
      <c r="AD1818" s="6"/>
      <c r="AE1818" s="5"/>
      <c r="AF1818" s="6"/>
      <c r="AG1818" s="6"/>
      <c r="AH1818" s="5"/>
      <c r="AI1818" s="6"/>
      <c r="AJ1818" s="6"/>
      <c r="AK1818" s="5"/>
      <c r="AL1818" s="5"/>
      <c r="AM1818" s="5"/>
      <c r="AN1818" s="5"/>
      <c r="AO1818" s="5"/>
      <c r="AP1818" s="5"/>
      <c r="AQ1818" s="5"/>
    </row>
    <row r="1819" spans="1:43" x14ac:dyDescent="0.25">
      <c r="A1819" s="161" t="str">
        <f t="shared" si="32"/>
        <v>WW1_FIGHTER_AMER</v>
      </c>
      <c r="B1819" s="9" t="s">
        <v>2387</v>
      </c>
      <c r="C1819" s="5" t="s">
        <v>697</v>
      </c>
      <c r="D1819" s="5" t="s">
        <v>699</v>
      </c>
      <c r="E1819" s="5" t="s">
        <v>779</v>
      </c>
      <c r="F1819" s="5" t="s">
        <v>779</v>
      </c>
      <c r="G1819" s="5"/>
      <c r="H1819" s="5"/>
      <c r="I1819" s="5"/>
      <c r="J1819" s="6"/>
      <c r="K1819" s="7"/>
      <c r="L1819" s="13"/>
      <c r="M1819" s="8"/>
      <c r="N1819" s="13"/>
      <c r="O1819" s="13"/>
      <c r="P1819" s="13"/>
      <c r="Q1819" s="7"/>
      <c r="R1819" s="6"/>
      <c r="S1819" s="13"/>
      <c r="T1819" s="6"/>
      <c r="U1819" s="6"/>
      <c r="V1819" s="5"/>
      <c r="W1819" s="6"/>
      <c r="X1819" s="6"/>
      <c r="Y1819" s="5"/>
      <c r="Z1819" s="6"/>
      <c r="AA1819" s="6"/>
      <c r="AB1819" s="5"/>
      <c r="AC1819" s="6"/>
      <c r="AD1819" s="6"/>
      <c r="AE1819" s="5"/>
      <c r="AF1819" s="6"/>
      <c r="AG1819" s="6"/>
      <c r="AH1819" s="5"/>
      <c r="AI1819" s="6"/>
      <c r="AJ1819" s="6"/>
      <c r="AK1819" s="5"/>
      <c r="AL1819" s="5"/>
      <c r="AM1819" s="5"/>
      <c r="AN1819" s="5"/>
      <c r="AO1819" s="5"/>
      <c r="AP1819" s="5"/>
      <c r="AQ1819" s="5"/>
    </row>
    <row r="1820" spans="1:43" x14ac:dyDescent="0.25">
      <c r="A1820" s="161" t="str">
        <f t="shared" si="32"/>
        <v>WW1_FIGHTER_ASIA</v>
      </c>
      <c r="B1820" s="9" t="s">
        <v>2387</v>
      </c>
      <c r="C1820" s="4" t="s">
        <v>693</v>
      </c>
      <c r="E1820" s="4" t="s">
        <v>779</v>
      </c>
      <c r="F1820" s="4" t="s">
        <v>779</v>
      </c>
      <c r="G1820" s="14" t="s">
        <v>132</v>
      </c>
      <c r="H1820" s="4" t="s">
        <v>493</v>
      </c>
      <c r="I1820" s="4" t="s">
        <v>102</v>
      </c>
    </row>
    <row r="1821" spans="1:43" x14ac:dyDescent="0.25">
      <c r="A1821" s="161" t="str">
        <f t="shared" si="32"/>
        <v>WW1_FIGHTER_CHINA</v>
      </c>
      <c r="B1821" s="9" t="s">
        <v>2387</v>
      </c>
      <c r="C1821" s="4" t="s">
        <v>710</v>
      </c>
      <c r="D1821" s="4" t="s">
        <v>693</v>
      </c>
      <c r="E1821" s="4" t="s">
        <v>779</v>
      </c>
      <c r="F1821" s="4" t="s">
        <v>779</v>
      </c>
      <c r="G1821" s="14"/>
      <c r="H1821" s="4" t="s">
        <v>261</v>
      </c>
      <c r="I1821" s="4" t="s">
        <v>102</v>
      </c>
    </row>
    <row r="1822" spans="1:43" x14ac:dyDescent="0.25">
      <c r="A1822" s="161" t="str">
        <f t="shared" si="32"/>
        <v>WW1_FIGHTER_JAPAN</v>
      </c>
      <c r="B1822" s="9" t="s">
        <v>2387</v>
      </c>
      <c r="C1822" s="4" t="s">
        <v>722</v>
      </c>
      <c r="D1822" s="4" t="s">
        <v>693</v>
      </c>
      <c r="E1822" s="4" t="s">
        <v>779</v>
      </c>
      <c r="F1822" s="4" t="s">
        <v>779</v>
      </c>
      <c r="G1822" s="14" t="s">
        <v>132</v>
      </c>
    </row>
    <row r="1823" spans="1:43" x14ac:dyDescent="0.25">
      <c r="A1823" s="161" t="str">
        <f t="shared" si="32"/>
        <v>WW1_FIGHTER_CENTAS</v>
      </c>
      <c r="B1823" s="9" t="s">
        <v>2387</v>
      </c>
      <c r="C1823" s="4" t="s">
        <v>918</v>
      </c>
      <c r="D1823" s="4" t="s">
        <v>698</v>
      </c>
      <c r="E1823" s="4" t="s">
        <v>779</v>
      </c>
      <c r="F1823" s="4" t="s">
        <v>779</v>
      </c>
      <c r="G1823" s="14"/>
    </row>
    <row r="1824" spans="1:43" x14ac:dyDescent="0.25">
      <c r="A1824" s="161" t="str">
        <f t="shared" si="32"/>
        <v>WW1_FIGHTER_HUNS</v>
      </c>
      <c r="B1824" s="9" t="s">
        <v>2387</v>
      </c>
      <c r="C1824" s="4" t="s">
        <v>904</v>
      </c>
      <c r="E1824" s="4" t="s">
        <v>779</v>
      </c>
      <c r="F1824" s="4" t="s">
        <v>779</v>
      </c>
      <c r="H1824" s="4" t="s">
        <v>917</v>
      </c>
      <c r="I1824" s="4" t="s">
        <v>102</v>
      </c>
    </row>
    <row r="1825" spans="1:9" x14ac:dyDescent="0.25">
      <c r="A1825" s="161" t="str">
        <f t="shared" si="32"/>
        <v>WW1_FIGHTER_EASTEU</v>
      </c>
      <c r="B1825" s="9" t="s">
        <v>2387</v>
      </c>
      <c r="C1825" s="4" t="s">
        <v>698</v>
      </c>
      <c r="E1825" s="4" t="s">
        <v>779</v>
      </c>
      <c r="F1825" s="4" t="s">
        <v>779</v>
      </c>
      <c r="G1825" s="14" t="s">
        <v>132</v>
      </c>
      <c r="H1825" s="4" t="s">
        <v>576</v>
      </c>
      <c r="I1825" s="4" t="s">
        <v>102</v>
      </c>
    </row>
    <row r="1826" spans="1:9" x14ac:dyDescent="0.25">
      <c r="A1826" s="161" t="str">
        <f t="shared" si="32"/>
        <v>WW1_FIGHTER_RUSSIA</v>
      </c>
      <c r="B1826" s="9" t="s">
        <v>2387</v>
      </c>
      <c r="C1826" s="4" t="s">
        <v>735</v>
      </c>
      <c r="E1826" s="4" t="s">
        <v>779</v>
      </c>
      <c r="F1826" s="4" t="s">
        <v>779</v>
      </c>
      <c r="G1826" s="14" t="s">
        <v>132</v>
      </c>
      <c r="H1826" s="4" t="s">
        <v>629</v>
      </c>
      <c r="I1826" s="4" t="s">
        <v>102</v>
      </c>
    </row>
    <row r="1827" spans="1:9" x14ac:dyDescent="0.25">
      <c r="A1827" s="161" t="str">
        <f t="shared" si="32"/>
        <v>WW1_FIGHTER_AMERICA</v>
      </c>
      <c r="B1827" s="9" t="s">
        <v>2387</v>
      </c>
      <c r="C1827" s="4" t="s">
        <v>699</v>
      </c>
      <c r="E1827" s="4" t="s">
        <v>779</v>
      </c>
      <c r="F1827" s="4" t="s">
        <v>779</v>
      </c>
      <c r="G1827" s="14"/>
      <c r="H1827" s="4" t="s">
        <v>154</v>
      </c>
      <c r="I1827" s="4" t="s">
        <v>102</v>
      </c>
    </row>
    <row r="1828" spans="1:9" x14ac:dyDescent="0.25">
      <c r="A1828" s="161" t="str">
        <f t="shared" si="32"/>
        <v>WW1_FIGHTER_AUSTRALIA</v>
      </c>
      <c r="B1828" s="9" t="s">
        <v>2387</v>
      </c>
      <c r="C1828" s="4" t="s">
        <v>1302</v>
      </c>
      <c r="D1828" s="4" t="s">
        <v>713</v>
      </c>
      <c r="E1828" s="4" t="s">
        <v>779</v>
      </c>
      <c r="F1828" s="4" t="s">
        <v>779</v>
      </c>
      <c r="G1828" s="14"/>
    </row>
    <row r="1829" spans="1:9" x14ac:dyDescent="0.25">
      <c r="A1829" s="161" t="str">
        <f t="shared" si="32"/>
        <v>WW1_FIGHTER_AUSTRIA</v>
      </c>
      <c r="B1829" s="9" t="s">
        <v>2387</v>
      </c>
      <c r="C1829" s="4" t="s">
        <v>701</v>
      </c>
      <c r="E1829" s="4" t="s">
        <v>779</v>
      </c>
      <c r="F1829" s="4" t="s">
        <v>779</v>
      </c>
      <c r="G1829" s="14"/>
      <c r="H1829" s="4" t="s">
        <v>188</v>
      </c>
      <c r="I1829" s="4" t="s">
        <v>102</v>
      </c>
    </row>
    <row r="1830" spans="1:9" x14ac:dyDescent="0.25">
      <c r="A1830" s="161" t="str">
        <f t="shared" si="32"/>
        <v>WW1_FIGHTER_BELGIUM</v>
      </c>
      <c r="B1830" s="9" t="s">
        <v>2387</v>
      </c>
      <c r="C1830" s="4" t="s">
        <v>704</v>
      </c>
      <c r="E1830" s="4" t="s">
        <v>779</v>
      </c>
      <c r="F1830" s="4" t="s">
        <v>779</v>
      </c>
      <c r="G1830" s="14"/>
      <c r="H1830" s="4" t="s">
        <v>2224</v>
      </c>
      <c r="I1830" s="4" t="s">
        <v>2225</v>
      </c>
    </row>
    <row r="1831" spans="1:9" x14ac:dyDescent="0.25">
      <c r="A1831" s="161" t="str">
        <f t="shared" si="32"/>
        <v>WW1_FIGHTER_CANADA</v>
      </c>
      <c r="B1831" s="9" t="s">
        <v>2387</v>
      </c>
      <c r="C1831" s="4" t="s">
        <v>2209</v>
      </c>
      <c r="D1831" s="4" t="s">
        <v>713</v>
      </c>
      <c r="E1831" s="4" t="s">
        <v>779</v>
      </c>
      <c r="F1831" s="4" t="s">
        <v>779</v>
      </c>
      <c r="G1831" s="14"/>
    </row>
    <row r="1832" spans="1:9" x14ac:dyDescent="0.25">
      <c r="A1832" s="161" t="str">
        <f t="shared" si="32"/>
        <v>WW1_FIGHTER_CELTS</v>
      </c>
      <c r="B1832" s="9" t="s">
        <v>2387</v>
      </c>
      <c r="C1832" s="4" t="s">
        <v>709</v>
      </c>
      <c r="D1832" s="4" t="s">
        <v>713</v>
      </c>
      <c r="E1832" s="4" t="s">
        <v>779</v>
      </c>
      <c r="F1832" s="4" t="s">
        <v>779</v>
      </c>
      <c r="G1832" s="14"/>
    </row>
    <row r="1833" spans="1:9" x14ac:dyDescent="0.25">
      <c r="A1833" s="161" t="str">
        <f t="shared" si="32"/>
        <v>WW1_FIGHTER_ENGLAND</v>
      </c>
      <c r="B1833" s="9" t="s">
        <v>2387</v>
      </c>
      <c r="C1833" s="4" t="s">
        <v>713</v>
      </c>
      <c r="E1833" s="4" t="s">
        <v>779</v>
      </c>
      <c r="F1833" s="4" t="s">
        <v>779</v>
      </c>
      <c r="G1833" s="14" t="s">
        <v>132</v>
      </c>
      <c r="H1833" s="4" t="s">
        <v>315</v>
      </c>
      <c r="I1833" s="4" t="s">
        <v>102</v>
      </c>
    </row>
    <row r="1834" spans="1:9" x14ac:dyDescent="0.25">
      <c r="A1834" s="161" t="str">
        <f t="shared" si="32"/>
        <v>WW1_FIGHTER_FRANCE</v>
      </c>
      <c r="B1834" s="9" t="s">
        <v>2387</v>
      </c>
      <c r="C1834" s="4" t="s">
        <v>715</v>
      </c>
      <c r="E1834" s="4" t="s">
        <v>779</v>
      </c>
      <c r="F1834" s="4" t="s">
        <v>779</v>
      </c>
      <c r="G1834" s="14" t="s">
        <v>132</v>
      </c>
      <c r="H1834" s="4" t="s">
        <v>360</v>
      </c>
      <c r="I1834" s="4" t="s">
        <v>102</v>
      </c>
    </row>
    <row r="1835" spans="1:9" x14ac:dyDescent="0.25">
      <c r="A1835" s="161" t="str">
        <f t="shared" si="32"/>
        <v>WW1_FIGHTER_GERMANY</v>
      </c>
      <c r="B1835" s="9" t="s">
        <v>2387</v>
      </c>
      <c r="C1835" s="4" t="s">
        <v>717</v>
      </c>
      <c r="E1835" s="4" t="s">
        <v>779</v>
      </c>
      <c r="F1835" s="4" t="s">
        <v>779</v>
      </c>
      <c r="G1835" s="14" t="s">
        <v>132</v>
      </c>
      <c r="H1835" s="4" t="s">
        <v>393</v>
      </c>
      <c r="I1835" s="4" t="s">
        <v>102</v>
      </c>
    </row>
    <row r="1836" spans="1:9" x14ac:dyDescent="0.25">
      <c r="A1836" s="161" t="str">
        <f t="shared" si="32"/>
        <v>WW1_FIGHTER_SWISS</v>
      </c>
      <c r="B1836" s="9" t="s">
        <v>2387</v>
      </c>
      <c r="C1836" s="4" t="s">
        <v>740</v>
      </c>
      <c r="D1836" s="4" t="s">
        <v>704</v>
      </c>
      <c r="E1836" s="4" t="s">
        <v>779</v>
      </c>
      <c r="F1836" s="4" t="s">
        <v>779</v>
      </c>
      <c r="G1836" s="14"/>
    </row>
    <row r="1837" spans="1:9" x14ac:dyDescent="0.25">
      <c r="A1837" s="161" t="str">
        <f t="shared" si="32"/>
        <v>WW1_FIGHTER_MED</v>
      </c>
      <c r="B1837" s="9" t="s">
        <v>2387</v>
      </c>
      <c r="C1837" s="4" t="s">
        <v>692</v>
      </c>
      <c r="E1837" s="4" t="s">
        <v>779</v>
      </c>
      <c r="F1837" s="4" t="s">
        <v>779</v>
      </c>
      <c r="G1837" s="14"/>
      <c r="H1837" s="4" t="s">
        <v>1923</v>
      </c>
      <c r="I1837" s="4" t="s">
        <v>1924</v>
      </c>
    </row>
    <row r="1838" spans="1:9" x14ac:dyDescent="0.25">
      <c r="A1838" s="161" t="str">
        <f t="shared" si="32"/>
        <v>WW1_FIGHTER_ROME</v>
      </c>
      <c r="B1838" s="9" t="s">
        <v>2387</v>
      </c>
      <c r="C1838" s="4" t="s">
        <v>734</v>
      </c>
      <c r="E1838" s="4" t="s">
        <v>779</v>
      </c>
      <c r="F1838" s="4" t="s">
        <v>779</v>
      </c>
      <c r="G1838" s="14"/>
      <c r="H1838" s="4" t="s">
        <v>601</v>
      </c>
      <c r="I1838" s="4" t="s">
        <v>102</v>
      </c>
    </row>
    <row r="1839" spans="1:9" x14ac:dyDescent="0.25">
      <c r="A1839" s="161" t="str">
        <f t="shared" si="32"/>
        <v>WW1_FIGHTER_OTTOMAN</v>
      </c>
      <c r="B1839" s="9" t="s">
        <v>2387</v>
      </c>
      <c r="C1839" s="4" t="s">
        <v>1037</v>
      </c>
      <c r="E1839" s="4" t="s">
        <v>779</v>
      </c>
      <c r="F1839" s="4" t="s">
        <v>779</v>
      </c>
      <c r="G1839" s="14"/>
      <c r="H1839" s="4" t="s">
        <v>2226</v>
      </c>
      <c r="I1839" s="4" t="s">
        <v>2225</v>
      </c>
    </row>
    <row r="1840" spans="1:9" x14ac:dyDescent="0.25">
      <c r="A1840" s="161" t="str">
        <f t="shared" si="32"/>
        <v>WW1_FIGHTER_NORTHAF</v>
      </c>
      <c r="B1840" s="9" t="s">
        <v>2387</v>
      </c>
      <c r="C1840" s="4" t="s">
        <v>2011</v>
      </c>
      <c r="D1840" s="4" t="s">
        <v>715</v>
      </c>
      <c r="E1840" s="4" t="s">
        <v>779</v>
      </c>
      <c r="F1840" s="4" t="s">
        <v>779</v>
      </c>
      <c r="G1840" s="14"/>
    </row>
    <row r="1841" spans="1:43" x14ac:dyDescent="0.25">
      <c r="A1841" s="161" t="str">
        <f t="shared" si="32"/>
        <v>WW1_FIGHTER_SEASIA</v>
      </c>
      <c r="B1841" s="9" t="s">
        <v>2387</v>
      </c>
      <c r="C1841" s="4" t="s">
        <v>696</v>
      </c>
      <c r="D1841" s="4" t="s">
        <v>715</v>
      </c>
      <c r="E1841" s="4" t="s">
        <v>779</v>
      </c>
      <c r="F1841" s="4" t="s">
        <v>779</v>
      </c>
      <c r="G1841" s="14"/>
    </row>
    <row r="1842" spans="1:43" x14ac:dyDescent="0.25">
      <c r="A1842" s="161" t="str">
        <f t="shared" si="32"/>
        <v>WW1_FIGHTER_SOUTHAM</v>
      </c>
      <c r="B1842" s="9" t="s">
        <v>2387</v>
      </c>
      <c r="C1842" s="4" t="s">
        <v>691</v>
      </c>
      <c r="D1842" s="4" t="s">
        <v>692</v>
      </c>
      <c r="E1842" s="4" t="s">
        <v>779</v>
      </c>
      <c r="F1842" s="4" t="s">
        <v>779</v>
      </c>
      <c r="G1842" s="14"/>
    </row>
    <row r="1843" spans="1:43" x14ac:dyDescent="0.25">
      <c r="A1843" s="161" t="str">
        <f t="shared" si="32"/>
        <v>WW1_FIGHTER_SOUTHAS</v>
      </c>
      <c r="B1843" s="9" t="s">
        <v>2387</v>
      </c>
      <c r="C1843" s="4" t="s">
        <v>695</v>
      </c>
      <c r="E1843" s="4" t="s">
        <v>779</v>
      </c>
      <c r="F1843" s="4" t="s">
        <v>779</v>
      </c>
      <c r="G1843" s="14"/>
      <c r="H1843" s="4" t="s">
        <v>1925</v>
      </c>
      <c r="I1843" s="4" t="s">
        <v>1924</v>
      </c>
    </row>
    <row r="1844" spans="1:43" x14ac:dyDescent="0.25">
      <c r="A1844" s="161" t="str">
        <f t="shared" si="32"/>
        <v>WW1_INFANTRY</v>
      </c>
      <c r="B1844" s="9" t="s">
        <v>2388</v>
      </c>
      <c r="C1844" s="5"/>
      <c r="D1844" s="5"/>
      <c r="E1844" s="5" t="s">
        <v>780</v>
      </c>
      <c r="F1844" s="5" t="s">
        <v>780</v>
      </c>
      <c r="G1844" s="5"/>
      <c r="H1844" s="5" t="s">
        <v>1158</v>
      </c>
      <c r="I1844" s="5" t="s">
        <v>128</v>
      </c>
      <c r="J1844" s="6"/>
      <c r="K1844" s="6"/>
      <c r="L1844" s="13" t="s">
        <v>1708</v>
      </c>
      <c r="M1844" s="8"/>
      <c r="N1844" s="5"/>
      <c r="O1844" s="5"/>
      <c r="P1844" s="5"/>
      <c r="Q1844" s="7">
        <v>14</v>
      </c>
      <c r="R1844" s="6">
        <v>0.125</v>
      </c>
      <c r="S1844" s="13" t="s">
        <v>1620</v>
      </c>
      <c r="T1844" s="6">
        <v>18</v>
      </c>
      <c r="U1844" s="7" t="s">
        <v>1737</v>
      </c>
      <c r="V1844" s="5"/>
      <c r="W1844" s="6" t="s">
        <v>3</v>
      </c>
      <c r="X1844" s="6" t="s">
        <v>3</v>
      </c>
      <c r="Y1844" s="5"/>
      <c r="Z1844" s="6">
        <v>1</v>
      </c>
      <c r="AA1844" s="6"/>
      <c r="AB1844" s="5"/>
      <c r="AC1844" s="6"/>
      <c r="AD1844" s="6" t="s">
        <v>3</v>
      </c>
      <c r="AE1844" s="5"/>
      <c r="AF1844" s="6" t="s">
        <v>1737</v>
      </c>
      <c r="AG1844" s="6"/>
      <c r="AH1844" s="5"/>
      <c r="AI1844" s="6" t="s">
        <v>1737</v>
      </c>
      <c r="AJ1844" s="6"/>
      <c r="AK1844" s="5"/>
      <c r="AL1844" s="5"/>
      <c r="AM1844" s="5"/>
      <c r="AN1844" s="5"/>
      <c r="AO1844" s="5"/>
      <c r="AP1844" s="5"/>
      <c r="AQ1844" s="5"/>
    </row>
    <row r="1845" spans="1:43" x14ac:dyDescent="0.25">
      <c r="A1845" s="161" t="str">
        <f t="shared" si="32"/>
        <v>WW1_INFANTRY_AMER</v>
      </c>
      <c r="B1845" s="9" t="s">
        <v>2388</v>
      </c>
      <c r="C1845" s="4" t="s">
        <v>697</v>
      </c>
      <c r="E1845" s="4" t="s">
        <v>780</v>
      </c>
      <c r="F1845" s="4" t="s">
        <v>780</v>
      </c>
      <c r="H1845" s="4" t="s">
        <v>472</v>
      </c>
      <c r="I1845" s="4" t="s">
        <v>835</v>
      </c>
      <c r="R1845" s="11">
        <v>0.13500000000000001</v>
      </c>
      <c r="U1845" s="11">
        <v>9.5000000000000001E-2</v>
      </c>
    </row>
    <row r="1846" spans="1:43" x14ac:dyDescent="0.25">
      <c r="A1846" s="161" t="str">
        <f t="shared" si="32"/>
        <v>WW1_INFANTRY_JAPAN</v>
      </c>
      <c r="B1846" s="9" t="s">
        <v>2388</v>
      </c>
      <c r="C1846" s="4" t="s">
        <v>722</v>
      </c>
      <c r="E1846" s="4" t="s">
        <v>780</v>
      </c>
      <c r="F1846" s="4" t="s">
        <v>780</v>
      </c>
      <c r="G1846" s="14" t="s">
        <v>132</v>
      </c>
      <c r="H1846" s="4" t="s">
        <v>494</v>
      </c>
      <c r="I1846" s="4" t="s">
        <v>122</v>
      </c>
    </row>
    <row r="1847" spans="1:43" x14ac:dyDescent="0.25">
      <c r="A1847" s="161" t="str">
        <f t="shared" si="32"/>
        <v>WW1_INFANTRY_CENTAS</v>
      </c>
      <c r="B1847" s="9" t="s">
        <v>2388</v>
      </c>
      <c r="C1847" s="4" t="s">
        <v>918</v>
      </c>
      <c r="E1847" s="4" t="s">
        <v>780</v>
      </c>
      <c r="F1847" s="4" t="s">
        <v>780</v>
      </c>
      <c r="G1847" s="14" t="s">
        <v>132</v>
      </c>
      <c r="H1847" s="14" t="s">
        <v>1045</v>
      </c>
      <c r="I1847" s="4" t="s">
        <v>122</v>
      </c>
      <c r="J1847" s="167"/>
    </row>
    <row r="1848" spans="1:43" x14ac:dyDescent="0.25">
      <c r="A1848" s="161" t="str">
        <f t="shared" si="32"/>
        <v>WW1_INFANTRY_HUNS</v>
      </c>
      <c r="B1848" s="9" t="s">
        <v>2388</v>
      </c>
      <c r="C1848" s="4" t="s">
        <v>904</v>
      </c>
      <c r="D1848" s="4" t="s">
        <v>701</v>
      </c>
      <c r="E1848" s="4" t="s">
        <v>780</v>
      </c>
      <c r="F1848" s="4" t="s">
        <v>780</v>
      </c>
      <c r="G1848" s="14"/>
      <c r="H1848" s="14"/>
      <c r="J1848" s="167"/>
    </row>
    <row r="1849" spans="1:43" x14ac:dyDescent="0.25">
      <c r="A1849" s="161" t="str">
        <f t="shared" si="32"/>
        <v>WW1_INFANTRY_EASTEU</v>
      </c>
      <c r="B1849" s="9" t="s">
        <v>2388</v>
      </c>
      <c r="C1849" s="4" t="s">
        <v>698</v>
      </c>
      <c r="E1849" s="4" t="s">
        <v>780</v>
      </c>
      <c r="F1849" s="4" t="s">
        <v>780</v>
      </c>
      <c r="G1849" s="14" t="s">
        <v>132</v>
      </c>
      <c r="H1849" s="4" t="s">
        <v>630</v>
      </c>
      <c r="I1849" s="4" t="s">
        <v>122</v>
      </c>
    </row>
    <row r="1850" spans="1:43" x14ac:dyDescent="0.25">
      <c r="A1850" s="161" t="str">
        <f t="shared" si="32"/>
        <v>WW1_INFANTRY_AMERICA</v>
      </c>
      <c r="B1850" s="9" t="s">
        <v>2388</v>
      </c>
      <c r="C1850" s="4" t="s">
        <v>699</v>
      </c>
      <c r="E1850" s="4" t="s">
        <v>780</v>
      </c>
      <c r="F1850" s="4" t="s">
        <v>780</v>
      </c>
      <c r="G1850" s="14"/>
      <c r="H1850" s="4" t="s">
        <v>155</v>
      </c>
      <c r="I1850" s="4" t="s">
        <v>122</v>
      </c>
    </row>
    <row r="1851" spans="1:43" x14ac:dyDescent="0.25">
      <c r="A1851" s="161" t="str">
        <f t="shared" si="32"/>
        <v>WW1_INFANTRY_AUSTRIA</v>
      </c>
      <c r="B1851" s="9" t="s">
        <v>2388</v>
      </c>
      <c r="C1851" s="4" t="s">
        <v>701</v>
      </c>
      <c r="E1851" s="4" t="s">
        <v>780</v>
      </c>
      <c r="F1851" s="4" t="s">
        <v>780</v>
      </c>
      <c r="G1851" s="14"/>
      <c r="H1851" s="4" t="s">
        <v>189</v>
      </c>
      <c r="I1851" s="4" t="s">
        <v>122</v>
      </c>
    </row>
    <row r="1852" spans="1:43" x14ac:dyDescent="0.25">
      <c r="A1852" s="161" t="str">
        <f t="shared" si="32"/>
        <v>WW1_INFANTRY_CELTS</v>
      </c>
      <c r="B1852" s="9" t="s">
        <v>2388</v>
      </c>
      <c r="C1852" s="4" t="s">
        <v>709</v>
      </c>
      <c r="D1852" s="4" t="s">
        <v>713</v>
      </c>
      <c r="E1852" s="4" t="s">
        <v>780</v>
      </c>
      <c r="F1852" s="4" t="s">
        <v>780</v>
      </c>
      <c r="G1852" s="14"/>
    </row>
    <row r="1853" spans="1:43" x14ac:dyDescent="0.25">
      <c r="A1853" s="161" t="str">
        <f t="shared" si="32"/>
        <v>WW1_INFANTRY_ENGLAND</v>
      </c>
      <c r="B1853" s="9" t="s">
        <v>2388</v>
      </c>
      <c r="C1853" s="4" t="s">
        <v>713</v>
      </c>
      <c r="E1853" s="4" t="s">
        <v>780</v>
      </c>
      <c r="F1853" s="4" t="s">
        <v>780</v>
      </c>
      <c r="G1853" s="14" t="s">
        <v>132</v>
      </c>
      <c r="H1853" s="4" t="s">
        <v>316</v>
      </c>
      <c r="I1853" s="4" t="s">
        <v>122</v>
      </c>
    </row>
    <row r="1854" spans="1:43" x14ac:dyDescent="0.25">
      <c r="A1854" s="161" t="str">
        <f t="shared" si="32"/>
        <v>WW1_INFANTRY_FRANCE</v>
      </c>
      <c r="B1854" s="9" t="s">
        <v>2388</v>
      </c>
      <c r="C1854" s="4" t="s">
        <v>715</v>
      </c>
      <c r="E1854" s="4" t="s">
        <v>780</v>
      </c>
      <c r="F1854" s="4" t="s">
        <v>780</v>
      </c>
      <c r="G1854" s="14" t="s">
        <v>132</v>
      </c>
      <c r="H1854" s="4" t="s">
        <v>361</v>
      </c>
      <c r="I1854" s="4" t="s">
        <v>122</v>
      </c>
    </row>
    <row r="1855" spans="1:43" x14ac:dyDescent="0.25">
      <c r="A1855" s="161" t="str">
        <f t="shared" si="32"/>
        <v>WW1_INFANTRY_GERMANY</v>
      </c>
      <c r="B1855" s="9" t="s">
        <v>2388</v>
      </c>
      <c r="C1855" s="4" t="s">
        <v>717</v>
      </c>
      <c r="E1855" s="4" t="s">
        <v>780</v>
      </c>
      <c r="F1855" s="4" t="s">
        <v>780</v>
      </c>
      <c r="G1855" s="14" t="s">
        <v>132</v>
      </c>
      <c r="H1855" s="4" t="s">
        <v>394</v>
      </c>
      <c r="I1855" s="4" t="s">
        <v>122</v>
      </c>
    </row>
    <row r="1856" spans="1:43" x14ac:dyDescent="0.25">
      <c r="A1856" s="161" t="str">
        <f t="shared" si="32"/>
        <v>WW1_INFANTRY_MED</v>
      </c>
      <c r="B1856" s="9" t="s">
        <v>2388</v>
      </c>
      <c r="C1856" s="4" t="s">
        <v>692</v>
      </c>
      <c r="E1856" s="4" t="s">
        <v>780</v>
      </c>
      <c r="F1856" s="4" t="s">
        <v>780</v>
      </c>
      <c r="G1856" s="14" t="s">
        <v>132</v>
      </c>
      <c r="H1856" s="4" t="s">
        <v>415</v>
      </c>
      <c r="I1856" s="4" t="s">
        <v>122</v>
      </c>
    </row>
    <row r="1857" spans="1:43" x14ac:dyDescent="0.25">
      <c r="A1857" s="161" t="str">
        <f t="shared" si="32"/>
        <v>WW1_INFANTRY_ROME</v>
      </c>
      <c r="B1857" s="9" t="s">
        <v>2388</v>
      </c>
      <c r="C1857" s="4" t="s">
        <v>734</v>
      </c>
      <c r="E1857" s="4" t="s">
        <v>780</v>
      </c>
      <c r="F1857" s="4" t="s">
        <v>780</v>
      </c>
      <c r="G1857" s="14" t="s">
        <v>132</v>
      </c>
      <c r="H1857" s="4" t="s">
        <v>602</v>
      </c>
      <c r="I1857" s="4" t="s">
        <v>122</v>
      </c>
    </row>
    <row r="1858" spans="1:43" x14ac:dyDescent="0.25">
      <c r="A1858" s="161" t="str">
        <f t="shared" si="32"/>
        <v>WW1_INFANTRY_MIDEAST</v>
      </c>
      <c r="B1858" s="9" t="s">
        <v>2388</v>
      </c>
      <c r="C1858" s="4" t="s">
        <v>690</v>
      </c>
      <c r="E1858" s="4" t="s">
        <v>780</v>
      </c>
      <c r="F1858" s="4" t="s">
        <v>780</v>
      </c>
      <c r="H1858" s="4" t="s">
        <v>172</v>
      </c>
      <c r="I1858" s="4" t="s">
        <v>122</v>
      </c>
    </row>
    <row r="1859" spans="1:43" x14ac:dyDescent="0.25">
      <c r="A1859" s="161" t="str">
        <f t="shared" ref="A1859:A1892" si="33">CONCATENATE(E1859,IF(ISBLANK(C1859),"",CONCATENATE("_",C1859)))</f>
        <v>WW1_INFANTRY_SOUTHAS</v>
      </c>
      <c r="B1859" s="9" t="s">
        <v>2388</v>
      </c>
      <c r="C1859" s="4" t="s">
        <v>695</v>
      </c>
      <c r="E1859" s="4" t="s">
        <v>780</v>
      </c>
      <c r="F1859" s="4" t="s">
        <v>780</v>
      </c>
      <c r="H1859" s="4" t="s">
        <v>445</v>
      </c>
      <c r="I1859" s="4" t="s">
        <v>122</v>
      </c>
    </row>
    <row r="1860" spans="1:43" x14ac:dyDescent="0.25">
      <c r="A1860" s="161" t="str">
        <f t="shared" si="33"/>
        <v>WW1_TANK</v>
      </c>
      <c r="B1860" s="9" t="s">
        <v>2385</v>
      </c>
      <c r="C1860" s="5"/>
      <c r="D1860" s="5"/>
      <c r="E1860" s="5" t="s">
        <v>781</v>
      </c>
      <c r="F1860" s="5" t="s">
        <v>781</v>
      </c>
      <c r="G1860" s="5"/>
      <c r="H1860" s="5" t="s">
        <v>2228</v>
      </c>
      <c r="I1860" s="5" t="s">
        <v>2225</v>
      </c>
      <c r="J1860" s="6"/>
      <c r="K1860" s="6"/>
      <c r="L1860" s="13" t="s">
        <v>1709</v>
      </c>
      <c r="M1860" s="8"/>
      <c r="N1860" s="5"/>
      <c r="O1860" s="5"/>
      <c r="P1860" s="5"/>
      <c r="Q1860" s="7">
        <v>2</v>
      </c>
      <c r="R1860" s="6">
        <v>0.11</v>
      </c>
      <c r="S1860" s="13" t="s">
        <v>1613</v>
      </c>
      <c r="T1860" s="6">
        <v>4</v>
      </c>
      <c r="U1860" s="6">
        <v>0.12</v>
      </c>
      <c r="V1860" s="5" t="s">
        <v>688</v>
      </c>
      <c r="W1860" s="7" t="s">
        <v>3</v>
      </c>
      <c r="X1860" s="6" t="s">
        <v>3</v>
      </c>
      <c r="Y1860" s="5"/>
      <c r="Z1860" s="6">
        <v>1</v>
      </c>
      <c r="AA1860" s="6"/>
      <c r="AB1860" s="5"/>
      <c r="AC1860" s="6"/>
      <c r="AD1860" s="6" t="s">
        <v>3</v>
      </c>
      <c r="AE1860" s="5"/>
      <c r="AF1860" s="6"/>
      <c r="AG1860" s="6"/>
      <c r="AH1860" s="5"/>
      <c r="AI1860" s="6"/>
      <c r="AJ1860" s="6"/>
      <c r="AK1860" s="5"/>
      <c r="AL1860" s="5"/>
      <c r="AM1860" s="5"/>
      <c r="AN1860" s="5"/>
      <c r="AO1860" s="5"/>
      <c r="AP1860" s="5"/>
      <c r="AQ1860" s="5"/>
    </row>
    <row r="1861" spans="1:43" x14ac:dyDescent="0.25">
      <c r="A1861" s="161" t="str">
        <f t="shared" si="33"/>
        <v>WW1_TANK_ZULU</v>
      </c>
      <c r="B1861" s="9" t="s">
        <v>2385</v>
      </c>
      <c r="C1861" s="5" t="s">
        <v>742</v>
      </c>
      <c r="D1861" s="5" t="s">
        <v>709</v>
      </c>
      <c r="E1861" s="5" t="s">
        <v>781</v>
      </c>
      <c r="F1861" s="5" t="s">
        <v>781</v>
      </c>
      <c r="G1861" s="5"/>
      <c r="H1861" s="5"/>
      <c r="I1861" s="5"/>
      <c r="J1861" s="6"/>
      <c r="K1861" s="6"/>
      <c r="L1861" s="13"/>
      <c r="M1861" s="8"/>
      <c r="N1861" s="5"/>
      <c r="O1861" s="5"/>
      <c r="P1861" s="5"/>
      <c r="Q1861" s="7"/>
      <c r="R1861" s="6"/>
      <c r="S1861" s="13"/>
      <c r="T1861" s="6"/>
      <c r="U1861" s="6"/>
      <c r="V1861" s="5"/>
      <c r="W1861" s="7"/>
      <c r="X1861" s="6"/>
      <c r="Y1861" s="5"/>
      <c r="Z1861" s="6"/>
      <c r="AA1861" s="6"/>
      <c r="AB1861" s="5"/>
      <c r="AC1861" s="6"/>
      <c r="AD1861" s="6"/>
      <c r="AE1861" s="5"/>
      <c r="AF1861" s="6"/>
      <c r="AG1861" s="6"/>
      <c r="AH1861" s="5"/>
      <c r="AI1861" s="6"/>
      <c r="AJ1861" s="6"/>
      <c r="AK1861" s="5"/>
      <c r="AL1861" s="5"/>
      <c r="AM1861" s="5"/>
      <c r="AN1861" s="5"/>
      <c r="AO1861" s="5"/>
      <c r="AP1861" s="5"/>
      <c r="AQ1861" s="5"/>
    </row>
    <row r="1862" spans="1:43" x14ac:dyDescent="0.25">
      <c r="A1862" s="161" t="str">
        <f t="shared" si="33"/>
        <v>WW1_TANK_AMER</v>
      </c>
      <c r="B1862" s="9" t="s">
        <v>2385</v>
      </c>
      <c r="C1862" s="5" t="s">
        <v>697</v>
      </c>
      <c r="D1862" s="5" t="s">
        <v>699</v>
      </c>
      <c r="E1862" s="5" t="s">
        <v>781</v>
      </c>
      <c r="F1862" s="5" t="s">
        <v>781</v>
      </c>
      <c r="G1862" s="5"/>
      <c r="H1862" s="5"/>
      <c r="I1862" s="5"/>
      <c r="J1862" s="6"/>
      <c r="K1862" s="6"/>
      <c r="L1862" s="13"/>
      <c r="M1862" s="8"/>
      <c r="N1862" s="5"/>
      <c r="O1862" s="5"/>
      <c r="P1862" s="5"/>
      <c r="Q1862" s="7"/>
      <c r="R1862" s="6"/>
      <c r="S1862" s="13"/>
      <c r="T1862" s="6"/>
      <c r="U1862" s="6"/>
      <c r="V1862" s="5"/>
      <c r="W1862" s="7"/>
      <c r="X1862" s="6"/>
      <c r="Y1862" s="5"/>
      <c r="Z1862" s="6"/>
      <c r="AA1862" s="6"/>
      <c r="AB1862" s="5"/>
      <c r="AC1862" s="6"/>
      <c r="AD1862" s="6"/>
      <c r="AE1862" s="5"/>
      <c r="AF1862" s="6"/>
      <c r="AG1862" s="6"/>
      <c r="AH1862" s="5"/>
      <c r="AI1862" s="6"/>
      <c r="AJ1862" s="6"/>
      <c r="AK1862" s="5"/>
      <c r="AL1862" s="5"/>
      <c r="AM1862" s="5"/>
      <c r="AN1862" s="5"/>
      <c r="AO1862" s="5"/>
      <c r="AP1862" s="5"/>
      <c r="AQ1862" s="5"/>
    </row>
    <row r="1863" spans="1:43" x14ac:dyDescent="0.25">
      <c r="A1863" s="161" t="str">
        <f t="shared" si="33"/>
        <v>WW1_TANK_CHINA</v>
      </c>
      <c r="B1863" s="9" t="s">
        <v>2385</v>
      </c>
      <c r="C1863" s="4" t="s">
        <v>710</v>
      </c>
      <c r="E1863" s="4" t="s">
        <v>781</v>
      </c>
      <c r="F1863" s="4" t="s">
        <v>781</v>
      </c>
      <c r="G1863" s="14" t="s">
        <v>132</v>
      </c>
      <c r="H1863" s="4" t="s">
        <v>262</v>
      </c>
      <c r="I1863" s="4" t="s">
        <v>102</v>
      </c>
      <c r="R1863" s="11">
        <v>0.13</v>
      </c>
      <c r="T1863" s="11">
        <v>4</v>
      </c>
      <c r="U1863" s="11">
        <v>0.11</v>
      </c>
    </row>
    <row r="1864" spans="1:43" x14ac:dyDescent="0.25">
      <c r="A1864" s="161" t="str">
        <f t="shared" si="33"/>
        <v>WW1_TANK_JAPAN</v>
      </c>
      <c r="B1864" s="9" t="s">
        <v>2385</v>
      </c>
      <c r="C1864" s="4" t="s">
        <v>722</v>
      </c>
      <c r="E1864" s="4" t="s">
        <v>781</v>
      </c>
      <c r="F1864" s="4" t="s">
        <v>781</v>
      </c>
      <c r="G1864" s="14" t="s">
        <v>132</v>
      </c>
      <c r="H1864" s="4" t="s">
        <v>495</v>
      </c>
      <c r="I1864" s="4" t="s">
        <v>102</v>
      </c>
      <c r="R1864" s="11">
        <v>0.13</v>
      </c>
      <c r="T1864" s="11">
        <v>4</v>
      </c>
      <c r="U1864" s="11">
        <v>0.11</v>
      </c>
    </row>
    <row r="1865" spans="1:43" x14ac:dyDescent="0.25">
      <c r="A1865" s="161" t="str">
        <f t="shared" si="33"/>
        <v>WW1_TANK_KOREA</v>
      </c>
      <c r="B1865" s="9" t="s">
        <v>2385</v>
      </c>
      <c r="C1865" s="4" t="s">
        <v>723</v>
      </c>
      <c r="D1865" s="4" t="s">
        <v>722</v>
      </c>
      <c r="E1865" s="4" t="s">
        <v>781</v>
      </c>
      <c r="F1865" s="4" t="s">
        <v>781</v>
      </c>
      <c r="G1865" s="14"/>
    </row>
    <row r="1866" spans="1:43" x14ac:dyDescent="0.25">
      <c r="A1866" s="161" t="str">
        <f t="shared" si="33"/>
        <v>WW1_TANK_HUNS</v>
      </c>
      <c r="B1866" s="9" t="s">
        <v>2385</v>
      </c>
      <c r="C1866" s="4" t="s">
        <v>904</v>
      </c>
      <c r="D1866" s="4" t="s">
        <v>701</v>
      </c>
      <c r="E1866" s="4" t="s">
        <v>781</v>
      </c>
      <c r="F1866" s="4" t="s">
        <v>781</v>
      </c>
    </row>
    <row r="1867" spans="1:43" x14ac:dyDescent="0.25">
      <c r="A1867" s="161" t="str">
        <f t="shared" si="33"/>
        <v>WW1_TANK_EASTEU</v>
      </c>
      <c r="B1867" s="9" t="s">
        <v>2385</v>
      </c>
      <c r="C1867" s="4" t="s">
        <v>698</v>
      </c>
      <c r="E1867" s="4" t="s">
        <v>781</v>
      </c>
      <c r="F1867" s="4" t="s">
        <v>781</v>
      </c>
      <c r="H1867" s="4" t="s">
        <v>856</v>
      </c>
      <c r="I1867" s="4" t="s">
        <v>120</v>
      </c>
      <c r="R1867" s="11">
        <v>0.13</v>
      </c>
      <c r="T1867" s="11">
        <v>4</v>
      </c>
      <c r="U1867" s="11">
        <v>0.11</v>
      </c>
    </row>
    <row r="1868" spans="1:43" x14ac:dyDescent="0.25">
      <c r="A1868" s="161" t="str">
        <f t="shared" si="33"/>
        <v>WW1_TANK_POLAND</v>
      </c>
      <c r="B1868" s="9" t="s">
        <v>2385</v>
      </c>
      <c r="C1868" s="4" t="s">
        <v>732</v>
      </c>
      <c r="E1868" s="4" t="s">
        <v>781</v>
      </c>
      <c r="F1868" s="4" t="s">
        <v>781</v>
      </c>
      <c r="G1868" s="14" t="s">
        <v>132</v>
      </c>
      <c r="H1868" s="4" t="s">
        <v>577</v>
      </c>
      <c r="I1868" s="4" t="s">
        <v>102</v>
      </c>
      <c r="R1868" s="9">
        <v>0.13</v>
      </c>
      <c r="T1868" s="11">
        <v>4</v>
      </c>
      <c r="U1868" s="11">
        <v>0.11</v>
      </c>
    </row>
    <row r="1869" spans="1:43" x14ac:dyDescent="0.25">
      <c r="A1869" s="161" t="str">
        <f t="shared" si="33"/>
        <v>WW1_TANK_RUSSIA</v>
      </c>
      <c r="B1869" s="9" t="s">
        <v>2385</v>
      </c>
      <c r="C1869" s="4" t="s">
        <v>735</v>
      </c>
      <c r="E1869" s="4" t="s">
        <v>781</v>
      </c>
      <c r="F1869" s="4" t="s">
        <v>781</v>
      </c>
      <c r="G1869" s="14" t="s">
        <v>132</v>
      </c>
      <c r="H1869" s="4" t="s">
        <v>631</v>
      </c>
      <c r="I1869" s="4" t="s">
        <v>102</v>
      </c>
      <c r="R1869" s="9">
        <v>0.13</v>
      </c>
      <c r="T1869" s="11">
        <v>4</v>
      </c>
      <c r="U1869" s="11">
        <v>0.11</v>
      </c>
    </row>
    <row r="1870" spans="1:43" x14ac:dyDescent="0.25">
      <c r="A1870" s="161" t="str">
        <f t="shared" si="33"/>
        <v>WW1_TANK_AMERICA</v>
      </c>
      <c r="B1870" s="9" t="s">
        <v>2385</v>
      </c>
      <c r="C1870" s="4" t="s">
        <v>699</v>
      </c>
      <c r="E1870" s="4" t="s">
        <v>781</v>
      </c>
      <c r="F1870" s="4" t="s">
        <v>781</v>
      </c>
      <c r="G1870" s="14"/>
      <c r="H1870" s="4" t="s">
        <v>156</v>
      </c>
      <c r="I1870" s="4" t="s">
        <v>102</v>
      </c>
      <c r="Q1870" s="11">
        <v>1</v>
      </c>
      <c r="R1870" s="9">
        <v>0.13</v>
      </c>
      <c r="T1870" s="11">
        <v>2</v>
      </c>
      <c r="U1870" s="11">
        <v>0.11</v>
      </c>
    </row>
    <row r="1871" spans="1:43" x14ac:dyDescent="0.25">
      <c r="A1871" s="161" t="str">
        <f t="shared" si="33"/>
        <v>WW1_TANK_AMERICA</v>
      </c>
      <c r="B1871" s="9" t="s">
        <v>2385</v>
      </c>
      <c r="C1871" s="4" t="s">
        <v>699</v>
      </c>
      <c r="E1871" s="4" t="s">
        <v>781</v>
      </c>
      <c r="F1871" s="4" t="s">
        <v>781</v>
      </c>
      <c r="G1871" s="14"/>
      <c r="H1871" s="4" t="s">
        <v>2229</v>
      </c>
      <c r="I1871" s="4" t="s">
        <v>2225</v>
      </c>
      <c r="Q1871" s="11">
        <v>1</v>
      </c>
      <c r="R1871" s="9">
        <v>0.125</v>
      </c>
      <c r="T1871" s="11">
        <v>2</v>
      </c>
      <c r="U1871" s="11">
        <v>0.11</v>
      </c>
    </row>
    <row r="1872" spans="1:43" x14ac:dyDescent="0.25">
      <c r="A1872" s="161" t="str">
        <f t="shared" si="33"/>
        <v>WW1_TANK_AUSTRALIA</v>
      </c>
      <c r="B1872" s="9" t="s">
        <v>2385</v>
      </c>
      <c r="C1872" s="4" t="s">
        <v>1302</v>
      </c>
      <c r="D1872" s="4" t="s">
        <v>709</v>
      </c>
      <c r="E1872" s="4" t="s">
        <v>781</v>
      </c>
      <c r="F1872" s="4" t="s">
        <v>781</v>
      </c>
      <c r="G1872" s="14"/>
      <c r="R1872" s="9"/>
    </row>
    <row r="1873" spans="1:26" x14ac:dyDescent="0.25">
      <c r="A1873" s="161" t="str">
        <f t="shared" si="33"/>
        <v>WW1_TANK_AUSTRIA</v>
      </c>
      <c r="B1873" s="9" t="s">
        <v>2385</v>
      </c>
      <c r="C1873" s="4" t="s">
        <v>701</v>
      </c>
      <c r="E1873" s="4" t="s">
        <v>781</v>
      </c>
      <c r="F1873" s="4" t="s">
        <v>781</v>
      </c>
      <c r="G1873" s="14"/>
      <c r="H1873" s="4" t="s">
        <v>190</v>
      </c>
      <c r="I1873" s="4" t="s">
        <v>102</v>
      </c>
      <c r="R1873" s="9">
        <v>0.13</v>
      </c>
      <c r="T1873" s="11">
        <v>4</v>
      </c>
      <c r="U1873" s="11">
        <v>0.11</v>
      </c>
    </row>
    <row r="1874" spans="1:26" x14ac:dyDescent="0.25">
      <c r="A1874" s="161" t="str">
        <f t="shared" si="33"/>
        <v>WW1_TANK_BELGIUM</v>
      </c>
      <c r="B1874" s="9" t="s">
        <v>2385</v>
      </c>
      <c r="C1874" s="4" t="s">
        <v>704</v>
      </c>
      <c r="E1874" s="4" t="s">
        <v>781</v>
      </c>
      <c r="F1874" s="4" t="s">
        <v>781</v>
      </c>
      <c r="G1874" s="14"/>
      <c r="H1874" s="4" t="s">
        <v>220</v>
      </c>
      <c r="I1874" s="4" t="s">
        <v>120</v>
      </c>
      <c r="R1874" s="11">
        <v>0.13</v>
      </c>
    </row>
    <row r="1875" spans="1:26" x14ac:dyDescent="0.25">
      <c r="A1875" s="161" t="str">
        <f t="shared" si="33"/>
        <v>WW1_TANK_CANADA</v>
      </c>
      <c r="B1875" s="9" t="s">
        <v>2385</v>
      </c>
      <c r="C1875" s="4" t="s">
        <v>2209</v>
      </c>
      <c r="E1875" s="4" t="s">
        <v>781</v>
      </c>
      <c r="F1875" s="4" t="s">
        <v>781</v>
      </c>
      <c r="G1875" s="14"/>
      <c r="H1875" s="4" t="s">
        <v>2211</v>
      </c>
      <c r="I1875" s="4" t="s">
        <v>120</v>
      </c>
      <c r="R1875" s="11">
        <v>0.13</v>
      </c>
    </row>
    <row r="1876" spans="1:26" x14ac:dyDescent="0.25">
      <c r="A1876" s="161" t="str">
        <f t="shared" si="33"/>
        <v>WW1_TANK_CELTS</v>
      </c>
      <c r="B1876" s="9" t="s">
        <v>2385</v>
      </c>
      <c r="C1876" s="4" t="s">
        <v>709</v>
      </c>
      <c r="E1876" s="4" t="s">
        <v>781</v>
      </c>
      <c r="F1876" s="4" t="s">
        <v>781</v>
      </c>
      <c r="G1876" s="14"/>
      <c r="H1876" s="4" t="s">
        <v>317</v>
      </c>
      <c r="I1876" s="4" t="s">
        <v>102</v>
      </c>
      <c r="R1876" s="11">
        <v>0.125</v>
      </c>
      <c r="T1876" s="11">
        <v>4</v>
      </c>
    </row>
    <row r="1877" spans="1:26" x14ac:dyDescent="0.25">
      <c r="A1877" s="161" t="str">
        <f t="shared" si="33"/>
        <v>WW1_TANK_ENGLAND</v>
      </c>
      <c r="B1877" s="9" t="s">
        <v>2385</v>
      </c>
      <c r="C1877" s="4" t="s">
        <v>713</v>
      </c>
      <c r="E1877" s="4" t="s">
        <v>781</v>
      </c>
      <c r="F1877" s="4" t="s">
        <v>781</v>
      </c>
      <c r="G1877" s="14" t="s">
        <v>132</v>
      </c>
      <c r="H1877" s="4" t="s">
        <v>2208</v>
      </c>
      <c r="I1877" s="4" t="s">
        <v>120</v>
      </c>
      <c r="Q1877" s="11">
        <v>1</v>
      </c>
      <c r="R1877" s="11">
        <v>0.125</v>
      </c>
      <c r="T1877" s="11">
        <v>1</v>
      </c>
      <c r="Z1877" s="11">
        <v>0</v>
      </c>
    </row>
    <row r="1878" spans="1:26" x14ac:dyDescent="0.25">
      <c r="A1878" s="161" t="str">
        <f>CONCATENATE(E1878,IF(ISBLANK(C1878),"",CONCATENATE("_",C1878)))</f>
        <v>WW1_TANK_ENGLAND</v>
      </c>
      <c r="B1878" s="9" t="s">
        <v>2385</v>
      </c>
      <c r="C1878" s="4" t="s">
        <v>713</v>
      </c>
      <c r="E1878" s="4" t="s">
        <v>781</v>
      </c>
      <c r="F1878" s="4" t="s">
        <v>781</v>
      </c>
      <c r="G1878" s="14" t="s">
        <v>2047</v>
      </c>
      <c r="H1878" s="4" t="s">
        <v>317</v>
      </c>
      <c r="I1878" s="4" t="s">
        <v>102</v>
      </c>
      <c r="Q1878" s="11">
        <v>1</v>
      </c>
      <c r="R1878" s="11">
        <v>0.125</v>
      </c>
      <c r="T1878" s="11">
        <v>3</v>
      </c>
      <c r="Z1878" s="11">
        <v>1</v>
      </c>
    </row>
    <row r="1879" spans="1:26" x14ac:dyDescent="0.25">
      <c r="A1879" s="161" t="str">
        <f t="shared" si="33"/>
        <v>WW1_TANK_FRANCE</v>
      </c>
      <c r="B1879" s="9" t="s">
        <v>2385</v>
      </c>
      <c r="C1879" s="4" t="s">
        <v>715</v>
      </c>
      <c r="E1879" s="4" t="s">
        <v>781</v>
      </c>
      <c r="F1879" s="4" t="s">
        <v>781</v>
      </c>
      <c r="H1879" s="4" t="s">
        <v>883</v>
      </c>
      <c r="I1879" s="4" t="s">
        <v>102</v>
      </c>
      <c r="Q1879" s="11">
        <v>1</v>
      </c>
      <c r="R1879" s="9">
        <v>0.13</v>
      </c>
      <c r="T1879" s="11">
        <v>1</v>
      </c>
      <c r="U1879" s="11">
        <v>0.11</v>
      </c>
      <c r="Z1879" s="9">
        <v>0</v>
      </c>
    </row>
    <row r="1880" spans="1:26" x14ac:dyDescent="0.25">
      <c r="A1880" s="161" t="str">
        <f t="shared" si="33"/>
        <v>WW1_TANK_FRANCE</v>
      </c>
      <c r="B1880" s="9" t="s">
        <v>2385</v>
      </c>
      <c r="C1880" s="4" t="s">
        <v>715</v>
      </c>
      <c r="E1880" s="4" t="s">
        <v>781</v>
      </c>
      <c r="F1880" s="4" t="s">
        <v>781</v>
      </c>
      <c r="G1880" s="4" t="s">
        <v>2047</v>
      </c>
      <c r="H1880" s="4" t="s">
        <v>884</v>
      </c>
      <c r="I1880" s="4" t="s">
        <v>120</v>
      </c>
      <c r="Q1880" s="11">
        <v>1</v>
      </c>
      <c r="R1880" s="9">
        <v>0.13</v>
      </c>
      <c r="T1880" s="11">
        <v>2</v>
      </c>
      <c r="U1880" s="11">
        <v>0.11</v>
      </c>
      <c r="Z1880" s="9">
        <v>1</v>
      </c>
    </row>
    <row r="1881" spans="1:26" x14ac:dyDescent="0.25">
      <c r="A1881" s="161" t="str">
        <f t="shared" si="33"/>
        <v>WW1_TANK_FRANCE</v>
      </c>
      <c r="B1881" s="9" t="s">
        <v>2385</v>
      </c>
      <c r="C1881" s="4" t="s">
        <v>715</v>
      </c>
      <c r="E1881" s="4" t="s">
        <v>781</v>
      </c>
      <c r="F1881" s="4" t="s">
        <v>781</v>
      </c>
      <c r="G1881" s="4" t="s">
        <v>2049</v>
      </c>
      <c r="H1881" s="4" t="s">
        <v>362</v>
      </c>
      <c r="I1881" s="4" t="s">
        <v>120</v>
      </c>
      <c r="Q1881" s="11">
        <v>0</v>
      </c>
      <c r="R1881" s="9">
        <v>0.13</v>
      </c>
      <c r="T1881" s="11">
        <v>1</v>
      </c>
      <c r="U1881" s="11">
        <v>0.11</v>
      </c>
      <c r="Z1881" s="9">
        <v>0</v>
      </c>
    </row>
    <row r="1882" spans="1:26" x14ac:dyDescent="0.25">
      <c r="A1882" s="161" t="str">
        <f t="shared" si="33"/>
        <v>WW1_TANK_GERMANY</v>
      </c>
      <c r="B1882" s="9" t="s">
        <v>2385</v>
      </c>
      <c r="C1882" s="4" t="s">
        <v>717</v>
      </c>
      <c r="E1882" s="4" t="s">
        <v>781</v>
      </c>
      <c r="F1882" s="4" t="s">
        <v>781</v>
      </c>
      <c r="G1882" s="14" t="s">
        <v>132</v>
      </c>
      <c r="H1882" s="4" t="s">
        <v>395</v>
      </c>
      <c r="I1882" s="4" t="s">
        <v>102</v>
      </c>
      <c r="Q1882" s="11">
        <v>1</v>
      </c>
      <c r="R1882" s="9">
        <v>0.115</v>
      </c>
      <c r="T1882" s="11">
        <v>2</v>
      </c>
      <c r="U1882" s="11">
        <v>0.97499999999999998</v>
      </c>
    </row>
    <row r="1883" spans="1:26" x14ac:dyDescent="0.25">
      <c r="A1883" s="161" t="str">
        <f t="shared" si="33"/>
        <v>WW1_TANK_GERMANY</v>
      </c>
      <c r="B1883" s="9" t="s">
        <v>2385</v>
      </c>
      <c r="C1883" s="4" t="s">
        <v>717</v>
      </c>
      <c r="E1883" s="4" t="s">
        <v>781</v>
      </c>
      <c r="F1883" s="4" t="s">
        <v>781</v>
      </c>
      <c r="G1883" s="14" t="s">
        <v>2047</v>
      </c>
      <c r="H1883" s="4" t="s">
        <v>2214</v>
      </c>
      <c r="I1883" s="4" t="s">
        <v>120</v>
      </c>
      <c r="Q1883" s="11">
        <v>1</v>
      </c>
      <c r="R1883" s="9">
        <v>0.125</v>
      </c>
      <c r="T1883" s="11">
        <v>2</v>
      </c>
      <c r="U1883" s="11">
        <v>0.105</v>
      </c>
    </row>
    <row r="1884" spans="1:26" x14ac:dyDescent="0.25">
      <c r="A1884" s="161" t="str">
        <f t="shared" si="33"/>
        <v>WW1_TANK_BRAZIL</v>
      </c>
      <c r="B1884" s="9" t="s">
        <v>2385</v>
      </c>
      <c r="C1884" s="4" t="s">
        <v>706</v>
      </c>
      <c r="E1884" s="4" t="s">
        <v>781</v>
      </c>
      <c r="F1884" s="4" t="s">
        <v>781</v>
      </c>
      <c r="G1884" s="14" t="s">
        <v>132</v>
      </c>
      <c r="H1884" s="4" t="s">
        <v>224</v>
      </c>
      <c r="I1884" s="4" t="s">
        <v>120</v>
      </c>
      <c r="R1884" s="9">
        <v>0.13</v>
      </c>
      <c r="T1884" s="11">
        <v>4</v>
      </c>
      <c r="U1884" s="11">
        <v>0.11</v>
      </c>
    </row>
    <row r="1885" spans="1:26" x14ac:dyDescent="0.25">
      <c r="A1885" s="161" t="str">
        <f t="shared" si="33"/>
        <v>WW1_TANK_GREECE</v>
      </c>
      <c r="B1885" s="9" t="s">
        <v>2385</v>
      </c>
      <c r="C1885" s="4" t="s">
        <v>718</v>
      </c>
      <c r="E1885" s="4" t="s">
        <v>781</v>
      </c>
      <c r="F1885" s="4" t="s">
        <v>781</v>
      </c>
      <c r="G1885" s="14" t="s">
        <v>132</v>
      </c>
      <c r="H1885" s="4" t="s">
        <v>416</v>
      </c>
      <c r="I1885" s="4" t="s">
        <v>102</v>
      </c>
      <c r="R1885" s="9">
        <v>0.13</v>
      </c>
      <c r="T1885" s="11">
        <v>4</v>
      </c>
      <c r="U1885" s="11">
        <v>0.11</v>
      </c>
    </row>
    <row r="1886" spans="1:26" x14ac:dyDescent="0.25">
      <c r="A1886" s="161" t="str">
        <f t="shared" si="33"/>
        <v>WW1_TANK_ROME</v>
      </c>
      <c r="B1886" s="9" t="s">
        <v>2385</v>
      </c>
      <c r="C1886" s="4" t="s">
        <v>734</v>
      </c>
      <c r="E1886" s="4" t="s">
        <v>781</v>
      </c>
      <c r="F1886" s="4" t="s">
        <v>781</v>
      </c>
      <c r="G1886" s="14" t="s">
        <v>132</v>
      </c>
      <c r="H1886" s="4" t="s">
        <v>603</v>
      </c>
      <c r="I1886" s="4" t="s">
        <v>102</v>
      </c>
      <c r="R1886" s="9">
        <v>0.13</v>
      </c>
      <c r="T1886" s="11">
        <v>4</v>
      </c>
      <c r="U1886" s="11">
        <v>0.11</v>
      </c>
    </row>
    <row r="1887" spans="1:26" x14ac:dyDescent="0.25">
      <c r="A1887" s="161" t="str">
        <f t="shared" si="33"/>
        <v>WW1_TANK_SPAIN</v>
      </c>
      <c r="B1887" s="9" t="s">
        <v>2385</v>
      </c>
      <c r="C1887" s="4" t="s">
        <v>738</v>
      </c>
      <c r="E1887" s="4" t="s">
        <v>781</v>
      </c>
      <c r="F1887" s="4" t="s">
        <v>781</v>
      </c>
      <c r="G1887" s="14" t="s">
        <v>132</v>
      </c>
      <c r="H1887" s="4" t="s">
        <v>665</v>
      </c>
      <c r="I1887" s="4" t="s">
        <v>102</v>
      </c>
      <c r="R1887" s="9">
        <v>0.13</v>
      </c>
      <c r="T1887" s="11">
        <v>4</v>
      </c>
      <c r="U1887" s="11">
        <v>0.11</v>
      </c>
    </row>
    <row r="1888" spans="1:26" x14ac:dyDescent="0.25">
      <c r="A1888" s="161" t="str">
        <f t="shared" si="33"/>
        <v>WW1_TANK_NORTHAF</v>
      </c>
      <c r="B1888" s="9" t="s">
        <v>2385</v>
      </c>
      <c r="C1888" s="4" t="s">
        <v>2011</v>
      </c>
      <c r="D1888" s="4" t="s">
        <v>715</v>
      </c>
      <c r="E1888" s="4" t="s">
        <v>781</v>
      </c>
      <c r="F1888" s="4" t="s">
        <v>781</v>
      </c>
      <c r="G1888" s="14"/>
      <c r="R1888" s="9"/>
    </row>
    <row r="1889" spans="1:43" x14ac:dyDescent="0.25">
      <c r="A1889" s="161" t="str">
        <f t="shared" si="33"/>
        <v>WW1_TANK_SWEDEN</v>
      </c>
      <c r="B1889" s="9" t="s">
        <v>2385</v>
      </c>
      <c r="C1889" s="4" t="s">
        <v>739</v>
      </c>
      <c r="E1889" s="4" t="s">
        <v>781</v>
      </c>
      <c r="F1889" s="4" t="s">
        <v>781</v>
      </c>
      <c r="G1889" s="14" t="s">
        <v>132</v>
      </c>
      <c r="H1889" s="4" t="s">
        <v>677</v>
      </c>
      <c r="I1889" s="4" t="s">
        <v>102</v>
      </c>
      <c r="R1889" s="9">
        <v>0.13</v>
      </c>
      <c r="T1889" s="11">
        <v>4</v>
      </c>
      <c r="U1889" s="11">
        <v>0.11</v>
      </c>
    </row>
    <row r="1890" spans="1:43" x14ac:dyDescent="0.25">
      <c r="A1890" s="161" t="str">
        <f t="shared" si="33"/>
        <v>WW1_TANK_SEASIA</v>
      </c>
      <c r="B1890" s="9" t="s">
        <v>2385</v>
      </c>
      <c r="C1890" s="4" t="s">
        <v>696</v>
      </c>
      <c r="D1890" s="4" t="s">
        <v>715</v>
      </c>
      <c r="E1890" s="4" t="s">
        <v>781</v>
      </c>
      <c r="F1890" s="4" t="s">
        <v>781</v>
      </c>
      <c r="G1890" s="14"/>
      <c r="R1890" s="9"/>
    </row>
    <row r="1891" spans="1:43" x14ac:dyDescent="0.25">
      <c r="A1891" s="161" t="str">
        <f t="shared" si="33"/>
        <v>WW1_TANK_SOUTHAS</v>
      </c>
      <c r="B1891" s="9" t="s">
        <v>2385</v>
      </c>
      <c r="C1891" s="4" t="s">
        <v>695</v>
      </c>
      <c r="D1891" s="4" t="s">
        <v>709</v>
      </c>
      <c r="E1891" s="4" t="s">
        <v>781</v>
      </c>
      <c r="F1891" s="4" t="s">
        <v>781</v>
      </c>
      <c r="G1891" s="14"/>
      <c r="R1891" s="9"/>
    </row>
    <row r="1892" spans="1:43" x14ac:dyDescent="0.25">
      <c r="A1892" s="161" t="str">
        <f t="shared" si="33"/>
        <v>WW2_INFANTRY</v>
      </c>
      <c r="B1892" s="9" t="s">
        <v>111</v>
      </c>
      <c r="C1892" s="5"/>
      <c r="D1892" s="5"/>
      <c r="E1892" s="5" t="s">
        <v>1391</v>
      </c>
      <c r="F1892" s="5" t="s">
        <v>1391</v>
      </c>
      <c r="G1892" s="5"/>
      <c r="H1892" s="5" t="s">
        <v>1502</v>
      </c>
      <c r="I1892" s="5" t="s">
        <v>102</v>
      </c>
      <c r="J1892" s="6"/>
      <c r="K1892" s="6"/>
      <c r="L1892" s="13" t="s">
        <v>1708</v>
      </c>
      <c r="M1892" s="8"/>
      <c r="N1892" s="5"/>
      <c r="O1892" s="5"/>
      <c r="P1892" s="5"/>
      <c r="Q1892" s="7">
        <v>14</v>
      </c>
      <c r="R1892" s="6" t="s">
        <v>1737</v>
      </c>
      <c r="S1892" s="13" t="s">
        <v>1620</v>
      </c>
      <c r="T1892" s="6">
        <v>18</v>
      </c>
      <c r="U1892" s="7" t="s">
        <v>1737</v>
      </c>
      <c r="V1892" s="5"/>
      <c r="W1892" s="6" t="s">
        <v>3</v>
      </c>
      <c r="X1892" s="6" t="s">
        <v>3</v>
      </c>
      <c r="Y1892" s="5"/>
      <c r="Z1892" s="7">
        <v>1</v>
      </c>
      <c r="AA1892" s="6"/>
      <c r="AB1892" s="5"/>
      <c r="AC1892" s="6"/>
      <c r="AD1892" s="6" t="s">
        <v>3</v>
      </c>
      <c r="AE1892" s="5"/>
      <c r="AF1892" s="6" t="s">
        <v>1737</v>
      </c>
      <c r="AG1892" s="6"/>
      <c r="AH1892" s="5"/>
      <c r="AI1892" s="6" t="s">
        <v>1737</v>
      </c>
      <c r="AJ1892" s="6"/>
      <c r="AK1892" s="5"/>
      <c r="AL1892" s="5"/>
      <c r="AM1892" s="5"/>
      <c r="AN1892" s="5"/>
      <c r="AO1892" s="5"/>
      <c r="AP1892" s="5"/>
      <c r="AQ1892" s="5"/>
    </row>
    <row r="1893" spans="1:43" x14ac:dyDescent="0.25">
      <c r="A1893" s="161" t="str">
        <f t="shared" ref="A1893:A1924" si="34">CONCATENATE(E1893,IF(ISBLANK(C1893),"",CONCATENATE("_",C1893)))</f>
        <v>WW2_INFANTRY_AFRI</v>
      </c>
      <c r="B1893" s="9" t="s">
        <v>111</v>
      </c>
      <c r="C1893" s="4" t="s">
        <v>694</v>
      </c>
      <c r="E1893" s="5" t="s">
        <v>1391</v>
      </c>
      <c r="F1893" s="5" t="s">
        <v>1391</v>
      </c>
      <c r="H1893" s="4" t="s">
        <v>324</v>
      </c>
      <c r="I1893" s="4" t="s">
        <v>1025</v>
      </c>
    </row>
    <row r="1894" spans="1:43" x14ac:dyDescent="0.25">
      <c r="A1894" s="161" t="str">
        <f t="shared" si="34"/>
        <v>WW2_INFANTRY_AMER</v>
      </c>
      <c r="B1894" s="9" t="s">
        <v>111</v>
      </c>
      <c r="C1894" s="4" t="s">
        <v>697</v>
      </c>
      <c r="E1894" s="5" t="s">
        <v>1391</v>
      </c>
      <c r="F1894" s="5" t="s">
        <v>1391</v>
      </c>
      <c r="H1894" s="4" t="s">
        <v>463</v>
      </c>
      <c r="I1894" s="4" t="s">
        <v>835</v>
      </c>
    </row>
    <row r="1895" spans="1:43" x14ac:dyDescent="0.25">
      <c r="A1895" s="161" t="str">
        <f t="shared" si="34"/>
        <v>WW2_INFANTRY_ASIA</v>
      </c>
      <c r="B1895" s="9" t="s">
        <v>111</v>
      </c>
      <c r="C1895" s="4" t="s">
        <v>693</v>
      </c>
      <c r="E1895" s="5" t="s">
        <v>1391</v>
      </c>
      <c r="F1895" s="5" t="s">
        <v>1391</v>
      </c>
      <c r="H1895" s="4" t="s">
        <v>449</v>
      </c>
      <c r="I1895" s="4" t="s">
        <v>102</v>
      </c>
    </row>
    <row r="1896" spans="1:43" x14ac:dyDescent="0.25">
      <c r="A1896" s="161" t="str">
        <f t="shared" si="34"/>
        <v>WW2_INFANTRY_CHINA</v>
      </c>
      <c r="B1896" s="9" t="s">
        <v>111</v>
      </c>
      <c r="C1896" s="4" t="s">
        <v>710</v>
      </c>
      <c r="E1896" s="5" t="s">
        <v>1391</v>
      </c>
      <c r="F1896" s="5" t="s">
        <v>1391</v>
      </c>
      <c r="G1896" s="14" t="s">
        <v>132</v>
      </c>
      <c r="H1896" s="4" t="s">
        <v>636</v>
      </c>
      <c r="I1896" s="4" t="s">
        <v>102</v>
      </c>
    </row>
    <row r="1897" spans="1:43" x14ac:dyDescent="0.25">
      <c r="A1897" s="161" t="str">
        <f t="shared" si="34"/>
        <v>WW2_INFANTRY_JAPAN</v>
      </c>
      <c r="B1897" s="9" t="s">
        <v>111</v>
      </c>
      <c r="C1897" s="4" t="s">
        <v>722</v>
      </c>
      <c r="E1897" s="5" t="s">
        <v>1391</v>
      </c>
      <c r="F1897" s="5" t="s">
        <v>1391</v>
      </c>
      <c r="H1897" s="4" t="s">
        <v>952</v>
      </c>
      <c r="I1897" s="4" t="s">
        <v>102</v>
      </c>
      <c r="Q1897" s="11">
        <v>1</v>
      </c>
      <c r="T1897" s="11">
        <v>1</v>
      </c>
      <c r="Z1897" s="11">
        <v>0</v>
      </c>
      <c r="AF1897" s="11">
        <v>1</v>
      </c>
      <c r="AI1897" s="11">
        <v>1</v>
      </c>
    </row>
    <row r="1898" spans="1:43" x14ac:dyDescent="0.25">
      <c r="A1898" s="161" t="str">
        <f t="shared" si="34"/>
        <v>WW2_INFANTRY_JAPAN</v>
      </c>
      <c r="B1898" s="9" t="s">
        <v>111</v>
      </c>
      <c r="C1898" s="4" t="s">
        <v>722</v>
      </c>
      <c r="E1898" s="5" t="s">
        <v>1391</v>
      </c>
      <c r="F1898" s="5" t="s">
        <v>1391</v>
      </c>
      <c r="G1898" s="4" t="s">
        <v>2047</v>
      </c>
      <c r="H1898" s="4" t="s">
        <v>481</v>
      </c>
      <c r="I1898" s="4" t="s">
        <v>102</v>
      </c>
      <c r="Q1898" s="11">
        <v>13</v>
      </c>
      <c r="T1898" s="11">
        <v>8</v>
      </c>
      <c r="Z1898" s="11">
        <v>1</v>
      </c>
      <c r="AF1898" s="11">
        <v>2</v>
      </c>
      <c r="AI1898" s="11">
        <v>6</v>
      </c>
    </row>
    <row r="1899" spans="1:43" x14ac:dyDescent="0.25">
      <c r="A1899" s="161" t="str">
        <f>CONCATENATE(E1899,IF(ISBLANK(C1899),"",CONCATENATE("_",C1899)))</f>
        <v>WW2_INFANTRY_JAPAN</v>
      </c>
      <c r="B1899" s="9" t="s">
        <v>111</v>
      </c>
      <c r="C1899" s="4" t="s">
        <v>722</v>
      </c>
      <c r="E1899" s="5" t="s">
        <v>1391</v>
      </c>
      <c r="F1899" s="5" t="s">
        <v>1391</v>
      </c>
      <c r="H1899" s="4" t="s">
        <v>952</v>
      </c>
      <c r="I1899" s="4" t="s">
        <v>102</v>
      </c>
      <c r="Q1899" s="11">
        <v>0</v>
      </c>
      <c r="T1899" s="11">
        <v>1</v>
      </c>
      <c r="Z1899" s="11">
        <v>0</v>
      </c>
      <c r="AF1899" s="11">
        <v>0</v>
      </c>
      <c r="AI1899" s="11">
        <v>0</v>
      </c>
    </row>
    <row r="1900" spans="1:43" x14ac:dyDescent="0.25">
      <c r="A1900" s="161" t="str">
        <f>CONCATENATE(E1900,IF(ISBLANK(C1900),"",CONCATENATE("_",C1900)))</f>
        <v>WW2_INFANTRY_JAPAN</v>
      </c>
      <c r="B1900" s="9" t="s">
        <v>111</v>
      </c>
      <c r="C1900" s="4" t="s">
        <v>722</v>
      </c>
      <c r="E1900" s="5" t="s">
        <v>1391</v>
      </c>
      <c r="F1900" s="5" t="s">
        <v>1391</v>
      </c>
      <c r="G1900" s="4" t="s">
        <v>2047</v>
      </c>
      <c r="H1900" s="4" t="s">
        <v>481</v>
      </c>
      <c r="I1900" s="4" t="s">
        <v>102</v>
      </c>
      <c r="Q1900" s="11">
        <v>0</v>
      </c>
      <c r="T1900" s="11">
        <v>8</v>
      </c>
      <c r="Z1900" s="11">
        <v>0</v>
      </c>
      <c r="AF1900" s="11">
        <v>0</v>
      </c>
      <c r="AI1900" s="11">
        <v>0</v>
      </c>
    </row>
    <row r="1901" spans="1:43" x14ac:dyDescent="0.25">
      <c r="A1901" s="161" t="str">
        <f t="shared" si="34"/>
        <v>WW2_INFANTRY_CENTAS</v>
      </c>
      <c r="B1901" s="9" t="s">
        <v>111</v>
      </c>
      <c r="C1901" s="4" t="s">
        <v>918</v>
      </c>
      <c r="E1901" s="5" t="s">
        <v>1391</v>
      </c>
      <c r="F1901" s="5" t="s">
        <v>1391</v>
      </c>
      <c r="G1901" s="14" t="s">
        <v>132</v>
      </c>
      <c r="H1901" s="4" t="s">
        <v>908</v>
      </c>
      <c r="I1901" s="4" t="s">
        <v>102</v>
      </c>
      <c r="R1901" s="11">
        <v>0.15</v>
      </c>
      <c r="U1901" s="11">
        <v>9.5000000000000001E-2</v>
      </c>
      <c r="X1901" s="11" t="s">
        <v>3</v>
      </c>
    </row>
    <row r="1902" spans="1:43" x14ac:dyDescent="0.25">
      <c r="A1902" s="161" t="str">
        <f t="shared" si="34"/>
        <v>WW2_INFANTRY_EASTEU</v>
      </c>
      <c r="B1902" s="9" t="s">
        <v>111</v>
      </c>
      <c r="C1902" s="4" t="s">
        <v>698</v>
      </c>
      <c r="E1902" s="5" t="s">
        <v>1391</v>
      </c>
      <c r="F1902" s="5" t="s">
        <v>1391</v>
      </c>
      <c r="H1902" s="4" t="s">
        <v>571</v>
      </c>
      <c r="I1902" s="4" t="s">
        <v>102</v>
      </c>
    </row>
    <row r="1903" spans="1:43" x14ac:dyDescent="0.25">
      <c r="A1903" s="161" t="str">
        <f t="shared" si="34"/>
        <v>WW2_INFANTRY_RUSSIA</v>
      </c>
      <c r="B1903" s="9" t="s">
        <v>111</v>
      </c>
      <c r="C1903" s="4" t="s">
        <v>735</v>
      </c>
      <c r="E1903" s="5" t="s">
        <v>1391</v>
      </c>
      <c r="F1903" s="5" t="s">
        <v>1391</v>
      </c>
      <c r="G1903" s="14" t="s">
        <v>132</v>
      </c>
      <c r="H1903" s="4" t="s">
        <v>614</v>
      </c>
      <c r="I1903" s="4" t="s">
        <v>102</v>
      </c>
    </row>
    <row r="1904" spans="1:43" x14ac:dyDescent="0.25">
      <c r="A1904" s="161" t="str">
        <f t="shared" si="34"/>
        <v>WW2_INFANTRY_AMERICA</v>
      </c>
      <c r="B1904" s="9" t="s">
        <v>111</v>
      </c>
      <c r="C1904" s="4" t="s">
        <v>699</v>
      </c>
      <c r="E1904" s="5" t="s">
        <v>1391</v>
      </c>
      <c r="F1904" s="5" t="s">
        <v>1391</v>
      </c>
      <c r="G1904" s="14"/>
      <c r="H1904" s="4" t="s">
        <v>140</v>
      </c>
      <c r="I1904" s="4" t="s">
        <v>102</v>
      </c>
    </row>
    <row r="1905" spans="1:35" x14ac:dyDescent="0.25">
      <c r="A1905" s="161" t="str">
        <f t="shared" si="34"/>
        <v>WW2_INFANTRY_AUSTRALIA</v>
      </c>
      <c r="B1905" s="9" t="s">
        <v>111</v>
      </c>
      <c r="C1905" s="4" t="s">
        <v>1302</v>
      </c>
      <c r="E1905" s="5" t="s">
        <v>1391</v>
      </c>
      <c r="F1905" s="5" t="s">
        <v>1391</v>
      </c>
      <c r="G1905" s="14"/>
      <c r="H1905" s="4" t="s">
        <v>2216</v>
      </c>
      <c r="I1905" s="4" t="s">
        <v>966</v>
      </c>
      <c r="Q1905" s="11">
        <v>3</v>
      </c>
      <c r="T1905" s="11">
        <v>4</v>
      </c>
      <c r="W1905" s="11" t="s">
        <v>3</v>
      </c>
      <c r="Z1905" s="11">
        <v>0</v>
      </c>
      <c r="AF1905" s="11">
        <v>1</v>
      </c>
      <c r="AI1905" s="11">
        <v>1</v>
      </c>
    </row>
    <row r="1906" spans="1:35" x14ac:dyDescent="0.25">
      <c r="A1906" s="161" t="str">
        <f t="shared" si="34"/>
        <v>WW2_INFANTRY_AUSTRALIA</v>
      </c>
      <c r="B1906" s="9" t="s">
        <v>111</v>
      </c>
      <c r="C1906" s="4" t="s">
        <v>1302</v>
      </c>
      <c r="E1906" s="5" t="s">
        <v>1391</v>
      </c>
      <c r="F1906" s="5" t="s">
        <v>1391</v>
      </c>
      <c r="G1906" s="14" t="s">
        <v>2047</v>
      </c>
      <c r="H1906" s="4" t="s">
        <v>2217</v>
      </c>
      <c r="I1906" s="4" t="s">
        <v>966</v>
      </c>
      <c r="Q1906" s="11">
        <v>4</v>
      </c>
      <c r="T1906" s="11">
        <v>5</v>
      </c>
      <c r="W1906" s="11" t="s">
        <v>3</v>
      </c>
      <c r="Z1906" s="11">
        <v>1</v>
      </c>
      <c r="AF1906" s="11">
        <v>1</v>
      </c>
      <c r="AI1906" s="11">
        <v>3</v>
      </c>
    </row>
    <row r="1907" spans="1:35" x14ac:dyDescent="0.25">
      <c r="A1907" s="161" t="str">
        <f t="shared" si="34"/>
        <v>WW2_INFANTRY_AUSTRALIA</v>
      </c>
      <c r="B1907" s="9" t="s">
        <v>111</v>
      </c>
      <c r="C1907" s="4" t="s">
        <v>1302</v>
      </c>
      <c r="E1907" s="5" t="s">
        <v>1391</v>
      </c>
      <c r="F1907" s="5" t="s">
        <v>1391</v>
      </c>
      <c r="G1907" s="14"/>
      <c r="H1907" s="4" t="s">
        <v>2216</v>
      </c>
      <c r="I1907" s="4" t="s">
        <v>966</v>
      </c>
      <c r="Q1907" s="11">
        <v>2</v>
      </c>
      <c r="T1907" s="11">
        <v>3</v>
      </c>
      <c r="W1907" s="11" t="s">
        <v>3</v>
      </c>
      <c r="Z1907" s="11">
        <v>0</v>
      </c>
      <c r="AF1907" s="11">
        <v>1</v>
      </c>
      <c r="AI1907" s="11">
        <v>1</v>
      </c>
    </row>
    <row r="1908" spans="1:35" x14ac:dyDescent="0.25">
      <c r="A1908" s="161" t="str">
        <f t="shared" si="34"/>
        <v>WW2_INFANTRY_AUSTRALIA</v>
      </c>
      <c r="B1908" s="9" t="s">
        <v>111</v>
      </c>
      <c r="C1908" s="4" t="s">
        <v>1302</v>
      </c>
      <c r="E1908" s="5" t="s">
        <v>1391</v>
      </c>
      <c r="F1908" s="5" t="s">
        <v>1391</v>
      </c>
      <c r="G1908" s="14" t="s">
        <v>2047</v>
      </c>
      <c r="H1908" s="4" t="s">
        <v>2217</v>
      </c>
      <c r="I1908" s="4" t="s">
        <v>966</v>
      </c>
      <c r="Q1908" s="11">
        <v>5</v>
      </c>
      <c r="T1908" s="11">
        <v>6</v>
      </c>
      <c r="W1908" s="11" t="s">
        <v>3</v>
      </c>
      <c r="Z1908" s="11">
        <v>0</v>
      </c>
      <c r="AF1908" s="11">
        <v>0</v>
      </c>
      <c r="AI1908" s="11">
        <v>2</v>
      </c>
    </row>
    <row r="1909" spans="1:35" x14ac:dyDescent="0.25">
      <c r="A1909" s="161" t="str">
        <f t="shared" si="34"/>
        <v>WW2_INFANTRY_AUSTRIA</v>
      </c>
      <c r="B1909" s="9" t="s">
        <v>111</v>
      </c>
      <c r="C1909" s="4" t="s">
        <v>701</v>
      </c>
      <c r="E1909" s="5" t="s">
        <v>1391</v>
      </c>
      <c r="F1909" s="5" t="s">
        <v>1391</v>
      </c>
      <c r="G1909" s="14"/>
      <c r="H1909" s="4" t="s">
        <v>180</v>
      </c>
      <c r="I1909" s="4" t="s">
        <v>102</v>
      </c>
    </row>
    <row r="1910" spans="1:35" x14ac:dyDescent="0.25">
      <c r="A1910" s="161" t="str">
        <f t="shared" si="34"/>
        <v>WW2_INFANTRY_CELTS</v>
      </c>
      <c r="B1910" s="9" t="s">
        <v>111</v>
      </c>
      <c r="C1910" s="4" t="s">
        <v>709</v>
      </c>
      <c r="D1910" s="4" t="s">
        <v>713</v>
      </c>
      <c r="E1910" s="5" t="s">
        <v>1391</v>
      </c>
      <c r="F1910" s="5" t="s">
        <v>1391</v>
      </c>
      <c r="G1910" s="14"/>
    </row>
    <row r="1911" spans="1:35" x14ac:dyDescent="0.25">
      <c r="A1911" s="161" t="str">
        <f t="shared" si="34"/>
        <v>WW2_INFANTRY_ENGLAND</v>
      </c>
      <c r="B1911" s="9" t="s">
        <v>111</v>
      </c>
      <c r="C1911" s="4" t="s">
        <v>713</v>
      </c>
      <c r="E1911" s="5" t="s">
        <v>1391</v>
      </c>
      <c r="F1911" s="5" t="s">
        <v>1391</v>
      </c>
      <c r="G1911" s="14" t="s">
        <v>132</v>
      </c>
      <c r="H1911" s="4" t="s">
        <v>300</v>
      </c>
      <c r="I1911" s="4" t="s">
        <v>102</v>
      </c>
    </row>
    <row r="1912" spans="1:35" x14ac:dyDescent="0.25">
      <c r="A1912" s="161" t="str">
        <f t="shared" si="34"/>
        <v>WW2_INFANTRY_FRANCE</v>
      </c>
      <c r="B1912" s="9" t="s">
        <v>111</v>
      </c>
      <c r="C1912" s="4" t="s">
        <v>715</v>
      </c>
      <c r="E1912" s="5" t="s">
        <v>1391</v>
      </c>
      <c r="F1912" s="5" t="s">
        <v>1391</v>
      </c>
      <c r="G1912" s="14" t="s">
        <v>132</v>
      </c>
      <c r="H1912" s="4" t="s">
        <v>346</v>
      </c>
      <c r="I1912" s="4" t="s">
        <v>102</v>
      </c>
    </row>
    <row r="1913" spans="1:35" x14ac:dyDescent="0.25">
      <c r="A1913" s="161" t="str">
        <f t="shared" si="34"/>
        <v>WW2_INFANTRY_GERMANY</v>
      </c>
      <c r="B1913" s="9" t="s">
        <v>111</v>
      </c>
      <c r="C1913" s="4" t="s">
        <v>717</v>
      </c>
      <c r="E1913" s="5" t="s">
        <v>1391</v>
      </c>
      <c r="F1913" s="5" t="s">
        <v>1391</v>
      </c>
      <c r="G1913" s="14" t="s">
        <v>132</v>
      </c>
      <c r="H1913" s="4" t="s">
        <v>377</v>
      </c>
      <c r="I1913" s="4" t="s">
        <v>102</v>
      </c>
    </row>
    <row r="1914" spans="1:35" x14ac:dyDescent="0.25">
      <c r="A1914" s="161" t="str">
        <f t="shared" si="34"/>
        <v>WW2_INFANTRY_NETHERLANDS</v>
      </c>
      <c r="B1914" s="9" t="s">
        <v>111</v>
      </c>
      <c r="C1914" s="4" t="s">
        <v>730</v>
      </c>
      <c r="E1914" s="5" t="s">
        <v>1391</v>
      </c>
      <c r="F1914" s="5" t="s">
        <v>1391</v>
      </c>
      <c r="G1914" s="14" t="s">
        <v>132</v>
      </c>
      <c r="H1914" s="4" t="s">
        <v>543</v>
      </c>
      <c r="I1914" s="4" t="s">
        <v>102</v>
      </c>
    </row>
    <row r="1915" spans="1:35" x14ac:dyDescent="0.25">
      <c r="A1915" s="161" t="str">
        <f t="shared" si="34"/>
        <v>WW2_INFANTRY_GREECE</v>
      </c>
      <c r="B1915" s="9" t="s">
        <v>111</v>
      </c>
      <c r="C1915" s="4" t="s">
        <v>718</v>
      </c>
      <c r="E1915" s="5" t="s">
        <v>1391</v>
      </c>
      <c r="F1915" s="5" t="s">
        <v>1391</v>
      </c>
      <c r="G1915" s="14" t="s">
        <v>132</v>
      </c>
      <c r="H1915" s="4" t="s">
        <v>404</v>
      </c>
      <c r="I1915" s="4" t="s">
        <v>102</v>
      </c>
    </row>
    <row r="1916" spans="1:35" x14ac:dyDescent="0.25">
      <c r="A1916" s="161" t="str">
        <f t="shared" si="34"/>
        <v>WW2_INFANTRY_ROME</v>
      </c>
      <c r="B1916" s="9" t="s">
        <v>111</v>
      </c>
      <c r="C1916" s="4" t="s">
        <v>734</v>
      </c>
      <c r="E1916" s="5" t="s">
        <v>1391</v>
      </c>
      <c r="F1916" s="5" t="s">
        <v>1391</v>
      </c>
      <c r="G1916" s="14" t="s">
        <v>132</v>
      </c>
      <c r="H1916" s="4" t="s">
        <v>590</v>
      </c>
      <c r="I1916" s="4" t="s">
        <v>102</v>
      </c>
    </row>
    <row r="1917" spans="1:35" x14ac:dyDescent="0.25">
      <c r="A1917" s="161" t="str">
        <f t="shared" si="34"/>
        <v>WW2_INFANTRY_SPAIN</v>
      </c>
      <c r="B1917" s="9" t="s">
        <v>111</v>
      </c>
      <c r="C1917" s="4" t="s">
        <v>738</v>
      </c>
      <c r="E1917" s="5" t="s">
        <v>1391</v>
      </c>
      <c r="F1917" s="5" t="s">
        <v>1391</v>
      </c>
      <c r="G1917" s="14" t="s">
        <v>132</v>
      </c>
      <c r="H1917" s="4" t="s">
        <v>654</v>
      </c>
      <c r="I1917" s="4" t="s">
        <v>102</v>
      </c>
    </row>
    <row r="1918" spans="1:35" x14ac:dyDescent="0.25">
      <c r="A1918" s="161" t="str">
        <f t="shared" si="34"/>
        <v>WW2_INFANTRY_SWEDEN</v>
      </c>
      <c r="B1918" s="9" t="s">
        <v>111</v>
      </c>
      <c r="C1918" s="4" t="s">
        <v>739</v>
      </c>
      <c r="E1918" s="5" t="s">
        <v>1391</v>
      </c>
      <c r="F1918" s="5" t="s">
        <v>1391</v>
      </c>
      <c r="G1918" s="14" t="s">
        <v>132</v>
      </c>
      <c r="H1918" s="4" t="s">
        <v>672</v>
      </c>
      <c r="I1918" s="4" t="s">
        <v>102</v>
      </c>
    </row>
    <row r="1919" spans="1:35" x14ac:dyDescent="0.25">
      <c r="A1919" s="161" t="str">
        <f t="shared" si="34"/>
        <v>WW2_INFANTRY_SAHUL</v>
      </c>
      <c r="B1919" s="9" t="s">
        <v>111</v>
      </c>
      <c r="C1919" s="4" t="s">
        <v>1788</v>
      </c>
      <c r="E1919" s="5" t="s">
        <v>1391</v>
      </c>
      <c r="F1919" s="5" t="s">
        <v>1391</v>
      </c>
      <c r="G1919" s="14"/>
      <c r="H1919" s="4" t="s">
        <v>2215</v>
      </c>
      <c r="I1919" s="4" t="s">
        <v>966</v>
      </c>
      <c r="Q1919" s="11">
        <v>3</v>
      </c>
      <c r="T1919" s="11">
        <v>4</v>
      </c>
      <c r="W1919" s="11" t="s">
        <v>3</v>
      </c>
      <c r="Z1919" s="11">
        <v>0</v>
      </c>
      <c r="AF1919" s="11">
        <v>1</v>
      </c>
      <c r="AI1919" s="11">
        <v>1</v>
      </c>
    </row>
    <row r="1920" spans="1:35" x14ac:dyDescent="0.25">
      <c r="A1920" s="161" t="str">
        <f t="shared" si="34"/>
        <v>WW2_INFANTRY_SAHUL</v>
      </c>
      <c r="B1920" s="9" t="s">
        <v>111</v>
      </c>
      <c r="C1920" s="4" t="s">
        <v>1788</v>
      </c>
      <c r="E1920" s="5" t="s">
        <v>1391</v>
      </c>
      <c r="F1920" s="5" t="s">
        <v>1391</v>
      </c>
      <c r="G1920" s="14" t="s">
        <v>2047</v>
      </c>
      <c r="H1920" s="4" t="s">
        <v>2218</v>
      </c>
      <c r="I1920" s="4" t="s">
        <v>966</v>
      </c>
      <c r="Q1920" s="11">
        <v>4</v>
      </c>
      <c r="T1920" s="11">
        <v>5</v>
      </c>
      <c r="W1920" s="11" t="s">
        <v>3</v>
      </c>
      <c r="Z1920" s="11">
        <v>1</v>
      </c>
      <c r="AF1920" s="11">
        <v>1</v>
      </c>
      <c r="AI1920" s="11">
        <v>3</v>
      </c>
    </row>
    <row r="1921" spans="1:43" x14ac:dyDescent="0.25">
      <c r="A1921" s="161" t="str">
        <f t="shared" si="34"/>
        <v>WW2_INFANTRY_SAHUL</v>
      </c>
      <c r="B1921" s="9" t="s">
        <v>111</v>
      </c>
      <c r="C1921" s="4" t="s">
        <v>1788</v>
      </c>
      <c r="E1921" s="5" t="s">
        <v>1391</v>
      </c>
      <c r="F1921" s="5" t="s">
        <v>1391</v>
      </c>
      <c r="G1921" s="14"/>
      <c r="H1921" s="4" t="s">
        <v>2215</v>
      </c>
      <c r="I1921" s="4" t="s">
        <v>966</v>
      </c>
      <c r="Q1921" s="11">
        <v>2</v>
      </c>
      <c r="T1921" s="11">
        <v>3</v>
      </c>
      <c r="W1921" s="11" t="s">
        <v>3</v>
      </c>
      <c r="Z1921" s="11">
        <v>0</v>
      </c>
      <c r="AF1921" s="11">
        <v>1</v>
      </c>
      <c r="AI1921" s="11">
        <v>1</v>
      </c>
    </row>
    <row r="1922" spans="1:43" x14ac:dyDescent="0.25">
      <c r="A1922" s="161" t="str">
        <f t="shared" si="34"/>
        <v>WW2_INFANTRY_SAHUL</v>
      </c>
      <c r="B1922" s="9" t="s">
        <v>111</v>
      </c>
      <c r="C1922" s="4" t="s">
        <v>1788</v>
      </c>
      <c r="E1922" s="5" t="s">
        <v>1391</v>
      </c>
      <c r="F1922" s="5" t="s">
        <v>1391</v>
      </c>
      <c r="G1922" s="14" t="s">
        <v>2047</v>
      </c>
      <c r="H1922" s="4" t="s">
        <v>2218</v>
      </c>
      <c r="I1922" s="4" t="s">
        <v>966</v>
      </c>
      <c r="Q1922" s="11">
        <v>5</v>
      </c>
      <c r="T1922" s="11">
        <v>6</v>
      </c>
      <c r="W1922" s="11" t="s">
        <v>3</v>
      </c>
      <c r="Z1922" s="11">
        <v>0</v>
      </c>
      <c r="AF1922" s="11">
        <v>0</v>
      </c>
      <c r="AI1922" s="11">
        <v>2</v>
      </c>
    </row>
    <row r="1923" spans="1:43" x14ac:dyDescent="0.25">
      <c r="A1923" s="161" t="str">
        <f t="shared" si="34"/>
        <v>WW2_INFANTRY_SEASIA</v>
      </c>
      <c r="B1923" s="9" t="s">
        <v>111</v>
      </c>
      <c r="C1923" s="4" t="s">
        <v>696</v>
      </c>
      <c r="D1923" s="4" t="s">
        <v>693</v>
      </c>
      <c r="E1923" s="5" t="s">
        <v>1391</v>
      </c>
      <c r="F1923" s="5" t="s">
        <v>1391</v>
      </c>
    </row>
    <row r="1924" spans="1:43" x14ac:dyDescent="0.25">
      <c r="A1924" s="161" t="str">
        <f t="shared" si="34"/>
        <v>WW2_INFANTRY_SIAM</v>
      </c>
      <c r="B1924" s="9" t="s">
        <v>111</v>
      </c>
      <c r="C1924" s="4" t="s">
        <v>736</v>
      </c>
      <c r="E1924" s="5" t="s">
        <v>1391</v>
      </c>
      <c r="F1924" s="5" t="s">
        <v>1391</v>
      </c>
      <c r="G1924" s="14" t="s">
        <v>132</v>
      </c>
      <c r="H1924" s="4" t="s">
        <v>249</v>
      </c>
      <c r="I1924" s="4" t="s">
        <v>102</v>
      </c>
    </row>
    <row r="1925" spans="1:43" x14ac:dyDescent="0.25">
      <c r="A1925" s="161" t="str">
        <f t="shared" ref="A1925:A1933" si="35">CONCATENATE(E1925,IF(ISBLANK(C1925),"",CONCATENATE("_",C1925)))</f>
        <v>XCOM_SQUAD</v>
      </c>
      <c r="B1925" s="9" t="s">
        <v>782</v>
      </c>
      <c r="C1925" s="5"/>
      <c r="D1925" s="5"/>
      <c r="E1925" s="5" t="s">
        <v>782</v>
      </c>
      <c r="F1925" s="5" t="s">
        <v>782</v>
      </c>
      <c r="G1925" s="5"/>
      <c r="H1925" s="5" t="s">
        <v>1543</v>
      </c>
      <c r="I1925" s="5" t="s">
        <v>128</v>
      </c>
      <c r="J1925" s="6"/>
      <c r="K1925" s="6"/>
      <c r="L1925" s="13" t="s">
        <v>1708</v>
      </c>
      <c r="M1925" s="8"/>
      <c r="N1925" s="5"/>
      <c r="O1925" s="5"/>
      <c r="P1925" s="5"/>
      <c r="Q1925" s="7">
        <v>6</v>
      </c>
      <c r="R1925" s="6" t="s">
        <v>1737</v>
      </c>
      <c r="S1925" s="13" t="s">
        <v>1614</v>
      </c>
      <c r="T1925" s="6">
        <v>10</v>
      </c>
      <c r="U1925" s="7" t="s">
        <v>1695</v>
      </c>
      <c r="V1925" s="5"/>
      <c r="W1925" s="7" t="s">
        <v>3</v>
      </c>
      <c r="X1925" s="6" t="s">
        <v>3</v>
      </c>
      <c r="Y1925" s="5"/>
      <c r="Z1925" s="7">
        <v>1</v>
      </c>
      <c r="AA1925" s="6"/>
      <c r="AB1925" s="5"/>
      <c r="AC1925" s="6"/>
      <c r="AD1925" s="6" t="s">
        <v>3</v>
      </c>
      <c r="AE1925" s="5"/>
      <c r="AF1925" s="6">
        <v>2</v>
      </c>
      <c r="AG1925" s="6"/>
      <c r="AH1925" s="5"/>
      <c r="AI1925" s="6">
        <v>5</v>
      </c>
      <c r="AJ1925" s="6"/>
      <c r="AK1925" s="5"/>
      <c r="AL1925" s="5"/>
      <c r="AM1925" s="5"/>
      <c r="AN1925" s="5"/>
      <c r="AO1925" s="5"/>
      <c r="AP1925" s="5"/>
      <c r="AQ1925" s="5"/>
    </row>
    <row r="1926" spans="1:43" x14ac:dyDescent="0.25">
      <c r="A1926" s="161" t="str">
        <f t="shared" si="35"/>
        <v>XP_PRIVATEER</v>
      </c>
      <c r="B1926" s="9" t="s">
        <v>1364</v>
      </c>
      <c r="C1926" s="5"/>
      <c r="D1926" s="5"/>
      <c r="E1926" s="5" t="s">
        <v>783</v>
      </c>
      <c r="F1926" s="5" t="s">
        <v>783</v>
      </c>
      <c r="G1926" s="5"/>
      <c r="H1926" s="5" t="s">
        <v>1161</v>
      </c>
      <c r="I1926" s="5" t="s">
        <v>128</v>
      </c>
      <c r="J1926" s="6"/>
      <c r="K1926" s="7"/>
      <c r="L1926" s="13" t="s">
        <v>1712</v>
      </c>
      <c r="M1926" s="8"/>
      <c r="N1926" s="13" t="s">
        <v>1727</v>
      </c>
      <c r="O1926" s="13"/>
      <c r="P1926" s="13"/>
      <c r="Q1926" s="7">
        <v>1</v>
      </c>
      <c r="R1926" s="6" t="s">
        <v>1737</v>
      </c>
      <c r="S1926" s="5"/>
      <c r="T1926" s="6"/>
      <c r="U1926" s="7" t="s">
        <v>1737</v>
      </c>
      <c r="V1926" s="5"/>
      <c r="W1926" s="6"/>
      <c r="X1926" s="6"/>
      <c r="Y1926" s="5"/>
      <c r="Z1926" s="6"/>
      <c r="AA1926" s="6"/>
      <c r="AB1926" s="5"/>
      <c r="AC1926" s="6"/>
      <c r="AD1926" s="6"/>
      <c r="AE1926" s="5"/>
      <c r="AF1926" s="6"/>
      <c r="AG1926" s="6"/>
      <c r="AH1926" s="5"/>
      <c r="AI1926" s="6"/>
      <c r="AJ1926" s="6"/>
      <c r="AK1926" s="5"/>
      <c r="AL1926" s="5"/>
      <c r="AM1926" s="5"/>
      <c r="AN1926" s="5"/>
      <c r="AO1926" s="5"/>
      <c r="AP1926" s="5"/>
      <c r="AQ1926" s="5"/>
    </row>
    <row r="1927" spans="1:43" x14ac:dyDescent="0.25">
      <c r="A1927" s="161" t="str">
        <f t="shared" si="35"/>
        <v>AUTOCHTHON</v>
      </c>
      <c r="B1927" s="9" t="s">
        <v>2520</v>
      </c>
      <c r="C1927" s="5"/>
      <c r="D1927" s="5"/>
      <c r="E1927" s="5" t="s">
        <v>2520</v>
      </c>
      <c r="F1927" s="5" t="s">
        <v>2520</v>
      </c>
      <c r="G1927" s="5"/>
      <c r="H1927" s="5" t="s">
        <v>2087</v>
      </c>
      <c r="I1927" s="5" t="s">
        <v>1025</v>
      </c>
      <c r="J1927" s="6"/>
      <c r="K1927" s="7">
        <v>1</v>
      </c>
      <c r="L1927" s="13"/>
      <c r="M1927" s="8"/>
      <c r="N1927" s="13"/>
      <c r="O1927" s="13"/>
      <c r="P1927" s="13"/>
      <c r="Q1927" s="7">
        <v>6</v>
      </c>
      <c r="R1927" s="6">
        <v>0.17499999999999999</v>
      </c>
      <c r="S1927" s="5" t="s">
        <v>20</v>
      </c>
      <c r="T1927" s="6">
        <v>10</v>
      </c>
      <c r="U1927" s="7"/>
      <c r="V1927" s="5"/>
      <c r="W1927" s="6"/>
      <c r="X1927" s="6"/>
      <c r="Y1927" s="5"/>
      <c r="Z1927" s="6">
        <v>1</v>
      </c>
      <c r="AA1927" s="6"/>
      <c r="AB1927" s="5"/>
      <c r="AC1927" s="6"/>
      <c r="AD1927" s="6"/>
      <c r="AE1927" s="5"/>
      <c r="AF1927" s="6">
        <v>2</v>
      </c>
      <c r="AG1927" s="6"/>
      <c r="AH1927" s="5"/>
      <c r="AI1927" s="6">
        <v>5</v>
      </c>
      <c r="AJ1927" s="6"/>
      <c r="AK1927" s="5"/>
      <c r="AL1927" s="5"/>
      <c r="AM1927" s="5"/>
      <c r="AN1927" s="5"/>
      <c r="AO1927" s="5"/>
      <c r="AP1927" s="5"/>
      <c r="AQ1927" s="5"/>
    </row>
    <row r="1928" spans="1:43" x14ac:dyDescent="0.25">
      <c r="A1928" s="161" t="str">
        <f t="shared" si="35"/>
        <v>AUTOCHTHON_EURO</v>
      </c>
      <c r="B1928" s="9" t="s">
        <v>2520</v>
      </c>
      <c r="C1928" s="5" t="s">
        <v>689</v>
      </c>
      <c r="D1928" s="5" t="s">
        <v>962</v>
      </c>
      <c r="E1928" s="5" t="s">
        <v>2520</v>
      </c>
      <c r="F1928" s="5" t="s">
        <v>2520</v>
      </c>
      <c r="G1928" s="5"/>
      <c r="H1928" s="5"/>
      <c r="I1928" s="5"/>
      <c r="J1928" s="6"/>
      <c r="K1928" s="7"/>
      <c r="L1928" s="13"/>
      <c r="M1928" s="8"/>
      <c r="N1928" s="13"/>
      <c r="O1928" s="13"/>
      <c r="P1928" s="13"/>
      <c r="Q1928" s="7"/>
      <c r="R1928" s="6"/>
      <c r="S1928" s="5"/>
      <c r="T1928" s="6"/>
      <c r="U1928" s="7"/>
      <c r="V1928" s="5"/>
      <c r="W1928" s="6"/>
      <c r="X1928" s="6"/>
      <c r="Y1928" s="5"/>
      <c r="Z1928" s="6"/>
      <c r="AA1928" s="6"/>
      <c r="AB1928" s="5"/>
      <c r="AC1928" s="6"/>
      <c r="AD1928" s="6"/>
      <c r="AE1928" s="5"/>
      <c r="AF1928" s="6"/>
      <c r="AG1928" s="6"/>
      <c r="AH1928" s="5"/>
      <c r="AI1928" s="6"/>
      <c r="AJ1928" s="6"/>
      <c r="AK1928" s="5"/>
      <c r="AL1928" s="5"/>
      <c r="AM1928" s="5"/>
      <c r="AN1928" s="5"/>
      <c r="AO1928" s="5"/>
      <c r="AP1928" s="5"/>
      <c r="AQ1928" s="5"/>
    </row>
    <row r="1929" spans="1:43" x14ac:dyDescent="0.25">
      <c r="A1929" s="161" t="str">
        <f t="shared" si="35"/>
        <v>AUTOCHTHON_MED</v>
      </c>
      <c r="B1929" s="9" t="s">
        <v>2520</v>
      </c>
      <c r="C1929" s="5" t="s">
        <v>692</v>
      </c>
      <c r="D1929" s="5" t="s">
        <v>962</v>
      </c>
      <c r="E1929" s="5" t="s">
        <v>2520</v>
      </c>
      <c r="F1929" s="5" t="s">
        <v>2520</v>
      </c>
      <c r="G1929" s="5"/>
      <c r="H1929" s="5"/>
      <c r="I1929" s="5"/>
      <c r="J1929" s="6"/>
      <c r="K1929" s="7"/>
      <c r="L1929" s="13"/>
      <c r="M1929" s="8"/>
      <c r="N1929" s="13"/>
      <c r="O1929" s="13"/>
      <c r="P1929" s="13"/>
      <c r="Q1929" s="7"/>
      <c r="R1929" s="6"/>
      <c r="S1929" s="5"/>
      <c r="T1929" s="6"/>
      <c r="U1929" s="7"/>
      <c r="V1929" s="5"/>
      <c r="W1929" s="6"/>
      <c r="X1929" s="6"/>
      <c r="Y1929" s="5"/>
      <c r="Z1929" s="6"/>
      <c r="AA1929" s="6"/>
      <c r="AB1929" s="5"/>
      <c r="AC1929" s="6"/>
      <c r="AD1929" s="6"/>
      <c r="AE1929" s="5"/>
      <c r="AF1929" s="6"/>
      <c r="AG1929" s="6"/>
      <c r="AH1929" s="5"/>
      <c r="AI1929" s="6"/>
      <c r="AJ1929" s="6"/>
      <c r="AK1929" s="5"/>
      <c r="AL1929" s="5"/>
      <c r="AM1929" s="5"/>
      <c r="AN1929" s="5"/>
      <c r="AO1929" s="5"/>
      <c r="AP1929" s="5"/>
      <c r="AQ1929" s="5"/>
    </row>
    <row r="1930" spans="1:43" x14ac:dyDescent="0.25">
      <c r="A1930" s="161" t="str">
        <f t="shared" si="35"/>
        <v>AUTOCHTHON_NORTHEU</v>
      </c>
      <c r="B1930" s="9" t="s">
        <v>2520</v>
      </c>
      <c r="C1930" s="4" t="s">
        <v>962</v>
      </c>
      <c r="E1930" s="4" t="s">
        <v>2520</v>
      </c>
      <c r="F1930" s="4" t="s">
        <v>2520</v>
      </c>
      <c r="H1930" s="4" t="s">
        <v>1022</v>
      </c>
      <c r="I1930" s="4" t="s">
        <v>1796</v>
      </c>
      <c r="K1930" s="7">
        <v>1</v>
      </c>
      <c r="Q1930" s="9">
        <v>2</v>
      </c>
      <c r="R1930" s="11">
        <v>0.15</v>
      </c>
      <c r="T1930" s="11">
        <v>3</v>
      </c>
      <c r="U1930" s="11">
        <v>9.5000000000000001E-2</v>
      </c>
      <c r="Z1930" s="9">
        <v>1</v>
      </c>
      <c r="AF1930" s="11">
        <v>1</v>
      </c>
      <c r="AI1930" s="11">
        <v>1</v>
      </c>
      <c r="AJ1930" s="6"/>
      <c r="AK1930" s="5"/>
      <c r="AL1930" s="5"/>
      <c r="AM1930" s="5"/>
      <c r="AN1930" s="5"/>
      <c r="AO1930" s="5"/>
      <c r="AP1930" s="5"/>
      <c r="AQ1930" s="5"/>
    </row>
    <row r="1931" spans="1:43" x14ac:dyDescent="0.25">
      <c r="A1931" s="161" t="str">
        <f t="shared" si="35"/>
        <v>AUTOCHTHON_NORTHEU</v>
      </c>
      <c r="B1931" s="9" t="s">
        <v>2520</v>
      </c>
      <c r="C1931" s="4" t="s">
        <v>962</v>
      </c>
      <c r="E1931" s="4" t="s">
        <v>2520</v>
      </c>
      <c r="F1931" s="4" t="s">
        <v>2520</v>
      </c>
      <c r="G1931" s="4" t="s">
        <v>2047</v>
      </c>
      <c r="H1931" s="4" t="s">
        <v>1023</v>
      </c>
      <c r="I1931" s="4" t="s">
        <v>1796</v>
      </c>
      <c r="K1931" s="7">
        <v>1</v>
      </c>
      <c r="Q1931" s="9">
        <v>1</v>
      </c>
      <c r="R1931" s="11">
        <v>0.15</v>
      </c>
      <c r="T1931" s="11">
        <v>4</v>
      </c>
      <c r="U1931" s="11">
        <v>9.5000000000000001E-2</v>
      </c>
      <c r="Z1931" s="9">
        <v>0</v>
      </c>
      <c r="AF1931" s="11">
        <v>1</v>
      </c>
      <c r="AI1931" s="11">
        <v>1</v>
      </c>
      <c r="AJ1931" s="6"/>
      <c r="AK1931" s="5"/>
      <c r="AL1931" s="5"/>
      <c r="AM1931" s="5"/>
      <c r="AN1931" s="5"/>
      <c r="AO1931" s="5"/>
      <c r="AP1931" s="5"/>
      <c r="AQ1931" s="5"/>
    </row>
    <row r="1932" spans="1:43" x14ac:dyDescent="0.25">
      <c r="A1932" s="161" t="str">
        <f t="shared" si="35"/>
        <v>AUTOCHTHON_NORTHEU</v>
      </c>
      <c r="B1932" s="9" t="s">
        <v>2520</v>
      </c>
      <c r="C1932" s="4" t="s">
        <v>962</v>
      </c>
      <c r="E1932" s="4" t="s">
        <v>2520</v>
      </c>
      <c r="F1932" s="4" t="s">
        <v>2520</v>
      </c>
      <c r="H1932" s="4" t="s">
        <v>1022</v>
      </c>
      <c r="I1932" s="4" t="s">
        <v>1796</v>
      </c>
      <c r="K1932" s="7">
        <v>1</v>
      </c>
      <c r="Q1932" s="9">
        <v>1</v>
      </c>
      <c r="R1932" s="11">
        <v>0.15</v>
      </c>
      <c r="T1932" s="11">
        <v>4</v>
      </c>
      <c r="U1932" s="11">
        <v>9.5000000000000001E-2</v>
      </c>
      <c r="Z1932" s="9">
        <v>0</v>
      </c>
      <c r="AF1932" s="11">
        <v>0</v>
      </c>
      <c r="AI1932" s="11">
        <v>1</v>
      </c>
      <c r="AJ1932" s="6"/>
      <c r="AK1932" s="5"/>
      <c r="AL1932" s="5"/>
      <c r="AM1932" s="5"/>
      <c r="AN1932" s="5"/>
      <c r="AO1932" s="5"/>
      <c r="AP1932" s="5"/>
      <c r="AQ1932" s="5"/>
    </row>
    <row r="1933" spans="1:43" x14ac:dyDescent="0.25">
      <c r="A1933" s="161" t="str">
        <f t="shared" si="35"/>
        <v>AUTOCHTHON_NORTHEU</v>
      </c>
      <c r="B1933" s="9" t="s">
        <v>2520</v>
      </c>
      <c r="C1933" s="4" t="s">
        <v>962</v>
      </c>
      <c r="E1933" s="4" t="s">
        <v>2520</v>
      </c>
      <c r="F1933" s="4" t="s">
        <v>2520</v>
      </c>
      <c r="G1933" s="4" t="s">
        <v>2047</v>
      </c>
      <c r="H1933" s="4" t="s">
        <v>1023</v>
      </c>
      <c r="I1933" s="4" t="s">
        <v>1796</v>
      </c>
      <c r="K1933" s="7">
        <v>1</v>
      </c>
      <c r="Q1933" s="9">
        <v>2</v>
      </c>
      <c r="R1933" s="11">
        <v>0.15</v>
      </c>
      <c r="T1933" s="11">
        <v>2</v>
      </c>
      <c r="U1933" s="11">
        <v>9.5000000000000001E-2</v>
      </c>
      <c r="Z1933" s="9">
        <v>0</v>
      </c>
      <c r="AF1933" s="11">
        <v>0</v>
      </c>
      <c r="AI1933" s="11">
        <v>1</v>
      </c>
      <c r="AJ1933" s="6"/>
      <c r="AK1933" s="5"/>
      <c r="AL1933" s="5"/>
      <c r="AM1933" s="5"/>
      <c r="AN1933" s="5"/>
      <c r="AO1933" s="5"/>
      <c r="AP1933" s="5"/>
      <c r="AQ1933" s="5"/>
    </row>
    <row r="1934" spans="1:43" s="2" customFormat="1" x14ac:dyDescent="0.25">
      <c r="A1934" s="161" t="str">
        <f t="shared" ref="A1934:A2031" si="36">CONCATENATE(E1934,IF(ISBLANK(C1934),"",CONCATENATE("_",C1934)))</f>
        <v>CAVEMAN</v>
      </c>
      <c r="B1934" s="9" t="s">
        <v>2522</v>
      </c>
      <c r="C1934" s="5"/>
      <c r="D1934" s="5"/>
      <c r="E1934" s="5" t="s">
        <v>2522</v>
      </c>
      <c r="F1934" s="5" t="s">
        <v>2522</v>
      </c>
      <c r="G1934" s="5"/>
      <c r="H1934" s="5" t="s">
        <v>1405</v>
      </c>
      <c r="I1934" s="5" t="s">
        <v>128</v>
      </c>
      <c r="J1934" s="6"/>
      <c r="K1934" s="7">
        <v>1</v>
      </c>
      <c r="L1934" s="13" t="s">
        <v>1718</v>
      </c>
      <c r="M1934" s="8"/>
      <c r="N1934" s="5"/>
      <c r="O1934" s="5"/>
      <c r="P1934" s="5"/>
      <c r="Q1934" s="6">
        <v>2</v>
      </c>
      <c r="R1934" s="6" t="s">
        <v>1737</v>
      </c>
      <c r="S1934" s="13" t="s">
        <v>46</v>
      </c>
      <c r="T1934" s="6">
        <v>2</v>
      </c>
      <c r="U1934" s="7" t="s">
        <v>1737</v>
      </c>
      <c r="V1934" s="5"/>
      <c r="W1934" s="7">
        <v>3</v>
      </c>
      <c r="X1934" s="6" t="s">
        <v>3</v>
      </c>
      <c r="Y1934" s="5"/>
      <c r="Z1934" s="7">
        <v>1</v>
      </c>
      <c r="AA1934" s="6"/>
      <c r="AB1934" s="5"/>
      <c r="AC1934" s="6"/>
      <c r="AD1934" s="6" t="s">
        <v>3</v>
      </c>
      <c r="AE1934" s="5"/>
      <c r="AF1934" s="6">
        <v>1</v>
      </c>
      <c r="AG1934" s="6"/>
      <c r="AH1934" s="5"/>
      <c r="AI1934" s="6">
        <v>1</v>
      </c>
      <c r="AJ1934" s="6"/>
      <c r="AK1934" s="5"/>
      <c r="AL1934" s="5"/>
      <c r="AM1934" s="5"/>
      <c r="AN1934" s="5"/>
      <c r="AO1934" s="5"/>
      <c r="AP1934" s="5"/>
      <c r="AQ1934" s="5"/>
    </row>
    <row r="1935" spans="1:43" s="2" customFormat="1" x14ac:dyDescent="0.25">
      <c r="A1935" s="161" t="str">
        <f t="shared" si="36"/>
        <v>CAVEMAN</v>
      </c>
      <c r="B1935" s="9" t="s">
        <v>2522</v>
      </c>
      <c r="C1935" s="5"/>
      <c r="D1935" s="5"/>
      <c r="E1935" s="5" t="s">
        <v>2522</v>
      </c>
      <c r="F1935" s="5" t="s">
        <v>2522</v>
      </c>
      <c r="G1935" s="5" t="s">
        <v>2047</v>
      </c>
      <c r="H1935" s="5" t="s">
        <v>1406</v>
      </c>
      <c r="I1935" s="5" t="s">
        <v>128</v>
      </c>
      <c r="J1935" s="6"/>
      <c r="K1935" s="7">
        <v>1</v>
      </c>
      <c r="L1935" s="13" t="s">
        <v>1718</v>
      </c>
      <c r="M1935" s="8"/>
      <c r="N1935" s="5"/>
      <c r="O1935" s="5"/>
      <c r="P1935" s="5"/>
      <c r="Q1935" s="6">
        <v>4</v>
      </c>
      <c r="R1935" s="6" t="s">
        <v>1737</v>
      </c>
      <c r="S1935" s="13" t="s">
        <v>46</v>
      </c>
      <c r="T1935" s="6">
        <v>1</v>
      </c>
      <c r="U1935" s="7" t="s">
        <v>1737</v>
      </c>
      <c r="V1935" s="5"/>
      <c r="W1935" s="7">
        <v>3</v>
      </c>
      <c r="X1935" s="6" t="s">
        <v>3</v>
      </c>
      <c r="Y1935" s="5"/>
      <c r="Z1935" s="7">
        <v>0</v>
      </c>
      <c r="AA1935" s="6"/>
      <c r="AB1935" s="5"/>
      <c r="AC1935" s="6"/>
      <c r="AD1935" s="6" t="s">
        <v>3</v>
      </c>
      <c r="AE1935" s="5"/>
      <c r="AF1935" s="6">
        <v>1</v>
      </c>
      <c r="AG1935" s="6"/>
      <c r="AH1935" s="5"/>
      <c r="AI1935" s="6">
        <v>1</v>
      </c>
      <c r="AJ1935" s="6"/>
      <c r="AK1935" s="5"/>
      <c r="AL1935" s="5"/>
      <c r="AM1935" s="5"/>
      <c r="AN1935" s="5"/>
      <c r="AO1935" s="5"/>
      <c r="AP1935" s="5"/>
      <c r="AQ1935" s="5"/>
    </row>
    <row r="1936" spans="1:43" s="2" customFormat="1" x14ac:dyDescent="0.25">
      <c r="A1936" s="161" t="str">
        <f t="shared" si="36"/>
        <v>CAVEMAN</v>
      </c>
      <c r="B1936" s="9" t="s">
        <v>2522</v>
      </c>
      <c r="C1936" s="5"/>
      <c r="D1936" s="5"/>
      <c r="E1936" s="5" t="s">
        <v>2522</v>
      </c>
      <c r="F1936" s="5" t="s">
        <v>2522</v>
      </c>
      <c r="G1936" s="5" t="s">
        <v>2049</v>
      </c>
      <c r="H1936" s="5" t="s">
        <v>1407</v>
      </c>
      <c r="I1936" s="5" t="s">
        <v>128</v>
      </c>
      <c r="J1936" s="6"/>
      <c r="K1936" s="7">
        <v>1</v>
      </c>
      <c r="L1936" s="13" t="s">
        <v>1718</v>
      </c>
      <c r="M1936" s="8"/>
      <c r="N1936" s="5"/>
      <c r="O1936" s="5"/>
      <c r="P1936" s="5"/>
      <c r="Q1936" s="6">
        <v>4</v>
      </c>
      <c r="R1936" s="6" t="s">
        <v>1737</v>
      </c>
      <c r="S1936" s="13" t="s">
        <v>46</v>
      </c>
      <c r="T1936" s="6">
        <v>1</v>
      </c>
      <c r="U1936" s="7" t="s">
        <v>1737</v>
      </c>
      <c r="V1936" s="5"/>
      <c r="W1936" s="7">
        <v>3</v>
      </c>
      <c r="X1936" s="6" t="s">
        <v>3</v>
      </c>
      <c r="Y1936" s="5"/>
      <c r="Z1936" s="7">
        <v>0</v>
      </c>
      <c r="AA1936" s="6"/>
      <c r="AB1936" s="5"/>
      <c r="AC1936" s="6"/>
      <c r="AD1936" s="6" t="s">
        <v>3</v>
      </c>
      <c r="AE1936" s="5"/>
      <c r="AF1936" s="6">
        <v>0</v>
      </c>
      <c r="AG1936" s="6"/>
      <c r="AH1936" s="5"/>
      <c r="AI1936" s="6">
        <v>1</v>
      </c>
      <c r="AJ1936" s="6"/>
      <c r="AK1936" s="5"/>
      <c r="AL1936" s="5"/>
      <c r="AM1936" s="5"/>
      <c r="AN1936" s="5"/>
      <c r="AO1936" s="5"/>
      <c r="AP1936" s="5"/>
      <c r="AQ1936" s="5"/>
    </row>
    <row r="1937" spans="1:43" s="2" customFormat="1" x14ac:dyDescent="0.25">
      <c r="A1937" s="161" t="str">
        <f t="shared" si="36"/>
        <v>CAVEMAN</v>
      </c>
      <c r="B1937" s="9" t="s">
        <v>2522</v>
      </c>
      <c r="C1937" s="5"/>
      <c r="D1937" s="5"/>
      <c r="E1937" s="5" t="s">
        <v>2522</v>
      </c>
      <c r="F1937" s="5" t="s">
        <v>2522</v>
      </c>
      <c r="G1937" s="5"/>
      <c r="H1937" s="5" t="s">
        <v>1405</v>
      </c>
      <c r="I1937" s="5" t="s">
        <v>128</v>
      </c>
      <c r="J1937" s="6"/>
      <c r="K1937" s="7">
        <v>1</v>
      </c>
      <c r="L1937" s="13" t="s">
        <v>1718</v>
      </c>
      <c r="M1937" s="8"/>
      <c r="N1937" s="5"/>
      <c r="O1937" s="5"/>
      <c r="P1937" s="5"/>
      <c r="Q1937" s="6">
        <v>0</v>
      </c>
      <c r="R1937" s="6" t="s">
        <v>1737</v>
      </c>
      <c r="S1937" s="13" t="s">
        <v>46</v>
      </c>
      <c r="T1937" s="6">
        <v>2</v>
      </c>
      <c r="U1937" s="7" t="s">
        <v>1737</v>
      </c>
      <c r="V1937" s="5"/>
      <c r="W1937" s="7">
        <v>3</v>
      </c>
      <c r="X1937" s="6" t="s">
        <v>3</v>
      </c>
      <c r="Y1937" s="5"/>
      <c r="Z1937" s="7">
        <v>0</v>
      </c>
      <c r="AA1937" s="6"/>
      <c r="AB1937" s="5"/>
      <c r="AC1937" s="6"/>
      <c r="AD1937" s="6" t="s">
        <v>3</v>
      </c>
      <c r="AE1937" s="5"/>
      <c r="AF1937" s="6">
        <v>0</v>
      </c>
      <c r="AG1937" s="6"/>
      <c r="AH1937" s="5"/>
      <c r="AI1937" s="6">
        <v>1</v>
      </c>
      <c r="AJ1937" s="6"/>
      <c r="AK1937" s="5"/>
      <c r="AL1937" s="5"/>
      <c r="AM1937" s="5"/>
      <c r="AN1937" s="5"/>
      <c r="AO1937" s="5"/>
      <c r="AP1937" s="5"/>
      <c r="AQ1937" s="5"/>
    </row>
    <row r="1938" spans="1:43" s="2" customFormat="1" x14ac:dyDescent="0.25">
      <c r="A1938" s="161" t="str">
        <f t="shared" si="36"/>
        <v>CAVEMAN</v>
      </c>
      <c r="B1938" s="9" t="s">
        <v>2522</v>
      </c>
      <c r="C1938" s="5"/>
      <c r="D1938" s="5"/>
      <c r="E1938" s="5" t="s">
        <v>2522</v>
      </c>
      <c r="F1938" s="5" t="s">
        <v>2522</v>
      </c>
      <c r="G1938" s="5" t="s">
        <v>2047</v>
      </c>
      <c r="H1938" s="5" t="s">
        <v>1406</v>
      </c>
      <c r="I1938" s="5" t="s">
        <v>128</v>
      </c>
      <c r="J1938" s="6"/>
      <c r="K1938" s="7">
        <v>1</v>
      </c>
      <c r="L1938" s="13" t="s">
        <v>1718</v>
      </c>
      <c r="M1938" s="8"/>
      <c r="N1938" s="5"/>
      <c r="O1938" s="5"/>
      <c r="P1938" s="5"/>
      <c r="Q1938" s="6">
        <v>0</v>
      </c>
      <c r="R1938" s="6" t="s">
        <v>1737</v>
      </c>
      <c r="S1938" s="13" t="s">
        <v>46</v>
      </c>
      <c r="T1938" s="6">
        <v>2</v>
      </c>
      <c r="U1938" s="7" t="s">
        <v>1737</v>
      </c>
      <c r="V1938" s="5"/>
      <c r="W1938" s="7">
        <v>3</v>
      </c>
      <c r="X1938" s="6" t="s">
        <v>3</v>
      </c>
      <c r="Y1938" s="5"/>
      <c r="Z1938" s="7">
        <v>0</v>
      </c>
      <c r="AA1938" s="6"/>
      <c r="AB1938" s="5"/>
      <c r="AC1938" s="6"/>
      <c r="AD1938" s="6" t="s">
        <v>3</v>
      </c>
      <c r="AE1938" s="5"/>
      <c r="AF1938" s="6">
        <v>0</v>
      </c>
      <c r="AG1938" s="6"/>
      <c r="AH1938" s="5"/>
      <c r="AI1938" s="6">
        <v>0</v>
      </c>
      <c r="AJ1938" s="6"/>
      <c r="AK1938" s="5"/>
      <c r="AL1938" s="5"/>
      <c r="AM1938" s="5"/>
      <c r="AN1938" s="5"/>
      <c r="AO1938" s="5"/>
      <c r="AP1938" s="5"/>
      <c r="AQ1938" s="5"/>
    </row>
    <row r="1939" spans="1:43" s="2" customFormat="1" x14ac:dyDescent="0.25">
      <c r="A1939" s="161" t="str">
        <f t="shared" si="36"/>
        <v>CAVEMAN</v>
      </c>
      <c r="B1939" s="9" t="s">
        <v>2522</v>
      </c>
      <c r="C1939" s="5"/>
      <c r="D1939" s="5"/>
      <c r="E1939" s="5" t="s">
        <v>2522</v>
      </c>
      <c r="F1939" s="5" t="s">
        <v>2522</v>
      </c>
      <c r="G1939" s="5" t="s">
        <v>2049</v>
      </c>
      <c r="H1939" s="5" t="s">
        <v>1407</v>
      </c>
      <c r="I1939" s="5" t="s">
        <v>128</v>
      </c>
      <c r="J1939" s="6"/>
      <c r="K1939" s="7">
        <v>1</v>
      </c>
      <c r="L1939" s="13" t="s">
        <v>1718</v>
      </c>
      <c r="M1939" s="8"/>
      <c r="N1939" s="5"/>
      <c r="O1939" s="5"/>
      <c r="P1939" s="5"/>
      <c r="Q1939" s="6">
        <v>0</v>
      </c>
      <c r="R1939" s="6" t="s">
        <v>1737</v>
      </c>
      <c r="S1939" s="13" t="s">
        <v>46</v>
      </c>
      <c r="T1939" s="6">
        <v>2</v>
      </c>
      <c r="U1939" s="7" t="s">
        <v>1737</v>
      </c>
      <c r="V1939" s="5"/>
      <c r="W1939" s="7">
        <v>3</v>
      </c>
      <c r="X1939" s="6" t="s">
        <v>3</v>
      </c>
      <c r="Y1939" s="5"/>
      <c r="Z1939" s="7">
        <v>0</v>
      </c>
      <c r="AA1939" s="6"/>
      <c r="AB1939" s="5"/>
      <c r="AC1939" s="6"/>
      <c r="AD1939" s="6" t="s">
        <v>3</v>
      </c>
      <c r="AE1939" s="5"/>
      <c r="AF1939" s="6">
        <v>0</v>
      </c>
      <c r="AG1939" s="6"/>
      <c r="AH1939" s="5"/>
      <c r="AI1939" s="6">
        <v>0</v>
      </c>
      <c r="AJ1939" s="6"/>
      <c r="AK1939" s="5"/>
      <c r="AL1939" s="5"/>
      <c r="AM1939" s="5"/>
      <c r="AN1939" s="5"/>
      <c r="AO1939" s="5"/>
      <c r="AP1939" s="5"/>
      <c r="AQ1939" s="5"/>
    </row>
    <row r="1940" spans="1:43" x14ac:dyDescent="0.25">
      <c r="A1940" s="161" t="str">
        <f>CONCATENATE(E1940,IF(ISBLANK(C1940),"",CONCATENATE("_",C1940)))</f>
        <v>CAVEMAN_AFRI</v>
      </c>
      <c r="B1940" s="9" t="s">
        <v>2522</v>
      </c>
      <c r="C1940" s="5" t="s">
        <v>694</v>
      </c>
      <c r="D1940" s="5"/>
      <c r="E1940" s="5" t="s">
        <v>2522</v>
      </c>
      <c r="F1940" s="5" t="s">
        <v>2522</v>
      </c>
      <c r="G1940" s="5"/>
      <c r="H1940" s="5" t="s">
        <v>2093</v>
      </c>
      <c r="I1940" s="5" t="s">
        <v>1025</v>
      </c>
      <c r="J1940" s="6"/>
      <c r="K1940" s="7">
        <v>1</v>
      </c>
      <c r="L1940" s="13"/>
      <c r="M1940" s="8"/>
      <c r="N1940" s="13"/>
      <c r="O1940" s="13"/>
      <c r="P1940" s="13"/>
      <c r="Q1940" s="7">
        <v>6</v>
      </c>
      <c r="R1940" s="6"/>
      <c r="S1940" s="5"/>
      <c r="T1940" s="6">
        <v>10</v>
      </c>
      <c r="U1940" s="7"/>
      <c r="V1940" s="5"/>
      <c r="W1940" s="6" t="s">
        <v>3</v>
      </c>
      <c r="X1940" s="6"/>
      <c r="Y1940" s="5"/>
      <c r="Z1940" s="6">
        <v>1</v>
      </c>
      <c r="AA1940" s="6"/>
      <c r="AB1940" s="5"/>
      <c r="AC1940" s="6"/>
      <c r="AD1940" s="6" t="s">
        <v>3</v>
      </c>
      <c r="AE1940" s="5"/>
      <c r="AF1940" s="6">
        <v>2</v>
      </c>
      <c r="AG1940" s="6"/>
      <c r="AH1940" s="5"/>
      <c r="AI1940" s="6">
        <v>5</v>
      </c>
      <c r="AJ1940" s="6"/>
      <c r="AK1940" s="5"/>
      <c r="AL1940" s="5"/>
      <c r="AM1940" s="5"/>
      <c r="AN1940" s="5"/>
      <c r="AO1940" s="5"/>
      <c r="AP1940" s="5"/>
      <c r="AQ1940" s="5"/>
    </row>
    <row r="1941" spans="1:43" s="2" customFormat="1" x14ac:dyDescent="0.25">
      <c r="A1941" s="161" t="str">
        <f>CONCATENATE(E1941,IF(ISBLANK(C1941),"",CONCATENATE("_",C1941)))</f>
        <v>CAVEMAN_CENTAS</v>
      </c>
      <c r="B1941" s="9" t="s">
        <v>2522</v>
      </c>
      <c r="C1941" s="4" t="s">
        <v>918</v>
      </c>
      <c r="D1941" s="4"/>
      <c r="E1941" s="4" t="s">
        <v>2522</v>
      </c>
      <c r="F1941" s="4" t="s">
        <v>2522</v>
      </c>
      <c r="G1941" s="4"/>
      <c r="H1941" s="4" t="s">
        <v>1792</v>
      </c>
      <c r="I1941" s="4" t="s">
        <v>1794</v>
      </c>
      <c r="J1941" s="11"/>
      <c r="K1941" s="7">
        <v>1</v>
      </c>
      <c r="L1941" s="4"/>
      <c r="M1941" s="12"/>
      <c r="N1941" s="4"/>
      <c r="O1941" s="4"/>
      <c r="P1941" s="4"/>
      <c r="Q1941" s="9">
        <v>6</v>
      </c>
      <c r="R1941" s="11"/>
      <c r="S1941" s="4"/>
      <c r="T1941" s="9">
        <v>10</v>
      </c>
      <c r="U1941" s="11"/>
      <c r="V1941" s="4"/>
      <c r="W1941" s="9" t="s">
        <v>3</v>
      </c>
      <c r="X1941" s="11"/>
      <c r="Y1941" s="4"/>
      <c r="Z1941" s="9">
        <v>1</v>
      </c>
      <c r="AA1941" s="11"/>
      <c r="AB1941" s="4"/>
      <c r="AC1941" s="11"/>
      <c r="AD1941" s="11" t="s">
        <v>3</v>
      </c>
      <c r="AE1941" s="4"/>
      <c r="AF1941" s="9">
        <v>2</v>
      </c>
      <c r="AG1941" s="11"/>
      <c r="AH1941" s="4"/>
      <c r="AI1941" s="9">
        <v>5</v>
      </c>
      <c r="AJ1941" s="11"/>
      <c r="AK1941" s="4"/>
      <c r="AL1941" s="4"/>
      <c r="AM1941" s="4"/>
      <c r="AN1941" s="4"/>
      <c r="AO1941" s="4"/>
      <c r="AP1941" s="4"/>
      <c r="AQ1941" s="4"/>
    </row>
    <row r="1942" spans="1:43" s="2" customFormat="1" x14ac:dyDescent="0.25">
      <c r="A1942" s="161" t="str">
        <f>CONCATENATE(E1942,IF(ISBLANK(C1942),"",CONCATENATE("_",C1942)))</f>
        <v>CAVEMAN_MED</v>
      </c>
      <c r="B1942" s="9" t="s">
        <v>2522</v>
      </c>
      <c r="C1942" s="4" t="s">
        <v>692</v>
      </c>
      <c r="D1942" s="4"/>
      <c r="E1942" s="4" t="s">
        <v>2522</v>
      </c>
      <c r="F1942" s="4" t="s">
        <v>2522</v>
      </c>
      <c r="G1942" s="4"/>
      <c r="H1942" s="4" t="s">
        <v>853</v>
      </c>
      <c r="I1942" s="4" t="s">
        <v>1055</v>
      </c>
      <c r="J1942" s="11"/>
      <c r="K1942" s="7">
        <v>1</v>
      </c>
      <c r="L1942" s="4"/>
      <c r="M1942" s="12"/>
      <c r="N1942" s="4"/>
      <c r="O1942" s="4"/>
      <c r="P1942" s="4"/>
      <c r="Q1942" s="9">
        <v>6</v>
      </c>
      <c r="R1942" s="11"/>
      <c r="S1942" s="4"/>
      <c r="T1942" s="9">
        <v>10</v>
      </c>
      <c r="U1942" s="11"/>
      <c r="V1942" s="4"/>
      <c r="W1942" s="9" t="s">
        <v>3</v>
      </c>
      <c r="X1942" s="11"/>
      <c r="Y1942" s="4"/>
      <c r="Z1942" s="9">
        <v>1</v>
      </c>
      <c r="AA1942" s="11"/>
      <c r="AB1942" s="4"/>
      <c r="AC1942" s="11"/>
      <c r="AD1942" s="11" t="s">
        <v>3</v>
      </c>
      <c r="AE1942" s="4"/>
      <c r="AF1942" s="9">
        <v>2</v>
      </c>
      <c r="AG1942" s="11"/>
      <c r="AH1942" s="4"/>
      <c r="AI1942" s="9">
        <v>5</v>
      </c>
      <c r="AJ1942" s="11"/>
      <c r="AK1942" s="4"/>
      <c r="AL1942" s="4"/>
      <c r="AM1942" s="4"/>
      <c r="AN1942" s="4"/>
      <c r="AO1942" s="4"/>
      <c r="AP1942" s="4"/>
      <c r="AQ1942" s="4"/>
    </row>
    <row r="1943" spans="1:43" s="2" customFormat="1" x14ac:dyDescent="0.25">
      <c r="A1943" s="161" t="str">
        <f t="shared" si="36"/>
        <v>CAVEMAN_NORTHAF</v>
      </c>
      <c r="B1943" s="9" t="s">
        <v>2522</v>
      </c>
      <c r="C1943" s="5" t="s">
        <v>2011</v>
      </c>
      <c r="D1943" s="5"/>
      <c r="E1943" s="5" t="s">
        <v>2522</v>
      </c>
      <c r="F1943" s="5" t="s">
        <v>2522</v>
      </c>
      <c r="G1943" s="5"/>
      <c r="H1943" s="5" t="s">
        <v>2094</v>
      </c>
      <c r="I1943" s="5" t="s">
        <v>1025</v>
      </c>
      <c r="J1943" s="6"/>
      <c r="K1943" s="7">
        <v>1</v>
      </c>
      <c r="L1943" s="13"/>
      <c r="M1943" s="8"/>
      <c r="N1943" s="5"/>
      <c r="O1943" s="5"/>
      <c r="P1943" s="5"/>
      <c r="Q1943" s="6">
        <v>6</v>
      </c>
      <c r="R1943" s="6"/>
      <c r="S1943" s="13"/>
      <c r="T1943" s="6">
        <v>10</v>
      </c>
      <c r="U1943" s="7"/>
      <c r="V1943" s="5"/>
      <c r="W1943" s="7" t="s">
        <v>3</v>
      </c>
      <c r="X1943" s="6"/>
      <c r="Y1943" s="5"/>
      <c r="Z1943" s="7">
        <v>1</v>
      </c>
      <c r="AA1943" s="6"/>
      <c r="AB1943" s="5"/>
      <c r="AC1943" s="6"/>
      <c r="AD1943" s="6" t="s">
        <v>3</v>
      </c>
      <c r="AE1943" s="5"/>
      <c r="AF1943" s="6">
        <v>2</v>
      </c>
      <c r="AG1943" s="6"/>
      <c r="AH1943" s="5"/>
      <c r="AI1943" s="6">
        <v>5</v>
      </c>
      <c r="AJ1943" s="6"/>
      <c r="AK1943" s="5"/>
      <c r="AL1943" s="5"/>
      <c r="AM1943" s="5"/>
      <c r="AN1943" s="5"/>
      <c r="AO1943" s="5"/>
      <c r="AP1943" s="5"/>
      <c r="AQ1943" s="5"/>
    </row>
    <row r="1944" spans="1:43" s="2" customFormat="1" x14ac:dyDescent="0.25">
      <c r="A1944" s="161" t="str">
        <f t="shared" si="36"/>
        <v>CAVEMAN_OCEAN</v>
      </c>
      <c r="B1944" s="9" t="s">
        <v>2522</v>
      </c>
      <c r="C1944" s="4" t="s">
        <v>994</v>
      </c>
      <c r="D1944" s="4"/>
      <c r="E1944" s="4" t="s">
        <v>2522</v>
      </c>
      <c r="F1944" s="4" t="s">
        <v>2522</v>
      </c>
      <c r="G1944" s="4"/>
      <c r="H1944" s="4" t="s">
        <v>1790</v>
      </c>
      <c r="I1944" s="4" t="s">
        <v>1794</v>
      </c>
      <c r="J1944" s="11"/>
      <c r="K1944" s="11">
        <v>1</v>
      </c>
      <c r="L1944" s="4"/>
      <c r="M1944" s="12"/>
      <c r="N1944" s="4"/>
      <c r="O1944" s="4"/>
      <c r="P1944" s="4"/>
      <c r="Q1944" s="9">
        <v>6</v>
      </c>
      <c r="R1944" s="11"/>
      <c r="S1944" s="4"/>
      <c r="T1944" s="9">
        <v>10</v>
      </c>
      <c r="U1944" s="11"/>
      <c r="V1944" s="4"/>
      <c r="W1944" s="9" t="s">
        <v>3</v>
      </c>
      <c r="X1944" s="11"/>
      <c r="Y1944" s="4"/>
      <c r="Z1944" s="9">
        <v>1</v>
      </c>
      <c r="AA1944" s="11"/>
      <c r="AB1944" s="4"/>
      <c r="AC1944" s="11"/>
      <c r="AD1944" s="11" t="s">
        <v>3</v>
      </c>
      <c r="AE1944" s="4"/>
      <c r="AF1944" s="9">
        <v>2</v>
      </c>
      <c r="AG1944" s="11"/>
      <c r="AH1944" s="4"/>
      <c r="AI1944" s="9">
        <v>5</v>
      </c>
      <c r="AJ1944" s="11"/>
      <c r="AK1944" s="4"/>
      <c r="AL1944" s="4"/>
      <c r="AM1944" s="4"/>
      <c r="AN1944" s="4"/>
      <c r="AO1944" s="4"/>
      <c r="AP1944" s="4"/>
      <c r="AQ1944" s="4"/>
    </row>
    <row r="1945" spans="1:43" x14ac:dyDescent="0.25">
      <c r="A1945" s="161" t="str">
        <f t="shared" si="36"/>
        <v>EXPLORER_ED</v>
      </c>
      <c r="B1945" s="9" t="s">
        <v>1338</v>
      </c>
      <c r="C1945" s="5"/>
      <c r="D1945" s="5"/>
      <c r="E1945" s="5" t="s">
        <v>2619</v>
      </c>
      <c r="F1945" s="5" t="s">
        <v>2619</v>
      </c>
      <c r="G1945" s="5"/>
      <c r="H1945" s="5" t="s">
        <v>529</v>
      </c>
      <c r="I1945" s="5" t="s">
        <v>2098</v>
      </c>
      <c r="J1945" s="6"/>
      <c r="K1945" s="7">
        <v>1</v>
      </c>
      <c r="L1945" s="13"/>
      <c r="M1945" s="8"/>
      <c r="N1945" s="13"/>
      <c r="O1945" s="13"/>
      <c r="P1945" s="13"/>
      <c r="Q1945" s="7">
        <v>2</v>
      </c>
      <c r="R1945" s="6" t="s">
        <v>1695</v>
      </c>
      <c r="S1945" s="5" t="s">
        <v>1613</v>
      </c>
      <c r="T1945" s="6">
        <v>3</v>
      </c>
      <c r="U1945" s="7" t="s">
        <v>1695</v>
      </c>
      <c r="V1945" s="5" t="s">
        <v>1611</v>
      </c>
      <c r="W1945" s="6" t="s">
        <v>3</v>
      </c>
      <c r="X1945" s="6" t="s">
        <v>3</v>
      </c>
      <c r="Y1945" s="5"/>
      <c r="Z1945" s="6">
        <v>1</v>
      </c>
      <c r="AA1945" s="6"/>
      <c r="AB1945" s="5"/>
      <c r="AC1945" s="6"/>
      <c r="AD1945" s="6" t="s">
        <v>3</v>
      </c>
      <c r="AE1945" s="5"/>
      <c r="AF1945" s="6">
        <v>1</v>
      </c>
      <c r="AG1945" s="6"/>
      <c r="AH1945" s="5"/>
      <c r="AI1945" s="6">
        <v>2</v>
      </c>
      <c r="AJ1945" s="6"/>
      <c r="AK1945" s="5"/>
      <c r="AL1945" s="5"/>
      <c r="AM1945" s="5"/>
      <c r="AN1945" s="5"/>
      <c r="AO1945" s="5"/>
      <c r="AP1945" s="5"/>
      <c r="AQ1945" s="5"/>
    </row>
    <row r="1946" spans="1:43" x14ac:dyDescent="0.25">
      <c r="A1946" s="161" t="str">
        <f t="shared" si="36"/>
        <v>PRIMITIVE_ARCHER</v>
      </c>
      <c r="B1946" s="9" t="s">
        <v>2523</v>
      </c>
      <c r="C1946" s="5"/>
      <c r="D1946" s="5"/>
      <c r="E1946" s="5" t="s">
        <v>2523</v>
      </c>
      <c r="F1946" s="5" t="s">
        <v>2523</v>
      </c>
      <c r="G1946" s="5"/>
      <c r="H1946" s="5" t="s">
        <v>2086</v>
      </c>
      <c r="I1946" s="5" t="s">
        <v>1935</v>
      </c>
      <c r="J1946" s="6"/>
      <c r="K1946" s="7">
        <v>1</v>
      </c>
      <c r="L1946" s="13"/>
      <c r="M1946" s="8"/>
      <c r="N1946" s="13"/>
      <c r="O1946" s="13"/>
      <c r="P1946" s="13"/>
      <c r="Q1946" s="7">
        <v>6</v>
      </c>
      <c r="R1946" s="6">
        <v>0.13</v>
      </c>
      <c r="S1946" s="5" t="s">
        <v>20</v>
      </c>
      <c r="T1946" s="6">
        <v>10</v>
      </c>
      <c r="U1946" s="7" t="s">
        <v>1737</v>
      </c>
      <c r="V1946" s="5"/>
      <c r="W1946" s="6" t="s">
        <v>3</v>
      </c>
      <c r="X1946" s="6" t="s">
        <v>3</v>
      </c>
      <c r="Y1946" s="5"/>
      <c r="Z1946" s="6">
        <v>1</v>
      </c>
      <c r="AA1946" s="6"/>
      <c r="AB1946" s="5"/>
      <c r="AC1946" s="6"/>
      <c r="AD1946" s="6" t="s">
        <v>3</v>
      </c>
      <c r="AE1946" s="5"/>
      <c r="AF1946" s="6">
        <v>2</v>
      </c>
      <c r="AG1946" s="6"/>
      <c r="AH1946" s="5"/>
      <c r="AI1946" s="6">
        <v>5</v>
      </c>
      <c r="AJ1946" s="6"/>
      <c r="AK1946" s="5"/>
      <c r="AL1946" s="5"/>
      <c r="AM1946" s="5"/>
      <c r="AN1946" s="5"/>
      <c r="AO1946" s="5"/>
      <c r="AP1946" s="5"/>
      <c r="AQ1946" s="5"/>
    </row>
    <row r="1947" spans="1:43" s="2" customFormat="1" x14ac:dyDescent="0.25">
      <c r="A1947" s="161" t="str">
        <f t="shared" si="36"/>
        <v>PRIMITIVE_ARCHER_AFRI</v>
      </c>
      <c r="B1947" s="9" t="s">
        <v>2523</v>
      </c>
      <c r="C1947" s="4" t="s">
        <v>694</v>
      </c>
      <c r="D1947" s="4"/>
      <c r="E1947" s="4" t="s">
        <v>2523</v>
      </c>
      <c r="F1947" s="4" t="s">
        <v>2523</v>
      </c>
      <c r="G1947" s="4"/>
      <c r="H1947" s="4" t="s">
        <v>1967</v>
      </c>
      <c r="I1947" s="4" t="s">
        <v>1025</v>
      </c>
      <c r="J1947" s="11"/>
      <c r="K1947" s="11">
        <v>1</v>
      </c>
      <c r="L1947" s="4"/>
      <c r="M1947" s="12"/>
      <c r="N1947" s="4"/>
      <c r="O1947" s="4"/>
      <c r="P1947" s="4"/>
      <c r="Q1947" s="9"/>
      <c r="R1947" s="11"/>
      <c r="S1947" s="4"/>
      <c r="T1947" s="11"/>
      <c r="U1947" s="11"/>
      <c r="V1947" s="4"/>
      <c r="W1947" s="11"/>
      <c r="X1947" s="11"/>
      <c r="Y1947" s="4"/>
      <c r="Z1947" s="9"/>
      <c r="AA1947" s="11"/>
      <c r="AB1947" s="4"/>
      <c r="AC1947" s="11"/>
      <c r="AD1947" s="11"/>
      <c r="AE1947" s="4"/>
      <c r="AF1947" s="11"/>
      <c r="AG1947" s="11"/>
      <c r="AH1947" s="4"/>
      <c r="AI1947" s="11"/>
      <c r="AJ1947" s="11"/>
      <c r="AK1947" s="4"/>
      <c r="AL1947" s="4"/>
      <c r="AM1947" s="4"/>
      <c r="AN1947" s="4"/>
      <c r="AO1947" s="4"/>
      <c r="AP1947" s="4"/>
      <c r="AQ1947" s="4"/>
    </row>
    <row r="1948" spans="1:43" x14ac:dyDescent="0.25">
      <c r="A1948" s="161" t="str">
        <f t="shared" si="36"/>
        <v>SAVAGE</v>
      </c>
      <c r="B1948" s="9" t="s">
        <v>2085</v>
      </c>
      <c r="C1948" s="5"/>
      <c r="D1948" s="5"/>
      <c r="E1948" s="5" t="s">
        <v>2085</v>
      </c>
      <c r="F1948" s="5" t="s">
        <v>2085</v>
      </c>
      <c r="G1948" s="5"/>
      <c r="H1948" s="5" t="s">
        <v>2090</v>
      </c>
      <c r="I1948" s="5" t="s">
        <v>835</v>
      </c>
      <c r="J1948" s="6"/>
      <c r="K1948" s="7">
        <v>1</v>
      </c>
      <c r="L1948" s="13"/>
      <c r="M1948" s="8"/>
      <c r="N1948" s="13"/>
      <c r="O1948" s="13"/>
      <c r="P1948" s="13"/>
      <c r="Q1948" s="7">
        <v>6</v>
      </c>
      <c r="R1948" s="6">
        <v>0.14000000000000001</v>
      </c>
      <c r="S1948" s="5" t="s">
        <v>1620</v>
      </c>
      <c r="T1948" s="6">
        <v>10</v>
      </c>
      <c r="U1948" s="7" t="s">
        <v>1737</v>
      </c>
      <c r="V1948" s="5"/>
      <c r="W1948" s="6" t="s">
        <v>3</v>
      </c>
      <c r="X1948" s="6" t="s">
        <v>3</v>
      </c>
      <c r="Y1948" s="5"/>
      <c r="Z1948" s="6">
        <v>1</v>
      </c>
      <c r="AA1948" s="6"/>
      <c r="AB1948" s="5"/>
      <c r="AC1948" s="6"/>
      <c r="AD1948" s="6" t="s">
        <v>3</v>
      </c>
      <c r="AE1948" s="5"/>
      <c r="AF1948" s="6">
        <v>2</v>
      </c>
      <c r="AG1948" s="6"/>
      <c r="AH1948" s="5"/>
      <c r="AI1948" s="6">
        <v>5</v>
      </c>
      <c r="AJ1948" s="6"/>
      <c r="AK1948" s="5"/>
      <c r="AL1948" s="5"/>
      <c r="AM1948" s="5"/>
      <c r="AN1948" s="5"/>
      <c r="AO1948" s="5"/>
      <c r="AP1948" s="5"/>
      <c r="AQ1948" s="5"/>
    </row>
    <row r="1949" spans="1:43" x14ac:dyDescent="0.25">
      <c r="A1949" s="161" t="str">
        <f>CONCATENATE(E1949,IF(ISBLANK(C1949),"",CONCATENATE("_",C1949)))</f>
        <v>SAVAGE_ED</v>
      </c>
      <c r="B1949" s="9" t="s">
        <v>2085</v>
      </c>
      <c r="C1949" s="5"/>
      <c r="D1949" s="5"/>
      <c r="E1949" s="5" t="s">
        <v>2585</v>
      </c>
      <c r="F1949" s="5" t="s">
        <v>2585</v>
      </c>
      <c r="G1949" s="5"/>
      <c r="H1949" s="5" t="s">
        <v>2124</v>
      </c>
      <c r="I1949" s="5" t="s">
        <v>2125</v>
      </c>
      <c r="J1949" s="6"/>
      <c r="K1949" s="7">
        <v>1</v>
      </c>
      <c r="L1949" s="13"/>
      <c r="M1949" s="8"/>
      <c r="N1949" s="13"/>
      <c r="O1949" s="13"/>
      <c r="P1949" s="13"/>
      <c r="Q1949" s="7">
        <v>6</v>
      </c>
      <c r="R1949" s="6">
        <v>0.14000000000000001</v>
      </c>
      <c r="S1949" s="5" t="s">
        <v>1620</v>
      </c>
      <c r="T1949" s="6">
        <v>10</v>
      </c>
      <c r="U1949" s="7" t="s">
        <v>1737</v>
      </c>
      <c r="V1949" s="5"/>
      <c r="W1949" s="6" t="s">
        <v>3</v>
      </c>
      <c r="X1949" s="6" t="s">
        <v>3</v>
      </c>
      <c r="Y1949" s="5"/>
      <c r="Z1949" s="6">
        <v>1</v>
      </c>
      <c r="AA1949" s="6"/>
      <c r="AB1949" s="5"/>
      <c r="AC1949" s="6"/>
      <c r="AD1949" s="6" t="s">
        <v>3</v>
      </c>
      <c r="AE1949" s="5"/>
      <c r="AF1949" s="6">
        <v>2</v>
      </c>
      <c r="AG1949" s="6"/>
      <c r="AH1949" s="5"/>
      <c r="AI1949" s="6">
        <v>5</v>
      </c>
      <c r="AJ1949" s="6"/>
      <c r="AK1949" s="5"/>
      <c r="AL1949" s="5"/>
      <c r="AM1949" s="5"/>
      <c r="AN1949" s="5"/>
      <c r="AO1949" s="5"/>
      <c r="AP1949" s="5"/>
      <c r="AQ1949" s="5"/>
    </row>
    <row r="1950" spans="1:43" s="2" customFormat="1" x14ac:dyDescent="0.25">
      <c r="A1950" s="161" t="str">
        <f t="shared" si="36"/>
        <v>SAVAGE_ED_AFRI</v>
      </c>
      <c r="B1950" s="9" t="s">
        <v>2085</v>
      </c>
      <c r="C1950" s="5" t="s">
        <v>694</v>
      </c>
      <c r="D1950" s="5"/>
      <c r="E1950" s="5" t="s">
        <v>2585</v>
      </c>
      <c r="F1950" s="5" t="s">
        <v>2585</v>
      </c>
      <c r="G1950" s="5"/>
      <c r="H1950" s="5" t="s">
        <v>2092</v>
      </c>
      <c r="I1950" s="5" t="s">
        <v>1025</v>
      </c>
      <c r="J1950" s="6"/>
      <c r="K1950" s="7">
        <v>1</v>
      </c>
      <c r="L1950" s="13"/>
      <c r="M1950" s="8"/>
      <c r="N1950" s="5"/>
      <c r="O1950" s="5"/>
      <c r="P1950" s="5"/>
      <c r="Q1950" s="6"/>
      <c r="R1950" s="6"/>
      <c r="S1950" s="13"/>
      <c r="T1950" s="6"/>
      <c r="U1950" s="7"/>
      <c r="V1950" s="5"/>
      <c r="W1950" s="7"/>
      <c r="X1950" s="6"/>
      <c r="Y1950" s="5"/>
      <c r="Z1950" s="7"/>
      <c r="AA1950" s="6"/>
      <c r="AB1950" s="5"/>
      <c r="AC1950" s="6"/>
      <c r="AD1950" s="6"/>
      <c r="AE1950" s="5"/>
      <c r="AF1950" s="6"/>
      <c r="AG1950" s="6"/>
      <c r="AH1950" s="5"/>
      <c r="AI1950" s="6"/>
      <c r="AJ1950" s="6"/>
      <c r="AK1950" s="5"/>
      <c r="AL1950" s="5"/>
      <c r="AM1950" s="5"/>
      <c r="AN1950" s="5"/>
      <c r="AO1950" s="5"/>
      <c r="AP1950" s="5"/>
      <c r="AQ1950" s="5"/>
    </row>
    <row r="1951" spans="1:43" s="2" customFormat="1" x14ac:dyDescent="0.25">
      <c r="A1951" s="161" t="str">
        <f t="shared" si="36"/>
        <v>SAVAGE_ED_EASTEU</v>
      </c>
      <c r="B1951" s="9" t="s">
        <v>2085</v>
      </c>
      <c r="C1951" s="5" t="s">
        <v>698</v>
      </c>
      <c r="D1951" s="5"/>
      <c r="E1951" s="5" t="s">
        <v>2585</v>
      </c>
      <c r="F1951" s="5" t="s">
        <v>2585</v>
      </c>
      <c r="G1951" s="5"/>
      <c r="H1951" s="5" t="s">
        <v>887</v>
      </c>
      <c r="I1951" s="5" t="s">
        <v>1822</v>
      </c>
      <c r="J1951" s="6"/>
      <c r="K1951" s="7">
        <v>1</v>
      </c>
      <c r="L1951" s="13"/>
      <c r="M1951" s="8"/>
      <c r="N1951" s="5"/>
      <c r="O1951" s="5"/>
      <c r="P1951" s="5"/>
      <c r="Q1951" s="6"/>
      <c r="R1951" s="6"/>
      <c r="S1951" s="13"/>
      <c r="T1951" s="6"/>
      <c r="U1951" s="7"/>
      <c r="V1951" s="5"/>
      <c r="W1951" s="7"/>
      <c r="X1951" s="6"/>
      <c r="Y1951" s="5"/>
      <c r="Z1951" s="7"/>
      <c r="AA1951" s="6"/>
      <c r="AB1951" s="5"/>
      <c r="AC1951" s="6"/>
      <c r="AD1951" s="6"/>
      <c r="AE1951" s="5"/>
      <c r="AF1951" s="6"/>
      <c r="AG1951" s="6"/>
      <c r="AH1951" s="5"/>
      <c r="AI1951" s="6"/>
      <c r="AJ1951" s="6"/>
      <c r="AK1951" s="5"/>
      <c r="AL1951" s="5"/>
      <c r="AM1951" s="5"/>
      <c r="AN1951" s="5"/>
      <c r="AO1951" s="5"/>
      <c r="AP1951" s="5"/>
      <c r="AQ1951" s="5"/>
    </row>
    <row r="1952" spans="1:43" s="2" customFormat="1" x14ac:dyDescent="0.25">
      <c r="A1952" s="161" t="str">
        <f t="shared" si="36"/>
        <v>SAVAGE_ED_CELTS</v>
      </c>
      <c r="B1952" s="9" t="s">
        <v>2085</v>
      </c>
      <c r="C1952" s="5" t="s">
        <v>709</v>
      </c>
      <c r="D1952" s="5"/>
      <c r="E1952" s="5" t="s">
        <v>2585</v>
      </c>
      <c r="F1952" s="5" t="s">
        <v>2585</v>
      </c>
      <c r="G1952" s="5"/>
      <c r="H1952" s="5" t="s">
        <v>236</v>
      </c>
      <c r="I1952" s="5" t="s">
        <v>1055</v>
      </c>
      <c r="J1952" s="6"/>
      <c r="K1952" s="7">
        <v>1</v>
      </c>
      <c r="L1952" s="13"/>
      <c r="M1952" s="8"/>
      <c r="N1952" s="5"/>
      <c r="O1952" s="5"/>
      <c r="P1952" s="5"/>
      <c r="Q1952" s="6"/>
      <c r="R1952" s="6"/>
      <c r="S1952" s="13"/>
      <c r="T1952" s="6"/>
      <c r="U1952" s="7"/>
      <c r="V1952" s="5"/>
      <c r="W1952" s="7"/>
      <c r="X1952" s="6"/>
      <c r="Y1952" s="5"/>
      <c r="Z1952" s="7"/>
      <c r="AA1952" s="6"/>
      <c r="AB1952" s="5"/>
      <c r="AC1952" s="6"/>
      <c r="AD1952" s="6"/>
      <c r="AE1952" s="5"/>
      <c r="AF1952" s="6"/>
      <c r="AG1952" s="6"/>
      <c r="AH1952" s="5"/>
      <c r="AI1952" s="6"/>
      <c r="AJ1952" s="6"/>
      <c r="AK1952" s="5"/>
      <c r="AL1952" s="5"/>
      <c r="AM1952" s="5"/>
      <c r="AN1952" s="5"/>
      <c r="AO1952" s="5"/>
      <c r="AP1952" s="5"/>
      <c r="AQ1952" s="5"/>
    </row>
    <row r="1953" spans="1:43" s="2" customFormat="1" x14ac:dyDescent="0.25">
      <c r="A1953" s="161" t="str">
        <f>CONCATENATE(E1953,IF(ISBLANK(C1953),"",CONCATENATE("_",C1953)))</f>
        <v>SAVAGE_ED_ENGLAND</v>
      </c>
      <c r="B1953" s="9" t="s">
        <v>2085</v>
      </c>
      <c r="C1953" s="4" t="s">
        <v>713</v>
      </c>
      <c r="D1953" s="4" t="s">
        <v>709</v>
      </c>
      <c r="E1953" s="5" t="s">
        <v>2585</v>
      </c>
      <c r="F1953" s="5" t="s">
        <v>2585</v>
      </c>
      <c r="G1953" s="4"/>
      <c r="H1953" s="4"/>
      <c r="I1953" s="4"/>
      <c r="J1953" s="11"/>
      <c r="K1953" s="7">
        <v>1</v>
      </c>
      <c r="L1953" s="4"/>
      <c r="M1953" s="12"/>
      <c r="N1953" s="4"/>
      <c r="O1953" s="4"/>
      <c r="P1953" s="4"/>
      <c r="Q1953" s="9"/>
      <c r="R1953" s="11"/>
      <c r="S1953" s="4"/>
      <c r="T1953" s="11"/>
      <c r="U1953" s="11"/>
      <c r="V1953" s="4"/>
      <c r="W1953" s="11"/>
      <c r="X1953" s="11"/>
      <c r="Y1953" s="4"/>
      <c r="Z1953" s="9"/>
      <c r="AA1953" s="11"/>
      <c r="AB1953" s="4"/>
      <c r="AC1953" s="11"/>
      <c r="AD1953" s="11"/>
      <c r="AE1953" s="4"/>
      <c r="AF1953" s="11"/>
      <c r="AG1953" s="11"/>
      <c r="AH1953" s="4"/>
      <c r="AI1953" s="11"/>
      <c r="AJ1953" s="11"/>
      <c r="AK1953" s="4"/>
      <c r="AL1953" s="4"/>
      <c r="AM1953" s="4"/>
      <c r="AN1953" s="4"/>
      <c r="AO1953" s="4"/>
      <c r="AP1953" s="4"/>
      <c r="AQ1953" s="4"/>
    </row>
    <row r="1954" spans="1:43" s="2" customFormat="1" x14ac:dyDescent="0.25">
      <c r="A1954" s="161" t="str">
        <f>CONCATENATE(E1954,IF(ISBLANK(C1954),"",CONCATENATE("_",C1954)))</f>
        <v>SAVAGE_ED_GERMANY</v>
      </c>
      <c r="B1954" s="211" t="s">
        <v>2085</v>
      </c>
      <c r="C1954" s="212" t="s">
        <v>717</v>
      </c>
      <c r="D1954" s="213" t="s">
        <v>698</v>
      </c>
      <c r="E1954" s="213" t="s">
        <v>2585</v>
      </c>
      <c r="F1954" s="213" t="s">
        <v>2585</v>
      </c>
      <c r="G1954" s="213"/>
      <c r="H1954" s="212"/>
      <c r="I1954" s="213"/>
      <c r="J1954" s="211"/>
      <c r="K1954" s="211">
        <v>1</v>
      </c>
      <c r="L1954" s="213"/>
      <c r="M1954" s="213"/>
      <c r="N1954" s="211">
        <v>0</v>
      </c>
      <c r="O1954" s="211"/>
      <c r="P1954" s="213"/>
      <c r="Q1954" s="211"/>
      <c r="R1954" s="211"/>
      <c r="S1954" s="213"/>
      <c r="T1954" s="211"/>
      <c r="U1954" s="211"/>
      <c r="V1954" s="213"/>
      <c r="W1954" s="211"/>
      <c r="X1954" s="211"/>
      <c r="Y1954" s="213"/>
      <c r="Z1954" s="211"/>
      <c r="AA1954" s="211"/>
      <c r="AB1954" s="213"/>
      <c r="AC1954" s="211"/>
      <c r="AD1954" s="211"/>
      <c r="AE1954" s="213"/>
      <c r="AF1954" s="211"/>
      <c r="AG1954" s="211"/>
      <c r="AH1954" s="213"/>
      <c r="AI1954" s="213"/>
      <c r="AJ1954" s="213"/>
      <c r="AK1954" s="213"/>
      <c r="AL1954" s="213"/>
      <c r="AM1954" s="213"/>
      <c r="AN1954" s="213"/>
      <c r="AO1954" s="4"/>
      <c r="AP1954" s="4"/>
      <c r="AQ1954" s="4"/>
    </row>
    <row r="1955" spans="1:43" s="2" customFormat="1" x14ac:dyDescent="0.25">
      <c r="A1955" s="161" t="str">
        <f>CONCATENATE(E1955,IF(ISBLANK(C1955),"",CONCATENATE("_",C1955)))</f>
        <v>SAVAGE_ED_MIDEAST</v>
      </c>
      <c r="B1955" s="211" t="s">
        <v>2085</v>
      </c>
      <c r="C1955" s="212" t="s">
        <v>690</v>
      </c>
      <c r="D1955" s="213"/>
      <c r="E1955" s="213" t="s">
        <v>2585</v>
      </c>
      <c r="F1955" s="213" t="s">
        <v>2585</v>
      </c>
      <c r="G1955" s="213"/>
      <c r="H1955" s="212" t="s">
        <v>2183</v>
      </c>
      <c r="I1955" s="4" t="s">
        <v>1794</v>
      </c>
      <c r="J1955" s="211"/>
      <c r="K1955" s="211">
        <v>1</v>
      </c>
      <c r="L1955" s="213"/>
      <c r="M1955" s="213"/>
      <c r="N1955" s="211"/>
      <c r="O1955" s="211"/>
      <c r="P1955" s="213"/>
      <c r="Q1955" s="211"/>
      <c r="R1955" s="211"/>
      <c r="S1955" s="213"/>
      <c r="T1955" s="211"/>
      <c r="U1955" s="211"/>
      <c r="V1955" s="213"/>
      <c r="W1955" s="211"/>
      <c r="X1955" s="211"/>
      <c r="Y1955" s="213"/>
      <c r="Z1955" s="211"/>
      <c r="AA1955" s="211"/>
      <c r="AB1955" s="213"/>
      <c r="AC1955" s="211"/>
      <c r="AD1955" s="211"/>
      <c r="AE1955" s="213"/>
      <c r="AF1955" s="211"/>
      <c r="AG1955" s="211"/>
      <c r="AH1955" s="213"/>
      <c r="AI1955" s="213"/>
      <c r="AJ1955" s="213"/>
      <c r="AK1955" s="213"/>
      <c r="AL1955" s="213"/>
      <c r="AM1955" s="213"/>
      <c r="AN1955" s="213"/>
      <c r="AO1955" s="4"/>
      <c r="AP1955" s="4"/>
      <c r="AQ1955" s="4"/>
    </row>
    <row r="1956" spans="1:43" s="2" customFormat="1" x14ac:dyDescent="0.25">
      <c r="A1956" s="161" t="str">
        <f t="shared" si="36"/>
        <v>SAVAGE_ED_NORTHEU</v>
      </c>
      <c r="B1956" s="9" t="s">
        <v>2085</v>
      </c>
      <c r="C1956" s="5" t="s">
        <v>962</v>
      </c>
      <c r="D1956" s="5"/>
      <c r="E1956" s="5" t="s">
        <v>2585</v>
      </c>
      <c r="F1956" s="5" t="s">
        <v>2585</v>
      </c>
      <c r="G1956" s="5"/>
      <c r="H1956" s="5" t="s">
        <v>2618</v>
      </c>
      <c r="I1956" s="5" t="s">
        <v>2125</v>
      </c>
      <c r="J1956" s="6"/>
      <c r="K1956" s="7">
        <v>1</v>
      </c>
      <c r="L1956" s="13"/>
      <c r="M1956" s="8"/>
      <c r="N1956" s="5"/>
      <c r="O1956" s="5"/>
      <c r="P1956" s="5"/>
      <c r="Q1956" s="6"/>
      <c r="R1956" s="6"/>
      <c r="S1956" s="13"/>
      <c r="T1956" s="6"/>
      <c r="U1956" s="7"/>
      <c r="V1956" s="5"/>
      <c r="W1956" s="7"/>
      <c r="X1956" s="6"/>
      <c r="Y1956" s="5"/>
      <c r="Z1956" s="7"/>
      <c r="AA1956" s="6"/>
      <c r="AB1956" s="5"/>
      <c r="AC1956" s="6"/>
      <c r="AD1956" s="6"/>
      <c r="AE1956" s="5"/>
      <c r="AF1956" s="6"/>
      <c r="AG1956" s="6"/>
      <c r="AH1956" s="5"/>
      <c r="AI1956" s="6"/>
      <c r="AJ1956" s="6"/>
      <c r="AK1956" s="5"/>
      <c r="AL1956" s="5"/>
      <c r="AM1956" s="5"/>
      <c r="AN1956" s="5"/>
      <c r="AO1956" s="5"/>
      <c r="AP1956" s="5"/>
      <c r="AQ1956" s="5"/>
    </row>
    <row r="1957" spans="1:43" x14ac:dyDescent="0.25">
      <c r="A1957" s="161" t="str">
        <f t="shared" si="36"/>
        <v>SAVAGE_ED_NORTHAF</v>
      </c>
      <c r="B1957" s="9" t="s">
        <v>2085</v>
      </c>
      <c r="C1957" s="5" t="s">
        <v>2011</v>
      </c>
      <c r="D1957" s="5"/>
      <c r="E1957" s="5" t="s">
        <v>2585</v>
      </c>
      <c r="F1957" s="5" t="s">
        <v>2585</v>
      </c>
      <c r="G1957" s="5"/>
      <c r="H1957" s="5" t="s">
        <v>2095</v>
      </c>
      <c r="I1957" s="5" t="s">
        <v>1025</v>
      </c>
      <c r="J1957" s="6"/>
      <c r="K1957" s="7">
        <v>1</v>
      </c>
      <c r="L1957" s="13"/>
      <c r="M1957" s="8"/>
      <c r="N1957" s="13"/>
      <c r="O1957" s="13"/>
      <c r="P1957" s="13"/>
      <c r="Q1957" s="7">
        <v>2</v>
      </c>
      <c r="R1957" s="6"/>
      <c r="S1957" s="5"/>
      <c r="T1957" s="6">
        <v>2</v>
      </c>
      <c r="U1957" s="7"/>
      <c r="V1957" s="5"/>
      <c r="W1957" s="6"/>
      <c r="X1957" s="6"/>
      <c r="Y1957" s="5"/>
      <c r="Z1957" s="6">
        <v>1</v>
      </c>
      <c r="AA1957" s="6"/>
      <c r="AB1957" s="5"/>
      <c r="AC1957" s="6"/>
      <c r="AD1957" s="6"/>
      <c r="AE1957" s="5"/>
      <c r="AF1957" s="6">
        <v>1</v>
      </c>
      <c r="AG1957" s="6"/>
      <c r="AH1957" s="5"/>
      <c r="AI1957" s="6">
        <v>2</v>
      </c>
      <c r="AJ1957" s="6"/>
      <c r="AK1957" s="5"/>
      <c r="AL1957" s="5"/>
      <c r="AM1957" s="5"/>
      <c r="AN1957" s="5"/>
      <c r="AO1957" s="5"/>
      <c r="AP1957" s="5"/>
      <c r="AQ1957" s="5"/>
    </row>
    <row r="1958" spans="1:43" x14ac:dyDescent="0.25">
      <c r="A1958" s="161" t="str">
        <f t="shared" si="36"/>
        <v>SAVAGE_ED_NORTHAF</v>
      </c>
      <c r="B1958" s="9" t="s">
        <v>2085</v>
      </c>
      <c r="C1958" s="5" t="s">
        <v>2011</v>
      </c>
      <c r="D1958" s="5"/>
      <c r="E1958" s="5" t="s">
        <v>2585</v>
      </c>
      <c r="F1958" s="5" t="s">
        <v>2585</v>
      </c>
      <c r="G1958" s="5"/>
      <c r="H1958" s="5" t="s">
        <v>2096</v>
      </c>
      <c r="I1958" s="5" t="s">
        <v>1025</v>
      </c>
      <c r="J1958" s="6"/>
      <c r="K1958" s="7">
        <v>1</v>
      </c>
      <c r="L1958" s="13"/>
      <c r="M1958" s="8"/>
      <c r="N1958" s="13"/>
      <c r="O1958" s="13"/>
      <c r="P1958" s="13"/>
      <c r="Q1958" s="7">
        <v>2</v>
      </c>
      <c r="R1958" s="6"/>
      <c r="S1958" s="5"/>
      <c r="T1958" s="6">
        <v>3</v>
      </c>
      <c r="U1958" s="7"/>
      <c r="V1958" s="5"/>
      <c r="W1958" s="6"/>
      <c r="X1958" s="6"/>
      <c r="Y1958" s="5"/>
      <c r="Z1958" s="6">
        <v>0</v>
      </c>
      <c r="AA1958" s="6"/>
      <c r="AB1958" s="5"/>
      <c r="AC1958" s="6"/>
      <c r="AD1958" s="6"/>
      <c r="AE1958" s="5"/>
      <c r="AF1958" s="6">
        <v>1</v>
      </c>
      <c r="AG1958" s="6"/>
      <c r="AH1958" s="5"/>
      <c r="AI1958" s="6">
        <v>1</v>
      </c>
      <c r="AJ1958" s="6"/>
      <c r="AK1958" s="5"/>
      <c r="AL1958" s="5"/>
      <c r="AM1958" s="5"/>
      <c r="AN1958" s="5"/>
      <c r="AO1958" s="5"/>
      <c r="AP1958" s="5"/>
      <c r="AQ1958" s="5"/>
    </row>
    <row r="1959" spans="1:43" x14ac:dyDescent="0.25">
      <c r="A1959" s="161" t="str">
        <f t="shared" si="36"/>
        <v>SAVAGE_ED_NORTHAF</v>
      </c>
      <c r="B1959" s="9" t="s">
        <v>2085</v>
      </c>
      <c r="C1959" s="5" t="s">
        <v>2011</v>
      </c>
      <c r="D1959" s="5"/>
      <c r="E1959" s="5" t="s">
        <v>2585</v>
      </c>
      <c r="F1959" s="5" t="s">
        <v>2585</v>
      </c>
      <c r="G1959" s="5"/>
      <c r="H1959" s="5" t="s">
        <v>2095</v>
      </c>
      <c r="I1959" s="5" t="s">
        <v>1025</v>
      </c>
      <c r="J1959" s="6"/>
      <c r="K1959" s="7">
        <v>1</v>
      </c>
      <c r="L1959" s="13"/>
      <c r="M1959" s="8"/>
      <c r="N1959" s="13"/>
      <c r="O1959" s="13"/>
      <c r="P1959" s="13"/>
      <c r="Q1959" s="7">
        <v>2</v>
      </c>
      <c r="R1959" s="6"/>
      <c r="S1959" s="5"/>
      <c r="T1959" s="6">
        <v>3</v>
      </c>
      <c r="U1959" s="7"/>
      <c r="V1959" s="5"/>
      <c r="W1959" s="6"/>
      <c r="X1959" s="6"/>
      <c r="Y1959" s="5"/>
      <c r="Z1959" s="6">
        <v>0</v>
      </c>
      <c r="AA1959" s="6"/>
      <c r="AB1959" s="5"/>
      <c r="AC1959" s="6"/>
      <c r="AD1959" s="6"/>
      <c r="AE1959" s="5"/>
      <c r="AF1959" s="6">
        <v>0</v>
      </c>
      <c r="AG1959" s="6"/>
      <c r="AH1959" s="5"/>
      <c r="AI1959" s="6">
        <v>1</v>
      </c>
      <c r="AJ1959" s="6"/>
      <c r="AK1959" s="5"/>
      <c r="AL1959" s="5"/>
      <c r="AM1959" s="5"/>
      <c r="AN1959" s="5"/>
      <c r="AO1959" s="5"/>
      <c r="AP1959" s="5"/>
      <c r="AQ1959" s="5"/>
    </row>
    <row r="1960" spans="1:43" x14ac:dyDescent="0.25">
      <c r="A1960" s="161" t="str">
        <f t="shared" si="36"/>
        <v>SAVAGE_ED_NORTHAF</v>
      </c>
      <c r="B1960" s="9" t="s">
        <v>2085</v>
      </c>
      <c r="C1960" s="5" t="s">
        <v>2011</v>
      </c>
      <c r="D1960" s="5"/>
      <c r="E1960" s="5" t="s">
        <v>2585</v>
      </c>
      <c r="F1960" s="5" t="s">
        <v>2585</v>
      </c>
      <c r="G1960" s="5"/>
      <c r="H1960" s="5" t="s">
        <v>2096</v>
      </c>
      <c r="I1960" s="5" t="s">
        <v>1025</v>
      </c>
      <c r="J1960" s="6"/>
      <c r="K1960" s="7">
        <v>1</v>
      </c>
      <c r="L1960" s="13"/>
      <c r="M1960" s="8"/>
      <c r="N1960" s="13"/>
      <c r="O1960" s="13"/>
      <c r="P1960" s="13"/>
      <c r="Q1960" s="7">
        <v>0</v>
      </c>
      <c r="R1960" s="6"/>
      <c r="S1960" s="5"/>
      <c r="T1960" s="6">
        <v>2</v>
      </c>
      <c r="U1960" s="7"/>
      <c r="V1960" s="5"/>
      <c r="W1960" s="6"/>
      <c r="X1960" s="6"/>
      <c r="Y1960" s="5"/>
      <c r="Z1960" s="6">
        <v>0</v>
      </c>
      <c r="AA1960" s="6"/>
      <c r="AB1960" s="5"/>
      <c r="AC1960" s="6"/>
      <c r="AD1960" s="6"/>
      <c r="AE1960" s="5"/>
      <c r="AF1960" s="6">
        <v>0</v>
      </c>
      <c r="AG1960" s="6"/>
      <c r="AH1960" s="5"/>
      <c r="AI1960" s="6">
        <v>1</v>
      </c>
      <c r="AJ1960" s="6"/>
      <c r="AK1960" s="5"/>
      <c r="AL1960" s="5"/>
      <c r="AM1960" s="5"/>
      <c r="AN1960" s="5"/>
      <c r="AO1960" s="5"/>
      <c r="AP1960" s="5"/>
      <c r="AQ1960" s="5"/>
    </row>
    <row r="1961" spans="1:43" x14ac:dyDescent="0.25">
      <c r="A1961" s="161" t="str">
        <f t="shared" si="36"/>
        <v>SHAMAN</v>
      </c>
      <c r="B1961" s="9" t="s">
        <v>2521</v>
      </c>
      <c r="C1961" s="5"/>
      <c r="D1961" s="5"/>
      <c r="E1961" s="5" t="s">
        <v>2521</v>
      </c>
      <c r="F1961" s="5" t="s">
        <v>2521</v>
      </c>
      <c r="G1961" s="5"/>
      <c r="H1961" s="5" t="s">
        <v>2091</v>
      </c>
      <c r="I1961" s="5" t="s">
        <v>102</v>
      </c>
      <c r="J1961" s="6"/>
      <c r="K1961" s="7">
        <v>1</v>
      </c>
      <c r="L1961" s="13"/>
      <c r="M1961" s="8"/>
      <c r="N1961" s="13"/>
      <c r="O1961" s="13"/>
      <c r="P1961" s="13"/>
      <c r="Q1961" s="7">
        <v>3</v>
      </c>
      <c r="R1961" s="6">
        <v>0.13500000000000001</v>
      </c>
      <c r="S1961" s="5" t="s">
        <v>1614</v>
      </c>
      <c r="T1961" s="6"/>
      <c r="U1961" s="7"/>
      <c r="V1961" s="5"/>
      <c r="W1961" s="6"/>
      <c r="X1961" s="6"/>
      <c r="Y1961" s="5"/>
      <c r="Z1961" s="6">
        <v>1</v>
      </c>
      <c r="AA1961" s="6"/>
      <c r="AB1961" s="5"/>
      <c r="AC1961" s="6"/>
      <c r="AD1961" s="6"/>
      <c r="AE1961" s="5"/>
      <c r="AF1961" s="6">
        <v>2</v>
      </c>
      <c r="AG1961" s="6"/>
      <c r="AH1961" s="5"/>
      <c r="AI1961" s="6">
        <v>3</v>
      </c>
      <c r="AJ1961" s="6"/>
      <c r="AK1961" s="5"/>
      <c r="AL1961" s="5"/>
      <c r="AM1961" s="5"/>
      <c r="AN1961" s="5"/>
      <c r="AO1961" s="5"/>
      <c r="AP1961" s="5"/>
      <c r="AQ1961" s="5"/>
    </row>
    <row r="1962" spans="1:43" x14ac:dyDescent="0.25">
      <c r="A1962" s="161" t="str">
        <f>CONCATENATE(E1962,IF(ISBLANK(C1962),"",CONCATENATE("_",C1962)))</f>
        <v>2HANDER</v>
      </c>
      <c r="B1962" s="9" t="s">
        <v>2524</v>
      </c>
      <c r="C1962" s="5"/>
      <c r="D1962" s="5"/>
      <c r="E1962" s="5" t="s">
        <v>2524</v>
      </c>
      <c r="F1962" s="5" t="s">
        <v>2524</v>
      </c>
      <c r="G1962" s="5"/>
      <c r="H1962" s="5" t="s">
        <v>2164</v>
      </c>
      <c r="I1962" s="5" t="s">
        <v>1813</v>
      </c>
      <c r="J1962" s="6"/>
      <c r="K1962" s="7">
        <v>1</v>
      </c>
      <c r="L1962" s="13"/>
      <c r="M1962" s="8"/>
      <c r="N1962" s="13"/>
      <c r="O1962" s="13"/>
      <c r="P1962" s="13"/>
      <c r="Q1962" s="7" t="s">
        <v>1737</v>
      </c>
      <c r="R1962" s="6" t="s">
        <v>1737</v>
      </c>
      <c r="S1962" s="13" t="s">
        <v>22</v>
      </c>
      <c r="T1962" s="7" t="s">
        <v>1737</v>
      </c>
      <c r="U1962" s="7" t="s">
        <v>1695</v>
      </c>
      <c r="V1962" s="5"/>
      <c r="W1962" s="6" t="s">
        <v>3</v>
      </c>
      <c r="X1962" s="6" t="s">
        <v>3</v>
      </c>
      <c r="Y1962" s="5"/>
      <c r="Z1962" s="7">
        <v>1</v>
      </c>
      <c r="AA1962" s="6"/>
      <c r="AB1962" s="5"/>
      <c r="AC1962" s="6"/>
      <c r="AD1962" s="6" t="s">
        <v>3</v>
      </c>
      <c r="AE1962" s="5"/>
      <c r="AF1962" s="7" t="s">
        <v>1737</v>
      </c>
      <c r="AG1962" s="6"/>
      <c r="AH1962" s="5"/>
      <c r="AI1962" s="7" t="s">
        <v>1737</v>
      </c>
      <c r="AJ1962" s="6"/>
      <c r="AK1962" s="5"/>
      <c r="AL1962" s="5"/>
      <c r="AM1962" s="5"/>
      <c r="AN1962" s="5"/>
      <c r="AO1962" s="5"/>
      <c r="AP1962" s="5"/>
      <c r="AQ1962" s="5"/>
    </row>
    <row r="1963" spans="1:43" x14ac:dyDescent="0.25">
      <c r="A1963" s="161" t="str">
        <f t="shared" ref="A1963:A1972" si="37">CONCATENATE(E1963,IF(ISBLANK(C1963),"",CONCATENATE("_",C1963)))</f>
        <v>2HANDER_ED</v>
      </c>
      <c r="B1963" s="9" t="s">
        <v>2524</v>
      </c>
      <c r="C1963" s="5"/>
      <c r="D1963" s="5"/>
      <c r="E1963" s="5" t="s">
        <v>2588</v>
      </c>
      <c r="F1963" s="5" t="s">
        <v>2588</v>
      </c>
      <c r="G1963" s="5"/>
      <c r="H1963" s="5" t="s">
        <v>2164</v>
      </c>
      <c r="I1963" s="5" t="s">
        <v>1813</v>
      </c>
      <c r="J1963" s="6"/>
      <c r="K1963" s="7">
        <v>1</v>
      </c>
      <c r="L1963" s="13"/>
      <c r="M1963" s="8"/>
      <c r="N1963" s="13"/>
      <c r="O1963" s="13"/>
      <c r="P1963" s="13"/>
      <c r="Q1963" s="7" t="s">
        <v>1737</v>
      </c>
      <c r="R1963" s="6" t="s">
        <v>1737</v>
      </c>
      <c r="S1963" s="13" t="s">
        <v>22</v>
      </c>
      <c r="T1963" s="7" t="s">
        <v>1737</v>
      </c>
      <c r="U1963" s="7" t="s">
        <v>1695</v>
      </c>
      <c r="V1963" s="5"/>
      <c r="W1963" s="6" t="s">
        <v>3</v>
      </c>
      <c r="X1963" s="6" t="s">
        <v>3</v>
      </c>
      <c r="Y1963" s="5"/>
      <c r="Z1963" s="7">
        <v>1</v>
      </c>
      <c r="AA1963" s="6"/>
      <c r="AB1963" s="5"/>
      <c r="AC1963" s="6"/>
      <c r="AD1963" s="6" t="s">
        <v>3</v>
      </c>
      <c r="AE1963" s="5"/>
      <c r="AF1963" s="7" t="s">
        <v>1737</v>
      </c>
      <c r="AG1963" s="6"/>
      <c r="AH1963" s="5"/>
      <c r="AI1963" s="7" t="s">
        <v>1737</v>
      </c>
      <c r="AJ1963" s="6"/>
      <c r="AK1963" s="5"/>
      <c r="AL1963" s="5"/>
      <c r="AM1963" s="5"/>
      <c r="AN1963" s="5"/>
      <c r="AO1963" s="5"/>
      <c r="AP1963" s="5"/>
      <c r="AQ1963" s="5"/>
    </row>
    <row r="1964" spans="1:43" x14ac:dyDescent="0.25">
      <c r="A1964" s="161" t="str">
        <f t="shared" si="37"/>
        <v>2HANDER_ED_AUSTRIA</v>
      </c>
      <c r="B1964" s="9" t="s">
        <v>2524</v>
      </c>
      <c r="C1964" s="5" t="s">
        <v>701</v>
      </c>
      <c r="D1964" s="5" t="s">
        <v>717</v>
      </c>
      <c r="E1964" s="5" t="s">
        <v>2588</v>
      </c>
      <c r="F1964" s="5" t="s">
        <v>2588</v>
      </c>
      <c r="G1964" s="5"/>
      <c r="H1964" s="5"/>
      <c r="I1964" s="5"/>
      <c r="J1964" s="6"/>
      <c r="K1964" s="7">
        <v>1</v>
      </c>
      <c r="L1964" s="13"/>
      <c r="M1964" s="8"/>
      <c r="N1964" s="13"/>
      <c r="O1964" s="13"/>
      <c r="P1964" s="13"/>
      <c r="Q1964" s="7"/>
      <c r="R1964" s="6"/>
      <c r="S1964" s="13"/>
      <c r="T1964" s="7"/>
      <c r="U1964" s="7"/>
      <c r="V1964" s="5"/>
      <c r="W1964" s="6"/>
      <c r="X1964" s="6"/>
      <c r="Y1964" s="5"/>
      <c r="Z1964" s="7"/>
      <c r="AA1964" s="6"/>
      <c r="AB1964" s="5"/>
      <c r="AC1964" s="6"/>
      <c r="AD1964" s="6"/>
      <c r="AE1964" s="5"/>
      <c r="AF1964" s="7"/>
      <c r="AG1964" s="6"/>
      <c r="AH1964" s="5"/>
      <c r="AI1964" s="7"/>
      <c r="AJ1964" s="6"/>
      <c r="AK1964" s="5"/>
      <c r="AL1964" s="5"/>
      <c r="AM1964" s="5"/>
      <c r="AN1964" s="5"/>
      <c r="AO1964" s="5"/>
      <c r="AP1964" s="5"/>
      <c r="AQ1964" s="5"/>
    </row>
    <row r="1965" spans="1:43" x14ac:dyDescent="0.25">
      <c r="A1965" s="161" t="str">
        <f t="shared" si="37"/>
        <v>2HANDER_ED_BELGIUM</v>
      </c>
      <c r="B1965" s="9" t="s">
        <v>2524</v>
      </c>
      <c r="C1965" s="5" t="s">
        <v>704</v>
      </c>
      <c r="D1965" s="5" t="s">
        <v>717</v>
      </c>
      <c r="E1965" s="5" t="s">
        <v>2588</v>
      </c>
      <c r="F1965" s="5" t="s">
        <v>2588</v>
      </c>
      <c r="G1965" s="5"/>
      <c r="H1965" s="5"/>
      <c r="I1965" s="5"/>
      <c r="J1965" s="6"/>
      <c r="K1965" s="7">
        <v>1</v>
      </c>
      <c r="L1965" s="13"/>
      <c r="M1965" s="8"/>
      <c r="N1965" s="13"/>
      <c r="O1965" s="13"/>
      <c r="P1965" s="13"/>
      <c r="Q1965" s="7"/>
      <c r="R1965" s="6"/>
      <c r="S1965" s="13"/>
      <c r="T1965" s="7"/>
      <c r="U1965" s="7"/>
      <c r="V1965" s="5"/>
      <c r="W1965" s="6"/>
      <c r="X1965" s="6"/>
      <c r="Y1965" s="5"/>
      <c r="Z1965" s="7"/>
      <c r="AA1965" s="6"/>
      <c r="AB1965" s="5"/>
      <c r="AC1965" s="6"/>
      <c r="AD1965" s="6"/>
      <c r="AE1965" s="5"/>
      <c r="AF1965" s="7"/>
      <c r="AG1965" s="6"/>
      <c r="AH1965" s="5"/>
      <c r="AI1965" s="7"/>
      <c r="AJ1965" s="6"/>
      <c r="AK1965" s="5"/>
      <c r="AL1965" s="5"/>
      <c r="AM1965" s="5"/>
      <c r="AN1965" s="5"/>
      <c r="AO1965" s="5"/>
      <c r="AP1965" s="5"/>
      <c r="AQ1965" s="5"/>
    </row>
    <row r="1966" spans="1:43" x14ac:dyDescent="0.25">
      <c r="A1966" s="161" t="str">
        <f t="shared" si="37"/>
        <v>2HANDER_ED_BOHEMIA</v>
      </c>
      <c r="B1966" s="9" t="s">
        <v>2524</v>
      </c>
      <c r="C1966" s="5" t="s">
        <v>705</v>
      </c>
      <c r="D1966" s="5" t="s">
        <v>717</v>
      </c>
      <c r="E1966" s="5" t="s">
        <v>2588</v>
      </c>
      <c r="F1966" s="5" t="s">
        <v>2588</v>
      </c>
      <c r="G1966" s="5"/>
      <c r="H1966" s="5"/>
      <c r="I1966" s="5"/>
      <c r="J1966" s="6"/>
      <c r="K1966" s="7">
        <v>1</v>
      </c>
      <c r="L1966" s="13"/>
      <c r="M1966" s="8"/>
      <c r="N1966" s="13"/>
      <c r="O1966" s="13"/>
      <c r="P1966" s="13"/>
      <c r="Q1966" s="7"/>
      <c r="R1966" s="6"/>
      <c r="S1966" s="13"/>
      <c r="T1966" s="7"/>
      <c r="U1966" s="7"/>
      <c r="V1966" s="5"/>
      <c r="W1966" s="6"/>
      <c r="X1966" s="6"/>
      <c r="Y1966" s="5"/>
      <c r="Z1966" s="7"/>
      <c r="AA1966" s="6"/>
      <c r="AB1966" s="5"/>
      <c r="AC1966" s="6"/>
      <c r="AD1966" s="6"/>
      <c r="AE1966" s="5"/>
      <c r="AF1966" s="7"/>
      <c r="AG1966" s="6"/>
      <c r="AH1966" s="5"/>
      <c r="AI1966" s="7"/>
      <c r="AJ1966" s="6"/>
      <c r="AK1966" s="5"/>
      <c r="AL1966" s="5"/>
      <c r="AM1966" s="5"/>
      <c r="AN1966" s="5"/>
      <c r="AO1966" s="5"/>
      <c r="AP1966" s="5"/>
      <c r="AQ1966" s="5"/>
    </row>
    <row r="1967" spans="1:43" x14ac:dyDescent="0.25">
      <c r="A1967" s="161" t="str">
        <f t="shared" si="37"/>
        <v>2HANDER_ED_GERMANY</v>
      </c>
      <c r="B1967" s="9" t="s">
        <v>2524</v>
      </c>
      <c r="C1967" s="5" t="s">
        <v>717</v>
      </c>
      <c r="D1967" s="5"/>
      <c r="E1967" s="5" t="s">
        <v>2588</v>
      </c>
      <c r="F1967" s="5" t="s">
        <v>2588</v>
      </c>
      <c r="G1967" s="5"/>
      <c r="H1967" s="5" t="s">
        <v>2602</v>
      </c>
      <c r="I1967" s="5" t="s">
        <v>1813</v>
      </c>
      <c r="J1967" s="6"/>
      <c r="K1967" s="7">
        <v>1</v>
      </c>
      <c r="L1967" s="13"/>
      <c r="M1967" s="8"/>
      <c r="N1967" s="13"/>
      <c r="O1967" s="13"/>
      <c r="P1967" s="13"/>
      <c r="Q1967" s="7">
        <v>3</v>
      </c>
      <c r="R1967" s="6"/>
      <c r="S1967" s="13"/>
      <c r="T1967" s="7">
        <v>4</v>
      </c>
      <c r="U1967" s="7"/>
      <c r="V1967" s="5"/>
      <c r="W1967" s="6" t="s">
        <v>3</v>
      </c>
      <c r="X1967" s="6"/>
      <c r="Y1967" s="5"/>
      <c r="Z1967" s="7">
        <v>1</v>
      </c>
      <c r="AA1967" s="6"/>
      <c r="AB1967" s="5"/>
      <c r="AC1967" s="6"/>
      <c r="AD1967" s="6"/>
      <c r="AE1967" s="5"/>
      <c r="AF1967" s="7">
        <v>1</v>
      </c>
      <c r="AG1967" s="6"/>
      <c r="AH1967" s="5"/>
      <c r="AI1967" s="7">
        <v>2</v>
      </c>
      <c r="AJ1967" s="6"/>
      <c r="AK1967" s="5"/>
      <c r="AL1967" s="5"/>
      <c r="AM1967" s="5"/>
      <c r="AN1967" s="5"/>
      <c r="AO1967" s="5"/>
      <c r="AP1967" s="5"/>
      <c r="AQ1967" s="5"/>
    </row>
    <row r="1968" spans="1:43" x14ac:dyDescent="0.25">
      <c r="A1968" s="161" t="str">
        <f t="shared" si="37"/>
        <v>2HANDER_ED_GERMANY</v>
      </c>
      <c r="B1968" s="9" t="s">
        <v>2524</v>
      </c>
      <c r="C1968" s="5" t="s">
        <v>717</v>
      </c>
      <c r="D1968" s="5"/>
      <c r="E1968" s="5" t="s">
        <v>2588</v>
      </c>
      <c r="F1968" s="5" t="s">
        <v>2588</v>
      </c>
      <c r="G1968" s="5" t="s">
        <v>2047</v>
      </c>
      <c r="H1968" s="5" t="s">
        <v>2603</v>
      </c>
      <c r="I1968" s="5" t="s">
        <v>1813</v>
      </c>
      <c r="J1968" s="6"/>
      <c r="K1968" s="7">
        <v>1</v>
      </c>
      <c r="L1968" s="13"/>
      <c r="M1968" s="8"/>
      <c r="N1968" s="13"/>
      <c r="O1968" s="13"/>
      <c r="P1968" s="13"/>
      <c r="Q1968" s="7">
        <v>4</v>
      </c>
      <c r="R1968" s="6"/>
      <c r="S1968" s="13"/>
      <c r="T1968" s="7">
        <v>5</v>
      </c>
      <c r="U1968" s="7"/>
      <c r="V1968" s="5"/>
      <c r="W1968" s="6" t="s">
        <v>3</v>
      </c>
      <c r="X1968" s="6"/>
      <c r="Y1968" s="5"/>
      <c r="Z1968" s="7">
        <v>0</v>
      </c>
      <c r="AA1968" s="6"/>
      <c r="AB1968" s="5"/>
      <c r="AC1968" s="6"/>
      <c r="AD1968" s="6"/>
      <c r="AE1968" s="5"/>
      <c r="AF1968" s="7">
        <v>1</v>
      </c>
      <c r="AG1968" s="6"/>
      <c r="AH1968" s="5"/>
      <c r="AI1968" s="7">
        <v>2</v>
      </c>
      <c r="AJ1968" s="6"/>
      <c r="AK1968" s="5"/>
      <c r="AL1968" s="5"/>
      <c r="AM1968" s="5"/>
      <c r="AN1968" s="5"/>
      <c r="AO1968" s="5"/>
      <c r="AP1968" s="5"/>
      <c r="AQ1968" s="5"/>
    </row>
    <row r="1969" spans="1:43" x14ac:dyDescent="0.25">
      <c r="A1969" s="161" t="str">
        <f t="shared" si="37"/>
        <v>2HANDER_ED_GERMANY</v>
      </c>
      <c r="B1969" s="9" t="s">
        <v>2524</v>
      </c>
      <c r="C1969" s="5" t="s">
        <v>717</v>
      </c>
      <c r="D1969" s="5"/>
      <c r="E1969" s="5" t="s">
        <v>2588</v>
      </c>
      <c r="F1969" s="5" t="s">
        <v>2588</v>
      </c>
      <c r="G1969" s="5"/>
      <c r="H1969" s="5" t="s">
        <v>2602</v>
      </c>
      <c r="I1969" s="5" t="s">
        <v>1813</v>
      </c>
      <c r="J1969" s="6"/>
      <c r="K1969" s="7">
        <v>1</v>
      </c>
      <c r="L1969" s="13"/>
      <c r="M1969" s="8"/>
      <c r="N1969" s="13"/>
      <c r="O1969" s="13"/>
      <c r="P1969" s="13"/>
      <c r="Q1969" s="7">
        <v>3</v>
      </c>
      <c r="R1969" s="6"/>
      <c r="S1969" s="13"/>
      <c r="T1969" s="7">
        <v>4</v>
      </c>
      <c r="U1969" s="7"/>
      <c r="V1969" s="5"/>
      <c r="W1969" s="6" t="s">
        <v>3</v>
      </c>
      <c r="X1969" s="6"/>
      <c r="Y1969" s="5"/>
      <c r="Z1969" s="7">
        <v>0</v>
      </c>
      <c r="AA1969" s="6"/>
      <c r="AB1969" s="5"/>
      <c r="AC1969" s="6"/>
      <c r="AD1969" s="6"/>
      <c r="AE1969" s="5"/>
      <c r="AF1969" s="7">
        <v>1</v>
      </c>
      <c r="AG1969" s="6"/>
      <c r="AH1969" s="5"/>
      <c r="AI1969" s="7">
        <v>2</v>
      </c>
      <c r="AJ1969" s="6"/>
      <c r="AK1969" s="5"/>
      <c r="AL1969" s="5"/>
      <c r="AM1969" s="5"/>
      <c r="AN1969" s="5"/>
      <c r="AO1969" s="5"/>
      <c r="AP1969" s="5"/>
      <c r="AQ1969" s="5"/>
    </row>
    <row r="1970" spans="1:43" x14ac:dyDescent="0.25">
      <c r="A1970" s="161" t="str">
        <f t="shared" si="37"/>
        <v>2HANDER_ED_GERMANY</v>
      </c>
      <c r="B1970" s="9" t="s">
        <v>2524</v>
      </c>
      <c r="C1970" s="5" t="s">
        <v>717</v>
      </c>
      <c r="D1970" s="5"/>
      <c r="E1970" s="5" t="s">
        <v>2588</v>
      </c>
      <c r="F1970" s="5" t="s">
        <v>2588</v>
      </c>
      <c r="G1970" s="5" t="s">
        <v>2047</v>
      </c>
      <c r="H1970" s="5" t="s">
        <v>2603</v>
      </c>
      <c r="I1970" s="5" t="s">
        <v>1813</v>
      </c>
      <c r="J1970" s="6"/>
      <c r="K1970" s="7">
        <v>1</v>
      </c>
      <c r="L1970" s="13"/>
      <c r="M1970" s="8"/>
      <c r="N1970" s="13"/>
      <c r="O1970" s="13"/>
      <c r="P1970" s="13"/>
      <c r="Q1970" s="7">
        <v>2</v>
      </c>
      <c r="R1970" s="6"/>
      <c r="S1970" s="13"/>
      <c r="T1970" s="7">
        <v>3</v>
      </c>
      <c r="U1970" s="7"/>
      <c r="V1970" s="5"/>
      <c r="W1970" s="6" t="s">
        <v>3</v>
      </c>
      <c r="X1970" s="6"/>
      <c r="Y1970" s="5"/>
      <c r="Z1970" s="7">
        <v>0</v>
      </c>
      <c r="AA1970" s="6"/>
      <c r="AB1970" s="5"/>
      <c r="AC1970" s="6"/>
      <c r="AD1970" s="6"/>
      <c r="AE1970" s="5"/>
      <c r="AF1970" s="7">
        <v>0</v>
      </c>
      <c r="AG1970" s="6"/>
      <c r="AH1970" s="5"/>
      <c r="AI1970" s="7">
        <v>1</v>
      </c>
      <c r="AJ1970" s="6"/>
      <c r="AK1970" s="5"/>
      <c r="AL1970" s="5"/>
      <c r="AM1970" s="5"/>
      <c r="AN1970" s="5"/>
      <c r="AO1970" s="5"/>
      <c r="AP1970" s="5"/>
      <c r="AQ1970" s="5"/>
    </row>
    <row r="1971" spans="1:43" x14ac:dyDescent="0.25">
      <c r="A1971" s="161" t="str">
        <f t="shared" si="37"/>
        <v>2HANDER_ED_NETHERLANDS</v>
      </c>
      <c r="B1971" s="9" t="s">
        <v>2524</v>
      </c>
      <c r="C1971" s="5" t="s">
        <v>730</v>
      </c>
      <c r="D1971" s="5" t="s">
        <v>717</v>
      </c>
      <c r="E1971" s="5" t="s">
        <v>2588</v>
      </c>
      <c r="F1971" s="5" t="s">
        <v>2588</v>
      </c>
      <c r="G1971" s="5"/>
      <c r="H1971" s="5"/>
      <c r="I1971" s="5"/>
      <c r="J1971" s="6"/>
      <c r="K1971" s="7">
        <v>1</v>
      </c>
      <c r="L1971" s="13"/>
      <c r="M1971" s="8"/>
      <c r="N1971" s="13"/>
      <c r="O1971" s="13"/>
      <c r="P1971" s="13"/>
      <c r="Q1971" s="7"/>
      <c r="R1971" s="6"/>
      <c r="S1971" s="13"/>
      <c r="T1971" s="7"/>
      <c r="U1971" s="7"/>
      <c r="V1971" s="5"/>
      <c r="W1971" s="6"/>
      <c r="X1971" s="6"/>
      <c r="Y1971" s="5"/>
      <c r="Z1971" s="7"/>
      <c r="AA1971" s="6"/>
      <c r="AB1971" s="5"/>
      <c r="AC1971" s="6"/>
      <c r="AD1971" s="6"/>
      <c r="AE1971" s="5"/>
      <c r="AF1971" s="7"/>
      <c r="AG1971" s="6"/>
      <c r="AH1971" s="5"/>
      <c r="AI1971" s="7"/>
      <c r="AJ1971" s="6"/>
      <c r="AK1971" s="5"/>
      <c r="AL1971" s="5"/>
      <c r="AM1971" s="5"/>
      <c r="AN1971" s="5"/>
      <c r="AO1971" s="5"/>
      <c r="AP1971" s="5"/>
      <c r="AQ1971" s="5"/>
    </row>
    <row r="1972" spans="1:43" x14ac:dyDescent="0.25">
      <c r="A1972" s="161" t="str">
        <f t="shared" si="37"/>
        <v>2HANDER_ED_WITTENBERG</v>
      </c>
      <c r="B1972" s="9" t="s">
        <v>2524</v>
      </c>
      <c r="C1972" s="5" t="s">
        <v>1215</v>
      </c>
      <c r="D1972" s="5" t="s">
        <v>717</v>
      </c>
      <c r="E1972" s="5" t="s">
        <v>2588</v>
      </c>
      <c r="F1972" s="5" t="s">
        <v>2588</v>
      </c>
      <c r="G1972" s="5"/>
      <c r="H1972" s="5"/>
      <c r="I1972" s="5"/>
      <c r="J1972" s="6"/>
      <c r="K1972" s="7">
        <v>1</v>
      </c>
      <c r="L1972" s="13"/>
      <c r="M1972" s="8"/>
      <c r="N1972" s="13"/>
      <c r="O1972" s="13"/>
      <c r="P1972" s="13"/>
      <c r="Q1972" s="7"/>
      <c r="R1972" s="6"/>
      <c r="S1972" s="13"/>
      <c r="T1972" s="7"/>
      <c r="U1972" s="7"/>
      <c r="V1972" s="5"/>
      <c r="W1972" s="6"/>
      <c r="X1972" s="6"/>
      <c r="Y1972" s="5"/>
      <c r="Z1972" s="7"/>
      <c r="AA1972" s="6"/>
      <c r="AB1972" s="5"/>
      <c r="AC1972" s="6"/>
      <c r="AD1972" s="6"/>
      <c r="AE1972" s="5"/>
      <c r="AF1972" s="7"/>
      <c r="AG1972" s="6"/>
      <c r="AH1972" s="5"/>
      <c r="AI1972" s="7"/>
      <c r="AJ1972" s="6"/>
      <c r="AK1972" s="5"/>
      <c r="AL1972" s="5"/>
      <c r="AM1972" s="5"/>
      <c r="AN1972" s="5"/>
      <c r="AO1972" s="5"/>
      <c r="AP1972" s="5"/>
      <c r="AQ1972" s="5"/>
    </row>
    <row r="1973" spans="1:43" x14ac:dyDescent="0.25">
      <c r="A1973" s="161" t="str">
        <f t="shared" si="36"/>
        <v>2HANDER_ED_NORTHEU</v>
      </c>
      <c r="B1973" s="9" t="s">
        <v>2524</v>
      </c>
      <c r="C1973" s="5" t="s">
        <v>962</v>
      </c>
      <c r="D1973" s="5"/>
      <c r="E1973" s="5" t="s">
        <v>2588</v>
      </c>
      <c r="F1973" s="5" t="s">
        <v>2588</v>
      </c>
      <c r="G1973" s="5"/>
      <c r="H1973" s="5" t="s">
        <v>2406</v>
      </c>
      <c r="I1973" s="5" t="s">
        <v>1813</v>
      </c>
      <c r="J1973" s="6"/>
      <c r="K1973" s="7">
        <v>1</v>
      </c>
      <c r="L1973" s="13"/>
      <c r="M1973" s="8"/>
      <c r="N1973" s="13"/>
      <c r="O1973" s="13"/>
      <c r="P1973" s="13"/>
      <c r="Q1973" s="7"/>
      <c r="R1973" s="6"/>
      <c r="S1973" s="5"/>
      <c r="T1973" s="6"/>
      <c r="U1973" s="7"/>
      <c r="V1973" s="5"/>
      <c r="W1973" s="6"/>
      <c r="X1973" s="6"/>
      <c r="Y1973" s="5"/>
      <c r="Z1973" s="6"/>
      <c r="AA1973" s="6"/>
      <c r="AB1973" s="5"/>
      <c r="AC1973" s="6"/>
      <c r="AD1973" s="6"/>
      <c r="AE1973" s="5"/>
      <c r="AF1973" s="6"/>
      <c r="AG1973" s="6"/>
      <c r="AH1973" s="5"/>
      <c r="AI1973" s="6"/>
      <c r="AJ1973" s="6"/>
      <c r="AK1973" s="5"/>
      <c r="AL1973" s="5"/>
      <c r="AM1973" s="5"/>
      <c r="AN1973" s="5"/>
      <c r="AO1973" s="5"/>
      <c r="AP1973" s="5"/>
      <c r="AQ1973" s="5"/>
    </row>
    <row r="1974" spans="1:43" x14ac:dyDescent="0.25">
      <c r="A1974" s="161" t="str">
        <f t="shared" si="36"/>
        <v>2HANDER_ED_SWEDEN</v>
      </c>
      <c r="B1974" s="9" t="s">
        <v>2524</v>
      </c>
      <c r="C1974" s="5" t="s">
        <v>739</v>
      </c>
      <c r="D1974" s="5"/>
      <c r="E1974" s="5" t="s">
        <v>2588</v>
      </c>
      <c r="F1974" s="5" t="s">
        <v>2588</v>
      </c>
      <c r="G1974" s="5"/>
      <c r="H1974" s="5" t="s">
        <v>2407</v>
      </c>
      <c r="I1974" s="5" t="s">
        <v>1813</v>
      </c>
      <c r="J1974" s="6"/>
      <c r="K1974" s="7">
        <v>1</v>
      </c>
      <c r="L1974" s="13"/>
      <c r="M1974" s="8"/>
      <c r="N1974" s="13"/>
      <c r="O1974" s="13"/>
      <c r="P1974" s="13"/>
      <c r="Q1974" s="7"/>
      <c r="R1974" s="6"/>
      <c r="S1974" s="5"/>
      <c r="T1974" s="6"/>
      <c r="U1974" s="7"/>
      <c r="V1974" s="5"/>
      <c r="W1974" s="6"/>
      <c r="X1974" s="6"/>
      <c r="Y1974" s="5"/>
      <c r="Z1974" s="6"/>
      <c r="AA1974" s="6"/>
      <c r="AB1974" s="5"/>
      <c r="AC1974" s="6"/>
      <c r="AD1974" s="6"/>
      <c r="AE1974" s="5"/>
      <c r="AF1974" s="6"/>
      <c r="AG1974" s="6"/>
      <c r="AH1974" s="5"/>
      <c r="AI1974" s="6"/>
      <c r="AJ1974" s="6"/>
      <c r="AK1974" s="5"/>
      <c r="AL1974" s="5"/>
      <c r="AM1974" s="5"/>
      <c r="AN1974" s="5"/>
      <c r="AO1974" s="5"/>
      <c r="AP1974" s="5"/>
      <c r="AQ1974" s="5"/>
    </row>
    <row r="1975" spans="1:43" x14ac:dyDescent="0.25">
      <c r="A1975" s="161" t="str">
        <f t="shared" si="36"/>
        <v>2HANDER_ED_SOUTHAS</v>
      </c>
      <c r="B1975" s="9" t="s">
        <v>2524</v>
      </c>
      <c r="C1975" s="5" t="s">
        <v>695</v>
      </c>
      <c r="D1975" s="5"/>
      <c r="E1975" s="5" t="s">
        <v>2588</v>
      </c>
      <c r="F1975" s="5" t="s">
        <v>2588</v>
      </c>
      <c r="G1975" s="5"/>
      <c r="H1975" s="5" t="s">
        <v>2405</v>
      </c>
      <c r="I1975" s="5" t="s">
        <v>1813</v>
      </c>
      <c r="J1975" s="6"/>
      <c r="K1975" s="7">
        <v>1</v>
      </c>
      <c r="L1975" s="13"/>
      <c r="M1975" s="8"/>
      <c r="N1975" s="13"/>
      <c r="O1975" s="13"/>
      <c r="P1975" s="13"/>
      <c r="Q1975" s="7"/>
      <c r="R1975" s="6"/>
      <c r="S1975" s="5"/>
      <c r="T1975" s="6"/>
      <c r="U1975" s="7"/>
      <c r="V1975" s="5"/>
      <c r="W1975" s="6"/>
      <c r="X1975" s="6"/>
      <c r="Y1975" s="5"/>
      <c r="Z1975" s="6"/>
      <c r="AA1975" s="6"/>
      <c r="AB1975" s="5"/>
      <c r="AC1975" s="6"/>
      <c r="AD1975" s="6"/>
      <c r="AE1975" s="5"/>
      <c r="AF1975" s="6"/>
      <c r="AG1975" s="6"/>
      <c r="AH1975" s="5"/>
      <c r="AI1975" s="6"/>
      <c r="AJ1975" s="6"/>
      <c r="AK1975" s="5"/>
      <c r="AL1975" s="5"/>
      <c r="AM1975" s="5"/>
      <c r="AN1975" s="5"/>
      <c r="AO1975" s="5"/>
      <c r="AP1975" s="5"/>
      <c r="AQ1975" s="5"/>
    </row>
    <row r="1976" spans="1:43" x14ac:dyDescent="0.25">
      <c r="A1976" s="161" t="str">
        <f t="shared" si="36"/>
        <v>REITER</v>
      </c>
      <c r="B1976" s="9" t="s">
        <v>762</v>
      </c>
      <c r="C1976" s="5"/>
      <c r="D1976" s="5"/>
      <c r="E1976" s="5" t="s">
        <v>2525</v>
      </c>
      <c r="F1976" s="5" t="s">
        <v>2525</v>
      </c>
      <c r="G1976" s="5"/>
      <c r="H1976" s="5" t="s">
        <v>2165</v>
      </c>
      <c r="I1976" s="5" t="s">
        <v>1813</v>
      </c>
      <c r="J1976" s="6"/>
      <c r="K1976" s="7">
        <v>1</v>
      </c>
      <c r="L1976" s="13"/>
      <c r="M1976" s="8"/>
      <c r="N1976" s="13"/>
      <c r="O1976" s="13"/>
      <c r="P1976" s="13"/>
      <c r="Q1976" s="7" t="s">
        <v>1695</v>
      </c>
      <c r="R1976" s="6" t="s">
        <v>1695</v>
      </c>
      <c r="S1976" s="13" t="s">
        <v>1695</v>
      </c>
      <c r="T1976" s="7" t="s">
        <v>1695</v>
      </c>
      <c r="U1976" s="6" t="s">
        <v>1695</v>
      </c>
      <c r="V1976" s="5"/>
      <c r="W1976" s="6" t="s">
        <v>3</v>
      </c>
      <c r="X1976" s="6" t="s">
        <v>3</v>
      </c>
      <c r="Y1976" s="5"/>
      <c r="Z1976" s="6">
        <v>1</v>
      </c>
      <c r="AA1976" s="6"/>
      <c r="AB1976" s="5"/>
      <c r="AC1976" s="6"/>
      <c r="AD1976" s="6" t="s">
        <v>3</v>
      </c>
      <c r="AE1976" s="5"/>
      <c r="AF1976" s="6" t="s">
        <v>1695</v>
      </c>
      <c r="AG1976" s="6"/>
      <c r="AH1976" s="5"/>
      <c r="AI1976" s="6"/>
      <c r="AJ1976" s="6"/>
      <c r="AK1976" s="5"/>
      <c r="AL1976" s="5"/>
      <c r="AM1976" s="5"/>
      <c r="AN1976" s="5"/>
      <c r="AO1976" s="5"/>
      <c r="AP1976" s="5"/>
      <c r="AQ1976" s="5"/>
    </row>
    <row r="1977" spans="1:43" x14ac:dyDescent="0.25">
      <c r="A1977" s="161" t="str">
        <f t="shared" si="36"/>
        <v>RODELEROS</v>
      </c>
      <c r="B1977" s="9" t="s">
        <v>2526</v>
      </c>
      <c r="C1977" s="5"/>
      <c r="D1977" s="5"/>
      <c r="E1977" s="5" t="s">
        <v>2526</v>
      </c>
      <c r="F1977" s="5" t="s">
        <v>2526</v>
      </c>
      <c r="G1977" s="5"/>
      <c r="H1977" s="5" t="s">
        <v>2166</v>
      </c>
      <c r="I1977" s="5" t="s">
        <v>1813</v>
      </c>
      <c r="J1977" s="6"/>
      <c r="K1977" s="7">
        <v>1</v>
      </c>
      <c r="L1977" s="13"/>
      <c r="M1977" s="8"/>
      <c r="N1977" s="13"/>
      <c r="O1977" s="13"/>
      <c r="P1977" s="13"/>
      <c r="Q1977" s="7" t="s">
        <v>1737</v>
      </c>
      <c r="R1977" s="6" t="s">
        <v>1737</v>
      </c>
      <c r="S1977" s="13" t="s">
        <v>1737</v>
      </c>
      <c r="T1977" s="6" t="s">
        <v>1737</v>
      </c>
      <c r="U1977" s="7" t="s">
        <v>1737</v>
      </c>
      <c r="V1977" s="5"/>
      <c r="W1977" s="7" t="s">
        <v>3</v>
      </c>
      <c r="X1977" s="6" t="s">
        <v>3</v>
      </c>
      <c r="Y1977" s="5"/>
      <c r="Z1977" s="7">
        <v>1</v>
      </c>
      <c r="AA1977" s="6"/>
      <c r="AB1977" s="5"/>
      <c r="AC1977" s="6"/>
      <c r="AD1977" s="6" t="s">
        <v>3</v>
      </c>
      <c r="AE1977" s="5"/>
      <c r="AF1977" s="7" t="s">
        <v>1737</v>
      </c>
      <c r="AG1977" s="6"/>
      <c r="AH1977" s="5"/>
      <c r="AI1977" s="6" t="s">
        <v>1737</v>
      </c>
      <c r="AJ1977" s="6"/>
      <c r="AK1977" s="5"/>
      <c r="AL1977" s="5"/>
      <c r="AM1977" s="5"/>
      <c r="AN1977" s="5"/>
      <c r="AO1977" s="5"/>
      <c r="AP1977" s="5"/>
      <c r="AQ1977" s="5"/>
    </row>
    <row r="1978" spans="1:43" x14ac:dyDescent="0.25">
      <c r="A1978" s="161" t="str">
        <f t="shared" si="36"/>
        <v>FREE_COMPANY</v>
      </c>
      <c r="B1978" s="9" t="s">
        <v>2529</v>
      </c>
      <c r="C1978" s="5"/>
      <c r="D1978" s="5"/>
      <c r="E1978" s="5" t="s">
        <v>2527</v>
      </c>
      <c r="F1978" s="5" t="s">
        <v>2527</v>
      </c>
      <c r="G1978" s="5"/>
      <c r="H1978" s="5" t="s">
        <v>2168</v>
      </c>
      <c r="I1978" s="5" t="s">
        <v>1813</v>
      </c>
      <c r="J1978" s="6"/>
      <c r="K1978" s="7">
        <v>1</v>
      </c>
      <c r="L1978" s="13"/>
      <c r="M1978" s="8"/>
      <c r="N1978" s="13"/>
      <c r="O1978" s="13"/>
      <c r="P1978" s="13"/>
      <c r="Q1978" s="7">
        <v>6</v>
      </c>
      <c r="R1978" s="6" t="s">
        <v>1737</v>
      </c>
      <c r="S1978" s="13" t="s">
        <v>22</v>
      </c>
      <c r="T1978" s="6">
        <v>5</v>
      </c>
      <c r="U1978" s="7" t="s">
        <v>1737</v>
      </c>
      <c r="V1978" s="5"/>
      <c r="W1978" s="7" t="s">
        <v>3</v>
      </c>
      <c r="X1978" s="6" t="s">
        <v>3</v>
      </c>
      <c r="Y1978" s="5"/>
      <c r="Z1978" s="7">
        <v>1</v>
      </c>
      <c r="AA1978" s="6"/>
      <c r="AB1978" s="5"/>
      <c r="AC1978" s="6"/>
      <c r="AD1978" s="6" t="s">
        <v>3</v>
      </c>
      <c r="AE1978" s="5"/>
      <c r="AF1978" s="7">
        <v>1</v>
      </c>
      <c r="AG1978" s="6"/>
      <c r="AH1978" s="5"/>
      <c r="AI1978" s="7">
        <v>2</v>
      </c>
      <c r="AJ1978" s="6"/>
      <c r="AK1978" s="5"/>
      <c r="AL1978" s="5"/>
      <c r="AM1978" s="5"/>
      <c r="AN1978" s="5"/>
      <c r="AO1978" s="5"/>
      <c r="AP1978" s="5"/>
      <c r="AQ1978" s="5"/>
    </row>
    <row r="1979" spans="1:43" x14ac:dyDescent="0.25">
      <c r="A1979" s="161" t="str">
        <f t="shared" si="36"/>
        <v>FREE_COMPANY</v>
      </c>
      <c r="B1979" s="9" t="s">
        <v>2529</v>
      </c>
      <c r="C1979" s="5"/>
      <c r="D1979" s="5"/>
      <c r="E1979" s="5" t="s">
        <v>2527</v>
      </c>
      <c r="F1979" s="5" t="s">
        <v>2527</v>
      </c>
      <c r="G1979" s="5" t="s">
        <v>2040</v>
      </c>
      <c r="H1979" s="5" t="s">
        <v>2167</v>
      </c>
      <c r="I1979" s="5" t="s">
        <v>1813</v>
      </c>
      <c r="J1979" s="6"/>
      <c r="K1979" s="7">
        <v>1</v>
      </c>
      <c r="L1979" s="13"/>
      <c r="M1979" s="8"/>
      <c r="N1979" s="13"/>
      <c r="O1979" s="13"/>
      <c r="P1979" s="13"/>
      <c r="Q1979" s="7">
        <v>6</v>
      </c>
      <c r="R1979" s="6" t="s">
        <v>1737</v>
      </c>
      <c r="S1979" s="13" t="s">
        <v>22</v>
      </c>
      <c r="T1979" s="6">
        <v>6</v>
      </c>
      <c r="U1979" s="7" t="s">
        <v>1737</v>
      </c>
      <c r="V1979" s="5"/>
      <c r="W1979" s="7" t="s">
        <v>3</v>
      </c>
      <c r="X1979" s="6" t="s">
        <v>3</v>
      </c>
      <c r="Y1979" s="5"/>
      <c r="Z1979" s="7">
        <v>0</v>
      </c>
      <c r="AA1979" s="6"/>
      <c r="AB1979" s="5"/>
      <c r="AC1979" s="6"/>
      <c r="AD1979" s="6" t="s">
        <v>3</v>
      </c>
      <c r="AE1979" s="5"/>
      <c r="AF1979" s="7">
        <v>1</v>
      </c>
      <c r="AG1979" s="6"/>
      <c r="AH1979" s="5"/>
      <c r="AI1979" s="7">
        <v>3</v>
      </c>
      <c r="AJ1979" s="6"/>
      <c r="AK1979" s="5"/>
      <c r="AL1979" s="5"/>
      <c r="AM1979" s="5"/>
      <c r="AN1979" s="5"/>
      <c r="AO1979" s="5"/>
      <c r="AP1979" s="5"/>
      <c r="AQ1979" s="5"/>
    </row>
    <row r="1980" spans="1:43" x14ac:dyDescent="0.25">
      <c r="A1980" s="161" t="str">
        <f t="shared" si="36"/>
        <v>FREE_COMPANY</v>
      </c>
      <c r="B1980" s="9" t="s">
        <v>2529</v>
      </c>
      <c r="C1980" s="5"/>
      <c r="D1980" s="5"/>
      <c r="E1980" s="5" t="s">
        <v>2527</v>
      </c>
      <c r="F1980" s="5" t="s">
        <v>2527</v>
      </c>
      <c r="G1980" s="5"/>
      <c r="H1980" s="5" t="s">
        <v>2168</v>
      </c>
      <c r="I1980" s="5" t="s">
        <v>1813</v>
      </c>
      <c r="J1980" s="6"/>
      <c r="K1980" s="7">
        <v>1</v>
      </c>
      <c r="L1980" s="13"/>
      <c r="M1980" s="8"/>
      <c r="N1980" s="13"/>
      <c r="O1980" s="13"/>
      <c r="P1980" s="13"/>
      <c r="Q1980" s="7">
        <v>0</v>
      </c>
      <c r="R1980" s="6" t="s">
        <v>1737</v>
      </c>
      <c r="S1980" s="13" t="s">
        <v>22</v>
      </c>
      <c r="T1980" s="7">
        <v>5</v>
      </c>
      <c r="U1980" s="7" t="s">
        <v>1737</v>
      </c>
      <c r="V1980" s="5"/>
      <c r="W1980" s="7" t="s">
        <v>3</v>
      </c>
      <c r="X1980" s="6" t="s">
        <v>3</v>
      </c>
      <c r="Y1980" s="5"/>
      <c r="Z1980" s="7">
        <v>0</v>
      </c>
      <c r="AA1980" s="6"/>
      <c r="AB1980" s="5"/>
      <c r="AC1980" s="6"/>
      <c r="AD1980" s="6" t="s">
        <v>3</v>
      </c>
      <c r="AE1980" s="5"/>
      <c r="AF1980" s="7">
        <v>1</v>
      </c>
      <c r="AG1980" s="6"/>
      <c r="AH1980" s="5"/>
      <c r="AI1980" s="7">
        <v>2</v>
      </c>
      <c r="AJ1980" s="6"/>
      <c r="AK1980" s="5"/>
      <c r="AL1980" s="5"/>
      <c r="AM1980" s="5"/>
      <c r="AN1980" s="5"/>
      <c r="AO1980" s="5"/>
      <c r="AP1980" s="5"/>
      <c r="AQ1980" s="5"/>
    </row>
    <row r="1981" spans="1:43" s="2" customFormat="1" x14ac:dyDescent="0.25">
      <c r="A1981" s="161" t="str">
        <f>CONCATENATE(E1981,IF(ISBLANK(C1981),"",CONCATENATE("_",C1981)))</f>
        <v>EE_CARRACK</v>
      </c>
      <c r="B1981" s="9" t="s">
        <v>2528</v>
      </c>
      <c r="C1981" s="5"/>
      <c r="D1981" s="5"/>
      <c r="E1981" s="5" t="s">
        <v>2528</v>
      </c>
      <c r="F1981" s="5" t="s">
        <v>2528</v>
      </c>
      <c r="G1981" s="5"/>
      <c r="H1981" s="5" t="s">
        <v>2064</v>
      </c>
      <c r="I1981" s="5" t="s">
        <v>1984</v>
      </c>
      <c r="J1981" s="6"/>
      <c r="K1981" s="7">
        <v>1</v>
      </c>
      <c r="L1981" s="13" t="s">
        <v>1708</v>
      </c>
      <c r="M1981" s="8"/>
      <c r="N1981" s="13" t="s">
        <v>1727</v>
      </c>
      <c r="O1981" s="13"/>
      <c r="P1981" s="13"/>
      <c r="Q1981" s="7">
        <v>1</v>
      </c>
      <c r="R1981" s="6" t="s">
        <v>1695</v>
      </c>
      <c r="S1981" s="13"/>
      <c r="T1981" s="7">
        <v>3</v>
      </c>
      <c r="U1981" s="7" t="s">
        <v>1737</v>
      </c>
      <c r="V1981" s="5" t="s">
        <v>1696</v>
      </c>
      <c r="W1981" s="6"/>
      <c r="X1981" s="6"/>
      <c r="Y1981" s="5"/>
      <c r="Z1981" s="6">
        <v>1</v>
      </c>
      <c r="AA1981" s="6"/>
      <c r="AB1981" s="5"/>
      <c r="AC1981" s="6"/>
      <c r="AD1981" s="6"/>
      <c r="AE1981" s="5"/>
      <c r="AF1981" s="6"/>
      <c r="AG1981" s="6"/>
      <c r="AH1981" s="5"/>
      <c r="AI1981" s="6"/>
      <c r="AJ1981" s="6"/>
      <c r="AK1981" s="5"/>
      <c r="AL1981" s="5"/>
      <c r="AM1981" s="5"/>
      <c r="AN1981" s="5"/>
      <c r="AO1981" s="5"/>
      <c r="AP1981" s="5"/>
      <c r="AQ1981" s="5"/>
    </row>
    <row r="1982" spans="1:43" s="2" customFormat="1" x14ac:dyDescent="0.25">
      <c r="A1982" s="161" t="str">
        <f>CONCATENATE(E1982,IF(ISBLANK(C1982),"",CONCATENATE("_",C1982)))</f>
        <v>EE_CARRACK_ED</v>
      </c>
      <c r="B1982" s="9" t="s">
        <v>2528</v>
      </c>
      <c r="C1982" s="5"/>
      <c r="D1982" s="5"/>
      <c r="E1982" s="5" t="s">
        <v>2587</v>
      </c>
      <c r="F1982" s="5" t="s">
        <v>2587</v>
      </c>
      <c r="G1982" s="5"/>
      <c r="H1982" s="5" t="s">
        <v>2064</v>
      </c>
      <c r="I1982" s="5" t="s">
        <v>1984</v>
      </c>
      <c r="J1982" s="6"/>
      <c r="K1982" s="7">
        <v>1</v>
      </c>
      <c r="L1982" s="13" t="s">
        <v>1708</v>
      </c>
      <c r="M1982" s="8"/>
      <c r="N1982" s="13" t="s">
        <v>1727</v>
      </c>
      <c r="O1982" s="13"/>
      <c r="P1982" s="13"/>
      <c r="Q1982" s="7">
        <v>1</v>
      </c>
      <c r="R1982" s="6" t="s">
        <v>1695</v>
      </c>
      <c r="S1982" s="13"/>
      <c r="T1982" s="7">
        <v>3</v>
      </c>
      <c r="U1982" s="7" t="s">
        <v>1737</v>
      </c>
      <c r="V1982" s="5" t="s">
        <v>1696</v>
      </c>
      <c r="W1982" s="6"/>
      <c r="X1982" s="6"/>
      <c r="Y1982" s="5"/>
      <c r="Z1982" s="6">
        <v>1</v>
      </c>
      <c r="AA1982" s="6"/>
      <c r="AB1982" s="5"/>
      <c r="AC1982" s="6"/>
      <c r="AD1982" s="6"/>
      <c r="AE1982" s="5"/>
      <c r="AF1982" s="6"/>
      <c r="AG1982" s="6"/>
      <c r="AH1982" s="5"/>
      <c r="AI1982" s="6"/>
      <c r="AJ1982" s="6"/>
      <c r="AK1982" s="5"/>
      <c r="AL1982" s="5"/>
      <c r="AM1982" s="5"/>
      <c r="AN1982" s="5"/>
      <c r="AO1982" s="5"/>
      <c r="AP1982" s="5"/>
      <c r="AQ1982" s="5"/>
    </row>
    <row r="1983" spans="1:43" x14ac:dyDescent="0.25">
      <c r="A1983" s="161" t="str">
        <f t="shared" si="36"/>
        <v>EE_CARRACK_ED_OTTOMAN</v>
      </c>
      <c r="B1983" s="9" t="s">
        <v>2528</v>
      </c>
      <c r="C1983" s="5" t="s">
        <v>1037</v>
      </c>
      <c r="D1983" s="5"/>
      <c r="E1983" s="5" t="s">
        <v>2587</v>
      </c>
      <c r="F1983" s="5" t="s">
        <v>2587</v>
      </c>
      <c r="G1983" s="5"/>
      <c r="H1983" s="5" t="s">
        <v>1981</v>
      </c>
      <c r="I1983" s="5" t="s">
        <v>1984</v>
      </c>
      <c r="J1983" s="6"/>
      <c r="K1983" s="7">
        <v>1</v>
      </c>
      <c r="L1983" s="13"/>
      <c r="M1983" s="8"/>
      <c r="N1983" s="13"/>
      <c r="O1983" s="13"/>
      <c r="P1983" s="13"/>
      <c r="Q1983" s="7"/>
      <c r="R1983" s="6"/>
      <c r="S1983" s="5"/>
      <c r="T1983" s="7"/>
      <c r="U1983" s="7"/>
      <c r="V1983" s="5"/>
      <c r="W1983" s="6"/>
      <c r="X1983" s="6"/>
      <c r="Y1983" s="5"/>
      <c r="Z1983" s="6"/>
      <c r="AA1983" s="6"/>
      <c r="AB1983" s="5"/>
      <c r="AC1983" s="6"/>
      <c r="AD1983" s="6"/>
      <c r="AE1983" s="5"/>
      <c r="AF1983" s="6"/>
      <c r="AG1983" s="6"/>
      <c r="AH1983" s="5"/>
      <c r="AI1983" s="6"/>
      <c r="AJ1983" s="6"/>
      <c r="AK1983" s="5"/>
      <c r="AL1983" s="5"/>
      <c r="AM1983" s="5"/>
      <c r="AN1983" s="5"/>
      <c r="AO1983" s="5"/>
      <c r="AP1983" s="5"/>
      <c r="AQ1983" s="5"/>
    </row>
    <row r="1984" spans="1:43" x14ac:dyDescent="0.25">
      <c r="A1984" s="161" t="str">
        <f t="shared" si="36"/>
        <v>EE_CARRACK_ED_RUSSIA</v>
      </c>
      <c r="B1984" s="9" t="s">
        <v>2528</v>
      </c>
      <c r="C1984" s="5" t="s">
        <v>735</v>
      </c>
      <c r="D1984" s="5"/>
      <c r="E1984" s="5" t="s">
        <v>2587</v>
      </c>
      <c r="F1984" s="5" t="s">
        <v>2587</v>
      </c>
      <c r="G1984" s="5"/>
      <c r="H1984" s="5" t="s">
        <v>1977</v>
      </c>
      <c r="I1984" s="5" t="s">
        <v>1984</v>
      </c>
      <c r="J1984" s="6"/>
      <c r="K1984" s="7">
        <v>1</v>
      </c>
      <c r="L1984" s="13"/>
      <c r="M1984" s="8"/>
      <c r="N1984" s="13"/>
      <c r="O1984" s="13"/>
      <c r="P1984" s="13"/>
      <c r="Q1984" s="7"/>
      <c r="R1984" s="6"/>
      <c r="S1984" s="5"/>
      <c r="T1984" s="7"/>
      <c r="U1984" s="7"/>
      <c r="V1984" s="5"/>
      <c r="W1984" s="6"/>
      <c r="X1984" s="6"/>
      <c r="Y1984" s="5"/>
      <c r="Z1984" s="6"/>
      <c r="AA1984" s="6"/>
      <c r="AB1984" s="5"/>
      <c r="AC1984" s="6"/>
      <c r="AD1984" s="6"/>
      <c r="AE1984" s="5"/>
      <c r="AF1984" s="6"/>
      <c r="AG1984" s="6"/>
      <c r="AH1984" s="5"/>
      <c r="AI1984" s="6"/>
      <c r="AJ1984" s="6"/>
      <c r="AK1984" s="5"/>
      <c r="AL1984" s="5"/>
      <c r="AM1984" s="5"/>
      <c r="AN1984" s="5"/>
      <c r="AO1984" s="5"/>
      <c r="AP1984" s="5"/>
      <c r="AQ1984" s="5"/>
    </row>
    <row r="1985" spans="1:43" x14ac:dyDescent="0.25">
      <c r="A1985" s="161" t="str">
        <f t="shared" si="36"/>
        <v>EE_CARRACK_ED_ENGLAND</v>
      </c>
      <c r="B1985" s="9" t="s">
        <v>2528</v>
      </c>
      <c r="C1985" s="5" t="s">
        <v>713</v>
      </c>
      <c r="D1985" s="5"/>
      <c r="E1985" s="5" t="s">
        <v>2587</v>
      </c>
      <c r="F1985" s="5" t="s">
        <v>2587</v>
      </c>
      <c r="G1985" s="5"/>
      <c r="H1985" s="5" t="s">
        <v>1978</v>
      </c>
      <c r="I1985" s="5" t="s">
        <v>1984</v>
      </c>
      <c r="J1985" s="6"/>
      <c r="K1985" s="7">
        <v>1</v>
      </c>
      <c r="L1985" s="13"/>
      <c r="M1985" s="8"/>
      <c r="N1985" s="13"/>
      <c r="O1985" s="13"/>
      <c r="P1985" s="13"/>
      <c r="Q1985" s="7"/>
      <c r="R1985" s="6"/>
      <c r="S1985" s="5"/>
      <c r="T1985" s="7"/>
      <c r="U1985" s="7"/>
      <c r="V1985" s="5"/>
      <c r="W1985" s="6"/>
      <c r="X1985" s="6"/>
      <c r="Y1985" s="5"/>
      <c r="Z1985" s="6"/>
      <c r="AA1985" s="6"/>
      <c r="AB1985" s="5"/>
      <c r="AC1985" s="6"/>
      <c r="AD1985" s="6"/>
      <c r="AE1985" s="5"/>
      <c r="AF1985" s="6"/>
      <c r="AG1985" s="6"/>
      <c r="AH1985" s="5"/>
      <c r="AI1985" s="6"/>
      <c r="AJ1985" s="6"/>
      <c r="AK1985" s="5"/>
      <c r="AL1985" s="5"/>
      <c r="AM1985" s="5"/>
      <c r="AN1985" s="5"/>
      <c r="AO1985" s="5"/>
      <c r="AP1985" s="5"/>
      <c r="AQ1985" s="5"/>
    </row>
    <row r="1986" spans="1:43" x14ac:dyDescent="0.25">
      <c r="A1986" s="161" t="str">
        <f t="shared" si="36"/>
        <v>EE_CARRACK_ED_FRANCE</v>
      </c>
      <c r="B1986" s="9" t="s">
        <v>2528</v>
      </c>
      <c r="C1986" s="5" t="s">
        <v>715</v>
      </c>
      <c r="D1986" s="5"/>
      <c r="E1986" s="5" t="s">
        <v>2587</v>
      </c>
      <c r="F1986" s="5" t="s">
        <v>2587</v>
      </c>
      <c r="G1986" s="5"/>
      <c r="H1986" s="5" t="s">
        <v>1979</v>
      </c>
      <c r="I1986" s="5" t="s">
        <v>1984</v>
      </c>
      <c r="J1986" s="6"/>
      <c r="K1986" s="7">
        <v>1</v>
      </c>
      <c r="L1986" s="13"/>
      <c r="M1986" s="8"/>
      <c r="N1986" s="13"/>
      <c r="O1986" s="13"/>
      <c r="P1986" s="13"/>
      <c r="Q1986" s="7"/>
      <c r="R1986" s="6"/>
      <c r="S1986" s="5"/>
      <c r="T1986" s="7"/>
      <c r="U1986" s="7"/>
      <c r="V1986" s="5"/>
      <c r="W1986" s="6"/>
      <c r="X1986" s="6"/>
      <c r="Y1986" s="5"/>
      <c r="Z1986" s="6"/>
      <c r="AA1986" s="6"/>
      <c r="AB1986" s="5"/>
      <c r="AC1986" s="6"/>
      <c r="AD1986" s="6"/>
      <c r="AE1986" s="5"/>
      <c r="AF1986" s="6"/>
      <c r="AG1986" s="6"/>
      <c r="AH1986" s="5"/>
      <c r="AI1986" s="6"/>
      <c r="AJ1986" s="6"/>
      <c r="AK1986" s="5"/>
      <c r="AL1986" s="5"/>
      <c r="AM1986" s="5"/>
      <c r="AN1986" s="5"/>
      <c r="AO1986" s="5"/>
      <c r="AP1986" s="5"/>
      <c r="AQ1986" s="5"/>
    </row>
    <row r="1987" spans="1:43" x14ac:dyDescent="0.25">
      <c r="A1987" s="161" t="str">
        <f t="shared" si="36"/>
        <v>EE_CARRACK_ED_ROME</v>
      </c>
      <c r="B1987" s="9" t="s">
        <v>2528</v>
      </c>
      <c r="C1987" s="5" t="s">
        <v>734</v>
      </c>
      <c r="D1987" s="5"/>
      <c r="E1987" s="5" t="s">
        <v>2587</v>
      </c>
      <c r="F1987" s="5" t="s">
        <v>2587</v>
      </c>
      <c r="G1987" s="5"/>
      <c r="H1987" s="5" t="s">
        <v>1983</v>
      </c>
      <c r="I1987" s="5" t="s">
        <v>1984</v>
      </c>
      <c r="J1987" s="6"/>
      <c r="K1987" s="7">
        <v>1</v>
      </c>
      <c r="L1987" s="13"/>
      <c r="M1987" s="8"/>
      <c r="N1987" s="13"/>
      <c r="O1987" s="13"/>
      <c r="P1987" s="13"/>
      <c r="Q1987" s="7"/>
      <c r="R1987" s="6"/>
      <c r="S1987" s="5"/>
      <c r="T1987" s="7"/>
      <c r="U1987" s="7"/>
      <c r="V1987" s="5"/>
      <c r="W1987" s="6"/>
      <c r="X1987" s="6"/>
      <c r="Y1987" s="5"/>
      <c r="Z1987" s="6"/>
      <c r="AA1987" s="6"/>
      <c r="AB1987" s="5"/>
      <c r="AC1987" s="6"/>
      <c r="AD1987" s="6"/>
      <c r="AE1987" s="5"/>
      <c r="AF1987" s="6"/>
      <c r="AG1987" s="6"/>
      <c r="AH1987" s="5"/>
      <c r="AI1987" s="6"/>
      <c r="AJ1987" s="6"/>
      <c r="AK1987" s="5"/>
      <c r="AL1987" s="5"/>
      <c r="AM1987" s="5"/>
      <c r="AN1987" s="5"/>
      <c r="AO1987" s="5"/>
      <c r="AP1987" s="5"/>
      <c r="AQ1987" s="5"/>
    </row>
    <row r="1988" spans="1:43" x14ac:dyDescent="0.25">
      <c r="A1988" s="161" t="str">
        <f t="shared" si="36"/>
        <v>EE_CARRACK_ED_NORTHAF</v>
      </c>
      <c r="B1988" s="9" t="s">
        <v>2528</v>
      </c>
      <c r="C1988" s="5" t="s">
        <v>2011</v>
      </c>
      <c r="D1988" s="5"/>
      <c r="E1988" s="5" t="s">
        <v>2587</v>
      </c>
      <c r="F1988" s="5" t="s">
        <v>2587</v>
      </c>
      <c r="G1988" s="5"/>
      <c r="H1988" s="5" t="s">
        <v>1980</v>
      </c>
      <c r="I1988" s="5" t="s">
        <v>1984</v>
      </c>
      <c r="J1988" s="6"/>
      <c r="K1988" s="7">
        <v>1</v>
      </c>
      <c r="L1988" s="13"/>
      <c r="M1988" s="8"/>
      <c r="N1988" s="13"/>
      <c r="O1988" s="13"/>
      <c r="P1988" s="13"/>
      <c r="Q1988" s="7"/>
      <c r="R1988" s="6"/>
      <c r="S1988" s="5"/>
      <c r="T1988" s="7"/>
      <c r="U1988" s="7"/>
      <c r="V1988" s="5"/>
      <c r="W1988" s="6"/>
      <c r="X1988" s="6"/>
      <c r="Y1988" s="5"/>
      <c r="Z1988" s="6"/>
      <c r="AA1988" s="6"/>
      <c r="AB1988" s="5"/>
      <c r="AC1988" s="6"/>
      <c r="AD1988" s="6"/>
      <c r="AE1988" s="5"/>
      <c r="AF1988" s="6"/>
      <c r="AG1988" s="6"/>
      <c r="AH1988" s="5"/>
      <c r="AI1988" s="6"/>
      <c r="AJ1988" s="6"/>
      <c r="AK1988" s="5"/>
      <c r="AL1988" s="5"/>
      <c r="AM1988" s="5"/>
      <c r="AN1988" s="5"/>
      <c r="AO1988" s="5"/>
      <c r="AP1988" s="5"/>
      <c r="AQ1988" s="5"/>
    </row>
    <row r="1989" spans="1:43" x14ac:dyDescent="0.25">
      <c r="A1989" s="161" t="str">
        <f t="shared" si="36"/>
        <v>EE_CARRACK_ED_SWEDEN</v>
      </c>
      <c r="B1989" s="9" t="s">
        <v>2528</v>
      </c>
      <c r="C1989" s="5" t="s">
        <v>739</v>
      </c>
      <c r="D1989" s="5"/>
      <c r="E1989" s="5" t="s">
        <v>2587</v>
      </c>
      <c r="F1989" s="5" t="s">
        <v>2587</v>
      </c>
      <c r="G1989" s="5"/>
      <c r="H1989" s="5" t="s">
        <v>1982</v>
      </c>
      <c r="I1989" s="5" t="s">
        <v>1984</v>
      </c>
      <c r="J1989" s="6"/>
      <c r="K1989" s="7">
        <v>1</v>
      </c>
      <c r="L1989" s="13"/>
      <c r="M1989" s="8"/>
      <c r="N1989" s="13"/>
      <c r="O1989" s="13"/>
      <c r="P1989" s="13"/>
      <c r="Q1989" s="7"/>
      <c r="R1989" s="6"/>
      <c r="S1989" s="5"/>
      <c r="T1989" s="7"/>
      <c r="U1989" s="7"/>
      <c r="V1989" s="5"/>
      <c r="W1989" s="6"/>
      <c r="X1989" s="6"/>
      <c r="Y1989" s="5"/>
      <c r="Z1989" s="6"/>
      <c r="AA1989" s="6"/>
      <c r="AB1989" s="5"/>
      <c r="AC1989" s="6"/>
      <c r="AD1989" s="6"/>
      <c r="AE1989" s="5"/>
      <c r="AF1989" s="6"/>
      <c r="AG1989" s="6"/>
      <c r="AH1989" s="5"/>
      <c r="AI1989" s="6"/>
      <c r="AJ1989" s="6"/>
      <c r="AK1989" s="5"/>
      <c r="AL1989" s="5"/>
      <c r="AM1989" s="5"/>
      <c r="AN1989" s="5"/>
      <c r="AO1989" s="5"/>
      <c r="AP1989" s="5"/>
      <c r="AQ1989" s="5"/>
    </row>
    <row r="1990" spans="1:43" x14ac:dyDescent="0.25">
      <c r="A1990" s="161" t="str">
        <f t="shared" si="36"/>
        <v>EE_CRUISER</v>
      </c>
      <c r="B1990" s="9" t="s">
        <v>2534</v>
      </c>
      <c r="C1990" s="5"/>
      <c r="D1990" s="5"/>
      <c r="E1990" s="5" t="s">
        <v>2534</v>
      </c>
      <c r="F1990" s="5" t="s">
        <v>2534</v>
      </c>
      <c r="G1990" s="5"/>
      <c r="H1990" s="5" t="s">
        <v>2177</v>
      </c>
      <c r="I1990" s="5" t="s">
        <v>1935</v>
      </c>
      <c r="J1990" s="6"/>
      <c r="K1990" s="7">
        <v>1</v>
      </c>
      <c r="L1990" s="13"/>
      <c r="M1990" s="8"/>
      <c r="N1990" s="13"/>
      <c r="O1990" s="13"/>
      <c r="P1990" s="13"/>
      <c r="Q1990" s="7">
        <v>1</v>
      </c>
      <c r="R1990" s="6">
        <v>0.08</v>
      </c>
      <c r="S1990" s="5"/>
      <c r="T1990" s="7"/>
      <c r="U1990" s="7">
        <v>6.5000000000000002E-2</v>
      </c>
      <c r="V1990" s="5"/>
      <c r="W1990" s="6"/>
      <c r="X1990" s="6"/>
      <c r="Y1990" s="5"/>
      <c r="Z1990" s="6"/>
      <c r="AA1990" s="6"/>
      <c r="AB1990" s="5"/>
      <c r="AC1990" s="6"/>
      <c r="AD1990" s="6"/>
      <c r="AE1990" s="5"/>
      <c r="AF1990" s="6"/>
      <c r="AG1990" s="6"/>
      <c r="AH1990" s="5"/>
      <c r="AI1990" s="6"/>
      <c r="AJ1990" s="6"/>
      <c r="AK1990" s="5"/>
      <c r="AL1990" s="5"/>
      <c r="AM1990" s="5"/>
      <c r="AN1990" s="5"/>
      <c r="AO1990" s="5"/>
      <c r="AP1990" s="5"/>
      <c r="AQ1990" s="5"/>
    </row>
    <row r="1991" spans="1:43" x14ac:dyDescent="0.25">
      <c r="A1991" s="161" t="str">
        <f>CONCATENATE(E1991,IF(ISBLANK(C1991),"",CONCATENATE("_",C1991)))</f>
        <v>EE_CUIRASSIER</v>
      </c>
      <c r="B1991" s="9" t="s">
        <v>2076</v>
      </c>
      <c r="C1991" s="5"/>
      <c r="D1991" s="5"/>
      <c r="E1991" s="5" t="s">
        <v>2076</v>
      </c>
      <c r="F1991" s="5" t="s">
        <v>2076</v>
      </c>
      <c r="G1991" s="5"/>
      <c r="H1991" s="5" t="s">
        <v>339</v>
      </c>
      <c r="I1991" s="5" t="s">
        <v>122</v>
      </c>
      <c r="J1991" s="6"/>
      <c r="K1991" s="7">
        <v>1</v>
      </c>
      <c r="L1991" s="13"/>
      <c r="M1991" s="8"/>
      <c r="N1991" s="13"/>
      <c r="O1991" s="13"/>
      <c r="P1991" s="13"/>
      <c r="Q1991" s="7" t="s">
        <v>1695</v>
      </c>
      <c r="R1991" s="6" t="s">
        <v>1695</v>
      </c>
      <c r="S1991" s="13" t="s">
        <v>1695</v>
      </c>
      <c r="T1991" s="6" t="s">
        <v>1695</v>
      </c>
      <c r="U1991" s="7" t="s">
        <v>1695</v>
      </c>
      <c r="V1991" s="5" t="s">
        <v>1701</v>
      </c>
      <c r="W1991" s="6" t="s">
        <v>3</v>
      </c>
      <c r="X1991" s="6" t="s">
        <v>3</v>
      </c>
      <c r="Y1991" s="5"/>
      <c r="Z1991" s="7">
        <v>1</v>
      </c>
      <c r="AA1991" s="6"/>
      <c r="AB1991" s="5"/>
      <c r="AC1991" s="6"/>
      <c r="AD1991" s="6" t="s">
        <v>3</v>
      </c>
      <c r="AE1991" s="5"/>
      <c r="AF1991" s="7" t="s">
        <v>1695</v>
      </c>
      <c r="AG1991" s="6"/>
      <c r="AH1991" s="5"/>
      <c r="AI1991" s="6"/>
      <c r="AJ1991" s="6"/>
      <c r="AK1991" s="5"/>
      <c r="AL1991" s="5"/>
      <c r="AM1991" s="5"/>
      <c r="AN1991" s="5"/>
      <c r="AO1991" s="5"/>
      <c r="AP1991" s="5"/>
      <c r="AQ1991" s="5"/>
    </row>
    <row r="1992" spans="1:43" x14ac:dyDescent="0.25">
      <c r="A1992" s="161" t="str">
        <f t="shared" si="36"/>
        <v>EE_CUIRASSIER_ED</v>
      </c>
      <c r="B1992" s="9" t="s">
        <v>2076</v>
      </c>
      <c r="C1992" s="5"/>
      <c r="D1992" s="5"/>
      <c r="E1992" s="5" t="s">
        <v>2586</v>
      </c>
      <c r="F1992" s="5" t="s">
        <v>2586</v>
      </c>
      <c r="G1992" s="5"/>
      <c r="H1992" s="5" t="s">
        <v>2078</v>
      </c>
      <c r="I1992" s="5" t="s">
        <v>2077</v>
      </c>
      <c r="J1992" s="6"/>
      <c r="K1992" s="7">
        <v>1</v>
      </c>
      <c r="L1992" s="13"/>
      <c r="M1992" s="8"/>
      <c r="N1992" s="13"/>
      <c r="O1992" s="13"/>
      <c r="P1992" s="13"/>
      <c r="Q1992" s="7" t="s">
        <v>1695</v>
      </c>
      <c r="R1992" s="6" t="s">
        <v>1695</v>
      </c>
      <c r="S1992" s="13" t="s">
        <v>1695</v>
      </c>
      <c r="T1992" s="6" t="s">
        <v>1695</v>
      </c>
      <c r="U1992" s="7" t="s">
        <v>1695</v>
      </c>
      <c r="V1992" s="5" t="s">
        <v>1701</v>
      </c>
      <c r="W1992" s="6" t="s">
        <v>3</v>
      </c>
      <c r="X1992" s="6" t="s">
        <v>3</v>
      </c>
      <c r="Y1992" s="5"/>
      <c r="Z1992" s="7">
        <v>1</v>
      </c>
      <c r="AA1992" s="6"/>
      <c r="AB1992" s="5"/>
      <c r="AC1992" s="6"/>
      <c r="AD1992" s="6" t="s">
        <v>3</v>
      </c>
      <c r="AE1992" s="5"/>
      <c r="AF1992" s="7" t="s">
        <v>1695</v>
      </c>
      <c r="AG1992" s="6"/>
      <c r="AH1992" s="5"/>
      <c r="AI1992" s="6"/>
      <c r="AJ1992" s="6"/>
      <c r="AK1992" s="5"/>
      <c r="AL1992" s="5"/>
      <c r="AM1992" s="5"/>
      <c r="AN1992" s="5"/>
      <c r="AO1992" s="5"/>
      <c r="AP1992" s="5"/>
      <c r="AQ1992" s="5"/>
    </row>
    <row r="1993" spans="1:43" x14ac:dyDescent="0.25">
      <c r="A1993" s="161" t="str">
        <f t="shared" si="36"/>
        <v>EE_EXPLORER</v>
      </c>
      <c r="B1993" s="9" t="s">
        <v>2530</v>
      </c>
      <c r="C1993" s="5"/>
      <c r="D1993" s="5"/>
      <c r="E1993" s="5" t="s">
        <v>2530</v>
      </c>
      <c r="F1993" s="5" t="s">
        <v>2530</v>
      </c>
      <c r="G1993" s="5" t="s">
        <v>1970</v>
      </c>
      <c r="H1993" s="5" t="s">
        <v>2173</v>
      </c>
      <c r="I1993" s="5" t="s">
        <v>2416</v>
      </c>
      <c r="J1993" s="6"/>
      <c r="K1993" s="7">
        <v>1</v>
      </c>
      <c r="L1993" s="13"/>
      <c r="M1993" s="8"/>
      <c r="N1993" s="13"/>
      <c r="O1993" s="13"/>
      <c r="P1993" s="13"/>
      <c r="Q1993" s="7">
        <v>2</v>
      </c>
      <c r="R1993" s="6" t="s">
        <v>1737</v>
      </c>
      <c r="S1993" s="13" t="s">
        <v>20</v>
      </c>
      <c r="T1993" s="6"/>
      <c r="U1993" s="6">
        <v>0.08</v>
      </c>
      <c r="V1993" s="5"/>
      <c r="W1993" s="6" t="s">
        <v>3</v>
      </c>
      <c r="X1993" s="6" t="s">
        <v>3</v>
      </c>
      <c r="Y1993" s="5"/>
      <c r="Z1993" s="6">
        <v>1</v>
      </c>
      <c r="AA1993" s="6"/>
      <c r="AB1993" s="5"/>
      <c r="AC1993" s="6"/>
      <c r="AD1993" s="6" t="s">
        <v>3</v>
      </c>
      <c r="AE1993" s="5"/>
      <c r="AF1993" s="6">
        <v>1</v>
      </c>
      <c r="AG1993" s="6"/>
      <c r="AH1993" s="5"/>
      <c r="AI1993" s="6">
        <v>1</v>
      </c>
      <c r="AJ1993" s="6"/>
      <c r="AK1993" s="5"/>
      <c r="AL1993" s="5"/>
      <c r="AM1993" s="5"/>
      <c r="AN1993" s="5"/>
      <c r="AO1993" s="5"/>
      <c r="AP1993" s="5"/>
      <c r="AQ1993" s="5"/>
    </row>
    <row r="1994" spans="1:43" x14ac:dyDescent="0.25">
      <c r="A1994" s="161" t="str">
        <f t="shared" si="36"/>
        <v>EE_EXPLORER</v>
      </c>
      <c r="B1994" s="9" t="s">
        <v>2530</v>
      </c>
      <c r="C1994" s="5"/>
      <c r="D1994" s="5"/>
      <c r="E1994" s="5" t="s">
        <v>2530</v>
      </c>
      <c r="F1994" s="5" t="s">
        <v>2530</v>
      </c>
      <c r="G1994" s="5" t="s">
        <v>2170</v>
      </c>
      <c r="H1994" s="5" t="s">
        <v>2174</v>
      </c>
      <c r="I1994" s="5" t="s">
        <v>2416</v>
      </c>
      <c r="J1994" s="6"/>
      <c r="K1994" s="7">
        <v>1</v>
      </c>
      <c r="L1994" s="13"/>
      <c r="M1994" s="8"/>
      <c r="N1994" s="13"/>
      <c r="O1994" s="13"/>
      <c r="P1994" s="13"/>
      <c r="Q1994" s="7">
        <v>1</v>
      </c>
      <c r="R1994" s="6" t="s">
        <v>1737</v>
      </c>
      <c r="S1994" s="13" t="s">
        <v>20</v>
      </c>
      <c r="T1994" s="6"/>
      <c r="U1994" s="6">
        <v>0.08</v>
      </c>
      <c r="V1994" s="5"/>
      <c r="W1994" s="6" t="s">
        <v>3</v>
      </c>
      <c r="X1994" s="6" t="s">
        <v>3</v>
      </c>
      <c r="Y1994" s="5"/>
      <c r="Z1994" s="6">
        <v>0</v>
      </c>
      <c r="AA1994" s="6"/>
      <c r="AB1994" s="5"/>
      <c r="AC1994" s="6"/>
      <c r="AD1994" s="6" t="s">
        <v>3</v>
      </c>
      <c r="AE1994" s="5"/>
      <c r="AF1994" s="6">
        <v>1</v>
      </c>
      <c r="AG1994" s="6"/>
      <c r="AH1994" s="5"/>
      <c r="AI1994" s="6">
        <v>2</v>
      </c>
      <c r="AJ1994" s="6"/>
      <c r="AK1994" s="5"/>
      <c r="AL1994" s="5"/>
      <c r="AM1994" s="5"/>
      <c r="AN1994" s="5"/>
      <c r="AO1994" s="5"/>
      <c r="AP1994" s="5"/>
      <c r="AQ1994" s="5"/>
    </row>
    <row r="1995" spans="1:43" x14ac:dyDescent="0.25">
      <c r="A1995" s="161" t="str">
        <f t="shared" si="36"/>
        <v>EE_EXPLORER</v>
      </c>
      <c r="B1995" s="9" t="s">
        <v>2530</v>
      </c>
      <c r="C1995" s="5"/>
      <c r="D1995" s="5"/>
      <c r="E1995" s="5" t="s">
        <v>2530</v>
      </c>
      <c r="F1995" s="5" t="s">
        <v>2530</v>
      </c>
      <c r="G1995" s="5" t="s">
        <v>2171</v>
      </c>
      <c r="H1995" s="5" t="s">
        <v>2175</v>
      </c>
      <c r="I1995" s="5" t="s">
        <v>2416</v>
      </c>
      <c r="J1995" s="6"/>
      <c r="K1995" s="7">
        <v>1</v>
      </c>
      <c r="L1995" s="13"/>
      <c r="M1995" s="8"/>
      <c r="N1995" s="13"/>
      <c r="O1995" s="13"/>
      <c r="P1995" s="13"/>
      <c r="Q1995" s="7">
        <v>2</v>
      </c>
      <c r="R1995" s="6" t="s">
        <v>1737</v>
      </c>
      <c r="S1995" s="13" t="s">
        <v>20</v>
      </c>
      <c r="T1995" s="6"/>
      <c r="U1995" s="6">
        <v>0.08</v>
      </c>
      <c r="V1995" s="5"/>
      <c r="W1995" s="6" t="s">
        <v>3</v>
      </c>
      <c r="X1995" s="6" t="s">
        <v>3</v>
      </c>
      <c r="Y1995" s="5"/>
      <c r="Z1995" s="6">
        <v>0</v>
      </c>
      <c r="AA1995" s="6"/>
      <c r="AB1995" s="5"/>
      <c r="AC1995" s="6"/>
      <c r="AD1995" s="6" t="s">
        <v>3</v>
      </c>
      <c r="AE1995" s="5"/>
      <c r="AF1995" s="6">
        <v>0</v>
      </c>
      <c r="AG1995" s="6"/>
      <c r="AH1995" s="5"/>
      <c r="AI1995" s="6">
        <v>1</v>
      </c>
      <c r="AJ1995" s="6"/>
      <c r="AK1995" s="5"/>
      <c r="AL1995" s="5"/>
      <c r="AM1995" s="5"/>
      <c r="AN1995" s="5"/>
      <c r="AO1995" s="5"/>
      <c r="AP1995" s="5"/>
      <c r="AQ1995" s="5"/>
    </row>
    <row r="1996" spans="1:43" x14ac:dyDescent="0.25">
      <c r="A1996" s="161" t="str">
        <f t="shared" si="36"/>
        <v>EE_EXPLORER</v>
      </c>
      <c r="B1996" s="9" t="s">
        <v>2530</v>
      </c>
      <c r="C1996" s="5"/>
      <c r="D1996" s="5"/>
      <c r="E1996" s="5" t="s">
        <v>2530</v>
      </c>
      <c r="F1996" s="5" t="s">
        <v>2530</v>
      </c>
      <c r="G1996" s="5" t="s">
        <v>2172</v>
      </c>
      <c r="H1996" s="5" t="s">
        <v>2176</v>
      </c>
      <c r="I1996" s="5" t="s">
        <v>2416</v>
      </c>
      <c r="J1996" s="6"/>
      <c r="K1996" s="7">
        <v>1</v>
      </c>
      <c r="L1996" s="13"/>
      <c r="M1996" s="8"/>
      <c r="N1996" s="13"/>
      <c r="O1996" s="13"/>
      <c r="P1996" s="13"/>
      <c r="Q1996" s="7">
        <v>1</v>
      </c>
      <c r="R1996" s="6" t="s">
        <v>1737</v>
      </c>
      <c r="S1996" s="13" t="s">
        <v>20</v>
      </c>
      <c r="T1996" s="6"/>
      <c r="U1996" s="6">
        <v>0.08</v>
      </c>
      <c r="V1996" s="5"/>
      <c r="W1996" s="6" t="s">
        <v>3</v>
      </c>
      <c r="X1996" s="6" t="s">
        <v>3</v>
      </c>
      <c r="Y1996" s="5"/>
      <c r="Z1996" s="6">
        <v>0</v>
      </c>
      <c r="AA1996" s="6"/>
      <c r="AB1996" s="5"/>
      <c r="AC1996" s="6"/>
      <c r="AD1996" s="6" t="s">
        <v>3</v>
      </c>
      <c r="AE1996" s="5"/>
      <c r="AF1996" s="6">
        <v>0</v>
      </c>
      <c r="AG1996" s="6"/>
      <c r="AH1996" s="5"/>
      <c r="AI1996" s="6">
        <v>1</v>
      </c>
      <c r="AJ1996" s="6"/>
      <c r="AK1996" s="5"/>
      <c r="AL1996" s="5"/>
      <c r="AM1996" s="5"/>
      <c r="AN1996" s="5"/>
      <c r="AO1996" s="5"/>
      <c r="AP1996" s="5"/>
      <c r="AQ1996" s="5"/>
    </row>
    <row r="1997" spans="1:43" x14ac:dyDescent="0.25">
      <c r="A1997" s="161" t="str">
        <f>CONCATENATE(E1997,IF(ISBLANK(C1997),"",CONCATENATE("_",C1997)))</f>
        <v>EE_FIELD_GUN</v>
      </c>
      <c r="B1997" s="9" t="s">
        <v>2068</v>
      </c>
      <c r="C1997" s="5"/>
      <c r="D1997" s="5"/>
      <c r="E1997" s="5" t="s">
        <v>2068</v>
      </c>
      <c r="F1997" s="5" t="s">
        <v>2068</v>
      </c>
      <c r="G1997" s="5"/>
      <c r="H1997" s="5" t="s">
        <v>337</v>
      </c>
      <c r="I1997" s="5" t="s">
        <v>1059</v>
      </c>
      <c r="J1997" s="6"/>
      <c r="K1997" s="7">
        <v>1</v>
      </c>
      <c r="L1997" s="13"/>
      <c r="M1997" s="8"/>
      <c r="N1997" s="13"/>
      <c r="O1997" s="13"/>
      <c r="P1997" s="13"/>
      <c r="Q1997" s="7">
        <v>3</v>
      </c>
      <c r="R1997" s="6" t="s">
        <v>1695</v>
      </c>
      <c r="S1997" s="5" t="s">
        <v>1611</v>
      </c>
      <c r="T1997" s="7"/>
      <c r="U1997" s="7" t="s">
        <v>1737</v>
      </c>
      <c r="V1997" s="5" t="s">
        <v>1697</v>
      </c>
      <c r="W1997" s="6" t="s">
        <v>3</v>
      </c>
      <c r="X1997" s="6" t="s">
        <v>3</v>
      </c>
      <c r="Y1997" s="5"/>
      <c r="Z1997" s="6">
        <v>1</v>
      </c>
      <c r="AA1997" s="6"/>
      <c r="AB1997" s="5"/>
      <c r="AC1997" s="6"/>
      <c r="AD1997" s="6" t="s">
        <v>3</v>
      </c>
      <c r="AE1997" s="5"/>
      <c r="AF1997" s="6">
        <v>3</v>
      </c>
      <c r="AG1997" s="6"/>
      <c r="AH1997" s="5"/>
      <c r="AI1997" s="6">
        <v>7</v>
      </c>
      <c r="AJ1997" s="6"/>
      <c r="AK1997" s="5"/>
      <c r="AL1997" s="5"/>
      <c r="AM1997" s="5"/>
      <c r="AN1997" s="5"/>
      <c r="AO1997" s="5"/>
      <c r="AP1997" s="5"/>
      <c r="AQ1997" s="5"/>
    </row>
    <row r="1998" spans="1:43" x14ac:dyDescent="0.25">
      <c r="A1998" s="161" t="str">
        <f>CONCATENATE(E1998,IF(ISBLANK(C1998),"",CONCATENATE("_",C1998)))</f>
        <v>EE_FIELD_GUN_ED</v>
      </c>
      <c r="B1998" s="9" t="s">
        <v>2068</v>
      </c>
      <c r="C1998" s="5"/>
      <c r="D1998" s="5"/>
      <c r="E1998" s="5" t="s">
        <v>2589</v>
      </c>
      <c r="F1998" s="5" t="s">
        <v>2589</v>
      </c>
      <c r="G1998" s="5"/>
      <c r="H1998" s="5" t="s">
        <v>337</v>
      </c>
      <c r="I1998" s="5" t="s">
        <v>1059</v>
      </c>
      <c r="J1998" s="6"/>
      <c r="K1998" s="7">
        <v>1</v>
      </c>
      <c r="L1998" s="13"/>
      <c r="M1998" s="8"/>
      <c r="N1998" s="13"/>
      <c r="O1998" s="13"/>
      <c r="P1998" s="13"/>
      <c r="Q1998" s="7">
        <v>3</v>
      </c>
      <c r="R1998" s="6" t="s">
        <v>1695</v>
      </c>
      <c r="S1998" s="5" t="s">
        <v>1611</v>
      </c>
      <c r="T1998" s="7"/>
      <c r="U1998" s="7" t="s">
        <v>1737</v>
      </c>
      <c r="V1998" s="5" t="s">
        <v>1697</v>
      </c>
      <c r="W1998" s="6" t="s">
        <v>3</v>
      </c>
      <c r="X1998" s="6" t="s">
        <v>3</v>
      </c>
      <c r="Y1998" s="5"/>
      <c r="Z1998" s="6">
        <v>1</v>
      </c>
      <c r="AA1998" s="6"/>
      <c r="AB1998" s="5"/>
      <c r="AC1998" s="6"/>
      <c r="AD1998" s="6" t="s">
        <v>3</v>
      </c>
      <c r="AE1998" s="5"/>
      <c r="AF1998" s="6">
        <v>3</v>
      </c>
      <c r="AG1998" s="6"/>
      <c r="AH1998" s="5"/>
      <c r="AI1998" s="6">
        <v>7</v>
      </c>
      <c r="AJ1998" s="6"/>
      <c r="AK1998" s="5"/>
      <c r="AL1998" s="5"/>
      <c r="AM1998" s="5"/>
      <c r="AN1998" s="5"/>
      <c r="AO1998" s="5"/>
      <c r="AP1998" s="5"/>
      <c r="AQ1998" s="5"/>
    </row>
    <row r="1999" spans="1:43" x14ac:dyDescent="0.25">
      <c r="A1999" s="161" t="str">
        <f t="shared" si="36"/>
        <v>EE_FIELD_GUN_ED_DEBUG</v>
      </c>
      <c r="B1999" s="9" t="s">
        <v>2068</v>
      </c>
      <c r="C1999" s="5" t="s">
        <v>2604</v>
      </c>
      <c r="D1999" s="5"/>
      <c r="E1999" s="5" t="s">
        <v>2589</v>
      </c>
      <c r="F1999" s="5" t="s">
        <v>2589</v>
      </c>
      <c r="G1999" s="5"/>
      <c r="H1999" s="5" t="s">
        <v>2069</v>
      </c>
      <c r="I1999" s="5" t="s">
        <v>966</v>
      </c>
      <c r="J1999" s="6"/>
      <c r="K1999" s="7">
        <v>1</v>
      </c>
      <c r="L1999" s="13"/>
      <c r="M1999" s="8"/>
      <c r="N1999" s="13"/>
      <c r="O1999" s="13"/>
      <c r="P1999" s="13"/>
      <c r="Q1999" s="7"/>
      <c r="R1999" s="6"/>
      <c r="S1999" s="5"/>
      <c r="T1999" s="7"/>
      <c r="U1999" s="7"/>
      <c r="V1999" s="5"/>
      <c r="W1999" s="6"/>
      <c r="X1999" s="6"/>
      <c r="Y1999" s="5"/>
      <c r="Z1999" s="6"/>
      <c r="AA1999" s="6"/>
      <c r="AB1999" s="5"/>
      <c r="AC1999" s="6"/>
      <c r="AD1999" s="6"/>
      <c r="AE1999" s="5"/>
      <c r="AF1999" s="6"/>
      <c r="AG1999" s="6"/>
      <c r="AH1999" s="5"/>
      <c r="AI1999" s="6"/>
      <c r="AJ1999" s="6"/>
      <c r="AK1999" s="5"/>
      <c r="AL1999" s="5"/>
      <c r="AM1999" s="5"/>
      <c r="AN1999" s="5"/>
      <c r="AO1999" s="5"/>
      <c r="AP1999" s="5"/>
      <c r="AQ1999" s="5"/>
    </row>
    <row r="2000" spans="1:43" x14ac:dyDescent="0.25">
      <c r="A2000" s="161" t="str">
        <f>CONCATENATE(E2000,IF(ISBLANK(C2000),"",CONCATENATE("_",C2000)))</f>
        <v>EE_GALLEON</v>
      </c>
      <c r="B2000" s="9" t="s">
        <v>2531</v>
      </c>
      <c r="C2000" s="5"/>
      <c r="D2000" s="5"/>
      <c r="E2000" s="5" t="s">
        <v>2531</v>
      </c>
      <c r="F2000" s="5" t="s">
        <v>2531</v>
      </c>
      <c r="G2000" s="5"/>
      <c r="H2000" s="5" t="s">
        <v>1658</v>
      </c>
      <c r="I2000" s="5" t="s">
        <v>128</v>
      </c>
      <c r="J2000" s="6"/>
      <c r="K2000" s="7">
        <v>1</v>
      </c>
      <c r="L2000" s="13" t="s">
        <v>1712</v>
      </c>
      <c r="M2000" s="8"/>
      <c r="N2000" s="13" t="s">
        <v>1727</v>
      </c>
      <c r="O2000" s="13"/>
      <c r="P2000" s="13"/>
      <c r="Q2000" s="7">
        <v>1</v>
      </c>
      <c r="R2000" s="6">
        <v>0.16</v>
      </c>
      <c r="S2000" s="13"/>
      <c r="T2000" s="7">
        <v>2</v>
      </c>
      <c r="U2000" s="6">
        <v>0.13</v>
      </c>
      <c r="V2000" s="5" t="s">
        <v>1700</v>
      </c>
      <c r="W2000" s="6"/>
      <c r="X2000" s="6"/>
      <c r="Y2000" s="5"/>
      <c r="Z2000" s="6">
        <v>1</v>
      </c>
      <c r="AA2000" s="6"/>
      <c r="AB2000" s="5"/>
      <c r="AC2000" s="6"/>
      <c r="AD2000" s="6"/>
      <c r="AE2000" s="5"/>
      <c r="AF2000" s="6"/>
      <c r="AG2000" s="6"/>
      <c r="AH2000" s="5"/>
      <c r="AI2000" s="6"/>
      <c r="AJ2000" s="6"/>
      <c r="AK2000" s="5"/>
      <c r="AL2000" s="5"/>
      <c r="AM2000" s="5"/>
      <c r="AN2000" s="5"/>
      <c r="AO2000" s="5"/>
      <c r="AP2000" s="5"/>
      <c r="AQ2000" s="5"/>
    </row>
    <row r="2001" spans="1:43" x14ac:dyDescent="0.25">
      <c r="A2001" s="161" t="str">
        <f>CONCATENATE(E2001,IF(ISBLANK(C2001),"",CONCATENATE("_",C2001)))</f>
        <v>EE_GALLEON_ED</v>
      </c>
      <c r="B2001" s="9" t="s">
        <v>2531</v>
      </c>
      <c r="C2001" s="5"/>
      <c r="D2001" s="5"/>
      <c r="E2001" s="5" t="s">
        <v>2590</v>
      </c>
      <c r="F2001" s="5" t="s">
        <v>2590</v>
      </c>
      <c r="G2001" s="5"/>
      <c r="H2001" s="5" t="s">
        <v>2414</v>
      </c>
      <c r="I2001" s="5" t="s">
        <v>2413</v>
      </c>
      <c r="J2001" s="6"/>
      <c r="K2001" s="7">
        <v>1</v>
      </c>
      <c r="L2001" s="13" t="s">
        <v>1712</v>
      </c>
      <c r="M2001" s="8"/>
      <c r="N2001" s="13" t="s">
        <v>1727</v>
      </c>
      <c r="O2001" s="13"/>
      <c r="P2001" s="13"/>
      <c r="Q2001" s="7">
        <v>1</v>
      </c>
      <c r="R2001" s="6">
        <v>0.16</v>
      </c>
      <c r="S2001" s="13"/>
      <c r="T2001" s="7">
        <v>2</v>
      </c>
      <c r="U2001" s="6">
        <v>0.13</v>
      </c>
      <c r="V2001" s="5" t="s">
        <v>1700</v>
      </c>
      <c r="W2001" s="6"/>
      <c r="X2001" s="6"/>
      <c r="Y2001" s="5"/>
      <c r="Z2001" s="6">
        <v>1</v>
      </c>
      <c r="AA2001" s="6"/>
      <c r="AB2001" s="5"/>
      <c r="AC2001" s="6"/>
      <c r="AD2001" s="6"/>
      <c r="AE2001" s="5"/>
      <c r="AF2001" s="6"/>
      <c r="AG2001" s="6"/>
      <c r="AH2001" s="5"/>
      <c r="AI2001" s="6"/>
      <c r="AJ2001" s="6"/>
      <c r="AK2001" s="5"/>
      <c r="AL2001" s="5"/>
      <c r="AM2001" s="5"/>
      <c r="AN2001" s="5"/>
      <c r="AO2001" s="5"/>
      <c r="AP2001" s="5"/>
      <c r="AQ2001" s="5"/>
    </row>
    <row r="2002" spans="1:43" x14ac:dyDescent="0.25">
      <c r="A2002" s="161" t="str">
        <f t="shared" ref="A2002:A2008" si="38">CONCATENATE(E2002,IF(ISBLANK(C2002),"",CONCATENATE("_",C2002)))</f>
        <v>EE_GALLEON_ED_ASIA</v>
      </c>
      <c r="B2002" s="9" t="s">
        <v>2531</v>
      </c>
      <c r="C2002" s="4" t="s">
        <v>693</v>
      </c>
      <c r="E2002" s="5" t="s">
        <v>2590</v>
      </c>
      <c r="F2002" s="5" t="s">
        <v>2590</v>
      </c>
      <c r="H2002" s="4" t="s">
        <v>852</v>
      </c>
      <c r="I2002" s="4" t="s">
        <v>1052</v>
      </c>
      <c r="K2002" s="11">
        <v>1</v>
      </c>
      <c r="R2002" s="11">
        <v>0.15</v>
      </c>
      <c r="U2002" s="11">
        <v>0.115</v>
      </c>
    </row>
    <row r="2003" spans="1:43" x14ac:dyDescent="0.25">
      <c r="A2003" s="161" t="str">
        <f t="shared" si="38"/>
        <v>EE_GALLEON_ED_RUSSIA</v>
      </c>
      <c r="B2003" s="9" t="s">
        <v>2531</v>
      </c>
      <c r="C2003" s="4" t="s">
        <v>735</v>
      </c>
      <c r="E2003" s="5" t="s">
        <v>2590</v>
      </c>
      <c r="F2003" s="5" t="s">
        <v>2590</v>
      </c>
      <c r="H2003" s="4" t="s">
        <v>2412</v>
      </c>
      <c r="I2003" s="4" t="s">
        <v>2413</v>
      </c>
      <c r="K2003" s="11">
        <v>1</v>
      </c>
    </row>
    <row r="2004" spans="1:43" x14ac:dyDescent="0.25">
      <c r="A2004" s="161" t="str">
        <f t="shared" si="38"/>
        <v>EE_GALLEON_ED_ENGLAND</v>
      </c>
      <c r="B2004" s="9" t="s">
        <v>2531</v>
      </c>
      <c r="C2004" s="4" t="s">
        <v>713</v>
      </c>
      <c r="E2004" s="5" t="s">
        <v>2590</v>
      </c>
      <c r="F2004" s="5" t="s">
        <v>2590</v>
      </c>
      <c r="H2004" s="4" t="s">
        <v>2435</v>
      </c>
      <c r="I2004" s="4" t="s">
        <v>2430</v>
      </c>
      <c r="K2004" s="11">
        <v>1</v>
      </c>
    </row>
    <row r="2005" spans="1:43" x14ac:dyDescent="0.25">
      <c r="A2005" s="161" t="str">
        <f t="shared" si="38"/>
        <v>EE_GALLEON_ED_FRANCE</v>
      </c>
      <c r="B2005" s="9" t="s">
        <v>2531</v>
      </c>
      <c r="C2005" s="4" t="s">
        <v>715</v>
      </c>
      <c r="E2005" s="5" t="s">
        <v>2590</v>
      </c>
      <c r="F2005" s="5" t="s">
        <v>2590</v>
      </c>
      <c r="H2005" s="4" t="s">
        <v>2434</v>
      </c>
      <c r="I2005" s="4" t="s">
        <v>2430</v>
      </c>
      <c r="K2005" s="11">
        <v>1</v>
      </c>
    </row>
    <row r="2006" spans="1:43" x14ac:dyDescent="0.25">
      <c r="A2006" s="161" t="str">
        <f t="shared" si="38"/>
        <v>EE_GALLEON_ED_GERMANY</v>
      </c>
      <c r="B2006" s="9" t="s">
        <v>2531</v>
      </c>
      <c r="C2006" s="4" t="s">
        <v>717</v>
      </c>
      <c r="E2006" s="5" t="s">
        <v>2590</v>
      </c>
      <c r="F2006" s="5" t="s">
        <v>2590</v>
      </c>
      <c r="H2006" s="4" t="s">
        <v>2429</v>
      </c>
      <c r="I2006" s="4" t="s">
        <v>2430</v>
      </c>
      <c r="K2006" s="11">
        <v>1</v>
      </c>
    </row>
    <row r="2007" spans="1:43" x14ac:dyDescent="0.25">
      <c r="A2007" s="161" t="str">
        <f>CONCATENATE(E2007,IF(ISBLANK(C2007),"",CONCATENATE("_",C2007)))</f>
        <v>EE_GALLEON_ED_GREECE</v>
      </c>
      <c r="B2007" s="9" t="s">
        <v>2531</v>
      </c>
      <c r="C2007" s="4" t="s">
        <v>718</v>
      </c>
      <c r="E2007" s="5" t="s">
        <v>2590</v>
      </c>
      <c r="F2007" s="5" t="s">
        <v>2590</v>
      </c>
      <c r="H2007" s="4" t="s">
        <v>2431</v>
      </c>
      <c r="I2007" s="4" t="s">
        <v>2430</v>
      </c>
      <c r="K2007" s="11">
        <v>1</v>
      </c>
    </row>
    <row r="2008" spans="1:43" x14ac:dyDescent="0.25">
      <c r="A2008" s="161" t="str">
        <f t="shared" si="38"/>
        <v>EE_GALLEON_ED_PORTUGAL</v>
      </c>
      <c r="B2008" s="9" t="s">
        <v>2531</v>
      </c>
      <c r="C2008" s="4" t="s">
        <v>733</v>
      </c>
      <c r="E2008" s="5" t="s">
        <v>2590</v>
      </c>
      <c r="F2008" s="5" t="s">
        <v>2590</v>
      </c>
      <c r="H2008" s="4" t="s">
        <v>2432</v>
      </c>
      <c r="I2008" s="4" t="s">
        <v>2430</v>
      </c>
      <c r="K2008" s="11">
        <v>1</v>
      </c>
    </row>
    <row r="2009" spans="1:43" x14ac:dyDescent="0.25">
      <c r="A2009" s="161" t="str">
        <f t="shared" si="36"/>
        <v>EE_GALLEON_ED_ROME</v>
      </c>
      <c r="B2009" s="9" t="s">
        <v>2531</v>
      </c>
      <c r="C2009" s="4" t="s">
        <v>734</v>
      </c>
      <c r="E2009" s="5" t="s">
        <v>2590</v>
      </c>
      <c r="F2009" s="5" t="s">
        <v>2590</v>
      </c>
      <c r="H2009" s="4" t="s">
        <v>2433</v>
      </c>
      <c r="I2009" s="4" t="s">
        <v>2430</v>
      </c>
      <c r="K2009" s="11">
        <v>1</v>
      </c>
    </row>
    <row r="2010" spans="1:43" x14ac:dyDescent="0.25">
      <c r="A2010" s="161" t="str">
        <f t="shared" si="36"/>
        <v>EE_GALLEON_ED_SPAIN</v>
      </c>
      <c r="B2010" s="9" t="s">
        <v>2531</v>
      </c>
      <c r="C2010" s="4" t="s">
        <v>738</v>
      </c>
      <c r="E2010" s="5" t="s">
        <v>2590</v>
      </c>
      <c r="F2010" s="5" t="s">
        <v>2590</v>
      </c>
      <c r="H2010" s="4" t="s">
        <v>2409</v>
      </c>
      <c r="I2010" s="4" t="s">
        <v>2413</v>
      </c>
      <c r="K2010" s="11">
        <v>1</v>
      </c>
    </row>
    <row r="2011" spans="1:43" x14ac:dyDescent="0.25">
      <c r="A2011" s="161" t="str">
        <f t="shared" si="36"/>
        <v>EE_GALLEON_ED_NORTHEU</v>
      </c>
      <c r="B2011" s="9" t="s">
        <v>2531</v>
      </c>
      <c r="C2011" s="4" t="s">
        <v>962</v>
      </c>
      <c r="E2011" s="5" t="s">
        <v>2590</v>
      </c>
      <c r="F2011" s="5" t="s">
        <v>2590</v>
      </c>
      <c r="H2011" s="4" t="s">
        <v>2411</v>
      </c>
      <c r="I2011" s="4" t="s">
        <v>2413</v>
      </c>
      <c r="K2011" s="11">
        <v>1</v>
      </c>
    </row>
    <row r="2012" spans="1:43" x14ac:dyDescent="0.25">
      <c r="A2012" s="161" t="str">
        <f t="shared" si="36"/>
        <v>EE_GALLEON_ED_DENMARK</v>
      </c>
      <c r="B2012" s="9" t="s">
        <v>2531</v>
      </c>
      <c r="C2012" s="4" t="s">
        <v>711</v>
      </c>
      <c r="E2012" s="5" t="s">
        <v>2590</v>
      </c>
      <c r="F2012" s="5" t="s">
        <v>2590</v>
      </c>
      <c r="H2012" s="4" t="s">
        <v>2408</v>
      </c>
      <c r="I2012" s="4" t="s">
        <v>2413</v>
      </c>
      <c r="K2012" s="11">
        <v>1</v>
      </c>
    </row>
    <row r="2013" spans="1:43" x14ac:dyDescent="0.25">
      <c r="A2013" s="161" t="str">
        <f t="shared" si="36"/>
        <v>EE_GALLEON_ED_SWEDEN</v>
      </c>
      <c r="B2013" s="9" t="s">
        <v>2531</v>
      </c>
      <c r="C2013" s="4" t="s">
        <v>739</v>
      </c>
      <c r="E2013" s="5" t="s">
        <v>2590</v>
      </c>
      <c r="F2013" s="5" t="s">
        <v>2590</v>
      </c>
      <c r="H2013" s="4" t="s">
        <v>2410</v>
      </c>
      <c r="I2013" s="4" t="s">
        <v>2413</v>
      </c>
      <c r="K2013" s="11">
        <v>1</v>
      </c>
    </row>
    <row r="2014" spans="1:43" x14ac:dyDescent="0.25">
      <c r="A2014" s="161" t="str">
        <f>CONCATENATE(E2014,IF(ISBLANK(C2014),"",CONCATENATE("_",C2014)))</f>
        <v>EE_LINE_INFANTRY</v>
      </c>
      <c r="B2014" s="9" t="s">
        <v>1987</v>
      </c>
      <c r="E2014" s="4" t="s">
        <v>1987</v>
      </c>
      <c r="F2014" s="4" t="s">
        <v>1987</v>
      </c>
      <c r="G2014" s="14"/>
      <c r="H2014" s="4" t="s">
        <v>1990</v>
      </c>
      <c r="I2014" s="4" t="s">
        <v>122</v>
      </c>
      <c r="K2014" s="7">
        <v>1</v>
      </c>
      <c r="Q2014" s="11">
        <v>14</v>
      </c>
      <c r="R2014" s="11" t="s">
        <v>1737</v>
      </c>
      <c r="S2014" s="4" t="s">
        <v>1619</v>
      </c>
      <c r="T2014" s="11">
        <v>19</v>
      </c>
      <c r="U2014" s="11" t="s">
        <v>1737</v>
      </c>
      <c r="W2014" s="11" t="s">
        <v>3</v>
      </c>
      <c r="X2014" s="11" t="s">
        <v>3</v>
      </c>
      <c r="Z2014" s="11">
        <v>1</v>
      </c>
      <c r="AD2014" s="11" t="s">
        <v>3</v>
      </c>
      <c r="AF2014" s="11" t="s">
        <v>1737</v>
      </c>
      <c r="AI2014" s="11" t="s">
        <v>1737</v>
      </c>
    </row>
    <row r="2015" spans="1:43" x14ac:dyDescent="0.25">
      <c r="A2015" s="161" t="str">
        <f t="shared" si="36"/>
        <v>EE_LINE_INFANTRY_ED</v>
      </c>
      <c r="B2015" s="9" t="s">
        <v>1987</v>
      </c>
      <c r="E2015" s="4" t="s">
        <v>2591</v>
      </c>
      <c r="F2015" s="4" t="s">
        <v>2591</v>
      </c>
      <c r="G2015" s="14"/>
      <c r="H2015" s="4" t="s">
        <v>1990</v>
      </c>
      <c r="I2015" s="4" t="s">
        <v>122</v>
      </c>
      <c r="K2015" s="7">
        <v>1</v>
      </c>
      <c r="Q2015" s="11">
        <v>4</v>
      </c>
      <c r="R2015" s="11" t="s">
        <v>1737</v>
      </c>
      <c r="S2015" s="4" t="s">
        <v>1619</v>
      </c>
      <c r="T2015" s="11">
        <v>5</v>
      </c>
      <c r="U2015" s="11" t="s">
        <v>1737</v>
      </c>
      <c r="W2015" s="11" t="s">
        <v>3</v>
      </c>
      <c r="X2015" s="11" t="s">
        <v>3</v>
      </c>
      <c r="Z2015" s="11">
        <v>1</v>
      </c>
      <c r="AD2015" s="11" t="s">
        <v>3</v>
      </c>
      <c r="AF2015" s="11">
        <v>1</v>
      </c>
      <c r="AI2015" s="11">
        <v>2</v>
      </c>
    </row>
    <row r="2016" spans="1:43" x14ac:dyDescent="0.25">
      <c r="A2016" s="161" t="str">
        <f t="shared" si="36"/>
        <v>EE_LINE_INFANTRY_ED</v>
      </c>
      <c r="B2016" s="9" t="s">
        <v>1987</v>
      </c>
      <c r="E2016" s="4" t="s">
        <v>2591</v>
      </c>
      <c r="F2016" s="4" t="s">
        <v>2591</v>
      </c>
      <c r="G2016" s="14" t="s">
        <v>2047</v>
      </c>
      <c r="H2016" s="4" t="s">
        <v>1988</v>
      </c>
      <c r="I2016" s="4" t="s">
        <v>122</v>
      </c>
      <c r="K2016" s="7">
        <v>1</v>
      </c>
      <c r="Q2016" s="11">
        <v>2</v>
      </c>
      <c r="R2016" s="11" t="s">
        <v>1737</v>
      </c>
      <c r="S2016" s="4" t="s">
        <v>1619</v>
      </c>
      <c r="T2016" s="11">
        <v>2</v>
      </c>
      <c r="U2016" s="11" t="s">
        <v>1737</v>
      </c>
      <c r="W2016" s="11" t="s">
        <v>3</v>
      </c>
      <c r="X2016" s="11" t="s">
        <v>3</v>
      </c>
      <c r="Z2016" s="11">
        <v>0</v>
      </c>
      <c r="AD2016" s="11" t="s">
        <v>3</v>
      </c>
      <c r="AF2016" s="11">
        <v>1</v>
      </c>
      <c r="AI2016" s="11">
        <v>1</v>
      </c>
    </row>
    <row r="2017" spans="1:43" x14ac:dyDescent="0.25">
      <c r="A2017" s="161" t="str">
        <f t="shared" si="36"/>
        <v>EE_LINE_INFANTRY_ED</v>
      </c>
      <c r="B2017" s="9" t="s">
        <v>1987</v>
      </c>
      <c r="E2017" s="4" t="s">
        <v>2591</v>
      </c>
      <c r="F2017" s="4" t="s">
        <v>2591</v>
      </c>
      <c r="G2017" s="14" t="s">
        <v>2049</v>
      </c>
      <c r="H2017" s="4" t="s">
        <v>1989</v>
      </c>
      <c r="I2017" s="4" t="s">
        <v>122</v>
      </c>
      <c r="K2017" s="7">
        <v>1</v>
      </c>
      <c r="Q2017" s="11">
        <v>1</v>
      </c>
      <c r="R2017" s="11" t="s">
        <v>1737</v>
      </c>
      <c r="S2017" s="4" t="s">
        <v>1619</v>
      </c>
      <c r="T2017" s="11">
        <v>1</v>
      </c>
      <c r="U2017" s="11" t="s">
        <v>1737</v>
      </c>
      <c r="W2017" s="11" t="s">
        <v>3</v>
      </c>
      <c r="X2017" s="11" t="s">
        <v>3</v>
      </c>
      <c r="Z2017" s="11">
        <v>0</v>
      </c>
      <c r="AD2017" s="11" t="s">
        <v>3</v>
      </c>
      <c r="AF2017" s="11">
        <v>1</v>
      </c>
      <c r="AI2017" s="11">
        <v>1</v>
      </c>
    </row>
    <row r="2018" spans="1:43" x14ac:dyDescent="0.25">
      <c r="A2018" s="161" t="str">
        <f t="shared" si="36"/>
        <v>EE_LINE_INFANTRY_ED</v>
      </c>
      <c r="B2018" s="9" t="s">
        <v>1987</v>
      </c>
      <c r="E2018" s="4" t="s">
        <v>2591</v>
      </c>
      <c r="F2018" s="4" t="s">
        <v>2591</v>
      </c>
      <c r="G2018" s="14"/>
      <c r="H2018" s="4" t="s">
        <v>1990</v>
      </c>
      <c r="I2018" s="4" t="s">
        <v>122</v>
      </c>
      <c r="K2018" s="7">
        <v>1</v>
      </c>
      <c r="Q2018" s="11">
        <v>4</v>
      </c>
      <c r="R2018" s="11" t="s">
        <v>1737</v>
      </c>
      <c r="S2018" s="4" t="s">
        <v>1619</v>
      </c>
      <c r="T2018" s="11">
        <v>6</v>
      </c>
      <c r="U2018" s="11" t="s">
        <v>1737</v>
      </c>
      <c r="W2018" s="11" t="s">
        <v>3</v>
      </c>
      <c r="X2018" s="11" t="s">
        <v>3</v>
      </c>
      <c r="Z2018" s="11">
        <v>0</v>
      </c>
      <c r="AD2018" s="11" t="s">
        <v>3</v>
      </c>
      <c r="AF2018" s="11">
        <v>0</v>
      </c>
      <c r="AI2018" s="11">
        <v>3</v>
      </c>
    </row>
    <row r="2019" spans="1:43" x14ac:dyDescent="0.25">
      <c r="A2019" s="161" t="str">
        <f t="shared" si="36"/>
        <v>EE_LINE_INFANTRY_ED</v>
      </c>
      <c r="B2019" s="9" t="s">
        <v>1987</v>
      </c>
      <c r="E2019" s="4" t="s">
        <v>2591</v>
      </c>
      <c r="F2019" s="4" t="s">
        <v>2591</v>
      </c>
      <c r="G2019" s="14" t="s">
        <v>2047</v>
      </c>
      <c r="H2019" s="4" t="s">
        <v>1988</v>
      </c>
      <c r="I2019" s="4" t="s">
        <v>122</v>
      </c>
      <c r="K2019" s="7">
        <v>1</v>
      </c>
      <c r="Q2019" s="11">
        <v>2</v>
      </c>
      <c r="R2019" s="11" t="s">
        <v>1737</v>
      </c>
      <c r="S2019" s="4" t="s">
        <v>1619</v>
      </c>
      <c r="T2019" s="11">
        <v>3</v>
      </c>
      <c r="U2019" s="11" t="s">
        <v>1737</v>
      </c>
      <c r="W2019" s="11" t="s">
        <v>3</v>
      </c>
      <c r="X2019" s="11" t="s">
        <v>3</v>
      </c>
      <c r="Z2019" s="11">
        <v>0</v>
      </c>
      <c r="AD2019" s="11" t="s">
        <v>3</v>
      </c>
      <c r="AF2019" s="11">
        <v>0</v>
      </c>
      <c r="AI2019" s="11">
        <v>0</v>
      </c>
    </row>
    <row r="2020" spans="1:43" x14ac:dyDescent="0.25">
      <c r="A2020" s="161" t="str">
        <f t="shared" si="36"/>
        <v>EE_LINE_INFANTRY_ED</v>
      </c>
      <c r="B2020" s="9" t="s">
        <v>1987</v>
      </c>
      <c r="E2020" s="4" t="s">
        <v>2591</v>
      </c>
      <c r="F2020" s="4" t="s">
        <v>2591</v>
      </c>
      <c r="G2020" s="14" t="s">
        <v>2049</v>
      </c>
      <c r="H2020" s="4" t="s">
        <v>1989</v>
      </c>
      <c r="I2020" s="4" t="s">
        <v>122</v>
      </c>
      <c r="K2020" s="7">
        <v>1</v>
      </c>
      <c r="Q2020" s="11">
        <v>1</v>
      </c>
      <c r="R2020" s="11" t="s">
        <v>1737</v>
      </c>
      <c r="S2020" s="4" t="s">
        <v>1619</v>
      </c>
      <c r="T2020" s="11">
        <v>2</v>
      </c>
      <c r="U2020" s="11" t="s">
        <v>1737</v>
      </c>
      <c r="W2020" s="11" t="s">
        <v>3</v>
      </c>
      <c r="X2020" s="11" t="s">
        <v>3</v>
      </c>
      <c r="Z2020" s="11">
        <v>0</v>
      </c>
      <c r="AD2020" s="11" t="s">
        <v>3</v>
      </c>
      <c r="AF2020" s="11">
        <v>0</v>
      </c>
      <c r="AI2020" s="11">
        <v>0</v>
      </c>
    </row>
    <row r="2021" spans="1:43" x14ac:dyDescent="0.25">
      <c r="A2021" s="161" t="str">
        <f t="shared" si="36"/>
        <v>EE_LINE_INFANTRY_ED_AUSTRIA</v>
      </c>
      <c r="B2021" s="9" t="s">
        <v>1987</v>
      </c>
      <c r="C2021" s="4" t="s">
        <v>701</v>
      </c>
      <c r="E2021" s="4" t="s">
        <v>2591</v>
      </c>
      <c r="F2021" s="4" t="s">
        <v>2591</v>
      </c>
      <c r="G2021" s="14"/>
      <c r="H2021" s="4" t="s">
        <v>1991</v>
      </c>
      <c r="I2021" s="4" t="s">
        <v>122</v>
      </c>
      <c r="K2021" s="7">
        <v>1</v>
      </c>
      <c r="Q2021" s="11">
        <v>4</v>
      </c>
      <c r="T2021" s="11">
        <v>5</v>
      </c>
      <c r="Z2021" s="11">
        <v>1</v>
      </c>
      <c r="AF2021" s="11">
        <v>1</v>
      </c>
      <c r="AI2021" s="11">
        <v>2</v>
      </c>
    </row>
    <row r="2022" spans="1:43" x14ac:dyDescent="0.25">
      <c r="A2022" s="161" t="str">
        <f t="shared" si="36"/>
        <v>EE_LINE_INFANTRY_ED_AUSTRIA</v>
      </c>
      <c r="B2022" s="9" t="s">
        <v>1987</v>
      </c>
      <c r="C2022" s="4" t="s">
        <v>701</v>
      </c>
      <c r="E2022" s="4" t="s">
        <v>2591</v>
      </c>
      <c r="F2022" s="4" t="s">
        <v>2591</v>
      </c>
      <c r="G2022" s="14" t="s">
        <v>2047</v>
      </c>
      <c r="H2022" s="4" t="s">
        <v>1993</v>
      </c>
      <c r="I2022" s="4" t="s">
        <v>122</v>
      </c>
      <c r="K2022" s="7">
        <v>1</v>
      </c>
      <c r="Q2022" s="11">
        <v>2</v>
      </c>
      <c r="T2022" s="11">
        <v>2</v>
      </c>
      <c r="Z2022" s="11">
        <v>0</v>
      </c>
      <c r="AF2022" s="11">
        <v>1</v>
      </c>
      <c r="AI2022" s="11">
        <v>1</v>
      </c>
    </row>
    <row r="2023" spans="1:43" x14ac:dyDescent="0.25">
      <c r="A2023" s="161" t="str">
        <f t="shared" si="36"/>
        <v>EE_LINE_INFANTRY_ED_AUSTRIA</v>
      </c>
      <c r="B2023" s="9" t="s">
        <v>1987</v>
      </c>
      <c r="C2023" s="4" t="s">
        <v>701</v>
      </c>
      <c r="E2023" s="4" t="s">
        <v>2591</v>
      </c>
      <c r="F2023" s="4" t="s">
        <v>2591</v>
      </c>
      <c r="G2023" s="14" t="s">
        <v>2049</v>
      </c>
      <c r="H2023" s="4" t="s">
        <v>1994</v>
      </c>
      <c r="I2023" s="4" t="s">
        <v>122</v>
      </c>
      <c r="K2023" s="7">
        <v>1</v>
      </c>
      <c r="Q2023" s="11">
        <v>1</v>
      </c>
      <c r="T2023" s="11">
        <v>1</v>
      </c>
      <c r="Z2023" s="11">
        <v>0</v>
      </c>
      <c r="AF2023" s="11">
        <v>1</v>
      </c>
      <c r="AI2023" s="11">
        <v>1</v>
      </c>
    </row>
    <row r="2024" spans="1:43" s="11" customFormat="1" x14ac:dyDescent="0.25">
      <c r="A2024" s="161" t="str">
        <f t="shared" si="36"/>
        <v>EE_LINE_INFANTRY_ED_AUSTRIA</v>
      </c>
      <c r="B2024" s="9" t="s">
        <v>1987</v>
      </c>
      <c r="C2024" s="4" t="s">
        <v>701</v>
      </c>
      <c r="D2024" s="4"/>
      <c r="E2024" s="4" t="s">
        <v>2591</v>
      </c>
      <c r="F2024" s="4" t="s">
        <v>2591</v>
      </c>
      <c r="G2024" s="14"/>
      <c r="H2024" s="4" t="s">
        <v>1991</v>
      </c>
      <c r="I2024" s="4" t="s">
        <v>122</v>
      </c>
      <c r="K2024" s="7">
        <v>1</v>
      </c>
      <c r="L2024" s="4"/>
      <c r="M2024" s="12"/>
      <c r="N2024" s="4"/>
      <c r="O2024" s="4"/>
      <c r="P2024" s="4"/>
      <c r="Q2024" s="11">
        <v>4</v>
      </c>
      <c r="S2024" s="4"/>
      <c r="T2024" s="11">
        <v>6</v>
      </c>
      <c r="V2024" s="4"/>
      <c r="Y2024" s="4"/>
      <c r="Z2024" s="11">
        <v>0</v>
      </c>
      <c r="AB2024" s="4"/>
      <c r="AE2024" s="4"/>
      <c r="AF2024" s="11">
        <v>0</v>
      </c>
      <c r="AH2024" s="4"/>
      <c r="AI2024" s="11">
        <v>3</v>
      </c>
      <c r="AK2024" s="4"/>
      <c r="AL2024" s="4"/>
      <c r="AM2024" s="4"/>
      <c r="AN2024" s="4"/>
      <c r="AO2024" s="4"/>
      <c r="AP2024" s="4"/>
      <c r="AQ2024" s="4"/>
    </row>
    <row r="2025" spans="1:43" s="11" customFormat="1" x14ac:dyDescent="0.25">
      <c r="A2025" s="161" t="str">
        <f t="shared" si="36"/>
        <v>EE_LINE_INFANTRY_ED_AUSTRIA</v>
      </c>
      <c r="B2025" s="9" t="s">
        <v>1987</v>
      </c>
      <c r="C2025" s="4" t="s">
        <v>701</v>
      </c>
      <c r="D2025" s="4"/>
      <c r="E2025" s="4" t="s">
        <v>2591</v>
      </c>
      <c r="F2025" s="4" t="s">
        <v>2591</v>
      </c>
      <c r="G2025" s="14" t="s">
        <v>2047</v>
      </c>
      <c r="H2025" s="4" t="s">
        <v>1993</v>
      </c>
      <c r="I2025" s="4" t="s">
        <v>122</v>
      </c>
      <c r="K2025" s="7">
        <v>1</v>
      </c>
      <c r="L2025" s="4"/>
      <c r="M2025" s="12"/>
      <c r="N2025" s="4"/>
      <c r="O2025" s="4"/>
      <c r="P2025" s="4"/>
      <c r="Q2025" s="11">
        <v>2</v>
      </c>
      <c r="S2025" s="4"/>
      <c r="T2025" s="11">
        <v>3</v>
      </c>
      <c r="V2025" s="4"/>
      <c r="Y2025" s="4"/>
      <c r="Z2025" s="11">
        <v>0</v>
      </c>
      <c r="AB2025" s="4"/>
      <c r="AE2025" s="4"/>
      <c r="AF2025" s="11">
        <v>0</v>
      </c>
      <c r="AH2025" s="4"/>
      <c r="AI2025" s="11">
        <v>0</v>
      </c>
      <c r="AK2025" s="4"/>
      <c r="AL2025" s="4"/>
      <c r="AM2025" s="4"/>
      <c r="AN2025" s="4"/>
      <c r="AO2025" s="4"/>
      <c r="AP2025" s="4"/>
      <c r="AQ2025" s="4"/>
    </row>
    <row r="2026" spans="1:43" s="11" customFormat="1" x14ac:dyDescent="0.25">
      <c r="A2026" s="161" t="str">
        <f t="shared" si="36"/>
        <v>EE_LINE_INFANTRY_ED_AUSTRIA</v>
      </c>
      <c r="B2026" s="9" t="s">
        <v>1987</v>
      </c>
      <c r="C2026" s="4" t="s">
        <v>701</v>
      </c>
      <c r="D2026" s="4"/>
      <c r="E2026" s="4" t="s">
        <v>2591</v>
      </c>
      <c r="F2026" s="4" t="s">
        <v>2591</v>
      </c>
      <c r="G2026" s="14" t="s">
        <v>2049</v>
      </c>
      <c r="H2026" s="4" t="s">
        <v>1994</v>
      </c>
      <c r="I2026" s="4" t="s">
        <v>122</v>
      </c>
      <c r="K2026" s="7">
        <v>1</v>
      </c>
      <c r="L2026" s="4"/>
      <c r="M2026" s="12"/>
      <c r="N2026" s="4"/>
      <c r="O2026" s="4"/>
      <c r="P2026" s="4"/>
      <c r="Q2026" s="11">
        <v>1</v>
      </c>
      <c r="S2026" s="4"/>
      <c r="T2026" s="11">
        <v>2</v>
      </c>
      <c r="V2026" s="4"/>
      <c r="Y2026" s="4"/>
      <c r="Z2026" s="11">
        <v>0</v>
      </c>
      <c r="AB2026" s="4"/>
      <c r="AE2026" s="4"/>
      <c r="AF2026" s="11">
        <v>0</v>
      </c>
      <c r="AH2026" s="4"/>
      <c r="AI2026" s="11">
        <v>0</v>
      </c>
      <c r="AK2026" s="4"/>
      <c r="AL2026" s="4"/>
      <c r="AM2026" s="4"/>
      <c r="AN2026" s="4"/>
      <c r="AO2026" s="4"/>
      <c r="AP2026" s="4"/>
      <c r="AQ2026" s="4"/>
    </row>
    <row r="2027" spans="1:43" s="11" customFormat="1" x14ac:dyDescent="0.25">
      <c r="A2027" s="161" t="str">
        <f t="shared" si="36"/>
        <v>EE_LINE_INFANTRY_ED_DENMARK</v>
      </c>
      <c r="B2027" s="9" t="s">
        <v>1987</v>
      </c>
      <c r="C2027" s="4" t="s">
        <v>711</v>
      </c>
      <c r="D2027" s="4"/>
      <c r="E2027" s="4" t="s">
        <v>2591</v>
      </c>
      <c r="F2027" s="4" t="s">
        <v>2591</v>
      </c>
      <c r="G2027" s="14"/>
      <c r="H2027" s="4" t="s">
        <v>1992</v>
      </c>
      <c r="I2027" s="4" t="s">
        <v>122</v>
      </c>
      <c r="K2027" s="7">
        <v>1</v>
      </c>
      <c r="L2027" s="4"/>
      <c r="M2027" s="12"/>
      <c r="N2027" s="4"/>
      <c r="O2027" s="4"/>
      <c r="P2027" s="4"/>
      <c r="Q2027" s="11">
        <v>14</v>
      </c>
      <c r="S2027" s="4"/>
      <c r="T2027" s="11">
        <v>19</v>
      </c>
      <c r="V2027" s="4"/>
      <c r="Y2027" s="4"/>
      <c r="Z2027" s="11">
        <v>1</v>
      </c>
      <c r="AB2027" s="4"/>
      <c r="AE2027" s="4"/>
      <c r="AF2027" s="11">
        <v>3</v>
      </c>
      <c r="AH2027" s="4"/>
      <c r="AI2027" s="11">
        <v>7</v>
      </c>
      <c r="AK2027" s="4"/>
      <c r="AL2027" s="4"/>
      <c r="AM2027" s="4"/>
      <c r="AN2027" s="4"/>
      <c r="AO2027" s="4"/>
      <c r="AP2027" s="4"/>
      <c r="AQ2027" s="4"/>
    </row>
    <row r="2028" spans="1:43" s="11" customFormat="1" x14ac:dyDescent="0.25">
      <c r="A2028" s="161" t="str">
        <f t="shared" si="36"/>
        <v>EE_LINE_INFANTRY_ED_ENGLAND</v>
      </c>
      <c r="B2028" s="9" t="s">
        <v>1987</v>
      </c>
      <c r="C2028" s="4" t="s">
        <v>713</v>
      </c>
      <c r="D2028" s="4"/>
      <c r="E2028" s="4" t="s">
        <v>2591</v>
      </c>
      <c r="F2028" s="4" t="s">
        <v>2591</v>
      </c>
      <c r="G2028" s="1"/>
      <c r="H2028" s="4" t="s">
        <v>1995</v>
      </c>
      <c r="I2028" s="4" t="s">
        <v>122</v>
      </c>
      <c r="K2028" s="7">
        <v>1</v>
      </c>
      <c r="L2028" s="4"/>
      <c r="M2028" s="12"/>
      <c r="N2028" s="4"/>
      <c r="O2028" s="4"/>
      <c r="P2028" s="4"/>
      <c r="Q2028" s="11">
        <v>4</v>
      </c>
      <c r="S2028" s="4"/>
      <c r="T2028" s="11">
        <v>5</v>
      </c>
      <c r="V2028" s="4"/>
      <c r="Y2028" s="4"/>
      <c r="Z2028" s="11">
        <v>1</v>
      </c>
      <c r="AB2028" s="4"/>
      <c r="AE2028" s="4"/>
      <c r="AF2028" s="11">
        <v>1</v>
      </c>
      <c r="AH2028" s="4"/>
      <c r="AI2028" s="11">
        <v>2</v>
      </c>
      <c r="AK2028" s="4"/>
      <c r="AL2028" s="4"/>
      <c r="AM2028" s="4"/>
      <c r="AN2028" s="4"/>
      <c r="AO2028" s="4"/>
      <c r="AP2028" s="4"/>
      <c r="AQ2028" s="4"/>
    </row>
    <row r="2029" spans="1:43" s="11" customFormat="1" x14ac:dyDescent="0.25">
      <c r="A2029" s="161" t="str">
        <f t="shared" si="36"/>
        <v>EE_LINE_INFANTRY_ED_ENGLAND</v>
      </c>
      <c r="B2029" s="9" t="s">
        <v>1987</v>
      </c>
      <c r="C2029" s="4" t="s">
        <v>713</v>
      </c>
      <c r="D2029" s="4"/>
      <c r="E2029" s="4" t="s">
        <v>2591</v>
      </c>
      <c r="F2029" s="4" t="s">
        <v>2591</v>
      </c>
      <c r="G2029" s="14" t="s">
        <v>2047</v>
      </c>
      <c r="H2029" s="4" t="s">
        <v>2009</v>
      </c>
      <c r="I2029" s="4" t="s">
        <v>122</v>
      </c>
      <c r="K2029" s="7">
        <v>1</v>
      </c>
      <c r="L2029" s="4"/>
      <c r="M2029" s="12"/>
      <c r="N2029" s="4"/>
      <c r="O2029" s="4"/>
      <c r="P2029" s="4"/>
      <c r="Q2029" s="11">
        <v>2</v>
      </c>
      <c r="S2029" s="4"/>
      <c r="T2029" s="11">
        <v>2</v>
      </c>
      <c r="V2029" s="4"/>
      <c r="Y2029" s="4"/>
      <c r="Z2029" s="11">
        <v>0</v>
      </c>
      <c r="AB2029" s="4"/>
      <c r="AE2029" s="4"/>
      <c r="AF2029" s="11">
        <v>1</v>
      </c>
      <c r="AH2029" s="4"/>
      <c r="AI2029" s="11">
        <v>1</v>
      </c>
      <c r="AK2029" s="4"/>
      <c r="AL2029" s="4"/>
      <c r="AM2029" s="4"/>
      <c r="AN2029" s="4"/>
      <c r="AO2029" s="4"/>
      <c r="AP2029" s="4"/>
      <c r="AQ2029" s="4"/>
    </row>
    <row r="2030" spans="1:43" s="11" customFormat="1" x14ac:dyDescent="0.25">
      <c r="A2030" s="161" t="str">
        <f t="shared" si="36"/>
        <v>EE_LINE_INFANTRY_ED_ENGLAND</v>
      </c>
      <c r="B2030" s="9" t="s">
        <v>1987</v>
      </c>
      <c r="C2030" s="4" t="s">
        <v>713</v>
      </c>
      <c r="D2030" s="4"/>
      <c r="E2030" s="4" t="s">
        <v>2591</v>
      </c>
      <c r="F2030" s="4" t="s">
        <v>2591</v>
      </c>
      <c r="G2030" s="14" t="s">
        <v>2049</v>
      </c>
      <c r="H2030" s="4" t="s">
        <v>2010</v>
      </c>
      <c r="I2030" s="4" t="s">
        <v>122</v>
      </c>
      <c r="K2030" s="7">
        <v>1</v>
      </c>
      <c r="L2030" s="4"/>
      <c r="M2030" s="12"/>
      <c r="N2030" s="4"/>
      <c r="O2030" s="4"/>
      <c r="P2030" s="4"/>
      <c r="Q2030" s="11">
        <v>1</v>
      </c>
      <c r="S2030" s="4"/>
      <c r="T2030" s="11">
        <v>1</v>
      </c>
      <c r="V2030" s="4"/>
      <c r="Y2030" s="4"/>
      <c r="Z2030" s="11">
        <v>0</v>
      </c>
      <c r="AB2030" s="4"/>
      <c r="AE2030" s="4"/>
      <c r="AF2030" s="11">
        <v>1</v>
      </c>
      <c r="AH2030" s="4"/>
      <c r="AI2030" s="11">
        <v>1</v>
      </c>
      <c r="AK2030" s="4"/>
      <c r="AL2030" s="4"/>
      <c r="AM2030" s="4"/>
      <c r="AN2030" s="4"/>
      <c r="AO2030" s="4"/>
      <c r="AP2030" s="4"/>
      <c r="AQ2030" s="4"/>
    </row>
    <row r="2031" spans="1:43" s="11" customFormat="1" x14ac:dyDescent="0.25">
      <c r="A2031" s="161" t="str">
        <f t="shared" si="36"/>
        <v>EE_LINE_INFANTRY_ED_ENGLAND</v>
      </c>
      <c r="B2031" s="9" t="s">
        <v>1987</v>
      </c>
      <c r="C2031" s="4" t="s">
        <v>713</v>
      </c>
      <c r="D2031" s="4"/>
      <c r="E2031" s="4" t="s">
        <v>2591</v>
      </c>
      <c r="F2031" s="4" t="s">
        <v>2591</v>
      </c>
      <c r="G2031" s="1"/>
      <c r="H2031" s="4" t="s">
        <v>1995</v>
      </c>
      <c r="I2031" s="4" t="s">
        <v>122</v>
      </c>
      <c r="K2031" s="7">
        <v>1</v>
      </c>
      <c r="L2031" s="4"/>
      <c r="M2031" s="12"/>
      <c r="N2031" s="4"/>
      <c r="O2031" s="4"/>
      <c r="P2031" s="4"/>
      <c r="Q2031" s="11">
        <v>4</v>
      </c>
      <c r="S2031" s="4"/>
      <c r="T2031" s="11">
        <v>6</v>
      </c>
      <c r="V2031" s="4"/>
      <c r="Y2031" s="4"/>
      <c r="Z2031" s="11">
        <v>0</v>
      </c>
      <c r="AB2031" s="4"/>
      <c r="AE2031" s="4"/>
      <c r="AF2031" s="11">
        <v>0</v>
      </c>
      <c r="AH2031" s="4"/>
      <c r="AI2031" s="11">
        <v>3</v>
      </c>
      <c r="AK2031" s="4"/>
      <c r="AL2031" s="4"/>
      <c r="AM2031" s="4"/>
      <c r="AN2031" s="4"/>
      <c r="AO2031" s="4"/>
      <c r="AP2031" s="4"/>
      <c r="AQ2031" s="4"/>
    </row>
    <row r="2032" spans="1:43" s="11" customFormat="1" x14ac:dyDescent="0.25">
      <c r="A2032" s="161" t="str">
        <f t="shared" ref="A2032:A2047" si="39">CONCATENATE(E2032,IF(ISBLANK(C2032),"",CONCATENATE("_",C2032)))</f>
        <v>EE_LINE_INFANTRY_ED_ENGLAND</v>
      </c>
      <c r="B2032" s="9" t="s">
        <v>1987</v>
      </c>
      <c r="C2032" s="4" t="s">
        <v>713</v>
      </c>
      <c r="D2032" s="4"/>
      <c r="E2032" s="4" t="s">
        <v>2591</v>
      </c>
      <c r="F2032" s="4" t="s">
        <v>2591</v>
      </c>
      <c r="G2032" s="14" t="s">
        <v>2047</v>
      </c>
      <c r="H2032" s="4" t="s">
        <v>2009</v>
      </c>
      <c r="I2032" s="4" t="s">
        <v>122</v>
      </c>
      <c r="K2032" s="7">
        <v>1</v>
      </c>
      <c r="L2032" s="4"/>
      <c r="M2032" s="12"/>
      <c r="N2032" s="4"/>
      <c r="O2032" s="4"/>
      <c r="P2032" s="4"/>
      <c r="Q2032" s="11">
        <v>2</v>
      </c>
      <c r="S2032" s="4"/>
      <c r="T2032" s="11">
        <v>3</v>
      </c>
      <c r="V2032" s="4"/>
      <c r="Y2032" s="4"/>
      <c r="Z2032" s="11">
        <v>0</v>
      </c>
      <c r="AB2032" s="4"/>
      <c r="AE2032" s="4"/>
      <c r="AF2032" s="11">
        <v>0</v>
      </c>
      <c r="AH2032" s="4"/>
      <c r="AI2032" s="11">
        <v>0</v>
      </c>
      <c r="AK2032" s="4"/>
      <c r="AL2032" s="4"/>
      <c r="AM2032" s="4"/>
      <c r="AN2032" s="4"/>
      <c r="AO2032" s="4"/>
      <c r="AP2032" s="4"/>
      <c r="AQ2032" s="4"/>
    </row>
    <row r="2033" spans="1:43" s="11" customFormat="1" x14ac:dyDescent="0.25">
      <c r="A2033" s="161" t="str">
        <f t="shared" si="39"/>
        <v>EE_LINE_INFANTRY_ED_ENGLAND</v>
      </c>
      <c r="B2033" s="9" t="s">
        <v>1987</v>
      </c>
      <c r="C2033" s="4" t="s">
        <v>713</v>
      </c>
      <c r="D2033" s="4"/>
      <c r="E2033" s="4" t="s">
        <v>2591</v>
      </c>
      <c r="F2033" s="4" t="s">
        <v>2591</v>
      </c>
      <c r="G2033" s="14" t="s">
        <v>2049</v>
      </c>
      <c r="H2033" s="4" t="s">
        <v>2010</v>
      </c>
      <c r="I2033" s="4" t="s">
        <v>122</v>
      </c>
      <c r="K2033" s="7">
        <v>1</v>
      </c>
      <c r="L2033" s="4"/>
      <c r="M2033" s="12"/>
      <c r="N2033" s="4"/>
      <c r="O2033" s="4"/>
      <c r="P2033" s="4"/>
      <c r="Q2033" s="11">
        <v>1</v>
      </c>
      <c r="S2033" s="4"/>
      <c r="T2033" s="11">
        <v>2</v>
      </c>
      <c r="V2033" s="4"/>
      <c r="Y2033" s="4"/>
      <c r="Z2033" s="11">
        <v>0</v>
      </c>
      <c r="AB2033" s="4"/>
      <c r="AE2033" s="4"/>
      <c r="AF2033" s="11">
        <v>0</v>
      </c>
      <c r="AH2033" s="4"/>
      <c r="AI2033" s="11">
        <v>0</v>
      </c>
      <c r="AK2033" s="4"/>
      <c r="AL2033" s="4"/>
      <c r="AM2033" s="4"/>
      <c r="AN2033" s="4"/>
      <c r="AO2033" s="4"/>
      <c r="AP2033" s="4"/>
      <c r="AQ2033" s="4"/>
    </row>
    <row r="2034" spans="1:43" s="11" customFormat="1" x14ac:dyDescent="0.25">
      <c r="A2034" s="161" t="str">
        <f t="shared" si="39"/>
        <v>EE_LINE_INFANTRY_ED_FRANCE</v>
      </c>
      <c r="B2034" s="9" t="s">
        <v>1987</v>
      </c>
      <c r="C2034" s="4" t="s">
        <v>715</v>
      </c>
      <c r="D2034" s="4"/>
      <c r="E2034" s="4" t="s">
        <v>2591</v>
      </c>
      <c r="F2034" s="4" t="s">
        <v>2591</v>
      </c>
      <c r="G2034" s="14"/>
      <c r="H2034" s="4" t="s">
        <v>1996</v>
      </c>
      <c r="I2034" s="4" t="s">
        <v>122</v>
      </c>
      <c r="K2034" s="7">
        <v>1</v>
      </c>
      <c r="L2034" s="4"/>
      <c r="M2034" s="12"/>
      <c r="N2034" s="4"/>
      <c r="O2034" s="4"/>
      <c r="P2034" s="4"/>
      <c r="Q2034" s="11">
        <v>4</v>
      </c>
      <c r="S2034" s="4"/>
      <c r="T2034" s="11">
        <v>5</v>
      </c>
      <c r="V2034" s="4"/>
      <c r="Y2034" s="4"/>
      <c r="Z2034" s="11">
        <v>1</v>
      </c>
      <c r="AB2034" s="4"/>
      <c r="AE2034" s="4"/>
      <c r="AF2034" s="11">
        <v>1</v>
      </c>
      <c r="AH2034" s="4"/>
      <c r="AI2034" s="11">
        <v>2</v>
      </c>
      <c r="AK2034" s="4"/>
      <c r="AL2034" s="4"/>
      <c r="AM2034" s="4"/>
      <c r="AN2034" s="4"/>
      <c r="AO2034" s="4"/>
      <c r="AP2034" s="4"/>
      <c r="AQ2034" s="4"/>
    </row>
    <row r="2035" spans="1:43" s="11" customFormat="1" x14ac:dyDescent="0.25">
      <c r="A2035" s="161" t="str">
        <f t="shared" si="39"/>
        <v>EE_LINE_INFANTRY_ED_FRANCE</v>
      </c>
      <c r="B2035" s="9" t="s">
        <v>1987</v>
      </c>
      <c r="C2035" s="4" t="s">
        <v>715</v>
      </c>
      <c r="D2035" s="4"/>
      <c r="E2035" s="4" t="s">
        <v>2591</v>
      </c>
      <c r="F2035" s="4" t="s">
        <v>2591</v>
      </c>
      <c r="G2035" s="14" t="s">
        <v>2047</v>
      </c>
      <c r="H2035" s="4" t="s">
        <v>2007</v>
      </c>
      <c r="I2035" s="4" t="s">
        <v>122</v>
      </c>
      <c r="K2035" s="7">
        <v>1</v>
      </c>
      <c r="L2035" s="4"/>
      <c r="M2035" s="12"/>
      <c r="N2035" s="4"/>
      <c r="O2035" s="4"/>
      <c r="P2035" s="4"/>
      <c r="Q2035" s="11">
        <v>2</v>
      </c>
      <c r="S2035" s="4"/>
      <c r="T2035" s="11">
        <v>2</v>
      </c>
      <c r="V2035" s="4"/>
      <c r="Y2035" s="4"/>
      <c r="Z2035" s="11">
        <v>0</v>
      </c>
      <c r="AB2035" s="4"/>
      <c r="AE2035" s="4"/>
      <c r="AF2035" s="11">
        <v>1</v>
      </c>
      <c r="AH2035" s="4"/>
      <c r="AI2035" s="11">
        <v>1</v>
      </c>
      <c r="AK2035" s="4"/>
      <c r="AL2035" s="4"/>
      <c r="AM2035" s="4"/>
      <c r="AN2035" s="4"/>
      <c r="AO2035" s="4"/>
      <c r="AP2035" s="4"/>
      <c r="AQ2035" s="4"/>
    </row>
    <row r="2036" spans="1:43" s="11" customFormat="1" x14ac:dyDescent="0.25">
      <c r="A2036" s="161" t="str">
        <f t="shared" si="39"/>
        <v>EE_LINE_INFANTRY_ED_FRANCE</v>
      </c>
      <c r="B2036" s="9" t="s">
        <v>1987</v>
      </c>
      <c r="C2036" s="4" t="s">
        <v>715</v>
      </c>
      <c r="D2036" s="4"/>
      <c r="E2036" s="4" t="s">
        <v>2591</v>
      </c>
      <c r="F2036" s="4" t="s">
        <v>2591</v>
      </c>
      <c r="G2036" s="14" t="s">
        <v>2049</v>
      </c>
      <c r="H2036" s="4" t="s">
        <v>2008</v>
      </c>
      <c r="I2036" s="4" t="s">
        <v>122</v>
      </c>
      <c r="K2036" s="7">
        <v>1</v>
      </c>
      <c r="L2036" s="4"/>
      <c r="M2036" s="12"/>
      <c r="N2036" s="4"/>
      <c r="O2036" s="4"/>
      <c r="P2036" s="4"/>
      <c r="Q2036" s="11">
        <v>1</v>
      </c>
      <c r="S2036" s="4"/>
      <c r="T2036" s="11">
        <v>1</v>
      </c>
      <c r="V2036" s="4"/>
      <c r="Y2036" s="4"/>
      <c r="Z2036" s="11">
        <v>0</v>
      </c>
      <c r="AB2036" s="4"/>
      <c r="AE2036" s="4"/>
      <c r="AF2036" s="11">
        <v>1</v>
      </c>
      <c r="AH2036" s="4"/>
      <c r="AI2036" s="11">
        <v>1</v>
      </c>
      <c r="AK2036" s="4"/>
      <c r="AL2036" s="4"/>
      <c r="AM2036" s="4"/>
      <c r="AN2036" s="4"/>
      <c r="AO2036" s="4"/>
      <c r="AP2036" s="4"/>
      <c r="AQ2036" s="4"/>
    </row>
    <row r="2037" spans="1:43" s="11" customFormat="1" x14ac:dyDescent="0.25">
      <c r="A2037" s="161" t="str">
        <f t="shared" si="39"/>
        <v>EE_LINE_INFANTRY_ED_FRANCE</v>
      </c>
      <c r="B2037" s="9" t="s">
        <v>1987</v>
      </c>
      <c r="C2037" s="4" t="s">
        <v>715</v>
      </c>
      <c r="D2037" s="4"/>
      <c r="E2037" s="4" t="s">
        <v>2591</v>
      </c>
      <c r="F2037" s="4" t="s">
        <v>2591</v>
      </c>
      <c r="G2037" s="14"/>
      <c r="H2037" s="4" t="s">
        <v>1996</v>
      </c>
      <c r="I2037" s="4" t="s">
        <v>122</v>
      </c>
      <c r="K2037" s="7">
        <v>1</v>
      </c>
      <c r="L2037" s="4"/>
      <c r="M2037" s="12"/>
      <c r="N2037" s="4"/>
      <c r="O2037" s="4"/>
      <c r="P2037" s="4"/>
      <c r="Q2037" s="11">
        <v>4</v>
      </c>
      <c r="S2037" s="4"/>
      <c r="T2037" s="11">
        <v>6</v>
      </c>
      <c r="V2037" s="4"/>
      <c r="Y2037" s="4"/>
      <c r="Z2037" s="11">
        <v>0</v>
      </c>
      <c r="AB2037" s="4"/>
      <c r="AE2037" s="4"/>
      <c r="AF2037" s="11">
        <v>0</v>
      </c>
      <c r="AH2037" s="4"/>
      <c r="AI2037" s="11">
        <v>3</v>
      </c>
      <c r="AK2037" s="4"/>
      <c r="AL2037" s="4"/>
      <c r="AM2037" s="4"/>
      <c r="AN2037" s="4"/>
      <c r="AO2037" s="4"/>
      <c r="AP2037" s="4"/>
      <c r="AQ2037" s="4"/>
    </row>
    <row r="2038" spans="1:43" s="11" customFormat="1" x14ac:dyDescent="0.25">
      <c r="A2038" s="161" t="str">
        <f t="shared" si="39"/>
        <v>EE_LINE_INFANTRY_ED_FRANCE</v>
      </c>
      <c r="B2038" s="9" t="s">
        <v>1987</v>
      </c>
      <c r="C2038" s="4" t="s">
        <v>715</v>
      </c>
      <c r="D2038" s="4"/>
      <c r="E2038" s="4" t="s">
        <v>2591</v>
      </c>
      <c r="F2038" s="4" t="s">
        <v>2591</v>
      </c>
      <c r="G2038" s="14" t="s">
        <v>2047</v>
      </c>
      <c r="H2038" s="4" t="s">
        <v>2007</v>
      </c>
      <c r="I2038" s="4" t="s">
        <v>122</v>
      </c>
      <c r="K2038" s="7">
        <v>1</v>
      </c>
      <c r="L2038" s="4"/>
      <c r="M2038" s="12"/>
      <c r="N2038" s="4"/>
      <c r="O2038" s="4"/>
      <c r="P2038" s="4"/>
      <c r="Q2038" s="11">
        <v>2</v>
      </c>
      <c r="S2038" s="4"/>
      <c r="T2038" s="11">
        <v>3</v>
      </c>
      <c r="V2038" s="4"/>
      <c r="Y2038" s="4"/>
      <c r="Z2038" s="11">
        <v>0</v>
      </c>
      <c r="AB2038" s="4"/>
      <c r="AE2038" s="4"/>
      <c r="AF2038" s="11">
        <v>0</v>
      </c>
      <c r="AH2038" s="4"/>
      <c r="AI2038" s="11">
        <v>0</v>
      </c>
      <c r="AK2038" s="4"/>
      <c r="AL2038" s="4"/>
      <c r="AM2038" s="4"/>
      <c r="AN2038" s="4"/>
      <c r="AO2038" s="4"/>
      <c r="AP2038" s="4"/>
      <c r="AQ2038" s="4"/>
    </row>
    <row r="2039" spans="1:43" s="11" customFormat="1" x14ac:dyDescent="0.25">
      <c r="A2039" s="161" t="str">
        <f t="shared" si="39"/>
        <v>EE_LINE_INFANTRY_ED_FRANCE</v>
      </c>
      <c r="B2039" s="9" t="s">
        <v>1987</v>
      </c>
      <c r="C2039" s="4" t="s">
        <v>715</v>
      </c>
      <c r="D2039" s="4"/>
      <c r="E2039" s="4" t="s">
        <v>2591</v>
      </c>
      <c r="F2039" s="4" t="s">
        <v>2591</v>
      </c>
      <c r="G2039" s="14" t="s">
        <v>2049</v>
      </c>
      <c r="H2039" s="4" t="s">
        <v>2008</v>
      </c>
      <c r="I2039" s="4" t="s">
        <v>122</v>
      </c>
      <c r="K2039" s="7">
        <v>1</v>
      </c>
      <c r="L2039" s="4"/>
      <c r="M2039" s="12"/>
      <c r="N2039" s="4"/>
      <c r="O2039" s="4"/>
      <c r="P2039" s="4"/>
      <c r="Q2039" s="11">
        <v>1</v>
      </c>
      <c r="S2039" s="4"/>
      <c r="T2039" s="11">
        <v>2</v>
      </c>
      <c r="V2039" s="4"/>
      <c r="Y2039" s="4"/>
      <c r="Z2039" s="11">
        <v>0</v>
      </c>
      <c r="AB2039" s="4"/>
      <c r="AE2039" s="4"/>
      <c r="AF2039" s="11">
        <v>0</v>
      </c>
      <c r="AH2039" s="4"/>
      <c r="AI2039" s="11">
        <v>0</v>
      </c>
      <c r="AK2039" s="4"/>
      <c r="AL2039" s="4"/>
      <c r="AM2039" s="4"/>
      <c r="AN2039" s="4"/>
      <c r="AO2039" s="4"/>
      <c r="AP2039" s="4"/>
      <c r="AQ2039" s="4"/>
    </row>
    <row r="2040" spans="1:43" s="11" customFormat="1" x14ac:dyDescent="0.25">
      <c r="A2040" s="161" t="str">
        <f t="shared" si="39"/>
        <v>EE_LINE_INFANTRY_ED_GERMANY</v>
      </c>
      <c r="B2040" s="9" t="s">
        <v>1987</v>
      </c>
      <c r="C2040" s="4" t="s">
        <v>717</v>
      </c>
      <c r="D2040" s="4"/>
      <c r="E2040" s="4" t="s">
        <v>2591</v>
      </c>
      <c r="F2040" s="4" t="s">
        <v>2591</v>
      </c>
      <c r="G2040" s="14"/>
      <c r="H2040" s="4" t="s">
        <v>1997</v>
      </c>
      <c r="I2040" s="4" t="s">
        <v>122</v>
      </c>
      <c r="K2040" s="7">
        <v>1</v>
      </c>
      <c r="L2040" s="4"/>
      <c r="M2040" s="12"/>
      <c r="N2040" s="4"/>
      <c r="O2040" s="4"/>
      <c r="P2040" s="4"/>
      <c r="Q2040" s="11">
        <v>4</v>
      </c>
      <c r="S2040" s="4"/>
      <c r="T2040" s="11">
        <v>5</v>
      </c>
      <c r="V2040" s="4"/>
      <c r="Y2040" s="4"/>
      <c r="Z2040" s="11">
        <v>1</v>
      </c>
      <c r="AB2040" s="4"/>
      <c r="AE2040" s="4"/>
      <c r="AF2040" s="11">
        <v>1</v>
      </c>
      <c r="AH2040" s="4"/>
      <c r="AI2040" s="11">
        <v>2</v>
      </c>
      <c r="AK2040" s="4"/>
      <c r="AL2040" s="4"/>
      <c r="AM2040" s="4"/>
      <c r="AN2040" s="4"/>
      <c r="AO2040" s="4"/>
      <c r="AP2040" s="4"/>
      <c r="AQ2040" s="4"/>
    </row>
    <row r="2041" spans="1:43" s="11" customFormat="1" x14ac:dyDescent="0.25">
      <c r="A2041" s="161" t="str">
        <f t="shared" si="39"/>
        <v>EE_LINE_INFANTRY_ED_GERMANY</v>
      </c>
      <c r="B2041" s="9" t="s">
        <v>1987</v>
      </c>
      <c r="C2041" s="4" t="s">
        <v>717</v>
      </c>
      <c r="D2041" s="4"/>
      <c r="E2041" s="4" t="s">
        <v>2591</v>
      </c>
      <c r="F2041" s="4" t="s">
        <v>2591</v>
      </c>
      <c r="G2041" s="14" t="s">
        <v>2047</v>
      </c>
      <c r="H2041" s="4" t="s">
        <v>2005</v>
      </c>
      <c r="I2041" s="4" t="s">
        <v>122</v>
      </c>
      <c r="K2041" s="7">
        <v>1</v>
      </c>
      <c r="L2041" s="4"/>
      <c r="M2041" s="12"/>
      <c r="N2041" s="4"/>
      <c r="O2041" s="4"/>
      <c r="P2041" s="4"/>
      <c r="Q2041" s="11">
        <v>2</v>
      </c>
      <c r="S2041" s="4"/>
      <c r="T2041" s="11">
        <v>2</v>
      </c>
      <c r="V2041" s="4"/>
      <c r="Y2041" s="4"/>
      <c r="Z2041" s="11">
        <v>0</v>
      </c>
      <c r="AB2041" s="4"/>
      <c r="AE2041" s="4"/>
      <c r="AF2041" s="11">
        <v>1</v>
      </c>
      <c r="AH2041" s="4"/>
      <c r="AI2041" s="11">
        <v>1</v>
      </c>
      <c r="AK2041" s="4"/>
      <c r="AL2041" s="4"/>
      <c r="AM2041" s="4"/>
      <c r="AN2041" s="4"/>
      <c r="AO2041" s="4"/>
      <c r="AP2041" s="4"/>
      <c r="AQ2041" s="4"/>
    </row>
    <row r="2042" spans="1:43" s="11" customFormat="1" x14ac:dyDescent="0.25">
      <c r="A2042" s="161" t="str">
        <f t="shared" si="39"/>
        <v>EE_LINE_INFANTRY_ED_GERMANY</v>
      </c>
      <c r="B2042" s="9" t="s">
        <v>1987</v>
      </c>
      <c r="C2042" s="4" t="s">
        <v>717</v>
      </c>
      <c r="D2042" s="4"/>
      <c r="E2042" s="4" t="s">
        <v>2591</v>
      </c>
      <c r="F2042" s="4" t="s">
        <v>2591</v>
      </c>
      <c r="G2042" s="14" t="s">
        <v>2049</v>
      </c>
      <c r="H2042" s="4" t="s">
        <v>2006</v>
      </c>
      <c r="I2042" s="4" t="s">
        <v>122</v>
      </c>
      <c r="K2042" s="7">
        <v>1</v>
      </c>
      <c r="L2042" s="4"/>
      <c r="M2042" s="12"/>
      <c r="N2042" s="4"/>
      <c r="O2042" s="4"/>
      <c r="P2042" s="4"/>
      <c r="Q2042" s="11">
        <v>1</v>
      </c>
      <c r="S2042" s="4"/>
      <c r="T2042" s="11">
        <v>1</v>
      </c>
      <c r="V2042" s="4"/>
      <c r="Y2042" s="4"/>
      <c r="Z2042" s="11">
        <v>0</v>
      </c>
      <c r="AB2042" s="4"/>
      <c r="AE2042" s="4"/>
      <c r="AF2042" s="11">
        <v>1</v>
      </c>
      <c r="AH2042" s="4"/>
      <c r="AI2042" s="11">
        <v>1</v>
      </c>
      <c r="AK2042" s="4"/>
      <c r="AL2042" s="4"/>
      <c r="AM2042" s="4"/>
      <c r="AN2042" s="4"/>
      <c r="AO2042" s="4"/>
      <c r="AP2042" s="4"/>
      <c r="AQ2042" s="4"/>
    </row>
    <row r="2043" spans="1:43" s="11" customFormat="1" x14ac:dyDescent="0.25">
      <c r="A2043" s="161" t="str">
        <f t="shared" si="39"/>
        <v>EE_LINE_INFANTRY_ED_GERMANY</v>
      </c>
      <c r="B2043" s="9" t="s">
        <v>1987</v>
      </c>
      <c r="C2043" s="4" t="s">
        <v>717</v>
      </c>
      <c r="D2043" s="4"/>
      <c r="E2043" s="4" t="s">
        <v>2591</v>
      </c>
      <c r="F2043" s="4" t="s">
        <v>2591</v>
      </c>
      <c r="G2043" s="14"/>
      <c r="H2043" s="4" t="s">
        <v>1997</v>
      </c>
      <c r="I2043" s="4" t="s">
        <v>122</v>
      </c>
      <c r="K2043" s="7">
        <v>1</v>
      </c>
      <c r="L2043" s="4"/>
      <c r="M2043" s="12"/>
      <c r="N2043" s="4"/>
      <c r="O2043" s="4"/>
      <c r="P2043" s="4"/>
      <c r="Q2043" s="11">
        <v>4</v>
      </c>
      <c r="S2043" s="4"/>
      <c r="T2043" s="11">
        <v>6</v>
      </c>
      <c r="V2043" s="4"/>
      <c r="Y2043" s="4"/>
      <c r="Z2043" s="11">
        <v>0</v>
      </c>
      <c r="AB2043" s="4"/>
      <c r="AE2043" s="4"/>
      <c r="AF2043" s="11">
        <v>0</v>
      </c>
      <c r="AH2043" s="4"/>
      <c r="AI2043" s="11">
        <v>3</v>
      </c>
      <c r="AK2043" s="4"/>
      <c r="AL2043" s="4"/>
      <c r="AM2043" s="4"/>
      <c r="AN2043" s="4"/>
      <c r="AO2043" s="4"/>
      <c r="AP2043" s="4"/>
      <c r="AQ2043" s="4"/>
    </row>
    <row r="2044" spans="1:43" s="11" customFormat="1" x14ac:dyDescent="0.25">
      <c r="A2044" s="161" t="str">
        <f t="shared" si="39"/>
        <v>EE_LINE_INFANTRY_ED_GERMANY</v>
      </c>
      <c r="B2044" s="9" t="s">
        <v>1987</v>
      </c>
      <c r="C2044" s="4" t="s">
        <v>717</v>
      </c>
      <c r="D2044" s="4"/>
      <c r="E2044" s="4" t="s">
        <v>2591</v>
      </c>
      <c r="F2044" s="4" t="s">
        <v>2591</v>
      </c>
      <c r="G2044" s="14" t="s">
        <v>2047</v>
      </c>
      <c r="H2044" s="4" t="s">
        <v>2005</v>
      </c>
      <c r="I2044" s="4" t="s">
        <v>122</v>
      </c>
      <c r="K2044" s="7">
        <v>1</v>
      </c>
      <c r="L2044" s="4"/>
      <c r="M2044" s="12"/>
      <c r="N2044" s="4"/>
      <c r="O2044" s="4"/>
      <c r="P2044" s="4"/>
      <c r="Q2044" s="11">
        <v>2</v>
      </c>
      <c r="S2044" s="4"/>
      <c r="T2044" s="11">
        <v>3</v>
      </c>
      <c r="V2044" s="4"/>
      <c r="Y2044" s="4"/>
      <c r="Z2044" s="11">
        <v>0</v>
      </c>
      <c r="AB2044" s="4"/>
      <c r="AE2044" s="4"/>
      <c r="AF2044" s="11">
        <v>0</v>
      </c>
      <c r="AH2044" s="4"/>
      <c r="AI2044" s="11">
        <v>0</v>
      </c>
      <c r="AK2044" s="4"/>
      <c r="AL2044" s="4"/>
      <c r="AM2044" s="4"/>
      <c r="AN2044" s="4"/>
      <c r="AO2044" s="4"/>
      <c r="AP2044" s="4"/>
      <c r="AQ2044" s="4"/>
    </row>
    <row r="2045" spans="1:43" s="11" customFormat="1" x14ac:dyDescent="0.25">
      <c r="A2045" s="161" t="str">
        <f t="shared" si="39"/>
        <v>EE_LINE_INFANTRY_ED_GERMANY</v>
      </c>
      <c r="B2045" s="9" t="s">
        <v>1987</v>
      </c>
      <c r="C2045" s="4" t="s">
        <v>717</v>
      </c>
      <c r="D2045" s="4"/>
      <c r="E2045" s="4" t="s">
        <v>2591</v>
      </c>
      <c r="F2045" s="4" t="s">
        <v>2591</v>
      </c>
      <c r="G2045" s="14" t="s">
        <v>2049</v>
      </c>
      <c r="H2045" s="4" t="s">
        <v>2006</v>
      </c>
      <c r="I2045" s="4" t="s">
        <v>122</v>
      </c>
      <c r="K2045" s="7">
        <v>1</v>
      </c>
      <c r="L2045" s="4"/>
      <c r="M2045" s="12"/>
      <c r="N2045" s="4"/>
      <c r="O2045" s="4"/>
      <c r="P2045" s="4"/>
      <c r="Q2045" s="11">
        <v>1</v>
      </c>
      <c r="S2045" s="4"/>
      <c r="T2045" s="11">
        <v>2</v>
      </c>
      <c r="V2045" s="4"/>
      <c r="Y2045" s="4"/>
      <c r="Z2045" s="11">
        <v>0</v>
      </c>
      <c r="AB2045" s="4"/>
      <c r="AE2045" s="4"/>
      <c r="AF2045" s="11">
        <v>0</v>
      </c>
      <c r="AH2045" s="4"/>
      <c r="AI2045" s="11">
        <v>0</v>
      </c>
      <c r="AK2045" s="4"/>
      <c r="AL2045" s="4"/>
      <c r="AM2045" s="4"/>
      <c r="AN2045" s="4"/>
      <c r="AO2045" s="4"/>
      <c r="AP2045" s="4"/>
      <c r="AQ2045" s="4"/>
    </row>
    <row r="2046" spans="1:43" s="11" customFormat="1" x14ac:dyDescent="0.25">
      <c r="A2046" s="161" t="str">
        <f t="shared" si="39"/>
        <v>EE_LINE_INFANTRY_ED_NETHERLANDS</v>
      </c>
      <c r="B2046" s="9" t="s">
        <v>1987</v>
      </c>
      <c r="C2046" s="4" t="s">
        <v>730</v>
      </c>
      <c r="D2046" s="4"/>
      <c r="E2046" s="4" t="s">
        <v>2591</v>
      </c>
      <c r="F2046" s="4" t="s">
        <v>2591</v>
      </c>
      <c r="G2046" s="14"/>
      <c r="H2046" s="4" t="s">
        <v>1998</v>
      </c>
      <c r="I2046" s="4" t="s">
        <v>122</v>
      </c>
      <c r="K2046" s="7">
        <v>1</v>
      </c>
      <c r="L2046" s="4"/>
      <c r="M2046" s="12"/>
      <c r="N2046" s="4"/>
      <c r="O2046" s="4"/>
      <c r="P2046" s="4"/>
      <c r="Q2046" s="11">
        <v>4</v>
      </c>
      <c r="S2046" s="4"/>
      <c r="T2046" s="11">
        <v>5</v>
      </c>
      <c r="V2046" s="4"/>
      <c r="Y2046" s="4"/>
      <c r="Z2046" s="11">
        <v>1</v>
      </c>
      <c r="AB2046" s="4"/>
      <c r="AE2046" s="4"/>
      <c r="AF2046" s="11">
        <v>1</v>
      </c>
      <c r="AH2046" s="4"/>
      <c r="AI2046" s="11">
        <v>2</v>
      </c>
      <c r="AK2046" s="4"/>
      <c r="AL2046" s="4"/>
      <c r="AM2046" s="4"/>
      <c r="AN2046" s="4"/>
      <c r="AO2046" s="4"/>
      <c r="AP2046" s="4"/>
      <c r="AQ2046" s="4"/>
    </row>
    <row r="2047" spans="1:43" s="11" customFormat="1" x14ac:dyDescent="0.25">
      <c r="A2047" s="161" t="str">
        <f t="shared" si="39"/>
        <v>EE_LINE_INFANTRY_ED_NETHERLANDS</v>
      </c>
      <c r="B2047" s="9" t="s">
        <v>1987</v>
      </c>
      <c r="C2047" s="4" t="s">
        <v>730</v>
      </c>
      <c r="D2047" s="4"/>
      <c r="E2047" s="4" t="s">
        <v>2591</v>
      </c>
      <c r="F2047" s="4" t="s">
        <v>2591</v>
      </c>
      <c r="G2047" s="14" t="s">
        <v>2047</v>
      </c>
      <c r="H2047" s="4" t="s">
        <v>2003</v>
      </c>
      <c r="I2047" s="4" t="s">
        <v>122</v>
      </c>
      <c r="K2047" s="7">
        <v>1</v>
      </c>
      <c r="L2047" s="4"/>
      <c r="M2047" s="12"/>
      <c r="N2047" s="4"/>
      <c r="O2047" s="4"/>
      <c r="P2047" s="4"/>
      <c r="Q2047" s="11">
        <v>2</v>
      </c>
      <c r="S2047" s="4"/>
      <c r="T2047" s="11">
        <v>2</v>
      </c>
      <c r="V2047" s="4"/>
      <c r="Y2047" s="4"/>
      <c r="Z2047" s="11">
        <v>0</v>
      </c>
      <c r="AB2047" s="4"/>
      <c r="AE2047" s="4"/>
      <c r="AF2047" s="11">
        <v>1</v>
      </c>
      <c r="AH2047" s="4"/>
      <c r="AI2047" s="11">
        <v>1</v>
      </c>
      <c r="AK2047" s="4"/>
      <c r="AL2047" s="4"/>
      <c r="AM2047" s="4"/>
      <c r="AN2047" s="4"/>
      <c r="AO2047" s="4"/>
      <c r="AP2047" s="4"/>
      <c r="AQ2047" s="4"/>
    </row>
    <row r="2048" spans="1:43" s="11" customFormat="1" x14ac:dyDescent="0.25">
      <c r="A2048" s="161" t="str">
        <f>CONCATENATE(E2048,IF(ISBLANK(C2048),"",CONCATENATE("_",C2048)))</f>
        <v>EE_LINE_INFANTRY_ED_NETHERLANDS</v>
      </c>
      <c r="B2048" s="9" t="s">
        <v>1987</v>
      </c>
      <c r="C2048" s="4" t="s">
        <v>730</v>
      </c>
      <c r="D2048" s="4"/>
      <c r="E2048" s="4" t="s">
        <v>2591</v>
      </c>
      <c r="F2048" s="4" t="s">
        <v>2591</v>
      </c>
      <c r="G2048" s="14" t="s">
        <v>2049</v>
      </c>
      <c r="H2048" s="4" t="s">
        <v>2004</v>
      </c>
      <c r="I2048" s="4" t="s">
        <v>122</v>
      </c>
      <c r="K2048" s="7">
        <v>1</v>
      </c>
      <c r="L2048" s="4"/>
      <c r="M2048" s="12"/>
      <c r="N2048" s="4"/>
      <c r="O2048" s="4"/>
      <c r="P2048" s="4"/>
      <c r="Q2048" s="11">
        <v>1</v>
      </c>
      <c r="S2048" s="4"/>
      <c r="T2048" s="11">
        <v>1</v>
      </c>
      <c r="V2048" s="4"/>
      <c r="Y2048" s="4"/>
      <c r="Z2048" s="11">
        <v>0</v>
      </c>
      <c r="AB2048" s="4"/>
      <c r="AE2048" s="4"/>
      <c r="AF2048" s="11">
        <v>1</v>
      </c>
      <c r="AH2048" s="4"/>
      <c r="AI2048" s="11">
        <v>1</v>
      </c>
      <c r="AK2048" s="4"/>
      <c r="AL2048" s="4"/>
      <c r="AM2048" s="4"/>
      <c r="AN2048" s="4"/>
      <c r="AO2048" s="4"/>
      <c r="AP2048" s="4"/>
      <c r="AQ2048" s="4"/>
    </row>
    <row r="2049" spans="1:43" s="11" customFormat="1" x14ac:dyDescent="0.25">
      <c r="A2049" s="161" t="str">
        <f t="shared" ref="A2049:A2251" si="40">CONCATENATE(E2049,IF(ISBLANK(C2049),"",CONCATENATE("_",C2049)))</f>
        <v>EE_LINE_INFANTRY_ED_NETHERLANDS</v>
      </c>
      <c r="B2049" s="9" t="s">
        <v>1987</v>
      </c>
      <c r="C2049" s="4" t="s">
        <v>730</v>
      </c>
      <c r="D2049" s="4"/>
      <c r="E2049" s="4" t="s">
        <v>2591</v>
      </c>
      <c r="F2049" s="4" t="s">
        <v>2591</v>
      </c>
      <c r="G2049" s="14"/>
      <c r="H2049" s="4" t="s">
        <v>1998</v>
      </c>
      <c r="I2049" s="4" t="s">
        <v>122</v>
      </c>
      <c r="K2049" s="7">
        <v>1</v>
      </c>
      <c r="L2049" s="4"/>
      <c r="M2049" s="12"/>
      <c r="N2049" s="4"/>
      <c r="O2049" s="4"/>
      <c r="P2049" s="4"/>
      <c r="Q2049" s="11">
        <v>4</v>
      </c>
      <c r="S2049" s="4"/>
      <c r="T2049" s="11">
        <v>6</v>
      </c>
      <c r="V2049" s="4"/>
      <c r="Y2049" s="4"/>
      <c r="Z2049" s="11">
        <v>0</v>
      </c>
      <c r="AB2049" s="4"/>
      <c r="AE2049" s="4"/>
      <c r="AF2049" s="11">
        <v>0</v>
      </c>
      <c r="AH2049" s="4"/>
      <c r="AI2049" s="11">
        <v>3</v>
      </c>
      <c r="AK2049" s="4"/>
      <c r="AL2049" s="4"/>
      <c r="AM2049" s="4"/>
      <c r="AN2049" s="4"/>
      <c r="AO2049" s="4"/>
      <c r="AP2049" s="4"/>
      <c r="AQ2049" s="4"/>
    </row>
    <row r="2050" spans="1:43" s="11" customFormat="1" x14ac:dyDescent="0.25">
      <c r="A2050" s="161" t="str">
        <f t="shared" si="40"/>
        <v>EE_LINE_INFANTRY_ED_NETHERLANDS</v>
      </c>
      <c r="B2050" s="9" t="s">
        <v>1987</v>
      </c>
      <c r="C2050" s="4" t="s">
        <v>730</v>
      </c>
      <c r="D2050" s="4"/>
      <c r="E2050" s="4" t="s">
        <v>2591</v>
      </c>
      <c r="F2050" s="4" t="s">
        <v>2591</v>
      </c>
      <c r="G2050" s="14" t="s">
        <v>2047</v>
      </c>
      <c r="H2050" s="4" t="s">
        <v>2003</v>
      </c>
      <c r="I2050" s="4" t="s">
        <v>122</v>
      </c>
      <c r="K2050" s="7">
        <v>1</v>
      </c>
      <c r="L2050" s="4"/>
      <c r="M2050" s="12"/>
      <c r="N2050" s="4"/>
      <c r="O2050" s="4"/>
      <c r="P2050" s="4"/>
      <c r="Q2050" s="11">
        <v>2</v>
      </c>
      <c r="S2050" s="4"/>
      <c r="T2050" s="11">
        <v>3</v>
      </c>
      <c r="V2050" s="4"/>
      <c r="Y2050" s="4"/>
      <c r="Z2050" s="11">
        <v>0</v>
      </c>
      <c r="AB2050" s="4"/>
      <c r="AE2050" s="4"/>
      <c r="AF2050" s="11">
        <v>0</v>
      </c>
      <c r="AH2050" s="4"/>
      <c r="AI2050" s="11">
        <v>0</v>
      </c>
      <c r="AK2050" s="4"/>
      <c r="AL2050" s="4"/>
      <c r="AM2050" s="4"/>
      <c r="AN2050" s="4"/>
      <c r="AO2050" s="4"/>
      <c r="AP2050" s="4"/>
      <c r="AQ2050" s="4"/>
    </row>
    <row r="2051" spans="1:43" s="11" customFormat="1" x14ac:dyDescent="0.25">
      <c r="A2051" s="161" t="str">
        <f t="shared" si="40"/>
        <v>EE_LINE_INFANTRY_ED_NETHERLANDS</v>
      </c>
      <c r="B2051" s="9" t="s">
        <v>1987</v>
      </c>
      <c r="C2051" s="4" t="s">
        <v>730</v>
      </c>
      <c r="D2051" s="4"/>
      <c r="E2051" s="4" t="s">
        <v>2591</v>
      </c>
      <c r="F2051" s="4" t="s">
        <v>2591</v>
      </c>
      <c r="G2051" s="14" t="s">
        <v>2049</v>
      </c>
      <c r="H2051" s="4" t="s">
        <v>2004</v>
      </c>
      <c r="I2051" s="4" t="s">
        <v>122</v>
      </c>
      <c r="K2051" s="7">
        <v>1</v>
      </c>
      <c r="L2051" s="4"/>
      <c r="M2051" s="12"/>
      <c r="N2051" s="4"/>
      <c r="O2051" s="4"/>
      <c r="P2051" s="4"/>
      <c r="Q2051" s="11">
        <v>1</v>
      </c>
      <c r="S2051" s="4"/>
      <c r="T2051" s="11">
        <v>2</v>
      </c>
      <c r="V2051" s="4"/>
      <c r="Y2051" s="4"/>
      <c r="Z2051" s="11">
        <v>0</v>
      </c>
      <c r="AB2051" s="4"/>
      <c r="AE2051" s="4"/>
      <c r="AF2051" s="11">
        <v>0</v>
      </c>
      <c r="AH2051" s="4"/>
      <c r="AI2051" s="11">
        <v>0</v>
      </c>
      <c r="AK2051" s="4"/>
      <c r="AL2051" s="4"/>
      <c r="AM2051" s="4"/>
      <c r="AN2051" s="4"/>
      <c r="AO2051" s="4"/>
      <c r="AP2051" s="4"/>
      <c r="AQ2051" s="4"/>
    </row>
    <row r="2052" spans="1:43" s="11" customFormat="1" x14ac:dyDescent="0.25">
      <c r="A2052" s="161" t="str">
        <f t="shared" si="40"/>
        <v>EE_LINE_INFANTRY_ED_RUSSIA</v>
      </c>
      <c r="B2052" s="9" t="s">
        <v>1987</v>
      </c>
      <c r="C2052" s="4" t="s">
        <v>735</v>
      </c>
      <c r="D2052" s="4"/>
      <c r="E2052" s="4" t="s">
        <v>2591</v>
      </c>
      <c r="F2052" s="4" t="s">
        <v>2591</v>
      </c>
      <c r="G2052" s="14"/>
      <c r="H2052" s="4" t="s">
        <v>1999</v>
      </c>
      <c r="I2052" s="4" t="s">
        <v>122</v>
      </c>
      <c r="K2052" s="7">
        <v>1</v>
      </c>
      <c r="L2052" s="4"/>
      <c r="M2052" s="12"/>
      <c r="N2052" s="4"/>
      <c r="O2052" s="4"/>
      <c r="P2052" s="4"/>
      <c r="Q2052" s="11">
        <v>4</v>
      </c>
      <c r="S2052" s="4"/>
      <c r="T2052" s="11">
        <v>5</v>
      </c>
      <c r="V2052" s="4"/>
      <c r="Y2052" s="4"/>
      <c r="Z2052" s="11">
        <v>1</v>
      </c>
      <c r="AB2052" s="4"/>
      <c r="AE2052" s="4"/>
      <c r="AF2052" s="11">
        <v>1</v>
      </c>
      <c r="AH2052" s="4"/>
      <c r="AI2052" s="11">
        <v>2</v>
      </c>
      <c r="AK2052" s="4"/>
      <c r="AL2052" s="4"/>
      <c r="AM2052" s="4"/>
      <c r="AN2052" s="4"/>
      <c r="AO2052" s="4"/>
      <c r="AP2052" s="4"/>
      <c r="AQ2052" s="4"/>
    </row>
    <row r="2053" spans="1:43" s="11" customFormat="1" x14ac:dyDescent="0.25">
      <c r="A2053" s="161" t="str">
        <f t="shared" si="40"/>
        <v>EE_LINE_INFANTRY_ED_RUSSIA</v>
      </c>
      <c r="B2053" s="9" t="s">
        <v>1987</v>
      </c>
      <c r="C2053" s="4" t="s">
        <v>735</v>
      </c>
      <c r="D2053" s="4"/>
      <c r="E2053" s="4" t="s">
        <v>2591</v>
      </c>
      <c r="F2053" s="4" t="s">
        <v>2591</v>
      </c>
      <c r="G2053" s="14" t="s">
        <v>2047</v>
      </c>
      <c r="H2053" s="4" t="s">
        <v>2001</v>
      </c>
      <c r="I2053" s="4" t="s">
        <v>122</v>
      </c>
      <c r="K2053" s="7">
        <v>1</v>
      </c>
      <c r="L2053" s="4"/>
      <c r="M2053" s="12"/>
      <c r="N2053" s="4"/>
      <c r="O2053" s="4"/>
      <c r="P2053" s="4"/>
      <c r="Q2053" s="11">
        <v>2</v>
      </c>
      <c r="S2053" s="4"/>
      <c r="T2053" s="11">
        <v>2</v>
      </c>
      <c r="V2053" s="4"/>
      <c r="Y2053" s="4"/>
      <c r="Z2053" s="11">
        <v>0</v>
      </c>
      <c r="AB2053" s="4"/>
      <c r="AE2053" s="4"/>
      <c r="AF2053" s="11">
        <v>1</v>
      </c>
      <c r="AH2053" s="4"/>
      <c r="AI2053" s="11">
        <v>1</v>
      </c>
      <c r="AK2053" s="4"/>
      <c r="AL2053" s="4"/>
      <c r="AM2053" s="4"/>
      <c r="AN2053" s="4"/>
      <c r="AO2053" s="4"/>
      <c r="AP2053" s="4"/>
      <c r="AQ2053" s="4"/>
    </row>
    <row r="2054" spans="1:43" s="11" customFormat="1" x14ac:dyDescent="0.25">
      <c r="A2054" s="161" t="str">
        <f t="shared" si="40"/>
        <v>EE_LINE_INFANTRY_ED_RUSSIA</v>
      </c>
      <c r="B2054" s="9" t="s">
        <v>1987</v>
      </c>
      <c r="C2054" s="4" t="s">
        <v>735</v>
      </c>
      <c r="D2054" s="4"/>
      <c r="E2054" s="4" t="s">
        <v>2591</v>
      </c>
      <c r="F2054" s="4" t="s">
        <v>2591</v>
      </c>
      <c r="G2054" s="14" t="s">
        <v>2049</v>
      </c>
      <c r="H2054" s="4" t="s">
        <v>2002</v>
      </c>
      <c r="I2054" s="4" t="s">
        <v>122</v>
      </c>
      <c r="K2054" s="7">
        <v>1</v>
      </c>
      <c r="L2054" s="4"/>
      <c r="M2054" s="12"/>
      <c r="N2054" s="4"/>
      <c r="O2054" s="4"/>
      <c r="P2054" s="4"/>
      <c r="Q2054" s="11">
        <v>1</v>
      </c>
      <c r="S2054" s="4"/>
      <c r="T2054" s="11">
        <v>1</v>
      </c>
      <c r="V2054" s="4"/>
      <c r="Y2054" s="4"/>
      <c r="Z2054" s="11">
        <v>0</v>
      </c>
      <c r="AB2054" s="4"/>
      <c r="AE2054" s="4"/>
      <c r="AF2054" s="11">
        <v>1</v>
      </c>
      <c r="AH2054" s="4"/>
      <c r="AI2054" s="11">
        <v>1</v>
      </c>
      <c r="AK2054" s="4"/>
      <c r="AL2054" s="4"/>
      <c r="AM2054" s="4"/>
      <c r="AN2054" s="4"/>
      <c r="AO2054" s="4"/>
      <c r="AP2054" s="4"/>
      <c r="AQ2054" s="4"/>
    </row>
    <row r="2055" spans="1:43" s="11" customFormat="1" x14ac:dyDescent="0.25">
      <c r="A2055" s="161" t="str">
        <f t="shared" si="40"/>
        <v>EE_LINE_INFANTRY_ED_RUSSIA</v>
      </c>
      <c r="B2055" s="9" t="s">
        <v>1987</v>
      </c>
      <c r="C2055" s="4" t="s">
        <v>735</v>
      </c>
      <c r="D2055" s="4"/>
      <c r="E2055" s="4" t="s">
        <v>2591</v>
      </c>
      <c r="F2055" s="4" t="s">
        <v>2591</v>
      </c>
      <c r="G2055" s="14"/>
      <c r="H2055" s="4" t="s">
        <v>1999</v>
      </c>
      <c r="I2055" s="4" t="s">
        <v>122</v>
      </c>
      <c r="K2055" s="7">
        <v>1</v>
      </c>
      <c r="L2055" s="4"/>
      <c r="M2055" s="12"/>
      <c r="N2055" s="4"/>
      <c r="O2055" s="4"/>
      <c r="P2055" s="4"/>
      <c r="Q2055" s="11">
        <v>4</v>
      </c>
      <c r="S2055" s="4"/>
      <c r="T2055" s="11">
        <v>6</v>
      </c>
      <c r="V2055" s="4"/>
      <c r="Y2055" s="4"/>
      <c r="Z2055" s="11">
        <v>0</v>
      </c>
      <c r="AB2055" s="4"/>
      <c r="AE2055" s="4"/>
      <c r="AF2055" s="11">
        <v>0</v>
      </c>
      <c r="AH2055" s="4"/>
      <c r="AI2055" s="11">
        <v>3</v>
      </c>
      <c r="AK2055" s="4"/>
      <c r="AL2055" s="4"/>
      <c r="AM2055" s="4"/>
      <c r="AN2055" s="4"/>
      <c r="AO2055" s="4"/>
      <c r="AP2055" s="4"/>
      <c r="AQ2055" s="4"/>
    </row>
    <row r="2056" spans="1:43" x14ac:dyDescent="0.25">
      <c r="A2056" s="161" t="str">
        <f t="shared" si="40"/>
        <v>EE_LINE_INFANTRY_ED_RUSSIA</v>
      </c>
      <c r="B2056" s="9" t="s">
        <v>1987</v>
      </c>
      <c r="C2056" s="4" t="s">
        <v>735</v>
      </c>
      <c r="E2056" s="4" t="s">
        <v>2591</v>
      </c>
      <c r="F2056" s="4" t="s">
        <v>2591</v>
      </c>
      <c r="G2056" s="14" t="s">
        <v>2047</v>
      </c>
      <c r="H2056" s="4" t="s">
        <v>2001</v>
      </c>
      <c r="I2056" s="4" t="s">
        <v>122</v>
      </c>
      <c r="K2056" s="7">
        <v>1</v>
      </c>
      <c r="Q2056" s="11">
        <v>2</v>
      </c>
      <c r="T2056" s="11">
        <v>3</v>
      </c>
      <c r="Z2056" s="11">
        <v>0</v>
      </c>
      <c r="AF2056" s="11">
        <v>0</v>
      </c>
      <c r="AI2056" s="11">
        <v>0</v>
      </c>
    </row>
    <row r="2057" spans="1:43" x14ac:dyDescent="0.25">
      <c r="A2057" s="161" t="str">
        <f t="shared" si="40"/>
        <v>EE_LINE_INFANTRY_ED_RUSSIA</v>
      </c>
      <c r="B2057" s="9" t="s">
        <v>1987</v>
      </c>
      <c r="C2057" s="4" t="s">
        <v>735</v>
      </c>
      <c r="E2057" s="4" t="s">
        <v>2591</v>
      </c>
      <c r="F2057" s="4" t="s">
        <v>2591</v>
      </c>
      <c r="G2057" s="14" t="s">
        <v>2049</v>
      </c>
      <c r="H2057" s="4" t="s">
        <v>2002</v>
      </c>
      <c r="I2057" s="4" t="s">
        <v>122</v>
      </c>
      <c r="K2057" s="7">
        <v>1</v>
      </c>
      <c r="Q2057" s="11">
        <v>1</v>
      </c>
      <c r="T2057" s="11">
        <v>2</v>
      </c>
      <c r="Z2057" s="11">
        <v>0</v>
      </c>
      <c r="AF2057" s="11">
        <v>0</v>
      </c>
      <c r="AI2057" s="11">
        <v>0</v>
      </c>
    </row>
    <row r="2058" spans="1:43" x14ac:dyDescent="0.25">
      <c r="A2058" s="161" t="str">
        <f t="shared" si="40"/>
        <v>EE_LINE_INFANTRY_ED_SPAIN</v>
      </c>
      <c r="B2058" s="9" t="s">
        <v>1987</v>
      </c>
      <c r="C2058" s="4" t="s">
        <v>738</v>
      </c>
      <c r="E2058" s="4" t="s">
        <v>2591</v>
      </c>
      <c r="F2058" s="4" t="s">
        <v>2591</v>
      </c>
      <c r="G2058" s="14"/>
      <c r="H2058" s="4" t="s">
        <v>2000</v>
      </c>
      <c r="I2058" s="4" t="s">
        <v>122</v>
      </c>
      <c r="K2058" s="7">
        <v>1</v>
      </c>
      <c r="Q2058" s="11">
        <v>14</v>
      </c>
      <c r="T2058" s="11">
        <v>19</v>
      </c>
      <c r="Z2058" s="11">
        <v>1</v>
      </c>
      <c r="AF2058" s="11">
        <v>3</v>
      </c>
      <c r="AI2058" s="11">
        <v>7</v>
      </c>
    </row>
    <row r="2059" spans="1:43" x14ac:dyDescent="0.25">
      <c r="A2059" s="161" t="str">
        <f t="shared" si="40"/>
        <v>EE_LINE_INFANTRY_ED_WITTENBERG</v>
      </c>
      <c r="B2059" s="9" t="s">
        <v>1987</v>
      </c>
      <c r="C2059" s="4" t="s">
        <v>1215</v>
      </c>
      <c r="E2059" s="4" t="s">
        <v>2591</v>
      </c>
      <c r="F2059" s="4" t="s">
        <v>2591</v>
      </c>
      <c r="G2059" s="14"/>
      <c r="H2059" s="4" t="s">
        <v>2415</v>
      </c>
      <c r="I2059" s="4" t="s">
        <v>2077</v>
      </c>
      <c r="K2059" s="7">
        <v>1</v>
      </c>
      <c r="Q2059" s="11">
        <v>14</v>
      </c>
      <c r="T2059" s="11">
        <v>19</v>
      </c>
      <c r="Z2059" s="11">
        <v>1</v>
      </c>
      <c r="AF2059" s="11">
        <v>3</v>
      </c>
      <c r="AI2059" s="11">
        <v>7</v>
      </c>
    </row>
    <row r="2060" spans="1:43" x14ac:dyDescent="0.25">
      <c r="A2060" s="161" t="str">
        <f t="shared" si="40"/>
        <v>EE_SHIP_OF_THE_LINE</v>
      </c>
      <c r="B2060" s="9" t="s">
        <v>2532</v>
      </c>
      <c r="E2060" s="4" t="s">
        <v>2532</v>
      </c>
      <c r="F2060" s="4" t="s">
        <v>2532</v>
      </c>
      <c r="G2060" s="14"/>
      <c r="H2060" s="4" t="s">
        <v>2169</v>
      </c>
      <c r="K2060" s="7">
        <v>1</v>
      </c>
      <c r="Q2060" s="7">
        <v>1</v>
      </c>
      <c r="R2060" s="6">
        <v>0.13700000000000001</v>
      </c>
      <c r="S2060" s="13"/>
      <c r="T2060" s="7">
        <v>2</v>
      </c>
      <c r="U2060" s="6">
        <v>0.115</v>
      </c>
      <c r="V2060" s="5" t="s">
        <v>1700</v>
      </c>
      <c r="W2060" s="6"/>
      <c r="X2060" s="6"/>
      <c r="Y2060" s="5"/>
      <c r="Z2060" s="6"/>
      <c r="AA2060" s="6"/>
      <c r="AB2060" s="5"/>
      <c r="AC2060" s="6"/>
      <c r="AD2060" s="6"/>
      <c r="AE2060" s="5"/>
      <c r="AF2060" s="6"/>
      <c r="AG2060" s="6"/>
      <c r="AH2060" s="5"/>
      <c r="AI2060" s="6"/>
      <c r="AJ2060" s="6"/>
      <c r="AK2060" s="5"/>
      <c r="AL2060" s="5"/>
      <c r="AM2060" s="5"/>
      <c r="AN2060" s="5"/>
      <c r="AO2060" s="5"/>
      <c r="AP2060" s="5"/>
      <c r="AQ2060" s="5"/>
    </row>
    <row r="2061" spans="1:43" x14ac:dyDescent="0.25">
      <c r="A2061" s="161" t="str">
        <f>CONCATENATE(E2061,IF(ISBLANK(C2061),"",CONCATENATE("_",C2061)))</f>
        <v>EE_SKIRMISHER</v>
      </c>
      <c r="B2061" s="9" t="s">
        <v>2065</v>
      </c>
      <c r="E2061" s="4" t="s">
        <v>2065</v>
      </c>
      <c r="F2061" s="4" t="s">
        <v>2065</v>
      </c>
      <c r="H2061" s="4" t="s">
        <v>1995</v>
      </c>
      <c r="I2061" s="4" t="s">
        <v>122</v>
      </c>
      <c r="K2061" s="7">
        <v>1</v>
      </c>
      <c r="Q2061" s="11">
        <v>14</v>
      </c>
      <c r="R2061" s="11" t="s">
        <v>1737</v>
      </c>
      <c r="S2061" s="4" t="s">
        <v>1620</v>
      </c>
      <c r="T2061" s="11">
        <v>19</v>
      </c>
      <c r="U2061" s="11" t="s">
        <v>1737</v>
      </c>
      <c r="Z2061" s="11">
        <v>1</v>
      </c>
      <c r="AD2061" s="11" t="s">
        <v>3</v>
      </c>
      <c r="AF2061" s="11" t="s">
        <v>1737</v>
      </c>
      <c r="AI2061" s="11" t="s">
        <v>1737</v>
      </c>
    </row>
    <row r="2062" spans="1:43" x14ac:dyDescent="0.25">
      <c r="A2062" s="161" t="str">
        <f t="shared" si="40"/>
        <v>EE_SKIRMISHER_ED</v>
      </c>
      <c r="B2062" s="9" t="s">
        <v>2065</v>
      </c>
      <c r="E2062" s="4" t="s">
        <v>2592</v>
      </c>
      <c r="F2062" s="4" t="s">
        <v>2592</v>
      </c>
      <c r="H2062" s="4" t="s">
        <v>2066</v>
      </c>
      <c r="I2062" s="4" t="s">
        <v>2067</v>
      </c>
      <c r="K2062" s="7">
        <v>1</v>
      </c>
      <c r="Q2062" s="11">
        <v>14</v>
      </c>
      <c r="R2062" s="11" t="s">
        <v>1737</v>
      </c>
      <c r="S2062" s="4" t="s">
        <v>1620</v>
      </c>
      <c r="T2062" s="11">
        <v>19</v>
      </c>
      <c r="U2062" s="11" t="s">
        <v>1737</v>
      </c>
      <c r="Z2062" s="11">
        <v>1</v>
      </c>
      <c r="AD2062" s="11" t="s">
        <v>3</v>
      </c>
      <c r="AF2062" s="11" t="s">
        <v>1737</v>
      </c>
      <c r="AI2062" s="11" t="s">
        <v>1737</v>
      </c>
    </row>
    <row r="2063" spans="1:43" x14ac:dyDescent="0.25">
      <c r="A2063" s="161" t="str">
        <f t="shared" si="40"/>
        <v>EE_SKIRMISHER_ED_AFRI</v>
      </c>
      <c r="B2063" s="9" t="s">
        <v>2065</v>
      </c>
      <c r="C2063" s="4" t="s">
        <v>694</v>
      </c>
      <c r="D2063" s="4" t="s">
        <v>692</v>
      </c>
      <c r="E2063" s="4" t="s">
        <v>2592</v>
      </c>
      <c r="F2063" s="4" t="s">
        <v>2592</v>
      </c>
      <c r="K2063" s="7"/>
    </row>
    <row r="2064" spans="1:43" x14ac:dyDescent="0.25">
      <c r="A2064" s="161" t="str">
        <f t="shared" si="40"/>
        <v>EE_SKIRMISHER_ED_MED</v>
      </c>
      <c r="B2064" s="9" t="s">
        <v>2065</v>
      </c>
      <c r="C2064" s="4" t="s">
        <v>692</v>
      </c>
      <c r="E2064" s="4" t="s">
        <v>2592</v>
      </c>
      <c r="F2064" s="4" t="s">
        <v>2592</v>
      </c>
      <c r="G2064" s="4" t="s">
        <v>2049</v>
      </c>
      <c r="H2064" s="4" t="s">
        <v>2075</v>
      </c>
      <c r="I2064" s="4" t="s">
        <v>2073</v>
      </c>
      <c r="K2064" s="7">
        <v>1</v>
      </c>
      <c r="Q2064" s="11">
        <v>5</v>
      </c>
      <c r="T2064" s="11">
        <v>8</v>
      </c>
      <c r="Z2064" s="11">
        <v>1</v>
      </c>
      <c r="AF2064" s="11">
        <v>1</v>
      </c>
      <c r="AI2064" s="11">
        <v>3</v>
      </c>
    </row>
    <row r="2065" spans="1:43" x14ac:dyDescent="0.25">
      <c r="A2065" s="161" t="str">
        <f t="shared" si="40"/>
        <v>EE_SKIRMISHER_ED_MED</v>
      </c>
      <c r="B2065" s="9" t="s">
        <v>2065</v>
      </c>
      <c r="C2065" s="4" t="s">
        <v>692</v>
      </c>
      <c r="E2065" s="4" t="s">
        <v>2592</v>
      </c>
      <c r="F2065" s="4" t="s">
        <v>2592</v>
      </c>
      <c r="G2065" s="4" t="s">
        <v>2047</v>
      </c>
      <c r="H2065" s="4" t="s">
        <v>2074</v>
      </c>
      <c r="I2065" s="4" t="s">
        <v>2073</v>
      </c>
      <c r="K2065" s="7">
        <v>1</v>
      </c>
      <c r="Q2065" s="11">
        <v>1</v>
      </c>
      <c r="T2065" s="11">
        <v>3</v>
      </c>
      <c r="Z2065" s="11">
        <v>0</v>
      </c>
      <c r="AF2065" s="11">
        <v>1</v>
      </c>
      <c r="AI2065" s="11">
        <v>1</v>
      </c>
    </row>
    <row r="2066" spans="1:43" x14ac:dyDescent="0.25">
      <c r="A2066" s="161" t="str">
        <f t="shared" si="40"/>
        <v>EE_SKIRMISHER_ED_MED</v>
      </c>
      <c r="B2066" s="9" t="s">
        <v>2065</v>
      </c>
      <c r="C2066" s="4" t="s">
        <v>692</v>
      </c>
      <c r="E2066" s="4" t="s">
        <v>2592</v>
      </c>
      <c r="F2066" s="4" t="s">
        <v>2592</v>
      </c>
      <c r="H2066" s="4" t="s">
        <v>2072</v>
      </c>
      <c r="I2066" s="4" t="s">
        <v>2073</v>
      </c>
      <c r="K2066" s="7">
        <v>1</v>
      </c>
      <c r="Q2066" s="11">
        <v>3</v>
      </c>
      <c r="T2066" s="11">
        <v>2</v>
      </c>
      <c r="Z2066" s="11">
        <v>0</v>
      </c>
      <c r="AF2066" s="11">
        <v>1</v>
      </c>
      <c r="AI2066" s="11">
        <v>1</v>
      </c>
    </row>
    <row r="2067" spans="1:43" x14ac:dyDescent="0.25">
      <c r="A2067" s="161" t="str">
        <f t="shared" si="40"/>
        <v>EE_SKIRMISHER_ED_MED</v>
      </c>
      <c r="B2067" s="9" t="s">
        <v>2065</v>
      </c>
      <c r="C2067" s="4" t="s">
        <v>692</v>
      </c>
      <c r="E2067" s="4" t="s">
        <v>2592</v>
      </c>
      <c r="F2067" s="4" t="s">
        <v>2592</v>
      </c>
      <c r="G2067" s="4" t="s">
        <v>2049</v>
      </c>
      <c r="H2067" s="4" t="s">
        <v>2075</v>
      </c>
      <c r="I2067" s="4" t="s">
        <v>2073</v>
      </c>
      <c r="K2067" s="7">
        <v>1</v>
      </c>
      <c r="Q2067" s="11">
        <v>4</v>
      </c>
      <c r="T2067" s="11">
        <v>5</v>
      </c>
      <c r="Z2067" s="11">
        <v>0</v>
      </c>
      <c r="AF2067" s="11">
        <v>0</v>
      </c>
      <c r="AI2067" s="11">
        <v>2</v>
      </c>
    </row>
    <row r="2068" spans="1:43" x14ac:dyDescent="0.25">
      <c r="A2068" s="161" t="str">
        <f t="shared" si="40"/>
        <v>EE_SKIRMISHER_ED_MED</v>
      </c>
      <c r="B2068" s="9" t="s">
        <v>2065</v>
      </c>
      <c r="C2068" s="4" t="s">
        <v>692</v>
      </c>
      <c r="E2068" s="4" t="s">
        <v>2592</v>
      </c>
      <c r="F2068" s="4" t="s">
        <v>2592</v>
      </c>
      <c r="H2068" s="4" t="s">
        <v>2072</v>
      </c>
      <c r="I2068" s="4" t="s">
        <v>2073</v>
      </c>
      <c r="K2068" s="7">
        <v>1</v>
      </c>
      <c r="Q2068" s="11">
        <v>0</v>
      </c>
      <c r="T2068" s="11">
        <v>1</v>
      </c>
      <c r="Z2068" s="11">
        <v>0</v>
      </c>
      <c r="AF2068" s="11">
        <v>0</v>
      </c>
      <c r="AI2068" s="11">
        <v>0</v>
      </c>
    </row>
    <row r="2069" spans="1:43" x14ac:dyDescent="0.25">
      <c r="A2069" s="161" t="str">
        <f t="shared" si="40"/>
        <v>EE_SKIRMISHER_ED_MIDEAST</v>
      </c>
      <c r="B2069" s="9" t="s">
        <v>2065</v>
      </c>
      <c r="C2069" s="4" t="s">
        <v>690</v>
      </c>
      <c r="D2069" s="4" t="s">
        <v>692</v>
      </c>
      <c r="E2069" s="4" t="s">
        <v>2592</v>
      </c>
      <c r="F2069" s="4" t="s">
        <v>2592</v>
      </c>
      <c r="K2069" s="7"/>
    </row>
    <row r="2070" spans="1:43" x14ac:dyDescent="0.25">
      <c r="A2070" s="161" t="str">
        <f t="shared" si="40"/>
        <v>EE_SKIRMISHER_ED_NORTHAF</v>
      </c>
      <c r="B2070" s="9" t="s">
        <v>2065</v>
      </c>
      <c r="C2070" s="4" t="s">
        <v>2011</v>
      </c>
      <c r="D2070" s="4" t="s">
        <v>692</v>
      </c>
      <c r="E2070" s="4" t="s">
        <v>2592</v>
      </c>
      <c r="F2070" s="4" t="s">
        <v>2592</v>
      </c>
      <c r="K2070" s="7"/>
    </row>
    <row r="2071" spans="1:43" x14ac:dyDescent="0.25">
      <c r="A2071" s="161" t="str">
        <f t="shared" si="40"/>
        <v>EE_SKIRMISHER_ED_SOUTHAM</v>
      </c>
      <c r="B2071" s="9" t="s">
        <v>2065</v>
      </c>
      <c r="C2071" s="4" t="s">
        <v>691</v>
      </c>
      <c r="E2071" s="4" t="s">
        <v>2592</v>
      </c>
      <c r="F2071" s="4" t="s">
        <v>2592</v>
      </c>
      <c r="H2071" s="4" t="s">
        <v>2070</v>
      </c>
      <c r="I2071" s="4" t="s">
        <v>2071</v>
      </c>
      <c r="K2071" s="7">
        <v>1</v>
      </c>
      <c r="R2071" s="11">
        <v>0.13500000000000001</v>
      </c>
    </row>
    <row r="2072" spans="1:43" x14ac:dyDescent="0.25">
      <c r="A2072" s="161" t="str">
        <f t="shared" si="40"/>
        <v>EE_UHLAN</v>
      </c>
      <c r="B2072" s="9" t="s">
        <v>2533</v>
      </c>
      <c r="E2072" s="4" t="s">
        <v>2533</v>
      </c>
      <c r="F2072" s="4" t="s">
        <v>2533</v>
      </c>
      <c r="H2072" s="4" t="s">
        <v>380</v>
      </c>
      <c r="I2072" s="4" t="s">
        <v>122</v>
      </c>
      <c r="K2072" s="7">
        <v>1</v>
      </c>
      <c r="Q2072" s="7" t="s">
        <v>1695</v>
      </c>
      <c r="R2072" s="6" t="s">
        <v>1695</v>
      </c>
      <c r="S2072" s="13" t="s">
        <v>1695</v>
      </c>
      <c r="T2072" s="6" t="s">
        <v>1695</v>
      </c>
      <c r="U2072" s="7" t="s">
        <v>1695</v>
      </c>
      <c r="V2072" s="5" t="s">
        <v>1701</v>
      </c>
      <c r="W2072" s="6" t="s">
        <v>3</v>
      </c>
      <c r="X2072" s="6" t="s">
        <v>3</v>
      </c>
      <c r="Y2072" s="5"/>
      <c r="Z2072" s="7">
        <v>1</v>
      </c>
      <c r="AA2072" s="6"/>
      <c r="AB2072" s="5"/>
      <c r="AC2072" s="6"/>
      <c r="AD2072" s="6" t="s">
        <v>3</v>
      </c>
      <c r="AE2072" s="5"/>
      <c r="AF2072" s="7" t="s">
        <v>1695</v>
      </c>
      <c r="AG2072" s="6"/>
      <c r="AH2072" s="5"/>
      <c r="AI2072" s="6"/>
      <c r="AJ2072" s="6"/>
      <c r="AK2072" s="5"/>
      <c r="AL2072" s="5"/>
      <c r="AM2072" s="5"/>
      <c r="AN2072" s="5"/>
      <c r="AO2072" s="5"/>
      <c r="AP2072" s="5"/>
      <c r="AQ2072" s="5"/>
    </row>
    <row r="2073" spans="1:43" x14ac:dyDescent="0.25">
      <c r="A2073" s="161" t="str">
        <f t="shared" si="40"/>
        <v>ARSENAL_SHIP</v>
      </c>
      <c r="B2073" s="9" t="s">
        <v>2515</v>
      </c>
      <c r="E2073" s="4" t="s">
        <v>2447</v>
      </c>
      <c r="F2073" s="4" t="s">
        <v>2447</v>
      </c>
      <c r="H2073" s="4" t="s">
        <v>2482</v>
      </c>
      <c r="I2073" s="4" t="s">
        <v>1935</v>
      </c>
      <c r="K2073" s="7">
        <v>1</v>
      </c>
      <c r="Q2073" s="7">
        <v>1</v>
      </c>
      <c r="R2073" s="6">
        <v>0.11</v>
      </c>
      <c r="S2073" s="13"/>
      <c r="T2073" s="6"/>
      <c r="U2073" s="7"/>
      <c r="V2073" s="5"/>
      <c r="W2073" s="6"/>
      <c r="X2073" s="6"/>
      <c r="Y2073" s="5"/>
      <c r="Z2073" s="7"/>
      <c r="AA2073" s="6"/>
      <c r="AB2073" s="5"/>
      <c r="AC2073" s="6"/>
      <c r="AD2073" s="6"/>
      <c r="AE2073" s="5"/>
      <c r="AF2073" s="7"/>
      <c r="AG2073" s="6"/>
      <c r="AH2073" s="5"/>
      <c r="AI2073" s="6"/>
      <c r="AJ2073" s="6"/>
      <c r="AK2073" s="5"/>
      <c r="AL2073" s="5"/>
      <c r="AM2073" s="5"/>
      <c r="AN2073" s="5"/>
      <c r="AO2073" s="5"/>
      <c r="AP2073" s="5"/>
      <c r="AQ2073" s="5"/>
    </row>
    <row r="2074" spans="1:43" x14ac:dyDescent="0.25">
      <c r="A2074" s="161" t="str">
        <f t="shared" si="40"/>
        <v>FW_AIRBORNE_FORCES</v>
      </c>
      <c r="B2074" s="9" t="s">
        <v>2466</v>
      </c>
      <c r="E2074" s="4" t="s">
        <v>2466</v>
      </c>
      <c r="F2074" s="4" t="s">
        <v>2466</v>
      </c>
      <c r="H2074" s="4" t="s">
        <v>2504</v>
      </c>
      <c r="I2074" s="4" t="s">
        <v>966</v>
      </c>
      <c r="K2074" s="7">
        <v>1</v>
      </c>
      <c r="Q2074" s="7">
        <v>6</v>
      </c>
      <c r="R2074" s="6" t="s">
        <v>1737</v>
      </c>
      <c r="S2074" s="13" t="s">
        <v>1620</v>
      </c>
      <c r="T2074" s="6"/>
      <c r="U2074" s="7"/>
      <c r="V2074" s="5"/>
      <c r="W2074" s="6"/>
      <c r="X2074" s="6"/>
      <c r="Y2074" s="5"/>
      <c r="Z2074" s="7"/>
      <c r="AA2074" s="6"/>
      <c r="AB2074" s="5"/>
      <c r="AC2074" s="6"/>
      <c r="AD2074" s="6"/>
      <c r="AE2074" s="5"/>
      <c r="AF2074" s="7"/>
      <c r="AG2074" s="6"/>
      <c r="AH2074" s="5"/>
      <c r="AI2074" s="6"/>
      <c r="AJ2074" s="6"/>
      <c r="AK2074" s="5"/>
      <c r="AL2074" s="5"/>
      <c r="AM2074" s="5"/>
      <c r="AN2074" s="5"/>
      <c r="AO2074" s="5"/>
      <c r="AP2074" s="5"/>
      <c r="AQ2074" s="5"/>
    </row>
    <row r="2075" spans="1:43" x14ac:dyDescent="0.25">
      <c r="A2075" s="161" t="str">
        <f t="shared" si="40"/>
        <v>FW_AUTOMATON</v>
      </c>
      <c r="B2075" s="9" t="s">
        <v>2467</v>
      </c>
      <c r="E2075" s="4" t="s">
        <v>2467</v>
      </c>
      <c r="F2075" s="4" t="s">
        <v>2467</v>
      </c>
      <c r="H2075" s="4" t="s">
        <v>2505</v>
      </c>
      <c r="I2075" s="4" t="s">
        <v>2582</v>
      </c>
      <c r="K2075" s="7">
        <v>1</v>
      </c>
      <c r="Q2075" s="7">
        <v>3</v>
      </c>
      <c r="R2075" s="6">
        <v>0.04</v>
      </c>
      <c r="S2075" s="13" t="s">
        <v>1623</v>
      </c>
      <c r="T2075" s="6"/>
      <c r="U2075" s="7"/>
      <c r="V2075" s="5"/>
      <c r="W2075" s="6"/>
      <c r="X2075" s="6"/>
      <c r="Y2075" s="5"/>
      <c r="Z2075" s="7"/>
      <c r="AA2075" s="6"/>
      <c r="AB2075" s="5"/>
      <c r="AC2075" s="6"/>
      <c r="AD2075" s="6"/>
      <c r="AE2075" s="5"/>
      <c r="AF2075" s="7"/>
      <c r="AG2075" s="6"/>
      <c r="AH2075" s="5"/>
      <c r="AI2075" s="6"/>
      <c r="AJ2075" s="6"/>
      <c r="AK2075" s="5"/>
      <c r="AL2075" s="5"/>
      <c r="AM2075" s="5"/>
      <c r="AN2075" s="5"/>
      <c r="AO2075" s="5"/>
      <c r="AP2075" s="5"/>
      <c r="AQ2075" s="5"/>
    </row>
    <row r="2076" spans="1:43" x14ac:dyDescent="0.25">
      <c r="A2076" s="161" t="str">
        <f t="shared" si="40"/>
        <v>FW_BATTLESUIT</v>
      </c>
      <c r="B2076" s="9" t="s">
        <v>2451</v>
      </c>
      <c r="E2076" s="4" t="s">
        <v>2451</v>
      </c>
      <c r="F2076" s="4" t="s">
        <v>2451</v>
      </c>
      <c r="H2076" s="4" t="s">
        <v>2488</v>
      </c>
      <c r="I2076" s="4" t="s">
        <v>2584</v>
      </c>
      <c r="K2076" s="7">
        <v>1</v>
      </c>
      <c r="Q2076" s="7">
        <v>3</v>
      </c>
      <c r="R2076" s="6">
        <v>0.05</v>
      </c>
      <c r="S2076" s="13" t="s">
        <v>1623</v>
      </c>
      <c r="T2076" s="6"/>
      <c r="U2076" s="7"/>
      <c r="V2076" s="5"/>
      <c r="W2076" s="6"/>
      <c r="X2076" s="6"/>
      <c r="Y2076" s="5"/>
      <c r="Z2076" s="7"/>
      <c r="AA2076" s="6"/>
      <c r="AB2076" s="5"/>
      <c r="AC2076" s="6"/>
      <c r="AD2076" s="6"/>
      <c r="AE2076" s="5"/>
      <c r="AF2076" s="7"/>
      <c r="AG2076" s="6"/>
      <c r="AH2076" s="5"/>
      <c r="AI2076" s="6"/>
      <c r="AJ2076" s="6"/>
      <c r="AK2076" s="5"/>
      <c r="AL2076" s="5"/>
      <c r="AM2076" s="5"/>
      <c r="AN2076" s="5"/>
      <c r="AO2076" s="5"/>
      <c r="AP2076" s="5"/>
      <c r="AQ2076" s="5"/>
    </row>
    <row r="2077" spans="1:43" x14ac:dyDescent="0.25">
      <c r="A2077" s="161" t="str">
        <f t="shared" si="40"/>
        <v>FW_BIOINFANTRY</v>
      </c>
      <c r="B2077" s="9" t="s">
        <v>2455</v>
      </c>
      <c r="E2077" s="4" t="s">
        <v>2455</v>
      </c>
      <c r="F2077" s="4" t="s">
        <v>2455</v>
      </c>
      <c r="H2077" s="4" t="s">
        <v>2495</v>
      </c>
      <c r="I2077" s="4" t="s">
        <v>1935</v>
      </c>
      <c r="K2077" s="7">
        <v>1</v>
      </c>
      <c r="Q2077" s="7">
        <v>8</v>
      </c>
      <c r="R2077" s="6" t="s">
        <v>1737</v>
      </c>
      <c r="S2077" s="13" t="s">
        <v>1620</v>
      </c>
      <c r="T2077" s="6"/>
      <c r="U2077" s="7"/>
      <c r="V2077" s="5"/>
      <c r="W2077" s="6"/>
      <c r="X2077" s="6"/>
      <c r="Y2077" s="5"/>
      <c r="Z2077" s="7"/>
      <c r="AA2077" s="6"/>
      <c r="AB2077" s="5"/>
      <c r="AC2077" s="6"/>
      <c r="AD2077" s="6"/>
      <c r="AE2077" s="5"/>
      <c r="AF2077" s="7"/>
      <c r="AG2077" s="6"/>
      <c r="AH2077" s="5"/>
      <c r="AI2077" s="6"/>
      <c r="AJ2077" s="6"/>
      <c r="AK2077" s="5"/>
      <c r="AL2077" s="5"/>
      <c r="AM2077" s="5"/>
      <c r="AN2077" s="5"/>
      <c r="AO2077" s="5"/>
      <c r="AP2077" s="5"/>
      <c r="AQ2077" s="5"/>
    </row>
    <row r="2078" spans="1:43" x14ac:dyDescent="0.25">
      <c r="A2078" s="161" t="str">
        <f t="shared" si="40"/>
        <v>FW_BIOTROOPER</v>
      </c>
      <c r="B2078" s="9" t="s">
        <v>2456</v>
      </c>
      <c r="E2078" s="4" t="s">
        <v>2456</v>
      </c>
      <c r="F2078" s="4" t="s">
        <v>2456</v>
      </c>
      <c r="H2078" s="4" t="s">
        <v>2496</v>
      </c>
      <c r="I2078" s="4" t="s">
        <v>128</v>
      </c>
      <c r="K2078" s="7">
        <v>1</v>
      </c>
      <c r="Q2078" s="7">
        <v>5</v>
      </c>
      <c r="R2078" s="6" t="s">
        <v>1737</v>
      </c>
      <c r="S2078" s="13" t="s">
        <v>1620</v>
      </c>
      <c r="T2078" s="6"/>
      <c r="U2078" s="7"/>
      <c r="V2078" s="5"/>
      <c r="W2078" s="6"/>
      <c r="X2078" s="6"/>
      <c r="Y2078" s="5"/>
      <c r="Z2078" s="7"/>
      <c r="AA2078" s="6"/>
      <c r="AB2078" s="5"/>
      <c r="AC2078" s="6"/>
      <c r="AD2078" s="6"/>
      <c r="AE2078" s="5"/>
      <c r="AF2078" s="7"/>
      <c r="AG2078" s="6"/>
      <c r="AH2078" s="5"/>
      <c r="AI2078" s="6"/>
      <c r="AJ2078" s="6"/>
      <c r="AK2078" s="5"/>
      <c r="AL2078" s="5"/>
      <c r="AM2078" s="5"/>
      <c r="AN2078" s="5"/>
      <c r="AO2078" s="5"/>
      <c r="AP2078" s="5"/>
      <c r="AQ2078" s="5"/>
    </row>
    <row r="2079" spans="1:43" x14ac:dyDescent="0.25">
      <c r="A2079" s="161" t="str">
        <f t="shared" si="40"/>
        <v>FW_BIOTROOPER_ED</v>
      </c>
      <c r="B2079" s="9" t="s">
        <v>2456</v>
      </c>
      <c r="E2079" s="4" t="s">
        <v>2605</v>
      </c>
      <c r="F2079" s="4" t="s">
        <v>2605</v>
      </c>
      <c r="H2079" s="4" t="s">
        <v>2496</v>
      </c>
      <c r="I2079" s="4" t="s">
        <v>128</v>
      </c>
      <c r="K2079" s="7">
        <v>1</v>
      </c>
      <c r="Q2079" s="7"/>
      <c r="R2079" s="6"/>
      <c r="S2079" s="13"/>
      <c r="T2079" s="6"/>
      <c r="U2079" s="7"/>
      <c r="V2079" s="5"/>
      <c r="W2079" s="6"/>
      <c r="X2079" s="6"/>
      <c r="Y2079" s="5"/>
      <c r="Z2079" s="7"/>
      <c r="AA2079" s="6"/>
      <c r="AB2079" s="5"/>
      <c r="AC2079" s="6"/>
      <c r="AD2079" s="6"/>
      <c r="AE2079" s="5"/>
      <c r="AF2079" s="7"/>
      <c r="AG2079" s="6"/>
      <c r="AH2079" s="5"/>
      <c r="AI2079" s="6"/>
      <c r="AJ2079" s="6"/>
      <c r="AK2079" s="5"/>
      <c r="AL2079" s="5"/>
      <c r="AM2079" s="5"/>
      <c r="AN2079" s="5"/>
      <c r="AO2079" s="5"/>
      <c r="AP2079" s="5"/>
      <c r="AQ2079" s="5"/>
    </row>
    <row r="2080" spans="1:43" x14ac:dyDescent="0.25">
      <c r="A2080" s="161" t="str">
        <f t="shared" si="40"/>
        <v>FW_BIOTROOPER_ED_ASIA</v>
      </c>
      <c r="B2080" s="9" t="s">
        <v>2456</v>
      </c>
      <c r="C2080" s="4" t="s">
        <v>693</v>
      </c>
      <c r="E2080" s="4" t="s">
        <v>2605</v>
      </c>
      <c r="F2080" s="4" t="s">
        <v>2605</v>
      </c>
      <c r="H2080" s="4" t="s">
        <v>2607</v>
      </c>
      <c r="I2080" s="4" t="s">
        <v>1935</v>
      </c>
      <c r="K2080" s="7">
        <v>1</v>
      </c>
      <c r="Q2080" s="7"/>
      <c r="R2080" s="6"/>
      <c r="S2080" s="13"/>
      <c r="T2080" s="6"/>
      <c r="U2080" s="7"/>
      <c r="V2080" s="5"/>
      <c r="W2080" s="6"/>
      <c r="X2080" s="6"/>
      <c r="Y2080" s="5"/>
      <c r="Z2080" s="7"/>
      <c r="AA2080" s="6"/>
      <c r="AB2080" s="5"/>
      <c r="AC2080" s="6"/>
      <c r="AD2080" s="6"/>
      <c r="AE2080" s="5"/>
      <c r="AF2080" s="7"/>
      <c r="AG2080" s="6"/>
      <c r="AH2080" s="5"/>
      <c r="AI2080" s="6"/>
      <c r="AJ2080" s="6"/>
      <c r="AK2080" s="5"/>
      <c r="AL2080" s="5"/>
      <c r="AM2080" s="5"/>
      <c r="AN2080" s="5"/>
      <c r="AO2080" s="5"/>
      <c r="AP2080" s="5"/>
      <c r="AQ2080" s="5"/>
    </row>
    <row r="2081" spans="1:43" x14ac:dyDescent="0.25">
      <c r="A2081" s="161" t="str">
        <f t="shared" si="40"/>
        <v>FW_BIOTROOPER_ED_EASTEU</v>
      </c>
      <c r="B2081" s="9" t="s">
        <v>2456</v>
      </c>
      <c r="C2081" s="4" t="s">
        <v>698</v>
      </c>
      <c r="D2081" s="4" t="s">
        <v>689</v>
      </c>
      <c r="E2081" s="4" t="s">
        <v>2605</v>
      </c>
      <c r="F2081" s="4" t="s">
        <v>2605</v>
      </c>
      <c r="K2081" s="7">
        <v>1</v>
      </c>
      <c r="Q2081" s="7"/>
      <c r="R2081" s="6"/>
      <c r="S2081" s="13"/>
      <c r="T2081" s="6"/>
      <c r="U2081" s="7"/>
      <c r="V2081" s="5"/>
      <c r="W2081" s="6"/>
      <c r="X2081" s="6"/>
      <c r="Y2081" s="5"/>
      <c r="Z2081" s="7"/>
      <c r="AA2081" s="6"/>
      <c r="AB2081" s="5"/>
      <c r="AC2081" s="6"/>
      <c r="AD2081" s="6"/>
      <c r="AE2081" s="5"/>
      <c r="AF2081" s="7"/>
      <c r="AG2081" s="6"/>
      <c r="AH2081" s="5"/>
      <c r="AI2081" s="6"/>
      <c r="AJ2081" s="6"/>
      <c r="AK2081" s="5"/>
      <c r="AL2081" s="5"/>
      <c r="AM2081" s="5"/>
      <c r="AN2081" s="5"/>
      <c r="AO2081" s="5"/>
      <c r="AP2081" s="5"/>
      <c r="AQ2081" s="5"/>
    </row>
    <row r="2082" spans="1:43" x14ac:dyDescent="0.25">
      <c r="A2082" s="161" t="str">
        <f t="shared" si="40"/>
        <v>FW_BIOTROOPER_ED_EURO</v>
      </c>
      <c r="B2082" s="9" t="s">
        <v>2456</v>
      </c>
      <c r="C2082" s="4" t="s">
        <v>689</v>
      </c>
      <c r="E2082" s="4" t="s">
        <v>2605</v>
      </c>
      <c r="F2082" s="4" t="s">
        <v>2605</v>
      </c>
      <c r="H2082" s="4" t="s">
        <v>2608</v>
      </c>
      <c r="I2082" s="4" t="s">
        <v>1935</v>
      </c>
      <c r="K2082" s="7">
        <v>1</v>
      </c>
      <c r="Q2082" s="7"/>
      <c r="R2082" s="6"/>
      <c r="S2082" s="13"/>
      <c r="T2082" s="6"/>
      <c r="U2082" s="7"/>
      <c r="V2082" s="5"/>
      <c r="W2082" s="6"/>
      <c r="X2082" s="6"/>
      <c r="Y2082" s="5"/>
      <c r="Z2082" s="7"/>
      <c r="AA2082" s="6"/>
      <c r="AB2082" s="5"/>
      <c r="AC2082" s="6"/>
      <c r="AD2082" s="6"/>
      <c r="AE2082" s="5"/>
      <c r="AF2082" s="7"/>
      <c r="AG2082" s="6"/>
      <c r="AH2082" s="5"/>
      <c r="AI2082" s="6"/>
      <c r="AJ2082" s="6"/>
      <c r="AK2082" s="5"/>
      <c r="AL2082" s="5"/>
      <c r="AM2082" s="5"/>
      <c r="AN2082" s="5"/>
      <c r="AO2082" s="5"/>
      <c r="AP2082" s="5"/>
      <c r="AQ2082" s="5"/>
    </row>
    <row r="2083" spans="1:43" x14ac:dyDescent="0.25">
      <c r="A2083" s="161" t="str">
        <f t="shared" si="40"/>
        <v>FW_BIOTROOPER_ED_MED</v>
      </c>
      <c r="B2083" s="9" t="s">
        <v>2456</v>
      </c>
      <c r="C2083" s="4" t="s">
        <v>692</v>
      </c>
      <c r="D2083" s="4" t="s">
        <v>689</v>
      </c>
      <c r="E2083" s="4" t="s">
        <v>2605</v>
      </c>
      <c r="F2083" s="4" t="s">
        <v>2605</v>
      </c>
      <c r="K2083" s="7">
        <v>1</v>
      </c>
      <c r="Q2083" s="7"/>
      <c r="R2083" s="6"/>
      <c r="S2083" s="13"/>
      <c r="T2083" s="6"/>
      <c r="U2083" s="7"/>
      <c r="V2083" s="5"/>
      <c r="W2083" s="6"/>
      <c r="X2083" s="6"/>
      <c r="Y2083" s="5"/>
      <c r="Z2083" s="7"/>
      <c r="AA2083" s="6"/>
      <c r="AB2083" s="5"/>
      <c r="AC2083" s="6"/>
      <c r="AD2083" s="6"/>
      <c r="AE2083" s="5"/>
      <c r="AF2083" s="7"/>
      <c r="AG2083" s="6"/>
      <c r="AH2083" s="5"/>
      <c r="AI2083" s="6"/>
      <c r="AJ2083" s="6"/>
      <c r="AK2083" s="5"/>
      <c r="AL2083" s="5"/>
      <c r="AM2083" s="5"/>
      <c r="AN2083" s="5"/>
      <c r="AO2083" s="5"/>
      <c r="AP2083" s="5"/>
      <c r="AQ2083" s="5"/>
    </row>
    <row r="2084" spans="1:43" x14ac:dyDescent="0.25">
      <c r="A2084" s="161" t="str">
        <f t="shared" si="40"/>
        <v>FW_BIOTROOPER_ED_NORTHEU</v>
      </c>
      <c r="B2084" s="9" t="s">
        <v>2456</v>
      </c>
      <c r="C2084" s="4" t="s">
        <v>962</v>
      </c>
      <c r="D2084" s="4" t="s">
        <v>689</v>
      </c>
      <c r="E2084" s="4" t="s">
        <v>2605</v>
      </c>
      <c r="F2084" s="4" t="s">
        <v>2605</v>
      </c>
      <c r="K2084" s="7">
        <v>1</v>
      </c>
      <c r="Q2084" s="7"/>
      <c r="R2084" s="6"/>
      <c r="S2084" s="13"/>
      <c r="T2084" s="6"/>
      <c r="U2084" s="7"/>
      <c r="V2084" s="5"/>
      <c r="W2084" s="6"/>
      <c r="X2084" s="6"/>
      <c r="Y2084" s="5"/>
      <c r="Z2084" s="7"/>
      <c r="AA2084" s="6"/>
      <c r="AB2084" s="5"/>
      <c r="AC2084" s="6"/>
      <c r="AD2084" s="6"/>
      <c r="AE2084" s="5"/>
      <c r="AF2084" s="7"/>
      <c r="AG2084" s="6"/>
      <c r="AH2084" s="5"/>
      <c r="AI2084" s="6"/>
      <c r="AJ2084" s="6"/>
      <c r="AK2084" s="5"/>
      <c r="AL2084" s="5"/>
      <c r="AM2084" s="5"/>
      <c r="AN2084" s="5"/>
      <c r="AO2084" s="5"/>
      <c r="AP2084" s="5"/>
      <c r="AQ2084" s="5"/>
    </row>
    <row r="2085" spans="1:43" x14ac:dyDescent="0.25">
      <c r="A2085" s="161" t="str">
        <f t="shared" si="40"/>
        <v>FW_BIOTROOPER_ED_SEASIA</v>
      </c>
      <c r="B2085" s="9" t="s">
        <v>2456</v>
      </c>
      <c r="C2085" s="4" t="s">
        <v>696</v>
      </c>
      <c r="D2085" s="4" t="s">
        <v>693</v>
      </c>
      <c r="E2085" s="4" t="s">
        <v>2605</v>
      </c>
      <c r="F2085" s="4" t="s">
        <v>2605</v>
      </c>
      <c r="K2085" s="7">
        <v>1</v>
      </c>
      <c r="Q2085" s="7"/>
      <c r="R2085" s="6"/>
      <c r="S2085" s="13"/>
      <c r="T2085" s="6"/>
      <c r="U2085" s="7"/>
      <c r="V2085" s="5"/>
      <c r="W2085" s="6"/>
      <c r="X2085" s="6"/>
      <c r="Y2085" s="5"/>
      <c r="Z2085" s="7"/>
      <c r="AA2085" s="6"/>
      <c r="AB2085" s="5"/>
      <c r="AC2085" s="6"/>
      <c r="AD2085" s="6"/>
      <c r="AE2085" s="5"/>
      <c r="AF2085" s="7"/>
      <c r="AG2085" s="6"/>
      <c r="AH2085" s="5"/>
      <c r="AI2085" s="6"/>
      <c r="AJ2085" s="6"/>
      <c r="AK2085" s="5"/>
      <c r="AL2085" s="5"/>
      <c r="AM2085" s="5"/>
      <c r="AN2085" s="5"/>
      <c r="AO2085" s="5"/>
      <c r="AP2085" s="5"/>
      <c r="AQ2085" s="5"/>
    </row>
    <row r="2086" spans="1:43" x14ac:dyDescent="0.25">
      <c r="A2086" s="161" t="str">
        <f t="shared" si="40"/>
        <v>FW_BIOTROOPER_ED_SOUTHAS</v>
      </c>
      <c r="B2086" s="9" t="s">
        <v>2456</v>
      </c>
      <c r="C2086" s="4" t="s">
        <v>695</v>
      </c>
      <c r="D2086" s="4" t="s">
        <v>693</v>
      </c>
      <c r="E2086" s="4" t="s">
        <v>2605</v>
      </c>
      <c r="F2086" s="4" t="s">
        <v>2605</v>
      </c>
      <c r="K2086" s="7">
        <v>1</v>
      </c>
      <c r="Q2086" s="7"/>
      <c r="R2086" s="6"/>
      <c r="S2086" s="13"/>
      <c r="T2086" s="6"/>
      <c r="U2086" s="7"/>
      <c r="V2086" s="5"/>
      <c r="W2086" s="6"/>
      <c r="X2086" s="6"/>
      <c r="Y2086" s="5"/>
      <c r="Z2086" s="7"/>
      <c r="AA2086" s="6"/>
      <c r="AB2086" s="5"/>
      <c r="AC2086" s="6"/>
      <c r="AD2086" s="6"/>
      <c r="AE2086" s="5"/>
      <c r="AF2086" s="7"/>
      <c r="AG2086" s="6"/>
      <c r="AH2086" s="5"/>
      <c r="AI2086" s="6"/>
      <c r="AJ2086" s="6"/>
      <c r="AK2086" s="5"/>
      <c r="AL2086" s="5"/>
      <c r="AM2086" s="5"/>
      <c r="AN2086" s="5"/>
      <c r="AO2086" s="5"/>
      <c r="AP2086" s="5"/>
      <c r="AQ2086" s="5"/>
    </row>
    <row r="2087" spans="1:43" x14ac:dyDescent="0.25">
      <c r="A2087" s="161" t="str">
        <f t="shared" si="40"/>
        <v>FW_CHIMERA</v>
      </c>
      <c r="B2087" s="9" t="s">
        <v>2452</v>
      </c>
      <c r="E2087" s="4" t="s">
        <v>2452</v>
      </c>
      <c r="F2087" s="4" t="s">
        <v>2452</v>
      </c>
      <c r="H2087" s="4" t="s">
        <v>2489</v>
      </c>
      <c r="I2087" s="4" t="s">
        <v>128</v>
      </c>
      <c r="K2087" s="7">
        <v>1</v>
      </c>
      <c r="Q2087" s="7">
        <v>6</v>
      </c>
      <c r="R2087" s="6">
        <v>1.5</v>
      </c>
      <c r="S2087" s="13" t="s">
        <v>46</v>
      </c>
      <c r="T2087" s="6"/>
      <c r="U2087" s="7"/>
      <c r="V2087" s="5"/>
      <c r="W2087" s="6"/>
      <c r="X2087" s="6"/>
      <c r="Y2087" s="5"/>
      <c r="Z2087" s="7"/>
      <c r="AA2087" s="6"/>
      <c r="AB2087" s="5"/>
      <c r="AC2087" s="6"/>
      <c r="AD2087" s="6"/>
      <c r="AE2087" s="5"/>
      <c r="AF2087" s="7"/>
      <c r="AG2087" s="6"/>
      <c r="AH2087" s="5"/>
      <c r="AI2087" s="6"/>
      <c r="AJ2087" s="6"/>
      <c r="AK2087" s="5"/>
      <c r="AL2087" s="5"/>
      <c r="AM2087" s="5"/>
      <c r="AN2087" s="5"/>
      <c r="AO2087" s="5"/>
      <c r="AP2087" s="5"/>
      <c r="AQ2087" s="5"/>
    </row>
    <row r="2088" spans="1:43" x14ac:dyDescent="0.25">
      <c r="A2088" s="161" t="str">
        <f t="shared" si="40"/>
        <v>FW_CRAWLER</v>
      </c>
      <c r="B2088" s="9" t="s">
        <v>2459</v>
      </c>
      <c r="E2088" s="4" t="s">
        <v>2459</v>
      </c>
      <c r="F2088" s="4" t="s">
        <v>2459</v>
      </c>
      <c r="H2088" s="4" t="s">
        <v>2490</v>
      </c>
      <c r="I2088" s="4" t="s">
        <v>128</v>
      </c>
      <c r="K2088" s="7">
        <v>1</v>
      </c>
      <c r="Q2088" s="7">
        <v>1</v>
      </c>
      <c r="R2088" s="6">
        <v>0.1</v>
      </c>
      <c r="S2088" s="13"/>
      <c r="T2088" s="6"/>
      <c r="U2088" s="7"/>
      <c r="V2088" s="5"/>
      <c r="W2088" s="6"/>
      <c r="X2088" s="6"/>
      <c r="Y2088" s="5"/>
      <c r="Z2088" s="7"/>
      <c r="AA2088" s="6"/>
      <c r="AB2088" s="5"/>
      <c r="AC2088" s="6"/>
      <c r="AD2088" s="6"/>
      <c r="AE2088" s="5"/>
      <c r="AF2088" s="7"/>
      <c r="AG2088" s="6"/>
      <c r="AH2088" s="5"/>
      <c r="AI2088" s="6"/>
      <c r="AJ2088" s="6"/>
      <c r="AK2088" s="5"/>
      <c r="AL2088" s="5"/>
      <c r="AM2088" s="5"/>
      <c r="AN2088" s="5"/>
      <c r="AO2088" s="5"/>
      <c r="AP2088" s="5"/>
      <c r="AQ2088" s="5"/>
    </row>
    <row r="2089" spans="1:43" x14ac:dyDescent="0.25">
      <c r="A2089" s="161" t="str">
        <f t="shared" si="40"/>
        <v>FW_CYBERSUB</v>
      </c>
      <c r="B2089" s="9" t="s">
        <v>2445</v>
      </c>
      <c r="E2089" s="4" t="s">
        <v>2445</v>
      </c>
      <c r="F2089" s="4" t="s">
        <v>2445</v>
      </c>
      <c r="H2089" s="4" t="s">
        <v>2480</v>
      </c>
      <c r="I2089" s="4" t="s">
        <v>1935</v>
      </c>
      <c r="K2089" s="7">
        <v>1</v>
      </c>
      <c r="Q2089" s="7">
        <v>1</v>
      </c>
      <c r="R2089" s="6">
        <v>0.16</v>
      </c>
      <c r="S2089" s="13"/>
      <c r="T2089" s="6"/>
      <c r="U2089" s="7"/>
      <c r="V2089" s="5"/>
      <c r="W2089" s="6"/>
      <c r="X2089" s="6"/>
      <c r="Y2089" s="5"/>
      <c r="Z2089" s="7"/>
      <c r="AA2089" s="6"/>
      <c r="AB2089" s="5"/>
      <c r="AC2089" s="6"/>
      <c r="AD2089" s="6"/>
      <c r="AE2089" s="5"/>
      <c r="AF2089" s="7"/>
      <c r="AG2089" s="6"/>
      <c r="AH2089" s="5"/>
      <c r="AI2089" s="6"/>
      <c r="AJ2089" s="6"/>
      <c r="AK2089" s="5"/>
      <c r="AL2089" s="5"/>
      <c r="AM2089" s="5"/>
      <c r="AN2089" s="5"/>
      <c r="AO2089" s="5"/>
      <c r="AP2089" s="5"/>
      <c r="AQ2089" s="5"/>
    </row>
    <row r="2090" spans="1:43" x14ac:dyDescent="0.25">
      <c r="A2090" s="161" t="str">
        <f>CONCATENATE(E2090,IF(ISBLANK(C2090),"",CONCATENATE("_",C2090)))</f>
        <v>FW_CYBORG</v>
      </c>
      <c r="B2090" s="9" t="s">
        <v>2513</v>
      </c>
      <c r="E2090" s="4" t="s">
        <v>2450</v>
      </c>
      <c r="F2090" s="4" t="s">
        <v>2450</v>
      </c>
      <c r="H2090" s="4" t="s">
        <v>2485</v>
      </c>
      <c r="I2090" s="4" t="s">
        <v>1935</v>
      </c>
      <c r="K2090" s="7">
        <v>1</v>
      </c>
      <c r="Q2090" s="7">
        <v>8</v>
      </c>
      <c r="R2090" s="6" t="s">
        <v>1737</v>
      </c>
      <c r="S2090" s="13" t="s">
        <v>1620</v>
      </c>
      <c r="T2090" s="6"/>
      <c r="U2090" s="7"/>
      <c r="V2090" s="5"/>
      <c r="W2090" s="6"/>
      <c r="X2090" s="6"/>
      <c r="Y2090" s="5"/>
      <c r="Z2090" s="7"/>
      <c r="AA2090" s="6"/>
      <c r="AB2090" s="5"/>
      <c r="AC2090" s="6"/>
      <c r="AD2090" s="6"/>
      <c r="AE2090" s="5"/>
      <c r="AF2090" s="7"/>
      <c r="AG2090" s="6"/>
      <c r="AH2090" s="5"/>
      <c r="AI2090" s="6"/>
      <c r="AJ2090" s="6"/>
      <c r="AK2090" s="5"/>
      <c r="AL2090" s="5"/>
      <c r="AM2090" s="5"/>
      <c r="AN2090" s="5"/>
      <c r="AO2090" s="5"/>
      <c r="AP2090" s="5"/>
      <c r="AQ2090" s="5"/>
    </row>
    <row r="2091" spans="1:43" x14ac:dyDescent="0.25">
      <c r="A2091" s="161" t="str">
        <f>CONCATENATE(E2091,IF(ISBLANK(C2091),"",CONCATENATE("_",C2091)))</f>
        <v>FW_CYBORG_ED</v>
      </c>
      <c r="B2091" s="9" t="s">
        <v>2513</v>
      </c>
      <c r="E2091" s="4" t="s">
        <v>2597</v>
      </c>
      <c r="F2091" s="4" t="s">
        <v>2597</v>
      </c>
      <c r="H2091" s="4" t="s">
        <v>2485</v>
      </c>
      <c r="I2091" s="4" t="s">
        <v>1935</v>
      </c>
      <c r="K2091" s="7">
        <v>1</v>
      </c>
      <c r="Q2091" s="7">
        <v>8</v>
      </c>
      <c r="R2091" s="6" t="s">
        <v>1737</v>
      </c>
      <c r="S2091" s="13" t="s">
        <v>1620</v>
      </c>
      <c r="T2091" s="6"/>
      <c r="U2091" s="7"/>
      <c r="V2091" s="5"/>
      <c r="W2091" s="6"/>
      <c r="X2091" s="6"/>
      <c r="Y2091" s="5"/>
      <c r="Z2091" s="7"/>
      <c r="AA2091" s="6"/>
      <c r="AB2091" s="5"/>
      <c r="AC2091" s="6"/>
      <c r="AD2091" s="6"/>
      <c r="AE2091" s="5"/>
      <c r="AF2091" s="7"/>
      <c r="AG2091" s="6"/>
      <c r="AH2091" s="5"/>
      <c r="AI2091" s="6"/>
      <c r="AJ2091" s="6"/>
      <c r="AK2091" s="5"/>
      <c r="AL2091" s="5"/>
      <c r="AM2091" s="5"/>
      <c r="AN2091" s="5"/>
      <c r="AO2091" s="5"/>
      <c r="AP2091" s="5"/>
      <c r="AQ2091" s="5"/>
    </row>
    <row r="2092" spans="1:43" x14ac:dyDescent="0.25">
      <c r="A2092" s="161" t="str">
        <f t="shared" si="40"/>
        <v>FW_CYBORG_ED_ASIA</v>
      </c>
      <c r="B2092" s="9" t="s">
        <v>2513</v>
      </c>
      <c r="C2092" s="4" t="s">
        <v>693</v>
      </c>
      <c r="E2092" s="4" t="s">
        <v>2597</v>
      </c>
      <c r="F2092" s="4" t="s">
        <v>2597</v>
      </c>
      <c r="H2092" s="4" t="s">
        <v>2486</v>
      </c>
      <c r="I2092" s="4" t="s">
        <v>1935</v>
      </c>
      <c r="K2092" s="7">
        <v>1</v>
      </c>
      <c r="Q2092" s="7"/>
      <c r="R2092" s="6"/>
      <c r="S2092" s="13"/>
      <c r="T2092" s="6"/>
      <c r="U2092" s="7"/>
      <c r="V2092" s="5"/>
      <c r="W2092" s="6"/>
      <c r="X2092" s="6"/>
      <c r="Y2092" s="5"/>
      <c r="Z2092" s="7"/>
      <c r="AA2092" s="6"/>
      <c r="AB2092" s="5"/>
      <c r="AC2092" s="6"/>
      <c r="AD2092" s="6"/>
      <c r="AE2092" s="5"/>
      <c r="AF2092" s="7"/>
      <c r="AG2092" s="6"/>
      <c r="AH2092" s="5"/>
      <c r="AI2092" s="6"/>
      <c r="AJ2092" s="6"/>
      <c r="AK2092" s="5"/>
      <c r="AL2092" s="5"/>
      <c r="AM2092" s="5"/>
      <c r="AN2092" s="5"/>
      <c r="AO2092" s="5"/>
      <c r="AP2092" s="5"/>
      <c r="AQ2092" s="5"/>
    </row>
    <row r="2093" spans="1:43" x14ac:dyDescent="0.25">
      <c r="A2093" s="161" t="str">
        <f t="shared" si="40"/>
        <v>FW_CYBORG_ED_EASTEU</v>
      </c>
      <c r="B2093" s="9" t="s">
        <v>2513</v>
      </c>
      <c r="C2093" s="4" t="s">
        <v>698</v>
      </c>
      <c r="D2093" s="4" t="s">
        <v>689</v>
      </c>
      <c r="E2093" s="4" t="s">
        <v>2597</v>
      </c>
      <c r="F2093" s="4" t="s">
        <v>2597</v>
      </c>
      <c r="K2093" s="7">
        <v>1</v>
      </c>
      <c r="Q2093" s="7"/>
      <c r="R2093" s="6"/>
      <c r="S2093" s="13"/>
      <c r="T2093" s="6"/>
      <c r="U2093" s="7"/>
      <c r="V2093" s="5"/>
      <c r="W2093" s="6"/>
      <c r="X2093" s="6"/>
      <c r="Y2093" s="5"/>
      <c r="Z2093" s="7"/>
      <c r="AA2093" s="6"/>
      <c r="AB2093" s="5"/>
      <c r="AC2093" s="6"/>
      <c r="AD2093" s="6"/>
      <c r="AE2093" s="5"/>
      <c r="AF2093" s="7"/>
      <c r="AG2093" s="6"/>
      <c r="AH2093" s="5"/>
      <c r="AI2093" s="6"/>
      <c r="AJ2093" s="6"/>
      <c r="AK2093" s="5"/>
      <c r="AL2093" s="5"/>
      <c r="AM2093" s="5"/>
      <c r="AN2093" s="5"/>
      <c r="AO2093" s="5"/>
      <c r="AP2093" s="5"/>
      <c r="AQ2093" s="5"/>
    </row>
    <row r="2094" spans="1:43" x14ac:dyDescent="0.25">
      <c r="A2094" s="161" t="str">
        <f t="shared" si="40"/>
        <v>FW_CYBORG_ED_EURO</v>
      </c>
      <c r="B2094" s="9" t="s">
        <v>2513</v>
      </c>
      <c r="C2094" s="4" t="s">
        <v>689</v>
      </c>
      <c r="E2094" s="4" t="s">
        <v>2597</v>
      </c>
      <c r="F2094" s="4" t="s">
        <v>2597</v>
      </c>
      <c r="H2094" s="4" t="s">
        <v>2487</v>
      </c>
      <c r="I2094" s="4" t="s">
        <v>1935</v>
      </c>
      <c r="K2094" s="7">
        <v>1</v>
      </c>
      <c r="Q2094" s="7"/>
      <c r="R2094" s="6"/>
      <c r="S2094" s="13"/>
      <c r="T2094" s="6"/>
      <c r="U2094" s="7"/>
      <c r="V2094" s="5"/>
      <c r="W2094" s="6"/>
      <c r="X2094" s="6"/>
      <c r="Y2094" s="5"/>
      <c r="Z2094" s="7"/>
      <c r="AA2094" s="6"/>
      <c r="AB2094" s="5"/>
      <c r="AC2094" s="6"/>
      <c r="AD2094" s="6"/>
      <c r="AE2094" s="5"/>
      <c r="AF2094" s="7"/>
      <c r="AG2094" s="6"/>
      <c r="AH2094" s="5"/>
      <c r="AI2094" s="6"/>
      <c r="AJ2094" s="6"/>
      <c r="AK2094" s="5"/>
      <c r="AL2094" s="5"/>
      <c r="AM2094" s="5"/>
      <c r="AN2094" s="5"/>
      <c r="AO2094" s="5"/>
      <c r="AP2094" s="5"/>
      <c r="AQ2094" s="5"/>
    </row>
    <row r="2095" spans="1:43" x14ac:dyDescent="0.25">
      <c r="A2095" s="161" t="str">
        <f t="shared" si="40"/>
        <v>FW_CYBORG_ED_MED</v>
      </c>
      <c r="B2095" s="9" t="s">
        <v>2513</v>
      </c>
      <c r="C2095" s="4" t="s">
        <v>692</v>
      </c>
      <c r="D2095" s="4" t="s">
        <v>689</v>
      </c>
      <c r="E2095" s="4" t="s">
        <v>2597</v>
      </c>
      <c r="F2095" s="4" t="s">
        <v>2597</v>
      </c>
      <c r="K2095" s="7">
        <v>1</v>
      </c>
      <c r="Q2095" s="7"/>
      <c r="R2095" s="6"/>
      <c r="S2095" s="13"/>
      <c r="T2095" s="6"/>
      <c r="U2095" s="7"/>
      <c r="V2095" s="5"/>
      <c r="W2095" s="6"/>
      <c r="X2095" s="6"/>
      <c r="Y2095" s="5"/>
      <c r="Z2095" s="7"/>
      <c r="AA2095" s="6"/>
      <c r="AB2095" s="5"/>
      <c r="AC2095" s="6"/>
      <c r="AD2095" s="6"/>
      <c r="AE2095" s="5"/>
      <c r="AF2095" s="7"/>
      <c r="AG2095" s="6"/>
      <c r="AH2095" s="5"/>
      <c r="AI2095" s="6"/>
      <c r="AJ2095" s="6"/>
      <c r="AK2095" s="5"/>
      <c r="AL2095" s="5"/>
      <c r="AM2095" s="5"/>
      <c r="AN2095" s="5"/>
      <c r="AO2095" s="5"/>
      <c r="AP2095" s="5"/>
      <c r="AQ2095" s="5"/>
    </row>
    <row r="2096" spans="1:43" x14ac:dyDescent="0.25">
      <c r="A2096" s="161" t="str">
        <f t="shared" si="40"/>
        <v>FW_CYBORG_ED_NORTHEU</v>
      </c>
      <c r="B2096" s="9" t="s">
        <v>2513</v>
      </c>
      <c r="C2096" s="4" t="s">
        <v>962</v>
      </c>
      <c r="D2096" s="4" t="s">
        <v>689</v>
      </c>
      <c r="E2096" s="4" t="s">
        <v>2597</v>
      </c>
      <c r="F2096" s="4" t="s">
        <v>2597</v>
      </c>
      <c r="K2096" s="7">
        <v>1</v>
      </c>
      <c r="Q2096" s="7"/>
      <c r="R2096" s="6"/>
      <c r="S2096" s="13"/>
      <c r="T2096" s="6"/>
      <c r="U2096" s="7"/>
      <c r="V2096" s="5"/>
      <c r="W2096" s="6"/>
      <c r="X2096" s="6"/>
      <c r="Y2096" s="5"/>
      <c r="Z2096" s="7"/>
      <c r="AA2096" s="6"/>
      <c r="AB2096" s="5"/>
      <c r="AC2096" s="6"/>
      <c r="AD2096" s="6"/>
      <c r="AE2096" s="5"/>
      <c r="AF2096" s="7"/>
      <c r="AG2096" s="6"/>
      <c r="AH2096" s="5"/>
      <c r="AI2096" s="6"/>
      <c r="AJ2096" s="6"/>
      <c r="AK2096" s="5"/>
      <c r="AL2096" s="5"/>
      <c r="AM2096" s="5"/>
      <c r="AN2096" s="5"/>
      <c r="AO2096" s="5"/>
      <c r="AP2096" s="5"/>
      <c r="AQ2096" s="5"/>
    </row>
    <row r="2097" spans="1:43" x14ac:dyDescent="0.25">
      <c r="A2097" s="161" t="str">
        <f t="shared" si="40"/>
        <v>FW_CYBORG_ED_SEASIA</v>
      </c>
      <c r="B2097" s="9" t="s">
        <v>2513</v>
      </c>
      <c r="C2097" s="4" t="s">
        <v>696</v>
      </c>
      <c r="D2097" s="4" t="s">
        <v>693</v>
      </c>
      <c r="E2097" s="4" t="s">
        <v>2597</v>
      </c>
      <c r="F2097" s="4" t="s">
        <v>2597</v>
      </c>
      <c r="K2097" s="7">
        <v>1</v>
      </c>
      <c r="Q2097" s="7"/>
      <c r="R2097" s="6"/>
      <c r="S2097" s="13"/>
      <c r="T2097" s="6"/>
      <c r="U2097" s="7"/>
      <c r="V2097" s="5"/>
      <c r="W2097" s="6"/>
      <c r="X2097" s="6"/>
      <c r="Y2097" s="5"/>
      <c r="Z2097" s="7"/>
      <c r="AA2097" s="6"/>
      <c r="AB2097" s="5"/>
      <c r="AC2097" s="6"/>
      <c r="AD2097" s="6"/>
      <c r="AE2097" s="5"/>
      <c r="AF2097" s="7"/>
      <c r="AG2097" s="6"/>
      <c r="AH2097" s="5"/>
      <c r="AI2097" s="6"/>
      <c r="AJ2097" s="6"/>
      <c r="AK2097" s="5"/>
      <c r="AL2097" s="5"/>
      <c r="AM2097" s="5"/>
      <c r="AN2097" s="5"/>
      <c r="AO2097" s="5"/>
      <c r="AP2097" s="5"/>
      <c r="AQ2097" s="5"/>
    </row>
    <row r="2098" spans="1:43" x14ac:dyDescent="0.25">
      <c r="A2098" s="161" t="str">
        <f t="shared" si="40"/>
        <v>FW_CYBORG_ED_SOUTHAS</v>
      </c>
      <c r="B2098" s="9" t="s">
        <v>2513</v>
      </c>
      <c r="C2098" s="4" t="s">
        <v>695</v>
      </c>
      <c r="D2098" s="4" t="s">
        <v>693</v>
      </c>
      <c r="E2098" s="4" t="s">
        <v>2597</v>
      </c>
      <c r="F2098" s="4" t="s">
        <v>2597</v>
      </c>
      <c r="K2098" s="7">
        <v>1</v>
      </c>
      <c r="Q2098" s="7"/>
      <c r="R2098" s="6"/>
      <c r="S2098" s="13"/>
      <c r="T2098" s="6"/>
      <c r="U2098" s="7"/>
      <c r="V2098" s="5"/>
      <c r="W2098" s="6"/>
      <c r="X2098" s="6"/>
      <c r="Y2098" s="5"/>
      <c r="Z2098" s="7"/>
      <c r="AA2098" s="6"/>
      <c r="AB2098" s="5"/>
      <c r="AC2098" s="6"/>
      <c r="AD2098" s="6"/>
      <c r="AE2098" s="5"/>
      <c r="AF2098" s="7"/>
      <c r="AG2098" s="6"/>
      <c r="AH2098" s="5"/>
      <c r="AI2098" s="6"/>
      <c r="AJ2098" s="6"/>
      <c r="AK2098" s="5"/>
      <c r="AL2098" s="5"/>
      <c r="AM2098" s="5"/>
      <c r="AN2098" s="5"/>
      <c r="AO2098" s="5"/>
      <c r="AP2098" s="5"/>
      <c r="AQ2098" s="5"/>
    </row>
    <row r="2099" spans="1:43" x14ac:dyDescent="0.25">
      <c r="A2099" s="161" t="str">
        <f t="shared" si="40"/>
        <v>FW_DRONE_FIGHTER_2</v>
      </c>
      <c r="B2099" s="9" t="s">
        <v>2440</v>
      </c>
      <c r="E2099" s="4" t="s">
        <v>2440</v>
      </c>
      <c r="F2099" s="4" t="s">
        <v>2440</v>
      </c>
      <c r="H2099" s="4" t="s">
        <v>2469</v>
      </c>
      <c r="I2099" s="4" t="s">
        <v>1935</v>
      </c>
      <c r="K2099" s="7">
        <v>1</v>
      </c>
      <c r="Q2099" s="7">
        <v>1</v>
      </c>
      <c r="R2099" s="6">
        <v>0.09</v>
      </c>
      <c r="S2099" s="13" t="s">
        <v>1621</v>
      </c>
      <c r="T2099" s="6"/>
      <c r="U2099" s="7"/>
      <c r="V2099" s="5"/>
      <c r="W2099" s="6"/>
      <c r="X2099" s="6"/>
      <c r="Y2099" s="5"/>
      <c r="Z2099" s="7"/>
      <c r="AA2099" s="6"/>
      <c r="AB2099" s="5"/>
      <c r="AC2099" s="6"/>
      <c r="AD2099" s="6"/>
      <c r="AE2099" s="5"/>
      <c r="AF2099" s="7"/>
      <c r="AG2099" s="6"/>
      <c r="AH2099" s="5"/>
      <c r="AI2099" s="6"/>
      <c r="AJ2099" s="6"/>
      <c r="AK2099" s="5"/>
      <c r="AL2099" s="5"/>
      <c r="AM2099" s="5"/>
      <c r="AN2099" s="5"/>
      <c r="AO2099" s="5"/>
      <c r="AP2099" s="5"/>
      <c r="AQ2099" s="5"/>
    </row>
    <row r="2100" spans="1:43" x14ac:dyDescent="0.25">
      <c r="A2100" s="161" t="str">
        <f t="shared" si="40"/>
        <v>FW_DRONE_FIGHTER_2_ED</v>
      </c>
      <c r="B2100" s="9" t="s">
        <v>2440</v>
      </c>
      <c r="E2100" s="4" t="s">
        <v>2606</v>
      </c>
      <c r="F2100" s="4" t="s">
        <v>2606</v>
      </c>
      <c r="H2100" s="4" t="s">
        <v>2469</v>
      </c>
      <c r="I2100" s="4" t="s">
        <v>1935</v>
      </c>
      <c r="K2100" s="7">
        <v>1</v>
      </c>
      <c r="Q2100" s="7"/>
      <c r="R2100" s="6"/>
      <c r="S2100" s="13"/>
      <c r="T2100" s="6"/>
      <c r="U2100" s="7"/>
      <c r="V2100" s="5"/>
      <c r="W2100" s="6"/>
      <c r="X2100" s="6"/>
      <c r="Y2100" s="5"/>
      <c r="Z2100" s="7"/>
      <c r="AA2100" s="6"/>
      <c r="AB2100" s="5"/>
      <c r="AC2100" s="6"/>
      <c r="AD2100" s="6"/>
      <c r="AE2100" s="5"/>
      <c r="AF2100" s="7"/>
      <c r="AG2100" s="6"/>
      <c r="AH2100" s="5"/>
      <c r="AI2100" s="6"/>
      <c r="AJ2100" s="6"/>
      <c r="AK2100" s="5"/>
      <c r="AL2100" s="5"/>
      <c r="AM2100" s="5"/>
      <c r="AN2100" s="5"/>
      <c r="AO2100" s="5"/>
      <c r="AP2100" s="5"/>
      <c r="AQ2100" s="5"/>
    </row>
    <row r="2101" spans="1:43" x14ac:dyDescent="0.25">
      <c r="A2101" s="161" t="str">
        <f t="shared" si="40"/>
        <v>FW_DRONE_FIGHTER_2_ED_ASIA</v>
      </c>
      <c r="B2101" s="9" t="s">
        <v>2440</v>
      </c>
      <c r="C2101" s="4" t="s">
        <v>693</v>
      </c>
      <c r="E2101" s="4" t="s">
        <v>2606</v>
      </c>
      <c r="F2101" s="4" t="s">
        <v>2606</v>
      </c>
      <c r="H2101" s="4" t="s">
        <v>2609</v>
      </c>
      <c r="I2101" s="4" t="s">
        <v>1935</v>
      </c>
      <c r="K2101" s="7">
        <v>1</v>
      </c>
      <c r="Q2101" s="7"/>
      <c r="R2101" s="6"/>
      <c r="S2101" s="13"/>
      <c r="T2101" s="6"/>
      <c r="U2101" s="7"/>
      <c r="V2101" s="5"/>
      <c r="W2101" s="6"/>
      <c r="X2101" s="6"/>
      <c r="Y2101" s="5"/>
      <c r="Z2101" s="7"/>
      <c r="AA2101" s="6"/>
      <c r="AB2101" s="5"/>
      <c r="AC2101" s="6"/>
      <c r="AD2101" s="6"/>
      <c r="AE2101" s="5"/>
      <c r="AF2101" s="7"/>
      <c r="AG2101" s="6"/>
      <c r="AH2101" s="5"/>
      <c r="AI2101" s="6"/>
      <c r="AJ2101" s="6"/>
      <c r="AK2101" s="5"/>
      <c r="AL2101" s="5"/>
      <c r="AM2101" s="5"/>
      <c r="AN2101" s="5"/>
      <c r="AO2101" s="5"/>
      <c r="AP2101" s="5"/>
      <c r="AQ2101" s="5"/>
    </row>
    <row r="2102" spans="1:43" x14ac:dyDescent="0.25">
      <c r="A2102" s="161" t="str">
        <f t="shared" si="40"/>
        <v>FW_DRONE_FIGHTER_2_ED_EASTEU</v>
      </c>
      <c r="B2102" s="9" t="s">
        <v>2440</v>
      </c>
      <c r="C2102" s="4" t="s">
        <v>698</v>
      </c>
      <c r="D2102" s="4" t="s">
        <v>689</v>
      </c>
      <c r="E2102" s="4" t="s">
        <v>2606</v>
      </c>
      <c r="F2102" s="4" t="s">
        <v>2606</v>
      </c>
      <c r="K2102" s="7">
        <v>1</v>
      </c>
      <c r="Q2102" s="7"/>
      <c r="R2102" s="6"/>
      <c r="S2102" s="13"/>
      <c r="T2102" s="6"/>
      <c r="U2102" s="7"/>
      <c r="V2102" s="5"/>
      <c r="W2102" s="6"/>
      <c r="X2102" s="6"/>
      <c r="Y2102" s="5"/>
      <c r="Z2102" s="7"/>
      <c r="AA2102" s="6"/>
      <c r="AB2102" s="5"/>
      <c r="AC2102" s="6"/>
      <c r="AD2102" s="6"/>
      <c r="AE2102" s="5"/>
      <c r="AF2102" s="7"/>
      <c r="AG2102" s="6"/>
      <c r="AH2102" s="5"/>
      <c r="AI2102" s="6"/>
      <c r="AJ2102" s="6"/>
      <c r="AK2102" s="5"/>
      <c r="AL2102" s="5"/>
      <c r="AM2102" s="5"/>
      <c r="AN2102" s="5"/>
      <c r="AO2102" s="5"/>
      <c r="AP2102" s="5"/>
      <c r="AQ2102" s="5"/>
    </row>
    <row r="2103" spans="1:43" x14ac:dyDescent="0.25">
      <c r="A2103" s="161" t="str">
        <f t="shared" si="40"/>
        <v>FW_DRONE_FIGHTER_2_ED_EURO</v>
      </c>
      <c r="B2103" s="9" t="s">
        <v>2440</v>
      </c>
      <c r="C2103" s="4" t="s">
        <v>689</v>
      </c>
      <c r="E2103" s="4" t="s">
        <v>2606</v>
      </c>
      <c r="F2103" s="4" t="s">
        <v>2606</v>
      </c>
      <c r="H2103" s="4" t="s">
        <v>2610</v>
      </c>
      <c r="I2103" s="4" t="s">
        <v>1935</v>
      </c>
      <c r="K2103" s="7">
        <v>1</v>
      </c>
      <c r="Q2103" s="7"/>
      <c r="R2103" s="6"/>
      <c r="S2103" s="13"/>
      <c r="T2103" s="6"/>
      <c r="U2103" s="7"/>
      <c r="V2103" s="5"/>
      <c r="W2103" s="6"/>
      <c r="X2103" s="6"/>
      <c r="Y2103" s="5"/>
      <c r="Z2103" s="7"/>
      <c r="AA2103" s="6"/>
      <c r="AB2103" s="5"/>
      <c r="AC2103" s="6"/>
      <c r="AD2103" s="6"/>
      <c r="AE2103" s="5"/>
      <c r="AF2103" s="7"/>
      <c r="AG2103" s="6"/>
      <c r="AH2103" s="5"/>
      <c r="AI2103" s="6"/>
      <c r="AJ2103" s="6"/>
      <c r="AK2103" s="5"/>
      <c r="AL2103" s="5"/>
      <c r="AM2103" s="5"/>
      <c r="AN2103" s="5"/>
      <c r="AO2103" s="5"/>
      <c r="AP2103" s="5"/>
      <c r="AQ2103" s="5"/>
    </row>
    <row r="2104" spans="1:43" x14ac:dyDescent="0.25">
      <c r="A2104" s="161" t="str">
        <f t="shared" si="40"/>
        <v>FW_DRONE_FIGHTER_2_ED_MED</v>
      </c>
      <c r="B2104" s="9" t="s">
        <v>2440</v>
      </c>
      <c r="C2104" s="4" t="s">
        <v>692</v>
      </c>
      <c r="D2104" s="4" t="s">
        <v>689</v>
      </c>
      <c r="E2104" s="4" t="s">
        <v>2606</v>
      </c>
      <c r="F2104" s="4" t="s">
        <v>2606</v>
      </c>
      <c r="K2104" s="7">
        <v>1</v>
      </c>
      <c r="Q2104" s="7"/>
      <c r="R2104" s="6"/>
      <c r="S2104" s="13"/>
      <c r="T2104" s="6"/>
      <c r="U2104" s="7"/>
      <c r="V2104" s="5"/>
      <c r="W2104" s="6"/>
      <c r="X2104" s="6"/>
      <c r="Y2104" s="5"/>
      <c r="Z2104" s="7"/>
      <c r="AA2104" s="6"/>
      <c r="AB2104" s="5"/>
      <c r="AC2104" s="6"/>
      <c r="AD2104" s="6"/>
      <c r="AE2104" s="5"/>
      <c r="AF2104" s="7"/>
      <c r="AG2104" s="6"/>
      <c r="AH2104" s="5"/>
      <c r="AI2104" s="6"/>
      <c r="AJ2104" s="6"/>
      <c r="AK2104" s="5"/>
      <c r="AL2104" s="5"/>
      <c r="AM2104" s="5"/>
      <c r="AN2104" s="5"/>
      <c r="AO2104" s="5"/>
      <c r="AP2104" s="5"/>
      <c r="AQ2104" s="5"/>
    </row>
    <row r="2105" spans="1:43" x14ac:dyDescent="0.25">
      <c r="A2105" s="161" t="str">
        <f t="shared" si="40"/>
        <v>FW_DRONE_FIGHTER_2_ED_NORTHEU</v>
      </c>
      <c r="B2105" s="9" t="s">
        <v>2440</v>
      </c>
      <c r="C2105" s="4" t="s">
        <v>962</v>
      </c>
      <c r="D2105" s="4" t="s">
        <v>689</v>
      </c>
      <c r="E2105" s="4" t="s">
        <v>2606</v>
      </c>
      <c r="F2105" s="4" t="s">
        <v>2606</v>
      </c>
      <c r="K2105" s="7">
        <v>1</v>
      </c>
      <c r="Q2105" s="7"/>
      <c r="R2105" s="6"/>
      <c r="S2105" s="13"/>
      <c r="T2105" s="6"/>
      <c r="U2105" s="7"/>
      <c r="V2105" s="5"/>
      <c r="W2105" s="6"/>
      <c r="X2105" s="6"/>
      <c r="Y2105" s="5"/>
      <c r="Z2105" s="7"/>
      <c r="AA2105" s="6"/>
      <c r="AB2105" s="5"/>
      <c r="AC2105" s="6"/>
      <c r="AD2105" s="6"/>
      <c r="AE2105" s="5"/>
      <c r="AF2105" s="7"/>
      <c r="AG2105" s="6"/>
      <c r="AH2105" s="5"/>
      <c r="AI2105" s="6"/>
      <c r="AJ2105" s="6"/>
      <c r="AK2105" s="5"/>
      <c r="AL2105" s="5"/>
      <c r="AM2105" s="5"/>
      <c r="AN2105" s="5"/>
      <c r="AO2105" s="5"/>
      <c r="AP2105" s="5"/>
      <c r="AQ2105" s="5"/>
    </row>
    <row r="2106" spans="1:43" x14ac:dyDescent="0.25">
      <c r="A2106" s="161" t="str">
        <f t="shared" si="40"/>
        <v>FW_DRONE_FIGHTER_2_ED_SEASIA</v>
      </c>
      <c r="B2106" s="9" t="s">
        <v>2440</v>
      </c>
      <c r="C2106" s="4" t="s">
        <v>696</v>
      </c>
      <c r="D2106" s="4" t="s">
        <v>693</v>
      </c>
      <c r="E2106" s="4" t="s">
        <v>2606</v>
      </c>
      <c r="F2106" s="4" t="s">
        <v>2606</v>
      </c>
      <c r="K2106" s="7">
        <v>1</v>
      </c>
      <c r="Q2106" s="7"/>
      <c r="R2106" s="6"/>
      <c r="S2106" s="13"/>
      <c r="T2106" s="6"/>
      <c r="U2106" s="7"/>
      <c r="V2106" s="5"/>
      <c r="W2106" s="6"/>
      <c r="X2106" s="6"/>
      <c r="Y2106" s="5"/>
      <c r="Z2106" s="7"/>
      <c r="AA2106" s="6"/>
      <c r="AB2106" s="5"/>
      <c r="AC2106" s="6"/>
      <c r="AD2106" s="6"/>
      <c r="AE2106" s="5"/>
      <c r="AF2106" s="7"/>
      <c r="AG2106" s="6"/>
      <c r="AH2106" s="5"/>
      <c r="AI2106" s="6"/>
      <c r="AJ2106" s="6"/>
      <c r="AK2106" s="5"/>
      <c r="AL2106" s="5"/>
      <c r="AM2106" s="5"/>
      <c r="AN2106" s="5"/>
      <c r="AO2106" s="5"/>
      <c r="AP2106" s="5"/>
      <c r="AQ2106" s="5"/>
    </row>
    <row r="2107" spans="1:43" x14ac:dyDescent="0.25">
      <c r="A2107" s="161" t="str">
        <f t="shared" si="40"/>
        <v>FW_DRONE_FIGHTER_2_ED_SOUTHAS</v>
      </c>
      <c r="B2107" s="9" t="s">
        <v>2440</v>
      </c>
      <c r="C2107" s="4" t="s">
        <v>695</v>
      </c>
      <c r="D2107" s="4" t="s">
        <v>693</v>
      </c>
      <c r="E2107" s="4" t="s">
        <v>2606</v>
      </c>
      <c r="F2107" s="4" t="s">
        <v>2606</v>
      </c>
      <c r="K2107" s="7">
        <v>1</v>
      </c>
      <c r="Q2107" s="7"/>
      <c r="R2107" s="6"/>
      <c r="S2107" s="13"/>
      <c r="T2107" s="6"/>
      <c r="U2107" s="7"/>
      <c r="V2107" s="5"/>
      <c r="W2107" s="6"/>
      <c r="X2107" s="6"/>
      <c r="Y2107" s="5"/>
      <c r="Z2107" s="7"/>
      <c r="AA2107" s="6"/>
      <c r="AB2107" s="5"/>
      <c r="AC2107" s="6"/>
      <c r="AD2107" s="6"/>
      <c r="AE2107" s="5"/>
      <c r="AF2107" s="7"/>
      <c r="AG2107" s="6"/>
      <c r="AH2107" s="5"/>
      <c r="AI2107" s="6"/>
      <c r="AJ2107" s="6"/>
      <c r="AK2107" s="5"/>
      <c r="AL2107" s="5"/>
      <c r="AM2107" s="5"/>
      <c r="AN2107" s="5"/>
      <c r="AO2107" s="5"/>
      <c r="AP2107" s="5"/>
      <c r="AQ2107" s="5"/>
    </row>
    <row r="2108" spans="1:43" x14ac:dyDescent="0.25">
      <c r="A2108" s="161" t="str">
        <f t="shared" si="40"/>
        <v>FW_HOVERTANK</v>
      </c>
      <c r="B2108" s="9" t="s">
        <v>2444</v>
      </c>
      <c r="E2108" s="4" t="s">
        <v>2444</v>
      </c>
      <c r="F2108" s="4" t="s">
        <v>2444</v>
      </c>
      <c r="H2108" s="4" t="s">
        <v>2477</v>
      </c>
      <c r="I2108" s="4" t="s">
        <v>128</v>
      </c>
      <c r="K2108" s="7">
        <v>1</v>
      </c>
      <c r="Q2108" s="7">
        <v>1</v>
      </c>
      <c r="R2108" s="6">
        <v>0.1</v>
      </c>
      <c r="S2108" s="13"/>
      <c r="T2108" s="6"/>
      <c r="U2108" s="7"/>
      <c r="V2108" s="5"/>
      <c r="W2108" s="6"/>
      <c r="X2108" s="6"/>
      <c r="Y2108" s="5"/>
      <c r="Z2108" s="7"/>
      <c r="AA2108" s="6"/>
      <c r="AB2108" s="5"/>
      <c r="AC2108" s="6"/>
      <c r="AD2108" s="6"/>
      <c r="AE2108" s="5"/>
      <c r="AF2108" s="7"/>
      <c r="AG2108" s="6"/>
      <c r="AH2108" s="5"/>
      <c r="AI2108" s="6"/>
      <c r="AJ2108" s="6"/>
      <c r="AK2108" s="5"/>
      <c r="AL2108" s="5"/>
      <c r="AM2108" s="5"/>
      <c r="AN2108" s="5"/>
      <c r="AO2108" s="5"/>
      <c r="AP2108" s="5"/>
      <c r="AQ2108" s="5"/>
    </row>
    <row r="2109" spans="1:43" x14ac:dyDescent="0.25">
      <c r="A2109" s="161" t="str">
        <f>CONCATENATE(E2109,IF(ISBLANK(C2109),"",CONCATENATE("_",C2109)))</f>
        <v>FW_HOVERTANK_ED</v>
      </c>
      <c r="B2109" s="9" t="s">
        <v>2444</v>
      </c>
      <c r="E2109" s="4" t="s">
        <v>2596</v>
      </c>
      <c r="F2109" s="4" t="s">
        <v>2596</v>
      </c>
      <c r="H2109" s="4" t="s">
        <v>2477</v>
      </c>
      <c r="I2109" s="4" t="s">
        <v>128</v>
      </c>
      <c r="K2109" s="7">
        <v>1</v>
      </c>
      <c r="Q2109" s="7">
        <v>1</v>
      </c>
      <c r="R2109" s="6">
        <v>0.1</v>
      </c>
      <c r="S2109" s="13"/>
      <c r="T2109" s="6"/>
      <c r="U2109" s="7"/>
      <c r="V2109" s="5"/>
      <c r="W2109" s="6"/>
      <c r="X2109" s="6"/>
      <c r="Y2109" s="5"/>
      <c r="Z2109" s="7"/>
      <c r="AA2109" s="6"/>
      <c r="AB2109" s="5"/>
      <c r="AC2109" s="6"/>
      <c r="AD2109" s="6"/>
      <c r="AE2109" s="5"/>
      <c r="AF2109" s="7"/>
      <c r="AG2109" s="6"/>
      <c r="AH2109" s="5"/>
      <c r="AI2109" s="6"/>
      <c r="AJ2109" s="6"/>
      <c r="AK2109" s="5"/>
      <c r="AL2109" s="5"/>
      <c r="AM2109" s="5"/>
      <c r="AN2109" s="5"/>
      <c r="AO2109" s="5"/>
      <c r="AP2109" s="5"/>
      <c r="AQ2109" s="5"/>
    </row>
    <row r="2110" spans="1:43" x14ac:dyDescent="0.25">
      <c r="A2110" s="161" t="str">
        <f t="shared" si="40"/>
        <v>FW_HOVERTANK_ED_AMER</v>
      </c>
      <c r="B2110" s="9" t="s">
        <v>2444</v>
      </c>
      <c r="C2110" s="4" t="s">
        <v>697</v>
      </c>
      <c r="D2110" s="4" t="s">
        <v>994</v>
      </c>
      <c r="E2110" s="4" t="s">
        <v>2596</v>
      </c>
      <c r="F2110" s="4" t="s">
        <v>2596</v>
      </c>
      <c r="K2110" s="7">
        <v>1</v>
      </c>
      <c r="Q2110" s="7"/>
      <c r="R2110" s="6"/>
      <c r="S2110" s="13"/>
      <c r="T2110" s="6"/>
      <c r="U2110" s="7"/>
      <c r="V2110" s="5"/>
      <c r="W2110" s="6"/>
      <c r="X2110" s="6"/>
      <c r="Y2110" s="5"/>
      <c r="Z2110" s="7"/>
      <c r="AA2110" s="6"/>
      <c r="AB2110" s="5"/>
      <c r="AC2110" s="6"/>
      <c r="AD2110" s="6"/>
      <c r="AE2110" s="5"/>
      <c r="AF2110" s="7"/>
      <c r="AG2110" s="6"/>
      <c r="AH2110" s="5"/>
      <c r="AI2110" s="6"/>
      <c r="AJ2110" s="6"/>
      <c r="AK2110" s="5"/>
      <c r="AL2110" s="5"/>
      <c r="AM2110" s="5"/>
      <c r="AN2110" s="5"/>
      <c r="AO2110" s="5"/>
      <c r="AP2110" s="5"/>
      <c r="AQ2110" s="5"/>
    </row>
    <row r="2111" spans="1:43" x14ac:dyDescent="0.25">
      <c r="A2111" s="161" t="str">
        <f t="shared" si="40"/>
        <v>FW_HOVERTANK_ED_ASIA</v>
      </c>
      <c r="B2111" s="9" t="s">
        <v>2444</v>
      </c>
      <c r="C2111" s="4" t="s">
        <v>693</v>
      </c>
      <c r="E2111" s="4" t="s">
        <v>2596</v>
      </c>
      <c r="F2111" s="4" t="s">
        <v>2596</v>
      </c>
      <c r="H2111" s="4" t="s">
        <v>2478</v>
      </c>
      <c r="I2111" s="4" t="s">
        <v>128</v>
      </c>
      <c r="K2111" s="7">
        <v>1</v>
      </c>
      <c r="Q2111" s="7"/>
      <c r="R2111" s="6"/>
      <c r="S2111" s="13"/>
      <c r="T2111" s="6"/>
      <c r="U2111" s="7"/>
      <c r="V2111" s="5"/>
      <c r="W2111" s="6"/>
      <c r="X2111" s="6"/>
      <c r="Y2111" s="5"/>
      <c r="Z2111" s="7"/>
      <c r="AA2111" s="6"/>
      <c r="AB2111" s="5"/>
      <c r="AC2111" s="6"/>
      <c r="AD2111" s="6"/>
      <c r="AE2111" s="5"/>
      <c r="AF2111" s="7"/>
      <c r="AG2111" s="6"/>
      <c r="AH2111" s="5"/>
      <c r="AI2111" s="6"/>
      <c r="AJ2111" s="6"/>
      <c r="AK2111" s="5"/>
      <c r="AL2111" s="5"/>
      <c r="AM2111" s="5"/>
      <c r="AN2111" s="5"/>
      <c r="AO2111" s="5"/>
      <c r="AP2111" s="5"/>
      <c r="AQ2111" s="5"/>
    </row>
    <row r="2112" spans="1:43" x14ac:dyDescent="0.25">
      <c r="A2112" s="161" t="str">
        <f t="shared" si="40"/>
        <v>FW_HOVERTANK_ED_AMERICA</v>
      </c>
      <c r="B2112" s="9" t="s">
        <v>2444</v>
      </c>
      <c r="C2112" s="4" t="s">
        <v>699</v>
      </c>
      <c r="D2112" s="4" t="s">
        <v>994</v>
      </c>
      <c r="E2112" s="4" t="s">
        <v>2596</v>
      </c>
      <c r="F2112" s="4" t="s">
        <v>2596</v>
      </c>
      <c r="K2112" s="7">
        <v>1</v>
      </c>
      <c r="Q2112" s="7"/>
      <c r="R2112" s="6"/>
      <c r="S2112" s="13"/>
      <c r="T2112" s="6"/>
      <c r="U2112" s="7"/>
      <c r="V2112" s="5"/>
      <c r="W2112" s="6"/>
      <c r="X2112" s="6"/>
      <c r="Y2112" s="5"/>
      <c r="Z2112" s="7"/>
      <c r="AA2112" s="6"/>
      <c r="AB2112" s="5"/>
      <c r="AC2112" s="6"/>
      <c r="AD2112" s="6"/>
      <c r="AE2112" s="5"/>
      <c r="AF2112" s="7"/>
      <c r="AG2112" s="6"/>
      <c r="AH2112" s="5"/>
      <c r="AI2112" s="6"/>
      <c r="AJ2112" s="6"/>
      <c r="AK2112" s="5"/>
      <c r="AL2112" s="5"/>
      <c r="AM2112" s="5"/>
      <c r="AN2112" s="5"/>
      <c r="AO2112" s="5"/>
      <c r="AP2112" s="5"/>
      <c r="AQ2112" s="5"/>
    </row>
    <row r="2113" spans="1:43" x14ac:dyDescent="0.25">
      <c r="A2113" s="161" t="str">
        <f t="shared" si="40"/>
        <v>FW_HOVERTANK_ED_AUSTRALIA</v>
      </c>
      <c r="B2113" s="9" t="s">
        <v>2444</v>
      </c>
      <c r="C2113" s="4" t="s">
        <v>1302</v>
      </c>
      <c r="D2113" s="4" t="s">
        <v>994</v>
      </c>
      <c r="E2113" s="4" t="s">
        <v>2596</v>
      </c>
      <c r="F2113" s="4" t="s">
        <v>2596</v>
      </c>
      <c r="K2113" s="7">
        <v>1</v>
      </c>
      <c r="Q2113" s="7"/>
      <c r="R2113" s="6"/>
      <c r="S2113" s="13"/>
      <c r="T2113" s="6"/>
      <c r="U2113" s="7"/>
      <c r="V2113" s="5"/>
      <c r="W2113" s="6"/>
      <c r="X2113" s="6"/>
      <c r="Y2113" s="5"/>
      <c r="Z2113" s="7"/>
      <c r="AA2113" s="6"/>
      <c r="AB2113" s="5"/>
      <c r="AC2113" s="6"/>
      <c r="AD2113" s="6"/>
      <c r="AE2113" s="5"/>
      <c r="AF2113" s="7"/>
      <c r="AG2113" s="6"/>
      <c r="AH2113" s="5"/>
      <c r="AI2113" s="6"/>
      <c r="AJ2113" s="6"/>
      <c r="AK2113" s="5"/>
      <c r="AL2113" s="5"/>
      <c r="AM2113" s="5"/>
      <c r="AN2113" s="5"/>
      <c r="AO2113" s="5"/>
      <c r="AP2113" s="5"/>
      <c r="AQ2113" s="5"/>
    </row>
    <row r="2114" spans="1:43" x14ac:dyDescent="0.25">
      <c r="A2114" s="161" t="str">
        <f t="shared" si="40"/>
        <v>FW_HOVERTANK_ED_CANADA</v>
      </c>
      <c r="B2114" s="9" t="s">
        <v>2444</v>
      </c>
      <c r="C2114" s="4" t="s">
        <v>2209</v>
      </c>
      <c r="D2114" s="4" t="s">
        <v>994</v>
      </c>
      <c r="E2114" s="4" t="s">
        <v>2596</v>
      </c>
      <c r="F2114" s="4" t="s">
        <v>2596</v>
      </c>
      <c r="K2114" s="7">
        <v>1</v>
      </c>
      <c r="Q2114" s="7"/>
      <c r="R2114" s="6"/>
      <c r="S2114" s="13"/>
      <c r="T2114" s="6"/>
      <c r="U2114" s="7"/>
      <c r="V2114" s="5"/>
      <c r="W2114" s="6"/>
      <c r="X2114" s="6"/>
      <c r="Y2114" s="5"/>
      <c r="Z2114" s="7"/>
      <c r="AA2114" s="6"/>
      <c r="AB2114" s="5"/>
      <c r="AC2114" s="6"/>
      <c r="AD2114" s="6"/>
      <c r="AE2114" s="5"/>
      <c r="AF2114" s="7"/>
      <c r="AG2114" s="6"/>
      <c r="AH2114" s="5"/>
      <c r="AI2114" s="6"/>
      <c r="AJ2114" s="6"/>
      <c r="AK2114" s="5"/>
      <c r="AL2114" s="5"/>
      <c r="AM2114" s="5"/>
      <c r="AN2114" s="5"/>
      <c r="AO2114" s="5"/>
      <c r="AP2114" s="5"/>
      <c r="AQ2114" s="5"/>
    </row>
    <row r="2115" spans="1:43" x14ac:dyDescent="0.25">
      <c r="A2115" s="161" t="str">
        <f t="shared" si="40"/>
        <v>FW_HOVERTANK_ED_OCEAN</v>
      </c>
      <c r="B2115" s="9" t="s">
        <v>2444</v>
      </c>
      <c r="C2115" s="4" t="s">
        <v>994</v>
      </c>
      <c r="E2115" s="4" t="s">
        <v>2596</v>
      </c>
      <c r="F2115" s="4" t="s">
        <v>2596</v>
      </c>
      <c r="H2115" s="4" t="s">
        <v>2479</v>
      </c>
      <c r="I2115" s="4" t="s">
        <v>128</v>
      </c>
      <c r="K2115" s="7">
        <v>1</v>
      </c>
      <c r="Q2115" s="7"/>
      <c r="R2115" s="6"/>
      <c r="S2115" s="13"/>
      <c r="T2115" s="6"/>
      <c r="U2115" s="7"/>
      <c r="V2115" s="5"/>
      <c r="W2115" s="6"/>
      <c r="X2115" s="6"/>
      <c r="Y2115" s="5"/>
      <c r="Z2115" s="7"/>
      <c r="AA2115" s="6"/>
      <c r="AB2115" s="5"/>
      <c r="AC2115" s="6"/>
      <c r="AD2115" s="6"/>
      <c r="AE2115" s="5"/>
      <c r="AF2115" s="7"/>
      <c r="AG2115" s="6"/>
      <c r="AH2115" s="5"/>
      <c r="AI2115" s="6"/>
      <c r="AJ2115" s="6"/>
      <c r="AK2115" s="5"/>
      <c r="AL2115" s="5"/>
      <c r="AM2115" s="5"/>
      <c r="AN2115" s="5"/>
      <c r="AO2115" s="5"/>
      <c r="AP2115" s="5"/>
      <c r="AQ2115" s="5"/>
    </row>
    <row r="2116" spans="1:43" x14ac:dyDescent="0.25">
      <c r="A2116" s="161" t="str">
        <f t="shared" si="40"/>
        <v>FW_HOVERTANK_ED_SEASIA</v>
      </c>
      <c r="B2116" s="9" t="s">
        <v>2444</v>
      </c>
      <c r="C2116" s="4" t="s">
        <v>696</v>
      </c>
      <c r="D2116" s="4" t="s">
        <v>693</v>
      </c>
      <c r="E2116" s="4" t="s">
        <v>2596</v>
      </c>
      <c r="F2116" s="4" t="s">
        <v>2596</v>
      </c>
      <c r="K2116" s="7">
        <v>1</v>
      </c>
      <c r="Q2116" s="7"/>
      <c r="R2116" s="6"/>
      <c r="S2116" s="13"/>
      <c r="T2116" s="6"/>
      <c r="U2116" s="7"/>
      <c r="V2116" s="5"/>
      <c r="W2116" s="6"/>
      <c r="X2116" s="6"/>
      <c r="Y2116" s="5"/>
      <c r="Z2116" s="7"/>
      <c r="AA2116" s="6"/>
      <c r="AB2116" s="5"/>
      <c r="AC2116" s="6"/>
      <c r="AD2116" s="6"/>
      <c r="AE2116" s="5"/>
      <c r="AF2116" s="7"/>
      <c r="AG2116" s="6"/>
      <c r="AH2116" s="5"/>
      <c r="AI2116" s="6"/>
      <c r="AJ2116" s="6"/>
      <c r="AK2116" s="5"/>
      <c r="AL2116" s="5"/>
      <c r="AM2116" s="5"/>
      <c r="AN2116" s="5"/>
      <c r="AO2116" s="5"/>
      <c r="AP2116" s="5"/>
      <c r="AQ2116" s="5"/>
    </row>
    <row r="2117" spans="1:43" x14ac:dyDescent="0.25">
      <c r="A2117" s="161" t="str">
        <f t="shared" si="40"/>
        <v>FW_HOVERTANK_ED_SOUTHAM</v>
      </c>
      <c r="B2117" s="9" t="s">
        <v>2444</v>
      </c>
      <c r="C2117" s="4" t="s">
        <v>691</v>
      </c>
      <c r="D2117" s="4" t="s">
        <v>994</v>
      </c>
      <c r="E2117" s="4" t="s">
        <v>2596</v>
      </c>
      <c r="F2117" s="4" t="s">
        <v>2596</v>
      </c>
      <c r="K2117" s="7">
        <v>1</v>
      </c>
      <c r="Q2117" s="7"/>
      <c r="R2117" s="6"/>
      <c r="S2117" s="13"/>
      <c r="T2117" s="6"/>
      <c r="U2117" s="7"/>
      <c r="V2117" s="5"/>
      <c r="W2117" s="6"/>
      <c r="X2117" s="6"/>
      <c r="Y2117" s="5"/>
      <c r="Z2117" s="7"/>
      <c r="AA2117" s="6"/>
      <c r="AB2117" s="5"/>
      <c r="AC2117" s="6"/>
      <c r="AD2117" s="6"/>
      <c r="AE2117" s="5"/>
      <c r="AF2117" s="7"/>
      <c r="AG2117" s="6"/>
      <c r="AH2117" s="5"/>
      <c r="AI2117" s="6"/>
      <c r="AJ2117" s="6"/>
      <c r="AK2117" s="5"/>
      <c r="AL2117" s="5"/>
      <c r="AM2117" s="5"/>
      <c r="AN2117" s="5"/>
      <c r="AO2117" s="5"/>
      <c r="AP2117" s="5"/>
      <c r="AQ2117" s="5"/>
    </row>
    <row r="2118" spans="1:43" x14ac:dyDescent="0.25">
      <c r="A2118" s="161" t="str">
        <f t="shared" si="40"/>
        <v>FW_HOVERTANK_ED_SOUTHAS</v>
      </c>
      <c r="B2118" s="9" t="s">
        <v>2444</v>
      </c>
      <c r="C2118" s="4" t="s">
        <v>695</v>
      </c>
      <c r="D2118" s="4" t="s">
        <v>693</v>
      </c>
      <c r="E2118" s="4" t="s">
        <v>2596</v>
      </c>
      <c r="F2118" s="4" t="s">
        <v>2596</v>
      </c>
      <c r="K2118" s="7">
        <v>1</v>
      </c>
      <c r="Q2118" s="7"/>
      <c r="R2118" s="6"/>
      <c r="S2118" s="13"/>
      <c r="T2118" s="6"/>
      <c r="U2118" s="7"/>
      <c r="V2118" s="5"/>
      <c r="W2118" s="6"/>
      <c r="X2118" s="6"/>
      <c r="Y2118" s="5"/>
      <c r="Z2118" s="7"/>
      <c r="AA2118" s="6"/>
      <c r="AB2118" s="5"/>
      <c r="AC2118" s="6"/>
      <c r="AD2118" s="6"/>
      <c r="AE2118" s="5"/>
      <c r="AF2118" s="7"/>
      <c r="AG2118" s="6"/>
      <c r="AH2118" s="5"/>
      <c r="AI2118" s="6"/>
      <c r="AJ2118" s="6"/>
      <c r="AK2118" s="5"/>
      <c r="AL2118" s="5"/>
      <c r="AM2118" s="5"/>
      <c r="AN2118" s="5"/>
      <c r="AO2118" s="5"/>
      <c r="AP2118" s="5"/>
      <c r="AQ2118" s="5"/>
    </row>
    <row r="2119" spans="1:43" x14ac:dyDescent="0.25">
      <c r="A2119" s="161" t="str">
        <f t="shared" si="40"/>
        <v>FW_HYBRID_DRONE</v>
      </c>
      <c r="B2119" s="9" t="s">
        <v>2439</v>
      </c>
      <c r="E2119" s="4" t="s">
        <v>2439</v>
      </c>
      <c r="F2119" s="4" t="s">
        <v>2439</v>
      </c>
      <c r="H2119" s="4" t="s">
        <v>2468</v>
      </c>
      <c r="I2119" s="4" t="s">
        <v>1935</v>
      </c>
      <c r="K2119" s="7">
        <v>1</v>
      </c>
      <c r="Q2119" s="7">
        <v>1</v>
      </c>
      <c r="R2119" s="6">
        <v>0.09</v>
      </c>
      <c r="S2119" s="13" t="s">
        <v>1621</v>
      </c>
      <c r="T2119" s="6"/>
      <c r="U2119" s="7"/>
      <c r="V2119" s="5"/>
      <c r="W2119" s="6"/>
      <c r="X2119" s="6"/>
      <c r="Y2119" s="5"/>
      <c r="Z2119" s="7"/>
      <c r="AA2119" s="6"/>
      <c r="AB2119" s="5"/>
      <c r="AC2119" s="6"/>
      <c r="AD2119" s="6"/>
      <c r="AE2119" s="5"/>
      <c r="AF2119" s="7"/>
      <c r="AG2119" s="6"/>
      <c r="AH2119" s="5"/>
      <c r="AI2119" s="6"/>
      <c r="AJ2119" s="6"/>
      <c r="AK2119" s="5"/>
      <c r="AL2119" s="5"/>
      <c r="AM2119" s="5"/>
      <c r="AN2119" s="5"/>
      <c r="AO2119" s="5"/>
      <c r="AP2119" s="5"/>
      <c r="AQ2119" s="5"/>
    </row>
    <row r="2120" spans="1:43" x14ac:dyDescent="0.25">
      <c r="A2120" s="161" t="str">
        <f t="shared" si="40"/>
        <v>FW_HYBRID_DRONE_ED</v>
      </c>
      <c r="B2120" s="9" t="s">
        <v>2439</v>
      </c>
      <c r="E2120" s="4" t="s">
        <v>2613</v>
      </c>
      <c r="F2120" s="4" t="s">
        <v>2613</v>
      </c>
      <c r="H2120" s="4" t="s">
        <v>2468</v>
      </c>
      <c r="I2120" s="4" t="s">
        <v>1935</v>
      </c>
      <c r="K2120" s="7">
        <v>1</v>
      </c>
      <c r="Q2120" s="7"/>
      <c r="R2120" s="6"/>
      <c r="S2120" s="13"/>
      <c r="T2120" s="6"/>
      <c r="U2120" s="7"/>
      <c r="V2120" s="5"/>
      <c r="W2120" s="6"/>
      <c r="X2120" s="6"/>
      <c r="Y2120" s="5"/>
      <c r="Z2120" s="7"/>
      <c r="AA2120" s="6"/>
      <c r="AB2120" s="5"/>
      <c r="AC2120" s="6"/>
      <c r="AD2120" s="6"/>
      <c r="AE2120" s="5"/>
      <c r="AF2120" s="7"/>
      <c r="AG2120" s="6"/>
      <c r="AH2120" s="5"/>
      <c r="AI2120" s="6"/>
      <c r="AJ2120" s="6"/>
      <c r="AK2120" s="5"/>
      <c r="AL2120" s="5"/>
      <c r="AM2120" s="5"/>
      <c r="AN2120" s="5"/>
      <c r="AO2120" s="5"/>
      <c r="AP2120" s="5"/>
      <c r="AQ2120" s="5"/>
    </row>
    <row r="2121" spans="1:43" x14ac:dyDescent="0.25">
      <c r="A2121" s="161" t="str">
        <f t="shared" si="40"/>
        <v>FW_HYBRID_DRONE_ED_ASIA</v>
      </c>
      <c r="B2121" s="9" t="s">
        <v>2439</v>
      </c>
      <c r="C2121" s="4" t="s">
        <v>693</v>
      </c>
      <c r="E2121" s="4" t="s">
        <v>2613</v>
      </c>
      <c r="F2121" s="4" t="s">
        <v>2613</v>
      </c>
      <c r="H2121" s="4" t="s">
        <v>2611</v>
      </c>
      <c r="I2121" s="4" t="s">
        <v>1935</v>
      </c>
      <c r="K2121" s="7">
        <v>1</v>
      </c>
      <c r="Q2121" s="7"/>
      <c r="R2121" s="6"/>
      <c r="S2121" s="13"/>
      <c r="T2121" s="6"/>
      <c r="U2121" s="7"/>
      <c r="V2121" s="5"/>
      <c r="W2121" s="6"/>
      <c r="X2121" s="6"/>
      <c r="Y2121" s="5"/>
      <c r="Z2121" s="7"/>
      <c r="AA2121" s="6"/>
      <c r="AB2121" s="5"/>
      <c r="AC2121" s="6"/>
      <c r="AD2121" s="6"/>
      <c r="AE2121" s="5"/>
      <c r="AF2121" s="7"/>
      <c r="AG2121" s="6"/>
      <c r="AH2121" s="5"/>
      <c r="AI2121" s="6"/>
      <c r="AJ2121" s="6"/>
      <c r="AK2121" s="5"/>
      <c r="AL2121" s="5"/>
      <c r="AM2121" s="5"/>
      <c r="AN2121" s="5"/>
      <c r="AO2121" s="5"/>
      <c r="AP2121" s="5"/>
      <c r="AQ2121" s="5"/>
    </row>
    <row r="2122" spans="1:43" x14ac:dyDescent="0.25">
      <c r="A2122" s="161" t="str">
        <f t="shared" si="40"/>
        <v>FW_HYBRID_DRONE_ED_EASTEU</v>
      </c>
      <c r="B2122" s="9" t="s">
        <v>2439</v>
      </c>
      <c r="C2122" s="4" t="s">
        <v>698</v>
      </c>
      <c r="D2122" s="4" t="s">
        <v>689</v>
      </c>
      <c r="E2122" s="4" t="s">
        <v>2613</v>
      </c>
      <c r="F2122" s="4" t="s">
        <v>2613</v>
      </c>
      <c r="K2122" s="7">
        <v>1</v>
      </c>
      <c r="Q2122" s="7"/>
      <c r="R2122" s="6"/>
      <c r="S2122" s="13"/>
      <c r="T2122" s="6"/>
      <c r="U2122" s="7"/>
      <c r="V2122" s="5"/>
      <c r="W2122" s="6"/>
      <c r="X2122" s="6"/>
      <c r="Y2122" s="5"/>
      <c r="Z2122" s="7"/>
      <c r="AA2122" s="6"/>
      <c r="AB2122" s="5"/>
      <c r="AC2122" s="6"/>
      <c r="AD2122" s="6"/>
      <c r="AE2122" s="5"/>
      <c r="AF2122" s="7"/>
      <c r="AG2122" s="6"/>
      <c r="AH2122" s="5"/>
      <c r="AI2122" s="6"/>
      <c r="AJ2122" s="6"/>
      <c r="AK2122" s="5"/>
      <c r="AL2122" s="5"/>
      <c r="AM2122" s="5"/>
      <c r="AN2122" s="5"/>
      <c r="AO2122" s="5"/>
      <c r="AP2122" s="5"/>
      <c r="AQ2122" s="5"/>
    </row>
    <row r="2123" spans="1:43" x14ac:dyDescent="0.25">
      <c r="A2123" s="161" t="str">
        <f t="shared" si="40"/>
        <v>FW_HYBRID_DRONE_ED_EURO</v>
      </c>
      <c r="B2123" s="9" t="s">
        <v>2439</v>
      </c>
      <c r="C2123" s="4" t="s">
        <v>689</v>
      </c>
      <c r="E2123" s="4" t="s">
        <v>2613</v>
      </c>
      <c r="F2123" s="4" t="s">
        <v>2613</v>
      </c>
      <c r="H2123" s="4" t="s">
        <v>2612</v>
      </c>
      <c r="I2123" s="4" t="s">
        <v>1935</v>
      </c>
      <c r="K2123" s="7">
        <v>1</v>
      </c>
      <c r="Q2123" s="7"/>
      <c r="R2123" s="6"/>
      <c r="S2123" s="13"/>
      <c r="T2123" s="6"/>
      <c r="U2123" s="7"/>
      <c r="V2123" s="5"/>
      <c r="W2123" s="6"/>
      <c r="X2123" s="6"/>
      <c r="Y2123" s="5"/>
      <c r="Z2123" s="7"/>
      <c r="AA2123" s="6"/>
      <c r="AB2123" s="5"/>
      <c r="AC2123" s="6"/>
      <c r="AD2123" s="6"/>
      <c r="AE2123" s="5"/>
      <c r="AF2123" s="7"/>
      <c r="AG2123" s="6"/>
      <c r="AH2123" s="5"/>
      <c r="AI2123" s="6"/>
      <c r="AJ2123" s="6"/>
      <c r="AK2123" s="5"/>
      <c r="AL2123" s="5"/>
      <c r="AM2123" s="5"/>
      <c r="AN2123" s="5"/>
      <c r="AO2123" s="5"/>
      <c r="AP2123" s="5"/>
      <c r="AQ2123" s="5"/>
    </row>
    <row r="2124" spans="1:43" x14ac:dyDescent="0.25">
      <c r="A2124" s="161" t="str">
        <f t="shared" si="40"/>
        <v>FW_HYBRID_DRONE_ED_MED</v>
      </c>
      <c r="B2124" s="9" t="s">
        <v>2439</v>
      </c>
      <c r="C2124" s="4" t="s">
        <v>692</v>
      </c>
      <c r="D2124" s="4" t="s">
        <v>689</v>
      </c>
      <c r="E2124" s="4" t="s">
        <v>2613</v>
      </c>
      <c r="F2124" s="4" t="s">
        <v>2613</v>
      </c>
      <c r="K2124" s="7">
        <v>1</v>
      </c>
      <c r="Q2124" s="7"/>
      <c r="R2124" s="6"/>
      <c r="S2124" s="13"/>
      <c r="T2124" s="6"/>
      <c r="U2124" s="7"/>
      <c r="V2124" s="5"/>
      <c r="W2124" s="6"/>
      <c r="X2124" s="6"/>
      <c r="Y2124" s="5"/>
      <c r="Z2124" s="7"/>
      <c r="AA2124" s="6"/>
      <c r="AB2124" s="5"/>
      <c r="AC2124" s="6"/>
      <c r="AD2124" s="6"/>
      <c r="AE2124" s="5"/>
      <c r="AF2124" s="7"/>
      <c r="AG2124" s="6"/>
      <c r="AH2124" s="5"/>
      <c r="AI2124" s="6"/>
      <c r="AJ2124" s="6"/>
      <c r="AK2124" s="5"/>
      <c r="AL2124" s="5"/>
      <c r="AM2124" s="5"/>
      <c r="AN2124" s="5"/>
      <c r="AO2124" s="5"/>
      <c r="AP2124" s="5"/>
      <c r="AQ2124" s="5"/>
    </row>
    <row r="2125" spans="1:43" x14ac:dyDescent="0.25">
      <c r="A2125" s="161" t="str">
        <f t="shared" si="40"/>
        <v>FW_HYBRID_DRONE_ED_NORTHEU</v>
      </c>
      <c r="B2125" s="9" t="s">
        <v>2439</v>
      </c>
      <c r="C2125" s="4" t="s">
        <v>962</v>
      </c>
      <c r="D2125" s="4" t="s">
        <v>689</v>
      </c>
      <c r="E2125" s="4" t="s">
        <v>2613</v>
      </c>
      <c r="F2125" s="4" t="s">
        <v>2613</v>
      </c>
      <c r="K2125" s="7">
        <v>1</v>
      </c>
      <c r="Q2125" s="7"/>
      <c r="R2125" s="6"/>
      <c r="S2125" s="13"/>
      <c r="T2125" s="6"/>
      <c r="U2125" s="7"/>
      <c r="V2125" s="5"/>
      <c r="W2125" s="6"/>
      <c r="X2125" s="6"/>
      <c r="Y2125" s="5"/>
      <c r="Z2125" s="7"/>
      <c r="AA2125" s="6"/>
      <c r="AB2125" s="5"/>
      <c r="AC2125" s="6"/>
      <c r="AD2125" s="6"/>
      <c r="AE2125" s="5"/>
      <c r="AF2125" s="7"/>
      <c r="AG2125" s="6"/>
      <c r="AH2125" s="5"/>
      <c r="AI2125" s="6"/>
      <c r="AJ2125" s="6"/>
      <c r="AK2125" s="5"/>
      <c r="AL2125" s="5"/>
      <c r="AM2125" s="5"/>
      <c r="AN2125" s="5"/>
      <c r="AO2125" s="5"/>
      <c r="AP2125" s="5"/>
      <c r="AQ2125" s="5"/>
    </row>
    <row r="2126" spans="1:43" x14ac:dyDescent="0.25">
      <c r="A2126" s="161" t="str">
        <f t="shared" si="40"/>
        <v>FW_HYBRID_DRONE_ED_SEASIA</v>
      </c>
      <c r="B2126" s="9" t="s">
        <v>2439</v>
      </c>
      <c r="C2126" s="4" t="s">
        <v>696</v>
      </c>
      <c r="D2126" s="4" t="s">
        <v>693</v>
      </c>
      <c r="E2126" s="4" t="s">
        <v>2613</v>
      </c>
      <c r="F2126" s="4" t="s">
        <v>2613</v>
      </c>
      <c r="K2126" s="7">
        <v>1</v>
      </c>
      <c r="Q2126" s="7"/>
      <c r="R2126" s="6"/>
      <c r="S2126" s="13"/>
      <c r="T2126" s="6"/>
      <c r="U2126" s="7"/>
      <c r="V2126" s="5"/>
      <c r="W2126" s="6"/>
      <c r="X2126" s="6"/>
      <c r="Y2126" s="5"/>
      <c r="Z2126" s="7"/>
      <c r="AA2126" s="6"/>
      <c r="AB2126" s="5"/>
      <c r="AC2126" s="6"/>
      <c r="AD2126" s="6"/>
      <c r="AE2126" s="5"/>
      <c r="AF2126" s="7"/>
      <c r="AG2126" s="6"/>
      <c r="AH2126" s="5"/>
      <c r="AI2126" s="6"/>
      <c r="AJ2126" s="6"/>
      <c r="AK2126" s="5"/>
      <c r="AL2126" s="5"/>
      <c r="AM2126" s="5"/>
      <c r="AN2126" s="5"/>
      <c r="AO2126" s="5"/>
      <c r="AP2126" s="5"/>
      <c r="AQ2126" s="5"/>
    </row>
    <row r="2127" spans="1:43" x14ac:dyDescent="0.25">
      <c r="A2127" s="161" t="str">
        <f t="shared" si="40"/>
        <v>FW_HYBRID_DRONE_ED_SOUTHAS</v>
      </c>
      <c r="B2127" s="9" t="s">
        <v>2439</v>
      </c>
      <c r="C2127" s="4" t="s">
        <v>695</v>
      </c>
      <c r="D2127" s="4" t="s">
        <v>693</v>
      </c>
      <c r="E2127" s="4" t="s">
        <v>2613</v>
      </c>
      <c r="F2127" s="4" t="s">
        <v>2613</v>
      </c>
      <c r="K2127" s="7">
        <v>1</v>
      </c>
      <c r="Q2127" s="7"/>
      <c r="R2127" s="6"/>
      <c r="S2127" s="13"/>
      <c r="T2127" s="6"/>
      <c r="U2127" s="7"/>
      <c r="V2127" s="5"/>
      <c r="W2127" s="6"/>
      <c r="X2127" s="6"/>
      <c r="Y2127" s="5"/>
      <c r="Z2127" s="7"/>
      <c r="AA2127" s="6"/>
      <c r="AB2127" s="5"/>
      <c r="AC2127" s="6"/>
      <c r="AD2127" s="6"/>
      <c r="AE2127" s="5"/>
      <c r="AF2127" s="7"/>
      <c r="AG2127" s="6"/>
      <c r="AH2127" s="5"/>
      <c r="AI2127" s="6"/>
      <c r="AJ2127" s="6"/>
      <c r="AK2127" s="5"/>
      <c r="AL2127" s="5"/>
      <c r="AM2127" s="5"/>
      <c r="AN2127" s="5"/>
      <c r="AO2127" s="5"/>
      <c r="AP2127" s="5"/>
      <c r="AQ2127" s="5"/>
    </row>
    <row r="2128" spans="1:43" x14ac:dyDescent="0.25">
      <c r="A2128" s="161" t="str">
        <f t="shared" si="40"/>
        <v>FW_HYDRA</v>
      </c>
      <c r="B2128" s="9" t="s">
        <v>2453</v>
      </c>
      <c r="E2128" s="4" t="s">
        <v>2453</v>
      </c>
      <c r="F2128" s="4" t="s">
        <v>2453</v>
      </c>
      <c r="H2128" s="4" t="s">
        <v>2491</v>
      </c>
      <c r="I2128" s="4" t="s">
        <v>1935</v>
      </c>
      <c r="K2128" s="7">
        <v>1</v>
      </c>
      <c r="Q2128" s="7">
        <v>1</v>
      </c>
      <c r="R2128" s="6">
        <v>6</v>
      </c>
      <c r="S2128" s="13"/>
      <c r="T2128" s="6"/>
      <c r="U2128" s="7"/>
      <c r="V2128" s="5"/>
      <c r="W2128" s="6"/>
      <c r="X2128" s="6"/>
      <c r="Y2128" s="5"/>
      <c r="Z2128" s="7"/>
      <c r="AA2128" s="6"/>
      <c r="AB2128" s="5"/>
      <c r="AC2128" s="6"/>
      <c r="AD2128" s="6"/>
      <c r="AE2128" s="5"/>
      <c r="AF2128" s="7"/>
      <c r="AG2128" s="6"/>
      <c r="AH2128" s="5"/>
      <c r="AI2128" s="6"/>
      <c r="AJ2128" s="6"/>
      <c r="AK2128" s="5"/>
      <c r="AL2128" s="5"/>
      <c r="AM2128" s="5"/>
      <c r="AN2128" s="5"/>
      <c r="AO2128" s="5"/>
      <c r="AP2128" s="5"/>
      <c r="AQ2128" s="5"/>
    </row>
    <row r="2129" spans="1:43" x14ac:dyDescent="0.25">
      <c r="A2129" s="161" t="str">
        <f t="shared" si="40"/>
        <v>FW_MECH_ARTILLERY</v>
      </c>
      <c r="B2129" s="9" t="s">
        <v>2458</v>
      </c>
      <c r="E2129" s="4" t="s">
        <v>2458</v>
      </c>
      <c r="F2129" s="4" t="s">
        <v>2458</v>
      </c>
      <c r="H2129" s="4" t="s">
        <v>2498</v>
      </c>
      <c r="I2129" s="4" t="s">
        <v>1935</v>
      </c>
      <c r="K2129" s="7">
        <v>1</v>
      </c>
      <c r="Q2129" s="7">
        <v>2</v>
      </c>
      <c r="R2129" s="6">
        <v>0.09</v>
      </c>
      <c r="S2129" s="13" t="s">
        <v>1613</v>
      </c>
      <c r="T2129" s="6"/>
      <c r="U2129" s="7"/>
      <c r="V2129" s="5"/>
      <c r="W2129" s="6"/>
      <c r="X2129" s="6"/>
      <c r="Y2129" s="5"/>
      <c r="Z2129" s="7"/>
      <c r="AA2129" s="6"/>
      <c r="AB2129" s="5"/>
      <c r="AC2129" s="6"/>
      <c r="AD2129" s="6"/>
      <c r="AE2129" s="5"/>
      <c r="AF2129" s="7"/>
      <c r="AG2129" s="6"/>
      <c r="AH2129" s="5"/>
      <c r="AI2129" s="6"/>
      <c r="AJ2129" s="6"/>
      <c r="AK2129" s="5"/>
      <c r="AL2129" s="5"/>
      <c r="AM2129" s="5"/>
      <c r="AN2129" s="5"/>
      <c r="AO2129" s="5"/>
      <c r="AP2129" s="5"/>
      <c r="AQ2129" s="5"/>
    </row>
    <row r="2130" spans="1:43" x14ac:dyDescent="0.25">
      <c r="A2130" s="161" t="str">
        <f t="shared" si="40"/>
        <v>FW_MISSILE_DESTROYER</v>
      </c>
      <c r="B2130" s="9" t="s">
        <v>2449</v>
      </c>
      <c r="E2130" s="4" t="s">
        <v>2449</v>
      </c>
      <c r="F2130" s="4" t="s">
        <v>2449</v>
      </c>
      <c r="H2130" s="4" t="s">
        <v>2484</v>
      </c>
      <c r="I2130" s="4" t="s">
        <v>2581</v>
      </c>
      <c r="K2130" s="7">
        <v>1</v>
      </c>
      <c r="Q2130" s="7">
        <v>1</v>
      </c>
      <c r="R2130" s="6">
        <v>0.09</v>
      </c>
      <c r="S2130" s="13"/>
      <c r="T2130" s="6"/>
      <c r="U2130" s="7"/>
      <c r="V2130" s="5"/>
      <c r="W2130" s="6"/>
      <c r="X2130" s="6"/>
      <c r="Y2130" s="5"/>
      <c r="Z2130" s="7"/>
      <c r="AA2130" s="6"/>
      <c r="AB2130" s="5"/>
      <c r="AC2130" s="6"/>
      <c r="AD2130" s="6"/>
      <c r="AE2130" s="5"/>
      <c r="AF2130" s="7"/>
      <c r="AG2130" s="6"/>
      <c r="AH2130" s="5"/>
      <c r="AI2130" s="6"/>
      <c r="AJ2130" s="6"/>
      <c r="AK2130" s="5"/>
      <c r="AL2130" s="5"/>
      <c r="AM2130" s="5"/>
      <c r="AN2130" s="5"/>
      <c r="AO2130" s="5"/>
      <c r="AP2130" s="5"/>
      <c r="AQ2130" s="5"/>
    </row>
    <row r="2131" spans="1:43" x14ac:dyDescent="0.25">
      <c r="A2131" s="161" t="str">
        <f>CONCATENATE(E2131,IF(ISBLANK(C2131),"",CONCATENATE("_",C2131)))</f>
        <v>FW_MUTANT</v>
      </c>
      <c r="B2131" s="9" t="s">
        <v>2514</v>
      </c>
      <c r="E2131" s="4" t="s">
        <v>2436</v>
      </c>
      <c r="F2131" s="4" t="s">
        <v>2436</v>
      </c>
      <c r="H2131" s="4" t="s">
        <v>2437</v>
      </c>
      <c r="I2131" s="4" t="s">
        <v>2511</v>
      </c>
      <c r="K2131" s="7">
        <v>1</v>
      </c>
      <c r="Q2131" s="7">
        <v>6</v>
      </c>
      <c r="R2131" s="6">
        <v>0.16</v>
      </c>
      <c r="S2131" s="13" t="s">
        <v>1620</v>
      </c>
      <c r="T2131" s="6"/>
      <c r="U2131" s="7"/>
      <c r="V2131" s="5"/>
      <c r="W2131" s="6"/>
      <c r="X2131" s="6"/>
      <c r="Y2131" s="5"/>
      <c r="Z2131" s="7"/>
      <c r="AA2131" s="6"/>
      <c r="AB2131" s="5"/>
      <c r="AC2131" s="6"/>
      <c r="AD2131" s="6"/>
      <c r="AE2131" s="5"/>
      <c r="AF2131" s="7"/>
      <c r="AG2131" s="6"/>
      <c r="AH2131" s="5"/>
      <c r="AI2131" s="6"/>
      <c r="AJ2131" s="6"/>
      <c r="AK2131" s="5"/>
      <c r="AL2131" s="5"/>
      <c r="AM2131" s="5"/>
      <c r="AN2131" s="5"/>
      <c r="AO2131" s="5"/>
      <c r="AP2131" s="5"/>
      <c r="AQ2131" s="5"/>
    </row>
    <row r="2132" spans="1:43" x14ac:dyDescent="0.25">
      <c r="A2132" s="161" t="str">
        <f t="shared" si="40"/>
        <v>FW_NANOHIVE</v>
      </c>
      <c r="B2132" s="9" t="s">
        <v>2460</v>
      </c>
      <c r="E2132" s="4" t="s">
        <v>2460</v>
      </c>
      <c r="F2132" s="4" t="s">
        <v>2460</v>
      </c>
      <c r="H2132" s="4" t="s">
        <v>2492</v>
      </c>
      <c r="I2132" s="4" t="s">
        <v>2583</v>
      </c>
      <c r="K2132" s="7">
        <v>1</v>
      </c>
      <c r="Q2132" s="7">
        <v>3</v>
      </c>
      <c r="R2132" s="6">
        <v>0.05</v>
      </c>
      <c r="S2132" s="13" t="s">
        <v>1611</v>
      </c>
      <c r="T2132" s="6"/>
      <c r="U2132" s="7"/>
      <c r="V2132" s="5"/>
      <c r="W2132" s="6"/>
      <c r="X2132" s="6"/>
      <c r="Y2132" s="5"/>
      <c r="Z2132" s="7"/>
      <c r="AA2132" s="6"/>
      <c r="AB2132" s="5"/>
      <c r="AC2132" s="6"/>
      <c r="AD2132" s="6"/>
      <c r="AE2132" s="5"/>
      <c r="AF2132" s="7"/>
      <c r="AG2132" s="6"/>
      <c r="AH2132" s="5"/>
      <c r="AI2132" s="6"/>
      <c r="AJ2132" s="6"/>
      <c r="AK2132" s="5"/>
      <c r="AL2132" s="5"/>
      <c r="AM2132" s="5"/>
      <c r="AN2132" s="5"/>
      <c r="AO2132" s="5"/>
      <c r="AP2132" s="5"/>
      <c r="AQ2132" s="5"/>
    </row>
    <row r="2133" spans="1:43" x14ac:dyDescent="0.25">
      <c r="A2133" s="161" t="str">
        <f t="shared" si="40"/>
        <v>FW_NANOHIVE_ED</v>
      </c>
      <c r="B2133" s="9" t="s">
        <v>2460</v>
      </c>
      <c r="E2133" s="4" t="s">
        <v>2614</v>
      </c>
      <c r="F2133" s="4" t="s">
        <v>2614</v>
      </c>
      <c r="H2133" s="4" t="s">
        <v>2492</v>
      </c>
      <c r="I2133" s="4" t="s">
        <v>2583</v>
      </c>
      <c r="K2133" s="7">
        <v>1</v>
      </c>
      <c r="Q2133" s="7"/>
      <c r="R2133" s="6"/>
      <c r="S2133" s="13"/>
      <c r="T2133" s="6"/>
      <c r="U2133" s="7"/>
      <c r="V2133" s="5"/>
      <c r="W2133" s="6"/>
      <c r="X2133" s="6"/>
      <c r="Y2133" s="5"/>
      <c r="Z2133" s="7"/>
      <c r="AA2133" s="6"/>
      <c r="AB2133" s="5"/>
      <c r="AC2133" s="6"/>
      <c r="AD2133" s="6"/>
      <c r="AE2133" s="5"/>
      <c r="AF2133" s="7"/>
      <c r="AG2133" s="6"/>
      <c r="AH2133" s="5"/>
      <c r="AI2133" s="6"/>
      <c r="AJ2133" s="6"/>
      <c r="AK2133" s="5"/>
      <c r="AL2133" s="5"/>
      <c r="AM2133" s="5"/>
      <c r="AN2133" s="5"/>
      <c r="AO2133" s="5"/>
      <c r="AP2133" s="5"/>
      <c r="AQ2133" s="5"/>
    </row>
    <row r="2134" spans="1:43" x14ac:dyDescent="0.25">
      <c r="A2134" s="161" t="str">
        <f t="shared" si="40"/>
        <v>FW_NANOHIVE_ED_AMER</v>
      </c>
      <c r="B2134" s="9" t="s">
        <v>2460</v>
      </c>
      <c r="C2134" s="4" t="s">
        <v>697</v>
      </c>
      <c r="D2134" s="4" t="s">
        <v>994</v>
      </c>
      <c r="E2134" s="4" t="s">
        <v>2614</v>
      </c>
      <c r="F2134" s="4" t="s">
        <v>2614</v>
      </c>
      <c r="K2134" s="7">
        <v>1</v>
      </c>
      <c r="Q2134" s="7"/>
      <c r="R2134" s="6"/>
      <c r="S2134" s="13"/>
      <c r="T2134" s="6"/>
      <c r="U2134" s="7"/>
      <c r="V2134" s="5"/>
      <c r="W2134" s="6"/>
      <c r="X2134" s="6"/>
      <c r="Y2134" s="5"/>
      <c r="Z2134" s="7"/>
      <c r="AA2134" s="6"/>
      <c r="AB2134" s="5"/>
      <c r="AC2134" s="6"/>
      <c r="AD2134" s="6"/>
      <c r="AE2134" s="5"/>
      <c r="AF2134" s="7"/>
      <c r="AG2134" s="6"/>
      <c r="AH2134" s="5"/>
      <c r="AI2134" s="6"/>
      <c r="AJ2134" s="6"/>
      <c r="AK2134" s="5"/>
      <c r="AL2134" s="5"/>
      <c r="AM2134" s="5"/>
      <c r="AN2134" s="5"/>
      <c r="AO2134" s="5"/>
      <c r="AP2134" s="5"/>
      <c r="AQ2134" s="5"/>
    </row>
    <row r="2135" spans="1:43" x14ac:dyDescent="0.25">
      <c r="A2135" s="161" t="str">
        <f t="shared" si="40"/>
        <v>FW_NANOHIVE_ED_EASTEU</v>
      </c>
      <c r="B2135" s="9" t="s">
        <v>2460</v>
      </c>
      <c r="C2135" s="4" t="s">
        <v>698</v>
      </c>
      <c r="D2135" s="4" t="s">
        <v>689</v>
      </c>
      <c r="E2135" s="4" t="s">
        <v>2614</v>
      </c>
      <c r="F2135" s="4" t="s">
        <v>2614</v>
      </c>
      <c r="K2135" s="7">
        <v>1</v>
      </c>
      <c r="Q2135" s="7"/>
      <c r="R2135" s="6"/>
      <c r="S2135" s="13"/>
      <c r="T2135" s="6"/>
      <c r="U2135" s="7"/>
      <c r="V2135" s="5"/>
      <c r="W2135" s="6"/>
      <c r="X2135" s="6"/>
      <c r="Y2135" s="5"/>
      <c r="Z2135" s="7"/>
      <c r="AA2135" s="6"/>
      <c r="AB2135" s="5"/>
      <c r="AC2135" s="6"/>
      <c r="AD2135" s="6"/>
      <c r="AE2135" s="5"/>
      <c r="AF2135" s="7"/>
      <c r="AG2135" s="6"/>
      <c r="AH2135" s="5"/>
      <c r="AI2135" s="6"/>
      <c r="AJ2135" s="6"/>
      <c r="AK2135" s="5"/>
      <c r="AL2135" s="5"/>
      <c r="AM2135" s="5"/>
      <c r="AN2135" s="5"/>
      <c r="AO2135" s="5"/>
      <c r="AP2135" s="5"/>
      <c r="AQ2135" s="5"/>
    </row>
    <row r="2136" spans="1:43" x14ac:dyDescent="0.25">
      <c r="A2136" s="161" t="str">
        <f t="shared" si="40"/>
        <v>FW_NANOHIVE_ED_EURO</v>
      </c>
      <c r="B2136" s="9" t="s">
        <v>2460</v>
      </c>
      <c r="C2136" s="4" t="s">
        <v>689</v>
      </c>
      <c r="E2136" s="4" t="s">
        <v>2614</v>
      </c>
      <c r="F2136" s="4" t="s">
        <v>2614</v>
      </c>
      <c r="H2136" s="4" t="s">
        <v>2615</v>
      </c>
      <c r="I2136" s="4" t="s">
        <v>1935</v>
      </c>
      <c r="K2136" s="7">
        <v>1</v>
      </c>
      <c r="Q2136" s="7"/>
      <c r="R2136" s="6"/>
      <c r="S2136" s="13"/>
      <c r="T2136" s="6"/>
      <c r="U2136" s="7"/>
      <c r="V2136" s="5"/>
      <c r="W2136" s="6"/>
      <c r="X2136" s="6"/>
      <c r="Y2136" s="5"/>
      <c r="Z2136" s="7"/>
      <c r="AA2136" s="6"/>
      <c r="AB2136" s="5"/>
      <c r="AC2136" s="6"/>
      <c r="AD2136" s="6"/>
      <c r="AE2136" s="5"/>
      <c r="AF2136" s="7"/>
      <c r="AG2136" s="6"/>
      <c r="AH2136" s="5"/>
      <c r="AI2136" s="6"/>
      <c r="AJ2136" s="6"/>
      <c r="AK2136" s="5"/>
      <c r="AL2136" s="5"/>
      <c r="AM2136" s="5"/>
      <c r="AN2136" s="5"/>
      <c r="AO2136" s="5"/>
      <c r="AP2136" s="5"/>
      <c r="AQ2136" s="5"/>
    </row>
    <row r="2137" spans="1:43" x14ac:dyDescent="0.25">
      <c r="A2137" s="161" t="str">
        <f t="shared" si="40"/>
        <v>FW_NANOHIVE_ED_AMERICA</v>
      </c>
      <c r="B2137" s="9" t="s">
        <v>2460</v>
      </c>
      <c r="C2137" s="4" t="s">
        <v>699</v>
      </c>
      <c r="D2137" s="4" t="s">
        <v>994</v>
      </c>
      <c r="E2137" s="4" t="s">
        <v>2614</v>
      </c>
      <c r="F2137" s="4" t="s">
        <v>2614</v>
      </c>
      <c r="K2137" s="7">
        <v>1</v>
      </c>
      <c r="Q2137" s="7"/>
      <c r="R2137" s="6"/>
      <c r="S2137" s="13"/>
      <c r="T2137" s="6"/>
      <c r="U2137" s="7"/>
      <c r="V2137" s="5"/>
      <c r="W2137" s="6"/>
      <c r="X2137" s="6"/>
      <c r="Y2137" s="5"/>
      <c r="Z2137" s="7"/>
      <c r="AA2137" s="6"/>
      <c r="AB2137" s="5"/>
      <c r="AC2137" s="6"/>
      <c r="AD2137" s="6"/>
      <c r="AE2137" s="5"/>
      <c r="AF2137" s="7"/>
      <c r="AG2137" s="6"/>
      <c r="AH2137" s="5"/>
      <c r="AI2137" s="6"/>
      <c r="AJ2137" s="6"/>
      <c r="AK2137" s="5"/>
      <c r="AL2137" s="5"/>
      <c r="AM2137" s="5"/>
      <c r="AN2137" s="5"/>
      <c r="AO2137" s="5"/>
      <c r="AP2137" s="5"/>
      <c r="AQ2137" s="5"/>
    </row>
    <row r="2138" spans="1:43" x14ac:dyDescent="0.25">
      <c r="A2138" s="161" t="str">
        <f t="shared" si="40"/>
        <v>FW_NANOHIVE_ED_AUSTRALIA</v>
      </c>
      <c r="B2138" s="9" t="s">
        <v>2460</v>
      </c>
      <c r="C2138" s="4" t="s">
        <v>1302</v>
      </c>
      <c r="D2138" s="4" t="s">
        <v>994</v>
      </c>
      <c r="E2138" s="4" t="s">
        <v>2614</v>
      </c>
      <c r="F2138" s="4" t="s">
        <v>2614</v>
      </c>
      <c r="K2138" s="7">
        <v>1</v>
      </c>
      <c r="Q2138" s="7"/>
      <c r="R2138" s="6"/>
      <c r="S2138" s="13"/>
      <c r="T2138" s="6"/>
      <c r="U2138" s="7"/>
      <c r="V2138" s="5"/>
      <c r="W2138" s="6"/>
      <c r="X2138" s="6"/>
      <c r="Y2138" s="5"/>
      <c r="Z2138" s="7"/>
      <c r="AA2138" s="6"/>
      <c r="AB2138" s="5"/>
      <c r="AC2138" s="6"/>
      <c r="AD2138" s="6"/>
      <c r="AE2138" s="5"/>
      <c r="AF2138" s="7"/>
      <c r="AG2138" s="6"/>
      <c r="AH2138" s="5"/>
      <c r="AI2138" s="6"/>
      <c r="AJ2138" s="6"/>
      <c r="AK2138" s="5"/>
      <c r="AL2138" s="5"/>
      <c r="AM2138" s="5"/>
      <c r="AN2138" s="5"/>
      <c r="AO2138" s="5"/>
      <c r="AP2138" s="5"/>
      <c r="AQ2138" s="5"/>
    </row>
    <row r="2139" spans="1:43" x14ac:dyDescent="0.25">
      <c r="A2139" s="161" t="str">
        <f t="shared" si="40"/>
        <v>FW_NANOHIVE_ED_MED</v>
      </c>
      <c r="B2139" s="9" t="s">
        <v>2460</v>
      </c>
      <c r="C2139" s="4" t="s">
        <v>692</v>
      </c>
      <c r="D2139" s="4" t="s">
        <v>689</v>
      </c>
      <c r="E2139" s="4" t="s">
        <v>2614</v>
      </c>
      <c r="F2139" s="4" t="s">
        <v>2614</v>
      </c>
      <c r="K2139" s="7">
        <v>1</v>
      </c>
      <c r="Q2139" s="7"/>
      <c r="R2139" s="6"/>
      <c r="S2139" s="13"/>
      <c r="T2139" s="6"/>
      <c r="U2139" s="7"/>
      <c r="V2139" s="5"/>
      <c r="W2139" s="6"/>
      <c r="X2139" s="6"/>
      <c r="Y2139" s="5"/>
      <c r="Z2139" s="7"/>
      <c r="AA2139" s="6"/>
      <c r="AB2139" s="5"/>
      <c r="AC2139" s="6"/>
      <c r="AD2139" s="6"/>
      <c r="AE2139" s="5"/>
      <c r="AF2139" s="7"/>
      <c r="AG2139" s="6"/>
      <c r="AH2139" s="5"/>
      <c r="AI2139" s="6"/>
      <c r="AJ2139" s="6"/>
      <c r="AK2139" s="5"/>
      <c r="AL2139" s="5"/>
      <c r="AM2139" s="5"/>
      <c r="AN2139" s="5"/>
      <c r="AO2139" s="5"/>
      <c r="AP2139" s="5"/>
      <c r="AQ2139" s="5"/>
    </row>
    <row r="2140" spans="1:43" x14ac:dyDescent="0.25">
      <c r="A2140" s="161" t="str">
        <f t="shared" si="40"/>
        <v>FW_NANOHIVE_ED_NORTHEU</v>
      </c>
      <c r="B2140" s="9" t="s">
        <v>2460</v>
      </c>
      <c r="C2140" s="4" t="s">
        <v>962</v>
      </c>
      <c r="D2140" s="4" t="s">
        <v>689</v>
      </c>
      <c r="E2140" s="4" t="s">
        <v>2614</v>
      </c>
      <c r="F2140" s="4" t="s">
        <v>2614</v>
      </c>
      <c r="K2140" s="7">
        <v>1</v>
      </c>
      <c r="Q2140" s="7"/>
      <c r="R2140" s="6"/>
      <c r="S2140" s="13"/>
      <c r="T2140" s="6"/>
      <c r="U2140" s="7"/>
      <c r="V2140" s="5"/>
      <c r="W2140" s="6"/>
      <c r="X2140" s="6"/>
      <c r="Y2140" s="5"/>
      <c r="Z2140" s="7"/>
      <c r="AA2140" s="6"/>
      <c r="AB2140" s="5"/>
      <c r="AC2140" s="6"/>
      <c r="AD2140" s="6"/>
      <c r="AE2140" s="5"/>
      <c r="AF2140" s="7"/>
      <c r="AG2140" s="6"/>
      <c r="AH2140" s="5"/>
      <c r="AI2140" s="6"/>
      <c r="AJ2140" s="6"/>
      <c r="AK2140" s="5"/>
      <c r="AL2140" s="5"/>
      <c r="AM2140" s="5"/>
      <c r="AN2140" s="5"/>
      <c r="AO2140" s="5"/>
      <c r="AP2140" s="5"/>
      <c r="AQ2140" s="5"/>
    </row>
    <row r="2141" spans="1:43" x14ac:dyDescent="0.25">
      <c r="A2141" s="161" t="str">
        <f t="shared" si="40"/>
        <v>FW_NANOHIVE_ED_OCEAN</v>
      </c>
      <c r="B2141" s="9" t="s">
        <v>2460</v>
      </c>
      <c r="C2141" s="4" t="s">
        <v>994</v>
      </c>
      <c r="E2141" s="4" t="s">
        <v>2614</v>
      </c>
      <c r="F2141" s="4" t="s">
        <v>2614</v>
      </c>
      <c r="H2141" s="4" t="s">
        <v>2616</v>
      </c>
      <c r="I2141" s="4" t="s">
        <v>1935</v>
      </c>
      <c r="K2141" s="7">
        <v>1</v>
      </c>
      <c r="Q2141" s="7"/>
      <c r="R2141" s="6"/>
      <c r="S2141" s="13"/>
      <c r="T2141" s="6"/>
      <c r="U2141" s="7"/>
      <c r="V2141" s="5"/>
      <c r="W2141" s="6"/>
      <c r="X2141" s="6"/>
      <c r="Y2141" s="5"/>
      <c r="Z2141" s="7"/>
      <c r="AA2141" s="6"/>
      <c r="AB2141" s="5"/>
      <c r="AC2141" s="6"/>
      <c r="AD2141" s="6"/>
      <c r="AE2141" s="5"/>
      <c r="AF2141" s="7"/>
      <c r="AG2141" s="6"/>
      <c r="AH2141" s="5"/>
      <c r="AI2141" s="6"/>
      <c r="AJ2141" s="6"/>
      <c r="AK2141" s="5"/>
      <c r="AL2141" s="5"/>
      <c r="AM2141" s="5"/>
      <c r="AN2141" s="5"/>
      <c r="AO2141" s="5"/>
      <c r="AP2141" s="5"/>
      <c r="AQ2141" s="5"/>
    </row>
    <row r="2142" spans="1:43" x14ac:dyDescent="0.25">
      <c r="A2142" s="161" t="str">
        <f t="shared" si="40"/>
        <v>FW_NANOHIVE_ED_SOUTHAM</v>
      </c>
      <c r="B2142" s="9" t="s">
        <v>2460</v>
      </c>
      <c r="C2142" s="4" t="s">
        <v>691</v>
      </c>
      <c r="D2142" s="4" t="s">
        <v>994</v>
      </c>
      <c r="E2142" s="4" t="s">
        <v>2614</v>
      </c>
      <c r="F2142" s="4" t="s">
        <v>2614</v>
      </c>
      <c r="K2142" s="7">
        <v>1</v>
      </c>
      <c r="Q2142" s="7"/>
      <c r="R2142" s="6"/>
      <c r="S2142" s="13"/>
      <c r="T2142" s="6"/>
      <c r="U2142" s="7"/>
      <c r="V2142" s="5"/>
      <c r="W2142" s="6"/>
      <c r="X2142" s="6"/>
      <c r="Y2142" s="5"/>
      <c r="Z2142" s="7"/>
      <c r="AA2142" s="6"/>
      <c r="AB2142" s="5"/>
      <c r="AC2142" s="6"/>
      <c r="AD2142" s="6"/>
      <c r="AE2142" s="5"/>
      <c r="AF2142" s="7"/>
      <c r="AG2142" s="6"/>
      <c r="AH2142" s="5"/>
      <c r="AI2142" s="6"/>
      <c r="AJ2142" s="6"/>
      <c r="AK2142" s="5"/>
      <c r="AL2142" s="5"/>
      <c r="AM2142" s="5"/>
      <c r="AN2142" s="5"/>
      <c r="AO2142" s="5"/>
      <c r="AP2142" s="5"/>
      <c r="AQ2142" s="5"/>
    </row>
    <row r="2143" spans="1:43" x14ac:dyDescent="0.25">
      <c r="A2143" s="161" t="str">
        <f t="shared" si="40"/>
        <v>FW_NEODESTROYER</v>
      </c>
      <c r="B2143" s="9" t="s">
        <v>2446</v>
      </c>
      <c r="E2143" s="4" t="s">
        <v>2446</v>
      </c>
      <c r="F2143" s="4" t="s">
        <v>2446</v>
      </c>
      <c r="H2143" s="4" t="s">
        <v>2481</v>
      </c>
      <c r="I2143" s="4" t="s">
        <v>1935</v>
      </c>
      <c r="K2143" s="7">
        <v>1</v>
      </c>
      <c r="Q2143" s="7">
        <v>1</v>
      </c>
      <c r="R2143" s="6">
        <v>0.11</v>
      </c>
      <c r="S2143" s="13"/>
      <c r="T2143" s="6"/>
      <c r="U2143" s="7"/>
      <c r="V2143" s="5"/>
      <c r="W2143" s="6"/>
      <c r="X2143" s="6"/>
      <c r="Y2143" s="5"/>
      <c r="Z2143" s="7"/>
      <c r="AA2143" s="6"/>
      <c r="AB2143" s="5"/>
      <c r="AC2143" s="6"/>
      <c r="AD2143" s="6"/>
      <c r="AE2143" s="5"/>
      <c r="AF2143" s="7"/>
      <c r="AG2143" s="6"/>
      <c r="AH2143" s="5"/>
      <c r="AI2143" s="6"/>
      <c r="AJ2143" s="6"/>
      <c r="AK2143" s="5"/>
      <c r="AL2143" s="5"/>
      <c r="AM2143" s="5"/>
      <c r="AN2143" s="5"/>
      <c r="AO2143" s="5"/>
      <c r="AP2143" s="5"/>
      <c r="AQ2143" s="5"/>
    </row>
    <row r="2144" spans="1:43" x14ac:dyDescent="0.25">
      <c r="A2144" s="161" t="str">
        <f t="shared" si="40"/>
        <v>FW_NEXUS</v>
      </c>
      <c r="B2144" s="9" t="s">
        <v>2461</v>
      </c>
      <c r="E2144" s="4" t="s">
        <v>2461</v>
      </c>
      <c r="F2144" s="4" t="s">
        <v>2461</v>
      </c>
      <c r="H2144" s="4" t="s">
        <v>2493</v>
      </c>
      <c r="I2144" s="4" t="s">
        <v>1935</v>
      </c>
      <c r="K2144" s="7">
        <v>1</v>
      </c>
      <c r="Q2144" s="7">
        <v>1</v>
      </c>
      <c r="R2144" s="6">
        <v>0.15</v>
      </c>
      <c r="S2144" s="13"/>
      <c r="T2144" s="6"/>
      <c r="U2144" s="7"/>
      <c r="V2144" s="5"/>
      <c r="W2144" s="6"/>
      <c r="X2144" s="6"/>
      <c r="Y2144" s="5"/>
      <c r="Z2144" s="7"/>
      <c r="AA2144" s="6"/>
      <c r="AB2144" s="5"/>
      <c r="AC2144" s="6"/>
      <c r="AD2144" s="6"/>
      <c r="AE2144" s="5"/>
      <c r="AF2144" s="7"/>
      <c r="AG2144" s="6"/>
      <c r="AH2144" s="5"/>
      <c r="AI2144" s="6"/>
      <c r="AJ2144" s="6"/>
      <c r="AK2144" s="5"/>
      <c r="AL2144" s="5"/>
      <c r="AM2144" s="5"/>
      <c r="AN2144" s="5"/>
      <c r="AO2144" s="5"/>
      <c r="AP2144" s="5"/>
      <c r="AQ2144" s="5"/>
    </row>
    <row r="2145" spans="1:43" x14ac:dyDescent="0.25">
      <c r="A2145" s="161" t="str">
        <f t="shared" si="40"/>
        <v>FW_RAILGUN_TANK</v>
      </c>
      <c r="B2145" s="9" t="s">
        <v>2442</v>
      </c>
      <c r="E2145" s="4" t="s">
        <v>2442</v>
      </c>
      <c r="F2145" s="4" t="s">
        <v>2442</v>
      </c>
      <c r="H2145" s="4" t="s">
        <v>2471</v>
      </c>
      <c r="I2145" s="4" t="s">
        <v>1935</v>
      </c>
      <c r="K2145" s="7">
        <v>1</v>
      </c>
      <c r="Q2145" s="7">
        <v>2</v>
      </c>
      <c r="R2145" s="6">
        <v>0.1</v>
      </c>
      <c r="S2145" s="13" t="s">
        <v>1623</v>
      </c>
      <c r="T2145" s="6"/>
      <c r="U2145" s="7"/>
      <c r="V2145" s="5"/>
      <c r="W2145" s="6"/>
      <c r="X2145" s="6"/>
      <c r="Y2145" s="5"/>
      <c r="Z2145" s="7"/>
      <c r="AA2145" s="6"/>
      <c r="AB2145" s="5"/>
      <c r="AC2145" s="6"/>
      <c r="AD2145" s="6"/>
      <c r="AE2145" s="5"/>
      <c r="AF2145" s="7"/>
      <c r="AG2145" s="6"/>
      <c r="AH2145" s="5"/>
      <c r="AI2145" s="6"/>
      <c r="AJ2145" s="6"/>
      <c r="AK2145" s="5"/>
      <c r="AL2145" s="5"/>
      <c r="AM2145" s="5"/>
      <c r="AN2145" s="5"/>
      <c r="AO2145" s="5"/>
      <c r="AP2145" s="5"/>
      <c r="AQ2145" s="5"/>
    </row>
    <row r="2146" spans="1:43" x14ac:dyDescent="0.25">
      <c r="A2146" s="161" t="str">
        <f>CONCATENATE(E2146,IF(ISBLANK(C2146),"",CONCATENATE("_",C2146)))</f>
        <v>FW_RAILGUN_TANK_ED</v>
      </c>
      <c r="B2146" s="9" t="s">
        <v>2442</v>
      </c>
      <c r="E2146" s="4" t="s">
        <v>2595</v>
      </c>
      <c r="F2146" s="4" t="s">
        <v>2595</v>
      </c>
      <c r="H2146" s="4" t="s">
        <v>2471</v>
      </c>
      <c r="I2146" s="4" t="s">
        <v>1935</v>
      </c>
      <c r="K2146" s="7">
        <v>1</v>
      </c>
      <c r="Q2146" s="7">
        <v>2</v>
      </c>
      <c r="R2146" s="6">
        <v>0.1</v>
      </c>
      <c r="S2146" s="13" t="s">
        <v>1623</v>
      </c>
      <c r="T2146" s="6"/>
      <c r="U2146" s="7"/>
      <c r="V2146" s="5"/>
      <c r="W2146" s="6"/>
      <c r="X2146" s="6"/>
      <c r="Y2146" s="5"/>
      <c r="Z2146" s="7"/>
      <c r="AA2146" s="6"/>
      <c r="AB2146" s="5"/>
      <c r="AC2146" s="6"/>
      <c r="AD2146" s="6"/>
      <c r="AE2146" s="5"/>
      <c r="AF2146" s="7"/>
      <c r="AG2146" s="6"/>
      <c r="AH2146" s="5"/>
      <c r="AI2146" s="6"/>
      <c r="AJ2146" s="6"/>
      <c r="AK2146" s="5"/>
      <c r="AL2146" s="5"/>
      <c r="AM2146" s="5"/>
      <c r="AN2146" s="5"/>
      <c r="AO2146" s="5"/>
      <c r="AP2146" s="5"/>
      <c r="AQ2146" s="5"/>
    </row>
    <row r="2147" spans="1:43" x14ac:dyDescent="0.25">
      <c r="A2147" s="161" t="str">
        <f t="shared" si="40"/>
        <v>FW_RAILGUN_TANK_ED_AMER</v>
      </c>
      <c r="B2147" s="9" t="s">
        <v>2442</v>
      </c>
      <c r="C2147" s="4" t="s">
        <v>697</v>
      </c>
      <c r="D2147" s="4" t="s">
        <v>994</v>
      </c>
      <c r="E2147" s="4" t="s">
        <v>2595</v>
      </c>
      <c r="F2147" s="4" t="s">
        <v>2595</v>
      </c>
      <c r="K2147" s="7">
        <v>1</v>
      </c>
      <c r="Q2147" s="7"/>
      <c r="R2147" s="6"/>
      <c r="S2147" s="13"/>
      <c r="T2147" s="6"/>
      <c r="U2147" s="7"/>
      <c r="V2147" s="5"/>
      <c r="W2147" s="6"/>
      <c r="X2147" s="6"/>
      <c r="Y2147" s="5"/>
      <c r="Z2147" s="7"/>
      <c r="AA2147" s="6"/>
      <c r="AB2147" s="5"/>
      <c r="AC2147" s="6"/>
      <c r="AD2147" s="6"/>
      <c r="AE2147" s="5"/>
      <c r="AF2147" s="7"/>
      <c r="AG2147" s="6"/>
      <c r="AH2147" s="5"/>
      <c r="AI2147" s="6"/>
      <c r="AJ2147" s="6"/>
      <c r="AK2147" s="5"/>
      <c r="AL2147" s="5"/>
      <c r="AM2147" s="5"/>
      <c r="AN2147" s="5"/>
      <c r="AO2147" s="5"/>
      <c r="AP2147" s="5"/>
      <c r="AQ2147" s="5"/>
    </row>
    <row r="2148" spans="1:43" x14ac:dyDescent="0.25">
      <c r="A2148" s="161" t="str">
        <f t="shared" si="40"/>
        <v>FW_RAILGUN_TANK_ED_ASIA</v>
      </c>
      <c r="B2148" s="9" t="s">
        <v>2442</v>
      </c>
      <c r="C2148" s="4" t="s">
        <v>693</v>
      </c>
      <c r="E2148" s="4" t="s">
        <v>2595</v>
      </c>
      <c r="F2148" s="4" t="s">
        <v>2595</v>
      </c>
      <c r="H2148" s="4" t="s">
        <v>2472</v>
      </c>
      <c r="I2148" s="4" t="s">
        <v>1935</v>
      </c>
      <c r="K2148" s="7">
        <v>1</v>
      </c>
      <c r="Q2148" s="7"/>
      <c r="R2148" s="6"/>
      <c r="S2148" s="13"/>
      <c r="T2148" s="6"/>
      <c r="U2148" s="7"/>
      <c r="V2148" s="5"/>
      <c r="W2148" s="6"/>
      <c r="X2148" s="6"/>
      <c r="Y2148" s="5"/>
      <c r="Z2148" s="7"/>
      <c r="AA2148" s="6"/>
      <c r="AB2148" s="5"/>
      <c r="AC2148" s="6"/>
      <c r="AD2148" s="6"/>
      <c r="AE2148" s="5"/>
      <c r="AF2148" s="7"/>
      <c r="AG2148" s="6"/>
      <c r="AH2148" s="5"/>
      <c r="AI2148" s="6"/>
      <c r="AJ2148" s="6"/>
      <c r="AK2148" s="5"/>
      <c r="AL2148" s="5"/>
      <c r="AM2148" s="5"/>
      <c r="AN2148" s="5"/>
      <c r="AO2148" s="5"/>
      <c r="AP2148" s="5"/>
      <c r="AQ2148" s="5"/>
    </row>
    <row r="2149" spans="1:43" x14ac:dyDescent="0.25">
      <c r="A2149" s="161" t="str">
        <f t="shared" si="40"/>
        <v>FW_RAILGUN_TANK_ED_AMERICA</v>
      </c>
      <c r="B2149" s="9" t="s">
        <v>2442</v>
      </c>
      <c r="C2149" s="4" t="s">
        <v>699</v>
      </c>
      <c r="D2149" s="4" t="s">
        <v>994</v>
      </c>
      <c r="E2149" s="4" t="s">
        <v>2595</v>
      </c>
      <c r="F2149" s="4" t="s">
        <v>2595</v>
      </c>
      <c r="K2149" s="7">
        <v>1</v>
      </c>
      <c r="Q2149" s="7"/>
      <c r="R2149" s="6"/>
      <c r="S2149" s="13"/>
      <c r="T2149" s="6"/>
      <c r="U2149" s="7"/>
      <c r="V2149" s="5"/>
      <c r="W2149" s="6"/>
      <c r="X2149" s="6"/>
      <c r="Y2149" s="5"/>
      <c r="Z2149" s="7"/>
      <c r="AA2149" s="6"/>
      <c r="AB2149" s="5"/>
      <c r="AC2149" s="6"/>
      <c r="AD2149" s="6"/>
      <c r="AE2149" s="5"/>
      <c r="AF2149" s="7"/>
      <c r="AG2149" s="6"/>
      <c r="AH2149" s="5"/>
      <c r="AI2149" s="6"/>
      <c r="AJ2149" s="6"/>
      <c r="AK2149" s="5"/>
      <c r="AL2149" s="5"/>
      <c r="AM2149" s="5"/>
      <c r="AN2149" s="5"/>
      <c r="AO2149" s="5"/>
      <c r="AP2149" s="5"/>
      <c r="AQ2149" s="5"/>
    </row>
    <row r="2150" spans="1:43" x14ac:dyDescent="0.25">
      <c r="A2150" s="161" t="str">
        <f t="shared" si="40"/>
        <v>FW_RAILGUN_TANK_ED_AUSTRALIA</v>
      </c>
      <c r="B2150" s="9" t="s">
        <v>2442</v>
      </c>
      <c r="C2150" s="4" t="s">
        <v>1302</v>
      </c>
      <c r="D2150" s="4" t="s">
        <v>994</v>
      </c>
      <c r="E2150" s="4" t="s">
        <v>2595</v>
      </c>
      <c r="F2150" s="4" t="s">
        <v>2595</v>
      </c>
      <c r="K2150" s="7">
        <v>1</v>
      </c>
      <c r="Q2150" s="7"/>
      <c r="R2150" s="6"/>
      <c r="S2150" s="13"/>
      <c r="T2150" s="6"/>
      <c r="U2150" s="7"/>
      <c r="V2150" s="5"/>
      <c r="W2150" s="6"/>
      <c r="X2150" s="6"/>
      <c r="Y2150" s="5"/>
      <c r="Z2150" s="7"/>
      <c r="AA2150" s="6"/>
      <c r="AB2150" s="5"/>
      <c r="AC2150" s="6"/>
      <c r="AD2150" s="6"/>
      <c r="AE2150" s="5"/>
      <c r="AF2150" s="7"/>
      <c r="AG2150" s="6"/>
      <c r="AH2150" s="5"/>
      <c r="AI2150" s="6"/>
      <c r="AJ2150" s="6"/>
      <c r="AK2150" s="5"/>
      <c r="AL2150" s="5"/>
      <c r="AM2150" s="5"/>
      <c r="AN2150" s="5"/>
      <c r="AO2150" s="5"/>
      <c r="AP2150" s="5"/>
      <c r="AQ2150" s="5"/>
    </row>
    <row r="2151" spans="1:43" x14ac:dyDescent="0.25">
      <c r="A2151" s="161" t="str">
        <f t="shared" si="40"/>
        <v>FW_RAILGUN_TANK_ED_OCEAN</v>
      </c>
      <c r="B2151" s="9" t="s">
        <v>2442</v>
      </c>
      <c r="C2151" s="4" t="s">
        <v>994</v>
      </c>
      <c r="E2151" s="4" t="s">
        <v>2595</v>
      </c>
      <c r="F2151" s="4" t="s">
        <v>2595</v>
      </c>
      <c r="H2151" s="4" t="s">
        <v>2473</v>
      </c>
      <c r="I2151" s="4" t="s">
        <v>1935</v>
      </c>
      <c r="K2151" s="7">
        <v>1</v>
      </c>
      <c r="Q2151" s="7"/>
      <c r="R2151" s="6"/>
      <c r="S2151" s="13"/>
      <c r="T2151" s="6"/>
      <c r="U2151" s="7"/>
      <c r="V2151" s="5"/>
      <c r="W2151" s="6"/>
      <c r="X2151" s="6"/>
      <c r="Y2151" s="5"/>
      <c r="Z2151" s="7"/>
      <c r="AA2151" s="6"/>
      <c r="AB2151" s="5"/>
      <c r="AC2151" s="6"/>
      <c r="AD2151" s="6"/>
      <c r="AE2151" s="5"/>
      <c r="AF2151" s="7"/>
      <c r="AG2151" s="6"/>
      <c r="AH2151" s="5"/>
      <c r="AI2151" s="6"/>
      <c r="AJ2151" s="6"/>
      <c r="AK2151" s="5"/>
      <c r="AL2151" s="5"/>
      <c r="AM2151" s="5"/>
      <c r="AN2151" s="5"/>
      <c r="AO2151" s="5"/>
      <c r="AP2151" s="5"/>
      <c r="AQ2151" s="5"/>
    </row>
    <row r="2152" spans="1:43" x14ac:dyDescent="0.25">
      <c r="A2152" s="161" t="str">
        <f t="shared" si="40"/>
        <v>FW_RAILGUN_TANK_ED_SEASIA</v>
      </c>
      <c r="B2152" s="9" t="s">
        <v>2442</v>
      </c>
      <c r="C2152" s="4" t="s">
        <v>696</v>
      </c>
      <c r="D2152" s="4" t="s">
        <v>693</v>
      </c>
      <c r="E2152" s="4" t="s">
        <v>2595</v>
      </c>
      <c r="F2152" s="4" t="s">
        <v>2595</v>
      </c>
      <c r="K2152" s="7">
        <v>1</v>
      </c>
      <c r="Q2152" s="7"/>
      <c r="R2152" s="6"/>
      <c r="S2152" s="13"/>
      <c r="T2152" s="6"/>
      <c r="U2152" s="7"/>
      <c r="V2152" s="5"/>
      <c r="W2152" s="6"/>
      <c r="X2152" s="6"/>
      <c r="Y2152" s="5"/>
      <c r="Z2152" s="7"/>
      <c r="AA2152" s="6"/>
      <c r="AB2152" s="5"/>
      <c r="AC2152" s="6"/>
      <c r="AD2152" s="6"/>
      <c r="AE2152" s="5"/>
      <c r="AF2152" s="7"/>
      <c r="AG2152" s="6"/>
      <c r="AH2152" s="5"/>
      <c r="AI2152" s="6"/>
      <c r="AJ2152" s="6"/>
      <c r="AK2152" s="5"/>
      <c r="AL2152" s="5"/>
      <c r="AM2152" s="5"/>
      <c r="AN2152" s="5"/>
      <c r="AO2152" s="5"/>
      <c r="AP2152" s="5"/>
      <c r="AQ2152" s="5"/>
    </row>
    <row r="2153" spans="1:43" x14ac:dyDescent="0.25">
      <c r="A2153" s="161" t="str">
        <f t="shared" si="40"/>
        <v>FW_RAILGUN_TANK_ED_SOUTHAM</v>
      </c>
      <c r="B2153" s="9" t="s">
        <v>2442</v>
      </c>
      <c r="C2153" s="4" t="s">
        <v>691</v>
      </c>
      <c r="D2153" s="4" t="s">
        <v>994</v>
      </c>
      <c r="E2153" s="4" t="s">
        <v>2595</v>
      </c>
      <c r="F2153" s="4" t="s">
        <v>2595</v>
      </c>
      <c r="K2153" s="7">
        <v>1</v>
      </c>
      <c r="Q2153" s="7"/>
      <c r="R2153" s="6"/>
      <c r="S2153" s="13"/>
      <c r="T2153" s="6"/>
      <c r="U2153" s="7"/>
      <c r="V2153" s="5"/>
      <c r="W2153" s="6"/>
      <c r="X2153" s="6"/>
      <c r="Y2153" s="5"/>
      <c r="Z2153" s="7"/>
      <c r="AA2153" s="6"/>
      <c r="AB2153" s="5"/>
      <c r="AC2153" s="6"/>
      <c r="AD2153" s="6"/>
      <c r="AE2153" s="5"/>
      <c r="AF2153" s="7"/>
      <c r="AG2153" s="6"/>
      <c r="AH2153" s="5"/>
      <c r="AI2153" s="6"/>
      <c r="AJ2153" s="6"/>
      <c r="AK2153" s="5"/>
      <c r="AL2153" s="5"/>
      <c r="AM2153" s="5"/>
      <c r="AN2153" s="5"/>
      <c r="AO2153" s="5"/>
      <c r="AP2153" s="5"/>
      <c r="AQ2153" s="5"/>
    </row>
    <row r="2154" spans="1:43" x14ac:dyDescent="0.25">
      <c r="A2154" s="161" t="str">
        <f t="shared" si="40"/>
        <v>FW_RAILGUN_TANK_ED_SOUTHAS</v>
      </c>
      <c r="B2154" s="9" t="s">
        <v>2442</v>
      </c>
      <c r="C2154" s="4" t="s">
        <v>695</v>
      </c>
      <c r="D2154" s="4" t="s">
        <v>693</v>
      </c>
      <c r="E2154" s="4" t="s">
        <v>2595</v>
      </c>
      <c r="F2154" s="4" t="s">
        <v>2595</v>
      </c>
      <c r="K2154" s="7">
        <v>1</v>
      </c>
      <c r="Q2154" s="7"/>
      <c r="R2154" s="6"/>
      <c r="S2154" s="13"/>
      <c r="T2154" s="6"/>
      <c r="U2154" s="7"/>
      <c r="V2154" s="5"/>
      <c r="W2154" s="6"/>
      <c r="X2154" s="6"/>
      <c r="Y2154" s="5"/>
      <c r="Z2154" s="7"/>
      <c r="AA2154" s="6"/>
      <c r="AB2154" s="5"/>
      <c r="AC2154" s="6"/>
      <c r="AD2154" s="6"/>
      <c r="AE2154" s="5"/>
      <c r="AF2154" s="7"/>
      <c r="AG2154" s="6"/>
      <c r="AH2154" s="5"/>
      <c r="AI2154" s="6"/>
      <c r="AJ2154" s="6"/>
      <c r="AK2154" s="5"/>
      <c r="AL2154" s="5"/>
      <c r="AM2154" s="5"/>
      <c r="AN2154" s="5"/>
      <c r="AO2154" s="5"/>
      <c r="AP2154" s="5"/>
      <c r="AQ2154" s="5"/>
    </row>
    <row r="2155" spans="1:43" x14ac:dyDescent="0.25">
      <c r="A2155" s="161" t="str">
        <f t="shared" si="40"/>
        <v>FW_ROBOT_INFANTRY</v>
      </c>
      <c r="B2155" s="9" t="s">
        <v>2457</v>
      </c>
      <c r="E2155" s="4" t="s">
        <v>2457</v>
      </c>
      <c r="F2155" s="4" t="s">
        <v>2457</v>
      </c>
      <c r="H2155" s="4" t="s">
        <v>2497</v>
      </c>
      <c r="I2155" s="4" t="s">
        <v>1935</v>
      </c>
      <c r="K2155" s="7">
        <v>1</v>
      </c>
      <c r="Q2155" s="7">
        <v>8</v>
      </c>
      <c r="R2155" s="6" t="s">
        <v>1737</v>
      </c>
      <c r="S2155" s="13" t="s">
        <v>1620</v>
      </c>
      <c r="T2155" s="6"/>
      <c r="U2155" s="7"/>
      <c r="V2155" s="5"/>
      <c r="W2155" s="6"/>
      <c r="X2155" s="6"/>
      <c r="Y2155" s="5"/>
      <c r="Z2155" s="7"/>
      <c r="AA2155" s="6"/>
      <c r="AB2155" s="5"/>
      <c r="AC2155" s="6"/>
      <c r="AD2155" s="6"/>
      <c r="AE2155" s="5"/>
      <c r="AF2155" s="7"/>
      <c r="AG2155" s="6"/>
      <c r="AH2155" s="5"/>
      <c r="AI2155" s="6"/>
      <c r="AJ2155" s="6"/>
      <c r="AK2155" s="5"/>
      <c r="AL2155" s="5"/>
      <c r="AM2155" s="5"/>
      <c r="AN2155" s="5"/>
      <c r="AO2155" s="5"/>
      <c r="AP2155" s="5"/>
      <c r="AQ2155" s="5"/>
    </row>
    <row r="2156" spans="1:43" x14ac:dyDescent="0.25">
      <c r="A2156" s="161" t="str">
        <f t="shared" si="40"/>
        <v>FW_SUBORBITAL_BOMBER</v>
      </c>
      <c r="B2156" s="9" t="s">
        <v>2441</v>
      </c>
      <c r="E2156" s="4" t="s">
        <v>2441</v>
      </c>
      <c r="F2156" s="4" t="s">
        <v>2441</v>
      </c>
      <c r="H2156" s="4" t="s">
        <v>2470</v>
      </c>
      <c r="I2156" s="4" t="s">
        <v>1935</v>
      </c>
      <c r="K2156" s="7">
        <v>1</v>
      </c>
      <c r="Q2156" s="7">
        <v>1</v>
      </c>
      <c r="R2156" s="6">
        <v>0.11</v>
      </c>
      <c r="S2156" s="13" t="s">
        <v>1615</v>
      </c>
      <c r="T2156" s="6"/>
      <c r="U2156" s="7"/>
      <c r="V2156" s="5"/>
      <c r="W2156" s="6"/>
      <c r="X2156" s="6"/>
      <c r="Y2156" s="5"/>
      <c r="Z2156" s="7"/>
      <c r="AA2156" s="6"/>
      <c r="AB2156" s="5"/>
      <c r="AC2156" s="6"/>
      <c r="AD2156" s="6"/>
      <c r="AE2156" s="5"/>
      <c r="AF2156" s="7"/>
      <c r="AG2156" s="6"/>
      <c r="AH2156" s="5"/>
      <c r="AI2156" s="6"/>
      <c r="AJ2156" s="6"/>
      <c r="AK2156" s="5"/>
      <c r="AL2156" s="5"/>
      <c r="AM2156" s="5"/>
      <c r="AN2156" s="5"/>
      <c r="AO2156" s="5"/>
      <c r="AP2156" s="5"/>
      <c r="AQ2156" s="5"/>
    </row>
    <row r="2157" spans="1:43" x14ac:dyDescent="0.25">
      <c r="A2157" s="161" t="str">
        <f t="shared" si="40"/>
        <v>FW_SUPERCARRIER</v>
      </c>
      <c r="B2157" s="9" t="s">
        <v>2448</v>
      </c>
      <c r="E2157" s="4" t="s">
        <v>2448</v>
      </c>
      <c r="F2157" s="4" t="s">
        <v>2448</v>
      </c>
      <c r="H2157" s="4" t="s">
        <v>2483</v>
      </c>
      <c r="I2157" s="4" t="s">
        <v>2506</v>
      </c>
      <c r="K2157" s="7">
        <v>1</v>
      </c>
      <c r="Q2157" s="7">
        <v>1</v>
      </c>
      <c r="R2157" s="6" t="s">
        <v>1695</v>
      </c>
      <c r="S2157" s="13"/>
      <c r="T2157" s="6"/>
      <c r="U2157" s="7"/>
      <c r="V2157" s="5"/>
      <c r="W2157" s="6"/>
      <c r="X2157" s="6"/>
      <c r="Y2157" s="5"/>
      <c r="Z2157" s="7"/>
      <c r="AA2157" s="6"/>
      <c r="AB2157" s="5"/>
      <c r="AC2157" s="6"/>
      <c r="AD2157" s="6"/>
      <c r="AE2157" s="5"/>
      <c r="AF2157" s="7"/>
      <c r="AG2157" s="6"/>
      <c r="AH2157" s="5"/>
      <c r="AI2157" s="6"/>
      <c r="AJ2157" s="6"/>
      <c r="AK2157" s="5"/>
      <c r="AL2157" s="5"/>
      <c r="AM2157" s="5"/>
      <c r="AN2157" s="5"/>
      <c r="AO2157" s="5"/>
      <c r="AP2157" s="5"/>
      <c r="AQ2157" s="5"/>
    </row>
    <row r="2158" spans="1:43" x14ac:dyDescent="0.25">
      <c r="A2158" s="161" t="str">
        <f>CONCATENATE(E2158,IF(ISBLANK(C2158),"",CONCATENATE("_",C2158)))</f>
        <v>FW_SUPERCARRIER_ED</v>
      </c>
      <c r="B2158" s="9" t="s">
        <v>2448</v>
      </c>
      <c r="E2158" s="4" t="s">
        <v>2594</v>
      </c>
      <c r="F2158" s="4" t="s">
        <v>2594</v>
      </c>
      <c r="H2158" s="4" t="s">
        <v>2483</v>
      </c>
      <c r="I2158" s="4" t="s">
        <v>2506</v>
      </c>
      <c r="K2158" s="7">
        <v>1</v>
      </c>
      <c r="Q2158" s="7">
        <v>1</v>
      </c>
      <c r="R2158" s="6" t="s">
        <v>1695</v>
      </c>
      <c r="S2158" s="13"/>
      <c r="T2158" s="6"/>
      <c r="U2158" s="7"/>
      <c r="V2158" s="5"/>
      <c r="W2158" s="6"/>
      <c r="X2158" s="6"/>
      <c r="Y2158" s="5"/>
      <c r="Z2158" s="7"/>
      <c r="AA2158" s="6"/>
      <c r="AB2158" s="5"/>
      <c r="AC2158" s="6"/>
      <c r="AD2158" s="6"/>
      <c r="AE2158" s="5"/>
      <c r="AF2158" s="7"/>
      <c r="AG2158" s="6"/>
      <c r="AH2158" s="5"/>
      <c r="AI2158" s="6"/>
      <c r="AJ2158" s="6"/>
      <c r="AK2158" s="5"/>
      <c r="AL2158" s="5"/>
      <c r="AM2158" s="5"/>
      <c r="AN2158" s="5"/>
      <c r="AO2158" s="5"/>
      <c r="AP2158" s="5"/>
      <c r="AQ2158" s="5"/>
    </row>
    <row r="2159" spans="1:43" x14ac:dyDescent="0.25">
      <c r="A2159" s="161" t="str">
        <f t="shared" si="40"/>
        <v>FW_SUPERCARRIER_ED_AMER</v>
      </c>
      <c r="B2159" s="9" t="s">
        <v>2448</v>
      </c>
      <c r="C2159" s="4" t="s">
        <v>697</v>
      </c>
      <c r="D2159" s="4" t="s">
        <v>699</v>
      </c>
      <c r="E2159" s="4" t="s">
        <v>2594</v>
      </c>
      <c r="F2159" s="4" t="s">
        <v>2594</v>
      </c>
      <c r="K2159" s="7">
        <v>1</v>
      </c>
      <c r="Q2159" s="7"/>
      <c r="R2159" s="6"/>
      <c r="S2159" s="13"/>
      <c r="T2159" s="6"/>
      <c r="U2159" s="7"/>
      <c r="V2159" s="5"/>
      <c r="W2159" s="6"/>
      <c r="X2159" s="6"/>
      <c r="Y2159" s="5"/>
      <c r="Z2159" s="7"/>
      <c r="AA2159" s="6"/>
      <c r="AB2159" s="5"/>
      <c r="AC2159" s="6"/>
      <c r="AD2159" s="6"/>
      <c r="AE2159" s="5"/>
      <c r="AF2159" s="7"/>
      <c r="AG2159" s="6"/>
      <c r="AH2159" s="5"/>
      <c r="AI2159" s="6"/>
      <c r="AJ2159" s="6"/>
      <c r="AK2159" s="5"/>
      <c r="AL2159" s="5"/>
      <c r="AM2159" s="5"/>
      <c r="AN2159" s="5"/>
      <c r="AO2159" s="5"/>
      <c r="AP2159" s="5"/>
      <c r="AQ2159" s="5"/>
    </row>
    <row r="2160" spans="1:43" x14ac:dyDescent="0.25">
      <c r="A2160" s="161" t="str">
        <f t="shared" si="40"/>
        <v>FW_SUPERCARRIER_ED_AMERICA</v>
      </c>
      <c r="B2160" s="9" t="s">
        <v>2448</v>
      </c>
      <c r="C2160" s="4" t="s">
        <v>699</v>
      </c>
      <c r="E2160" s="4" t="s">
        <v>2594</v>
      </c>
      <c r="F2160" s="4" t="s">
        <v>2594</v>
      </c>
      <c r="H2160" s="4" t="s">
        <v>2508</v>
      </c>
      <c r="I2160" s="4" t="s">
        <v>966</v>
      </c>
      <c r="K2160" s="7">
        <v>1</v>
      </c>
      <c r="Q2160" s="7"/>
      <c r="R2160" s="6"/>
      <c r="S2160" s="13"/>
      <c r="T2160" s="6"/>
      <c r="U2160" s="7"/>
      <c r="V2160" s="5"/>
      <c r="W2160" s="6"/>
      <c r="X2160" s="6"/>
      <c r="Y2160" s="5"/>
      <c r="Z2160" s="7"/>
      <c r="AA2160" s="6"/>
      <c r="AB2160" s="5"/>
      <c r="AC2160" s="6"/>
      <c r="AD2160" s="6"/>
      <c r="AE2160" s="5"/>
      <c r="AF2160" s="7"/>
      <c r="AG2160" s="6"/>
      <c r="AH2160" s="5"/>
      <c r="AI2160" s="6"/>
      <c r="AJ2160" s="6"/>
      <c r="AK2160" s="5"/>
      <c r="AL2160" s="5"/>
      <c r="AM2160" s="5"/>
      <c r="AN2160" s="5"/>
      <c r="AO2160" s="5"/>
      <c r="AP2160" s="5"/>
      <c r="AQ2160" s="5"/>
    </row>
    <row r="2161" spans="1:43" x14ac:dyDescent="0.25">
      <c r="A2161" s="161" t="str">
        <f t="shared" si="40"/>
        <v>FW_SUPERCARRIER_ED_AUSTRALIA</v>
      </c>
      <c r="B2161" s="9" t="s">
        <v>2448</v>
      </c>
      <c r="C2161" s="4" t="s">
        <v>1302</v>
      </c>
      <c r="D2161" s="4" t="s">
        <v>713</v>
      </c>
      <c r="E2161" s="4" t="s">
        <v>2594</v>
      </c>
      <c r="F2161" s="4" t="s">
        <v>2594</v>
      </c>
      <c r="K2161" s="7">
        <v>1</v>
      </c>
      <c r="Q2161" s="7"/>
      <c r="R2161" s="6"/>
      <c r="S2161" s="13"/>
      <c r="T2161" s="6"/>
      <c r="U2161" s="7"/>
      <c r="V2161" s="5"/>
      <c r="W2161" s="6"/>
      <c r="X2161" s="6"/>
      <c r="Y2161" s="5"/>
      <c r="Z2161" s="7"/>
      <c r="AA2161" s="6"/>
      <c r="AB2161" s="5"/>
      <c r="AC2161" s="6"/>
      <c r="AD2161" s="6"/>
      <c r="AE2161" s="5"/>
      <c r="AF2161" s="7"/>
      <c r="AG2161" s="6"/>
      <c r="AH2161" s="5"/>
      <c r="AI2161" s="6"/>
      <c r="AJ2161" s="6"/>
      <c r="AK2161" s="5"/>
      <c r="AL2161" s="5"/>
      <c r="AM2161" s="5"/>
      <c r="AN2161" s="5"/>
      <c r="AO2161" s="5"/>
      <c r="AP2161" s="5"/>
      <c r="AQ2161" s="5"/>
    </row>
    <row r="2162" spans="1:43" x14ac:dyDescent="0.25">
      <c r="A2162" s="161" t="str">
        <f t="shared" si="40"/>
        <v>FW_SUPERCARRIER_ED_CANADA</v>
      </c>
      <c r="B2162" s="9" t="s">
        <v>2448</v>
      </c>
      <c r="C2162" s="4" t="s">
        <v>2209</v>
      </c>
      <c r="D2162" s="4" t="s">
        <v>713</v>
      </c>
      <c r="E2162" s="4" t="s">
        <v>2594</v>
      </c>
      <c r="F2162" s="4" t="s">
        <v>2594</v>
      </c>
      <c r="K2162" s="7">
        <v>1</v>
      </c>
      <c r="Q2162" s="7"/>
      <c r="R2162" s="6"/>
      <c r="S2162" s="13"/>
      <c r="T2162" s="6"/>
      <c r="U2162" s="7"/>
      <c r="V2162" s="5"/>
      <c r="W2162" s="6"/>
      <c r="X2162" s="6"/>
      <c r="Y2162" s="5"/>
      <c r="Z2162" s="7"/>
      <c r="AA2162" s="6"/>
      <c r="AB2162" s="5"/>
      <c r="AC2162" s="6"/>
      <c r="AD2162" s="6"/>
      <c r="AE2162" s="5"/>
      <c r="AF2162" s="7"/>
      <c r="AG2162" s="6"/>
      <c r="AH2162" s="5"/>
      <c r="AI2162" s="6"/>
      <c r="AJ2162" s="6"/>
      <c r="AK2162" s="5"/>
      <c r="AL2162" s="5"/>
      <c r="AM2162" s="5"/>
      <c r="AN2162" s="5"/>
      <c r="AO2162" s="5"/>
      <c r="AP2162" s="5"/>
      <c r="AQ2162" s="5"/>
    </row>
    <row r="2163" spans="1:43" x14ac:dyDescent="0.25">
      <c r="A2163" s="161" t="str">
        <f t="shared" si="40"/>
        <v>FW_SUPERCARRIER_ED_CELTS</v>
      </c>
      <c r="B2163" s="9" t="s">
        <v>2448</v>
      </c>
      <c r="C2163" s="4" t="s">
        <v>709</v>
      </c>
      <c r="D2163" s="4" t="s">
        <v>713</v>
      </c>
      <c r="E2163" s="4" t="s">
        <v>2594</v>
      </c>
      <c r="F2163" s="4" t="s">
        <v>2594</v>
      </c>
      <c r="K2163" s="7">
        <v>1</v>
      </c>
      <c r="Q2163" s="7"/>
      <c r="R2163" s="6"/>
      <c r="S2163" s="13"/>
      <c r="T2163" s="6"/>
      <c r="U2163" s="7"/>
      <c r="V2163" s="5"/>
      <c r="W2163" s="6"/>
      <c r="X2163" s="6"/>
      <c r="Y2163" s="5"/>
      <c r="Z2163" s="7"/>
      <c r="AA2163" s="6"/>
      <c r="AB2163" s="5"/>
      <c r="AC2163" s="6"/>
      <c r="AD2163" s="6"/>
      <c r="AE2163" s="5"/>
      <c r="AF2163" s="7"/>
      <c r="AG2163" s="6"/>
      <c r="AH2163" s="5"/>
      <c r="AI2163" s="6"/>
      <c r="AJ2163" s="6"/>
      <c r="AK2163" s="5"/>
      <c r="AL2163" s="5"/>
      <c r="AM2163" s="5"/>
      <c r="AN2163" s="5"/>
      <c r="AO2163" s="5"/>
      <c r="AP2163" s="5"/>
      <c r="AQ2163" s="5"/>
    </row>
    <row r="2164" spans="1:43" x14ac:dyDescent="0.25">
      <c r="A2164" s="161" t="str">
        <f>CONCATENATE(E2164,IF(ISBLANK(C2164),"",CONCATENATE("_",C2164)))</f>
        <v>FW_SUPERCARRIER_ED_ENGLAND</v>
      </c>
      <c r="B2164" s="9" t="s">
        <v>2448</v>
      </c>
      <c r="C2164" s="4" t="s">
        <v>713</v>
      </c>
      <c r="E2164" s="4" t="s">
        <v>2594</v>
      </c>
      <c r="F2164" s="4" t="s">
        <v>2594</v>
      </c>
      <c r="H2164" s="4" t="s">
        <v>2507</v>
      </c>
      <c r="I2164" s="4" t="s">
        <v>2506</v>
      </c>
      <c r="K2164" s="7">
        <v>1</v>
      </c>
      <c r="Q2164" s="7"/>
      <c r="R2164" s="6"/>
      <c r="S2164" s="13"/>
      <c r="T2164" s="6"/>
      <c r="U2164" s="7"/>
      <c r="V2164" s="5"/>
      <c r="W2164" s="6"/>
      <c r="X2164" s="6"/>
      <c r="Y2164" s="5"/>
      <c r="Z2164" s="7"/>
      <c r="AA2164" s="6"/>
      <c r="AB2164" s="5"/>
      <c r="AC2164" s="6"/>
      <c r="AD2164" s="6"/>
      <c r="AE2164" s="5"/>
      <c r="AF2164" s="7"/>
      <c r="AG2164" s="6"/>
      <c r="AH2164" s="5"/>
      <c r="AI2164" s="6"/>
      <c r="AJ2164" s="6"/>
      <c r="AK2164" s="5"/>
      <c r="AL2164" s="5"/>
      <c r="AM2164" s="5"/>
      <c r="AN2164" s="5"/>
      <c r="AO2164" s="5"/>
      <c r="AP2164" s="5"/>
      <c r="AQ2164" s="5"/>
    </row>
    <row r="2165" spans="1:43" x14ac:dyDescent="0.25">
      <c r="A2165" s="161" t="str">
        <f>CONCATENATE(E2165,IF(ISBLANK(C2165),"",CONCATENATE("_",C2165)))</f>
        <v>FW_SUPERCARRIER_ED_LEVANT</v>
      </c>
      <c r="B2165" s="9" t="s">
        <v>2448</v>
      </c>
      <c r="C2165" s="4" t="s">
        <v>724</v>
      </c>
      <c r="D2165" s="4" t="s">
        <v>699</v>
      </c>
      <c r="E2165" s="4" t="s">
        <v>2594</v>
      </c>
      <c r="F2165" s="4" t="s">
        <v>2594</v>
      </c>
      <c r="K2165" s="7">
        <v>1</v>
      </c>
      <c r="Q2165" s="7"/>
      <c r="R2165" s="6"/>
      <c r="S2165" s="13"/>
      <c r="T2165" s="6"/>
      <c r="U2165" s="7"/>
      <c r="V2165" s="5"/>
      <c r="W2165" s="6"/>
      <c r="X2165" s="6"/>
      <c r="Y2165" s="5"/>
      <c r="Z2165" s="7"/>
      <c r="AA2165" s="6"/>
      <c r="AB2165" s="5"/>
      <c r="AC2165" s="6"/>
      <c r="AD2165" s="6"/>
      <c r="AE2165" s="5"/>
      <c r="AF2165" s="7"/>
      <c r="AG2165" s="6"/>
      <c r="AH2165" s="5"/>
      <c r="AI2165" s="6"/>
      <c r="AJ2165" s="6"/>
      <c r="AK2165" s="5"/>
      <c r="AL2165" s="5"/>
      <c r="AM2165" s="5"/>
      <c r="AN2165" s="5"/>
      <c r="AO2165" s="5"/>
      <c r="AP2165" s="5"/>
      <c r="AQ2165" s="5"/>
    </row>
    <row r="2166" spans="1:43" x14ac:dyDescent="0.25">
      <c r="A2166" s="161" t="str">
        <f t="shared" si="40"/>
        <v>FW_SUPERCARRIER_ED_OCEAN</v>
      </c>
      <c r="B2166" s="9" t="s">
        <v>2448</v>
      </c>
      <c r="C2166" s="4" t="s">
        <v>994</v>
      </c>
      <c r="D2166" s="4" t="s">
        <v>699</v>
      </c>
      <c r="E2166" s="4" t="s">
        <v>2594</v>
      </c>
      <c r="F2166" s="4" t="s">
        <v>2594</v>
      </c>
      <c r="K2166" s="7">
        <v>1</v>
      </c>
      <c r="Q2166" s="7"/>
      <c r="R2166" s="6"/>
      <c r="S2166" s="13"/>
      <c r="T2166" s="6"/>
      <c r="U2166" s="7"/>
      <c r="V2166" s="5"/>
      <c r="W2166" s="6"/>
      <c r="X2166" s="6"/>
      <c r="Y2166" s="5"/>
      <c r="Z2166" s="7"/>
      <c r="AA2166" s="6"/>
      <c r="AB2166" s="5"/>
      <c r="AC2166" s="6"/>
      <c r="AD2166" s="6"/>
      <c r="AE2166" s="5"/>
      <c r="AF2166" s="7"/>
      <c r="AG2166" s="6"/>
      <c r="AH2166" s="5"/>
      <c r="AI2166" s="6"/>
      <c r="AJ2166" s="6"/>
      <c r="AK2166" s="5"/>
      <c r="AL2166" s="5"/>
      <c r="AM2166" s="5"/>
      <c r="AN2166" s="5"/>
      <c r="AO2166" s="5"/>
      <c r="AP2166" s="5"/>
      <c r="AQ2166" s="5"/>
    </row>
    <row r="2167" spans="1:43" x14ac:dyDescent="0.25">
      <c r="A2167" s="161" t="str">
        <f t="shared" si="40"/>
        <v>FW_SUPERCARRIER_ED_SOUTHAM</v>
      </c>
      <c r="B2167" s="9" t="s">
        <v>2448</v>
      </c>
      <c r="C2167" s="4" t="s">
        <v>691</v>
      </c>
      <c r="D2167" s="4" t="s">
        <v>699</v>
      </c>
      <c r="E2167" s="4" t="s">
        <v>2594</v>
      </c>
      <c r="F2167" s="4" t="s">
        <v>2594</v>
      </c>
      <c r="K2167" s="7">
        <v>1</v>
      </c>
      <c r="Q2167" s="7"/>
      <c r="R2167" s="6"/>
      <c r="S2167" s="13"/>
      <c r="T2167" s="6"/>
      <c r="U2167" s="7"/>
      <c r="V2167" s="5"/>
      <c r="W2167" s="6"/>
      <c r="X2167" s="6"/>
      <c r="Y2167" s="5"/>
      <c r="Z2167" s="7"/>
      <c r="AA2167" s="6"/>
      <c r="AB2167" s="5"/>
      <c r="AC2167" s="6"/>
      <c r="AD2167" s="6"/>
      <c r="AE2167" s="5"/>
      <c r="AF2167" s="7"/>
      <c r="AG2167" s="6"/>
      <c r="AH2167" s="5"/>
      <c r="AI2167" s="6"/>
      <c r="AJ2167" s="6"/>
      <c r="AK2167" s="5"/>
      <c r="AL2167" s="5"/>
      <c r="AM2167" s="5"/>
      <c r="AN2167" s="5"/>
      <c r="AO2167" s="5"/>
      <c r="AP2167" s="5"/>
      <c r="AQ2167" s="5"/>
    </row>
    <row r="2168" spans="1:43" x14ac:dyDescent="0.25">
      <c r="A2168" s="161" t="str">
        <f t="shared" si="40"/>
        <v>FW_TREX</v>
      </c>
      <c r="B2168" s="9" t="s">
        <v>2462</v>
      </c>
      <c r="E2168" s="4" t="s">
        <v>2462</v>
      </c>
      <c r="F2168" s="4" t="s">
        <v>2462</v>
      </c>
      <c r="H2168" s="4" t="s">
        <v>2499</v>
      </c>
      <c r="I2168" s="4" t="s">
        <v>2510</v>
      </c>
      <c r="K2168" s="7">
        <v>1</v>
      </c>
      <c r="Q2168" s="7">
        <v>1</v>
      </c>
      <c r="R2168" s="6">
        <v>0.08</v>
      </c>
      <c r="S2168" s="13" t="s">
        <v>1618</v>
      </c>
      <c r="T2168" s="6"/>
      <c r="U2168" s="7"/>
      <c r="V2168" s="5"/>
      <c r="W2168" s="6"/>
      <c r="X2168" s="6"/>
      <c r="Y2168" s="5"/>
      <c r="Z2168" s="7"/>
      <c r="AA2168" s="6"/>
      <c r="AB2168" s="5"/>
      <c r="AC2168" s="6"/>
      <c r="AD2168" s="6"/>
      <c r="AE2168" s="5"/>
      <c r="AF2168" s="7"/>
      <c r="AG2168" s="6"/>
      <c r="AH2168" s="5"/>
      <c r="AI2168" s="6"/>
      <c r="AJ2168" s="6"/>
      <c r="AK2168" s="5"/>
      <c r="AL2168" s="5"/>
      <c r="AM2168" s="5"/>
      <c r="AN2168" s="5"/>
      <c r="AO2168" s="5"/>
      <c r="AP2168" s="5"/>
      <c r="AQ2168" s="5"/>
    </row>
    <row r="2169" spans="1:43" x14ac:dyDescent="0.25">
      <c r="A2169" s="161" t="str">
        <f t="shared" si="40"/>
        <v>FW_TRICERATOPS</v>
      </c>
      <c r="B2169" s="9" t="s">
        <v>2463</v>
      </c>
      <c r="E2169" s="4" t="s">
        <v>2463</v>
      </c>
      <c r="F2169" s="4" t="s">
        <v>2463</v>
      </c>
      <c r="H2169" s="4" t="s">
        <v>2500</v>
      </c>
      <c r="I2169" s="4" t="s">
        <v>2510</v>
      </c>
      <c r="K2169" s="7">
        <v>1</v>
      </c>
      <c r="Q2169" s="7">
        <v>1</v>
      </c>
      <c r="R2169" s="6">
        <v>0.1</v>
      </c>
      <c r="S2169" s="13" t="s">
        <v>1618</v>
      </c>
      <c r="T2169" s="6"/>
      <c r="U2169" s="7"/>
      <c r="V2169" s="5"/>
      <c r="W2169" s="6"/>
      <c r="X2169" s="6"/>
      <c r="Y2169" s="5"/>
      <c r="Z2169" s="7"/>
      <c r="AA2169" s="6"/>
      <c r="AB2169" s="5"/>
      <c r="AC2169" s="6"/>
      <c r="AD2169" s="6"/>
      <c r="AE2169" s="5"/>
      <c r="AF2169" s="7"/>
      <c r="AG2169" s="6"/>
      <c r="AH2169" s="5"/>
      <c r="AI2169" s="6"/>
      <c r="AJ2169" s="6"/>
      <c r="AK2169" s="5"/>
      <c r="AL2169" s="5"/>
      <c r="AM2169" s="5"/>
      <c r="AN2169" s="5"/>
      <c r="AO2169" s="5"/>
      <c r="AP2169" s="5"/>
      <c r="AQ2169" s="5"/>
    </row>
    <row r="2170" spans="1:43" x14ac:dyDescent="0.25">
      <c r="A2170" s="161" t="str">
        <f t="shared" si="40"/>
        <v>FW_TRICERATOPS</v>
      </c>
      <c r="B2170" s="9" t="s">
        <v>2463</v>
      </c>
      <c r="E2170" s="4" t="s">
        <v>2463</v>
      </c>
      <c r="F2170" s="4" t="s">
        <v>2463</v>
      </c>
      <c r="G2170" s="4" t="s">
        <v>2047</v>
      </c>
      <c r="H2170" s="4" t="s">
        <v>2502</v>
      </c>
      <c r="I2170" s="4" t="s">
        <v>2510</v>
      </c>
      <c r="K2170" s="7">
        <v>1</v>
      </c>
      <c r="Q2170" s="7">
        <v>1</v>
      </c>
      <c r="R2170" s="6">
        <v>0.1</v>
      </c>
      <c r="S2170" s="13" t="s">
        <v>1618</v>
      </c>
      <c r="T2170" s="6"/>
      <c r="U2170" s="7"/>
      <c r="V2170" s="5"/>
      <c r="W2170" s="6"/>
      <c r="X2170" s="6"/>
      <c r="Y2170" s="5"/>
      <c r="Z2170" s="7"/>
      <c r="AA2170" s="6"/>
      <c r="AB2170" s="5"/>
      <c r="AC2170" s="6"/>
      <c r="AD2170" s="6"/>
      <c r="AE2170" s="5"/>
      <c r="AF2170" s="7"/>
      <c r="AG2170" s="6"/>
      <c r="AH2170" s="5"/>
      <c r="AI2170" s="6"/>
      <c r="AJ2170" s="6"/>
      <c r="AK2170" s="5"/>
      <c r="AL2170" s="5"/>
      <c r="AM2170" s="5"/>
      <c r="AN2170" s="5"/>
      <c r="AO2170" s="5"/>
      <c r="AP2170" s="5"/>
      <c r="AQ2170" s="5"/>
    </row>
    <row r="2171" spans="1:43" x14ac:dyDescent="0.25">
      <c r="A2171" s="161" t="str">
        <f t="shared" si="40"/>
        <v>FW_VELOCIRAPTOR</v>
      </c>
      <c r="B2171" s="9" t="s">
        <v>2519</v>
      </c>
      <c r="E2171" s="4" t="s">
        <v>2464</v>
      </c>
      <c r="F2171" s="4" t="s">
        <v>2464</v>
      </c>
      <c r="H2171" s="4" t="s">
        <v>2501</v>
      </c>
      <c r="I2171" s="4" t="s">
        <v>2510</v>
      </c>
      <c r="K2171" s="7">
        <v>1</v>
      </c>
      <c r="Q2171" s="7">
        <v>2</v>
      </c>
      <c r="R2171" s="6">
        <v>0.23</v>
      </c>
      <c r="S2171" s="13" t="s">
        <v>1695</v>
      </c>
      <c r="T2171" s="6"/>
      <c r="U2171" s="7"/>
      <c r="V2171" s="5"/>
      <c r="W2171" s="6"/>
      <c r="X2171" s="6"/>
      <c r="Y2171" s="5"/>
      <c r="Z2171" s="7"/>
      <c r="AA2171" s="6"/>
      <c r="AB2171" s="5"/>
      <c r="AC2171" s="6"/>
      <c r="AD2171" s="6"/>
      <c r="AE2171" s="5"/>
      <c r="AF2171" s="7"/>
      <c r="AG2171" s="6"/>
      <c r="AH2171" s="5"/>
      <c r="AI2171" s="6"/>
      <c r="AJ2171" s="6"/>
      <c r="AK2171" s="5"/>
      <c r="AL2171" s="5"/>
      <c r="AM2171" s="5"/>
      <c r="AN2171" s="5"/>
      <c r="AO2171" s="5"/>
      <c r="AP2171" s="5"/>
      <c r="AQ2171" s="5"/>
    </row>
    <row r="2172" spans="1:43" x14ac:dyDescent="0.25">
      <c r="A2172" s="161" t="str">
        <f t="shared" si="40"/>
        <v>FW_VELOCIRAPTOR</v>
      </c>
      <c r="B2172" s="9" t="s">
        <v>2519</v>
      </c>
      <c r="E2172" s="4" t="s">
        <v>2464</v>
      </c>
      <c r="F2172" s="4" t="s">
        <v>2464</v>
      </c>
      <c r="G2172" s="4" t="s">
        <v>2047</v>
      </c>
      <c r="H2172" s="4" t="s">
        <v>2503</v>
      </c>
      <c r="I2172" s="4" t="s">
        <v>2510</v>
      </c>
      <c r="K2172" s="7">
        <v>1</v>
      </c>
      <c r="Q2172" s="7">
        <v>3</v>
      </c>
      <c r="R2172" s="6">
        <v>0.23</v>
      </c>
      <c r="S2172" s="13" t="s">
        <v>1695</v>
      </c>
      <c r="T2172" s="6"/>
      <c r="U2172" s="7"/>
      <c r="V2172" s="5"/>
      <c r="W2172" s="6"/>
      <c r="X2172" s="6"/>
      <c r="Y2172" s="5"/>
      <c r="Z2172" s="7"/>
      <c r="AA2172" s="6"/>
      <c r="AB2172" s="5"/>
      <c r="AC2172" s="6"/>
      <c r="AD2172" s="6"/>
      <c r="AE2172" s="5"/>
      <c r="AF2172" s="7"/>
      <c r="AG2172" s="6"/>
      <c r="AH2172" s="5"/>
      <c r="AI2172" s="6"/>
      <c r="AJ2172" s="6"/>
      <c r="AK2172" s="5"/>
      <c r="AL2172" s="5"/>
      <c r="AM2172" s="5"/>
      <c r="AN2172" s="5"/>
      <c r="AO2172" s="5"/>
      <c r="AP2172" s="5"/>
      <c r="AQ2172" s="5"/>
    </row>
    <row r="2173" spans="1:43" x14ac:dyDescent="0.25">
      <c r="A2173" s="161" t="str">
        <f t="shared" si="40"/>
        <v>FW_VERTOL</v>
      </c>
      <c r="B2173" s="9" t="s">
        <v>2443</v>
      </c>
      <c r="E2173" s="4" t="s">
        <v>2443</v>
      </c>
      <c r="F2173" s="4" t="s">
        <v>2443</v>
      </c>
      <c r="H2173" s="4" t="s">
        <v>2474</v>
      </c>
      <c r="I2173" s="4" t="s">
        <v>1935</v>
      </c>
      <c r="K2173" s="7">
        <v>1</v>
      </c>
      <c r="Q2173" s="7">
        <v>1</v>
      </c>
      <c r="R2173" s="6">
        <v>0.1</v>
      </c>
      <c r="S2173" s="13"/>
      <c r="T2173" s="6"/>
      <c r="U2173" s="7"/>
      <c r="V2173" s="5"/>
      <c r="W2173" s="6"/>
      <c r="X2173" s="6"/>
      <c r="Y2173" s="5"/>
      <c r="Z2173" s="7"/>
      <c r="AA2173" s="6"/>
      <c r="AB2173" s="5"/>
      <c r="AC2173" s="6"/>
      <c r="AD2173" s="6"/>
      <c r="AE2173" s="5"/>
      <c r="AF2173" s="7"/>
      <c r="AG2173" s="6"/>
      <c r="AH2173" s="5"/>
      <c r="AI2173" s="6"/>
      <c r="AJ2173" s="6"/>
      <c r="AK2173" s="5"/>
      <c r="AL2173" s="5"/>
      <c r="AM2173" s="5"/>
      <c r="AN2173" s="5"/>
      <c r="AO2173" s="5"/>
      <c r="AP2173" s="5"/>
      <c r="AQ2173" s="5"/>
    </row>
    <row r="2174" spans="1:43" x14ac:dyDescent="0.25">
      <c r="A2174" s="161" t="str">
        <f>CONCATENATE(E2174,IF(ISBLANK(C2174),"",CONCATENATE("_",C2174)))</f>
        <v>FW_VERTOL_ED</v>
      </c>
      <c r="B2174" s="9" t="s">
        <v>2443</v>
      </c>
      <c r="E2174" s="4" t="s">
        <v>2593</v>
      </c>
      <c r="F2174" s="4" t="s">
        <v>2593</v>
      </c>
      <c r="H2174" s="4" t="s">
        <v>2474</v>
      </c>
      <c r="I2174" s="4" t="s">
        <v>1935</v>
      </c>
      <c r="K2174" s="7">
        <v>1</v>
      </c>
      <c r="Q2174" s="7">
        <v>1</v>
      </c>
      <c r="R2174" s="6">
        <v>0.1</v>
      </c>
      <c r="S2174" s="13"/>
      <c r="T2174" s="6"/>
      <c r="U2174" s="7"/>
      <c r="V2174" s="5"/>
      <c r="W2174" s="6"/>
      <c r="X2174" s="6"/>
      <c r="Y2174" s="5"/>
      <c r="Z2174" s="7"/>
      <c r="AA2174" s="6"/>
      <c r="AB2174" s="5"/>
      <c r="AC2174" s="6"/>
      <c r="AD2174" s="6"/>
      <c r="AE2174" s="5"/>
      <c r="AF2174" s="7"/>
      <c r="AG2174" s="6"/>
      <c r="AH2174" s="5"/>
      <c r="AI2174" s="6"/>
      <c r="AJ2174" s="6"/>
      <c r="AK2174" s="5"/>
      <c r="AL2174" s="5"/>
      <c r="AM2174" s="5"/>
      <c r="AN2174" s="5"/>
      <c r="AO2174" s="5"/>
      <c r="AP2174" s="5"/>
      <c r="AQ2174" s="5"/>
    </row>
    <row r="2175" spans="1:43" x14ac:dyDescent="0.25">
      <c r="A2175" s="161" t="str">
        <f t="shared" si="40"/>
        <v>FW_VERTOL_ED_AMER</v>
      </c>
      <c r="B2175" s="9" t="s">
        <v>2443</v>
      </c>
      <c r="C2175" s="4" t="s">
        <v>697</v>
      </c>
      <c r="D2175" s="4" t="s">
        <v>994</v>
      </c>
      <c r="E2175" s="4" t="s">
        <v>2593</v>
      </c>
      <c r="F2175" s="4" t="s">
        <v>2593</v>
      </c>
      <c r="K2175" s="7">
        <v>1</v>
      </c>
      <c r="Q2175" s="7"/>
      <c r="R2175" s="6"/>
      <c r="S2175" s="13"/>
      <c r="T2175" s="6"/>
      <c r="U2175" s="7"/>
      <c r="V2175" s="5"/>
      <c r="W2175" s="6"/>
      <c r="X2175" s="6"/>
      <c r="Y2175" s="5"/>
      <c r="Z2175" s="7"/>
      <c r="AA2175" s="6"/>
      <c r="AB2175" s="5"/>
      <c r="AC2175" s="6"/>
      <c r="AD2175" s="6"/>
      <c r="AE2175" s="5"/>
      <c r="AF2175" s="7"/>
      <c r="AG2175" s="6"/>
      <c r="AH2175" s="5"/>
      <c r="AI2175" s="6"/>
      <c r="AJ2175" s="6"/>
      <c r="AK2175" s="5"/>
      <c r="AL2175" s="5"/>
      <c r="AM2175" s="5"/>
      <c r="AN2175" s="5"/>
      <c r="AO2175" s="5"/>
      <c r="AP2175" s="5"/>
      <c r="AQ2175" s="5"/>
    </row>
    <row r="2176" spans="1:43" x14ac:dyDescent="0.25">
      <c r="A2176" s="161" t="str">
        <f t="shared" si="40"/>
        <v>FW_VERTOL_ED_ASIA</v>
      </c>
      <c r="B2176" s="9" t="s">
        <v>2443</v>
      </c>
      <c r="C2176" s="4" t="s">
        <v>693</v>
      </c>
      <c r="E2176" s="4" t="s">
        <v>2593</v>
      </c>
      <c r="F2176" s="4" t="s">
        <v>2593</v>
      </c>
      <c r="H2176" s="4" t="s">
        <v>2475</v>
      </c>
      <c r="I2176" s="4" t="s">
        <v>1935</v>
      </c>
      <c r="K2176" s="7">
        <v>1</v>
      </c>
      <c r="Q2176" s="7"/>
      <c r="R2176" s="6"/>
      <c r="S2176" s="13"/>
      <c r="T2176" s="6"/>
      <c r="U2176" s="7"/>
      <c r="V2176" s="5"/>
      <c r="W2176" s="6"/>
      <c r="X2176" s="6"/>
      <c r="Y2176" s="5"/>
      <c r="Z2176" s="7"/>
      <c r="AA2176" s="6"/>
      <c r="AB2176" s="5"/>
      <c r="AC2176" s="6"/>
      <c r="AD2176" s="6"/>
      <c r="AE2176" s="5"/>
      <c r="AF2176" s="7"/>
      <c r="AG2176" s="6"/>
      <c r="AH2176" s="5"/>
      <c r="AI2176" s="6"/>
      <c r="AJ2176" s="6"/>
      <c r="AK2176" s="5"/>
      <c r="AL2176" s="5"/>
      <c r="AM2176" s="5"/>
      <c r="AN2176" s="5"/>
      <c r="AO2176" s="5"/>
      <c r="AP2176" s="5"/>
      <c r="AQ2176" s="5"/>
    </row>
    <row r="2177" spans="1:43" x14ac:dyDescent="0.25">
      <c r="A2177" s="161" t="str">
        <f t="shared" si="40"/>
        <v>FW_VERTOL_ED_AMERICA</v>
      </c>
      <c r="B2177" s="9" t="s">
        <v>2443</v>
      </c>
      <c r="C2177" s="4" t="s">
        <v>699</v>
      </c>
      <c r="D2177" s="4" t="s">
        <v>994</v>
      </c>
      <c r="E2177" s="4" t="s">
        <v>2593</v>
      </c>
      <c r="F2177" s="4" t="s">
        <v>2593</v>
      </c>
      <c r="K2177" s="7">
        <v>1</v>
      </c>
      <c r="Q2177" s="7"/>
      <c r="R2177" s="6"/>
      <c r="S2177" s="13"/>
      <c r="T2177" s="6"/>
      <c r="U2177" s="7"/>
      <c r="V2177" s="5"/>
      <c r="W2177" s="6"/>
      <c r="X2177" s="6"/>
      <c r="Y2177" s="5"/>
      <c r="Z2177" s="7"/>
      <c r="AA2177" s="6"/>
      <c r="AB2177" s="5"/>
      <c r="AC2177" s="6"/>
      <c r="AD2177" s="6"/>
      <c r="AE2177" s="5"/>
      <c r="AF2177" s="7"/>
      <c r="AG2177" s="6"/>
      <c r="AH2177" s="5"/>
      <c r="AI2177" s="6"/>
      <c r="AJ2177" s="6"/>
      <c r="AK2177" s="5"/>
      <c r="AL2177" s="5"/>
      <c r="AM2177" s="5"/>
      <c r="AN2177" s="5"/>
      <c r="AO2177" s="5"/>
      <c r="AP2177" s="5"/>
      <c r="AQ2177" s="5"/>
    </row>
    <row r="2178" spans="1:43" x14ac:dyDescent="0.25">
      <c r="A2178" s="161" t="str">
        <f t="shared" si="40"/>
        <v>FW_VERTOL_ED_AUSTRALIA</v>
      </c>
      <c r="B2178" s="9" t="s">
        <v>2443</v>
      </c>
      <c r="C2178" s="4" t="s">
        <v>1302</v>
      </c>
      <c r="D2178" s="4" t="s">
        <v>994</v>
      </c>
      <c r="E2178" s="4" t="s">
        <v>2593</v>
      </c>
      <c r="F2178" s="4" t="s">
        <v>2593</v>
      </c>
      <c r="K2178" s="7">
        <v>1</v>
      </c>
      <c r="Q2178" s="7"/>
      <c r="R2178" s="6"/>
      <c r="S2178" s="13"/>
      <c r="T2178" s="6"/>
      <c r="U2178" s="7"/>
      <c r="V2178" s="5"/>
      <c r="W2178" s="6"/>
      <c r="X2178" s="6"/>
      <c r="Y2178" s="5"/>
      <c r="Z2178" s="7"/>
      <c r="AA2178" s="6"/>
      <c r="AB2178" s="5"/>
      <c r="AC2178" s="6"/>
      <c r="AD2178" s="6"/>
      <c r="AE2178" s="5"/>
      <c r="AF2178" s="7"/>
      <c r="AG2178" s="6"/>
      <c r="AH2178" s="5"/>
      <c r="AI2178" s="6"/>
      <c r="AJ2178" s="6"/>
      <c r="AK2178" s="5"/>
      <c r="AL2178" s="5"/>
      <c r="AM2178" s="5"/>
      <c r="AN2178" s="5"/>
      <c r="AO2178" s="5"/>
      <c r="AP2178" s="5"/>
      <c r="AQ2178" s="5"/>
    </row>
    <row r="2179" spans="1:43" x14ac:dyDescent="0.25">
      <c r="A2179" s="161" t="str">
        <f t="shared" si="40"/>
        <v>FW_VERTOL_ED_OCEAN</v>
      </c>
      <c r="B2179" s="9" t="s">
        <v>2443</v>
      </c>
      <c r="C2179" s="4" t="s">
        <v>994</v>
      </c>
      <c r="E2179" s="4" t="s">
        <v>2593</v>
      </c>
      <c r="F2179" s="4" t="s">
        <v>2593</v>
      </c>
      <c r="H2179" s="4" t="s">
        <v>2476</v>
      </c>
      <c r="I2179" s="4" t="s">
        <v>1935</v>
      </c>
      <c r="K2179" s="7">
        <v>1</v>
      </c>
      <c r="Q2179" s="7"/>
      <c r="R2179" s="6"/>
      <c r="S2179" s="13"/>
      <c r="T2179" s="6"/>
      <c r="U2179" s="7"/>
      <c r="V2179" s="5"/>
      <c r="W2179" s="6"/>
      <c r="X2179" s="6"/>
      <c r="Y2179" s="5"/>
      <c r="Z2179" s="7"/>
      <c r="AA2179" s="6"/>
      <c r="AB2179" s="5"/>
      <c r="AC2179" s="6"/>
      <c r="AD2179" s="6"/>
      <c r="AE2179" s="5"/>
      <c r="AF2179" s="7"/>
      <c r="AG2179" s="6"/>
      <c r="AH2179" s="5"/>
      <c r="AI2179" s="6"/>
      <c r="AJ2179" s="6"/>
      <c r="AK2179" s="5"/>
      <c r="AL2179" s="5"/>
      <c r="AM2179" s="5"/>
      <c r="AN2179" s="5"/>
      <c r="AO2179" s="5"/>
      <c r="AP2179" s="5"/>
      <c r="AQ2179" s="5"/>
    </row>
    <row r="2180" spans="1:43" x14ac:dyDescent="0.25">
      <c r="A2180" s="161" t="str">
        <f t="shared" si="40"/>
        <v>FW_VERTOL_ED_SEASIA</v>
      </c>
      <c r="B2180" s="9" t="s">
        <v>2443</v>
      </c>
      <c r="C2180" s="4" t="s">
        <v>696</v>
      </c>
      <c r="D2180" s="4" t="s">
        <v>693</v>
      </c>
      <c r="E2180" s="4" t="s">
        <v>2593</v>
      </c>
      <c r="F2180" s="4" t="s">
        <v>2593</v>
      </c>
      <c r="K2180" s="7">
        <v>1</v>
      </c>
      <c r="Q2180" s="7"/>
      <c r="R2180" s="6"/>
      <c r="S2180" s="13"/>
      <c r="T2180" s="6"/>
      <c r="U2180" s="7"/>
      <c r="V2180" s="5"/>
      <c r="W2180" s="6"/>
      <c r="X2180" s="6"/>
      <c r="Y2180" s="5"/>
      <c r="Z2180" s="7"/>
      <c r="AA2180" s="6"/>
      <c r="AB2180" s="5"/>
      <c r="AC2180" s="6"/>
      <c r="AD2180" s="6"/>
      <c r="AE2180" s="5"/>
      <c r="AF2180" s="7"/>
      <c r="AG2180" s="6"/>
      <c r="AH2180" s="5"/>
      <c r="AI2180" s="6"/>
      <c r="AJ2180" s="6"/>
      <c r="AK2180" s="5"/>
      <c r="AL2180" s="5"/>
      <c r="AM2180" s="5"/>
      <c r="AN2180" s="5"/>
      <c r="AO2180" s="5"/>
      <c r="AP2180" s="5"/>
      <c r="AQ2180" s="5"/>
    </row>
    <row r="2181" spans="1:43" x14ac:dyDescent="0.25">
      <c r="A2181" s="161" t="str">
        <f t="shared" si="40"/>
        <v>FW_VERTOL_ED_SOUTHAM</v>
      </c>
      <c r="B2181" s="9" t="s">
        <v>2443</v>
      </c>
      <c r="C2181" s="4" t="s">
        <v>691</v>
      </c>
      <c r="D2181" s="4" t="s">
        <v>994</v>
      </c>
      <c r="E2181" s="4" t="s">
        <v>2593</v>
      </c>
      <c r="F2181" s="4" t="s">
        <v>2593</v>
      </c>
      <c r="K2181" s="7">
        <v>1</v>
      </c>
      <c r="Q2181" s="7"/>
      <c r="R2181" s="6"/>
      <c r="S2181" s="13"/>
      <c r="T2181" s="6"/>
      <c r="U2181" s="7"/>
      <c r="V2181" s="5"/>
      <c r="W2181" s="6"/>
      <c r="X2181" s="6"/>
      <c r="Y2181" s="5"/>
      <c r="Z2181" s="7"/>
      <c r="AA2181" s="6"/>
      <c r="AB2181" s="5"/>
      <c r="AC2181" s="6"/>
      <c r="AD2181" s="6"/>
      <c r="AE2181" s="5"/>
      <c r="AF2181" s="7"/>
      <c r="AG2181" s="6"/>
      <c r="AH2181" s="5"/>
      <c r="AI2181" s="6"/>
      <c r="AJ2181" s="6"/>
      <c r="AK2181" s="5"/>
      <c r="AL2181" s="5"/>
      <c r="AM2181" s="5"/>
      <c r="AN2181" s="5"/>
      <c r="AO2181" s="5"/>
      <c r="AP2181" s="5"/>
      <c r="AQ2181" s="5"/>
    </row>
    <row r="2182" spans="1:43" x14ac:dyDescent="0.25">
      <c r="A2182" s="161" t="str">
        <f t="shared" si="40"/>
        <v>FW_VERTOL_ED_SOUTHAS</v>
      </c>
      <c r="B2182" s="9" t="s">
        <v>2443</v>
      </c>
      <c r="C2182" s="4" t="s">
        <v>695</v>
      </c>
      <c r="D2182" s="4" t="s">
        <v>693</v>
      </c>
      <c r="E2182" s="4" t="s">
        <v>2593</v>
      </c>
      <c r="F2182" s="4" t="s">
        <v>2593</v>
      </c>
      <c r="K2182" s="7">
        <v>1</v>
      </c>
      <c r="Q2182" s="7"/>
      <c r="R2182" s="6"/>
      <c r="S2182" s="13"/>
      <c r="T2182" s="6"/>
      <c r="U2182" s="7"/>
      <c r="V2182" s="5"/>
      <c r="W2182" s="6"/>
      <c r="X2182" s="6"/>
      <c r="Y2182" s="5"/>
      <c r="Z2182" s="7"/>
      <c r="AA2182" s="6"/>
      <c r="AB2182" s="5"/>
      <c r="AC2182" s="6"/>
      <c r="AD2182" s="6"/>
      <c r="AE2182" s="5"/>
      <c r="AF2182" s="7"/>
      <c r="AG2182" s="6"/>
      <c r="AH2182" s="5"/>
      <c r="AI2182" s="6"/>
      <c r="AJ2182" s="6"/>
      <c r="AK2182" s="5"/>
      <c r="AL2182" s="5"/>
      <c r="AM2182" s="5"/>
      <c r="AN2182" s="5"/>
      <c r="AO2182" s="5"/>
      <c r="AP2182" s="5"/>
      <c r="AQ2182" s="5"/>
    </row>
    <row r="2183" spans="1:43" x14ac:dyDescent="0.25">
      <c r="A2183" s="161" t="str">
        <f t="shared" si="40"/>
        <v>SCORPION_GREEN</v>
      </c>
      <c r="B2183" s="9" t="s">
        <v>2517</v>
      </c>
      <c r="E2183" s="4" t="s">
        <v>2454</v>
      </c>
      <c r="F2183" s="4" t="s">
        <v>2454</v>
      </c>
      <c r="H2183" s="4" t="s">
        <v>2494</v>
      </c>
      <c r="I2183" s="4" t="s">
        <v>2512</v>
      </c>
      <c r="K2183" s="7">
        <v>1</v>
      </c>
      <c r="Q2183" s="7">
        <v>6</v>
      </c>
      <c r="R2183" s="6">
        <v>0.2</v>
      </c>
      <c r="S2183" s="13" t="s">
        <v>46</v>
      </c>
      <c r="T2183" s="6"/>
      <c r="U2183" s="7"/>
      <c r="V2183" s="5"/>
      <c r="W2183" s="6"/>
      <c r="X2183" s="6"/>
      <c r="Y2183" s="5"/>
      <c r="Z2183" s="7"/>
      <c r="AA2183" s="6"/>
      <c r="AB2183" s="5"/>
      <c r="AC2183" s="6"/>
      <c r="AD2183" s="6"/>
      <c r="AE2183" s="5"/>
      <c r="AF2183" s="7"/>
      <c r="AG2183" s="6"/>
      <c r="AH2183" s="5"/>
      <c r="AI2183" s="6"/>
      <c r="AJ2183" s="6"/>
      <c r="AK2183" s="5"/>
      <c r="AL2183" s="5"/>
      <c r="AM2183" s="5"/>
      <c r="AN2183" s="5"/>
      <c r="AO2183" s="5"/>
      <c r="AP2183" s="5"/>
      <c r="AQ2183" s="5"/>
    </row>
    <row r="2184" spans="1:43" x14ac:dyDescent="0.25">
      <c r="A2184" s="161" t="str">
        <f t="shared" si="40"/>
        <v>SEAL_TEAM</v>
      </c>
      <c r="B2184" s="9" t="s">
        <v>2518</v>
      </c>
      <c r="E2184" s="4" t="s">
        <v>2465</v>
      </c>
      <c r="F2184" s="4" t="s">
        <v>2465</v>
      </c>
      <c r="H2184" s="4" t="s">
        <v>304</v>
      </c>
      <c r="I2184" s="4" t="s">
        <v>1057</v>
      </c>
      <c r="K2184" s="7">
        <v>1</v>
      </c>
      <c r="Q2184" s="7">
        <v>6</v>
      </c>
      <c r="R2184" s="6" t="s">
        <v>1737</v>
      </c>
      <c r="S2184" s="13" t="s">
        <v>1614</v>
      </c>
      <c r="T2184" s="6"/>
      <c r="U2184" s="7"/>
      <c r="V2184" s="5"/>
      <c r="W2184" s="6"/>
      <c r="X2184" s="6"/>
      <c r="Y2184" s="5"/>
      <c r="Z2184" s="7"/>
      <c r="AA2184" s="6"/>
      <c r="AB2184" s="5"/>
      <c r="AC2184" s="6"/>
      <c r="AD2184" s="6"/>
      <c r="AE2184" s="5"/>
      <c r="AF2184" s="7"/>
      <c r="AG2184" s="6"/>
      <c r="AH2184" s="5"/>
      <c r="AI2184" s="6"/>
      <c r="AJ2184" s="6"/>
      <c r="AK2184" s="5"/>
      <c r="AL2184" s="5"/>
      <c r="AM2184" s="5"/>
      <c r="AN2184" s="5"/>
      <c r="AO2184" s="5"/>
      <c r="AP2184" s="5"/>
      <c r="AQ2184" s="5"/>
    </row>
    <row r="2185" spans="1:43" x14ac:dyDescent="0.25">
      <c r="A2185" s="161" t="str">
        <f t="shared" si="40"/>
        <v>UAV</v>
      </c>
      <c r="B2185" s="9" t="s">
        <v>2516</v>
      </c>
      <c r="E2185" s="4" t="s">
        <v>2438</v>
      </c>
      <c r="F2185" s="4" t="s">
        <v>2438</v>
      </c>
      <c r="H2185" s="4" t="s">
        <v>2438</v>
      </c>
      <c r="I2185" s="4" t="s">
        <v>2509</v>
      </c>
      <c r="K2185" s="7">
        <v>1</v>
      </c>
      <c r="Q2185" s="7">
        <v>1</v>
      </c>
      <c r="R2185" s="6">
        <v>0.09</v>
      </c>
      <c r="S2185" s="13" t="s">
        <v>1621</v>
      </c>
      <c r="T2185" s="6"/>
      <c r="U2185" s="7"/>
      <c r="V2185" s="5"/>
      <c r="W2185" s="6"/>
      <c r="X2185" s="6"/>
      <c r="Y2185" s="5"/>
      <c r="Z2185" s="7"/>
      <c r="AA2185" s="6"/>
      <c r="AB2185" s="5"/>
      <c r="AC2185" s="6"/>
      <c r="AD2185" s="6"/>
      <c r="AE2185" s="5"/>
      <c r="AF2185" s="7"/>
      <c r="AG2185" s="6"/>
      <c r="AH2185" s="5"/>
      <c r="AI2185" s="6"/>
      <c r="AJ2185" s="6"/>
      <c r="AK2185" s="5"/>
      <c r="AL2185" s="5"/>
      <c r="AM2185" s="5"/>
      <c r="AN2185" s="5"/>
      <c r="AO2185" s="5"/>
      <c r="AP2185" s="5"/>
      <c r="AQ2185" s="5"/>
    </row>
    <row r="2186" spans="1:43" x14ac:dyDescent="0.25">
      <c r="A2186" s="161" t="str">
        <f t="shared" si="40"/>
        <v>ARMORED_CAR</v>
      </c>
      <c r="B2186" s="9" t="s">
        <v>745</v>
      </c>
      <c r="E2186" s="4" t="s">
        <v>2635</v>
      </c>
      <c r="F2186" s="4" t="s">
        <v>2635</v>
      </c>
      <c r="H2186" s="4" t="s">
        <v>2229</v>
      </c>
      <c r="I2186" s="4" t="s">
        <v>120</v>
      </c>
      <c r="K2186" s="7">
        <v>1</v>
      </c>
      <c r="Q2186" s="7">
        <v>2</v>
      </c>
      <c r="R2186" s="6">
        <v>0.11</v>
      </c>
      <c r="S2186" s="13" t="s">
        <v>1623</v>
      </c>
      <c r="T2186" s="6"/>
      <c r="U2186" s="7"/>
      <c r="V2186" s="5"/>
      <c r="W2186" s="6"/>
      <c r="X2186" s="6"/>
      <c r="Y2186" s="5"/>
      <c r="Z2186" s="7"/>
      <c r="AA2186" s="6"/>
      <c r="AB2186" s="5"/>
      <c r="AC2186" s="6"/>
      <c r="AD2186" s="6"/>
      <c r="AE2186" s="5"/>
      <c r="AF2186" s="7"/>
      <c r="AG2186" s="6"/>
      <c r="AH2186" s="5"/>
      <c r="AI2186" s="6"/>
      <c r="AJ2186" s="6"/>
      <c r="AK2186" s="5"/>
      <c r="AL2186" s="5"/>
      <c r="AM2186" s="5"/>
      <c r="AN2186" s="5"/>
      <c r="AO2186" s="5"/>
      <c r="AP2186" s="5"/>
      <c r="AQ2186" s="5"/>
    </row>
    <row r="2187" spans="1:43" x14ac:dyDescent="0.25">
      <c r="A2187" s="161" t="str">
        <f t="shared" si="40"/>
        <v>ARMORED_CAR_ED</v>
      </c>
      <c r="B2187" s="9" t="s">
        <v>745</v>
      </c>
      <c r="C2187" s="5"/>
      <c r="D2187" s="5"/>
      <c r="E2187" s="5" t="s">
        <v>2636</v>
      </c>
      <c r="F2187" s="5" t="s">
        <v>2636</v>
      </c>
      <c r="G2187" s="5"/>
      <c r="H2187" s="5" t="s">
        <v>2620</v>
      </c>
      <c r="I2187" s="5" t="s">
        <v>102</v>
      </c>
      <c r="J2187" s="6"/>
      <c r="K2187" s="6">
        <v>1</v>
      </c>
      <c r="L2187" s="13" t="s">
        <v>1709</v>
      </c>
      <c r="M2187" s="8"/>
      <c r="N2187" s="5"/>
      <c r="O2187" s="5"/>
      <c r="P2187" s="5"/>
      <c r="Q2187" s="7">
        <v>2</v>
      </c>
      <c r="R2187" s="6" t="s">
        <v>1695</v>
      </c>
      <c r="S2187" s="13" t="s">
        <v>1623</v>
      </c>
      <c r="T2187" s="6"/>
      <c r="U2187" s="6"/>
      <c r="V2187" s="5"/>
      <c r="W2187" s="6" t="s">
        <v>3</v>
      </c>
      <c r="X2187" s="6" t="s">
        <v>3</v>
      </c>
      <c r="Y2187" s="5"/>
      <c r="Z2187" s="7">
        <v>1</v>
      </c>
      <c r="AA2187" s="6"/>
      <c r="AB2187" s="5"/>
      <c r="AC2187" s="6"/>
      <c r="AD2187" s="6" t="s">
        <v>3</v>
      </c>
      <c r="AE2187" s="5"/>
      <c r="AF2187" s="6"/>
      <c r="AG2187" s="6"/>
      <c r="AH2187" s="5"/>
      <c r="AI2187" s="6"/>
      <c r="AJ2187" s="6"/>
      <c r="AK2187" s="5"/>
      <c r="AL2187" s="5"/>
      <c r="AM2187" s="5"/>
      <c r="AN2187" s="5"/>
      <c r="AO2187" s="5"/>
      <c r="AP2187" s="5"/>
      <c r="AQ2187" s="5"/>
    </row>
    <row r="2188" spans="1:43" x14ac:dyDescent="0.25">
      <c r="A2188" s="161" t="str">
        <f t="shared" si="40"/>
        <v>ARMORED_CAR_ED_AFRI</v>
      </c>
      <c r="B2188" s="9" t="s">
        <v>745</v>
      </c>
      <c r="C2188" s="4" t="s">
        <v>694</v>
      </c>
      <c r="D2188" s="4" t="s">
        <v>690</v>
      </c>
      <c r="E2188" s="4" t="s">
        <v>2636</v>
      </c>
      <c r="F2188" s="4" t="s">
        <v>2636</v>
      </c>
      <c r="K2188" s="11">
        <v>1</v>
      </c>
      <c r="Q2188" s="9"/>
      <c r="T2188" s="9"/>
      <c r="W2188" s="9"/>
      <c r="AF2188" s="9"/>
      <c r="AI2188" s="9"/>
    </row>
    <row r="2189" spans="1:43" x14ac:dyDescent="0.25">
      <c r="A2189" s="161" t="str">
        <f t="shared" si="40"/>
        <v>ARMORED_CAR_ED_ZULU</v>
      </c>
      <c r="B2189" s="9" t="s">
        <v>745</v>
      </c>
      <c r="C2189" s="4" t="s">
        <v>742</v>
      </c>
      <c r="D2189" s="4" t="s">
        <v>713</v>
      </c>
      <c r="E2189" s="4" t="s">
        <v>2636</v>
      </c>
      <c r="F2189" s="4" t="s">
        <v>2636</v>
      </c>
      <c r="K2189" s="11">
        <v>1</v>
      </c>
      <c r="Q2189" s="9"/>
      <c r="T2189" s="9"/>
      <c r="W2189" s="9"/>
      <c r="AF2189" s="9"/>
      <c r="AI2189" s="9"/>
    </row>
    <row r="2190" spans="1:43" x14ac:dyDescent="0.25">
      <c r="A2190" s="161" t="str">
        <f t="shared" si="40"/>
        <v>ARMORED_CAR_ED_AMER</v>
      </c>
      <c r="B2190" s="9" t="s">
        <v>745</v>
      </c>
      <c r="C2190" s="4" t="s">
        <v>697</v>
      </c>
      <c r="D2190" s="4" t="s">
        <v>699</v>
      </c>
      <c r="E2190" s="4" t="s">
        <v>2636</v>
      </c>
      <c r="F2190" s="4" t="s">
        <v>2636</v>
      </c>
      <c r="K2190" s="11">
        <v>1</v>
      </c>
      <c r="Q2190" s="9"/>
      <c r="T2190" s="9"/>
      <c r="W2190" s="9"/>
      <c r="AF2190" s="9"/>
      <c r="AI2190" s="9"/>
    </row>
    <row r="2191" spans="1:43" x14ac:dyDescent="0.25">
      <c r="A2191" s="161" t="str">
        <f t="shared" si="40"/>
        <v>ARMORED_CAR_ED_CHINA</v>
      </c>
      <c r="B2191" s="9" t="s">
        <v>745</v>
      </c>
      <c r="C2191" s="4" t="s">
        <v>710</v>
      </c>
      <c r="E2191" s="4" t="s">
        <v>2636</v>
      </c>
      <c r="F2191" s="4" t="s">
        <v>2636</v>
      </c>
      <c r="G2191" s="14" t="s">
        <v>132</v>
      </c>
      <c r="H2191" s="4" t="s">
        <v>2633</v>
      </c>
      <c r="I2191" s="4" t="s">
        <v>102</v>
      </c>
      <c r="K2191" s="11">
        <v>1</v>
      </c>
    </row>
    <row r="2192" spans="1:43" x14ac:dyDescent="0.25">
      <c r="A2192" s="161" t="str">
        <f t="shared" si="40"/>
        <v>ARMORED_CAR_ED_JAPAN</v>
      </c>
      <c r="B2192" s="9" t="s">
        <v>745</v>
      </c>
      <c r="C2192" s="4" t="s">
        <v>722</v>
      </c>
      <c r="E2192" s="4" t="s">
        <v>2636</v>
      </c>
      <c r="F2192" s="4" t="s">
        <v>2636</v>
      </c>
      <c r="G2192" s="14" t="s">
        <v>132</v>
      </c>
      <c r="H2192" s="4" t="s">
        <v>2627</v>
      </c>
      <c r="I2192" s="4" t="s">
        <v>102</v>
      </c>
      <c r="K2192" s="11">
        <v>1</v>
      </c>
    </row>
    <row r="2193" spans="1:11" x14ac:dyDescent="0.25">
      <c r="A2193" s="161" t="str">
        <f t="shared" si="40"/>
        <v>ARMORED_CAR_ED_KOREA</v>
      </c>
      <c r="B2193" s="9" t="s">
        <v>745</v>
      </c>
      <c r="C2193" s="4" t="s">
        <v>723</v>
      </c>
      <c r="D2193" s="4" t="s">
        <v>722</v>
      </c>
      <c r="E2193" s="4" t="s">
        <v>2636</v>
      </c>
      <c r="F2193" s="4" t="s">
        <v>2636</v>
      </c>
      <c r="G2193" s="14"/>
      <c r="K2193" s="11">
        <v>1</v>
      </c>
    </row>
    <row r="2194" spans="1:11" x14ac:dyDescent="0.25">
      <c r="A2194" s="161" t="str">
        <f t="shared" si="40"/>
        <v>ARMORED_CAR_ED_HUNS</v>
      </c>
      <c r="B2194" s="9" t="s">
        <v>745</v>
      </c>
      <c r="C2194" s="4" t="s">
        <v>904</v>
      </c>
      <c r="E2194" s="4" t="s">
        <v>2636</v>
      </c>
      <c r="F2194" s="4" t="s">
        <v>2636</v>
      </c>
      <c r="H2194" s="4" t="s">
        <v>2628</v>
      </c>
      <c r="I2194" s="4" t="s">
        <v>102</v>
      </c>
      <c r="K2194" s="11">
        <v>1</v>
      </c>
    </row>
    <row r="2195" spans="1:11" x14ac:dyDescent="0.25">
      <c r="A2195" s="161" t="str">
        <f t="shared" si="40"/>
        <v>ARMORED_CAR_ED_EASTEU</v>
      </c>
      <c r="B2195" s="9" t="s">
        <v>745</v>
      </c>
      <c r="C2195" s="4" t="s">
        <v>698</v>
      </c>
      <c r="E2195" s="4" t="s">
        <v>2636</v>
      </c>
      <c r="F2195" s="4" t="s">
        <v>2636</v>
      </c>
      <c r="H2195" s="4" t="s">
        <v>2623</v>
      </c>
      <c r="I2195" s="4" t="s">
        <v>102</v>
      </c>
      <c r="K2195" s="11">
        <v>1</v>
      </c>
    </row>
    <row r="2196" spans="1:11" x14ac:dyDescent="0.25">
      <c r="A2196" s="161" t="str">
        <f t="shared" si="40"/>
        <v>ARMORED_CAR_ED_POLAND</v>
      </c>
      <c r="B2196" s="9" t="s">
        <v>745</v>
      </c>
      <c r="C2196" s="4" t="s">
        <v>732</v>
      </c>
      <c r="E2196" s="4" t="s">
        <v>2636</v>
      </c>
      <c r="F2196" s="4" t="s">
        <v>2636</v>
      </c>
      <c r="G2196" s="14" t="s">
        <v>132</v>
      </c>
      <c r="H2196" s="4" t="s">
        <v>2625</v>
      </c>
      <c r="I2196" s="4" t="s">
        <v>102</v>
      </c>
      <c r="K2196" s="11">
        <v>1</v>
      </c>
    </row>
    <row r="2197" spans="1:11" x14ac:dyDescent="0.25">
      <c r="A2197" s="161" t="str">
        <f t="shared" si="40"/>
        <v>ARMORED_CAR_ED_RUSSIA</v>
      </c>
      <c r="B2197" s="9" t="s">
        <v>745</v>
      </c>
      <c r="C2197" s="4" t="s">
        <v>735</v>
      </c>
      <c r="D2197" s="4" t="s">
        <v>698</v>
      </c>
      <c r="E2197" s="4" t="s">
        <v>2636</v>
      </c>
      <c r="F2197" s="4" t="s">
        <v>2636</v>
      </c>
      <c r="G2197" s="14" t="s">
        <v>132</v>
      </c>
      <c r="K2197" s="11">
        <v>1</v>
      </c>
    </row>
    <row r="2198" spans="1:11" x14ac:dyDescent="0.25">
      <c r="A2198" s="161" t="str">
        <f t="shared" si="40"/>
        <v>ARMORED_CAR_ED_AMERICA</v>
      </c>
      <c r="B2198" s="9" t="s">
        <v>745</v>
      </c>
      <c r="C2198" s="4" t="s">
        <v>699</v>
      </c>
      <c r="E2198" s="4" t="s">
        <v>2636</v>
      </c>
      <c r="F2198" s="4" t="s">
        <v>2636</v>
      </c>
      <c r="G2198" s="14"/>
      <c r="H2198" s="4" t="s">
        <v>2634</v>
      </c>
      <c r="I2198" s="4" t="s">
        <v>102</v>
      </c>
      <c r="K2198" s="11">
        <v>1</v>
      </c>
    </row>
    <row r="2199" spans="1:11" x14ac:dyDescent="0.25">
      <c r="A2199" s="161" t="str">
        <f t="shared" si="40"/>
        <v>ARMORED_CAR_ED_AUSTRALIA</v>
      </c>
      <c r="B2199" s="9" t="s">
        <v>745</v>
      </c>
      <c r="C2199" s="4" t="s">
        <v>1302</v>
      </c>
      <c r="D2199" s="4" t="s">
        <v>713</v>
      </c>
      <c r="E2199" s="4" t="s">
        <v>2636</v>
      </c>
      <c r="F2199" s="4" t="s">
        <v>2636</v>
      </c>
      <c r="G2199" s="14"/>
      <c r="K2199" s="11">
        <v>1</v>
      </c>
    </row>
    <row r="2200" spans="1:11" x14ac:dyDescent="0.25">
      <c r="A2200" s="161" t="str">
        <f t="shared" si="40"/>
        <v>ARMORED_CAR_ED_AUSTRIA</v>
      </c>
      <c r="B2200" s="9" t="s">
        <v>745</v>
      </c>
      <c r="C2200" s="4" t="s">
        <v>701</v>
      </c>
      <c r="D2200" s="4" t="s">
        <v>717</v>
      </c>
      <c r="E2200" s="4" t="s">
        <v>2636</v>
      </c>
      <c r="F2200" s="4" t="s">
        <v>2636</v>
      </c>
      <c r="G2200" s="14"/>
      <c r="K2200" s="11">
        <v>1</v>
      </c>
    </row>
    <row r="2201" spans="1:11" x14ac:dyDescent="0.25">
      <c r="A2201" s="161" t="str">
        <f t="shared" si="40"/>
        <v>ARMORED_CAR_ED_CANADA</v>
      </c>
      <c r="B2201" s="9" t="s">
        <v>745</v>
      </c>
      <c r="C2201" s="4" t="s">
        <v>2209</v>
      </c>
      <c r="D2201" s="4" t="s">
        <v>713</v>
      </c>
      <c r="E2201" s="4" t="s">
        <v>2636</v>
      </c>
      <c r="F2201" s="4" t="s">
        <v>2636</v>
      </c>
      <c r="G2201" s="14"/>
      <c r="K2201" s="11">
        <v>1</v>
      </c>
    </row>
    <row r="2202" spans="1:11" x14ac:dyDescent="0.25">
      <c r="A2202" s="161" t="str">
        <f t="shared" si="40"/>
        <v>ARMORED_CAR_ED_CELTS</v>
      </c>
      <c r="B2202" s="9" t="s">
        <v>745</v>
      </c>
      <c r="C2202" s="4" t="s">
        <v>709</v>
      </c>
      <c r="D2202" s="4" t="s">
        <v>713</v>
      </c>
      <c r="E2202" s="4" t="s">
        <v>2636</v>
      </c>
      <c r="F2202" s="4" t="s">
        <v>2636</v>
      </c>
      <c r="G2202" s="14"/>
      <c r="K2202" s="11">
        <v>1</v>
      </c>
    </row>
    <row r="2203" spans="1:11" x14ac:dyDescent="0.25">
      <c r="A2203" s="161" t="str">
        <f t="shared" si="40"/>
        <v>ARMORED_CAR_ED_ENGLAND</v>
      </c>
      <c r="B2203" s="9" t="s">
        <v>745</v>
      </c>
      <c r="C2203" s="4" t="s">
        <v>713</v>
      </c>
      <c r="E2203" s="4" t="s">
        <v>2636</v>
      </c>
      <c r="F2203" s="4" t="s">
        <v>2636</v>
      </c>
      <c r="G2203" s="14" t="s">
        <v>132</v>
      </c>
      <c r="H2203" s="4" t="s">
        <v>2632</v>
      </c>
      <c r="I2203" s="4" t="s">
        <v>102</v>
      </c>
      <c r="K2203" s="11">
        <v>1</v>
      </c>
    </row>
    <row r="2204" spans="1:11" x14ac:dyDescent="0.25">
      <c r="A2204" s="161" t="str">
        <f t="shared" si="40"/>
        <v>ARMORED_CAR_ED_FRANCE</v>
      </c>
      <c r="B2204" s="9" t="s">
        <v>745</v>
      </c>
      <c r="C2204" s="4" t="s">
        <v>715</v>
      </c>
      <c r="E2204" s="4" t="s">
        <v>2636</v>
      </c>
      <c r="F2204" s="4" t="s">
        <v>2636</v>
      </c>
      <c r="G2204" s="14" t="s">
        <v>132</v>
      </c>
      <c r="H2204" s="4" t="s">
        <v>2631</v>
      </c>
      <c r="I2204" s="4" t="s">
        <v>102</v>
      </c>
      <c r="K2204" s="11">
        <v>1</v>
      </c>
    </row>
    <row r="2205" spans="1:11" x14ac:dyDescent="0.25">
      <c r="A2205" s="161" t="str">
        <f t="shared" si="40"/>
        <v>ARMORED_CAR_ED_GERMANY</v>
      </c>
      <c r="B2205" s="9" t="s">
        <v>745</v>
      </c>
      <c r="C2205" s="4" t="s">
        <v>717</v>
      </c>
      <c r="E2205" s="4" t="s">
        <v>2636</v>
      </c>
      <c r="F2205" s="4" t="s">
        <v>2636</v>
      </c>
      <c r="G2205" s="14" t="s">
        <v>132</v>
      </c>
      <c r="H2205" s="4" t="s">
        <v>2630</v>
      </c>
      <c r="I2205" s="4" t="s">
        <v>102</v>
      </c>
      <c r="K2205" s="11">
        <v>1</v>
      </c>
    </row>
    <row r="2206" spans="1:11" x14ac:dyDescent="0.25">
      <c r="A2206" s="161" t="str">
        <f t="shared" si="40"/>
        <v>ARMORED_CAR_ED_MIDEAST</v>
      </c>
      <c r="B2206" s="9" t="s">
        <v>745</v>
      </c>
      <c r="C2206" s="4" t="s">
        <v>690</v>
      </c>
      <c r="E2206" s="4" t="s">
        <v>2636</v>
      </c>
      <c r="F2206" s="4" t="s">
        <v>2636</v>
      </c>
      <c r="G2206" s="14"/>
      <c r="H2206" s="4" t="s">
        <v>2637</v>
      </c>
      <c r="I2206" s="4" t="s">
        <v>102</v>
      </c>
      <c r="K2206" s="11">
        <v>1</v>
      </c>
    </row>
    <row r="2207" spans="1:11" x14ac:dyDescent="0.25">
      <c r="A2207" s="161" t="str">
        <f t="shared" si="40"/>
        <v>ARMORED_CAR_ED_NETHERLANDS</v>
      </c>
      <c r="B2207" s="9" t="s">
        <v>745</v>
      </c>
      <c r="C2207" s="4" t="s">
        <v>730</v>
      </c>
      <c r="E2207" s="4" t="s">
        <v>2636</v>
      </c>
      <c r="F2207" s="4" t="s">
        <v>2636</v>
      </c>
      <c r="G2207" s="14" t="s">
        <v>132</v>
      </c>
      <c r="H2207" s="4" t="s">
        <v>2626</v>
      </c>
      <c r="I2207" s="4" t="s">
        <v>102</v>
      </c>
      <c r="K2207" s="11">
        <v>1</v>
      </c>
    </row>
    <row r="2208" spans="1:11" x14ac:dyDescent="0.25">
      <c r="A2208" s="161" t="str">
        <f t="shared" si="40"/>
        <v>ARMORED_CAR_ED_MED</v>
      </c>
      <c r="B2208" s="9" t="s">
        <v>745</v>
      </c>
      <c r="C2208" s="4" t="s">
        <v>692</v>
      </c>
      <c r="E2208" s="4" t="s">
        <v>2636</v>
      </c>
      <c r="F2208" s="4" t="s">
        <v>2636</v>
      </c>
      <c r="G2208" s="14"/>
      <c r="H2208" s="4" t="s">
        <v>2629</v>
      </c>
      <c r="I2208" s="4" t="s">
        <v>102</v>
      </c>
      <c r="K2208" s="11">
        <v>1</v>
      </c>
    </row>
    <row r="2209" spans="1:35" x14ac:dyDescent="0.25">
      <c r="A2209" s="161" t="str">
        <f t="shared" si="40"/>
        <v>ARMORED_CAR_ED_GREECE</v>
      </c>
      <c r="B2209" s="9" t="s">
        <v>745</v>
      </c>
      <c r="C2209" s="4" t="s">
        <v>718</v>
      </c>
      <c r="D2209" s="4" t="s">
        <v>692</v>
      </c>
      <c r="E2209" s="4" t="s">
        <v>2636</v>
      </c>
      <c r="F2209" s="4" t="s">
        <v>2636</v>
      </c>
      <c r="G2209" s="14"/>
      <c r="K2209" s="11">
        <v>1</v>
      </c>
    </row>
    <row r="2210" spans="1:35" x14ac:dyDescent="0.25">
      <c r="A2210" s="161" t="str">
        <f t="shared" si="40"/>
        <v>ARMORED_CAR_ED_ROME</v>
      </c>
      <c r="B2210" s="9" t="s">
        <v>745</v>
      </c>
      <c r="C2210" s="4" t="s">
        <v>734</v>
      </c>
      <c r="E2210" s="4" t="s">
        <v>2636</v>
      </c>
      <c r="F2210" s="4" t="s">
        <v>2636</v>
      </c>
      <c r="G2210" s="14" t="s">
        <v>132</v>
      </c>
      <c r="H2210" s="4" t="s">
        <v>2624</v>
      </c>
      <c r="I2210" s="4" t="s">
        <v>102</v>
      </c>
      <c r="K2210" s="11">
        <v>1</v>
      </c>
    </row>
    <row r="2211" spans="1:35" x14ac:dyDescent="0.25">
      <c r="A2211" s="161" t="str">
        <f t="shared" si="40"/>
        <v>ARMORED_CAR_ED_SPAIN</v>
      </c>
      <c r="B2211" s="9" t="s">
        <v>745</v>
      </c>
      <c r="C2211" s="4" t="s">
        <v>738</v>
      </c>
      <c r="E2211" s="4" t="s">
        <v>2636</v>
      </c>
      <c r="F2211" s="4" t="s">
        <v>2636</v>
      </c>
      <c r="G2211" s="14" t="s">
        <v>132</v>
      </c>
      <c r="H2211" s="4" t="s">
        <v>2622</v>
      </c>
      <c r="I2211" s="4" t="s">
        <v>102</v>
      </c>
      <c r="K2211" s="11">
        <v>1</v>
      </c>
    </row>
    <row r="2212" spans="1:35" x14ac:dyDescent="0.25">
      <c r="A2212" s="161" t="str">
        <f t="shared" si="40"/>
        <v>ARMORED_CAR_ED_NORTHAF</v>
      </c>
      <c r="B2212" s="9" t="s">
        <v>745</v>
      </c>
      <c r="C2212" s="4" t="s">
        <v>2011</v>
      </c>
      <c r="D2212" s="4" t="s">
        <v>690</v>
      </c>
      <c r="E2212" s="4" t="s">
        <v>2636</v>
      </c>
      <c r="F2212" s="4" t="s">
        <v>2636</v>
      </c>
      <c r="G2212" s="14"/>
      <c r="K2212" s="11">
        <v>1</v>
      </c>
    </row>
    <row r="2213" spans="1:35" x14ac:dyDescent="0.25">
      <c r="A2213" s="161" t="str">
        <f t="shared" si="40"/>
        <v>ARMORED_CAR_ED_SWEDEN</v>
      </c>
      <c r="B2213" s="9" t="s">
        <v>745</v>
      </c>
      <c r="C2213" s="4" t="s">
        <v>739</v>
      </c>
      <c r="E2213" s="4" t="s">
        <v>2636</v>
      </c>
      <c r="F2213" s="4" t="s">
        <v>2636</v>
      </c>
      <c r="G2213" s="14" t="s">
        <v>132</v>
      </c>
      <c r="H2213" s="4" t="s">
        <v>2621</v>
      </c>
      <c r="I2213" s="4" t="s">
        <v>102</v>
      </c>
      <c r="K2213" s="11">
        <v>1</v>
      </c>
    </row>
    <row r="2214" spans="1:35" x14ac:dyDescent="0.25">
      <c r="A2214" s="161" t="str">
        <f t="shared" si="40"/>
        <v>ARMORED_CAR_ED_OCEAN</v>
      </c>
      <c r="B2214" s="9" t="s">
        <v>745</v>
      </c>
      <c r="C2214" s="4" t="s">
        <v>994</v>
      </c>
      <c r="D2214" s="4" t="s">
        <v>690</v>
      </c>
      <c r="E2214" s="4" t="s">
        <v>2636</v>
      </c>
      <c r="F2214" s="4" t="s">
        <v>2636</v>
      </c>
      <c r="K2214" s="11">
        <v>1</v>
      </c>
    </row>
    <row r="2215" spans="1:35" x14ac:dyDescent="0.25">
      <c r="A2215" s="161" t="str">
        <f t="shared" si="40"/>
        <v>ARMORED_CAR_ED_SAHUL</v>
      </c>
      <c r="B2215" s="9" t="s">
        <v>745</v>
      </c>
      <c r="C2215" s="4" t="s">
        <v>1788</v>
      </c>
      <c r="D2215" s="4" t="s">
        <v>730</v>
      </c>
      <c r="E2215" s="4" t="s">
        <v>2636</v>
      </c>
      <c r="F2215" s="4" t="s">
        <v>2636</v>
      </c>
      <c r="K2215" s="11">
        <v>1</v>
      </c>
    </row>
    <row r="2216" spans="1:35" x14ac:dyDescent="0.25">
      <c r="A2216" s="161" t="str">
        <f t="shared" si="40"/>
        <v>ARMORED_CAR_ED_SOUTHAM</v>
      </c>
      <c r="B2216" s="9" t="s">
        <v>745</v>
      </c>
      <c r="C2216" s="4" t="s">
        <v>691</v>
      </c>
      <c r="D2216" s="4" t="s">
        <v>734</v>
      </c>
      <c r="E2216" s="4" t="s">
        <v>2636</v>
      </c>
      <c r="F2216" s="4" t="s">
        <v>2636</v>
      </c>
      <c r="K2216" s="11">
        <v>1</v>
      </c>
    </row>
    <row r="2217" spans="1:35" x14ac:dyDescent="0.25">
      <c r="A2217" s="161" t="str">
        <f t="shared" si="40"/>
        <v>COLONIST</v>
      </c>
      <c r="B2217" s="9" t="s">
        <v>2647</v>
      </c>
      <c r="E2217" s="4" t="s">
        <v>2647</v>
      </c>
      <c r="F2217" s="4" t="s">
        <v>2656</v>
      </c>
      <c r="I2217" s="4" t="s">
        <v>1935</v>
      </c>
      <c r="K2217" s="11">
        <v>1</v>
      </c>
      <c r="S2217" s="4" t="s">
        <v>1623</v>
      </c>
      <c r="Z2217" s="11">
        <v>1</v>
      </c>
    </row>
    <row r="2218" spans="1:35" x14ac:dyDescent="0.25">
      <c r="A2218" s="161" t="str">
        <f t="shared" si="40"/>
        <v>COLONIST</v>
      </c>
      <c r="B2218" s="9" t="s">
        <v>2647</v>
      </c>
      <c r="E2218" s="4" t="s">
        <v>2647</v>
      </c>
      <c r="F2218" s="4" t="s">
        <v>2657</v>
      </c>
      <c r="I2218" s="4" t="s">
        <v>1935</v>
      </c>
      <c r="K2218" s="11">
        <v>1</v>
      </c>
      <c r="S2218" s="4" t="s">
        <v>1623</v>
      </c>
      <c r="Z2218" s="11">
        <v>0</v>
      </c>
    </row>
    <row r="2219" spans="1:35" x14ac:dyDescent="0.25">
      <c r="A2219" s="161" t="str">
        <f t="shared" si="40"/>
        <v>COLONIST</v>
      </c>
      <c r="B2219" s="9" t="s">
        <v>2647</v>
      </c>
      <c r="E2219" s="4" t="s">
        <v>2647</v>
      </c>
      <c r="F2219" s="4" t="s">
        <v>2658</v>
      </c>
      <c r="I2219" s="4" t="s">
        <v>1935</v>
      </c>
      <c r="K2219" s="11">
        <v>1</v>
      </c>
      <c r="S2219" s="4" t="s">
        <v>1623</v>
      </c>
      <c r="Z2219" s="11">
        <v>0</v>
      </c>
    </row>
    <row r="2220" spans="1:35" x14ac:dyDescent="0.25">
      <c r="A2220" s="161" t="str">
        <f t="shared" si="40"/>
        <v>CORVETTE</v>
      </c>
      <c r="B2220" s="9" t="s">
        <v>1364</v>
      </c>
      <c r="E2220" s="4" t="s">
        <v>2640</v>
      </c>
      <c r="F2220" s="4" t="s">
        <v>2640</v>
      </c>
      <c r="H2220" s="4" t="s">
        <v>31</v>
      </c>
      <c r="I2220" s="4" t="s">
        <v>128</v>
      </c>
      <c r="K2220" s="11">
        <v>1</v>
      </c>
      <c r="Q2220" s="11">
        <v>1</v>
      </c>
      <c r="R2220" s="11" t="s">
        <v>1737</v>
      </c>
      <c r="T2220" s="11">
        <v>2</v>
      </c>
      <c r="U2220" s="11">
        <v>0.115</v>
      </c>
      <c r="V2220" s="4" t="s">
        <v>1700</v>
      </c>
    </row>
    <row r="2221" spans="1:35" x14ac:dyDescent="0.25">
      <c r="A2221" s="161" t="str">
        <f t="shared" si="40"/>
        <v>CUIRASSIER</v>
      </c>
      <c r="B2221" s="9" t="s">
        <v>2641</v>
      </c>
      <c r="E2221" s="4" t="s">
        <v>2641</v>
      </c>
      <c r="F2221" s="4" t="s">
        <v>2641</v>
      </c>
      <c r="H2221" s="4" t="s">
        <v>2165</v>
      </c>
      <c r="I2221" s="4" t="s">
        <v>1813</v>
      </c>
      <c r="K2221" s="11">
        <v>1</v>
      </c>
      <c r="Q2221" s="11" t="s">
        <v>1695</v>
      </c>
      <c r="R2221" s="11" t="s">
        <v>1695</v>
      </c>
      <c r="S2221" s="4" t="s">
        <v>1695</v>
      </c>
      <c r="Z2221" s="11">
        <v>1</v>
      </c>
    </row>
    <row r="2222" spans="1:35" x14ac:dyDescent="0.25">
      <c r="A2222" s="161" t="str">
        <f t="shared" si="40"/>
        <v>CRUISER</v>
      </c>
      <c r="B2222" s="9" t="s">
        <v>2638</v>
      </c>
      <c r="E2222" s="4" t="s">
        <v>2638</v>
      </c>
      <c r="F2222" s="4" t="s">
        <v>2638</v>
      </c>
      <c r="H2222" s="4" t="s">
        <v>2177</v>
      </c>
      <c r="I2222" s="4" t="s">
        <v>1935</v>
      </c>
      <c r="K2222" s="11">
        <v>1</v>
      </c>
      <c r="Q2222" s="11">
        <v>1</v>
      </c>
      <c r="R2222" s="11">
        <v>0.09</v>
      </c>
      <c r="U2222" s="11">
        <v>0.105</v>
      </c>
    </row>
    <row r="2223" spans="1:35" x14ac:dyDescent="0.25">
      <c r="A2223" s="161" t="str">
        <f t="shared" si="40"/>
        <v>EXPLORER_CBP</v>
      </c>
      <c r="B2223" s="9" t="s">
        <v>1338</v>
      </c>
      <c r="E2223" s="4" t="s">
        <v>2648</v>
      </c>
      <c r="F2223" s="4" t="s">
        <v>2660</v>
      </c>
      <c r="G2223" s="4" t="s">
        <v>1970</v>
      </c>
      <c r="H2223" s="4" t="s">
        <v>2072</v>
      </c>
      <c r="I2223" s="4" t="s">
        <v>2073</v>
      </c>
      <c r="K2223" s="11">
        <v>1</v>
      </c>
      <c r="Q2223" s="11">
        <v>1</v>
      </c>
      <c r="T2223" s="11">
        <v>1</v>
      </c>
      <c r="Z2223" s="11">
        <v>0</v>
      </c>
      <c r="AF2223" s="11">
        <v>1</v>
      </c>
      <c r="AI2223" s="11">
        <v>1</v>
      </c>
    </row>
    <row r="2224" spans="1:35" x14ac:dyDescent="0.25">
      <c r="A2224" s="161" t="str">
        <f t="shared" si="40"/>
        <v>EXPLORER_CBP</v>
      </c>
      <c r="B2224" s="9" t="s">
        <v>1338</v>
      </c>
      <c r="E2224" s="4" t="s">
        <v>2648</v>
      </c>
      <c r="F2224" s="4" t="s">
        <v>2660</v>
      </c>
      <c r="G2224" s="4" t="s">
        <v>2170</v>
      </c>
      <c r="H2224" s="4" t="s">
        <v>2074</v>
      </c>
      <c r="I2224" s="4" t="s">
        <v>2073</v>
      </c>
      <c r="K2224" s="11">
        <v>1</v>
      </c>
      <c r="Q2224" s="11">
        <v>1</v>
      </c>
      <c r="T2224" s="11">
        <v>1</v>
      </c>
      <c r="Z2224" s="11">
        <v>0</v>
      </c>
      <c r="AF2224" s="11">
        <v>1</v>
      </c>
      <c r="AI2224" s="11">
        <v>1</v>
      </c>
    </row>
    <row r="2225" spans="1:38" x14ac:dyDescent="0.25">
      <c r="A2225" s="161" t="str">
        <f t="shared" si="40"/>
        <v>EXPLORER_CBP</v>
      </c>
      <c r="B2225" s="9" t="s">
        <v>1338</v>
      </c>
      <c r="E2225" s="4" t="s">
        <v>2648</v>
      </c>
      <c r="F2225" s="4" t="s">
        <v>2660</v>
      </c>
      <c r="G2225" s="4" t="s">
        <v>2171</v>
      </c>
      <c r="H2225" s="4" t="s">
        <v>2075</v>
      </c>
      <c r="I2225" s="4" t="s">
        <v>2073</v>
      </c>
      <c r="K2225" s="11">
        <v>1</v>
      </c>
      <c r="Q2225" s="11">
        <v>1</v>
      </c>
      <c r="T2225" s="11">
        <v>1</v>
      </c>
      <c r="Z2225" s="11">
        <v>1</v>
      </c>
      <c r="AF2225" s="11">
        <v>1</v>
      </c>
      <c r="AI2225" s="11">
        <v>2</v>
      </c>
    </row>
    <row r="2226" spans="1:38" x14ac:dyDescent="0.25">
      <c r="A2226" s="161" t="str">
        <f t="shared" si="40"/>
        <v>EXPLORER_CBP</v>
      </c>
      <c r="B2226" s="9" t="s">
        <v>1338</v>
      </c>
      <c r="E2226" s="4" t="s">
        <v>2648</v>
      </c>
      <c r="F2226" s="4" t="s">
        <v>2660</v>
      </c>
      <c r="G2226" s="4" t="s">
        <v>1970</v>
      </c>
      <c r="H2226" s="4" t="s">
        <v>2072</v>
      </c>
      <c r="I2226" s="4" t="s">
        <v>2073</v>
      </c>
      <c r="K2226" s="11">
        <v>1</v>
      </c>
      <c r="Q2226" s="11">
        <v>1</v>
      </c>
      <c r="T2226" s="11">
        <v>1</v>
      </c>
      <c r="Z2226" s="11">
        <v>0</v>
      </c>
      <c r="AF2226" s="11">
        <v>0</v>
      </c>
      <c r="AI2226" s="11">
        <v>1</v>
      </c>
    </row>
    <row r="2227" spans="1:38" x14ac:dyDescent="0.25">
      <c r="A2227" s="161" t="str">
        <f t="shared" si="40"/>
        <v>EXPLORER_CBP</v>
      </c>
      <c r="B2227" s="9" t="s">
        <v>1338</v>
      </c>
      <c r="E2227" s="4" t="s">
        <v>2648</v>
      </c>
      <c r="F2227" s="4" t="s">
        <v>2660</v>
      </c>
      <c r="G2227" s="4" t="s">
        <v>2170</v>
      </c>
      <c r="H2227" s="4" t="s">
        <v>2074</v>
      </c>
      <c r="I2227" s="4" t="s">
        <v>2073</v>
      </c>
      <c r="K2227" s="11">
        <v>1</v>
      </c>
      <c r="Q2227" s="11">
        <v>1</v>
      </c>
      <c r="T2227" s="11">
        <v>1</v>
      </c>
      <c r="Z2227" s="11">
        <v>0</v>
      </c>
      <c r="AF2227" s="11">
        <v>0</v>
      </c>
      <c r="AI2227" s="11">
        <v>0</v>
      </c>
    </row>
    <row r="2228" spans="1:38" x14ac:dyDescent="0.25">
      <c r="A2228" s="161" t="str">
        <f t="shared" si="40"/>
        <v>EXPLORER_CBP</v>
      </c>
      <c r="B2228" s="9" t="s">
        <v>1338</v>
      </c>
      <c r="E2228" s="4" t="s">
        <v>2648</v>
      </c>
      <c r="F2228" s="4" t="s">
        <v>2660</v>
      </c>
      <c r="G2228" s="4" t="s">
        <v>2171</v>
      </c>
      <c r="H2228" s="4" t="s">
        <v>2075</v>
      </c>
      <c r="I2228" s="4" t="s">
        <v>2073</v>
      </c>
      <c r="K2228" s="11">
        <v>1</v>
      </c>
      <c r="Q2228" s="11">
        <v>1</v>
      </c>
      <c r="T2228" s="11">
        <v>1</v>
      </c>
      <c r="Z2228" s="11">
        <v>0</v>
      </c>
      <c r="AF2228" s="11">
        <v>0</v>
      </c>
      <c r="AI2228" s="11">
        <v>0</v>
      </c>
    </row>
    <row r="2229" spans="1:38" x14ac:dyDescent="0.25">
      <c r="A2229" s="161" t="str">
        <f t="shared" si="40"/>
        <v>FIELD_GUN</v>
      </c>
      <c r="B2229" s="9" t="s">
        <v>2642</v>
      </c>
      <c r="E2229" s="4" t="s">
        <v>2642</v>
      </c>
      <c r="F2229" s="4" t="s">
        <v>2642</v>
      </c>
      <c r="H2229" s="4" t="s">
        <v>2651</v>
      </c>
      <c r="I2229" s="4" t="s">
        <v>1935</v>
      </c>
      <c r="K2229" s="11">
        <v>1</v>
      </c>
      <c r="Q2229" s="11">
        <v>3</v>
      </c>
      <c r="R2229" s="11" t="s">
        <v>1695</v>
      </c>
      <c r="S2229" s="4" t="s">
        <v>1623</v>
      </c>
      <c r="Z2229" s="11">
        <v>1</v>
      </c>
    </row>
    <row r="2230" spans="1:38" x14ac:dyDescent="0.25">
      <c r="A2230" s="161" t="str">
        <f t="shared" si="40"/>
        <v>GUERILLA</v>
      </c>
      <c r="B2230" s="9" t="s">
        <v>2644</v>
      </c>
      <c r="E2230" s="4" t="s">
        <v>2644</v>
      </c>
      <c r="F2230" s="4" t="s">
        <v>2644</v>
      </c>
      <c r="H2230" s="4" t="s">
        <v>494</v>
      </c>
      <c r="I2230" s="4" t="s">
        <v>122</v>
      </c>
      <c r="K2230" s="11">
        <v>1</v>
      </c>
      <c r="Q2230" s="11" t="s">
        <v>1737</v>
      </c>
      <c r="R2230" s="11" t="s">
        <v>1737</v>
      </c>
      <c r="S2230" s="4" t="s">
        <v>1620</v>
      </c>
      <c r="T2230" s="11">
        <v>18</v>
      </c>
      <c r="U2230" s="11" t="s">
        <v>1737</v>
      </c>
      <c r="W2230" s="11" t="s">
        <v>3</v>
      </c>
      <c r="X2230" s="11" t="s">
        <v>3</v>
      </c>
      <c r="Z2230" s="11">
        <v>1</v>
      </c>
      <c r="AD2230" s="11" t="s">
        <v>3</v>
      </c>
      <c r="AF2230" s="11" t="s">
        <v>1737</v>
      </c>
      <c r="AI2230" s="11" t="s">
        <v>1737</v>
      </c>
    </row>
    <row r="2231" spans="1:38" x14ac:dyDescent="0.25">
      <c r="A2231" s="161" t="str">
        <f t="shared" si="40"/>
        <v>HEAVY_SKIRMISH</v>
      </c>
      <c r="B2231" s="9" t="s">
        <v>2653</v>
      </c>
      <c r="E2231" s="4" t="s">
        <v>2643</v>
      </c>
      <c r="F2231" s="4" t="s">
        <v>2643</v>
      </c>
      <c r="H2231" s="4" t="s">
        <v>2650</v>
      </c>
      <c r="I2231" s="4" t="s">
        <v>102</v>
      </c>
      <c r="K2231" s="11">
        <v>1</v>
      </c>
      <c r="Q2231" s="11" t="s">
        <v>1695</v>
      </c>
      <c r="R2231" s="11" t="s">
        <v>1695</v>
      </c>
      <c r="S2231" s="4" t="s">
        <v>1695</v>
      </c>
      <c r="Z2231" s="11">
        <v>1</v>
      </c>
    </row>
    <row r="2232" spans="1:38" x14ac:dyDescent="0.25">
      <c r="A2232" s="161" t="str">
        <f t="shared" si="40"/>
        <v>MERC</v>
      </c>
      <c r="B2232" s="9" t="s">
        <v>2644</v>
      </c>
      <c r="E2232" s="4" t="s">
        <v>2645</v>
      </c>
      <c r="F2232" s="4" t="s">
        <v>2646</v>
      </c>
      <c r="H2232" s="4" t="s">
        <v>1947</v>
      </c>
      <c r="I2232" s="4" t="s">
        <v>1249</v>
      </c>
      <c r="K2232" s="11">
        <v>1</v>
      </c>
      <c r="Q2232" s="11" t="s">
        <v>1737</v>
      </c>
      <c r="R2232" s="11" t="s">
        <v>1737</v>
      </c>
      <c r="S2232" s="4" t="s">
        <v>1620</v>
      </c>
      <c r="T2232" s="11">
        <v>18</v>
      </c>
      <c r="U2232" s="11" t="s">
        <v>1737</v>
      </c>
      <c r="W2232" s="11" t="s">
        <v>3</v>
      </c>
      <c r="X2232" s="11" t="s">
        <v>3</v>
      </c>
      <c r="Z2232" s="11">
        <v>0</v>
      </c>
      <c r="AD2232" s="11" t="s">
        <v>3</v>
      </c>
      <c r="AF2232" s="11" t="s">
        <v>1737</v>
      </c>
      <c r="AI2232" s="11" t="s">
        <v>1737</v>
      </c>
    </row>
    <row r="2233" spans="1:38" x14ac:dyDescent="0.25">
      <c r="A2233" s="161" t="str">
        <f t="shared" si="40"/>
        <v>PIONEER</v>
      </c>
      <c r="B2233" s="9" t="s">
        <v>2649</v>
      </c>
      <c r="E2233" s="4" t="s">
        <v>2649</v>
      </c>
      <c r="F2233" s="4" t="s">
        <v>2649</v>
      </c>
      <c r="G2233" s="4" t="s">
        <v>1970</v>
      </c>
      <c r="H2233" s="4" t="s">
        <v>1434</v>
      </c>
      <c r="I2233" s="4" t="s">
        <v>128</v>
      </c>
      <c r="K2233" s="11">
        <v>1</v>
      </c>
      <c r="L2233" s="4" t="s">
        <v>1708</v>
      </c>
      <c r="Q2233" s="11">
        <v>1</v>
      </c>
      <c r="R2233" s="11" t="s">
        <v>1695</v>
      </c>
      <c r="S2233" s="4" t="s">
        <v>1610</v>
      </c>
      <c r="U2233" s="11" t="s">
        <v>1737</v>
      </c>
      <c r="X2233" s="11" t="s">
        <v>3</v>
      </c>
      <c r="Z2233" s="11">
        <v>0</v>
      </c>
      <c r="AD2233" s="11" t="s">
        <v>3</v>
      </c>
      <c r="AF2233" s="11">
        <v>0</v>
      </c>
    </row>
    <row r="2234" spans="1:38" x14ac:dyDescent="0.25">
      <c r="A2234" s="161" t="str">
        <f t="shared" si="40"/>
        <v>PIONEER</v>
      </c>
      <c r="B2234" s="9" t="s">
        <v>2649</v>
      </c>
      <c r="E2234" s="4" t="s">
        <v>2649</v>
      </c>
      <c r="F2234" s="4" t="s">
        <v>2649</v>
      </c>
      <c r="G2234" s="4" t="s">
        <v>2170</v>
      </c>
      <c r="H2234" s="4" t="s">
        <v>1435</v>
      </c>
      <c r="I2234" s="4" t="s">
        <v>128</v>
      </c>
      <c r="K2234" s="11">
        <v>1</v>
      </c>
      <c r="L2234" s="4" t="s">
        <v>1708</v>
      </c>
      <c r="Q2234" s="11">
        <v>1</v>
      </c>
      <c r="R2234" s="11" t="s">
        <v>1695</v>
      </c>
      <c r="S2234" s="4" t="s">
        <v>1610</v>
      </c>
      <c r="U2234" s="11" t="s">
        <v>1737</v>
      </c>
      <c r="X2234" s="11" t="s">
        <v>3</v>
      </c>
      <c r="Z2234" s="11">
        <v>0</v>
      </c>
      <c r="AD2234" s="11" t="s">
        <v>3</v>
      </c>
      <c r="AF2234" s="11">
        <v>0</v>
      </c>
    </row>
    <row r="2235" spans="1:38" x14ac:dyDescent="0.25">
      <c r="A2235" s="161" t="str">
        <f t="shared" si="40"/>
        <v>PIONEER</v>
      </c>
      <c r="B2235" s="9" t="s">
        <v>2649</v>
      </c>
      <c r="E2235" s="4" t="s">
        <v>2649</v>
      </c>
      <c r="F2235" s="4" t="s">
        <v>2649</v>
      </c>
      <c r="G2235" s="4" t="s">
        <v>2171</v>
      </c>
      <c r="H2235" s="4" t="s">
        <v>1434</v>
      </c>
      <c r="I2235" s="4" t="s">
        <v>128</v>
      </c>
      <c r="K2235" s="11">
        <v>1</v>
      </c>
      <c r="Q2235" s="11">
        <v>1</v>
      </c>
      <c r="R2235" s="11" t="s">
        <v>1695</v>
      </c>
      <c r="S2235" s="4" t="s">
        <v>1610</v>
      </c>
      <c r="U2235" s="11" t="s">
        <v>1737</v>
      </c>
      <c r="X2235" s="11" t="s">
        <v>3</v>
      </c>
      <c r="Z2235" s="11">
        <v>0</v>
      </c>
    </row>
    <row r="2236" spans="1:38" x14ac:dyDescent="0.25">
      <c r="A2236" s="161" t="str">
        <f t="shared" si="40"/>
        <v>PIONEER</v>
      </c>
      <c r="B2236" s="9" t="s">
        <v>2649</v>
      </c>
      <c r="E2236" s="4" t="s">
        <v>2649</v>
      </c>
      <c r="F2236" s="4" t="s">
        <v>2649</v>
      </c>
      <c r="G2236" s="4" t="s">
        <v>2172</v>
      </c>
      <c r="H2236" s="4" t="s">
        <v>1084</v>
      </c>
      <c r="I2236" s="4" t="s">
        <v>128</v>
      </c>
      <c r="K2236" s="11">
        <v>1</v>
      </c>
      <c r="Q2236" s="11">
        <v>1</v>
      </c>
      <c r="R2236" s="11" t="s">
        <v>1695</v>
      </c>
      <c r="S2236" s="4" t="s">
        <v>1610</v>
      </c>
      <c r="U2236" s="11" t="s">
        <v>1695</v>
      </c>
      <c r="X2236" s="11" t="s">
        <v>3</v>
      </c>
      <c r="Z2236" s="11">
        <v>1</v>
      </c>
    </row>
    <row r="2237" spans="1:38" x14ac:dyDescent="0.25">
      <c r="A2237" s="161" t="str">
        <f t="shared" si="40"/>
        <v>PIONEER</v>
      </c>
      <c r="B2237" s="9" t="s">
        <v>2649</v>
      </c>
      <c r="E2237" s="4" t="s">
        <v>2649</v>
      </c>
      <c r="F2237" s="4" t="s">
        <v>2649</v>
      </c>
      <c r="G2237" s="4" t="s">
        <v>2664</v>
      </c>
      <c r="H2237" s="4" t="s">
        <v>1478</v>
      </c>
      <c r="I2237" s="4" t="s">
        <v>128</v>
      </c>
      <c r="K2237" s="11">
        <v>1</v>
      </c>
      <c r="L2237" s="4" t="s">
        <v>1710</v>
      </c>
      <c r="Q2237" s="11">
        <v>1</v>
      </c>
      <c r="R2237" s="11" t="s">
        <v>1695</v>
      </c>
      <c r="S2237" s="4" t="s">
        <v>1610</v>
      </c>
      <c r="U2237" s="11" t="s">
        <v>1737</v>
      </c>
      <c r="X2237" s="11" t="s">
        <v>3</v>
      </c>
      <c r="Z2237" s="11">
        <v>0</v>
      </c>
      <c r="AD2237" s="11" t="s">
        <v>3</v>
      </c>
      <c r="AF2237" s="11">
        <v>1</v>
      </c>
    </row>
    <row r="2238" spans="1:38" x14ac:dyDescent="0.25">
      <c r="A2238" s="161" t="str">
        <f t="shared" si="40"/>
        <v>PIONEER</v>
      </c>
      <c r="B2238" s="9" t="s">
        <v>2649</v>
      </c>
      <c r="E2238" s="4" t="s">
        <v>2649</v>
      </c>
      <c r="F2238" s="4" t="s">
        <v>2649</v>
      </c>
      <c r="G2238" s="4" t="s">
        <v>2667</v>
      </c>
      <c r="H2238" s="1" t="s">
        <v>1416</v>
      </c>
      <c r="I2238" s="1" t="s">
        <v>128</v>
      </c>
      <c r="J2238" s="1"/>
      <c r="K2238" s="9">
        <v>1</v>
      </c>
      <c r="L2238" s="1" t="s">
        <v>1708</v>
      </c>
      <c r="M2238" s="1"/>
      <c r="N2238" s="1"/>
      <c r="O2238" s="1"/>
      <c r="P2238" s="1"/>
      <c r="Q2238" s="1">
        <v>1</v>
      </c>
      <c r="R2238" s="1">
        <v>0.11799999999999999</v>
      </c>
      <c r="S2238" s="1" t="s">
        <v>1610</v>
      </c>
      <c r="T2238" s="9"/>
      <c r="U2238" s="1" t="s">
        <v>1695</v>
      </c>
      <c r="V2238" s="1"/>
      <c r="W2238" s="1"/>
      <c r="X2238" s="1" t="s">
        <v>3</v>
      </c>
      <c r="Y2238" s="1"/>
      <c r="Z2238" s="1">
        <v>0</v>
      </c>
      <c r="AA2238" s="1"/>
      <c r="AB2238" s="1"/>
      <c r="AC2238" s="1"/>
      <c r="AD2238" s="1" t="s">
        <v>3</v>
      </c>
      <c r="AE2238" s="1"/>
      <c r="AF2238" s="1">
        <v>1</v>
      </c>
      <c r="AG2238" s="1"/>
      <c r="AH2238" s="1"/>
      <c r="AI2238" s="1"/>
      <c r="AJ2238" s="1"/>
      <c r="AK2238" s="1"/>
      <c r="AL2238" s="1"/>
    </row>
    <row r="2239" spans="1:38" x14ac:dyDescent="0.25">
      <c r="A2239" s="161" t="str">
        <f t="shared" si="40"/>
        <v>PIONEER</v>
      </c>
      <c r="B2239" s="9" t="s">
        <v>2649</v>
      </c>
      <c r="E2239" s="4" t="s">
        <v>2649</v>
      </c>
      <c r="F2239" s="4" t="s">
        <v>2649</v>
      </c>
      <c r="G2239" s="4" t="s">
        <v>2665</v>
      </c>
      <c r="H2239" s="4" t="s">
        <v>1417</v>
      </c>
      <c r="I2239" s="4" t="s">
        <v>128</v>
      </c>
      <c r="K2239" s="11">
        <v>1</v>
      </c>
      <c r="L2239" s="4" t="s">
        <v>1708</v>
      </c>
      <c r="Q2239" s="11">
        <v>1</v>
      </c>
      <c r="R2239" s="11">
        <v>0.11799999999999999</v>
      </c>
      <c r="S2239" s="4" t="s">
        <v>1610</v>
      </c>
      <c r="U2239" s="11" t="s">
        <v>1695</v>
      </c>
      <c r="X2239" s="11" t="s">
        <v>3</v>
      </c>
      <c r="Z2239" s="11">
        <v>0</v>
      </c>
      <c r="AD2239" s="11" t="s">
        <v>3</v>
      </c>
      <c r="AF2239" s="11">
        <v>0</v>
      </c>
    </row>
    <row r="2240" spans="1:38" x14ac:dyDescent="0.25">
      <c r="A2240" s="161" t="str">
        <f t="shared" si="40"/>
        <v>PIONEER</v>
      </c>
      <c r="B2240" s="9" t="s">
        <v>2649</v>
      </c>
      <c r="E2240" s="4" t="s">
        <v>2649</v>
      </c>
      <c r="F2240" s="4" t="s">
        <v>2649</v>
      </c>
      <c r="G2240" s="4" t="s">
        <v>2666</v>
      </c>
      <c r="H2240" s="4" t="s">
        <v>1479</v>
      </c>
      <c r="I2240" s="4" t="s">
        <v>128</v>
      </c>
      <c r="K2240" s="11">
        <v>1</v>
      </c>
      <c r="L2240" s="4" t="s">
        <v>1710</v>
      </c>
      <c r="Q2240" s="11">
        <v>1</v>
      </c>
      <c r="R2240" s="11" t="s">
        <v>1695</v>
      </c>
      <c r="S2240" s="4" t="s">
        <v>1610</v>
      </c>
      <c r="U2240" s="11" t="s">
        <v>1737</v>
      </c>
      <c r="X2240" s="11" t="s">
        <v>3</v>
      </c>
      <c r="Z2240" s="11">
        <v>0</v>
      </c>
      <c r="AD2240" s="11" t="s">
        <v>3</v>
      </c>
      <c r="AF2240" s="11">
        <v>0</v>
      </c>
    </row>
    <row r="2241" spans="1:43" x14ac:dyDescent="0.25">
      <c r="A2241" s="161" t="str">
        <f t="shared" si="40"/>
        <v>VOLLEY_GUN</v>
      </c>
      <c r="B2241" s="9" t="s">
        <v>2639</v>
      </c>
      <c r="E2241" s="4" t="s">
        <v>2639</v>
      </c>
      <c r="F2241" s="4" t="s">
        <v>2639</v>
      </c>
      <c r="H2241" s="4" t="s">
        <v>2652</v>
      </c>
      <c r="I2241" s="4" t="s">
        <v>1935</v>
      </c>
      <c r="K2241" s="11">
        <v>1</v>
      </c>
      <c r="Q2241" s="11">
        <v>3</v>
      </c>
      <c r="R2241" s="11" t="s">
        <v>1695</v>
      </c>
      <c r="S2241" s="4" t="s">
        <v>1611</v>
      </c>
      <c r="Z2241" s="11">
        <v>1</v>
      </c>
    </row>
    <row r="2242" spans="1:43" x14ac:dyDescent="0.25">
      <c r="A2242" s="161" t="str">
        <f t="shared" si="40"/>
        <v>SMOKEY_STEAM_AIRSHIP_LEVEL_1</v>
      </c>
      <c r="B2242" s="9" t="s">
        <v>2654</v>
      </c>
      <c r="E2242" s="4" t="s">
        <v>1375</v>
      </c>
      <c r="F2242" s="4" t="s">
        <v>1378</v>
      </c>
      <c r="H2242" s="4" t="s">
        <v>1521</v>
      </c>
      <c r="I2242" s="4" t="s">
        <v>128</v>
      </c>
      <c r="K2242" s="11">
        <v>1</v>
      </c>
      <c r="L2242" s="4" t="s">
        <v>1709</v>
      </c>
      <c r="N2242" s="4" t="s">
        <v>1726</v>
      </c>
      <c r="Q2242" s="11">
        <v>2</v>
      </c>
      <c r="R2242" s="11">
        <v>0.21</v>
      </c>
      <c r="S2242" s="4" t="s">
        <v>1621</v>
      </c>
      <c r="W2242" s="11" t="s">
        <v>3</v>
      </c>
      <c r="X2242" s="11" t="s">
        <v>3</v>
      </c>
      <c r="Z2242" s="11">
        <v>1</v>
      </c>
      <c r="AD2242" s="11" t="s">
        <v>3</v>
      </c>
    </row>
    <row r="2243" spans="1:43" x14ac:dyDescent="0.25">
      <c r="A2243" s="161" t="str">
        <f t="shared" si="40"/>
        <v>ZEPPELIN_ED</v>
      </c>
      <c r="B2243" s="9" t="s">
        <v>2654</v>
      </c>
      <c r="E2243" s="4" t="s">
        <v>2655</v>
      </c>
      <c r="F2243" s="4" t="s">
        <v>2655</v>
      </c>
      <c r="H2243" s="4" t="s">
        <v>2659</v>
      </c>
      <c r="I2243" s="4" t="s">
        <v>1935</v>
      </c>
      <c r="K2243" s="11">
        <v>1</v>
      </c>
      <c r="Q2243" s="11">
        <v>2</v>
      </c>
      <c r="Z2243" s="11">
        <v>1</v>
      </c>
    </row>
    <row r="2244" spans="1:43" x14ac:dyDescent="0.25">
      <c r="A2244" s="161" t="str">
        <f t="shared" si="40"/>
        <v>EMISSARY</v>
      </c>
      <c r="B2244" s="9" t="s">
        <v>2598</v>
      </c>
      <c r="E2244" s="4" t="s">
        <v>2598</v>
      </c>
      <c r="F2244" s="4" t="s">
        <v>2598</v>
      </c>
      <c r="H2244" s="4" t="s">
        <v>1510</v>
      </c>
      <c r="I2244" s="4" t="s">
        <v>128</v>
      </c>
      <c r="K2244" s="7">
        <v>1</v>
      </c>
      <c r="Q2244" s="7">
        <v>1</v>
      </c>
      <c r="R2244" s="6">
        <v>0.15</v>
      </c>
      <c r="S2244" s="13" t="s">
        <v>1620</v>
      </c>
      <c r="T2244" s="6"/>
      <c r="U2244" s="7"/>
      <c r="V2244" s="5"/>
      <c r="W2244" s="6"/>
      <c r="X2244" s="6" t="s">
        <v>3</v>
      </c>
      <c r="Y2244" s="5"/>
      <c r="Z2244" s="7"/>
      <c r="AA2244" s="6"/>
      <c r="AB2244" s="5"/>
      <c r="AC2244" s="6"/>
      <c r="AD2244" s="6" t="s">
        <v>3</v>
      </c>
      <c r="AE2244" s="5"/>
      <c r="AF2244" s="7"/>
      <c r="AG2244" s="6"/>
      <c r="AH2244" s="5"/>
      <c r="AI2244" s="6"/>
      <c r="AJ2244" s="6"/>
      <c r="AK2244" s="5"/>
      <c r="AL2244" s="5"/>
      <c r="AM2244" s="5"/>
      <c r="AN2244" s="5"/>
      <c r="AO2244" s="5"/>
      <c r="AP2244" s="5"/>
      <c r="AQ2244" s="5"/>
    </row>
    <row r="2245" spans="1:43" x14ac:dyDescent="0.25">
      <c r="A2245" s="161" t="str">
        <f t="shared" si="40"/>
        <v>ENVOY</v>
      </c>
      <c r="B2245" s="9" t="s">
        <v>2599</v>
      </c>
      <c r="E2245" s="4" t="s">
        <v>2599</v>
      </c>
      <c r="F2245" s="4" t="s">
        <v>2599</v>
      </c>
      <c r="H2245" s="4" t="s">
        <v>1493</v>
      </c>
      <c r="I2245" s="4" t="s">
        <v>128</v>
      </c>
      <c r="K2245" s="7">
        <v>1</v>
      </c>
      <c r="Q2245" s="7">
        <v>1</v>
      </c>
      <c r="R2245" s="6" t="s">
        <v>1737</v>
      </c>
      <c r="S2245" s="13" t="s">
        <v>1620</v>
      </c>
      <c r="T2245" s="6"/>
      <c r="U2245" s="7" t="s">
        <v>1737</v>
      </c>
      <c r="V2245" s="5"/>
      <c r="W2245" s="6"/>
      <c r="X2245" s="6" t="s">
        <v>3</v>
      </c>
      <c r="Y2245" s="5"/>
      <c r="Z2245" s="7"/>
      <c r="AA2245" s="6"/>
      <c r="AB2245" s="5"/>
      <c r="AC2245" s="6"/>
      <c r="AD2245" s="6" t="s">
        <v>3</v>
      </c>
      <c r="AE2245" s="5"/>
      <c r="AF2245" s="7"/>
      <c r="AG2245" s="6"/>
      <c r="AH2245" s="5"/>
      <c r="AI2245" s="6"/>
      <c r="AJ2245" s="6"/>
      <c r="AK2245" s="5"/>
      <c r="AL2245" s="5"/>
      <c r="AM2245" s="5"/>
      <c r="AN2245" s="5"/>
      <c r="AO2245" s="5"/>
      <c r="AP2245" s="5"/>
      <c r="AQ2245" s="5"/>
    </row>
    <row r="2246" spans="1:43" x14ac:dyDescent="0.25">
      <c r="A2246" s="161" t="str">
        <f t="shared" si="40"/>
        <v>DIPLOMAT</v>
      </c>
      <c r="B2246" s="9" t="s">
        <v>2600</v>
      </c>
      <c r="E2246" s="4" t="s">
        <v>2600</v>
      </c>
      <c r="F2246" s="4" t="s">
        <v>2600</v>
      </c>
      <c r="H2246" s="4" t="s">
        <v>1434</v>
      </c>
      <c r="I2246" s="4" t="s">
        <v>128</v>
      </c>
      <c r="K2246" s="7">
        <v>1</v>
      </c>
      <c r="Q2246" s="7">
        <v>1</v>
      </c>
      <c r="R2246" s="6" t="s">
        <v>1695</v>
      </c>
      <c r="S2246" s="13" t="s">
        <v>1620</v>
      </c>
      <c r="T2246" s="6"/>
      <c r="U2246" s="7" t="s">
        <v>1737</v>
      </c>
      <c r="V2246" s="5"/>
      <c r="W2246" s="6"/>
      <c r="X2246" s="6" t="s">
        <v>3</v>
      </c>
      <c r="Y2246" s="5"/>
      <c r="Z2246" s="7"/>
      <c r="AA2246" s="6"/>
      <c r="AB2246" s="5"/>
      <c r="AC2246" s="6"/>
      <c r="AD2246" s="6" t="s">
        <v>3</v>
      </c>
      <c r="AE2246" s="5"/>
      <c r="AF2246" s="7"/>
      <c r="AG2246" s="6"/>
      <c r="AH2246" s="5"/>
      <c r="AI2246" s="6"/>
      <c r="AJ2246" s="6"/>
      <c r="AK2246" s="5"/>
      <c r="AL2246" s="5"/>
      <c r="AM2246" s="5"/>
      <c r="AN2246" s="5"/>
      <c r="AO2246" s="5"/>
      <c r="AP2246" s="5"/>
      <c r="AQ2246" s="5"/>
    </row>
    <row r="2247" spans="1:43" x14ac:dyDescent="0.25">
      <c r="A2247" s="161" t="str">
        <f t="shared" si="40"/>
        <v>AMBASSADOR</v>
      </c>
      <c r="B2247" s="9" t="s">
        <v>2601</v>
      </c>
      <c r="E2247" s="4" t="s">
        <v>2601</v>
      </c>
      <c r="F2247" s="4" t="s">
        <v>2601</v>
      </c>
      <c r="H2247" s="4" t="s">
        <v>1396</v>
      </c>
      <c r="I2247" s="4" t="s">
        <v>128</v>
      </c>
      <c r="K2247" s="7">
        <v>1</v>
      </c>
      <c r="Q2247" s="7">
        <v>1</v>
      </c>
      <c r="R2247" s="6" t="s">
        <v>1695</v>
      </c>
      <c r="S2247" s="13" t="s">
        <v>1620</v>
      </c>
      <c r="T2247" s="6"/>
      <c r="U2247" s="7" t="s">
        <v>1737</v>
      </c>
      <c r="V2247" s="5"/>
      <c r="W2247" s="6"/>
      <c r="X2247" s="6" t="s">
        <v>3</v>
      </c>
      <c r="Y2247" s="5"/>
      <c r="Z2247" s="7"/>
      <c r="AA2247" s="6"/>
      <c r="AB2247" s="5"/>
      <c r="AC2247" s="6"/>
      <c r="AD2247" s="6" t="s">
        <v>3</v>
      </c>
      <c r="AE2247" s="5"/>
      <c r="AF2247" s="7"/>
      <c r="AG2247" s="6"/>
      <c r="AH2247" s="5"/>
      <c r="AI2247" s="6"/>
      <c r="AJ2247" s="6"/>
      <c r="AK2247" s="5"/>
      <c r="AL2247" s="5"/>
      <c r="AM2247" s="5"/>
      <c r="AN2247" s="5"/>
      <c r="AO2247" s="5"/>
      <c r="AP2247" s="5"/>
      <c r="AQ2247" s="5"/>
    </row>
    <row r="2248" spans="1:43" x14ac:dyDescent="0.25">
      <c r="A2248" s="161" t="str">
        <f t="shared" si="40"/>
        <v>GREAT_DIPLOMAT</v>
      </c>
      <c r="B2248" s="9" t="s">
        <v>2661</v>
      </c>
      <c r="E2248" s="4" t="s">
        <v>2661</v>
      </c>
      <c r="F2248" s="4" t="s">
        <v>2661</v>
      </c>
      <c r="H2248" s="4" t="s">
        <v>1091</v>
      </c>
      <c r="I2248" s="4" t="s">
        <v>128</v>
      </c>
      <c r="K2248" s="7">
        <v>1</v>
      </c>
      <c r="L2248" s="4" t="s">
        <v>1708</v>
      </c>
      <c r="Q2248" s="7">
        <v>1</v>
      </c>
      <c r="R2248" s="6" t="s">
        <v>1695</v>
      </c>
      <c r="S2248" s="13" t="s">
        <v>1620</v>
      </c>
      <c r="T2248" s="6"/>
      <c r="U2248" s="7" t="s">
        <v>1737</v>
      </c>
      <c r="V2248" s="5"/>
      <c r="W2248" s="6"/>
      <c r="X2248" s="6" t="s">
        <v>3</v>
      </c>
      <c r="Y2248" s="5"/>
      <c r="Z2248" s="7"/>
      <c r="AA2248" s="6"/>
      <c r="AB2248" s="5"/>
      <c r="AC2248" s="6"/>
      <c r="AD2248" s="6" t="s">
        <v>3</v>
      </c>
      <c r="AE2248" s="5"/>
      <c r="AF2248" s="7"/>
      <c r="AG2248" s="6"/>
      <c r="AH2248" s="5"/>
      <c r="AI2248" s="6"/>
      <c r="AJ2248" s="6"/>
      <c r="AK2248" s="5"/>
      <c r="AL2248" s="5"/>
      <c r="AM2248" s="5"/>
      <c r="AN2248" s="5"/>
      <c r="AO2248" s="5"/>
      <c r="AP2248" s="5"/>
      <c r="AQ2248" s="5"/>
    </row>
    <row r="2249" spans="1:43" x14ac:dyDescent="0.25">
      <c r="A2249" s="161" t="str">
        <f t="shared" si="40"/>
        <v>GREAT_DIPLOMAT_RENAISSANCE</v>
      </c>
      <c r="B2249" s="9" t="s">
        <v>2661</v>
      </c>
      <c r="E2249" s="4" t="s">
        <v>2662</v>
      </c>
      <c r="F2249" s="4" t="s">
        <v>2662</v>
      </c>
      <c r="H2249" s="4" t="s">
        <v>1434</v>
      </c>
      <c r="I2249" s="4" t="s">
        <v>128</v>
      </c>
      <c r="K2249" s="7">
        <v>1</v>
      </c>
      <c r="L2249" s="4" t="s">
        <v>1708</v>
      </c>
      <c r="Q2249" s="7">
        <v>1</v>
      </c>
      <c r="R2249" s="6" t="s">
        <v>1695</v>
      </c>
      <c r="S2249" s="13" t="s">
        <v>1620</v>
      </c>
      <c r="T2249" s="6"/>
      <c r="U2249" s="7" t="s">
        <v>1737</v>
      </c>
      <c r="V2249" s="5"/>
      <c r="W2249" s="6"/>
      <c r="X2249" s="6" t="s">
        <v>3</v>
      </c>
      <c r="Y2249" s="5"/>
      <c r="Z2249" s="7"/>
      <c r="AA2249" s="6"/>
      <c r="AB2249" s="5"/>
      <c r="AC2249" s="6"/>
      <c r="AD2249" s="6" t="s">
        <v>3</v>
      </c>
      <c r="AE2249" s="5"/>
      <c r="AF2249" s="7"/>
      <c r="AG2249" s="6"/>
      <c r="AH2249" s="5"/>
      <c r="AI2249" s="6"/>
      <c r="AJ2249" s="6"/>
      <c r="AK2249" s="5"/>
      <c r="AL2249" s="5"/>
      <c r="AM2249" s="5"/>
      <c r="AN2249" s="5"/>
      <c r="AO2249" s="5"/>
      <c r="AP2249" s="5"/>
      <c r="AQ2249" s="5"/>
    </row>
    <row r="2250" spans="1:43" x14ac:dyDescent="0.25">
      <c r="A2250" s="161" t="str">
        <f t="shared" si="40"/>
        <v>GREAT_DIPLOMAT_MODERN</v>
      </c>
      <c r="B2250" s="9" t="s">
        <v>2661</v>
      </c>
      <c r="E2250" s="4" t="s">
        <v>2663</v>
      </c>
      <c r="F2250" s="4" t="s">
        <v>2663</v>
      </c>
      <c r="H2250" s="4" t="s">
        <v>1447</v>
      </c>
      <c r="I2250" s="4" t="s">
        <v>128</v>
      </c>
      <c r="K2250" s="7">
        <v>1</v>
      </c>
      <c r="L2250" s="4" t="s">
        <v>1710</v>
      </c>
      <c r="Q2250" s="7">
        <v>1</v>
      </c>
      <c r="R2250" s="6" t="s">
        <v>1695</v>
      </c>
      <c r="S2250" s="13" t="s">
        <v>1620</v>
      </c>
      <c r="T2250" s="6"/>
      <c r="U2250" s="7" t="s">
        <v>1737</v>
      </c>
      <c r="V2250" s="5"/>
      <c r="W2250" s="6"/>
      <c r="X2250" s="6" t="s">
        <v>3</v>
      </c>
      <c r="Y2250" s="5"/>
      <c r="Z2250" s="7"/>
      <c r="AA2250" s="6"/>
      <c r="AB2250" s="5"/>
      <c r="AC2250" s="6"/>
      <c r="AD2250" s="6" t="s">
        <v>3</v>
      </c>
      <c r="AE2250" s="5"/>
      <c r="AF2250" s="7"/>
      <c r="AG2250" s="6"/>
      <c r="AH2250" s="5"/>
      <c r="AI2250" s="6"/>
      <c r="AJ2250" s="6"/>
      <c r="AK2250" s="5"/>
      <c r="AL2250" s="5"/>
      <c r="AM2250" s="5"/>
      <c r="AN2250" s="5"/>
      <c r="AO2250" s="5"/>
      <c r="AP2250" s="5"/>
      <c r="AQ2250" s="5"/>
    </row>
    <row r="2251" spans="1:43" x14ac:dyDescent="0.25">
      <c r="A2251" s="161" t="str">
        <f t="shared" si="40"/>
        <v>SWORDSMAN_GOTHS</v>
      </c>
      <c r="B2251" s="9" t="s">
        <v>104</v>
      </c>
      <c r="C2251" s="4" t="s">
        <v>2244</v>
      </c>
      <c r="E2251" s="4" t="s">
        <v>104</v>
      </c>
      <c r="F2251" s="4" t="s">
        <v>104</v>
      </c>
      <c r="H2251" s="5" t="s">
        <v>1442</v>
      </c>
      <c r="I2251" s="5" t="s">
        <v>128</v>
      </c>
      <c r="J2251" s="6"/>
      <c r="K2251" s="6">
        <v>1</v>
      </c>
      <c r="L2251" s="13" t="s">
        <v>1708</v>
      </c>
      <c r="M2251" s="8"/>
      <c r="N2251" s="5"/>
      <c r="O2251" s="5"/>
      <c r="P2251" s="5"/>
      <c r="Q2251" s="7">
        <v>10</v>
      </c>
      <c r="R2251" s="6" t="s">
        <v>1737</v>
      </c>
      <c r="S2251" s="13" t="s">
        <v>1620</v>
      </c>
      <c r="T2251" s="7" t="s">
        <v>1737</v>
      </c>
      <c r="U2251" s="7" t="s">
        <v>1737</v>
      </c>
      <c r="V2251" s="5"/>
      <c r="W2251" s="6" t="s">
        <v>3</v>
      </c>
      <c r="X2251" s="6" t="s">
        <v>3</v>
      </c>
      <c r="Y2251" s="5"/>
      <c r="Z2251" s="6">
        <v>1</v>
      </c>
      <c r="AA2251" s="6"/>
      <c r="AB2251" s="5"/>
      <c r="AC2251" s="6"/>
      <c r="AD2251" s="6" t="s">
        <v>3</v>
      </c>
      <c r="AE2251" s="5"/>
      <c r="AF2251" s="7" t="s">
        <v>1737</v>
      </c>
      <c r="AG2251" s="6"/>
      <c r="AH2251" s="5"/>
      <c r="AI2251" s="7">
        <v>6</v>
      </c>
      <c r="AJ2251" s="6"/>
      <c r="AK2251" s="5"/>
      <c r="AL2251" s="5"/>
      <c r="AM2251" s="5"/>
      <c r="AN2251" s="5"/>
      <c r="AO2251" s="5"/>
      <c r="AP2251" s="5"/>
      <c r="AQ2251" s="5"/>
    </row>
  </sheetData>
  <sheetProtection insertRows="0" deleteRows="0" sort="0" autoFilter="0"/>
  <conditionalFormatting sqref="C1:C1048576">
    <cfRule type="expression" dxfId="2" priority="145" stopIfTrue="1">
      <formula>COUNTIFS($C:$C,$C1,$E:$E,$E1)&gt;1</formula>
    </cfRule>
  </conditionalFormatting>
  <conditionalFormatting sqref="H1:H1048576">
    <cfRule type="duplicateValues" dxfId="1" priority="192" stopIfTrue="1"/>
  </conditionalFormatting>
  <conditionalFormatting sqref="D1:D1048576 H1:H1048576 Q1:Q1048576">
    <cfRule type="expression" dxfId="0" priority="6" stopIfTrue="1">
      <formula>ISBLANK($H1)</formula>
    </cfRule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3" r:id="rId4" name="SQLBtn">
              <controlPr defaultSize="0" print="0" autoFill="0" autoPict="0" macro="[0]!Sheet2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5" name="SQLBtnOneOff">
              <controlPr defaultSize="0" print="0" autoFill="0" autoPict="0" macro="[0]!Sheet2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D237"/>
  <sheetViews>
    <sheetView zoomScale="70" zoomScaleNormal="70" workbookViewId="0">
      <pane ySplit="1" topLeftCell="A14" activePane="bottomLeft" state="frozen"/>
      <selection pane="bottomLeft" activeCell="E44" sqref="E44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48.140625" bestFit="1" customWidth="1"/>
    <col min="9" max="9" width="14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159" customFormat="1" x14ac:dyDescent="0.25">
      <c r="A1" s="158" t="s">
        <v>1250</v>
      </c>
      <c r="B1" s="158" t="s">
        <v>1749</v>
      </c>
      <c r="C1" s="158" t="s">
        <v>1920</v>
      </c>
      <c r="D1" s="158" t="s">
        <v>1733</v>
      </c>
      <c r="E1" s="158" t="s">
        <v>1734</v>
      </c>
      <c r="F1" s="158" t="s">
        <v>1835</v>
      </c>
      <c r="G1" s="158" t="s">
        <v>1834</v>
      </c>
      <c r="H1" s="159" t="s">
        <v>2253</v>
      </c>
      <c r="I1" s="159" t="s">
        <v>2256</v>
      </c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159" customFormat="1" x14ac:dyDescent="0.25">
      <c r="A5" s="158" t="s">
        <v>1250</v>
      </c>
      <c r="B5" s="158" t="s">
        <v>1749</v>
      </c>
      <c r="C5" s="158" t="s">
        <v>1920</v>
      </c>
      <c r="D5" s="158" t="s">
        <v>1733</v>
      </c>
      <c r="E5" s="158" t="s">
        <v>1734</v>
      </c>
      <c r="F5" s="158" t="s">
        <v>1835</v>
      </c>
      <c r="G5" s="158" t="s">
        <v>1834</v>
      </c>
      <c r="H5" s="159" t="s">
        <v>2253</v>
      </c>
      <c r="I5" s="159" t="s">
        <v>2256</v>
      </c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" t="s">
        <v>699</v>
      </c>
      <c r="B6" s="3">
        <v>0</v>
      </c>
      <c r="C6" s="3">
        <v>0</v>
      </c>
      <c r="D6" s="3" t="s">
        <v>699</v>
      </c>
      <c r="E6" s="3" t="s">
        <v>689</v>
      </c>
    </row>
    <row r="7" spans="1:30" x14ac:dyDescent="0.25">
      <c r="A7" s="3" t="s">
        <v>700</v>
      </c>
      <c r="B7" s="3">
        <v>0</v>
      </c>
      <c r="C7" s="3">
        <v>0</v>
      </c>
      <c r="D7" s="3" t="s">
        <v>700</v>
      </c>
      <c r="E7" s="3" t="s">
        <v>690</v>
      </c>
    </row>
    <row r="8" spans="1:30" x14ac:dyDescent="0.25">
      <c r="A8" s="3" t="s">
        <v>1079</v>
      </c>
      <c r="B8" s="3">
        <v>0</v>
      </c>
      <c r="C8" s="3">
        <v>0</v>
      </c>
      <c r="D8" s="3" t="s">
        <v>703</v>
      </c>
      <c r="E8" s="3" t="s">
        <v>690</v>
      </c>
    </row>
    <row r="9" spans="1:30" x14ac:dyDescent="0.25">
      <c r="A9" s="3" t="s">
        <v>701</v>
      </c>
      <c r="B9" s="3">
        <v>0</v>
      </c>
      <c r="C9" s="3">
        <v>0</v>
      </c>
      <c r="D9" s="3" t="s">
        <v>701</v>
      </c>
      <c r="E9" s="3" t="s">
        <v>689</v>
      </c>
    </row>
    <row r="10" spans="1:30" x14ac:dyDescent="0.25">
      <c r="A10" s="3" t="s">
        <v>702</v>
      </c>
      <c r="B10" s="3">
        <v>0</v>
      </c>
      <c r="C10" s="3">
        <v>0</v>
      </c>
      <c r="D10" s="3" t="s">
        <v>702</v>
      </c>
      <c r="E10" s="3" t="s">
        <v>691</v>
      </c>
    </row>
    <row r="11" spans="1:30" x14ac:dyDescent="0.25">
      <c r="A11" s="3" t="s">
        <v>703</v>
      </c>
      <c r="B11" s="3">
        <v>0</v>
      </c>
      <c r="C11" s="3">
        <v>0</v>
      </c>
      <c r="D11" s="3" t="s">
        <v>703</v>
      </c>
      <c r="E11" s="3" t="s">
        <v>690</v>
      </c>
    </row>
    <row r="12" spans="1:30" x14ac:dyDescent="0.25">
      <c r="A12" s="3" t="s">
        <v>706</v>
      </c>
      <c r="B12" s="3">
        <v>0</v>
      </c>
      <c r="C12" s="3">
        <v>0</v>
      </c>
      <c r="D12" s="3" t="s">
        <v>706</v>
      </c>
      <c r="E12" s="3" t="s">
        <v>692</v>
      </c>
      <c r="F12" s="3" t="s">
        <v>1251</v>
      </c>
      <c r="G12" s="3" t="s">
        <v>1252</v>
      </c>
    </row>
    <row r="13" spans="1:30" x14ac:dyDescent="0.25">
      <c r="A13" s="3" t="s">
        <v>707</v>
      </c>
      <c r="B13" s="3">
        <v>0</v>
      </c>
      <c r="C13" s="3">
        <v>0</v>
      </c>
      <c r="D13" s="3" t="s">
        <v>718</v>
      </c>
      <c r="E13" s="3" t="s">
        <v>692</v>
      </c>
    </row>
    <row r="14" spans="1:30" x14ac:dyDescent="0.25">
      <c r="A14" s="3" t="s">
        <v>708</v>
      </c>
      <c r="B14" s="3">
        <v>0</v>
      </c>
      <c r="C14" s="3">
        <v>0</v>
      </c>
      <c r="D14" s="3" t="s">
        <v>708</v>
      </c>
      <c r="E14" s="3" t="s">
        <v>2011</v>
      </c>
    </row>
    <row r="15" spans="1:30" x14ac:dyDescent="0.25">
      <c r="A15" s="3" t="s">
        <v>709</v>
      </c>
      <c r="B15" s="3">
        <v>0</v>
      </c>
      <c r="C15" s="3">
        <v>0</v>
      </c>
      <c r="D15" s="3" t="s">
        <v>709</v>
      </c>
      <c r="E15" s="3" t="s">
        <v>689</v>
      </c>
    </row>
    <row r="16" spans="1:30" x14ac:dyDescent="0.25">
      <c r="A16" s="3" t="s">
        <v>710</v>
      </c>
      <c r="B16" s="3">
        <v>0</v>
      </c>
      <c r="C16" s="3">
        <v>0</v>
      </c>
      <c r="D16" s="3" t="s">
        <v>710</v>
      </c>
      <c r="E16" s="3" t="s">
        <v>693</v>
      </c>
    </row>
    <row r="17" spans="1:7" x14ac:dyDescent="0.25">
      <c r="A17" s="3" t="s">
        <v>711</v>
      </c>
      <c r="B17" s="3">
        <v>0</v>
      </c>
      <c r="C17" s="3">
        <v>0</v>
      </c>
      <c r="D17" s="3" t="s">
        <v>711</v>
      </c>
      <c r="E17" s="3" t="s">
        <v>962</v>
      </c>
    </row>
    <row r="18" spans="1:7" x14ac:dyDescent="0.25">
      <c r="A18" s="3" t="s">
        <v>712</v>
      </c>
      <c r="B18" s="3">
        <v>0</v>
      </c>
      <c r="C18" s="3">
        <v>0</v>
      </c>
      <c r="D18" s="3" t="s">
        <v>712</v>
      </c>
      <c r="E18" s="3" t="s">
        <v>690</v>
      </c>
    </row>
    <row r="19" spans="1:7" x14ac:dyDescent="0.25">
      <c r="A19" s="3" t="s">
        <v>713</v>
      </c>
      <c r="B19" s="3">
        <v>0</v>
      </c>
      <c r="C19" s="3">
        <v>0</v>
      </c>
      <c r="D19" s="3" t="s">
        <v>713</v>
      </c>
      <c r="E19" s="3" t="s">
        <v>689</v>
      </c>
    </row>
    <row r="20" spans="1:7" x14ac:dyDescent="0.25">
      <c r="A20" s="3" t="s">
        <v>714</v>
      </c>
      <c r="B20" s="3">
        <v>0</v>
      </c>
      <c r="C20" s="3">
        <v>0</v>
      </c>
      <c r="D20" s="3" t="s">
        <v>714</v>
      </c>
      <c r="E20" s="3" t="s">
        <v>694</v>
      </c>
    </row>
    <row r="21" spans="1:7" x14ac:dyDescent="0.25">
      <c r="A21" s="3" t="s">
        <v>715</v>
      </c>
      <c r="B21" s="3">
        <v>0</v>
      </c>
      <c r="C21" s="3">
        <v>0</v>
      </c>
      <c r="D21" s="3" t="s">
        <v>715</v>
      </c>
      <c r="E21" s="3" t="s">
        <v>689</v>
      </c>
    </row>
    <row r="22" spans="1:7" x14ac:dyDescent="0.25">
      <c r="A22" s="3" t="s">
        <v>717</v>
      </c>
      <c r="B22" s="3">
        <v>0</v>
      </c>
      <c r="C22" s="3">
        <v>0</v>
      </c>
      <c r="D22" s="3" t="s">
        <v>717</v>
      </c>
      <c r="E22" s="3" t="s">
        <v>689</v>
      </c>
    </row>
    <row r="23" spans="1:7" x14ac:dyDescent="0.25">
      <c r="A23" s="3" t="s">
        <v>718</v>
      </c>
      <c r="B23" s="3">
        <v>0</v>
      </c>
      <c r="C23" s="3">
        <v>0</v>
      </c>
      <c r="D23" s="3" t="s">
        <v>718</v>
      </c>
      <c r="E23" s="3" t="s">
        <v>692</v>
      </c>
    </row>
    <row r="24" spans="1:7" x14ac:dyDescent="0.25">
      <c r="A24" s="3" t="s">
        <v>904</v>
      </c>
      <c r="B24" s="3">
        <v>0</v>
      </c>
      <c r="C24" s="3">
        <v>0</v>
      </c>
      <c r="D24" s="3" t="s">
        <v>904</v>
      </c>
      <c r="E24" s="3" t="s">
        <v>918</v>
      </c>
      <c r="F24" s="3" t="s">
        <v>1253</v>
      </c>
      <c r="G24" s="3" t="s">
        <v>1254</v>
      </c>
    </row>
    <row r="25" spans="1:7" x14ac:dyDescent="0.25">
      <c r="A25" s="3" t="s">
        <v>719</v>
      </c>
      <c r="B25" s="3">
        <v>0</v>
      </c>
      <c r="C25" s="3">
        <v>0</v>
      </c>
      <c r="D25" s="3" t="s">
        <v>719</v>
      </c>
      <c r="E25" s="3" t="s">
        <v>691</v>
      </c>
    </row>
    <row r="26" spans="1:7" x14ac:dyDescent="0.25">
      <c r="A26" s="3" t="s">
        <v>720</v>
      </c>
      <c r="B26" s="3">
        <v>0</v>
      </c>
      <c r="C26" s="3">
        <v>0</v>
      </c>
      <c r="D26" s="3" t="s">
        <v>720</v>
      </c>
      <c r="E26" s="3" t="s">
        <v>695</v>
      </c>
      <c r="F26" s="3" t="s">
        <v>1253</v>
      </c>
      <c r="G26" s="3" t="s">
        <v>1254</v>
      </c>
    </row>
    <row r="27" spans="1:7" x14ac:dyDescent="0.25">
      <c r="A27" s="3" t="s">
        <v>1080</v>
      </c>
      <c r="B27" s="3">
        <v>0</v>
      </c>
      <c r="C27" s="3">
        <v>0</v>
      </c>
      <c r="D27" s="3" t="s">
        <v>1080</v>
      </c>
      <c r="E27" s="3" t="s">
        <v>696</v>
      </c>
      <c r="F27" s="3" t="s">
        <v>1255</v>
      </c>
    </row>
    <row r="28" spans="1:7" x14ac:dyDescent="0.25">
      <c r="A28" s="3" t="s">
        <v>721</v>
      </c>
      <c r="B28" s="3">
        <v>0</v>
      </c>
      <c r="C28" s="3">
        <v>0</v>
      </c>
      <c r="D28" s="3" t="s">
        <v>721</v>
      </c>
      <c r="E28" s="3" t="s">
        <v>697</v>
      </c>
    </row>
    <row r="29" spans="1:7" x14ac:dyDescent="0.25">
      <c r="A29" s="3" t="s">
        <v>722</v>
      </c>
      <c r="B29" s="3">
        <v>0</v>
      </c>
      <c r="C29" s="3">
        <v>0</v>
      </c>
      <c r="D29" s="3" t="s">
        <v>722</v>
      </c>
      <c r="E29" s="3" t="s">
        <v>693</v>
      </c>
    </row>
    <row r="30" spans="1:7" x14ac:dyDescent="0.25">
      <c r="A30" s="3" t="s">
        <v>723</v>
      </c>
      <c r="B30" s="3">
        <v>0</v>
      </c>
      <c r="C30" s="3">
        <v>0</v>
      </c>
      <c r="D30" s="3" t="s">
        <v>723</v>
      </c>
      <c r="E30" s="3" t="s">
        <v>693</v>
      </c>
    </row>
    <row r="31" spans="1:7" x14ac:dyDescent="0.25">
      <c r="A31" s="3" t="s">
        <v>725</v>
      </c>
      <c r="B31" s="3">
        <v>0</v>
      </c>
      <c r="C31" s="3">
        <v>0</v>
      </c>
      <c r="D31" s="3" t="s">
        <v>725</v>
      </c>
      <c r="E31" s="3" t="s">
        <v>691</v>
      </c>
    </row>
    <row r="32" spans="1:7" x14ac:dyDescent="0.25">
      <c r="A32" s="3" t="s">
        <v>728</v>
      </c>
      <c r="B32" s="3">
        <v>0</v>
      </c>
      <c r="C32" s="3">
        <v>0</v>
      </c>
      <c r="D32" s="3" t="s">
        <v>728</v>
      </c>
      <c r="E32" s="3" t="s">
        <v>693</v>
      </c>
    </row>
    <row r="33" spans="1:7" x14ac:dyDescent="0.25">
      <c r="A33" s="3" t="s">
        <v>729</v>
      </c>
      <c r="B33" s="3">
        <v>0</v>
      </c>
      <c r="C33" s="3">
        <v>0</v>
      </c>
      <c r="D33" s="3" t="s">
        <v>729</v>
      </c>
      <c r="E33" s="3" t="s">
        <v>2011</v>
      </c>
    </row>
    <row r="34" spans="1:7" x14ac:dyDescent="0.25">
      <c r="A34" s="3" t="s">
        <v>730</v>
      </c>
      <c r="B34" s="3">
        <v>0</v>
      </c>
      <c r="C34" s="3">
        <v>0</v>
      </c>
      <c r="D34" s="3" t="s">
        <v>730</v>
      </c>
      <c r="E34" s="3" t="s">
        <v>689</v>
      </c>
    </row>
    <row r="35" spans="1:7" x14ac:dyDescent="0.25">
      <c r="A35" s="3" t="s">
        <v>1037</v>
      </c>
      <c r="B35" s="3">
        <v>0</v>
      </c>
      <c r="C35" s="3">
        <v>0</v>
      </c>
      <c r="D35" s="3" t="s">
        <v>1037</v>
      </c>
      <c r="E35" s="3" t="s">
        <v>918</v>
      </c>
    </row>
    <row r="36" spans="1:7" x14ac:dyDescent="0.25">
      <c r="A36" s="3" t="s">
        <v>731</v>
      </c>
      <c r="B36" s="3">
        <v>0</v>
      </c>
      <c r="C36" s="3">
        <v>0</v>
      </c>
      <c r="D36" s="3" t="s">
        <v>731</v>
      </c>
      <c r="E36" s="3" t="s">
        <v>690</v>
      </c>
    </row>
    <row r="37" spans="1:7" x14ac:dyDescent="0.25">
      <c r="A37" s="3" t="s">
        <v>732</v>
      </c>
      <c r="B37" s="3">
        <v>0</v>
      </c>
      <c r="C37" s="3">
        <v>0</v>
      </c>
      <c r="D37" s="3" t="s">
        <v>732</v>
      </c>
      <c r="E37" s="3" t="s">
        <v>698</v>
      </c>
    </row>
    <row r="38" spans="1:7" x14ac:dyDescent="0.25">
      <c r="A38" s="3" t="s">
        <v>1081</v>
      </c>
      <c r="B38" s="3">
        <v>0</v>
      </c>
      <c r="C38" s="3">
        <v>0</v>
      </c>
      <c r="D38" s="3" t="s">
        <v>1081</v>
      </c>
      <c r="E38" s="3" t="s">
        <v>994</v>
      </c>
    </row>
    <row r="39" spans="1:7" x14ac:dyDescent="0.25">
      <c r="A39" s="3" t="s">
        <v>733</v>
      </c>
      <c r="B39" s="3">
        <v>0</v>
      </c>
      <c r="C39" s="3">
        <v>0</v>
      </c>
      <c r="D39" s="3" t="s">
        <v>733</v>
      </c>
      <c r="E39" s="3" t="s">
        <v>692</v>
      </c>
      <c r="F39" s="3" t="s">
        <v>1251</v>
      </c>
      <c r="G39" s="3" t="s">
        <v>1252</v>
      </c>
    </row>
    <row r="40" spans="1:7" x14ac:dyDescent="0.25">
      <c r="A40" s="3" t="s">
        <v>734</v>
      </c>
      <c r="B40" s="3">
        <v>0</v>
      </c>
      <c r="C40" s="3">
        <v>0</v>
      </c>
      <c r="D40" s="3" t="s">
        <v>734</v>
      </c>
      <c r="E40" s="3" t="s">
        <v>692</v>
      </c>
    </row>
    <row r="41" spans="1:7" x14ac:dyDescent="0.25">
      <c r="A41" s="3" t="s">
        <v>735</v>
      </c>
      <c r="B41" s="3">
        <v>0</v>
      </c>
      <c r="C41" s="3">
        <v>0</v>
      </c>
      <c r="D41" s="3" t="s">
        <v>735</v>
      </c>
      <c r="E41" s="3" t="s">
        <v>698</v>
      </c>
    </row>
    <row r="42" spans="1:7" x14ac:dyDescent="0.25">
      <c r="A42" s="3" t="s">
        <v>1082</v>
      </c>
      <c r="B42" s="3">
        <v>0</v>
      </c>
      <c r="C42" s="3">
        <v>0</v>
      </c>
      <c r="D42" s="3" t="s">
        <v>1082</v>
      </c>
      <c r="E42" s="3" t="s">
        <v>697</v>
      </c>
    </row>
    <row r="43" spans="1:7" x14ac:dyDescent="0.25">
      <c r="A43" s="3" t="s">
        <v>736</v>
      </c>
      <c r="B43" s="3">
        <v>0</v>
      </c>
      <c r="C43" s="3">
        <v>0</v>
      </c>
      <c r="D43" s="3" t="s">
        <v>736</v>
      </c>
      <c r="E43" s="3" t="s">
        <v>696</v>
      </c>
      <c r="F43" s="3" t="s">
        <v>1255</v>
      </c>
    </row>
    <row r="44" spans="1:7" x14ac:dyDescent="0.25">
      <c r="A44" s="3" t="s">
        <v>737</v>
      </c>
      <c r="B44" s="3">
        <v>0</v>
      </c>
      <c r="C44" s="3">
        <v>0</v>
      </c>
      <c r="D44" s="3" t="s">
        <v>737</v>
      </c>
      <c r="E44" s="3" t="s">
        <v>694</v>
      </c>
    </row>
    <row r="45" spans="1:7" x14ac:dyDescent="0.25">
      <c r="A45" s="3" t="s">
        <v>738</v>
      </c>
      <c r="B45" s="3">
        <v>0</v>
      </c>
      <c r="C45" s="3">
        <v>0</v>
      </c>
      <c r="D45" s="3" t="s">
        <v>738</v>
      </c>
      <c r="E45" s="3" t="s">
        <v>692</v>
      </c>
      <c r="F45" s="3" t="s">
        <v>1251</v>
      </c>
      <c r="G45" s="3" t="s">
        <v>1252</v>
      </c>
    </row>
    <row r="46" spans="1:7" x14ac:dyDescent="0.25">
      <c r="A46" s="3" t="s">
        <v>739</v>
      </c>
      <c r="B46" s="3">
        <v>0</v>
      </c>
      <c r="C46" s="3">
        <v>0</v>
      </c>
      <c r="D46" s="3" t="s">
        <v>739</v>
      </c>
      <c r="E46" s="3" t="s">
        <v>962</v>
      </c>
    </row>
    <row r="47" spans="1:7" x14ac:dyDescent="0.25">
      <c r="A47" s="3" t="s">
        <v>1083</v>
      </c>
      <c r="B47" s="3">
        <v>0</v>
      </c>
      <c r="C47" s="3">
        <v>0</v>
      </c>
      <c r="D47" s="3" t="s">
        <v>1083</v>
      </c>
      <c r="E47" s="3" t="s">
        <v>692</v>
      </c>
    </row>
    <row r="48" spans="1:7" x14ac:dyDescent="0.25">
      <c r="A48" s="3" t="s">
        <v>742</v>
      </c>
      <c r="B48" s="3">
        <v>0</v>
      </c>
      <c r="C48" s="3">
        <v>0</v>
      </c>
      <c r="D48" s="3" t="s">
        <v>742</v>
      </c>
      <c r="E48" s="3" t="s">
        <v>694</v>
      </c>
      <c r="F48" s="3" t="s">
        <v>1256</v>
      </c>
    </row>
    <row r="49" spans="1:7" x14ac:dyDescent="0.25">
      <c r="A49" s="3" t="s">
        <v>1219</v>
      </c>
      <c r="B49" s="3">
        <v>1</v>
      </c>
      <c r="C49" s="3">
        <v>0</v>
      </c>
      <c r="D49" s="3" t="s">
        <v>904</v>
      </c>
      <c r="E49" s="3" t="s">
        <v>918</v>
      </c>
      <c r="F49" s="3" t="s">
        <v>1253</v>
      </c>
      <c r="G49" s="3" t="s">
        <v>1254</v>
      </c>
    </row>
    <row r="50" spans="1:7" x14ac:dyDescent="0.25">
      <c r="A50" s="3" t="s">
        <v>1165</v>
      </c>
      <c r="B50" s="3">
        <v>1</v>
      </c>
      <c r="C50" s="3">
        <v>0</v>
      </c>
      <c r="D50" s="3" t="s">
        <v>694</v>
      </c>
      <c r="F50" s="3" t="s">
        <v>1256</v>
      </c>
    </row>
    <row r="51" spans="1:7" x14ac:dyDescent="0.25">
      <c r="A51" s="3" t="s">
        <v>1166</v>
      </c>
      <c r="B51" s="3">
        <v>1</v>
      </c>
      <c r="C51" s="3">
        <v>0</v>
      </c>
      <c r="D51" s="3" t="s">
        <v>704</v>
      </c>
      <c r="E51" s="3" t="s">
        <v>689</v>
      </c>
    </row>
    <row r="52" spans="1:7" x14ac:dyDescent="0.25">
      <c r="A52" s="3" t="s">
        <v>1167</v>
      </c>
      <c r="B52" s="3">
        <v>1</v>
      </c>
      <c r="C52" s="3">
        <v>0</v>
      </c>
      <c r="D52" s="3" t="s">
        <v>698</v>
      </c>
    </row>
    <row r="53" spans="1:7" x14ac:dyDescent="0.25">
      <c r="A53" s="3" t="s">
        <v>1168</v>
      </c>
      <c r="B53" s="3">
        <v>1</v>
      </c>
      <c r="C53" s="3">
        <v>0</v>
      </c>
      <c r="D53" s="3" t="s">
        <v>691</v>
      </c>
    </row>
    <row r="54" spans="1:7" x14ac:dyDescent="0.25">
      <c r="A54" s="3" t="s">
        <v>1169</v>
      </c>
      <c r="B54" s="3">
        <v>1</v>
      </c>
      <c r="C54" s="3">
        <v>0</v>
      </c>
      <c r="D54" s="3" t="s">
        <v>705</v>
      </c>
      <c r="E54" s="3" t="s">
        <v>698</v>
      </c>
    </row>
    <row r="55" spans="1:7" x14ac:dyDescent="0.25">
      <c r="A55" s="3" t="s">
        <v>1170</v>
      </c>
      <c r="B55" s="3">
        <v>1</v>
      </c>
      <c r="C55" s="3">
        <v>0</v>
      </c>
      <c r="D55" s="3" t="s">
        <v>704</v>
      </c>
      <c r="E55" s="3" t="s">
        <v>689</v>
      </c>
    </row>
    <row r="56" spans="1:7" x14ac:dyDescent="0.25">
      <c r="A56" s="3" t="s">
        <v>1171</v>
      </c>
      <c r="B56" s="3">
        <v>1</v>
      </c>
      <c r="C56" s="3">
        <v>0</v>
      </c>
      <c r="D56" s="3" t="s">
        <v>698</v>
      </c>
    </row>
    <row r="57" spans="1:7" x14ac:dyDescent="0.25">
      <c r="A57" s="3" t="s">
        <v>1172</v>
      </c>
      <c r="B57" s="3">
        <v>1</v>
      </c>
      <c r="C57" s="3">
        <v>0</v>
      </c>
      <c r="D57" s="3" t="s">
        <v>698</v>
      </c>
    </row>
    <row r="58" spans="1:7" x14ac:dyDescent="0.25">
      <c r="A58" s="3" t="s">
        <v>1173</v>
      </c>
      <c r="B58" s="3">
        <v>1</v>
      </c>
      <c r="C58" s="3">
        <v>0</v>
      </c>
      <c r="D58" s="3" t="s">
        <v>691</v>
      </c>
    </row>
    <row r="59" spans="1:7" x14ac:dyDescent="0.25">
      <c r="A59" s="3" t="s">
        <v>1174</v>
      </c>
      <c r="B59" s="3">
        <v>1</v>
      </c>
      <c r="C59" s="3">
        <v>0</v>
      </c>
      <c r="D59" s="3" t="s">
        <v>724</v>
      </c>
      <c r="E59" s="3" t="s">
        <v>690</v>
      </c>
    </row>
    <row r="60" spans="1:7" x14ac:dyDescent="0.25">
      <c r="A60" s="3" t="s">
        <v>1175</v>
      </c>
      <c r="B60" s="3">
        <v>1</v>
      </c>
      <c r="C60" s="3">
        <v>0</v>
      </c>
      <c r="D60" s="3" t="s">
        <v>697</v>
      </c>
    </row>
    <row r="61" spans="1:7" x14ac:dyDescent="0.25">
      <c r="A61" s="3" t="s">
        <v>1176</v>
      </c>
      <c r="B61" s="3">
        <v>1</v>
      </c>
      <c r="C61" s="3">
        <v>0</v>
      </c>
      <c r="D61" s="3" t="s">
        <v>694</v>
      </c>
      <c r="F61" s="3" t="s">
        <v>1256</v>
      </c>
    </row>
    <row r="62" spans="1:7" x14ac:dyDescent="0.25">
      <c r="A62" s="3" t="s">
        <v>1177</v>
      </c>
      <c r="B62" s="3">
        <v>1</v>
      </c>
      <c r="C62" s="3">
        <v>0</v>
      </c>
      <c r="D62" s="3" t="s">
        <v>695</v>
      </c>
    </row>
    <row r="63" spans="1:7" x14ac:dyDescent="0.25">
      <c r="A63" s="3" t="s">
        <v>1921</v>
      </c>
      <c r="B63" s="3">
        <v>1</v>
      </c>
      <c r="C63" s="3">
        <v>0</v>
      </c>
      <c r="D63" s="3" t="s">
        <v>711</v>
      </c>
      <c r="E63" s="3" t="s">
        <v>962</v>
      </c>
    </row>
    <row r="64" spans="1:7" x14ac:dyDescent="0.25">
      <c r="A64" s="3" t="s">
        <v>1263</v>
      </c>
      <c r="B64" s="3">
        <v>1</v>
      </c>
      <c r="C64" s="3">
        <v>0</v>
      </c>
      <c r="D64" s="3" t="s">
        <v>709</v>
      </c>
      <c r="E64" s="3" t="s">
        <v>689</v>
      </c>
    </row>
    <row r="65" spans="1:7" x14ac:dyDescent="0.25">
      <c r="A65" s="3" t="s">
        <v>1264</v>
      </c>
      <c r="B65" s="3">
        <v>1</v>
      </c>
      <c r="C65" s="3">
        <v>0</v>
      </c>
      <c r="D65" s="3" t="s">
        <v>709</v>
      </c>
      <c r="E65" s="3" t="s">
        <v>689</v>
      </c>
    </row>
    <row r="66" spans="1:7" x14ac:dyDescent="0.25">
      <c r="A66" s="3" t="s">
        <v>1178</v>
      </c>
      <c r="B66" s="3">
        <v>1</v>
      </c>
      <c r="C66" s="3">
        <v>0</v>
      </c>
      <c r="D66" s="3" t="s">
        <v>734</v>
      </c>
      <c r="E66" s="3" t="s">
        <v>692</v>
      </c>
    </row>
    <row r="67" spans="1:7" x14ac:dyDescent="0.25">
      <c r="A67" s="3" t="s">
        <v>1179</v>
      </c>
      <c r="B67" s="3">
        <v>1</v>
      </c>
      <c r="C67" s="3">
        <v>0</v>
      </c>
      <c r="D67" s="3" t="s">
        <v>740</v>
      </c>
      <c r="E67" s="3" t="s">
        <v>689</v>
      </c>
    </row>
    <row r="68" spans="1:7" x14ac:dyDescent="0.25">
      <c r="A68" s="3" t="s">
        <v>1180</v>
      </c>
      <c r="B68" s="3">
        <v>1</v>
      </c>
      <c r="C68" s="3">
        <v>0</v>
      </c>
      <c r="D68" s="3" t="s">
        <v>734</v>
      </c>
      <c r="E68" s="3" t="s">
        <v>692</v>
      </c>
    </row>
    <row r="69" spans="1:7" x14ac:dyDescent="0.25">
      <c r="A69" s="3" t="s">
        <v>1181</v>
      </c>
      <c r="B69" s="3">
        <v>1</v>
      </c>
      <c r="C69" s="3">
        <v>0</v>
      </c>
      <c r="D69" s="3" t="s">
        <v>696</v>
      </c>
      <c r="F69" s="3" t="s">
        <v>1255</v>
      </c>
    </row>
    <row r="70" spans="1:7" x14ac:dyDescent="0.25">
      <c r="A70" s="3" t="s">
        <v>1260</v>
      </c>
      <c r="B70" s="3">
        <v>1</v>
      </c>
      <c r="C70" s="3">
        <v>0</v>
      </c>
      <c r="D70" s="3" t="s">
        <v>739</v>
      </c>
      <c r="E70" s="3" t="s">
        <v>962</v>
      </c>
    </row>
    <row r="71" spans="1:7" x14ac:dyDescent="0.25">
      <c r="A71" s="3" t="s">
        <v>1182</v>
      </c>
      <c r="B71" s="3">
        <v>1</v>
      </c>
      <c r="C71" s="3">
        <v>0</v>
      </c>
      <c r="D71" s="3" t="s">
        <v>710</v>
      </c>
    </row>
    <row r="72" spans="1:7" x14ac:dyDescent="0.25">
      <c r="A72" s="3" t="s">
        <v>1183</v>
      </c>
      <c r="B72" s="3">
        <v>1</v>
      </c>
      <c r="C72" s="3">
        <v>0</v>
      </c>
      <c r="D72" s="3" t="s">
        <v>694</v>
      </c>
    </row>
    <row r="73" spans="1:7" x14ac:dyDescent="0.25">
      <c r="A73" s="3" t="s">
        <v>1265</v>
      </c>
      <c r="B73" s="3">
        <v>1</v>
      </c>
      <c r="C73" s="3">
        <v>0</v>
      </c>
      <c r="D73" s="3" t="s">
        <v>1080</v>
      </c>
      <c r="E73" s="3" t="s">
        <v>696</v>
      </c>
      <c r="F73" s="3" t="s">
        <v>1255</v>
      </c>
    </row>
    <row r="74" spans="1:7" x14ac:dyDescent="0.25">
      <c r="A74" s="3" t="s">
        <v>1184</v>
      </c>
      <c r="B74" s="3">
        <v>1</v>
      </c>
      <c r="C74" s="3">
        <v>0</v>
      </c>
      <c r="D74" s="3" t="s">
        <v>724</v>
      </c>
      <c r="E74" s="3" t="s">
        <v>690</v>
      </c>
    </row>
    <row r="75" spans="1:7" x14ac:dyDescent="0.25">
      <c r="A75" s="3" t="s">
        <v>1185</v>
      </c>
      <c r="B75" s="3">
        <v>1</v>
      </c>
      <c r="C75" s="3">
        <v>0</v>
      </c>
      <c r="D75" s="3" t="s">
        <v>690</v>
      </c>
    </row>
    <row r="76" spans="1:7" x14ac:dyDescent="0.25">
      <c r="A76" s="3" t="s">
        <v>1186</v>
      </c>
      <c r="B76" s="3">
        <v>1</v>
      </c>
      <c r="C76" s="3">
        <v>0</v>
      </c>
      <c r="D76" s="3" t="s">
        <v>695</v>
      </c>
    </row>
    <row r="77" spans="1:7" x14ac:dyDescent="0.25">
      <c r="A77" s="3" t="s">
        <v>1187</v>
      </c>
      <c r="B77" s="3">
        <v>1</v>
      </c>
      <c r="C77" s="3">
        <v>0</v>
      </c>
      <c r="D77" s="3" t="s">
        <v>1187</v>
      </c>
      <c r="E77" s="3" t="s">
        <v>698</v>
      </c>
    </row>
    <row r="78" spans="1:7" x14ac:dyDescent="0.25">
      <c r="A78" s="3" t="s">
        <v>1188</v>
      </c>
      <c r="B78" s="3">
        <v>1</v>
      </c>
      <c r="C78" s="3">
        <v>0</v>
      </c>
      <c r="D78" s="3" t="s">
        <v>696</v>
      </c>
      <c r="F78" s="3" t="s">
        <v>1255</v>
      </c>
    </row>
    <row r="79" spans="1:7" x14ac:dyDescent="0.25">
      <c r="A79" s="3" t="s">
        <v>1189</v>
      </c>
      <c r="B79" s="3">
        <v>1</v>
      </c>
      <c r="C79" s="3">
        <v>0</v>
      </c>
      <c r="D79" s="3" t="s">
        <v>904</v>
      </c>
      <c r="E79" s="3" t="s">
        <v>918</v>
      </c>
      <c r="F79" s="3" t="s">
        <v>1253</v>
      </c>
      <c r="G79" s="3" t="s">
        <v>1254</v>
      </c>
    </row>
    <row r="80" spans="1:7" x14ac:dyDescent="0.25">
      <c r="A80" s="3" t="s">
        <v>1190</v>
      </c>
      <c r="B80" s="3">
        <v>1</v>
      </c>
      <c r="C80" s="3">
        <v>0</v>
      </c>
      <c r="D80" s="3" t="s">
        <v>691</v>
      </c>
    </row>
    <row r="81" spans="1:7" x14ac:dyDescent="0.25">
      <c r="A81" s="3" t="s">
        <v>1191</v>
      </c>
      <c r="B81" s="3">
        <v>1</v>
      </c>
      <c r="C81" s="3">
        <v>0</v>
      </c>
      <c r="D81" s="3" t="s">
        <v>693</v>
      </c>
    </row>
    <row r="82" spans="1:7" x14ac:dyDescent="0.25">
      <c r="A82" s="3" t="s">
        <v>1266</v>
      </c>
      <c r="B82" s="3">
        <v>1</v>
      </c>
      <c r="C82" s="3">
        <v>0</v>
      </c>
      <c r="D82" s="3" t="s">
        <v>733</v>
      </c>
      <c r="E82" s="3" t="s">
        <v>692</v>
      </c>
    </row>
    <row r="83" spans="1:7" x14ac:dyDescent="0.25">
      <c r="A83" s="3" t="s">
        <v>1192</v>
      </c>
      <c r="B83" s="3">
        <v>1</v>
      </c>
      <c r="C83" s="3">
        <v>0</v>
      </c>
      <c r="D83" s="3" t="s">
        <v>696</v>
      </c>
      <c r="F83" s="3" t="s">
        <v>1255</v>
      </c>
    </row>
    <row r="84" spans="1:7" x14ac:dyDescent="0.25">
      <c r="A84" s="3" t="s">
        <v>1193</v>
      </c>
      <c r="B84" s="3">
        <v>1</v>
      </c>
      <c r="C84" s="3">
        <v>0</v>
      </c>
      <c r="D84" s="3" t="s">
        <v>696</v>
      </c>
      <c r="F84" s="3" t="s">
        <v>1255</v>
      </c>
    </row>
    <row r="85" spans="1:7" x14ac:dyDescent="0.25">
      <c r="A85" s="3" t="s">
        <v>1257</v>
      </c>
      <c r="B85" s="3">
        <v>1</v>
      </c>
      <c r="C85" s="3">
        <v>0</v>
      </c>
      <c r="D85" s="3" t="s">
        <v>729</v>
      </c>
      <c r="E85" s="3" t="s">
        <v>2011</v>
      </c>
      <c r="F85" s="3" t="s">
        <v>1253</v>
      </c>
      <c r="G85" s="3" t="s">
        <v>1254</v>
      </c>
    </row>
    <row r="86" spans="1:7" x14ac:dyDescent="0.25">
      <c r="A86" s="3" t="s">
        <v>1194</v>
      </c>
      <c r="B86" s="3">
        <v>1</v>
      </c>
      <c r="C86" s="3">
        <v>0</v>
      </c>
      <c r="D86" s="3" t="s">
        <v>694</v>
      </c>
    </row>
    <row r="87" spans="1:7" x14ac:dyDescent="0.25">
      <c r="A87" s="3" t="s">
        <v>1195</v>
      </c>
      <c r="B87" s="3">
        <v>1</v>
      </c>
      <c r="C87" s="3">
        <v>0</v>
      </c>
      <c r="D87" s="3" t="s">
        <v>689</v>
      </c>
    </row>
    <row r="88" spans="1:7" x14ac:dyDescent="0.25">
      <c r="A88" s="3" t="s">
        <v>1196</v>
      </c>
      <c r="B88" s="3">
        <v>1</v>
      </c>
      <c r="C88" s="3">
        <v>0</v>
      </c>
      <c r="D88" s="3" t="s">
        <v>1083</v>
      </c>
      <c r="E88" s="3" t="s">
        <v>692</v>
      </c>
    </row>
    <row r="89" spans="1:7" x14ac:dyDescent="0.25">
      <c r="A89" s="3" t="s">
        <v>726</v>
      </c>
      <c r="B89" s="3">
        <v>1</v>
      </c>
      <c r="C89" s="3">
        <v>0</v>
      </c>
      <c r="D89" s="3" t="s">
        <v>726</v>
      </c>
      <c r="E89" s="3" t="s">
        <v>694</v>
      </c>
    </row>
    <row r="90" spans="1:7" x14ac:dyDescent="0.25">
      <c r="A90" s="3" t="s">
        <v>727</v>
      </c>
      <c r="B90" s="3">
        <v>1</v>
      </c>
      <c r="C90" s="3">
        <v>0</v>
      </c>
      <c r="D90" s="3" t="s">
        <v>727</v>
      </c>
      <c r="E90" s="3" t="s">
        <v>694</v>
      </c>
    </row>
    <row r="91" spans="1:7" x14ac:dyDescent="0.25">
      <c r="A91" s="3" t="s">
        <v>1197</v>
      </c>
      <c r="B91" s="3">
        <v>1</v>
      </c>
      <c r="C91" s="3">
        <v>0</v>
      </c>
      <c r="D91" s="3" t="s">
        <v>715</v>
      </c>
      <c r="E91" s="3" t="s">
        <v>689</v>
      </c>
    </row>
    <row r="92" spans="1:7" x14ac:dyDescent="0.25">
      <c r="A92" s="3" t="s">
        <v>1198</v>
      </c>
      <c r="B92" s="3">
        <v>1</v>
      </c>
      <c r="C92" s="3">
        <v>0</v>
      </c>
      <c r="D92" s="3" t="s">
        <v>690</v>
      </c>
    </row>
    <row r="93" spans="1:7" x14ac:dyDescent="0.25">
      <c r="A93" s="3" t="s">
        <v>1267</v>
      </c>
      <c r="B93" s="3">
        <v>1</v>
      </c>
      <c r="C93" s="3">
        <v>0</v>
      </c>
      <c r="D93" s="3" t="s">
        <v>711</v>
      </c>
      <c r="E93" s="3" t="s">
        <v>962</v>
      </c>
    </row>
    <row r="94" spans="1:7" x14ac:dyDescent="0.25">
      <c r="A94" s="3" t="s">
        <v>1199</v>
      </c>
      <c r="B94" s="3">
        <v>1</v>
      </c>
      <c r="C94" s="3">
        <v>0</v>
      </c>
      <c r="D94" s="3" t="s">
        <v>691</v>
      </c>
    </row>
    <row r="95" spans="1:7" x14ac:dyDescent="0.25">
      <c r="A95" s="3" t="s">
        <v>1200</v>
      </c>
      <c r="B95" s="3">
        <v>1</v>
      </c>
      <c r="C95" s="3">
        <v>0</v>
      </c>
      <c r="D95" s="3" t="s">
        <v>705</v>
      </c>
      <c r="E95" s="3" t="s">
        <v>698</v>
      </c>
    </row>
    <row r="96" spans="1:7" x14ac:dyDescent="0.25">
      <c r="A96" s="3" t="s">
        <v>1201</v>
      </c>
      <c r="B96" s="3">
        <v>1</v>
      </c>
      <c r="C96" s="3">
        <v>0</v>
      </c>
      <c r="D96" s="3" t="s">
        <v>2209</v>
      </c>
      <c r="E96" s="3" t="s">
        <v>689</v>
      </c>
    </row>
    <row r="97" spans="1:7" x14ac:dyDescent="0.25">
      <c r="A97" s="3" t="s">
        <v>1202</v>
      </c>
      <c r="B97" s="3">
        <v>1</v>
      </c>
      <c r="C97" s="3">
        <v>0</v>
      </c>
      <c r="D97" s="3" t="s">
        <v>698</v>
      </c>
    </row>
    <row r="98" spans="1:7" x14ac:dyDescent="0.25">
      <c r="A98" s="3" t="s">
        <v>1203</v>
      </c>
      <c r="B98" s="3">
        <v>1</v>
      </c>
      <c r="C98" s="3">
        <v>0</v>
      </c>
      <c r="D98" s="3" t="s">
        <v>689</v>
      </c>
    </row>
    <row r="99" spans="1:7" x14ac:dyDescent="0.25">
      <c r="A99" s="3" t="s">
        <v>1262</v>
      </c>
      <c r="B99" s="3">
        <v>1</v>
      </c>
      <c r="C99" s="3">
        <v>0</v>
      </c>
      <c r="D99" s="3" t="s">
        <v>706</v>
      </c>
      <c r="E99" s="3" t="s">
        <v>692</v>
      </c>
    </row>
    <row r="100" spans="1:7" x14ac:dyDescent="0.25">
      <c r="A100" s="3" t="s">
        <v>1204</v>
      </c>
      <c r="B100" s="3">
        <v>1</v>
      </c>
      <c r="C100" s="3">
        <v>0</v>
      </c>
      <c r="D100" s="3" t="s">
        <v>918</v>
      </c>
    </row>
    <row r="101" spans="1:7" x14ac:dyDescent="0.25">
      <c r="A101" s="3" t="s">
        <v>1268</v>
      </c>
      <c r="B101" s="3">
        <v>1</v>
      </c>
      <c r="C101" s="3">
        <v>0</v>
      </c>
      <c r="D101" s="3" t="s">
        <v>723</v>
      </c>
      <c r="E101" s="3" t="s">
        <v>693</v>
      </c>
    </row>
    <row r="102" spans="1:7" x14ac:dyDescent="0.25">
      <c r="A102" s="3" t="s">
        <v>1205</v>
      </c>
      <c r="B102" s="3">
        <v>1</v>
      </c>
      <c r="C102" s="3">
        <v>0</v>
      </c>
      <c r="D102" s="3" t="s">
        <v>724</v>
      </c>
      <c r="E102" s="3" t="s">
        <v>690</v>
      </c>
    </row>
    <row r="103" spans="1:7" x14ac:dyDescent="0.25">
      <c r="A103" s="3" t="s">
        <v>1206</v>
      </c>
      <c r="B103" s="3">
        <v>1</v>
      </c>
      <c r="C103" s="3">
        <v>0</v>
      </c>
      <c r="D103" s="3" t="s">
        <v>696</v>
      </c>
      <c r="F103" s="3" t="s">
        <v>1255</v>
      </c>
    </row>
    <row r="104" spans="1:7" x14ac:dyDescent="0.25">
      <c r="A104" s="3" t="s">
        <v>1207</v>
      </c>
      <c r="B104" s="3">
        <v>1</v>
      </c>
      <c r="C104" s="3">
        <v>0</v>
      </c>
      <c r="D104" s="3" t="s">
        <v>698</v>
      </c>
    </row>
    <row r="105" spans="1:7" x14ac:dyDescent="0.25">
      <c r="A105" s="3" t="s">
        <v>1261</v>
      </c>
      <c r="B105" s="3">
        <v>1</v>
      </c>
      <c r="C105" s="3">
        <v>0</v>
      </c>
      <c r="D105" s="3" t="s">
        <v>739</v>
      </c>
      <c r="E105" s="3" t="s">
        <v>962</v>
      </c>
    </row>
    <row r="106" spans="1:7" x14ac:dyDescent="0.25">
      <c r="A106" s="3" t="s">
        <v>1208</v>
      </c>
      <c r="B106" s="3">
        <v>1</v>
      </c>
      <c r="C106" s="3">
        <v>0</v>
      </c>
      <c r="D106" s="3" t="s">
        <v>1302</v>
      </c>
      <c r="E106" s="3" t="s">
        <v>689</v>
      </c>
    </row>
    <row r="107" spans="1:7" x14ac:dyDescent="0.25">
      <c r="A107" s="3" t="s">
        <v>1209</v>
      </c>
      <c r="B107" s="3">
        <v>1</v>
      </c>
      <c r="C107" s="3">
        <v>0</v>
      </c>
      <c r="D107" s="3" t="s">
        <v>724</v>
      </c>
      <c r="E107" s="3" t="s">
        <v>690</v>
      </c>
    </row>
    <row r="108" spans="1:7" x14ac:dyDescent="0.25">
      <c r="A108" s="3" t="s">
        <v>1210</v>
      </c>
      <c r="B108" s="3">
        <v>1</v>
      </c>
      <c r="C108" s="3">
        <v>0</v>
      </c>
      <c r="D108" s="3" t="s">
        <v>703</v>
      </c>
      <c r="E108" s="3" t="s">
        <v>690</v>
      </c>
    </row>
    <row r="109" spans="1:7" x14ac:dyDescent="0.25">
      <c r="A109" s="3" t="s">
        <v>1211</v>
      </c>
      <c r="B109" s="3">
        <v>1</v>
      </c>
      <c r="C109" s="3">
        <v>0</v>
      </c>
      <c r="D109" s="3" t="s">
        <v>689</v>
      </c>
      <c r="F109" s="3" t="s">
        <v>1251</v>
      </c>
      <c r="G109" s="3" t="s">
        <v>1252</v>
      </c>
    </row>
    <row r="110" spans="1:7" x14ac:dyDescent="0.25">
      <c r="A110" s="3" t="s">
        <v>1212</v>
      </c>
      <c r="B110" s="3">
        <v>1</v>
      </c>
      <c r="C110" s="3">
        <v>0</v>
      </c>
      <c r="D110" s="3" t="s">
        <v>2209</v>
      </c>
      <c r="E110" s="3" t="s">
        <v>689</v>
      </c>
    </row>
    <row r="111" spans="1:7" x14ac:dyDescent="0.25">
      <c r="A111" s="3" t="s">
        <v>741</v>
      </c>
      <c r="B111" s="3">
        <v>1</v>
      </c>
      <c r="C111" s="3">
        <v>0</v>
      </c>
      <c r="D111" s="3" t="s">
        <v>741</v>
      </c>
      <c r="E111" s="3" t="s">
        <v>692</v>
      </c>
      <c r="F111" s="3" t="s">
        <v>1251</v>
      </c>
      <c r="G111" s="3" t="s">
        <v>1252</v>
      </c>
    </row>
    <row r="112" spans="1:7" x14ac:dyDescent="0.25">
      <c r="A112" s="3" t="s">
        <v>1269</v>
      </c>
      <c r="B112" s="3">
        <v>1</v>
      </c>
      <c r="C112" s="3">
        <v>0</v>
      </c>
      <c r="D112" s="3" t="s">
        <v>701</v>
      </c>
      <c r="E112" s="3" t="s">
        <v>689</v>
      </c>
    </row>
    <row r="113" spans="1:9" x14ac:dyDescent="0.25">
      <c r="A113" s="3" t="s">
        <v>1213</v>
      </c>
      <c r="B113" s="3">
        <v>1</v>
      </c>
      <c r="C113" s="3">
        <v>0</v>
      </c>
      <c r="D113" s="3" t="s">
        <v>689</v>
      </c>
    </row>
    <row r="114" spans="1:9" x14ac:dyDescent="0.25">
      <c r="A114" s="3" t="s">
        <v>1259</v>
      </c>
      <c r="B114" s="3">
        <v>1</v>
      </c>
      <c r="C114" s="3">
        <v>0</v>
      </c>
      <c r="D114" s="3" t="s">
        <v>732</v>
      </c>
      <c r="E114" s="3" t="s">
        <v>698</v>
      </c>
    </row>
    <row r="115" spans="1:9" x14ac:dyDescent="0.25">
      <c r="A115" s="3" t="s">
        <v>1214</v>
      </c>
      <c r="B115" s="3">
        <v>1</v>
      </c>
      <c r="C115" s="3">
        <v>0</v>
      </c>
      <c r="D115" s="3" t="s">
        <v>1788</v>
      </c>
      <c r="E115" s="3" t="s">
        <v>994</v>
      </c>
      <c r="F115" s="3" t="s">
        <v>1255</v>
      </c>
      <c r="G115" s="3" t="s">
        <v>1258</v>
      </c>
    </row>
    <row r="116" spans="1:9" x14ac:dyDescent="0.25">
      <c r="A116" s="3" t="s">
        <v>1215</v>
      </c>
      <c r="B116" s="3">
        <v>1</v>
      </c>
      <c r="C116" s="3">
        <v>0</v>
      </c>
      <c r="D116" s="3" t="s">
        <v>717</v>
      </c>
      <c r="E116" s="3" t="s">
        <v>689</v>
      </c>
    </row>
    <row r="117" spans="1:9" x14ac:dyDescent="0.25">
      <c r="A117" s="3" t="s">
        <v>1216</v>
      </c>
      <c r="B117" s="3">
        <v>1</v>
      </c>
      <c r="C117" s="3">
        <v>0</v>
      </c>
      <c r="D117" s="3" t="s">
        <v>690</v>
      </c>
    </row>
    <row r="118" spans="1:9" x14ac:dyDescent="0.25">
      <c r="A118" s="3" t="s">
        <v>1217</v>
      </c>
      <c r="B118" s="3">
        <v>1</v>
      </c>
      <c r="C118" s="3">
        <v>0</v>
      </c>
      <c r="D118" s="3" t="s">
        <v>694</v>
      </c>
      <c r="F118" s="3" t="s">
        <v>1253</v>
      </c>
      <c r="G118" s="3" t="s">
        <v>1254</v>
      </c>
    </row>
    <row r="119" spans="1:9" x14ac:dyDescent="0.25">
      <c r="A119" s="3" t="s">
        <v>1218</v>
      </c>
      <c r="B119" s="3">
        <v>1</v>
      </c>
      <c r="C119" s="3">
        <v>0</v>
      </c>
      <c r="D119" s="3" t="s">
        <v>740</v>
      </c>
      <c r="E119" s="3" t="s">
        <v>689</v>
      </c>
    </row>
    <row r="120" spans="1:9" x14ac:dyDescent="0.25">
      <c r="A120" s="3" t="s">
        <v>1836</v>
      </c>
      <c r="B120" s="3">
        <v>0</v>
      </c>
      <c r="C120" s="3">
        <v>1</v>
      </c>
      <c r="D120" s="3" t="s">
        <v>690</v>
      </c>
    </row>
    <row r="121" spans="1:9" x14ac:dyDescent="0.25">
      <c r="A121" s="3" t="s">
        <v>1837</v>
      </c>
      <c r="B121" s="3">
        <v>0</v>
      </c>
      <c r="C121" s="3">
        <v>1</v>
      </c>
      <c r="D121" s="3" t="s">
        <v>698</v>
      </c>
    </row>
    <row r="122" spans="1:9" x14ac:dyDescent="0.25">
      <c r="A122" s="3" t="s">
        <v>1838</v>
      </c>
      <c r="B122" s="3">
        <v>0</v>
      </c>
      <c r="C122" s="3">
        <v>1</v>
      </c>
      <c r="D122" s="3" t="s">
        <v>729</v>
      </c>
      <c r="E122" s="3" t="s">
        <v>2011</v>
      </c>
    </row>
    <row r="123" spans="1:9" x14ac:dyDescent="0.25">
      <c r="A123" s="3" t="s">
        <v>1839</v>
      </c>
      <c r="B123" s="3">
        <v>0</v>
      </c>
      <c r="C123" s="3">
        <v>1</v>
      </c>
      <c r="D123" s="3" t="s">
        <v>698</v>
      </c>
    </row>
    <row r="124" spans="1:9" x14ac:dyDescent="0.25">
      <c r="A124" s="3" t="s">
        <v>2234</v>
      </c>
      <c r="B124" s="3">
        <v>0</v>
      </c>
      <c r="C124" s="3">
        <v>1</v>
      </c>
      <c r="D124" s="3" t="s">
        <v>1788</v>
      </c>
      <c r="E124" s="3" t="s">
        <v>994</v>
      </c>
      <c r="F124" s="3" t="s">
        <v>1255</v>
      </c>
      <c r="H124" t="s">
        <v>2277</v>
      </c>
      <c r="I124" s="3" t="s">
        <v>2258</v>
      </c>
    </row>
    <row r="125" spans="1:9" x14ac:dyDescent="0.25">
      <c r="A125" s="3" t="s">
        <v>1840</v>
      </c>
      <c r="B125" s="3">
        <v>0</v>
      </c>
      <c r="C125" s="3">
        <v>1</v>
      </c>
      <c r="D125" s="3" t="s">
        <v>698</v>
      </c>
    </row>
    <row r="126" spans="1:9" x14ac:dyDescent="0.25">
      <c r="A126" s="3" t="s">
        <v>1841</v>
      </c>
      <c r="B126" s="3">
        <v>0</v>
      </c>
      <c r="C126" s="3">
        <v>1</v>
      </c>
      <c r="D126" s="3" t="s">
        <v>729</v>
      </c>
      <c r="E126" s="3" t="s">
        <v>2011</v>
      </c>
    </row>
    <row r="127" spans="1:9" x14ac:dyDescent="0.25">
      <c r="A127" s="3" t="s">
        <v>705</v>
      </c>
      <c r="B127" s="3">
        <v>0</v>
      </c>
      <c r="C127" s="3">
        <v>1</v>
      </c>
      <c r="D127" s="3" t="s">
        <v>705</v>
      </c>
      <c r="E127" s="3" t="s">
        <v>698</v>
      </c>
    </row>
    <row r="128" spans="1:9" x14ac:dyDescent="0.25">
      <c r="A128" s="3" t="s">
        <v>1842</v>
      </c>
      <c r="B128" s="3">
        <v>0</v>
      </c>
      <c r="C128" s="3">
        <v>1</v>
      </c>
      <c r="D128" s="3" t="s">
        <v>698</v>
      </c>
    </row>
    <row r="129" spans="1:30" s="3" customFormat="1" x14ac:dyDescent="0.25">
      <c r="A129" s="3" t="s">
        <v>1843</v>
      </c>
      <c r="B129" s="3">
        <v>0</v>
      </c>
      <c r="C129" s="3">
        <v>1</v>
      </c>
      <c r="D129" s="3" t="s">
        <v>698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s="3" customFormat="1" x14ac:dyDescent="0.25">
      <c r="A130" s="3" t="s">
        <v>1844</v>
      </c>
      <c r="B130" s="3">
        <v>0</v>
      </c>
      <c r="C130" s="3">
        <v>1</v>
      </c>
      <c r="D130" s="3" t="s">
        <v>698</v>
      </c>
      <c r="H130" t="s">
        <v>2274</v>
      </c>
      <c r="I130" t="s">
        <v>2258</v>
      </c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s="3" customFormat="1" x14ac:dyDescent="0.25">
      <c r="A131" s="3" t="s">
        <v>1845</v>
      </c>
      <c r="B131" s="3">
        <v>0</v>
      </c>
      <c r="C131" s="3">
        <v>1</v>
      </c>
      <c r="D131" s="3" t="s">
        <v>904</v>
      </c>
      <c r="E131" s="3" t="s">
        <v>918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s="3" customFormat="1" x14ac:dyDescent="0.25">
      <c r="A132" s="3" t="s">
        <v>1846</v>
      </c>
      <c r="B132" s="3">
        <v>0</v>
      </c>
      <c r="C132" s="3">
        <v>1</v>
      </c>
      <c r="D132" s="3" t="s">
        <v>691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s="3" customFormat="1" x14ac:dyDescent="0.25">
      <c r="A133" s="3" t="s">
        <v>1847</v>
      </c>
      <c r="B133" s="3">
        <v>0</v>
      </c>
      <c r="C133" s="3">
        <v>1</v>
      </c>
      <c r="D133" s="3" t="s">
        <v>691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3" customFormat="1" x14ac:dyDescent="0.25">
      <c r="A134" s="3" t="s">
        <v>2235</v>
      </c>
      <c r="B134" s="3">
        <v>0</v>
      </c>
      <c r="C134" s="3">
        <v>1</v>
      </c>
      <c r="D134" s="3" t="s">
        <v>1302</v>
      </c>
      <c r="H134"/>
      <c r="I134" t="s">
        <v>2257</v>
      </c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s="3" customFormat="1" x14ac:dyDescent="0.25">
      <c r="A135" s="3" t="s">
        <v>2230</v>
      </c>
      <c r="B135" s="3">
        <v>0</v>
      </c>
      <c r="C135" s="3">
        <v>1</v>
      </c>
      <c r="D135" s="3" t="s">
        <v>1788</v>
      </c>
      <c r="E135" s="3" t="s">
        <v>994</v>
      </c>
      <c r="F135" s="3" t="s">
        <v>1255</v>
      </c>
      <c r="H135"/>
      <c r="I135" s="3" t="s">
        <v>2257</v>
      </c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s="3" customFormat="1" x14ac:dyDescent="0.25">
      <c r="A136" s="3" t="s">
        <v>1848</v>
      </c>
      <c r="B136" s="3">
        <v>0</v>
      </c>
      <c r="C136" s="3">
        <v>1</v>
      </c>
      <c r="D136" s="3" t="s">
        <v>691</v>
      </c>
      <c r="H136"/>
      <c r="I136" t="s">
        <v>2257</v>
      </c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s="3" customFormat="1" x14ac:dyDescent="0.25">
      <c r="A137" s="3" t="s">
        <v>2236</v>
      </c>
      <c r="B137" s="3">
        <v>1</v>
      </c>
      <c r="C137" s="3">
        <v>1</v>
      </c>
      <c r="D137" s="3" t="s">
        <v>2209</v>
      </c>
      <c r="H137" t="s">
        <v>2251</v>
      </c>
      <c r="I137" t="s">
        <v>2257</v>
      </c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s="3" customFormat="1" x14ac:dyDescent="0.25">
      <c r="A138" s="3" t="s">
        <v>1849</v>
      </c>
      <c r="B138" s="3">
        <v>0</v>
      </c>
      <c r="C138" s="3">
        <v>1</v>
      </c>
      <c r="D138" s="3" t="s">
        <v>690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s="3" customFormat="1" x14ac:dyDescent="0.25">
      <c r="A139" s="3" t="s">
        <v>1850</v>
      </c>
      <c r="B139" s="3">
        <v>0</v>
      </c>
      <c r="C139" s="3">
        <v>1</v>
      </c>
      <c r="D139" s="3" t="s">
        <v>698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s="3" customFormat="1" x14ac:dyDescent="0.25">
      <c r="A140" s="3" t="s">
        <v>1240</v>
      </c>
      <c r="B140" s="3">
        <v>0</v>
      </c>
      <c r="C140" s="3">
        <v>1</v>
      </c>
      <c r="D140" s="3" t="s">
        <v>691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s="3" customFormat="1" x14ac:dyDescent="0.25">
      <c r="A141" s="3" t="s">
        <v>1851</v>
      </c>
      <c r="B141" s="3">
        <v>0</v>
      </c>
      <c r="C141" s="3">
        <v>1</v>
      </c>
      <c r="D141" s="3" t="s">
        <v>690</v>
      </c>
      <c r="H141" t="s">
        <v>2273</v>
      </c>
      <c r="I141" t="s">
        <v>2258</v>
      </c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s="3" customFormat="1" x14ac:dyDescent="0.25">
      <c r="A142" s="3" t="s">
        <v>2249</v>
      </c>
      <c r="B142" s="3">
        <v>0</v>
      </c>
      <c r="C142" s="3">
        <v>1</v>
      </c>
      <c r="D142" s="3" t="s">
        <v>962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s="3" customFormat="1" x14ac:dyDescent="0.25">
      <c r="A143" s="3" t="s">
        <v>2246</v>
      </c>
      <c r="B143" s="3">
        <v>0</v>
      </c>
      <c r="C143" s="3">
        <v>1</v>
      </c>
      <c r="D143" s="3" t="s">
        <v>704</v>
      </c>
      <c r="H143" t="s">
        <v>2268</v>
      </c>
      <c r="I143" t="s">
        <v>2258</v>
      </c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s="3" customFormat="1" x14ac:dyDescent="0.25">
      <c r="A144" s="3" t="s">
        <v>1852</v>
      </c>
      <c r="B144" s="3">
        <v>0</v>
      </c>
      <c r="C144" s="3">
        <v>1</v>
      </c>
      <c r="D144" s="3" t="s">
        <v>698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s="3" customFormat="1" x14ac:dyDescent="0.25">
      <c r="A145" s="3" t="s">
        <v>2247</v>
      </c>
      <c r="B145" s="3">
        <v>0</v>
      </c>
      <c r="C145" s="3">
        <v>1</v>
      </c>
      <c r="D145" s="3" t="s">
        <v>692</v>
      </c>
      <c r="H145" t="s">
        <v>2276</v>
      </c>
      <c r="I145" t="s">
        <v>2258</v>
      </c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s="3" customFormat="1" x14ac:dyDescent="0.25">
      <c r="A146" s="3" t="s">
        <v>2245</v>
      </c>
      <c r="B146" s="3">
        <v>0</v>
      </c>
      <c r="C146" s="3">
        <v>1</v>
      </c>
      <c r="D146" s="3" t="s">
        <v>2244</v>
      </c>
      <c r="E146" s="3" t="s">
        <v>962</v>
      </c>
      <c r="H146" t="s">
        <v>2268</v>
      </c>
      <c r="I146" t="s">
        <v>2258</v>
      </c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s="3" customFormat="1" x14ac:dyDescent="0.25">
      <c r="A147" s="3" t="s">
        <v>1853</v>
      </c>
      <c r="B147" s="3">
        <v>0</v>
      </c>
      <c r="C147" s="3">
        <v>1</v>
      </c>
      <c r="D147" s="3" t="s">
        <v>724</v>
      </c>
      <c r="E147" s="3" t="s">
        <v>690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s="3" customFormat="1" x14ac:dyDescent="0.25">
      <c r="A148" s="3" t="s">
        <v>1854</v>
      </c>
      <c r="B148" s="3">
        <v>0</v>
      </c>
      <c r="C148" s="3">
        <v>1</v>
      </c>
      <c r="D148" s="3" t="s">
        <v>695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s="3" customFormat="1" x14ac:dyDescent="0.25">
      <c r="A149" s="3" t="s">
        <v>1855</v>
      </c>
      <c r="B149" s="3">
        <v>0</v>
      </c>
      <c r="C149" s="3">
        <v>1</v>
      </c>
      <c r="D149" s="3" t="s">
        <v>698</v>
      </c>
      <c r="H149" t="s">
        <v>2275</v>
      </c>
      <c r="I149" t="s">
        <v>2258</v>
      </c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s="3" customFormat="1" x14ac:dyDescent="0.25">
      <c r="A150" s="3" t="s">
        <v>1856</v>
      </c>
      <c r="B150" s="3">
        <v>0</v>
      </c>
      <c r="C150" s="3">
        <v>1</v>
      </c>
      <c r="D150" s="3" t="s">
        <v>690</v>
      </c>
      <c r="H150" t="s">
        <v>2272</v>
      </c>
      <c r="I150" t="s">
        <v>2258</v>
      </c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s="3" customFormat="1" x14ac:dyDescent="0.25">
      <c r="A151" s="3" t="s">
        <v>1857</v>
      </c>
      <c r="B151" s="3">
        <v>0</v>
      </c>
      <c r="C151" s="3">
        <v>1</v>
      </c>
      <c r="D151" s="3" t="s">
        <v>698</v>
      </c>
      <c r="H151" t="s">
        <v>2265</v>
      </c>
      <c r="I151" t="s">
        <v>2258</v>
      </c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s="3" customFormat="1" x14ac:dyDescent="0.25">
      <c r="A152" s="3" t="s">
        <v>1858</v>
      </c>
      <c r="B152" s="3">
        <v>0</v>
      </c>
      <c r="C152" s="3">
        <v>1</v>
      </c>
      <c r="D152" s="3" t="s">
        <v>691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s="3" customFormat="1" x14ac:dyDescent="0.25">
      <c r="A153" s="3" t="s">
        <v>1859</v>
      </c>
      <c r="B153" s="3">
        <v>0</v>
      </c>
      <c r="C153" s="3">
        <v>1</v>
      </c>
      <c r="D153" s="3" t="s">
        <v>690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s="3" customFormat="1" x14ac:dyDescent="0.25">
      <c r="A154" s="3" t="s">
        <v>1860</v>
      </c>
      <c r="B154" s="3">
        <v>0</v>
      </c>
      <c r="C154" s="3">
        <v>1</v>
      </c>
      <c r="D154" s="3" t="s">
        <v>724</v>
      </c>
      <c r="E154" s="3" t="s">
        <v>690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s="3" customFormat="1" x14ac:dyDescent="0.25">
      <c r="A155" s="3" t="s">
        <v>1861</v>
      </c>
      <c r="B155" s="3">
        <v>0</v>
      </c>
      <c r="C155" s="3">
        <v>1</v>
      </c>
      <c r="D155" s="3" t="s">
        <v>724</v>
      </c>
      <c r="E155" s="3" t="s">
        <v>690</v>
      </c>
      <c r="H155" t="s">
        <v>2265</v>
      </c>
      <c r="I155" t="s">
        <v>2258</v>
      </c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s="3" customFormat="1" x14ac:dyDescent="0.25">
      <c r="A156" s="3" t="s">
        <v>2250</v>
      </c>
      <c r="B156" s="3">
        <v>0</v>
      </c>
      <c r="C156" s="3">
        <v>1</v>
      </c>
      <c r="D156" s="3" t="s">
        <v>717</v>
      </c>
      <c r="H156"/>
      <c r="I156" t="s">
        <v>2263</v>
      </c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s="3" customFormat="1" x14ac:dyDescent="0.25">
      <c r="A157" s="3" t="s">
        <v>2237</v>
      </c>
      <c r="B157" s="3">
        <v>0</v>
      </c>
      <c r="C157" s="3">
        <v>1</v>
      </c>
      <c r="D157" s="3" t="s">
        <v>696</v>
      </c>
      <c r="F157" s="3" t="s">
        <v>1255</v>
      </c>
      <c r="H157"/>
      <c r="I157" t="s">
        <v>2263</v>
      </c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s="3" customFormat="1" x14ac:dyDescent="0.25">
      <c r="A158" s="3" t="s">
        <v>2248</v>
      </c>
      <c r="B158" s="3">
        <v>0</v>
      </c>
      <c r="C158" s="3">
        <v>1</v>
      </c>
      <c r="D158" s="3" t="s">
        <v>735</v>
      </c>
      <c r="E158" s="3" t="s">
        <v>698</v>
      </c>
      <c r="H158"/>
      <c r="I158" t="s">
        <v>2263</v>
      </c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s="3" customFormat="1" x14ac:dyDescent="0.25">
      <c r="A159" s="3" t="s">
        <v>1862</v>
      </c>
      <c r="B159" s="3">
        <v>0</v>
      </c>
      <c r="C159" s="3">
        <v>1</v>
      </c>
      <c r="D159" s="3" t="s">
        <v>918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s="3" customFormat="1" x14ac:dyDescent="0.25">
      <c r="A160" s="3" t="s">
        <v>1229</v>
      </c>
      <c r="B160" s="3">
        <v>0</v>
      </c>
      <c r="C160" s="3">
        <v>1</v>
      </c>
      <c r="D160" s="3" t="s">
        <v>918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s="3" customFormat="1" x14ac:dyDescent="0.25">
      <c r="A161" s="3" t="s">
        <v>1863</v>
      </c>
      <c r="B161" s="3">
        <v>0</v>
      </c>
      <c r="C161" s="3">
        <v>1</v>
      </c>
      <c r="D161" s="3" t="s">
        <v>698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s="3" customFormat="1" x14ac:dyDescent="0.25">
      <c r="A162" s="3" t="s">
        <v>1864</v>
      </c>
      <c r="B162" s="3">
        <v>0</v>
      </c>
      <c r="C162" s="3">
        <v>1</v>
      </c>
      <c r="D162" s="3" t="s">
        <v>918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s="3" customFormat="1" x14ac:dyDescent="0.25">
      <c r="A163" s="3" t="s">
        <v>1237</v>
      </c>
      <c r="B163" s="3">
        <v>0</v>
      </c>
      <c r="C163" s="3">
        <v>1</v>
      </c>
      <c r="D163" s="3" t="s">
        <v>1788</v>
      </c>
      <c r="E163" s="3" t="s">
        <v>994</v>
      </c>
      <c r="F163" s="3" t="s">
        <v>1255</v>
      </c>
      <c r="H163" s="3" t="s">
        <v>2266</v>
      </c>
      <c r="I163" s="3" t="s">
        <v>2257</v>
      </c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s="3" customFormat="1" x14ac:dyDescent="0.25">
      <c r="A164" s="3" t="s">
        <v>1865</v>
      </c>
      <c r="B164" s="3">
        <v>0</v>
      </c>
      <c r="C164" s="3">
        <v>1</v>
      </c>
      <c r="D164" s="3" t="s">
        <v>690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s="3" customFormat="1" x14ac:dyDescent="0.25">
      <c r="A165" s="3" t="s">
        <v>1866</v>
      </c>
      <c r="B165" s="3">
        <v>0</v>
      </c>
      <c r="C165" s="3">
        <v>1</v>
      </c>
      <c r="D165" s="3" t="s">
        <v>698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s="3" customFormat="1" x14ac:dyDescent="0.25">
      <c r="A166" s="3" t="s">
        <v>1867</v>
      </c>
      <c r="B166" s="3">
        <v>0</v>
      </c>
      <c r="C166" s="3">
        <v>1</v>
      </c>
      <c r="D166" s="3" t="s">
        <v>724</v>
      </c>
      <c r="E166" s="3" t="s">
        <v>690</v>
      </c>
      <c r="H166"/>
      <c r="I166" t="s">
        <v>2264</v>
      </c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s="3" customFormat="1" x14ac:dyDescent="0.25">
      <c r="A167" s="3" t="s">
        <v>1868</v>
      </c>
      <c r="B167" s="3">
        <v>0</v>
      </c>
      <c r="C167" s="3">
        <v>1</v>
      </c>
      <c r="D167" s="3" t="s">
        <v>2011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s="3" customFormat="1" x14ac:dyDescent="0.25">
      <c r="A168" s="3" t="s">
        <v>1869</v>
      </c>
      <c r="B168" s="3">
        <v>0</v>
      </c>
      <c r="C168" s="3">
        <v>1</v>
      </c>
      <c r="D168" s="3" t="s">
        <v>698</v>
      </c>
      <c r="H168" t="s">
        <v>2274</v>
      </c>
      <c r="I168" t="s">
        <v>2258</v>
      </c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s="3" customFormat="1" x14ac:dyDescent="0.25">
      <c r="A169" s="3" t="s">
        <v>1870</v>
      </c>
      <c r="B169" s="3">
        <v>0</v>
      </c>
      <c r="C169" s="3">
        <v>1</v>
      </c>
      <c r="D169" s="3" t="s">
        <v>698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s="3" customFormat="1" x14ac:dyDescent="0.25">
      <c r="A170" s="3" t="s">
        <v>1871</v>
      </c>
      <c r="B170" s="3">
        <v>0</v>
      </c>
      <c r="C170" s="3">
        <v>1</v>
      </c>
      <c r="D170" s="3" t="s">
        <v>691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s="3" customFormat="1" x14ac:dyDescent="0.25">
      <c r="A171" s="3" t="s">
        <v>1872</v>
      </c>
      <c r="B171" s="3">
        <v>0</v>
      </c>
      <c r="C171" s="3">
        <v>1</v>
      </c>
      <c r="D171" s="3" t="s">
        <v>695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s="3" customFormat="1" x14ac:dyDescent="0.25">
      <c r="A172" s="3" t="s">
        <v>1873</v>
      </c>
      <c r="B172" s="3">
        <v>0</v>
      </c>
      <c r="C172" s="3">
        <v>1</v>
      </c>
      <c r="D172" s="3" t="s">
        <v>695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s="3" customFormat="1" x14ac:dyDescent="0.25">
      <c r="A173" s="3" t="s">
        <v>1874</v>
      </c>
      <c r="B173" s="3">
        <v>0</v>
      </c>
      <c r="C173" s="3">
        <v>1</v>
      </c>
      <c r="D173" s="3" t="s">
        <v>695</v>
      </c>
      <c r="H173" t="s">
        <v>2269</v>
      </c>
      <c r="I173" t="s">
        <v>2258</v>
      </c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s="3" customFormat="1" x14ac:dyDescent="0.25">
      <c r="A174" s="3" t="s">
        <v>1234</v>
      </c>
      <c r="B174" s="3">
        <v>0</v>
      </c>
      <c r="C174" s="3">
        <v>1</v>
      </c>
      <c r="D174" s="3" t="s">
        <v>994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s="3" customFormat="1" x14ac:dyDescent="0.25">
      <c r="A175" s="3" t="s">
        <v>1235</v>
      </c>
      <c r="B175" s="3">
        <v>0</v>
      </c>
      <c r="C175" s="3">
        <v>1</v>
      </c>
      <c r="D175" s="3" t="s">
        <v>994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s="3" customFormat="1" x14ac:dyDescent="0.25">
      <c r="A176" s="3" t="s">
        <v>1236</v>
      </c>
      <c r="B176" s="3">
        <v>0</v>
      </c>
      <c r="C176" s="3">
        <v>1</v>
      </c>
      <c r="D176" s="3" t="s">
        <v>994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s="3" customFormat="1" x14ac:dyDescent="0.25">
      <c r="A177" s="3" t="s">
        <v>1875</v>
      </c>
      <c r="B177" s="3">
        <v>0</v>
      </c>
      <c r="C177" s="3">
        <v>1</v>
      </c>
      <c r="D177" s="3" t="s">
        <v>690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s="3" customFormat="1" x14ac:dyDescent="0.25">
      <c r="A178" s="3" t="s">
        <v>1876</v>
      </c>
      <c r="B178" s="3">
        <v>0</v>
      </c>
      <c r="C178" s="3">
        <v>1</v>
      </c>
      <c r="D178" s="3" t="s">
        <v>698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s="3" customFormat="1" x14ac:dyDescent="0.25">
      <c r="A179" s="3" t="s">
        <v>1877</v>
      </c>
      <c r="B179" s="3">
        <v>0</v>
      </c>
      <c r="C179" s="3">
        <v>1</v>
      </c>
      <c r="D179" s="3" t="s">
        <v>698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s="3" customFormat="1" x14ac:dyDescent="0.25">
      <c r="A180" s="3" t="s">
        <v>1878</v>
      </c>
      <c r="B180" s="3">
        <v>0</v>
      </c>
      <c r="C180" s="3">
        <v>1</v>
      </c>
      <c r="D180" s="3" t="s">
        <v>691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s="3" customFormat="1" x14ac:dyDescent="0.25">
      <c r="A181" s="3" t="s">
        <v>1879</v>
      </c>
      <c r="B181" s="3">
        <v>0</v>
      </c>
      <c r="C181" s="3">
        <v>1</v>
      </c>
      <c r="D181" s="3" t="s">
        <v>724</v>
      </c>
      <c r="E181" s="3" t="s">
        <v>690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s="3" customFormat="1" x14ac:dyDescent="0.25">
      <c r="A182" s="3" t="s">
        <v>1880</v>
      </c>
      <c r="B182" s="3">
        <v>0</v>
      </c>
      <c r="C182" s="3">
        <v>1</v>
      </c>
      <c r="D182" s="3" t="s">
        <v>695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s="3" customFormat="1" x14ac:dyDescent="0.25">
      <c r="A183" s="3" t="s">
        <v>1881</v>
      </c>
      <c r="B183" s="3">
        <v>0</v>
      </c>
      <c r="C183" s="3">
        <v>1</v>
      </c>
      <c r="D183" s="3" t="s">
        <v>695</v>
      </c>
      <c r="H183" t="s">
        <v>2273</v>
      </c>
      <c r="I183" t="s">
        <v>2258</v>
      </c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s="3" customFormat="1" x14ac:dyDescent="0.25">
      <c r="A184" s="3" t="s">
        <v>2233</v>
      </c>
      <c r="B184" s="3">
        <v>0</v>
      </c>
      <c r="C184" s="3">
        <v>1</v>
      </c>
      <c r="D184" s="3" t="s">
        <v>1788</v>
      </c>
      <c r="E184" s="3" t="s">
        <v>994</v>
      </c>
      <c r="F184" s="3" t="s">
        <v>1255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s="3" customFormat="1" x14ac:dyDescent="0.25">
      <c r="A185" s="3" t="s">
        <v>1882</v>
      </c>
      <c r="B185" s="3">
        <v>0</v>
      </c>
      <c r="C185" s="3">
        <v>1</v>
      </c>
      <c r="D185" s="3" t="s">
        <v>714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s="3" customFormat="1" x14ac:dyDescent="0.25">
      <c r="A186" s="3" t="s">
        <v>1883</v>
      </c>
      <c r="B186" s="3">
        <v>0</v>
      </c>
      <c r="C186" s="3">
        <v>1</v>
      </c>
      <c r="D186" s="3" t="s">
        <v>2011</v>
      </c>
      <c r="H186" t="s">
        <v>2272</v>
      </c>
      <c r="I186" t="s">
        <v>2258</v>
      </c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s="3" customFormat="1" x14ac:dyDescent="0.25">
      <c r="A187" s="3" t="s">
        <v>1884</v>
      </c>
      <c r="B187" s="3">
        <v>0</v>
      </c>
      <c r="C187" s="3">
        <v>1</v>
      </c>
      <c r="D187" s="3" t="s">
        <v>691</v>
      </c>
      <c r="H187" t="s">
        <v>2271</v>
      </c>
      <c r="I187" t="s">
        <v>2258</v>
      </c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s="3" customFormat="1" x14ac:dyDescent="0.25">
      <c r="A188" s="3" t="s">
        <v>1885</v>
      </c>
      <c r="B188" s="3">
        <v>0</v>
      </c>
      <c r="C188" s="3">
        <v>1</v>
      </c>
      <c r="D188" s="3" t="s">
        <v>695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s="3" customFormat="1" x14ac:dyDescent="0.25">
      <c r="A189" s="3" t="s">
        <v>1886</v>
      </c>
      <c r="B189" s="3">
        <v>0</v>
      </c>
      <c r="C189" s="3">
        <v>1</v>
      </c>
      <c r="D189" s="3" t="s">
        <v>1788</v>
      </c>
      <c r="E189" s="3" t="s">
        <v>994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s="3" customFormat="1" x14ac:dyDescent="0.25">
      <c r="A190" s="3" t="s">
        <v>1887</v>
      </c>
      <c r="B190" s="3">
        <v>0</v>
      </c>
      <c r="C190" s="3">
        <v>1</v>
      </c>
      <c r="D190" s="3" t="s">
        <v>690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s="3" customFormat="1" x14ac:dyDescent="0.25">
      <c r="A191" s="3" t="s">
        <v>1888</v>
      </c>
      <c r="B191" s="3">
        <v>0</v>
      </c>
      <c r="C191" s="3">
        <v>1</v>
      </c>
      <c r="D191" s="3" t="s">
        <v>724</v>
      </c>
      <c r="E191" s="3" t="s">
        <v>690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s="3" customFormat="1" x14ac:dyDescent="0.25">
      <c r="A192" s="3" t="s">
        <v>1889</v>
      </c>
      <c r="B192" s="3">
        <v>0</v>
      </c>
      <c r="C192" s="3">
        <v>1</v>
      </c>
      <c r="D192" s="3" t="s">
        <v>724</v>
      </c>
      <c r="E192" s="3" t="s">
        <v>690</v>
      </c>
      <c r="H192" t="s">
        <v>2259</v>
      </c>
      <c r="I192" t="s">
        <v>2258</v>
      </c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s="3" customFormat="1" x14ac:dyDescent="0.25">
      <c r="A193" s="3" t="s">
        <v>1890</v>
      </c>
      <c r="B193" s="3">
        <v>0</v>
      </c>
      <c r="C193" s="3">
        <v>1</v>
      </c>
      <c r="D193" s="3" t="s">
        <v>698</v>
      </c>
      <c r="H193" t="s">
        <v>2270</v>
      </c>
      <c r="I193" t="s">
        <v>2258</v>
      </c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s="3" customFormat="1" x14ac:dyDescent="0.25">
      <c r="A194" s="3" t="s">
        <v>1891</v>
      </c>
      <c r="B194" s="3">
        <v>0</v>
      </c>
      <c r="C194" s="3">
        <v>1</v>
      </c>
      <c r="D194" s="3" t="s">
        <v>918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s="3" customFormat="1" x14ac:dyDescent="0.25">
      <c r="A195" s="3" t="s">
        <v>1892</v>
      </c>
      <c r="B195" s="3">
        <v>0</v>
      </c>
      <c r="C195" s="3">
        <v>1</v>
      </c>
      <c r="D195" s="3" t="s">
        <v>698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s="3" customFormat="1" x14ac:dyDescent="0.25">
      <c r="A196" s="3" t="s">
        <v>1893</v>
      </c>
      <c r="B196" s="3">
        <v>0</v>
      </c>
      <c r="C196" s="3">
        <v>1</v>
      </c>
      <c r="D196" s="3" t="s">
        <v>698</v>
      </c>
      <c r="H196" t="s">
        <v>2252</v>
      </c>
      <c r="I196" t="s">
        <v>2258</v>
      </c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s="3" customFormat="1" x14ac:dyDescent="0.25">
      <c r="A197" s="3" t="s">
        <v>1242</v>
      </c>
      <c r="B197" s="3">
        <v>0</v>
      </c>
      <c r="C197" s="3">
        <v>1</v>
      </c>
      <c r="D197" s="3" t="s">
        <v>724</v>
      </c>
      <c r="E197" s="3" t="s">
        <v>690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s="3" customFormat="1" x14ac:dyDescent="0.25">
      <c r="A198" s="3" t="s">
        <v>1894</v>
      </c>
      <c r="B198" s="3">
        <v>0</v>
      </c>
      <c r="C198" s="3">
        <v>1</v>
      </c>
      <c r="D198" s="3" t="s">
        <v>690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s="3" customFormat="1" x14ac:dyDescent="0.25">
      <c r="A199" s="3" t="s">
        <v>1895</v>
      </c>
      <c r="B199" s="3">
        <v>0</v>
      </c>
      <c r="C199" s="3">
        <v>1</v>
      </c>
      <c r="D199" s="3" t="s">
        <v>691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s="3" customFormat="1" x14ac:dyDescent="0.25">
      <c r="A200" s="3" t="s">
        <v>1896</v>
      </c>
      <c r="B200" s="3">
        <v>0</v>
      </c>
      <c r="C200" s="3">
        <v>1</v>
      </c>
      <c r="D200" s="3" t="s">
        <v>690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s="3" customFormat="1" x14ac:dyDescent="0.25">
      <c r="A201" s="3" t="s">
        <v>1897</v>
      </c>
      <c r="B201" s="3">
        <v>0</v>
      </c>
      <c r="C201" s="3">
        <v>1</v>
      </c>
      <c r="D201" s="3" t="s">
        <v>1037</v>
      </c>
      <c r="E201" s="3" t="s">
        <v>690</v>
      </c>
      <c r="H201" t="s">
        <v>2252</v>
      </c>
      <c r="I201" s="3" t="s">
        <v>2258</v>
      </c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s="3" customFormat="1" x14ac:dyDescent="0.25">
      <c r="A202" s="3" t="s">
        <v>1898</v>
      </c>
      <c r="B202" s="3">
        <v>0</v>
      </c>
      <c r="C202" s="3">
        <v>1</v>
      </c>
      <c r="D202" s="3" t="s">
        <v>918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s="3" customFormat="1" x14ac:dyDescent="0.25">
      <c r="A203" s="3" t="s">
        <v>1899</v>
      </c>
      <c r="B203" s="3">
        <v>0</v>
      </c>
      <c r="C203" s="3">
        <v>1</v>
      </c>
      <c r="D203" s="3" t="s">
        <v>695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s="3" customFormat="1" x14ac:dyDescent="0.25">
      <c r="A204" s="3" t="s">
        <v>1900</v>
      </c>
      <c r="B204" s="3">
        <v>0</v>
      </c>
      <c r="C204" s="3">
        <v>1</v>
      </c>
      <c r="D204" s="3" t="s">
        <v>695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s="3" customFormat="1" x14ac:dyDescent="0.25">
      <c r="A205" s="3" t="s">
        <v>1233</v>
      </c>
      <c r="B205" s="3">
        <v>0</v>
      </c>
      <c r="C205" s="3">
        <v>1</v>
      </c>
      <c r="D205" s="3" t="s">
        <v>703</v>
      </c>
      <c r="E205" s="3" t="s">
        <v>690</v>
      </c>
      <c r="H205" t="s">
        <v>2269</v>
      </c>
      <c r="I205" t="s">
        <v>2258</v>
      </c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s="3" customFormat="1" x14ac:dyDescent="0.25">
      <c r="A206" s="3" t="s">
        <v>1901</v>
      </c>
      <c r="B206" s="3">
        <v>0</v>
      </c>
      <c r="C206" s="3">
        <v>1</v>
      </c>
      <c r="D206" s="3" t="s">
        <v>740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s="3" customFormat="1" x14ac:dyDescent="0.25">
      <c r="A207" s="3" t="s">
        <v>1241</v>
      </c>
      <c r="B207" s="3">
        <v>0</v>
      </c>
      <c r="C207" s="3">
        <v>1</v>
      </c>
      <c r="D207" s="3" t="s">
        <v>740</v>
      </c>
      <c r="H207" t="s">
        <v>2268</v>
      </c>
      <c r="I207" t="s">
        <v>2258</v>
      </c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s="3" customFormat="1" x14ac:dyDescent="0.25">
      <c r="A208" s="3" t="s">
        <v>1902</v>
      </c>
      <c r="B208" s="3">
        <v>0</v>
      </c>
      <c r="C208" s="3">
        <v>1</v>
      </c>
      <c r="D208" s="3" t="s">
        <v>994</v>
      </c>
      <c r="H208" t="s">
        <v>2254</v>
      </c>
      <c r="I208" t="s">
        <v>2258</v>
      </c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s="3" customFormat="1" x14ac:dyDescent="0.25">
      <c r="A209" s="3" t="s">
        <v>1903</v>
      </c>
      <c r="B209" s="3">
        <v>0</v>
      </c>
      <c r="C209" s="3">
        <v>1</v>
      </c>
      <c r="D209" s="3" t="s">
        <v>918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s="3" customFormat="1" x14ac:dyDescent="0.25">
      <c r="A210" s="3" t="s">
        <v>2242</v>
      </c>
      <c r="B210" s="3">
        <v>0</v>
      </c>
      <c r="C210" s="3">
        <v>1</v>
      </c>
      <c r="D210" s="3" t="s">
        <v>2244</v>
      </c>
      <c r="E210" s="3" t="s">
        <v>962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s="3" customFormat="1" x14ac:dyDescent="0.25">
      <c r="A211" s="3" t="s">
        <v>2241</v>
      </c>
      <c r="B211" s="3">
        <v>0</v>
      </c>
      <c r="C211" s="3">
        <v>1</v>
      </c>
      <c r="D211" s="3" t="s">
        <v>2244</v>
      </c>
      <c r="E211" s="3" t="s">
        <v>962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s="3" customFormat="1" x14ac:dyDescent="0.25">
      <c r="A212" s="3" t="s">
        <v>1904</v>
      </c>
      <c r="B212" s="3">
        <v>0</v>
      </c>
      <c r="C212" s="3">
        <v>1</v>
      </c>
      <c r="D212" s="3" t="s">
        <v>918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s="3" customFormat="1" x14ac:dyDescent="0.25">
      <c r="A213" s="3" t="s">
        <v>1905</v>
      </c>
      <c r="B213" s="3">
        <v>0</v>
      </c>
      <c r="C213" s="3">
        <v>1</v>
      </c>
      <c r="D213" s="3" t="s">
        <v>918</v>
      </c>
      <c r="H213" t="s">
        <v>2259</v>
      </c>
      <c r="I213" t="s">
        <v>2258</v>
      </c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s="3" customFormat="1" x14ac:dyDescent="0.25">
      <c r="A214" s="3" t="s">
        <v>2260</v>
      </c>
      <c r="B214" s="3">
        <v>0</v>
      </c>
      <c r="C214" s="3">
        <v>1</v>
      </c>
      <c r="D214" s="3" t="s">
        <v>918</v>
      </c>
      <c r="H214" t="s">
        <v>2261</v>
      </c>
      <c r="I214" t="s">
        <v>2262</v>
      </c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s="3" customFormat="1" x14ac:dyDescent="0.25">
      <c r="A215" s="3" t="s">
        <v>1238</v>
      </c>
      <c r="B215" s="3">
        <v>0</v>
      </c>
      <c r="C215" s="3">
        <v>1</v>
      </c>
      <c r="D215" s="3" t="s">
        <v>691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s="3" customFormat="1" x14ac:dyDescent="0.25">
      <c r="A216" s="3" t="s">
        <v>1232</v>
      </c>
      <c r="B216" s="3">
        <v>0</v>
      </c>
      <c r="C216" s="3">
        <v>1</v>
      </c>
      <c r="D216" s="3" t="s">
        <v>690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s="3" customFormat="1" x14ac:dyDescent="0.25">
      <c r="A217" s="3" t="s">
        <v>1231</v>
      </c>
      <c r="B217" s="3">
        <v>0</v>
      </c>
      <c r="C217" s="3">
        <v>1</v>
      </c>
      <c r="D217" s="3" t="s">
        <v>735</v>
      </c>
      <c r="E217" s="3" t="s">
        <v>698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s="3" customFormat="1" x14ac:dyDescent="0.25">
      <c r="A218" s="3" t="s">
        <v>1906</v>
      </c>
      <c r="B218" s="3">
        <v>0</v>
      </c>
      <c r="C218" s="3">
        <v>1</v>
      </c>
      <c r="D218" s="3" t="s">
        <v>918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s="3" customFormat="1" x14ac:dyDescent="0.25">
      <c r="A219" s="3" t="s">
        <v>2231</v>
      </c>
      <c r="B219" s="3">
        <v>0</v>
      </c>
      <c r="C219" s="3">
        <v>1</v>
      </c>
      <c r="D219" s="3" t="s">
        <v>696</v>
      </c>
      <c r="F219" s="3" t="s">
        <v>1255</v>
      </c>
      <c r="H219" t="s">
        <v>2267</v>
      </c>
      <c r="I219" s="3" t="s">
        <v>2257</v>
      </c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s="3" customFormat="1" x14ac:dyDescent="0.25">
      <c r="A220" s="3" t="s">
        <v>2232</v>
      </c>
      <c r="B220" s="3">
        <v>0</v>
      </c>
      <c r="C220" s="3">
        <v>1</v>
      </c>
      <c r="D220" s="3" t="s">
        <v>696</v>
      </c>
      <c r="F220" s="3" t="s">
        <v>1255</v>
      </c>
      <c r="H220" t="s">
        <v>2255</v>
      </c>
      <c r="I220" s="3" t="s">
        <v>2258</v>
      </c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s="3" customFormat="1" x14ac:dyDescent="0.25">
      <c r="A221" s="3" t="s">
        <v>1907</v>
      </c>
      <c r="B221" s="3">
        <v>0</v>
      </c>
      <c r="C221" s="3">
        <v>1</v>
      </c>
      <c r="D221" s="3" t="s">
        <v>695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s="3" customFormat="1" x14ac:dyDescent="0.25">
      <c r="A222" s="3" t="s">
        <v>2243</v>
      </c>
      <c r="B222" s="3">
        <v>0</v>
      </c>
      <c r="C222" s="3">
        <v>1</v>
      </c>
      <c r="D222" s="3" t="s">
        <v>2244</v>
      </c>
      <c r="E222" s="3" t="s">
        <v>962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s="3" customFormat="1" x14ac:dyDescent="0.25">
      <c r="A223" s="3" t="s">
        <v>1908</v>
      </c>
      <c r="B223" s="3">
        <v>0</v>
      </c>
      <c r="C223" s="3">
        <v>1</v>
      </c>
      <c r="D223" s="3" t="s">
        <v>698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s="3" customFormat="1" x14ac:dyDescent="0.25">
      <c r="A224" s="3" t="s">
        <v>1909</v>
      </c>
      <c r="B224" s="3">
        <v>0</v>
      </c>
      <c r="C224" s="3">
        <v>1</v>
      </c>
      <c r="D224" s="3" t="s">
        <v>918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s="3" customFormat="1" x14ac:dyDescent="0.25">
      <c r="A225" s="3" t="s">
        <v>1230</v>
      </c>
      <c r="B225" s="3">
        <v>0</v>
      </c>
      <c r="C225" s="3">
        <v>1</v>
      </c>
      <c r="D225" s="3" t="s">
        <v>698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s="3" customFormat="1" x14ac:dyDescent="0.25">
      <c r="A226" s="3" t="s">
        <v>1910</v>
      </c>
      <c r="B226" s="3">
        <v>0</v>
      </c>
      <c r="C226" s="3">
        <v>1</v>
      </c>
      <c r="D226" s="3" t="s">
        <v>691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s="3" customFormat="1" x14ac:dyDescent="0.25">
      <c r="A227" s="3" t="s">
        <v>1239</v>
      </c>
      <c r="B227" s="3">
        <v>0</v>
      </c>
      <c r="C227" s="3">
        <v>1</v>
      </c>
      <c r="D227" s="3" t="s">
        <v>691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s="3" customFormat="1" x14ac:dyDescent="0.25">
      <c r="A228" s="3" t="s">
        <v>1228</v>
      </c>
      <c r="B228" s="3">
        <v>1</v>
      </c>
      <c r="C228" s="3">
        <v>1</v>
      </c>
      <c r="D228" s="3" t="s">
        <v>1788</v>
      </c>
      <c r="E228" s="3" t="s">
        <v>994</v>
      </c>
      <c r="F228" s="3" t="s">
        <v>1255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s="3" customFormat="1" x14ac:dyDescent="0.25">
      <c r="A229" s="3" t="s">
        <v>716</v>
      </c>
      <c r="B229" s="3">
        <v>1</v>
      </c>
      <c r="C229" s="3">
        <v>1</v>
      </c>
      <c r="D229" s="3" t="s">
        <v>716</v>
      </c>
      <c r="E229" s="3" t="s">
        <v>2011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s="3" customFormat="1" x14ac:dyDescent="0.25">
      <c r="A230" s="3" t="s">
        <v>1220</v>
      </c>
      <c r="B230" s="3">
        <v>1</v>
      </c>
      <c r="C230" s="3">
        <v>1</v>
      </c>
      <c r="D230" s="3" t="s">
        <v>1788</v>
      </c>
      <c r="E230" s="3" t="s">
        <v>994</v>
      </c>
      <c r="F230" s="3" t="s">
        <v>1255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s="3" customFormat="1" x14ac:dyDescent="0.25">
      <c r="A231" s="3" t="s">
        <v>1221</v>
      </c>
      <c r="B231" s="3">
        <v>1</v>
      </c>
      <c r="C231" s="3">
        <v>1</v>
      </c>
      <c r="D231" s="3" t="s">
        <v>1788</v>
      </c>
      <c r="E231" s="3" t="s">
        <v>994</v>
      </c>
      <c r="F231" s="3" t="s">
        <v>1255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s="3" customFormat="1" x14ac:dyDescent="0.25">
      <c r="A232" s="3" t="s">
        <v>1222</v>
      </c>
      <c r="B232" s="3">
        <v>1</v>
      </c>
      <c r="C232" s="3">
        <v>1</v>
      </c>
      <c r="D232" s="3" t="s">
        <v>1788</v>
      </c>
      <c r="E232" s="3" t="s">
        <v>994</v>
      </c>
      <c r="F232" s="3" t="s">
        <v>1255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s="3" customFormat="1" x14ac:dyDescent="0.25">
      <c r="A233" s="3" t="s">
        <v>1227</v>
      </c>
      <c r="B233" s="3">
        <v>1</v>
      </c>
      <c r="C233" s="3">
        <v>1</v>
      </c>
      <c r="D233" s="3" t="s">
        <v>1788</v>
      </c>
      <c r="E233" s="3" t="s">
        <v>994</v>
      </c>
      <c r="F233" s="3" t="s">
        <v>1255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s="3" customFormat="1" x14ac:dyDescent="0.25">
      <c r="A234" s="3" t="s">
        <v>1223</v>
      </c>
      <c r="B234" s="3">
        <v>1</v>
      </c>
      <c r="C234" s="3">
        <v>1</v>
      </c>
      <c r="D234" s="3" t="s">
        <v>1788</v>
      </c>
      <c r="E234" s="3" t="s">
        <v>994</v>
      </c>
      <c r="F234" s="3" t="s">
        <v>1255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s="3" customFormat="1" x14ac:dyDescent="0.25">
      <c r="A235" s="3" t="s">
        <v>1224</v>
      </c>
      <c r="B235" s="3">
        <v>1</v>
      </c>
      <c r="C235" s="3">
        <v>1</v>
      </c>
      <c r="D235" s="3" t="s">
        <v>1788</v>
      </c>
      <c r="E235" s="3" t="s">
        <v>994</v>
      </c>
      <c r="F235" s="3" t="s">
        <v>1255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s="3" customFormat="1" x14ac:dyDescent="0.25">
      <c r="A236" s="3" t="s">
        <v>1226</v>
      </c>
      <c r="B236" s="3">
        <v>1</v>
      </c>
      <c r="C236" s="3">
        <v>1</v>
      </c>
      <c r="D236" s="3" t="s">
        <v>1788</v>
      </c>
      <c r="E236" s="3" t="s">
        <v>994</v>
      </c>
      <c r="F236" s="3" t="s">
        <v>1255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s="3" customFormat="1" x14ac:dyDescent="0.25">
      <c r="A237" s="3" t="s">
        <v>1225</v>
      </c>
      <c r="B237" s="3">
        <v>1</v>
      </c>
      <c r="C237" s="3">
        <v>1</v>
      </c>
      <c r="D237" s="3" t="s">
        <v>1788</v>
      </c>
      <c r="E237" s="3" t="s">
        <v>994</v>
      </c>
      <c r="F237" s="3" t="s">
        <v>1255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tyleBtn">
              <controlPr defaultSize="0" print="0" autoFill="0" autoPict="0" macro="[0]!Sheet4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5"/>
  <sheetViews>
    <sheetView zoomScale="70" zoomScaleNormal="70" workbookViewId="0">
      <selection activeCell="A2" sqref="A2"/>
    </sheetView>
  </sheetViews>
  <sheetFormatPr defaultRowHeight="15" x14ac:dyDescent="0.25"/>
  <cols>
    <col min="1" max="1" width="32.85546875" style="153" bestFit="1" customWidth="1"/>
    <col min="2" max="4" width="11" style="153" customWidth="1"/>
    <col min="5" max="5" width="11" style="153" bestFit="1" customWidth="1"/>
    <col min="6" max="6" width="18.5703125" style="153" bestFit="1" customWidth="1"/>
    <col min="7" max="7" width="14" style="153" bestFit="1" customWidth="1"/>
    <col min="8" max="16384" width="9.140625" style="153"/>
  </cols>
  <sheetData>
    <row r="1" spans="1:7" s="159" customFormat="1" x14ac:dyDescent="0.25">
      <c r="A1" s="159" t="s">
        <v>2022</v>
      </c>
      <c r="B1" s="159" t="s">
        <v>1920</v>
      </c>
      <c r="C1" s="159" t="s">
        <v>2024</v>
      </c>
      <c r="D1" s="159" t="s">
        <v>1969</v>
      </c>
      <c r="E1" s="159" t="s">
        <v>2023</v>
      </c>
      <c r="F1" s="159" t="s">
        <v>2253</v>
      </c>
      <c r="G1" s="159" t="s">
        <v>2256</v>
      </c>
    </row>
    <row r="2" spans="1:7" x14ac:dyDescent="0.25">
      <c r="A2" s="154" t="s">
        <v>1153</v>
      </c>
      <c r="B2" s="153">
        <v>0</v>
      </c>
      <c r="C2" s="153">
        <v>0</v>
      </c>
      <c r="D2" s="153">
        <v>0</v>
      </c>
      <c r="E2" s="153">
        <v>0</v>
      </c>
    </row>
    <row r="3" spans="1:7" x14ac:dyDescent="0.25">
      <c r="A3" s="155" t="s">
        <v>2034</v>
      </c>
      <c r="B3" s="153">
        <v>0</v>
      </c>
      <c r="C3" s="153">
        <v>0</v>
      </c>
      <c r="D3" s="153">
        <v>0</v>
      </c>
      <c r="E3" s="153">
        <v>0</v>
      </c>
    </row>
    <row r="4" spans="1:7" x14ac:dyDescent="0.25">
      <c r="A4" s="155" t="s">
        <v>2035</v>
      </c>
      <c r="B4" s="153">
        <v>0</v>
      </c>
      <c r="C4" s="153">
        <v>0</v>
      </c>
      <c r="D4" s="153">
        <v>0</v>
      </c>
      <c r="E4" s="153">
        <v>0</v>
      </c>
    </row>
    <row r="5" spans="1:7" x14ac:dyDescent="0.25">
      <c r="A5" s="155" t="s">
        <v>2036</v>
      </c>
      <c r="B5" s="153">
        <v>0</v>
      </c>
      <c r="C5" s="153">
        <v>0</v>
      </c>
      <c r="D5" s="156">
        <v>0</v>
      </c>
      <c r="E5" s="153">
        <v>0</v>
      </c>
    </row>
    <row r="6" spans="1:7" x14ac:dyDescent="0.25">
      <c r="A6" s="154" t="s">
        <v>1152</v>
      </c>
      <c r="B6" s="153">
        <v>0</v>
      </c>
      <c r="C6" s="153">
        <v>0</v>
      </c>
      <c r="D6" s="156">
        <v>0</v>
      </c>
      <c r="E6" s="153">
        <v>0</v>
      </c>
    </row>
    <row r="7" spans="1:7" x14ac:dyDescent="0.25">
      <c r="A7" s="155" t="s">
        <v>1154</v>
      </c>
      <c r="B7" s="153">
        <v>0</v>
      </c>
      <c r="C7" s="153">
        <v>0</v>
      </c>
      <c r="D7" s="153">
        <v>1</v>
      </c>
      <c r="E7" s="153">
        <v>0</v>
      </c>
    </row>
    <row r="8" spans="1:7" x14ac:dyDescent="0.25">
      <c r="A8" s="155" t="s">
        <v>2026</v>
      </c>
      <c r="B8" s="153">
        <v>0</v>
      </c>
      <c r="C8" s="153">
        <v>0</v>
      </c>
      <c r="D8" s="153">
        <v>1</v>
      </c>
      <c r="E8" s="153">
        <v>4</v>
      </c>
    </row>
    <row r="9" spans="1:7" x14ac:dyDescent="0.25">
      <c r="A9" s="154" t="s">
        <v>1103</v>
      </c>
      <c r="B9" s="153">
        <v>0</v>
      </c>
      <c r="C9" s="153">
        <v>0</v>
      </c>
      <c r="D9" s="156">
        <v>0</v>
      </c>
      <c r="E9" s="156">
        <v>0</v>
      </c>
    </row>
    <row r="10" spans="1:7" x14ac:dyDescent="0.25">
      <c r="A10" s="154" t="s">
        <v>1104</v>
      </c>
      <c r="B10" s="153">
        <v>0</v>
      </c>
      <c r="C10" s="153">
        <v>0</v>
      </c>
      <c r="D10" s="156">
        <v>0</v>
      </c>
      <c r="E10" s="156">
        <v>0</v>
      </c>
    </row>
    <row r="11" spans="1:7" x14ac:dyDescent="0.25">
      <c r="A11" s="154" t="s">
        <v>6</v>
      </c>
      <c r="B11" s="153">
        <v>0</v>
      </c>
      <c r="C11" s="153">
        <v>0</v>
      </c>
      <c r="D11" s="156">
        <v>0</v>
      </c>
      <c r="E11" s="156">
        <v>0</v>
      </c>
    </row>
    <row r="12" spans="1:7" x14ac:dyDescent="0.25">
      <c r="A12" s="154" t="s">
        <v>44</v>
      </c>
      <c r="B12" s="153">
        <v>0</v>
      </c>
      <c r="C12" s="153">
        <v>0</v>
      </c>
      <c r="D12" s="156">
        <v>0</v>
      </c>
      <c r="E12" s="156">
        <v>0</v>
      </c>
    </row>
    <row r="13" spans="1:7" x14ac:dyDescent="0.25">
      <c r="A13" s="154" t="s">
        <v>43</v>
      </c>
      <c r="B13" s="153">
        <v>0</v>
      </c>
      <c r="C13" s="153">
        <v>0</v>
      </c>
      <c r="D13" s="156">
        <v>0</v>
      </c>
      <c r="E13" s="156">
        <v>0</v>
      </c>
    </row>
    <row r="14" spans="1:7" x14ac:dyDescent="0.25">
      <c r="A14" s="155" t="s">
        <v>1124</v>
      </c>
      <c r="B14" s="153">
        <v>0</v>
      </c>
      <c r="C14" s="153">
        <v>0</v>
      </c>
      <c r="D14" s="153">
        <v>1</v>
      </c>
      <c r="E14" s="156">
        <v>0</v>
      </c>
    </row>
    <row r="15" spans="1:7" x14ac:dyDescent="0.25">
      <c r="A15" s="155" t="s">
        <v>2027</v>
      </c>
      <c r="B15" s="153">
        <v>0</v>
      </c>
      <c r="C15" s="153">
        <v>0</v>
      </c>
      <c r="D15" s="153">
        <v>1</v>
      </c>
      <c r="E15" s="153">
        <v>4</v>
      </c>
    </row>
    <row r="16" spans="1:7" x14ac:dyDescent="0.25">
      <c r="A16" s="154" t="s">
        <v>1105</v>
      </c>
      <c r="B16" s="153">
        <v>0</v>
      </c>
      <c r="C16" s="153">
        <v>0</v>
      </c>
      <c r="D16" s="156">
        <v>0</v>
      </c>
      <c r="E16" s="156">
        <v>0</v>
      </c>
    </row>
    <row r="17" spans="1:5" x14ac:dyDescent="0.25">
      <c r="A17" s="154" t="s">
        <v>41</v>
      </c>
      <c r="B17" s="153">
        <v>0</v>
      </c>
      <c r="C17" s="153">
        <v>0</v>
      </c>
      <c r="D17" s="156">
        <v>0</v>
      </c>
      <c r="E17" s="156">
        <v>0</v>
      </c>
    </row>
    <row r="18" spans="1:5" x14ac:dyDescent="0.25">
      <c r="A18" s="154" t="s">
        <v>1112</v>
      </c>
      <c r="B18" s="153">
        <v>0</v>
      </c>
      <c r="C18" s="153">
        <v>0</v>
      </c>
      <c r="D18" s="156">
        <v>0</v>
      </c>
      <c r="E18" s="156">
        <v>0</v>
      </c>
    </row>
    <row r="19" spans="1:5" x14ac:dyDescent="0.25">
      <c r="A19" s="154" t="s">
        <v>40</v>
      </c>
      <c r="B19" s="153">
        <v>0</v>
      </c>
      <c r="C19" s="153">
        <v>0</v>
      </c>
      <c r="D19" s="156">
        <v>0</v>
      </c>
      <c r="E19" s="156">
        <v>0</v>
      </c>
    </row>
    <row r="20" spans="1:5" x14ac:dyDescent="0.25">
      <c r="A20" s="154" t="s">
        <v>39</v>
      </c>
      <c r="B20" s="153">
        <v>0</v>
      </c>
      <c r="C20" s="153">
        <v>0</v>
      </c>
      <c r="D20" s="156">
        <v>0</v>
      </c>
      <c r="E20" s="156">
        <v>0</v>
      </c>
    </row>
    <row r="21" spans="1:5" x14ac:dyDescent="0.25">
      <c r="A21" s="155" t="s">
        <v>2</v>
      </c>
      <c r="B21" s="153">
        <v>0</v>
      </c>
      <c r="C21" s="153">
        <v>0</v>
      </c>
      <c r="D21" s="153">
        <v>1</v>
      </c>
      <c r="E21" s="156">
        <v>0</v>
      </c>
    </row>
    <row r="22" spans="1:5" x14ac:dyDescent="0.25">
      <c r="A22" s="155" t="s">
        <v>2399</v>
      </c>
      <c r="B22" s="153">
        <v>0</v>
      </c>
      <c r="C22" s="153">
        <v>0</v>
      </c>
      <c r="D22" s="153">
        <v>1</v>
      </c>
      <c r="E22" s="153">
        <v>6</v>
      </c>
    </row>
    <row r="23" spans="1:5" x14ac:dyDescent="0.25">
      <c r="A23" s="154" t="s">
        <v>38</v>
      </c>
      <c r="B23" s="153">
        <v>0</v>
      </c>
      <c r="C23" s="153">
        <v>0</v>
      </c>
      <c r="D23" s="156">
        <v>0</v>
      </c>
      <c r="E23" s="156">
        <v>0</v>
      </c>
    </row>
    <row r="24" spans="1:5" x14ac:dyDescent="0.25">
      <c r="A24" s="155" t="s">
        <v>1127</v>
      </c>
      <c r="B24" s="153">
        <v>0</v>
      </c>
      <c r="C24" s="153">
        <v>0</v>
      </c>
      <c r="D24" s="153">
        <v>1</v>
      </c>
      <c r="E24" s="156">
        <v>0</v>
      </c>
    </row>
    <row r="25" spans="1:5" x14ac:dyDescent="0.25">
      <c r="A25" s="155" t="s">
        <v>2398</v>
      </c>
      <c r="B25" s="153">
        <v>0</v>
      </c>
      <c r="C25" s="153">
        <v>0</v>
      </c>
      <c r="D25" s="156">
        <v>1</v>
      </c>
      <c r="E25" s="153">
        <v>6</v>
      </c>
    </row>
    <row r="26" spans="1:5" x14ac:dyDescent="0.25">
      <c r="A26" s="155" t="s">
        <v>2025</v>
      </c>
      <c r="B26" s="153">
        <v>0</v>
      </c>
      <c r="C26" s="153">
        <v>0</v>
      </c>
      <c r="D26" s="156">
        <v>1</v>
      </c>
      <c r="E26" s="153">
        <v>3</v>
      </c>
    </row>
    <row r="27" spans="1:5" x14ac:dyDescent="0.25">
      <c r="A27" s="154" t="s">
        <v>37</v>
      </c>
      <c r="B27" s="153">
        <v>0</v>
      </c>
      <c r="C27" s="153">
        <v>0</v>
      </c>
      <c r="D27" s="156">
        <v>0</v>
      </c>
      <c r="E27" s="156">
        <v>0</v>
      </c>
    </row>
    <row r="28" spans="1:5" x14ac:dyDescent="0.25">
      <c r="A28" s="154" t="s">
        <v>36</v>
      </c>
      <c r="B28" s="153">
        <v>0</v>
      </c>
      <c r="C28" s="153">
        <v>0</v>
      </c>
      <c r="D28" s="156">
        <v>0</v>
      </c>
      <c r="E28" s="156">
        <v>0</v>
      </c>
    </row>
    <row r="29" spans="1:5" x14ac:dyDescent="0.25">
      <c r="A29" s="154" t="s">
        <v>35</v>
      </c>
      <c r="B29" s="153">
        <v>0</v>
      </c>
      <c r="C29" s="153">
        <v>0</v>
      </c>
      <c r="D29" s="156">
        <v>0</v>
      </c>
      <c r="E29" s="156">
        <v>0</v>
      </c>
    </row>
    <row r="30" spans="1:5" x14ac:dyDescent="0.25">
      <c r="A30" s="154" t="s">
        <v>1106</v>
      </c>
      <c r="B30" s="153">
        <v>0</v>
      </c>
      <c r="C30" s="153">
        <v>0</v>
      </c>
      <c r="D30" s="156">
        <v>0</v>
      </c>
      <c r="E30" s="156">
        <v>0</v>
      </c>
    </row>
    <row r="31" spans="1:5" x14ac:dyDescent="0.25">
      <c r="A31" s="154" t="s">
        <v>1273</v>
      </c>
      <c r="B31" s="153">
        <v>0</v>
      </c>
      <c r="C31" s="153">
        <v>0</v>
      </c>
      <c r="D31" s="156">
        <v>0</v>
      </c>
      <c r="E31" s="156">
        <v>0</v>
      </c>
    </row>
    <row r="32" spans="1:5" x14ac:dyDescent="0.25">
      <c r="A32" s="154" t="s">
        <v>34</v>
      </c>
      <c r="B32" s="153">
        <v>0</v>
      </c>
      <c r="C32" s="153">
        <v>0</v>
      </c>
      <c r="D32" s="156">
        <v>0</v>
      </c>
      <c r="E32" s="156">
        <v>0</v>
      </c>
    </row>
    <row r="33" spans="1:5" x14ac:dyDescent="0.25">
      <c r="A33" s="154" t="s">
        <v>33</v>
      </c>
      <c r="B33" s="153">
        <v>0</v>
      </c>
      <c r="C33" s="153">
        <v>0</v>
      </c>
      <c r="D33" s="156">
        <v>0</v>
      </c>
      <c r="E33" s="156">
        <v>0</v>
      </c>
    </row>
    <row r="34" spans="1:5" x14ac:dyDescent="0.25">
      <c r="A34" s="155" t="s">
        <v>1133</v>
      </c>
      <c r="B34" s="153">
        <v>0</v>
      </c>
      <c r="C34" s="153">
        <v>0</v>
      </c>
      <c r="D34" s="153">
        <v>1</v>
      </c>
      <c r="E34" s="156">
        <v>0</v>
      </c>
    </row>
    <row r="35" spans="1:5" x14ac:dyDescent="0.25">
      <c r="A35" s="155" t="s">
        <v>2028</v>
      </c>
      <c r="B35" s="153">
        <v>0</v>
      </c>
      <c r="C35" s="153">
        <v>0</v>
      </c>
      <c r="D35" s="153">
        <v>1</v>
      </c>
      <c r="E35" s="153">
        <v>4</v>
      </c>
    </row>
    <row r="36" spans="1:5" x14ac:dyDescent="0.25">
      <c r="A36" s="154" t="s">
        <v>32</v>
      </c>
      <c r="B36" s="153">
        <v>0</v>
      </c>
      <c r="C36" s="153">
        <v>0</v>
      </c>
      <c r="D36" s="156">
        <v>0</v>
      </c>
      <c r="E36" s="156">
        <v>0</v>
      </c>
    </row>
    <row r="37" spans="1:5" x14ac:dyDescent="0.25">
      <c r="A37" s="154" t="s">
        <v>31</v>
      </c>
      <c r="B37" s="153">
        <v>0</v>
      </c>
      <c r="C37" s="153">
        <v>0</v>
      </c>
      <c r="D37" s="156">
        <v>0</v>
      </c>
      <c r="E37" s="156">
        <v>0</v>
      </c>
    </row>
    <row r="38" spans="1:5" x14ac:dyDescent="0.25">
      <c r="A38" s="154" t="s">
        <v>1278</v>
      </c>
      <c r="B38" s="153">
        <v>0</v>
      </c>
      <c r="C38" s="153">
        <v>0</v>
      </c>
      <c r="D38" s="156">
        <v>0</v>
      </c>
      <c r="E38" s="156">
        <v>0</v>
      </c>
    </row>
    <row r="39" spans="1:5" x14ac:dyDescent="0.25">
      <c r="A39" s="154" t="s">
        <v>1276</v>
      </c>
      <c r="B39" s="153">
        <v>0</v>
      </c>
      <c r="C39" s="153">
        <v>0</v>
      </c>
      <c r="D39" s="156">
        <v>0</v>
      </c>
      <c r="E39" s="156">
        <v>0</v>
      </c>
    </row>
    <row r="40" spans="1:5" x14ac:dyDescent="0.25">
      <c r="A40" s="155" t="s">
        <v>1135</v>
      </c>
      <c r="B40" s="153">
        <v>0</v>
      </c>
      <c r="C40" s="153">
        <v>0</v>
      </c>
      <c r="D40" s="153">
        <v>1</v>
      </c>
      <c r="E40" s="156">
        <v>0</v>
      </c>
    </row>
    <row r="41" spans="1:5" x14ac:dyDescent="0.25">
      <c r="A41" s="155" t="s">
        <v>2029</v>
      </c>
      <c r="B41" s="153">
        <v>0</v>
      </c>
      <c r="C41" s="153">
        <v>0</v>
      </c>
      <c r="D41" s="153">
        <v>1</v>
      </c>
      <c r="E41" s="153">
        <v>4</v>
      </c>
    </row>
    <row r="42" spans="1:5" x14ac:dyDescent="0.25">
      <c r="A42" s="155" t="s">
        <v>1122</v>
      </c>
      <c r="B42" s="153">
        <v>0</v>
      </c>
      <c r="C42" s="153">
        <v>0</v>
      </c>
      <c r="D42" s="153">
        <v>1</v>
      </c>
      <c r="E42" s="156">
        <v>0</v>
      </c>
    </row>
    <row r="43" spans="1:5" x14ac:dyDescent="0.25">
      <c r="A43" s="155" t="s">
        <v>2030</v>
      </c>
      <c r="B43" s="153">
        <v>0</v>
      </c>
      <c r="C43" s="153">
        <v>0</v>
      </c>
      <c r="D43" s="156">
        <v>1</v>
      </c>
      <c r="E43" s="153">
        <v>4</v>
      </c>
    </row>
    <row r="44" spans="1:5" x14ac:dyDescent="0.25">
      <c r="A44" s="155" t="s">
        <v>1132</v>
      </c>
      <c r="B44" s="153">
        <v>0</v>
      </c>
      <c r="C44" s="153">
        <v>0</v>
      </c>
      <c r="D44" s="156">
        <v>1</v>
      </c>
      <c r="E44" s="156">
        <v>0</v>
      </c>
    </row>
    <row r="45" spans="1:5" x14ac:dyDescent="0.25">
      <c r="A45" s="155" t="s">
        <v>2400</v>
      </c>
      <c r="B45" s="153">
        <v>0</v>
      </c>
      <c r="C45" s="153">
        <v>0</v>
      </c>
      <c r="D45" s="156">
        <v>1</v>
      </c>
      <c r="E45" s="153">
        <v>6</v>
      </c>
    </row>
    <row r="46" spans="1:5" x14ac:dyDescent="0.25">
      <c r="A46" s="155" t="s">
        <v>1138</v>
      </c>
      <c r="B46" s="153">
        <v>0</v>
      </c>
      <c r="C46" s="153">
        <v>0</v>
      </c>
      <c r="D46" s="156">
        <v>1</v>
      </c>
      <c r="E46" s="156">
        <v>0</v>
      </c>
    </row>
    <row r="47" spans="1:5" x14ac:dyDescent="0.25">
      <c r="A47" s="155" t="s">
        <v>2401</v>
      </c>
      <c r="B47" s="153">
        <v>0</v>
      </c>
      <c r="C47" s="153">
        <v>0</v>
      </c>
      <c r="D47" s="156">
        <v>1</v>
      </c>
      <c r="E47" s="153">
        <v>6</v>
      </c>
    </row>
    <row r="48" spans="1:5" x14ac:dyDescent="0.25">
      <c r="A48" s="154" t="s">
        <v>1113</v>
      </c>
      <c r="B48" s="153">
        <v>0</v>
      </c>
      <c r="C48" s="153">
        <v>0</v>
      </c>
      <c r="D48" s="156">
        <v>0</v>
      </c>
      <c r="E48" s="156">
        <v>0</v>
      </c>
    </row>
    <row r="49" spans="1:5" x14ac:dyDescent="0.25">
      <c r="A49" s="155" t="s">
        <v>1130</v>
      </c>
      <c r="B49" s="153">
        <v>0</v>
      </c>
      <c r="C49" s="153">
        <v>0</v>
      </c>
      <c r="D49" s="156">
        <v>1</v>
      </c>
      <c r="E49" s="156">
        <v>0</v>
      </c>
    </row>
    <row r="50" spans="1:5" x14ac:dyDescent="0.25">
      <c r="A50" s="155" t="s">
        <v>2402</v>
      </c>
      <c r="B50" s="153">
        <v>0</v>
      </c>
      <c r="C50" s="153">
        <v>0</v>
      </c>
      <c r="D50" s="156">
        <v>1</v>
      </c>
      <c r="E50" s="153">
        <v>6</v>
      </c>
    </row>
    <row r="51" spans="1:5" x14ac:dyDescent="0.25">
      <c r="A51" s="154" t="s">
        <v>1156</v>
      </c>
      <c r="B51" s="153">
        <v>0</v>
      </c>
      <c r="C51" s="153">
        <v>0</v>
      </c>
      <c r="D51" s="156">
        <v>0</v>
      </c>
      <c r="E51" s="156">
        <v>0</v>
      </c>
    </row>
    <row r="52" spans="1:5" x14ac:dyDescent="0.25">
      <c r="A52" s="154" t="s">
        <v>1107</v>
      </c>
      <c r="B52" s="153">
        <v>0</v>
      </c>
      <c r="C52" s="153">
        <v>0</v>
      </c>
      <c r="D52" s="156">
        <v>0</v>
      </c>
      <c r="E52" s="156">
        <v>0</v>
      </c>
    </row>
    <row r="53" spans="1:5" x14ac:dyDescent="0.25">
      <c r="A53" s="154" t="s">
        <v>30</v>
      </c>
      <c r="B53" s="153">
        <v>0</v>
      </c>
      <c r="C53" s="153">
        <v>0</v>
      </c>
      <c r="D53" s="156">
        <v>0</v>
      </c>
      <c r="E53" s="156">
        <v>0</v>
      </c>
    </row>
    <row r="54" spans="1:5" x14ac:dyDescent="0.25">
      <c r="A54" s="154" t="s">
        <v>1108</v>
      </c>
      <c r="B54" s="153">
        <v>0</v>
      </c>
      <c r="C54" s="153">
        <v>0</v>
      </c>
      <c r="D54" s="156">
        <v>0</v>
      </c>
      <c r="E54" s="156">
        <v>0</v>
      </c>
    </row>
    <row r="55" spans="1:5" x14ac:dyDescent="0.25">
      <c r="A55" s="154" t="s">
        <v>7</v>
      </c>
      <c r="B55" s="153">
        <v>0</v>
      </c>
      <c r="C55" s="153">
        <v>0</v>
      </c>
      <c r="D55" s="156">
        <v>0</v>
      </c>
      <c r="E55" s="156">
        <v>0</v>
      </c>
    </row>
    <row r="56" spans="1:5" x14ac:dyDescent="0.25">
      <c r="A56" s="154" t="s">
        <v>29</v>
      </c>
      <c r="B56" s="153">
        <v>0</v>
      </c>
      <c r="C56" s="153">
        <v>0</v>
      </c>
      <c r="D56" s="156">
        <v>0</v>
      </c>
      <c r="E56" s="156">
        <v>0</v>
      </c>
    </row>
    <row r="57" spans="1:5" x14ac:dyDescent="0.25">
      <c r="A57" s="154" t="s">
        <v>1109</v>
      </c>
      <c r="B57" s="153">
        <v>0</v>
      </c>
      <c r="C57" s="153">
        <v>0</v>
      </c>
      <c r="D57" s="156">
        <v>0</v>
      </c>
      <c r="E57" s="156">
        <v>0</v>
      </c>
    </row>
    <row r="58" spans="1:5" x14ac:dyDescent="0.25">
      <c r="A58" s="154" t="s">
        <v>28</v>
      </c>
      <c r="B58" s="153">
        <v>0</v>
      </c>
      <c r="C58" s="153">
        <v>0</v>
      </c>
      <c r="D58" s="156">
        <v>0</v>
      </c>
      <c r="E58" s="156">
        <v>0</v>
      </c>
    </row>
    <row r="59" spans="1:5" x14ac:dyDescent="0.25">
      <c r="A59" s="154" t="s">
        <v>27</v>
      </c>
      <c r="B59" s="153">
        <v>0</v>
      </c>
      <c r="C59" s="153">
        <v>0</v>
      </c>
      <c r="D59" s="156">
        <v>0</v>
      </c>
      <c r="E59" s="156">
        <v>0</v>
      </c>
    </row>
    <row r="60" spans="1:5" x14ac:dyDescent="0.25">
      <c r="A60" s="154" t="s">
        <v>26</v>
      </c>
      <c r="B60" s="153">
        <v>0</v>
      </c>
      <c r="C60" s="153">
        <v>0</v>
      </c>
      <c r="D60" s="156">
        <v>0</v>
      </c>
      <c r="E60" s="156">
        <v>0</v>
      </c>
    </row>
    <row r="61" spans="1:5" x14ac:dyDescent="0.25">
      <c r="A61" s="154" t="s">
        <v>1277</v>
      </c>
      <c r="B61" s="153">
        <v>0</v>
      </c>
      <c r="C61" s="153">
        <v>0</v>
      </c>
      <c r="D61" s="156">
        <v>0</v>
      </c>
      <c r="E61" s="156">
        <v>0</v>
      </c>
    </row>
    <row r="62" spans="1:5" x14ac:dyDescent="0.25">
      <c r="A62" s="154" t="s">
        <v>11</v>
      </c>
      <c r="B62" s="153">
        <v>0</v>
      </c>
      <c r="C62" s="153">
        <v>0</v>
      </c>
      <c r="D62" s="156">
        <v>0</v>
      </c>
      <c r="E62" s="156">
        <v>0</v>
      </c>
    </row>
    <row r="63" spans="1:5" x14ac:dyDescent="0.25">
      <c r="A63" s="154" t="s">
        <v>1144</v>
      </c>
      <c r="B63" s="153">
        <v>0</v>
      </c>
      <c r="C63" s="153">
        <v>0</v>
      </c>
      <c r="D63" s="156">
        <v>0</v>
      </c>
      <c r="E63" s="156">
        <v>0</v>
      </c>
    </row>
    <row r="64" spans="1:5" x14ac:dyDescent="0.25">
      <c r="A64" s="154" t="s">
        <v>1145</v>
      </c>
      <c r="B64" s="153">
        <v>0</v>
      </c>
      <c r="C64" s="153">
        <v>0</v>
      </c>
      <c r="D64" s="156">
        <v>0</v>
      </c>
      <c r="E64" s="156">
        <v>0</v>
      </c>
    </row>
    <row r="65" spans="1:5" x14ac:dyDescent="0.25">
      <c r="A65" s="155" t="s">
        <v>1140</v>
      </c>
      <c r="B65" s="153">
        <v>0</v>
      </c>
      <c r="C65" s="153">
        <v>0</v>
      </c>
      <c r="D65" s="153">
        <v>1</v>
      </c>
      <c r="E65" s="156">
        <v>0</v>
      </c>
    </row>
    <row r="66" spans="1:5" x14ac:dyDescent="0.25">
      <c r="A66" s="155" t="s">
        <v>2031</v>
      </c>
      <c r="B66" s="153">
        <v>0</v>
      </c>
      <c r="C66" s="153">
        <v>0</v>
      </c>
      <c r="D66" s="153">
        <v>1</v>
      </c>
      <c r="E66" s="153">
        <v>4</v>
      </c>
    </row>
    <row r="67" spans="1:5" x14ac:dyDescent="0.25">
      <c r="A67" s="154" t="s">
        <v>1146</v>
      </c>
      <c r="B67" s="153">
        <v>0</v>
      </c>
      <c r="C67" s="153">
        <v>0</v>
      </c>
      <c r="D67" s="153">
        <v>0</v>
      </c>
      <c r="E67" s="156">
        <v>0</v>
      </c>
    </row>
    <row r="68" spans="1:5" x14ac:dyDescent="0.25">
      <c r="A68" s="154" t="s">
        <v>8</v>
      </c>
      <c r="B68" s="153">
        <v>0</v>
      </c>
      <c r="C68" s="153">
        <v>0</v>
      </c>
      <c r="D68" s="153">
        <v>0</v>
      </c>
      <c r="E68" s="156">
        <v>0</v>
      </c>
    </row>
    <row r="69" spans="1:5" x14ac:dyDescent="0.25">
      <c r="A69" s="154" t="s">
        <v>1147</v>
      </c>
      <c r="B69" s="153">
        <v>0</v>
      </c>
      <c r="C69" s="153">
        <v>0</v>
      </c>
      <c r="D69" s="153">
        <v>0</v>
      </c>
      <c r="E69" s="156">
        <v>0</v>
      </c>
    </row>
    <row r="70" spans="1:5" x14ac:dyDescent="0.25">
      <c r="A70" s="154" t="s">
        <v>1148</v>
      </c>
      <c r="B70" s="153">
        <v>0</v>
      </c>
      <c r="C70" s="153">
        <v>0</v>
      </c>
      <c r="D70" s="153">
        <v>0</v>
      </c>
      <c r="E70" s="156">
        <v>0</v>
      </c>
    </row>
    <row r="71" spans="1:5" x14ac:dyDescent="0.25">
      <c r="A71" s="154" t="s">
        <v>25</v>
      </c>
      <c r="B71" s="153">
        <v>0</v>
      </c>
      <c r="C71" s="153">
        <v>0</v>
      </c>
      <c r="D71" s="153">
        <v>0</v>
      </c>
      <c r="E71" s="156">
        <v>0</v>
      </c>
    </row>
    <row r="72" spans="1:5" x14ac:dyDescent="0.25">
      <c r="A72" s="154" t="s">
        <v>1275</v>
      </c>
      <c r="B72" s="153">
        <v>0</v>
      </c>
      <c r="C72" s="153">
        <v>0</v>
      </c>
      <c r="D72" s="153">
        <v>0</v>
      </c>
      <c r="E72" s="156">
        <v>0</v>
      </c>
    </row>
    <row r="73" spans="1:5" x14ac:dyDescent="0.25">
      <c r="A73" s="154" t="s">
        <v>1149</v>
      </c>
      <c r="B73" s="153">
        <v>0</v>
      </c>
      <c r="C73" s="153">
        <v>0</v>
      </c>
      <c r="D73" s="153">
        <v>0</v>
      </c>
      <c r="E73" s="156">
        <v>0</v>
      </c>
    </row>
    <row r="74" spans="1:5" x14ac:dyDescent="0.25">
      <c r="A74" s="154" t="s">
        <v>23</v>
      </c>
      <c r="B74" s="153">
        <v>0</v>
      </c>
      <c r="C74" s="153">
        <v>0</v>
      </c>
      <c r="D74" s="153">
        <v>0</v>
      </c>
      <c r="E74" s="156">
        <v>0</v>
      </c>
    </row>
    <row r="75" spans="1:5" x14ac:dyDescent="0.25">
      <c r="A75" s="154" t="s">
        <v>22</v>
      </c>
      <c r="B75" s="153">
        <v>0</v>
      </c>
      <c r="C75" s="153">
        <v>0</v>
      </c>
      <c r="D75" s="153">
        <v>0</v>
      </c>
      <c r="E75" s="156">
        <v>0</v>
      </c>
    </row>
    <row r="76" spans="1:5" x14ac:dyDescent="0.25">
      <c r="A76" s="154" t="s">
        <v>21</v>
      </c>
      <c r="B76" s="153">
        <v>0</v>
      </c>
      <c r="C76" s="153">
        <v>0</v>
      </c>
      <c r="D76" s="153">
        <v>0</v>
      </c>
      <c r="E76" s="156">
        <v>0</v>
      </c>
    </row>
    <row r="77" spans="1:5" x14ac:dyDescent="0.25">
      <c r="A77" s="154" t="s">
        <v>1150</v>
      </c>
      <c r="B77" s="153">
        <v>0</v>
      </c>
      <c r="C77" s="153">
        <v>0</v>
      </c>
      <c r="D77" s="153">
        <v>0</v>
      </c>
      <c r="E77" s="156">
        <v>0</v>
      </c>
    </row>
    <row r="78" spans="1:5" x14ac:dyDescent="0.25">
      <c r="A78" s="155" t="s">
        <v>1142</v>
      </c>
      <c r="B78" s="153">
        <v>0</v>
      </c>
      <c r="C78" s="153">
        <v>0</v>
      </c>
      <c r="D78" s="153">
        <v>1</v>
      </c>
      <c r="E78" s="156">
        <v>0</v>
      </c>
    </row>
    <row r="79" spans="1:5" x14ac:dyDescent="0.25">
      <c r="A79" s="155" t="s">
        <v>2032</v>
      </c>
      <c r="B79" s="153">
        <v>0</v>
      </c>
      <c r="C79" s="153">
        <v>0</v>
      </c>
      <c r="D79" s="153">
        <v>1</v>
      </c>
      <c r="E79" s="153">
        <v>4</v>
      </c>
    </row>
    <row r="80" spans="1:5" x14ac:dyDescent="0.25">
      <c r="A80" s="154" t="s">
        <v>20</v>
      </c>
      <c r="B80" s="153">
        <v>0</v>
      </c>
      <c r="C80" s="153">
        <v>0</v>
      </c>
      <c r="D80" s="153">
        <v>0</v>
      </c>
      <c r="E80" s="156">
        <v>0</v>
      </c>
    </row>
    <row r="81" spans="1:5" x14ac:dyDescent="0.25">
      <c r="A81" s="154" t="s">
        <v>19</v>
      </c>
      <c r="B81" s="153">
        <v>0</v>
      </c>
      <c r="C81" s="153">
        <v>0</v>
      </c>
      <c r="D81" s="153">
        <v>0</v>
      </c>
      <c r="E81" s="156">
        <v>0</v>
      </c>
    </row>
    <row r="82" spans="1:5" x14ac:dyDescent="0.25">
      <c r="A82" s="154" t="s">
        <v>1114</v>
      </c>
      <c r="B82" s="153">
        <v>0</v>
      </c>
      <c r="C82" s="153">
        <v>0</v>
      </c>
      <c r="D82" s="153">
        <v>0</v>
      </c>
      <c r="E82" s="156">
        <v>0</v>
      </c>
    </row>
    <row r="83" spans="1:5" x14ac:dyDescent="0.25">
      <c r="A83" s="154" t="s">
        <v>1115</v>
      </c>
      <c r="B83" s="153">
        <v>0</v>
      </c>
      <c r="C83" s="153">
        <v>0</v>
      </c>
      <c r="D83" s="153">
        <v>0</v>
      </c>
      <c r="E83" s="156">
        <v>0</v>
      </c>
    </row>
    <row r="84" spans="1:5" x14ac:dyDescent="0.25">
      <c r="A84" s="154" t="s">
        <v>1116</v>
      </c>
      <c r="B84" s="153">
        <v>0</v>
      </c>
      <c r="C84" s="153">
        <v>0</v>
      </c>
      <c r="D84" s="153">
        <v>0</v>
      </c>
      <c r="E84" s="156">
        <v>0</v>
      </c>
    </row>
    <row r="85" spans="1:5" x14ac:dyDescent="0.25">
      <c r="A85" s="154" t="s">
        <v>1117</v>
      </c>
      <c r="B85" s="153">
        <v>0</v>
      </c>
      <c r="C85" s="153">
        <v>0</v>
      </c>
      <c r="D85" s="153">
        <v>0</v>
      </c>
      <c r="E85" s="156">
        <v>0</v>
      </c>
    </row>
    <row r="86" spans="1:5" x14ac:dyDescent="0.25">
      <c r="A86" s="154" t="s">
        <v>1151</v>
      </c>
      <c r="B86" s="153">
        <v>0</v>
      </c>
      <c r="C86" s="153">
        <v>0</v>
      </c>
      <c r="D86" s="153">
        <v>0</v>
      </c>
      <c r="E86" s="156">
        <v>0</v>
      </c>
    </row>
    <row r="87" spans="1:5" x14ac:dyDescent="0.25">
      <c r="A87" s="154" t="s">
        <v>17</v>
      </c>
      <c r="B87" s="153">
        <v>0</v>
      </c>
      <c r="C87" s="153">
        <v>0</v>
      </c>
      <c r="D87" s="153">
        <v>0</v>
      </c>
      <c r="E87" s="156">
        <v>0</v>
      </c>
    </row>
    <row r="88" spans="1:5" x14ac:dyDescent="0.25">
      <c r="A88" s="154" t="s">
        <v>16</v>
      </c>
      <c r="B88" s="153">
        <v>0</v>
      </c>
      <c r="C88" s="153">
        <v>0</v>
      </c>
      <c r="D88" s="153">
        <v>0</v>
      </c>
      <c r="E88" s="156">
        <v>0</v>
      </c>
    </row>
    <row r="89" spans="1:5" x14ac:dyDescent="0.25">
      <c r="A89" s="154" t="s">
        <v>15</v>
      </c>
      <c r="B89" s="153">
        <v>0</v>
      </c>
      <c r="C89" s="153">
        <v>0</v>
      </c>
      <c r="D89" s="153">
        <v>0</v>
      </c>
      <c r="E89" s="156">
        <v>0</v>
      </c>
    </row>
    <row r="90" spans="1:5" x14ac:dyDescent="0.25">
      <c r="A90" s="154" t="s">
        <v>14</v>
      </c>
      <c r="B90" s="153">
        <v>0</v>
      </c>
      <c r="C90" s="153">
        <v>0</v>
      </c>
      <c r="D90" s="153">
        <v>0</v>
      </c>
      <c r="E90" s="156">
        <v>0</v>
      </c>
    </row>
    <row r="91" spans="1:5" x14ac:dyDescent="0.25">
      <c r="A91" s="154" t="s">
        <v>13</v>
      </c>
      <c r="B91" s="153">
        <v>0</v>
      </c>
      <c r="C91" s="153">
        <v>0</v>
      </c>
      <c r="D91" s="153">
        <v>0</v>
      </c>
      <c r="E91" s="156">
        <v>0</v>
      </c>
    </row>
    <row r="92" spans="1:5" x14ac:dyDescent="0.25">
      <c r="A92" s="155" t="s">
        <v>4</v>
      </c>
      <c r="B92" s="153">
        <v>0</v>
      </c>
      <c r="C92" s="153">
        <v>0</v>
      </c>
      <c r="D92" s="153">
        <v>1</v>
      </c>
      <c r="E92" s="156">
        <v>0</v>
      </c>
    </row>
    <row r="93" spans="1:5" x14ac:dyDescent="0.25">
      <c r="A93" s="155" t="s">
        <v>2033</v>
      </c>
      <c r="B93" s="153">
        <v>0</v>
      </c>
      <c r="C93" s="153">
        <v>0</v>
      </c>
      <c r="D93" s="153">
        <v>1</v>
      </c>
      <c r="E93" s="153">
        <v>4</v>
      </c>
    </row>
    <row r="94" spans="1:5" x14ac:dyDescent="0.25">
      <c r="A94" s="154" t="s">
        <v>1160</v>
      </c>
      <c r="B94" s="153">
        <v>0</v>
      </c>
      <c r="C94" s="153">
        <v>0</v>
      </c>
      <c r="D94" s="153">
        <v>0</v>
      </c>
      <c r="E94" s="156">
        <v>0</v>
      </c>
    </row>
    <row r="95" spans="1:5" x14ac:dyDescent="0.25">
      <c r="A95" s="154" t="s">
        <v>1159</v>
      </c>
      <c r="B95" s="153">
        <v>0</v>
      </c>
      <c r="C95" s="153">
        <v>0</v>
      </c>
      <c r="D95" s="153">
        <v>0</v>
      </c>
      <c r="E95" s="156">
        <v>0</v>
      </c>
    </row>
    <row r="96" spans="1:5" x14ac:dyDescent="0.25">
      <c r="A96" s="154" t="s">
        <v>1158</v>
      </c>
      <c r="B96" s="153">
        <v>0</v>
      </c>
      <c r="C96" s="153">
        <v>0</v>
      </c>
      <c r="D96" s="153">
        <v>0</v>
      </c>
      <c r="E96" s="156">
        <v>0</v>
      </c>
    </row>
    <row r="97" spans="1:7" x14ac:dyDescent="0.25">
      <c r="A97" s="154" t="s">
        <v>1157</v>
      </c>
      <c r="B97" s="153">
        <v>0</v>
      </c>
      <c r="C97" s="153">
        <v>0</v>
      </c>
      <c r="D97" s="153">
        <v>0</v>
      </c>
      <c r="E97" s="156">
        <v>0</v>
      </c>
    </row>
    <row r="98" spans="1:7" x14ac:dyDescent="0.25">
      <c r="A98" s="154" t="s">
        <v>2393</v>
      </c>
      <c r="B98" s="156">
        <v>0</v>
      </c>
      <c r="C98" s="156">
        <v>0</v>
      </c>
      <c r="D98" s="156">
        <v>0</v>
      </c>
      <c r="E98" s="156">
        <v>0</v>
      </c>
    </row>
    <row r="99" spans="1:7" x14ac:dyDescent="0.25">
      <c r="A99" s="154" t="s">
        <v>1274</v>
      </c>
      <c r="B99" s="153">
        <v>0</v>
      </c>
      <c r="C99" s="153">
        <v>0</v>
      </c>
      <c r="D99" s="153">
        <v>0</v>
      </c>
      <c r="E99" s="156">
        <v>0</v>
      </c>
    </row>
    <row r="100" spans="1:7" x14ac:dyDescent="0.25">
      <c r="A100" s="154" t="s">
        <v>1161</v>
      </c>
      <c r="B100" s="153">
        <v>0</v>
      </c>
      <c r="C100" s="153">
        <v>0</v>
      </c>
      <c r="D100" s="153">
        <v>0</v>
      </c>
      <c r="E100" s="156">
        <v>0</v>
      </c>
    </row>
    <row r="101" spans="1:7" x14ac:dyDescent="0.25">
      <c r="A101" s="154" t="s">
        <v>1118</v>
      </c>
      <c r="B101" s="153">
        <v>0</v>
      </c>
      <c r="C101" s="153">
        <v>1</v>
      </c>
      <c r="D101" s="156">
        <v>1</v>
      </c>
      <c r="E101" s="156">
        <v>0</v>
      </c>
    </row>
    <row r="102" spans="1:7" x14ac:dyDescent="0.25">
      <c r="A102" s="154" t="s">
        <v>1119</v>
      </c>
      <c r="B102" s="153">
        <v>0</v>
      </c>
      <c r="C102" s="153">
        <v>1</v>
      </c>
      <c r="D102" s="156">
        <v>1</v>
      </c>
      <c r="E102" s="156">
        <v>2</v>
      </c>
    </row>
    <row r="103" spans="1:7" x14ac:dyDescent="0.25">
      <c r="A103" s="154" t="s">
        <v>1120</v>
      </c>
      <c r="B103" s="153">
        <v>0</v>
      </c>
      <c r="C103" s="153">
        <v>1</v>
      </c>
      <c r="D103" s="153">
        <v>1</v>
      </c>
      <c r="E103" s="156">
        <v>5</v>
      </c>
    </row>
    <row r="104" spans="1:7" x14ac:dyDescent="0.25">
      <c r="A104" s="154" t="s">
        <v>2087</v>
      </c>
      <c r="B104" s="156">
        <v>1</v>
      </c>
      <c r="C104" s="156">
        <v>0</v>
      </c>
      <c r="D104" s="156">
        <v>0</v>
      </c>
      <c r="E104" s="156">
        <v>0</v>
      </c>
      <c r="F104" s="156" t="s">
        <v>2287</v>
      </c>
      <c r="G104" s="156" t="s">
        <v>2286</v>
      </c>
    </row>
    <row r="105" spans="1:7" x14ac:dyDescent="0.25">
      <c r="A105" s="154" t="s">
        <v>2088</v>
      </c>
      <c r="B105" s="156">
        <v>1</v>
      </c>
      <c r="C105" s="156">
        <v>0</v>
      </c>
      <c r="D105" s="156">
        <v>0</v>
      </c>
      <c r="E105" s="156">
        <v>0</v>
      </c>
      <c r="F105" s="156" t="s">
        <v>2287</v>
      </c>
      <c r="G105" s="156" t="s">
        <v>2286</v>
      </c>
    </row>
    <row r="106" spans="1:7" x14ac:dyDescent="0.25">
      <c r="A106" s="154" t="s">
        <v>2089</v>
      </c>
      <c r="B106" s="156">
        <v>1</v>
      </c>
      <c r="C106" s="156">
        <v>0</v>
      </c>
      <c r="D106" s="156">
        <v>0</v>
      </c>
      <c r="E106" s="156">
        <v>0</v>
      </c>
      <c r="F106" s="156" t="s">
        <v>2287</v>
      </c>
      <c r="G106" s="156" t="s">
        <v>2286</v>
      </c>
    </row>
    <row r="107" spans="1:7" x14ac:dyDescent="0.25">
      <c r="A107" s="154" t="s">
        <v>2105</v>
      </c>
      <c r="B107" s="156">
        <v>1</v>
      </c>
      <c r="C107" s="156">
        <v>0</v>
      </c>
      <c r="D107" s="156">
        <v>0</v>
      </c>
      <c r="E107" s="156">
        <v>0</v>
      </c>
      <c r="F107" s="156" t="s">
        <v>2287</v>
      </c>
      <c r="G107" s="156" t="s">
        <v>2286</v>
      </c>
    </row>
    <row r="108" spans="1:7" x14ac:dyDescent="0.25">
      <c r="A108" s="154" t="s">
        <v>2090</v>
      </c>
      <c r="B108" s="156">
        <v>1</v>
      </c>
      <c r="C108" s="156">
        <v>0</v>
      </c>
      <c r="D108" s="156">
        <v>0</v>
      </c>
      <c r="E108" s="156">
        <v>0</v>
      </c>
      <c r="F108" s="156" t="s">
        <v>2287</v>
      </c>
      <c r="G108" s="156" t="s">
        <v>2286</v>
      </c>
    </row>
    <row r="109" spans="1:7" x14ac:dyDescent="0.25">
      <c r="A109" s="154" t="s">
        <v>2091</v>
      </c>
      <c r="B109" s="156">
        <v>1</v>
      </c>
      <c r="C109" s="156">
        <v>0</v>
      </c>
      <c r="D109" s="156">
        <v>0</v>
      </c>
      <c r="E109" s="156">
        <v>0</v>
      </c>
      <c r="F109" s="156" t="s">
        <v>2287</v>
      </c>
      <c r="G109" s="156" t="s">
        <v>2286</v>
      </c>
    </row>
    <row r="110" spans="1:7" x14ac:dyDescent="0.25">
      <c r="A110" s="154" t="s">
        <v>2397</v>
      </c>
      <c r="B110" s="156"/>
      <c r="C110" s="156"/>
      <c r="D110" s="156"/>
      <c r="E110" s="156"/>
      <c r="F110" s="156"/>
      <c r="G110" s="156"/>
    </row>
    <row r="111" spans="1:7" x14ac:dyDescent="0.25">
      <c r="A111" s="154" t="s">
        <v>2396</v>
      </c>
      <c r="B111" s="156"/>
      <c r="C111" s="156"/>
      <c r="D111" s="156"/>
      <c r="E111" s="156"/>
      <c r="F111" s="156"/>
      <c r="G111" s="156"/>
    </row>
    <row r="112" spans="1:7" x14ac:dyDescent="0.25">
      <c r="A112" s="154" t="s">
        <v>2166</v>
      </c>
      <c r="B112" s="156"/>
      <c r="C112" s="156"/>
      <c r="D112" s="156"/>
      <c r="E112" s="156"/>
      <c r="F112" s="156"/>
      <c r="G112" s="156"/>
    </row>
    <row r="113" spans="1:7" x14ac:dyDescent="0.25">
      <c r="A113" s="154" t="s">
        <v>2395</v>
      </c>
      <c r="B113" s="156"/>
      <c r="C113" s="156"/>
      <c r="D113" s="156"/>
      <c r="E113" s="156"/>
      <c r="F113" s="156"/>
      <c r="G113" s="156"/>
    </row>
    <row r="114" spans="1:7" x14ac:dyDescent="0.25">
      <c r="A114" s="154" t="s">
        <v>2104</v>
      </c>
      <c r="B114" s="156">
        <v>1</v>
      </c>
      <c r="C114" s="156">
        <v>0</v>
      </c>
      <c r="D114" s="156">
        <v>0</v>
      </c>
      <c r="E114" s="156">
        <v>0</v>
      </c>
      <c r="F114" s="156" t="s">
        <v>2106</v>
      </c>
      <c r="G114" s="156" t="s">
        <v>2285</v>
      </c>
    </row>
    <row r="115" spans="1:7" x14ac:dyDescent="0.25">
      <c r="A115" s="154" t="s">
        <v>2107</v>
      </c>
      <c r="B115" s="156">
        <v>1</v>
      </c>
      <c r="C115" s="156">
        <v>0</v>
      </c>
      <c r="D115" s="156">
        <v>0</v>
      </c>
      <c r="E115" s="156">
        <v>0</v>
      </c>
      <c r="F115" s="156" t="s">
        <v>2106</v>
      </c>
      <c r="G115" s="156" t="s">
        <v>2285</v>
      </c>
    </row>
    <row r="116" spans="1:7" x14ac:dyDescent="0.25">
      <c r="A116" s="154" t="s">
        <v>2103</v>
      </c>
      <c r="B116" s="156">
        <v>1</v>
      </c>
      <c r="C116" s="156">
        <v>0</v>
      </c>
      <c r="D116" s="156">
        <v>0</v>
      </c>
      <c r="E116" s="156">
        <v>0</v>
      </c>
      <c r="F116" s="156" t="s">
        <v>2106</v>
      </c>
      <c r="G116" s="156" t="s">
        <v>2285</v>
      </c>
    </row>
    <row r="117" spans="1:7" x14ac:dyDescent="0.25">
      <c r="A117" s="154" t="s">
        <v>2108</v>
      </c>
      <c r="B117" s="156">
        <v>1</v>
      </c>
      <c r="C117" s="156">
        <v>0</v>
      </c>
      <c r="D117" s="156">
        <v>0</v>
      </c>
      <c r="E117" s="156">
        <v>0</v>
      </c>
      <c r="F117" s="156" t="s">
        <v>2106</v>
      </c>
      <c r="G117" s="156" t="s">
        <v>2285</v>
      </c>
    </row>
    <row r="118" spans="1:7" x14ac:dyDescent="0.25">
      <c r="A118" s="154" t="s">
        <v>2102</v>
      </c>
      <c r="B118" s="156">
        <v>1</v>
      </c>
      <c r="C118" s="156">
        <v>0</v>
      </c>
      <c r="D118" s="156">
        <v>0</v>
      </c>
      <c r="E118" s="156">
        <v>0</v>
      </c>
      <c r="F118" s="156" t="s">
        <v>2106</v>
      </c>
      <c r="G118" s="156" t="s">
        <v>2285</v>
      </c>
    </row>
    <row r="119" spans="1:7" x14ac:dyDescent="0.25">
      <c r="A119" s="154" t="s">
        <v>2109</v>
      </c>
      <c r="B119" s="156">
        <v>1</v>
      </c>
      <c r="C119" s="156">
        <v>0</v>
      </c>
      <c r="D119" s="156">
        <v>0</v>
      </c>
      <c r="E119" s="156">
        <v>0</v>
      </c>
      <c r="F119" s="156" t="s">
        <v>2106</v>
      </c>
      <c r="G119" s="156" t="s">
        <v>2285</v>
      </c>
    </row>
    <row r="120" spans="1:7" x14ac:dyDescent="0.25">
      <c r="A120" s="154" t="s">
        <v>2110</v>
      </c>
      <c r="B120" s="156">
        <v>1</v>
      </c>
      <c r="C120" s="156">
        <v>0</v>
      </c>
      <c r="D120" s="156">
        <v>0</v>
      </c>
      <c r="E120" s="156">
        <v>0</v>
      </c>
      <c r="F120" s="156" t="s">
        <v>2106</v>
      </c>
      <c r="G120" s="156" t="s">
        <v>2285</v>
      </c>
    </row>
    <row r="121" spans="1:7" x14ac:dyDescent="0.25">
      <c r="A121" s="154" t="s">
        <v>2021</v>
      </c>
      <c r="B121" s="153">
        <v>1</v>
      </c>
      <c r="C121" s="156">
        <v>0</v>
      </c>
      <c r="D121" s="156">
        <v>0</v>
      </c>
      <c r="E121" s="156">
        <v>0</v>
      </c>
      <c r="F121" s="156" t="s">
        <v>2106</v>
      </c>
      <c r="G121" s="156" t="s">
        <v>2285</v>
      </c>
    </row>
    <row r="122" spans="1:7" x14ac:dyDescent="0.25">
      <c r="A122" s="154" t="s">
        <v>2111</v>
      </c>
      <c r="B122" s="156">
        <v>1</v>
      </c>
      <c r="C122" s="156">
        <v>0</v>
      </c>
      <c r="D122" s="156">
        <v>0</v>
      </c>
      <c r="E122" s="156">
        <v>0</v>
      </c>
      <c r="F122" s="156" t="s">
        <v>2106</v>
      </c>
      <c r="G122" s="156" t="s">
        <v>2285</v>
      </c>
    </row>
    <row r="123" spans="1:7" x14ac:dyDescent="0.25">
      <c r="A123" s="154" t="s">
        <v>2101</v>
      </c>
      <c r="B123" s="156">
        <v>1</v>
      </c>
      <c r="C123" s="156">
        <v>0</v>
      </c>
      <c r="D123" s="156">
        <v>0</v>
      </c>
      <c r="E123" s="156">
        <v>0</v>
      </c>
      <c r="F123" s="156" t="s">
        <v>2106</v>
      </c>
      <c r="G123" s="156" t="s">
        <v>2285</v>
      </c>
    </row>
    <row r="124" spans="1:7" x14ac:dyDescent="0.25">
      <c r="A124" s="154" t="s">
        <v>2112</v>
      </c>
      <c r="B124" s="156">
        <v>1</v>
      </c>
      <c r="C124" s="156">
        <v>0</v>
      </c>
      <c r="D124" s="156">
        <v>0</v>
      </c>
      <c r="E124" s="156">
        <v>0</v>
      </c>
      <c r="F124" s="156" t="s">
        <v>2106</v>
      </c>
      <c r="G124" s="156" t="s">
        <v>2285</v>
      </c>
    </row>
    <row r="125" spans="1:7" x14ac:dyDescent="0.25">
      <c r="A125" s="154" t="s">
        <v>2113</v>
      </c>
      <c r="B125" s="156">
        <v>1</v>
      </c>
      <c r="C125" s="156">
        <v>0</v>
      </c>
      <c r="D125" s="156">
        <v>0</v>
      </c>
      <c r="E125" s="156">
        <v>0</v>
      </c>
      <c r="F125" s="156" t="s">
        <v>2106</v>
      </c>
      <c r="G125" s="156" t="s">
        <v>2285</v>
      </c>
    </row>
  </sheetData>
  <sortState ref="A1:A101">
    <sortCondition ref="A1"/>
  </sortState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05"/>
  <sheetViews>
    <sheetView topLeftCell="A67" workbookViewId="0">
      <selection activeCell="B104" sqref="B104"/>
    </sheetView>
  </sheetViews>
  <sheetFormatPr defaultRowHeight="15" x14ac:dyDescent="0.25"/>
  <cols>
    <col min="1" max="1" width="9" bestFit="1" customWidth="1"/>
    <col min="2" max="2" width="32.140625" bestFit="1" customWidth="1"/>
    <col min="3" max="3" width="24" bestFit="1" customWidth="1"/>
    <col min="4" max="4" width="57.140625" bestFit="1" customWidth="1"/>
    <col min="5" max="6" width="10" bestFit="1" customWidth="1"/>
    <col min="9" max="9" width="9.85546875" bestFit="1" customWidth="1"/>
  </cols>
  <sheetData>
    <row r="1" spans="1:4" x14ac:dyDescent="0.25">
      <c r="A1" s="162" t="s">
        <v>2291</v>
      </c>
      <c r="B1" s="162" t="s">
        <v>2298</v>
      </c>
      <c r="C1" s="162" t="s">
        <v>1102</v>
      </c>
      <c r="D1" s="162" t="s">
        <v>2297</v>
      </c>
    </row>
    <row r="2" spans="1:4" x14ac:dyDescent="0.25">
      <c r="B2" s="162"/>
      <c r="C2" s="162"/>
      <c r="D2" s="162"/>
    </row>
    <row r="3" spans="1:4" x14ac:dyDescent="0.25">
      <c r="B3" s="162" t="s">
        <v>2292</v>
      </c>
    </row>
    <row r="4" spans="1:4" x14ac:dyDescent="0.25">
      <c r="B4" t="s">
        <v>2293</v>
      </c>
    </row>
    <row r="5" spans="1:4" x14ac:dyDescent="0.25">
      <c r="B5" s="163" t="s">
        <v>2391</v>
      </c>
    </row>
    <row r="6" spans="1:4" x14ac:dyDescent="0.25">
      <c r="B6" s="162"/>
    </row>
    <row r="7" spans="1:4" x14ac:dyDescent="0.25">
      <c r="B7" s="162" t="s">
        <v>2191</v>
      </c>
    </row>
    <row r="8" spans="1:4" x14ac:dyDescent="0.25">
      <c r="A8" t="s">
        <v>2310</v>
      </c>
      <c r="B8" t="s">
        <v>2188</v>
      </c>
      <c r="C8" t="s">
        <v>2206</v>
      </c>
      <c r="D8" t="s">
        <v>2296</v>
      </c>
    </row>
    <row r="10" spans="1:4" x14ac:dyDescent="0.25">
      <c r="B10" s="162" t="s">
        <v>2288</v>
      </c>
    </row>
    <row r="11" spans="1:4" x14ac:dyDescent="0.25">
      <c r="A11" t="s">
        <v>2309</v>
      </c>
      <c r="B11" t="s">
        <v>2306</v>
      </c>
      <c r="C11" t="s">
        <v>1790</v>
      </c>
      <c r="D11" s="168" t="s">
        <v>2311</v>
      </c>
    </row>
    <row r="12" spans="1:4" x14ac:dyDescent="0.25">
      <c r="A12" t="s">
        <v>2309</v>
      </c>
      <c r="B12" t="s">
        <v>2284</v>
      </c>
      <c r="C12" t="s">
        <v>666</v>
      </c>
      <c r="D12" s="168" t="s">
        <v>2420</v>
      </c>
    </row>
    <row r="14" spans="1:4" x14ac:dyDescent="0.25">
      <c r="B14" s="162" t="s">
        <v>2417</v>
      </c>
    </row>
    <row r="15" spans="1:4" x14ac:dyDescent="0.25">
      <c r="A15" t="s">
        <v>1828</v>
      </c>
      <c r="B15" t="s">
        <v>2418</v>
      </c>
    </row>
    <row r="16" spans="1:4" x14ac:dyDescent="0.25">
      <c r="A16" t="s">
        <v>2428</v>
      </c>
      <c r="B16" t="s">
        <v>2421</v>
      </c>
      <c r="D16" t="s">
        <v>2419</v>
      </c>
    </row>
    <row r="18" spans="1:4" x14ac:dyDescent="0.25">
      <c r="B18" s="162" t="s">
        <v>2187</v>
      </c>
    </row>
    <row r="19" spans="1:4" x14ac:dyDescent="0.25">
      <c r="A19" t="s">
        <v>1828</v>
      </c>
      <c r="B19" t="s">
        <v>2301</v>
      </c>
    </row>
    <row r="20" spans="1:4" x14ac:dyDescent="0.25">
      <c r="A20" t="s">
        <v>1828</v>
      </c>
      <c r="B20" t="s">
        <v>2302</v>
      </c>
    </row>
    <row r="21" spans="1:4" x14ac:dyDescent="0.25">
      <c r="A21" t="s">
        <v>1828</v>
      </c>
      <c r="B21" t="s">
        <v>2303</v>
      </c>
    </row>
    <row r="22" spans="1:4" x14ac:dyDescent="0.25">
      <c r="A22" t="s">
        <v>1828</v>
      </c>
      <c r="B22" t="s">
        <v>2304</v>
      </c>
    </row>
    <row r="23" spans="1:4" x14ac:dyDescent="0.25">
      <c r="A23" t="s">
        <v>1828</v>
      </c>
      <c r="B23" t="s">
        <v>2425</v>
      </c>
    </row>
    <row r="24" spans="1:4" x14ac:dyDescent="0.25">
      <c r="A24" t="s">
        <v>1828</v>
      </c>
      <c r="B24" t="s">
        <v>2424</v>
      </c>
    </row>
    <row r="25" spans="1:4" x14ac:dyDescent="0.25">
      <c r="A25" t="s">
        <v>1828</v>
      </c>
      <c r="B25" t="s">
        <v>2426</v>
      </c>
    </row>
    <row r="26" spans="1:4" x14ac:dyDescent="0.25">
      <c r="A26" t="s">
        <v>1828</v>
      </c>
      <c r="B26" t="s">
        <v>2427</v>
      </c>
    </row>
    <row r="27" spans="1:4" x14ac:dyDescent="0.25">
      <c r="A27" t="s">
        <v>1828</v>
      </c>
      <c r="B27" t="s">
        <v>2423</v>
      </c>
    </row>
    <row r="28" spans="1:4" x14ac:dyDescent="0.25">
      <c r="A28" t="s">
        <v>1828</v>
      </c>
      <c r="B28" t="s">
        <v>2422</v>
      </c>
    </row>
    <row r="29" spans="1:4" x14ac:dyDescent="0.25">
      <c r="A29" t="s">
        <v>1828</v>
      </c>
      <c r="B29" t="s">
        <v>2305</v>
      </c>
    </row>
    <row r="30" spans="1:4" x14ac:dyDescent="0.25">
      <c r="A30" t="s">
        <v>1828</v>
      </c>
      <c r="B30" t="s">
        <v>2239</v>
      </c>
    </row>
    <row r="31" spans="1:4" x14ac:dyDescent="0.25">
      <c r="A31" t="s">
        <v>1828</v>
      </c>
      <c r="B31" t="s">
        <v>2280</v>
      </c>
    </row>
    <row r="32" spans="1:4" x14ac:dyDescent="0.25">
      <c r="D32" s="168"/>
    </row>
    <row r="33" spans="1:4" x14ac:dyDescent="0.25">
      <c r="B33" s="162" t="s">
        <v>2190</v>
      </c>
    </row>
    <row r="34" spans="1:4" x14ac:dyDescent="0.25">
      <c r="B34" t="s">
        <v>2205</v>
      </c>
    </row>
    <row r="36" spans="1:4" x14ac:dyDescent="0.25">
      <c r="B36" s="162" t="s">
        <v>2189</v>
      </c>
    </row>
    <row r="37" spans="1:4" x14ac:dyDescent="0.25">
      <c r="B37" t="s">
        <v>2283</v>
      </c>
    </row>
    <row r="39" spans="1:4" x14ac:dyDescent="0.25">
      <c r="B39" s="162" t="s">
        <v>2180</v>
      </c>
    </row>
    <row r="40" spans="1:4" x14ac:dyDescent="0.25">
      <c r="B40" t="s">
        <v>2283</v>
      </c>
    </row>
    <row r="42" spans="1:4" x14ac:dyDescent="0.25">
      <c r="B42" s="162" t="s">
        <v>2295</v>
      </c>
    </row>
    <row r="43" spans="1:4" x14ac:dyDescent="0.25">
      <c r="A43" t="s">
        <v>2308</v>
      </c>
      <c r="B43" s="163" t="s">
        <v>2278</v>
      </c>
      <c r="D43" t="s">
        <v>2185</v>
      </c>
    </row>
    <row r="44" spans="1:4" x14ac:dyDescent="0.25">
      <c r="A44" t="s">
        <v>2308</v>
      </c>
      <c r="B44" s="163" t="s">
        <v>2316</v>
      </c>
      <c r="D44" t="s">
        <v>2185</v>
      </c>
    </row>
    <row r="45" spans="1:4" x14ac:dyDescent="0.25">
      <c r="A45" t="s">
        <v>2308</v>
      </c>
      <c r="B45" s="163" t="s">
        <v>2281</v>
      </c>
      <c r="D45" t="s">
        <v>2185</v>
      </c>
    </row>
    <row r="46" spans="1:4" x14ac:dyDescent="0.25">
      <c r="A46" t="s">
        <v>2308</v>
      </c>
      <c r="B46" s="163" t="s">
        <v>2282</v>
      </c>
      <c r="D46" t="s">
        <v>2185</v>
      </c>
    </row>
    <row r="47" spans="1:4" x14ac:dyDescent="0.25">
      <c r="A47" t="s">
        <v>2308</v>
      </c>
      <c r="B47" t="s">
        <v>2184</v>
      </c>
      <c r="C47" t="s">
        <v>501</v>
      </c>
      <c r="D47" t="s">
        <v>2186</v>
      </c>
    </row>
    <row r="48" spans="1:4" x14ac:dyDescent="0.25">
      <c r="A48" t="s">
        <v>2308</v>
      </c>
      <c r="B48" t="s">
        <v>2192</v>
      </c>
      <c r="C48" t="s">
        <v>283</v>
      </c>
      <c r="D48" t="s">
        <v>2185</v>
      </c>
    </row>
    <row r="49" spans="1:4" x14ac:dyDescent="0.25">
      <c r="A49" t="s">
        <v>2308</v>
      </c>
      <c r="B49" t="s">
        <v>2193</v>
      </c>
      <c r="C49" t="s">
        <v>593</v>
      </c>
      <c r="D49" t="s">
        <v>2185</v>
      </c>
    </row>
    <row r="50" spans="1:4" x14ac:dyDescent="0.25">
      <c r="A50" t="s">
        <v>2308</v>
      </c>
      <c r="B50" t="s">
        <v>2195</v>
      </c>
      <c r="C50" t="s">
        <v>164</v>
      </c>
      <c r="D50" t="s">
        <v>2185</v>
      </c>
    </row>
    <row r="51" spans="1:4" x14ac:dyDescent="0.25">
      <c r="A51" t="s">
        <v>2308</v>
      </c>
      <c r="B51" t="s">
        <v>2279</v>
      </c>
      <c r="D51" t="s">
        <v>2185</v>
      </c>
    </row>
    <row r="52" spans="1:4" x14ac:dyDescent="0.25">
      <c r="A52" t="s">
        <v>2308</v>
      </c>
      <c r="B52" t="s">
        <v>2194</v>
      </c>
      <c r="C52" t="s">
        <v>864</v>
      </c>
      <c r="D52" t="s">
        <v>2185</v>
      </c>
    </row>
    <row r="53" spans="1:4" x14ac:dyDescent="0.25">
      <c r="A53" t="s">
        <v>2308</v>
      </c>
      <c r="B53" t="s">
        <v>2196</v>
      </c>
      <c r="C53" t="s">
        <v>450</v>
      </c>
      <c r="D53" t="s">
        <v>2185</v>
      </c>
    </row>
    <row r="54" spans="1:4" x14ac:dyDescent="0.25">
      <c r="A54" t="s">
        <v>2308</v>
      </c>
      <c r="B54" t="s">
        <v>2197</v>
      </c>
      <c r="C54" t="s">
        <v>407</v>
      </c>
      <c r="D54" t="s">
        <v>2185</v>
      </c>
    </row>
    <row r="55" spans="1:4" x14ac:dyDescent="0.25">
      <c r="A55" t="s">
        <v>2308</v>
      </c>
      <c r="B55" t="s">
        <v>2199</v>
      </c>
      <c r="C55" t="s">
        <v>2200</v>
      </c>
      <c r="D55" t="s">
        <v>2185</v>
      </c>
    </row>
    <row r="56" spans="1:4" x14ac:dyDescent="0.25">
      <c r="A56" t="s">
        <v>2308</v>
      </c>
      <c r="B56" t="s">
        <v>2294</v>
      </c>
    </row>
    <row r="57" spans="1:4" x14ac:dyDescent="0.25">
      <c r="A57" t="s">
        <v>1828</v>
      </c>
      <c r="B57" t="s">
        <v>2307</v>
      </c>
    </row>
    <row r="59" spans="1:4" x14ac:dyDescent="0.25">
      <c r="B59" s="162" t="s">
        <v>2290</v>
      </c>
    </row>
    <row r="60" spans="1:4" x14ac:dyDescent="0.25">
      <c r="A60" t="s">
        <v>0</v>
      </c>
      <c r="B60" s="163" t="s">
        <v>2198</v>
      </c>
      <c r="C60" t="s">
        <v>2016</v>
      </c>
    </row>
    <row r="61" spans="1:4" x14ac:dyDescent="0.25">
      <c r="A61" t="s">
        <v>0</v>
      </c>
      <c r="B61" s="163" t="s">
        <v>2201</v>
      </c>
      <c r="C61" t="s">
        <v>2083</v>
      </c>
      <c r="D61" t="s">
        <v>2419</v>
      </c>
    </row>
    <row r="62" spans="1:4" x14ac:dyDescent="0.25">
      <c r="A62" t="s">
        <v>0</v>
      </c>
      <c r="B62" s="163" t="s">
        <v>2202</v>
      </c>
      <c r="C62" t="s">
        <v>2097</v>
      </c>
    </row>
    <row r="63" spans="1:4" x14ac:dyDescent="0.25">
      <c r="A63" t="s">
        <v>0</v>
      </c>
      <c r="B63" s="163" t="s">
        <v>2203</v>
      </c>
      <c r="C63" t="s">
        <v>2082</v>
      </c>
    </row>
    <row r="64" spans="1:4" x14ac:dyDescent="0.25">
      <c r="A64" t="s">
        <v>0</v>
      </c>
      <c r="B64" s="163" t="s">
        <v>2204</v>
      </c>
      <c r="C64" t="s">
        <v>2114</v>
      </c>
    </row>
    <row r="65" spans="1:3" x14ac:dyDescent="0.25">
      <c r="A65" t="s">
        <v>0</v>
      </c>
      <c r="B65" s="163" t="s">
        <v>1324</v>
      </c>
      <c r="C65" t="s">
        <v>2207</v>
      </c>
    </row>
    <row r="66" spans="1:3" x14ac:dyDescent="0.25">
      <c r="A66" t="s">
        <v>0</v>
      </c>
      <c r="B66" s="163" t="s">
        <v>1972</v>
      </c>
      <c r="C66" t="s">
        <v>1974</v>
      </c>
    </row>
    <row r="67" spans="1:3" x14ac:dyDescent="0.25">
      <c r="A67" t="s">
        <v>2299</v>
      </c>
      <c r="B67" s="163" t="s">
        <v>2300</v>
      </c>
    </row>
    <row r="68" spans="1:3" x14ac:dyDescent="0.25">
      <c r="B68" s="163"/>
    </row>
    <row r="69" spans="1:3" x14ac:dyDescent="0.25">
      <c r="B69" s="162" t="s">
        <v>2289</v>
      </c>
    </row>
    <row r="70" spans="1:3" x14ac:dyDescent="0.25">
      <c r="A70" t="s">
        <v>0</v>
      </c>
      <c r="B70" t="s">
        <v>2128</v>
      </c>
      <c r="C70" t="s">
        <v>2092</v>
      </c>
    </row>
    <row r="71" spans="1:3" x14ac:dyDescent="0.25">
      <c r="A71" t="s">
        <v>0</v>
      </c>
      <c r="B71" t="s">
        <v>2179</v>
      </c>
      <c r="C71" t="s">
        <v>1792</v>
      </c>
    </row>
    <row r="72" spans="1:3" x14ac:dyDescent="0.25">
      <c r="A72" t="s">
        <v>0</v>
      </c>
      <c r="B72" t="s">
        <v>2129</v>
      </c>
      <c r="C72" t="s">
        <v>2094</v>
      </c>
    </row>
    <row r="73" spans="1:3" x14ac:dyDescent="0.25">
      <c r="A73" t="s">
        <v>0</v>
      </c>
      <c r="B73" t="s">
        <v>2130</v>
      </c>
      <c r="C73" t="s">
        <v>2154</v>
      </c>
    </row>
    <row r="74" spans="1:3" x14ac:dyDescent="0.25">
      <c r="A74" t="s">
        <v>0</v>
      </c>
      <c r="B74" t="s">
        <v>2085</v>
      </c>
      <c r="C74" t="s">
        <v>2124</v>
      </c>
    </row>
    <row r="75" spans="1:3" x14ac:dyDescent="0.25">
      <c r="A75" t="s">
        <v>0</v>
      </c>
      <c r="B75" t="s">
        <v>2131</v>
      </c>
      <c r="C75" t="s">
        <v>2093</v>
      </c>
    </row>
    <row r="76" spans="1:3" x14ac:dyDescent="0.25">
      <c r="A76" t="s">
        <v>0</v>
      </c>
      <c r="B76" t="s">
        <v>2132</v>
      </c>
      <c r="C76" t="s">
        <v>2090</v>
      </c>
    </row>
    <row r="77" spans="1:3" x14ac:dyDescent="0.25">
      <c r="A77" t="s">
        <v>0</v>
      </c>
      <c r="B77" t="s">
        <v>2133</v>
      </c>
      <c r="C77" t="s">
        <v>2090</v>
      </c>
    </row>
    <row r="78" spans="1:3" x14ac:dyDescent="0.25">
      <c r="A78" t="s">
        <v>0</v>
      </c>
      <c r="B78" t="s">
        <v>2134</v>
      </c>
      <c r="C78" t="s">
        <v>2155</v>
      </c>
    </row>
    <row r="79" spans="1:3" x14ac:dyDescent="0.25">
      <c r="A79" t="s">
        <v>0</v>
      </c>
      <c r="B79" t="s">
        <v>2135</v>
      </c>
      <c r="C79" t="s">
        <v>1981</v>
      </c>
    </row>
    <row r="80" spans="1:3" x14ac:dyDescent="0.25">
      <c r="A80" t="s">
        <v>0</v>
      </c>
      <c r="B80" t="s">
        <v>2136</v>
      </c>
      <c r="C80" t="s">
        <v>1977</v>
      </c>
    </row>
    <row r="81" spans="1:3" x14ac:dyDescent="0.25">
      <c r="A81" t="s">
        <v>0</v>
      </c>
      <c r="B81" t="s">
        <v>2137</v>
      </c>
      <c r="C81" t="s">
        <v>1978</v>
      </c>
    </row>
    <row r="82" spans="1:3" x14ac:dyDescent="0.25">
      <c r="A82" t="s">
        <v>0</v>
      </c>
      <c r="B82" t="s">
        <v>2138</v>
      </c>
      <c r="C82" t="s">
        <v>1979</v>
      </c>
    </row>
    <row r="83" spans="1:3" x14ac:dyDescent="0.25">
      <c r="A83" t="s">
        <v>0</v>
      </c>
      <c r="B83" t="s">
        <v>2139</v>
      </c>
      <c r="C83" t="s">
        <v>1983</v>
      </c>
    </row>
    <row r="84" spans="1:3" x14ac:dyDescent="0.25">
      <c r="A84" t="s">
        <v>0</v>
      </c>
      <c r="B84" t="s">
        <v>2140</v>
      </c>
      <c r="C84" t="s">
        <v>1980</v>
      </c>
    </row>
    <row r="85" spans="1:3" x14ac:dyDescent="0.25">
      <c r="A85" t="s">
        <v>0</v>
      </c>
      <c r="B85" t="s">
        <v>2141</v>
      </c>
      <c r="C85" t="s">
        <v>1982</v>
      </c>
    </row>
    <row r="86" spans="1:3" x14ac:dyDescent="0.25">
      <c r="A86" t="s">
        <v>0</v>
      </c>
      <c r="B86" t="s">
        <v>2076</v>
      </c>
      <c r="C86" t="s">
        <v>2078</v>
      </c>
    </row>
    <row r="87" spans="1:3" x14ac:dyDescent="0.25">
      <c r="A87" t="s">
        <v>0</v>
      </c>
      <c r="B87" t="s">
        <v>2068</v>
      </c>
      <c r="C87" t="s">
        <v>337</v>
      </c>
    </row>
    <row r="88" spans="1:3" x14ac:dyDescent="0.25">
      <c r="A88" t="s">
        <v>0</v>
      </c>
      <c r="B88" t="s">
        <v>2142</v>
      </c>
      <c r="C88" t="s">
        <v>2069</v>
      </c>
    </row>
    <row r="89" spans="1:3" x14ac:dyDescent="0.25">
      <c r="A89" t="s">
        <v>0</v>
      </c>
      <c r="B89" t="s">
        <v>1987</v>
      </c>
      <c r="C89" t="s">
        <v>2156</v>
      </c>
    </row>
    <row r="90" spans="1:3" x14ac:dyDescent="0.25">
      <c r="A90" t="s">
        <v>0</v>
      </c>
      <c r="B90" t="s">
        <v>2143</v>
      </c>
      <c r="C90" t="s">
        <v>2157</v>
      </c>
    </row>
    <row r="91" spans="1:3" x14ac:dyDescent="0.25">
      <c r="A91" t="s">
        <v>0</v>
      </c>
      <c r="B91" t="s">
        <v>2144</v>
      </c>
      <c r="C91" t="s">
        <v>1992</v>
      </c>
    </row>
    <row r="92" spans="1:3" x14ac:dyDescent="0.25">
      <c r="A92" t="s">
        <v>0</v>
      </c>
      <c r="B92" t="s">
        <v>2145</v>
      </c>
      <c r="C92" t="s">
        <v>2158</v>
      </c>
    </row>
    <row r="93" spans="1:3" x14ac:dyDescent="0.25">
      <c r="A93" t="s">
        <v>0</v>
      </c>
      <c r="B93" t="s">
        <v>2146</v>
      </c>
      <c r="C93" t="s">
        <v>2159</v>
      </c>
    </row>
    <row r="94" spans="1:3" x14ac:dyDescent="0.25">
      <c r="A94" t="s">
        <v>0</v>
      </c>
      <c r="B94" t="s">
        <v>2147</v>
      </c>
      <c r="C94" t="s">
        <v>2160</v>
      </c>
    </row>
    <row r="95" spans="1:3" x14ac:dyDescent="0.25">
      <c r="A95" t="s">
        <v>0</v>
      </c>
      <c r="B95" t="s">
        <v>2148</v>
      </c>
      <c r="C95" t="s">
        <v>2161</v>
      </c>
    </row>
    <row r="96" spans="1:3" x14ac:dyDescent="0.25">
      <c r="A96" t="s">
        <v>0</v>
      </c>
      <c r="B96" t="s">
        <v>2149</v>
      </c>
      <c r="C96" t="s">
        <v>2162</v>
      </c>
    </row>
    <row r="97" spans="1:3" x14ac:dyDescent="0.25">
      <c r="A97" t="s">
        <v>0</v>
      </c>
      <c r="B97" t="s">
        <v>2150</v>
      </c>
      <c r="C97" t="s">
        <v>2000</v>
      </c>
    </row>
    <row r="98" spans="1:3" x14ac:dyDescent="0.25">
      <c r="A98" t="s">
        <v>0</v>
      </c>
      <c r="B98" t="s">
        <v>2151</v>
      </c>
      <c r="C98" t="s">
        <v>2000</v>
      </c>
    </row>
    <row r="99" spans="1:3" x14ac:dyDescent="0.25">
      <c r="A99" t="s">
        <v>0</v>
      </c>
      <c r="B99" t="s">
        <v>2065</v>
      </c>
      <c r="C99" t="s">
        <v>2066</v>
      </c>
    </row>
    <row r="100" spans="1:3" x14ac:dyDescent="0.25">
      <c r="A100" t="s">
        <v>0</v>
      </c>
      <c r="B100" t="s">
        <v>2152</v>
      </c>
      <c r="C100" t="s">
        <v>2163</v>
      </c>
    </row>
    <row r="101" spans="1:3" x14ac:dyDescent="0.25">
      <c r="A101" t="s">
        <v>0</v>
      </c>
      <c r="B101" t="s">
        <v>2153</v>
      </c>
      <c r="C101" t="s">
        <v>2070</v>
      </c>
    </row>
    <row r="103" spans="1:3" x14ac:dyDescent="0.25">
      <c r="B103" t="s">
        <v>2668</v>
      </c>
    </row>
    <row r="104" spans="1:3" x14ac:dyDescent="0.25">
      <c r="B104" t="s">
        <v>2670</v>
      </c>
    </row>
    <row r="105" spans="1:3" x14ac:dyDescent="0.25">
      <c r="B105" t="s">
        <v>2669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Road to 100%</vt:lpstr>
      <vt:lpstr>Unit List</vt:lpstr>
      <vt:lpstr>Style List</vt:lpstr>
      <vt:lpstr>Unit Types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Nussbaum</dc:creator>
  <cp:lastModifiedBy>Eric Nussbaum</cp:lastModifiedBy>
  <cp:lastPrinted>2015-12-03T04:40:50Z</cp:lastPrinted>
  <dcterms:created xsi:type="dcterms:W3CDTF">2015-11-04T07:24:06Z</dcterms:created>
  <dcterms:modified xsi:type="dcterms:W3CDTF">2017-04-17T06:46:30Z</dcterms:modified>
</cp:coreProperties>
</file>