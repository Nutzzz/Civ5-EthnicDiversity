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2790" yWindow="0" windowWidth="20490" windowHeight="8235" tabRatio="540" firstSheet="1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1844" i="2" l="1"/>
  <c r="A1843" i="2"/>
  <c r="A1845" i="2"/>
  <c r="A304" i="2" l="1"/>
  <c r="A138" i="2" l="1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8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6" i="2"/>
  <c r="A992" i="2"/>
  <c r="A155" i="2"/>
  <c r="A1516" i="2"/>
  <c r="A1515" i="2"/>
  <c r="A157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X97" i="3"/>
  <c r="AX93" i="3"/>
  <c r="AX89" i="3"/>
  <c r="AY89" i="3" s="1"/>
  <c r="AX85" i="3"/>
  <c r="AX81" i="3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F80" i="3"/>
  <c r="BE103" i="3"/>
  <c r="BF103" i="3" s="1"/>
  <c r="BE99" i="3"/>
  <c r="BF99" i="3" s="1"/>
  <c r="BE95" i="3"/>
  <c r="BF95" i="3" s="1"/>
  <c r="BE91" i="3"/>
  <c r="BE87" i="3"/>
  <c r="BF87" i="3" s="1"/>
  <c r="BE83" i="3"/>
  <c r="BF83" i="3" s="1"/>
  <c r="BE79" i="3"/>
  <c r="BB104" i="3"/>
  <c r="BB92" i="3"/>
  <c r="BB88" i="3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Z101" i="3"/>
  <c r="AZ97" i="3"/>
  <c r="AZ93" i="3"/>
  <c r="AZ89" i="3"/>
  <c r="AZ85" i="3"/>
  <c r="AZ81" i="3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V94" i="3"/>
  <c r="AV90" i="3"/>
  <c r="AU101" i="3"/>
  <c r="AW101" i="3" s="1"/>
  <c r="AU97" i="3"/>
  <c r="AU93" i="3"/>
  <c r="AW93" i="3" s="1"/>
  <c r="AU89" i="3"/>
  <c r="AU85" i="3"/>
  <c r="AW85" i="3" s="1"/>
  <c r="AU81" i="3"/>
  <c r="AW81" i="3" s="1"/>
  <c r="BF91" i="3"/>
  <c r="BF79" i="3"/>
  <c r="BE102" i="3"/>
  <c r="BF102" i="3" s="1"/>
  <c r="BE98" i="3"/>
  <c r="BE94" i="3"/>
  <c r="BE90" i="3"/>
  <c r="BF90" i="3" s="1"/>
  <c r="BE86" i="3"/>
  <c r="BF86" i="3" s="1"/>
  <c r="BE82" i="3"/>
  <c r="BE78" i="3"/>
  <c r="BD103" i="3"/>
  <c r="BD91" i="3"/>
  <c r="BD87" i="3"/>
  <c r="BD83" i="3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Y101" i="3"/>
  <c r="AY97" i="3"/>
  <c r="AY93" i="3"/>
  <c r="AY85" i="3"/>
  <c r="AY81" i="3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W97" i="3"/>
  <c r="AW89" i="3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F98" i="3"/>
  <c r="BF94" i="3"/>
  <c r="BF82" i="3"/>
  <c r="BF78" i="3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104" i="3"/>
  <c r="BC103" i="3"/>
  <c r="BB102" i="3"/>
  <c r="BD100" i="3"/>
  <c r="BC99" i="3"/>
  <c r="BC95" i="3"/>
  <c r="BB94" i="3"/>
  <c r="BD92" i="3"/>
  <c r="BC91" i="3"/>
  <c r="BD88" i="3"/>
  <c r="BC87" i="3"/>
  <c r="BD84" i="3"/>
  <c r="BC83" i="3"/>
  <c r="BC79" i="3"/>
  <c r="BB78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Z104" i="3"/>
  <c r="AZ96" i="3"/>
  <c r="AZ92" i="3"/>
  <c r="AZ88" i="3"/>
  <c r="AZ80" i="3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V97" i="3"/>
  <c r="AV93" i="3"/>
  <c r="AV89" i="3"/>
  <c r="AV81" i="3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N98" i="3"/>
  <c r="AO98" i="3" s="1"/>
  <c r="AN94" i="3"/>
  <c r="AO94" i="3" s="1"/>
  <c r="AN90" i="3"/>
  <c r="AO90" i="3" s="1"/>
  <c r="AN86" i="3"/>
  <c r="AN82" i="3"/>
  <c r="AO82" i="3" s="1"/>
  <c r="AN78" i="3"/>
  <c r="AO78" i="3" s="1"/>
  <c r="AT92" i="3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O102" i="3"/>
  <c r="AO86" i="3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S92" i="3"/>
  <c r="AR87" i="3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R99" i="3"/>
  <c r="AR96" i="3"/>
  <c r="AR92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O100" i="3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L89" i="3"/>
  <c r="AL85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J102" i="3"/>
  <c r="AI101" i="3"/>
  <c r="AJ98" i="3"/>
  <c r="AJ94" i="3"/>
  <c r="AI93" i="3"/>
  <c r="AI85" i="3"/>
  <c r="AJ82" i="3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F95" i="3"/>
  <c r="AF91" i="3"/>
  <c r="AF83" i="3"/>
  <c r="AF79" i="3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AA88" i="3"/>
  <c r="X101" i="3"/>
  <c r="AC101" i="3" s="1"/>
  <c r="X97" i="3"/>
  <c r="Z97" i="3" s="1"/>
  <c r="X93" i="3"/>
  <c r="X89" i="3"/>
  <c r="X85" i="3"/>
  <c r="Z85" i="3" s="1"/>
  <c r="X81" i="3"/>
  <c r="Z81" i="3" s="1"/>
  <c r="U102" i="3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M97" i="3"/>
  <c r="N97" i="3" s="1"/>
  <c r="M93" i="3"/>
  <c r="N93" i="3" s="1"/>
  <c r="M89" i="3"/>
  <c r="M85" i="3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G60" i="3"/>
  <c r="AX59" i="3"/>
  <c r="AZ59" i="3" s="1"/>
  <c r="AG59" i="3"/>
  <c r="E59" i="3"/>
  <c r="AN58" i="3"/>
  <c r="AO58" i="3" s="1"/>
  <c r="AD58" i="3"/>
  <c r="E58" i="3"/>
  <c r="AN57" i="3"/>
  <c r="BA56" i="3"/>
  <c r="AN56" i="3"/>
  <c r="P56" i="3"/>
  <c r="AN55" i="3"/>
  <c r="AC55" i="3"/>
  <c r="AX54" i="3"/>
  <c r="AG54" i="3"/>
  <c r="B54" i="3"/>
  <c r="AU53" i="3"/>
  <c r="AD53" i="3"/>
  <c r="BE52" i="3"/>
  <c r="BF52" i="3" s="1"/>
  <c r="AU52" i="3"/>
  <c r="AG52" i="3"/>
  <c r="AJ52" i="3" s="1"/>
  <c r="E52" i="3"/>
  <c r="BA51" i="3"/>
  <c r="AN51" i="3"/>
  <c r="X51" i="3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K94" i="3"/>
  <c r="K78" i="3"/>
  <c r="J101" i="3"/>
  <c r="K101" i="3" s="1"/>
  <c r="J97" i="3"/>
  <c r="J93" i="3"/>
  <c r="K93" i="3" s="1"/>
  <c r="J89" i="3"/>
  <c r="L89" i="3" s="1"/>
  <c r="J85" i="3"/>
  <c r="K85" i="3" s="1"/>
  <c r="J81" i="3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BE61" i="3"/>
  <c r="AP61" i="3"/>
  <c r="X61" i="3"/>
  <c r="BE60" i="3"/>
  <c r="BF60" i="3" s="1"/>
  <c r="AU60" i="3"/>
  <c r="AV60" i="3" s="1"/>
  <c r="AD60" i="3"/>
  <c r="B60" i="3"/>
  <c r="AU59" i="3"/>
  <c r="AD59" i="3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101" i="3"/>
  <c r="N89" i="3"/>
  <c r="N85" i="3"/>
  <c r="N83" i="3"/>
  <c r="N81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97" i="3"/>
  <c r="L93" i="3"/>
  <c r="L85" i="3"/>
  <c r="L83" i="3"/>
  <c r="L81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J71" i="3"/>
  <c r="AX70" i="3"/>
  <c r="AK70" i="3"/>
  <c r="P70" i="3"/>
  <c r="BE69" i="3"/>
  <c r="AP69" i="3"/>
  <c r="AD69" i="3"/>
  <c r="AF69" i="3" s="1"/>
  <c r="J69" i="3"/>
  <c r="AS68" i="3"/>
  <c r="AN68" i="3"/>
  <c r="AO68" i="3" s="1"/>
  <c r="AC68" i="3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B57" i="3"/>
  <c r="AU56" i="3"/>
  <c r="AD56" i="3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P51" i="3"/>
  <c r="W51" i="3" s="1"/>
  <c r="AX50" i="3"/>
  <c r="AZ50" i="3" s="1"/>
  <c r="AG50" i="3"/>
  <c r="E50" i="3"/>
  <c r="AX49" i="3"/>
  <c r="AG49" i="3"/>
  <c r="D49" i="3"/>
  <c r="AN48" i="3"/>
  <c r="AD48" i="3"/>
  <c r="B48" i="3"/>
  <c r="AP47" i="3"/>
  <c r="AT47" i="3" s="1"/>
  <c r="AC47" i="3"/>
  <c r="I47" i="3"/>
  <c r="B47" i="3"/>
  <c r="H47" i="3" s="1"/>
  <c r="AU46" i="3"/>
  <c r="AD46" i="3"/>
  <c r="BE45" i="3"/>
  <c r="BF45" i="3" s="1"/>
  <c r="AU45" i="3"/>
  <c r="AW45" i="3" s="1"/>
  <c r="P95" i="3"/>
  <c r="P87" i="3"/>
  <c r="Q87" i="3" s="1"/>
  <c r="P81" i="3"/>
  <c r="W81" i="3" s="1"/>
  <c r="O104" i="3"/>
  <c r="O100" i="3"/>
  <c r="O96" i="3"/>
  <c r="O92" i="3"/>
  <c r="O88" i="3"/>
  <c r="O84" i="3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K97" i="3"/>
  <c r="K89" i="3"/>
  <c r="K81" i="3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BC68" i="3"/>
  <c r="AX68" i="3"/>
  <c r="AY68" i="3" s="1"/>
  <c r="AQ68" i="3"/>
  <c r="AK68" i="3"/>
  <c r="AM68" i="3" s="1"/>
  <c r="AA68" i="3"/>
  <c r="B68" i="3"/>
  <c r="F68" i="3" s="1"/>
  <c r="AD67" i="3"/>
  <c r="B66" i="3"/>
  <c r="AU65" i="3"/>
  <c r="AD65" i="3"/>
  <c r="AE65" i="3" s="1"/>
  <c r="BE64" i="3"/>
  <c r="AP64" i="3"/>
  <c r="AD64" i="3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S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P55" i="3"/>
  <c r="Q55" i="3" s="1"/>
  <c r="BA54" i="3"/>
  <c r="AN54" i="3"/>
  <c r="P54" i="3"/>
  <c r="AX53" i="3"/>
  <c r="AG53" i="3"/>
  <c r="B53" i="3"/>
  <c r="AX52" i="3"/>
  <c r="AZ52" i="3" s="1"/>
  <c r="AI52" i="3"/>
  <c r="P52" i="3"/>
  <c r="BD51" i="3"/>
  <c r="AP51" i="3"/>
  <c r="Z51" i="3"/>
  <c r="BE50" i="3"/>
  <c r="BF50" i="3" s="1"/>
  <c r="AU50" i="3"/>
  <c r="AD50" i="3"/>
  <c r="AF50" i="3" s="1"/>
  <c r="B50" i="3"/>
  <c r="AU49" i="3"/>
  <c r="AD49" i="3"/>
  <c r="B49" i="3"/>
  <c r="AX48" i="3"/>
  <c r="AZ48" i="3" s="1"/>
  <c r="Z48" i="3"/>
  <c r="R48" i="3"/>
  <c r="BE47" i="3"/>
  <c r="BF47" i="3" s="1"/>
  <c r="AU47" i="3"/>
  <c r="AV47" i="3" s="1"/>
  <c r="AN47" i="3"/>
  <c r="G47" i="3"/>
  <c r="BE46" i="3"/>
  <c r="AP46" i="3"/>
  <c r="X46" i="3"/>
  <c r="BA45" i="3"/>
  <c r="AS45" i="3"/>
  <c r="AG45" i="3"/>
  <c r="AJ45" i="3" s="1"/>
  <c r="P45" i="3"/>
  <c r="BE44" i="3"/>
  <c r="AN44" i="3"/>
  <c r="AG44" i="3"/>
  <c r="X44" i="3"/>
  <c r="Z44" i="3" s="1"/>
  <c r="B44" i="3"/>
  <c r="AX43" i="3"/>
  <c r="AZ43" i="3" s="1"/>
  <c r="AR43" i="3"/>
  <c r="AD43" i="3"/>
  <c r="AX42" i="3"/>
  <c r="AZ42" i="3" s="1"/>
  <c r="AG42" i="3"/>
  <c r="E42" i="3"/>
  <c r="AX41" i="3"/>
  <c r="AK41" i="3"/>
  <c r="P41" i="3"/>
  <c r="BE40" i="3"/>
  <c r="AP40" i="3"/>
  <c r="AD40" i="3"/>
  <c r="D40" i="3"/>
  <c r="BA39" i="3"/>
  <c r="AU39" i="3"/>
  <c r="AK39" i="3"/>
  <c r="AL39" i="3" s="1"/>
  <c r="AD39" i="3"/>
  <c r="AE39" i="3" s="1"/>
  <c r="BE38" i="3"/>
  <c r="AX38" i="3"/>
  <c r="AG38" i="3"/>
  <c r="BE37" i="3"/>
  <c r="AD37" i="3"/>
  <c r="AX36" i="3"/>
  <c r="AZ36" i="3" s="1"/>
  <c r="AN36" i="3"/>
  <c r="AO36" i="3" s="1"/>
  <c r="M36" i="3"/>
  <c r="N36" i="3" s="1"/>
  <c r="B36" i="3"/>
  <c r="I36" i="3" s="1"/>
  <c r="AU35" i="3"/>
  <c r="AD35" i="3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AX30" i="3"/>
  <c r="AN30" i="3"/>
  <c r="AO30" i="3" s="1"/>
  <c r="AP29" i="3"/>
  <c r="X29" i="3"/>
  <c r="E29" i="3"/>
  <c r="AX28" i="3"/>
  <c r="AG28" i="3"/>
  <c r="BE27" i="3"/>
  <c r="BF27" i="3" s="1"/>
  <c r="AX27" i="3"/>
  <c r="AN27" i="3"/>
  <c r="AG27" i="3"/>
  <c r="X27" i="3"/>
  <c r="BE26" i="3"/>
  <c r="BF26" i="3" s="1"/>
  <c r="AD26" i="3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AX18" i="3"/>
  <c r="AZ18" i="3" s="1"/>
  <c r="AN18" i="3"/>
  <c r="X18" i="3"/>
  <c r="Z18" i="3" s="1"/>
  <c r="BE17" i="3"/>
  <c r="B17" i="3"/>
  <c r="AU16" i="3"/>
  <c r="B16" i="3"/>
  <c r="AU15" i="3"/>
  <c r="AD15" i="3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B11" i="3"/>
  <c r="AU10" i="3"/>
  <c r="AD10" i="3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P44" i="3"/>
  <c r="R44" i="3" s="1"/>
  <c r="BE43" i="3"/>
  <c r="BF43" i="3" s="1"/>
  <c r="AP43" i="3"/>
  <c r="AT43" i="3" s="1"/>
  <c r="X43" i="3"/>
  <c r="BE42" i="3"/>
  <c r="BF42" i="3" s="1"/>
  <c r="AU42" i="3"/>
  <c r="AD42" i="3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G32" i="3"/>
  <c r="AJ32" i="3" s="1"/>
  <c r="X32" i="3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P28" i="3"/>
  <c r="T28" i="3" s="1"/>
  <c r="BD27" i="3"/>
  <c r="AU27" i="3"/>
  <c r="AW27" i="3" s="1"/>
  <c r="AD27" i="3"/>
  <c r="AN26" i="3"/>
  <c r="AO26" i="3" s="1"/>
  <c r="B26" i="3"/>
  <c r="AU25" i="3"/>
  <c r="AG25" i="3"/>
  <c r="B25" i="3"/>
  <c r="AU24" i="3"/>
  <c r="AD24" i="3"/>
  <c r="BE23" i="3"/>
  <c r="AP23" i="3"/>
  <c r="X23" i="3"/>
  <c r="BA22" i="3"/>
  <c r="AN22" i="3"/>
  <c r="P22" i="3"/>
  <c r="AP21" i="3"/>
  <c r="AD21" i="3"/>
  <c r="X21" i="3"/>
  <c r="AC21" i="3" s="1"/>
  <c r="BE20" i="3"/>
  <c r="BF20" i="3" s="1"/>
  <c r="AD20" i="3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J27" i="3"/>
  <c r="Z27" i="3"/>
  <c r="AX26" i="3"/>
  <c r="AY26" i="3" s="1"/>
  <c r="AG26" i="3"/>
  <c r="AJ26" i="3" s="1"/>
  <c r="X26" i="3"/>
  <c r="AC26" i="3" s="1"/>
  <c r="BE25" i="3"/>
  <c r="AP25" i="3"/>
  <c r="AD25" i="3"/>
  <c r="BE24" i="3"/>
  <c r="AP24" i="3"/>
  <c r="X24" i="3"/>
  <c r="BA23" i="3"/>
  <c r="AN23" i="3"/>
  <c r="P23" i="3"/>
  <c r="AX22" i="3"/>
  <c r="AG22" i="3"/>
  <c r="B22" i="3"/>
  <c r="BC21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S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S9" i="3"/>
  <c r="AG9" i="3"/>
  <c r="E9" i="3"/>
  <c r="AX8" i="3"/>
  <c r="AG8" i="3"/>
  <c r="B8" i="3"/>
  <c r="AU7" i="3"/>
  <c r="AD7" i="3"/>
  <c r="AZ6" i="3"/>
  <c r="BE5" i="3"/>
  <c r="BF44" i="3"/>
  <c r="AX44" i="3"/>
  <c r="AZ44" i="3" s="1"/>
  <c r="AO44" i="3"/>
  <c r="AH44" i="3"/>
  <c r="Y44" i="3"/>
  <c r="AY43" i="3"/>
  <c r="AS43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AV39" i="3"/>
  <c r="P39" i="3"/>
  <c r="B39" i="3"/>
  <c r="BA38" i="3"/>
  <c r="BC38" i="3" s="1"/>
  <c r="AN38" i="3"/>
  <c r="AA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X34" i="3"/>
  <c r="AB34" i="3" s="1"/>
  <c r="BA33" i="3"/>
  <c r="AN33" i="3"/>
  <c r="P33" i="3"/>
  <c r="BD32" i="3"/>
  <c r="AU32" i="3"/>
  <c r="AW32" i="3" s="1"/>
  <c r="Z32" i="3"/>
  <c r="P32" i="3"/>
  <c r="Q32" i="3" s="1"/>
  <c r="BA31" i="3"/>
  <c r="AN31" i="3"/>
  <c r="AD31" i="3"/>
  <c r="AE31" i="3" s="1"/>
  <c r="Y31" i="3"/>
  <c r="BF30" i="3"/>
  <c r="AZ30" i="3"/>
  <c r="AP30" i="3"/>
  <c r="AD30" i="3"/>
  <c r="BE29" i="3"/>
  <c r="BF29" i="3" s="1"/>
  <c r="AU29" i="3"/>
  <c r="AD29" i="3"/>
  <c r="AF29" i="3" s="1"/>
  <c r="BA28" i="3"/>
  <c r="AN28" i="3"/>
  <c r="AZ27" i="3"/>
  <c r="AO27" i="3"/>
  <c r="AI27" i="3"/>
  <c r="Y27" i="3"/>
  <c r="P27" i="3"/>
  <c r="T27" i="3" s="1"/>
  <c r="B27" i="3"/>
  <c r="BA26" i="3"/>
  <c r="BC26" i="3" s="1"/>
  <c r="AU26" i="3"/>
  <c r="AP26" i="3"/>
  <c r="AS26" i="3" s="1"/>
  <c r="AE26" i="3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BB21" i="3"/>
  <c r="AX21" i="3"/>
  <c r="AY21" i="3" s="1"/>
  <c r="AH21" i="3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BF18" i="3"/>
  <c r="AY18" i="3"/>
  <c r="AP18" i="3"/>
  <c r="AI18" i="3"/>
  <c r="Y18" i="3"/>
  <c r="O18" i="3"/>
  <c r="B18" i="3"/>
  <c r="AU17" i="3"/>
  <c r="AG17" i="3"/>
  <c r="P17" i="3"/>
  <c r="AX16" i="3"/>
  <c r="AG16" i="3"/>
  <c r="P16" i="3"/>
  <c r="AX15" i="3"/>
  <c r="AG15" i="3"/>
  <c r="B15" i="3"/>
  <c r="AQ14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Y9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AD4" i="3"/>
  <c r="AF4" i="3" s="1"/>
  <c r="AP5" i="3"/>
  <c r="AQ5" i="3" s="1"/>
  <c r="BA4" i="3"/>
  <c r="BC4" i="3" s="1"/>
  <c r="P4" i="3"/>
  <c r="AH36" i="3"/>
  <c r="BD43" i="3"/>
  <c r="BD52" i="3"/>
  <c r="W58" i="3"/>
  <c r="R68" i="3"/>
  <c r="AR68" i="3"/>
  <c r="AV27" i="3"/>
  <c r="AV48" i="3"/>
  <c r="AR47" i="3"/>
  <c r="R57" i="3"/>
  <c r="AA58" i="3"/>
  <c r="V68" i="3"/>
  <c r="G36" i="3"/>
  <c r="AS17" i="3"/>
  <c r="S28" i="3"/>
  <c r="T51" i="3"/>
  <c r="AY59" i="3"/>
  <c r="AA34" i="3"/>
  <c r="AI45" i="3"/>
  <c r="AH68" i="3"/>
  <c r="AQ37" i="3"/>
  <c r="W57" i="3"/>
  <c r="D68" i="3"/>
  <c r="Z68" i="3"/>
  <c r="AI21" i="3"/>
  <c r="AY29" i="3"/>
  <c r="AY36" i="3"/>
  <c r="BB52" i="3"/>
  <c r="Z38" i="3"/>
  <c r="AH52" i="3"/>
  <c r="R58" i="3"/>
  <c r="AB58" i="3"/>
  <c r="AI26" i="3"/>
  <c r="BC29" i="3"/>
  <c r="AY34" i="3"/>
  <c r="AS37" i="3"/>
  <c r="AV45" i="3"/>
  <c r="Y58" i="3"/>
  <c r="AL68" i="3"/>
  <c r="AR39" i="3"/>
  <c r="AC58" i="3"/>
  <c r="M68" i="3"/>
  <c r="O68" i="3" s="1"/>
  <c r="M67" i="3"/>
  <c r="M66" i="3"/>
  <c r="M65" i="3"/>
  <c r="AF55" i="3"/>
  <c r="AF56" i="3"/>
  <c r="AF40" i="3"/>
  <c r="AF25" i="3"/>
  <c r="AE59" i="3"/>
  <c r="AF24" i="3"/>
  <c r="AE58" i="3"/>
  <c r="AF42" i="3"/>
  <c r="AF27" i="3"/>
  <c r="AE11" i="3"/>
  <c r="AE71" i="3"/>
  <c r="AF53" i="3"/>
  <c r="AF37" i="3"/>
  <c r="AF30" i="3"/>
  <c r="AE76" i="3"/>
  <c r="AF26" i="3"/>
  <c r="AF70" i="3"/>
  <c r="AF21" i="3"/>
  <c r="AE74" i="3"/>
  <c r="AF51" i="3"/>
  <c r="AE35" i="3"/>
  <c r="AE20" i="3"/>
  <c r="AE72" i="3"/>
  <c r="AF54" i="3"/>
  <c r="AF38" i="3"/>
  <c r="AE7" i="3"/>
  <c r="AF35" i="3"/>
  <c r="AE67" i="3"/>
  <c r="AF49" i="3"/>
  <c r="AF33" i="3"/>
  <c r="AF18" i="3"/>
  <c r="AF46" i="3"/>
  <c r="AF57" i="3"/>
  <c r="AE10" i="3"/>
  <c r="AF66" i="3"/>
  <c r="AF48" i="3"/>
  <c r="AF68" i="3"/>
  <c r="AF34" i="3"/>
  <c r="AF62" i="3"/>
  <c r="AF45" i="3"/>
  <c r="AF61" i="3"/>
  <c r="AF44" i="3"/>
  <c r="AF28" i="3"/>
  <c r="AE43" i="3"/>
  <c r="AF60" i="3"/>
  <c r="AE64" i="3"/>
  <c r="AE15" i="3"/>
  <c r="AF41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G5" i="3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E102" i="3" l="1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AG74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<sst xmlns="http://schemas.openxmlformats.org/spreadsheetml/2006/main" count="15731" uniqueCount="2423">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</sst>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1" sqref="A11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3" t="s">
        <v>100</v>
      </c>
      <c r="C1" s="223"/>
      <c r="D1" s="223"/>
      <c r="E1" s="223"/>
      <c r="F1" s="223"/>
      <c r="G1" s="223"/>
      <c r="H1" s="223"/>
      <c r="I1" s="224"/>
      <c r="J1" s="227" t="s">
        <v>1294</v>
      </c>
      <c r="K1" s="228"/>
      <c r="L1" s="229"/>
      <c r="M1" s="227" t="s">
        <v>1295</v>
      </c>
      <c r="N1" s="228"/>
      <c r="O1" s="229"/>
      <c r="P1" s="222" t="s">
        <v>99</v>
      </c>
      <c r="Q1" s="223"/>
      <c r="R1" s="223"/>
      <c r="S1" s="223"/>
      <c r="T1" s="223"/>
      <c r="U1" s="223"/>
      <c r="V1" s="223"/>
      <c r="W1" s="224"/>
      <c r="X1" s="222" t="s">
        <v>98</v>
      </c>
      <c r="Y1" s="223"/>
      <c r="Z1" s="223"/>
      <c r="AA1" s="223"/>
      <c r="AB1" s="223"/>
      <c r="AC1" s="224"/>
      <c r="AD1" s="222" t="s">
        <v>2013</v>
      </c>
      <c r="AE1" s="223"/>
      <c r="AF1" s="224"/>
      <c r="AG1" s="222" t="s">
        <v>97</v>
      </c>
      <c r="AH1" s="223"/>
      <c r="AI1" s="223"/>
      <c r="AJ1" s="224"/>
      <c r="AK1" s="227" t="s">
        <v>1292</v>
      </c>
      <c r="AL1" s="228"/>
      <c r="AM1" s="229"/>
      <c r="AN1" s="227" t="s">
        <v>1293</v>
      </c>
      <c r="AO1" s="229"/>
      <c r="AP1" s="222" t="s">
        <v>96</v>
      </c>
      <c r="AQ1" s="223"/>
      <c r="AR1" s="223"/>
      <c r="AS1" s="223"/>
      <c r="AT1" s="224"/>
      <c r="AU1" s="228" t="s">
        <v>95</v>
      </c>
      <c r="AV1" s="228"/>
      <c r="AW1" s="229"/>
      <c r="AX1" s="222" t="s">
        <v>1296</v>
      </c>
      <c r="AY1" s="223"/>
      <c r="AZ1" s="224"/>
      <c r="BA1" s="222" t="s">
        <v>1297</v>
      </c>
      <c r="BB1" s="223"/>
      <c r="BC1" s="223"/>
      <c r="BD1" s="224"/>
      <c r="BE1" s="227" t="s">
        <v>94</v>
      </c>
      <c r="BF1" s="229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3" t="s">
        <v>93</v>
      </c>
      <c r="BM1" s="224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574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463</v>
      </c>
      <c r="BK2" s="48">
        <f>(9+2+8+6+3+2+1+4+2+2+3+1)*59</f>
        <v>2537</v>
      </c>
      <c r="BL2" s="232"/>
      <c r="BM2" s="233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0.22625147812376822</v>
      </c>
      <c r="BJ3" s="204" t="s">
        <v>1745</v>
      </c>
      <c r="BK3" s="205" t="str">
        <f>CONCATENATE(ROUND(($BI$2+$BJ$2)/$BK$2,3)*100,"%*")</f>
        <v>40.9%*</v>
      </c>
      <c r="BL3" s="206" t="s">
        <v>2419</v>
      </c>
      <c r="BM3" s="207" t="s">
        <v>2418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List'!$A$14:$H$2841,2,FALSE)),"+","")</f>
        <v/>
      </c>
      <c r="C4" s="57" t="str">
        <f>IF(ISTEXT(VLOOKUP(CONCATENATE($A4,"_",C$3),'Unit List'!$A$14:$H$2841,2,FALSE)),"X",$B4)</f>
        <v/>
      </c>
      <c r="D4" s="58" t="str">
        <f>IF(ISTEXT(VLOOKUP(CONCATENATE($A4,"_",D$3),'Unit List'!$A$14:$H$2841,2,FALSE)),"X",$B4)</f>
        <v/>
      </c>
      <c r="E4" s="51" t="str">
        <f>IF(ISTEXT(VLOOKUP(CONCATENATE($A4,"_",E$3),'Unit List'!$A$14:$H$2841,2,FALSE)),"X",$B4)</f>
        <v/>
      </c>
      <c r="F4" s="58" t="str">
        <f>IF(ISTEXT(VLOOKUP(CONCATENATE($A4,"_",F$3),'Unit List'!$A$14:$H$2841,2,FALSE)),"X",$B4)</f>
        <v/>
      </c>
      <c r="G4" s="58" t="str">
        <f>IF(ISTEXT(VLOOKUP(CONCATENATE($A4,"_",G$3),'Unit List'!$A$14:$H$2841,2,FALSE)),"X",$B4)</f>
        <v/>
      </c>
      <c r="H4" s="58" t="str">
        <f>IF(ISTEXT(VLOOKUP(CONCATENATE($A4,"_",H$3),'Unit List'!$A$14:$H$2841,2,FALSE)),"X",$B4)</f>
        <v/>
      </c>
      <c r="I4" s="53" t="str">
        <f>IF(ISTEXT(VLOOKUP(CONCATENATE($A4,"_",I$3),'Unit List'!$A$14:$H$2841,2,FALSE)),"X",$B4)</f>
        <v/>
      </c>
      <c r="J4" s="172" t="str">
        <f>IF(ISTEXT(VLOOKUP(CONCATENATE($A4,"_",J$3),'Unit List'!$A$14:$H$2841,2,FALSE)),"+","")</f>
        <v/>
      </c>
      <c r="K4" s="51" t="str">
        <f>IF(ISTEXT(VLOOKUP(CONCATENATE($A4,"_",K$3),'Unit List'!$A$14:$H$2841,2,FALSE)),"X",$J4)</f>
        <v/>
      </c>
      <c r="L4" s="59" t="str">
        <f>IF(ISTEXT(VLOOKUP(CONCATENATE($A4,"_",L$3),'Unit List'!$A$14:$H$2841,2,FALSE)),"X",$J4)</f>
        <v/>
      </c>
      <c r="M4" s="172" t="str">
        <f>IF(ISTEXT(VLOOKUP(CONCATENATE($A4,"_",M$3),'Unit List'!$A$14:$H$2841,2,FALSE)),"+","")</f>
        <v/>
      </c>
      <c r="N4" s="51" t="str">
        <f>IF(ISTEXT(VLOOKUP(CONCATENATE($A4,"_",N$3),'Unit List'!$A$14:$H$2841,2,FALSE)),"X",$M4)</f>
        <v/>
      </c>
      <c r="O4" s="61" t="str">
        <f>IF(ISTEXT(VLOOKUP(CONCATENATE($A4,"_",O$3),'Unit List'!$A$14:$H$2841,2,FALSE)),"X",$M4)</f>
        <v/>
      </c>
      <c r="P4" s="172" t="str">
        <f>IF(ISTEXT(VLOOKUP(CONCATENATE($A4,"_",P$3),'Unit List'!$A$14:$H$2841,2,FALSE)),"+","")</f>
        <v/>
      </c>
      <c r="Q4" s="51" t="str">
        <f>IF(ISTEXT(VLOOKUP(CONCATENATE($A4,"_",Q$3),'Unit List'!$A$14:$H$2841,2,FALSE)),"X",$P4)</f>
        <v/>
      </c>
      <c r="R4" s="51" t="str">
        <f>IF(ISTEXT(VLOOKUP(CONCATENATE($A4,"_",R$3),'Unit List'!$A$14:$H$2841,2,FALSE)),"X",$P4)</f>
        <v/>
      </c>
      <c r="S4" s="51" t="str">
        <f>IF(ISTEXT(VLOOKUP(CONCATENATE($A4,"_",S$3),'Unit List'!$A$14:$H$2841,2,FALSE)),"X",$P4)</f>
        <v/>
      </c>
      <c r="T4" s="52" t="str">
        <f>IF(ISTEXT(VLOOKUP(CONCATENATE($A4,"_",T$3),'Unit List'!$A$14:$H$2841,2,FALSE)),"X",$P4)</f>
        <v/>
      </c>
      <c r="U4" s="60" t="str">
        <f>IF(ISTEXT(VLOOKUP(CONCATENATE($A4,"_",U$3),'Unit List'!$A$14:$H$2841,2,FALSE)),"X",$P4)</f>
        <v/>
      </c>
      <c r="V4" s="51" t="str">
        <f>IF(ISTEXT(VLOOKUP(CONCATENATE($A4,"_",V$3),'Unit List'!$A$14:$H$2841,2,FALSE)),"X",$P4)</f>
        <v/>
      </c>
      <c r="W4" s="53" t="str">
        <f>IF(ISTEXT(VLOOKUP(CONCATENATE($A4,"_",W$3),'Unit List'!$A$14:$H$2841,2,FALSE)),"X",$P4)</f>
        <v/>
      </c>
      <c r="X4" s="172" t="str">
        <f>IF(ISTEXT(VLOOKUP(CONCATENATE($A4,"_",X$3),'Unit List'!$A$14:$H$2841,2,FALSE)),"+","")</f>
        <v/>
      </c>
      <c r="Y4" s="51" t="str">
        <f>IF(ISTEXT(VLOOKUP(CONCATENATE($A4,"_",Y$3),'Unit List'!$A$14:$H$2841,2,FALSE)),"X",$X4)</f>
        <v/>
      </c>
      <c r="Z4" s="51" t="str">
        <f>IF(ISTEXT(VLOOKUP(CONCATENATE($A4,"_",Z$3),'Unit List'!$A$14:$H$2841,2,FALSE)),"X",$X4)</f>
        <v/>
      </c>
      <c r="AA4" s="51" t="str">
        <f>IF(ISTEXT(VLOOKUP(CONCATENATE($A4,"_",AA$3),'Unit List'!$A$14:$H$2841,2,FALSE)),"X",$X4)</f>
        <v/>
      </c>
      <c r="AB4" s="51" t="str">
        <f>IF(ISTEXT(VLOOKUP(CONCATENATE($A4,"_",AB$3),'Unit List'!$A$14:$H$2841,2,FALSE)),"X",$X4)</f>
        <v/>
      </c>
      <c r="AC4" s="62" t="str">
        <f>IF(ISTEXT(VLOOKUP(CONCATENATE($A4,"_",AC$3),'Unit List'!$A$14:$H$2841,2,FALSE)),"X",$X4)</f>
        <v/>
      </c>
      <c r="AD4" s="172" t="str">
        <f>IF(ISTEXT(VLOOKUP(CONCATENATE($A4,"_",AD$3),'Unit List'!$A$14:$H$2841,2,FALSE)),"+","")</f>
        <v/>
      </c>
      <c r="AE4" s="51" t="str">
        <f>IF(ISTEXT(VLOOKUP(CONCATENATE($A4,"_",AE$3),'Unit List'!$A$14:$H$2841,2,FALSE)),"X",$AD4)</f>
        <v/>
      </c>
      <c r="AF4" s="51" t="str">
        <f>IF(ISTEXT(VLOOKUP(CONCATENATE($A4,"_",AF$3),'Unit List'!$A$14:$H$2841,2,FALSE)),"X",$AD4)</f>
        <v/>
      </c>
      <c r="AG4" s="172" t="str">
        <f>IF(ISTEXT(VLOOKUP(CONCATENATE($A4,"_",AG$3),'Unit List'!$A$14:$H$2841,2,FALSE)),"+","")</f>
        <v/>
      </c>
      <c r="AH4" s="51" t="str">
        <f>IF(ISTEXT(VLOOKUP(CONCATENATE($A4,"_",AH$3),'Unit List'!$A$14:$H$2841,2,FALSE)),"X",$AG4)</f>
        <v/>
      </c>
      <c r="AI4" s="51" t="str">
        <f>IF(ISTEXT(VLOOKUP(CONCATENATE($A4,"_",AI$3),'Unit List'!$A$14:$H$2841,2,FALSE)),"X",$AG4)</f>
        <v/>
      </c>
      <c r="AJ4" s="53" t="str">
        <f>IF(ISTEXT(VLOOKUP(CONCATENATE($A4,"_",AJ$3),'Unit List'!$A$14:$H$2841,2,FALSE)),"X",$AG4)</f>
        <v/>
      </c>
      <c r="AK4" s="172" t="str">
        <f>IF(ISTEXT(VLOOKUP(CONCATENATE($A4,"_",AK$3),'Unit List'!$A$14:$H$2841,2,FALSE)),"+","")</f>
        <v/>
      </c>
      <c r="AL4" s="63" t="str">
        <f>IF(ISTEXT(VLOOKUP(CONCATENATE($A4,"_",AL$3),'Unit List'!$A$14:$H$2841,2,FALSE)),"X",$AK4)</f>
        <v/>
      </c>
      <c r="AM4" s="53" t="str">
        <f>IF(ISTEXT(VLOOKUP(CONCATENATE($A4,"_",AM$3),'Unit List'!$A$14:$H$2841,2,FALSE)),"X",$AK4)</f>
        <v/>
      </c>
      <c r="AN4" s="125" t="str">
        <f>IF(ISTEXT(VLOOKUP(CONCATENATE($A4,"_",AN$3),'Unit List'!$A$14:$H$2841,2,FALSE)),"+","")</f>
        <v/>
      </c>
      <c r="AO4" s="53" t="str">
        <f>IF(ISTEXT(VLOOKUP(CONCATENATE($A4,"_",AO$3),'Unit List'!$A$14:$H$2841,2,FALSE)),"X",$AN4)</f>
        <v/>
      </c>
      <c r="AP4" s="172" t="str">
        <f>IF(ISTEXT(VLOOKUP(CONCATENATE($A4,"_",AP$3),'Unit List'!$A$14:$H$2841,2,FALSE)),"+","")</f>
        <v/>
      </c>
      <c r="AQ4" s="51" t="str">
        <f>IF(ISTEXT(VLOOKUP(CONCATENATE($A4,"_",AQ$3),'Unit List'!$A$14:$H$2841,2,FALSE)),"X",$AP4)</f>
        <v/>
      </c>
      <c r="AR4" s="60" t="str">
        <f>IF(ISTEXT(VLOOKUP(CONCATENATE($A4,"_",AR$3),'Unit List'!$A$14:$H$2841,2,FALSE)),"X",$AP4)</f>
        <v/>
      </c>
      <c r="AS4" s="51" t="str">
        <f>IF(ISTEXT(VLOOKUP(CONCATENATE($A4,"_",AS$3),'Unit List'!$A$14:$H$2841,2,FALSE)),"X",$AP4)</f>
        <v/>
      </c>
      <c r="AT4" s="53" t="str">
        <f>IF(ISTEXT(VLOOKUP(CONCATENATE($A4,"_",AT$3),'Unit List'!$A$14:$H$2841,2,FALSE)),"X",$AP4)</f>
        <v/>
      </c>
      <c r="AU4" s="124" t="str">
        <f>IF(ISTEXT(VLOOKUP(CONCATENATE($A4,"_",AU$3),'Unit List'!$A$14:$H$2841,2,FALSE)),"+","")</f>
        <v/>
      </c>
      <c r="AV4" s="51" t="str">
        <f>IF(ISTEXT(VLOOKUP(CONCATENATE($A4,"_",AV$3),'Unit List'!$A$14:$H$2841,2,FALSE)),"X",$AU4)</f>
        <v/>
      </c>
      <c r="AW4" s="53" t="str">
        <f>IF(ISTEXT(VLOOKUP(CONCATENATE($A4,"_",AW$3),'Unit List'!$A$14:$H$2841,2,FALSE)),"X",$AU4)</f>
        <v/>
      </c>
      <c r="AX4" s="172" t="str">
        <f>IF(ISTEXT(VLOOKUP(CONCATENATE($A4,"_",AX$3),'Unit List'!$A$14:$H$2841,2,FALSE)),"+","")</f>
        <v/>
      </c>
      <c r="AY4" s="51" t="str">
        <f>IF(ISTEXT(VLOOKUP(CONCATENATE($A4,"_",AY$3),'Unit List'!$A$14:$H$2841,2,FALSE)),"X",$AX4)</f>
        <v/>
      </c>
      <c r="AZ4" s="53" t="str">
        <f>IF(ISTEXT(VLOOKUP(CONCATENATE($A4,"_",AZ$3),'Unit List'!$A$14:$H$2841,2,FALSE)),"X",$AX4)</f>
        <v/>
      </c>
      <c r="BA4" s="182" t="str">
        <f>IF(ISTEXT(VLOOKUP(CONCATENATE($A4,"_",BA$3),'Unit List'!$A$14:$H$2841,2,FALSE)),"+","")</f>
        <v/>
      </c>
      <c r="BB4" s="51" t="str">
        <f>IF(ISTEXT(VLOOKUP(CONCATENATE($A4,"_",BB$3),'Unit List'!$A$14:$H$2841,2,FALSE)),"X",$BA4)</f>
        <v/>
      </c>
      <c r="BC4" s="51" t="str">
        <f>IF(ISTEXT(VLOOKUP(CONCATENATE($A4,"_",BC$3),'Unit List'!$A$14:$H$2841,2,FALSE)),"X",$BA4)</f>
        <v/>
      </c>
      <c r="BD4" s="53" t="str">
        <f>IF(ISTEXT(VLOOKUP(CONCATENATE($A4,"_",BD$3),'Unit List'!$A$14:$H$2841,2,FALSE)),"X",$BA4)</f>
        <v/>
      </c>
      <c r="BE4" s="125" t="str">
        <f>IF(ISTEXT(VLOOKUP(CONCATENATE($A4,"_",BE$3),'Unit List'!$A$14:$H$2841,2,FALSE)),"+","")</f>
        <v/>
      </c>
      <c r="BF4" s="62" t="str">
        <f>IF(ISTEXT(VLOOKUP(CONCATENATE($A4,"_",BF$3),'Unit List'!$A$14:$H$2841,2,FALSE)),"X",$BE4)</f>
        <v/>
      </c>
      <c r="BG4" s="64"/>
      <c r="BH4" s="65" t="s">
        <v>0</v>
      </c>
      <c r="BI4" s="230"/>
      <c r="BJ4" s="231"/>
      <c r="BK4" s="231"/>
      <c r="BL4" s="238" t="s">
        <v>1747</v>
      </c>
      <c r="BM4" s="239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List'!$A$14:$H$2841,2,FALSE)),"+","")</f>
        <v/>
      </c>
      <c r="C5" s="57" t="str">
        <f>IF(ISTEXT(VLOOKUP(CONCATENATE($A5,"_",C$3),'Unit List'!$A$14:$H$2841,2,FALSE)),"X",$B5)</f>
        <v/>
      </c>
      <c r="D5" s="58" t="str">
        <f>IF(ISTEXT(VLOOKUP(CONCATENATE($A5,"_",D$3),'Unit List'!$A$14:$H$2841,2,FALSE)),"X",$B5)</f>
        <v/>
      </c>
      <c r="E5" s="51" t="str">
        <f>IF(ISTEXT(VLOOKUP(CONCATENATE($A5,"_",E$3),'Unit List'!$A$14:$H$2841,2,FALSE)),"X",$B5)</f>
        <v/>
      </c>
      <c r="F5" s="58" t="str">
        <f>IF(ISTEXT(VLOOKUP(CONCATENATE($A5,"_",F$3),'Unit List'!$A$14:$H$2841,2,FALSE)),"X",$B5)</f>
        <v/>
      </c>
      <c r="G5" s="58" t="str">
        <f>IF(ISTEXT(VLOOKUP(CONCATENATE($A5,"_",G$3),'Unit List'!$A$14:$H$2841,2,FALSE)),"X",$B5)</f>
        <v/>
      </c>
      <c r="H5" s="58" t="str">
        <f>IF(ISTEXT(VLOOKUP(CONCATENATE($A5,"_",H$3),'Unit List'!$A$14:$H$2841,2,FALSE)),"X",$B5)</f>
        <v/>
      </c>
      <c r="I5" s="53" t="str">
        <f>IF(ISTEXT(VLOOKUP(CONCATENATE($A5,"_",I$3),'Unit List'!$A$14:$H$2841,2,FALSE)),"X",$B5)</f>
        <v/>
      </c>
      <c r="J5" s="172" t="str">
        <f>IF(ISTEXT(VLOOKUP(CONCATENATE($A5,"_",J$3),'Unit List'!$A$14:$H$2841,2,FALSE)),"+","")</f>
        <v/>
      </c>
      <c r="K5" s="51" t="str">
        <f>IF(ISTEXT(VLOOKUP(CONCATENATE($A5,"_",K$3),'Unit List'!$A$14:$H$2841,2,FALSE)),"X",$J5)</f>
        <v/>
      </c>
      <c r="L5" s="59" t="str">
        <f>IF(ISTEXT(VLOOKUP(CONCATENATE($A5,"_",L$3),'Unit List'!$A$14:$H$2841,2,FALSE)),"X",$J5)</f>
        <v/>
      </c>
      <c r="M5" s="172" t="str">
        <f>IF(ISTEXT(VLOOKUP(CONCATENATE($A5,"_",M$3),'Unit List'!$A$14:$H$2841,2,FALSE)),"+","")</f>
        <v/>
      </c>
      <c r="N5" s="60" t="str">
        <f>IF(ISTEXT(VLOOKUP(CONCATENATE($A5,"_",N$3),'Unit List'!$A$14:$H$2841,2,FALSE)),"X",$M5)</f>
        <v/>
      </c>
      <c r="O5" s="61" t="str">
        <f>IF(ISTEXT(VLOOKUP(CONCATENATE($A5,"_",O$3),'Unit List'!$A$14:$H$2841,2,FALSE)),"X",$M5)</f>
        <v/>
      </c>
      <c r="P5" s="172" t="str">
        <f>IF(ISTEXT(VLOOKUP(CONCATENATE($A5,"_",P$3),'Unit List'!$A$14:$H$2841,2,FALSE)),"+","")</f>
        <v/>
      </c>
      <c r="Q5" s="51" t="str">
        <f>IF(ISTEXT(VLOOKUP(CONCATENATE($A5,"_",Q$3),'Unit List'!$A$14:$H$2841,2,FALSE)),"X",$P5)</f>
        <v/>
      </c>
      <c r="R5" s="51" t="str">
        <f>IF(ISTEXT(VLOOKUP(CONCATENATE($A5,"_",R$3),'Unit List'!$A$14:$H$2841,2,FALSE)),"X",$P5)</f>
        <v/>
      </c>
      <c r="S5" s="51" t="str">
        <f>IF(ISTEXT(VLOOKUP(CONCATENATE($A5,"_",S$3),'Unit List'!$A$14:$H$2841,2,FALSE)),"X",$P5)</f>
        <v/>
      </c>
      <c r="T5" s="52" t="str">
        <f>IF(ISTEXT(VLOOKUP(CONCATENATE($A5,"_",T$3),'Unit List'!$A$14:$H$2841,2,FALSE)),"X",$P5)</f>
        <v/>
      </c>
      <c r="U5" s="60" t="str">
        <f>IF(ISTEXT(VLOOKUP(CONCATENATE($A5,"_",U$3),'Unit List'!$A$14:$H$2841,2,FALSE)),"X",$P5)</f>
        <v/>
      </c>
      <c r="V5" s="60" t="str">
        <f>IF(ISTEXT(VLOOKUP(CONCATENATE($A5,"_",V$3),'Unit List'!$A$14:$H$2841,2,FALSE)),"X",$P5)</f>
        <v/>
      </c>
      <c r="W5" s="53" t="str">
        <f>IF(ISTEXT(VLOOKUP(CONCATENATE($A5,"_",W$3),'Unit List'!$A$14:$H$2841,2,FALSE)),"X",$P5)</f>
        <v/>
      </c>
      <c r="X5" s="172" t="str">
        <f>IF(ISTEXT(VLOOKUP(CONCATENATE($A5,"_",X$3),'Unit List'!$A$14:$H$2841,2,FALSE)),"+","")</f>
        <v/>
      </c>
      <c r="Y5" s="51" t="str">
        <f>IF(ISTEXT(VLOOKUP(CONCATENATE($A5,"_",Y$3),'Unit List'!$A$14:$H$2841,2,FALSE)),"X",$X5)</f>
        <v/>
      </c>
      <c r="Z5" s="51" t="str">
        <f>IF(ISTEXT(VLOOKUP(CONCATENATE($A5,"_",Z$3),'Unit List'!$A$14:$H$2841,2,FALSE)),"X",$X5)</f>
        <v/>
      </c>
      <c r="AA5" s="51" t="str">
        <f>IF(ISTEXT(VLOOKUP(CONCATENATE($A5,"_",AA$3),'Unit List'!$A$14:$H$2841,2,FALSE)),"X",$X5)</f>
        <v/>
      </c>
      <c r="AB5" s="51" t="str">
        <f>IF(ISTEXT(VLOOKUP(CONCATENATE($A5,"_",AB$3),'Unit List'!$A$14:$H$2841,2,FALSE)),"X",$X5)</f>
        <v/>
      </c>
      <c r="AC5" s="62" t="str">
        <f>IF(ISTEXT(VLOOKUP(CONCATENATE($A5,"_",AC$3),'Unit List'!$A$14:$H$2841,2,FALSE)),"X",$X5)</f>
        <v/>
      </c>
      <c r="AD5" s="172" t="str">
        <f>IF(ISTEXT(VLOOKUP(CONCATENATE($A5,"_",AD$3),'Unit List'!$A$14:$H$2841,2,FALSE)),"+","")</f>
        <v/>
      </c>
      <c r="AE5" s="51" t="str">
        <f>IF(ISTEXT(VLOOKUP(CONCATENATE($A5,"_",AE$3),'Unit List'!$A$14:$H$2841,2,FALSE)),"X",$AD5)</f>
        <v/>
      </c>
      <c r="AF5" s="51" t="str">
        <f>IF(ISTEXT(VLOOKUP(CONCATENATE($A5,"_",AF$3),'Unit List'!$A$14:$H$2841,2,FALSE)),"X",$AD5)</f>
        <v/>
      </c>
      <c r="AG5" s="172" t="str">
        <f>IF(ISTEXT(VLOOKUP(CONCATENATE($A5,"_",AG$3),'Unit List'!$A$14:$H$2841,2,FALSE)),"+","")</f>
        <v/>
      </c>
      <c r="AH5" s="51" t="str">
        <f>IF(ISTEXT(VLOOKUP(CONCATENATE($A5,"_",AH$3),'Unit List'!$A$14:$H$2841,2,FALSE)),"X",$AG5)</f>
        <v/>
      </c>
      <c r="AI5" s="51" t="str">
        <f>IF(ISTEXT(VLOOKUP(CONCATENATE($A5,"_",AI$3),'Unit List'!$A$14:$H$2841,2,FALSE)),"X",$AG5)</f>
        <v/>
      </c>
      <c r="AJ5" s="53" t="str">
        <f>IF(ISTEXT(VLOOKUP(CONCATENATE($A5,"_",AJ$3),'Unit List'!$A$14:$H$2841,2,FALSE)),"X",$AG5)</f>
        <v/>
      </c>
      <c r="AK5" s="172" t="str">
        <f>IF(ISTEXT(VLOOKUP(CONCATENATE($A5,"_",AK$3),'Unit List'!$A$14:$H$2841,2,FALSE)),"+","")</f>
        <v/>
      </c>
      <c r="AL5" s="63" t="str">
        <f>IF(ISTEXT(VLOOKUP(CONCATENATE($A5,"_",AL$3),'Unit List'!$A$14:$H$2841,2,FALSE)),"X",$AK5)</f>
        <v/>
      </c>
      <c r="AM5" s="53" t="str">
        <f>IF(ISTEXT(VLOOKUP(CONCATENATE($A5,"_",AM$3),'Unit List'!$A$14:$H$2841,2,FALSE)),"X",$AK5)</f>
        <v/>
      </c>
      <c r="AN5" s="125" t="str">
        <f>IF(ISTEXT(VLOOKUP(CONCATENATE($A5,"_",AN$3),'Unit List'!$A$14:$H$2841,2,FALSE)),"+","")</f>
        <v/>
      </c>
      <c r="AO5" s="53" t="str">
        <f>IF(ISTEXT(VLOOKUP(CONCATENATE($A5,"_",AO$3),'Unit List'!$A$14:$H$2841,2,FALSE)),"X",$AN5)</f>
        <v/>
      </c>
      <c r="AP5" s="172" t="str">
        <f>IF(ISTEXT(VLOOKUP(CONCATENATE($A5,"_",AP$3),'Unit List'!$A$14:$H$2841,2,FALSE)),"+","")</f>
        <v/>
      </c>
      <c r="AQ5" s="60" t="str">
        <f>IF(ISTEXT(VLOOKUP(CONCATENATE($A5,"_",AQ$3),'Unit List'!$A$14:$H$2841,2,FALSE)),"X",$AP5)</f>
        <v/>
      </c>
      <c r="AR5" s="60" t="str">
        <f>IF(ISTEXT(VLOOKUP(CONCATENATE($A5,"_",AR$3),'Unit List'!$A$14:$H$2841,2,FALSE)),"X",$AP5)</f>
        <v/>
      </c>
      <c r="AS5" s="51" t="str">
        <f>IF(ISTEXT(VLOOKUP(CONCATENATE($A5,"_",AS$3),'Unit List'!$A$14:$H$2841,2,FALSE)),"X",$AP5)</f>
        <v/>
      </c>
      <c r="AT5" s="53" t="str">
        <f>IF(ISTEXT(VLOOKUP(CONCATENATE($A5,"_",AT$3),'Unit List'!$A$14:$H$2841,2,FALSE)),"X",$AP5)</f>
        <v/>
      </c>
      <c r="AU5" s="124" t="str">
        <f>IF(ISTEXT(VLOOKUP(CONCATENATE($A5,"_",AU$3),'Unit List'!$A$14:$H$2841,2,FALSE)),"+","")</f>
        <v/>
      </c>
      <c r="AV5" s="51" t="str">
        <f>IF(ISTEXT(VLOOKUP(CONCATENATE($A5,"_",AV$3),'Unit List'!$A$14:$H$2841,2,FALSE)),"X",$AU5)</f>
        <v/>
      </c>
      <c r="AW5" s="53" t="str">
        <f>IF(ISTEXT(VLOOKUP(CONCATENATE($A5,"_",AW$3),'Unit List'!$A$14:$H$2841,2,FALSE)),"X",$AU5)</f>
        <v/>
      </c>
      <c r="AX5" s="172" t="str">
        <f>IF(ISTEXT(VLOOKUP(CONCATENATE($A5,"_",AX$3),'Unit List'!$A$14:$H$2841,2,FALSE)),"+","")</f>
        <v/>
      </c>
      <c r="AY5" s="51" t="str">
        <f>IF(ISTEXT(VLOOKUP(CONCATENATE($A5,"_",AY$3),'Unit List'!$A$14:$H$2841,2,FALSE)),"X",$AX5)</f>
        <v/>
      </c>
      <c r="AZ5" s="53" t="str">
        <f>IF(ISTEXT(VLOOKUP(CONCATENATE($A5,"_",AZ$3),'Unit List'!$A$14:$H$2841,2,FALSE)),"X",$AX5)</f>
        <v/>
      </c>
      <c r="BA5" s="182" t="str">
        <f>IF(ISTEXT(VLOOKUP(CONCATENATE($A5,"_",BA$3),'Unit List'!$A$14:$H$2841,2,FALSE)),"+","")</f>
        <v/>
      </c>
      <c r="BB5" s="51" t="str">
        <f>IF(ISTEXT(VLOOKUP(CONCATENATE($A5,"_",BB$3),'Unit List'!$A$14:$H$2841,2,FALSE)),"X",$BA5)</f>
        <v/>
      </c>
      <c r="BC5" s="51" t="str">
        <f>IF(ISTEXT(VLOOKUP(CONCATENATE($A5,"_",BC$3),'Unit List'!$A$14:$H$2841,2,FALSE)),"X",$BA5)</f>
        <v/>
      </c>
      <c r="BD5" s="53" t="str">
        <f>IF(ISTEXT(VLOOKUP(CONCATENATE($A5,"_",BD$3),'Unit List'!$A$14:$H$2841,2,FALSE)),"X",$BA5)</f>
        <v/>
      </c>
      <c r="BE5" s="125" t="str">
        <f>IF(ISTEXT(VLOOKUP(CONCATENATE($A5,"_",BE$3),'Unit List'!$A$14:$H$2841,2,FALSE)),"+","")</f>
        <v/>
      </c>
      <c r="BF5" s="62" t="str">
        <f>IF(ISTEXT(VLOOKUP(CONCATENATE($A5,"_",BF$3),'Unit List'!$A$14:$H$2841,2,FALSE)),"X",$BE5)</f>
        <v/>
      </c>
      <c r="BG5" s="64"/>
      <c r="BH5" s="65" t="s">
        <v>0</v>
      </c>
      <c r="BI5" s="211"/>
      <c r="BJ5" s="212"/>
      <c r="BK5" s="212"/>
      <c r="BL5" s="236" t="s">
        <v>1748</v>
      </c>
      <c r="BM5" s="237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List'!$A$14:$H$2841,2,FALSE)),"+","")</f>
        <v/>
      </c>
      <c r="C6" s="66" t="str">
        <f>IF(ISTEXT(VLOOKUP(CONCATENATE($A6,"_",C$3),'Unit List'!$A$14:$H$2841,2,FALSE)),"X",$B6)</f>
        <v/>
      </c>
      <c r="D6" s="67" t="str">
        <f>IF(ISTEXT(VLOOKUP(CONCATENATE($A6,"_",D$3),'Unit List'!$A$14:$H$2841,2,FALSE)),"X",$B6)</f>
        <v>X</v>
      </c>
      <c r="E6" s="51" t="str">
        <f>IF(ISTEXT(VLOOKUP(CONCATENATE($A6,"_",E$3),'Unit List'!$A$14:$H$2841,2,FALSE)),"X",$B6)</f>
        <v/>
      </c>
      <c r="F6" s="67" t="str">
        <f>IF(ISTEXT(VLOOKUP(CONCATENATE($A6,"_",F$3),'Unit List'!$A$14:$H$2841,2,FALSE)),"X",$B6)</f>
        <v>X</v>
      </c>
      <c r="G6" s="67" t="str">
        <f>IF(ISTEXT(VLOOKUP(CONCATENATE($A6,"_",G$3),'Unit List'!$A$14:$H$2841,2,FALSE)),"X",$B6)</f>
        <v>X</v>
      </c>
      <c r="H6" s="67" t="str">
        <f>IF(ISTEXT(VLOOKUP(CONCATENATE($A6,"_",H$3),'Unit List'!$A$14:$H$2841,2,FALSE)),"X",$B6)</f>
        <v>X</v>
      </c>
      <c r="I6" s="61" t="str">
        <f>IF(ISTEXT(VLOOKUP(CONCATENATE($A6,"_",I$3),'Unit List'!$A$14:$H$2841,2,FALSE)),"X",$B6)</f>
        <v/>
      </c>
      <c r="J6" s="172" t="str">
        <f>IF(ISTEXT(VLOOKUP(CONCATENATE($A6,"_",J$3),'Unit List'!$A$14:$H$2841,2,FALSE)),"+","")</f>
        <v>+</v>
      </c>
      <c r="K6" s="67" t="str">
        <f>IF(ISTEXT(VLOOKUP(CONCATENATE($A6,"_",K$3),'Unit List'!$A$14:$H$2841,2,FALSE)),"X",$J6)</f>
        <v>+</v>
      </c>
      <c r="L6" s="68" t="str">
        <f>IF(ISTEXT(VLOOKUP(CONCATENATE($A6,"_",L$3),'Unit List'!$A$14:$H$2841,2,FALSE)),"X",$J6)</f>
        <v>+</v>
      </c>
      <c r="M6" s="172" t="str">
        <f>IF(ISTEXT(VLOOKUP(CONCATENATE($A6,"_",M$3),'Unit List'!$A$14:$H$2841,2,FALSE)),"+","")</f>
        <v>+</v>
      </c>
      <c r="N6" s="69" t="str">
        <f>IF(ISTEXT(VLOOKUP(CONCATENATE($A6,"_",N$3),'Unit List'!$A$14:$H$2841,2,FALSE)),"X",$M6)</f>
        <v>+</v>
      </c>
      <c r="O6" s="70" t="str">
        <f>IF(ISTEXT(VLOOKUP(CONCATENATE($A6,"_",O$3),'Unit List'!$A$14:$H$2841,2,FALSE)),"X",$M6)</f>
        <v>+</v>
      </c>
      <c r="P6" s="171" t="str">
        <f>IF(ISTEXT(VLOOKUP(CONCATENATE($A6,"_",P$3),'Unit List'!$A$14:$H$2841,2,FALSE)),"+","")</f>
        <v>+</v>
      </c>
      <c r="Q6" s="69" t="str">
        <f>IF(ISTEXT(VLOOKUP(CONCATENATE($A6,"_",Q$3),'Unit List'!$A$14:$H$2841,2,FALSE)),"X",$P6)</f>
        <v>+</v>
      </c>
      <c r="R6" s="69" t="str">
        <f>IF(ISTEXT(VLOOKUP(CONCATENATE($A6,"_",R$3),'Unit List'!$A$14:$H$2841,2,FALSE)),"X",$P6)</f>
        <v>+</v>
      </c>
      <c r="S6" s="67" t="str">
        <f>IF(ISTEXT(VLOOKUP(CONCATENATE($A6,"_",S$3),'Unit List'!$A$14:$H$2841,2,FALSE)),"X",$P6)</f>
        <v>X</v>
      </c>
      <c r="T6" s="183" t="str">
        <f>IF(ISTEXT(VLOOKUP(CONCATENATE($A6,"_",T$3),'Unit List'!$A$14:$H$2841,2,FALSE)),"X",$P6)</f>
        <v>+</v>
      </c>
      <c r="U6" s="67" t="str">
        <f>IF(ISTEXT(VLOOKUP(CONCATENATE($A6,"_",U$3),'Unit List'!$A$14:$H$2841,2,FALSE)),"X",$P6)</f>
        <v>X</v>
      </c>
      <c r="V6" s="67" t="str">
        <f>IF(ISTEXT(VLOOKUP(CONCATENATE($A6,"_",V$3),'Unit List'!$A$14:$H$2841,2,FALSE)),"X",$P6)</f>
        <v>X</v>
      </c>
      <c r="W6" s="71" t="str">
        <f>IF(ISTEXT(VLOOKUP(CONCATENATE($A6,"_",W$3),'Unit List'!$A$14:$H$2841,2,FALSE)),"X",$P6)</f>
        <v>+</v>
      </c>
      <c r="X6" s="171" t="str">
        <f>IF(ISTEXT(VLOOKUP(CONCATENATE($A6,"_",X$3),'Unit List'!$A$14:$H$2841,2,FALSE)),"+","")</f>
        <v>+</v>
      </c>
      <c r="Y6" s="67" t="str">
        <f>IF(ISTEXT(VLOOKUP(CONCATENATE($A6,"_",Y$3),'Unit List'!$A$14:$H$2841,2,FALSE)),"X",$X6)</f>
        <v>X</v>
      </c>
      <c r="Z6" s="69" t="str">
        <f>IF(ISTEXT(VLOOKUP(CONCATENATE($A6,"_",Z$3),'Unit List'!$A$14:$H$2841,2,FALSE)),"X",$X6)</f>
        <v>+</v>
      </c>
      <c r="AA6" s="72" t="s">
        <v>0</v>
      </c>
      <c r="AB6" s="67" t="str">
        <f>IF(ISTEXT(VLOOKUP(CONCATENATE($A6,"_",AB$3),'Unit List'!$A$14:$H$2841,2,FALSE)),"X",$X6)</f>
        <v>X</v>
      </c>
      <c r="AC6" s="68" t="str">
        <f>IF(ISTEXT(VLOOKUP(CONCATENATE($A6,"_",AC$3),'Unit List'!$A$14:$H$2841,2,FALSE)),"X",$X6)</f>
        <v>X</v>
      </c>
      <c r="AD6" s="171" t="str">
        <f>IF(ISTEXT(VLOOKUP(CONCATENATE($A6,"_",AD$3),'Unit List'!$A$14:$H$2841,2,FALSE)),"+","")</f>
        <v/>
      </c>
      <c r="AE6" s="51" t="str">
        <f>IF(ISTEXT(VLOOKUP(CONCATENATE($A6,"_",AE$3),'Unit List'!$A$14:$H$2841,2,FALSE)),"X",$AD6)</f>
        <v/>
      </c>
      <c r="AF6" s="51" t="str">
        <f>IF(ISTEXT(VLOOKUP(CONCATENATE($A6,"_",AF$3),'Unit List'!$A$14:$H$2841,2,FALSE)),"X",$AD6)</f>
        <v/>
      </c>
      <c r="AG6" s="171" t="str">
        <f>IF(ISTEXT(VLOOKUP(CONCATENATE($A6,"_",AG$3),'Unit List'!$A$14:$H$2841,2,FALSE)),"+","")</f>
        <v>+</v>
      </c>
      <c r="AH6" s="67" t="str">
        <f>IF(ISTEXT(VLOOKUP(CONCATENATE($A6,"_",AH$3),'Unit List'!$A$14:$H$2841,2,FALSE)),"X",$AG6)</f>
        <v>X</v>
      </c>
      <c r="AI6" s="69" t="str">
        <f>IF(ISTEXT(VLOOKUP(CONCATENATE($A6,"_",AI$3),'Unit List'!$A$14:$H$2841,2,FALSE)),"X",$AG6)</f>
        <v>X</v>
      </c>
      <c r="AJ6" s="73" t="str">
        <f>IF(ISTEXT(VLOOKUP(CONCATENATE($A6,"_",AJ$3),'Unit List'!$A$14:$H$2841,2,FALSE)),"X",$AG6)</f>
        <v>+</v>
      </c>
      <c r="AK6" s="171" t="str">
        <f>IF(ISTEXT(VLOOKUP(CONCATENATE($A6,"_",AK$3),'Unit List'!$A$14:$H$2841,2,FALSE)),"+","")</f>
        <v>+</v>
      </c>
      <c r="AL6" s="183" t="str">
        <f>IF(ISTEXT(VLOOKUP(CONCATENATE($A6,"_",AL$3),'Unit List'!$A$14:$H$2841,2,FALSE)),"X",$AK6)</f>
        <v>+</v>
      </c>
      <c r="AM6" s="73" t="str">
        <f>IF(ISTEXT(VLOOKUP(CONCATENATE($A6,"_",AM$3),'Unit List'!$A$14:$H$2841,2,FALSE)),"X",$AK6)</f>
        <v>+</v>
      </c>
      <c r="AN6" s="125" t="str">
        <f>IF(ISTEXT(VLOOKUP(CONCATENATE($A6,"_",AN$3),'Unit List'!$A$14:$H$2841,2,FALSE)),"+","")</f>
        <v>+</v>
      </c>
      <c r="AO6" s="70" t="str">
        <f>IF(ISTEXT(VLOOKUP(CONCATENATE($A6,"_",AO$3),'Unit List'!$A$14:$H$2841,2,FALSE)),"X",$AN6)</f>
        <v>X</v>
      </c>
      <c r="AP6" s="171" t="str">
        <f>IF(ISTEXT(VLOOKUP(CONCATENATE($A6,"_",AP$3),'Unit List'!$A$14:$H$2841,2,FALSE)),"+","")</f>
        <v>+</v>
      </c>
      <c r="AQ6" s="67" t="str">
        <f>IF(ISTEXT(VLOOKUP(CONCATENATE($A6,"_",AQ$3),'Unit List'!$A$14:$H$2841,2,FALSE)),"X",$AP6)</f>
        <v>X</v>
      </c>
      <c r="AR6" s="67" t="str">
        <f>IF(ISTEXT(VLOOKUP(CONCATENATE($A6,"_",AR$3),'Unit List'!$A$14:$H$2841,2,FALSE)),"X",$AP6)</f>
        <v>X</v>
      </c>
      <c r="AS6" s="67" t="str">
        <f>IF(ISTEXT(VLOOKUP(CONCATENATE($A6,"_",AS$3),'Unit List'!$A$14:$H$2841,2,FALSE)),"X",$AP6)</f>
        <v>X</v>
      </c>
      <c r="AT6" s="73" t="str">
        <f>IF(ISTEXT(VLOOKUP(CONCATENATE($A6,"_",AT$3),'Unit List'!$A$14:$H$2841,2,FALSE)),"X",$AP6)</f>
        <v>X</v>
      </c>
      <c r="AU6" s="177" t="str">
        <f>IF(ISTEXT(VLOOKUP(CONCATENATE($A6,"_",AU$3),'Unit List'!$A$14:$H$2841,2,FALSE)),"+","")</f>
        <v>+</v>
      </c>
      <c r="AV6" s="69" t="str">
        <f>IF(ISTEXT(VLOOKUP(CONCATENATE($A6,"_",AV$3),'Unit List'!$A$14:$H$2841,2,FALSE)),"X",$AU6)</f>
        <v>+</v>
      </c>
      <c r="AW6" s="71" t="str">
        <f>IF(ISTEXT(VLOOKUP(CONCATENATE($A6,"_",AW$3),'Unit List'!$A$14:$H$2841,2,FALSE)),"X",$AU6)</f>
        <v>+</v>
      </c>
      <c r="AX6" s="171" t="str">
        <f>IF(ISTEXT(VLOOKUP(CONCATENATE($A6,"_",AX$3),'Unit List'!$A$14:$H$2841,2,FALSE)),"+","")</f>
        <v>+</v>
      </c>
      <c r="AY6" s="67" t="str">
        <f>IF(ISTEXT(VLOOKUP(CONCATENATE($A6,"_",AY$3),'Unit List'!$A$14:$H$2841,2,FALSE)),"X",$AX6)</f>
        <v>+</v>
      </c>
      <c r="AZ6" s="70" t="str">
        <f>IF(ISTEXT(VLOOKUP(CONCATENATE($A6,"_",AZ$3),'Unit List'!$A$14:$H$2841,2,FALSE)),"X",$AX6)</f>
        <v>+</v>
      </c>
      <c r="BA6" s="174" t="str">
        <f>IF(ISTEXT(VLOOKUP(CONCATENATE($A6,"_",BA$3),'Unit List'!$A$14:$H$2841,2,FALSE)),"+","")</f>
        <v>+</v>
      </c>
      <c r="BB6" s="67" t="str">
        <f>IF(ISTEXT(VLOOKUP(CONCATENATE($A6,"_",BB$3),'Unit List'!$A$14:$H$2841,2,FALSE)),"X",$BA6)</f>
        <v>X</v>
      </c>
      <c r="BC6" s="72" t="s">
        <v>0</v>
      </c>
      <c r="BD6" s="74" t="s">
        <v>0</v>
      </c>
      <c r="BE6" s="125" t="str">
        <f>IF(ISTEXT(VLOOKUP(CONCATENATE($A6,"_",BE$3),'Unit List'!$A$14:$H$2841,2,FALSE)),"+","")</f>
        <v>+</v>
      </c>
      <c r="BF6" s="184" t="str">
        <f>IF(ISTEXT(VLOOKUP(CONCATENATE($A6,"_",BF$3),'Unit List'!$A$14:$H$2841,2,FALSE)),"X",$BE6)</f>
        <v>+</v>
      </c>
      <c r="BG6" s="75"/>
      <c r="BH6" s="76" t="s">
        <v>0</v>
      </c>
      <c r="BI6" s="211" t="s">
        <v>12</v>
      </c>
      <c r="BJ6" s="214"/>
      <c r="BK6" s="214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List'!$A$14:$H$2841,2,FALSE)),"+","")</f>
        <v/>
      </c>
      <c r="C7" s="57" t="str">
        <f>IF(ISTEXT(VLOOKUP(CONCATENATE($A7,"_",C$3),'Unit List'!$A$14:$H$2841,2,FALSE)),"X",$B7)</f>
        <v/>
      </c>
      <c r="D7" s="51" t="str">
        <f>IF(ISTEXT(VLOOKUP(CONCATENATE($A7,"_",D$3),'Unit List'!$A$14:$H$2841,2,FALSE)),"X",$B7)</f>
        <v/>
      </c>
      <c r="E7" s="51" t="str">
        <f>IF(ISTEXT(VLOOKUP(CONCATENATE($A7,"_",E$3),'Unit List'!$A$14:$H$2841,2,FALSE)),"X",$B7)</f>
        <v/>
      </c>
      <c r="F7" s="51" t="str">
        <f>IF(ISTEXT(VLOOKUP(CONCATENATE($A7,"_",F$3),'Unit List'!$A$14:$H$2841,2,FALSE)),"X",$B7)</f>
        <v/>
      </c>
      <c r="G7" s="51" t="str">
        <f>IF(ISTEXT(VLOOKUP(CONCATENATE($A7,"_",G$3),'Unit List'!$A$14:$H$2841,2,FALSE)),"X",$B7)</f>
        <v>X</v>
      </c>
      <c r="H7" s="51" t="str">
        <f>IF(ISTEXT(VLOOKUP(CONCATENATE($A7,"_",H$3),'Unit List'!$A$14:$H$2841,2,FALSE)),"X",$B7)</f>
        <v/>
      </c>
      <c r="I7" s="53" t="str">
        <f>IF(ISTEXT(VLOOKUP(CONCATENATE($A7,"_",I$3),'Unit List'!$A$14:$H$2841,2,FALSE)),"X",$B7)</f>
        <v/>
      </c>
      <c r="J7" s="172" t="str">
        <f>IF(ISTEXT(VLOOKUP(CONCATENATE($A7,"_",J$3),'Unit List'!$A$14:$H$2841,2,FALSE)),"+","")</f>
        <v/>
      </c>
      <c r="K7" s="51" t="str">
        <f>IF(ISTEXT(VLOOKUP(CONCATENATE($A7,"_",K$3),'Unit List'!$A$14:$H$2841,2,FALSE)),"X",$J7)</f>
        <v/>
      </c>
      <c r="L7" s="62" t="str">
        <f>IF(ISTEXT(VLOOKUP(CONCATENATE($A7,"_",L$3),'Unit List'!$A$14:$H$2841,2,FALSE)),"X",$J7)</f>
        <v/>
      </c>
      <c r="M7" s="172" t="str">
        <f>IF(ISTEXT(VLOOKUP(CONCATENATE($A7,"_",M$3),'Unit List'!$A$14:$H$2841,2,FALSE)),"+","")</f>
        <v>+</v>
      </c>
      <c r="N7" s="51" t="str">
        <f>IF(ISTEXT(VLOOKUP(CONCATENATE($A7,"_",N$3),'Unit List'!$A$14:$H$2841,2,FALSE)),"X",$M7)</f>
        <v>+</v>
      </c>
      <c r="O7" s="70" t="str">
        <f>IF(ISTEXT(VLOOKUP(CONCATENATE($A7,"_",O$3),'Unit List'!$A$14:$H$2841,2,FALSE)),"X",$M7)</f>
        <v>+</v>
      </c>
      <c r="P7" s="171" t="str">
        <f>IF(ISTEXT(VLOOKUP(CONCATENATE($A7,"_",P$3),'Unit List'!$A$14:$H$2841,2,FALSE)),"+","")</f>
        <v/>
      </c>
      <c r="Q7" s="51" t="str">
        <f>IF(ISTEXT(VLOOKUP(CONCATENATE($A7,"_",Q$3),'Unit List'!$A$14:$H$2841,2,FALSE)),"X",$P7)</f>
        <v/>
      </c>
      <c r="R7" s="51" t="str">
        <f>IF(ISTEXT(VLOOKUP(CONCATENATE($A7,"_",R$3),'Unit List'!$A$14:$H$2841,2,FALSE)),"X",$P7)</f>
        <v/>
      </c>
      <c r="S7" s="51" t="str">
        <f>IF(ISTEXT(VLOOKUP(CONCATENATE($A7,"_",S$3),'Unit List'!$A$14:$H$2841,2,FALSE)),"X",$P7)</f>
        <v/>
      </c>
      <c r="T7" s="52" t="str">
        <f>IF(ISTEXT(VLOOKUP(CONCATENATE($A7,"_",T$3),'Unit List'!$A$14:$H$2841,2,FALSE)),"X",$P7)</f>
        <v/>
      </c>
      <c r="U7" s="51" t="str">
        <f>IF(ISTEXT(VLOOKUP(CONCATENATE($A7,"_",U$3),'Unit List'!$A$14:$H$2841,2,FALSE)),"X",$P7)</f>
        <v/>
      </c>
      <c r="V7" s="51" t="str">
        <f>IF(ISTEXT(VLOOKUP(CONCATENATE($A7,"_",V$3),'Unit List'!$A$14:$H$2841,2,FALSE)),"X",$P7)</f>
        <v/>
      </c>
      <c r="W7" s="53" t="str">
        <f>IF(ISTEXT(VLOOKUP(CONCATENATE($A7,"_",W$3),'Unit List'!$A$14:$H$2841,2,FALSE)),"X",$P7)</f>
        <v/>
      </c>
      <c r="X7" s="172" t="str">
        <f>IF(ISTEXT(VLOOKUP(CONCATENATE($A7,"_",X$3),'Unit List'!$A$14:$H$2841,2,FALSE)),"+","")</f>
        <v/>
      </c>
      <c r="Y7" s="51" t="str">
        <f>IF(ISTEXT(VLOOKUP(CONCATENATE($A7,"_",Y$3),'Unit List'!$A$14:$H$2841,2,FALSE)),"X",$X7)</f>
        <v/>
      </c>
      <c r="Z7" s="51" t="str">
        <f>IF(ISTEXT(VLOOKUP(CONCATENATE($A7,"_",Z$3),'Unit List'!$A$14:$H$2841,2,FALSE)),"X",$X7)</f>
        <v/>
      </c>
      <c r="AA7" s="51" t="str">
        <f>IF(ISTEXT(VLOOKUP(CONCATENATE($A7,"_",AA$3),'Unit List'!$A$14:$H$2841,2,FALSE)),"X",$X7)</f>
        <v/>
      </c>
      <c r="AB7" s="51" t="str">
        <f>IF(ISTEXT(VLOOKUP(CONCATENATE($A7,"_",AB$3),'Unit List'!$A$14:$H$2841,2,FALSE)),"X",$X7)</f>
        <v/>
      </c>
      <c r="AC7" s="62" t="str">
        <f>IF(ISTEXT(VLOOKUP(CONCATENATE($A7,"_",AC$3),'Unit List'!$A$14:$H$2841,2,FALSE)),"X",$X7)</f>
        <v/>
      </c>
      <c r="AD7" s="172" t="str">
        <f>IF(ISTEXT(VLOOKUP(CONCATENATE($A7,"_",AD$3),'Unit List'!$A$14:$H$2841,2,FALSE)),"+","")</f>
        <v/>
      </c>
      <c r="AE7" s="51" t="str">
        <f>IF(ISTEXT(VLOOKUP(CONCATENATE($A7,"_",AE$3),'Unit List'!$A$14:$H$2841,2,FALSE)),"X",$AD7)</f>
        <v/>
      </c>
      <c r="AF7" s="51" t="str">
        <f>IF(ISTEXT(VLOOKUP(CONCATENATE($A7,"_",AF$3),'Unit List'!$A$14:$H$2841,2,FALSE)),"X",$AD7)</f>
        <v/>
      </c>
      <c r="AG7" s="172" t="str">
        <f>IF(ISTEXT(VLOOKUP(CONCATENATE($A7,"_",AG$3),'Unit List'!$A$14:$H$2841,2,FALSE)),"+","")</f>
        <v/>
      </c>
      <c r="AH7" s="51" t="str">
        <f>IF(ISTEXT(VLOOKUP(CONCATENATE($A7,"_",AH$3),'Unit List'!$A$14:$H$2841,2,FALSE)),"X",$AG7)</f>
        <v/>
      </c>
      <c r="AI7" s="51" t="str">
        <f>IF(ISTEXT(VLOOKUP(CONCATENATE($A7,"_",AI$3),'Unit List'!$A$14:$H$2841,2,FALSE)),"X",$AG7)</f>
        <v/>
      </c>
      <c r="AJ7" s="53" t="str">
        <f>IF(ISTEXT(VLOOKUP(CONCATENATE($A7,"_",AJ$3),'Unit List'!$A$14:$H$2841,2,FALSE)),"X",$AG7)</f>
        <v/>
      </c>
      <c r="AK7" s="172" t="str">
        <f>IF(ISTEXT(VLOOKUP(CONCATENATE($A7,"_",AK$3),'Unit List'!$A$14:$H$2841,2,FALSE)),"+","")</f>
        <v/>
      </c>
      <c r="AL7" s="52" t="str">
        <f>IF(ISTEXT(VLOOKUP(CONCATENATE($A7,"_",AL$3),'Unit List'!$A$14:$H$2841,2,FALSE)),"X",$AK7)</f>
        <v/>
      </c>
      <c r="AM7" s="53" t="str">
        <f>IF(ISTEXT(VLOOKUP(CONCATENATE($A7,"_",AM$3),'Unit List'!$A$14:$H$2841,2,FALSE)),"X",$AK7)</f>
        <v/>
      </c>
      <c r="AN7" s="125" t="str">
        <f>IF(ISTEXT(VLOOKUP(CONCATENATE($A7,"_",AN$3),'Unit List'!$A$14:$H$2841,2,FALSE)),"+","")</f>
        <v/>
      </c>
      <c r="AO7" s="53" t="str">
        <f>IF(ISTEXT(VLOOKUP(CONCATENATE($A7,"_",AO$3),'Unit List'!$A$14:$H$2841,2,FALSE)),"X",$AN7)</f>
        <v/>
      </c>
      <c r="AP7" s="172" t="str">
        <f>IF(ISTEXT(VLOOKUP(CONCATENATE($A7,"_",AP$3),'Unit List'!$A$14:$H$2841,2,FALSE)),"+","")</f>
        <v/>
      </c>
      <c r="AQ7" s="51" t="str">
        <f>IF(ISTEXT(VLOOKUP(CONCATENATE($A7,"_",AQ$3),'Unit List'!$A$14:$H$2841,2,FALSE)),"X",$AP7)</f>
        <v/>
      </c>
      <c r="AR7" s="51" t="str">
        <f>IF(ISTEXT(VLOOKUP(CONCATENATE($A7,"_",AR$3),'Unit List'!$A$14:$H$2841,2,FALSE)),"X",$AP7)</f>
        <v/>
      </c>
      <c r="AS7" s="51" t="str">
        <f>IF(ISTEXT(VLOOKUP(CONCATENATE($A7,"_",AS$3),'Unit List'!$A$14:$H$2841,2,FALSE)),"X",$AP7)</f>
        <v/>
      </c>
      <c r="AT7" s="53" t="str">
        <f>IF(ISTEXT(VLOOKUP(CONCATENATE($A7,"_",AT$3),'Unit List'!$A$14:$H$2841,2,FALSE)),"X",$AP7)</f>
        <v/>
      </c>
      <c r="AU7" s="124" t="str">
        <f>IF(ISTEXT(VLOOKUP(CONCATENATE($A7,"_",AU$3),'Unit List'!$A$14:$H$2841,2,FALSE)),"+","")</f>
        <v/>
      </c>
      <c r="AV7" s="51" t="str">
        <f>IF(ISTEXT(VLOOKUP(CONCATENATE($A7,"_",AV$3),'Unit List'!$A$14:$H$2841,2,FALSE)),"X",$AU7)</f>
        <v/>
      </c>
      <c r="AW7" s="53" t="str">
        <f>IF(ISTEXT(VLOOKUP(CONCATENATE($A7,"_",AW$3),'Unit List'!$A$14:$H$2841,2,FALSE)),"X",$AU7)</f>
        <v/>
      </c>
      <c r="AX7" s="172" t="str">
        <f>IF(ISTEXT(VLOOKUP(CONCATENATE($A7,"_",AX$3),'Unit List'!$A$14:$H$2841,2,FALSE)),"+","")</f>
        <v/>
      </c>
      <c r="AY7" s="51" t="str">
        <f>IF(ISTEXT(VLOOKUP(CONCATENATE($A7,"_",AY$3),'Unit List'!$A$14:$H$2841,2,FALSE)),"X",$AX7)</f>
        <v/>
      </c>
      <c r="AZ7" s="53" t="str">
        <f>IF(ISTEXT(VLOOKUP(CONCATENATE($A7,"_",AZ$3),'Unit List'!$A$14:$H$2841,2,FALSE)),"X",$AX7)</f>
        <v/>
      </c>
      <c r="BA7" s="182" t="str">
        <f>IF(ISTEXT(VLOOKUP(CONCATENATE($A7,"_",BA$3),'Unit List'!$A$14:$H$2841,2,FALSE)),"+","")</f>
        <v/>
      </c>
      <c r="BB7" s="51" t="str">
        <f>IF(ISTEXT(VLOOKUP(CONCATENATE($A7,"_",BB$3),'Unit List'!$A$14:$H$2841,2,FALSE)),"X",$BA7)</f>
        <v/>
      </c>
      <c r="BC7" s="51" t="str">
        <f>IF(ISTEXT(VLOOKUP(CONCATENATE($A7,"_",BC$3),'Unit List'!$A$14:$H$2841,2,FALSE)),"X",$BA7)</f>
        <v/>
      </c>
      <c r="BD7" s="53" t="str">
        <f>IF(ISTEXT(VLOOKUP(CONCATENATE($A7,"_",BD$3),'Unit List'!$A$14:$H$2841,2,FALSE)),"X",$BA7)</f>
        <v/>
      </c>
      <c r="BE7" s="125" t="str">
        <f>IF(ISTEXT(VLOOKUP(CONCATENATE($A7,"_",BE$3),'Unit List'!$A$14:$H$2841,2,FALSE)),"+","")</f>
        <v/>
      </c>
      <c r="BF7" s="62" t="str">
        <f>IF(ISTEXT(VLOOKUP(CONCATENATE($A7,"_",BF$3),'Unit List'!$A$14:$H$2841,2,FALSE)),"X",$BE7)</f>
        <v/>
      </c>
      <c r="BG7" s="64"/>
      <c r="BH7" s="65" t="s">
        <v>0</v>
      </c>
      <c r="BI7" s="211"/>
      <c r="BJ7" s="212"/>
      <c r="BK7" s="212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List'!$A$14:$H$2841,2,FALSE)),"+","")</f>
        <v/>
      </c>
      <c r="C8" s="57" t="str">
        <f>IF(ISTEXT(VLOOKUP(CONCATENATE($A8,"_",C$3),'Unit List'!$A$14:$H$2841,2,FALSE)),"X",$B8)</f>
        <v/>
      </c>
      <c r="D8" s="51" t="str">
        <f>IF(ISTEXT(VLOOKUP(CONCATENATE($A8,"_",D$3),'Unit List'!$A$14:$H$2841,2,FALSE)),"X",$B8)</f>
        <v/>
      </c>
      <c r="E8" s="51" t="str">
        <f>IF(ISTEXT(VLOOKUP(CONCATENATE($A8,"_",E$3),'Unit List'!$A$14:$H$2841,2,FALSE)),"X",$B8)</f>
        <v/>
      </c>
      <c r="F8" s="51" t="str">
        <f>IF(ISTEXT(VLOOKUP(CONCATENATE($A8,"_",F$3),'Unit List'!$A$14:$H$2841,2,FALSE)),"X",$B8)</f>
        <v/>
      </c>
      <c r="G8" s="51" t="str">
        <f>IF(ISTEXT(VLOOKUP(CONCATENATE($A8,"_",G$3),'Unit List'!$A$14:$H$2841,2,FALSE)),"X",$B8)</f>
        <v/>
      </c>
      <c r="H8" s="51" t="str">
        <f>IF(ISTEXT(VLOOKUP(CONCATENATE($A8,"_",H$3),'Unit List'!$A$14:$H$2841,2,FALSE)),"X",$B8)</f>
        <v/>
      </c>
      <c r="I8" s="53" t="str">
        <f>IF(ISTEXT(VLOOKUP(CONCATENATE($A8,"_",I$3),'Unit List'!$A$14:$H$2841,2,FALSE)),"X",$B8)</f>
        <v/>
      </c>
      <c r="J8" s="172" t="str">
        <f>IF(ISTEXT(VLOOKUP(CONCATENATE($A8,"_",J$3),'Unit List'!$A$14:$H$2841,2,FALSE)),"+","")</f>
        <v/>
      </c>
      <c r="K8" s="51" t="str">
        <f>IF(ISTEXT(VLOOKUP(CONCATENATE($A8,"_",K$3),'Unit List'!$A$14:$H$2841,2,FALSE)),"X",$J8)</f>
        <v/>
      </c>
      <c r="L8" s="62" t="str">
        <f>IF(ISTEXT(VLOOKUP(CONCATENATE($A8,"_",L$3),'Unit List'!$A$14:$H$2841,2,FALSE)),"X",$J8)</f>
        <v/>
      </c>
      <c r="M8" s="172" t="str">
        <f>IF(ISTEXT(VLOOKUP(CONCATENATE($A8,"_",M$3),'Unit List'!$A$14:$H$2841,2,FALSE)),"+","")</f>
        <v/>
      </c>
      <c r="N8" s="51" t="str">
        <f>IF(ISTEXT(VLOOKUP(CONCATENATE($A8,"_",N$3),'Unit List'!$A$14:$H$2841,2,FALSE)),"X",$M8)</f>
        <v/>
      </c>
      <c r="O8" s="53" t="str">
        <f>IF(ISTEXT(VLOOKUP(CONCATENATE($A8,"_",O$3),'Unit List'!$A$14:$H$2841,2,FALSE)),"X",$M8)</f>
        <v/>
      </c>
      <c r="P8" s="172" t="str">
        <f>IF(ISTEXT(VLOOKUP(CONCATENATE($A8,"_",P$3),'Unit List'!$A$14:$H$2841,2,FALSE)),"+","")</f>
        <v/>
      </c>
      <c r="Q8" s="51" t="str">
        <f>IF(ISTEXT(VLOOKUP(CONCATENATE($A8,"_",Q$3),'Unit List'!$A$14:$H$2841,2,FALSE)),"X",$P8)</f>
        <v/>
      </c>
      <c r="R8" s="51" t="str">
        <f>IF(ISTEXT(VLOOKUP(CONCATENATE($A8,"_",R$3),'Unit List'!$A$14:$H$2841,2,FALSE)),"X",$P8)</f>
        <v/>
      </c>
      <c r="S8" s="51" t="str">
        <f>IF(ISTEXT(VLOOKUP(CONCATENATE($A8,"_",S$3),'Unit List'!$A$14:$H$2841,2,FALSE)),"X",$P8)</f>
        <v/>
      </c>
      <c r="T8" s="52" t="str">
        <f>IF(ISTEXT(VLOOKUP(CONCATENATE($A8,"_",T$3),'Unit List'!$A$14:$H$2841,2,FALSE)),"X",$P8)</f>
        <v/>
      </c>
      <c r="U8" s="51" t="str">
        <f>IF(ISTEXT(VLOOKUP(CONCATENATE($A8,"_",U$3),'Unit List'!$A$14:$H$2841,2,FALSE)),"X",$P8)</f>
        <v/>
      </c>
      <c r="V8" s="51" t="str">
        <f>IF(ISTEXT(VLOOKUP(CONCATENATE($A8,"_",V$3),'Unit List'!$A$14:$H$2841,2,FALSE)),"X",$P8)</f>
        <v/>
      </c>
      <c r="W8" s="53" t="str">
        <f>IF(ISTEXT(VLOOKUP(CONCATENATE($A8,"_",W$3),'Unit List'!$A$14:$H$2841,2,FALSE)),"X",$P8)</f>
        <v/>
      </c>
      <c r="X8" s="172" t="str">
        <f>IF(ISTEXT(VLOOKUP(CONCATENATE($A8,"_",X$3),'Unit List'!$A$14:$H$2841,2,FALSE)),"+","")</f>
        <v/>
      </c>
      <c r="Y8" s="51" t="str">
        <f>IF(ISTEXT(VLOOKUP(CONCATENATE($A8,"_",Y$3),'Unit List'!$A$14:$H$2841,2,FALSE)),"X",$X8)</f>
        <v/>
      </c>
      <c r="Z8" s="51" t="str">
        <f>IF(ISTEXT(VLOOKUP(CONCATENATE($A8,"_",Z$3),'Unit List'!$A$14:$H$2841,2,FALSE)),"X",$X8)</f>
        <v/>
      </c>
      <c r="AA8" s="51" t="str">
        <f>IF(ISTEXT(VLOOKUP(CONCATENATE($A8,"_",AA$3),'Unit List'!$A$14:$H$2841,2,FALSE)),"X",$X8)</f>
        <v/>
      </c>
      <c r="AB8" s="51" t="str">
        <f>IF(ISTEXT(VLOOKUP(CONCATENATE($A8,"_",AB$3),'Unit List'!$A$14:$H$2841,2,FALSE)),"X",$X8)</f>
        <v/>
      </c>
      <c r="AC8" s="62" t="str">
        <f>IF(ISTEXT(VLOOKUP(CONCATENATE($A8,"_",AC$3),'Unit List'!$A$14:$H$2841,2,FALSE)),"X",$X8)</f>
        <v/>
      </c>
      <c r="AD8" s="172" t="str">
        <f>IF(ISTEXT(VLOOKUP(CONCATENATE($A8,"_",AD$3),'Unit List'!$A$14:$H$2841,2,FALSE)),"+","")</f>
        <v/>
      </c>
      <c r="AE8" s="51" t="str">
        <f>IF(ISTEXT(VLOOKUP(CONCATENATE($A8,"_",AE$3),'Unit List'!$A$14:$H$2841,2,FALSE)),"X",$AD8)</f>
        <v/>
      </c>
      <c r="AF8" s="51" t="str">
        <f>IF(ISTEXT(VLOOKUP(CONCATENATE($A8,"_",AF$3),'Unit List'!$A$14:$H$2841,2,FALSE)),"X",$AD8)</f>
        <v/>
      </c>
      <c r="AG8" s="172" t="str">
        <f>IF(ISTEXT(VLOOKUP(CONCATENATE($A8,"_",AG$3),'Unit List'!$A$14:$H$2841,2,FALSE)),"+","")</f>
        <v/>
      </c>
      <c r="AH8" s="51" t="str">
        <f>IF(ISTEXT(VLOOKUP(CONCATENATE($A8,"_",AH$3),'Unit List'!$A$14:$H$2841,2,FALSE)),"X",$AG8)</f>
        <v/>
      </c>
      <c r="AI8" s="51" t="str">
        <f>IF(ISTEXT(VLOOKUP(CONCATENATE($A8,"_",AI$3),'Unit List'!$A$14:$H$2841,2,FALSE)),"X",$AG8)</f>
        <v/>
      </c>
      <c r="AJ8" s="53" t="str">
        <f>IF(ISTEXT(VLOOKUP(CONCATENATE($A8,"_",AJ$3),'Unit List'!$A$14:$H$2841,2,FALSE)),"X",$AG8)</f>
        <v/>
      </c>
      <c r="AK8" s="172" t="str">
        <f>IF(ISTEXT(VLOOKUP(CONCATENATE($A8,"_",AK$3),'Unit List'!$A$14:$H$2841,2,FALSE)),"+","")</f>
        <v/>
      </c>
      <c r="AL8" s="52" t="str">
        <f>IF(ISTEXT(VLOOKUP(CONCATENATE($A8,"_",AL$3),'Unit List'!$A$14:$H$2841,2,FALSE)),"X",$AK8)</f>
        <v/>
      </c>
      <c r="AM8" s="53" t="str">
        <f>IF(ISTEXT(VLOOKUP(CONCATENATE($A8,"_",AM$3),'Unit List'!$A$14:$H$2841,2,FALSE)),"X",$AK8)</f>
        <v/>
      </c>
      <c r="AN8" s="125" t="str">
        <f>IF(ISTEXT(VLOOKUP(CONCATENATE($A8,"_",AN$3),'Unit List'!$A$14:$H$2841,2,FALSE)),"+","")</f>
        <v/>
      </c>
      <c r="AO8" s="53" t="str">
        <f>IF(ISTEXT(VLOOKUP(CONCATENATE($A8,"_",AO$3),'Unit List'!$A$14:$H$2841,2,FALSE)),"X",$AN8)</f>
        <v/>
      </c>
      <c r="AP8" s="172" t="str">
        <f>IF(ISTEXT(VLOOKUP(CONCATENATE($A8,"_",AP$3),'Unit List'!$A$14:$H$2841,2,FALSE)),"+","")</f>
        <v/>
      </c>
      <c r="AQ8" s="51" t="str">
        <f>IF(ISTEXT(VLOOKUP(CONCATENATE($A8,"_",AQ$3),'Unit List'!$A$14:$H$2841,2,FALSE)),"X",$AP8)</f>
        <v/>
      </c>
      <c r="AR8" s="51" t="str">
        <f>IF(ISTEXT(VLOOKUP(CONCATENATE($A8,"_",AR$3),'Unit List'!$A$14:$H$2841,2,FALSE)),"X",$AP8)</f>
        <v/>
      </c>
      <c r="AS8" s="51" t="str">
        <f>IF(ISTEXT(VLOOKUP(CONCATENATE($A8,"_",AS$3),'Unit List'!$A$14:$H$2841,2,FALSE)),"X",$AP8)</f>
        <v/>
      </c>
      <c r="AT8" s="53" t="str">
        <f>IF(ISTEXT(VLOOKUP(CONCATENATE($A8,"_",AT$3),'Unit List'!$A$14:$H$2841,2,FALSE)),"X",$AP8)</f>
        <v/>
      </c>
      <c r="AU8" s="124" t="str">
        <f>IF(ISTEXT(VLOOKUP(CONCATENATE($A8,"_",AU$3),'Unit List'!$A$14:$H$2841,2,FALSE)),"+","")</f>
        <v/>
      </c>
      <c r="AV8" s="51" t="str">
        <f>IF(ISTEXT(VLOOKUP(CONCATENATE($A8,"_",AV$3),'Unit List'!$A$14:$H$2841,2,FALSE)),"X",$AU8)</f>
        <v/>
      </c>
      <c r="AW8" s="53" t="str">
        <f>IF(ISTEXT(VLOOKUP(CONCATENATE($A8,"_",AW$3),'Unit List'!$A$14:$H$2841,2,FALSE)),"X",$AU8)</f>
        <v/>
      </c>
      <c r="AX8" s="172" t="str">
        <f>IF(ISTEXT(VLOOKUP(CONCATENATE($A8,"_",AX$3),'Unit List'!$A$14:$H$2841,2,FALSE)),"+","")</f>
        <v/>
      </c>
      <c r="AY8" s="51" t="str">
        <f>IF(ISTEXT(VLOOKUP(CONCATENATE($A8,"_",AY$3),'Unit List'!$A$14:$H$2841,2,FALSE)),"X",$AX8)</f>
        <v/>
      </c>
      <c r="AZ8" s="53" t="str">
        <f>IF(ISTEXT(VLOOKUP(CONCATENATE($A8,"_",AZ$3),'Unit List'!$A$14:$H$2841,2,FALSE)),"X",$AX8)</f>
        <v/>
      </c>
      <c r="BA8" s="182" t="str">
        <f>IF(ISTEXT(VLOOKUP(CONCATENATE($A8,"_",BA$3),'Unit List'!$A$14:$H$2841,2,FALSE)),"+","")</f>
        <v/>
      </c>
      <c r="BB8" s="51" t="str">
        <f>IF(ISTEXT(VLOOKUP(CONCATENATE($A8,"_",BB$3),'Unit List'!$A$14:$H$2841,2,FALSE)),"X",$BA8)</f>
        <v/>
      </c>
      <c r="BC8" s="51" t="str">
        <f>IF(ISTEXT(VLOOKUP(CONCATENATE($A8,"_",BC$3),'Unit List'!$A$14:$H$2841,2,FALSE)),"X",$BA8)</f>
        <v/>
      </c>
      <c r="BD8" s="53" t="str">
        <f>IF(ISTEXT(VLOOKUP(CONCATENATE($A8,"_",BD$3),'Unit List'!$A$14:$H$2841,2,FALSE)),"X",$BA8)</f>
        <v/>
      </c>
      <c r="BE8" s="125" t="str">
        <f>IF(ISTEXT(VLOOKUP(CONCATENATE($A8,"_",BE$3),'Unit List'!$A$14:$H$2841,2,FALSE)),"+","")</f>
        <v/>
      </c>
      <c r="BF8" s="62" t="str">
        <f>IF(ISTEXT(VLOOKUP(CONCATENATE($A8,"_",BF$3),'Unit List'!$A$14:$H$2841,2,FALSE)),"X",$BE8)</f>
        <v/>
      </c>
      <c r="BG8" s="64" t="s">
        <v>0</v>
      </c>
      <c r="BH8" s="65" t="s">
        <v>0</v>
      </c>
      <c r="BI8" s="234"/>
      <c r="BJ8" s="235"/>
      <c r="BK8" s="235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List'!$A$14:$H$2841,2,FALSE)),"+","")</f>
        <v/>
      </c>
      <c r="C9" s="82" t="str">
        <f>IF(ISTEXT(VLOOKUP(CONCATENATE($A9,"_",C$3),'Unit List'!$A$14:$H$2841,2,FALSE)),"X",$B9)</f>
        <v>X</v>
      </c>
      <c r="D9" s="51" t="str">
        <f>IF(ISTEXT(VLOOKUP(CONCATENATE($A9,"_",D$3),'Unit List'!$A$14:$H$2841,2,FALSE)),"X",$B9)</f>
        <v/>
      </c>
      <c r="E9" s="51" t="str">
        <f>IF(ISTEXT(VLOOKUP(CONCATENATE($A9,"_",E$3),'Unit List'!$A$14:$H$2841,2,FALSE)),"X",$B9)</f>
        <v>X</v>
      </c>
      <c r="F9" s="67" t="str">
        <f>IF(ISTEXT(VLOOKUP(CONCATENATE($A9,"_",F$3),'Unit List'!$A$14:$H$2841,2,FALSE)),"X",$B9)</f>
        <v>X</v>
      </c>
      <c r="G9" s="67" t="str">
        <f>IF(ISTEXT(VLOOKUP(CONCATENATE($A9,"_",G$3),'Unit List'!$A$14:$H$2841,2,FALSE)),"X",$B9)</f>
        <v>X</v>
      </c>
      <c r="H9" s="67" t="str">
        <f>IF(ISTEXT(VLOOKUP(CONCATENATE($A9,"_",H$3),'Unit List'!$A$14:$H$2841,2,FALSE)),"X",$B9)</f>
        <v>X</v>
      </c>
      <c r="I9" s="53" t="str">
        <f>IF(ISTEXT(VLOOKUP(CONCATENATE($A9,"_",I$3),'Unit List'!$A$14:$H$2841,2,FALSE)),"X",$B9)</f>
        <v/>
      </c>
      <c r="J9" s="172" t="str">
        <f>IF(ISTEXT(VLOOKUP(CONCATENATE($A9,"_",J$3),'Unit List'!$A$14:$H$2841,2,FALSE)),"+","")</f>
        <v/>
      </c>
      <c r="K9" s="51" t="str">
        <f>IF(ISTEXT(VLOOKUP(CONCATENATE($A9,"_",K$3),'Unit List'!$A$14:$H$2841,2,FALSE)),"X",$J9)</f>
        <v/>
      </c>
      <c r="L9" s="62" t="str">
        <f>IF(ISTEXT(VLOOKUP(CONCATENATE($A9,"_",L$3),'Unit List'!$A$14:$H$2841,2,FALSE)),"X",$J9)</f>
        <v/>
      </c>
      <c r="M9" s="172" t="str">
        <f>IF(ISTEXT(VLOOKUP(CONCATENATE($A9,"_",M$3),'Unit List'!$A$14:$H$2841,2,FALSE)),"+","")</f>
        <v>+</v>
      </c>
      <c r="N9" s="60" t="str">
        <f>IF(ISTEXT(VLOOKUP(CONCATENATE($A9,"_",N$3),'Unit List'!$A$14:$H$2841,2,FALSE)),"X",$M9)</f>
        <v>+</v>
      </c>
      <c r="O9" s="70" t="str">
        <f>IF(ISTEXT(VLOOKUP(CONCATENATE($A9,"_",O$3),'Unit List'!$A$14:$H$2841,2,FALSE)),"X",$M9)</f>
        <v>X</v>
      </c>
      <c r="P9" s="172" t="str">
        <f>IF(ISTEXT(VLOOKUP(CONCATENATE($A9,"_",P$3),'Unit List'!$A$14:$H$2841,2,FALSE)),"+","")</f>
        <v/>
      </c>
      <c r="Q9" s="51" t="str">
        <f>IF(ISTEXT(VLOOKUP(CONCATENATE($A9,"_",Q$3),'Unit List'!$A$14:$H$2841,2,FALSE)),"X",$P9)</f>
        <v/>
      </c>
      <c r="R9" s="51" t="str">
        <f>IF(ISTEXT(VLOOKUP(CONCATENATE($A9,"_",R$3),'Unit List'!$A$14:$H$2841,2,FALSE)),"X",$P9)</f>
        <v/>
      </c>
      <c r="S9" s="51" t="str">
        <f>IF(ISTEXT(VLOOKUP(CONCATENATE($A9,"_",S$3),'Unit List'!$A$14:$H$2841,2,FALSE)),"X",$P9)</f>
        <v/>
      </c>
      <c r="T9" s="52" t="str">
        <f>IF(ISTEXT(VLOOKUP(CONCATENATE($A9,"_",T$3),'Unit List'!$A$14:$H$2841,2,FALSE)),"X",$P9)</f>
        <v/>
      </c>
      <c r="U9" s="67" t="str">
        <f>IF(ISTEXT(VLOOKUP(CONCATENATE($A9,"_",U$3),'Unit List'!$A$14:$H$2841,2,FALSE)),"X",$P9)</f>
        <v>X</v>
      </c>
      <c r="V9" s="51" t="str">
        <f>IF(ISTEXT(VLOOKUP(CONCATENATE($A9,"_",V$3),'Unit List'!$A$14:$H$2841,2,FALSE)),"X",$P9)</f>
        <v/>
      </c>
      <c r="W9" s="53" t="str">
        <f>IF(ISTEXT(VLOOKUP(CONCATENATE($A9,"_",W$3),'Unit List'!$A$14:$H$2841,2,FALSE)),"X",$P9)</f>
        <v/>
      </c>
      <c r="X9" s="172" t="str">
        <f>IF(ISTEXT(VLOOKUP(CONCATENATE($A9,"_",X$3),'Unit List'!$A$14:$H$2841,2,FALSE)),"+","")</f>
        <v/>
      </c>
      <c r="Y9" s="51" t="str">
        <f>IF(ISTEXT(VLOOKUP(CONCATENATE($A9,"_",Y$3),'Unit List'!$A$14:$H$2841,2,FALSE)),"X",$X9)</f>
        <v/>
      </c>
      <c r="Z9" s="51" t="str">
        <f>IF(ISTEXT(VLOOKUP(CONCATENATE($A9,"_",Z$3),'Unit List'!$A$14:$H$2841,2,FALSE)),"X",$X9)</f>
        <v/>
      </c>
      <c r="AA9" s="51" t="str">
        <f>IF(ISTEXT(VLOOKUP(CONCATENATE($A9,"_",AA$3),'Unit List'!$A$14:$H$2841,2,FALSE)),"X",$X9)</f>
        <v/>
      </c>
      <c r="AB9" s="51" t="str">
        <f>IF(ISTEXT(VLOOKUP(CONCATENATE($A9,"_",AB$3),'Unit List'!$A$14:$H$2841,2,FALSE)),"X",$X9)</f>
        <v/>
      </c>
      <c r="AC9" s="62" t="str">
        <f>IF(ISTEXT(VLOOKUP(CONCATENATE($A9,"_",AC$3),'Unit List'!$A$14:$H$2841,2,FALSE)),"X",$X9)</f>
        <v/>
      </c>
      <c r="AD9" s="172" t="str">
        <f>IF(ISTEXT(VLOOKUP(CONCATENATE($A9,"_",AD$3),'Unit List'!$A$14:$H$2841,2,FALSE)),"+","")</f>
        <v/>
      </c>
      <c r="AE9" s="51" t="str">
        <f>IF(ISTEXT(VLOOKUP(CONCATENATE($A9,"_",AE$3),'Unit List'!$A$14:$H$2841,2,FALSE)),"X",$AD9)</f>
        <v/>
      </c>
      <c r="AF9" s="51" t="str">
        <f>IF(ISTEXT(VLOOKUP(CONCATENATE($A9,"_",AF$3),'Unit List'!$A$14:$H$2841,2,FALSE)),"X",$AD9)</f>
        <v/>
      </c>
      <c r="AG9" s="172" t="str">
        <f>IF(ISTEXT(VLOOKUP(CONCATENATE($A9,"_",AG$3),'Unit List'!$A$14:$H$2841,2,FALSE)),"+","")</f>
        <v/>
      </c>
      <c r="AH9" s="51" t="str">
        <f>IF(ISTEXT(VLOOKUP(CONCATENATE($A9,"_",AH$3),'Unit List'!$A$14:$H$2841,2,FALSE)),"X",$AG9)</f>
        <v/>
      </c>
      <c r="AI9" s="51" t="str">
        <f>IF(ISTEXT(VLOOKUP(CONCATENATE($A9,"_",AI$3),'Unit List'!$A$14:$H$2841,2,FALSE)),"X",$AG9)</f>
        <v/>
      </c>
      <c r="AJ9" s="53" t="str">
        <f>IF(ISTEXT(VLOOKUP(CONCATENATE($A9,"_",AJ$3),'Unit List'!$A$14:$H$2841,2,FALSE)),"X",$AG9)</f>
        <v/>
      </c>
      <c r="AK9" s="172" t="str">
        <f>IF(ISTEXT(VLOOKUP(CONCATENATE($A9,"_",AK$3),'Unit List'!$A$14:$H$2841,2,FALSE)),"+","")</f>
        <v/>
      </c>
      <c r="AL9" s="52" t="str">
        <f>IF(ISTEXT(VLOOKUP(CONCATENATE($A9,"_",AL$3),'Unit List'!$A$14:$H$2841,2,FALSE)),"X",$AK9)</f>
        <v/>
      </c>
      <c r="AM9" s="53" t="str">
        <f>IF(ISTEXT(VLOOKUP(CONCATENATE($A9,"_",AM$3),'Unit List'!$A$14:$H$2841,2,FALSE)),"X",$AK9)</f>
        <v/>
      </c>
      <c r="AN9" s="125" t="str">
        <f>IF(ISTEXT(VLOOKUP(CONCATENATE($A9,"_",AN$3),'Unit List'!$A$14:$H$2841,2,FALSE)),"+","")</f>
        <v/>
      </c>
      <c r="AO9" s="53" t="str">
        <f>IF(ISTEXT(VLOOKUP(CONCATENATE($A9,"_",AO$3),'Unit List'!$A$14:$H$2841,2,FALSE)),"X",$AN9)</f>
        <v/>
      </c>
      <c r="AP9" s="172" t="str">
        <f>IF(ISTEXT(VLOOKUP(CONCATENATE($A9,"_",AP$3),'Unit List'!$A$14:$H$2841,2,FALSE)),"+","")</f>
        <v>+</v>
      </c>
      <c r="AQ9" s="51" t="str">
        <f>IF(ISTEXT(VLOOKUP(CONCATENATE($A9,"_",AQ$3),'Unit List'!$A$14:$H$2841,2,FALSE)),"X",$AP9)</f>
        <v>+</v>
      </c>
      <c r="AR9" s="67" t="str">
        <f>IF(ISTEXT(VLOOKUP(CONCATENATE($A9,"_",AR$3),'Unit List'!$A$14:$H$2841,2,FALSE)),"X",$AP9)</f>
        <v>X</v>
      </c>
      <c r="AS9" s="51" t="str">
        <f>IF(ISTEXT(VLOOKUP(CONCATENATE($A9,"_",AS$3),'Unit List'!$A$14:$H$2841,2,FALSE)),"X",$AP9)</f>
        <v>+</v>
      </c>
      <c r="AT9" s="53" t="str">
        <f>IF(ISTEXT(VLOOKUP(CONCATENATE($A9,"_",AT$3),'Unit List'!$A$14:$H$2841,2,FALSE)),"X",$AP9)</f>
        <v>+</v>
      </c>
      <c r="AU9" s="124" t="str">
        <f>IF(ISTEXT(VLOOKUP(CONCATENATE($A9,"_",AU$3),'Unit List'!$A$14:$H$2841,2,FALSE)),"+","")</f>
        <v/>
      </c>
      <c r="AV9" s="51" t="str">
        <f>IF(ISTEXT(VLOOKUP(CONCATENATE($A9,"_",AV$3),'Unit List'!$A$14:$H$2841,2,FALSE)),"X",$AU9)</f>
        <v/>
      </c>
      <c r="AW9" s="53" t="str">
        <f>IF(ISTEXT(VLOOKUP(CONCATENATE($A9,"_",AW$3),'Unit List'!$A$14:$H$2841,2,FALSE)),"X",$AU9)</f>
        <v/>
      </c>
      <c r="AX9" s="172" t="str">
        <f>IF(ISTEXT(VLOOKUP(CONCATENATE($A9,"_",AX$3),'Unit List'!$A$14:$H$2841,2,FALSE)),"+","")</f>
        <v>+</v>
      </c>
      <c r="AY9" s="51" t="str">
        <f>IF(ISTEXT(VLOOKUP(CONCATENATE($A9,"_",AY$3),'Unit List'!$A$14:$H$2841,2,FALSE)),"X",$AX9)</f>
        <v>+</v>
      </c>
      <c r="AZ9" s="53" t="str">
        <f>IF(ISTEXT(VLOOKUP(CONCATENATE($A9,"_",AZ$3),'Unit List'!$A$14:$H$2841,2,FALSE)),"X",$AX9)</f>
        <v>+</v>
      </c>
      <c r="BA9" s="182" t="str">
        <f>IF(ISTEXT(VLOOKUP(CONCATENATE($A9,"_",BA$3),'Unit List'!$A$14:$H$2841,2,FALSE)),"+","")</f>
        <v/>
      </c>
      <c r="BB9" s="51" t="str">
        <f>IF(ISTEXT(VLOOKUP(CONCATENATE($A9,"_",BB$3),'Unit List'!$A$14:$H$2841,2,FALSE)),"X",$BA9)</f>
        <v/>
      </c>
      <c r="BC9" s="51" t="str">
        <f>IF(ISTEXT(VLOOKUP(CONCATENATE($A9,"_",BC$3),'Unit List'!$A$14:$H$2841,2,FALSE)),"X",$BA9)</f>
        <v/>
      </c>
      <c r="BD9" s="53" t="str">
        <f>IF(ISTEXT(VLOOKUP(CONCATENATE($A9,"_",BD$3),'Unit List'!$A$14:$H$2841,2,FALSE)),"X",$BA9)</f>
        <v/>
      </c>
      <c r="BE9" s="125" t="str">
        <f>IF(ISTEXT(VLOOKUP(CONCATENATE($A9,"_",BE$3),'Unit List'!$A$14:$H$2841,2,FALSE)),"+","")</f>
        <v>+</v>
      </c>
      <c r="BF9" s="62" t="str">
        <f>IF(ISTEXT(VLOOKUP(CONCATENATE($A9,"_",BF$3),'Unit List'!$A$14:$H$2841,2,FALSE)),"X",$BE9)</f>
        <v>+</v>
      </c>
      <c r="BG9" s="64"/>
      <c r="BH9" s="65" t="s">
        <v>0</v>
      </c>
      <c r="BI9" s="211"/>
      <c r="BJ9" s="212"/>
      <c r="BK9" s="212"/>
      <c r="BL9" s="212"/>
      <c r="BM9" s="213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List'!$A$14:$H$2841,2,FALSE)),"+","")</f>
        <v/>
      </c>
      <c r="C10" s="57" t="str">
        <f>IF(ISTEXT(VLOOKUP(CONCATENATE($A10,"_",C$3),'Unit List'!$A$14:$H$2841,2,FALSE)),"X",$B10)</f>
        <v/>
      </c>
      <c r="D10" s="51" t="str">
        <f>IF(ISTEXT(VLOOKUP(CONCATENATE($A10,"_",D$3),'Unit List'!$A$14:$H$2841,2,FALSE)),"X",$B10)</f>
        <v/>
      </c>
      <c r="E10" s="51" t="str">
        <f>IF(ISTEXT(VLOOKUP(CONCATENATE($A10,"_",E$3),'Unit List'!$A$14:$H$2841,2,FALSE)),"X",$B10)</f>
        <v/>
      </c>
      <c r="F10" s="51" t="str">
        <f>IF(ISTEXT(VLOOKUP(CONCATENATE($A10,"_",F$3),'Unit List'!$A$14:$H$2841,2,FALSE)),"X",$B10)</f>
        <v/>
      </c>
      <c r="G10" s="51" t="str">
        <f>IF(ISTEXT(VLOOKUP(CONCATENATE($A10,"_",G$3),'Unit List'!$A$14:$H$2841,2,FALSE)),"X",$B10)</f>
        <v/>
      </c>
      <c r="H10" s="51" t="str">
        <f>IF(ISTEXT(VLOOKUP(CONCATENATE($A10,"_",H$3),'Unit List'!$A$14:$H$2841,2,FALSE)),"X",$B10)</f>
        <v/>
      </c>
      <c r="I10" s="53" t="str">
        <f>IF(ISTEXT(VLOOKUP(CONCATENATE($A10,"_",I$3),'Unit List'!$A$14:$H$2841,2,FALSE)),"X",$B10)</f>
        <v/>
      </c>
      <c r="J10" s="172" t="str">
        <f>IF(ISTEXT(VLOOKUP(CONCATENATE($A10,"_",J$3),'Unit List'!$A$14:$H$2841,2,FALSE)),"+","")</f>
        <v/>
      </c>
      <c r="K10" s="51" t="str">
        <f>IF(ISTEXT(VLOOKUP(CONCATENATE($A10,"_",K$3),'Unit List'!$A$14:$H$2841,2,FALSE)),"X",$J10)</f>
        <v/>
      </c>
      <c r="L10" s="62" t="str">
        <f>IF(ISTEXT(VLOOKUP(CONCATENATE($A10,"_",L$3),'Unit List'!$A$14:$H$2841,2,FALSE)),"X",$J10)</f>
        <v/>
      </c>
      <c r="M10" s="172" t="str">
        <f>IF(ISTEXT(VLOOKUP(CONCATENATE($A10,"_",M$3),'Unit List'!$A$14:$H$2841,2,FALSE)),"+","")</f>
        <v/>
      </c>
      <c r="N10" s="51" t="str">
        <f>IF(ISTEXT(VLOOKUP(CONCATENATE($A10,"_",N$3),'Unit List'!$A$14:$H$2841,2,FALSE)),"X",$M10)</f>
        <v/>
      </c>
      <c r="O10" s="53" t="str">
        <f>IF(ISTEXT(VLOOKUP(CONCATENATE($A10,"_",O$3),'Unit List'!$A$14:$H$2841,2,FALSE)),"X",$M10)</f>
        <v/>
      </c>
      <c r="P10" s="172" t="str">
        <f>IF(ISTEXT(VLOOKUP(CONCATENATE($A10,"_",P$3),'Unit List'!$A$14:$H$2841,2,FALSE)),"+","")</f>
        <v/>
      </c>
      <c r="Q10" s="51" t="str">
        <f>IF(ISTEXT(VLOOKUP(CONCATENATE($A10,"_",Q$3),'Unit List'!$A$14:$H$2841,2,FALSE)),"X",$P10)</f>
        <v/>
      </c>
      <c r="R10" s="51" t="str">
        <f>IF(ISTEXT(VLOOKUP(CONCATENATE($A10,"_",R$3),'Unit List'!$A$14:$H$2841,2,FALSE)),"X",$P10)</f>
        <v/>
      </c>
      <c r="S10" s="51" t="str">
        <f>IF(ISTEXT(VLOOKUP(CONCATENATE($A10,"_",S$3),'Unit List'!$A$14:$H$2841,2,FALSE)),"X",$P10)</f>
        <v/>
      </c>
      <c r="T10" s="52" t="str">
        <f>IF(ISTEXT(VLOOKUP(CONCATENATE($A10,"_",T$3),'Unit List'!$A$14:$H$2841,2,FALSE)),"X",$P10)</f>
        <v/>
      </c>
      <c r="U10" s="51" t="str">
        <f>IF(ISTEXT(VLOOKUP(CONCATENATE($A10,"_",U$3),'Unit List'!$A$14:$H$2841,2,FALSE)),"X",$P10)</f>
        <v/>
      </c>
      <c r="V10" s="51" t="str">
        <f>IF(ISTEXT(VLOOKUP(CONCATENATE($A10,"_",V$3),'Unit List'!$A$14:$H$2841,2,FALSE)),"X",$P10)</f>
        <v/>
      </c>
      <c r="W10" s="53" t="str">
        <f>IF(ISTEXT(VLOOKUP(CONCATENATE($A10,"_",W$3),'Unit List'!$A$14:$H$2841,2,FALSE)),"X",$P10)</f>
        <v/>
      </c>
      <c r="X10" s="172" t="str">
        <f>IF(ISTEXT(VLOOKUP(CONCATENATE($A10,"_",X$3),'Unit List'!$A$14:$H$2841,2,FALSE)),"+","")</f>
        <v/>
      </c>
      <c r="Y10" s="51" t="str">
        <f>IF(ISTEXT(VLOOKUP(CONCATENATE($A10,"_",Y$3),'Unit List'!$A$14:$H$2841,2,FALSE)),"X",$X10)</f>
        <v/>
      </c>
      <c r="Z10" s="51" t="str">
        <f>IF(ISTEXT(VLOOKUP(CONCATENATE($A10,"_",Z$3),'Unit List'!$A$14:$H$2841,2,FALSE)),"X",$X10)</f>
        <v/>
      </c>
      <c r="AA10" s="51" t="str">
        <f>IF(ISTEXT(VLOOKUP(CONCATENATE($A10,"_",AA$3),'Unit List'!$A$14:$H$2841,2,FALSE)),"X",$X10)</f>
        <v/>
      </c>
      <c r="AB10" s="51" t="str">
        <f>IF(ISTEXT(VLOOKUP(CONCATENATE($A10,"_",AB$3),'Unit List'!$A$14:$H$2841,2,FALSE)),"X",$X10)</f>
        <v/>
      </c>
      <c r="AC10" s="62" t="str">
        <f>IF(ISTEXT(VLOOKUP(CONCATENATE($A10,"_",AC$3),'Unit List'!$A$14:$H$2841,2,FALSE)),"X",$X10)</f>
        <v/>
      </c>
      <c r="AD10" s="172" t="str">
        <f>IF(ISTEXT(VLOOKUP(CONCATENATE($A10,"_",AD$3),'Unit List'!$A$14:$H$2841,2,FALSE)),"+","")</f>
        <v/>
      </c>
      <c r="AE10" s="51" t="str">
        <f>IF(ISTEXT(VLOOKUP(CONCATENATE($A10,"_",AE$3),'Unit List'!$A$14:$H$2841,2,FALSE)),"X",$AD10)</f>
        <v/>
      </c>
      <c r="AF10" s="51" t="str">
        <f>IF(ISTEXT(VLOOKUP(CONCATENATE($A10,"_",AF$3),'Unit List'!$A$14:$H$2841,2,FALSE)),"X",$AD10)</f>
        <v/>
      </c>
      <c r="AG10" s="172" t="str">
        <f>IF(ISTEXT(VLOOKUP(CONCATENATE($A10,"_",AG$3),'Unit List'!$A$14:$H$2841,2,FALSE)),"+","")</f>
        <v/>
      </c>
      <c r="AH10" s="83" t="str">
        <f>IF(ISTEXT(VLOOKUP(CONCATENATE($A10,"_",AH$3),'Unit List'!$A$14:$H$2841,2,FALSE)),"X",$AG10)</f>
        <v/>
      </c>
      <c r="AI10" s="83" t="str">
        <f>IF(ISTEXT(VLOOKUP(CONCATENATE($A10,"_",AI$3),'Unit List'!$A$14:$H$2841,2,FALSE)),"X",$AG10)</f>
        <v/>
      </c>
      <c r="AJ10" s="53" t="str">
        <f>IF(ISTEXT(VLOOKUP(CONCATENATE($A10,"_",AJ$3),'Unit List'!$A$14:$H$2841,2,FALSE)),"X",$AG10)</f>
        <v/>
      </c>
      <c r="AK10" s="172" t="str">
        <f>IF(ISTEXT(VLOOKUP(CONCATENATE($A10,"_",AK$3),'Unit List'!$A$14:$H$2841,2,FALSE)),"+","")</f>
        <v/>
      </c>
      <c r="AL10" s="52" t="str">
        <f>IF(ISTEXT(VLOOKUP(CONCATENATE($A10,"_",AL$3),'Unit List'!$A$14:$H$2841,2,FALSE)),"X",$AK10)</f>
        <v/>
      </c>
      <c r="AM10" s="53" t="str">
        <f>IF(ISTEXT(VLOOKUP(CONCATENATE($A10,"_",AM$3),'Unit List'!$A$14:$H$2841,2,FALSE)),"X",$AK10)</f>
        <v/>
      </c>
      <c r="AN10" s="125" t="str">
        <f>IF(ISTEXT(VLOOKUP(CONCATENATE($A10,"_",AN$3),'Unit List'!$A$14:$H$2841,2,FALSE)),"+","")</f>
        <v/>
      </c>
      <c r="AO10" s="53" t="str">
        <f>IF(ISTEXT(VLOOKUP(CONCATENATE($A10,"_",AO$3),'Unit List'!$A$14:$H$2841,2,FALSE)),"X",$AN10)</f>
        <v/>
      </c>
      <c r="AP10" s="172" t="str">
        <f>IF(ISTEXT(VLOOKUP(CONCATENATE($A10,"_",AP$3),'Unit List'!$A$14:$H$2841,2,FALSE)),"+","")</f>
        <v/>
      </c>
      <c r="AQ10" s="51" t="str">
        <f>IF(ISTEXT(VLOOKUP(CONCATENATE($A10,"_",AQ$3),'Unit List'!$A$14:$H$2841,2,FALSE)),"X",$AP10)</f>
        <v/>
      </c>
      <c r="AR10" s="51" t="str">
        <f>IF(ISTEXT(VLOOKUP(CONCATENATE($A10,"_",AR$3),'Unit List'!$A$14:$H$2841,2,FALSE)),"X",$AP10)</f>
        <v/>
      </c>
      <c r="AS10" s="51" t="str">
        <f>IF(ISTEXT(VLOOKUP(CONCATENATE($A10,"_",AS$3),'Unit List'!$A$14:$H$2841,2,FALSE)),"X",$AP10)</f>
        <v/>
      </c>
      <c r="AT10" s="53" t="str">
        <f>IF(ISTEXT(VLOOKUP(CONCATENATE($A10,"_",AT$3),'Unit List'!$A$14:$H$2841,2,FALSE)),"X",$AP10)</f>
        <v/>
      </c>
      <c r="AU10" s="124" t="str">
        <f>IF(ISTEXT(VLOOKUP(CONCATENATE($A10,"_",AU$3),'Unit List'!$A$14:$H$2841,2,FALSE)),"+","")</f>
        <v/>
      </c>
      <c r="AV10" s="51" t="str">
        <f>IF(ISTEXT(VLOOKUP(CONCATENATE($A10,"_",AV$3),'Unit List'!$A$14:$H$2841,2,FALSE)),"X",$AU10)</f>
        <v/>
      </c>
      <c r="AW10" s="53" t="str">
        <f>IF(ISTEXT(VLOOKUP(CONCATENATE($A10,"_",AW$3),'Unit List'!$A$14:$H$2841,2,FALSE)),"X",$AU10)</f>
        <v/>
      </c>
      <c r="AX10" s="172" t="str">
        <f>IF(ISTEXT(VLOOKUP(CONCATENATE($A10,"_",AX$3),'Unit List'!$A$14:$H$2841,2,FALSE)),"+","")</f>
        <v/>
      </c>
      <c r="AY10" s="51" t="str">
        <f>IF(ISTEXT(VLOOKUP(CONCATENATE($A10,"_",AY$3),'Unit List'!$A$14:$H$2841,2,FALSE)),"X",$AX10)</f>
        <v/>
      </c>
      <c r="AZ10" s="53" t="str">
        <f>IF(ISTEXT(VLOOKUP(CONCATENATE($A10,"_",AZ$3),'Unit List'!$A$14:$H$2841,2,FALSE)),"X",$AX10)</f>
        <v/>
      </c>
      <c r="BA10" s="182" t="str">
        <f>IF(ISTEXT(VLOOKUP(CONCATENATE($A10,"_",BA$3),'Unit List'!$A$14:$H$2841,2,FALSE)),"+","")</f>
        <v/>
      </c>
      <c r="BB10" s="51" t="str">
        <f>IF(ISTEXT(VLOOKUP(CONCATENATE($A10,"_",BB$3),'Unit List'!$A$14:$H$2841,2,FALSE)),"X",$BA10)</f>
        <v/>
      </c>
      <c r="BC10" s="51" t="str">
        <f>IF(ISTEXT(VLOOKUP(CONCATENATE($A10,"_",BC$3),'Unit List'!$A$14:$H$2841,2,FALSE)),"X",$BA10)</f>
        <v/>
      </c>
      <c r="BD10" s="53" t="str">
        <f>IF(ISTEXT(VLOOKUP(CONCATENATE($A10,"_",BD$3),'Unit List'!$A$14:$H$2841,2,FALSE)),"X",$BA10)</f>
        <v/>
      </c>
      <c r="BE10" s="125" t="str">
        <f>IF(ISTEXT(VLOOKUP(CONCATENATE($A10,"_",BE$3),'Unit List'!$A$14:$H$2841,2,FALSE)),"+","")</f>
        <v/>
      </c>
      <c r="BF10" s="62" t="str">
        <f>IF(ISTEXT(VLOOKUP(CONCATENATE($A10,"_",BF$3),'Unit List'!$A$14:$H$2841,2,FALSE)),"X",$BE10)</f>
        <v/>
      </c>
      <c r="BG10" s="75"/>
      <c r="BH10" s="84"/>
      <c r="BI10" s="211"/>
      <c r="BJ10" s="212"/>
      <c r="BK10" s="212"/>
      <c r="BL10" s="212"/>
      <c r="BM10" s="213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List'!$A$14:$H$2841,2,FALSE)),"+","")</f>
        <v/>
      </c>
      <c r="C11" s="85" t="str">
        <f>IF(ISTEXT(VLOOKUP(CONCATENATE($A11,"_",C$3),'Unit List'!$A$14:$H$2841,2,FALSE)),"X",$B11)</f>
        <v>X</v>
      </c>
      <c r="D11" s="67" t="str">
        <f>IF(ISTEXT(VLOOKUP(CONCATENATE($A11,"_",D$3),'Unit List'!$A$14:$H$2841,2,FALSE)),"X",$B11)</f>
        <v>X</v>
      </c>
      <c r="E11" s="51" t="str">
        <f>IF(ISTEXT(VLOOKUP(CONCATENATE($A11,"_",E$3),'Unit List'!$A$14:$H$2841,2,FALSE)),"X",$B11)</f>
        <v>X</v>
      </c>
      <c r="F11" s="67" t="str">
        <f>IF(ISTEXT(VLOOKUP(CONCATENATE($A11,"_",F$3),'Unit List'!$A$14:$H$2841,2,FALSE)),"X",$B11)</f>
        <v>X</v>
      </c>
      <c r="G11" s="67" t="str">
        <f>IF(ISTEXT(VLOOKUP(CONCATENATE($A11,"_",G$3),'Unit List'!$A$14:$H$2841,2,FALSE)),"X",$B11)</f>
        <v>X</v>
      </c>
      <c r="H11" s="51" t="str">
        <f>IF(ISTEXT(VLOOKUP(CONCATENATE($A11,"_",H$3),'Unit List'!$A$14:$H$2841,2,FALSE)),"X",$B11)</f>
        <v>X</v>
      </c>
      <c r="I11" s="70" t="str">
        <f>IF(ISTEXT(VLOOKUP(CONCATENATE($A11,"_",I$3),'Unit List'!$A$14:$H$2841,2,FALSE)),"X",$B11)</f>
        <v>X</v>
      </c>
      <c r="J11" s="172" t="str">
        <f>IF(ISTEXT(VLOOKUP(CONCATENATE($A11,"_",J$3),'Unit List'!$A$14:$H$2841,2,FALSE)),"+","")</f>
        <v/>
      </c>
      <c r="K11" s="51" t="str">
        <f>IF(ISTEXT(VLOOKUP(CONCATENATE($A11,"_",K$3),'Unit List'!$A$14:$H$2841,2,FALSE)),"X",$J11)</f>
        <v/>
      </c>
      <c r="L11" s="86" t="str">
        <f>IF(ISTEXT(VLOOKUP(CONCATENATE($A11,"_",L$3),'Unit List'!$A$14:$H$2841,2,FALSE)),"X",$J11)</f>
        <v>X</v>
      </c>
      <c r="M11" s="172" t="str">
        <f>IF(ISTEXT(VLOOKUP(CONCATENATE($A11,"_",M$3),'Unit List'!$A$14:$H$2841,2,FALSE)),"+","")</f>
        <v>+</v>
      </c>
      <c r="N11" s="67" t="str">
        <f>IF(ISTEXT(VLOOKUP(CONCATENATE($A11,"_",N$3),'Unit List'!$A$14:$H$2841,2,FALSE)),"X",$M11)</f>
        <v>X</v>
      </c>
      <c r="O11" s="70" t="str">
        <f>IF(ISTEXT(VLOOKUP(CONCATENATE($A11,"_",O$3),'Unit List'!$A$14:$H$2841,2,FALSE)),"X",$M11)</f>
        <v>X</v>
      </c>
      <c r="P11" s="172" t="str">
        <f>IF(ISTEXT(VLOOKUP(CONCATENATE($A11,"_",P$3),'Unit List'!$A$14:$H$2841,2,FALSE)),"+","")</f>
        <v/>
      </c>
      <c r="Q11" s="51" t="str">
        <f>IF(ISTEXT(VLOOKUP(CONCATENATE($A11,"_",Q$3),'Unit List'!$A$14:$H$2841,2,FALSE)),"X",$P11)</f>
        <v/>
      </c>
      <c r="R11" s="51" t="str">
        <f>IF(ISTEXT(VLOOKUP(CONCATENATE($A11,"_",R$3),'Unit List'!$A$14:$H$2841,2,FALSE)),"X",$P11)</f>
        <v/>
      </c>
      <c r="S11" s="67" t="str">
        <f>IF(ISTEXT(VLOOKUP(CONCATENATE($A11,"_",S$3),'Unit List'!$A$14:$H$2841,2,FALSE)),"X",$P11)</f>
        <v>X</v>
      </c>
      <c r="T11" s="52" t="str">
        <f>IF(ISTEXT(VLOOKUP(CONCATENATE($A11,"_",T$3),'Unit List'!$A$14:$H$2841,2,FALSE)),"X",$P11)</f>
        <v/>
      </c>
      <c r="U11" s="67" t="str">
        <f>IF(ISTEXT(VLOOKUP(CONCATENATE($A11,"_",U$3),'Unit List'!$A$14:$H$2841,2,FALSE)),"X",$P11)</f>
        <v>X</v>
      </c>
      <c r="V11" s="67" t="str">
        <f>IF(ISTEXT(VLOOKUP(CONCATENATE($A11,"_",V$3),'Unit List'!$A$14:$H$2841,2,FALSE)),"X",$P11)</f>
        <v>X</v>
      </c>
      <c r="W11" s="53" t="str">
        <f>IF(ISTEXT(VLOOKUP(CONCATENATE($A11,"_",W$3),'Unit List'!$A$14:$H$2841,2,FALSE)),"X",$P11)</f>
        <v/>
      </c>
      <c r="X11" s="172" t="str">
        <f>IF(ISTEXT(VLOOKUP(CONCATENATE($A11,"_",X$3),'Unit List'!$A$14:$H$2841,2,FALSE)),"+","")</f>
        <v/>
      </c>
      <c r="Y11" s="51" t="str">
        <f>IF(ISTEXT(VLOOKUP(CONCATENATE($A11,"_",Y$3),'Unit List'!$A$14:$H$2841,2,FALSE)),"X",$X11)</f>
        <v/>
      </c>
      <c r="Z11" s="51" t="str">
        <f>IF(ISTEXT(VLOOKUP(CONCATENATE($A11,"_",Z$3),'Unit List'!$A$14:$H$2841,2,FALSE)),"X",$X11)</f>
        <v/>
      </c>
      <c r="AA11" s="51" t="str">
        <f>IF(ISTEXT(VLOOKUP(CONCATENATE($A11,"_",AA$3),'Unit List'!$A$14:$H$2841,2,FALSE)),"X",$X11)</f>
        <v/>
      </c>
      <c r="AB11" s="67" t="str">
        <f>IF(ISTEXT(VLOOKUP(CONCATENATE($A11,"_",AB$3),'Unit List'!$A$14:$H$2841,2,FALSE)),"X",$X11)</f>
        <v>X</v>
      </c>
      <c r="AC11" s="62" t="str">
        <f>IF(ISTEXT(VLOOKUP(CONCATENATE($A11,"_",AC$3),'Unit List'!$A$14:$H$2841,2,FALSE)),"X",$X11)</f>
        <v/>
      </c>
      <c r="AD11" s="172" t="str">
        <f>IF(ISTEXT(VLOOKUP(CONCATENATE($A11,"_",AD$3),'Unit List'!$A$14:$H$2841,2,FALSE)),"+","")</f>
        <v/>
      </c>
      <c r="AE11" s="51" t="str">
        <f>IF(ISTEXT(VLOOKUP(CONCATENATE($A11,"_",AE$3),'Unit List'!$A$14:$H$2841,2,FALSE)),"X",$AD11)</f>
        <v/>
      </c>
      <c r="AF11" s="51" t="str">
        <f>IF(ISTEXT(VLOOKUP(CONCATENATE($A11,"_",AF$3),'Unit List'!$A$14:$H$2841,2,FALSE)),"X",$AD11)</f>
        <v/>
      </c>
      <c r="AG11" s="172" t="str">
        <f>IF(ISTEXT(VLOOKUP(CONCATENATE($A11,"_",AG$3),'Unit List'!$A$14:$H$2841,2,FALSE)),"+","")</f>
        <v/>
      </c>
      <c r="AH11" s="51" t="str">
        <f>IF(ISTEXT(VLOOKUP(CONCATENATE($A11,"_",AH$3),'Unit List'!$A$14:$H$2841,2,FALSE)),"X",$AG11)</f>
        <v/>
      </c>
      <c r="AI11" s="51" t="str">
        <f>IF(ISTEXT(VLOOKUP(CONCATENATE($A11,"_",AI$3),'Unit List'!$A$14:$H$2841,2,FALSE)),"X",$AG11)</f>
        <v/>
      </c>
      <c r="AJ11" s="53" t="str">
        <f>IF(ISTEXT(VLOOKUP(CONCATENATE($A11,"_",AJ$3),'Unit List'!$A$14:$H$2841,2,FALSE)),"X",$AG11)</f>
        <v/>
      </c>
      <c r="AK11" s="172" t="str">
        <f>IF(ISTEXT(VLOOKUP(CONCATENATE($A11,"_",AK$3),'Unit List'!$A$14:$H$2841,2,FALSE)),"+","")</f>
        <v/>
      </c>
      <c r="AL11" s="87" t="str">
        <f>IF(ISTEXT(VLOOKUP(CONCATENATE($A11,"_",AL$3),'Unit List'!$A$14:$H$2841,2,FALSE)),"X",$AK11)</f>
        <v>X</v>
      </c>
      <c r="AM11" s="53" t="str">
        <f>IF(ISTEXT(VLOOKUP(CONCATENATE($A11,"_",AM$3),'Unit List'!$A$14:$H$2841,2,FALSE)),"X",$AK11)</f>
        <v/>
      </c>
      <c r="AN11" s="125" t="str">
        <f>IF(ISTEXT(VLOOKUP(CONCATENATE($A11,"_",AN$3),'Unit List'!$A$14:$H$2841,2,FALSE)),"+","")</f>
        <v/>
      </c>
      <c r="AO11" s="53" t="str">
        <f>IF(ISTEXT(VLOOKUP(CONCATENATE($A11,"_",AO$3),'Unit List'!$A$14:$H$2841,2,FALSE)),"X",$AN11)</f>
        <v/>
      </c>
      <c r="AP11" s="172" t="str">
        <f>IF(ISTEXT(VLOOKUP(CONCATENATE($A11,"_",AP$3),'Unit List'!$A$14:$H$2841,2,FALSE)),"+","")</f>
        <v>+</v>
      </c>
      <c r="AQ11" s="67" t="str">
        <f>IF(ISTEXT(VLOOKUP(CONCATENATE($A11,"_",AQ$3),'Unit List'!$A$14:$H$2841,2,FALSE)),"X",$AP11)</f>
        <v>X</v>
      </c>
      <c r="AR11" s="67" t="str">
        <f>IF(ISTEXT(VLOOKUP(CONCATENATE($A11,"_",AR$3),'Unit List'!$A$14:$H$2841,2,FALSE)),"X",$AP11)</f>
        <v>X</v>
      </c>
      <c r="AS11" s="51" t="str">
        <f>IF(ISTEXT(VLOOKUP(CONCATENATE($A11,"_",AS$3),'Unit List'!$A$14:$H$2841,2,FALSE)),"X",$AP11)</f>
        <v>+</v>
      </c>
      <c r="AT11" s="53" t="str">
        <f>IF(ISTEXT(VLOOKUP(CONCATENATE($A11,"_",AT$3),'Unit List'!$A$14:$H$2841,2,FALSE)),"X",$AP11)</f>
        <v>+</v>
      </c>
      <c r="AU11" s="124" t="str">
        <f>IF(ISTEXT(VLOOKUP(CONCATENATE($A11,"_",AU$3),'Unit List'!$A$14:$H$2841,2,FALSE)),"+","")</f>
        <v/>
      </c>
      <c r="AV11" s="51" t="str">
        <f>IF(ISTEXT(VLOOKUP(CONCATENATE($A11,"_",AV$3),'Unit List'!$A$14:$H$2841,2,FALSE)),"X",$AU11)</f>
        <v/>
      </c>
      <c r="AW11" s="53" t="str">
        <f>IF(ISTEXT(VLOOKUP(CONCATENATE($A11,"_",AW$3),'Unit List'!$A$14:$H$2841,2,FALSE)),"X",$AU11)</f>
        <v/>
      </c>
      <c r="AX11" s="172" t="str">
        <f>IF(ISTEXT(VLOOKUP(CONCATENATE($A11,"_",AX$3),'Unit List'!$A$14:$H$2841,2,FALSE)),"+","")</f>
        <v>+</v>
      </c>
      <c r="AY11" s="51" t="str">
        <f>IF(ISTEXT(VLOOKUP(CONCATENATE($A11,"_",AY$3),'Unit List'!$A$14:$H$2841,2,FALSE)),"X",$AX11)</f>
        <v>+</v>
      </c>
      <c r="AZ11" s="53" t="str">
        <f>IF(ISTEXT(VLOOKUP(CONCATENATE($A11,"_",AZ$3),'Unit List'!$A$14:$H$2841,2,FALSE)),"X",$AX11)</f>
        <v>+</v>
      </c>
      <c r="BA11" s="182" t="str">
        <f>IF(ISTEXT(VLOOKUP(CONCATENATE($A11,"_",BA$3),'Unit List'!$A$14:$H$2841,2,FALSE)),"+","")</f>
        <v/>
      </c>
      <c r="BB11" s="51" t="str">
        <f>IF(ISTEXT(VLOOKUP(CONCATENATE($A11,"_",BB$3),'Unit List'!$A$14:$H$2841,2,FALSE)),"X",$BA11)</f>
        <v/>
      </c>
      <c r="BC11" s="51" t="str">
        <f>IF(ISTEXT(VLOOKUP(CONCATENATE($A11,"_",BC$3),'Unit List'!$A$14:$H$2841,2,FALSE)),"X",$BA11)</f>
        <v/>
      </c>
      <c r="BD11" s="53" t="str">
        <f>IF(ISTEXT(VLOOKUP(CONCATENATE($A11,"_",BD$3),'Unit List'!$A$14:$H$2841,2,FALSE)),"X",$BA11)</f>
        <v/>
      </c>
      <c r="BE11" s="125" t="str">
        <f>IF(ISTEXT(VLOOKUP(CONCATENATE($A11,"_",BE$3),'Unit List'!$A$14:$H$2841,2,FALSE)),"+","")</f>
        <v>+</v>
      </c>
      <c r="BF11" s="62" t="str">
        <f>IF(ISTEXT(VLOOKUP(CONCATENATE($A11,"_",BF$3),'Unit List'!$A$14:$H$2841,2,FALSE)),"X",$BE11)</f>
        <v>+</v>
      </c>
      <c r="BG11" s="64"/>
      <c r="BH11" s="65" t="s">
        <v>0</v>
      </c>
      <c r="BI11" s="211"/>
      <c r="BJ11" s="212"/>
      <c r="BK11" s="212"/>
      <c r="BL11" s="212"/>
      <c r="BM11" s="213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List'!$A$14:$H$2841,2,FALSE)),"+","")</f>
        <v/>
      </c>
      <c r="C12" s="57" t="str">
        <f>IF(ISTEXT(VLOOKUP(CONCATENATE($A12,"_",C$3),'Unit List'!$A$14:$H$2841,2,FALSE)),"X",$B12)</f>
        <v/>
      </c>
      <c r="D12" s="51" t="str">
        <f>IF(ISTEXT(VLOOKUP(CONCATENATE($A12,"_",D$3),'Unit List'!$A$14:$H$2841,2,FALSE)),"X",$B12)</f>
        <v/>
      </c>
      <c r="E12" s="51" t="str">
        <f>IF(ISTEXT(VLOOKUP(CONCATENATE($A12,"_",E$3),'Unit List'!$A$14:$H$2841,2,FALSE)),"X",$B12)</f>
        <v/>
      </c>
      <c r="F12" s="51" t="str">
        <f>IF(ISTEXT(VLOOKUP(CONCATENATE($A12,"_",F$3),'Unit List'!$A$14:$H$2841,2,FALSE)),"X",$B12)</f>
        <v>X</v>
      </c>
      <c r="G12" s="67" t="str">
        <f>IF(ISTEXT(VLOOKUP(CONCATENATE($A12,"_",G$3),'Unit List'!$A$14:$H$2841,2,FALSE)),"X",$B12)</f>
        <v>X</v>
      </c>
      <c r="H12" s="51" t="str">
        <f>IF(ISTEXT(VLOOKUP(CONCATENATE($A12,"_",H$3),'Unit List'!$A$14:$H$2841,2,FALSE)),"X",$B12)</f>
        <v/>
      </c>
      <c r="I12" s="53" t="str">
        <f>IF(ISTEXT(VLOOKUP(CONCATENATE($A12,"_",I$3),'Unit List'!$A$14:$H$2841,2,FALSE)),"X",$B12)</f>
        <v/>
      </c>
      <c r="J12" s="172" t="str">
        <f>IF(ISTEXT(VLOOKUP(CONCATENATE($A12,"_",J$3),'Unit List'!$A$14:$H$2841,2,FALSE)),"+","")</f>
        <v/>
      </c>
      <c r="K12" s="51" t="str">
        <f>IF(ISTEXT(VLOOKUP(CONCATENATE($A12,"_",K$3),'Unit List'!$A$14:$H$2841,2,FALSE)),"X",$J12)</f>
        <v/>
      </c>
      <c r="L12" s="62" t="str">
        <f>IF(ISTEXT(VLOOKUP(CONCATENATE($A12,"_",L$3),'Unit List'!$A$14:$H$2841,2,FALSE)),"X",$J12)</f>
        <v/>
      </c>
      <c r="M12" s="172" t="str">
        <f>IF(ISTEXT(VLOOKUP(CONCATENATE($A12,"_",M$3),'Unit List'!$A$14:$H$2841,2,FALSE)),"+","")</f>
        <v/>
      </c>
      <c r="N12" s="51" t="str">
        <f>IF(ISTEXT(VLOOKUP(CONCATENATE($A12,"_",N$3),'Unit List'!$A$14:$H$2841,2,FALSE)),"X",$M12)</f>
        <v/>
      </c>
      <c r="O12" s="53" t="str">
        <f>IF(ISTEXT(VLOOKUP(CONCATENATE($A12,"_",O$3),'Unit List'!$A$14:$H$2841,2,FALSE)),"X",$M12)</f>
        <v/>
      </c>
      <c r="P12" s="172" t="str">
        <f>IF(ISTEXT(VLOOKUP(CONCATENATE($A12,"_",P$3),'Unit List'!$A$14:$H$2841,2,FALSE)),"+","")</f>
        <v/>
      </c>
      <c r="Q12" s="51" t="str">
        <f>IF(ISTEXT(VLOOKUP(CONCATENATE($A12,"_",Q$3),'Unit List'!$A$14:$H$2841,2,FALSE)),"X",$P12)</f>
        <v/>
      </c>
      <c r="R12" s="51" t="str">
        <f>IF(ISTEXT(VLOOKUP(CONCATENATE($A12,"_",R$3),'Unit List'!$A$14:$H$2841,2,FALSE)),"X",$P12)</f>
        <v/>
      </c>
      <c r="S12" s="51" t="str">
        <f>IF(ISTEXT(VLOOKUP(CONCATENATE($A12,"_",S$3),'Unit List'!$A$14:$H$2841,2,FALSE)),"X",$P12)</f>
        <v/>
      </c>
      <c r="T12" s="52" t="str">
        <f>IF(ISTEXT(VLOOKUP(CONCATENATE($A12,"_",T$3),'Unit List'!$A$14:$H$2841,2,FALSE)),"X",$P12)</f>
        <v/>
      </c>
      <c r="U12" s="51" t="str">
        <f>IF(ISTEXT(VLOOKUP(CONCATENATE($A12,"_",U$3),'Unit List'!$A$14:$H$2841,2,FALSE)),"X",$P12)</f>
        <v/>
      </c>
      <c r="V12" s="51" t="str">
        <f>IF(ISTEXT(VLOOKUP(CONCATENATE($A12,"_",V$3),'Unit List'!$A$14:$H$2841,2,FALSE)),"X",$P12)</f>
        <v/>
      </c>
      <c r="W12" s="53" t="str">
        <f>IF(ISTEXT(VLOOKUP(CONCATENATE($A12,"_",W$3),'Unit List'!$A$14:$H$2841,2,FALSE)),"X",$P12)</f>
        <v/>
      </c>
      <c r="X12" s="172" t="str">
        <f>IF(ISTEXT(VLOOKUP(CONCATENATE($A12,"_",X$3),'Unit List'!$A$14:$H$2841,2,FALSE)),"+","")</f>
        <v/>
      </c>
      <c r="Y12" s="51" t="str">
        <f>IF(ISTEXT(VLOOKUP(CONCATENATE($A12,"_",Y$3),'Unit List'!$A$14:$H$2841,2,FALSE)),"X",$X12)</f>
        <v/>
      </c>
      <c r="Z12" s="51" t="str">
        <f>IF(ISTEXT(VLOOKUP(CONCATENATE($A12,"_",Z$3),'Unit List'!$A$14:$H$2841,2,FALSE)),"X",$X12)</f>
        <v/>
      </c>
      <c r="AA12" s="51" t="str">
        <f>IF(ISTEXT(VLOOKUP(CONCATENATE($A12,"_",AA$3),'Unit List'!$A$14:$H$2841,2,FALSE)),"X",$X12)</f>
        <v/>
      </c>
      <c r="AB12" s="51" t="str">
        <f>IF(ISTEXT(VLOOKUP(CONCATENATE($A12,"_",AB$3),'Unit List'!$A$14:$H$2841,2,FALSE)),"X",$X12)</f>
        <v/>
      </c>
      <c r="AC12" s="62" t="str">
        <f>IF(ISTEXT(VLOOKUP(CONCATENATE($A12,"_",AC$3),'Unit List'!$A$14:$H$2841,2,FALSE)),"X",$X12)</f>
        <v/>
      </c>
      <c r="AD12" s="172" t="str">
        <f>IF(ISTEXT(VLOOKUP(CONCATENATE($A12,"_",AD$3),'Unit List'!$A$14:$H$2841,2,FALSE)),"+","")</f>
        <v/>
      </c>
      <c r="AE12" s="51" t="str">
        <f>IF(ISTEXT(VLOOKUP(CONCATENATE($A12,"_",AE$3),'Unit List'!$A$14:$H$2841,2,FALSE)),"X",$AD12)</f>
        <v/>
      </c>
      <c r="AF12" s="51" t="str">
        <f>IF(ISTEXT(VLOOKUP(CONCATENATE($A12,"_",AF$3),'Unit List'!$A$14:$H$2841,2,FALSE)),"X",$AD12)</f>
        <v/>
      </c>
      <c r="AG12" s="172" t="str">
        <f>IF(ISTEXT(VLOOKUP(CONCATENATE($A12,"_",AG$3),'Unit List'!$A$14:$H$2841,2,FALSE)),"+","")</f>
        <v/>
      </c>
      <c r="AH12" s="51" t="str">
        <f>IF(ISTEXT(VLOOKUP(CONCATENATE($A12,"_",AH$3),'Unit List'!$A$14:$H$2841,2,FALSE)),"X",$AG12)</f>
        <v/>
      </c>
      <c r="AI12" s="51" t="str">
        <f>IF(ISTEXT(VLOOKUP(CONCATENATE($A12,"_",AI$3),'Unit List'!$A$14:$H$2841,2,FALSE)),"X",$AG12)</f>
        <v/>
      </c>
      <c r="AJ12" s="53" t="str">
        <f>IF(ISTEXT(VLOOKUP(CONCATENATE($A12,"_",AJ$3),'Unit List'!$A$14:$H$2841,2,FALSE)),"X",$AG12)</f>
        <v/>
      </c>
      <c r="AK12" s="172" t="str">
        <f>IF(ISTEXT(VLOOKUP(CONCATENATE($A12,"_",AK$3),'Unit List'!$A$14:$H$2841,2,FALSE)),"+","")</f>
        <v/>
      </c>
      <c r="AL12" s="52" t="str">
        <f>IF(ISTEXT(VLOOKUP(CONCATENATE($A12,"_",AL$3),'Unit List'!$A$14:$H$2841,2,FALSE)),"X",$AK12)</f>
        <v/>
      </c>
      <c r="AM12" s="61" t="str">
        <f>IF(ISTEXT(VLOOKUP(CONCATENATE($A12,"_",AM$3),'Unit List'!$A$14:$H$2841,2,FALSE)),"X",$AK12)</f>
        <v/>
      </c>
      <c r="AN12" s="125" t="str">
        <f>IF(ISTEXT(VLOOKUP(CONCATENATE($A12,"_",AN$3),'Unit List'!$A$14:$H$2841,2,FALSE)),"+","")</f>
        <v/>
      </c>
      <c r="AO12" s="53" t="str">
        <f>IF(ISTEXT(VLOOKUP(CONCATENATE($A12,"_",AO$3),'Unit List'!$A$14:$H$2841,2,FALSE)),"X",$AN12)</f>
        <v/>
      </c>
      <c r="AP12" s="172" t="str">
        <f>IF(ISTEXT(VLOOKUP(CONCATENATE($A12,"_",AP$3),'Unit List'!$A$14:$H$2841,2,FALSE)),"+","")</f>
        <v/>
      </c>
      <c r="AQ12" s="51" t="str">
        <f>IF(ISTEXT(VLOOKUP(CONCATENATE($A12,"_",AQ$3),'Unit List'!$A$14:$H$2841,2,FALSE)),"X",$AP12)</f>
        <v/>
      </c>
      <c r="AR12" s="51" t="str">
        <f>IF(ISTEXT(VLOOKUP(CONCATENATE($A12,"_",AR$3),'Unit List'!$A$14:$H$2841,2,FALSE)),"X",$AP12)</f>
        <v/>
      </c>
      <c r="AS12" s="51" t="str">
        <f>IF(ISTEXT(VLOOKUP(CONCATENATE($A12,"_",AS$3),'Unit List'!$A$14:$H$2841,2,FALSE)),"X",$AP12)</f>
        <v/>
      </c>
      <c r="AT12" s="53" t="str">
        <f>IF(ISTEXT(VLOOKUP(CONCATENATE($A12,"_",AT$3),'Unit List'!$A$14:$H$2841,2,FALSE)),"X",$AP12)</f>
        <v/>
      </c>
      <c r="AU12" s="124" t="str">
        <f>IF(ISTEXT(VLOOKUP(CONCATENATE($A12,"_",AU$3),'Unit List'!$A$14:$H$2841,2,FALSE)),"+","")</f>
        <v/>
      </c>
      <c r="AV12" s="51" t="str">
        <f>IF(ISTEXT(VLOOKUP(CONCATENATE($A12,"_",AV$3),'Unit List'!$A$14:$H$2841,2,FALSE)),"X",$AU12)</f>
        <v/>
      </c>
      <c r="AW12" s="53" t="str">
        <f>IF(ISTEXT(VLOOKUP(CONCATENATE($A12,"_",AW$3),'Unit List'!$A$14:$H$2841,2,FALSE)),"X",$AU12)</f>
        <v/>
      </c>
      <c r="AX12" s="172" t="str">
        <f>IF(ISTEXT(VLOOKUP(CONCATENATE($A12,"_",AX$3),'Unit List'!$A$14:$H$2841,2,FALSE)),"+","")</f>
        <v/>
      </c>
      <c r="AY12" s="51" t="str">
        <f>IF(ISTEXT(VLOOKUP(CONCATENATE($A12,"_",AY$3),'Unit List'!$A$14:$H$2841,2,FALSE)),"X",$AX12)</f>
        <v/>
      </c>
      <c r="AZ12" s="53" t="str">
        <f>IF(ISTEXT(VLOOKUP(CONCATENATE($A12,"_",AZ$3),'Unit List'!$A$14:$H$2841,2,FALSE)),"X",$AX12)</f>
        <v/>
      </c>
      <c r="BA12" s="182" t="str">
        <f>IF(ISTEXT(VLOOKUP(CONCATENATE($A12,"_",BA$3),'Unit List'!$A$14:$H$2841,2,FALSE)),"+","")</f>
        <v/>
      </c>
      <c r="BB12" s="51" t="str">
        <f>IF(ISTEXT(VLOOKUP(CONCATENATE($A12,"_",BB$3),'Unit List'!$A$14:$H$2841,2,FALSE)),"X",$BA12)</f>
        <v/>
      </c>
      <c r="BC12" s="51" t="str">
        <f>IF(ISTEXT(VLOOKUP(CONCATENATE($A12,"_",BC$3),'Unit List'!$A$14:$H$2841,2,FALSE)),"X",$BA12)</f>
        <v/>
      </c>
      <c r="BD12" s="53" t="str">
        <f>IF(ISTEXT(VLOOKUP(CONCATENATE($A12,"_",BD$3),'Unit List'!$A$14:$H$2841,2,FALSE)),"X",$BA12)</f>
        <v/>
      </c>
      <c r="BE12" s="125" t="str">
        <f>IF(ISTEXT(VLOOKUP(CONCATENATE($A12,"_",BE$3),'Unit List'!$A$14:$H$2841,2,FALSE)),"+","")</f>
        <v/>
      </c>
      <c r="BF12" s="62" t="str">
        <f>IF(ISTEXT(VLOOKUP(CONCATENATE($A12,"_",BF$3),'Unit List'!$A$14:$H$2841,2,FALSE)),"X",$BE12)</f>
        <v/>
      </c>
      <c r="BG12" s="64"/>
      <c r="BH12" s="65" t="s">
        <v>0</v>
      </c>
      <c r="BI12" s="211"/>
      <c r="BJ12" s="212"/>
      <c r="BK12" s="212"/>
      <c r="BL12" s="212"/>
      <c r="BM12" s="213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List'!$A$14:$H$2841,2,FALSE)),"+","")</f>
        <v/>
      </c>
      <c r="C13" s="57" t="str">
        <f>IF(ISTEXT(VLOOKUP(CONCATENATE($A13,"_",C$3),'Unit List'!$A$14:$H$2841,2,FALSE)),"X",$B13)</f>
        <v/>
      </c>
      <c r="D13" s="51" t="str">
        <f>IF(ISTEXT(VLOOKUP(CONCATENATE($A13,"_",D$3),'Unit List'!$A$14:$H$2841,2,FALSE)),"X",$B13)</f>
        <v/>
      </c>
      <c r="E13" s="51" t="str">
        <f>IF(ISTEXT(VLOOKUP(CONCATENATE($A13,"_",E$3),'Unit List'!$A$14:$H$2841,2,FALSE)),"X",$B13)</f>
        <v/>
      </c>
      <c r="F13" s="51" t="str">
        <f>IF(ISTEXT(VLOOKUP(CONCATENATE($A13,"_",F$3),'Unit List'!$A$14:$H$2841,2,FALSE)),"X",$B13)</f>
        <v/>
      </c>
      <c r="G13" s="51" t="str">
        <f>IF(ISTEXT(VLOOKUP(CONCATENATE($A13,"_",G$3),'Unit List'!$A$14:$H$2841,2,FALSE)),"X",$B13)</f>
        <v/>
      </c>
      <c r="H13" s="51" t="str">
        <f>IF(ISTEXT(VLOOKUP(CONCATENATE($A13,"_",H$3),'Unit List'!$A$14:$H$2841,2,FALSE)),"X",$B13)</f>
        <v/>
      </c>
      <c r="I13" s="53" t="str">
        <f>IF(ISTEXT(VLOOKUP(CONCATENATE($A13,"_",I$3),'Unit List'!$A$14:$H$2841,2,FALSE)),"X",$B13)</f>
        <v/>
      </c>
      <c r="J13" s="172" t="str">
        <f>IF(ISTEXT(VLOOKUP(CONCATENATE($A13,"_",J$3),'Unit List'!$A$14:$H$2841,2,FALSE)),"+","")</f>
        <v/>
      </c>
      <c r="K13" s="51" t="str">
        <f>IF(ISTEXT(VLOOKUP(CONCATENATE($A13,"_",K$3),'Unit List'!$A$14:$H$2841,2,FALSE)),"X",$J13)</f>
        <v/>
      </c>
      <c r="L13" s="62" t="str">
        <f>IF(ISTEXT(VLOOKUP(CONCATENATE($A13,"_",L$3),'Unit List'!$A$14:$H$2841,2,FALSE)),"X",$J13)</f>
        <v/>
      </c>
      <c r="M13" s="172" t="str">
        <f>IF(ISTEXT(VLOOKUP(CONCATENATE($A13,"_",M$3),'Unit List'!$A$14:$H$2841,2,FALSE)),"+","")</f>
        <v/>
      </c>
      <c r="N13" s="51" t="str">
        <f>IF(ISTEXT(VLOOKUP(CONCATENATE($A13,"_",N$3),'Unit List'!$A$14:$H$2841,2,FALSE)),"X",$M13)</f>
        <v/>
      </c>
      <c r="O13" s="53" t="str">
        <f>IF(ISTEXT(VLOOKUP(CONCATENATE($A13,"_",O$3),'Unit List'!$A$14:$H$2841,2,FALSE)),"X",$M13)</f>
        <v/>
      </c>
      <c r="P13" s="172" t="str">
        <f>IF(ISTEXT(VLOOKUP(CONCATENATE($A13,"_",P$3),'Unit List'!$A$14:$H$2841,2,FALSE)),"+","")</f>
        <v/>
      </c>
      <c r="Q13" s="51" t="str">
        <f>IF(ISTEXT(VLOOKUP(CONCATENATE($A13,"_",Q$3),'Unit List'!$A$14:$H$2841,2,FALSE)),"X",$P13)</f>
        <v/>
      </c>
      <c r="R13" s="51" t="str">
        <f>IF(ISTEXT(VLOOKUP(CONCATENATE($A13,"_",R$3),'Unit List'!$A$14:$H$2841,2,FALSE)),"X",$P13)</f>
        <v/>
      </c>
      <c r="S13" s="51" t="str">
        <f>IF(ISTEXT(VLOOKUP(CONCATENATE($A13,"_",S$3),'Unit List'!$A$14:$H$2841,2,FALSE)),"X",$P13)</f>
        <v/>
      </c>
      <c r="T13" s="88" t="s">
        <v>0</v>
      </c>
      <c r="U13" s="51" t="str">
        <f>IF(ISTEXT(VLOOKUP(CONCATENATE($A13,"_",U$3),'Unit List'!$A$14:$H$2841,2,FALSE)),"X",$P13)</f>
        <v/>
      </c>
      <c r="V13" s="51" t="str">
        <f>IF(ISTEXT(VLOOKUP(CONCATENATE($A13,"_",V$3),'Unit List'!$A$14:$H$2841,2,FALSE)),"X",$P13)</f>
        <v/>
      </c>
      <c r="W13" s="53" t="str">
        <f>IF(ISTEXT(VLOOKUP(CONCATENATE($A13,"_",W$3),'Unit List'!$A$14:$H$2841,2,FALSE)),"X",$P13)</f>
        <v/>
      </c>
      <c r="X13" s="172" t="str">
        <f>IF(ISTEXT(VLOOKUP(CONCATENATE($A13,"_",X$3),'Unit List'!$A$14:$H$2841,2,FALSE)),"+","")</f>
        <v/>
      </c>
      <c r="Y13" s="51" t="str">
        <f>IF(ISTEXT(VLOOKUP(CONCATENATE($A13,"_",Y$3),'Unit List'!$A$14:$H$2841,2,FALSE)),"X",$X13)</f>
        <v/>
      </c>
      <c r="Z13" s="51" t="str">
        <f>IF(ISTEXT(VLOOKUP(CONCATENATE($A13,"_",Z$3),'Unit List'!$A$14:$H$2841,2,FALSE)),"X",$X13)</f>
        <v/>
      </c>
      <c r="AA13" s="51" t="str">
        <f>IF(ISTEXT(VLOOKUP(CONCATENATE($A13,"_",AA$3),'Unit List'!$A$14:$H$2841,2,FALSE)),"X",$X13)</f>
        <v/>
      </c>
      <c r="AB13" s="51" t="str">
        <f>IF(ISTEXT(VLOOKUP(CONCATENATE($A13,"_",AB$3),'Unit List'!$A$14:$H$2841,2,FALSE)),"X",$X13)</f>
        <v/>
      </c>
      <c r="AC13" s="62" t="str">
        <f>IF(ISTEXT(VLOOKUP(CONCATENATE($A13,"_",AC$3),'Unit List'!$A$14:$H$2841,2,FALSE)),"X",$X13)</f>
        <v/>
      </c>
      <c r="AD13" s="172" t="str">
        <f>IF(ISTEXT(VLOOKUP(CONCATENATE($A13,"_",AD$3),'Unit List'!$A$14:$H$2841,2,FALSE)),"+","")</f>
        <v/>
      </c>
      <c r="AE13" s="51" t="str">
        <f>IF(ISTEXT(VLOOKUP(CONCATENATE($A13,"_",AE$3),'Unit List'!$A$14:$H$2841,2,FALSE)),"X",$AD13)</f>
        <v/>
      </c>
      <c r="AF13" s="51" t="str">
        <f>IF(ISTEXT(VLOOKUP(CONCATENATE($A13,"_",AF$3),'Unit List'!$A$14:$H$2841,2,FALSE)),"X",$AD13)</f>
        <v/>
      </c>
      <c r="AG13" s="172" t="str">
        <f>IF(ISTEXT(VLOOKUP(CONCATENATE($A13,"_",AG$3),'Unit List'!$A$14:$H$2841,2,FALSE)),"+","")</f>
        <v/>
      </c>
      <c r="AH13" s="51" t="str">
        <f>IF(ISTEXT(VLOOKUP(CONCATENATE($A13,"_",AH$3),'Unit List'!$A$14:$H$2841,2,FALSE)),"X",$AG13)</f>
        <v/>
      </c>
      <c r="AI13" s="51" t="str">
        <f>IF(ISTEXT(VLOOKUP(CONCATENATE($A13,"_",AI$3),'Unit List'!$A$14:$H$2841,2,FALSE)),"X",$AG13)</f>
        <v/>
      </c>
      <c r="AJ13" s="53" t="str">
        <f>IF(ISTEXT(VLOOKUP(CONCATENATE($A13,"_",AJ$3),'Unit List'!$A$14:$H$2841,2,FALSE)),"X",$AG13)</f>
        <v/>
      </c>
      <c r="AK13" s="172" t="str">
        <f>IF(ISTEXT(VLOOKUP(CONCATENATE($A13,"_",AK$3),'Unit List'!$A$14:$H$2841,2,FALSE)),"+","")</f>
        <v/>
      </c>
      <c r="AL13" s="52" t="str">
        <f>IF(ISTEXT(VLOOKUP(CONCATENATE($A13,"_",AL$3),'Unit List'!$A$14:$H$2841,2,FALSE)),"X",$AK13)</f>
        <v/>
      </c>
      <c r="AM13" s="53" t="str">
        <f>IF(ISTEXT(VLOOKUP(CONCATENATE($A13,"_",AM$3),'Unit List'!$A$14:$H$2841,2,FALSE)),"X",$AK13)</f>
        <v/>
      </c>
      <c r="AN13" s="125" t="str">
        <f>IF(ISTEXT(VLOOKUP(CONCATENATE($A13,"_",AN$3),'Unit List'!$A$14:$H$2841,2,FALSE)),"+","")</f>
        <v/>
      </c>
      <c r="AO13" s="53" t="str">
        <f>IF(ISTEXT(VLOOKUP(CONCATENATE($A13,"_",AO$3),'Unit List'!$A$14:$H$2841,2,FALSE)),"X",$AN13)</f>
        <v/>
      </c>
      <c r="AP13" s="172" t="str">
        <f>IF(ISTEXT(VLOOKUP(CONCATENATE($A13,"_",AP$3),'Unit List'!$A$14:$H$2841,2,FALSE)),"+","")</f>
        <v/>
      </c>
      <c r="AQ13" s="51" t="str">
        <f>IF(ISTEXT(VLOOKUP(CONCATENATE($A13,"_",AQ$3),'Unit List'!$A$14:$H$2841,2,FALSE)),"X",$AP13)</f>
        <v/>
      </c>
      <c r="AR13" s="51" t="str">
        <f>IF(ISTEXT(VLOOKUP(CONCATENATE($A13,"_",AR$3),'Unit List'!$A$14:$H$2841,2,FALSE)),"X",$AP13)</f>
        <v/>
      </c>
      <c r="AS13" s="89" t="s">
        <v>0</v>
      </c>
      <c r="AT13" s="53" t="str">
        <f>IF(ISTEXT(VLOOKUP(CONCATENATE($A13,"_",AT$3),'Unit List'!$A$14:$H$2841,2,FALSE)),"X",$AP13)</f>
        <v/>
      </c>
      <c r="AU13" s="124" t="str">
        <f>IF(ISTEXT(VLOOKUP(CONCATENATE($A13,"_",AU$3),'Unit List'!$A$14:$H$2841,2,FALSE)),"+","")</f>
        <v/>
      </c>
      <c r="AV13" s="51" t="str">
        <f>IF(ISTEXT(VLOOKUP(CONCATENATE($A13,"_",AV$3),'Unit List'!$A$14:$H$2841,2,FALSE)),"X",$AU13)</f>
        <v/>
      </c>
      <c r="AW13" s="53" t="str">
        <f>IF(ISTEXT(VLOOKUP(CONCATENATE($A13,"_",AW$3),'Unit List'!$A$14:$H$2841,2,FALSE)),"X",$AU13)</f>
        <v/>
      </c>
      <c r="AX13" s="172" t="str">
        <f>IF(ISTEXT(VLOOKUP(CONCATENATE($A13,"_",AX$3),'Unit List'!$A$14:$H$2841,2,FALSE)),"+","")</f>
        <v/>
      </c>
      <c r="AY13" s="51" t="str">
        <f>IF(ISTEXT(VLOOKUP(CONCATENATE($A13,"_",AY$3),'Unit List'!$A$14:$H$2841,2,FALSE)),"X",$AX13)</f>
        <v/>
      </c>
      <c r="AZ13" s="53" t="str">
        <f>IF(ISTEXT(VLOOKUP(CONCATENATE($A13,"_",AZ$3),'Unit List'!$A$14:$H$2841,2,FALSE)),"X",$AX13)</f>
        <v/>
      </c>
      <c r="BA13" s="182" t="str">
        <f>IF(ISTEXT(VLOOKUP(CONCATENATE($A13,"_",BA$3),'Unit List'!$A$14:$H$2841,2,FALSE)),"+","")</f>
        <v/>
      </c>
      <c r="BB13" s="51" t="str">
        <f>IF(ISTEXT(VLOOKUP(CONCATENATE($A13,"_",BB$3),'Unit List'!$A$14:$H$2841,2,FALSE)),"X",$BA13)</f>
        <v/>
      </c>
      <c r="BC13" s="51" t="str">
        <f>IF(ISTEXT(VLOOKUP(CONCATENATE($A13,"_",BC$3),'Unit List'!$A$14:$H$2841,2,FALSE)),"X",$BA13)</f>
        <v/>
      </c>
      <c r="BD13" s="53" t="str">
        <f>IF(ISTEXT(VLOOKUP(CONCATENATE($A13,"_",BD$3),'Unit List'!$A$14:$H$2841,2,FALSE)),"X",$BA13)</f>
        <v/>
      </c>
      <c r="BE13" s="125" t="str">
        <f>IF(ISTEXT(VLOOKUP(CONCATENATE($A13,"_",BE$3),'Unit List'!$A$14:$H$2841,2,FALSE)),"+","")</f>
        <v/>
      </c>
      <c r="BF13" s="62" t="str">
        <f>IF(ISTEXT(VLOOKUP(CONCATENATE($A13,"_",BF$3),'Unit List'!$A$14:$H$2841,2,FALSE)),"X",$BE13)</f>
        <v/>
      </c>
      <c r="BG13" s="75"/>
      <c r="BH13" s="84"/>
      <c r="BI13" s="211"/>
      <c r="BJ13" s="212"/>
      <c r="BK13" s="212"/>
      <c r="BL13" s="212"/>
      <c r="BM13" s="213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List'!$A$14:$H$2841,2,FALSE)),"+","")</f>
        <v/>
      </c>
      <c r="C14" s="82" t="str">
        <f>IF(ISTEXT(VLOOKUP(CONCATENATE($A14,"_",C$3),'Unit List'!$A$14:$H$2841,2,FALSE)),"X",$B14)</f>
        <v>X</v>
      </c>
      <c r="D14" s="51" t="str">
        <f>IF(ISTEXT(VLOOKUP(CONCATENATE($A14,"_",D$3),'Unit List'!$A$14:$H$2841,2,FALSE)),"X",$B14)</f>
        <v>X</v>
      </c>
      <c r="E14" s="51" t="str">
        <f>IF(ISTEXT(VLOOKUP(CONCATENATE($A14,"_",E$3),'Unit List'!$A$14:$H$2841,2,FALSE)),"X",$B14)</f>
        <v>X</v>
      </c>
      <c r="F14" s="67" t="str">
        <f>IF(ISTEXT(VLOOKUP(CONCATENATE($A14,"_",F$3),'Unit List'!$A$14:$H$2841,2,FALSE)),"X",$B14)</f>
        <v>X</v>
      </c>
      <c r="G14" s="67" t="str">
        <f>IF(ISTEXT(VLOOKUP(CONCATENATE($A14,"_",G$3),'Unit List'!$A$14:$H$2841,2,FALSE)),"X",$B14)</f>
        <v>X</v>
      </c>
      <c r="H14" s="67" t="str">
        <f>IF(ISTEXT(VLOOKUP(CONCATENATE($A14,"_",H$3),'Unit List'!$A$14:$H$2841,2,FALSE)),"X",$B14)</f>
        <v>X</v>
      </c>
      <c r="I14" s="53" t="str">
        <f>IF(ISTEXT(VLOOKUP(CONCATENATE($A14,"_",I$3),'Unit List'!$A$14:$H$2841,2,FALSE)),"X",$B14)</f>
        <v/>
      </c>
      <c r="J14" s="172" t="str">
        <f>IF(ISTEXT(VLOOKUP(CONCATENATE($A14,"_",J$3),'Unit List'!$A$14:$H$2841,2,FALSE)),"+","")</f>
        <v/>
      </c>
      <c r="K14" s="51" t="str">
        <f>IF(ISTEXT(VLOOKUP(CONCATENATE($A14,"_",K$3),'Unit List'!$A$14:$H$2841,2,FALSE)),"X",$J14)</f>
        <v/>
      </c>
      <c r="L14" s="86" t="str">
        <f>IF(ISTEXT(VLOOKUP(CONCATENATE($A14,"_",L$3),'Unit List'!$A$14:$H$2841,2,FALSE)),"X",$J14)</f>
        <v>X</v>
      </c>
      <c r="M14" s="172" t="str">
        <f>IF(ISTEXT(VLOOKUP(CONCATENATE($A14,"_",M$3),'Unit List'!$A$14:$H$2841,2,FALSE)),"+","")</f>
        <v>+</v>
      </c>
      <c r="N14" s="51" t="str">
        <f>IF(ISTEXT(VLOOKUP(CONCATENATE($A14,"_",N$3),'Unit List'!$A$14:$H$2841,2,FALSE)),"X",$M14)</f>
        <v>+</v>
      </c>
      <c r="O14" s="70" t="str">
        <f>IF(ISTEXT(VLOOKUP(CONCATENATE($A14,"_",O$3),'Unit List'!$A$14:$H$2841,2,FALSE)),"X",$M14)</f>
        <v>X</v>
      </c>
      <c r="P14" s="172" t="str">
        <f>IF(ISTEXT(VLOOKUP(CONCATENATE($A14,"_",P$3),'Unit List'!$A$14:$H$2841,2,FALSE)),"+","")</f>
        <v/>
      </c>
      <c r="Q14" s="51" t="str">
        <f>IF(ISTEXT(VLOOKUP(CONCATENATE($A14,"_",Q$3),'Unit List'!$A$14:$H$2841,2,FALSE)),"X",$P14)</f>
        <v/>
      </c>
      <c r="R14" s="51" t="str">
        <f>IF(ISTEXT(VLOOKUP(CONCATENATE($A14,"_",R$3),'Unit List'!$A$14:$H$2841,2,FALSE)),"X",$P14)</f>
        <v/>
      </c>
      <c r="S14" s="51" t="str">
        <f>IF(ISTEXT(VLOOKUP(CONCATENATE($A14,"_",S$3),'Unit List'!$A$14:$H$2841,2,FALSE)),"X",$P14)</f>
        <v/>
      </c>
      <c r="T14" s="52" t="str">
        <f>IF(ISTEXT(VLOOKUP(CONCATENATE($A14,"_",T$3),'Unit List'!$A$14:$H$2841,2,FALSE)),"X",$P14)</f>
        <v/>
      </c>
      <c r="U14" s="67" t="str">
        <f>IF(ISTEXT(VLOOKUP(CONCATENATE($A14,"_",U$3),'Unit List'!$A$14:$H$2841,2,FALSE)),"X",$P14)</f>
        <v>X</v>
      </c>
      <c r="V14" s="51" t="str">
        <f>IF(ISTEXT(VLOOKUP(CONCATENATE($A14,"_",V$3),'Unit List'!$A$14:$H$2841,2,FALSE)),"X",$P14)</f>
        <v/>
      </c>
      <c r="W14" s="53" t="str">
        <f>IF(ISTEXT(VLOOKUP(CONCATENATE($A14,"_",W$3),'Unit List'!$A$14:$H$2841,2,FALSE)),"X",$P14)</f>
        <v/>
      </c>
      <c r="X14" s="172" t="str">
        <f>IF(ISTEXT(VLOOKUP(CONCATENATE($A14,"_",X$3),'Unit List'!$A$14:$H$2841,2,FALSE)),"+","")</f>
        <v/>
      </c>
      <c r="Y14" s="51" t="str">
        <f>IF(ISTEXT(VLOOKUP(CONCATENATE($A14,"_",Y$3),'Unit List'!$A$14:$H$2841,2,FALSE)),"X",$X14)</f>
        <v/>
      </c>
      <c r="Z14" s="51" t="str">
        <f>IF(ISTEXT(VLOOKUP(CONCATENATE($A14,"_",Z$3),'Unit List'!$A$14:$H$2841,2,FALSE)),"X",$X14)</f>
        <v/>
      </c>
      <c r="AA14" s="51" t="str">
        <f>IF(ISTEXT(VLOOKUP(CONCATENATE($A14,"_",AA$3),'Unit List'!$A$14:$H$2841,2,FALSE)),"X",$X14)</f>
        <v/>
      </c>
      <c r="AB14" s="51" t="str">
        <f>IF(ISTEXT(VLOOKUP(CONCATENATE($A14,"_",AB$3),'Unit List'!$A$14:$H$2841,2,FALSE)),"X",$X14)</f>
        <v/>
      </c>
      <c r="AC14" s="62" t="str">
        <f>IF(ISTEXT(VLOOKUP(CONCATENATE($A14,"_",AC$3),'Unit List'!$A$14:$H$2841,2,FALSE)),"X",$X14)</f>
        <v/>
      </c>
      <c r="AD14" s="172" t="str">
        <f>IF(ISTEXT(VLOOKUP(CONCATENATE($A14,"_",AD$3),'Unit List'!$A$14:$H$2841,2,FALSE)),"+","")</f>
        <v/>
      </c>
      <c r="AE14" s="51" t="str">
        <f>IF(ISTEXT(VLOOKUP(CONCATENATE($A14,"_",AE$3),'Unit List'!$A$14:$H$2841,2,FALSE)),"X",$AD14)</f>
        <v/>
      </c>
      <c r="AF14" s="51" t="str">
        <f>IF(ISTEXT(VLOOKUP(CONCATENATE($A14,"_",AF$3),'Unit List'!$A$14:$H$2841,2,FALSE)),"X",$AD14)</f>
        <v/>
      </c>
      <c r="AG14" s="172" t="str">
        <f>IF(ISTEXT(VLOOKUP(CONCATENATE($A14,"_",AG$3),'Unit List'!$A$14:$H$2841,2,FALSE)),"+","")</f>
        <v/>
      </c>
      <c r="AH14" s="51" t="str">
        <f>IF(ISTEXT(VLOOKUP(CONCATENATE($A14,"_",AH$3),'Unit List'!$A$14:$H$2841,2,FALSE)),"X",$AG14)</f>
        <v/>
      </c>
      <c r="AI14" s="51" t="str">
        <f>IF(ISTEXT(VLOOKUP(CONCATENATE($A14,"_",AI$3),'Unit List'!$A$14:$H$2841,2,FALSE)),"X",$AG14)</f>
        <v/>
      </c>
      <c r="AJ14" s="53" t="str">
        <f>IF(ISTEXT(VLOOKUP(CONCATENATE($A14,"_",AJ$3),'Unit List'!$A$14:$H$2841,2,FALSE)),"X",$AG14)</f>
        <v/>
      </c>
      <c r="AK14" s="172" t="str">
        <f>IF(ISTEXT(VLOOKUP(CONCATENATE($A14,"_",AK$3),'Unit List'!$A$14:$H$2841,2,FALSE)),"+","")</f>
        <v/>
      </c>
      <c r="AL14" s="52" t="str">
        <f>IF(ISTEXT(VLOOKUP(CONCATENATE($A14,"_",AL$3),'Unit List'!$A$14:$H$2841,2,FALSE)),"X",$AK14)</f>
        <v/>
      </c>
      <c r="AM14" s="53" t="str">
        <f>IF(ISTEXT(VLOOKUP(CONCATENATE($A14,"_",AM$3),'Unit List'!$A$14:$H$2841,2,FALSE)),"X",$AK14)</f>
        <v/>
      </c>
      <c r="AN14" s="125" t="str">
        <f>IF(ISTEXT(VLOOKUP(CONCATENATE($A14,"_",AN$3),'Unit List'!$A$14:$H$2841,2,FALSE)),"+","")</f>
        <v/>
      </c>
      <c r="AO14" s="53" t="str">
        <f>IF(ISTEXT(VLOOKUP(CONCATENATE($A14,"_",AO$3),'Unit List'!$A$14:$H$2841,2,FALSE)),"X",$AN14)</f>
        <v/>
      </c>
      <c r="AP14" s="172" t="str">
        <f>IF(ISTEXT(VLOOKUP(CONCATENATE($A14,"_",AP$3),'Unit List'!$A$14:$H$2841,2,FALSE)),"+","")</f>
        <v>+</v>
      </c>
      <c r="AQ14" s="51" t="str">
        <f>IF(ISTEXT(VLOOKUP(CONCATENATE($A14,"_",AQ$3),'Unit List'!$A$14:$H$2841,2,FALSE)),"X",$AP14)</f>
        <v>+</v>
      </c>
      <c r="AR14" s="67" t="str">
        <f>IF(ISTEXT(VLOOKUP(CONCATENATE($A14,"_",AR$3),'Unit List'!$A$14:$H$2841,2,FALSE)),"X",$AP14)</f>
        <v>X</v>
      </c>
      <c r="AS14" s="51" t="str">
        <f>IF(ISTEXT(VLOOKUP(CONCATENATE($A14,"_",AS$3),'Unit List'!$A$14:$H$2841,2,FALSE)),"X",$AP14)</f>
        <v>+</v>
      </c>
      <c r="AT14" s="53" t="str">
        <f>IF(ISTEXT(VLOOKUP(CONCATENATE($A14,"_",AT$3),'Unit List'!$A$14:$H$2841,2,FALSE)),"X",$AP14)</f>
        <v>+</v>
      </c>
      <c r="AU14" s="124" t="str">
        <f>IF(ISTEXT(VLOOKUP(CONCATENATE($A14,"_",AU$3),'Unit List'!$A$14:$H$2841,2,FALSE)),"+","")</f>
        <v/>
      </c>
      <c r="AV14" s="51" t="str">
        <f>IF(ISTEXT(VLOOKUP(CONCATENATE($A14,"_",AV$3),'Unit List'!$A$14:$H$2841,2,FALSE)),"X",$AU14)</f>
        <v/>
      </c>
      <c r="AW14" s="53" t="str">
        <f>IF(ISTEXT(VLOOKUP(CONCATENATE($A14,"_",AW$3),'Unit List'!$A$14:$H$2841,2,FALSE)),"X",$AU14)</f>
        <v/>
      </c>
      <c r="AX14" s="172" t="str">
        <f>IF(ISTEXT(VLOOKUP(CONCATENATE($A14,"_",AX$3),'Unit List'!$A$14:$H$2841,2,FALSE)),"+","")</f>
        <v>+</v>
      </c>
      <c r="AY14" s="51" t="str">
        <f>IF(ISTEXT(VLOOKUP(CONCATENATE($A14,"_",AY$3),'Unit List'!$A$14:$H$2841,2,FALSE)),"X",$AX14)</f>
        <v>+</v>
      </c>
      <c r="AZ14" s="53" t="str">
        <f>IF(ISTEXT(VLOOKUP(CONCATENATE($A14,"_",AZ$3),'Unit List'!$A$14:$H$2841,2,FALSE)),"X",$AX14)</f>
        <v>+</v>
      </c>
      <c r="BA14" s="182" t="str">
        <f>IF(ISTEXT(VLOOKUP(CONCATENATE($A14,"_",BA$3),'Unit List'!$A$14:$H$2841,2,FALSE)),"+","")</f>
        <v/>
      </c>
      <c r="BB14" s="51" t="str">
        <f>IF(ISTEXT(VLOOKUP(CONCATENATE($A14,"_",BB$3),'Unit List'!$A$14:$H$2841,2,FALSE)),"X",$BA14)</f>
        <v/>
      </c>
      <c r="BC14" s="51" t="str">
        <f>IF(ISTEXT(VLOOKUP(CONCATENATE($A14,"_",BC$3),'Unit List'!$A$14:$H$2841,2,FALSE)),"X",$BA14)</f>
        <v/>
      </c>
      <c r="BD14" s="53" t="str">
        <f>IF(ISTEXT(VLOOKUP(CONCATENATE($A14,"_",BD$3),'Unit List'!$A$14:$H$2841,2,FALSE)),"X",$BA14)</f>
        <v/>
      </c>
      <c r="BE14" s="125" t="str">
        <f>IF(ISTEXT(VLOOKUP(CONCATENATE($A14,"_",BE$3),'Unit List'!$A$14:$H$2841,2,FALSE)),"+","")</f>
        <v>+</v>
      </c>
      <c r="BF14" s="62" t="str">
        <f>IF(ISTEXT(VLOOKUP(CONCATENATE($A14,"_",BF$3),'Unit List'!$A$14:$H$2841,2,FALSE)),"X",$BE14)</f>
        <v>+</v>
      </c>
      <c r="BG14" s="64" t="s">
        <v>0</v>
      </c>
      <c r="BH14" s="65" t="s">
        <v>0</v>
      </c>
      <c r="BI14" s="211"/>
      <c r="BJ14" s="212"/>
      <c r="BK14" s="212"/>
      <c r="BL14" s="212"/>
      <c r="BM14" s="213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List'!$A$14:$H$2841,2,FALSE)),"+","")</f>
        <v/>
      </c>
      <c r="C15" s="57" t="str">
        <f>IF(ISTEXT(VLOOKUP(CONCATENATE($A15,"_",C$3),'Unit List'!$A$14:$H$2841,2,FALSE)),"X",$B15)</f>
        <v/>
      </c>
      <c r="D15" s="51" t="str">
        <f>IF(ISTEXT(VLOOKUP(CONCATENATE($A15,"_",D$3),'Unit List'!$A$14:$H$2841,2,FALSE)),"X",$B15)</f>
        <v/>
      </c>
      <c r="E15" s="51" t="str">
        <f>IF(ISTEXT(VLOOKUP(CONCATENATE($A15,"_",E$3),'Unit List'!$A$14:$H$2841,2,FALSE)),"X",$B15)</f>
        <v/>
      </c>
      <c r="F15" s="51" t="str">
        <f>IF(ISTEXT(VLOOKUP(CONCATENATE($A15,"_",F$3),'Unit List'!$A$14:$H$2841,2,FALSE)),"X",$B15)</f>
        <v/>
      </c>
      <c r="G15" s="51" t="str">
        <f>IF(ISTEXT(VLOOKUP(CONCATENATE($A15,"_",G$3),'Unit List'!$A$14:$H$2841,2,FALSE)),"X",$B15)</f>
        <v/>
      </c>
      <c r="H15" s="51" t="str">
        <f>IF(ISTEXT(VLOOKUP(CONCATENATE($A15,"_",H$3),'Unit List'!$A$14:$H$2841,2,FALSE)),"X",$B15)</f>
        <v/>
      </c>
      <c r="I15" s="53" t="str">
        <f>IF(ISTEXT(VLOOKUP(CONCATENATE($A15,"_",I$3),'Unit List'!$A$14:$H$2841,2,FALSE)),"X",$B15)</f>
        <v/>
      </c>
      <c r="J15" s="172" t="str">
        <f>IF(ISTEXT(VLOOKUP(CONCATENATE($A15,"_",J$3),'Unit List'!$A$14:$H$2841,2,FALSE)),"+","")</f>
        <v/>
      </c>
      <c r="K15" s="51" t="str">
        <f>IF(ISTEXT(VLOOKUP(CONCATENATE($A15,"_",K$3),'Unit List'!$A$14:$H$2841,2,FALSE)),"X",$J15)</f>
        <v/>
      </c>
      <c r="L15" s="62" t="str">
        <f>IF(ISTEXT(VLOOKUP(CONCATENATE($A15,"_",L$3),'Unit List'!$A$14:$H$2841,2,FALSE)),"X",$J15)</f>
        <v/>
      </c>
      <c r="M15" s="172" t="str">
        <f>IF(ISTEXT(VLOOKUP(CONCATENATE($A15,"_",M$3),'Unit List'!$A$14:$H$2841,2,FALSE)),"+","")</f>
        <v/>
      </c>
      <c r="N15" s="51" t="str">
        <f>IF(ISTEXT(VLOOKUP(CONCATENATE($A15,"_",N$3),'Unit List'!$A$14:$H$2841,2,FALSE)),"X",$M15)</f>
        <v/>
      </c>
      <c r="O15" s="53" t="str">
        <f>IF(ISTEXT(VLOOKUP(CONCATENATE($A15,"_",O$3),'Unit List'!$A$14:$H$2841,2,FALSE)),"X",$M15)</f>
        <v/>
      </c>
      <c r="P15" s="172" t="str">
        <f>IF(ISTEXT(VLOOKUP(CONCATENATE($A15,"_",P$3),'Unit List'!$A$14:$H$2841,2,FALSE)),"+","")</f>
        <v/>
      </c>
      <c r="Q15" s="51" t="str">
        <f>IF(ISTEXT(VLOOKUP(CONCATENATE($A15,"_",Q$3),'Unit List'!$A$14:$H$2841,2,FALSE)),"X",$P15)</f>
        <v/>
      </c>
      <c r="R15" s="51" t="str">
        <f>IF(ISTEXT(VLOOKUP(CONCATENATE($A15,"_",R$3),'Unit List'!$A$14:$H$2841,2,FALSE)),"X",$P15)</f>
        <v/>
      </c>
      <c r="S15" s="51" t="str">
        <f>IF(ISTEXT(VLOOKUP(CONCATENATE($A15,"_",S$3),'Unit List'!$A$14:$H$2841,2,FALSE)),"X",$P15)</f>
        <v/>
      </c>
      <c r="T15" s="52" t="str">
        <f>IF(ISTEXT(VLOOKUP(CONCATENATE($A15,"_",T$3),'Unit List'!$A$14:$H$2841,2,FALSE)),"X",$P15)</f>
        <v/>
      </c>
      <c r="U15" s="89" t="s">
        <v>0</v>
      </c>
      <c r="V15" s="51" t="str">
        <f>IF(ISTEXT(VLOOKUP(CONCATENATE($A15,"_",V$3),'Unit List'!$A$14:$H$2841,2,FALSE)),"X",$P15)</f>
        <v/>
      </c>
      <c r="W15" s="53" t="str">
        <f>IF(ISTEXT(VLOOKUP(CONCATENATE($A15,"_",W$3),'Unit List'!$A$14:$H$2841,2,FALSE)),"X",$P15)</f>
        <v/>
      </c>
      <c r="X15" s="172" t="str">
        <f>IF(ISTEXT(VLOOKUP(CONCATENATE($A15,"_",X$3),'Unit List'!$A$14:$H$2841,2,FALSE)),"+","")</f>
        <v/>
      </c>
      <c r="Y15" s="51" t="str">
        <f>IF(ISTEXT(VLOOKUP(CONCATENATE($A15,"_",Y$3),'Unit List'!$A$14:$H$2841,2,FALSE)),"X",$X15)</f>
        <v/>
      </c>
      <c r="Z15" s="90" t="s">
        <v>0</v>
      </c>
      <c r="AA15" s="51" t="str">
        <f>IF(ISTEXT(VLOOKUP(CONCATENATE($A15,"_",AA$3),'Unit List'!$A$14:$H$2841,2,FALSE)),"X",$X15)</f>
        <v/>
      </c>
      <c r="AB15" s="51" t="str">
        <f>IF(ISTEXT(VLOOKUP(CONCATENATE($A15,"_",AB$3),'Unit List'!$A$14:$H$2841,2,FALSE)),"X",$X15)</f>
        <v/>
      </c>
      <c r="AC15" s="62" t="str">
        <f>IF(ISTEXT(VLOOKUP(CONCATENATE($A15,"_",AC$3),'Unit List'!$A$14:$H$2841,2,FALSE)),"X",$X15)</f>
        <v/>
      </c>
      <c r="AD15" s="172" t="str">
        <f>IF(ISTEXT(VLOOKUP(CONCATENATE($A15,"_",AD$3),'Unit List'!$A$14:$H$2841,2,FALSE)),"+","")</f>
        <v/>
      </c>
      <c r="AE15" s="51" t="str">
        <f>IF(ISTEXT(VLOOKUP(CONCATENATE($A15,"_",AE$3),'Unit List'!$A$14:$H$2841,2,FALSE)),"X",$AD15)</f>
        <v/>
      </c>
      <c r="AF15" s="51" t="str">
        <f>IF(ISTEXT(VLOOKUP(CONCATENATE($A15,"_",AF$3),'Unit List'!$A$14:$H$2841,2,FALSE)),"X",$AD15)</f>
        <v/>
      </c>
      <c r="AG15" s="172" t="str">
        <f>IF(ISTEXT(VLOOKUP(CONCATENATE($A15,"_",AG$3),'Unit List'!$A$14:$H$2841,2,FALSE)),"+","")</f>
        <v/>
      </c>
      <c r="AH15" s="51" t="str">
        <f>IF(ISTEXT(VLOOKUP(CONCATENATE($A15,"_",AH$3),'Unit List'!$A$14:$H$2841,2,FALSE)),"X",$AG15)</f>
        <v/>
      </c>
      <c r="AI15" s="51" t="str">
        <f>IF(ISTEXT(VLOOKUP(CONCATENATE($A15,"_",AI$3),'Unit List'!$A$14:$H$2841,2,FALSE)),"X",$AG15)</f>
        <v/>
      </c>
      <c r="AJ15" s="53" t="str">
        <f>IF(ISTEXT(VLOOKUP(CONCATENATE($A15,"_",AJ$3),'Unit List'!$A$14:$H$2841,2,FALSE)),"X",$AG15)</f>
        <v/>
      </c>
      <c r="AK15" s="172" t="str">
        <f>IF(ISTEXT(VLOOKUP(CONCATENATE($A15,"_",AK$3),'Unit List'!$A$14:$H$2841,2,FALSE)),"+","")</f>
        <v/>
      </c>
      <c r="AL15" s="52" t="str">
        <f>IF(ISTEXT(VLOOKUP(CONCATENATE($A15,"_",AL$3),'Unit List'!$A$14:$H$2841,2,FALSE)),"X",$AK15)</f>
        <v/>
      </c>
      <c r="AM15" s="53" t="str">
        <f>IF(ISTEXT(VLOOKUP(CONCATENATE($A15,"_",AM$3),'Unit List'!$A$14:$H$2841,2,FALSE)),"X",$AK15)</f>
        <v/>
      </c>
      <c r="AN15" s="125" t="str">
        <f>IF(ISTEXT(VLOOKUP(CONCATENATE($A15,"_",AN$3),'Unit List'!$A$14:$H$2841,2,FALSE)),"+","")</f>
        <v/>
      </c>
      <c r="AO15" s="53" t="str">
        <f>IF(ISTEXT(VLOOKUP(CONCATENATE($A15,"_",AO$3),'Unit List'!$A$14:$H$2841,2,FALSE)),"X",$AN15)</f>
        <v/>
      </c>
      <c r="AP15" s="172" t="str">
        <f>IF(ISTEXT(VLOOKUP(CONCATENATE($A15,"_",AP$3),'Unit List'!$A$14:$H$2841,2,FALSE)),"+","")</f>
        <v/>
      </c>
      <c r="AQ15" s="51" t="str">
        <f>IF(ISTEXT(VLOOKUP(CONCATENATE($A15,"_",AQ$3),'Unit List'!$A$14:$H$2841,2,FALSE)),"X",$AP15)</f>
        <v/>
      </c>
      <c r="AR15" s="51" t="str">
        <f>IF(ISTEXT(VLOOKUP(CONCATENATE($A15,"_",AR$3),'Unit List'!$A$14:$H$2841,2,FALSE)),"X",$AP15)</f>
        <v/>
      </c>
      <c r="AS15" s="51" t="str">
        <f>IF(ISTEXT(VLOOKUP(CONCATENATE($A15,"_",AS$3),'Unit List'!$A$14:$H$2841,2,FALSE)),"X",$AP15)</f>
        <v/>
      </c>
      <c r="AT15" s="53" t="str">
        <f>IF(ISTEXT(VLOOKUP(CONCATENATE($A15,"_",AT$3),'Unit List'!$A$14:$H$2841,2,FALSE)),"X",$AP15)</f>
        <v/>
      </c>
      <c r="AU15" s="124" t="str">
        <f>IF(ISTEXT(VLOOKUP(CONCATENATE($A15,"_",AU$3),'Unit List'!$A$14:$H$2841,2,FALSE)),"+","")</f>
        <v/>
      </c>
      <c r="AV15" s="51" t="str">
        <f>IF(ISTEXT(VLOOKUP(CONCATENATE($A15,"_",AV$3),'Unit List'!$A$14:$H$2841,2,FALSE)),"X",$AU15)</f>
        <v/>
      </c>
      <c r="AW15" s="53" t="str">
        <f>IF(ISTEXT(VLOOKUP(CONCATENATE($A15,"_",AW$3),'Unit List'!$A$14:$H$2841,2,FALSE)),"X",$AU15)</f>
        <v/>
      </c>
      <c r="AX15" s="172" t="str">
        <f>IF(ISTEXT(VLOOKUP(CONCATENATE($A15,"_",AX$3),'Unit List'!$A$14:$H$2841,2,FALSE)),"+","")</f>
        <v/>
      </c>
      <c r="AY15" s="51" t="str">
        <f>IF(ISTEXT(VLOOKUP(CONCATENATE($A15,"_",AY$3),'Unit List'!$A$14:$H$2841,2,FALSE)),"X",$AX15)</f>
        <v/>
      </c>
      <c r="AZ15" s="53" t="str">
        <f>IF(ISTEXT(VLOOKUP(CONCATENATE($A15,"_",AZ$3),'Unit List'!$A$14:$H$2841,2,FALSE)),"X",$AX15)</f>
        <v/>
      </c>
      <c r="BA15" s="182" t="str">
        <f>IF(ISTEXT(VLOOKUP(CONCATENATE($A15,"_",BA$3),'Unit List'!$A$14:$H$2841,2,FALSE)),"+","")</f>
        <v/>
      </c>
      <c r="BB15" s="51" t="str">
        <f>IF(ISTEXT(VLOOKUP(CONCATENATE($A15,"_",BB$3),'Unit List'!$A$14:$H$2841,2,FALSE)),"X",$BA15)</f>
        <v/>
      </c>
      <c r="BC15" s="51" t="str">
        <f>IF(ISTEXT(VLOOKUP(CONCATENATE($A15,"_",BC$3),'Unit List'!$A$14:$H$2841,2,FALSE)),"X",$BA15)</f>
        <v/>
      </c>
      <c r="BD15" s="53" t="str">
        <f>IF(ISTEXT(VLOOKUP(CONCATENATE($A15,"_",BD$3),'Unit List'!$A$14:$H$2841,2,FALSE)),"X",$BA15)</f>
        <v/>
      </c>
      <c r="BE15" s="125" t="str">
        <f>IF(ISTEXT(VLOOKUP(CONCATENATE($A15,"_",BE$3),'Unit List'!$A$14:$H$2841,2,FALSE)),"+","")</f>
        <v/>
      </c>
      <c r="BF15" s="62" t="str">
        <f>IF(ISTEXT(VLOOKUP(CONCATENATE($A15,"_",BF$3),'Unit List'!$A$14:$H$2841,2,FALSE)),"X",$BE15)</f>
        <v/>
      </c>
      <c r="BG15" s="64"/>
      <c r="BH15" s="65" t="s">
        <v>0</v>
      </c>
      <c r="BI15" s="211"/>
      <c r="BJ15" s="212"/>
      <c r="BK15" s="212"/>
      <c r="BL15" s="212"/>
      <c r="BM15" s="213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List'!$A$14:$H$2841,2,FALSE)),"+","")</f>
        <v/>
      </c>
      <c r="C16" s="57" t="str">
        <f>IF(ISTEXT(VLOOKUP(CONCATENATE($A16,"_",C$3),'Unit List'!$A$14:$H$2841,2,FALSE)),"X",$B16)</f>
        <v/>
      </c>
      <c r="D16" s="89" t="s">
        <v>0</v>
      </c>
      <c r="E16" s="51" t="str">
        <f>IF(ISTEXT(VLOOKUP(CONCATENATE($A16,"_",E$3),'Unit List'!$A$14:$H$2841,2,FALSE)),"X",$B16)</f>
        <v/>
      </c>
      <c r="F16" s="51" t="str">
        <f>IF(ISTEXT(VLOOKUP(CONCATENATE($A16,"_",F$3),'Unit List'!$A$14:$H$2841,2,FALSE)),"X",$B16)</f>
        <v/>
      </c>
      <c r="G16" s="67" t="str">
        <f>IF(ISTEXT(VLOOKUP(CONCATENATE($A16,"_",G$3),'Unit List'!$A$14:$H$2841,2,FALSE)),"X",$B16)</f>
        <v>X</v>
      </c>
      <c r="H16" s="67" t="str">
        <f>IF(ISTEXT(VLOOKUP(CONCATENATE($A16,"_",H$3),'Unit List'!$A$14:$H$2841,2,FALSE)),"X",$B16)</f>
        <v>X</v>
      </c>
      <c r="I16" s="53" t="str">
        <f>IF(ISTEXT(VLOOKUP(CONCATENATE($A16,"_",I$3),'Unit List'!$A$14:$H$2841,2,FALSE)),"X",$B16)</f>
        <v/>
      </c>
      <c r="J16" s="172" t="str">
        <f>IF(ISTEXT(VLOOKUP(CONCATENATE($A16,"_",J$3),'Unit List'!$A$14:$H$2841,2,FALSE)),"+","")</f>
        <v/>
      </c>
      <c r="K16" s="51" t="str">
        <f>IF(ISTEXT(VLOOKUP(CONCATENATE($A16,"_",K$3),'Unit List'!$A$14:$H$2841,2,FALSE)),"X",$J16)</f>
        <v/>
      </c>
      <c r="L16" s="62" t="str">
        <f>IF(ISTEXT(VLOOKUP(CONCATENATE($A16,"_",L$3),'Unit List'!$A$14:$H$2841,2,FALSE)),"X",$J16)</f>
        <v/>
      </c>
      <c r="M16" s="172" t="str">
        <f>IF(ISTEXT(VLOOKUP(CONCATENATE($A16,"_",M$3),'Unit List'!$A$14:$H$2841,2,FALSE)),"+","")</f>
        <v/>
      </c>
      <c r="N16" s="51" t="str">
        <f>IF(ISTEXT(VLOOKUP(CONCATENATE($A16,"_",N$3),'Unit List'!$A$14:$H$2841,2,FALSE)),"X",$M16)</f>
        <v/>
      </c>
      <c r="O16" s="74" t="s">
        <v>0</v>
      </c>
      <c r="P16" s="172" t="str">
        <f>IF(ISTEXT(VLOOKUP(CONCATENATE($A16,"_",P$3),'Unit List'!$A$14:$H$2841,2,FALSE)),"+","")</f>
        <v/>
      </c>
      <c r="Q16" s="51" t="str">
        <f>IF(ISTEXT(VLOOKUP(CONCATENATE($A16,"_",Q$3),'Unit List'!$A$14:$H$2841,2,FALSE)),"X",$P16)</f>
        <v/>
      </c>
      <c r="R16" s="51" t="str">
        <f>IF(ISTEXT(VLOOKUP(CONCATENATE($A16,"_",R$3),'Unit List'!$A$14:$H$2841,2,FALSE)),"X",$P16)</f>
        <v/>
      </c>
      <c r="S16" s="51" t="str">
        <f>IF(ISTEXT(VLOOKUP(CONCATENATE($A16,"_",S$3),'Unit List'!$A$14:$H$2841,2,FALSE)),"X",$P16)</f>
        <v/>
      </c>
      <c r="T16" s="52" t="str">
        <f>IF(ISTEXT(VLOOKUP(CONCATENATE($A16,"_",T$3),'Unit List'!$A$14:$H$2841,2,FALSE)),"X",$P16)</f>
        <v/>
      </c>
      <c r="U16" s="51" t="str">
        <f>IF(ISTEXT(VLOOKUP(CONCATENATE($A16,"_",U$3),'Unit List'!$A$14:$H$2841,2,FALSE)),"X",$P16)</f>
        <v/>
      </c>
      <c r="V16" s="51" t="str">
        <f>IF(ISTEXT(VLOOKUP(CONCATENATE($A16,"_",V$3),'Unit List'!$A$14:$H$2841,2,FALSE)),"X",$P16)</f>
        <v/>
      </c>
      <c r="W16" s="53" t="str">
        <f>IF(ISTEXT(VLOOKUP(CONCATENATE($A16,"_",W$3),'Unit List'!$A$14:$H$2841,2,FALSE)),"X",$P16)</f>
        <v/>
      </c>
      <c r="X16" s="172" t="str">
        <f>IF(ISTEXT(VLOOKUP(CONCATENATE($A16,"_",X$3),'Unit List'!$A$14:$H$2841,2,FALSE)),"+","")</f>
        <v>+</v>
      </c>
      <c r="Y16" s="51" t="str">
        <f>IF(ISTEXT(VLOOKUP(CONCATENATE($A16,"_",Y$3),'Unit List'!$A$14:$H$2841,2,FALSE)),"X",$X16)</f>
        <v>+</v>
      </c>
      <c r="Z16" s="51" t="str">
        <f>IF(ISTEXT(VLOOKUP(CONCATENATE($A16,"_",Z$3),'Unit List'!$A$14:$H$2841,2,FALSE)),"X",$X16)</f>
        <v>+</v>
      </c>
      <c r="AA16" s="51" t="str">
        <f>IF(ISTEXT(VLOOKUP(CONCATENATE($A16,"_",AA$3),'Unit List'!$A$14:$H$2841,2,FALSE)),"X",$X16)</f>
        <v>+</v>
      </c>
      <c r="AB16" s="51" t="str">
        <f>IF(ISTEXT(VLOOKUP(CONCATENATE($A16,"_",AB$3),'Unit List'!$A$14:$H$2841,2,FALSE)),"X",$X16)</f>
        <v>+</v>
      </c>
      <c r="AC16" s="62" t="str">
        <f>IF(ISTEXT(VLOOKUP(CONCATENATE($A16,"_",AC$3),'Unit List'!$A$14:$H$2841,2,FALSE)),"X",$X16)</f>
        <v>+</v>
      </c>
      <c r="AD16" s="172" t="str">
        <f>IF(ISTEXT(VLOOKUP(CONCATENATE($A16,"_",AD$3),'Unit List'!$A$14:$H$2841,2,FALSE)),"+","")</f>
        <v>+</v>
      </c>
      <c r="AE16" s="51" t="str">
        <f>IF(ISTEXT(VLOOKUP(CONCATENATE($A16,"_",AE$3),'Unit List'!$A$14:$H$2841,2,FALSE)),"X",$AD16)</f>
        <v>+</v>
      </c>
      <c r="AF16" s="90" t="s">
        <v>0</v>
      </c>
      <c r="AG16" s="172" t="str">
        <f>IF(ISTEXT(VLOOKUP(CONCATENATE($A16,"_",AG$3),'Unit List'!$A$14:$H$2841,2,FALSE)),"+","")</f>
        <v/>
      </c>
      <c r="AH16" s="51" t="str">
        <f>IF(ISTEXT(VLOOKUP(CONCATENATE($A16,"_",AH$3),'Unit List'!$A$14:$H$2841,2,FALSE)),"X",$AG16)</f>
        <v/>
      </c>
      <c r="AI16" s="51" t="str">
        <f>IF(ISTEXT(VLOOKUP(CONCATENATE($A16,"_",AI$3),'Unit List'!$A$14:$H$2841,2,FALSE)),"X",$AG16)</f>
        <v/>
      </c>
      <c r="AJ16" s="53" t="str">
        <f>IF(ISTEXT(VLOOKUP(CONCATENATE($A16,"_",AJ$3),'Unit List'!$A$14:$H$2841,2,FALSE)),"X",$AG16)</f>
        <v/>
      </c>
      <c r="AK16" s="172" t="str">
        <f>IF(ISTEXT(VLOOKUP(CONCATENATE($A16,"_",AK$3),'Unit List'!$A$14:$H$2841,2,FALSE)),"+","")</f>
        <v/>
      </c>
      <c r="AL16" s="52" t="str">
        <f>IF(ISTEXT(VLOOKUP(CONCATENATE($A16,"_",AL$3),'Unit List'!$A$14:$H$2841,2,FALSE)),"X",$AK16)</f>
        <v>X</v>
      </c>
      <c r="AM16" s="53" t="str">
        <f>IF(ISTEXT(VLOOKUP(CONCATENATE($A16,"_",AM$3),'Unit List'!$A$14:$H$2841,2,FALSE)),"X",$AK16)</f>
        <v/>
      </c>
      <c r="AN16" s="125" t="str">
        <f>IF(ISTEXT(VLOOKUP(CONCATENATE($A16,"_",AN$3),'Unit List'!$A$14:$H$2841,2,FALSE)),"+","")</f>
        <v/>
      </c>
      <c r="AO16" s="53" t="str">
        <f>IF(ISTEXT(VLOOKUP(CONCATENATE($A16,"_",AO$3),'Unit List'!$A$14:$H$2841,2,FALSE)),"X",$AN16)</f>
        <v/>
      </c>
      <c r="AP16" s="172" t="str">
        <f>IF(ISTEXT(VLOOKUP(CONCATENATE($A16,"_",AP$3),'Unit List'!$A$14:$H$2841,2,FALSE)),"+","")</f>
        <v/>
      </c>
      <c r="AQ16" s="51" t="str">
        <f>IF(ISTEXT(VLOOKUP(CONCATENATE($A16,"_",AQ$3),'Unit List'!$A$14:$H$2841,2,FALSE)),"X",$AP16)</f>
        <v/>
      </c>
      <c r="AR16" s="51" t="str">
        <f>IF(ISTEXT(VLOOKUP(CONCATENATE($A16,"_",AR$3),'Unit List'!$A$14:$H$2841,2,FALSE)),"X",$AP16)</f>
        <v/>
      </c>
      <c r="AS16" s="51" t="str">
        <f>IF(ISTEXT(VLOOKUP(CONCATENATE($A16,"_",AS$3),'Unit List'!$A$14:$H$2841,2,FALSE)),"X",$AP16)</f>
        <v/>
      </c>
      <c r="AT16" s="53" t="str">
        <f>IF(ISTEXT(VLOOKUP(CONCATENATE($A16,"_",AT$3),'Unit List'!$A$14:$H$2841,2,FALSE)),"X",$AP16)</f>
        <v/>
      </c>
      <c r="AU16" s="124" t="str">
        <f>IF(ISTEXT(VLOOKUP(CONCATENATE($A16,"_",AU$3),'Unit List'!$A$14:$H$2841,2,FALSE)),"+","")</f>
        <v/>
      </c>
      <c r="AV16" s="51" t="str">
        <f>IF(ISTEXT(VLOOKUP(CONCATENATE($A16,"_",AV$3),'Unit List'!$A$14:$H$2841,2,FALSE)),"X",$AU16)</f>
        <v/>
      </c>
      <c r="AW16" s="53" t="str">
        <f>IF(ISTEXT(VLOOKUP(CONCATENATE($A16,"_",AW$3),'Unit List'!$A$14:$H$2841,2,FALSE)),"X",$AU16)</f>
        <v/>
      </c>
      <c r="AX16" s="172" t="str">
        <f>IF(ISTEXT(VLOOKUP(CONCATENATE($A16,"_",AX$3),'Unit List'!$A$14:$H$2841,2,FALSE)),"+","")</f>
        <v/>
      </c>
      <c r="AY16" s="51" t="str">
        <f>IF(ISTEXT(VLOOKUP(CONCATENATE($A16,"_",AY$3),'Unit List'!$A$14:$H$2841,2,FALSE)),"X",$AX16)</f>
        <v/>
      </c>
      <c r="AZ16" s="91" t="s">
        <v>0</v>
      </c>
      <c r="BA16" s="182" t="str">
        <f>IF(ISTEXT(VLOOKUP(CONCATENATE($A16,"_",BA$3),'Unit List'!$A$14:$H$2841,2,FALSE)),"+","")</f>
        <v/>
      </c>
      <c r="BB16" s="51" t="str">
        <f>IF(ISTEXT(VLOOKUP(CONCATENATE($A16,"_",BB$3),'Unit List'!$A$14:$H$2841,2,FALSE)),"X",$BA16)</f>
        <v/>
      </c>
      <c r="BC16" s="51" t="str">
        <f>IF(ISTEXT(VLOOKUP(CONCATENATE($A16,"_",BC$3),'Unit List'!$A$14:$H$2841,2,FALSE)),"X",$BA16)</f>
        <v/>
      </c>
      <c r="BD16" s="53" t="str">
        <f>IF(ISTEXT(VLOOKUP(CONCATENATE($A16,"_",BD$3),'Unit List'!$A$14:$H$2841,2,FALSE)),"X",$BA16)</f>
        <v/>
      </c>
      <c r="BE16" s="125" t="str">
        <f>IF(ISTEXT(VLOOKUP(CONCATENATE($A16,"_",BE$3),'Unit List'!$A$14:$H$2841,2,FALSE)),"+","")</f>
        <v/>
      </c>
      <c r="BF16" s="62" t="str">
        <f>IF(ISTEXT(VLOOKUP(CONCATENATE($A16,"_",BF$3),'Unit List'!$A$14:$H$2841,2,FALSE)),"X",$BE16)</f>
        <v/>
      </c>
      <c r="BG16" s="64"/>
      <c r="BH16" s="65" t="s">
        <v>0</v>
      </c>
      <c r="BI16" s="211"/>
      <c r="BJ16" s="212"/>
      <c r="BK16" s="212"/>
      <c r="BL16" s="212"/>
      <c r="BM16" s="213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List'!$A$14:$H$2841,2,FALSE)),"+","")</f>
        <v/>
      </c>
      <c r="C17" s="57" t="str">
        <f>IF(ISTEXT(VLOOKUP(CONCATENATE($A17,"_",C$3),'Unit List'!$A$14:$H$2841,2,FALSE)),"X",$B17)</f>
        <v/>
      </c>
      <c r="D17" s="51" t="str">
        <f>IF(ISTEXT(VLOOKUP(CONCATENATE($A17,"_",D$3),'Unit List'!$A$14:$H$2841,2,FALSE)),"X",$B17)</f>
        <v/>
      </c>
      <c r="E17" s="51" t="str">
        <f>IF(ISTEXT(VLOOKUP(CONCATENATE($A17,"_",E$3),'Unit List'!$A$14:$H$2841,2,FALSE)),"X",$B17)</f>
        <v/>
      </c>
      <c r="F17" s="51" t="str">
        <f>IF(ISTEXT(VLOOKUP(CONCATENATE($A17,"_",F$3),'Unit List'!$A$14:$H$2841,2,FALSE)),"X",$B17)</f>
        <v/>
      </c>
      <c r="G17" s="51" t="str">
        <f>IF(ISTEXT(VLOOKUP(CONCATENATE($A17,"_",G$3),'Unit List'!$A$14:$H$2841,2,FALSE)),"X",$B17)</f>
        <v/>
      </c>
      <c r="H17" s="51" t="str">
        <f>IF(ISTEXT(VLOOKUP(CONCATENATE($A17,"_",H$3),'Unit List'!$A$14:$H$2841,2,FALSE)),"X",$B17)</f>
        <v/>
      </c>
      <c r="I17" s="53" t="str">
        <f>IF(ISTEXT(VLOOKUP(CONCATENATE($A17,"_",I$3),'Unit List'!$A$14:$H$2841,2,FALSE)),"X",$B17)</f>
        <v/>
      </c>
      <c r="J17" s="172" t="str">
        <f>IF(ISTEXT(VLOOKUP(CONCATENATE($A17,"_",J$3),'Unit List'!$A$14:$H$2841,2,FALSE)),"+","")</f>
        <v/>
      </c>
      <c r="K17" s="51" t="str">
        <f>IF(ISTEXT(VLOOKUP(CONCATENATE($A17,"_",K$3),'Unit List'!$A$14:$H$2841,2,FALSE)),"X",$J17)</f>
        <v/>
      </c>
      <c r="L17" s="62" t="str">
        <f>IF(ISTEXT(VLOOKUP(CONCATENATE($A17,"_",L$3),'Unit List'!$A$14:$H$2841,2,FALSE)),"X",$J17)</f>
        <v/>
      </c>
      <c r="M17" s="172" t="str">
        <f>IF(ISTEXT(VLOOKUP(CONCATENATE($A17,"_",M$3),'Unit List'!$A$14:$H$2841,2,FALSE)),"+","")</f>
        <v/>
      </c>
      <c r="N17" s="51" t="str">
        <f>IF(ISTEXT(VLOOKUP(CONCATENATE($A17,"_",N$3),'Unit List'!$A$14:$H$2841,2,FALSE)),"X",$M17)</f>
        <v/>
      </c>
      <c r="O17" s="53" t="str">
        <f>IF(ISTEXT(VLOOKUP(CONCATENATE($A17,"_",O$3),'Unit List'!$A$14:$H$2841,2,FALSE)),"X",$M17)</f>
        <v/>
      </c>
      <c r="P17" s="172" t="str">
        <f>IF(ISTEXT(VLOOKUP(CONCATENATE($A17,"_",P$3),'Unit List'!$A$14:$H$2841,2,FALSE)),"+","")</f>
        <v/>
      </c>
      <c r="Q17" s="51" t="str">
        <f>IF(ISTEXT(VLOOKUP(CONCATENATE($A17,"_",Q$3),'Unit List'!$A$14:$H$2841,2,FALSE)),"X",$P17)</f>
        <v/>
      </c>
      <c r="R17" s="51" t="str">
        <f>IF(ISTEXT(VLOOKUP(CONCATENATE($A17,"_",R$3),'Unit List'!$A$14:$H$2841,2,FALSE)),"X",$P17)</f>
        <v/>
      </c>
      <c r="S17" s="51" t="str">
        <f>IF(ISTEXT(VLOOKUP(CONCATENATE($A17,"_",S$3),'Unit List'!$A$14:$H$2841,2,FALSE)),"X",$P17)</f>
        <v/>
      </c>
      <c r="T17" s="52" t="str">
        <f>IF(ISTEXT(VLOOKUP(CONCATENATE($A17,"_",T$3),'Unit List'!$A$14:$H$2841,2,FALSE)),"X",$P17)</f>
        <v/>
      </c>
      <c r="U17" s="51" t="str">
        <f>IF(ISTEXT(VLOOKUP(CONCATENATE($A17,"_",U$3),'Unit List'!$A$14:$H$2841,2,FALSE)),"X",$P17)</f>
        <v/>
      </c>
      <c r="V17" s="51" t="str">
        <f>IF(ISTEXT(VLOOKUP(CONCATENATE($A17,"_",V$3),'Unit List'!$A$14:$H$2841,2,FALSE)),"X",$P17)</f>
        <v/>
      </c>
      <c r="W17" s="53" t="str">
        <f>IF(ISTEXT(VLOOKUP(CONCATENATE($A17,"_",W$3),'Unit List'!$A$14:$H$2841,2,FALSE)),"X",$P17)</f>
        <v/>
      </c>
      <c r="X17" s="172" t="str">
        <f>IF(ISTEXT(VLOOKUP(CONCATENATE($A17,"_",X$3),'Unit List'!$A$14:$H$2841,2,FALSE)),"+","")</f>
        <v/>
      </c>
      <c r="Y17" s="51" t="str">
        <f>IF(ISTEXT(VLOOKUP(CONCATENATE($A17,"_",Y$3),'Unit List'!$A$14:$H$2841,2,FALSE)),"X",$X17)</f>
        <v/>
      </c>
      <c r="Z17" s="51" t="str">
        <f>IF(ISTEXT(VLOOKUP(CONCATENATE($A17,"_",Z$3),'Unit List'!$A$14:$H$2841,2,FALSE)),"X",$X17)</f>
        <v/>
      </c>
      <c r="AA17" s="51" t="str">
        <f>IF(ISTEXT(VLOOKUP(CONCATENATE($A17,"_",AA$3),'Unit List'!$A$14:$H$2841,2,FALSE)),"X",$X17)</f>
        <v/>
      </c>
      <c r="AB17" s="89" t="s">
        <v>0</v>
      </c>
      <c r="AC17" s="62" t="str">
        <f>IF(ISTEXT(VLOOKUP(CONCATENATE($A17,"_",AC$3),'Unit List'!$A$14:$H$2841,2,FALSE)),"X",$X17)</f>
        <v/>
      </c>
      <c r="AD17" s="172" t="str">
        <f>IF(ISTEXT(VLOOKUP(CONCATENATE($A17,"_",AD$3),'Unit List'!$A$14:$H$2841,2,FALSE)),"+","")</f>
        <v>+</v>
      </c>
      <c r="AE17" s="51" t="str">
        <f>IF(ISTEXT(VLOOKUP(CONCATENATE($A17,"_",AE$3),'Unit List'!$A$14:$H$2841,2,FALSE)),"X",$AD17)</f>
        <v>+</v>
      </c>
      <c r="AF17" s="51" t="str">
        <f>IF(ISTEXT(VLOOKUP(CONCATENATE($A17,"_",AF$3),'Unit List'!$A$14:$H$2841,2,FALSE)),"X",$AD17)</f>
        <v>+</v>
      </c>
      <c r="AG17" s="172" t="str">
        <f>IF(ISTEXT(VLOOKUP(CONCATENATE($A17,"_",AG$3),'Unit List'!$A$14:$H$2841,2,FALSE)),"+","")</f>
        <v>+</v>
      </c>
      <c r="AH17" s="51" t="str">
        <f>IF(ISTEXT(VLOOKUP(CONCATENATE($A17,"_",AH$3),'Unit List'!$A$14:$H$2841,2,FALSE)),"X",$AG17)</f>
        <v>+</v>
      </c>
      <c r="AI17" s="51" t="str">
        <f>IF(ISTEXT(VLOOKUP(CONCATENATE($A17,"_",AI$3),'Unit List'!$A$14:$H$2841,2,FALSE)),"X",$AG17)</f>
        <v>+</v>
      </c>
      <c r="AJ17" s="53" t="str">
        <f>IF(ISTEXT(VLOOKUP(CONCATENATE($A17,"_",AJ$3),'Unit List'!$A$14:$H$2841,2,FALSE)),"X",$AG17)</f>
        <v>+</v>
      </c>
      <c r="AK17" s="172" t="str">
        <f>IF(ISTEXT(VLOOKUP(CONCATENATE($A17,"_",AK$3),'Unit List'!$A$14:$H$2841,2,FALSE)),"+","")</f>
        <v/>
      </c>
      <c r="AL17" s="92" t="s">
        <v>0</v>
      </c>
      <c r="AM17" s="53" t="str">
        <f>IF(ISTEXT(VLOOKUP(CONCATENATE($A17,"_",AM$3),'Unit List'!$A$14:$H$2841,2,FALSE)),"X",$AK17)</f>
        <v/>
      </c>
      <c r="AN17" s="125" t="str">
        <f>IF(ISTEXT(VLOOKUP(CONCATENATE($A17,"_",AN$3),'Unit List'!$A$14:$H$2841,2,FALSE)),"+","")</f>
        <v/>
      </c>
      <c r="AO17" s="74" t="s">
        <v>0</v>
      </c>
      <c r="AP17" s="172" t="str">
        <f>IF(ISTEXT(VLOOKUP(CONCATENATE($A17,"_",AP$3),'Unit List'!$A$14:$H$2841,2,FALSE)),"+","")</f>
        <v>+</v>
      </c>
      <c r="AQ17" s="51" t="str">
        <f>IF(ISTEXT(VLOOKUP(CONCATENATE($A17,"_",AQ$3),'Unit List'!$A$14:$H$2841,2,FALSE)),"X",$AP17)</f>
        <v>+</v>
      </c>
      <c r="AR17" s="51" t="str">
        <f>IF(ISTEXT(VLOOKUP(CONCATENATE($A17,"_",AR$3),'Unit List'!$A$14:$H$2841,2,FALSE)),"X",$AP17)</f>
        <v>+</v>
      </c>
      <c r="AS17" s="51" t="str">
        <f>IF(ISTEXT(VLOOKUP(CONCATENATE($A17,"_",AS$3),'Unit List'!$A$14:$H$2841,2,FALSE)),"X",$AP17)</f>
        <v>+</v>
      </c>
      <c r="AT17" s="53" t="str">
        <f>IF(ISTEXT(VLOOKUP(CONCATENATE($A17,"_",AT$3),'Unit List'!$A$14:$H$2841,2,FALSE)),"X",$AP17)</f>
        <v>+</v>
      </c>
      <c r="AU17" s="124" t="str">
        <f>IF(ISTEXT(VLOOKUP(CONCATENATE($A17,"_",AU$3),'Unit List'!$A$14:$H$2841,2,FALSE)),"+","")</f>
        <v/>
      </c>
      <c r="AV17" s="51" t="str">
        <f>IF(ISTEXT(VLOOKUP(CONCATENATE($A17,"_",AV$3),'Unit List'!$A$14:$H$2841,2,FALSE)),"X",$AU17)</f>
        <v/>
      </c>
      <c r="AW17" s="53" t="str">
        <f>IF(ISTEXT(VLOOKUP(CONCATENATE($A17,"_",AW$3),'Unit List'!$A$14:$H$2841,2,FALSE)),"X",$AU17)</f>
        <v/>
      </c>
      <c r="AX17" s="171" t="str">
        <f>IF(ISTEXT(VLOOKUP(CONCATENATE($A17,"_",AX$3),'Unit List'!$A$14:$H$2841,2,FALSE)),"+","")</f>
        <v>+</v>
      </c>
      <c r="AY17" s="67" t="str">
        <f>IF(ISTEXT(VLOOKUP(CONCATENATE($A17,"_",AY$3),'Unit List'!$A$14:$H$2841,2,FALSE)),"X",$AX17)</f>
        <v>+</v>
      </c>
      <c r="AZ17" s="70" t="str">
        <f>IF(ISTEXT(VLOOKUP(CONCATENATE($A17,"_",AZ$3),'Unit List'!$A$14:$H$2841,2,FALSE)),"X",$AX17)</f>
        <v>+</v>
      </c>
      <c r="BA17" s="182" t="str">
        <f>IF(ISTEXT(VLOOKUP(CONCATENATE($A17,"_",BA$3),'Unit List'!$A$14:$H$2841,2,FALSE)),"+","")</f>
        <v/>
      </c>
      <c r="BB17" s="51" t="str">
        <f>IF(ISTEXT(VLOOKUP(CONCATENATE($A17,"_",BB$3),'Unit List'!$A$14:$H$2841,2,FALSE)),"X",$BA17)</f>
        <v/>
      </c>
      <c r="BC17" s="51" t="str">
        <f>IF(ISTEXT(VLOOKUP(CONCATENATE($A17,"_",BC$3),'Unit List'!$A$14:$H$2841,2,FALSE)),"X",$BA17)</f>
        <v/>
      </c>
      <c r="BD17" s="53" t="str">
        <f>IF(ISTEXT(VLOOKUP(CONCATENATE($A17,"_",BD$3),'Unit List'!$A$14:$H$2841,2,FALSE)),"X",$BA17)</f>
        <v/>
      </c>
      <c r="BE17" s="125" t="str">
        <f>IF(ISTEXT(VLOOKUP(CONCATENATE($A17,"_",BE$3),'Unit List'!$A$14:$H$2841,2,FALSE)),"+","")</f>
        <v/>
      </c>
      <c r="BF17" s="62" t="str">
        <f>IF(ISTEXT(VLOOKUP(CONCATENATE($A17,"_",BF$3),'Unit List'!$A$14:$H$2841,2,FALSE)),"X",$BE17)</f>
        <v/>
      </c>
      <c r="BG17" s="75"/>
      <c r="BH17" s="76" t="s">
        <v>0</v>
      </c>
      <c r="BI17" s="211" t="s">
        <v>1301</v>
      </c>
      <c r="BJ17" s="212"/>
      <c r="BK17" s="212"/>
      <c r="BL17" s="212"/>
      <c r="BM17" s="213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List'!$A$14:$H$2841,2,FALSE)),"+","")</f>
        <v/>
      </c>
      <c r="C18" s="93" t="str">
        <f>IF(ISTEXT(VLOOKUP(CONCATENATE($A18,"_",C$3),'Unit List'!$A$14:$H$2841,2,FALSE)),"X",$B18)</f>
        <v/>
      </c>
      <c r="D18" s="60" t="str">
        <f>IF(ISTEXT(VLOOKUP(CONCATENATE($A18,"_",D$3),'Unit List'!$A$14:$H$2841,2,FALSE)),"X",$B18)</f>
        <v/>
      </c>
      <c r="E18" s="51" t="str">
        <f>IF(ISTEXT(VLOOKUP(CONCATENATE($A18,"_",E$3),'Unit List'!$A$14:$H$2841,2,FALSE)),"X",$B18)</f>
        <v/>
      </c>
      <c r="F18" s="67" t="str">
        <f>IF(ISTEXT(VLOOKUP(CONCATENATE($A18,"_",F$3),'Unit List'!$A$14:$H$2841,2,FALSE)),"X",$B18)</f>
        <v>X</v>
      </c>
      <c r="G18" s="67" t="str">
        <f>IF(ISTEXT(VLOOKUP(CONCATENATE($A18,"_",G$3),'Unit List'!$A$14:$H$2841,2,FALSE)),"X",$B18)</f>
        <v>X</v>
      </c>
      <c r="H18" s="67" t="str">
        <f>IF(ISTEXT(VLOOKUP(CONCATENATE($A18,"_",H$3),'Unit List'!$A$14:$H$2841,2,FALSE)),"X",$B18)</f>
        <v>X</v>
      </c>
      <c r="I18" s="53" t="str">
        <f>IF(ISTEXT(VLOOKUP(CONCATENATE($A18,"_",I$3),'Unit List'!$A$14:$H$2841,2,FALSE)),"X",$B18)</f>
        <v>X</v>
      </c>
      <c r="J18" s="172" t="str">
        <f>IF(ISTEXT(VLOOKUP(CONCATENATE($A18,"_",J$3),'Unit List'!$A$14:$H$2841,2,FALSE)),"+","")</f>
        <v>+</v>
      </c>
      <c r="K18" s="94" t="str">
        <f>IF(ISTEXT(VLOOKUP(CONCATENATE($A18,"_",K$3),'Unit List'!$A$14:$H$2841,2,FALSE)),"X",$J18)</f>
        <v>+</v>
      </c>
      <c r="L18" s="68" t="str">
        <f>IF(ISTEXT(VLOOKUP(CONCATENATE($A18,"_",L$3),'Unit List'!$A$14:$H$2841,2,FALSE)),"X",$J18)</f>
        <v>+</v>
      </c>
      <c r="M18" s="172" t="str">
        <f>IF(ISTEXT(VLOOKUP(CONCATENATE($A18,"_",M$3),'Unit List'!$A$14:$H$2841,2,FALSE)),"+","")</f>
        <v>+</v>
      </c>
      <c r="N18" s="51" t="str">
        <f>IF(ISTEXT(VLOOKUP(CONCATENATE($A18,"_",N$3),'Unit List'!$A$14:$H$2841,2,FALSE)),"X",$M18)</f>
        <v>+</v>
      </c>
      <c r="O18" s="70" t="str">
        <f>IF(ISTEXT(VLOOKUP(CONCATENATE($A18,"_",O$3),'Unit List'!$A$14:$H$2841,2,FALSE)),"X",$M18)</f>
        <v>X</v>
      </c>
      <c r="P18" s="172" t="str">
        <f>IF(ISTEXT(VLOOKUP(CONCATENATE($A18,"_",P$3),'Unit List'!$A$14:$H$2841,2,FALSE)),"+","")</f>
        <v>+</v>
      </c>
      <c r="Q18" s="51" t="str">
        <f>IF(ISTEXT(VLOOKUP(CONCATENATE($A18,"_",Q$3),'Unit List'!$A$14:$H$2841,2,FALSE)),"X",$P18)</f>
        <v>+</v>
      </c>
      <c r="R18" s="51" t="str">
        <f>IF(ISTEXT(VLOOKUP(CONCATENATE($A18,"_",R$3),'Unit List'!$A$14:$H$2841,2,FALSE)),"X",$P18)</f>
        <v>+</v>
      </c>
      <c r="S18" s="67" t="str">
        <f>IF(ISTEXT(VLOOKUP(CONCATENATE($A18,"_",S$3),'Unit List'!$A$14:$H$2841,2,FALSE)),"X",$P18)</f>
        <v>X</v>
      </c>
      <c r="T18" s="52" t="str">
        <f>IF(ISTEXT(VLOOKUP(CONCATENATE($A18,"_",T$3),'Unit List'!$A$14:$H$2841,2,FALSE)),"X",$P18)</f>
        <v>+</v>
      </c>
      <c r="U18" s="67" t="str">
        <f>IF(ISTEXT(VLOOKUP(CONCATENATE($A18,"_",U$3),'Unit List'!$A$14:$H$2841,2,FALSE)),"X",$P18)</f>
        <v>X</v>
      </c>
      <c r="V18" s="67" t="str">
        <f>IF(ISTEXT(VLOOKUP(CONCATENATE($A18,"_",V$3),'Unit List'!$A$14:$H$2841,2,FALSE)),"X",$P18)</f>
        <v>X</v>
      </c>
      <c r="W18" s="53" t="str">
        <f>IF(ISTEXT(VLOOKUP(CONCATENATE($A18,"_",W$3),'Unit List'!$A$14:$H$2841,2,FALSE)),"X",$P18)</f>
        <v>+</v>
      </c>
      <c r="X18" s="171" t="str">
        <f>IF(ISTEXT(VLOOKUP(CONCATENATE($A18,"_",X$3),'Unit List'!$A$14:$H$2841,2,FALSE)),"+","")</f>
        <v>+</v>
      </c>
      <c r="Y18" s="67" t="str">
        <f>IF(ISTEXT(VLOOKUP(CONCATENATE($A18,"_",Y$3),'Unit List'!$A$14:$H$2841,2,FALSE)),"X",$X18)</f>
        <v>+</v>
      </c>
      <c r="Z18" s="51" t="str">
        <f>IF(ISTEXT(VLOOKUP(CONCATENATE($A18,"_",Z$3),'Unit List'!$A$14:$H$2841,2,FALSE)),"X",$X18)</f>
        <v>+</v>
      </c>
      <c r="AA18" s="67" t="str">
        <f>IF(ISTEXT(VLOOKUP(CONCATENATE($A18,"_",AA$3),'Unit List'!$A$14:$H$2841,2,FALSE)),"X",$X18)</f>
        <v>X</v>
      </c>
      <c r="AB18" s="67" t="str">
        <f>IF(ISTEXT(VLOOKUP(CONCATENATE($A18,"_",AB$3),'Unit List'!$A$14:$H$2841,2,FALSE)),"X",$X18)</f>
        <v>X</v>
      </c>
      <c r="AC18" s="86" t="str">
        <f>IF(ISTEXT(VLOOKUP(CONCATENATE($A18,"_",AC$3),'Unit List'!$A$14:$H$2841,2,FALSE)),"X",$X18)</f>
        <v>X</v>
      </c>
      <c r="AD18" s="171" t="str">
        <f>IF(ISTEXT(VLOOKUP(CONCATENATE($A18,"_",AD$3),'Unit List'!$A$14:$H$2841,2,FALSE)),"+","")</f>
        <v/>
      </c>
      <c r="AE18" s="51" t="str">
        <f>IF(ISTEXT(VLOOKUP(CONCATENATE($A18,"_",AE$3),'Unit List'!$A$14:$H$2841,2,FALSE)),"X",$AD18)</f>
        <v/>
      </c>
      <c r="AF18" s="51" t="str">
        <f>IF(ISTEXT(VLOOKUP(CONCATENATE($A18,"_",AF$3),'Unit List'!$A$14:$H$2841,2,FALSE)),"X",$AD18)</f>
        <v/>
      </c>
      <c r="AG18" s="171" t="str">
        <f>IF(ISTEXT(VLOOKUP(CONCATENATE($A18,"_",AG$3),'Unit List'!$A$14:$H$2841,2,FALSE)),"+","")</f>
        <v>+</v>
      </c>
      <c r="AH18" s="67" t="str">
        <f>IF(ISTEXT(VLOOKUP(CONCATENATE($A18,"_",AH$3),'Unit List'!$A$14:$H$2841,2,FALSE)),"X",$AG18)</f>
        <v>+</v>
      </c>
      <c r="AI18" s="51" t="str">
        <f>IF(ISTEXT(VLOOKUP(CONCATENATE($A18,"_",AI$3),'Unit List'!$A$14:$H$2841,2,FALSE)),"X",$AG18)</f>
        <v>X</v>
      </c>
      <c r="AJ18" s="53" t="str">
        <f>IF(ISTEXT(VLOOKUP(CONCATENATE($A18,"_",AJ$3),'Unit List'!$A$14:$H$2841,2,FALSE)),"X",$AG18)</f>
        <v>+</v>
      </c>
      <c r="AK18" s="171" t="str">
        <f>IF(ISTEXT(VLOOKUP(CONCATENATE($A18,"_",AK$3),'Unit List'!$A$14:$H$2841,2,FALSE)),"+","")</f>
        <v>+</v>
      </c>
      <c r="AL18" s="52" t="str">
        <f>IF(ISTEXT(VLOOKUP(CONCATENATE($A18,"_",AL$3),'Unit List'!$A$14:$H$2841,2,FALSE)),"X",$AK18)</f>
        <v>+</v>
      </c>
      <c r="AM18" s="70" t="str">
        <f>IF(ISTEXT(VLOOKUP(CONCATENATE($A18,"_",AM$3),'Unit List'!$A$14:$H$2841,2,FALSE)),"X",$AK18)</f>
        <v>+</v>
      </c>
      <c r="AN18" s="125" t="str">
        <f>IF(ISTEXT(VLOOKUP(CONCATENATE($A18,"_",AN$3),'Unit List'!$A$14:$H$2841,2,FALSE)),"+","")</f>
        <v>+</v>
      </c>
      <c r="AO18" s="70" t="str">
        <f>IF(ISTEXT(VLOOKUP(CONCATENATE($A18,"_",AO$3),'Unit List'!$A$14:$H$2841,2,FALSE)),"X",$AN18)</f>
        <v>X</v>
      </c>
      <c r="AP18" s="171" t="str">
        <f>IF(ISTEXT(VLOOKUP(CONCATENATE($A18,"_",AP$3),'Unit List'!$A$14:$H$2841,2,FALSE)),"+","")</f>
        <v>+</v>
      </c>
      <c r="AQ18" s="67" t="str">
        <f>IF(ISTEXT(VLOOKUP(CONCATENATE($A18,"_",AQ$3),'Unit List'!$A$14:$H$2841,2,FALSE)),"X",$AP18)</f>
        <v>X</v>
      </c>
      <c r="AR18" s="67" t="str">
        <f>IF(ISTEXT(VLOOKUP(CONCATENATE($A18,"_",AR$3),'Unit List'!$A$14:$H$2841,2,FALSE)),"X",$AP18)</f>
        <v>X</v>
      </c>
      <c r="AS18" s="67" t="str">
        <f>IF(ISTEXT(VLOOKUP(CONCATENATE($A18,"_",AS$3),'Unit List'!$A$14:$H$2841,2,FALSE)),"X",$AP18)</f>
        <v>X</v>
      </c>
      <c r="AT18" s="70" t="str">
        <f>IF(ISTEXT(VLOOKUP(CONCATENATE($A18,"_",AT$3),'Unit List'!$A$14:$H$2841,2,FALSE)),"X",$AP18)</f>
        <v>X</v>
      </c>
      <c r="AU18" s="124" t="str">
        <f>IF(ISTEXT(VLOOKUP(CONCATENATE($A18,"_",AU$3),'Unit List'!$A$14:$H$2841,2,FALSE)),"+","")</f>
        <v>+</v>
      </c>
      <c r="AV18" s="51" t="str">
        <f>IF(ISTEXT(VLOOKUP(CONCATENATE($A18,"_",AV$3),'Unit List'!$A$14:$H$2841,2,FALSE)),"X",$AU18)</f>
        <v>+</v>
      </c>
      <c r="AW18" s="53" t="str">
        <f>IF(ISTEXT(VLOOKUP(CONCATENATE($A18,"_",AW$3),'Unit List'!$A$14:$H$2841,2,FALSE)),"X",$AU18)</f>
        <v>+</v>
      </c>
      <c r="AX18" s="171" t="str">
        <f>IF(ISTEXT(VLOOKUP(CONCATENATE($A18,"_",AX$3),'Unit List'!$A$14:$H$2841,2,FALSE)),"+","")</f>
        <v>+</v>
      </c>
      <c r="AY18" s="67" t="str">
        <f>IF(ISTEXT(VLOOKUP(CONCATENATE($A18,"_",AY$3),'Unit List'!$A$14:$H$2841,2,FALSE)),"X",$AX18)</f>
        <v>+</v>
      </c>
      <c r="AZ18" s="70" t="str">
        <f>IF(ISTEXT(VLOOKUP(CONCATENATE($A18,"_",AZ$3),'Unit List'!$A$14:$H$2841,2,FALSE)),"X",$AX18)</f>
        <v>+</v>
      </c>
      <c r="BA18" s="171" t="str">
        <f>IF(ISTEXT(VLOOKUP(CONCATENATE($A18,"_",BA$3),'Unit List'!$A$14:$H$2841,2,FALSE)),"+","")</f>
        <v>+</v>
      </c>
      <c r="BB18" s="67" t="str">
        <f>IF(ISTEXT(VLOOKUP(CONCATENATE($A18,"_",BB$3),'Unit List'!$A$14:$H$2841,2,FALSE)),"X",$BA18)</f>
        <v>X</v>
      </c>
      <c r="BC18" s="67" t="str">
        <f>IF(ISTEXT(VLOOKUP(CONCATENATE($A18,"_",BC$3),'Unit List'!$A$14:$H$2841,2,FALSE)),"X",$BA18)</f>
        <v>X</v>
      </c>
      <c r="BD18" s="70" t="str">
        <f>IF(ISTEXT(VLOOKUP(CONCATENATE($A18,"_",BD$3),'Unit List'!$A$14:$H$2841,2,FALSE)),"X",$BA18)</f>
        <v>X</v>
      </c>
      <c r="BE18" s="125" t="str">
        <f>IF(ISTEXT(VLOOKUP(CONCATENATE($A18,"_",BE$3),'Unit List'!$A$14:$H$2841,2,FALSE)),"+","")</f>
        <v>+</v>
      </c>
      <c r="BF18" s="62" t="str">
        <f>IF(ISTEXT(VLOOKUP(CONCATENATE($A18,"_",BF$3),'Unit List'!$A$14:$H$2841,2,FALSE)),"X",$BE18)</f>
        <v>+</v>
      </c>
      <c r="BG18" s="75"/>
      <c r="BH18" s="84"/>
      <c r="BI18" s="211" t="s">
        <v>12</v>
      </c>
      <c r="BJ18" s="214"/>
      <c r="BK18" s="214"/>
      <c r="BL18" s="214"/>
      <c r="BM18" s="215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List'!$A$14:$H$2841,2,FALSE)),"+","")</f>
        <v/>
      </c>
      <c r="C19" s="82" t="str">
        <f>IF(ISTEXT(VLOOKUP(CONCATENATE($A19,"_",C$3),'Unit List'!$A$14:$H$2841,2,FALSE)),"X",$B19)</f>
        <v>X</v>
      </c>
      <c r="D19" s="60" t="str">
        <f>IF(ISTEXT(VLOOKUP(CONCATENATE($A19,"_",D$3),'Unit List'!$A$14:$H$2841,2,FALSE)),"X",$B19)</f>
        <v/>
      </c>
      <c r="E19" s="51" t="str">
        <f>IF(ISTEXT(VLOOKUP(CONCATENATE($A19,"_",E$3),'Unit List'!$A$14:$H$2841,2,FALSE)),"X",$B19)</f>
        <v/>
      </c>
      <c r="F19" s="72" t="s">
        <v>0</v>
      </c>
      <c r="G19" s="67" t="str">
        <f>IF(ISTEXT(VLOOKUP(CONCATENATE($A19,"_",G$3),'Unit List'!$A$14:$H$2841,2,FALSE)),"X",$B19)</f>
        <v>X</v>
      </c>
      <c r="H19" s="67" t="str">
        <f>IF(ISTEXT(VLOOKUP(CONCATENATE($A19,"_",H$3),'Unit List'!$A$14:$H$2841,2,FALSE)),"X",$B19)</f>
        <v>X</v>
      </c>
      <c r="I19" s="53" t="str">
        <f>IF(ISTEXT(VLOOKUP(CONCATENATE($A19,"_",I$3),'Unit List'!$A$14:$H$2841,2,FALSE)),"X",$B19)</f>
        <v/>
      </c>
      <c r="J19" s="172" t="str">
        <f>IF(ISTEXT(VLOOKUP(CONCATENATE($A19,"_",J$3),'Unit List'!$A$14:$H$2841,2,FALSE)),"+","")</f>
        <v>+</v>
      </c>
      <c r="K19" s="94" t="str">
        <f>IF(ISTEXT(VLOOKUP(CONCATENATE($A19,"_",K$3),'Unit List'!$A$14:$H$2841,2,FALSE)),"X",$J19)</f>
        <v>+</v>
      </c>
      <c r="L19" s="68" t="str">
        <f>IF(ISTEXT(VLOOKUP(CONCATENATE($A19,"_",L$3),'Unit List'!$A$14:$H$2841,2,FALSE)),"X",$J19)</f>
        <v>+</v>
      </c>
      <c r="M19" s="172" t="str">
        <f>IF(ISTEXT(VLOOKUP(CONCATENATE($A19,"_",M$3),'Unit List'!$A$14:$H$2841,2,FALSE)),"+","")</f>
        <v/>
      </c>
      <c r="N19" s="51" t="str">
        <f>IF(ISTEXT(VLOOKUP(CONCATENATE($A19,"_",N$3),'Unit List'!$A$14:$H$2841,2,FALSE)),"X",$M19)</f>
        <v/>
      </c>
      <c r="O19" s="70" t="str">
        <f>IF(ISTEXT(VLOOKUP(CONCATENATE($A19,"_",O$3),'Unit List'!$A$14:$H$2841,2,FALSE)),"X",$M19)</f>
        <v>X</v>
      </c>
      <c r="P19" s="172" t="str">
        <f>IF(ISTEXT(VLOOKUP(CONCATENATE($A19,"_",P$3),'Unit List'!$A$14:$H$2841,2,FALSE)),"+","")</f>
        <v>+</v>
      </c>
      <c r="Q19" s="69" t="str">
        <f>IF(ISTEXT(VLOOKUP(CONCATENATE($A19,"_",Q$3),'Unit List'!$A$14:$H$2841,2,FALSE)),"X",$P19)</f>
        <v>+</v>
      </c>
      <c r="R19" s="69" t="str">
        <f>IF(ISTEXT(VLOOKUP(CONCATENATE($A19,"_",R$3),'Unit List'!$A$14:$H$2841,2,FALSE)),"X",$P19)</f>
        <v>+</v>
      </c>
      <c r="S19" s="51" t="str">
        <f>IF(ISTEXT(VLOOKUP(CONCATENATE($A19,"_",S$3),'Unit List'!$A$14:$H$2841,2,FALSE)),"X",$P19)</f>
        <v>X</v>
      </c>
      <c r="T19" s="183" t="str">
        <f>IF(ISTEXT(VLOOKUP(CONCATENATE($A19,"_",T$3),'Unit List'!$A$14:$H$2841,2,FALSE)),"X",$P19)</f>
        <v>+</v>
      </c>
      <c r="U19" s="67" t="str">
        <f>IF(ISTEXT(VLOOKUP(CONCATENATE($A19,"_",U$3),'Unit List'!$A$14:$H$2841,2,FALSE)),"X",$P19)</f>
        <v>X</v>
      </c>
      <c r="V19" s="67" t="str">
        <f>IF(ISTEXT(VLOOKUP(CONCATENATE($A19,"_",V$3),'Unit List'!$A$14:$H$2841,2,FALSE)),"X",$P19)</f>
        <v>X</v>
      </c>
      <c r="W19" s="71" t="str">
        <f>IF(ISTEXT(VLOOKUP(CONCATENATE($A19,"_",W$3),'Unit List'!$A$14:$H$2841,2,FALSE)),"X",$P19)</f>
        <v>+</v>
      </c>
      <c r="X19" s="171" t="str">
        <f>IF(ISTEXT(VLOOKUP(CONCATENATE($A19,"_",X$3),'Unit List'!$A$14:$H$2841,2,FALSE)),"+","")</f>
        <v>+</v>
      </c>
      <c r="Y19" s="67" t="str">
        <f>IF(ISTEXT(VLOOKUP(CONCATENATE($A19,"_",Y$3),'Unit List'!$A$14:$H$2841,2,FALSE)),"X",$X19)</f>
        <v>X</v>
      </c>
      <c r="Z19" s="69" t="str">
        <f>IF(ISTEXT(VLOOKUP(CONCATENATE($A19,"_",Z$3),'Unit List'!$A$14:$H$2841,2,FALSE)),"X",$X19)</f>
        <v>+</v>
      </c>
      <c r="AA19" s="67" t="str">
        <f>IF(ISTEXT(VLOOKUP(CONCATENATE($A19,"_",AA$3),'Unit List'!$A$14:$H$2841,2,FALSE)),"X",$X19)</f>
        <v>X</v>
      </c>
      <c r="AB19" s="67" t="str">
        <f>IF(ISTEXT(VLOOKUP(CONCATENATE($A19,"_",AB$3),'Unit List'!$A$14:$H$2841,2,FALSE)),"X",$X19)</f>
        <v>X</v>
      </c>
      <c r="AC19" s="68" t="str">
        <f>IF(ISTEXT(VLOOKUP(CONCATENATE($A19,"_",AC$3),'Unit List'!$A$14:$H$2841,2,FALSE)),"X",$X19)</f>
        <v>X</v>
      </c>
      <c r="AD19" s="171" t="str">
        <f>IF(ISTEXT(VLOOKUP(CONCATENATE($A19,"_",AD$3),'Unit List'!$A$14:$H$2841,2,FALSE)),"+","")</f>
        <v>+</v>
      </c>
      <c r="AE19" s="51" t="str">
        <f>IF(ISTEXT(VLOOKUP(CONCATENATE($A19,"_",AE$3),'Unit List'!$A$14:$H$2841,2,FALSE)),"X",$AD19)</f>
        <v>+</v>
      </c>
      <c r="AF19" s="51" t="str">
        <f>IF(ISTEXT(VLOOKUP(CONCATENATE($A19,"_",AF$3),'Unit List'!$A$14:$H$2841,2,FALSE)),"X",$AD19)</f>
        <v>+</v>
      </c>
      <c r="AG19" s="171" t="str">
        <f>IF(ISTEXT(VLOOKUP(CONCATENATE($A19,"_",AG$3),'Unit List'!$A$14:$H$2841,2,FALSE)),"+","")</f>
        <v>+</v>
      </c>
      <c r="AH19" s="67" t="str">
        <f>IF(ISTEXT(VLOOKUP(CONCATENATE($A19,"_",AH$3),'Unit List'!$A$14:$H$2841,2,FALSE)),"X",$AG19)</f>
        <v>+</v>
      </c>
      <c r="AI19" s="69" t="str">
        <f>IF(ISTEXT(VLOOKUP(CONCATENATE($A19,"_",AI$3),'Unit List'!$A$14:$H$2841,2,FALSE)),"X",$AG19)</f>
        <v>X</v>
      </c>
      <c r="AJ19" s="71" t="str">
        <f>IF(ISTEXT(VLOOKUP(CONCATENATE($A19,"_",AJ$3),'Unit List'!$A$14:$H$2841,2,FALSE)),"X",$AG19)</f>
        <v>+</v>
      </c>
      <c r="AK19" s="171" t="str">
        <f>IF(ISTEXT(VLOOKUP(CONCATENATE($A19,"_",AK$3),'Unit List'!$A$14:$H$2841,2,FALSE)),"+","")</f>
        <v>+</v>
      </c>
      <c r="AL19" s="183" t="str">
        <f>IF(ISTEXT(VLOOKUP(CONCATENATE($A19,"_",AL$3),'Unit List'!$A$14:$H$2841,2,FALSE)),"X",$AK19)</f>
        <v>+</v>
      </c>
      <c r="AM19" s="73" t="str">
        <f>IF(ISTEXT(VLOOKUP(CONCATENATE($A19,"_",AM$3),'Unit List'!$A$14:$H$2841,2,FALSE)),"X",$AK19)</f>
        <v>+</v>
      </c>
      <c r="AN19" s="175" t="str">
        <f>IF(ISTEXT(VLOOKUP(CONCATENATE($A19,"_",AN$3),'Unit List'!$A$14:$H$2841,2,FALSE)),"+","")</f>
        <v>+</v>
      </c>
      <c r="AO19" s="70" t="str">
        <f>IF(ISTEXT(VLOOKUP(CONCATENATE($A19,"_",AO$3),'Unit List'!$A$14:$H$2841,2,FALSE)),"X",$AN19)</f>
        <v>+</v>
      </c>
      <c r="AP19" s="171" t="str">
        <f>IF(ISTEXT(VLOOKUP(CONCATENATE($A19,"_",AP$3),'Unit List'!$A$14:$H$2841,2,FALSE)),"+","")</f>
        <v>+</v>
      </c>
      <c r="AQ19" s="89" t="s">
        <v>0</v>
      </c>
      <c r="AR19" s="67" t="str">
        <f>IF(ISTEXT(VLOOKUP(CONCATENATE($A19,"_",AR$3),'Unit List'!$A$14:$H$2841,2,FALSE)),"X",$AP19)</f>
        <v>X</v>
      </c>
      <c r="AS19" s="67" t="str">
        <f>IF(ISTEXT(VLOOKUP(CONCATENATE($A19,"_",AS$3),'Unit List'!$A$14:$H$2841,2,FALSE)),"X",$AP19)</f>
        <v>+</v>
      </c>
      <c r="AT19" s="73" t="str">
        <f>IF(ISTEXT(VLOOKUP(CONCATENATE($A19,"_",AT$3),'Unit List'!$A$14:$H$2841,2,FALSE)),"X",$AP19)</f>
        <v>X</v>
      </c>
      <c r="AU19" s="177" t="str">
        <f>IF(ISTEXT(VLOOKUP(CONCATENATE($A19,"_",AU$3),'Unit List'!$A$14:$H$2841,2,FALSE)),"+","")</f>
        <v>+</v>
      </c>
      <c r="AV19" s="69" t="str">
        <f>IF(ISTEXT(VLOOKUP(CONCATENATE($A19,"_",AV$3),'Unit List'!$A$14:$H$2841,2,FALSE)),"X",$AU19)</f>
        <v>+</v>
      </c>
      <c r="AW19" s="71" t="str">
        <f>IF(ISTEXT(VLOOKUP(CONCATENATE($A19,"_",AW$3),'Unit List'!$A$14:$H$2841,2,FALSE)),"X",$AU19)</f>
        <v>+</v>
      </c>
      <c r="AX19" s="171" t="str">
        <f>IF(ISTEXT(VLOOKUP(CONCATENATE($A19,"_",AX$3),'Unit List'!$A$14:$H$2841,2,FALSE)),"+","")</f>
        <v>+</v>
      </c>
      <c r="AY19" s="67" t="str">
        <f>IF(ISTEXT(VLOOKUP(CONCATENATE($A19,"_",AY$3),'Unit List'!$A$14:$H$2841,2,FALSE)),"X",$AX19)</f>
        <v>X</v>
      </c>
      <c r="AZ19" s="70" t="str">
        <f>IF(ISTEXT(VLOOKUP(CONCATENATE($A19,"_",AZ$3),'Unit List'!$A$14:$H$2841,2,FALSE)),"X",$AX19)</f>
        <v>+</v>
      </c>
      <c r="BA19" s="171" t="str">
        <f>IF(ISTEXT(VLOOKUP(CONCATENATE($A19,"_",BA$3),'Unit List'!$A$14:$H$2841,2,FALSE)),"+","")</f>
        <v>+</v>
      </c>
      <c r="BB19" s="67" t="str">
        <f>IF(ISTEXT(VLOOKUP(CONCATENATE($A19,"_",BB$3),'Unit List'!$A$14:$H$2841,2,FALSE)),"X",$BA19)</f>
        <v>X</v>
      </c>
      <c r="BC19" s="94" t="str">
        <f>IF(ISTEXT(VLOOKUP(CONCATENATE($A19,"_",BC$3),'Unit List'!$A$14:$H$2841,2,FALSE)),"X",$BA19)</f>
        <v>X</v>
      </c>
      <c r="BD19" s="73" t="str">
        <f>IF(ISTEXT(VLOOKUP(CONCATENATE($A19,"_",BD$3),'Unit List'!$A$14:$H$2841,2,FALSE)),"X",$BA19)</f>
        <v>X</v>
      </c>
      <c r="BE19" s="175" t="str">
        <f>IF(ISTEXT(VLOOKUP(CONCATENATE($A19,"_",BE$3),'Unit List'!$A$14:$H$2841,2,FALSE)),"+","")</f>
        <v>+</v>
      </c>
      <c r="BF19" s="184" t="str">
        <f>IF(ISTEXT(VLOOKUP(CONCATENATE($A19,"_",BF$3),'Unit List'!$A$14:$H$2841,2,FALSE)),"X",$BE19)</f>
        <v>+</v>
      </c>
      <c r="BG19" s="95"/>
      <c r="BH19" s="96"/>
      <c r="BI19" s="211" t="s">
        <v>12</v>
      </c>
      <c r="BJ19" s="214"/>
      <c r="BK19" s="214"/>
      <c r="BL19" s="214"/>
      <c r="BM19" s="215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List'!$A$14:$H$2841,2,FALSE)),"+","")</f>
        <v/>
      </c>
      <c r="C20" s="82" t="str">
        <f>IF(ISTEXT(VLOOKUP(CONCATENATE($A20,"_",C$3),'Unit List'!$A$14:$H$2841,2,FALSE)),"X",$B20)</f>
        <v>X</v>
      </c>
      <c r="D20" s="51" t="str">
        <f>IF(ISTEXT(VLOOKUP(CONCATENATE($A20,"_",D$3),'Unit List'!$A$14:$H$2841,2,FALSE)),"X",$B20)</f>
        <v>X</v>
      </c>
      <c r="E20" s="51" t="str">
        <f>IF(ISTEXT(VLOOKUP(CONCATENATE($A20,"_",E$3),'Unit List'!$A$14:$H$2841,2,FALSE)),"X",$B20)</f>
        <v>X</v>
      </c>
      <c r="F20" s="67" t="str">
        <f>IF(ISTEXT(VLOOKUP(CONCATENATE($A20,"_",F$3),'Unit List'!$A$14:$H$2841,2,FALSE)),"X",$B20)</f>
        <v>X</v>
      </c>
      <c r="G20" s="67" t="str">
        <f>IF(ISTEXT(VLOOKUP(CONCATENATE($A20,"_",G$3),'Unit List'!$A$14:$H$2841,2,FALSE)),"X",$B20)</f>
        <v>X</v>
      </c>
      <c r="H20" s="67" t="str">
        <f>IF(ISTEXT(VLOOKUP(CONCATENATE($A20,"_",H$3),'Unit List'!$A$14:$H$2841,2,FALSE)),"X",$B20)</f>
        <v>X</v>
      </c>
      <c r="I20" s="70" t="str">
        <f>IF(ISTEXT(VLOOKUP(CONCATENATE($A20,"_",I$3),'Unit List'!$A$14:$H$2841,2,FALSE)),"X",$B20)</f>
        <v>X</v>
      </c>
      <c r="J20" s="172" t="str">
        <f>IF(ISTEXT(VLOOKUP(CONCATENATE($A20,"_",J$3),'Unit List'!$A$14:$H$2841,2,FALSE)),"+","")</f>
        <v/>
      </c>
      <c r="K20" s="51" t="str">
        <f>IF(ISTEXT(VLOOKUP(CONCATENATE($A20,"_",K$3),'Unit List'!$A$14:$H$2841,2,FALSE)),"X",$J20)</f>
        <v/>
      </c>
      <c r="L20" s="86" t="str">
        <f>IF(ISTEXT(VLOOKUP(CONCATENATE($A20,"_",L$3),'Unit List'!$A$14:$H$2841,2,FALSE)),"X",$J20)</f>
        <v>X</v>
      </c>
      <c r="M20" s="172" t="str">
        <f>IF(ISTEXT(VLOOKUP(CONCATENATE($A20,"_",M$3),'Unit List'!$A$14:$H$2841,2,FALSE)),"+","")</f>
        <v>+</v>
      </c>
      <c r="N20" s="67" t="str">
        <f>IF(ISTEXT(VLOOKUP(CONCATENATE($A20,"_",N$3),'Unit List'!$A$14:$H$2841,2,FALSE)),"X",$M20)</f>
        <v>X</v>
      </c>
      <c r="O20" s="70" t="str">
        <f>IF(ISTEXT(VLOOKUP(CONCATENATE($A20,"_",O$3),'Unit List'!$A$14:$H$2841,2,FALSE)),"X",$M20)</f>
        <v>X</v>
      </c>
      <c r="P20" s="172" t="str">
        <f>IF(ISTEXT(VLOOKUP(CONCATENATE($A20,"_",P$3),'Unit List'!$A$14:$H$2841,2,FALSE)),"+","")</f>
        <v/>
      </c>
      <c r="Q20" s="51" t="str">
        <f>IF(ISTEXT(VLOOKUP(CONCATENATE($A20,"_",Q$3),'Unit List'!$A$14:$H$2841,2,FALSE)),"X",$P20)</f>
        <v/>
      </c>
      <c r="R20" s="51" t="str">
        <f>IF(ISTEXT(VLOOKUP(CONCATENATE($A20,"_",R$3),'Unit List'!$A$14:$H$2841,2,FALSE)),"X",$P20)</f>
        <v/>
      </c>
      <c r="S20" s="67" t="str">
        <f>IF(ISTEXT(VLOOKUP(CONCATENATE($A20,"_",S$3),'Unit List'!$A$14:$H$2841,2,FALSE)),"X",$P20)</f>
        <v>X</v>
      </c>
      <c r="T20" s="52" t="str">
        <f>IF(ISTEXT(VLOOKUP(CONCATENATE($A20,"_",T$3),'Unit List'!$A$14:$H$2841,2,FALSE)),"X",$P20)</f>
        <v/>
      </c>
      <c r="U20" s="67" t="str">
        <f>IF(ISTEXT(VLOOKUP(CONCATENATE($A20,"_",U$3),'Unit List'!$A$14:$H$2841,2,FALSE)),"X",$P20)</f>
        <v>X</v>
      </c>
      <c r="V20" s="51" t="str">
        <f>IF(ISTEXT(VLOOKUP(CONCATENATE($A20,"_",V$3),'Unit List'!$A$14:$H$2841,2,FALSE)),"X",$P20)</f>
        <v/>
      </c>
      <c r="W20" s="53" t="str">
        <f>IF(ISTEXT(VLOOKUP(CONCATENATE($A20,"_",W$3),'Unit List'!$A$14:$H$2841,2,FALSE)),"X",$P20)</f>
        <v/>
      </c>
      <c r="X20" s="172" t="str">
        <f>IF(ISTEXT(VLOOKUP(CONCATENATE($A20,"_",X$3),'Unit List'!$A$14:$H$2841,2,FALSE)),"+","")</f>
        <v/>
      </c>
      <c r="Y20" s="51" t="str">
        <f>IF(ISTEXT(VLOOKUP(CONCATENATE($A20,"_",Y$3),'Unit List'!$A$14:$H$2841,2,FALSE)),"X",$X20)</f>
        <v/>
      </c>
      <c r="Z20" s="51" t="str">
        <f>IF(ISTEXT(VLOOKUP(CONCATENATE($A20,"_",Z$3),'Unit List'!$A$14:$H$2841,2,FALSE)),"X",$X20)</f>
        <v/>
      </c>
      <c r="AA20" s="51" t="str">
        <f>IF(ISTEXT(VLOOKUP(CONCATENATE($A20,"_",AA$3),'Unit List'!$A$14:$H$2841,2,FALSE)),"X",$X20)</f>
        <v/>
      </c>
      <c r="AB20" s="51" t="str">
        <f>IF(ISTEXT(VLOOKUP(CONCATENATE($A20,"_",AB$3),'Unit List'!$A$14:$H$2841,2,FALSE)),"X",$X20)</f>
        <v/>
      </c>
      <c r="AC20" s="62" t="str">
        <f>IF(ISTEXT(VLOOKUP(CONCATENATE($A20,"_",AC$3),'Unit List'!$A$14:$H$2841,2,FALSE)),"X",$X20)</f>
        <v/>
      </c>
      <c r="AD20" s="172" t="str">
        <f>IF(ISTEXT(VLOOKUP(CONCATENATE($A20,"_",AD$3),'Unit List'!$A$14:$H$2841,2,FALSE)),"+","")</f>
        <v/>
      </c>
      <c r="AE20" s="51" t="str">
        <f>IF(ISTEXT(VLOOKUP(CONCATENATE($A20,"_",AE$3),'Unit List'!$A$14:$H$2841,2,FALSE)),"X",$AD20)</f>
        <v/>
      </c>
      <c r="AF20" s="51" t="str">
        <f>IF(ISTEXT(VLOOKUP(CONCATENATE($A20,"_",AF$3),'Unit List'!$A$14:$H$2841,2,FALSE)),"X",$AD20)</f>
        <v/>
      </c>
      <c r="AG20" s="172" t="str">
        <f>IF(ISTEXT(VLOOKUP(CONCATENATE($A20,"_",AG$3),'Unit List'!$A$14:$H$2841,2,FALSE)),"+","")</f>
        <v/>
      </c>
      <c r="AH20" s="51" t="str">
        <f>IF(ISTEXT(VLOOKUP(CONCATENATE($A20,"_",AH$3),'Unit List'!$A$14:$H$2841,2,FALSE)),"X",$AG20)</f>
        <v/>
      </c>
      <c r="AI20" s="51" t="str">
        <f>IF(ISTEXT(VLOOKUP(CONCATENATE($A20,"_",AI$3),'Unit List'!$A$14:$H$2841,2,FALSE)),"X",$AG20)</f>
        <v/>
      </c>
      <c r="AJ20" s="53" t="str">
        <f>IF(ISTEXT(VLOOKUP(CONCATENATE($A20,"_",AJ$3),'Unit List'!$A$14:$H$2841,2,FALSE)),"X",$AG20)</f>
        <v/>
      </c>
      <c r="AK20" s="172" t="str">
        <f>IF(ISTEXT(VLOOKUP(CONCATENATE($A20,"_",AK$3),'Unit List'!$A$14:$H$2841,2,FALSE)),"+","")</f>
        <v/>
      </c>
      <c r="AL20" s="52" t="str">
        <f>IF(ISTEXT(VLOOKUP(CONCATENATE($A20,"_",AL$3),'Unit List'!$A$14:$H$2841,2,FALSE)),"X",$AK20)</f>
        <v/>
      </c>
      <c r="AM20" s="53" t="str">
        <f>IF(ISTEXT(VLOOKUP(CONCATENATE($A20,"_",AM$3),'Unit List'!$A$14:$H$2841,2,FALSE)),"X",$AK20)</f>
        <v/>
      </c>
      <c r="AN20" s="125" t="str">
        <f>IF(ISTEXT(VLOOKUP(CONCATENATE($A20,"_",AN$3),'Unit List'!$A$14:$H$2841,2,FALSE)),"+","")</f>
        <v/>
      </c>
      <c r="AO20" s="53" t="str">
        <f>IF(ISTEXT(VLOOKUP(CONCATENATE($A20,"_",AO$3),'Unit List'!$A$14:$H$2841,2,FALSE)),"X",$AN20)</f>
        <v/>
      </c>
      <c r="AP20" s="172" t="str">
        <f>IF(ISTEXT(VLOOKUP(CONCATENATE($A20,"_",AP$3),'Unit List'!$A$14:$H$2841,2,FALSE)),"+","")</f>
        <v>+</v>
      </c>
      <c r="AQ20" s="51" t="str">
        <f>IF(ISTEXT(VLOOKUP(CONCATENATE($A20,"_",AQ$3),'Unit List'!$A$14:$H$2841,2,FALSE)),"X",$AP20)</f>
        <v>+</v>
      </c>
      <c r="AR20" s="67" t="str">
        <f>IF(ISTEXT(VLOOKUP(CONCATENATE($A20,"_",AR$3),'Unit List'!$A$14:$H$2841,2,FALSE)),"X",$AP20)</f>
        <v>X</v>
      </c>
      <c r="AS20" s="51" t="str">
        <f>IF(ISTEXT(VLOOKUP(CONCATENATE($A20,"_",AS$3),'Unit List'!$A$14:$H$2841,2,FALSE)),"X",$AP20)</f>
        <v>+</v>
      </c>
      <c r="AT20" s="53" t="str">
        <f>IF(ISTEXT(VLOOKUP(CONCATENATE($A20,"_",AT$3),'Unit List'!$A$14:$H$2841,2,FALSE)),"X",$AP20)</f>
        <v>+</v>
      </c>
      <c r="AU20" s="124" t="str">
        <f>IF(ISTEXT(VLOOKUP(CONCATENATE($A20,"_",AU$3),'Unit List'!$A$14:$H$2841,2,FALSE)),"+","")</f>
        <v/>
      </c>
      <c r="AV20" s="51" t="str">
        <f>IF(ISTEXT(VLOOKUP(CONCATENATE($A20,"_",AV$3),'Unit List'!$A$14:$H$2841,2,FALSE)),"X",$AU20)</f>
        <v/>
      </c>
      <c r="AW20" s="53" t="str">
        <f>IF(ISTEXT(VLOOKUP(CONCATENATE($A20,"_",AW$3),'Unit List'!$A$14:$H$2841,2,FALSE)),"X",$AU20)</f>
        <v/>
      </c>
      <c r="AX20" s="172" t="str">
        <f>IF(ISTEXT(VLOOKUP(CONCATENATE($A20,"_",AX$3),'Unit List'!$A$14:$H$2841,2,FALSE)),"+","")</f>
        <v>+</v>
      </c>
      <c r="AY20" s="51" t="str">
        <f>IF(ISTEXT(VLOOKUP(CONCATENATE($A20,"_",AY$3),'Unit List'!$A$14:$H$2841,2,FALSE)),"X",$AX20)</f>
        <v>+</v>
      </c>
      <c r="AZ20" s="53" t="str">
        <f>IF(ISTEXT(VLOOKUP(CONCATENATE($A20,"_",AZ$3),'Unit List'!$A$14:$H$2841,2,FALSE)),"X",$AX20)</f>
        <v>+</v>
      </c>
      <c r="BA20" s="182" t="str">
        <f>IF(ISTEXT(VLOOKUP(CONCATENATE($A20,"_",BA$3),'Unit List'!$A$14:$H$2841,2,FALSE)),"+","")</f>
        <v/>
      </c>
      <c r="BB20" s="51" t="str">
        <f>IF(ISTEXT(VLOOKUP(CONCATENATE($A20,"_",BB$3),'Unit List'!$A$14:$H$2841,2,FALSE)),"X",$BA20)</f>
        <v/>
      </c>
      <c r="BC20" s="51" t="str">
        <f>IF(ISTEXT(VLOOKUP(CONCATENATE($A20,"_",BC$3),'Unit List'!$A$14:$H$2841,2,FALSE)),"X",$BA20)</f>
        <v/>
      </c>
      <c r="BD20" s="53" t="str">
        <f>IF(ISTEXT(VLOOKUP(CONCATENATE($A20,"_",BD$3),'Unit List'!$A$14:$H$2841,2,FALSE)),"X",$BA20)</f>
        <v/>
      </c>
      <c r="BE20" s="125" t="str">
        <f>IF(ISTEXT(VLOOKUP(CONCATENATE($A20,"_",BE$3),'Unit List'!$A$14:$H$2841,2,FALSE)),"+","")</f>
        <v>+</v>
      </c>
      <c r="BF20" s="62" t="str">
        <f>IF(ISTEXT(VLOOKUP(CONCATENATE($A20,"_",BF$3),'Unit List'!$A$14:$H$2841,2,FALSE)),"X",$BE20)</f>
        <v>+</v>
      </c>
      <c r="BG20" s="75"/>
      <c r="BH20" s="84"/>
      <c r="BI20" s="211"/>
      <c r="BJ20" s="212"/>
      <c r="BK20" s="212"/>
      <c r="BL20" s="212"/>
      <c r="BM20" s="213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List'!$A$14:$H$2841,2,FALSE)),"+","")</f>
        <v/>
      </c>
      <c r="C21" s="82" t="str">
        <f>IF(ISTEXT(VLOOKUP(CONCATENATE($A21,"_",C$3),'Unit List'!$A$14:$H$2841,2,FALSE)),"X",$B21)</f>
        <v>X</v>
      </c>
      <c r="D21" s="67" t="str">
        <f>IF(ISTEXT(VLOOKUP(CONCATENATE($A21,"_",D$3),'Unit List'!$A$14:$H$2841,2,FALSE)),"X",$B21)</f>
        <v>X</v>
      </c>
      <c r="E21" s="51" t="str">
        <f>IF(ISTEXT(VLOOKUP(CONCATENATE($A21,"_",E$3),'Unit List'!$A$14:$H$2841,2,FALSE)),"X",$B21)</f>
        <v>X</v>
      </c>
      <c r="F21" s="67" t="str">
        <f>IF(ISTEXT(VLOOKUP(CONCATENATE($A21,"_",F$3),'Unit List'!$A$14:$H$2841,2,FALSE)),"X",$B21)</f>
        <v>X</v>
      </c>
      <c r="G21" s="67" t="str">
        <f>IF(ISTEXT(VLOOKUP(CONCATENATE($A21,"_",G$3),'Unit List'!$A$14:$H$2841,2,FALSE)),"X",$B21)</f>
        <v>X</v>
      </c>
      <c r="H21" s="67" t="str">
        <f>IF(ISTEXT(VLOOKUP(CONCATENATE($A21,"_",H$3),'Unit List'!$A$14:$H$2841,2,FALSE)),"X",$B21)</f>
        <v>X</v>
      </c>
      <c r="I21" s="70" t="str">
        <f>IF(ISTEXT(VLOOKUP(CONCATENATE($A21,"_",I$3),'Unit List'!$A$14:$H$2841,2,FALSE)),"X",$B21)</f>
        <v>X</v>
      </c>
      <c r="J21" s="172" t="str">
        <f>IF(ISTEXT(VLOOKUP(CONCATENATE($A21,"_",J$3),'Unit List'!$A$14:$H$2841,2,FALSE)),"+","")</f>
        <v/>
      </c>
      <c r="K21" s="51" t="str">
        <f>IF(ISTEXT(VLOOKUP(CONCATENATE($A21,"_",K$3),'Unit List'!$A$14:$H$2841,2,FALSE)),"X",$J21)</f>
        <v/>
      </c>
      <c r="L21" s="86" t="str">
        <f>IF(ISTEXT(VLOOKUP(CONCATENATE($A21,"_",L$3),'Unit List'!$A$14:$H$2841,2,FALSE)),"X",$J21)</f>
        <v>X</v>
      </c>
      <c r="M21" s="172" t="str">
        <f>IF(ISTEXT(VLOOKUP(CONCATENATE($A21,"_",M$3),'Unit List'!$A$14:$H$2841,2,FALSE)),"+","")</f>
        <v>+</v>
      </c>
      <c r="N21" s="67" t="str">
        <f>IF(ISTEXT(VLOOKUP(CONCATENATE($A21,"_",N$3),'Unit List'!$A$14:$H$2841,2,FALSE)),"X",$M21)</f>
        <v>X</v>
      </c>
      <c r="O21" s="70" t="str">
        <f>IF(ISTEXT(VLOOKUP(CONCATENATE($A21,"_",O$3),'Unit List'!$A$14:$H$2841,2,FALSE)),"X",$M21)</f>
        <v>X</v>
      </c>
      <c r="P21" s="172" t="str">
        <f>IF(ISTEXT(VLOOKUP(CONCATENATE($A21,"_",P$3),'Unit List'!$A$14:$H$2841,2,FALSE)),"+","")</f>
        <v/>
      </c>
      <c r="Q21" s="51" t="str">
        <f>IF(ISTEXT(VLOOKUP(CONCATENATE($A21,"_",Q$3),'Unit List'!$A$14:$H$2841,2,FALSE)),"X",$P21)</f>
        <v>X</v>
      </c>
      <c r="R21" s="51" t="str">
        <f>IF(ISTEXT(VLOOKUP(CONCATENATE($A21,"_",R$3),'Unit List'!$A$14:$H$2841,2,FALSE)),"X",$P21)</f>
        <v/>
      </c>
      <c r="S21" s="67" t="str">
        <f>IF(ISTEXT(VLOOKUP(CONCATENATE($A21,"_",S$3),'Unit List'!$A$14:$H$2841,2,FALSE)),"X",$P21)</f>
        <v>X</v>
      </c>
      <c r="T21" s="52" t="str">
        <f>IF(ISTEXT(VLOOKUP(CONCATENATE($A21,"_",T$3),'Unit List'!$A$14:$H$2841,2,FALSE)),"X",$P21)</f>
        <v/>
      </c>
      <c r="U21" s="67" t="str">
        <f>IF(ISTEXT(VLOOKUP(CONCATENATE($A21,"_",U$3),'Unit List'!$A$14:$H$2841,2,FALSE)),"X",$P21)</f>
        <v>X</v>
      </c>
      <c r="V21" s="67" t="str">
        <f>IF(ISTEXT(VLOOKUP(CONCATENATE($A21,"_",V$3),'Unit List'!$A$14:$H$2841,2,FALSE)),"X",$P21)</f>
        <v>X</v>
      </c>
      <c r="W21" s="53" t="str">
        <f>IF(ISTEXT(VLOOKUP(CONCATENATE($A21,"_",W$3),'Unit List'!$A$14:$H$2841,2,FALSE)),"X",$P21)</f>
        <v/>
      </c>
      <c r="X21" s="171" t="str">
        <f>IF(ISTEXT(VLOOKUP(CONCATENATE($A21,"_",X$3),'Unit List'!$A$14:$H$2841,2,FALSE)),"+","")</f>
        <v>+</v>
      </c>
      <c r="Y21" s="69" t="str">
        <f>IF(ISTEXT(VLOOKUP(CONCATENATE($A21,"_",Y$3),'Unit List'!$A$14:$H$2841,2,FALSE)),"X",$X21)</f>
        <v>+</v>
      </c>
      <c r="Z21" s="69" t="str">
        <f>IF(ISTEXT(VLOOKUP(CONCATENATE($A21,"_",Z$3),'Unit List'!$A$14:$H$2841,2,FALSE)),"X",$X21)</f>
        <v>+</v>
      </c>
      <c r="AA21" s="69" t="str">
        <f>IF(ISTEXT(VLOOKUP(CONCATENATE($A21,"_",AA$3),'Unit List'!$A$14:$H$2841,2,FALSE)),"X",$X21)</f>
        <v>+</v>
      </c>
      <c r="AB21" s="67" t="str">
        <f>IF(ISTEXT(VLOOKUP(CONCATENATE($A21,"_",AB$3),'Unit List'!$A$14:$H$2841,2,FALSE)),"X",$X21)</f>
        <v>X</v>
      </c>
      <c r="AC21" s="184" t="str">
        <f>IF(ISTEXT(VLOOKUP(CONCATENATE($A21,"_",AC$3),'Unit List'!$A$14:$H$2841,2,FALSE)),"X",$X21)</f>
        <v>+</v>
      </c>
      <c r="AD21" s="171" t="str">
        <f>IF(ISTEXT(VLOOKUP(CONCATENATE($A21,"_",AD$3),'Unit List'!$A$14:$H$2841,2,FALSE)),"+","")</f>
        <v/>
      </c>
      <c r="AE21" s="51" t="str">
        <f>IF(ISTEXT(VLOOKUP(CONCATENATE($A21,"_",AE$3),'Unit List'!$A$14:$H$2841,2,FALSE)),"X",$AD21)</f>
        <v/>
      </c>
      <c r="AF21" s="51" t="str">
        <f>IF(ISTEXT(VLOOKUP(CONCATENATE($A21,"_",AF$3),'Unit List'!$A$14:$H$2841,2,FALSE)),"X",$AD21)</f>
        <v/>
      </c>
      <c r="AG21" s="171" t="str">
        <f>IF(ISTEXT(VLOOKUP(CONCATENATE($A21,"_",AG$3),'Unit List'!$A$14:$H$2841,2,FALSE)),"+","")</f>
        <v>+</v>
      </c>
      <c r="AH21" s="69" t="str">
        <f>IF(ISTEXT(VLOOKUP(CONCATENATE($A21,"_",AH$3),'Unit List'!$A$14:$H$2841,2,FALSE)),"X",$AG21)</f>
        <v>+</v>
      </c>
      <c r="AI21" s="69" t="str">
        <f>IF(ISTEXT(VLOOKUP(CONCATENATE($A21,"_",AI$3),'Unit List'!$A$14:$H$2841,2,FALSE)),"X",$AG21)</f>
        <v>+</v>
      </c>
      <c r="AJ21" s="53" t="str">
        <f>IF(ISTEXT(VLOOKUP(CONCATENATE($A21,"_",AJ$3),'Unit List'!$A$14:$H$2841,2,FALSE)),"X",$AG21)</f>
        <v>+</v>
      </c>
      <c r="AK21" s="171" t="str">
        <f>IF(ISTEXT(VLOOKUP(CONCATENATE($A21,"_",AK$3),'Unit List'!$A$14:$H$2841,2,FALSE)),"+","")</f>
        <v/>
      </c>
      <c r="AL21" s="87" t="str">
        <f>IF(ISTEXT(VLOOKUP(CONCATENATE($A21,"_",AL$3),'Unit List'!$A$14:$H$2841,2,FALSE)),"X",$AK21)</f>
        <v>X</v>
      </c>
      <c r="AM21" s="53" t="str">
        <f>IF(ISTEXT(VLOOKUP(CONCATENATE($A21,"_",AM$3),'Unit List'!$A$14:$H$2841,2,FALSE)),"X",$AK21)</f>
        <v>X</v>
      </c>
      <c r="AN21" s="175" t="str">
        <f>IF(ISTEXT(VLOOKUP(CONCATENATE($A21,"_",AN$3),'Unit List'!$A$14:$H$2841,2,FALSE)),"+","")</f>
        <v/>
      </c>
      <c r="AO21" s="53" t="str">
        <f>IF(ISTEXT(VLOOKUP(CONCATENATE($A21,"_",AO$3),'Unit List'!$A$14:$H$2841,2,FALSE)),"X",$AN21)</f>
        <v/>
      </c>
      <c r="AP21" s="172" t="str">
        <f>IF(ISTEXT(VLOOKUP(CONCATENATE($A21,"_",AP$3),'Unit List'!$A$14:$H$2841,2,FALSE)),"+","")</f>
        <v/>
      </c>
      <c r="AQ21" s="67" t="str">
        <f>IF(ISTEXT(VLOOKUP(CONCATENATE($A21,"_",AQ$3),'Unit List'!$A$14:$H$2841,2,FALSE)),"X",$AP21)</f>
        <v>X</v>
      </c>
      <c r="AR21" s="89" t="s">
        <v>0</v>
      </c>
      <c r="AS21" s="51" t="str">
        <f>IF(ISTEXT(VLOOKUP(CONCATENATE($A21,"_",AS$3),'Unit List'!$A$14:$H$2841,2,FALSE)),"X",$AP21)</f>
        <v/>
      </c>
      <c r="AT21" s="53" t="str">
        <f>IF(ISTEXT(VLOOKUP(CONCATENATE($A21,"_",AT$3),'Unit List'!$A$14:$H$2841,2,FALSE)),"X",$AP21)</f>
        <v/>
      </c>
      <c r="AU21" s="124" t="str">
        <f>IF(ISTEXT(VLOOKUP(CONCATENATE($A21,"_",AU$3),'Unit List'!$A$14:$H$2841,2,FALSE)),"+","")</f>
        <v/>
      </c>
      <c r="AV21" s="51" t="str">
        <f>IF(ISTEXT(VLOOKUP(CONCATENATE($A21,"_",AV$3),'Unit List'!$A$14:$H$2841,2,FALSE)),"X",$AU21)</f>
        <v/>
      </c>
      <c r="AW21" s="53" t="str">
        <f>IF(ISTEXT(VLOOKUP(CONCATENATE($A21,"_",AW$3),'Unit List'!$A$14:$H$2841,2,FALSE)),"X",$AU21)</f>
        <v/>
      </c>
      <c r="AX21" s="171" t="str">
        <f>IF(ISTEXT(VLOOKUP(CONCATENATE($A21,"_",AX$3),'Unit List'!$A$14:$H$2841,2,FALSE)),"+","")</f>
        <v>+</v>
      </c>
      <c r="AY21" s="69" t="str">
        <f>IF(ISTEXT(VLOOKUP(CONCATENATE($A21,"_",AY$3),'Unit List'!$A$14:$H$2841,2,FALSE)),"X",$AX21)</f>
        <v>+</v>
      </c>
      <c r="AZ21" s="53" t="str">
        <f>IF(ISTEXT(VLOOKUP(CONCATENATE($A21,"_",AZ$3),'Unit List'!$A$14:$H$2841,2,FALSE)),"X",$AX21)</f>
        <v>+</v>
      </c>
      <c r="BA21" s="171" t="str">
        <f>IF(ISTEXT(VLOOKUP(CONCATENATE($A21,"_",BA$3),'Unit List'!$A$14:$H$2841,2,FALSE)),"+","")</f>
        <v>+</v>
      </c>
      <c r="BB21" s="69" t="str">
        <f>IF(ISTEXT(VLOOKUP(CONCATENATE($A21,"_",BB$3),'Unit List'!$A$14:$H$2841,2,FALSE)),"X",$BA21)</f>
        <v>+</v>
      </c>
      <c r="BC21" s="69" t="str">
        <f>IF(ISTEXT(VLOOKUP(CONCATENATE($A21,"_",BC$3),'Unit List'!$A$14:$H$2841,2,FALSE)),"X",$BA21)</f>
        <v>+</v>
      </c>
      <c r="BD21" s="71" t="str">
        <f>IF(ISTEXT(VLOOKUP(CONCATENATE($A21,"_",BD$3),'Unit List'!$A$14:$H$2841,2,FALSE)),"X",$BA21)</f>
        <v>+</v>
      </c>
      <c r="BE21" s="175" t="str">
        <f>IF(ISTEXT(VLOOKUP(CONCATENATE($A21,"_",BE$3),'Unit List'!$A$14:$H$2841,2,FALSE)),"+","")</f>
        <v>+</v>
      </c>
      <c r="BF21" s="62" t="str">
        <f>IF(ISTEXT(VLOOKUP(CONCATENATE($A21,"_",BF$3),'Unit List'!$A$14:$H$2841,2,FALSE)),"X",$BE21)</f>
        <v>+</v>
      </c>
      <c r="BG21" s="97"/>
      <c r="BH21" s="98" t="s">
        <v>0</v>
      </c>
      <c r="BI21" s="211"/>
      <c r="BJ21" s="212"/>
      <c r="BK21" s="212"/>
      <c r="BL21" s="212"/>
      <c r="BM21" s="213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List'!$A$14:$H$2841,2,FALSE)),"+","")</f>
        <v/>
      </c>
      <c r="C22" s="57" t="str">
        <f>IF(ISTEXT(VLOOKUP(CONCATENATE($A22,"_",C$3),'Unit List'!$A$14:$H$2841,2,FALSE)),"X",$B22)</f>
        <v/>
      </c>
      <c r="D22" s="51" t="str">
        <f>IF(ISTEXT(VLOOKUP(CONCATENATE($A22,"_",D$3),'Unit List'!$A$14:$H$2841,2,FALSE)),"X",$B22)</f>
        <v/>
      </c>
      <c r="E22" s="51" t="str">
        <f>IF(ISTEXT(VLOOKUP(CONCATENATE($A22,"_",E$3),'Unit List'!$A$14:$H$2841,2,FALSE)),"X",$B22)</f>
        <v/>
      </c>
      <c r="F22" s="89" t="s">
        <v>0</v>
      </c>
      <c r="G22" s="51" t="str">
        <f>IF(ISTEXT(VLOOKUP(CONCATENATE($A22,"_",G$3),'Unit List'!$A$14:$H$2841,2,FALSE)),"X",$B22)</f>
        <v/>
      </c>
      <c r="H22" s="51" t="str">
        <f>IF(ISTEXT(VLOOKUP(CONCATENATE($A22,"_",H$3),'Unit List'!$A$14:$H$2841,2,FALSE)),"X",$B22)</f>
        <v/>
      </c>
      <c r="I22" s="53" t="str">
        <f>IF(ISTEXT(VLOOKUP(CONCATENATE($A22,"_",I$3),'Unit List'!$A$14:$H$2841,2,FALSE)),"X",$B22)</f>
        <v/>
      </c>
      <c r="J22" s="172" t="str">
        <f>IF(ISTEXT(VLOOKUP(CONCATENATE($A22,"_",J$3),'Unit List'!$A$14:$H$2841,2,FALSE)),"+","")</f>
        <v/>
      </c>
      <c r="K22" s="51" t="str">
        <f>IF(ISTEXT(VLOOKUP(CONCATENATE($A22,"_",K$3),'Unit List'!$A$14:$H$2841,2,FALSE)),"X",$J22)</f>
        <v/>
      </c>
      <c r="L22" s="62" t="str">
        <f>IF(ISTEXT(VLOOKUP(CONCATENATE($A22,"_",L$3),'Unit List'!$A$14:$H$2841,2,FALSE)),"X",$J22)</f>
        <v/>
      </c>
      <c r="M22" s="172" t="str">
        <f>IF(ISTEXT(VLOOKUP(CONCATENATE($A22,"_",M$3),'Unit List'!$A$14:$H$2841,2,FALSE)),"+","")</f>
        <v/>
      </c>
      <c r="N22" s="51" t="str">
        <f>IF(ISTEXT(VLOOKUP(CONCATENATE($A22,"_",N$3),'Unit List'!$A$14:$H$2841,2,FALSE)),"X",$M22)</f>
        <v/>
      </c>
      <c r="O22" s="53" t="str">
        <f>IF(ISTEXT(VLOOKUP(CONCATENATE($A22,"_",O$3),'Unit List'!$A$14:$H$2841,2,FALSE)),"X",$M22)</f>
        <v/>
      </c>
      <c r="P22" s="172" t="str">
        <f>IF(ISTEXT(VLOOKUP(CONCATENATE($A22,"_",P$3),'Unit List'!$A$14:$H$2841,2,FALSE)),"+","")</f>
        <v/>
      </c>
      <c r="Q22" s="51" t="str">
        <f>IF(ISTEXT(VLOOKUP(CONCATENATE($A22,"_",Q$3),'Unit List'!$A$14:$H$2841,2,FALSE)),"X",$P22)</f>
        <v/>
      </c>
      <c r="R22" s="51" t="str">
        <f>IF(ISTEXT(VLOOKUP(CONCATENATE($A22,"_",R$3),'Unit List'!$A$14:$H$2841,2,FALSE)),"X",$P22)</f>
        <v/>
      </c>
      <c r="S22" s="51" t="str">
        <f>IF(ISTEXT(VLOOKUP(CONCATENATE($A22,"_",S$3),'Unit List'!$A$14:$H$2841,2,FALSE)),"X",$P22)</f>
        <v/>
      </c>
      <c r="T22" s="52" t="str">
        <f>IF(ISTEXT(VLOOKUP(CONCATENATE($A22,"_",T$3),'Unit List'!$A$14:$H$2841,2,FALSE)),"X",$P22)</f>
        <v/>
      </c>
      <c r="U22" s="51" t="str">
        <f>IF(ISTEXT(VLOOKUP(CONCATENATE($A22,"_",U$3),'Unit List'!$A$14:$H$2841,2,FALSE)),"X",$P22)</f>
        <v/>
      </c>
      <c r="V22" s="51" t="str">
        <f>IF(ISTEXT(VLOOKUP(CONCATENATE($A22,"_",V$3),'Unit List'!$A$14:$H$2841,2,FALSE)),"X",$P22)</f>
        <v/>
      </c>
      <c r="W22" s="53" t="str">
        <f>IF(ISTEXT(VLOOKUP(CONCATENATE($A22,"_",W$3),'Unit List'!$A$14:$H$2841,2,FALSE)),"X",$P22)</f>
        <v/>
      </c>
      <c r="X22" s="172" t="str">
        <f>IF(ISTEXT(VLOOKUP(CONCATENATE($A22,"_",X$3),'Unit List'!$A$14:$H$2841,2,FALSE)),"+","")</f>
        <v/>
      </c>
      <c r="Y22" s="51" t="str">
        <f>IF(ISTEXT(VLOOKUP(CONCATENATE($A22,"_",Y$3),'Unit List'!$A$14:$H$2841,2,FALSE)),"X",$X22)</f>
        <v/>
      </c>
      <c r="Z22" s="51" t="str">
        <f>IF(ISTEXT(VLOOKUP(CONCATENATE($A22,"_",Z$3),'Unit List'!$A$14:$H$2841,2,FALSE)),"X",$X22)</f>
        <v/>
      </c>
      <c r="AA22" s="51" t="str">
        <f>IF(ISTEXT(VLOOKUP(CONCATENATE($A22,"_",AA$3),'Unit List'!$A$14:$H$2841,2,FALSE)),"X",$X22)</f>
        <v/>
      </c>
      <c r="AB22" s="51" t="str">
        <f>IF(ISTEXT(VLOOKUP(CONCATENATE($A22,"_",AB$3),'Unit List'!$A$14:$H$2841,2,FALSE)),"X",$X22)</f>
        <v/>
      </c>
      <c r="AC22" s="62" t="str">
        <f>IF(ISTEXT(VLOOKUP(CONCATENATE($A22,"_",AC$3),'Unit List'!$A$14:$H$2841,2,FALSE)),"X",$X22)</f>
        <v/>
      </c>
      <c r="AD22" s="172" t="str">
        <f>IF(ISTEXT(VLOOKUP(CONCATENATE($A22,"_",AD$3),'Unit List'!$A$14:$H$2841,2,FALSE)),"+","")</f>
        <v/>
      </c>
      <c r="AE22" s="51" t="str">
        <f>IF(ISTEXT(VLOOKUP(CONCATENATE($A22,"_",AE$3),'Unit List'!$A$14:$H$2841,2,FALSE)),"X",$AD22)</f>
        <v/>
      </c>
      <c r="AF22" s="51" t="str">
        <f>IF(ISTEXT(VLOOKUP(CONCATENATE($A22,"_",AF$3),'Unit List'!$A$14:$H$2841,2,FALSE)),"X",$AD22)</f>
        <v/>
      </c>
      <c r="AG22" s="172" t="str">
        <f>IF(ISTEXT(VLOOKUP(CONCATENATE($A22,"_",AG$3),'Unit List'!$A$14:$H$2841,2,FALSE)),"+","")</f>
        <v/>
      </c>
      <c r="AH22" s="51" t="str">
        <f>IF(ISTEXT(VLOOKUP(CONCATENATE($A22,"_",AH$3),'Unit List'!$A$14:$H$2841,2,FALSE)),"X",$AG22)</f>
        <v/>
      </c>
      <c r="AI22" s="51" t="str">
        <f>IF(ISTEXT(VLOOKUP(CONCATENATE($A22,"_",AI$3),'Unit List'!$A$14:$H$2841,2,FALSE)),"X",$AG22)</f>
        <v/>
      </c>
      <c r="AJ22" s="53" t="str">
        <f>IF(ISTEXT(VLOOKUP(CONCATENATE($A22,"_",AJ$3),'Unit List'!$A$14:$H$2841,2,FALSE)),"X",$AG22)</f>
        <v/>
      </c>
      <c r="AK22" s="172" t="str">
        <f>IF(ISTEXT(VLOOKUP(CONCATENATE($A22,"_",AK$3),'Unit List'!$A$14:$H$2841,2,FALSE)),"+","")</f>
        <v/>
      </c>
      <c r="AL22" s="52" t="str">
        <f>IF(ISTEXT(VLOOKUP(CONCATENATE($A22,"_",AL$3),'Unit List'!$A$14:$H$2841,2,FALSE)),"X",$AK22)</f>
        <v/>
      </c>
      <c r="AM22" s="53" t="str">
        <f>IF(ISTEXT(VLOOKUP(CONCATENATE($A22,"_",AM$3),'Unit List'!$A$14:$H$2841,2,FALSE)),"X",$AK22)</f>
        <v/>
      </c>
      <c r="AN22" s="125" t="str">
        <f>IF(ISTEXT(VLOOKUP(CONCATENATE($A22,"_",AN$3),'Unit List'!$A$14:$H$2841,2,FALSE)),"+","")</f>
        <v/>
      </c>
      <c r="AO22" s="53" t="str">
        <f>IF(ISTEXT(VLOOKUP(CONCATENATE($A22,"_",AO$3),'Unit List'!$A$14:$H$2841,2,FALSE)),"X",$AN22)</f>
        <v/>
      </c>
      <c r="AP22" s="172" t="str">
        <f>IF(ISTEXT(VLOOKUP(CONCATENATE($A22,"_",AP$3),'Unit List'!$A$14:$H$2841,2,FALSE)),"+","")</f>
        <v/>
      </c>
      <c r="AQ22" s="51" t="str">
        <f>IF(ISTEXT(VLOOKUP(CONCATENATE($A22,"_",AQ$3),'Unit List'!$A$14:$H$2841,2,FALSE)),"X",$AP22)</f>
        <v/>
      </c>
      <c r="AR22" s="51" t="str">
        <f>IF(ISTEXT(VLOOKUP(CONCATENATE($A22,"_",AR$3),'Unit List'!$A$14:$H$2841,2,FALSE)),"X",$AP22)</f>
        <v/>
      </c>
      <c r="AS22" s="51" t="str">
        <f>IF(ISTEXT(VLOOKUP(CONCATENATE($A22,"_",AS$3),'Unit List'!$A$14:$H$2841,2,FALSE)),"X",$AP22)</f>
        <v/>
      </c>
      <c r="AT22" s="53" t="str">
        <f>IF(ISTEXT(VLOOKUP(CONCATENATE($A22,"_",AT$3),'Unit List'!$A$14:$H$2841,2,FALSE)),"X",$AP22)</f>
        <v/>
      </c>
      <c r="AU22" s="124" t="str">
        <f>IF(ISTEXT(VLOOKUP(CONCATENATE($A22,"_",AU$3),'Unit List'!$A$14:$H$2841,2,FALSE)),"+","")</f>
        <v/>
      </c>
      <c r="AV22" s="51" t="str">
        <f>IF(ISTEXT(VLOOKUP(CONCATENATE($A22,"_",AV$3),'Unit List'!$A$14:$H$2841,2,FALSE)),"X",$AU22)</f>
        <v/>
      </c>
      <c r="AW22" s="53" t="str">
        <f>IF(ISTEXT(VLOOKUP(CONCATENATE($A22,"_",AW$3),'Unit List'!$A$14:$H$2841,2,FALSE)),"X",$AU22)</f>
        <v/>
      </c>
      <c r="AX22" s="172" t="str">
        <f>IF(ISTEXT(VLOOKUP(CONCATENATE($A22,"_",AX$3),'Unit List'!$A$14:$H$2841,2,FALSE)),"+","")</f>
        <v/>
      </c>
      <c r="AY22" s="51" t="str">
        <f>IF(ISTEXT(VLOOKUP(CONCATENATE($A22,"_",AY$3),'Unit List'!$A$14:$H$2841,2,FALSE)),"X",$AX22)</f>
        <v/>
      </c>
      <c r="AZ22" s="53" t="str">
        <f>IF(ISTEXT(VLOOKUP(CONCATENATE($A22,"_",AZ$3),'Unit List'!$A$14:$H$2841,2,FALSE)),"X",$AX22)</f>
        <v/>
      </c>
      <c r="BA22" s="182" t="str">
        <f>IF(ISTEXT(VLOOKUP(CONCATENATE($A22,"_",BA$3),'Unit List'!$A$14:$H$2841,2,FALSE)),"+","")</f>
        <v/>
      </c>
      <c r="BB22" s="51" t="str">
        <f>IF(ISTEXT(VLOOKUP(CONCATENATE($A22,"_",BB$3),'Unit List'!$A$14:$H$2841,2,FALSE)),"X",$BA22)</f>
        <v/>
      </c>
      <c r="BC22" s="51" t="str">
        <f>IF(ISTEXT(VLOOKUP(CONCATENATE($A22,"_",BC$3),'Unit List'!$A$14:$H$2841,2,FALSE)),"X",$BA22)</f>
        <v/>
      </c>
      <c r="BD22" s="53" t="str">
        <f>IF(ISTEXT(VLOOKUP(CONCATENATE($A22,"_",BD$3),'Unit List'!$A$14:$H$2841,2,FALSE)),"X",$BA22)</f>
        <v/>
      </c>
      <c r="BE22" s="125" t="str">
        <f>IF(ISTEXT(VLOOKUP(CONCATENATE($A22,"_",BE$3),'Unit List'!$A$14:$H$2841,2,FALSE)),"+","")</f>
        <v/>
      </c>
      <c r="BF22" s="62" t="str">
        <f>IF(ISTEXT(VLOOKUP(CONCATENATE($A22,"_",BF$3),'Unit List'!$A$14:$H$2841,2,FALSE)),"X",$BE22)</f>
        <v/>
      </c>
      <c r="BG22" s="75"/>
      <c r="BH22" s="84"/>
      <c r="BI22" s="211"/>
      <c r="BJ22" s="212"/>
      <c r="BK22" s="212"/>
      <c r="BL22" s="212"/>
      <c r="BM22" s="213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List'!$A$14:$H$2841,2,FALSE)),"+","")</f>
        <v/>
      </c>
      <c r="C23" s="57" t="str">
        <f>IF(ISTEXT(VLOOKUP(CONCATENATE($A23,"_",C$3),'Unit List'!$A$14:$H$2841,2,FALSE)),"X",$B23)</f>
        <v/>
      </c>
      <c r="D23" s="51" t="str">
        <f>IF(ISTEXT(VLOOKUP(CONCATENATE($A23,"_",D$3),'Unit List'!$A$14:$H$2841,2,FALSE)),"X",$B23)</f>
        <v/>
      </c>
      <c r="E23" s="51" t="str">
        <f>IF(ISTEXT(VLOOKUP(CONCATENATE($A23,"_",E$3),'Unit List'!$A$14:$H$2841,2,FALSE)),"X",$B23)</f>
        <v/>
      </c>
      <c r="F23" s="51" t="str">
        <f>IF(ISTEXT(VLOOKUP(CONCATENATE($A23,"_",F$3),'Unit List'!$A$14:$H$2841,2,FALSE)),"X",$B23)</f>
        <v/>
      </c>
      <c r="G23" s="51" t="str">
        <f>IF(ISTEXT(VLOOKUP(CONCATENATE($A23,"_",G$3),'Unit List'!$A$14:$H$2841,2,FALSE)),"X",$B23)</f>
        <v/>
      </c>
      <c r="H23" s="51" t="str">
        <f>IF(ISTEXT(VLOOKUP(CONCATENATE($A23,"_",H$3),'Unit List'!$A$14:$H$2841,2,FALSE)),"X",$B23)</f>
        <v/>
      </c>
      <c r="I23" s="53" t="str">
        <f>IF(ISTEXT(VLOOKUP(CONCATENATE($A23,"_",I$3),'Unit List'!$A$14:$H$2841,2,FALSE)),"X",$B23)</f>
        <v/>
      </c>
      <c r="J23" s="172" t="str">
        <f>IF(ISTEXT(VLOOKUP(CONCATENATE($A23,"_",J$3),'Unit List'!$A$14:$H$2841,2,FALSE)),"+","")</f>
        <v/>
      </c>
      <c r="K23" s="51" t="str">
        <f>IF(ISTEXT(VLOOKUP(CONCATENATE($A23,"_",K$3),'Unit List'!$A$14:$H$2841,2,FALSE)),"X",$J23)</f>
        <v/>
      </c>
      <c r="L23" s="62" t="str">
        <f>IF(ISTEXT(VLOOKUP(CONCATENATE($A23,"_",L$3),'Unit List'!$A$14:$H$2841,2,FALSE)),"X",$J23)</f>
        <v/>
      </c>
      <c r="M23" s="172" t="str">
        <f>IF(ISTEXT(VLOOKUP(CONCATENATE($A23,"_",M$3),'Unit List'!$A$14:$H$2841,2,FALSE)),"+","")</f>
        <v/>
      </c>
      <c r="N23" s="51" t="str">
        <f>IF(ISTEXT(VLOOKUP(CONCATENATE($A23,"_",N$3),'Unit List'!$A$14:$H$2841,2,FALSE)),"X",$M23)</f>
        <v/>
      </c>
      <c r="O23" s="53" t="str">
        <f>IF(ISTEXT(VLOOKUP(CONCATENATE($A23,"_",O$3),'Unit List'!$A$14:$H$2841,2,FALSE)),"X",$M23)</f>
        <v/>
      </c>
      <c r="P23" s="172" t="str">
        <f>IF(ISTEXT(VLOOKUP(CONCATENATE($A23,"_",P$3),'Unit List'!$A$14:$H$2841,2,FALSE)),"+","")</f>
        <v/>
      </c>
      <c r="Q23" s="51" t="str">
        <f>IF(ISTEXT(VLOOKUP(CONCATENATE($A23,"_",Q$3),'Unit List'!$A$14:$H$2841,2,FALSE)),"X",$P23)</f>
        <v/>
      </c>
      <c r="R23" s="51" t="str">
        <f>IF(ISTEXT(VLOOKUP(CONCATENATE($A23,"_",R$3),'Unit List'!$A$14:$H$2841,2,FALSE)),"X",$P23)</f>
        <v/>
      </c>
      <c r="S23" s="51" t="str">
        <f>IF(ISTEXT(VLOOKUP(CONCATENATE($A23,"_",S$3),'Unit List'!$A$14:$H$2841,2,FALSE)),"X",$P23)</f>
        <v/>
      </c>
      <c r="T23" s="52" t="str">
        <f>IF(ISTEXT(VLOOKUP(CONCATENATE($A23,"_",T$3),'Unit List'!$A$14:$H$2841,2,FALSE)),"X",$P23)</f>
        <v/>
      </c>
      <c r="U23" s="51" t="str">
        <f>IF(ISTEXT(VLOOKUP(CONCATENATE($A23,"_",U$3),'Unit List'!$A$14:$H$2841,2,FALSE)),"X",$P23)</f>
        <v/>
      </c>
      <c r="V23" s="51" t="str">
        <f>IF(ISTEXT(VLOOKUP(CONCATENATE($A23,"_",V$3),'Unit List'!$A$14:$H$2841,2,FALSE)),"X",$P23)</f>
        <v/>
      </c>
      <c r="W23" s="91" t="s">
        <v>0</v>
      </c>
      <c r="X23" s="172" t="str">
        <f>IF(ISTEXT(VLOOKUP(CONCATENATE($A23,"_",X$3),'Unit List'!$A$14:$H$2841,2,FALSE)),"+","")</f>
        <v/>
      </c>
      <c r="Y23" s="51" t="str">
        <f>IF(ISTEXT(VLOOKUP(CONCATENATE($A23,"_",Y$3),'Unit List'!$A$14:$H$2841,2,FALSE)),"X",$X23)</f>
        <v/>
      </c>
      <c r="Z23" s="51" t="str">
        <f>IF(ISTEXT(VLOOKUP(CONCATENATE($A23,"_",Z$3),'Unit List'!$A$14:$H$2841,2,FALSE)),"X",$X23)</f>
        <v/>
      </c>
      <c r="AA23" s="51" t="str">
        <f>IF(ISTEXT(VLOOKUP(CONCATENATE($A23,"_",AA$3),'Unit List'!$A$14:$H$2841,2,FALSE)),"X",$X23)</f>
        <v/>
      </c>
      <c r="AB23" s="51" t="str">
        <f>IF(ISTEXT(VLOOKUP(CONCATENATE($A23,"_",AB$3),'Unit List'!$A$14:$H$2841,2,FALSE)),"X",$X23)</f>
        <v/>
      </c>
      <c r="AC23" s="62" t="str">
        <f>IF(ISTEXT(VLOOKUP(CONCATENATE($A23,"_",AC$3),'Unit List'!$A$14:$H$2841,2,FALSE)),"X",$X23)</f>
        <v/>
      </c>
      <c r="AD23" s="172" t="str">
        <f>IF(ISTEXT(VLOOKUP(CONCATENATE($A23,"_",AD$3),'Unit List'!$A$14:$H$2841,2,FALSE)),"+","")</f>
        <v/>
      </c>
      <c r="AE23" s="51" t="str">
        <f>IF(ISTEXT(VLOOKUP(CONCATENATE($A23,"_",AE$3),'Unit List'!$A$14:$H$2841,2,FALSE)),"X",$AD23)</f>
        <v/>
      </c>
      <c r="AF23" s="51" t="str">
        <f>IF(ISTEXT(VLOOKUP(CONCATENATE($A23,"_",AF$3),'Unit List'!$A$14:$H$2841,2,FALSE)),"X",$AD23)</f>
        <v/>
      </c>
      <c r="AG23" s="172" t="str">
        <f>IF(ISTEXT(VLOOKUP(CONCATENATE($A23,"_",AG$3),'Unit List'!$A$14:$H$2841,2,FALSE)),"+","")</f>
        <v/>
      </c>
      <c r="AH23" s="51" t="str">
        <f>IF(ISTEXT(VLOOKUP(CONCATENATE($A23,"_",AH$3),'Unit List'!$A$14:$H$2841,2,FALSE)),"X",$AG23)</f>
        <v/>
      </c>
      <c r="AI23" s="51" t="str">
        <f>IF(ISTEXT(VLOOKUP(CONCATENATE($A23,"_",AI$3),'Unit List'!$A$14:$H$2841,2,FALSE)),"X",$AG23)</f>
        <v/>
      </c>
      <c r="AJ23" s="53" t="str">
        <f>IF(ISTEXT(VLOOKUP(CONCATENATE($A23,"_",AJ$3),'Unit List'!$A$14:$H$2841,2,FALSE)),"X",$AG23)</f>
        <v/>
      </c>
      <c r="AK23" s="172" t="str">
        <f>IF(ISTEXT(VLOOKUP(CONCATENATE($A23,"_",AK$3),'Unit List'!$A$14:$H$2841,2,FALSE)),"+","")</f>
        <v/>
      </c>
      <c r="AL23" s="52" t="str">
        <f>IF(ISTEXT(VLOOKUP(CONCATENATE($A23,"_",AL$3),'Unit List'!$A$14:$H$2841,2,FALSE)),"X",$AK23)</f>
        <v/>
      </c>
      <c r="AM23" s="53" t="str">
        <f>IF(ISTEXT(VLOOKUP(CONCATENATE($A23,"_",AM$3),'Unit List'!$A$14:$H$2841,2,FALSE)),"X",$AK23)</f>
        <v/>
      </c>
      <c r="AN23" s="125" t="str">
        <f>IF(ISTEXT(VLOOKUP(CONCATENATE($A23,"_",AN$3),'Unit List'!$A$14:$H$2841,2,FALSE)),"+","")</f>
        <v/>
      </c>
      <c r="AO23" s="53" t="str">
        <f>IF(ISTEXT(VLOOKUP(CONCATENATE($A23,"_",AO$3),'Unit List'!$A$14:$H$2841,2,FALSE)),"X",$AN23)</f>
        <v/>
      </c>
      <c r="AP23" s="172" t="str">
        <f>IF(ISTEXT(VLOOKUP(CONCATENATE($A23,"_",AP$3),'Unit List'!$A$14:$H$2841,2,FALSE)),"+","")</f>
        <v/>
      </c>
      <c r="AQ23" s="51" t="str">
        <f>IF(ISTEXT(VLOOKUP(CONCATENATE($A23,"_",AQ$3),'Unit List'!$A$14:$H$2841,2,FALSE)),"X",$AP23)</f>
        <v/>
      </c>
      <c r="AR23" s="51" t="str">
        <f>IF(ISTEXT(VLOOKUP(CONCATENATE($A23,"_",AR$3),'Unit List'!$A$14:$H$2841,2,FALSE)),"X",$AP23)</f>
        <v/>
      </c>
      <c r="AS23" s="51" t="str">
        <f>IF(ISTEXT(VLOOKUP(CONCATENATE($A23,"_",AS$3),'Unit List'!$A$14:$H$2841,2,FALSE)),"X",$AP23)</f>
        <v/>
      </c>
      <c r="AT23" s="53" t="str">
        <f>IF(ISTEXT(VLOOKUP(CONCATENATE($A23,"_",AT$3),'Unit List'!$A$14:$H$2841,2,FALSE)),"X",$AP23)</f>
        <v/>
      </c>
      <c r="AU23" s="124" t="str">
        <f>IF(ISTEXT(VLOOKUP(CONCATENATE($A23,"_",AU$3),'Unit List'!$A$14:$H$2841,2,FALSE)),"+","")</f>
        <v/>
      </c>
      <c r="AV23" s="51" t="str">
        <f>IF(ISTEXT(VLOOKUP(CONCATENATE($A23,"_",AV$3),'Unit List'!$A$14:$H$2841,2,FALSE)),"X",$AU23)</f>
        <v/>
      </c>
      <c r="AW23" s="53" t="str">
        <f>IF(ISTEXT(VLOOKUP(CONCATENATE($A23,"_",AW$3),'Unit List'!$A$14:$H$2841,2,FALSE)),"X",$AU23)</f>
        <v/>
      </c>
      <c r="AX23" s="172" t="str">
        <f>IF(ISTEXT(VLOOKUP(CONCATENATE($A23,"_",AX$3),'Unit List'!$A$14:$H$2841,2,FALSE)),"+","")</f>
        <v/>
      </c>
      <c r="AY23" s="51" t="str">
        <f>IF(ISTEXT(VLOOKUP(CONCATENATE($A23,"_",AY$3),'Unit List'!$A$14:$H$2841,2,FALSE)),"X",$AX23)</f>
        <v/>
      </c>
      <c r="AZ23" s="53" t="str">
        <f>IF(ISTEXT(VLOOKUP(CONCATENATE($A23,"_",AZ$3),'Unit List'!$A$14:$H$2841,2,FALSE)),"X",$AX23)</f>
        <v/>
      </c>
      <c r="BA23" s="182" t="str">
        <f>IF(ISTEXT(VLOOKUP(CONCATENATE($A23,"_",BA$3),'Unit List'!$A$14:$H$2841,2,FALSE)),"+","")</f>
        <v/>
      </c>
      <c r="BB23" s="51" t="str">
        <f>IF(ISTEXT(VLOOKUP(CONCATENATE($A23,"_",BB$3),'Unit List'!$A$14:$H$2841,2,FALSE)),"X",$BA23)</f>
        <v/>
      </c>
      <c r="BC23" s="51" t="str">
        <f>IF(ISTEXT(VLOOKUP(CONCATENATE($A23,"_",BC$3),'Unit List'!$A$14:$H$2841,2,FALSE)),"X",$BA23)</f>
        <v/>
      </c>
      <c r="BD23" s="53" t="str">
        <f>IF(ISTEXT(VLOOKUP(CONCATENATE($A23,"_",BD$3),'Unit List'!$A$14:$H$2841,2,FALSE)),"X",$BA23)</f>
        <v/>
      </c>
      <c r="BE23" s="125" t="str">
        <f>IF(ISTEXT(VLOOKUP(CONCATENATE($A23,"_",BE$3),'Unit List'!$A$14:$H$2841,2,FALSE)),"+","")</f>
        <v/>
      </c>
      <c r="BF23" s="62" t="str">
        <f>IF(ISTEXT(VLOOKUP(CONCATENATE($A23,"_",BF$3),'Unit List'!$A$14:$H$2841,2,FALSE)),"X",$BE23)</f>
        <v/>
      </c>
      <c r="BG23" s="75"/>
      <c r="BH23" s="84"/>
      <c r="BI23" s="211"/>
      <c r="BJ23" s="212"/>
      <c r="BK23" s="212"/>
      <c r="BL23" s="212"/>
      <c r="BM23" s="213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List'!$A$14:$H$2841,2,FALSE)),"+","")</f>
        <v/>
      </c>
      <c r="C24" s="57" t="str">
        <f>IF(ISTEXT(VLOOKUP(CONCATENATE($A24,"_",C$3),'Unit List'!$A$14:$H$2841,2,FALSE)),"X",$B24)</f>
        <v/>
      </c>
      <c r="D24" s="51" t="str">
        <f>IF(ISTEXT(VLOOKUP(CONCATENATE($A24,"_",D$3),'Unit List'!$A$14:$H$2841,2,FALSE)),"X",$B24)</f>
        <v/>
      </c>
      <c r="E24" s="51" t="str">
        <f>IF(ISTEXT(VLOOKUP(CONCATENATE($A24,"_",E$3),'Unit List'!$A$14:$H$2841,2,FALSE)),"X",$B24)</f>
        <v/>
      </c>
      <c r="F24" s="51" t="str">
        <f>IF(ISTEXT(VLOOKUP(CONCATENATE($A24,"_",F$3),'Unit List'!$A$14:$H$2841,2,FALSE)),"X",$B24)</f>
        <v/>
      </c>
      <c r="G24" s="51" t="str">
        <f>IF(ISTEXT(VLOOKUP(CONCATENATE($A24,"_",G$3),'Unit List'!$A$14:$H$2841,2,FALSE)),"X",$B24)</f>
        <v/>
      </c>
      <c r="H24" s="51" t="str">
        <f>IF(ISTEXT(VLOOKUP(CONCATENATE($A24,"_",H$3),'Unit List'!$A$14:$H$2841,2,FALSE)),"X",$B24)</f>
        <v/>
      </c>
      <c r="I24" s="53" t="str">
        <f>IF(ISTEXT(VLOOKUP(CONCATENATE($A24,"_",I$3),'Unit List'!$A$14:$H$2841,2,FALSE)),"X",$B24)</f>
        <v/>
      </c>
      <c r="J24" s="172" t="str">
        <f>IF(ISTEXT(VLOOKUP(CONCATENATE($A24,"_",J$3),'Unit List'!$A$14:$H$2841,2,FALSE)),"+","")</f>
        <v/>
      </c>
      <c r="K24" s="51" t="str">
        <f>IF(ISTEXT(VLOOKUP(CONCATENATE($A24,"_",K$3),'Unit List'!$A$14:$H$2841,2,FALSE)),"X",$J24)</f>
        <v/>
      </c>
      <c r="L24" s="62" t="str">
        <f>IF(ISTEXT(VLOOKUP(CONCATENATE($A24,"_",L$3),'Unit List'!$A$14:$H$2841,2,FALSE)),"X",$J24)</f>
        <v/>
      </c>
      <c r="M24" s="172" t="str">
        <f>IF(ISTEXT(VLOOKUP(CONCATENATE($A24,"_",M$3),'Unit List'!$A$14:$H$2841,2,FALSE)),"+","")</f>
        <v/>
      </c>
      <c r="N24" s="51" t="str">
        <f>IF(ISTEXT(VLOOKUP(CONCATENATE($A24,"_",N$3),'Unit List'!$A$14:$H$2841,2,FALSE)),"X",$M24)</f>
        <v/>
      </c>
      <c r="O24" s="53" t="str">
        <f>IF(ISTEXT(VLOOKUP(CONCATENATE($A24,"_",O$3),'Unit List'!$A$14:$H$2841,2,FALSE)),"X",$M24)</f>
        <v/>
      </c>
      <c r="P24" s="172" t="str">
        <f>IF(ISTEXT(VLOOKUP(CONCATENATE($A24,"_",P$3),'Unit List'!$A$14:$H$2841,2,FALSE)),"+","")</f>
        <v/>
      </c>
      <c r="Q24" s="51" t="str">
        <f>IF(ISTEXT(VLOOKUP(CONCATENATE($A24,"_",Q$3),'Unit List'!$A$14:$H$2841,2,FALSE)),"X",$P24)</f>
        <v/>
      </c>
      <c r="R24" s="51" t="str">
        <f>IF(ISTEXT(VLOOKUP(CONCATENATE($A24,"_",R$3),'Unit List'!$A$14:$H$2841,2,FALSE)),"X",$P24)</f>
        <v/>
      </c>
      <c r="S24" s="51" t="str">
        <f>IF(ISTEXT(VLOOKUP(CONCATENATE($A24,"_",S$3),'Unit List'!$A$14:$H$2841,2,FALSE)),"X",$P24)</f>
        <v/>
      </c>
      <c r="T24" s="52" t="str">
        <f>IF(ISTEXT(VLOOKUP(CONCATENATE($A24,"_",T$3),'Unit List'!$A$14:$H$2841,2,FALSE)),"X",$P24)</f>
        <v/>
      </c>
      <c r="U24" s="51" t="str">
        <f>IF(ISTEXT(VLOOKUP(CONCATENATE($A24,"_",U$3),'Unit List'!$A$14:$H$2841,2,FALSE)),"X",$P24)</f>
        <v/>
      </c>
      <c r="V24" s="51" t="str">
        <f>IF(ISTEXT(VLOOKUP(CONCATENATE($A24,"_",V$3),'Unit List'!$A$14:$H$2841,2,FALSE)),"X",$P24)</f>
        <v/>
      </c>
      <c r="W24" s="53" t="str">
        <f>IF(ISTEXT(VLOOKUP(CONCATENATE($A24,"_",W$3),'Unit List'!$A$14:$H$2841,2,FALSE)),"X",$P24)</f>
        <v/>
      </c>
      <c r="X24" s="172" t="str">
        <f>IF(ISTEXT(VLOOKUP(CONCATENATE($A24,"_",X$3),'Unit List'!$A$14:$H$2841,2,FALSE)),"+","")</f>
        <v/>
      </c>
      <c r="Y24" s="51" t="str">
        <f>IF(ISTEXT(VLOOKUP(CONCATENATE($A24,"_",Y$3),'Unit List'!$A$14:$H$2841,2,FALSE)),"X",$X24)</f>
        <v/>
      </c>
      <c r="Z24" s="51" t="str">
        <f>IF(ISTEXT(VLOOKUP(CONCATENATE($A24,"_",Z$3),'Unit List'!$A$14:$H$2841,2,FALSE)),"X",$X24)</f>
        <v/>
      </c>
      <c r="AA24" s="51" t="str">
        <f>IF(ISTEXT(VLOOKUP(CONCATENATE($A24,"_",AA$3),'Unit List'!$A$14:$H$2841,2,FALSE)),"X",$X24)</f>
        <v/>
      </c>
      <c r="AB24" s="51" t="str">
        <f>IF(ISTEXT(VLOOKUP(CONCATENATE($A24,"_",AB$3),'Unit List'!$A$14:$H$2841,2,FALSE)),"X",$X24)</f>
        <v/>
      </c>
      <c r="AC24" s="62" t="str">
        <f>IF(ISTEXT(VLOOKUP(CONCATENATE($A24,"_",AC$3),'Unit List'!$A$14:$H$2841,2,FALSE)),"X",$X24)</f>
        <v/>
      </c>
      <c r="AD24" s="172" t="str">
        <f>IF(ISTEXT(VLOOKUP(CONCATENATE($A24,"_",AD$3),'Unit List'!$A$14:$H$2841,2,FALSE)),"+","")</f>
        <v/>
      </c>
      <c r="AE24" s="51" t="str">
        <f>IF(ISTEXT(VLOOKUP(CONCATENATE($A24,"_",AE$3),'Unit List'!$A$14:$H$2841,2,FALSE)),"X",$AD24)</f>
        <v/>
      </c>
      <c r="AF24" s="51" t="str">
        <f>IF(ISTEXT(VLOOKUP(CONCATENATE($A24,"_",AF$3),'Unit List'!$A$14:$H$2841,2,FALSE)),"X",$AD24)</f>
        <v/>
      </c>
      <c r="AG24" s="172" t="str">
        <f>IF(ISTEXT(VLOOKUP(CONCATENATE($A24,"_",AG$3),'Unit List'!$A$14:$H$2841,2,FALSE)),"+","")</f>
        <v/>
      </c>
      <c r="AH24" s="51" t="str">
        <f>IF(ISTEXT(VLOOKUP(CONCATENATE($A24,"_",AH$3),'Unit List'!$A$14:$H$2841,2,FALSE)),"X",$AG24)</f>
        <v/>
      </c>
      <c r="AI24" s="51" t="str">
        <f>IF(ISTEXT(VLOOKUP(CONCATENATE($A24,"_",AI$3),'Unit List'!$A$14:$H$2841,2,FALSE)),"X",$AG24)</f>
        <v/>
      </c>
      <c r="AJ24" s="53" t="str">
        <f>IF(ISTEXT(VLOOKUP(CONCATENATE($A24,"_",AJ$3),'Unit List'!$A$14:$H$2841,2,FALSE)),"X",$AG24)</f>
        <v/>
      </c>
      <c r="AK24" s="172" t="str">
        <f>IF(ISTEXT(VLOOKUP(CONCATENATE($A24,"_",AK$3),'Unit List'!$A$14:$H$2841,2,FALSE)),"+","")</f>
        <v/>
      </c>
      <c r="AL24" s="52" t="str">
        <f>IF(ISTEXT(VLOOKUP(CONCATENATE($A24,"_",AL$3),'Unit List'!$A$14:$H$2841,2,FALSE)),"X",$AK24)</f>
        <v/>
      </c>
      <c r="AM24" s="53" t="str">
        <f>IF(ISTEXT(VLOOKUP(CONCATENATE($A24,"_",AM$3),'Unit List'!$A$14:$H$2841,2,FALSE)),"X",$AK24)</f>
        <v/>
      </c>
      <c r="AN24" s="125" t="str">
        <f>IF(ISTEXT(VLOOKUP(CONCATENATE($A24,"_",AN$3),'Unit List'!$A$14:$H$2841,2,FALSE)),"+","")</f>
        <v/>
      </c>
      <c r="AO24" s="53" t="str">
        <f>IF(ISTEXT(VLOOKUP(CONCATENATE($A24,"_",AO$3),'Unit List'!$A$14:$H$2841,2,FALSE)),"X",$AN24)</f>
        <v/>
      </c>
      <c r="AP24" s="172" t="str">
        <f>IF(ISTEXT(VLOOKUP(CONCATENATE($A24,"_",AP$3),'Unit List'!$A$14:$H$2841,2,FALSE)),"+","")</f>
        <v/>
      </c>
      <c r="AQ24" s="51" t="str">
        <f>IF(ISTEXT(VLOOKUP(CONCATENATE($A24,"_",AQ$3),'Unit List'!$A$14:$H$2841,2,FALSE)),"X",$AP24)</f>
        <v/>
      </c>
      <c r="AR24" s="51" t="str">
        <f>IF(ISTEXT(VLOOKUP(CONCATENATE($A24,"_",AR$3),'Unit List'!$A$14:$H$2841,2,FALSE)),"X",$AP24)</f>
        <v/>
      </c>
      <c r="AS24" s="51" t="str">
        <f>IF(ISTEXT(VLOOKUP(CONCATENATE($A24,"_",AS$3),'Unit List'!$A$14:$H$2841,2,FALSE)),"X",$AP24)</f>
        <v/>
      </c>
      <c r="AT24" s="53" t="str">
        <f>IF(ISTEXT(VLOOKUP(CONCATENATE($A24,"_",AT$3),'Unit List'!$A$14:$H$2841,2,FALSE)),"X",$AP24)</f>
        <v/>
      </c>
      <c r="AU24" s="124" t="str">
        <f>IF(ISTEXT(VLOOKUP(CONCATENATE($A24,"_",AU$3),'Unit List'!$A$14:$H$2841,2,FALSE)),"+","")</f>
        <v/>
      </c>
      <c r="AV24" s="51" t="str">
        <f>IF(ISTEXT(VLOOKUP(CONCATENATE($A24,"_",AV$3),'Unit List'!$A$14:$H$2841,2,FALSE)),"X",$AU24)</f>
        <v/>
      </c>
      <c r="AW24" s="53" t="str">
        <f>IF(ISTEXT(VLOOKUP(CONCATENATE($A24,"_",AW$3),'Unit List'!$A$14:$H$2841,2,FALSE)),"X",$AU24)</f>
        <v/>
      </c>
      <c r="AX24" s="172" t="str">
        <f>IF(ISTEXT(VLOOKUP(CONCATENATE($A24,"_",AX$3),'Unit List'!$A$14:$H$2841,2,FALSE)),"+","")</f>
        <v/>
      </c>
      <c r="AY24" s="51" t="str">
        <f>IF(ISTEXT(VLOOKUP(CONCATENATE($A24,"_",AY$3),'Unit List'!$A$14:$H$2841,2,FALSE)),"X",$AX24)</f>
        <v/>
      </c>
      <c r="AZ24" s="53" t="str">
        <f>IF(ISTEXT(VLOOKUP(CONCATENATE($A24,"_",AZ$3),'Unit List'!$A$14:$H$2841,2,FALSE)),"X",$AX24)</f>
        <v/>
      </c>
      <c r="BA24" s="182" t="str">
        <f>IF(ISTEXT(VLOOKUP(CONCATENATE($A24,"_",BA$3),'Unit List'!$A$14:$H$2841,2,FALSE)),"+","")</f>
        <v/>
      </c>
      <c r="BB24" s="51" t="str">
        <f>IF(ISTEXT(VLOOKUP(CONCATENATE($A24,"_",BB$3),'Unit List'!$A$14:$H$2841,2,FALSE)),"X",$BA24)</f>
        <v/>
      </c>
      <c r="BC24" s="51" t="str">
        <f>IF(ISTEXT(VLOOKUP(CONCATENATE($A24,"_",BC$3),'Unit List'!$A$14:$H$2841,2,FALSE)),"X",$BA24)</f>
        <v/>
      </c>
      <c r="BD24" s="53" t="str">
        <f>IF(ISTEXT(VLOOKUP(CONCATENATE($A24,"_",BD$3),'Unit List'!$A$14:$H$2841,2,FALSE)),"X",$BA24)</f>
        <v/>
      </c>
      <c r="BE24" s="125" t="str">
        <f>IF(ISTEXT(VLOOKUP(CONCATENATE($A24,"_",BE$3),'Unit List'!$A$14:$H$2841,2,FALSE)),"+","")</f>
        <v/>
      </c>
      <c r="BF24" s="62" t="str">
        <f>IF(ISTEXT(VLOOKUP(CONCATENATE($A24,"_",BF$3),'Unit List'!$A$14:$H$2841,2,FALSE)),"X",$BE24)</f>
        <v/>
      </c>
      <c r="BG24" s="75"/>
      <c r="BH24" s="84"/>
      <c r="BI24" s="211"/>
      <c r="BJ24" s="212"/>
      <c r="BK24" s="212"/>
      <c r="BL24" s="212"/>
      <c r="BM24" s="213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List'!$A$14:$H$2841,2,FALSE)),"+","")</f>
        <v/>
      </c>
      <c r="C25" s="57" t="str">
        <f>IF(ISTEXT(VLOOKUP(CONCATENATE($A25,"_",C$3),'Unit List'!$A$14:$H$2841,2,FALSE)),"X",$B25)</f>
        <v/>
      </c>
      <c r="D25" s="51" t="str">
        <f>IF(ISTEXT(VLOOKUP(CONCATENATE($A25,"_",D$3),'Unit List'!$A$14:$H$2841,2,FALSE)),"X",$B25)</f>
        <v>X</v>
      </c>
      <c r="E25" s="51" t="str">
        <f>IF(ISTEXT(VLOOKUP(CONCATENATE($A25,"_",E$3),'Unit List'!$A$14:$H$2841,2,FALSE)),"X",$B25)</f>
        <v/>
      </c>
      <c r="F25" s="51" t="str">
        <f>IF(ISTEXT(VLOOKUP(CONCATENATE($A25,"_",F$3),'Unit List'!$A$14:$H$2841,2,FALSE)),"X",$B25)</f>
        <v/>
      </c>
      <c r="G25" s="51" t="str">
        <f>IF(ISTEXT(VLOOKUP(CONCATENATE($A25,"_",G$3),'Unit List'!$A$14:$H$2841,2,FALSE)),"X",$B25)</f>
        <v/>
      </c>
      <c r="H25" s="67" t="str">
        <f>IF(ISTEXT(VLOOKUP(CONCATENATE($A25,"_",H$3),'Unit List'!$A$14:$H$2841,2,FALSE)),"X",$B25)</f>
        <v>X</v>
      </c>
      <c r="I25" s="53" t="str">
        <f>IF(ISTEXT(VLOOKUP(CONCATENATE($A25,"_",I$3),'Unit List'!$A$14:$H$2841,2,FALSE)),"X",$B25)</f>
        <v/>
      </c>
      <c r="J25" s="172" t="str">
        <f>IF(ISTEXT(VLOOKUP(CONCATENATE($A25,"_",J$3),'Unit List'!$A$14:$H$2841,2,FALSE)),"+","")</f>
        <v/>
      </c>
      <c r="K25" s="51" t="str">
        <f>IF(ISTEXT(VLOOKUP(CONCATENATE($A25,"_",K$3),'Unit List'!$A$14:$H$2841,2,FALSE)),"X",$J25)</f>
        <v/>
      </c>
      <c r="L25" s="62" t="str">
        <f>IF(ISTEXT(VLOOKUP(CONCATENATE($A25,"_",L$3),'Unit List'!$A$14:$H$2841,2,FALSE)),"X",$J25)</f>
        <v/>
      </c>
      <c r="M25" s="172" t="str">
        <f>IF(ISTEXT(VLOOKUP(CONCATENATE($A25,"_",M$3),'Unit List'!$A$14:$H$2841,2,FALSE)),"+","")</f>
        <v>+</v>
      </c>
      <c r="N25" s="51" t="str">
        <f>IF(ISTEXT(VLOOKUP(CONCATENATE($A25,"_",N$3),'Unit List'!$A$14:$H$2841,2,FALSE)),"X",$M25)</f>
        <v>+</v>
      </c>
      <c r="O25" s="53" t="str">
        <f>IF(ISTEXT(VLOOKUP(CONCATENATE($A25,"_",O$3),'Unit List'!$A$14:$H$2841,2,FALSE)),"X",$M25)</f>
        <v>+</v>
      </c>
      <c r="P25" s="172" t="str">
        <f>IF(ISTEXT(VLOOKUP(CONCATENATE($A25,"_",P$3),'Unit List'!$A$14:$H$2841,2,FALSE)),"+","")</f>
        <v/>
      </c>
      <c r="Q25" s="51" t="str">
        <f>IF(ISTEXT(VLOOKUP(CONCATENATE($A25,"_",Q$3),'Unit List'!$A$14:$H$2841,2,FALSE)),"X",$P25)</f>
        <v/>
      </c>
      <c r="R25" s="51" t="str">
        <f>IF(ISTEXT(VLOOKUP(CONCATENATE($A25,"_",R$3),'Unit List'!$A$14:$H$2841,2,FALSE)),"X",$P25)</f>
        <v/>
      </c>
      <c r="S25" s="51" t="str">
        <f>IF(ISTEXT(VLOOKUP(CONCATENATE($A25,"_",S$3),'Unit List'!$A$14:$H$2841,2,FALSE)),"X",$P25)</f>
        <v/>
      </c>
      <c r="T25" s="52" t="str">
        <f>IF(ISTEXT(VLOOKUP(CONCATENATE($A25,"_",T$3),'Unit List'!$A$14:$H$2841,2,FALSE)),"X",$P25)</f>
        <v/>
      </c>
      <c r="U25" s="51" t="str">
        <f>IF(ISTEXT(VLOOKUP(CONCATENATE($A25,"_",U$3),'Unit List'!$A$14:$H$2841,2,FALSE)),"X",$P25)</f>
        <v/>
      </c>
      <c r="V25" s="51" t="str">
        <f>IF(ISTEXT(VLOOKUP(CONCATENATE($A25,"_",V$3),'Unit List'!$A$14:$H$2841,2,FALSE)),"X",$P25)</f>
        <v/>
      </c>
      <c r="W25" s="53" t="str">
        <f>IF(ISTEXT(VLOOKUP(CONCATENATE($A25,"_",W$3),'Unit List'!$A$14:$H$2841,2,FALSE)),"X",$P25)</f>
        <v/>
      </c>
      <c r="X25" s="172" t="str">
        <f>IF(ISTEXT(VLOOKUP(CONCATENATE($A25,"_",X$3),'Unit List'!$A$14:$H$2841,2,FALSE)),"+","")</f>
        <v/>
      </c>
      <c r="Y25" s="51" t="str">
        <f>IF(ISTEXT(VLOOKUP(CONCATENATE($A25,"_",Y$3),'Unit List'!$A$14:$H$2841,2,FALSE)),"X",$X25)</f>
        <v/>
      </c>
      <c r="Z25" s="51" t="str">
        <f>IF(ISTEXT(VLOOKUP(CONCATENATE($A25,"_",Z$3),'Unit List'!$A$14:$H$2841,2,FALSE)),"X",$X25)</f>
        <v/>
      </c>
      <c r="AA25" s="51" t="str">
        <f>IF(ISTEXT(VLOOKUP(CONCATENATE($A25,"_",AA$3),'Unit List'!$A$14:$H$2841,2,FALSE)),"X",$X25)</f>
        <v/>
      </c>
      <c r="AB25" s="51" t="str">
        <f>IF(ISTEXT(VLOOKUP(CONCATENATE($A25,"_",AB$3),'Unit List'!$A$14:$H$2841,2,FALSE)),"X",$X25)</f>
        <v/>
      </c>
      <c r="AC25" s="62" t="str">
        <f>IF(ISTEXT(VLOOKUP(CONCATENATE($A25,"_",AC$3),'Unit List'!$A$14:$H$2841,2,FALSE)),"X",$X25)</f>
        <v/>
      </c>
      <c r="AD25" s="172" t="str">
        <f>IF(ISTEXT(VLOOKUP(CONCATENATE($A25,"_",AD$3),'Unit List'!$A$14:$H$2841,2,FALSE)),"+","")</f>
        <v/>
      </c>
      <c r="AE25" s="51" t="str">
        <f>IF(ISTEXT(VLOOKUP(CONCATENATE($A25,"_",AE$3),'Unit List'!$A$14:$H$2841,2,FALSE)),"X",$AD25)</f>
        <v/>
      </c>
      <c r="AF25" s="51" t="str">
        <f>IF(ISTEXT(VLOOKUP(CONCATENATE($A25,"_",AF$3),'Unit List'!$A$14:$H$2841,2,FALSE)),"X",$AD25)</f>
        <v/>
      </c>
      <c r="AG25" s="172" t="str">
        <f>IF(ISTEXT(VLOOKUP(CONCATENATE($A25,"_",AG$3),'Unit List'!$A$14:$H$2841,2,FALSE)),"+","")</f>
        <v/>
      </c>
      <c r="AH25" s="83" t="str">
        <f>IF(ISTEXT(VLOOKUP(CONCATENATE($A25,"_",AH$3),'Unit List'!$A$14:$H$2841,2,FALSE)),"X",$AG25)</f>
        <v/>
      </c>
      <c r="AI25" s="83" t="str">
        <f>IF(ISTEXT(VLOOKUP(CONCATENATE($A25,"_",AI$3),'Unit List'!$A$14:$H$2841,2,FALSE)),"X",$AG25)</f>
        <v/>
      </c>
      <c r="AJ25" s="53" t="str">
        <f>IF(ISTEXT(VLOOKUP(CONCATENATE($A25,"_",AJ$3),'Unit List'!$A$14:$H$2841,2,FALSE)),"X",$AG25)</f>
        <v/>
      </c>
      <c r="AK25" s="172" t="str">
        <f>IF(ISTEXT(VLOOKUP(CONCATENATE($A25,"_",AK$3),'Unit List'!$A$14:$H$2841,2,FALSE)),"+","")</f>
        <v/>
      </c>
      <c r="AL25" s="52" t="str">
        <f>IF(ISTEXT(VLOOKUP(CONCATENATE($A25,"_",AL$3),'Unit List'!$A$14:$H$2841,2,FALSE)),"X",$AK25)</f>
        <v/>
      </c>
      <c r="AM25" s="53" t="str">
        <f>IF(ISTEXT(VLOOKUP(CONCATENATE($A25,"_",AM$3),'Unit List'!$A$14:$H$2841,2,FALSE)),"X",$AK25)</f>
        <v/>
      </c>
      <c r="AN25" s="125" t="str">
        <f>IF(ISTEXT(VLOOKUP(CONCATENATE($A25,"_",AN$3),'Unit List'!$A$14:$H$2841,2,FALSE)),"+","")</f>
        <v/>
      </c>
      <c r="AO25" s="53" t="str">
        <f>IF(ISTEXT(VLOOKUP(CONCATENATE($A25,"_",AO$3),'Unit List'!$A$14:$H$2841,2,FALSE)),"X",$AN25)</f>
        <v/>
      </c>
      <c r="AP25" s="172" t="str">
        <f>IF(ISTEXT(VLOOKUP(CONCATENATE($A25,"_",AP$3),'Unit List'!$A$14:$H$2841,2,FALSE)),"+","")</f>
        <v/>
      </c>
      <c r="AQ25" s="51" t="str">
        <f>IF(ISTEXT(VLOOKUP(CONCATENATE($A25,"_",AQ$3),'Unit List'!$A$14:$H$2841,2,FALSE)),"X",$AP25)</f>
        <v/>
      </c>
      <c r="AR25" s="51" t="str">
        <f>IF(ISTEXT(VLOOKUP(CONCATENATE($A25,"_",AR$3),'Unit List'!$A$14:$H$2841,2,FALSE)),"X",$AP25)</f>
        <v/>
      </c>
      <c r="AS25" s="51" t="str">
        <f>IF(ISTEXT(VLOOKUP(CONCATENATE($A25,"_",AS$3),'Unit List'!$A$14:$H$2841,2,FALSE)),"X",$AP25)</f>
        <v/>
      </c>
      <c r="AT25" s="53" t="str">
        <f>IF(ISTEXT(VLOOKUP(CONCATENATE($A25,"_",AT$3),'Unit List'!$A$14:$H$2841,2,FALSE)),"X",$AP25)</f>
        <v/>
      </c>
      <c r="AU25" s="124" t="str">
        <f>IF(ISTEXT(VLOOKUP(CONCATENATE($A25,"_",AU$3),'Unit List'!$A$14:$H$2841,2,FALSE)),"+","")</f>
        <v/>
      </c>
      <c r="AV25" s="51" t="str">
        <f>IF(ISTEXT(VLOOKUP(CONCATENATE($A25,"_",AV$3),'Unit List'!$A$14:$H$2841,2,FALSE)),"X",$AU25)</f>
        <v/>
      </c>
      <c r="AW25" s="53" t="str">
        <f>IF(ISTEXT(VLOOKUP(CONCATENATE($A25,"_",AW$3),'Unit List'!$A$14:$H$2841,2,FALSE)),"X",$AU25)</f>
        <v/>
      </c>
      <c r="AX25" s="172" t="str">
        <f>IF(ISTEXT(VLOOKUP(CONCATENATE($A25,"_",AX$3),'Unit List'!$A$14:$H$2841,2,FALSE)),"+","")</f>
        <v/>
      </c>
      <c r="AY25" s="51" t="str">
        <f>IF(ISTEXT(VLOOKUP(CONCATENATE($A25,"_",AY$3),'Unit List'!$A$14:$H$2841,2,FALSE)),"X",$AX25)</f>
        <v/>
      </c>
      <c r="AZ25" s="53" t="str">
        <f>IF(ISTEXT(VLOOKUP(CONCATENATE($A25,"_",AZ$3),'Unit List'!$A$14:$H$2841,2,FALSE)),"X",$AX25)</f>
        <v/>
      </c>
      <c r="BA25" s="182" t="str">
        <f>IF(ISTEXT(VLOOKUP(CONCATENATE($A25,"_",BA$3),'Unit List'!$A$14:$H$2841,2,FALSE)),"+","")</f>
        <v/>
      </c>
      <c r="BB25" s="51" t="str">
        <f>IF(ISTEXT(VLOOKUP(CONCATENATE($A25,"_",BB$3),'Unit List'!$A$14:$H$2841,2,FALSE)),"X",$BA25)</f>
        <v/>
      </c>
      <c r="BC25" s="51" t="str">
        <f>IF(ISTEXT(VLOOKUP(CONCATENATE($A25,"_",BC$3),'Unit List'!$A$14:$H$2841,2,FALSE)),"X",$BA25)</f>
        <v/>
      </c>
      <c r="BD25" s="53" t="str">
        <f>IF(ISTEXT(VLOOKUP(CONCATENATE($A25,"_",BD$3),'Unit List'!$A$14:$H$2841,2,FALSE)),"X",$BA25)</f>
        <v/>
      </c>
      <c r="BE25" s="125" t="str">
        <f>IF(ISTEXT(VLOOKUP(CONCATENATE($A25,"_",BE$3),'Unit List'!$A$14:$H$2841,2,FALSE)),"+","")</f>
        <v/>
      </c>
      <c r="BF25" s="62" t="str">
        <f>IF(ISTEXT(VLOOKUP(CONCATENATE($A25,"_",BF$3),'Unit List'!$A$14:$H$2841,2,FALSE)),"X",$BE25)</f>
        <v/>
      </c>
      <c r="BG25" s="64"/>
      <c r="BH25" s="65" t="s">
        <v>0</v>
      </c>
      <c r="BI25" s="211"/>
      <c r="BJ25" s="212"/>
      <c r="BK25" s="212"/>
      <c r="BL25" s="212"/>
      <c r="BM25" s="213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List'!$A$14:$H$2841,2,FALSE)),"+","")</f>
        <v/>
      </c>
      <c r="C26" s="82" t="str">
        <f>IF(ISTEXT(VLOOKUP(CONCATENATE($A26,"_",C$3),'Unit List'!$A$14:$H$2841,2,FALSE)),"X",$B26)</f>
        <v>X</v>
      </c>
      <c r="D26" s="51" t="str">
        <f>IF(ISTEXT(VLOOKUP(CONCATENATE($A26,"_",D$3),'Unit List'!$A$14:$H$2841,2,FALSE)),"X",$B26)</f>
        <v>X</v>
      </c>
      <c r="E26" s="51" t="str">
        <f>IF(ISTEXT(VLOOKUP(CONCATENATE($A26,"_",E$3),'Unit List'!$A$14:$H$2841,2,FALSE)),"X",$B26)</f>
        <v>X</v>
      </c>
      <c r="F26" s="67" t="str">
        <f>IF(ISTEXT(VLOOKUP(CONCATENATE($A26,"_",F$3),'Unit List'!$A$14:$H$2841,2,FALSE)),"X",$B26)</f>
        <v>X</v>
      </c>
      <c r="G26" s="67" t="str">
        <f>IF(ISTEXT(VLOOKUP(CONCATENATE($A26,"_",G$3),'Unit List'!$A$14:$H$2841,2,FALSE)),"X",$B26)</f>
        <v>X</v>
      </c>
      <c r="H26" s="67" t="str">
        <f>IF(ISTEXT(VLOOKUP(CONCATENATE($A26,"_",H$3),'Unit List'!$A$14:$H$2841,2,FALSE)),"X",$B26)</f>
        <v>X</v>
      </c>
      <c r="I26" s="70" t="str">
        <f>IF(ISTEXT(VLOOKUP(CONCATENATE($A26,"_",I$3),'Unit List'!$A$14:$H$2841,2,FALSE)),"X",$B26)</f>
        <v>X</v>
      </c>
      <c r="J26" s="172" t="str">
        <f>IF(ISTEXT(VLOOKUP(CONCATENATE($A26,"_",J$3),'Unit List'!$A$14:$H$2841,2,FALSE)),"+","")</f>
        <v/>
      </c>
      <c r="K26" s="51" t="str">
        <f>IF(ISTEXT(VLOOKUP(CONCATENATE($A26,"_",K$3),'Unit List'!$A$14:$H$2841,2,FALSE)),"X",$J26)</f>
        <v/>
      </c>
      <c r="L26" s="62" t="str">
        <f>IF(ISTEXT(VLOOKUP(CONCATENATE($A26,"_",L$3),'Unit List'!$A$14:$H$2841,2,FALSE)),"X",$J26)</f>
        <v>X</v>
      </c>
      <c r="M26" s="172" t="str">
        <f>IF(ISTEXT(VLOOKUP(CONCATENATE($A26,"_",M$3),'Unit List'!$A$14:$H$2841,2,FALSE)),"+","")</f>
        <v>+</v>
      </c>
      <c r="N26" s="51" t="str">
        <f>IF(ISTEXT(VLOOKUP(CONCATENATE($A26,"_",N$3),'Unit List'!$A$14:$H$2841,2,FALSE)),"X",$M26)</f>
        <v>X</v>
      </c>
      <c r="O26" s="53" t="str">
        <f>IF(ISTEXT(VLOOKUP(CONCATENATE($A26,"_",O$3),'Unit List'!$A$14:$H$2841,2,FALSE)),"X",$M26)</f>
        <v>X</v>
      </c>
      <c r="P26" s="172" t="str">
        <f>IF(ISTEXT(VLOOKUP(CONCATENATE($A26,"_",P$3),'Unit List'!$A$14:$H$2841,2,FALSE)),"+","")</f>
        <v/>
      </c>
      <c r="Q26" s="51" t="str">
        <f>IF(ISTEXT(VLOOKUP(CONCATENATE($A26,"_",Q$3),'Unit List'!$A$14:$H$2841,2,FALSE)),"X",$P26)</f>
        <v/>
      </c>
      <c r="R26" s="51" t="str">
        <f>IF(ISTEXT(VLOOKUP(CONCATENATE($A26,"_",R$3),'Unit List'!$A$14:$H$2841,2,FALSE)),"X",$P26)</f>
        <v/>
      </c>
      <c r="S26" s="67" t="str">
        <f>IF(ISTEXT(VLOOKUP(CONCATENATE($A26,"_",S$3),'Unit List'!$A$14:$H$2841,2,FALSE)),"X",$P26)</f>
        <v>X</v>
      </c>
      <c r="T26" s="52" t="str">
        <f>IF(ISTEXT(VLOOKUP(CONCATENATE($A26,"_",T$3),'Unit List'!$A$14:$H$2841,2,FALSE)),"X",$P26)</f>
        <v/>
      </c>
      <c r="U26" s="67" t="str">
        <f>IF(ISTEXT(VLOOKUP(CONCATENATE($A26,"_",U$3),'Unit List'!$A$14:$H$2841,2,FALSE)),"X",$P26)</f>
        <v>X</v>
      </c>
      <c r="V26" s="67" t="str">
        <f>IF(ISTEXT(VLOOKUP(CONCATENATE($A26,"_",V$3),'Unit List'!$A$14:$H$2841,2,FALSE)),"X",$P26)</f>
        <v>X</v>
      </c>
      <c r="W26" s="53" t="str">
        <f>IF(ISTEXT(VLOOKUP(CONCATENATE($A26,"_",W$3),'Unit List'!$A$14:$H$2841,2,FALSE)),"X",$P26)</f>
        <v/>
      </c>
      <c r="X26" s="172" t="str">
        <f>IF(ISTEXT(VLOOKUP(CONCATENATE($A26,"_",X$3),'Unit List'!$A$14:$H$2841,2,FALSE)),"+","")</f>
        <v>+</v>
      </c>
      <c r="Y26" s="69" t="str">
        <f>IF(ISTEXT(VLOOKUP(CONCATENATE($A26,"_",Y$3),'Unit List'!$A$14:$H$2841,2,FALSE)),"X",$X26)</f>
        <v>X</v>
      </c>
      <c r="Z26" s="51" t="str">
        <f>IF(ISTEXT(VLOOKUP(CONCATENATE($A26,"_",Z$3),'Unit List'!$A$14:$H$2841,2,FALSE)),"X",$X26)</f>
        <v>+</v>
      </c>
      <c r="AA26" s="51" t="str">
        <f>IF(ISTEXT(VLOOKUP(CONCATENATE($A26,"_",AA$3),'Unit List'!$A$14:$H$2841,2,FALSE)),"X",$X26)</f>
        <v>X</v>
      </c>
      <c r="AB26" s="51" t="str">
        <f>IF(ISTEXT(VLOOKUP(CONCATENATE($A26,"_",AB$3),'Unit List'!$A$14:$H$2841,2,FALSE)),"X",$X26)</f>
        <v>X</v>
      </c>
      <c r="AC26" s="62" t="str">
        <f>IF(ISTEXT(VLOOKUP(CONCATENATE($A26,"_",AC$3),'Unit List'!$A$14:$H$2841,2,FALSE)),"X",$X26)</f>
        <v>+</v>
      </c>
      <c r="AD26" s="172" t="str">
        <f>IF(ISTEXT(VLOOKUP(CONCATENATE($A26,"_",AD$3),'Unit List'!$A$14:$H$2841,2,FALSE)),"+","")</f>
        <v>+</v>
      </c>
      <c r="AE26" s="51" t="str">
        <f>IF(ISTEXT(VLOOKUP(CONCATENATE($A26,"_",AE$3),'Unit List'!$A$14:$H$2841,2,FALSE)),"X",$AD26)</f>
        <v>+</v>
      </c>
      <c r="AF26" s="51" t="str">
        <f>IF(ISTEXT(VLOOKUP(CONCATENATE($A26,"_",AF$3),'Unit List'!$A$14:$H$2841,2,FALSE)),"X",$AD26)</f>
        <v>+</v>
      </c>
      <c r="AG26" s="172" t="str">
        <f>IF(ISTEXT(VLOOKUP(CONCATENATE($A26,"_",AG$3),'Unit List'!$A$14:$H$2841,2,FALSE)),"+","")</f>
        <v>+</v>
      </c>
      <c r="AH26" s="51" t="str">
        <f>IF(ISTEXT(VLOOKUP(CONCATENATE($A26,"_",AH$3),'Unit List'!$A$14:$H$2841,2,FALSE)),"X",$AG26)</f>
        <v>X</v>
      </c>
      <c r="AI26" s="51" t="str">
        <f>IF(ISTEXT(VLOOKUP(CONCATENATE($A26,"_",AI$3),'Unit List'!$A$14:$H$2841,2,FALSE)),"X",$AG26)</f>
        <v>+</v>
      </c>
      <c r="AJ26" s="53" t="str">
        <f>IF(ISTEXT(VLOOKUP(CONCATENATE($A26,"_",AJ$3),'Unit List'!$A$14:$H$2841,2,FALSE)),"X",$AG26)</f>
        <v>+</v>
      </c>
      <c r="AK26" s="172" t="str">
        <f>IF(ISTEXT(VLOOKUP(CONCATENATE($A26,"_",AK$3),'Unit List'!$A$14:$H$2841,2,FALSE)),"+","")</f>
        <v/>
      </c>
      <c r="AL26" s="52" t="str">
        <f>IF(ISTEXT(VLOOKUP(CONCATENATE($A26,"_",AL$3),'Unit List'!$A$14:$H$2841,2,FALSE)),"X",$AK26)</f>
        <v/>
      </c>
      <c r="AM26" s="53" t="str">
        <f>IF(ISTEXT(VLOOKUP(CONCATENATE($A26,"_",AM$3),'Unit List'!$A$14:$H$2841,2,FALSE)),"X",$AK26)</f>
        <v/>
      </c>
      <c r="AN26" s="125" t="str">
        <f>IF(ISTEXT(VLOOKUP(CONCATENATE($A26,"_",AN$3),'Unit List'!$A$14:$H$2841,2,FALSE)),"+","")</f>
        <v>+</v>
      </c>
      <c r="AO26" s="53" t="str">
        <f>IF(ISTEXT(VLOOKUP(CONCATENATE($A26,"_",AO$3),'Unit List'!$A$14:$H$2841,2,FALSE)),"X",$AN26)</f>
        <v>+</v>
      </c>
      <c r="AP26" s="172" t="str">
        <f>IF(ISTEXT(VLOOKUP(CONCATENATE($A26,"_",AP$3),'Unit List'!$A$14:$H$2841,2,FALSE)),"+","")</f>
        <v>+</v>
      </c>
      <c r="AQ26" s="51" t="str">
        <f>IF(ISTEXT(VLOOKUP(CONCATENATE($A26,"_",AQ$3),'Unit List'!$A$14:$H$2841,2,FALSE)),"X",$AP26)</f>
        <v>+</v>
      </c>
      <c r="AR26" s="67" t="str">
        <f>IF(ISTEXT(VLOOKUP(CONCATENATE($A26,"_",AR$3),'Unit List'!$A$14:$H$2841,2,FALSE)),"X",$AP26)</f>
        <v>X</v>
      </c>
      <c r="AS26" s="51" t="str">
        <f>IF(ISTEXT(VLOOKUP(CONCATENATE($A26,"_",AS$3),'Unit List'!$A$14:$H$2841,2,FALSE)),"X",$AP26)</f>
        <v>+</v>
      </c>
      <c r="AT26" s="53" t="str">
        <f>IF(ISTEXT(VLOOKUP(CONCATENATE($A26,"_",AT$3),'Unit List'!$A$14:$H$2841,2,FALSE)),"X",$AP26)</f>
        <v>+</v>
      </c>
      <c r="AU26" s="124" t="str">
        <f>IF(ISTEXT(VLOOKUP(CONCATENATE($A26,"_",AU$3),'Unit List'!$A$14:$H$2841,2,FALSE)),"+","")</f>
        <v/>
      </c>
      <c r="AV26" s="51" t="str">
        <f>IF(ISTEXT(VLOOKUP(CONCATENATE($A26,"_",AV$3),'Unit List'!$A$14:$H$2841,2,FALSE)),"X",$AU26)</f>
        <v/>
      </c>
      <c r="AW26" s="53" t="str">
        <f>IF(ISTEXT(VLOOKUP(CONCATENATE($A26,"_",AW$3),'Unit List'!$A$14:$H$2841,2,FALSE)),"X",$AU26)</f>
        <v/>
      </c>
      <c r="AX26" s="172" t="str">
        <f>IF(ISTEXT(VLOOKUP(CONCATENATE($A26,"_",AX$3),'Unit List'!$A$14:$H$2841,2,FALSE)),"+","")</f>
        <v>+</v>
      </c>
      <c r="AY26" s="51" t="str">
        <f>IF(ISTEXT(VLOOKUP(CONCATENATE($A26,"_",AY$3),'Unit List'!$A$14:$H$2841,2,FALSE)),"X",$AX26)</f>
        <v>+</v>
      </c>
      <c r="AZ26" s="53" t="str">
        <f>IF(ISTEXT(VLOOKUP(CONCATENATE($A26,"_",AZ$3),'Unit List'!$A$14:$H$2841,2,FALSE)),"X",$AX26)</f>
        <v>+</v>
      </c>
      <c r="BA26" s="182" t="str">
        <f>IF(ISTEXT(VLOOKUP(CONCATENATE($A26,"_",BA$3),'Unit List'!$A$14:$H$2841,2,FALSE)),"+","")</f>
        <v>+</v>
      </c>
      <c r="BB26" s="51" t="str">
        <f>IF(ISTEXT(VLOOKUP(CONCATENATE($A26,"_",BB$3),'Unit List'!$A$14:$H$2841,2,FALSE)),"X",$BA26)</f>
        <v>X</v>
      </c>
      <c r="BC26" s="51" t="str">
        <f>IF(ISTEXT(VLOOKUP(CONCATENATE($A26,"_",BC$3),'Unit List'!$A$14:$H$2841,2,FALSE)),"X",$BA26)</f>
        <v>+</v>
      </c>
      <c r="BD26" s="53" t="str">
        <f>IF(ISTEXT(VLOOKUP(CONCATENATE($A26,"_",BD$3),'Unit List'!$A$14:$H$2841,2,FALSE)),"X",$BA26)</f>
        <v>+</v>
      </c>
      <c r="BE26" s="125" t="str">
        <f>IF(ISTEXT(VLOOKUP(CONCATENATE($A26,"_",BE$3),'Unit List'!$A$14:$H$2841,2,FALSE)),"+","")</f>
        <v>+</v>
      </c>
      <c r="BF26" s="62" t="str">
        <f>IF(ISTEXT(VLOOKUP(CONCATENATE($A26,"_",BF$3),'Unit List'!$A$14:$H$2841,2,FALSE)),"X",$BE26)</f>
        <v>+</v>
      </c>
      <c r="BG26" s="64"/>
      <c r="BH26" s="65" t="s">
        <v>0</v>
      </c>
      <c r="BI26" s="211"/>
      <c r="BJ26" s="212"/>
      <c r="BK26" s="212"/>
      <c r="BL26" s="212"/>
      <c r="BM26" s="213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List'!$A$14:$H$2841,2,FALSE)),"+","")</f>
        <v/>
      </c>
      <c r="C27" s="93" t="str">
        <f>IF(ISTEXT(VLOOKUP(CONCATENATE($A27,"_",C$3),'Unit List'!$A$14:$H$2841,2,FALSE)),"X",$B27)</f>
        <v/>
      </c>
      <c r="D27" s="60" t="str">
        <f>IF(ISTEXT(VLOOKUP(CONCATENATE($A27,"_",D$3),'Unit List'!$A$14:$H$2841,2,FALSE)),"X",$B27)</f>
        <v/>
      </c>
      <c r="E27" s="51" t="str">
        <f>IF(ISTEXT(VLOOKUP(CONCATENATE($A27,"_",E$3),'Unit List'!$A$14:$H$2841,2,FALSE)),"X",$B27)</f>
        <v/>
      </c>
      <c r="F27" s="67" t="str">
        <f>IF(ISTEXT(VLOOKUP(CONCATENATE($A27,"_",F$3),'Unit List'!$A$14:$H$2841,2,FALSE)),"X",$B27)</f>
        <v>X</v>
      </c>
      <c r="G27" s="67" t="str">
        <f>IF(ISTEXT(VLOOKUP(CONCATENATE($A27,"_",G$3),'Unit List'!$A$14:$H$2841,2,FALSE)),"X",$B27)</f>
        <v>X</v>
      </c>
      <c r="H27" s="67" t="str">
        <f>IF(ISTEXT(VLOOKUP(CONCATENATE($A27,"_",H$3),'Unit List'!$A$14:$H$2841,2,FALSE)),"X",$B27)</f>
        <v>X</v>
      </c>
      <c r="I27" s="53" t="str">
        <f>IF(ISTEXT(VLOOKUP(CONCATENATE($A27,"_",I$3),'Unit List'!$A$14:$H$2841,2,FALSE)),"X",$B27)</f>
        <v/>
      </c>
      <c r="J27" s="172" t="str">
        <f>IF(ISTEXT(VLOOKUP(CONCATENATE($A27,"_",J$3),'Unit List'!$A$14:$H$2841,2,FALSE)),"+","")</f>
        <v>+</v>
      </c>
      <c r="K27" s="94" t="str">
        <f>IF(ISTEXT(VLOOKUP(CONCATENATE($A27,"_",K$3),'Unit List'!$A$14:$H$2841,2,FALSE)),"X",$J27)</f>
        <v>+</v>
      </c>
      <c r="L27" s="68" t="str">
        <f>IF(ISTEXT(VLOOKUP(CONCATENATE($A27,"_",L$3),'Unit List'!$A$14:$H$2841,2,FALSE)),"X",$J27)</f>
        <v>+</v>
      </c>
      <c r="M27" s="172" t="str">
        <f>IF(ISTEXT(VLOOKUP(CONCATENATE($A27,"_",M$3),'Unit List'!$A$14:$H$2841,2,FALSE)),"+","")</f>
        <v>+</v>
      </c>
      <c r="N27" s="51" t="str">
        <f>IF(ISTEXT(VLOOKUP(CONCATENATE($A27,"_",N$3),'Unit List'!$A$14:$H$2841,2,FALSE)),"X",$M27)</f>
        <v>+</v>
      </c>
      <c r="O27" s="70" t="str">
        <f>IF(ISTEXT(VLOOKUP(CONCATENATE($A27,"_",O$3),'Unit List'!$A$14:$H$2841,2,FALSE)),"X",$M27)</f>
        <v>X</v>
      </c>
      <c r="P27" s="171" t="str">
        <f>IF(ISTEXT(VLOOKUP(CONCATENATE($A27,"_",P$3),'Unit List'!$A$14:$H$2841,2,FALSE)),"+","")</f>
        <v>+</v>
      </c>
      <c r="Q27" s="51" t="str">
        <f>IF(ISTEXT(VLOOKUP(CONCATENATE($A27,"_",Q$3),'Unit List'!$A$14:$H$2841,2,FALSE)),"X",$P27)</f>
        <v>+</v>
      </c>
      <c r="R27" s="89" t="s">
        <v>0</v>
      </c>
      <c r="S27" s="72" t="s">
        <v>0</v>
      </c>
      <c r="T27" s="52" t="str">
        <f>IF(ISTEXT(VLOOKUP(CONCATENATE($A27,"_",T$3),'Unit List'!$A$14:$H$2841,2,FALSE)),"X",$P27)</f>
        <v>+</v>
      </c>
      <c r="U27" s="67" t="str">
        <f>IF(ISTEXT(VLOOKUP(CONCATENATE($A27,"_",U$3),'Unit List'!$A$14:$H$2841,2,FALSE)),"X",$P27)</f>
        <v>X</v>
      </c>
      <c r="V27" s="67" t="str">
        <f>IF(ISTEXT(VLOOKUP(CONCATENATE($A27,"_",V$3),'Unit List'!$A$14:$H$2841,2,FALSE)),"X",$P27)</f>
        <v>X</v>
      </c>
      <c r="W27" s="53" t="str">
        <f>IF(ISTEXT(VLOOKUP(CONCATENATE($A27,"_",W$3),'Unit List'!$A$14:$H$2841,2,FALSE)),"X",$P27)</f>
        <v>+</v>
      </c>
      <c r="X27" s="171" t="str">
        <f>IF(ISTEXT(VLOOKUP(CONCATENATE($A27,"_",X$3),'Unit List'!$A$14:$H$2841,2,FALSE)),"+","")</f>
        <v>+</v>
      </c>
      <c r="Y27" s="67" t="str">
        <f>IF(ISTEXT(VLOOKUP(CONCATENATE($A27,"_",Y$3),'Unit List'!$A$14:$H$2841,2,FALSE)),"X",$X27)</f>
        <v>X</v>
      </c>
      <c r="Z27" s="51" t="str">
        <f>IF(ISTEXT(VLOOKUP(CONCATENATE($A27,"_",Z$3),'Unit List'!$A$14:$H$2841,2,FALSE)),"X",$X27)</f>
        <v>+</v>
      </c>
      <c r="AA27" s="67" t="str">
        <f>IF(ISTEXT(VLOOKUP(CONCATENATE($A27,"_",AA$3),'Unit List'!$A$14:$H$2841,2,FALSE)),"X",$X27)</f>
        <v>X</v>
      </c>
      <c r="AB27" s="67" t="str">
        <f>IF(ISTEXT(VLOOKUP(CONCATENATE($A27,"_",AB$3),'Unit List'!$A$14:$H$2841,2,FALSE)),"X",$X27)</f>
        <v>X</v>
      </c>
      <c r="AC27" s="86" t="str">
        <f>IF(ISTEXT(VLOOKUP(CONCATENATE($A27,"_",AC$3),'Unit List'!$A$14:$H$2841,2,FALSE)),"X",$X27)</f>
        <v>X</v>
      </c>
      <c r="AD27" s="171" t="str">
        <f>IF(ISTEXT(VLOOKUP(CONCATENATE($A27,"_",AD$3),'Unit List'!$A$14:$H$2841,2,FALSE)),"+","")</f>
        <v/>
      </c>
      <c r="AE27" s="89" t="s">
        <v>0</v>
      </c>
      <c r="AF27" s="51" t="str">
        <f>IF(ISTEXT(VLOOKUP(CONCATENATE($A27,"_",AF$3),'Unit List'!$A$14:$H$2841,2,FALSE)),"X",$AD27)</f>
        <v/>
      </c>
      <c r="AG27" s="171" t="str">
        <f>IF(ISTEXT(VLOOKUP(CONCATENATE($A27,"_",AG$3),'Unit List'!$A$14:$H$2841,2,FALSE)),"+","")</f>
        <v>+</v>
      </c>
      <c r="AH27" s="67" t="str">
        <f>IF(ISTEXT(VLOOKUP(CONCATENATE($A27,"_",AH$3),'Unit List'!$A$14:$H$2841,2,FALSE)),"X",$AG27)</f>
        <v>X</v>
      </c>
      <c r="AI27" s="51" t="str">
        <f>IF(ISTEXT(VLOOKUP(CONCATENATE($A27,"_",AI$3),'Unit List'!$A$14:$H$2841,2,FALSE)),"X",$AG27)</f>
        <v>X</v>
      </c>
      <c r="AJ27" s="71" t="str">
        <f>IF(ISTEXT(VLOOKUP(CONCATENATE($A27,"_",AJ$3),'Unit List'!$A$14:$H$2841,2,FALSE)),"X",$AG27)</f>
        <v>+</v>
      </c>
      <c r="AK27" s="171" t="str">
        <f>IF(ISTEXT(VLOOKUP(CONCATENATE($A27,"_",AK$3),'Unit List'!$A$14:$H$2841,2,FALSE)),"+","")</f>
        <v>+</v>
      </c>
      <c r="AL27" s="52" t="str">
        <f>IF(ISTEXT(VLOOKUP(CONCATENATE($A27,"_",AL$3),'Unit List'!$A$14:$H$2841,2,FALSE)),"X",$AK27)</f>
        <v>+</v>
      </c>
      <c r="AM27" s="70" t="str">
        <f>IF(ISTEXT(VLOOKUP(CONCATENATE($A27,"_",AM$3),'Unit List'!$A$14:$H$2841,2,FALSE)),"X",$AK27)</f>
        <v>X</v>
      </c>
      <c r="AN27" s="125" t="str">
        <f>IF(ISTEXT(VLOOKUP(CONCATENATE($A27,"_",AN$3),'Unit List'!$A$14:$H$2841,2,FALSE)),"+","")</f>
        <v>+</v>
      </c>
      <c r="AO27" s="70" t="str">
        <f>IF(ISTEXT(VLOOKUP(CONCATENATE($A27,"_",AO$3),'Unit List'!$A$14:$H$2841,2,FALSE)),"X",$AN27)</f>
        <v>+</v>
      </c>
      <c r="AP27" s="171" t="str">
        <f>IF(ISTEXT(VLOOKUP(CONCATENATE($A27,"_",AP$3),'Unit List'!$A$14:$H$2841,2,FALSE)),"+","")</f>
        <v>+</v>
      </c>
      <c r="AQ27" s="67" t="str">
        <f>IF(ISTEXT(VLOOKUP(CONCATENATE($A27,"_",AQ$3),'Unit List'!$A$14:$H$2841,2,FALSE)),"X",$AP27)</f>
        <v>X</v>
      </c>
      <c r="AR27" s="67" t="str">
        <f>IF(ISTEXT(VLOOKUP(CONCATENATE($A27,"_",AR$3),'Unit List'!$A$14:$H$2841,2,FALSE)),"X",$AP27)</f>
        <v>X</v>
      </c>
      <c r="AS27" s="67" t="str">
        <f>IF(ISTEXT(VLOOKUP(CONCATENATE($A27,"_",AS$3),'Unit List'!$A$14:$H$2841,2,FALSE)),"X",$AP27)</f>
        <v>X</v>
      </c>
      <c r="AT27" s="70" t="str">
        <f>IF(ISTEXT(VLOOKUP(CONCATENATE($A27,"_",AT$3),'Unit List'!$A$14:$H$2841,2,FALSE)),"X",$AP27)</f>
        <v>X</v>
      </c>
      <c r="AU27" s="124" t="str">
        <f>IF(ISTEXT(VLOOKUP(CONCATENATE($A27,"_",AU$3),'Unit List'!$A$14:$H$2841,2,FALSE)),"+","")</f>
        <v>+</v>
      </c>
      <c r="AV27" s="69" t="str">
        <f>IF(ISTEXT(VLOOKUP(CONCATENATE($A27,"_",AV$3),'Unit List'!$A$14:$H$2841,2,FALSE)),"X",$AU27)</f>
        <v>+</v>
      </c>
      <c r="AW27" s="53" t="str">
        <f>IF(ISTEXT(VLOOKUP(CONCATENATE($A27,"_",AW$3),'Unit List'!$A$14:$H$2841,2,FALSE)),"X",$AU27)</f>
        <v>+</v>
      </c>
      <c r="AX27" s="172" t="str">
        <f>IF(ISTEXT(VLOOKUP(CONCATENATE($A27,"_",AX$3),'Unit List'!$A$14:$H$2841,2,FALSE)),"+","")</f>
        <v>+</v>
      </c>
      <c r="AY27" s="67" t="str">
        <f>IF(ISTEXT(VLOOKUP(CONCATENATE($A27,"_",AY$3),'Unit List'!$A$14:$H$2841,2,FALSE)),"X",$AX27)</f>
        <v>X</v>
      </c>
      <c r="AZ27" s="70" t="str">
        <f>IF(ISTEXT(VLOOKUP(CONCATENATE($A27,"_",AZ$3),'Unit List'!$A$14:$H$2841,2,FALSE)),"X",$AX27)</f>
        <v>+</v>
      </c>
      <c r="BA27" s="171" t="str">
        <f>IF(ISTEXT(VLOOKUP(CONCATENATE($A27,"_",BA$3),'Unit List'!$A$14:$H$2841,2,FALSE)),"+","")</f>
        <v>+</v>
      </c>
      <c r="BB27" s="67" t="str">
        <f>IF(ISTEXT(VLOOKUP(CONCATENATE($A27,"_",BB$3),'Unit List'!$A$14:$H$2841,2,FALSE)),"X",$BA27)</f>
        <v>X</v>
      </c>
      <c r="BC27" s="67" t="str">
        <f>IF(ISTEXT(VLOOKUP(CONCATENATE($A27,"_",BC$3),'Unit List'!$A$14:$H$2841,2,FALSE)),"X",$BA27)</f>
        <v>X</v>
      </c>
      <c r="BD27" s="70" t="str">
        <f>IF(ISTEXT(VLOOKUP(CONCATENATE($A27,"_",BD$3),'Unit List'!$A$14:$H$2841,2,FALSE)),"X",$BA27)</f>
        <v>X</v>
      </c>
      <c r="BE27" s="125" t="str">
        <f>IF(ISTEXT(VLOOKUP(CONCATENATE($A27,"_",BE$3),'Unit List'!$A$14:$H$2841,2,FALSE)),"+","")</f>
        <v>+</v>
      </c>
      <c r="BF27" s="62" t="str">
        <f>IF(ISTEXT(VLOOKUP(CONCATENATE($A27,"_",BF$3),'Unit List'!$A$14:$H$2841,2,FALSE)),"X",$BE27)</f>
        <v>+</v>
      </c>
      <c r="BG27" s="75"/>
      <c r="BH27" s="76" t="s">
        <v>0</v>
      </c>
      <c r="BI27" s="211" t="s">
        <v>12</v>
      </c>
      <c r="BJ27" s="214"/>
      <c r="BK27" s="214"/>
      <c r="BL27" s="214"/>
      <c r="BM27" s="215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List'!$A$14:$H$2841,2,FALSE)),"+","")</f>
        <v>+</v>
      </c>
      <c r="C28" s="57" t="str">
        <f>IF(ISTEXT(VLOOKUP(CONCATENATE($A28,"_",C$3),'Unit List'!$A$14:$H$2841,2,FALSE)),"X",$B28)</f>
        <v>X</v>
      </c>
      <c r="D28" s="51" t="str">
        <f>IF(ISTEXT(VLOOKUP(CONCATENATE($A28,"_",D$3),'Unit List'!$A$14:$H$2841,2,FALSE)),"X",$B28)</f>
        <v>X</v>
      </c>
      <c r="E28" s="51" t="str">
        <f>IF(ISTEXT(VLOOKUP(CONCATENATE($A28,"_",E$3),'Unit List'!$A$14:$H$2841,2,FALSE)),"X",$B28)</f>
        <v>X</v>
      </c>
      <c r="F28" s="60" t="str">
        <f>IF(ISTEXT(VLOOKUP(CONCATENATE($A28,"_",F$3),'Unit List'!$A$14:$H$2841,2,FALSE)),"X",$B28)</f>
        <v>X</v>
      </c>
      <c r="G28" s="51" t="str">
        <f>IF(ISTEXT(VLOOKUP(CONCATENATE($A28,"_",G$3),'Unit List'!$A$14:$H$2841,2,FALSE)),"X",$B28)</f>
        <v>X</v>
      </c>
      <c r="H28" s="51" t="str">
        <f>IF(ISTEXT(VLOOKUP(CONCATENATE($A28,"_",H$3),'Unit List'!$A$14:$H$2841,2,FALSE)),"X",$B28)</f>
        <v>X</v>
      </c>
      <c r="I28" s="53" t="str">
        <f>IF(ISTEXT(VLOOKUP(CONCATENATE($A28,"_",I$3),'Unit List'!$A$14:$H$2841,2,FALSE)),"X",$B28)</f>
        <v>+</v>
      </c>
      <c r="J28" s="172" t="str">
        <f>IF(ISTEXT(VLOOKUP(CONCATENATE($A28,"_",J$3),'Unit List'!$A$14:$H$2841,2,FALSE)),"+","")</f>
        <v/>
      </c>
      <c r="K28" s="51" t="str">
        <f>IF(ISTEXT(VLOOKUP(CONCATENATE($A28,"_",K$3),'Unit List'!$A$14:$H$2841,2,FALSE)),"X",$J28)</f>
        <v/>
      </c>
      <c r="L28" s="62" t="str">
        <f>IF(ISTEXT(VLOOKUP(CONCATENATE($A28,"_",L$3),'Unit List'!$A$14:$H$2841,2,FALSE)),"X",$J28)</f>
        <v/>
      </c>
      <c r="M28" s="172" t="str">
        <f>IF(ISTEXT(VLOOKUP(CONCATENATE($A28,"_",M$3),'Unit List'!$A$14:$H$2841,2,FALSE)),"+","")</f>
        <v>+</v>
      </c>
      <c r="N28" s="51" t="str">
        <f>IF(ISTEXT(VLOOKUP(CONCATENATE($A28,"_",N$3),'Unit List'!$A$14:$H$2841,2,FALSE)),"X",$M28)</f>
        <v>+</v>
      </c>
      <c r="O28" s="53" t="str">
        <f>IF(ISTEXT(VLOOKUP(CONCATENATE($A28,"_",O$3),'Unit List'!$A$14:$H$2841,2,FALSE)),"X",$M28)</f>
        <v>X</v>
      </c>
      <c r="P28" s="172" t="str">
        <f>IF(ISTEXT(VLOOKUP(CONCATENATE($A28,"_",P$3),'Unit List'!$A$14:$H$2841,2,FALSE)),"+","")</f>
        <v>+</v>
      </c>
      <c r="Q28" s="51" t="str">
        <f>IF(ISTEXT(VLOOKUP(CONCATENATE($A28,"_",Q$3),'Unit List'!$A$14:$H$2841,2,FALSE)),"X",$P28)</f>
        <v>+</v>
      </c>
      <c r="R28" s="51" t="str">
        <f>IF(ISTEXT(VLOOKUP(CONCATENATE($A28,"_",R$3),'Unit List'!$A$14:$H$2841,2,FALSE)),"X",$P28)</f>
        <v>+</v>
      </c>
      <c r="S28" s="51" t="str">
        <f>IF(ISTEXT(VLOOKUP(CONCATENATE($A28,"_",S$3),'Unit List'!$A$14:$H$2841,2,FALSE)),"X",$P28)</f>
        <v>+</v>
      </c>
      <c r="T28" s="52" t="str">
        <f>IF(ISTEXT(VLOOKUP(CONCATENATE($A28,"_",T$3),'Unit List'!$A$14:$H$2841,2,FALSE)),"X",$P28)</f>
        <v>+</v>
      </c>
      <c r="U28" s="51" t="str">
        <f>IF(ISTEXT(VLOOKUP(CONCATENATE($A28,"_",U$3),'Unit List'!$A$14:$H$2841,2,FALSE)),"X",$P28)</f>
        <v>X</v>
      </c>
      <c r="V28" s="51" t="str">
        <f>IF(ISTEXT(VLOOKUP(CONCATENATE($A28,"_",V$3),'Unit List'!$A$14:$H$2841,2,FALSE)),"X",$P28)</f>
        <v>X</v>
      </c>
      <c r="W28" s="53" t="str">
        <f>IF(ISTEXT(VLOOKUP(CONCATENATE($A28,"_",W$3),'Unit List'!$A$14:$H$2841,2,FALSE)),"X",$P28)</f>
        <v>+</v>
      </c>
      <c r="X28" s="172" t="str">
        <f>IF(ISTEXT(VLOOKUP(CONCATENATE($A28,"_",X$3),'Unit List'!$A$14:$H$2841,2,FALSE)),"+","")</f>
        <v/>
      </c>
      <c r="Y28" s="51" t="str">
        <f>IF(ISTEXT(VLOOKUP(CONCATENATE($A28,"_",Y$3),'Unit List'!$A$14:$H$2841,2,FALSE)),"X",$X28)</f>
        <v/>
      </c>
      <c r="Z28" s="51" t="str">
        <f>IF(ISTEXT(VLOOKUP(CONCATENATE($A28,"_",Z$3),'Unit List'!$A$14:$H$2841,2,FALSE)),"X",$X28)</f>
        <v/>
      </c>
      <c r="AA28" s="51" t="str">
        <f>IF(ISTEXT(VLOOKUP(CONCATENATE($A28,"_",AA$3),'Unit List'!$A$14:$H$2841,2,FALSE)),"X",$X28)</f>
        <v/>
      </c>
      <c r="AB28" s="51" t="str">
        <f>IF(ISTEXT(VLOOKUP(CONCATENATE($A28,"_",AB$3),'Unit List'!$A$14:$H$2841,2,FALSE)),"X",$X28)</f>
        <v/>
      </c>
      <c r="AC28" s="62" t="str">
        <f>IF(ISTEXT(VLOOKUP(CONCATENATE($A28,"_",AC$3),'Unit List'!$A$14:$H$2841,2,FALSE)),"X",$X28)</f>
        <v/>
      </c>
      <c r="AD28" s="172" t="str">
        <f>IF(ISTEXT(VLOOKUP(CONCATENATE($A28,"_",AD$3),'Unit List'!$A$14:$H$2841,2,FALSE)),"+","")</f>
        <v/>
      </c>
      <c r="AE28" s="51" t="str">
        <f>IF(ISTEXT(VLOOKUP(CONCATENATE($A28,"_",AE$3),'Unit List'!$A$14:$H$2841,2,FALSE)),"X",$AD28)</f>
        <v/>
      </c>
      <c r="AF28" s="51" t="str">
        <f>IF(ISTEXT(VLOOKUP(CONCATENATE($A28,"_",AF$3),'Unit List'!$A$14:$H$2841,2,FALSE)),"X",$AD28)</f>
        <v/>
      </c>
      <c r="AG28" s="172" t="str">
        <f>IF(ISTEXT(VLOOKUP(CONCATENATE($A28,"_",AG$3),'Unit List'!$A$14:$H$2841,2,FALSE)),"+","")</f>
        <v/>
      </c>
      <c r="AH28" s="51" t="str">
        <f>IF(ISTEXT(VLOOKUP(CONCATENATE($A28,"_",AH$3),'Unit List'!$A$14:$H$2841,2,FALSE)),"X",$AG28)</f>
        <v/>
      </c>
      <c r="AI28" s="51" t="str">
        <f>IF(ISTEXT(VLOOKUP(CONCATENATE($A28,"_",AI$3),'Unit List'!$A$14:$H$2841,2,FALSE)),"X",$AG28)</f>
        <v/>
      </c>
      <c r="AJ28" s="53" t="str">
        <f>IF(ISTEXT(VLOOKUP(CONCATENATE($A28,"_",AJ$3),'Unit List'!$A$14:$H$2841,2,FALSE)),"X",$AG28)</f>
        <v/>
      </c>
      <c r="AK28" s="172" t="str">
        <f>IF(ISTEXT(VLOOKUP(CONCATENATE($A28,"_",AK$3),'Unit List'!$A$14:$H$2841,2,FALSE)),"+","")</f>
        <v>+</v>
      </c>
      <c r="AL28" s="52" t="str">
        <f>IF(ISTEXT(VLOOKUP(CONCATENATE($A28,"_",AL$3),'Unit List'!$A$14:$H$2841,2,FALSE)),"X",$AK28)</f>
        <v>+</v>
      </c>
      <c r="AM28" s="53" t="str">
        <f>IF(ISTEXT(VLOOKUP(CONCATENATE($A28,"_",AM$3),'Unit List'!$A$14:$H$2841,2,FALSE)),"X",$AK28)</f>
        <v>+</v>
      </c>
      <c r="AN28" s="125" t="str">
        <f>IF(ISTEXT(VLOOKUP(CONCATENATE($A28,"_",AN$3),'Unit List'!$A$14:$H$2841,2,FALSE)),"+","")</f>
        <v>+</v>
      </c>
      <c r="AO28" s="53" t="str">
        <f>IF(ISTEXT(VLOOKUP(CONCATENATE($A28,"_",AO$3),'Unit List'!$A$14:$H$2841,2,FALSE)),"X",$AN28)</f>
        <v>+</v>
      </c>
      <c r="AP28" s="172" t="str">
        <f>IF(ISTEXT(VLOOKUP(CONCATENATE($A28,"_",AP$3),'Unit List'!$A$14:$H$2841,2,FALSE)),"+","")</f>
        <v>+</v>
      </c>
      <c r="AQ28" s="51" t="str">
        <f>IF(ISTEXT(VLOOKUP(CONCATENATE($A28,"_",AQ$3),'Unit List'!$A$14:$H$2841,2,FALSE)),"X",$AP28)</f>
        <v>+</v>
      </c>
      <c r="AR28" s="51" t="str">
        <f>IF(ISTEXT(VLOOKUP(CONCATENATE($A28,"_",AR$3),'Unit List'!$A$14:$H$2841,2,FALSE)),"X",$AP28)</f>
        <v>X</v>
      </c>
      <c r="AS28" s="51" t="str">
        <f>IF(ISTEXT(VLOOKUP(CONCATENATE($A28,"_",AS$3),'Unit List'!$A$14:$H$2841,2,FALSE)),"X",$AP28)</f>
        <v>+</v>
      </c>
      <c r="AT28" s="53" t="str">
        <f>IF(ISTEXT(VLOOKUP(CONCATENATE($A28,"_",AT$3),'Unit List'!$A$14:$H$2841,2,FALSE)),"X",$AP28)</f>
        <v>+</v>
      </c>
      <c r="AU28" s="124" t="str">
        <f>IF(ISTEXT(VLOOKUP(CONCATENATE($A28,"_",AU$3),'Unit List'!$A$14:$H$2841,2,FALSE)),"+","")</f>
        <v/>
      </c>
      <c r="AV28" s="51" t="str">
        <f>IF(ISTEXT(VLOOKUP(CONCATENATE($A28,"_",AV$3),'Unit List'!$A$14:$H$2841,2,FALSE)),"X",$AU28)</f>
        <v/>
      </c>
      <c r="AW28" s="53" t="str">
        <f>IF(ISTEXT(VLOOKUP(CONCATENATE($A28,"_",AW$3),'Unit List'!$A$14:$H$2841,2,FALSE)),"X",$AU28)</f>
        <v/>
      </c>
      <c r="AX28" s="172" t="str">
        <f>IF(ISTEXT(VLOOKUP(CONCATENATE($A28,"_",AX$3),'Unit List'!$A$14:$H$2841,2,FALSE)),"+","")</f>
        <v>+</v>
      </c>
      <c r="AY28" s="51" t="str">
        <f>IF(ISTEXT(VLOOKUP(CONCATENATE($A28,"_",AY$3),'Unit List'!$A$14:$H$2841,2,FALSE)),"X",$AX28)</f>
        <v>+</v>
      </c>
      <c r="AZ28" s="53" t="str">
        <f>IF(ISTEXT(VLOOKUP(CONCATENATE($A28,"_",AZ$3),'Unit List'!$A$14:$H$2841,2,FALSE)),"X",$AX28)</f>
        <v>+</v>
      </c>
      <c r="BA28" s="182" t="str">
        <f>IF(ISTEXT(VLOOKUP(CONCATENATE($A28,"_",BA$3),'Unit List'!$A$14:$H$2841,2,FALSE)),"+","")</f>
        <v/>
      </c>
      <c r="BB28" s="51" t="str">
        <f>IF(ISTEXT(VLOOKUP(CONCATENATE($A28,"_",BB$3),'Unit List'!$A$14:$H$2841,2,FALSE)),"X",$BA28)</f>
        <v/>
      </c>
      <c r="BC28" s="51" t="str">
        <f>IF(ISTEXT(VLOOKUP(CONCATENATE($A28,"_",BC$3),'Unit List'!$A$14:$H$2841,2,FALSE)),"X",$BA28)</f>
        <v/>
      </c>
      <c r="BD28" s="53" t="str">
        <f>IF(ISTEXT(VLOOKUP(CONCATENATE($A28,"_",BD$3),'Unit List'!$A$14:$H$2841,2,FALSE)),"X",$BA28)</f>
        <v/>
      </c>
      <c r="BE28" s="125" t="str">
        <f>IF(ISTEXT(VLOOKUP(CONCATENATE($A28,"_",BE$3),'Unit List'!$A$14:$H$2841,2,FALSE)),"+","")</f>
        <v/>
      </c>
      <c r="BF28" s="62" t="str">
        <f>IF(ISTEXT(VLOOKUP(CONCATENATE($A28,"_",BF$3),'Unit List'!$A$14:$H$2841,2,FALSE)),"X",$BE28)</f>
        <v/>
      </c>
      <c r="BG28" s="64"/>
      <c r="BH28" s="65" t="s">
        <v>0</v>
      </c>
      <c r="BI28" s="211"/>
      <c r="BJ28" s="212"/>
      <c r="BK28" s="212"/>
      <c r="BL28" s="212"/>
      <c r="BM28" s="213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List'!$A$14:$H$2841,2,FALSE)),"+","")</f>
        <v/>
      </c>
      <c r="C29" s="82" t="str">
        <f>IF(ISTEXT(VLOOKUP(CONCATENATE($A29,"_",C$3),'Unit List'!$A$14:$H$2841,2,FALSE)),"X",$B29)</f>
        <v>X</v>
      </c>
      <c r="D29" s="67" t="str">
        <f>IF(ISTEXT(VLOOKUP(CONCATENATE($A29,"_",D$3),'Unit List'!$A$14:$H$2841,2,FALSE)),"X",$B29)</f>
        <v>X</v>
      </c>
      <c r="E29" s="51" t="str">
        <f>IF(ISTEXT(VLOOKUP(CONCATENATE($A29,"_",E$3),'Unit List'!$A$14:$H$2841,2,FALSE)),"X",$B29)</f>
        <v>X</v>
      </c>
      <c r="F29" s="67" t="str">
        <f>IF(ISTEXT(VLOOKUP(CONCATENATE($A29,"_",F$3),'Unit List'!$A$14:$H$2841,2,FALSE)),"X",$B29)</f>
        <v>X</v>
      </c>
      <c r="G29" s="51" t="str">
        <f>IF(ISTEXT(VLOOKUP(CONCATENATE($A29,"_",G$3),'Unit List'!$A$14:$H$2841,2,FALSE)),"X",$B29)</f>
        <v>X</v>
      </c>
      <c r="H29" s="67" t="str">
        <f>IF(ISTEXT(VLOOKUP(CONCATENATE($A29,"_",H$3),'Unit List'!$A$14:$H$2841,2,FALSE)),"X",$B29)</f>
        <v>X</v>
      </c>
      <c r="I29" s="53" t="str">
        <f>IF(ISTEXT(VLOOKUP(CONCATENATE($A29,"_",I$3),'Unit List'!$A$14:$H$2841,2,FALSE)),"X",$B29)</f>
        <v/>
      </c>
      <c r="J29" s="172" t="str">
        <f>IF(ISTEXT(VLOOKUP(CONCATENATE($A29,"_",J$3),'Unit List'!$A$14:$H$2841,2,FALSE)),"+","")</f>
        <v>+</v>
      </c>
      <c r="K29" s="51" t="str">
        <f>IF(ISTEXT(VLOOKUP(CONCATENATE($A29,"_",K$3),'Unit List'!$A$14:$H$2841,2,FALSE)),"X",$J29)</f>
        <v>+</v>
      </c>
      <c r="L29" s="62" t="str">
        <f>IF(ISTEXT(VLOOKUP(CONCATENATE($A29,"_",L$3),'Unit List'!$A$14:$H$2841,2,FALSE)),"X",$J29)</f>
        <v>+</v>
      </c>
      <c r="M29" s="172" t="str">
        <f>IF(ISTEXT(VLOOKUP(CONCATENATE($A29,"_",M$3),'Unit List'!$A$14:$H$2841,2,FALSE)),"+","")</f>
        <v>+</v>
      </c>
      <c r="N29" s="51" t="str">
        <f>IF(ISTEXT(VLOOKUP(CONCATENATE($A29,"_",N$3),'Unit List'!$A$14:$H$2841,2,FALSE)),"X",$M29)</f>
        <v>+</v>
      </c>
      <c r="O29" s="70" t="str">
        <f>IF(ISTEXT(VLOOKUP(CONCATENATE($A29,"_",O$3),'Unit List'!$A$14:$H$2841,2,FALSE)),"X",$M29)</f>
        <v>X</v>
      </c>
      <c r="P29" s="172" t="str">
        <f>IF(ISTEXT(VLOOKUP(CONCATENATE($A29,"_",P$3),'Unit List'!$A$14:$H$2841,2,FALSE)),"+","")</f>
        <v/>
      </c>
      <c r="Q29" s="51" t="str">
        <f>IF(ISTEXT(VLOOKUP(CONCATENATE($A29,"_",Q$3),'Unit List'!$A$14:$H$2841,2,FALSE)),"X",$P29)</f>
        <v/>
      </c>
      <c r="R29" s="51" t="str">
        <f>IF(ISTEXT(VLOOKUP(CONCATENATE($A29,"_",R$3),'Unit List'!$A$14:$H$2841,2,FALSE)),"X",$P29)</f>
        <v/>
      </c>
      <c r="S29" s="67" t="str">
        <f>IF(ISTEXT(VLOOKUP(CONCATENATE($A29,"_",S$3),'Unit List'!$A$14:$H$2841,2,FALSE)),"X",$P29)</f>
        <v>X</v>
      </c>
      <c r="T29" s="87" t="str">
        <f>IF(ISTEXT(VLOOKUP(CONCATENATE($A29,"_",T$3),'Unit List'!$A$14:$H$2841,2,FALSE)),"X",$P29)</f>
        <v>X</v>
      </c>
      <c r="U29" s="67" t="str">
        <f>IF(ISTEXT(VLOOKUP(CONCATENATE($A29,"_",U$3),'Unit List'!$A$14:$H$2841,2,FALSE)),"X",$P29)</f>
        <v>X</v>
      </c>
      <c r="V29" s="67" t="str">
        <f>IF(ISTEXT(VLOOKUP(CONCATENATE($A29,"_",V$3),'Unit List'!$A$14:$H$2841,2,FALSE)),"X",$P29)</f>
        <v>X</v>
      </c>
      <c r="W29" s="53" t="str">
        <f>IF(ISTEXT(VLOOKUP(CONCATENATE($A29,"_",W$3),'Unit List'!$A$14:$H$2841,2,FALSE)),"X",$P29)</f>
        <v/>
      </c>
      <c r="X29" s="172" t="str">
        <f>IF(ISTEXT(VLOOKUP(CONCATENATE($A29,"_",X$3),'Unit List'!$A$14:$H$2841,2,FALSE)),"+","")</f>
        <v/>
      </c>
      <c r="Y29" s="51" t="str">
        <f>IF(ISTEXT(VLOOKUP(CONCATENATE($A29,"_",Y$3),'Unit List'!$A$14:$H$2841,2,FALSE)),"X",$X29)</f>
        <v/>
      </c>
      <c r="Z29" s="51" t="str">
        <f>IF(ISTEXT(VLOOKUP(CONCATENATE($A29,"_",Z$3),'Unit List'!$A$14:$H$2841,2,FALSE)),"X",$X29)</f>
        <v/>
      </c>
      <c r="AA29" s="67" t="str">
        <f>IF(ISTEXT(VLOOKUP(CONCATENATE($A29,"_",AA$3),'Unit List'!$A$14:$H$2841,2,FALSE)),"X",$X29)</f>
        <v>X</v>
      </c>
      <c r="AB29" s="67" t="str">
        <f>IF(ISTEXT(VLOOKUP(CONCATENATE($A29,"_",AB$3),'Unit List'!$A$14:$H$2841,2,FALSE)),"X",$X29)</f>
        <v>X</v>
      </c>
      <c r="AC29" s="86" t="str">
        <f>IF(ISTEXT(VLOOKUP(CONCATENATE($A29,"_",AC$3),'Unit List'!$A$14:$H$2841,2,FALSE)),"X",$X29)</f>
        <v>X</v>
      </c>
      <c r="AD29" s="172" t="str">
        <f>IF(ISTEXT(VLOOKUP(CONCATENATE($A29,"_",AD$3),'Unit List'!$A$14:$H$2841,2,FALSE)),"+","")</f>
        <v/>
      </c>
      <c r="AE29" s="51" t="str">
        <f>IF(ISTEXT(VLOOKUP(CONCATENATE($A29,"_",AE$3),'Unit List'!$A$14:$H$2841,2,FALSE)),"X",$AD29)</f>
        <v/>
      </c>
      <c r="AF29" s="51" t="str">
        <f>IF(ISTEXT(VLOOKUP(CONCATENATE($A29,"_",AF$3),'Unit List'!$A$14:$H$2841,2,FALSE)),"X",$AD29)</f>
        <v/>
      </c>
      <c r="AG29" s="172" t="str">
        <f>IF(ISTEXT(VLOOKUP(CONCATENATE($A29,"_",AG$3),'Unit List'!$A$14:$H$2841,2,FALSE)),"+","")</f>
        <v/>
      </c>
      <c r="AH29" s="51" t="str">
        <f>IF(ISTEXT(VLOOKUP(CONCATENATE($A29,"_",AH$3),'Unit List'!$A$14:$H$2841,2,FALSE)),"X",$AG29)</f>
        <v/>
      </c>
      <c r="AI29" s="51" t="str">
        <f>IF(ISTEXT(VLOOKUP(CONCATENATE($A29,"_",AI$3),'Unit List'!$A$14:$H$2841,2,FALSE)),"X",$AG29)</f>
        <v/>
      </c>
      <c r="AJ29" s="53" t="str">
        <f>IF(ISTEXT(VLOOKUP(CONCATENATE($A29,"_",AJ$3),'Unit List'!$A$14:$H$2841,2,FALSE)),"X",$AG29)</f>
        <v/>
      </c>
      <c r="AK29" s="172" t="str">
        <f>IF(ISTEXT(VLOOKUP(CONCATENATE($A29,"_",AK$3),'Unit List'!$A$14:$H$2841,2,FALSE)),"+","")</f>
        <v/>
      </c>
      <c r="AL29" s="52" t="str">
        <f>IF(ISTEXT(VLOOKUP(CONCATENATE($A29,"_",AL$3),'Unit List'!$A$14:$H$2841,2,FALSE)),"X",$AK29)</f>
        <v/>
      </c>
      <c r="AM29" s="70" t="str">
        <f>IF(ISTEXT(VLOOKUP(CONCATENATE($A29,"_",AM$3),'Unit List'!$A$14:$H$2841,2,FALSE)),"X",$AK29)</f>
        <v>X</v>
      </c>
      <c r="AN29" s="125" t="str">
        <f>IF(ISTEXT(VLOOKUP(CONCATENATE($A29,"_",AN$3),'Unit List'!$A$14:$H$2841,2,FALSE)),"+","")</f>
        <v>+</v>
      </c>
      <c r="AO29" s="70" t="str">
        <f>IF(ISTEXT(VLOOKUP(CONCATENATE($A29,"_",AO$3),'Unit List'!$A$14:$H$2841,2,FALSE)),"X",$AN29)</f>
        <v>+</v>
      </c>
      <c r="AP29" s="172" t="str">
        <f>IF(ISTEXT(VLOOKUP(CONCATENATE($A29,"_",AP$3),'Unit List'!$A$14:$H$2841,2,FALSE)),"+","")</f>
        <v>+</v>
      </c>
      <c r="AQ29" s="51" t="str">
        <f>IF(ISTEXT(VLOOKUP(CONCATENATE($A29,"_",AQ$3),'Unit List'!$A$14:$H$2841,2,FALSE)),"X",$AP29)</f>
        <v>+</v>
      </c>
      <c r="AR29" s="67" t="str">
        <f>IF(ISTEXT(VLOOKUP(CONCATENATE($A29,"_",AR$3),'Unit List'!$A$14:$H$2841,2,FALSE)),"X",$AP29)</f>
        <v>X</v>
      </c>
      <c r="AS29" s="67" t="str">
        <f>IF(ISTEXT(VLOOKUP(CONCATENATE($A29,"_",AS$3),'Unit List'!$A$14:$H$2841,2,FALSE)),"X",$AP29)</f>
        <v>X</v>
      </c>
      <c r="AT29" s="53" t="str">
        <f>IF(ISTEXT(VLOOKUP(CONCATENATE($A29,"_",AT$3),'Unit List'!$A$14:$H$2841,2,FALSE)),"X",$AP29)</f>
        <v>+</v>
      </c>
      <c r="AU29" s="124" t="str">
        <f>IF(ISTEXT(VLOOKUP(CONCATENATE($A29,"_",AU$3),'Unit List'!$A$14:$H$2841,2,FALSE)),"+","")</f>
        <v/>
      </c>
      <c r="AV29" s="51" t="str">
        <f>IF(ISTEXT(VLOOKUP(CONCATENATE($A29,"_",AV$3),'Unit List'!$A$14:$H$2841,2,FALSE)),"X",$AU29)</f>
        <v/>
      </c>
      <c r="AW29" s="53" t="str">
        <f>IF(ISTEXT(VLOOKUP(CONCATENATE($A29,"_",AW$3),'Unit List'!$A$14:$H$2841,2,FALSE)),"X",$AU29)</f>
        <v>X</v>
      </c>
      <c r="AX29" s="172" t="str">
        <f>IF(ISTEXT(VLOOKUP(CONCATENATE($A29,"_",AX$3),'Unit List'!$A$14:$H$2841,2,FALSE)),"+","")</f>
        <v>+</v>
      </c>
      <c r="AY29" s="51" t="str">
        <f>IF(ISTEXT(VLOOKUP(CONCATENATE($A29,"_",AY$3),'Unit List'!$A$14:$H$2841,2,FALSE)),"X",$AX29)</f>
        <v>+</v>
      </c>
      <c r="AZ29" s="53" t="str">
        <f>IF(ISTEXT(VLOOKUP(CONCATENATE($A29,"_",AZ$3),'Unit List'!$A$14:$H$2841,2,FALSE)),"X",$AX29)</f>
        <v>+</v>
      </c>
      <c r="BA29" s="182" t="str">
        <f>IF(ISTEXT(VLOOKUP(CONCATENATE($A29,"_",BA$3),'Unit List'!$A$14:$H$2841,2,FALSE)),"+","")</f>
        <v>+</v>
      </c>
      <c r="BB29" s="51" t="str">
        <f>IF(ISTEXT(VLOOKUP(CONCATENATE($A29,"_",BB$3),'Unit List'!$A$14:$H$2841,2,FALSE)),"X",$BA29)</f>
        <v>+</v>
      </c>
      <c r="BC29" s="51" t="str">
        <f>IF(ISTEXT(VLOOKUP(CONCATENATE($A29,"_",BC$3),'Unit List'!$A$14:$H$2841,2,FALSE)),"X",$BA29)</f>
        <v>+</v>
      </c>
      <c r="BD29" s="53" t="str">
        <f>IF(ISTEXT(VLOOKUP(CONCATENATE($A29,"_",BD$3),'Unit List'!$A$14:$H$2841,2,FALSE)),"X",$BA29)</f>
        <v>+</v>
      </c>
      <c r="BE29" s="125" t="str">
        <f>IF(ISTEXT(VLOOKUP(CONCATENATE($A29,"_",BE$3),'Unit List'!$A$14:$H$2841,2,FALSE)),"+","")</f>
        <v>+</v>
      </c>
      <c r="BF29" s="62" t="str">
        <f>IF(ISTEXT(VLOOKUP(CONCATENATE($A29,"_",BF$3),'Unit List'!$A$14:$H$2841,2,FALSE)),"X",$BE29)</f>
        <v>+</v>
      </c>
      <c r="BG29" s="64"/>
      <c r="BH29" s="65" t="s">
        <v>0</v>
      </c>
      <c r="BI29" s="211" t="s">
        <v>12</v>
      </c>
      <c r="BJ29" s="214"/>
      <c r="BK29" s="214"/>
      <c r="BL29" s="214"/>
      <c r="BM29" s="215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List'!$A$14:$H$2841,2,FALSE)),"+","")</f>
        <v/>
      </c>
      <c r="C30" s="57" t="str">
        <f>IF(ISTEXT(VLOOKUP(CONCATENATE($A30,"_",C$3),'Unit List'!$A$14:$H$2841,2,FALSE)),"X",$B30)</f>
        <v/>
      </c>
      <c r="D30" s="60" t="str">
        <f>IF(ISTEXT(VLOOKUP(CONCATENATE($A30,"_",D$3),'Unit List'!$A$14:$H$2841,2,FALSE)),"X",$B30)</f>
        <v/>
      </c>
      <c r="E30" s="51" t="str">
        <f>IF(ISTEXT(VLOOKUP(CONCATENATE($A30,"_",E$3),'Unit List'!$A$14:$H$2841,2,FALSE)),"X",$B30)</f>
        <v/>
      </c>
      <c r="F30" s="67" t="str">
        <f>IF(ISTEXT(VLOOKUP(CONCATENATE($A30,"_",F$3),'Unit List'!$A$14:$H$2841,2,FALSE)),"X",$B30)</f>
        <v>X</v>
      </c>
      <c r="G30" s="51" t="str">
        <f>IF(ISTEXT(VLOOKUP(CONCATENATE($A30,"_",G$3),'Unit List'!$A$14:$H$2841,2,FALSE)),"X",$B30)</f>
        <v>X</v>
      </c>
      <c r="H30" s="67" t="str">
        <f>IF(ISTEXT(VLOOKUP(CONCATENATE($A30,"_",H$3),'Unit List'!$A$14:$H$2841,2,FALSE)),"X",$B30)</f>
        <v>X</v>
      </c>
      <c r="I30" s="53" t="str">
        <f>IF(ISTEXT(VLOOKUP(CONCATENATE($A30,"_",I$3),'Unit List'!$A$14:$H$2841,2,FALSE)),"X",$B30)</f>
        <v/>
      </c>
      <c r="J30" s="172" t="str">
        <f>IF(ISTEXT(VLOOKUP(CONCATENATE($A30,"_",J$3),'Unit List'!$A$14:$H$2841,2,FALSE)),"+","")</f>
        <v>+</v>
      </c>
      <c r="K30" s="94" t="str">
        <f>IF(ISTEXT(VLOOKUP(CONCATENATE($A30,"_",K$3),'Unit List'!$A$14:$H$2841,2,FALSE)),"X",$J30)</f>
        <v>+</v>
      </c>
      <c r="L30" s="86" t="str">
        <f>IF(ISTEXT(VLOOKUP(CONCATENATE($A30,"_",L$3),'Unit List'!$A$14:$H$2841,2,FALSE)),"X",$J30)</f>
        <v>+</v>
      </c>
      <c r="M30" s="172" t="str">
        <f>IF(ISTEXT(VLOOKUP(CONCATENATE($A30,"_",M$3),'Unit List'!$A$14:$H$2841,2,FALSE)),"+","")</f>
        <v>+</v>
      </c>
      <c r="N30" s="51" t="str">
        <f>IF(ISTEXT(VLOOKUP(CONCATENATE($A30,"_",N$3),'Unit List'!$A$14:$H$2841,2,FALSE)),"X",$M30)</f>
        <v>+</v>
      </c>
      <c r="O30" s="70" t="str">
        <f>IF(ISTEXT(VLOOKUP(CONCATENATE($A30,"_",O$3),'Unit List'!$A$14:$H$2841,2,FALSE)),"X",$M30)</f>
        <v>X</v>
      </c>
      <c r="P30" s="172" t="str">
        <f>IF(ISTEXT(VLOOKUP(CONCATENATE($A30,"_",P$3),'Unit List'!$A$14:$H$2841,2,FALSE)),"+","")</f>
        <v/>
      </c>
      <c r="Q30" s="51" t="str">
        <f>IF(ISTEXT(VLOOKUP(CONCATENATE($A30,"_",Q$3),'Unit List'!$A$14:$H$2841,2,FALSE)),"X",$P30)</f>
        <v/>
      </c>
      <c r="R30" s="51" t="str">
        <f>IF(ISTEXT(VLOOKUP(CONCATENATE($A30,"_",R$3),'Unit List'!$A$14:$H$2841,2,FALSE)),"X",$P30)</f>
        <v/>
      </c>
      <c r="S30" s="67" t="str">
        <f>IF(ISTEXT(VLOOKUP(CONCATENATE($A30,"_",S$3),'Unit List'!$A$14:$H$2841,2,FALSE)),"X",$P30)</f>
        <v>X</v>
      </c>
      <c r="T30" s="52" t="str">
        <f>IF(ISTEXT(VLOOKUP(CONCATENATE($A30,"_",T$3),'Unit List'!$A$14:$H$2841,2,FALSE)),"X",$P30)</f>
        <v/>
      </c>
      <c r="U30" s="67" t="str">
        <f>IF(ISTEXT(VLOOKUP(CONCATENATE($A30,"_",U$3),'Unit List'!$A$14:$H$2841,2,FALSE)),"X",$P30)</f>
        <v>X</v>
      </c>
      <c r="V30" s="89" t="s">
        <v>3</v>
      </c>
      <c r="W30" s="53" t="str">
        <f>IF(ISTEXT(VLOOKUP(CONCATENATE($A30,"_",W$3),'Unit List'!$A$14:$H$2841,2,FALSE)),"X",$P30)</f>
        <v/>
      </c>
      <c r="X30" s="171" t="str">
        <f>IF(ISTEXT(VLOOKUP(CONCATENATE($A30,"_",X$3),'Unit List'!$A$14:$H$2841,2,FALSE)),"+","")</f>
        <v>+</v>
      </c>
      <c r="Y30" s="72" t="s">
        <v>0</v>
      </c>
      <c r="Z30" s="51" t="str">
        <f>IF(ISTEXT(VLOOKUP(CONCATENATE($A30,"_",Z$3),'Unit List'!$A$14:$H$2841,2,FALSE)),"X",$X30)</f>
        <v>+</v>
      </c>
      <c r="AA30" s="67" t="str">
        <f>IF(ISTEXT(VLOOKUP(CONCATENATE($A30,"_",AA$3),'Unit List'!$A$14:$H$2841,2,FALSE)),"X",$X30)</f>
        <v>X</v>
      </c>
      <c r="AB30" s="67" t="str">
        <f>IF(ISTEXT(VLOOKUP(CONCATENATE($A30,"_",AB$3),'Unit List'!$A$14:$H$2841,2,FALSE)),"X",$X30)</f>
        <v>X</v>
      </c>
      <c r="AC30" s="86" t="str">
        <f>IF(ISTEXT(VLOOKUP(CONCATENATE($A30,"_",AC$3),'Unit List'!$A$14:$H$2841,2,FALSE)),"X",$X30)</f>
        <v>X</v>
      </c>
      <c r="AD30" s="171" t="str">
        <f>IF(ISTEXT(VLOOKUP(CONCATENATE($A30,"_",AD$3),'Unit List'!$A$14:$H$2841,2,FALSE)),"+","")</f>
        <v/>
      </c>
      <c r="AE30" s="51" t="str">
        <f>IF(ISTEXT(VLOOKUP(CONCATENATE($A30,"_",AE$3),'Unit List'!$A$14:$H$2841,2,FALSE)),"X",$AD30)</f>
        <v/>
      </c>
      <c r="AF30" s="51" t="str">
        <f>IF(ISTEXT(VLOOKUP(CONCATENATE($A30,"_",AF$3),'Unit List'!$A$14:$H$2841,2,FALSE)),"X",$AD30)</f>
        <v/>
      </c>
      <c r="AG30" s="171" t="str">
        <f>IF(ISTEXT(VLOOKUP(CONCATENATE($A30,"_",AG$3),'Unit List'!$A$14:$H$2841,2,FALSE)),"+","")</f>
        <v>+</v>
      </c>
      <c r="AH30" s="67" t="str">
        <f>IF(ISTEXT(VLOOKUP(CONCATENATE($A30,"_",AH$3),'Unit List'!$A$14:$H$2841,2,FALSE)),"X",$AG30)</f>
        <v>+</v>
      </c>
      <c r="AI30" s="89" t="s">
        <v>0</v>
      </c>
      <c r="AJ30" s="71" t="str">
        <f>IF(ISTEXT(VLOOKUP(CONCATENATE($A30,"_",AJ$3),'Unit List'!$A$14:$H$2841,2,FALSE)),"X",$AG30)</f>
        <v>+</v>
      </c>
      <c r="AK30" s="171" t="str">
        <f>IF(ISTEXT(VLOOKUP(CONCATENATE($A30,"_",AK$3),'Unit List'!$A$14:$H$2841,2,FALSE)),"+","")</f>
        <v>+</v>
      </c>
      <c r="AL30" s="52" t="str">
        <f>IF(ISTEXT(VLOOKUP(CONCATENATE($A30,"_",AL$3),'Unit List'!$A$14:$H$2841,2,FALSE)),"X",$AK30)</f>
        <v>+</v>
      </c>
      <c r="AM30" s="70" t="str">
        <f>IF(ISTEXT(VLOOKUP(CONCATENATE($A30,"_",AM$3),'Unit List'!$A$14:$H$2841,2,FALSE)),"X",$AK30)</f>
        <v>X</v>
      </c>
      <c r="AN30" s="125" t="str">
        <f>IF(ISTEXT(VLOOKUP(CONCATENATE($A30,"_",AN$3),'Unit List'!$A$14:$H$2841,2,FALSE)),"+","")</f>
        <v>+</v>
      </c>
      <c r="AO30" s="70" t="str">
        <f>IF(ISTEXT(VLOOKUP(CONCATENATE($A30,"_",AO$3),'Unit List'!$A$14:$H$2841,2,FALSE)),"X",$AN30)</f>
        <v>+</v>
      </c>
      <c r="AP30" s="171" t="str">
        <f>IF(ISTEXT(VLOOKUP(CONCATENATE($A30,"_",AP$3),'Unit List'!$A$14:$H$2841,2,FALSE)),"+","")</f>
        <v>+</v>
      </c>
      <c r="AQ30" s="51" t="str">
        <f>IF(ISTEXT(VLOOKUP(CONCATENATE($A30,"_",AQ$3),'Unit List'!$A$14:$H$2841,2,FALSE)),"X",$AP30)</f>
        <v>X</v>
      </c>
      <c r="AR30" s="67" t="str">
        <f>IF(ISTEXT(VLOOKUP(CONCATENATE($A30,"_",AR$3),'Unit List'!$A$14:$H$2841,2,FALSE)),"X",$AP30)</f>
        <v>X</v>
      </c>
      <c r="AS30" s="67" t="str">
        <f>IF(ISTEXT(VLOOKUP(CONCATENATE($A30,"_",AS$3),'Unit List'!$A$14:$H$2841,2,FALSE)),"X",$AP30)</f>
        <v>X</v>
      </c>
      <c r="AT30" s="100" t="s">
        <v>0</v>
      </c>
      <c r="AU30" s="124" t="str">
        <f>IF(ISTEXT(VLOOKUP(CONCATENATE($A30,"_",AU$3),'Unit List'!$A$14:$H$2841,2,FALSE)),"+","")</f>
        <v>+</v>
      </c>
      <c r="AV30" s="51" t="str">
        <f>IF(ISTEXT(VLOOKUP(CONCATENATE($A30,"_",AV$3),'Unit List'!$A$14:$H$2841,2,FALSE)),"X",$AU30)</f>
        <v>+</v>
      </c>
      <c r="AW30" s="74" t="s">
        <v>0</v>
      </c>
      <c r="AX30" s="171" t="str">
        <f>IF(ISTEXT(VLOOKUP(CONCATENATE($A30,"_",AX$3),'Unit List'!$A$14:$H$2841,2,FALSE)),"+","")</f>
        <v>+</v>
      </c>
      <c r="AY30" s="67" t="str">
        <f>IF(ISTEXT(VLOOKUP(CONCATENATE($A30,"_",AY$3),'Unit List'!$A$14:$H$2841,2,FALSE)),"X",$AX30)</f>
        <v>X</v>
      </c>
      <c r="AZ30" s="70" t="str">
        <f>IF(ISTEXT(VLOOKUP(CONCATENATE($A30,"_",AZ$3),'Unit List'!$A$14:$H$2841,2,FALSE)),"X",$AX30)</f>
        <v>+</v>
      </c>
      <c r="BA30" s="171" t="str">
        <f>IF(ISTEXT(VLOOKUP(CONCATENATE($A30,"_",BA$3),'Unit List'!$A$14:$H$2841,2,FALSE)),"+","")</f>
        <v>+</v>
      </c>
      <c r="BB30" s="67" t="str">
        <f>IF(ISTEXT(VLOOKUP(CONCATENATE($A30,"_",BB$3),'Unit List'!$A$14:$H$2841,2,FALSE)),"X",$BA30)</f>
        <v>X</v>
      </c>
      <c r="BC30" s="67" t="str">
        <f>IF(ISTEXT(VLOOKUP(CONCATENATE($A30,"_",BC$3),'Unit List'!$A$14:$H$2841,2,FALSE)),"X",$BA30)</f>
        <v>X</v>
      </c>
      <c r="BD30" s="70" t="str">
        <f>IF(ISTEXT(VLOOKUP(CONCATENATE($A30,"_",BD$3),'Unit List'!$A$14:$H$2841,2,FALSE)),"X",$BA30)</f>
        <v>X</v>
      </c>
      <c r="BE30" s="125" t="str">
        <f>IF(ISTEXT(VLOOKUP(CONCATENATE($A30,"_",BE$3),'Unit List'!$A$14:$H$2841,2,FALSE)),"+","")</f>
        <v>+</v>
      </c>
      <c r="BF30" s="62" t="str">
        <f>IF(ISTEXT(VLOOKUP(CONCATENATE($A30,"_",BF$3),'Unit List'!$A$14:$H$2841,2,FALSE)),"X",$BE30)</f>
        <v>+</v>
      </c>
      <c r="BG30" s="64"/>
      <c r="BH30" s="65" t="s">
        <v>0</v>
      </c>
      <c r="BI30" s="211" t="s">
        <v>12</v>
      </c>
      <c r="BJ30" s="214"/>
      <c r="BK30" s="214"/>
      <c r="BL30" s="214"/>
      <c r="BM30" s="215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List'!$A$14:$H$2841,2,FALSE)),"+","")</f>
        <v/>
      </c>
      <c r="C31" s="57" t="str">
        <f>IF(ISTEXT(VLOOKUP(CONCATENATE($A31,"_",C$3),'Unit List'!$A$14:$H$2841,2,FALSE)),"X",$B31)</f>
        <v/>
      </c>
      <c r="D31" s="51" t="str">
        <f>IF(ISTEXT(VLOOKUP(CONCATENATE($A31,"_",D$3),'Unit List'!$A$14:$H$2841,2,FALSE)),"X",$B31)</f>
        <v/>
      </c>
      <c r="E31" s="51" t="str">
        <f>IF(ISTEXT(VLOOKUP(CONCATENATE($A31,"_",E$3),'Unit List'!$A$14:$H$2841,2,FALSE)),"X",$B31)</f>
        <v/>
      </c>
      <c r="F31" s="51" t="str">
        <f>IF(ISTEXT(VLOOKUP(CONCATENATE($A31,"_",F$3),'Unit List'!$A$14:$H$2841,2,FALSE)),"X",$B31)</f>
        <v/>
      </c>
      <c r="G31" s="67" t="str">
        <f>IF(ISTEXT(VLOOKUP(CONCATENATE($A31,"_",G$3),'Unit List'!$A$14:$H$2841,2,FALSE)),"X",$B31)</f>
        <v>X</v>
      </c>
      <c r="H31" s="67" t="str">
        <f>IF(ISTEXT(VLOOKUP(CONCATENATE($A31,"_",H$3),'Unit List'!$A$14:$H$2841,2,FALSE)),"X",$B31)</f>
        <v>X</v>
      </c>
      <c r="I31" s="70" t="str">
        <f>IF(ISTEXT(VLOOKUP(CONCATENATE($A31,"_",I$3),'Unit List'!$A$14:$H$2841,2,FALSE)),"X",$B31)</f>
        <v>X</v>
      </c>
      <c r="J31" s="172" t="str">
        <f>IF(ISTEXT(VLOOKUP(CONCATENATE($A31,"_",J$3),'Unit List'!$A$14:$H$2841,2,FALSE)),"+","")</f>
        <v/>
      </c>
      <c r="K31" s="51" t="str">
        <f>IF(ISTEXT(VLOOKUP(CONCATENATE($A31,"_",K$3),'Unit List'!$A$14:$H$2841,2,FALSE)),"X",$J31)</f>
        <v/>
      </c>
      <c r="L31" s="101" t="s">
        <v>0</v>
      </c>
      <c r="M31" s="172" t="str">
        <f>IF(ISTEXT(VLOOKUP(CONCATENATE($A31,"_",M$3),'Unit List'!$A$14:$H$2841,2,FALSE)),"+","")</f>
        <v/>
      </c>
      <c r="N31" s="90" t="s">
        <v>0</v>
      </c>
      <c r="O31" s="53" t="str">
        <f>IF(ISTEXT(VLOOKUP(CONCATENATE($A31,"_",O$3),'Unit List'!$A$14:$H$2841,2,FALSE)),"X",$M31)</f>
        <v/>
      </c>
      <c r="P31" s="172" t="str">
        <f>IF(ISTEXT(VLOOKUP(CONCATENATE($A31,"_",P$3),'Unit List'!$A$14:$H$2841,2,FALSE)),"+","")</f>
        <v/>
      </c>
      <c r="Q31" s="51" t="str">
        <f>IF(ISTEXT(VLOOKUP(CONCATENATE($A31,"_",Q$3),'Unit List'!$A$14:$H$2841,2,FALSE)),"X",$P31)</f>
        <v/>
      </c>
      <c r="R31" s="51" t="str">
        <f>IF(ISTEXT(VLOOKUP(CONCATENATE($A31,"_",R$3),'Unit List'!$A$14:$H$2841,2,FALSE)),"X",$P31)</f>
        <v/>
      </c>
      <c r="S31" s="51" t="str">
        <f>IF(ISTEXT(VLOOKUP(CONCATENATE($A31,"_",S$3),'Unit List'!$A$14:$H$2841,2,FALSE)),"X",$P31)</f>
        <v/>
      </c>
      <c r="T31" s="52" t="str">
        <f>IF(ISTEXT(VLOOKUP(CONCATENATE($A31,"_",T$3),'Unit List'!$A$14:$H$2841,2,FALSE)),"X",$P31)</f>
        <v/>
      </c>
      <c r="U31" s="51" t="str">
        <f>IF(ISTEXT(VLOOKUP(CONCATENATE($A31,"_",U$3),'Unit List'!$A$14:$H$2841,2,FALSE)),"X",$P31)</f>
        <v/>
      </c>
      <c r="V31" s="51" t="str">
        <f>IF(ISTEXT(VLOOKUP(CONCATENATE($A31,"_",V$3),'Unit List'!$A$14:$H$2841,2,FALSE)),"X",$P31)</f>
        <v/>
      </c>
      <c r="W31" s="53" t="str">
        <f>IF(ISTEXT(VLOOKUP(CONCATENATE($A31,"_",W$3),'Unit List'!$A$14:$H$2841,2,FALSE)),"X",$P31)</f>
        <v/>
      </c>
      <c r="X31" s="172" t="str">
        <f>IF(ISTEXT(VLOOKUP(CONCATENATE($A31,"_",X$3),'Unit List'!$A$14:$H$2841,2,FALSE)),"+","")</f>
        <v>+</v>
      </c>
      <c r="Y31" s="51" t="str">
        <f>IF(ISTEXT(VLOOKUP(CONCATENATE($A31,"_",Y$3),'Unit List'!$A$14:$H$2841,2,FALSE)),"X",$X31)</f>
        <v>+</v>
      </c>
      <c r="Z31" s="51" t="str">
        <f>IF(ISTEXT(VLOOKUP(CONCATENATE($A31,"_",Z$3),'Unit List'!$A$14:$H$2841,2,FALSE)),"X",$X31)</f>
        <v>+</v>
      </c>
      <c r="AA31" s="51" t="str">
        <f>IF(ISTEXT(VLOOKUP(CONCATENATE($A31,"_",AA$3),'Unit List'!$A$14:$H$2841,2,FALSE)),"X",$X31)</f>
        <v>+</v>
      </c>
      <c r="AB31" s="51" t="str">
        <f>IF(ISTEXT(VLOOKUP(CONCATENATE($A31,"_",AB$3),'Unit List'!$A$14:$H$2841,2,FALSE)),"X",$X31)</f>
        <v>+</v>
      </c>
      <c r="AC31" s="62" t="str">
        <f>IF(ISTEXT(VLOOKUP(CONCATENATE($A31,"_",AC$3),'Unit List'!$A$14:$H$2841,2,FALSE)),"X",$X31)</f>
        <v>+</v>
      </c>
      <c r="AD31" s="172" t="str">
        <f>IF(ISTEXT(VLOOKUP(CONCATENATE($A31,"_",AD$3),'Unit List'!$A$14:$H$2841,2,FALSE)),"+","")</f>
        <v/>
      </c>
      <c r="AE31" s="51" t="str">
        <f>IF(ISTEXT(VLOOKUP(CONCATENATE($A31,"_",AE$3),'Unit List'!$A$14:$H$2841,2,FALSE)),"X",$AD31)</f>
        <v/>
      </c>
      <c r="AF31" s="51" t="str">
        <f>IF(ISTEXT(VLOOKUP(CONCATENATE($A31,"_",AF$3),'Unit List'!$A$14:$H$2841,2,FALSE)),"X",$AD31)</f>
        <v/>
      </c>
      <c r="AG31" s="172" t="str">
        <f>IF(ISTEXT(VLOOKUP(CONCATENATE($A31,"_",AG$3),'Unit List'!$A$14:$H$2841,2,FALSE)),"+","")</f>
        <v/>
      </c>
      <c r="AH31" s="51" t="str">
        <f>IF(ISTEXT(VLOOKUP(CONCATENATE($A31,"_",AH$3),'Unit List'!$A$14:$H$2841,2,FALSE)),"X",$AG31)</f>
        <v/>
      </c>
      <c r="AI31" s="51" t="str">
        <f>IF(ISTEXT(VLOOKUP(CONCATENATE($A31,"_",AI$3),'Unit List'!$A$14:$H$2841,2,FALSE)),"X",$AG31)</f>
        <v/>
      </c>
      <c r="AJ31" s="53" t="str">
        <f>IF(ISTEXT(VLOOKUP(CONCATENATE($A31,"_",AJ$3),'Unit List'!$A$14:$H$2841,2,FALSE)),"X",$AG31)</f>
        <v/>
      </c>
      <c r="AK31" s="172" t="str">
        <f>IF(ISTEXT(VLOOKUP(CONCATENATE($A31,"_",AK$3),'Unit List'!$A$14:$H$2841,2,FALSE)),"+","")</f>
        <v>+</v>
      </c>
      <c r="AL31" s="52" t="str">
        <f>IF(ISTEXT(VLOOKUP(CONCATENATE($A31,"_",AL$3),'Unit List'!$A$14:$H$2841,2,FALSE)),"X",$AK31)</f>
        <v>+</v>
      </c>
      <c r="AM31" s="74" t="s">
        <v>0</v>
      </c>
      <c r="AN31" s="125" t="str">
        <f>IF(ISTEXT(VLOOKUP(CONCATENATE($A31,"_",AN$3),'Unit List'!$A$14:$H$2841,2,FALSE)),"+","")</f>
        <v/>
      </c>
      <c r="AO31" s="53" t="str">
        <f>IF(ISTEXT(VLOOKUP(CONCATENATE($A31,"_",AO$3),'Unit List'!$A$14:$H$2841,2,FALSE)),"X",$AN31)</f>
        <v/>
      </c>
      <c r="AP31" s="172" t="str">
        <f>IF(ISTEXT(VLOOKUP(CONCATENATE($A31,"_",AP$3),'Unit List'!$A$14:$H$2841,2,FALSE)),"+","")</f>
        <v/>
      </c>
      <c r="AQ31" s="51" t="str">
        <f>IF(ISTEXT(VLOOKUP(CONCATENATE($A31,"_",AQ$3),'Unit List'!$A$14:$H$2841,2,FALSE)),"X",$AP31)</f>
        <v/>
      </c>
      <c r="AR31" s="67" t="str">
        <f>IF(ISTEXT(VLOOKUP(CONCATENATE($A31,"_",AR$3),'Unit List'!$A$14:$H$2841,2,FALSE)),"X",$AP31)</f>
        <v>X</v>
      </c>
      <c r="AS31" s="51" t="str">
        <f>IF(ISTEXT(VLOOKUP(CONCATENATE($A31,"_",AS$3),'Unit List'!$A$14:$H$2841,2,FALSE)),"X",$AP31)</f>
        <v/>
      </c>
      <c r="AT31" s="53" t="str">
        <f>IF(ISTEXT(VLOOKUP(CONCATENATE($A31,"_",AT$3),'Unit List'!$A$14:$H$2841,2,FALSE)),"X",$AP31)</f>
        <v/>
      </c>
      <c r="AU31" s="124" t="str">
        <f>IF(ISTEXT(VLOOKUP(CONCATENATE($A31,"_",AU$3),'Unit List'!$A$14:$H$2841,2,FALSE)),"+","")</f>
        <v/>
      </c>
      <c r="AV31" s="51" t="str">
        <f>IF(ISTEXT(VLOOKUP(CONCATENATE($A31,"_",AV$3),'Unit List'!$A$14:$H$2841,2,FALSE)),"X",$AU31)</f>
        <v/>
      </c>
      <c r="AW31" s="53" t="str">
        <f>IF(ISTEXT(VLOOKUP(CONCATENATE($A31,"_",AW$3),'Unit List'!$A$14:$H$2841,2,FALSE)),"X",$AU31)</f>
        <v/>
      </c>
      <c r="AX31" s="172" t="str">
        <f>IF(ISTEXT(VLOOKUP(CONCATENATE($A31,"_",AX$3),'Unit List'!$A$14:$H$2841,2,FALSE)),"+","")</f>
        <v/>
      </c>
      <c r="AY31" s="51" t="str">
        <f>IF(ISTEXT(VLOOKUP(CONCATENATE($A31,"_",AY$3),'Unit List'!$A$14:$H$2841,2,FALSE)),"X",$AX31)</f>
        <v/>
      </c>
      <c r="AZ31" s="53" t="str">
        <f>IF(ISTEXT(VLOOKUP(CONCATENATE($A31,"_",AZ$3),'Unit List'!$A$14:$H$2841,2,FALSE)),"X",$AX31)</f>
        <v/>
      </c>
      <c r="BA31" s="182" t="str">
        <f>IF(ISTEXT(VLOOKUP(CONCATENATE($A31,"_",BA$3),'Unit List'!$A$14:$H$2841,2,FALSE)),"+","")</f>
        <v/>
      </c>
      <c r="BB31" s="51" t="str">
        <f>IF(ISTEXT(VLOOKUP(CONCATENATE($A31,"_",BB$3),'Unit List'!$A$14:$H$2841,2,FALSE)),"X",$BA31)</f>
        <v/>
      </c>
      <c r="BC31" s="51" t="str">
        <f>IF(ISTEXT(VLOOKUP(CONCATENATE($A31,"_",BC$3),'Unit List'!$A$14:$H$2841,2,FALSE)),"X",$BA31)</f>
        <v/>
      </c>
      <c r="BD31" s="53" t="str">
        <f>IF(ISTEXT(VLOOKUP(CONCATENATE($A31,"_",BD$3),'Unit List'!$A$14:$H$2841,2,FALSE)),"X",$BA31)</f>
        <v/>
      </c>
      <c r="BE31" s="125" t="str">
        <f>IF(ISTEXT(VLOOKUP(CONCATENATE($A31,"_",BE$3),'Unit List'!$A$14:$H$2841,2,FALSE)),"+","")</f>
        <v/>
      </c>
      <c r="BF31" s="62" t="str">
        <f>IF(ISTEXT(VLOOKUP(CONCATENATE($A31,"_",BF$3),'Unit List'!$A$14:$H$2841,2,FALSE)),"X",$BE31)</f>
        <v/>
      </c>
      <c r="BG31" s="64"/>
      <c r="BH31" s="65" t="s">
        <v>0</v>
      </c>
      <c r="BI31" s="211"/>
      <c r="BJ31" s="214"/>
      <c r="BK31" s="214"/>
      <c r="BL31" s="214"/>
      <c r="BM31" s="215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List'!$A$14:$H$2841,2,FALSE)),"+","")</f>
        <v/>
      </c>
      <c r="C32" s="82" t="str">
        <f>IF(ISTEXT(VLOOKUP(CONCATENATE($A32,"_",C$3),'Unit List'!$A$14:$H$2841,2,FALSE)),"X",$B32)</f>
        <v>X</v>
      </c>
      <c r="D32" s="67" t="str">
        <f>IF(ISTEXT(VLOOKUP(CONCATENATE($A32,"_",D$3),'Unit List'!$A$14:$H$2841,2,FALSE)),"X",$B32)</f>
        <v>X</v>
      </c>
      <c r="E32" s="51" t="str">
        <f>IF(ISTEXT(VLOOKUP(CONCATENATE($A32,"_",E$3),'Unit List'!$A$14:$H$2841,2,FALSE)),"X",$B32)</f>
        <v>X</v>
      </c>
      <c r="F32" s="67" t="str">
        <f>IF(ISTEXT(VLOOKUP(CONCATENATE($A32,"_",F$3),'Unit List'!$A$14:$H$2841,2,FALSE)),"X",$B32)</f>
        <v>X</v>
      </c>
      <c r="G32" s="67" t="str">
        <f>IF(ISTEXT(VLOOKUP(CONCATENATE($A32,"_",G$3),'Unit List'!$A$14:$H$2841,2,FALSE)),"X",$B32)</f>
        <v>X</v>
      </c>
      <c r="H32" s="67" t="str">
        <f>IF(ISTEXT(VLOOKUP(CONCATENATE($A32,"_",H$3),'Unit List'!$A$14:$H$2841,2,FALSE)),"X",$B32)</f>
        <v>X</v>
      </c>
      <c r="I32" s="53" t="str">
        <f>IF(ISTEXT(VLOOKUP(CONCATENATE($A32,"_",I$3),'Unit List'!$A$14:$H$2841,2,FALSE)),"X",$B32)</f>
        <v/>
      </c>
      <c r="J32" s="172" t="str">
        <f>IF(ISTEXT(VLOOKUP(CONCATENATE($A32,"_",J$3),'Unit List'!$A$14:$H$2841,2,FALSE)),"+","")</f>
        <v>+</v>
      </c>
      <c r="K32" s="72" t="s">
        <v>0</v>
      </c>
      <c r="L32" s="86" t="str">
        <f>IF(ISTEXT(VLOOKUP(CONCATENATE($A32,"_",L$3),'Unit List'!$A$14:$H$2841,2,FALSE)),"X",$J32)</f>
        <v>+</v>
      </c>
      <c r="M32" s="172" t="str">
        <f>IF(ISTEXT(VLOOKUP(CONCATENATE($A32,"_",M$3),'Unit List'!$A$14:$H$2841,2,FALSE)),"+","")</f>
        <v/>
      </c>
      <c r="N32" s="51" t="str">
        <f>IF(ISTEXT(VLOOKUP(CONCATENATE($A32,"_",N$3),'Unit List'!$A$14:$H$2841,2,FALSE)),"X",$M32)</f>
        <v>X</v>
      </c>
      <c r="O32" s="70" t="str">
        <f>IF(ISTEXT(VLOOKUP(CONCATENATE($A32,"_",O$3),'Unit List'!$A$14:$H$2841,2,FALSE)),"X",$M32)</f>
        <v>X</v>
      </c>
      <c r="P32" s="171" t="str">
        <f>IF(ISTEXT(VLOOKUP(CONCATENATE($A32,"_",P$3),'Unit List'!$A$14:$H$2841,2,FALSE)),"+","")</f>
        <v>+</v>
      </c>
      <c r="Q32" s="51" t="str">
        <f>IF(ISTEXT(VLOOKUP(CONCATENATE($A32,"_",Q$3),'Unit List'!$A$14:$H$2841,2,FALSE)),"X",$P32)</f>
        <v>+</v>
      </c>
      <c r="R32" s="67" t="str">
        <f>IF(ISTEXT(VLOOKUP(CONCATENATE($A32,"_",R$3),'Unit List'!$A$14:$H$2841,2,FALSE)),"X",$P32)</f>
        <v>X</v>
      </c>
      <c r="S32" s="67" t="str">
        <f>IF(ISTEXT(VLOOKUP(CONCATENATE($A32,"_",S$3),'Unit List'!$A$14:$H$2841,2,FALSE)),"X",$P32)</f>
        <v>X</v>
      </c>
      <c r="T32" s="52" t="str">
        <f>IF(ISTEXT(VLOOKUP(CONCATENATE($A32,"_",T$3),'Unit List'!$A$14:$H$2841,2,FALSE)),"X",$P32)</f>
        <v>X</v>
      </c>
      <c r="U32" s="67" t="str">
        <f>IF(ISTEXT(VLOOKUP(CONCATENATE($A32,"_",U$3),'Unit List'!$A$14:$H$2841,2,FALSE)),"X",$P32)</f>
        <v>X</v>
      </c>
      <c r="V32" s="67" t="str">
        <f>IF(ISTEXT(VLOOKUP(CONCATENATE($A32,"_",V$3),'Unit List'!$A$14:$H$2841,2,FALSE)),"X",$P32)</f>
        <v>X</v>
      </c>
      <c r="W32" s="53" t="str">
        <f>IF(ISTEXT(VLOOKUP(CONCATENATE($A32,"_",W$3),'Unit List'!$A$14:$H$2841,2,FALSE)),"X",$P32)</f>
        <v>+</v>
      </c>
      <c r="X32" s="171" t="str">
        <f>IF(ISTEXT(VLOOKUP(CONCATENATE($A32,"_",X$3),'Unit List'!$A$14:$H$2841,2,FALSE)),"+","")</f>
        <v>+</v>
      </c>
      <c r="Y32" s="67" t="str">
        <f>IF(ISTEXT(VLOOKUP(CONCATENATE($A32,"_",Y$3),'Unit List'!$A$14:$H$2841,2,FALSE)),"X",$X32)</f>
        <v>X</v>
      </c>
      <c r="Z32" s="51" t="str">
        <f>IF(ISTEXT(VLOOKUP(CONCATENATE($A32,"_",Z$3),'Unit List'!$A$14:$H$2841,2,FALSE)),"X",$X32)</f>
        <v>+</v>
      </c>
      <c r="AA32" s="67" t="str">
        <f>IF(ISTEXT(VLOOKUP(CONCATENATE($A32,"_",AA$3),'Unit List'!$A$14:$H$2841,2,FALSE)),"X",$X32)</f>
        <v>X</v>
      </c>
      <c r="AB32" s="67" t="str">
        <f>IF(ISTEXT(VLOOKUP(CONCATENATE($A32,"_",AB$3),'Unit List'!$A$14:$H$2841,2,FALSE)),"X",$X32)</f>
        <v>X</v>
      </c>
      <c r="AC32" s="86" t="str">
        <f>IF(ISTEXT(VLOOKUP(CONCATENATE($A32,"_",AC$3),'Unit List'!$A$14:$H$2841,2,FALSE)),"X",$X32)</f>
        <v>X</v>
      </c>
      <c r="AD32" s="171" t="str">
        <f>IF(ISTEXT(VLOOKUP(CONCATENATE($A32,"_",AD$3),'Unit List'!$A$14:$H$2841,2,FALSE)),"+","")</f>
        <v>+</v>
      </c>
      <c r="AE32" s="51" t="str">
        <f>IF(ISTEXT(VLOOKUP(CONCATENATE($A32,"_",AE$3),'Unit List'!$A$14:$H$2841,2,FALSE)),"X",$AD32)</f>
        <v>+</v>
      </c>
      <c r="AF32" s="51" t="str">
        <f>IF(ISTEXT(VLOOKUP(CONCATENATE($A32,"_",AF$3),'Unit List'!$A$14:$H$2841,2,FALSE)),"X",$AD32)</f>
        <v>X</v>
      </c>
      <c r="AG32" s="171" t="str">
        <f>IF(ISTEXT(VLOOKUP(CONCATENATE($A32,"_",AG$3),'Unit List'!$A$14:$H$2841,2,FALSE)),"+","")</f>
        <v>+</v>
      </c>
      <c r="AH32" s="67" t="str">
        <f>IF(ISTEXT(VLOOKUP(CONCATENATE($A32,"_",AH$3),'Unit List'!$A$14:$H$2841,2,FALSE)),"X",$AG32)</f>
        <v>X</v>
      </c>
      <c r="AI32" s="67" t="str">
        <f>IF(ISTEXT(VLOOKUP(CONCATENATE($A32,"_",AI$3),'Unit List'!$A$14:$H$2841,2,FALSE)),"X",$AG32)</f>
        <v>X</v>
      </c>
      <c r="AJ32" s="53" t="str">
        <f>IF(ISTEXT(VLOOKUP(CONCATENATE($A32,"_",AJ$3),'Unit List'!$A$14:$H$2841,2,FALSE)),"X",$AG32)</f>
        <v>+</v>
      </c>
      <c r="AK32" s="171" t="str">
        <f>IF(ISTEXT(VLOOKUP(CONCATENATE($A32,"_",AK$3),'Unit List'!$A$14:$H$2841,2,FALSE)),"+","")</f>
        <v>+</v>
      </c>
      <c r="AL32" s="52" t="str">
        <f>IF(ISTEXT(VLOOKUP(CONCATENATE($A32,"_",AL$3),'Unit List'!$A$14:$H$2841,2,FALSE)),"X",$AK32)</f>
        <v>X</v>
      </c>
      <c r="AM32" s="70" t="str">
        <f>IF(ISTEXT(VLOOKUP(CONCATENATE($A32,"_",AM$3),'Unit List'!$A$14:$H$2841,2,FALSE)),"X",$AK32)</f>
        <v>X</v>
      </c>
      <c r="AN32" s="125" t="str">
        <f>IF(ISTEXT(VLOOKUP(CONCATENATE($A32,"_",AN$3),'Unit List'!$A$14:$H$2841,2,FALSE)),"+","")</f>
        <v>+</v>
      </c>
      <c r="AO32" s="70" t="str">
        <f>IF(ISTEXT(VLOOKUP(CONCATENATE($A32,"_",AO$3),'Unit List'!$A$14:$H$2841,2,FALSE)),"X",$AN32)</f>
        <v>+</v>
      </c>
      <c r="AP32" s="171" t="str">
        <f>IF(ISTEXT(VLOOKUP(CONCATENATE($A32,"_",AP$3),'Unit List'!$A$14:$H$2841,2,FALSE)),"+","")</f>
        <v>+</v>
      </c>
      <c r="AQ32" s="67" t="str">
        <f>IF(ISTEXT(VLOOKUP(CONCATENATE($A32,"_",AQ$3),'Unit List'!$A$14:$H$2841,2,FALSE)),"X",$AP32)</f>
        <v>X</v>
      </c>
      <c r="AR32" s="89" t="s">
        <v>3</v>
      </c>
      <c r="AS32" s="67" t="str">
        <f>IF(ISTEXT(VLOOKUP(CONCATENATE($A32,"_",AS$3),'Unit List'!$A$14:$H$2841,2,FALSE)),"X",$AP32)</f>
        <v>X</v>
      </c>
      <c r="AT32" s="70" t="str">
        <f>IF(ISTEXT(VLOOKUP(CONCATENATE($A32,"_",AT$3),'Unit List'!$A$14:$H$2841,2,FALSE)),"X",$AP32)</f>
        <v>X</v>
      </c>
      <c r="AU32" s="124" t="str">
        <f>IF(ISTEXT(VLOOKUP(CONCATENATE($A32,"_",AU$3),'Unit List'!$A$14:$H$2841,2,FALSE)),"+","")</f>
        <v>+</v>
      </c>
      <c r="AV32" s="51" t="str">
        <f>IF(ISTEXT(VLOOKUP(CONCATENATE($A32,"_",AV$3),'Unit List'!$A$14:$H$2841,2,FALSE)),"X",$AU32)</f>
        <v>+</v>
      </c>
      <c r="AW32" s="53" t="str">
        <f>IF(ISTEXT(VLOOKUP(CONCATENATE($A32,"_",AW$3),'Unit List'!$A$14:$H$2841,2,FALSE)),"X",$AU32)</f>
        <v>+</v>
      </c>
      <c r="AX32" s="171" t="str">
        <f>IF(ISTEXT(VLOOKUP(CONCATENATE($A32,"_",AX$3),'Unit List'!$A$14:$H$2841,2,FALSE)),"+","")</f>
        <v>+</v>
      </c>
      <c r="AY32" s="67" t="str">
        <f>IF(ISTEXT(VLOOKUP(CONCATENATE($A32,"_",AY$3),'Unit List'!$A$14:$H$2841,2,FALSE)),"X",$AX32)</f>
        <v>X</v>
      </c>
      <c r="AZ32" s="70" t="str">
        <f>IF(ISTEXT(VLOOKUP(CONCATENATE($A32,"_",AZ$3),'Unit List'!$A$14:$H$2841,2,FALSE)),"X",$AX32)</f>
        <v>+</v>
      </c>
      <c r="BA32" s="171" t="str">
        <f>IF(ISTEXT(VLOOKUP(CONCATENATE($A32,"_",BA$3),'Unit List'!$A$14:$H$2841,2,FALSE)),"+","")</f>
        <v>+</v>
      </c>
      <c r="BB32" s="67" t="str">
        <f>IF(ISTEXT(VLOOKUP(CONCATENATE($A32,"_",BB$3),'Unit List'!$A$14:$H$2841,2,FALSE)),"X",$BA32)</f>
        <v>X</v>
      </c>
      <c r="BC32" s="67" t="str">
        <f>IF(ISTEXT(VLOOKUP(CONCATENATE($A32,"_",BC$3),'Unit List'!$A$14:$H$2841,2,FALSE)),"X",$BA32)</f>
        <v>X</v>
      </c>
      <c r="BD32" s="70" t="str">
        <f>IF(ISTEXT(VLOOKUP(CONCATENATE($A32,"_",BD$3),'Unit List'!$A$14:$H$2841,2,FALSE)),"X",$BA32)</f>
        <v>X</v>
      </c>
      <c r="BE32" s="125" t="str">
        <f>IF(ISTEXT(VLOOKUP(CONCATENATE($A32,"_",BE$3),'Unit List'!$A$14:$H$2841,2,FALSE)),"+","")</f>
        <v>+</v>
      </c>
      <c r="BF32" s="86" t="str">
        <f>IF(ISTEXT(VLOOKUP(CONCATENATE($A32,"_",BF$3),'Unit List'!$A$14:$H$2841,2,FALSE)),"X",$BE32)</f>
        <v>+</v>
      </c>
      <c r="BG32" s="75"/>
      <c r="BH32" s="84"/>
      <c r="BI32" s="211" t="s">
        <v>2409</v>
      </c>
      <c r="BJ32" s="214"/>
      <c r="BK32" s="214"/>
      <c r="BL32" s="214"/>
      <c r="BM32" s="215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List'!$A$14:$H$2841,2,FALSE)),"+","")</f>
        <v/>
      </c>
      <c r="C33" s="57" t="str">
        <f>IF(ISTEXT(VLOOKUP(CONCATENATE($A33,"_",C$3),'Unit List'!$A$14:$H$2841,2,FALSE)),"X",$B33)</f>
        <v/>
      </c>
      <c r="D33" s="51" t="str">
        <f>IF(ISTEXT(VLOOKUP(CONCATENATE($A33,"_",D$3),'Unit List'!$A$14:$H$2841,2,FALSE)),"X",$B33)</f>
        <v/>
      </c>
      <c r="E33" s="51" t="str">
        <f>IF(ISTEXT(VLOOKUP(CONCATENATE($A33,"_",E$3),'Unit List'!$A$14:$H$2841,2,FALSE)),"X",$B33)</f>
        <v/>
      </c>
      <c r="F33" s="51" t="str">
        <f>IF(ISTEXT(VLOOKUP(CONCATENATE($A33,"_",F$3),'Unit List'!$A$14:$H$2841,2,FALSE)),"X",$B33)</f>
        <v/>
      </c>
      <c r="G33" s="51" t="str">
        <f>IF(ISTEXT(VLOOKUP(CONCATENATE($A33,"_",G$3),'Unit List'!$A$14:$H$2841,2,FALSE)),"X",$B33)</f>
        <v/>
      </c>
      <c r="H33" s="51" t="str">
        <f>IF(ISTEXT(VLOOKUP(CONCATENATE($A33,"_",H$3),'Unit List'!$A$14:$H$2841,2,FALSE)),"X",$B33)</f>
        <v/>
      </c>
      <c r="I33" s="53" t="str">
        <f>IF(ISTEXT(VLOOKUP(CONCATENATE($A33,"_",I$3),'Unit List'!$A$14:$H$2841,2,FALSE)),"X",$B33)</f>
        <v/>
      </c>
      <c r="J33" s="172" t="str">
        <f>IF(ISTEXT(VLOOKUP(CONCATENATE($A33,"_",J$3),'Unit List'!$A$14:$H$2841,2,FALSE)),"+","")</f>
        <v/>
      </c>
      <c r="K33" s="51" t="str">
        <f>IF(ISTEXT(VLOOKUP(CONCATENATE($A33,"_",K$3),'Unit List'!$A$14:$H$2841,2,FALSE)),"X",$J33)</f>
        <v/>
      </c>
      <c r="L33" s="62" t="str">
        <f>IF(ISTEXT(VLOOKUP(CONCATENATE($A33,"_",L$3),'Unit List'!$A$14:$H$2841,2,FALSE)),"X",$J33)</f>
        <v/>
      </c>
      <c r="M33" s="172" t="str">
        <f>IF(ISTEXT(VLOOKUP(CONCATENATE($A33,"_",M$3),'Unit List'!$A$14:$H$2841,2,FALSE)),"+","")</f>
        <v/>
      </c>
      <c r="N33" s="51" t="str">
        <f>IF(ISTEXT(VLOOKUP(CONCATENATE($A33,"_",N$3),'Unit List'!$A$14:$H$2841,2,FALSE)),"X",$M33)</f>
        <v/>
      </c>
      <c r="O33" s="53" t="str">
        <f>IF(ISTEXT(VLOOKUP(CONCATENATE($A33,"_",O$3),'Unit List'!$A$14:$H$2841,2,FALSE)),"X",$M33)</f>
        <v/>
      </c>
      <c r="P33" s="172" t="str">
        <f>IF(ISTEXT(VLOOKUP(CONCATENATE($A33,"_",P$3),'Unit List'!$A$14:$H$2841,2,FALSE)),"+","")</f>
        <v/>
      </c>
      <c r="Q33" s="51" t="str">
        <f>IF(ISTEXT(VLOOKUP(CONCATENATE($A33,"_",Q$3),'Unit List'!$A$14:$H$2841,2,FALSE)),"X",$P33)</f>
        <v/>
      </c>
      <c r="R33" s="51" t="str">
        <f>IF(ISTEXT(VLOOKUP(CONCATENATE($A33,"_",R$3),'Unit List'!$A$14:$H$2841,2,FALSE)),"X",$P33)</f>
        <v/>
      </c>
      <c r="S33" s="51" t="str">
        <f>IF(ISTEXT(VLOOKUP(CONCATENATE($A33,"_",S$3),'Unit List'!$A$14:$H$2841,2,FALSE)),"X",$P33)</f>
        <v/>
      </c>
      <c r="T33" s="52" t="str">
        <f>IF(ISTEXT(VLOOKUP(CONCATENATE($A33,"_",T$3),'Unit List'!$A$14:$H$2841,2,FALSE)),"X",$P33)</f>
        <v/>
      </c>
      <c r="U33" s="51" t="str">
        <f>IF(ISTEXT(VLOOKUP(CONCATENATE($A33,"_",U$3),'Unit List'!$A$14:$H$2841,2,FALSE)),"X",$P33)</f>
        <v/>
      </c>
      <c r="V33" s="51" t="str">
        <f>IF(ISTEXT(VLOOKUP(CONCATENATE($A33,"_",V$3),'Unit List'!$A$14:$H$2841,2,FALSE)),"X",$P33)</f>
        <v/>
      </c>
      <c r="W33" s="53" t="str">
        <f>IF(ISTEXT(VLOOKUP(CONCATENATE($A33,"_",W$3),'Unit List'!$A$14:$H$2841,2,FALSE)),"X",$P33)</f>
        <v/>
      </c>
      <c r="X33" s="172" t="str">
        <f>IF(ISTEXT(VLOOKUP(CONCATENATE($A33,"_",X$3),'Unit List'!$A$14:$H$2841,2,FALSE)),"+","")</f>
        <v/>
      </c>
      <c r="Y33" s="51" t="str">
        <f>IF(ISTEXT(VLOOKUP(CONCATENATE($A33,"_",Y$3),'Unit List'!$A$14:$H$2841,2,FALSE)),"X",$X33)</f>
        <v/>
      </c>
      <c r="Z33" s="51" t="str">
        <f>IF(ISTEXT(VLOOKUP(CONCATENATE($A33,"_",Z$3),'Unit List'!$A$14:$H$2841,2,FALSE)),"X",$X33)</f>
        <v/>
      </c>
      <c r="AA33" s="51" t="str">
        <f>IF(ISTEXT(VLOOKUP(CONCATENATE($A33,"_",AA$3),'Unit List'!$A$14:$H$2841,2,FALSE)),"X",$X33)</f>
        <v/>
      </c>
      <c r="AB33" s="51" t="str">
        <f>IF(ISTEXT(VLOOKUP(CONCATENATE($A33,"_",AB$3),'Unit List'!$A$14:$H$2841,2,FALSE)),"X",$X33)</f>
        <v/>
      </c>
      <c r="AC33" s="62" t="str">
        <f>IF(ISTEXT(VLOOKUP(CONCATENATE($A33,"_",AC$3),'Unit List'!$A$14:$H$2841,2,FALSE)),"X",$X33)</f>
        <v/>
      </c>
      <c r="AD33" s="172" t="str">
        <f>IF(ISTEXT(VLOOKUP(CONCATENATE($A33,"_",AD$3),'Unit List'!$A$14:$H$2841,2,FALSE)),"+","")</f>
        <v/>
      </c>
      <c r="AE33" s="51" t="str">
        <f>IF(ISTEXT(VLOOKUP(CONCATENATE($A33,"_",AE$3),'Unit List'!$A$14:$H$2841,2,FALSE)),"X",$AD33)</f>
        <v/>
      </c>
      <c r="AF33" s="51" t="str">
        <f>IF(ISTEXT(VLOOKUP(CONCATENATE($A33,"_",AF$3),'Unit List'!$A$14:$H$2841,2,FALSE)),"X",$AD33)</f>
        <v/>
      </c>
      <c r="AG33" s="172" t="str">
        <f>IF(ISTEXT(VLOOKUP(CONCATENATE($A33,"_",AG$3),'Unit List'!$A$14:$H$2841,2,FALSE)),"+","")</f>
        <v/>
      </c>
      <c r="AH33" s="51" t="str">
        <f>IF(ISTEXT(VLOOKUP(CONCATENATE($A33,"_",AH$3),'Unit List'!$A$14:$H$2841,2,FALSE)),"X",$AG33)</f>
        <v/>
      </c>
      <c r="AI33" s="51" t="str">
        <f>IF(ISTEXT(VLOOKUP(CONCATENATE($A33,"_",AI$3),'Unit List'!$A$14:$H$2841,2,FALSE)),"X",$AG33)</f>
        <v/>
      </c>
      <c r="AJ33" s="53" t="str">
        <f>IF(ISTEXT(VLOOKUP(CONCATENATE($A33,"_",AJ$3),'Unit List'!$A$14:$H$2841,2,FALSE)),"X",$AG33)</f>
        <v/>
      </c>
      <c r="AK33" s="172" t="str">
        <f>IF(ISTEXT(VLOOKUP(CONCATENATE($A33,"_",AK$3),'Unit List'!$A$14:$H$2841,2,FALSE)),"+","")</f>
        <v/>
      </c>
      <c r="AL33" s="52" t="str">
        <f>IF(ISTEXT(VLOOKUP(CONCATENATE($A33,"_",AL$3),'Unit List'!$A$14:$H$2841,2,FALSE)),"X",$AK33)</f>
        <v/>
      </c>
      <c r="AM33" s="53" t="str">
        <f>IF(ISTEXT(VLOOKUP(CONCATENATE($A33,"_",AM$3),'Unit List'!$A$14:$H$2841,2,FALSE)),"X",$AK33)</f>
        <v/>
      </c>
      <c r="AN33" s="125" t="str">
        <f>IF(ISTEXT(VLOOKUP(CONCATENATE($A33,"_",AN$3),'Unit List'!$A$14:$H$2841,2,FALSE)),"+","")</f>
        <v/>
      </c>
      <c r="AO33" s="53" t="str">
        <f>IF(ISTEXT(VLOOKUP(CONCATENATE($A33,"_",AO$3),'Unit List'!$A$14:$H$2841,2,FALSE)),"X",$AN33)</f>
        <v/>
      </c>
      <c r="AP33" s="172" t="str">
        <f>IF(ISTEXT(VLOOKUP(CONCATENATE($A33,"_",AP$3),'Unit List'!$A$14:$H$2841,2,FALSE)),"+","")</f>
        <v/>
      </c>
      <c r="AQ33" s="51" t="str">
        <f>IF(ISTEXT(VLOOKUP(CONCATENATE($A33,"_",AQ$3),'Unit List'!$A$14:$H$2841,2,FALSE)),"X",$AP33)</f>
        <v/>
      </c>
      <c r="AR33" s="51" t="str">
        <f>IF(ISTEXT(VLOOKUP(CONCATENATE($A33,"_",AR$3),'Unit List'!$A$14:$H$2841,2,FALSE)),"X",$AP33)</f>
        <v/>
      </c>
      <c r="AS33" s="51" t="str">
        <f>IF(ISTEXT(VLOOKUP(CONCATENATE($A33,"_",AS$3),'Unit List'!$A$14:$H$2841,2,FALSE)),"X",$AP33)</f>
        <v/>
      </c>
      <c r="AT33" s="53" t="str">
        <f>IF(ISTEXT(VLOOKUP(CONCATENATE($A33,"_",AT$3),'Unit List'!$A$14:$H$2841,2,FALSE)),"X",$AP33)</f>
        <v/>
      </c>
      <c r="AU33" s="124" t="str">
        <f>IF(ISTEXT(VLOOKUP(CONCATENATE($A33,"_",AU$3),'Unit List'!$A$14:$H$2841,2,FALSE)),"+","")</f>
        <v/>
      </c>
      <c r="AV33" s="51" t="str">
        <f>IF(ISTEXT(VLOOKUP(CONCATENATE($A33,"_",AV$3),'Unit List'!$A$14:$H$2841,2,FALSE)),"X",$AU33)</f>
        <v/>
      </c>
      <c r="AW33" s="53" t="str">
        <f>IF(ISTEXT(VLOOKUP(CONCATENATE($A33,"_",AW$3),'Unit List'!$A$14:$H$2841,2,FALSE)),"X",$AU33)</f>
        <v/>
      </c>
      <c r="AX33" s="172" t="str">
        <f>IF(ISTEXT(VLOOKUP(CONCATENATE($A33,"_",AX$3),'Unit List'!$A$14:$H$2841,2,FALSE)),"+","")</f>
        <v/>
      </c>
      <c r="AY33" s="51" t="str">
        <f>IF(ISTEXT(VLOOKUP(CONCATENATE($A33,"_",AY$3),'Unit List'!$A$14:$H$2841,2,FALSE)),"X",$AX33)</f>
        <v/>
      </c>
      <c r="AZ33" s="53" t="str">
        <f>IF(ISTEXT(VLOOKUP(CONCATENATE($A33,"_",AZ$3),'Unit List'!$A$14:$H$2841,2,FALSE)),"X",$AX33)</f>
        <v/>
      </c>
      <c r="BA33" s="182" t="str">
        <f>IF(ISTEXT(VLOOKUP(CONCATENATE($A33,"_",BA$3),'Unit List'!$A$14:$H$2841,2,FALSE)),"+","")</f>
        <v/>
      </c>
      <c r="BB33" s="51" t="str">
        <f>IF(ISTEXT(VLOOKUP(CONCATENATE($A33,"_",BB$3),'Unit List'!$A$14:$H$2841,2,FALSE)),"X",$BA33)</f>
        <v/>
      </c>
      <c r="BC33" s="51" t="str">
        <f>IF(ISTEXT(VLOOKUP(CONCATENATE($A33,"_",BC$3),'Unit List'!$A$14:$H$2841,2,FALSE)),"X",$BA33)</f>
        <v/>
      </c>
      <c r="BD33" s="53" t="str">
        <f>IF(ISTEXT(VLOOKUP(CONCATENATE($A33,"_",BD$3),'Unit List'!$A$14:$H$2841,2,FALSE)),"X",$BA33)</f>
        <v/>
      </c>
      <c r="BE33" s="125" t="str">
        <f>IF(ISTEXT(VLOOKUP(CONCATENATE($A33,"_",BE$3),'Unit List'!$A$14:$H$2841,2,FALSE)),"+","")</f>
        <v/>
      </c>
      <c r="BF33" s="62" t="str">
        <f>IF(ISTEXT(VLOOKUP(CONCATENATE($A33,"_",BF$3),'Unit List'!$A$14:$H$2841,2,FALSE)),"X",$BE33)</f>
        <v/>
      </c>
      <c r="BG33" s="75"/>
      <c r="BH33" s="84"/>
      <c r="BI33" s="211"/>
      <c r="BJ33" s="212"/>
      <c r="BK33" s="212"/>
      <c r="BL33" s="212"/>
      <c r="BM33" s="213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List'!$A$14:$H$2841,2,FALSE)),"+","")</f>
        <v/>
      </c>
      <c r="C34" s="57" t="str">
        <f>IF(ISTEXT(VLOOKUP(CONCATENATE($A34,"_",C$3),'Unit List'!$A$14:$H$2841,2,FALSE)),"X",$B34)</f>
        <v/>
      </c>
      <c r="D34" s="51" t="str">
        <f>IF(ISTEXT(VLOOKUP(CONCATENATE($A34,"_",D$3),'Unit List'!$A$14:$H$2841,2,FALSE)),"X",$B34)</f>
        <v/>
      </c>
      <c r="E34" s="51" t="str">
        <f>IF(ISTEXT(VLOOKUP(CONCATENATE($A34,"_",E$3),'Unit List'!$A$14:$H$2841,2,FALSE)),"X",$B34)</f>
        <v>X</v>
      </c>
      <c r="F34" s="51" t="str">
        <f>IF(ISTEXT(VLOOKUP(CONCATENATE($A34,"_",F$3),'Unit List'!$A$14:$H$2841,2,FALSE)),"X",$B34)</f>
        <v>X</v>
      </c>
      <c r="G34" s="51" t="str">
        <f>IF(ISTEXT(VLOOKUP(CONCATENATE($A34,"_",G$3),'Unit List'!$A$14:$H$2841,2,FALSE)),"X",$B34)</f>
        <v/>
      </c>
      <c r="H34" s="67" t="str">
        <f>IF(ISTEXT(VLOOKUP(CONCATENATE($A34,"_",H$3),'Unit List'!$A$14:$H$2841,2,FALSE)),"X",$B34)</f>
        <v/>
      </c>
      <c r="I34" s="53" t="str">
        <f>IF(ISTEXT(VLOOKUP(CONCATENATE($A34,"_",I$3),'Unit List'!$A$14:$H$2841,2,FALSE)),"X",$B34)</f>
        <v/>
      </c>
      <c r="J34" s="172" t="str">
        <f>IF(ISTEXT(VLOOKUP(CONCATENATE($A34,"_",J$3),'Unit List'!$A$14:$H$2841,2,FALSE)),"+","")</f>
        <v>+</v>
      </c>
      <c r="K34" s="51" t="str">
        <f>IF(ISTEXT(VLOOKUP(CONCATENATE($A34,"_",K$3),'Unit List'!$A$14:$H$2841,2,FALSE)),"X",$J34)</f>
        <v>+</v>
      </c>
      <c r="L34" s="62" t="str">
        <f>IF(ISTEXT(VLOOKUP(CONCATENATE($A34,"_",L$3),'Unit List'!$A$14:$H$2841,2,FALSE)),"X",$J34)</f>
        <v>+</v>
      </c>
      <c r="M34" s="172" t="str">
        <f>IF(ISTEXT(VLOOKUP(CONCATENATE($A34,"_",M$3),'Unit List'!$A$14:$H$2841,2,FALSE)),"+","")</f>
        <v>+</v>
      </c>
      <c r="N34" s="51" t="str">
        <f>IF(ISTEXT(VLOOKUP(CONCATENATE($A34,"_",N$3),'Unit List'!$A$14:$H$2841,2,FALSE)),"X",$M34)</f>
        <v>+</v>
      </c>
      <c r="O34" s="53" t="str">
        <f>IF(ISTEXT(VLOOKUP(CONCATENATE($A34,"_",O$3),'Unit List'!$A$14:$H$2841,2,FALSE)),"X",$M34)</f>
        <v>X</v>
      </c>
      <c r="P34" s="172" t="str">
        <f>IF(ISTEXT(VLOOKUP(CONCATENATE($A34,"_",P$3),'Unit List'!$A$14:$H$2841,2,FALSE)),"+","")</f>
        <v/>
      </c>
      <c r="Q34" s="51" t="str">
        <f>IF(ISTEXT(VLOOKUP(CONCATENATE($A34,"_",Q$3),'Unit List'!$A$14:$H$2841,2,FALSE)),"X",$P34)</f>
        <v/>
      </c>
      <c r="R34" s="51" t="str">
        <f>IF(ISTEXT(VLOOKUP(CONCATENATE($A34,"_",R$3),'Unit List'!$A$14:$H$2841,2,FALSE)),"X",$P34)</f>
        <v/>
      </c>
      <c r="S34" s="51" t="str">
        <f>IF(ISTEXT(VLOOKUP(CONCATENATE($A34,"_",S$3),'Unit List'!$A$14:$H$2841,2,FALSE)),"X",$P34)</f>
        <v/>
      </c>
      <c r="T34" s="52" t="str">
        <f>IF(ISTEXT(VLOOKUP(CONCATENATE($A34,"_",T$3),'Unit List'!$A$14:$H$2841,2,FALSE)),"X",$P34)</f>
        <v/>
      </c>
      <c r="U34" s="51" t="str">
        <f>IF(ISTEXT(VLOOKUP(CONCATENATE($A34,"_",U$3),'Unit List'!$A$14:$H$2841,2,FALSE)),"X",$P34)</f>
        <v/>
      </c>
      <c r="V34" s="51" t="str">
        <f>IF(ISTEXT(VLOOKUP(CONCATENATE($A34,"_",V$3),'Unit List'!$A$14:$H$2841,2,FALSE)),"X",$P34)</f>
        <v/>
      </c>
      <c r="W34" s="53" t="str">
        <f>IF(ISTEXT(VLOOKUP(CONCATENATE($A34,"_",W$3),'Unit List'!$A$14:$H$2841,2,FALSE)),"X",$P34)</f>
        <v/>
      </c>
      <c r="X34" s="172" t="str">
        <f>IF(ISTEXT(VLOOKUP(CONCATENATE($A34,"_",X$3),'Unit List'!$A$14:$H$2841,2,FALSE)),"+","")</f>
        <v>+</v>
      </c>
      <c r="Y34" s="51" t="str">
        <f>IF(ISTEXT(VLOOKUP(CONCATENATE($A34,"_",Y$3),'Unit List'!$A$14:$H$2841,2,FALSE)),"X",$X34)</f>
        <v>+</v>
      </c>
      <c r="Z34" s="51" t="str">
        <f>IF(ISTEXT(VLOOKUP(CONCATENATE($A34,"_",Z$3),'Unit List'!$A$14:$H$2841,2,FALSE)),"X",$X34)</f>
        <v>+</v>
      </c>
      <c r="AA34" s="51" t="str">
        <f>IF(ISTEXT(VLOOKUP(CONCATENATE($A34,"_",AA$3),'Unit List'!$A$14:$H$2841,2,FALSE)),"X",$X34)</f>
        <v>+</v>
      </c>
      <c r="AB34" s="51" t="str">
        <f>IF(ISTEXT(VLOOKUP(CONCATENATE($A34,"_",AB$3),'Unit List'!$A$14:$H$2841,2,FALSE)),"X",$X34)</f>
        <v>+</v>
      </c>
      <c r="AC34" s="62" t="str">
        <f>IF(ISTEXT(VLOOKUP(CONCATENATE($A34,"_",AC$3),'Unit List'!$A$14:$H$2841,2,FALSE)),"X",$X34)</f>
        <v>+</v>
      </c>
      <c r="AD34" s="172" t="str">
        <f>IF(ISTEXT(VLOOKUP(CONCATENATE($A34,"_",AD$3),'Unit List'!$A$14:$H$2841,2,FALSE)),"+","")</f>
        <v/>
      </c>
      <c r="AE34" s="51" t="str">
        <f>IF(ISTEXT(VLOOKUP(CONCATENATE($A34,"_",AE$3),'Unit List'!$A$14:$H$2841,2,FALSE)),"X",$AD34)</f>
        <v/>
      </c>
      <c r="AF34" s="51" t="str">
        <f>IF(ISTEXT(VLOOKUP(CONCATENATE($A34,"_",AF$3),'Unit List'!$A$14:$H$2841,2,FALSE)),"X",$AD34)</f>
        <v/>
      </c>
      <c r="AG34" s="172" t="str">
        <f>IF(ISTEXT(VLOOKUP(CONCATENATE($A34,"_",AG$3),'Unit List'!$A$14:$H$2841,2,FALSE)),"+","")</f>
        <v>+</v>
      </c>
      <c r="AH34" s="51" t="str">
        <f>IF(ISTEXT(VLOOKUP(CONCATENATE($A34,"_",AH$3),'Unit List'!$A$14:$H$2841,2,FALSE)),"X",$AG34)</f>
        <v>+</v>
      </c>
      <c r="AI34" s="51" t="str">
        <f>IF(ISTEXT(VLOOKUP(CONCATENATE($A34,"_",AI$3),'Unit List'!$A$14:$H$2841,2,FALSE)),"X",$AG34)</f>
        <v>+</v>
      </c>
      <c r="AJ34" s="53" t="str">
        <f>IF(ISTEXT(VLOOKUP(CONCATENATE($A34,"_",AJ$3),'Unit List'!$A$14:$H$2841,2,FALSE)),"X",$AG34)</f>
        <v>+</v>
      </c>
      <c r="AK34" s="172" t="str">
        <f>IF(ISTEXT(VLOOKUP(CONCATENATE($A34,"_",AK$3),'Unit List'!$A$14:$H$2841,2,FALSE)),"+","")</f>
        <v>+</v>
      </c>
      <c r="AL34" s="52" t="str">
        <f>IF(ISTEXT(VLOOKUP(CONCATENATE($A34,"_",AL$3),'Unit List'!$A$14:$H$2841,2,FALSE)),"X",$AK34)</f>
        <v>+</v>
      </c>
      <c r="AM34" s="53" t="str">
        <f>IF(ISTEXT(VLOOKUP(CONCATENATE($A34,"_",AM$3),'Unit List'!$A$14:$H$2841,2,FALSE)),"X",$AK34)</f>
        <v>+</v>
      </c>
      <c r="AN34" s="125" t="str">
        <f>IF(ISTEXT(VLOOKUP(CONCATENATE($A34,"_",AN$3),'Unit List'!$A$14:$H$2841,2,FALSE)),"+","")</f>
        <v/>
      </c>
      <c r="AO34" s="53" t="str">
        <f>IF(ISTEXT(VLOOKUP(CONCATENATE($A34,"_",AO$3),'Unit List'!$A$14:$H$2841,2,FALSE)),"X",$AN34)</f>
        <v/>
      </c>
      <c r="AP34" s="172" t="str">
        <f>IF(ISTEXT(VLOOKUP(CONCATENATE($A34,"_",AP$3),'Unit List'!$A$14:$H$2841,2,FALSE)),"+","")</f>
        <v>+</v>
      </c>
      <c r="AQ34" s="51" t="str">
        <f>IF(ISTEXT(VLOOKUP(CONCATENATE($A34,"_",AQ$3),'Unit List'!$A$14:$H$2841,2,FALSE)),"X",$AP34)</f>
        <v>+</v>
      </c>
      <c r="AR34" s="51" t="str">
        <f>IF(ISTEXT(VLOOKUP(CONCATENATE($A34,"_",AR$3),'Unit List'!$A$14:$H$2841,2,FALSE)),"X",$AP34)</f>
        <v>+</v>
      </c>
      <c r="AS34" s="51" t="str">
        <f>IF(ISTEXT(VLOOKUP(CONCATENATE($A34,"_",AS$3),'Unit List'!$A$14:$H$2841,2,FALSE)),"X",$AP34)</f>
        <v>+</v>
      </c>
      <c r="AT34" s="53" t="str">
        <f>IF(ISTEXT(VLOOKUP(CONCATENATE($A34,"_",AT$3),'Unit List'!$A$14:$H$2841,2,FALSE)),"X",$AP34)</f>
        <v>+</v>
      </c>
      <c r="AU34" s="124" t="str">
        <f>IF(ISTEXT(VLOOKUP(CONCATENATE($A34,"_",AU$3),'Unit List'!$A$14:$H$2841,2,FALSE)),"+","")</f>
        <v>+</v>
      </c>
      <c r="AV34" s="51" t="str">
        <f>IF(ISTEXT(VLOOKUP(CONCATENATE($A34,"_",AV$3),'Unit List'!$A$14:$H$2841,2,FALSE)),"X",$AU34)</f>
        <v>+</v>
      </c>
      <c r="AW34" s="53" t="str">
        <f>IF(ISTEXT(VLOOKUP(CONCATENATE($A34,"_",AW$3),'Unit List'!$A$14:$H$2841,2,FALSE)),"X",$AU34)</f>
        <v>+</v>
      </c>
      <c r="AX34" s="172" t="str">
        <f>IF(ISTEXT(VLOOKUP(CONCATENATE($A34,"_",AX$3),'Unit List'!$A$14:$H$2841,2,FALSE)),"+","")</f>
        <v>+</v>
      </c>
      <c r="AY34" s="51" t="str">
        <f>IF(ISTEXT(VLOOKUP(CONCATENATE($A34,"_",AY$3),'Unit List'!$A$14:$H$2841,2,FALSE)),"X",$AX34)</f>
        <v>+</v>
      </c>
      <c r="AZ34" s="53" t="str">
        <f>IF(ISTEXT(VLOOKUP(CONCATENATE($A34,"_",AZ$3),'Unit List'!$A$14:$H$2841,2,FALSE)),"X",$AX34)</f>
        <v>+</v>
      </c>
      <c r="BA34" s="182" t="str">
        <f>IF(ISTEXT(VLOOKUP(CONCATENATE($A34,"_",BA$3),'Unit List'!$A$14:$H$2841,2,FALSE)),"+","")</f>
        <v>+</v>
      </c>
      <c r="BB34" s="51" t="str">
        <f>IF(ISTEXT(VLOOKUP(CONCATENATE($A34,"_",BB$3),'Unit List'!$A$14:$H$2841,2,FALSE)),"X",$BA34)</f>
        <v>+</v>
      </c>
      <c r="BC34" s="51" t="str">
        <f>IF(ISTEXT(VLOOKUP(CONCATENATE($A34,"_",BC$3),'Unit List'!$A$14:$H$2841,2,FALSE)),"X",$BA34)</f>
        <v>+</v>
      </c>
      <c r="BD34" s="53" t="str">
        <f>IF(ISTEXT(VLOOKUP(CONCATENATE($A34,"_",BD$3),'Unit List'!$A$14:$H$2841,2,FALSE)),"X",$BA34)</f>
        <v>+</v>
      </c>
      <c r="BE34" s="125" t="str">
        <f>IF(ISTEXT(VLOOKUP(CONCATENATE($A34,"_",BE$3),'Unit List'!$A$14:$H$2841,2,FALSE)),"+","")</f>
        <v>+</v>
      </c>
      <c r="BF34" s="62" t="str">
        <f>IF(ISTEXT(VLOOKUP(CONCATENATE($A34,"_",BF$3),'Unit List'!$A$14:$H$2841,2,FALSE)),"X",$BE34)</f>
        <v>+</v>
      </c>
      <c r="BG34" s="75"/>
      <c r="BH34" s="84"/>
      <c r="BI34" s="211"/>
      <c r="BJ34" s="212"/>
      <c r="BK34" s="212"/>
      <c r="BL34" s="212"/>
      <c r="BM34" s="213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List'!$A$14:$H$2841,2,FALSE)),"+","")</f>
        <v/>
      </c>
      <c r="C35" s="57" t="str">
        <f>IF(ISTEXT(VLOOKUP(CONCATENATE($A35,"_",C$3),'Unit List'!$A$14:$H$2841,2,FALSE)),"X",$B35)</f>
        <v/>
      </c>
      <c r="D35" s="51" t="str">
        <f>IF(ISTEXT(VLOOKUP(CONCATENATE($A35,"_",D$3),'Unit List'!$A$14:$H$2841,2,FALSE)),"X",$B35)</f>
        <v/>
      </c>
      <c r="E35" s="51" t="str">
        <f>IF(ISTEXT(VLOOKUP(CONCATENATE($A35,"_",E$3),'Unit List'!$A$14:$H$2841,2,FALSE)),"X",$B35)</f>
        <v/>
      </c>
      <c r="F35" s="51" t="str">
        <f>IF(ISTEXT(VLOOKUP(CONCATENATE($A35,"_",F$3),'Unit List'!$A$14:$H$2841,2,FALSE)),"X",$B35)</f>
        <v/>
      </c>
      <c r="G35" s="51" t="str">
        <f>IF(ISTEXT(VLOOKUP(CONCATENATE($A35,"_",G$3),'Unit List'!$A$14:$H$2841,2,FALSE)),"X",$B35)</f>
        <v/>
      </c>
      <c r="H35" s="51" t="str">
        <f>IF(ISTEXT(VLOOKUP(CONCATENATE($A35,"_",H$3),'Unit List'!$A$14:$H$2841,2,FALSE)),"X",$B35)</f>
        <v/>
      </c>
      <c r="I35" s="53" t="str">
        <f>IF(ISTEXT(VLOOKUP(CONCATENATE($A35,"_",I$3),'Unit List'!$A$14:$H$2841,2,FALSE)),"X",$B35)</f>
        <v/>
      </c>
      <c r="J35" s="172" t="str">
        <f>IF(ISTEXT(VLOOKUP(CONCATENATE($A35,"_",J$3),'Unit List'!$A$14:$H$2841,2,FALSE)),"+","")</f>
        <v/>
      </c>
      <c r="K35" s="51" t="str">
        <f>IF(ISTEXT(VLOOKUP(CONCATENATE($A35,"_",K$3),'Unit List'!$A$14:$H$2841,2,FALSE)),"X",$J35)</f>
        <v/>
      </c>
      <c r="L35" s="62" t="str">
        <f>IF(ISTEXT(VLOOKUP(CONCATENATE($A35,"_",L$3),'Unit List'!$A$14:$H$2841,2,FALSE)),"X",$J35)</f>
        <v/>
      </c>
      <c r="M35" s="172" t="str">
        <f>IF(ISTEXT(VLOOKUP(CONCATENATE($A35,"_",M$3),'Unit List'!$A$14:$H$2841,2,FALSE)),"+","")</f>
        <v/>
      </c>
      <c r="N35" s="51" t="str">
        <f>IF(ISTEXT(VLOOKUP(CONCATENATE($A35,"_",N$3),'Unit List'!$A$14:$H$2841,2,FALSE)),"X",$M35)</f>
        <v/>
      </c>
      <c r="O35" s="53" t="str">
        <f>IF(ISTEXT(VLOOKUP(CONCATENATE($A35,"_",O$3),'Unit List'!$A$14:$H$2841,2,FALSE)),"X",$M35)</f>
        <v/>
      </c>
      <c r="P35" s="172" t="str">
        <f>IF(ISTEXT(VLOOKUP(CONCATENATE($A35,"_",P$3),'Unit List'!$A$14:$H$2841,2,FALSE)),"+","")</f>
        <v/>
      </c>
      <c r="Q35" s="51" t="str">
        <f>IF(ISTEXT(VLOOKUP(CONCATENATE($A35,"_",Q$3),'Unit List'!$A$14:$H$2841,2,FALSE)),"X",$P35)</f>
        <v/>
      </c>
      <c r="R35" s="51" t="str">
        <f>IF(ISTEXT(VLOOKUP(CONCATENATE($A35,"_",R$3),'Unit List'!$A$14:$H$2841,2,FALSE)),"X",$P35)</f>
        <v/>
      </c>
      <c r="S35" s="51" t="str">
        <f>IF(ISTEXT(VLOOKUP(CONCATENATE($A35,"_",S$3),'Unit List'!$A$14:$H$2841,2,FALSE)),"X",$P35)</f>
        <v/>
      </c>
      <c r="T35" s="52" t="str">
        <f>IF(ISTEXT(VLOOKUP(CONCATENATE($A35,"_",T$3),'Unit List'!$A$14:$H$2841,2,FALSE)),"X",$P35)</f>
        <v/>
      </c>
      <c r="U35" s="51" t="str">
        <f>IF(ISTEXT(VLOOKUP(CONCATENATE($A35,"_",U$3),'Unit List'!$A$14:$H$2841,2,FALSE)),"X",$P35)</f>
        <v/>
      </c>
      <c r="V35" s="51" t="str">
        <f>IF(ISTEXT(VLOOKUP(CONCATENATE($A35,"_",V$3),'Unit List'!$A$14:$H$2841,2,FALSE)),"X",$P35)</f>
        <v/>
      </c>
      <c r="W35" s="53" t="str">
        <f>IF(ISTEXT(VLOOKUP(CONCATENATE($A35,"_",W$3),'Unit List'!$A$14:$H$2841,2,FALSE)),"X",$P35)</f>
        <v/>
      </c>
      <c r="X35" s="172" t="str">
        <f>IF(ISTEXT(VLOOKUP(CONCATENATE($A35,"_",X$3),'Unit List'!$A$14:$H$2841,2,FALSE)),"+","")</f>
        <v/>
      </c>
      <c r="Y35" s="51" t="str">
        <f>IF(ISTEXT(VLOOKUP(CONCATENATE($A35,"_",Y$3),'Unit List'!$A$14:$H$2841,2,FALSE)),"X",$X35)</f>
        <v/>
      </c>
      <c r="Z35" s="51" t="str">
        <f>IF(ISTEXT(VLOOKUP(CONCATENATE($A35,"_",Z$3),'Unit List'!$A$14:$H$2841,2,FALSE)),"X",$X35)</f>
        <v/>
      </c>
      <c r="AA35" s="51" t="str">
        <f>IF(ISTEXT(VLOOKUP(CONCATENATE($A35,"_",AA$3),'Unit List'!$A$14:$H$2841,2,FALSE)),"X",$X35)</f>
        <v/>
      </c>
      <c r="AB35" s="51" t="str">
        <f>IF(ISTEXT(VLOOKUP(CONCATENATE($A35,"_",AB$3),'Unit List'!$A$14:$H$2841,2,FALSE)),"X",$X35)</f>
        <v/>
      </c>
      <c r="AC35" s="62" t="str">
        <f>IF(ISTEXT(VLOOKUP(CONCATENATE($A35,"_",AC$3),'Unit List'!$A$14:$H$2841,2,FALSE)),"X",$X35)</f>
        <v/>
      </c>
      <c r="AD35" s="172" t="str">
        <f>IF(ISTEXT(VLOOKUP(CONCATENATE($A35,"_",AD$3),'Unit List'!$A$14:$H$2841,2,FALSE)),"+","")</f>
        <v/>
      </c>
      <c r="AE35" s="51" t="str">
        <f>IF(ISTEXT(VLOOKUP(CONCATENATE($A35,"_",AE$3),'Unit List'!$A$14:$H$2841,2,FALSE)),"X",$AD35)</f>
        <v/>
      </c>
      <c r="AF35" s="51" t="str">
        <f>IF(ISTEXT(VLOOKUP(CONCATENATE($A35,"_",AF$3),'Unit List'!$A$14:$H$2841,2,FALSE)),"X",$AD35)</f>
        <v/>
      </c>
      <c r="AG35" s="172" t="str">
        <f>IF(ISTEXT(VLOOKUP(CONCATENATE($A35,"_",AG$3),'Unit List'!$A$14:$H$2841,2,FALSE)),"+","")</f>
        <v/>
      </c>
      <c r="AH35" s="51" t="str">
        <f>IF(ISTEXT(VLOOKUP(CONCATENATE($A35,"_",AH$3),'Unit List'!$A$14:$H$2841,2,FALSE)),"X",$AG35)</f>
        <v/>
      </c>
      <c r="AI35" s="51" t="str">
        <f>IF(ISTEXT(VLOOKUP(CONCATENATE($A35,"_",AI$3),'Unit List'!$A$14:$H$2841,2,FALSE)),"X",$AG35)</f>
        <v/>
      </c>
      <c r="AJ35" s="53" t="str">
        <f>IF(ISTEXT(VLOOKUP(CONCATENATE($A35,"_",AJ$3),'Unit List'!$A$14:$H$2841,2,FALSE)),"X",$AG35)</f>
        <v/>
      </c>
      <c r="AK35" s="172" t="str">
        <f>IF(ISTEXT(VLOOKUP(CONCATENATE($A35,"_",AK$3),'Unit List'!$A$14:$H$2841,2,FALSE)),"+","")</f>
        <v/>
      </c>
      <c r="AL35" s="52" t="str">
        <f>IF(ISTEXT(VLOOKUP(CONCATENATE($A35,"_",AL$3),'Unit List'!$A$14:$H$2841,2,FALSE)),"X",$AK35)</f>
        <v/>
      </c>
      <c r="AM35" s="53" t="str">
        <f>IF(ISTEXT(VLOOKUP(CONCATENATE($A35,"_",AM$3),'Unit List'!$A$14:$H$2841,2,FALSE)),"X",$AK35)</f>
        <v/>
      </c>
      <c r="AN35" s="125" t="str">
        <f>IF(ISTEXT(VLOOKUP(CONCATENATE($A35,"_",AN$3),'Unit List'!$A$14:$H$2841,2,FALSE)),"+","")</f>
        <v/>
      </c>
      <c r="AO35" s="53" t="str">
        <f>IF(ISTEXT(VLOOKUP(CONCATENATE($A35,"_",AO$3),'Unit List'!$A$14:$H$2841,2,FALSE)),"X",$AN35)</f>
        <v/>
      </c>
      <c r="AP35" s="172" t="str">
        <f>IF(ISTEXT(VLOOKUP(CONCATENATE($A35,"_",AP$3),'Unit List'!$A$14:$H$2841,2,FALSE)),"+","")</f>
        <v/>
      </c>
      <c r="AQ35" s="51" t="str">
        <f>IF(ISTEXT(VLOOKUP(CONCATENATE($A35,"_",AQ$3),'Unit List'!$A$14:$H$2841,2,FALSE)),"X",$AP35)</f>
        <v/>
      </c>
      <c r="AR35" s="51" t="str">
        <f>IF(ISTEXT(VLOOKUP(CONCATENATE($A35,"_",AR$3),'Unit List'!$A$14:$H$2841,2,FALSE)),"X",$AP35)</f>
        <v/>
      </c>
      <c r="AS35" s="51" t="str">
        <f>IF(ISTEXT(VLOOKUP(CONCATENATE($A35,"_",AS$3),'Unit List'!$A$14:$H$2841,2,FALSE)),"X",$AP35)</f>
        <v/>
      </c>
      <c r="AT35" s="53" t="str">
        <f>IF(ISTEXT(VLOOKUP(CONCATENATE($A35,"_",AT$3),'Unit List'!$A$14:$H$2841,2,FALSE)),"X",$AP35)</f>
        <v/>
      </c>
      <c r="AU35" s="124" t="str">
        <f>IF(ISTEXT(VLOOKUP(CONCATENATE($A35,"_",AU$3),'Unit List'!$A$14:$H$2841,2,FALSE)),"+","")</f>
        <v/>
      </c>
      <c r="AV35" s="51" t="str">
        <f>IF(ISTEXT(VLOOKUP(CONCATENATE($A35,"_",AV$3),'Unit List'!$A$14:$H$2841,2,FALSE)),"X",$AU35)</f>
        <v/>
      </c>
      <c r="AW35" s="53" t="str">
        <f>IF(ISTEXT(VLOOKUP(CONCATENATE($A35,"_",AW$3),'Unit List'!$A$14:$H$2841,2,FALSE)),"X",$AU35)</f>
        <v/>
      </c>
      <c r="AX35" s="172" t="str">
        <f>IF(ISTEXT(VLOOKUP(CONCATENATE($A35,"_",AX$3),'Unit List'!$A$14:$H$2841,2,FALSE)),"+","")</f>
        <v/>
      </c>
      <c r="AY35" s="51" t="str">
        <f>IF(ISTEXT(VLOOKUP(CONCATENATE($A35,"_",AY$3),'Unit List'!$A$14:$H$2841,2,FALSE)),"X",$AX35)</f>
        <v/>
      </c>
      <c r="AZ35" s="53" t="str">
        <f>IF(ISTEXT(VLOOKUP(CONCATENATE($A35,"_",AZ$3),'Unit List'!$A$14:$H$2841,2,FALSE)),"X",$AX35)</f>
        <v/>
      </c>
      <c r="BA35" s="182" t="str">
        <f>IF(ISTEXT(VLOOKUP(CONCATENATE($A35,"_",BA$3),'Unit List'!$A$14:$H$2841,2,FALSE)),"+","")</f>
        <v/>
      </c>
      <c r="BB35" s="51" t="str">
        <f>IF(ISTEXT(VLOOKUP(CONCATENATE($A35,"_",BB$3),'Unit List'!$A$14:$H$2841,2,FALSE)),"X",$BA35)</f>
        <v/>
      </c>
      <c r="BC35" s="51" t="str">
        <f>IF(ISTEXT(VLOOKUP(CONCATENATE($A35,"_",BC$3),'Unit List'!$A$14:$H$2841,2,FALSE)),"X",$BA35)</f>
        <v/>
      </c>
      <c r="BD35" s="53" t="str">
        <f>IF(ISTEXT(VLOOKUP(CONCATENATE($A35,"_",BD$3),'Unit List'!$A$14:$H$2841,2,FALSE)),"X",$BA35)</f>
        <v/>
      </c>
      <c r="BE35" s="125" t="str">
        <f>IF(ISTEXT(VLOOKUP(CONCATENATE($A35,"_",BE$3),'Unit List'!$A$14:$H$2841,2,FALSE)),"+","")</f>
        <v/>
      </c>
      <c r="BF35" s="62" t="str">
        <f>IF(ISTEXT(VLOOKUP(CONCATENATE($A35,"_",BF$3),'Unit List'!$A$14:$H$2841,2,FALSE)),"X",$BE35)</f>
        <v/>
      </c>
      <c r="BG35" s="75"/>
      <c r="BH35" s="84"/>
      <c r="BI35" s="211"/>
      <c r="BJ35" s="212"/>
      <c r="BK35" s="212"/>
      <c r="BL35" s="212"/>
      <c r="BM35" s="213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List'!$A$14:$H$2841,2,FALSE)),"+","")</f>
        <v>+</v>
      </c>
      <c r="C36" s="57" t="str">
        <f>IF(ISTEXT(VLOOKUP(CONCATENATE($A36,"_",C$3),'Unit List'!$A$14:$H$2841,2,FALSE)),"X",$B36)</f>
        <v>X</v>
      </c>
      <c r="D36" s="51" t="str">
        <f>IF(ISTEXT(VLOOKUP(CONCATENATE($A36,"_",D$3),'Unit List'!$A$14:$H$2841,2,FALSE)),"X",$B36)</f>
        <v>X</v>
      </c>
      <c r="E36" s="51" t="str">
        <f>IF(ISTEXT(VLOOKUP(CONCATENATE($A36,"_",E$3),'Unit List'!$A$14:$H$2841,2,FALSE)),"X",$B36)</f>
        <v>X</v>
      </c>
      <c r="F36" s="51" t="str">
        <f>IF(ISTEXT(VLOOKUP(CONCATENATE($A36,"_",F$3),'Unit List'!$A$14:$H$2841,2,FALSE)),"X",$B36)</f>
        <v>X</v>
      </c>
      <c r="G36" s="51" t="str">
        <f>IF(ISTEXT(VLOOKUP(CONCATENATE($A36,"_",G$3),'Unit List'!$A$14:$H$2841,2,FALSE)),"X",$B36)</f>
        <v>+</v>
      </c>
      <c r="H36" s="67" t="str">
        <f>IF(ISTEXT(VLOOKUP(CONCATENATE($A36,"_",H$3),'Unit List'!$A$14:$H$2841,2,FALSE)),"X",$B36)</f>
        <v>X</v>
      </c>
      <c r="I36" s="53" t="str">
        <f>IF(ISTEXT(VLOOKUP(CONCATENATE($A36,"_",I$3),'Unit List'!$A$14:$H$2841,2,FALSE)),"X",$B36)</f>
        <v>+</v>
      </c>
      <c r="J36" s="171" t="str">
        <f>IF(ISTEXT(VLOOKUP(CONCATENATE($A36,"_",J$3),'Unit List'!$A$14:$H$2841,2,FALSE)),"+","")</f>
        <v/>
      </c>
      <c r="K36" s="51" t="str">
        <f>IF(ISTEXT(VLOOKUP(CONCATENATE($A36,"_",K$3),'Unit List'!$A$14:$H$2841,2,FALSE)),"X",$J36)</f>
        <v/>
      </c>
      <c r="L36" s="62" t="str">
        <f>IF(ISTEXT(VLOOKUP(CONCATENATE($A36,"_",L$3),'Unit List'!$A$14:$H$2841,2,FALSE)),"X",$J36)</f>
        <v/>
      </c>
      <c r="M36" s="171" t="str">
        <f>IF(ISTEXT(VLOOKUP(CONCATENATE($A36,"_",M$3),'Unit List'!$A$14:$H$2841,2,FALSE)),"+","")</f>
        <v>+</v>
      </c>
      <c r="N36" s="69" t="str">
        <f>IF(ISTEXT(VLOOKUP(CONCATENATE($A36,"_",N$3),'Unit List'!$A$14:$H$2841,2,FALSE)),"X",$M36)</f>
        <v>+</v>
      </c>
      <c r="O36" s="70" t="str">
        <f>IF(ISTEXT(VLOOKUP(CONCATENATE($A36,"_",O$3),'Unit List'!$A$14:$H$2841,2,FALSE)),"X",$M36)</f>
        <v>X</v>
      </c>
      <c r="P36" s="172" t="str">
        <f>IF(ISTEXT(VLOOKUP(CONCATENATE($A36,"_",P$3),'Unit List'!$A$14:$H$2841,2,FALSE)),"+","")</f>
        <v/>
      </c>
      <c r="Q36" s="51" t="str">
        <f>IF(ISTEXT(VLOOKUP(CONCATENATE($A36,"_",Q$3),'Unit List'!$A$14:$H$2841,2,FALSE)),"X",$P36)</f>
        <v/>
      </c>
      <c r="R36" s="51" t="str">
        <f>IF(ISTEXT(VLOOKUP(CONCATENATE($A36,"_",R$3),'Unit List'!$A$14:$H$2841,2,FALSE)),"X",$P36)</f>
        <v/>
      </c>
      <c r="S36" s="51" t="str">
        <f>IF(ISTEXT(VLOOKUP(CONCATENATE($A36,"_",S$3),'Unit List'!$A$14:$H$2841,2,FALSE)),"X",$P36)</f>
        <v/>
      </c>
      <c r="T36" s="52" t="str">
        <f>IF(ISTEXT(VLOOKUP(CONCATENATE($A36,"_",T$3),'Unit List'!$A$14:$H$2841,2,FALSE)),"X",$P36)</f>
        <v/>
      </c>
      <c r="U36" s="67" t="str">
        <f>IF(ISTEXT(VLOOKUP(CONCATENATE($A36,"_",U$3),'Unit List'!$A$14:$H$2841,2,FALSE)),"X",$P36)</f>
        <v>X</v>
      </c>
      <c r="V36" s="51" t="str">
        <f>IF(ISTEXT(VLOOKUP(CONCATENATE($A36,"_",V$3),'Unit List'!$A$14:$H$2841,2,FALSE)),"X",$P36)</f>
        <v/>
      </c>
      <c r="W36" s="53" t="str">
        <f>IF(ISTEXT(VLOOKUP(CONCATENATE($A36,"_",W$3),'Unit List'!$A$14:$H$2841,2,FALSE)),"X",$P36)</f>
        <v/>
      </c>
      <c r="X36" s="171" t="str">
        <f>IF(ISTEXT(VLOOKUP(CONCATENATE($A36,"_",X$3),'Unit List'!$A$14:$H$2841,2,FALSE)),"+","")</f>
        <v>+</v>
      </c>
      <c r="Y36" s="51" t="str">
        <f>IF(ISTEXT(VLOOKUP(CONCATENATE($A36,"_",Y$3),'Unit List'!$A$14:$H$2841,2,FALSE)),"X",$X36)</f>
        <v>X</v>
      </c>
      <c r="Z36" s="51" t="str">
        <f>IF(ISTEXT(VLOOKUP(CONCATENATE($A36,"_",Z$3),'Unit List'!$A$14:$H$2841,2,FALSE)),"X",$X36)</f>
        <v>+</v>
      </c>
      <c r="AA36" s="67" t="str">
        <f>IF(ISTEXT(VLOOKUP(CONCATENATE($A36,"_",AA$3),'Unit List'!$A$14:$H$2841,2,FALSE)),"X",$X36)</f>
        <v>X</v>
      </c>
      <c r="AB36" s="51" t="str">
        <f>IF(ISTEXT(VLOOKUP(CONCATENATE($A36,"_",AB$3),'Unit List'!$A$14:$H$2841,2,FALSE)),"X",$X36)</f>
        <v>+</v>
      </c>
      <c r="AC36" s="86" t="str">
        <f>IF(ISTEXT(VLOOKUP(CONCATENATE($A36,"_",AC$3),'Unit List'!$A$14:$H$2841,2,FALSE)),"X",$X36)</f>
        <v>X</v>
      </c>
      <c r="AD36" s="171" t="str">
        <f>IF(ISTEXT(VLOOKUP(CONCATENATE($A36,"_",AD$3),'Unit List'!$A$14:$H$2841,2,FALSE)),"+","")</f>
        <v>+</v>
      </c>
      <c r="AE36" s="51" t="str">
        <f>IF(ISTEXT(VLOOKUP(CONCATENATE($A36,"_",AE$3),'Unit List'!$A$14:$H$2841,2,FALSE)),"X",$AD36)</f>
        <v>+</v>
      </c>
      <c r="AF36" s="51" t="str">
        <f>IF(ISTEXT(VLOOKUP(CONCATENATE($A36,"_",AF$3),'Unit List'!$A$14:$H$2841,2,FALSE)),"X",$AD36)</f>
        <v>+</v>
      </c>
      <c r="AG36" s="171" t="str">
        <f>IF(ISTEXT(VLOOKUP(CONCATENATE($A36,"_",AG$3),'Unit List'!$A$14:$H$2841,2,FALSE)),"+","")</f>
        <v>+</v>
      </c>
      <c r="AH36" s="51" t="str">
        <f>IF(ISTEXT(VLOOKUP(CONCATENATE($A36,"_",AH$3),'Unit List'!$A$14:$H$2841,2,FALSE)),"X",$AG36)</f>
        <v>+</v>
      </c>
      <c r="AI36" s="51" t="str">
        <f>IF(ISTEXT(VLOOKUP(CONCATENATE($A36,"_",AI$3),'Unit List'!$A$14:$H$2841,2,FALSE)),"X",$AG36)</f>
        <v>+</v>
      </c>
      <c r="AJ36" s="53" t="str">
        <f>IF(ISTEXT(VLOOKUP(CONCATENATE($A36,"_",AJ$3),'Unit List'!$A$14:$H$2841,2,FALSE)),"X",$AG36)</f>
        <v>+</v>
      </c>
      <c r="AK36" s="172" t="str">
        <f>IF(ISTEXT(VLOOKUP(CONCATENATE($A36,"_",AK$3),'Unit List'!$A$14:$H$2841,2,FALSE)),"+","")</f>
        <v/>
      </c>
      <c r="AL36" s="52" t="str">
        <f>IF(ISTEXT(VLOOKUP(CONCATENATE($A36,"_",AL$3),'Unit List'!$A$14:$H$2841,2,FALSE)),"X",$AK36)</f>
        <v/>
      </c>
      <c r="AM36" s="53" t="str">
        <f>IF(ISTEXT(VLOOKUP(CONCATENATE($A36,"_",AM$3),'Unit List'!$A$14:$H$2841,2,FALSE)),"X",$AK36)</f>
        <v/>
      </c>
      <c r="AN36" s="125" t="str">
        <f>IF(ISTEXT(VLOOKUP(CONCATENATE($A36,"_",AN$3),'Unit List'!$A$14:$H$2841,2,FALSE)),"+","")</f>
        <v>+</v>
      </c>
      <c r="AO36" s="70" t="str">
        <f>IF(ISTEXT(VLOOKUP(CONCATENATE($A36,"_",AO$3),'Unit List'!$A$14:$H$2841,2,FALSE)),"X",$AN36)</f>
        <v>+</v>
      </c>
      <c r="AP36" s="172" t="str">
        <f>IF(ISTEXT(VLOOKUP(CONCATENATE($A36,"_",AP$3),'Unit List'!$A$14:$H$2841,2,FALSE)),"+","")</f>
        <v>+</v>
      </c>
      <c r="AQ36" s="69" t="str">
        <f>IF(ISTEXT(VLOOKUP(CONCATENATE($A36,"_",AQ$3),'Unit List'!$A$14:$H$2841,2,FALSE)),"X",$AP36)</f>
        <v>+</v>
      </c>
      <c r="AR36" s="51" t="str">
        <f>IF(ISTEXT(VLOOKUP(CONCATENATE($A36,"_",AR$3),'Unit List'!$A$14:$H$2841,2,FALSE)),"X",$AP36)</f>
        <v>+</v>
      </c>
      <c r="AS36" s="51" t="str">
        <f>IF(ISTEXT(VLOOKUP(CONCATENATE($A36,"_",AS$3),'Unit List'!$A$14:$H$2841,2,FALSE)),"X",$AP36)</f>
        <v>+</v>
      </c>
      <c r="AT36" s="53" t="str">
        <f>IF(ISTEXT(VLOOKUP(CONCATENATE($A36,"_",AT$3),'Unit List'!$A$14:$H$2841,2,FALSE)),"X",$AP36)</f>
        <v>+</v>
      </c>
      <c r="AU36" s="124" t="str">
        <f>IF(ISTEXT(VLOOKUP(CONCATENATE($A36,"_",AU$3),'Unit List'!$A$14:$H$2841,2,FALSE)),"+","")</f>
        <v>+</v>
      </c>
      <c r="AV36" s="51" t="str">
        <f>IF(ISTEXT(VLOOKUP(CONCATENATE($A36,"_",AV$3),'Unit List'!$A$14:$H$2841,2,FALSE)),"X",$AU36)</f>
        <v>+</v>
      </c>
      <c r="AW36" s="53" t="str">
        <f>IF(ISTEXT(VLOOKUP(CONCATENATE($A36,"_",AW$3),'Unit List'!$A$14:$H$2841,2,FALSE)),"X",$AU36)</f>
        <v>+</v>
      </c>
      <c r="AX36" s="172" t="str">
        <f>IF(ISTEXT(VLOOKUP(CONCATENATE($A36,"_",AX$3),'Unit List'!$A$14:$H$2841,2,FALSE)),"+","")</f>
        <v>+</v>
      </c>
      <c r="AY36" s="51" t="str">
        <f>IF(ISTEXT(VLOOKUP(CONCATENATE($A36,"_",AY$3),'Unit List'!$A$14:$H$2841,2,FALSE)),"X",$AX36)</f>
        <v>+</v>
      </c>
      <c r="AZ36" s="53" t="str">
        <f>IF(ISTEXT(VLOOKUP(CONCATENATE($A36,"_",AZ$3),'Unit List'!$A$14:$H$2841,2,FALSE)),"X",$AX36)</f>
        <v>+</v>
      </c>
      <c r="BA36" s="182" t="str">
        <f>IF(ISTEXT(VLOOKUP(CONCATENATE($A36,"_",BA$3),'Unit List'!$A$14:$H$2841,2,FALSE)),"+","")</f>
        <v/>
      </c>
      <c r="BB36" s="51" t="str">
        <f>IF(ISTEXT(VLOOKUP(CONCATENATE($A36,"_",BB$3),'Unit List'!$A$14:$H$2841,2,FALSE)),"X",$BA36)</f>
        <v/>
      </c>
      <c r="BC36" s="51" t="str">
        <f>IF(ISTEXT(VLOOKUP(CONCATENATE($A36,"_",BC$3),'Unit List'!$A$14:$H$2841,2,FALSE)),"X",$BA36)</f>
        <v/>
      </c>
      <c r="BD36" s="53" t="str">
        <f>IF(ISTEXT(VLOOKUP(CONCATENATE($A36,"_",BD$3),'Unit List'!$A$14:$H$2841,2,FALSE)),"X",$BA36)</f>
        <v/>
      </c>
      <c r="BE36" s="125" t="str">
        <f>IF(ISTEXT(VLOOKUP(CONCATENATE($A36,"_",BE$3),'Unit List'!$A$14:$H$2841,2,FALSE)),"+","")</f>
        <v>+</v>
      </c>
      <c r="BF36" s="62" t="str">
        <f>IF(ISTEXT(VLOOKUP(CONCATENATE($A36,"_",BF$3),'Unit List'!$A$14:$H$2841,2,FALSE)),"X",$BE36)</f>
        <v>+</v>
      </c>
      <c r="BG36" s="64"/>
      <c r="BH36" s="65" t="s">
        <v>0</v>
      </c>
      <c r="BI36" s="211"/>
      <c r="BJ36" s="212"/>
      <c r="BK36" s="212"/>
      <c r="BL36" s="212"/>
      <c r="BM36" s="213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List'!$A$14:$H$2841,2,FALSE)),"+","")</f>
        <v/>
      </c>
      <c r="C37" s="93" t="str">
        <f>IF(ISTEXT(VLOOKUP(CONCATENATE($A37,"_",C$3),'Unit List'!$A$14:$H$2841,2,FALSE)),"X",$B37)</f>
        <v/>
      </c>
      <c r="D37" s="51" t="str">
        <f>IF(ISTEXT(VLOOKUP(CONCATENATE($A37,"_",D$3),'Unit List'!$A$14:$H$2841,2,FALSE)),"X",$B37)</f>
        <v/>
      </c>
      <c r="E37" s="51" t="str">
        <f>IF(ISTEXT(VLOOKUP(CONCATENATE($A37,"_",E$3),'Unit List'!$A$14:$H$2841,2,FALSE)),"X",$B37)</f>
        <v/>
      </c>
      <c r="F37" s="51" t="str">
        <f>IF(ISTEXT(VLOOKUP(CONCATENATE($A37,"_",F$3),'Unit List'!$A$14:$H$2841,2,FALSE)),"X",$B37)</f>
        <v/>
      </c>
      <c r="G37" s="51" t="str">
        <f>IF(ISTEXT(VLOOKUP(CONCATENATE($A37,"_",G$3),'Unit List'!$A$14:$H$2841,2,FALSE)),"X",$B37)</f>
        <v/>
      </c>
      <c r="H37" s="51" t="str">
        <f>IF(ISTEXT(VLOOKUP(CONCATENATE($A37,"_",H$3),'Unit List'!$A$14:$H$2841,2,FALSE)),"X",$B37)</f>
        <v/>
      </c>
      <c r="I37" s="53" t="str">
        <f>IF(ISTEXT(VLOOKUP(CONCATENATE($A37,"_",I$3),'Unit List'!$A$14:$H$2841,2,FALSE)),"X",$B37)</f>
        <v/>
      </c>
      <c r="J37" s="172" t="str">
        <f>IF(ISTEXT(VLOOKUP(CONCATENATE($A37,"_",J$3),'Unit List'!$A$14:$H$2841,2,FALSE)),"+","")</f>
        <v/>
      </c>
      <c r="K37" s="51" t="str">
        <f>IF(ISTEXT(VLOOKUP(CONCATENATE($A37,"_",K$3),'Unit List'!$A$14:$H$2841,2,FALSE)),"X",$J37)</f>
        <v/>
      </c>
      <c r="L37" s="62" t="str">
        <f>IF(ISTEXT(VLOOKUP(CONCATENATE($A37,"_",L$3),'Unit List'!$A$14:$H$2841,2,FALSE)),"X",$J37)</f>
        <v/>
      </c>
      <c r="M37" s="172" t="str">
        <f>IF(ISTEXT(VLOOKUP(CONCATENATE($A37,"_",M$3),'Unit List'!$A$14:$H$2841,2,FALSE)),"+","")</f>
        <v>+</v>
      </c>
      <c r="N37" s="51" t="str">
        <f>IF(ISTEXT(VLOOKUP(CONCATENATE($A37,"_",N$3),'Unit List'!$A$14:$H$2841,2,FALSE)),"X",$M37)</f>
        <v>+</v>
      </c>
      <c r="O37" s="61" t="str">
        <f>IF(ISTEXT(VLOOKUP(CONCATENATE($A37,"_",O$3),'Unit List'!$A$14:$H$2841,2,FALSE)),"X",$M37)</f>
        <v>+</v>
      </c>
      <c r="P37" s="172" t="str">
        <f>IF(ISTEXT(VLOOKUP(CONCATENATE($A37,"_",P$3),'Unit List'!$A$14:$H$2841,2,FALSE)),"+","")</f>
        <v/>
      </c>
      <c r="Q37" s="51" t="str">
        <f>IF(ISTEXT(VLOOKUP(CONCATENATE($A37,"_",Q$3),'Unit List'!$A$14:$H$2841,2,FALSE)),"X",$P37)</f>
        <v/>
      </c>
      <c r="R37" s="51" t="str">
        <f>IF(ISTEXT(VLOOKUP(CONCATENATE($A37,"_",R$3),'Unit List'!$A$14:$H$2841,2,FALSE)),"X",$P37)</f>
        <v/>
      </c>
      <c r="S37" s="51" t="str">
        <f>IF(ISTEXT(VLOOKUP(CONCATENATE($A37,"_",S$3),'Unit List'!$A$14:$H$2841,2,FALSE)),"X",$P37)</f>
        <v/>
      </c>
      <c r="T37" s="52" t="str">
        <f>IF(ISTEXT(VLOOKUP(CONCATENATE($A37,"_",T$3),'Unit List'!$A$14:$H$2841,2,FALSE)),"X",$P37)</f>
        <v/>
      </c>
      <c r="U37" s="51" t="str">
        <f>IF(ISTEXT(VLOOKUP(CONCATENATE($A37,"_",U$3),'Unit List'!$A$14:$H$2841,2,FALSE)),"X",$P37)</f>
        <v/>
      </c>
      <c r="V37" s="51" t="str">
        <f>IF(ISTEXT(VLOOKUP(CONCATENATE($A37,"_",V$3),'Unit List'!$A$14:$H$2841,2,FALSE)),"X",$P37)</f>
        <v/>
      </c>
      <c r="W37" s="53" t="str">
        <f>IF(ISTEXT(VLOOKUP(CONCATENATE($A37,"_",W$3),'Unit List'!$A$14:$H$2841,2,FALSE)),"X",$P37)</f>
        <v/>
      </c>
      <c r="X37" s="172" t="str">
        <f>IF(ISTEXT(VLOOKUP(CONCATENATE($A37,"_",X$3),'Unit List'!$A$14:$H$2841,2,FALSE)),"+","")</f>
        <v/>
      </c>
      <c r="Y37" s="51" t="str">
        <f>IF(ISTEXT(VLOOKUP(CONCATENATE($A37,"_",Y$3),'Unit List'!$A$14:$H$2841,2,FALSE)),"X",$X37)</f>
        <v/>
      </c>
      <c r="Z37" s="51" t="str">
        <f>IF(ISTEXT(VLOOKUP(CONCATENATE($A37,"_",Z$3),'Unit List'!$A$14:$H$2841,2,FALSE)),"X",$X37)</f>
        <v/>
      </c>
      <c r="AA37" s="51" t="str">
        <f>IF(ISTEXT(VLOOKUP(CONCATENATE($A37,"_",AA$3),'Unit List'!$A$14:$H$2841,2,FALSE)),"X",$X37)</f>
        <v/>
      </c>
      <c r="AB37" s="51" t="str">
        <f>IF(ISTEXT(VLOOKUP(CONCATENATE($A37,"_",AB$3),'Unit List'!$A$14:$H$2841,2,FALSE)),"X",$X37)</f>
        <v/>
      </c>
      <c r="AC37" s="62" t="str">
        <f>IF(ISTEXT(VLOOKUP(CONCATENATE($A37,"_",AC$3),'Unit List'!$A$14:$H$2841,2,FALSE)),"X",$X37)</f>
        <v/>
      </c>
      <c r="AD37" s="172" t="str">
        <f>IF(ISTEXT(VLOOKUP(CONCATENATE($A37,"_",AD$3),'Unit List'!$A$14:$H$2841,2,FALSE)),"+","")</f>
        <v/>
      </c>
      <c r="AE37" s="51" t="str">
        <f>IF(ISTEXT(VLOOKUP(CONCATENATE($A37,"_",AE$3),'Unit List'!$A$14:$H$2841,2,FALSE)),"X",$AD37)</f>
        <v/>
      </c>
      <c r="AF37" s="51" t="str">
        <f>IF(ISTEXT(VLOOKUP(CONCATENATE($A37,"_",AF$3),'Unit List'!$A$14:$H$2841,2,FALSE)),"X",$AD37)</f>
        <v/>
      </c>
      <c r="AG37" s="172" t="str">
        <f>IF(ISTEXT(VLOOKUP(CONCATENATE($A37,"_",AG$3),'Unit List'!$A$14:$H$2841,2,FALSE)),"+","")</f>
        <v/>
      </c>
      <c r="AH37" s="51" t="str">
        <f>IF(ISTEXT(VLOOKUP(CONCATENATE($A37,"_",AH$3),'Unit List'!$A$14:$H$2841,2,FALSE)),"X",$AG37)</f>
        <v/>
      </c>
      <c r="AI37" s="51" t="str">
        <f>IF(ISTEXT(VLOOKUP(CONCATENATE($A37,"_",AI$3),'Unit List'!$A$14:$H$2841,2,FALSE)),"X",$AG37)</f>
        <v/>
      </c>
      <c r="AJ37" s="53" t="str">
        <f>IF(ISTEXT(VLOOKUP(CONCATENATE($A37,"_",AJ$3),'Unit List'!$A$14:$H$2841,2,FALSE)),"X",$AG37)</f>
        <v/>
      </c>
      <c r="AK37" s="172" t="str">
        <f>IF(ISTEXT(VLOOKUP(CONCATENATE($A37,"_",AK$3),'Unit List'!$A$14:$H$2841,2,FALSE)),"+","")</f>
        <v>+</v>
      </c>
      <c r="AL37" s="52" t="str">
        <f>IF(ISTEXT(VLOOKUP(CONCATENATE($A37,"_",AL$3),'Unit List'!$A$14:$H$2841,2,FALSE)),"X",$AK37)</f>
        <v>+</v>
      </c>
      <c r="AM37" s="53" t="str">
        <f>IF(ISTEXT(VLOOKUP(CONCATENATE($A37,"_",AM$3),'Unit List'!$A$14:$H$2841,2,FALSE)),"X",$AK37)</f>
        <v>+</v>
      </c>
      <c r="AN37" s="125" t="str">
        <f>IF(ISTEXT(VLOOKUP(CONCATENATE($A37,"_",AN$3),'Unit List'!$A$14:$H$2841,2,FALSE)),"+","")</f>
        <v/>
      </c>
      <c r="AO37" s="53" t="str">
        <f>IF(ISTEXT(VLOOKUP(CONCATENATE($A37,"_",AO$3),'Unit List'!$A$14:$H$2841,2,FALSE)),"X",$AN37)</f>
        <v/>
      </c>
      <c r="AP37" s="172" t="str">
        <f>IF(ISTEXT(VLOOKUP(CONCATENATE($A37,"_",AP$3),'Unit List'!$A$14:$H$2841,2,FALSE)),"+","")</f>
        <v>+</v>
      </c>
      <c r="AQ37" s="51" t="str">
        <f>IF(ISTEXT(VLOOKUP(CONCATENATE($A37,"_",AQ$3),'Unit List'!$A$14:$H$2841,2,FALSE)),"X",$AP37)</f>
        <v>+</v>
      </c>
      <c r="AR37" s="51" t="str">
        <f>IF(ISTEXT(VLOOKUP(CONCATENATE($A37,"_",AR$3),'Unit List'!$A$14:$H$2841,2,FALSE)),"X",$AP37)</f>
        <v>+</v>
      </c>
      <c r="AS37" s="51" t="str">
        <f>IF(ISTEXT(VLOOKUP(CONCATENATE($A37,"_",AS$3),'Unit List'!$A$14:$H$2841,2,FALSE)),"X",$AP37)</f>
        <v>+</v>
      </c>
      <c r="AT37" s="53" t="str">
        <f>IF(ISTEXT(VLOOKUP(CONCATENATE($A37,"_",AT$3),'Unit List'!$A$14:$H$2841,2,FALSE)),"X",$AP37)</f>
        <v>+</v>
      </c>
      <c r="AU37" s="124" t="str">
        <f>IF(ISTEXT(VLOOKUP(CONCATENATE($A37,"_",AU$3),'Unit List'!$A$14:$H$2841,2,FALSE)),"+","")</f>
        <v/>
      </c>
      <c r="AV37" s="51" t="str">
        <f>IF(ISTEXT(VLOOKUP(CONCATENATE($A37,"_",AV$3),'Unit List'!$A$14:$H$2841,2,FALSE)),"X",$AU37)</f>
        <v/>
      </c>
      <c r="AW37" s="53" t="str">
        <f>IF(ISTEXT(VLOOKUP(CONCATENATE($A37,"_",AW$3),'Unit List'!$A$14:$H$2841,2,FALSE)),"X",$AU37)</f>
        <v/>
      </c>
      <c r="AX37" s="172" t="str">
        <f>IF(ISTEXT(VLOOKUP(CONCATENATE($A37,"_",AX$3),'Unit List'!$A$14:$H$2841,2,FALSE)),"+","")</f>
        <v/>
      </c>
      <c r="AY37" s="51" t="str">
        <f>IF(ISTEXT(VLOOKUP(CONCATENATE($A37,"_",AY$3),'Unit List'!$A$14:$H$2841,2,FALSE)),"X",$AX37)</f>
        <v/>
      </c>
      <c r="AZ37" s="53" t="str">
        <f>IF(ISTEXT(VLOOKUP(CONCATENATE($A37,"_",AZ$3),'Unit List'!$A$14:$H$2841,2,FALSE)),"X",$AX37)</f>
        <v/>
      </c>
      <c r="BA37" s="182" t="str">
        <f>IF(ISTEXT(VLOOKUP(CONCATENATE($A37,"_",BA$3),'Unit List'!$A$14:$H$2841,2,FALSE)),"+","")</f>
        <v/>
      </c>
      <c r="BB37" s="51" t="str">
        <f>IF(ISTEXT(VLOOKUP(CONCATENATE($A37,"_",BB$3),'Unit List'!$A$14:$H$2841,2,FALSE)),"X",$BA37)</f>
        <v/>
      </c>
      <c r="BC37" s="51" t="str">
        <f>IF(ISTEXT(VLOOKUP(CONCATENATE($A37,"_",BC$3),'Unit List'!$A$14:$H$2841,2,FALSE)),"X",$BA37)</f>
        <v/>
      </c>
      <c r="BD37" s="53" t="str">
        <f>IF(ISTEXT(VLOOKUP(CONCATENATE($A37,"_",BD$3),'Unit List'!$A$14:$H$2841,2,FALSE)),"X",$BA37)</f>
        <v/>
      </c>
      <c r="BE37" s="125" t="str">
        <f>IF(ISTEXT(VLOOKUP(CONCATENATE($A37,"_",BE$3),'Unit List'!$A$14:$H$2841,2,FALSE)),"+","")</f>
        <v/>
      </c>
      <c r="BF37" s="62" t="str">
        <f>IF(ISTEXT(VLOOKUP(CONCATENATE($A37,"_",BF$3),'Unit List'!$A$14:$H$2841,2,FALSE)),"X",$BE37)</f>
        <v/>
      </c>
      <c r="BG37" s="64"/>
      <c r="BH37" s="65" t="s">
        <v>0</v>
      </c>
      <c r="BI37" s="211"/>
      <c r="BJ37" s="212"/>
      <c r="BK37" s="212"/>
      <c r="BL37" s="212"/>
      <c r="BM37" s="213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List'!$A$14:$H$2841,2,FALSE)),"+","")</f>
        <v/>
      </c>
      <c r="C38" s="57" t="str">
        <f>IF(ISTEXT(VLOOKUP(CONCATENATE($A38,"_",C$3),'Unit List'!$A$14:$H$2841,2,FALSE)),"X",$B38)</f>
        <v/>
      </c>
      <c r="D38" s="51" t="str">
        <f>IF(ISTEXT(VLOOKUP(CONCATENATE($A38,"_",D$3),'Unit List'!$A$14:$H$2841,2,FALSE)),"X",$B38)</f>
        <v/>
      </c>
      <c r="E38" s="51" t="str">
        <f>IF(ISTEXT(VLOOKUP(CONCATENATE($A38,"_",E$3),'Unit List'!$A$14:$H$2841,2,FALSE)),"X",$B38)</f>
        <v/>
      </c>
      <c r="F38" s="51" t="str">
        <f>IF(ISTEXT(VLOOKUP(CONCATENATE($A38,"_",F$3),'Unit List'!$A$14:$H$2841,2,FALSE)),"X",$B38)</f>
        <v/>
      </c>
      <c r="G38" s="67" t="str">
        <f>IF(ISTEXT(VLOOKUP(CONCATENATE($A38,"_",G$3),'Unit List'!$A$14:$H$2841,2,FALSE)),"X",$B38)</f>
        <v>X</v>
      </c>
      <c r="H38" s="51" t="str">
        <f>IF(ISTEXT(VLOOKUP(CONCATENATE($A38,"_",H$3),'Unit List'!$A$14:$H$2841,2,FALSE)),"X",$B38)</f>
        <v>X</v>
      </c>
      <c r="I38" s="53" t="str">
        <f>IF(ISTEXT(VLOOKUP(CONCATENATE($A38,"_",I$3),'Unit List'!$A$14:$H$2841,2,FALSE)),"X",$B38)</f>
        <v/>
      </c>
      <c r="J38" s="172" t="str">
        <f>IF(ISTEXT(VLOOKUP(CONCATENATE($A38,"_",J$3),'Unit List'!$A$14:$H$2841,2,FALSE)),"+","")</f>
        <v/>
      </c>
      <c r="K38" s="51" t="str">
        <f>IF(ISTEXT(VLOOKUP(CONCATENATE($A38,"_",K$3),'Unit List'!$A$14:$H$2841,2,FALSE)),"X",$J38)</f>
        <v/>
      </c>
      <c r="L38" s="62" t="str">
        <f>IF(ISTEXT(VLOOKUP(CONCATENATE($A38,"_",L$3),'Unit List'!$A$14:$H$2841,2,FALSE)),"X",$J38)</f>
        <v/>
      </c>
      <c r="M38" s="172" t="str">
        <f>IF(ISTEXT(VLOOKUP(CONCATENATE($A38,"_",M$3),'Unit List'!$A$14:$H$2841,2,FALSE)),"+","")</f>
        <v/>
      </c>
      <c r="N38" s="51" t="str">
        <f>IF(ISTEXT(VLOOKUP(CONCATENATE($A38,"_",N$3),'Unit List'!$A$14:$H$2841,2,FALSE)),"X",$M38)</f>
        <v/>
      </c>
      <c r="O38" s="53" t="str">
        <f>IF(ISTEXT(VLOOKUP(CONCATENATE($A38,"_",O$3),'Unit List'!$A$14:$H$2841,2,FALSE)),"X",$M38)</f>
        <v/>
      </c>
      <c r="P38" s="172" t="str">
        <f>IF(ISTEXT(VLOOKUP(CONCATENATE($A38,"_",P$3),'Unit List'!$A$14:$H$2841,2,FALSE)),"+","")</f>
        <v/>
      </c>
      <c r="Q38" s="51" t="str">
        <f>IF(ISTEXT(VLOOKUP(CONCATENATE($A38,"_",Q$3),'Unit List'!$A$14:$H$2841,2,FALSE)),"X",$P38)</f>
        <v/>
      </c>
      <c r="R38" s="51" t="str">
        <f>IF(ISTEXT(VLOOKUP(CONCATENATE($A38,"_",R$3),'Unit List'!$A$14:$H$2841,2,FALSE)),"X",$P38)</f>
        <v/>
      </c>
      <c r="S38" s="51" t="str">
        <f>IF(ISTEXT(VLOOKUP(CONCATENATE($A38,"_",S$3),'Unit List'!$A$14:$H$2841,2,FALSE)),"X",$P38)</f>
        <v/>
      </c>
      <c r="T38" s="52" t="str">
        <f>IF(ISTEXT(VLOOKUP(CONCATENATE($A38,"_",T$3),'Unit List'!$A$14:$H$2841,2,FALSE)),"X",$P38)</f>
        <v/>
      </c>
      <c r="U38" s="51" t="str">
        <f>IF(ISTEXT(VLOOKUP(CONCATENATE($A38,"_",U$3),'Unit List'!$A$14:$H$2841,2,FALSE)),"X",$P38)</f>
        <v/>
      </c>
      <c r="V38" s="67" t="str">
        <f>IF(ISTEXT(VLOOKUP(CONCATENATE($A38,"_",V$3),'Unit List'!$A$14:$H$2841,2,FALSE)),"X",$P38)</f>
        <v>X</v>
      </c>
      <c r="W38" s="53" t="str">
        <f>IF(ISTEXT(VLOOKUP(CONCATENATE($A38,"_",W$3),'Unit List'!$A$14:$H$2841,2,FALSE)),"X",$P38)</f>
        <v/>
      </c>
      <c r="X38" s="172" t="str">
        <f>IF(ISTEXT(VLOOKUP(CONCATENATE($A38,"_",X$3),'Unit List'!$A$14:$H$2841,2,FALSE)),"+","")</f>
        <v>+</v>
      </c>
      <c r="Y38" s="51" t="str">
        <f>IF(ISTEXT(VLOOKUP(CONCATENATE($A38,"_",Y$3),'Unit List'!$A$14:$H$2841,2,FALSE)),"X",$X38)</f>
        <v>+</v>
      </c>
      <c r="Z38" s="51" t="str">
        <f>IF(ISTEXT(VLOOKUP(CONCATENATE($A38,"_",Z$3),'Unit List'!$A$14:$H$2841,2,FALSE)),"X",$X38)</f>
        <v>+</v>
      </c>
      <c r="AA38" s="51" t="str">
        <f>IF(ISTEXT(VLOOKUP(CONCATENATE($A38,"_",AA$3),'Unit List'!$A$14:$H$2841,2,FALSE)),"X",$X38)</f>
        <v>+</v>
      </c>
      <c r="AB38" s="51" t="str">
        <f>IF(ISTEXT(VLOOKUP(CONCATENATE($A38,"_",AB$3),'Unit List'!$A$14:$H$2841,2,FALSE)),"X",$X38)</f>
        <v>+</v>
      </c>
      <c r="AC38" s="62" t="str">
        <f>IF(ISTEXT(VLOOKUP(CONCATENATE($A38,"_",AC$3),'Unit List'!$A$14:$H$2841,2,FALSE)),"X",$X38)</f>
        <v>+</v>
      </c>
      <c r="AD38" s="172" t="str">
        <f>IF(ISTEXT(VLOOKUP(CONCATENATE($A38,"_",AD$3),'Unit List'!$A$14:$H$2841,2,FALSE)),"+","")</f>
        <v/>
      </c>
      <c r="AE38" s="51" t="str">
        <f>IF(ISTEXT(VLOOKUP(CONCATENATE($A38,"_",AE$3),'Unit List'!$A$14:$H$2841,2,FALSE)),"X",$AD38)</f>
        <v/>
      </c>
      <c r="AF38" s="51" t="str">
        <f>IF(ISTEXT(VLOOKUP(CONCATENATE($A38,"_",AF$3),'Unit List'!$A$14:$H$2841,2,FALSE)),"X",$AD38)</f>
        <v/>
      </c>
      <c r="AG38" s="172" t="str">
        <f>IF(ISTEXT(VLOOKUP(CONCATENATE($A38,"_",AG$3),'Unit List'!$A$14:$H$2841,2,FALSE)),"+","")</f>
        <v/>
      </c>
      <c r="AH38" s="51" t="str">
        <f>IF(ISTEXT(VLOOKUP(CONCATENATE($A38,"_",AH$3),'Unit List'!$A$14:$H$2841,2,FALSE)),"X",$AG38)</f>
        <v/>
      </c>
      <c r="AI38" s="51" t="str">
        <f>IF(ISTEXT(VLOOKUP(CONCATENATE($A38,"_",AI$3),'Unit List'!$A$14:$H$2841,2,FALSE)),"X",$AG38)</f>
        <v/>
      </c>
      <c r="AJ38" s="53" t="str">
        <f>IF(ISTEXT(VLOOKUP(CONCATENATE($A38,"_",AJ$3),'Unit List'!$A$14:$H$2841,2,FALSE)),"X",$AG38)</f>
        <v/>
      </c>
      <c r="AK38" s="172" t="str">
        <f>IF(ISTEXT(VLOOKUP(CONCATENATE($A38,"_",AK$3),'Unit List'!$A$14:$H$2841,2,FALSE)),"+","")</f>
        <v/>
      </c>
      <c r="AL38" s="52" t="str">
        <f>IF(ISTEXT(VLOOKUP(CONCATENATE($A38,"_",AL$3),'Unit List'!$A$14:$H$2841,2,FALSE)),"X",$AK38)</f>
        <v/>
      </c>
      <c r="AM38" s="53" t="str">
        <f>IF(ISTEXT(VLOOKUP(CONCATENATE($A38,"_",AM$3),'Unit List'!$A$14:$H$2841,2,FALSE)),"X",$AK38)</f>
        <v/>
      </c>
      <c r="AN38" s="125" t="str">
        <f>IF(ISTEXT(VLOOKUP(CONCATENATE($A38,"_",AN$3),'Unit List'!$A$14:$H$2841,2,FALSE)),"+","")</f>
        <v/>
      </c>
      <c r="AO38" s="53" t="str">
        <f>IF(ISTEXT(VLOOKUP(CONCATENATE($A38,"_",AO$3),'Unit List'!$A$14:$H$2841,2,FALSE)),"X",$AN38)</f>
        <v/>
      </c>
      <c r="AP38" s="172" t="str">
        <f>IF(ISTEXT(VLOOKUP(CONCATENATE($A38,"_",AP$3),'Unit List'!$A$14:$H$2841,2,FALSE)),"+","")</f>
        <v/>
      </c>
      <c r="AQ38" s="51" t="str">
        <f>IF(ISTEXT(VLOOKUP(CONCATENATE($A38,"_",AQ$3),'Unit List'!$A$14:$H$2841,2,FALSE)),"X",$AP38)</f>
        <v/>
      </c>
      <c r="AR38" s="51" t="str">
        <f>IF(ISTEXT(VLOOKUP(CONCATENATE($A38,"_",AR$3),'Unit List'!$A$14:$H$2841,2,FALSE)),"X",$AP38)</f>
        <v/>
      </c>
      <c r="AS38" s="51" t="str">
        <f>IF(ISTEXT(VLOOKUP(CONCATENATE($A38,"_",AS$3),'Unit List'!$A$14:$H$2841,2,FALSE)),"X",$AP38)</f>
        <v/>
      </c>
      <c r="AT38" s="53" t="str">
        <f>IF(ISTEXT(VLOOKUP(CONCATENATE($A38,"_",AT$3),'Unit List'!$A$14:$H$2841,2,FALSE)),"X",$AP38)</f>
        <v/>
      </c>
      <c r="AU38" s="124" t="str">
        <f>IF(ISTEXT(VLOOKUP(CONCATENATE($A38,"_",AU$3),'Unit List'!$A$14:$H$2841,2,FALSE)),"+","")</f>
        <v/>
      </c>
      <c r="AV38" s="51" t="str">
        <f>IF(ISTEXT(VLOOKUP(CONCATENATE($A38,"_",AV$3),'Unit List'!$A$14:$H$2841,2,FALSE)),"X",$AU38)</f>
        <v/>
      </c>
      <c r="AW38" s="53" t="str">
        <f>IF(ISTEXT(VLOOKUP(CONCATENATE($A38,"_",AW$3),'Unit List'!$A$14:$H$2841,2,FALSE)),"X",$AU38)</f>
        <v/>
      </c>
      <c r="AX38" s="172" t="str">
        <f>IF(ISTEXT(VLOOKUP(CONCATENATE($A38,"_",AX$3),'Unit List'!$A$14:$H$2841,2,FALSE)),"+","")</f>
        <v/>
      </c>
      <c r="AY38" s="51" t="str">
        <f>IF(ISTEXT(VLOOKUP(CONCATENATE($A38,"_",AY$3),'Unit List'!$A$14:$H$2841,2,FALSE)),"X",$AX38)</f>
        <v/>
      </c>
      <c r="AZ38" s="53" t="str">
        <f>IF(ISTEXT(VLOOKUP(CONCATENATE($A38,"_",AZ$3),'Unit List'!$A$14:$H$2841,2,FALSE)),"X",$AX38)</f>
        <v/>
      </c>
      <c r="BA38" s="182" t="str">
        <f>IF(ISTEXT(VLOOKUP(CONCATENATE($A38,"_",BA$3),'Unit List'!$A$14:$H$2841,2,FALSE)),"+","")</f>
        <v>+</v>
      </c>
      <c r="BB38" s="51" t="str">
        <f>IF(ISTEXT(VLOOKUP(CONCATENATE($A38,"_",BB$3),'Unit List'!$A$14:$H$2841,2,FALSE)),"X",$BA38)</f>
        <v>+</v>
      </c>
      <c r="BC38" s="51" t="str">
        <f>IF(ISTEXT(VLOOKUP(CONCATENATE($A38,"_",BC$3),'Unit List'!$A$14:$H$2841,2,FALSE)),"X",$BA38)</f>
        <v>+</v>
      </c>
      <c r="BD38" s="53" t="str">
        <f>IF(ISTEXT(VLOOKUP(CONCATENATE($A38,"_",BD$3),'Unit List'!$A$14:$H$2841,2,FALSE)),"X",$BA38)</f>
        <v>+</v>
      </c>
      <c r="BE38" s="125" t="str">
        <f>IF(ISTEXT(VLOOKUP(CONCATENATE($A38,"_",BE$3),'Unit List'!$A$14:$H$2841,2,FALSE)),"+","")</f>
        <v/>
      </c>
      <c r="BF38" s="62" t="str">
        <f>IF(ISTEXT(VLOOKUP(CONCATENATE($A38,"_",BF$3),'Unit List'!$A$14:$H$2841,2,FALSE)),"X",$BE38)</f>
        <v/>
      </c>
      <c r="BG38" s="64"/>
      <c r="BH38" s="65" t="s">
        <v>0</v>
      </c>
      <c r="BI38" s="211"/>
      <c r="BJ38" s="212"/>
      <c r="BK38" s="212"/>
      <c r="BL38" s="212"/>
      <c r="BM38" s="213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List'!$A$14:$H$2841,2,FALSE)),"+","")</f>
        <v/>
      </c>
      <c r="C39" s="82" t="str">
        <f>IF(ISTEXT(VLOOKUP(CONCATENATE($A39,"_",C$3),'Unit List'!$A$14:$H$2841,2,FALSE)),"X",$B39)</f>
        <v>X</v>
      </c>
      <c r="D39" s="51" t="str">
        <f>IF(ISTEXT(VLOOKUP(CONCATENATE($A39,"_",D$3),'Unit List'!$A$14:$H$2841,2,FALSE)),"X",$B39)</f>
        <v>X</v>
      </c>
      <c r="E39" s="51" t="str">
        <f>IF(ISTEXT(VLOOKUP(CONCATENATE($A39,"_",E$3),'Unit List'!$A$14:$H$2841,2,FALSE)),"X",$B39)</f>
        <v>X</v>
      </c>
      <c r="F39" s="67" t="str">
        <f>IF(ISTEXT(VLOOKUP(CONCATENATE($A39,"_",F$3),'Unit List'!$A$14:$H$2841,2,FALSE)),"X",$B39)</f>
        <v>X</v>
      </c>
      <c r="G39" s="67" t="str">
        <f>IF(ISTEXT(VLOOKUP(CONCATENATE($A39,"_",G$3),'Unit List'!$A$14:$H$2841,2,FALSE)),"X",$B39)</f>
        <v>X</v>
      </c>
      <c r="H39" s="67" t="str">
        <f>IF(ISTEXT(VLOOKUP(CONCATENATE($A39,"_",H$3),'Unit List'!$A$14:$H$2841,2,FALSE)),"X",$B39)</f>
        <v>X</v>
      </c>
      <c r="I39" s="53" t="str">
        <f>IF(ISTEXT(VLOOKUP(CONCATENATE($A39,"_",I$3),'Unit List'!$A$14:$H$2841,2,FALSE)),"X",$B39)</f>
        <v>X</v>
      </c>
      <c r="J39" s="171" t="str">
        <f>IF(ISTEXT(VLOOKUP(CONCATENATE($A39,"_",J$3),'Unit List'!$A$14:$H$2841,2,FALSE)),"+","")</f>
        <v/>
      </c>
      <c r="K39" s="51" t="str">
        <f>IF(ISTEXT(VLOOKUP(CONCATENATE($A39,"_",K$3),'Unit List'!$A$14:$H$2841,2,FALSE)),"X",$J39)</f>
        <v/>
      </c>
      <c r="L39" s="62" t="str">
        <f>IF(ISTEXT(VLOOKUP(CONCATENATE($A39,"_",L$3),'Unit List'!$A$14:$H$2841,2,FALSE)),"X",$J39)</f>
        <v/>
      </c>
      <c r="M39" s="171" t="str">
        <f>IF(ISTEXT(VLOOKUP(CONCATENATE($A39,"_",M$3),'Unit List'!$A$14:$H$2841,2,FALSE)),"+","")</f>
        <v>+</v>
      </c>
      <c r="N39" s="69" t="str">
        <f>IF(ISTEXT(VLOOKUP(CONCATENATE($A39,"_",N$3),'Unit List'!$A$14:$H$2841,2,FALSE)),"X",$M39)</f>
        <v>+</v>
      </c>
      <c r="O39" s="73" t="str">
        <f>IF(ISTEXT(VLOOKUP(CONCATENATE($A39,"_",O$3),'Unit List'!$A$14:$H$2841,2,FALSE)),"X",$M39)</f>
        <v>X</v>
      </c>
      <c r="P39" s="172" t="str">
        <f>IF(ISTEXT(VLOOKUP(CONCATENATE($A39,"_",P$3),'Unit List'!$A$14:$H$2841,2,FALSE)),"+","")</f>
        <v/>
      </c>
      <c r="Q39" s="51" t="str">
        <f>IF(ISTEXT(VLOOKUP(CONCATENATE($A39,"_",Q$3),'Unit List'!$A$14:$H$2841,2,FALSE)),"X",$P39)</f>
        <v/>
      </c>
      <c r="R39" s="51" t="str">
        <f>IF(ISTEXT(VLOOKUP(CONCATENATE($A39,"_",R$3),'Unit List'!$A$14:$H$2841,2,FALSE)),"X",$P39)</f>
        <v/>
      </c>
      <c r="S39" s="51" t="str">
        <f>IF(ISTEXT(VLOOKUP(CONCATENATE($A39,"_",S$3),'Unit List'!$A$14:$H$2841,2,FALSE)),"X",$P39)</f>
        <v>X</v>
      </c>
      <c r="T39" s="52" t="str">
        <f>IF(ISTEXT(VLOOKUP(CONCATENATE($A39,"_",T$3),'Unit List'!$A$14:$H$2841,2,FALSE)),"X",$P39)</f>
        <v/>
      </c>
      <c r="U39" s="67" t="str">
        <f>IF(ISTEXT(VLOOKUP(CONCATENATE($A39,"_",U$3),'Unit List'!$A$14:$H$2841,2,FALSE)),"X",$P39)</f>
        <v>X</v>
      </c>
      <c r="V39" s="51" t="str">
        <f>IF(ISTEXT(VLOOKUP(CONCATENATE($A39,"_",V$3),'Unit List'!$A$14:$H$2841,2,FALSE)),"X",$P39)</f>
        <v/>
      </c>
      <c r="W39" s="53" t="str">
        <f>IF(ISTEXT(VLOOKUP(CONCATENATE($A39,"_",W$3),'Unit List'!$A$14:$H$2841,2,FALSE)),"X",$P39)</f>
        <v/>
      </c>
      <c r="X39" s="171" t="str">
        <f>IF(ISTEXT(VLOOKUP(CONCATENATE($A39,"_",X$3),'Unit List'!$A$14:$H$2841,2,FALSE)),"+","")</f>
        <v>+</v>
      </c>
      <c r="Y39" s="67" t="str">
        <f>IF(ISTEXT(VLOOKUP(CONCATENATE($A39,"_",Y$3),'Unit List'!$A$14:$H$2841,2,FALSE)),"X",$X39)</f>
        <v>X</v>
      </c>
      <c r="Z39" s="51" t="str">
        <f>IF(ISTEXT(VLOOKUP(CONCATENATE($A39,"_",Z$3),'Unit List'!$A$14:$H$2841,2,FALSE)),"X",$X39)</f>
        <v>+</v>
      </c>
      <c r="AA39" s="67" t="str">
        <f>IF(ISTEXT(VLOOKUP(CONCATENATE($A39,"_",AA$3),'Unit List'!$A$14:$H$2841,2,FALSE)),"X",$X39)</f>
        <v>X</v>
      </c>
      <c r="AB39" s="67" t="str">
        <f>IF(ISTEXT(VLOOKUP(CONCATENATE($A39,"_",AB$3),'Unit List'!$A$14:$H$2841,2,FALSE)),"X",$X39)</f>
        <v>X</v>
      </c>
      <c r="AC39" s="68" t="str">
        <f>IF(ISTEXT(VLOOKUP(CONCATENATE($A39,"_",AC$3),'Unit List'!$A$14:$H$2841,2,FALSE)),"X",$X39)</f>
        <v>X</v>
      </c>
      <c r="AD39" s="171" t="str">
        <f>IF(ISTEXT(VLOOKUP(CONCATENATE($A39,"_",AD$3),'Unit List'!$A$14:$H$2841,2,FALSE)),"+","")</f>
        <v>+</v>
      </c>
      <c r="AE39" s="51" t="str">
        <f>IF(ISTEXT(VLOOKUP(CONCATENATE($A39,"_",AE$3),'Unit List'!$A$14:$H$2841,2,FALSE)),"X",$AD39)</f>
        <v>+</v>
      </c>
      <c r="AF39" s="51" t="str">
        <f>IF(ISTEXT(VLOOKUP(CONCATENATE($A39,"_",AF$3),'Unit List'!$A$14:$H$2841,2,FALSE)),"X",$AD39)</f>
        <v>+</v>
      </c>
      <c r="AG39" s="171" t="str">
        <f>IF(ISTEXT(VLOOKUP(CONCATENATE($A39,"_",AG$3),'Unit List'!$A$14:$H$2841,2,FALSE)),"+","")</f>
        <v>+</v>
      </c>
      <c r="AH39" s="67" t="str">
        <f>IF(ISTEXT(VLOOKUP(CONCATENATE($A39,"_",AH$3),'Unit List'!$A$14:$H$2841,2,FALSE)),"X",$AG39)</f>
        <v>X</v>
      </c>
      <c r="AI39" s="67" t="str">
        <f>IF(ISTEXT(VLOOKUP(CONCATENATE($A39,"_",AI$3),'Unit List'!$A$14:$H$2841,2,FALSE)),"X",$AG39)</f>
        <v>X</v>
      </c>
      <c r="AJ39" s="71" t="str">
        <f>IF(ISTEXT(VLOOKUP(CONCATENATE($A39,"_",AJ$3),'Unit List'!$A$14:$H$2841,2,FALSE)),"X",$AG39)</f>
        <v>+</v>
      </c>
      <c r="AK39" s="171" t="str">
        <f>IF(ISTEXT(VLOOKUP(CONCATENATE($A39,"_",AK$3),'Unit List'!$A$14:$H$2841,2,FALSE)),"+","")</f>
        <v>+</v>
      </c>
      <c r="AL39" s="52" t="str">
        <f>IF(ISTEXT(VLOOKUP(CONCATENATE($A39,"_",AL$3),'Unit List'!$A$14:$H$2841,2,FALSE)),"X",$AK39)</f>
        <v>+</v>
      </c>
      <c r="AM39" s="71" t="str">
        <f>IF(ISTEXT(VLOOKUP(CONCATENATE($A39,"_",AM$3),'Unit List'!$A$14:$H$2841,2,FALSE)),"X",$AK39)</f>
        <v>X</v>
      </c>
      <c r="AN39" s="125" t="str">
        <f>IF(ISTEXT(VLOOKUP(CONCATENATE($A39,"_",AN$3),'Unit List'!$A$14:$H$2841,2,FALSE)),"+","")</f>
        <v>+</v>
      </c>
      <c r="AO39" s="70" t="str">
        <f>IF(ISTEXT(VLOOKUP(CONCATENATE($A39,"_",AO$3),'Unit List'!$A$14:$H$2841,2,FALSE)),"X",$AN39)</f>
        <v>X</v>
      </c>
      <c r="AP39" s="171" t="str">
        <f>IF(ISTEXT(VLOOKUP(CONCATENATE($A39,"_",AP$3),'Unit List'!$A$14:$H$2841,2,FALSE)),"+","")</f>
        <v>+</v>
      </c>
      <c r="AQ39" s="67" t="str">
        <f>IF(ISTEXT(VLOOKUP(CONCATENATE($A39,"_",AQ$3),'Unit List'!$A$14:$H$2841,2,FALSE)),"X",$AP39)</f>
        <v>X</v>
      </c>
      <c r="AR39" s="51" t="str">
        <f>IF(ISTEXT(VLOOKUP(CONCATENATE($A39,"_",AR$3),'Unit List'!$A$14:$H$2841,2,FALSE)),"X",$AP39)</f>
        <v>+</v>
      </c>
      <c r="AS39" s="51" t="str">
        <f>IF(ISTEXT(VLOOKUP(CONCATENATE($A39,"_",AS$3),'Unit List'!$A$14:$H$2841,2,FALSE)),"X",$AP39)</f>
        <v>+</v>
      </c>
      <c r="AT39" s="70" t="str">
        <f>IF(ISTEXT(VLOOKUP(CONCATENATE($A39,"_",AT$3),'Unit List'!$A$14:$H$2841,2,FALSE)),"X",$AP39)</f>
        <v>X</v>
      </c>
      <c r="AU39" s="124" t="str">
        <f>IF(ISTEXT(VLOOKUP(CONCATENATE($A39,"_",AU$3),'Unit List'!$A$14:$H$2841,2,FALSE)),"+","")</f>
        <v>+</v>
      </c>
      <c r="AV39" s="51" t="str">
        <f>IF(ISTEXT(VLOOKUP(CONCATENATE($A39,"_",AV$3),'Unit List'!$A$14:$H$2841,2,FALSE)),"X",$AU39)</f>
        <v>+</v>
      </c>
      <c r="AW39" s="70" t="str">
        <f>IF(ISTEXT(VLOOKUP(CONCATENATE($A39,"_",AW$3),'Unit List'!$A$14:$H$2841,2,FALSE)),"X",$AU39)</f>
        <v>X</v>
      </c>
      <c r="AX39" s="172" t="str">
        <f>IF(ISTEXT(VLOOKUP(CONCATENATE($A39,"_",AX$3),'Unit List'!$A$14:$H$2841,2,FALSE)),"+","")</f>
        <v>+</v>
      </c>
      <c r="AY39" s="51" t="str">
        <f>IF(ISTEXT(VLOOKUP(CONCATENATE($A39,"_",AY$3),'Unit List'!$A$14:$H$2841,2,FALSE)),"X",$AX39)</f>
        <v>+</v>
      </c>
      <c r="AZ39" s="53" t="str">
        <f>IF(ISTEXT(VLOOKUP(CONCATENATE($A39,"_",AZ$3),'Unit List'!$A$14:$H$2841,2,FALSE)),"X",$AX39)</f>
        <v>+</v>
      </c>
      <c r="BA39" s="182" t="str">
        <f>IF(ISTEXT(VLOOKUP(CONCATENATE($A39,"_",BA$3),'Unit List'!$A$14:$H$2841,2,FALSE)),"+","")</f>
        <v/>
      </c>
      <c r="BB39" s="51" t="str">
        <f>IF(ISTEXT(VLOOKUP(CONCATENATE($A39,"_",BB$3),'Unit List'!$A$14:$H$2841,2,FALSE)),"X",$BA39)</f>
        <v/>
      </c>
      <c r="BC39" s="67" t="str">
        <f>IF(ISTEXT(VLOOKUP(CONCATENATE($A39,"_",BC$3),'Unit List'!$A$14:$H$2841,2,FALSE)),"X",$BA39)</f>
        <v>X</v>
      </c>
      <c r="BD39" s="53" t="str">
        <f>IF(ISTEXT(VLOOKUP(CONCATENATE($A39,"_",BD$3),'Unit List'!$A$14:$H$2841,2,FALSE)),"X",$BA39)</f>
        <v/>
      </c>
      <c r="BE39" s="125" t="str">
        <f>IF(ISTEXT(VLOOKUP(CONCATENATE($A39,"_",BE$3),'Unit List'!$A$14:$H$2841,2,FALSE)),"+","")</f>
        <v>+</v>
      </c>
      <c r="BF39" s="62" t="str">
        <f>IF(ISTEXT(VLOOKUP(CONCATENATE($A39,"_",BF$3),'Unit List'!$A$14:$H$2841,2,FALSE)),"X",$BE39)</f>
        <v>+</v>
      </c>
      <c r="BG39" s="64"/>
      <c r="BH39" s="65" t="s">
        <v>0</v>
      </c>
      <c r="BI39" s="211"/>
      <c r="BJ39" s="212"/>
      <c r="BK39" s="212"/>
      <c r="BL39" s="212"/>
      <c r="BM39" s="213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List'!$A$14:$H$2841,2,FALSE)),"+","")</f>
        <v/>
      </c>
      <c r="C40" s="102" t="s">
        <v>3</v>
      </c>
      <c r="D40" s="51" t="str">
        <f>IF(ISTEXT(VLOOKUP(CONCATENATE($A40,"_",D$3),'Unit List'!$A$14:$H$2841,2,FALSE)),"X",$B40)</f>
        <v>X</v>
      </c>
      <c r="E40" s="51" t="str">
        <f>IF(ISTEXT(VLOOKUP(CONCATENATE($A40,"_",E$3),'Unit List'!$A$14:$H$2841,2,FALSE)),"X",$B40)</f>
        <v/>
      </c>
      <c r="F40" s="67" t="str">
        <f>IF(ISTEXT(VLOOKUP(CONCATENATE($A40,"_",F$3),'Unit List'!$A$14:$H$2841,2,FALSE)),"X",$B40)</f>
        <v>X</v>
      </c>
      <c r="G40" s="89" t="s">
        <v>0</v>
      </c>
      <c r="H40" s="51" t="str">
        <f>IF(ISTEXT(VLOOKUP(CONCATENATE($A40,"_",H$3),'Unit List'!$A$14:$H$2841,2,FALSE)),"X",$B40)</f>
        <v>X</v>
      </c>
      <c r="I40" s="70" t="str">
        <f>IF(ISTEXT(VLOOKUP(CONCATENATE($A40,"_",I$3),'Unit List'!$A$14:$H$2841,2,FALSE)),"X",$B40)</f>
        <v>X</v>
      </c>
      <c r="J40" s="171" t="str">
        <f>IF(ISTEXT(VLOOKUP(CONCATENATE($A40,"_",J$3),'Unit List'!$A$14:$H$2841,2,FALSE)),"+","")</f>
        <v/>
      </c>
      <c r="K40" s="51" t="str">
        <f>IF(ISTEXT(VLOOKUP(CONCATENATE($A40,"_",K$3),'Unit List'!$A$14:$H$2841,2,FALSE)),"X",$J40)</f>
        <v/>
      </c>
      <c r="L40" s="62" t="str">
        <f>IF(ISTEXT(VLOOKUP(CONCATENATE($A40,"_",L$3),'Unit List'!$A$14:$H$2841,2,FALSE)),"X",$J40)</f>
        <v/>
      </c>
      <c r="M40" s="171" t="str">
        <f>IF(ISTEXT(VLOOKUP(CONCATENATE($A40,"_",M$3),'Unit List'!$A$14:$H$2841,2,FALSE)),"+","")</f>
        <v>+</v>
      </c>
      <c r="N40" s="51" t="str">
        <f>IF(ISTEXT(VLOOKUP(CONCATENATE($A40,"_",N$3),'Unit List'!$A$14:$H$2841,2,FALSE)),"X",$M40)</f>
        <v>X</v>
      </c>
      <c r="O40" s="53" t="str">
        <f>IF(ISTEXT(VLOOKUP(CONCATENATE($A40,"_",O$3),'Unit List'!$A$14:$H$2841,2,FALSE)),"X",$M40)</f>
        <v>X</v>
      </c>
      <c r="P40" s="172" t="str">
        <f>IF(ISTEXT(VLOOKUP(CONCATENATE($A40,"_",P$3),'Unit List'!$A$14:$H$2841,2,FALSE)),"+","")</f>
        <v/>
      </c>
      <c r="Q40" s="67" t="str">
        <f>IF(ISTEXT(VLOOKUP(CONCATENATE($A40,"_",Q$3),'Unit List'!$A$14:$H$2841,2,FALSE)),"X",$P40)</f>
        <v>X</v>
      </c>
      <c r="R40" s="51" t="str">
        <f>IF(ISTEXT(VLOOKUP(CONCATENATE($A40,"_",R$3),'Unit List'!$A$14:$H$2841,2,FALSE)),"X",$P40)</f>
        <v/>
      </c>
      <c r="S40" s="51" t="str">
        <f>IF(ISTEXT(VLOOKUP(CONCATENATE($A40,"_",S$3),'Unit List'!$A$14:$H$2841,2,FALSE)),"X",$P40)</f>
        <v/>
      </c>
      <c r="T40" s="52" t="str">
        <f>IF(ISTEXT(VLOOKUP(CONCATENATE($A40,"_",T$3),'Unit List'!$A$14:$H$2841,2,FALSE)),"X",$P40)</f>
        <v/>
      </c>
      <c r="U40" s="51" t="str">
        <f>IF(ISTEXT(VLOOKUP(CONCATENATE($A40,"_",U$3),'Unit List'!$A$14:$H$2841,2,FALSE)),"X",$P40)</f>
        <v/>
      </c>
      <c r="V40" s="72" t="s">
        <v>0</v>
      </c>
      <c r="W40" s="53" t="str">
        <f>IF(ISTEXT(VLOOKUP(CONCATENATE($A40,"_",W$3),'Unit List'!$A$14:$H$2841,2,FALSE)),"X",$P40)</f>
        <v/>
      </c>
      <c r="X40" s="172" t="str">
        <f>IF(ISTEXT(VLOOKUP(CONCATENATE($A40,"_",X$3),'Unit List'!$A$14:$H$2841,2,FALSE)),"+","")</f>
        <v/>
      </c>
      <c r="Y40" s="51" t="str">
        <f>IF(ISTEXT(VLOOKUP(CONCATENATE($A40,"_",Y$3),'Unit List'!$A$14:$H$2841,2,FALSE)),"X",$X40)</f>
        <v/>
      </c>
      <c r="Z40" s="51" t="str">
        <f>IF(ISTEXT(VLOOKUP(CONCATENATE($A40,"_",Z$3),'Unit List'!$A$14:$H$2841,2,FALSE)),"X",$X40)</f>
        <v/>
      </c>
      <c r="AA40" s="51" t="str">
        <f>IF(ISTEXT(VLOOKUP(CONCATENATE($A40,"_",AA$3),'Unit List'!$A$14:$H$2841,2,FALSE)),"X",$X40)</f>
        <v/>
      </c>
      <c r="AB40" s="51" t="str">
        <f>IF(ISTEXT(VLOOKUP(CONCATENATE($A40,"_",AB$3),'Unit List'!$A$14:$H$2841,2,FALSE)),"X",$X40)</f>
        <v/>
      </c>
      <c r="AC40" s="62" t="str">
        <f>IF(ISTEXT(VLOOKUP(CONCATENATE($A40,"_",AC$3),'Unit List'!$A$14:$H$2841,2,FALSE)),"X",$X40)</f>
        <v/>
      </c>
      <c r="AD40" s="171" t="str">
        <f>IF(ISTEXT(VLOOKUP(CONCATENATE($A40,"_",AD$3),'Unit List'!$A$14:$H$2841,2,FALSE)),"+","")</f>
        <v/>
      </c>
      <c r="AE40" s="51" t="str">
        <f>IF(ISTEXT(VLOOKUP(CONCATENATE($A40,"_",AE$3),'Unit List'!$A$14:$H$2841,2,FALSE)),"X",$AD40)</f>
        <v/>
      </c>
      <c r="AF40" s="51" t="str">
        <f>IF(ISTEXT(VLOOKUP(CONCATENATE($A40,"_",AF$3),'Unit List'!$A$14:$H$2841,2,FALSE)),"X",$AD40)</f>
        <v/>
      </c>
      <c r="AG40" s="171" t="str">
        <f>IF(ISTEXT(VLOOKUP(CONCATENATE($A40,"_",AG$3),'Unit List'!$A$14:$H$2841,2,FALSE)),"+","")</f>
        <v/>
      </c>
      <c r="AH40" s="67" t="str">
        <f>IF(ISTEXT(VLOOKUP(CONCATENATE($A40,"_",AH$3),'Unit List'!$A$14:$H$2841,2,FALSE)),"X",$AG40)</f>
        <v>X</v>
      </c>
      <c r="AI40" s="69" t="str">
        <f>IF(ISTEXT(VLOOKUP(CONCATENATE($A40,"_",AI$3),'Unit List'!$A$14:$H$2841,2,FALSE)),"X",$AG40)</f>
        <v/>
      </c>
      <c r="AJ40" s="71" t="str">
        <f>IF(ISTEXT(VLOOKUP(CONCATENATE($A40,"_",AJ$3),'Unit List'!$A$14:$H$2841,2,FALSE)),"X",$AG40)</f>
        <v/>
      </c>
      <c r="AK40" s="172" t="str">
        <f>IF(ISTEXT(VLOOKUP(CONCATENATE($A40,"_",AK$3),'Unit List'!$A$14:$H$2841,2,FALSE)),"+","")</f>
        <v/>
      </c>
      <c r="AL40" s="52" t="str">
        <f>IF(ISTEXT(VLOOKUP(CONCATENATE($A40,"_",AL$3),'Unit List'!$A$14:$H$2841,2,FALSE)),"X",$AK40)</f>
        <v/>
      </c>
      <c r="AM40" s="74" t="s">
        <v>0</v>
      </c>
      <c r="AN40" s="125" t="str">
        <f>IF(ISTEXT(VLOOKUP(CONCATENATE($A40,"_",AN$3),'Unit List'!$A$14:$H$2841,2,FALSE)),"+","")</f>
        <v/>
      </c>
      <c r="AO40" s="53" t="str">
        <f>IF(ISTEXT(VLOOKUP(CONCATENATE($A40,"_",AO$3),'Unit List'!$A$14:$H$2841,2,FALSE)),"X",$AN40)</f>
        <v/>
      </c>
      <c r="AP40" s="172" t="str">
        <f>IF(ISTEXT(VLOOKUP(CONCATENATE($A40,"_",AP$3),'Unit List'!$A$14:$H$2841,2,FALSE)),"+","")</f>
        <v/>
      </c>
      <c r="AQ40" s="51" t="str">
        <f>IF(ISTEXT(VLOOKUP(CONCATENATE($A40,"_",AQ$3),'Unit List'!$A$14:$H$2841,2,FALSE)),"X",$AP40)</f>
        <v/>
      </c>
      <c r="AR40" s="51" t="str">
        <f>IF(ISTEXT(VLOOKUP(CONCATENATE($A40,"_",AR$3),'Unit List'!$A$14:$H$2841,2,FALSE)),"X",$AP40)</f>
        <v/>
      </c>
      <c r="AS40" s="51" t="str">
        <f>IF(ISTEXT(VLOOKUP(CONCATENATE($A40,"_",AS$3),'Unit List'!$A$14:$H$2841,2,FALSE)),"X",$AP40)</f>
        <v/>
      </c>
      <c r="AT40" s="53" t="str">
        <f>IF(ISTEXT(VLOOKUP(CONCATENATE($A40,"_",AT$3),'Unit List'!$A$14:$H$2841,2,FALSE)),"X",$AP40)</f>
        <v/>
      </c>
      <c r="AU40" s="124" t="str">
        <f>IF(ISTEXT(VLOOKUP(CONCATENATE($A40,"_",AU$3),'Unit List'!$A$14:$H$2841,2,FALSE)),"+","")</f>
        <v/>
      </c>
      <c r="AV40" s="51" t="str">
        <f>IF(ISTEXT(VLOOKUP(CONCATENATE($A40,"_",AV$3),'Unit List'!$A$14:$H$2841,2,FALSE)),"X",$AU40)</f>
        <v/>
      </c>
      <c r="AW40" s="53" t="str">
        <f>IF(ISTEXT(VLOOKUP(CONCATENATE($A40,"_",AW$3),'Unit List'!$A$14:$H$2841,2,FALSE)),"X",$AU40)</f>
        <v/>
      </c>
      <c r="AX40" s="171" t="str">
        <f>IF(ISTEXT(VLOOKUP(CONCATENATE($A40,"_",AX$3),'Unit List'!$A$14:$H$2841,2,FALSE)),"+","")</f>
        <v>+</v>
      </c>
      <c r="AY40" s="67" t="str">
        <f>IF(ISTEXT(VLOOKUP(CONCATENATE($A40,"_",AY$3),'Unit List'!$A$14:$H$2841,2,FALSE)),"X",$AX40)</f>
        <v>X</v>
      </c>
      <c r="AZ40" s="70" t="str">
        <f>IF(ISTEXT(VLOOKUP(CONCATENATE($A40,"_",AZ$3),'Unit List'!$A$14:$H$2841,2,FALSE)),"X",$AX40)</f>
        <v>X</v>
      </c>
      <c r="BA40" s="182" t="str">
        <f>IF(ISTEXT(VLOOKUP(CONCATENATE($A40,"_",BA$3),'Unit List'!$A$14:$H$2841,2,FALSE)),"+","")</f>
        <v/>
      </c>
      <c r="BB40" s="51" t="str">
        <f>IF(ISTEXT(VLOOKUP(CONCATENATE($A40,"_",BB$3),'Unit List'!$A$14:$H$2841,2,FALSE)),"X",$BA40)</f>
        <v/>
      </c>
      <c r="BC40" s="51" t="str">
        <f>IF(ISTEXT(VLOOKUP(CONCATENATE($A40,"_",BC$3),'Unit List'!$A$14:$H$2841,2,FALSE)),"X",$BA40)</f>
        <v/>
      </c>
      <c r="BD40" s="53" t="str">
        <f>IF(ISTEXT(VLOOKUP(CONCATENATE($A40,"_",BD$3),'Unit List'!$A$14:$H$2841,2,FALSE)),"X",$BA40)</f>
        <v/>
      </c>
      <c r="BE40" s="125" t="str">
        <f>IF(ISTEXT(VLOOKUP(CONCATENATE($A40,"_",BE$3),'Unit List'!$A$14:$H$2841,2,FALSE)),"+","")</f>
        <v/>
      </c>
      <c r="BF40" s="62" t="str">
        <f>IF(ISTEXT(VLOOKUP(CONCATENATE($A40,"_",BF$3),'Unit List'!$A$14:$H$2841,2,FALSE)),"X",$BE40)</f>
        <v/>
      </c>
      <c r="BG40" s="75"/>
      <c r="BH40" s="84"/>
      <c r="BI40" s="211" t="s">
        <v>24</v>
      </c>
      <c r="BJ40" s="214"/>
      <c r="BK40" s="214"/>
      <c r="BL40" s="214"/>
      <c r="BM40" s="215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List'!$A$14:$H$2841,2,FALSE)),"+","")</f>
        <v/>
      </c>
      <c r="C41" s="57" t="str">
        <f>IF(ISTEXT(VLOOKUP(CONCATENATE($A41,"_",C$3),'Unit List'!$A$14:$H$2841,2,FALSE)),"X",$B41)</f>
        <v/>
      </c>
      <c r="D41" s="51" t="str">
        <f>IF(ISTEXT(VLOOKUP(CONCATENATE($A41,"_",D$3),'Unit List'!$A$14:$H$2841,2,FALSE)),"X",$B41)</f>
        <v/>
      </c>
      <c r="E41" s="51" t="str">
        <f>IF(ISTEXT(VLOOKUP(CONCATENATE($A41,"_",E$3),'Unit List'!$A$14:$H$2841,2,FALSE)),"X",$B41)</f>
        <v/>
      </c>
      <c r="F41" s="51" t="str">
        <f>IF(ISTEXT(VLOOKUP(CONCATENATE($A41,"_",F$3),'Unit List'!$A$14:$H$2841,2,FALSE)),"X",$B41)</f>
        <v/>
      </c>
      <c r="G41" s="51" t="str">
        <f>IF(ISTEXT(VLOOKUP(CONCATENATE($A41,"_",G$3),'Unit List'!$A$14:$H$2841,2,FALSE)),"X",$B41)</f>
        <v/>
      </c>
      <c r="H41" s="51" t="str">
        <f>IF(ISTEXT(VLOOKUP(CONCATENATE($A41,"_",H$3),'Unit List'!$A$14:$H$2841,2,FALSE)),"X",$B41)</f>
        <v/>
      </c>
      <c r="I41" s="53" t="str">
        <f>IF(ISTEXT(VLOOKUP(CONCATENATE($A41,"_",I$3),'Unit List'!$A$14:$H$2841,2,FALSE)),"X",$B41)</f>
        <v/>
      </c>
      <c r="J41" s="172" t="str">
        <f>IF(ISTEXT(VLOOKUP(CONCATENATE($A41,"_",J$3),'Unit List'!$A$14:$H$2841,2,FALSE)),"+","")</f>
        <v/>
      </c>
      <c r="K41" s="51" t="str">
        <f>IF(ISTEXT(VLOOKUP(CONCATENATE($A41,"_",K$3),'Unit List'!$A$14:$H$2841,2,FALSE)),"X",$J41)</f>
        <v/>
      </c>
      <c r="L41" s="62" t="str">
        <f>IF(ISTEXT(VLOOKUP(CONCATENATE($A41,"_",L$3),'Unit List'!$A$14:$H$2841,2,FALSE)),"X",$J41)</f>
        <v/>
      </c>
      <c r="M41" s="172" t="str">
        <f>IF(ISTEXT(VLOOKUP(CONCATENATE($A41,"_",M$3),'Unit List'!$A$14:$H$2841,2,FALSE)),"+","")</f>
        <v/>
      </c>
      <c r="N41" s="51" t="str">
        <f>IF(ISTEXT(VLOOKUP(CONCATENATE($A41,"_",N$3),'Unit List'!$A$14:$H$2841,2,FALSE)),"X",$M41)</f>
        <v/>
      </c>
      <c r="O41" s="53" t="str">
        <f>IF(ISTEXT(VLOOKUP(CONCATENATE($A41,"_",O$3),'Unit List'!$A$14:$H$2841,2,FALSE)),"X",$M41)</f>
        <v/>
      </c>
      <c r="P41" s="172" t="str">
        <f>IF(ISTEXT(VLOOKUP(CONCATENATE($A41,"_",P$3),'Unit List'!$A$14:$H$2841,2,FALSE)),"+","")</f>
        <v/>
      </c>
      <c r="Q41" s="51" t="str">
        <f>IF(ISTEXT(VLOOKUP(CONCATENATE($A41,"_",Q$3),'Unit List'!$A$14:$H$2841,2,FALSE)),"X",$P41)</f>
        <v/>
      </c>
      <c r="R41" s="51" t="str">
        <f>IF(ISTEXT(VLOOKUP(CONCATENATE($A41,"_",R$3),'Unit List'!$A$14:$H$2841,2,FALSE)),"X",$P41)</f>
        <v/>
      </c>
      <c r="S41" s="51" t="str">
        <f>IF(ISTEXT(VLOOKUP(CONCATENATE($A41,"_",S$3),'Unit List'!$A$14:$H$2841,2,FALSE)),"X",$P41)</f>
        <v/>
      </c>
      <c r="T41" s="52" t="str">
        <f>IF(ISTEXT(VLOOKUP(CONCATENATE($A41,"_",T$3),'Unit List'!$A$14:$H$2841,2,FALSE)),"X",$P41)</f>
        <v/>
      </c>
      <c r="U41" s="51" t="str">
        <f>IF(ISTEXT(VLOOKUP(CONCATENATE($A41,"_",U$3),'Unit List'!$A$14:$H$2841,2,FALSE)),"X",$P41)</f>
        <v/>
      </c>
      <c r="V41" s="51" t="str">
        <f>IF(ISTEXT(VLOOKUP(CONCATENATE($A41,"_",V$3),'Unit List'!$A$14:$H$2841,2,FALSE)),"X",$P41)</f>
        <v/>
      </c>
      <c r="W41" s="53" t="str">
        <f>IF(ISTEXT(VLOOKUP(CONCATENATE($A41,"_",W$3),'Unit List'!$A$14:$H$2841,2,FALSE)),"X",$P41)</f>
        <v/>
      </c>
      <c r="X41" s="172" t="str">
        <f>IF(ISTEXT(VLOOKUP(CONCATENATE($A41,"_",X$3),'Unit List'!$A$14:$H$2841,2,FALSE)),"+","")</f>
        <v/>
      </c>
      <c r="Y41" s="51" t="str">
        <f>IF(ISTEXT(VLOOKUP(CONCATENATE($A41,"_",Y$3),'Unit List'!$A$14:$H$2841,2,FALSE)),"X",$X41)</f>
        <v/>
      </c>
      <c r="Z41" s="51" t="str">
        <f>IF(ISTEXT(VLOOKUP(CONCATENATE($A41,"_",Z$3),'Unit List'!$A$14:$H$2841,2,FALSE)),"X",$X41)</f>
        <v/>
      </c>
      <c r="AA41" s="51" t="str">
        <f>IF(ISTEXT(VLOOKUP(CONCATENATE($A41,"_",AA$3),'Unit List'!$A$14:$H$2841,2,FALSE)),"X",$X41)</f>
        <v/>
      </c>
      <c r="AB41" s="51" t="str">
        <f>IF(ISTEXT(VLOOKUP(CONCATENATE($A41,"_",AB$3),'Unit List'!$A$14:$H$2841,2,FALSE)),"X",$X41)</f>
        <v/>
      </c>
      <c r="AC41" s="62" t="str">
        <f>IF(ISTEXT(VLOOKUP(CONCATENATE($A41,"_",AC$3),'Unit List'!$A$14:$H$2841,2,FALSE)),"X",$X41)</f>
        <v/>
      </c>
      <c r="AD41" s="172" t="str">
        <f>IF(ISTEXT(VLOOKUP(CONCATENATE($A41,"_",AD$3),'Unit List'!$A$14:$H$2841,2,FALSE)),"+","")</f>
        <v/>
      </c>
      <c r="AE41" s="51" t="str">
        <f>IF(ISTEXT(VLOOKUP(CONCATENATE($A41,"_",AE$3),'Unit List'!$A$14:$H$2841,2,FALSE)),"X",$AD41)</f>
        <v/>
      </c>
      <c r="AF41" s="51" t="str">
        <f>IF(ISTEXT(VLOOKUP(CONCATENATE($A41,"_",AF$3),'Unit List'!$A$14:$H$2841,2,FALSE)),"X",$AD41)</f>
        <v/>
      </c>
      <c r="AG41" s="172" t="str">
        <f>IF(ISTEXT(VLOOKUP(CONCATENATE($A41,"_",AG$3),'Unit List'!$A$14:$H$2841,2,FALSE)),"+","")</f>
        <v/>
      </c>
      <c r="AH41" s="83" t="str">
        <f>IF(ISTEXT(VLOOKUP(CONCATENATE($A41,"_",AH$3),'Unit List'!$A$14:$H$2841,2,FALSE)),"X",$AG41)</f>
        <v/>
      </c>
      <c r="AI41" s="83" t="str">
        <f>IF(ISTEXT(VLOOKUP(CONCATENATE($A41,"_",AI$3),'Unit List'!$A$14:$H$2841,2,FALSE)),"X",$AG41)</f>
        <v/>
      </c>
      <c r="AJ41" s="53" t="str">
        <f>IF(ISTEXT(VLOOKUP(CONCATENATE($A41,"_",AJ$3),'Unit List'!$A$14:$H$2841,2,FALSE)),"X",$AG41)</f>
        <v/>
      </c>
      <c r="AK41" s="172" t="str">
        <f>IF(ISTEXT(VLOOKUP(CONCATENATE($A41,"_",AK$3),'Unit List'!$A$14:$H$2841,2,FALSE)),"+","")</f>
        <v/>
      </c>
      <c r="AL41" s="52" t="str">
        <f>IF(ISTEXT(VLOOKUP(CONCATENATE($A41,"_",AL$3),'Unit List'!$A$14:$H$2841,2,FALSE)),"X",$AK41)</f>
        <v/>
      </c>
      <c r="AM41" s="53" t="str">
        <f>IF(ISTEXT(VLOOKUP(CONCATENATE($A41,"_",AM$3),'Unit List'!$A$14:$H$2841,2,FALSE)),"X",$AK41)</f>
        <v/>
      </c>
      <c r="AN41" s="125" t="str">
        <f>IF(ISTEXT(VLOOKUP(CONCATENATE($A41,"_",AN$3),'Unit List'!$A$14:$H$2841,2,FALSE)),"+","")</f>
        <v/>
      </c>
      <c r="AO41" s="53" t="str">
        <f>IF(ISTEXT(VLOOKUP(CONCATENATE($A41,"_",AO$3),'Unit List'!$A$14:$H$2841,2,FALSE)),"X",$AN41)</f>
        <v/>
      </c>
      <c r="AP41" s="172" t="str">
        <f>IF(ISTEXT(VLOOKUP(CONCATENATE($A41,"_",AP$3),'Unit List'!$A$14:$H$2841,2,FALSE)),"+","")</f>
        <v/>
      </c>
      <c r="AQ41" s="51" t="str">
        <f>IF(ISTEXT(VLOOKUP(CONCATENATE($A41,"_",AQ$3),'Unit List'!$A$14:$H$2841,2,FALSE)),"X",$AP41)</f>
        <v/>
      </c>
      <c r="AR41" s="51" t="str">
        <f>IF(ISTEXT(VLOOKUP(CONCATENATE($A41,"_",AR$3),'Unit List'!$A$14:$H$2841,2,FALSE)),"X",$AP41)</f>
        <v/>
      </c>
      <c r="AS41" s="51" t="str">
        <f>IF(ISTEXT(VLOOKUP(CONCATENATE($A41,"_",AS$3),'Unit List'!$A$14:$H$2841,2,FALSE)),"X",$AP41)</f>
        <v/>
      </c>
      <c r="AT41" s="53" t="str">
        <f>IF(ISTEXT(VLOOKUP(CONCATENATE($A41,"_",AT$3),'Unit List'!$A$14:$H$2841,2,FALSE)),"X",$AP41)</f>
        <v/>
      </c>
      <c r="AU41" s="124" t="str">
        <f>IF(ISTEXT(VLOOKUP(CONCATENATE($A41,"_",AU$3),'Unit List'!$A$14:$H$2841,2,FALSE)),"+","")</f>
        <v/>
      </c>
      <c r="AV41" s="51" t="str">
        <f>IF(ISTEXT(VLOOKUP(CONCATENATE($A41,"_",AV$3),'Unit List'!$A$14:$H$2841,2,FALSE)),"X",$AU41)</f>
        <v/>
      </c>
      <c r="AW41" s="53" t="str">
        <f>IF(ISTEXT(VLOOKUP(CONCATENATE($A41,"_",AW$3),'Unit List'!$A$14:$H$2841,2,FALSE)),"X",$AU41)</f>
        <v/>
      </c>
      <c r="AX41" s="172" t="str">
        <f>IF(ISTEXT(VLOOKUP(CONCATENATE($A41,"_",AX$3),'Unit List'!$A$14:$H$2841,2,FALSE)),"+","")</f>
        <v/>
      </c>
      <c r="AY41" s="51" t="str">
        <f>IF(ISTEXT(VLOOKUP(CONCATENATE($A41,"_",AY$3),'Unit List'!$A$14:$H$2841,2,FALSE)),"X",$AX41)</f>
        <v/>
      </c>
      <c r="AZ41" s="53" t="str">
        <f>IF(ISTEXT(VLOOKUP(CONCATENATE($A41,"_",AZ$3),'Unit List'!$A$14:$H$2841,2,FALSE)),"X",$AX41)</f>
        <v/>
      </c>
      <c r="BA41" s="182" t="str">
        <f>IF(ISTEXT(VLOOKUP(CONCATENATE($A41,"_",BA$3),'Unit List'!$A$14:$H$2841,2,FALSE)),"+","")</f>
        <v/>
      </c>
      <c r="BB41" s="51" t="str">
        <f>IF(ISTEXT(VLOOKUP(CONCATENATE($A41,"_",BB$3),'Unit List'!$A$14:$H$2841,2,FALSE)),"X",$BA41)</f>
        <v/>
      </c>
      <c r="BC41" s="51" t="str">
        <f>IF(ISTEXT(VLOOKUP(CONCATENATE($A41,"_",BC$3),'Unit List'!$A$14:$H$2841,2,FALSE)),"X",$BA41)</f>
        <v/>
      </c>
      <c r="BD41" s="53" t="str">
        <f>IF(ISTEXT(VLOOKUP(CONCATENATE($A41,"_",BD$3),'Unit List'!$A$14:$H$2841,2,FALSE)),"X",$BA41)</f>
        <v/>
      </c>
      <c r="BE41" s="125" t="str">
        <f>IF(ISTEXT(VLOOKUP(CONCATENATE($A41,"_",BE$3),'Unit List'!$A$14:$H$2841,2,FALSE)),"+","")</f>
        <v/>
      </c>
      <c r="BF41" s="62" t="str">
        <f>IF(ISTEXT(VLOOKUP(CONCATENATE($A41,"_",BF$3),'Unit List'!$A$14:$H$2841,2,FALSE)),"X",$BE41)</f>
        <v/>
      </c>
      <c r="BG41" s="64" t="s">
        <v>0</v>
      </c>
      <c r="BH41" s="65" t="s">
        <v>0</v>
      </c>
      <c r="BI41" s="211"/>
      <c r="BJ41" s="212"/>
      <c r="BK41" s="212"/>
      <c r="BL41" s="212"/>
      <c r="BM41" s="213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List'!$A$14:$H$2841,2,FALSE)),"+","")</f>
        <v/>
      </c>
      <c r="C42" s="57" t="str">
        <f>IF(ISTEXT(VLOOKUP(CONCATENATE($A42,"_",C$3),'Unit List'!$A$14:$H$2841,2,FALSE)),"X",$B42)</f>
        <v>X</v>
      </c>
      <c r="D42" s="51" t="str">
        <f>IF(ISTEXT(VLOOKUP(CONCATENATE($A42,"_",D$3),'Unit List'!$A$14:$H$2841,2,FALSE)),"X",$B42)</f>
        <v/>
      </c>
      <c r="E42" s="51" t="str">
        <f>IF(ISTEXT(VLOOKUP(CONCATENATE($A42,"_",E$3),'Unit List'!$A$14:$H$2841,2,FALSE)),"X",$B42)</f>
        <v>X</v>
      </c>
      <c r="F42" s="51" t="str">
        <f>IF(ISTEXT(VLOOKUP(CONCATENATE($A42,"_",F$3),'Unit List'!$A$14:$H$2841,2,FALSE)),"X",$B42)</f>
        <v>X</v>
      </c>
      <c r="G42" s="51" t="str">
        <f>IF(ISTEXT(VLOOKUP(CONCATENATE($A42,"_",G$3),'Unit List'!$A$14:$H$2841,2,FALSE)),"X",$B42)</f>
        <v/>
      </c>
      <c r="H42" s="51" t="str">
        <f>IF(ISTEXT(VLOOKUP(CONCATENATE($A42,"_",H$3),'Unit List'!$A$14:$H$2841,2,FALSE)),"X",$B42)</f>
        <v/>
      </c>
      <c r="I42" s="53" t="str">
        <f>IF(ISTEXT(VLOOKUP(CONCATENATE($A42,"_",I$3),'Unit List'!$A$14:$H$2841,2,FALSE)),"X",$B42)</f>
        <v/>
      </c>
      <c r="J42" s="172" t="str">
        <f>IF(ISTEXT(VLOOKUP(CONCATENATE($A42,"_",J$3),'Unit List'!$A$14:$H$2841,2,FALSE)),"+","")</f>
        <v/>
      </c>
      <c r="K42" s="51" t="str">
        <f>IF(ISTEXT(VLOOKUP(CONCATENATE($A42,"_",K$3),'Unit List'!$A$14:$H$2841,2,FALSE)),"X",$J42)</f>
        <v/>
      </c>
      <c r="L42" s="62" t="str">
        <f>IF(ISTEXT(VLOOKUP(CONCATENATE($A42,"_",L$3),'Unit List'!$A$14:$H$2841,2,FALSE)),"X",$J42)</f>
        <v/>
      </c>
      <c r="M42" s="172" t="str">
        <f>IF(ISTEXT(VLOOKUP(CONCATENATE($A42,"_",M$3),'Unit List'!$A$14:$H$2841,2,FALSE)),"+","")</f>
        <v>+</v>
      </c>
      <c r="N42" s="51" t="str">
        <f>IF(ISTEXT(VLOOKUP(CONCATENATE($A42,"_",N$3),'Unit List'!$A$14:$H$2841,2,FALSE)),"X",$M42)</f>
        <v>+</v>
      </c>
      <c r="O42" s="70" t="str">
        <f>IF(ISTEXT(VLOOKUP(CONCATENATE($A42,"_",O$3),'Unit List'!$A$14:$H$2841,2,FALSE)),"X",$M42)</f>
        <v>X</v>
      </c>
      <c r="P42" s="172" t="str">
        <f>IF(ISTEXT(VLOOKUP(CONCATENATE($A42,"_",P$3),'Unit List'!$A$14:$H$2841,2,FALSE)),"+","")</f>
        <v/>
      </c>
      <c r="Q42" s="51" t="str">
        <f>IF(ISTEXT(VLOOKUP(CONCATENATE($A42,"_",Q$3),'Unit List'!$A$14:$H$2841,2,FALSE)),"X",$P42)</f>
        <v/>
      </c>
      <c r="R42" s="51" t="str">
        <f>IF(ISTEXT(VLOOKUP(CONCATENATE($A42,"_",R$3),'Unit List'!$A$14:$H$2841,2,FALSE)),"X",$P42)</f>
        <v/>
      </c>
      <c r="S42" s="51" t="str">
        <f>IF(ISTEXT(VLOOKUP(CONCATENATE($A42,"_",S$3),'Unit List'!$A$14:$H$2841,2,FALSE)),"X",$P42)</f>
        <v/>
      </c>
      <c r="T42" s="52" t="str">
        <f>IF(ISTEXT(VLOOKUP(CONCATENATE($A42,"_",T$3),'Unit List'!$A$14:$H$2841,2,FALSE)),"X",$P42)</f>
        <v/>
      </c>
      <c r="U42" s="51" t="str">
        <f>IF(ISTEXT(VLOOKUP(CONCATENATE($A42,"_",U$3),'Unit List'!$A$14:$H$2841,2,FALSE)),"X",$P42)</f>
        <v/>
      </c>
      <c r="V42" s="51" t="str">
        <f>IF(ISTEXT(VLOOKUP(CONCATENATE($A42,"_",V$3),'Unit List'!$A$14:$H$2841,2,FALSE)),"X",$P42)</f>
        <v/>
      </c>
      <c r="W42" s="53" t="str">
        <f>IF(ISTEXT(VLOOKUP(CONCATENATE($A42,"_",W$3),'Unit List'!$A$14:$H$2841,2,FALSE)),"X",$P42)</f>
        <v/>
      </c>
      <c r="X42" s="172" t="str">
        <f>IF(ISTEXT(VLOOKUP(CONCATENATE($A42,"_",X$3),'Unit List'!$A$14:$H$2841,2,FALSE)),"+","")</f>
        <v/>
      </c>
      <c r="Y42" s="51" t="str">
        <f>IF(ISTEXT(VLOOKUP(CONCATENATE($A42,"_",Y$3),'Unit List'!$A$14:$H$2841,2,FALSE)),"X",$X42)</f>
        <v/>
      </c>
      <c r="Z42" s="51" t="str">
        <f>IF(ISTEXT(VLOOKUP(CONCATENATE($A42,"_",Z$3),'Unit List'!$A$14:$H$2841,2,FALSE)),"X",$X42)</f>
        <v/>
      </c>
      <c r="AA42" s="51" t="str">
        <f>IF(ISTEXT(VLOOKUP(CONCATENATE($A42,"_",AA$3),'Unit List'!$A$14:$H$2841,2,FALSE)),"X",$X42)</f>
        <v/>
      </c>
      <c r="AB42" s="51" t="str">
        <f>IF(ISTEXT(VLOOKUP(CONCATENATE($A42,"_",AB$3),'Unit List'!$A$14:$H$2841,2,FALSE)),"X",$X42)</f>
        <v/>
      </c>
      <c r="AC42" s="62" t="str">
        <f>IF(ISTEXT(VLOOKUP(CONCATENATE($A42,"_",AC$3),'Unit List'!$A$14:$H$2841,2,FALSE)),"X",$X42)</f>
        <v/>
      </c>
      <c r="AD42" s="172" t="str">
        <f>IF(ISTEXT(VLOOKUP(CONCATENATE($A42,"_",AD$3),'Unit List'!$A$14:$H$2841,2,FALSE)),"+","")</f>
        <v/>
      </c>
      <c r="AE42" s="51" t="str">
        <f>IF(ISTEXT(VLOOKUP(CONCATENATE($A42,"_",AE$3),'Unit List'!$A$14:$H$2841,2,FALSE)),"X",$AD42)</f>
        <v/>
      </c>
      <c r="AF42" s="51" t="str">
        <f>IF(ISTEXT(VLOOKUP(CONCATENATE($A42,"_",AF$3),'Unit List'!$A$14:$H$2841,2,FALSE)),"X",$AD42)</f>
        <v/>
      </c>
      <c r="AG42" s="172" t="str">
        <f>IF(ISTEXT(VLOOKUP(CONCATENATE($A42,"_",AG$3),'Unit List'!$A$14:$H$2841,2,FALSE)),"+","")</f>
        <v/>
      </c>
      <c r="AH42" s="51" t="str">
        <f>IF(ISTEXT(VLOOKUP(CONCATENATE($A42,"_",AH$3),'Unit List'!$A$14:$H$2841,2,FALSE)),"X",$AG42)</f>
        <v/>
      </c>
      <c r="AI42" s="51" t="str">
        <f>IF(ISTEXT(VLOOKUP(CONCATENATE($A42,"_",AI$3),'Unit List'!$A$14:$H$2841,2,FALSE)),"X",$AG42)</f>
        <v/>
      </c>
      <c r="AJ42" s="53" t="str">
        <f>IF(ISTEXT(VLOOKUP(CONCATENATE($A42,"_",AJ$3),'Unit List'!$A$14:$H$2841,2,FALSE)),"X",$AG42)</f>
        <v/>
      </c>
      <c r="AK42" s="172" t="str">
        <f>IF(ISTEXT(VLOOKUP(CONCATENATE($A42,"_",AK$3),'Unit List'!$A$14:$H$2841,2,FALSE)),"+","")</f>
        <v/>
      </c>
      <c r="AL42" s="52" t="str">
        <f>IF(ISTEXT(VLOOKUP(CONCATENATE($A42,"_",AL$3),'Unit List'!$A$14:$H$2841,2,FALSE)),"X",$AK42)</f>
        <v/>
      </c>
      <c r="AM42" s="53" t="str">
        <f>IF(ISTEXT(VLOOKUP(CONCATENATE($A42,"_",AM$3),'Unit List'!$A$14:$H$2841,2,FALSE)),"X",$AK42)</f>
        <v/>
      </c>
      <c r="AN42" s="125" t="str">
        <f>IF(ISTEXT(VLOOKUP(CONCATENATE($A42,"_",AN$3),'Unit List'!$A$14:$H$2841,2,FALSE)),"+","")</f>
        <v/>
      </c>
      <c r="AO42" s="53" t="str">
        <f>IF(ISTEXT(VLOOKUP(CONCATENATE($A42,"_",AO$3),'Unit List'!$A$14:$H$2841,2,FALSE)),"X",$AN42)</f>
        <v/>
      </c>
      <c r="AP42" s="172" t="str">
        <f>IF(ISTEXT(VLOOKUP(CONCATENATE($A42,"_",AP$3),'Unit List'!$A$14:$H$2841,2,FALSE)),"+","")</f>
        <v>+</v>
      </c>
      <c r="AQ42" s="51" t="str">
        <f>IF(ISTEXT(VLOOKUP(CONCATENATE($A42,"_",AQ$3),'Unit List'!$A$14:$H$2841,2,FALSE)),"X",$AP42)</f>
        <v>+</v>
      </c>
      <c r="AR42" s="51" t="str">
        <f>IF(ISTEXT(VLOOKUP(CONCATENATE($A42,"_",AR$3),'Unit List'!$A$14:$H$2841,2,FALSE)),"X",$AP42)</f>
        <v>+</v>
      </c>
      <c r="AS42" s="51" t="str">
        <f>IF(ISTEXT(VLOOKUP(CONCATENATE($A42,"_",AS$3),'Unit List'!$A$14:$H$2841,2,FALSE)),"X",$AP42)</f>
        <v>+</v>
      </c>
      <c r="AT42" s="53" t="str">
        <f>IF(ISTEXT(VLOOKUP(CONCATENATE($A42,"_",AT$3),'Unit List'!$A$14:$H$2841,2,FALSE)),"X",$AP42)</f>
        <v>+</v>
      </c>
      <c r="AU42" s="124" t="str">
        <f>IF(ISTEXT(VLOOKUP(CONCATENATE($A42,"_",AU$3),'Unit List'!$A$14:$H$2841,2,FALSE)),"+","")</f>
        <v/>
      </c>
      <c r="AV42" s="51" t="str">
        <f>IF(ISTEXT(VLOOKUP(CONCATENATE($A42,"_",AV$3),'Unit List'!$A$14:$H$2841,2,FALSE)),"X",$AU42)</f>
        <v/>
      </c>
      <c r="AW42" s="53" t="str">
        <f>IF(ISTEXT(VLOOKUP(CONCATENATE($A42,"_",AW$3),'Unit List'!$A$14:$H$2841,2,FALSE)),"X",$AU42)</f>
        <v/>
      </c>
      <c r="AX42" s="172" t="str">
        <f>IF(ISTEXT(VLOOKUP(CONCATENATE($A42,"_",AX$3),'Unit List'!$A$14:$H$2841,2,FALSE)),"+","")</f>
        <v>+</v>
      </c>
      <c r="AY42" s="51" t="str">
        <f>IF(ISTEXT(VLOOKUP(CONCATENATE($A42,"_",AY$3),'Unit List'!$A$14:$H$2841,2,FALSE)),"X",$AX42)</f>
        <v>+</v>
      </c>
      <c r="AZ42" s="53" t="str">
        <f>IF(ISTEXT(VLOOKUP(CONCATENATE($A42,"_",AZ$3),'Unit List'!$A$14:$H$2841,2,FALSE)),"X",$AX42)</f>
        <v>+</v>
      </c>
      <c r="BA42" s="182" t="str">
        <f>IF(ISTEXT(VLOOKUP(CONCATENATE($A42,"_",BA$3),'Unit List'!$A$14:$H$2841,2,FALSE)),"+","")</f>
        <v/>
      </c>
      <c r="BB42" s="51" t="str">
        <f>IF(ISTEXT(VLOOKUP(CONCATENATE($A42,"_",BB$3),'Unit List'!$A$14:$H$2841,2,FALSE)),"X",$BA42)</f>
        <v/>
      </c>
      <c r="BC42" s="51" t="str">
        <f>IF(ISTEXT(VLOOKUP(CONCATENATE($A42,"_",BC$3),'Unit List'!$A$14:$H$2841,2,FALSE)),"X",$BA42)</f>
        <v/>
      </c>
      <c r="BD42" s="53" t="str">
        <f>IF(ISTEXT(VLOOKUP(CONCATENATE($A42,"_",BD$3),'Unit List'!$A$14:$H$2841,2,FALSE)),"X",$BA42)</f>
        <v/>
      </c>
      <c r="BE42" s="125" t="str">
        <f>IF(ISTEXT(VLOOKUP(CONCATENATE($A42,"_",BE$3),'Unit List'!$A$14:$H$2841,2,FALSE)),"+","")</f>
        <v>+</v>
      </c>
      <c r="BF42" s="62" t="str">
        <f>IF(ISTEXT(VLOOKUP(CONCATENATE($A42,"_",BF$3),'Unit List'!$A$14:$H$2841,2,FALSE)),"X",$BE42)</f>
        <v>+</v>
      </c>
      <c r="BG42" s="64"/>
      <c r="BH42" s="65" t="s">
        <v>0</v>
      </c>
      <c r="BI42" s="211"/>
      <c r="BJ42" s="212"/>
      <c r="BK42" s="212"/>
      <c r="BL42" s="212"/>
      <c r="BM42" s="213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List'!$A$14:$H$2841,2,FALSE)),"+","")</f>
        <v/>
      </c>
      <c r="C43" s="82" t="str">
        <f>IF(ISTEXT(VLOOKUP(CONCATENATE($A43,"_",C$3),'Unit List'!$A$14:$H$2841,2,FALSE)),"X",$B43)</f>
        <v>X</v>
      </c>
      <c r="D43" s="67" t="str">
        <f>IF(ISTEXT(VLOOKUP(CONCATENATE($A43,"_",D$3),'Unit List'!$A$14:$H$2841,2,FALSE)),"X",$B43)</f>
        <v>X</v>
      </c>
      <c r="E43" s="51" t="str">
        <f>IF(ISTEXT(VLOOKUP(CONCATENATE($A43,"_",E$3),'Unit List'!$A$14:$H$2841,2,FALSE)),"X",$B43)</f>
        <v/>
      </c>
      <c r="F43" s="67" t="str">
        <f>IF(ISTEXT(VLOOKUP(CONCATENATE($A43,"_",F$3),'Unit List'!$A$14:$H$2841,2,FALSE)),"X",$B43)</f>
        <v>X</v>
      </c>
      <c r="G43" s="67" t="str">
        <f>IF(ISTEXT(VLOOKUP(CONCATENATE($A43,"_",G$3),'Unit List'!$A$14:$H$2841,2,FALSE)),"X",$B43)</f>
        <v>X</v>
      </c>
      <c r="H43" s="67" t="str">
        <f>IF(ISTEXT(VLOOKUP(CONCATENATE($A43,"_",H$3),'Unit List'!$A$14:$H$2841,2,FALSE)),"X",$B43)</f>
        <v>X</v>
      </c>
      <c r="I43" s="70" t="str">
        <f>IF(ISTEXT(VLOOKUP(CONCATENATE($A43,"_",I$3),'Unit List'!$A$14:$H$2841,2,FALSE)),"X",$B43)</f>
        <v>X</v>
      </c>
      <c r="J43" s="172" t="str">
        <f>IF(ISTEXT(VLOOKUP(CONCATENATE($A43,"_",J$3),'Unit List'!$A$14:$H$2841,2,FALSE)),"+","")</f>
        <v>+</v>
      </c>
      <c r="K43" s="51" t="str">
        <f>IF(ISTEXT(VLOOKUP(CONCATENATE($A43,"_",K$3),'Unit List'!$A$14:$H$2841,2,FALSE)),"X",$J43)</f>
        <v>+</v>
      </c>
      <c r="L43" s="86" t="str">
        <f>IF(ISTEXT(VLOOKUP(CONCATENATE($A43,"_",L$3),'Unit List'!$A$14:$H$2841,2,FALSE)),"X",$J43)</f>
        <v>+</v>
      </c>
      <c r="M43" s="172" t="str">
        <f>IF(ISTEXT(VLOOKUP(CONCATENATE($A43,"_",M$3),'Unit List'!$A$14:$H$2841,2,FALSE)),"+","")</f>
        <v>+</v>
      </c>
      <c r="N43" s="67" t="str">
        <f>IF(ISTEXT(VLOOKUP(CONCATENATE($A43,"_",N$3),'Unit List'!$A$14:$H$2841,2,FALSE)),"X",$M43)</f>
        <v>+</v>
      </c>
      <c r="O43" s="70" t="str">
        <f>IF(ISTEXT(VLOOKUP(CONCATENATE($A43,"_",O$3),'Unit List'!$A$14:$H$2841,2,FALSE)),"X",$M43)</f>
        <v>X</v>
      </c>
      <c r="P43" s="172" t="str">
        <f>IF(ISTEXT(VLOOKUP(CONCATENATE($A43,"_",P$3),'Unit List'!$A$14:$H$2841,2,FALSE)),"+","")</f>
        <v/>
      </c>
      <c r="Q43" s="51" t="str">
        <f>IF(ISTEXT(VLOOKUP(CONCATENATE($A43,"_",Q$3),'Unit List'!$A$14:$H$2841,2,FALSE)),"X",$P43)</f>
        <v/>
      </c>
      <c r="R43" s="51" t="str">
        <f>IF(ISTEXT(VLOOKUP(CONCATENATE($A43,"_",R$3),'Unit List'!$A$14:$H$2841,2,FALSE)),"X",$P43)</f>
        <v/>
      </c>
      <c r="S43" s="67" t="str">
        <f>IF(ISTEXT(VLOOKUP(CONCATENATE($A43,"_",S$3),'Unit List'!$A$14:$H$2841,2,FALSE)),"X",$P43)</f>
        <v>X</v>
      </c>
      <c r="T43" s="52" t="str">
        <f>IF(ISTEXT(VLOOKUP(CONCATENATE($A43,"_",T$3),'Unit List'!$A$14:$H$2841,2,FALSE)),"X",$P43)</f>
        <v/>
      </c>
      <c r="U43" s="67" t="str">
        <f>IF(ISTEXT(VLOOKUP(CONCATENATE($A43,"_",U$3),'Unit List'!$A$14:$H$2841,2,FALSE)),"X",$P43)</f>
        <v>X</v>
      </c>
      <c r="V43" s="67" t="str">
        <f>IF(ISTEXT(VLOOKUP(CONCATENATE($A43,"_",V$3),'Unit List'!$A$14:$H$2841,2,FALSE)),"X",$P43)</f>
        <v>X</v>
      </c>
      <c r="W43" s="53" t="str">
        <f>IF(ISTEXT(VLOOKUP(CONCATENATE($A43,"_",W$3),'Unit List'!$A$14:$H$2841,2,FALSE)),"X",$P43)</f>
        <v/>
      </c>
      <c r="X43" s="172" t="str">
        <f>IF(ISTEXT(VLOOKUP(CONCATENATE($A43,"_",X$3),'Unit List'!$A$14:$H$2841,2,FALSE)),"+","")</f>
        <v/>
      </c>
      <c r="Y43" s="51" t="str">
        <f>IF(ISTEXT(VLOOKUP(CONCATENATE($A43,"_",Y$3),'Unit List'!$A$14:$H$2841,2,FALSE)),"X",$X43)</f>
        <v/>
      </c>
      <c r="Z43" s="51" t="str">
        <f>IF(ISTEXT(VLOOKUP(CONCATENATE($A43,"_",Z$3),'Unit List'!$A$14:$H$2841,2,FALSE)),"X",$X43)</f>
        <v/>
      </c>
      <c r="AA43" s="51" t="str">
        <f>IF(ISTEXT(VLOOKUP(CONCATENATE($A43,"_",AA$3),'Unit List'!$A$14:$H$2841,2,FALSE)),"X",$X43)</f>
        <v/>
      </c>
      <c r="AB43" s="51" t="str">
        <f>IF(ISTEXT(VLOOKUP(CONCATENATE($A43,"_",AB$3),'Unit List'!$A$14:$H$2841,2,FALSE)),"X",$X43)</f>
        <v/>
      </c>
      <c r="AC43" s="62" t="str">
        <f>IF(ISTEXT(VLOOKUP(CONCATENATE($A43,"_",AC$3),'Unit List'!$A$14:$H$2841,2,FALSE)),"X",$X43)</f>
        <v/>
      </c>
      <c r="AD43" s="172" t="str">
        <f>IF(ISTEXT(VLOOKUP(CONCATENATE($A43,"_",AD$3),'Unit List'!$A$14:$H$2841,2,FALSE)),"+","")</f>
        <v/>
      </c>
      <c r="AE43" s="51" t="str">
        <f>IF(ISTEXT(VLOOKUP(CONCATENATE($A43,"_",AE$3),'Unit List'!$A$14:$H$2841,2,FALSE)),"X",$AD43)</f>
        <v/>
      </c>
      <c r="AF43" s="51" t="str">
        <f>IF(ISTEXT(VLOOKUP(CONCATENATE($A43,"_",AF$3),'Unit List'!$A$14:$H$2841,2,FALSE)),"X",$AD43)</f>
        <v/>
      </c>
      <c r="AG43" s="172" t="str">
        <f>IF(ISTEXT(VLOOKUP(CONCATENATE($A43,"_",AG$3),'Unit List'!$A$14:$H$2841,2,FALSE)),"+","")</f>
        <v/>
      </c>
      <c r="AH43" s="51" t="str">
        <f>IF(ISTEXT(VLOOKUP(CONCATENATE($A43,"_",AH$3),'Unit List'!$A$14:$H$2841,2,FALSE)),"X",$AG43)</f>
        <v/>
      </c>
      <c r="AI43" s="51" t="str">
        <f>IF(ISTEXT(VLOOKUP(CONCATENATE($A43,"_",AI$3),'Unit List'!$A$14:$H$2841,2,FALSE)),"X",$AG43)</f>
        <v/>
      </c>
      <c r="AJ43" s="53" t="str">
        <f>IF(ISTEXT(VLOOKUP(CONCATENATE($A43,"_",AJ$3),'Unit List'!$A$14:$H$2841,2,FALSE)),"X",$AG43)</f>
        <v/>
      </c>
      <c r="AK43" s="172" t="str">
        <f>IF(ISTEXT(VLOOKUP(CONCATENATE($A43,"_",AK$3),'Unit List'!$A$14:$H$2841,2,FALSE)),"+","")</f>
        <v/>
      </c>
      <c r="AL43" s="87" t="str">
        <f>IF(ISTEXT(VLOOKUP(CONCATENATE($A43,"_",AL$3),'Unit List'!$A$14:$H$2841,2,FALSE)),"X",$AK43)</f>
        <v>X</v>
      </c>
      <c r="AM43" s="53" t="str">
        <f>IF(ISTEXT(VLOOKUP(CONCATENATE($A43,"_",AM$3),'Unit List'!$A$14:$H$2841,2,FALSE)),"X",$AK43)</f>
        <v/>
      </c>
      <c r="AN43" s="125" t="str">
        <f>IF(ISTEXT(VLOOKUP(CONCATENATE($A43,"_",AN$3),'Unit List'!$A$14:$H$2841,2,FALSE)),"+","")</f>
        <v>+</v>
      </c>
      <c r="AO43" s="53" t="str">
        <f>IF(ISTEXT(VLOOKUP(CONCATENATE($A43,"_",AO$3),'Unit List'!$A$14:$H$2841,2,FALSE)),"X",$AN43)</f>
        <v>+</v>
      </c>
      <c r="AP43" s="172" t="str">
        <f>IF(ISTEXT(VLOOKUP(CONCATENATE($A43,"_",AP$3),'Unit List'!$A$14:$H$2841,2,FALSE)),"+","")</f>
        <v>+</v>
      </c>
      <c r="AQ43" s="51" t="str">
        <f>IF(ISTEXT(VLOOKUP(CONCATENATE($A43,"_",AQ$3),'Unit List'!$A$14:$H$2841,2,FALSE)),"X",$AP43)</f>
        <v>X</v>
      </c>
      <c r="AR43" s="67" t="str">
        <f>IF(ISTEXT(VLOOKUP(CONCATENATE($A43,"_",AR$3),'Unit List'!$A$14:$H$2841,2,FALSE)),"X",$AP43)</f>
        <v>X</v>
      </c>
      <c r="AS43" s="51" t="str">
        <f>IF(ISTEXT(VLOOKUP(CONCATENATE($A43,"_",AS$3),'Unit List'!$A$14:$H$2841,2,FALSE)),"X",$AP43)</f>
        <v>+</v>
      </c>
      <c r="AT43" s="53" t="str">
        <f>IF(ISTEXT(VLOOKUP(CONCATENATE($A43,"_",AT$3),'Unit List'!$A$14:$H$2841,2,FALSE)),"X",$AP43)</f>
        <v>+</v>
      </c>
      <c r="AU43" s="124" t="str">
        <f>IF(ISTEXT(VLOOKUP(CONCATENATE($A43,"_",AU$3),'Unit List'!$A$14:$H$2841,2,FALSE)),"+","")</f>
        <v>+</v>
      </c>
      <c r="AV43" s="51" t="str">
        <f>IF(ISTEXT(VLOOKUP(CONCATENATE($A43,"_",AV$3),'Unit List'!$A$14:$H$2841,2,FALSE)),"X",$AU43)</f>
        <v>+</v>
      </c>
      <c r="AW43" s="53" t="str">
        <f>IF(ISTEXT(VLOOKUP(CONCATENATE($A43,"_",AW$3),'Unit List'!$A$14:$H$2841,2,FALSE)),"X",$AU43)</f>
        <v>+</v>
      </c>
      <c r="AX43" s="172" t="str">
        <f>IF(ISTEXT(VLOOKUP(CONCATENATE($A43,"_",AX$3),'Unit List'!$A$14:$H$2841,2,FALSE)),"+","")</f>
        <v>+</v>
      </c>
      <c r="AY43" s="51" t="str">
        <f>IF(ISTEXT(VLOOKUP(CONCATENATE($A43,"_",AY$3),'Unit List'!$A$14:$H$2841,2,FALSE)),"X",$AX43)</f>
        <v>+</v>
      </c>
      <c r="AZ43" s="53" t="str">
        <f>IF(ISTEXT(VLOOKUP(CONCATENATE($A43,"_",AZ$3),'Unit List'!$A$14:$H$2841,2,FALSE)),"X",$AX43)</f>
        <v>+</v>
      </c>
      <c r="BA43" s="182" t="str">
        <f>IF(ISTEXT(VLOOKUP(CONCATENATE($A43,"_",BA$3),'Unit List'!$A$14:$H$2841,2,FALSE)),"+","")</f>
        <v>+</v>
      </c>
      <c r="BB43" s="51" t="str">
        <f>IF(ISTEXT(VLOOKUP(CONCATENATE($A43,"_",BB$3),'Unit List'!$A$14:$H$2841,2,FALSE)),"X",$BA43)</f>
        <v>+</v>
      </c>
      <c r="BC43" s="51" t="str">
        <f>IF(ISTEXT(VLOOKUP(CONCATENATE($A43,"_",BC$3),'Unit List'!$A$14:$H$2841,2,FALSE)),"X",$BA43)</f>
        <v>+</v>
      </c>
      <c r="BD43" s="53" t="str">
        <f>IF(ISTEXT(VLOOKUP(CONCATENATE($A43,"_",BD$3),'Unit List'!$A$14:$H$2841,2,FALSE)),"X",$BA43)</f>
        <v>+</v>
      </c>
      <c r="BE43" s="125" t="str">
        <f>IF(ISTEXT(VLOOKUP(CONCATENATE($A43,"_",BE$3),'Unit List'!$A$14:$H$2841,2,FALSE)),"+","")</f>
        <v>+</v>
      </c>
      <c r="BF43" s="62" t="str">
        <f>IF(ISTEXT(VLOOKUP(CONCATENATE($A43,"_",BF$3),'Unit List'!$A$14:$H$2841,2,FALSE)),"X",$BE43)</f>
        <v>+</v>
      </c>
      <c r="BG43" s="75"/>
      <c r="BH43" s="84"/>
      <c r="BI43" s="211"/>
      <c r="BJ43" s="212"/>
      <c r="BK43" s="212"/>
      <c r="BL43" s="212"/>
      <c r="BM43" s="213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List'!$A$14:$H$2841,2,FALSE)),"+","")</f>
        <v/>
      </c>
      <c r="C44" s="82" t="str">
        <f>IF(ISTEXT(VLOOKUP(CONCATENATE($A44,"_",C$3),'Unit List'!$A$14:$H$2841,2,FALSE)),"X",$B44)</f>
        <v>X</v>
      </c>
      <c r="D44" s="60" t="str">
        <f>IF(ISTEXT(VLOOKUP(CONCATENATE($A44,"_",D$3),'Unit List'!$A$14:$H$2841,2,FALSE)),"X",$B44)</f>
        <v/>
      </c>
      <c r="E44" s="51" t="str">
        <f>IF(ISTEXT(VLOOKUP(CONCATENATE($A44,"_",E$3),'Unit List'!$A$14:$H$2841,2,FALSE)),"X",$B44)</f>
        <v/>
      </c>
      <c r="F44" s="67" t="str">
        <f>IF(ISTEXT(VLOOKUP(CONCATENATE($A44,"_",F$3),'Unit List'!$A$14:$H$2841,2,FALSE)),"X",$B44)</f>
        <v>X</v>
      </c>
      <c r="G44" s="67" t="str">
        <f>IF(ISTEXT(VLOOKUP(CONCATENATE($A44,"_",G$3),'Unit List'!$A$14:$H$2841,2,FALSE)),"X",$B44)</f>
        <v>X</v>
      </c>
      <c r="H44" s="67" t="str">
        <f>IF(ISTEXT(VLOOKUP(CONCATENATE($A44,"_",H$3),'Unit List'!$A$14:$H$2841,2,FALSE)),"X",$B44)</f>
        <v>X</v>
      </c>
      <c r="I44" s="53" t="str">
        <f>IF(ISTEXT(VLOOKUP(CONCATENATE($A44,"_",I$3),'Unit List'!$A$14:$H$2841,2,FALSE)),"X",$B44)</f>
        <v/>
      </c>
      <c r="J44" s="172" t="str">
        <f>IF(ISTEXT(VLOOKUP(CONCATENATE($A44,"_",J$3),'Unit List'!$A$14:$H$2841,2,FALSE)),"+","")</f>
        <v>+</v>
      </c>
      <c r="K44" s="103" t="str">
        <f>IF(ISTEXT(VLOOKUP(CONCATENATE($A44,"_",K$3),'Unit List'!$A$14:$H$2841,2,FALSE)),"X",$J44)</f>
        <v>+</v>
      </c>
      <c r="L44" s="104" t="str">
        <f>IF(ISTEXT(VLOOKUP(CONCATENATE($A44,"_",L$3),'Unit List'!$A$14:$H$2841,2,FALSE)),"X",$J44)</f>
        <v>+</v>
      </c>
      <c r="M44" s="172" t="str">
        <f>IF(ISTEXT(VLOOKUP(CONCATENATE($A44,"_",M$3),'Unit List'!$A$14:$H$2841,2,FALSE)),"+","")</f>
        <v>+</v>
      </c>
      <c r="N44" s="51" t="str">
        <f>IF(ISTEXT(VLOOKUP(CONCATENATE($A44,"_",N$3),'Unit List'!$A$14:$H$2841,2,FALSE)),"X",$M44)</f>
        <v>+</v>
      </c>
      <c r="O44" s="70" t="str">
        <f>IF(ISTEXT(VLOOKUP(CONCATENATE($A44,"_",O$3),'Unit List'!$A$14:$H$2841,2,FALSE)),"X",$M44)</f>
        <v>+</v>
      </c>
      <c r="P44" s="171" t="str">
        <f>IF(ISTEXT(VLOOKUP(CONCATENATE($A44,"_",P$3),'Unit List'!$A$14:$H$2841,2,FALSE)),"+","")</f>
        <v>+</v>
      </c>
      <c r="Q44" s="51" t="str">
        <f>IF(ISTEXT(VLOOKUP(CONCATENATE($A44,"_",Q$3),'Unit List'!$A$14:$H$2841,2,FALSE)),"X",$P44)</f>
        <v>+</v>
      </c>
      <c r="R44" s="51" t="str">
        <f>IF(ISTEXT(VLOOKUP(CONCATENATE($A44,"_",R$3),'Unit List'!$A$14:$H$2841,2,FALSE)),"X",$P44)</f>
        <v>+</v>
      </c>
      <c r="S44" s="67" t="str">
        <f>IF(ISTEXT(VLOOKUP(CONCATENATE($A44,"_",S$3),'Unit List'!$A$14:$H$2841,2,FALSE)),"X",$P44)</f>
        <v>X</v>
      </c>
      <c r="T44" s="52" t="str">
        <f>IF(ISTEXT(VLOOKUP(CONCATENATE($A44,"_",T$3),'Unit List'!$A$14:$H$2841,2,FALSE)),"X",$P44)</f>
        <v>+</v>
      </c>
      <c r="U44" s="67" t="str">
        <f>IF(ISTEXT(VLOOKUP(CONCATENATE($A44,"_",U$3),'Unit List'!$A$14:$H$2841,2,FALSE)),"X",$P44)</f>
        <v>X</v>
      </c>
      <c r="V44" s="67" t="str">
        <f>IF(ISTEXT(VLOOKUP(CONCATENATE($A44,"_",V$3),'Unit List'!$A$14:$H$2841,2,FALSE)),"X",$P44)</f>
        <v>X</v>
      </c>
      <c r="W44" s="53" t="str">
        <f>IF(ISTEXT(VLOOKUP(CONCATENATE($A44,"_",W$3),'Unit List'!$A$14:$H$2841,2,FALSE)),"X",$P44)</f>
        <v>+</v>
      </c>
      <c r="X44" s="171" t="str">
        <f>IF(ISTEXT(VLOOKUP(CONCATENATE($A44,"_",X$3),'Unit List'!$A$14:$H$2841,2,FALSE)),"+","")</f>
        <v>+</v>
      </c>
      <c r="Y44" s="67" t="str">
        <f>IF(ISTEXT(VLOOKUP(CONCATENATE($A44,"_",Y$3),'Unit List'!$A$14:$H$2841,2,FALSE)),"X",$X44)</f>
        <v>X</v>
      </c>
      <c r="Z44" s="51" t="str">
        <f>IF(ISTEXT(VLOOKUP(CONCATENATE($A44,"_",Z$3),'Unit List'!$A$14:$H$2841,2,FALSE)),"X",$X44)</f>
        <v>+</v>
      </c>
      <c r="AA44" s="67" t="str">
        <f>IF(ISTEXT(VLOOKUP(CONCATENATE($A44,"_",AA$3),'Unit List'!$A$14:$H$2841,2,FALSE)),"X",$X44)</f>
        <v>X</v>
      </c>
      <c r="AB44" s="67" t="str">
        <f>IF(ISTEXT(VLOOKUP(CONCATENATE($A44,"_",AB$3),'Unit List'!$A$14:$H$2841,2,FALSE)),"X",$X44)</f>
        <v>X</v>
      </c>
      <c r="AC44" s="86" t="str">
        <f>IF(ISTEXT(VLOOKUP(CONCATENATE($A44,"_",AC$3),'Unit List'!$A$14:$H$2841,2,FALSE)),"X",$X44)</f>
        <v>X</v>
      </c>
      <c r="AD44" s="171" t="str">
        <f>IF(ISTEXT(VLOOKUP(CONCATENATE($A44,"_",AD$3),'Unit List'!$A$14:$H$2841,2,FALSE)),"+","")</f>
        <v>+</v>
      </c>
      <c r="AE44" s="51" t="str">
        <f>IF(ISTEXT(VLOOKUP(CONCATENATE($A44,"_",AE$3),'Unit List'!$A$14:$H$2841,2,FALSE)),"X",$AD44)</f>
        <v>X</v>
      </c>
      <c r="AF44" s="51" t="str">
        <f>IF(ISTEXT(VLOOKUP(CONCATENATE($A44,"_",AF$3),'Unit List'!$A$14:$H$2841,2,FALSE)),"X",$AD44)</f>
        <v>+</v>
      </c>
      <c r="AG44" s="171" t="str">
        <f>IF(ISTEXT(VLOOKUP(CONCATENATE($A44,"_",AG$3),'Unit List'!$A$14:$H$2841,2,FALSE)),"+","")</f>
        <v>+</v>
      </c>
      <c r="AH44" s="67" t="str">
        <f>IF(ISTEXT(VLOOKUP(CONCATENATE($A44,"_",AH$3),'Unit List'!$A$14:$H$2841,2,FALSE)),"X",$AG44)</f>
        <v>+</v>
      </c>
      <c r="AI44" s="67" t="str">
        <f>IF(ISTEXT(VLOOKUP(CONCATENATE($A44,"_",AI$3),'Unit List'!$A$14:$H$2841,2,FALSE)),"X",$AG44)</f>
        <v>X</v>
      </c>
      <c r="AJ44" s="91" t="s">
        <v>0</v>
      </c>
      <c r="AK44" s="171" t="str">
        <f>IF(ISTEXT(VLOOKUP(CONCATENATE($A44,"_",AK$3),'Unit List'!$A$14:$H$2841,2,FALSE)),"+","")</f>
        <v>+</v>
      </c>
      <c r="AL44" s="52" t="str">
        <f>IF(ISTEXT(VLOOKUP(CONCATENATE($A44,"_",AL$3),'Unit List'!$A$14:$H$2841,2,FALSE)),"X",$AK44)</f>
        <v>+</v>
      </c>
      <c r="AM44" s="70" t="str">
        <f>IF(ISTEXT(VLOOKUP(CONCATENATE($A44,"_",AM$3),'Unit List'!$A$14:$H$2841,2,FALSE)),"X",$AK44)</f>
        <v>+</v>
      </c>
      <c r="AN44" s="125" t="str">
        <f>IF(ISTEXT(VLOOKUP(CONCATENATE($A44,"_",AN$3),'Unit List'!$A$14:$H$2841,2,FALSE)),"+","")</f>
        <v>+</v>
      </c>
      <c r="AO44" s="70" t="str">
        <f>IF(ISTEXT(VLOOKUP(CONCATENATE($A44,"_",AO$3),'Unit List'!$A$14:$H$2841,2,FALSE)),"X",$AN44)</f>
        <v>+</v>
      </c>
      <c r="AP44" s="171" t="str">
        <f>IF(ISTEXT(VLOOKUP(CONCATENATE($A44,"_",AP$3),'Unit List'!$A$14:$H$2841,2,FALSE)),"+","")</f>
        <v>+</v>
      </c>
      <c r="AQ44" s="67" t="str">
        <f>IF(ISTEXT(VLOOKUP(CONCATENATE($A44,"_",AQ$3),'Unit List'!$A$14:$H$2841,2,FALSE)),"X",$AP44)</f>
        <v>X</v>
      </c>
      <c r="AR44" s="67" t="str">
        <f>IF(ISTEXT(VLOOKUP(CONCATENATE($A44,"_",AR$3),'Unit List'!$A$14:$H$2841,2,FALSE)),"X",$AP44)</f>
        <v>X</v>
      </c>
      <c r="AS44" s="67" t="str">
        <f>IF(ISTEXT(VLOOKUP(CONCATENATE($A44,"_",AS$3),'Unit List'!$A$14:$H$2841,2,FALSE)),"X",$AP44)</f>
        <v>X</v>
      </c>
      <c r="AT44" s="70" t="str">
        <f>IF(ISTEXT(VLOOKUP(CONCATENATE($A44,"_",AT$3),'Unit List'!$A$14:$H$2841,2,FALSE)),"X",$AP44)</f>
        <v>X</v>
      </c>
      <c r="AU44" s="124" t="str">
        <f>IF(ISTEXT(VLOOKUP(CONCATENATE($A44,"_",AU$3),'Unit List'!$A$14:$H$2841,2,FALSE)),"+","")</f>
        <v>+</v>
      </c>
      <c r="AV44" s="51" t="str">
        <f>IF(ISTEXT(VLOOKUP(CONCATENATE($A44,"_",AV$3),'Unit List'!$A$14:$H$2841,2,FALSE)),"X",$AU44)</f>
        <v>+</v>
      </c>
      <c r="AW44" s="53" t="str">
        <f>IF(ISTEXT(VLOOKUP(CONCATENATE($A44,"_",AW$3),'Unit List'!$A$14:$H$2841,2,FALSE)),"X",$AU44)</f>
        <v>+</v>
      </c>
      <c r="AX44" s="171" t="str">
        <f>IF(ISTEXT(VLOOKUP(CONCATENATE($A44,"_",AX$3),'Unit List'!$A$14:$H$2841,2,FALSE)),"+","")</f>
        <v>+</v>
      </c>
      <c r="AY44" s="67" t="str">
        <f>IF(ISTEXT(VLOOKUP(CONCATENATE($A44,"_",AY$3),'Unit List'!$A$14:$H$2841,2,FALSE)),"X",$AX44)</f>
        <v>+</v>
      </c>
      <c r="AZ44" s="70" t="str">
        <f>IF(ISTEXT(VLOOKUP(CONCATENATE($A44,"_",AZ$3),'Unit List'!$A$14:$H$2841,2,FALSE)),"X",$AX44)</f>
        <v>+</v>
      </c>
      <c r="BA44" s="171" t="str">
        <f>IF(ISTEXT(VLOOKUP(CONCATENATE($A44,"_",BA$3),'Unit List'!$A$14:$H$2841,2,FALSE)),"+","")</f>
        <v>+</v>
      </c>
      <c r="BB44" s="67" t="str">
        <f>IF(ISTEXT(VLOOKUP(CONCATENATE($A44,"_",BB$3),'Unit List'!$A$14:$H$2841,2,FALSE)),"X",$BA44)</f>
        <v>X</v>
      </c>
      <c r="BC44" s="67" t="str">
        <f>IF(ISTEXT(VLOOKUP(CONCATENATE($A44,"_",BC$3),'Unit List'!$A$14:$H$2841,2,FALSE)),"X",$BA44)</f>
        <v>X</v>
      </c>
      <c r="BD44" s="70" t="str">
        <f>IF(ISTEXT(VLOOKUP(CONCATENATE($A44,"_",BD$3),'Unit List'!$A$14:$H$2841,2,FALSE)),"X",$BA44)</f>
        <v>X</v>
      </c>
      <c r="BE44" s="125" t="str">
        <f>IF(ISTEXT(VLOOKUP(CONCATENATE($A44,"_",BE$3),'Unit List'!$A$14:$H$2841,2,FALSE)),"+","")</f>
        <v>+</v>
      </c>
      <c r="BF44" s="62" t="str">
        <f>IF(ISTEXT(VLOOKUP(CONCATENATE($A44,"_",BF$3),'Unit List'!$A$14:$H$2841,2,FALSE)),"X",$BE44)</f>
        <v>+</v>
      </c>
      <c r="BG44" s="75"/>
      <c r="BH44" s="84"/>
      <c r="BI44" s="211" t="s">
        <v>1918</v>
      </c>
      <c r="BJ44" s="212"/>
      <c r="BK44" s="212"/>
      <c r="BL44" s="212"/>
      <c r="BM44" s="213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List'!$A$14:$H$2841,2,FALSE)),"+","")</f>
        <v/>
      </c>
      <c r="C45" s="82" t="str">
        <f>IF(ISTEXT(VLOOKUP(CONCATENATE($A45,"_",C$3),'Unit List'!$A$14:$H$2841,2,FALSE)),"X",$B45)</f>
        <v>X</v>
      </c>
      <c r="D45" s="67" t="str">
        <f>IF(ISTEXT(VLOOKUP(CONCATENATE($A45,"_",D$3),'Unit List'!$A$14:$H$2841,2,FALSE)),"X",$B45)</f>
        <v>X</v>
      </c>
      <c r="E45" s="67" t="str">
        <f>IF(ISTEXT(VLOOKUP(CONCATENATE($A45,"_",E$3),'Unit List'!$A$14:$H$2841,2,FALSE)),"X",$B45)</f>
        <v>X</v>
      </c>
      <c r="F45" s="67" t="str">
        <f>IF(ISTEXT(VLOOKUP(CONCATENATE($A45,"_",F$3),'Unit List'!$A$14:$H$2841,2,FALSE)),"X",$B45)</f>
        <v>X</v>
      </c>
      <c r="G45" s="67" t="str">
        <f>IF(ISTEXT(VLOOKUP(CONCATENATE($A45,"_",G$3),'Unit List'!$A$14:$H$2841,2,FALSE)),"X",$B45)</f>
        <v>X</v>
      </c>
      <c r="H45" s="67" t="str">
        <f>IF(ISTEXT(VLOOKUP(CONCATENATE($A45,"_",H$3),'Unit List'!$A$14:$H$2841,2,FALSE)),"X",$B45)</f>
        <v>X</v>
      </c>
      <c r="I45" s="70" t="str">
        <f>IF(ISTEXT(VLOOKUP(CONCATENATE($A45,"_",I$3),'Unit List'!$A$14:$H$2841,2,FALSE)),"X",$B45)</f>
        <v>X</v>
      </c>
      <c r="J45" s="172" t="str">
        <f>IF(ISTEXT(VLOOKUP(CONCATENATE($A45,"_",J$3),'Unit List'!$A$14:$H$2841,2,FALSE)),"+","")</f>
        <v>+</v>
      </c>
      <c r="K45" s="72" t="s">
        <v>0</v>
      </c>
      <c r="L45" s="105" t="s">
        <v>3</v>
      </c>
      <c r="M45" s="172" t="str">
        <f>IF(ISTEXT(VLOOKUP(CONCATENATE($A45,"_",M$3),'Unit List'!$A$14:$H$2841,2,FALSE)),"+","")</f>
        <v/>
      </c>
      <c r="N45" s="51" t="str">
        <f>IF(ISTEXT(VLOOKUP(CONCATENATE($A45,"_",N$3),'Unit List'!$A$14:$H$2841,2,FALSE)),"X",$M45)</f>
        <v/>
      </c>
      <c r="O45" s="70" t="str">
        <f>IF(ISTEXT(VLOOKUP(CONCATENATE($A45,"_",O$3),'Unit List'!$A$14:$H$2841,2,FALSE)),"X",$M45)</f>
        <v>X</v>
      </c>
      <c r="P45" s="172" t="str">
        <f>IF(ISTEXT(VLOOKUP(CONCATENATE($A45,"_",P$3),'Unit List'!$A$14:$H$2841,2,FALSE)),"+","")</f>
        <v/>
      </c>
      <c r="Q45" s="51" t="str">
        <f>IF(ISTEXT(VLOOKUP(CONCATENATE($A45,"_",Q$3),'Unit List'!$A$14:$H$2841,2,FALSE)),"X",$P45)</f>
        <v/>
      </c>
      <c r="R45" s="51" t="str">
        <f>IF(ISTEXT(VLOOKUP(CONCATENATE($A45,"_",R$3),'Unit List'!$A$14:$H$2841,2,FALSE)),"X",$P45)</f>
        <v/>
      </c>
      <c r="S45" s="67" t="str">
        <f>IF(ISTEXT(VLOOKUP(CONCATENATE($A45,"_",S$3),'Unit List'!$A$14:$H$2841,2,FALSE)),"X",$P45)</f>
        <v>X</v>
      </c>
      <c r="T45" s="52" t="str">
        <f>IF(ISTEXT(VLOOKUP(CONCATENATE($A45,"_",T$3),'Unit List'!$A$14:$H$2841,2,FALSE)),"X",$P45)</f>
        <v/>
      </c>
      <c r="U45" s="51" t="str">
        <f>IF(ISTEXT(VLOOKUP(CONCATENATE($A45,"_",U$3),'Unit List'!$A$14:$H$2841,2,FALSE)),"X",$P45)</f>
        <v/>
      </c>
      <c r="V45" s="67" t="str">
        <f>IF(ISTEXT(VLOOKUP(CONCATENATE($A45,"_",V$3),'Unit List'!$A$14:$H$2841,2,FALSE)),"X",$P45)</f>
        <v>X</v>
      </c>
      <c r="W45" s="53" t="str">
        <f>IF(ISTEXT(VLOOKUP(CONCATENATE($A45,"_",W$3),'Unit List'!$A$14:$H$2841,2,FALSE)),"X",$P45)</f>
        <v/>
      </c>
      <c r="X45" s="171" t="str">
        <f>IF(ISTEXT(VLOOKUP(CONCATENATE($A45,"_",X$3),'Unit List'!$A$14:$H$2841,2,FALSE)),"+","")</f>
        <v>+</v>
      </c>
      <c r="Y45" s="67" t="str">
        <f>IF(ISTEXT(VLOOKUP(CONCATENATE($A45,"_",Y$3),'Unit List'!$A$14:$H$2841,2,FALSE)),"X",$X45)</f>
        <v>X</v>
      </c>
      <c r="Z45" s="51" t="str">
        <f>IF(ISTEXT(VLOOKUP(CONCATENATE($A45,"_",Z$3),'Unit List'!$A$14:$H$2841,2,FALSE)),"X",$X45)</f>
        <v>+</v>
      </c>
      <c r="AA45" s="67" t="str">
        <f>IF(ISTEXT(VLOOKUP(CONCATENATE($A45,"_",AA$3),'Unit List'!$A$14:$H$2841,2,FALSE)),"X",$X45)</f>
        <v>X</v>
      </c>
      <c r="AB45" s="67" t="str">
        <f>IF(ISTEXT(VLOOKUP(CONCATENATE($A45,"_",AB$3),'Unit List'!$A$14:$H$2841,2,FALSE)),"X",$X45)</f>
        <v>X</v>
      </c>
      <c r="AC45" s="86" t="str">
        <f>IF(ISTEXT(VLOOKUP(CONCATENATE($A45,"_",AC$3),'Unit List'!$A$14:$H$2841,2,FALSE)),"X",$X45)</f>
        <v>X</v>
      </c>
      <c r="AD45" s="172" t="str">
        <f>IF(ISTEXT(VLOOKUP(CONCATENATE($A45,"_",AD$3),'Unit List'!$A$14:$H$2841,2,FALSE)),"+","")</f>
        <v>+</v>
      </c>
      <c r="AE45" s="51" t="str">
        <f>IF(ISTEXT(VLOOKUP(CONCATENATE($A45,"_",AE$3),'Unit List'!$A$14:$H$2841,2,FALSE)),"X",$AD45)</f>
        <v>+</v>
      </c>
      <c r="AF45" s="51" t="str">
        <f>IF(ISTEXT(VLOOKUP(CONCATENATE($A45,"_",AF$3),'Unit List'!$A$14:$H$2841,2,FALSE)),"X",$AD45)</f>
        <v>+</v>
      </c>
      <c r="AG45" s="172" t="str">
        <f>IF(ISTEXT(VLOOKUP(CONCATENATE($A45,"_",AG$3),'Unit List'!$A$14:$H$2841,2,FALSE)),"+","")</f>
        <v>+</v>
      </c>
      <c r="AH45" s="89" t="s">
        <v>0</v>
      </c>
      <c r="AI45" s="51" t="str">
        <f>IF(ISTEXT(VLOOKUP(CONCATENATE($A45,"_",AI$3),'Unit List'!$A$14:$H$2841,2,FALSE)),"X",$AG45)</f>
        <v>+</v>
      </c>
      <c r="AJ45" s="53" t="str">
        <f>IF(ISTEXT(VLOOKUP(CONCATENATE($A45,"_",AJ$3),'Unit List'!$A$14:$H$2841,2,FALSE)),"X",$AG45)</f>
        <v>+</v>
      </c>
      <c r="AK45" s="171" t="str">
        <f>IF(ISTEXT(VLOOKUP(CONCATENATE($A45,"_",AK$3),'Unit List'!$A$14:$H$2841,2,FALSE)),"+","")</f>
        <v>+</v>
      </c>
      <c r="AL45" s="52" t="str">
        <f>IF(ISTEXT(VLOOKUP(CONCATENATE($A45,"_",AL$3),'Unit List'!$A$14:$H$2841,2,FALSE)),"X",$AK45)</f>
        <v>X</v>
      </c>
      <c r="AM45" s="70" t="str">
        <f>IF(ISTEXT(VLOOKUP(CONCATENATE($A45,"_",AM$3),'Unit List'!$A$14:$H$2841,2,FALSE)),"X",$AK45)</f>
        <v>+</v>
      </c>
      <c r="AN45" s="125" t="str">
        <f>IF(ISTEXT(VLOOKUP(CONCATENATE($A45,"_",AN$3),'Unit List'!$A$14:$H$2841,2,FALSE)),"+","")</f>
        <v>+</v>
      </c>
      <c r="AO45" s="70" t="str">
        <f>IF(ISTEXT(VLOOKUP(CONCATENATE($A45,"_",AO$3),'Unit List'!$A$14:$H$2841,2,FALSE)),"X",$AN45)</f>
        <v>X</v>
      </c>
      <c r="AP45" s="171" t="str">
        <f>IF(ISTEXT(VLOOKUP(CONCATENATE($A45,"_",AP$3),'Unit List'!$A$14:$H$2841,2,FALSE)),"+","")</f>
        <v>+</v>
      </c>
      <c r="AQ45" s="67" t="str">
        <f>IF(ISTEXT(VLOOKUP(CONCATENATE($A45,"_",AQ$3),'Unit List'!$A$14:$H$2841,2,FALSE)),"X",$AP45)</f>
        <v>X</v>
      </c>
      <c r="AR45" s="67" t="str">
        <f>IF(ISTEXT(VLOOKUP(CONCATENATE($A45,"_",AR$3),'Unit List'!$A$14:$H$2841,2,FALSE)),"X",$AP45)</f>
        <v>X</v>
      </c>
      <c r="AS45" s="51" t="str">
        <f>IF(ISTEXT(VLOOKUP(CONCATENATE($A45,"_",AS$3),'Unit List'!$A$14:$H$2841,2,FALSE)),"X",$AP45)</f>
        <v>+</v>
      </c>
      <c r="AT45" s="70" t="str">
        <f>IF(ISTEXT(VLOOKUP(CONCATENATE($A45,"_",AT$3),'Unit List'!$A$14:$H$2841,2,FALSE)),"X",$AP45)</f>
        <v>+</v>
      </c>
      <c r="AU45" s="124" t="str">
        <f>IF(ISTEXT(VLOOKUP(CONCATENATE($A45,"_",AU$3),'Unit List'!$A$14:$H$2841,2,FALSE)),"+","")</f>
        <v>+</v>
      </c>
      <c r="AV45" s="51" t="str">
        <f>IF(ISTEXT(VLOOKUP(CONCATENATE($A45,"_",AV$3),'Unit List'!$A$14:$H$2841,2,FALSE)),"X",$AU45)</f>
        <v>+</v>
      </c>
      <c r="AW45" s="70" t="str">
        <f>IF(ISTEXT(VLOOKUP(CONCATENATE($A45,"_",AW$3),'Unit List'!$A$14:$H$2841,2,FALSE)),"X",$AU45)</f>
        <v>+</v>
      </c>
      <c r="AX45" s="171" t="str">
        <f>IF(ISTEXT(VLOOKUP(CONCATENATE($A45,"_",AX$3),'Unit List'!$A$14:$H$2841,2,FALSE)),"+","")</f>
        <v>+</v>
      </c>
      <c r="AY45" s="67" t="str">
        <f>IF(ISTEXT(VLOOKUP(CONCATENATE($A45,"_",AY$3),'Unit List'!$A$14:$H$2841,2,FALSE)),"X",$AX45)</f>
        <v>X</v>
      </c>
      <c r="AZ45" s="70" t="str">
        <f>IF(ISTEXT(VLOOKUP(CONCATENATE($A45,"_",AZ$3),'Unit List'!$A$14:$H$2841,2,FALSE)),"X",$AX45)</f>
        <v>+</v>
      </c>
      <c r="BA45" s="171" t="str">
        <f>IF(ISTEXT(VLOOKUP(CONCATENATE($A45,"_",BA$3),'Unit List'!$A$14:$H$2841,2,FALSE)),"+","")</f>
        <v>+</v>
      </c>
      <c r="BB45" s="67" t="str">
        <f>IF(ISTEXT(VLOOKUP(CONCATENATE($A45,"_",BB$3),'Unit List'!$A$14:$H$2841,2,FALSE)),"X",$BA45)</f>
        <v>X</v>
      </c>
      <c r="BC45" s="51" t="str">
        <f>IF(ISTEXT(VLOOKUP(CONCATENATE($A45,"_",BC$3),'Unit List'!$A$14:$H$2841,2,FALSE)),"X",$BA45)</f>
        <v>X</v>
      </c>
      <c r="BD45" s="53" t="str">
        <f>IF(ISTEXT(VLOOKUP(CONCATENATE($A45,"_",BD$3),'Unit List'!$A$14:$H$2841,2,FALSE)),"X",$BA45)</f>
        <v>X</v>
      </c>
      <c r="BE45" s="125" t="str">
        <f>IF(ISTEXT(VLOOKUP(CONCATENATE($A45,"_",BE$3),'Unit List'!$A$14:$H$2841,2,FALSE)),"+","")</f>
        <v>+</v>
      </c>
      <c r="BF45" s="62" t="str">
        <f>IF(ISTEXT(VLOOKUP(CONCATENATE($A45,"_",BF$3),'Unit List'!$A$14:$H$2841,2,FALSE)),"X",$BE45)</f>
        <v>+</v>
      </c>
      <c r="BG45" s="75"/>
      <c r="BH45" s="84"/>
      <c r="BI45" s="211"/>
      <c r="BJ45" s="212"/>
      <c r="BK45" s="212"/>
      <c r="BL45" s="212"/>
      <c r="BM45" s="213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List'!$A$14:$H$2841,2,FALSE)),"+","")</f>
        <v/>
      </c>
      <c r="C46" s="57" t="str">
        <f>IF(ISTEXT(VLOOKUP(CONCATENATE($A46,"_",C$3),'Unit List'!$A$14:$H$2841,2,FALSE)),"X",$B46)</f>
        <v/>
      </c>
      <c r="D46" s="51" t="str">
        <f>IF(ISTEXT(VLOOKUP(CONCATENATE($A46,"_",D$3),'Unit List'!$A$14:$H$2841,2,FALSE)),"X",$B46)</f>
        <v/>
      </c>
      <c r="E46" s="51" t="str">
        <f>IF(ISTEXT(VLOOKUP(CONCATENATE($A46,"_",E$3),'Unit List'!$A$14:$H$2841,2,FALSE)),"X",$B46)</f>
        <v/>
      </c>
      <c r="F46" s="51" t="str">
        <f>IF(ISTEXT(VLOOKUP(CONCATENATE($A46,"_",F$3),'Unit List'!$A$14:$H$2841,2,FALSE)),"X",$B46)</f>
        <v/>
      </c>
      <c r="G46" s="51" t="str">
        <f>IF(ISTEXT(VLOOKUP(CONCATENATE($A46,"_",G$3),'Unit List'!$A$14:$H$2841,2,FALSE)),"X",$B46)</f>
        <v/>
      </c>
      <c r="H46" s="51" t="str">
        <f>IF(ISTEXT(VLOOKUP(CONCATENATE($A46,"_",H$3),'Unit List'!$A$14:$H$2841,2,FALSE)),"X",$B46)</f>
        <v/>
      </c>
      <c r="I46" s="53" t="str">
        <f>IF(ISTEXT(VLOOKUP(CONCATENATE($A46,"_",I$3),'Unit List'!$A$14:$H$2841,2,FALSE)),"X",$B46)</f>
        <v/>
      </c>
      <c r="J46" s="172" t="str">
        <f>IF(ISTEXT(VLOOKUP(CONCATENATE($A46,"_",J$3),'Unit List'!$A$14:$H$2841,2,FALSE)),"+","")</f>
        <v/>
      </c>
      <c r="K46" s="51" t="str">
        <f>IF(ISTEXT(VLOOKUP(CONCATENATE($A46,"_",K$3),'Unit List'!$A$14:$H$2841,2,FALSE)),"X",$J46)</f>
        <v/>
      </c>
      <c r="L46" s="62" t="str">
        <f>IF(ISTEXT(VLOOKUP(CONCATENATE($A46,"_",L$3),'Unit List'!$A$14:$H$2841,2,FALSE)),"X",$J46)</f>
        <v/>
      </c>
      <c r="M46" s="172" t="str">
        <f>IF(ISTEXT(VLOOKUP(CONCATENATE($A46,"_",M$3),'Unit List'!$A$14:$H$2841,2,FALSE)),"+","")</f>
        <v/>
      </c>
      <c r="N46" s="51" t="str">
        <f>IF(ISTEXT(VLOOKUP(CONCATENATE($A46,"_",N$3),'Unit List'!$A$14:$H$2841,2,FALSE)),"X",$M46)</f>
        <v/>
      </c>
      <c r="O46" s="53" t="str">
        <f>IF(ISTEXT(VLOOKUP(CONCATENATE($A46,"_",O$3),'Unit List'!$A$14:$H$2841,2,FALSE)),"X",$M46)</f>
        <v/>
      </c>
      <c r="P46" s="172" t="str">
        <f>IF(ISTEXT(VLOOKUP(CONCATENATE($A46,"_",P$3),'Unit List'!$A$14:$H$2841,2,FALSE)),"+","")</f>
        <v/>
      </c>
      <c r="Q46" s="51" t="str">
        <f>IF(ISTEXT(VLOOKUP(CONCATENATE($A46,"_",Q$3),'Unit List'!$A$14:$H$2841,2,FALSE)),"X",$P46)</f>
        <v/>
      </c>
      <c r="R46" s="51" t="str">
        <f>IF(ISTEXT(VLOOKUP(CONCATENATE($A46,"_",R$3),'Unit List'!$A$14:$H$2841,2,FALSE)),"X",$P46)</f>
        <v/>
      </c>
      <c r="S46" s="51" t="str">
        <f>IF(ISTEXT(VLOOKUP(CONCATENATE($A46,"_",S$3),'Unit List'!$A$14:$H$2841,2,FALSE)),"X",$P46)</f>
        <v/>
      </c>
      <c r="T46" s="52" t="str">
        <f>IF(ISTEXT(VLOOKUP(CONCATENATE($A46,"_",T$3),'Unit List'!$A$14:$H$2841,2,FALSE)),"X",$P46)</f>
        <v/>
      </c>
      <c r="U46" s="51" t="str">
        <f>IF(ISTEXT(VLOOKUP(CONCATENATE($A46,"_",U$3),'Unit List'!$A$14:$H$2841,2,FALSE)),"X",$P46)</f>
        <v/>
      </c>
      <c r="V46" s="51" t="str">
        <f>IF(ISTEXT(VLOOKUP(CONCATENATE($A46,"_",V$3),'Unit List'!$A$14:$H$2841,2,FALSE)),"X",$P46)</f>
        <v/>
      </c>
      <c r="W46" s="53" t="str">
        <f>IF(ISTEXT(VLOOKUP(CONCATENATE($A46,"_",W$3),'Unit List'!$A$14:$H$2841,2,FALSE)),"X",$P46)</f>
        <v/>
      </c>
      <c r="X46" s="172" t="str">
        <f>IF(ISTEXT(VLOOKUP(CONCATENATE($A46,"_",X$3),'Unit List'!$A$14:$H$2841,2,FALSE)),"+","")</f>
        <v/>
      </c>
      <c r="Y46" s="51" t="str">
        <f>IF(ISTEXT(VLOOKUP(CONCATENATE($A46,"_",Y$3),'Unit List'!$A$14:$H$2841,2,FALSE)),"X",$X46)</f>
        <v/>
      </c>
      <c r="Z46" s="51" t="str">
        <f>IF(ISTEXT(VLOOKUP(CONCATENATE($A46,"_",Z$3),'Unit List'!$A$14:$H$2841,2,FALSE)),"X",$X46)</f>
        <v/>
      </c>
      <c r="AA46" s="51" t="str">
        <f>IF(ISTEXT(VLOOKUP(CONCATENATE($A46,"_",AA$3),'Unit List'!$A$14:$H$2841,2,FALSE)),"X",$X46)</f>
        <v/>
      </c>
      <c r="AB46" s="51" t="str">
        <f>IF(ISTEXT(VLOOKUP(CONCATENATE($A46,"_",AB$3),'Unit List'!$A$14:$H$2841,2,FALSE)),"X",$X46)</f>
        <v/>
      </c>
      <c r="AC46" s="62" t="str">
        <f>IF(ISTEXT(VLOOKUP(CONCATENATE($A46,"_",AC$3),'Unit List'!$A$14:$H$2841,2,FALSE)),"X",$X46)</f>
        <v/>
      </c>
      <c r="AD46" s="172" t="str">
        <f>IF(ISTEXT(VLOOKUP(CONCATENATE($A46,"_",AD$3),'Unit List'!$A$14:$H$2841,2,FALSE)),"+","")</f>
        <v/>
      </c>
      <c r="AE46" s="51" t="str">
        <f>IF(ISTEXT(VLOOKUP(CONCATENATE($A46,"_",AE$3),'Unit List'!$A$14:$H$2841,2,FALSE)),"X",$AD46)</f>
        <v/>
      </c>
      <c r="AF46" s="51" t="str">
        <f>IF(ISTEXT(VLOOKUP(CONCATENATE($A46,"_",AF$3),'Unit List'!$A$14:$H$2841,2,FALSE)),"X",$AD46)</f>
        <v/>
      </c>
      <c r="AG46" s="172" t="str">
        <f>IF(ISTEXT(VLOOKUP(CONCATENATE($A46,"_",AG$3),'Unit List'!$A$14:$H$2841,2,FALSE)),"+","")</f>
        <v/>
      </c>
      <c r="AH46" s="51" t="str">
        <f>IF(ISTEXT(VLOOKUP(CONCATENATE($A46,"_",AH$3),'Unit List'!$A$14:$H$2841,2,FALSE)),"X",$AG46)</f>
        <v/>
      </c>
      <c r="AI46" s="51" t="str">
        <f>IF(ISTEXT(VLOOKUP(CONCATENATE($A46,"_",AI$3),'Unit List'!$A$14:$H$2841,2,FALSE)),"X",$AG46)</f>
        <v/>
      </c>
      <c r="AJ46" s="53" t="str">
        <f>IF(ISTEXT(VLOOKUP(CONCATENATE($A46,"_",AJ$3),'Unit List'!$A$14:$H$2841,2,FALSE)),"X",$AG46)</f>
        <v/>
      </c>
      <c r="AK46" s="172" t="str">
        <f>IF(ISTEXT(VLOOKUP(CONCATENATE($A46,"_",AK$3),'Unit List'!$A$14:$H$2841,2,FALSE)),"+","")</f>
        <v/>
      </c>
      <c r="AL46" s="52" t="str">
        <f>IF(ISTEXT(VLOOKUP(CONCATENATE($A46,"_",AL$3),'Unit List'!$A$14:$H$2841,2,FALSE)),"X",$AK46)</f>
        <v/>
      </c>
      <c r="AM46" s="53" t="str">
        <f>IF(ISTEXT(VLOOKUP(CONCATENATE($A46,"_",AM$3),'Unit List'!$A$14:$H$2841,2,FALSE)),"X",$AK46)</f>
        <v/>
      </c>
      <c r="AN46" s="125" t="str">
        <f>IF(ISTEXT(VLOOKUP(CONCATENATE($A46,"_",AN$3),'Unit List'!$A$14:$H$2841,2,FALSE)),"+","")</f>
        <v/>
      </c>
      <c r="AO46" s="53" t="str">
        <f>IF(ISTEXT(VLOOKUP(CONCATENATE($A46,"_",AO$3),'Unit List'!$A$14:$H$2841,2,FALSE)),"X",$AN46)</f>
        <v/>
      </c>
      <c r="AP46" s="172" t="str">
        <f>IF(ISTEXT(VLOOKUP(CONCATENATE($A46,"_",AP$3),'Unit List'!$A$14:$H$2841,2,FALSE)),"+","")</f>
        <v/>
      </c>
      <c r="AQ46" s="51" t="str">
        <f>IF(ISTEXT(VLOOKUP(CONCATENATE($A46,"_",AQ$3),'Unit List'!$A$14:$H$2841,2,FALSE)),"X",$AP46)</f>
        <v/>
      </c>
      <c r="AR46" s="51" t="str">
        <f>IF(ISTEXT(VLOOKUP(CONCATENATE($A46,"_",AR$3),'Unit List'!$A$14:$H$2841,2,FALSE)),"X",$AP46)</f>
        <v/>
      </c>
      <c r="AS46" s="51" t="str">
        <f>IF(ISTEXT(VLOOKUP(CONCATENATE($A46,"_",AS$3),'Unit List'!$A$14:$H$2841,2,FALSE)),"X",$AP46)</f>
        <v/>
      </c>
      <c r="AT46" s="53" t="str">
        <f>IF(ISTEXT(VLOOKUP(CONCATENATE($A46,"_",AT$3),'Unit List'!$A$14:$H$2841,2,FALSE)),"X",$AP46)</f>
        <v/>
      </c>
      <c r="AU46" s="124" t="str">
        <f>IF(ISTEXT(VLOOKUP(CONCATENATE($A46,"_",AU$3),'Unit List'!$A$14:$H$2841,2,FALSE)),"+","")</f>
        <v/>
      </c>
      <c r="AV46" s="51" t="str">
        <f>IF(ISTEXT(VLOOKUP(CONCATENATE($A46,"_",AV$3),'Unit List'!$A$14:$H$2841,2,FALSE)),"X",$AU46)</f>
        <v/>
      </c>
      <c r="AW46" s="53" t="str">
        <f>IF(ISTEXT(VLOOKUP(CONCATENATE($A46,"_",AW$3),'Unit List'!$A$14:$H$2841,2,FALSE)),"X",$AU46)</f>
        <v/>
      </c>
      <c r="AX46" s="172" t="str">
        <f>IF(ISTEXT(VLOOKUP(CONCATENATE($A46,"_",AX$3),'Unit List'!$A$14:$H$2841,2,FALSE)),"+","")</f>
        <v/>
      </c>
      <c r="AY46" s="51" t="str">
        <f>IF(ISTEXT(VLOOKUP(CONCATENATE($A46,"_",AY$3),'Unit List'!$A$14:$H$2841,2,FALSE)),"X",$AX46)</f>
        <v/>
      </c>
      <c r="AZ46" s="53" t="str">
        <f>IF(ISTEXT(VLOOKUP(CONCATENATE($A46,"_",AZ$3),'Unit List'!$A$14:$H$2841,2,FALSE)),"X",$AX46)</f>
        <v/>
      </c>
      <c r="BA46" s="182" t="str">
        <f>IF(ISTEXT(VLOOKUP(CONCATENATE($A46,"_",BA$3),'Unit List'!$A$14:$H$2841,2,FALSE)),"+","")</f>
        <v/>
      </c>
      <c r="BB46" s="51" t="str">
        <f>IF(ISTEXT(VLOOKUP(CONCATENATE($A46,"_",BB$3),'Unit List'!$A$14:$H$2841,2,FALSE)),"X",$BA46)</f>
        <v/>
      </c>
      <c r="BC46" s="51" t="str">
        <f>IF(ISTEXT(VLOOKUP(CONCATENATE($A46,"_",BC$3),'Unit List'!$A$14:$H$2841,2,FALSE)),"X",$BA46)</f>
        <v/>
      </c>
      <c r="BD46" s="53" t="str">
        <f>IF(ISTEXT(VLOOKUP(CONCATENATE($A46,"_",BD$3),'Unit List'!$A$14:$H$2841,2,FALSE)),"X",$BA46)</f>
        <v/>
      </c>
      <c r="BE46" s="125" t="str">
        <f>IF(ISTEXT(VLOOKUP(CONCATENATE($A46,"_",BE$3),'Unit List'!$A$14:$H$2841,2,FALSE)),"+","")</f>
        <v/>
      </c>
      <c r="BF46" s="62" t="str">
        <f>IF(ISTEXT(VLOOKUP(CONCATENATE($A46,"_",BF$3),'Unit List'!$A$14:$H$2841,2,FALSE)),"X",$BE46)</f>
        <v/>
      </c>
      <c r="BG46" s="64"/>
      <c r="BH46" s="65" t="s">
        <v>0</v>
      </c>
      <c r="BI46" s="211"/>
      <c r="BJ46" s="212"/>
      <c r="BK46" s="212"/>
      <c r="BL46" s="212"/>
      <c r="BM46" s="213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List'!$A$14:$H$2841,2,FALSE)),"+","")</f>
        <v/>
      </c>
      <c r="C47" s="57" t="str">
        <f>IF(ISTEXT(VLOOKUP(CONCATENATE($A47,"_",C$3),'Unit List'!$A$14:$H$2841,2,FALSE)),"X",$B47)</f>
        <v/>
      </c>
      <c r="D47" s="51" t="str">
        <f>IF(ISTEXT(VLOOKUP(CONCATENATE($A47,"_",D$3),'Unit List'!$A$14:$H$2841,2,FALSE)),"X",$B47)</f>
        <v/>
      </c>
      <c r="E47" s="51" t="str">
        <f>IF(ISTEXT(VLOOKUP(CONCATENATE($A47,"_",E$3),'Unit List'!$A$14:$H$2841,2,FALSE)),"X",$B47)</f>
        <v>X</v>
      </c>
      <c r="F47" s="51" t="str">
        <f>IF(ISTEXT(VLOOKUP(CONCATENATE($A47,"_",F$3),'Unit List'!$A$14:$H$2841,2,FALSE)),"X",$B47)</f>
        <v>X</v>
      </c>
      <c r="G47" s="51" t="str">
        <f>IF(ISTEXT(VLOOKUP(CONCATENATE($A47,"_",G$3),'Unit List'!$A$14:$H$2841,2,FALSE)),"X",$B47)</f>
        <v>X</v>
      </c>
      <c r="H47" s="51" t="str">
        <f>IF(ISTEXT(VLOOKUP(CONCATENATE($A47,"_",H$3),'Unit List'!$A$14:$H$2841,2,FALSE)),"X",$B47)</f>
        <v/>
      </c>
      <c r="I47" s="53" t="str">
        <f>IF(ISTEXT(VLOOKUP(CONCATENATE($A47,"_",I$3),'Unit List'!$A$14:$H$2841,2,FALSE)),"X",$B47)</f>
        <v>X</v>
      </c>
      <c r="J47" s="172" t="str">
        <f>IF(ISTEXT(VLOOKUP(CONCATENATE($A47,"_",J$3),'Unit List'!$A$14:$H$2841,2,FALSE)),"+","")</f>
        <v>+</v>
      </c>
      <c r="K47" s="51" t="str">
        <f>IF(ISTEXT(VLOOKUP(CONCATENATE($A47,"_",K$3),'Unit List'!$A$14:$H$2841,2,FALSE)),"X",$J47)</f>
        <v>+</v>
      </c>
      <c r="L47" s="62" t="str">
        <f>IF(ISTEXT(VLOOKUP(CONCATENATE($A47,"_",L$3),'Unit List'!$A$14:$H$2841,2,FALSE)),"X",$J47)</f>
        <v>+</v>
      </c>
      <c r="M47" s="172" t="str">
        <f>IF(ISTEXT(VLOOKUP(CONCATENATE($A47,"_",M$3),'Unit List'!$A$14:$H$2841,2,FALSE)),"+","")</f>
        <v/>
      </c>
      <c r="N47" s="51" t="str">
        <f>IF(ISTEXT(VLOOKUP(CONCATENATE($A47,"_",N$3),'Unit List'!$A$14:$H$2841,2,FALSE)),"X",$M47)</f>
        <v/>
      </c>
      <c r="O47" s="53" t="str">
        <f>IF(ISTEXT(VLOOKUP(CONCATENATE($A47,"_",O$3),'Unit List'!$A$14:$H$2841,2,FALSE)),"X",$M47)</f>
        <v/>
      </c>
      <c r="P47" s="172" t="str">
        <f>IF(ISTEXT(VLOOKUP(CONCATENATE($A47,"_",P$3),'Unit List'!$A$14:$H$2841,2,FALSE)),"+","")</f>
        <v>+</v>
      </c>
      <c r="Q47" s="51" t="str">
        <f>IF(ISTEXT(VLOOKUP(CONCATENATE($A47,"_",Q$3),'Unit List'!$A$14:$H$2841,2,FALSE)),"X",$P47)</f>
        <v>+</v>
      </c>
      <c r="R47" s="51" t="str">
        <f>IF(ISTEXT(VLOOKUP(CONCATENATE($A47,"_",R$3),'Unit List'!$A$14:$H$2841,2,FALSE)),"X",$P47)</f>
        <v>+</v>
      </c>
      <c r="S47" s="51" t="str">
        <f>IF(ISTEXT(VLOOKUP(CONCATENATE($A47,"_",S$3),'Unit List'!$A$14:$H$2841,2,FALSE)),"X",$P47)</f>
        <v>+</v>
      </c>
      <c r="T47" s="52" t="str">
        <f>IF(ISTEXT(VLOOKUP(CONCATENATE($A47,"_",T$3),'Unit List'!$A$14:$H$2841,2,FALSE)),"X",$P47)</f>
        <v>+</v>
      </c>
      <c r="U47" s="51" t="str">
        <f>IF(ISTEXT(VLOOKUP(CONCATENATE($A47,"_",U$3),'Unit List'!$A$14:$H$2841,2,FALSE)),"X",$P47)</f>
        <v>+</v>
      </c>
      <c r="V47" s="51" t="str">
        <f>IF(ISTEXT(VLOOKUP(CONCATENATE($A47,"_",V$3),'Unit List'!$A$14:$H$2841,2,FALSE)),"X",$P47)</f>
        <v>+</v>
      </c>
      <c r="W47" s="53" t="str">
        <f>IF(ISTEXT(VLOOKUP(CONCATENATE($A47,"_",W$3),'Unit List'!$A$14:$H$2841,2,FALSE)),"X",$P47)</f>
        <v>+</v>
      </c>
      <c r="X47" s="172" t="str">
        <f>IF(ISTEXT(VLOOKUP(CONCATENATE($A47,"_",X$3),'Unit List'!$A$14:$H$2841,2,FALSE)),"+","")</f>
        <v>+</v>
      </c>
      <c r="Y47" s="51" t="str">
        <f>IF(ISTEXT(VLOOKUP(CONCATENATE($A47,"_",Y$3),'Unit List'!$A$14:$H$2841,2,FALSE)),"X",$X47)</f>
        <v>+</v>
      </c>
      <c r="Z47" s="51" t="str">
        <f>IF(ISTEXT(VLOOKUP(CONCATENATE($A47,"_",Z$3),'Unit List'!$A$14:$H$2841,2,FALSE)),"X",$X47)</f>
        <v>+</v>
      </c>
      <c r="AA47" s="51" t="str">
        <f>IF(ISTEXT(VLOOKUP(CONCATENATE($A47,"_",AA$3),'Unit List'!$A$14:$H$2841,2,FALSE)),"X",$X47)</f>
        <v>+</v>
      </c>
      <c r="AB47" s="51" t="str">
        <f>IF(ISTEXT(VLOOKUP(CONCATENATE($A47,"_",AB$3),'Unit List'!$A$14:$H$2841,2,FALSE)),"X",$X47)</f>
        <v>X</v>
      </c>
      <c r="AC47" s="62" t="str">
        <f>IF(ISTEXT(VLOOKUP(CONCATENATE($A47,"_",AC$3),'Unit List'!$A$14:$H$2841,2,FALSE)),"X",$X47)</f>
        <v>X</v>
      </c>
      <c r="AD47" s="171" t="str">
        <f>IF(ISTEXT(VLOOKUP(CONCATENATE($A47,"_",AD$3),'Unit List'!$A$14:$H$2841,2,FALSE)),"+","")</f>
        <v>+</v>
      </c>
      <c r="AE47" s="51" t="str">
        <f>IF(ISTEXT(VLOOKUP(CONCATENATE($A47,"_",AE$3),'Unit List'!$A$14:$H$2841,2,FALSE)),"X",$AD47)</f>
        <v>+</v>
      </c>
      <c r="AF47" s="51" t="str">
        <f>IF(ISTEXT(VLOOKUP(CONCATENATE($A47,"_",AF$3),'Unit List'!$A$14:$H$2841,2,FALSE)),"X",$AD47)</f>
        <v>+</v>
      </c>
      <c r="AG47" s="171" t="str">
        <f>IF(ISTEXT(VLOOKUP(CONCATENATE($A47,"_",AG$3),'Unit List'!$A$14:$H$2841,2,FALSE)),"+","")</f>
        <v>+</v>
      </c>
      <c r="AH47" s="67" t="str">
        <f>IF(ISTEXT(VLOOKUP(CONCATENATE($A47,"_",AH$3),'Unit List'!$A$14:$H$2841,2,FALSE)),"X",$AG47)</f>
        <v>+</v>
      </c>
      <c r="AI47" s="67" t="str">
        <f>IF(ISTEXT(VLOOKUP(CONCATENATE($A47,"_",AI$3),'Unit List'!$A$14:$H$2841,2,FALSE)),"X",$AG47)</f>
        <v>+</v>
      </c>
      <c r="AJ47" s="70" t="str">
        <f>IF(ISTEXT(VLOOKUP(CONCATENATE($A47,"_",AJ$3),'Unit List'!$A$14:$H$2841,2,FALSE)),"X",$AG47)</f>
        <v>+</v>
      </c>
      <c r="AK47" s="172" t="str">
        <f>IF(ISTEXT(VLOOKUP(CONCATENATE($A47,"_",AK$3),'Unit List'!$A$14:$H$2841,2,FALSE)),"+","")</f>
        <v/>
      </c>
      <c r="AL47" s="52" t="str">
        <f>IF(ISTEXT(VLOOKUP(CONCATENATE($A47,"_",AL$3),'Unit List'!$A$14:$H$2841,2,FALSE)),"X",$AK47)</f>
        <v/>
      </c>
      <c r="AM47" s="53" t="str">
        <f>IF(ISTEXT(VLOOKUP(CONCATENATE($A47,"_",AM$3),'Unit List'!$A$14:$H$2841,2,FALSE)),"X",$AK47)</f>
        <v/>
      </c>
      <c r="AN47" s="125" t="str">
        <f>IF(ISTEXT(VLOOKUP(CONCATENATE($A47,"_",AN$3),'Unit List'!$A$14:$H$2841,2,FALSE)),"+","")</f>
        <v>+</v>
      </c>
      <c r="AO47" s="70" t="str">
        <f>IF(ISTEXT(VLOOKUP(CONCATENATE($A47,"_",AO$3),'Unit List'!$A$14:$H$2841,2,FALSE)),"X",$AN47)</f>
        <v>X</v>
      </c>
      <c r="AP47" s="171" t="str">
        <f>IF(ISTEXT(VLOOKUP(CONCATENATE($A47,"_",AP$3),'Unit List'!$A$14:$H$2841,2,FALSE)),"+","")</f>
        <v>+</v>
      </c>
      <c r="AQ47" s="67" t="str">
        <f>IF(ISTEXT(VLOOKUP(CONCATENATE($A47,"_",AQ$3),'Unit List'!$A$14:$H$2841,2,FALSE)),"X",$AP47)</f>
        <v>+</v>
      </c>
      <c r="AR47" s="67" t="str">
        <f>IF(ISTEXT(VLOOKUP(CONCATENATE($A47,"_",AR$3),'Unit List'!$A$14:$H$2841,2,FALSE)),"X",$AP47)</f>
        <v>+</v>
      </c>
      <c r="AS47" s="67" t="str">
        <f>IF(ISTEXT(VLOOKUP(CONCATENATE($A47,"_",AS$3),'Unit List'!$A$14:$H$2841,2,FALSE)),"X",$AP47)</f>
        <v>+</v>
      </c>
      <c r="AT47" s="70" t="str">
        <f>IF(ISTEXT(VLOOKUP(CONCATENATE($A47,"_",AT$3),'Unit List'!$A$14:$H$2841,2,FALSE)),"X",$AP47)</f>
        <v>+</v>
      </c>
      <c r="AU47" s="124" t="str">
        <f>IF(ISTEXT(VLOOKUP(CONCATENATE($A47,"_",AU$3),'Unit List'!$A$14:$H$2841,2,FALSE)),"+","")</f>
        <v>+</v>
      </c>
      <c r="AV47" s="51" t="str">
        <f>IF(ISTEXT(VLOOKUP(CONCATENATE($A47,"_",AV$3),'Unit List'!$A$14:$H$2841,2,FALSE)),"X",$AU47)</f>
        <v>+</v>
      </c>
      <c r="AW47" s="53" t="str">
        <f>IF(ISTEXT(VLOOKUP(CONCATENATE($A47,"_",AW$3),'Unit List'!$A$14:$H$2841,2,FALSE)),"X",$AU47)</f>
        <v>+</v>
      </c>
      <c r="AX47" s="171" t="str">
        <f>IF(ISTEXT(VLOOKUP(CONCATENATE($A47,"_",AX$3),'Unit List'!$A$14:$H$2841,2,FALSE)),"+","")</f>
        <v>+</v>
      </c>
      <c r="AY47" s="67" t="str">
        <f>IF(ISTEXT(VLOOKUP(CONCATENATE($A47,"_",AY$3),'Unit List'!$A$14:$H$2841,2,FALSE)),"X",$AX47)</f>
        <v>X</v>
      </c>
      <c r="AZ47" s="106" t="s">
        <v>0</v>
      </c>
      <c r="BA47" s="171" t="str">
        <f>IF(ISTEXT(VLOOKUP(CONCATENATE($A47,"_",BA$3),'Unit List'!$A$14:$H$2841,2,FALSE)),"+","")</f>
        <v>+</v>
      </c>
      <c r="BB47" s="67" t="str">
        <f>IF(ISTEXT(VLOOKUP(CONCATENATE($A47,"_",BB$3),'Unit List'!$A$14:$H$2841,2,FALSE)),"X",$BA47)</f>
        <v>X</v>
      </c>
      <c r="BC47" s="67" t="str">
        <f>IF(ISTEXT(VLOOKUP(CONCATENATE($A47,"_",BC$3),'Unit List'!$A$14:$H$2841,2,FALSE)),"X",$BA47)</f>
        <v>X</v>
      </c>
      <c r="BD47" s="53" t="str">
        <f>IF(ISTEXT(VLOOKUP(CONCATENATE($A47,"_",BD$3),'Unit List'!$A$14:$H$2841,2,FALSE)),"X",$BA47)</f>
        <v>+</v>
      </c>
      <c r="BE47" s="125" t="str">
        <f>IF(ISTEXT(VLOOKUP(CONCATENATE($A47,"_",BE$3),'Unit List'!$A$14:$H$2841,2,FALSE)),"+","")</f>
        <v>+</v>
      </c>
      <c r="BF47" s="62" t="str">
        <f>IF(ISTEXT(VLOOKUP(CONCATENATE($A47,"_",BF$3),'Unit List'!$A$14:$H$2841,2,FALSE)),"X",$BE47)</f>
        <v>+</v>
      </c>
      <c r="BG47" s="64" t="s">
        <v>0</v>
      </c>
      <c r="BH47" s="65" t="s">
        <v>0</v>
      </c>
      <c r="BI47" s="211"/>
      <c r="BJ47" s="212"/>
      <c r="BK47" s="212"/>
      <c r="BL47" s="212"/>
      <c r="BM47" s="213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List'!$A$14:$H$2841,2,FALSE)),"+","")</f>
        <v/>
      </c>
      <c r="C48" s="82" t="str">
        <f>IF(ISTEXT(VLOOKUP(CONCATENATE($A48,"_",C$3),'Unit List'!$A$14:$H$2841,2,FALSE)),"X",$B48)</f>
        <v>X</v>
      </c>
      <c r="D48" s="60" t="str">
        <f>IF(ISTEXT(VLOOKUP(CONCATENATE($A48,"_",D$3),'Unit List'!$A$14:$H$2841,2,FALSE)),"X",$B48)</f>
        <v>X</v>
      </c>
      <c r="E48" s="89" t="s">
        <v>0</v>
      </c>
      <c r="F48" s="67" t="str">
        <f>IF(ISTEXT(VLOOKUP(CONCATENATE($A48,"_",F$3),'Unit List'!$A$14:$H$2841,2,FALSE)),"X",$B48)</f>
        <v>X</v>
      </c>
      <c r="G48" s="67" t="str">
        <f>IF(ISTEXT(VLOOKUP(CONCATENATE($A48,"_",G$3),'Unit List'!$A$14:$H$2841,2,FALSE)),"X",$B48)</f>
        <v>X</v>
      </c>
      <c r="H48" s="67" t="str">
        <f>IF(ISTEXT(VLOOKUP(CONCATENATE($A48,"_",H$3),'Unit List'!$A$14:$H$2841,2,FALSE)),"X",$B48)</f>
        <v>X</v>
      </c>
      <c r="I48" s="53" t="str">
        <f>IF(ISTEXT(VLOOKUP(CONCATENATE($A48,"_",I$3),'Unit List'!$A$14:$H$2841,2,FALSE)),"X",$B48)</f>
        <v>X</v>
      </c>
      <c r="J48" s="172" t="str">
        <f>IF(ISTEXT(VLOOKUP(CONCATENATE($A48,"_",J$3),'Unit List'!$A$14:$H$2841,2,FALSE)),"+","")</f>
        <v>+</v>
      </c>
      <c r="K48" s="94" t="str">
        <f>IF(ISTEXT(VLOOKUP(CONCATENATE($A48,"_",K$3),'Unit List'!$A$14:$H$2841,2,FALSE)),"X",$J48)</f>
        <v>+</v>
      </c>
      <c r="L48" s="68" t="str">
        <f>IF(ISTEXT(VLOOKUP(CONCATENATE($A48,"_",L$3),'Unit List'!$A$14:$H$2841,2,FALSE)),"X",$J48)</f>
        <v>+</v>
      </c>
      <c r="M48" s="172" t="str">
        <f>IF(ISTEXT(VLOOKUP(CONCATENATE($A48,"_",M$3),'Unit List'!$A$14:$H$2841,2,FALSE)),"+","")</f>
        <v>+</v>
      </c>
      <c r="N48" s="51" t="str">
        <f>IF(ISTEXT(VLOOKUP(CONCATENATE($A48,"_",N$3),'Unit List'!$A$14:$H$2841,2,FALSE)),"X",$M48)</f>
        <v>+</v>
      </c>
      <c r="O48" s="70" t="str">
        <f>IF(ISTEXT(VLOOKUP(CONCATENATE($A48,"_",O$3),'Unit List'!$A$14:$H$2841,2,FALSE)),"X",$M48)</f>
        <v>+</v>
      </c>
      <c r="P48" s="171" t="str">
        <f>IF(ISTEXT(VLOOKUP(CONCATENATE($A48,"_",P$3),'Unit List'!$A$14:$H$2841,2,FALSE)),"+","")</f>
        <v>+</v>
      </c>
      <c r="Q48" s="51" t="str">
        <f>IF(ISTEXT(VLOOKUP(CONCATENATE($A48,"_",Q$3),'Unit List'!$A$14:$H$2841,2,FALSE)),"X",$P48)</f>
        <v>+</v>
      </c>
      <c r="R48" s="51" t="str">
        <f>IF(ISTEXT(VLOOKUP(CONCATENATE($A48,"_",R$3),'Unit List'!$A$14:$H$2841,2,FALSE)),"X",$P48)</f>
        <v>+</v>
      </c>
      <c r="S48" s="72" t="str">
        <f>IF(ISTEXT(VLOOKUP(CONCATENATE($A48,"_",S$3),'Unit List'!$A$14:$H$2841,2,FALSE)),"X",$P48)</f>
        <v>X</v>
      </c>
      <c r="T48" s="52" t="str">
        <f>IF(ISTEXT(VLOOKUP(CONCATENATE($A48,"_",T$3),'Unit List'!$A$14:$H$2841,2,FALSE)),"X",$P48)</f>
        <v>X</v>
      </c>
      <c r="U48" s="67" t="str">
        <f>IF(ISTEXT(VLOOKUP(CONCATENATE($A48,"_",U$3),'Unit List'!$A$14:$H$2841,2,FALSE)),"X",$P48)</f>
        <v>X</v>
      </c>
      <c r="V48" s="67" t="str">
        <f>IF(ISTEXT(VLOOKUP(CONCATENATE($A48,"_",V$3),'Unit List'!$A$14:$H$2841,2,FALSE)),"X",$P48)</f>
        <v>X</v>
      </c>
      <c r="W48" s="53" t="str">
        <f>IF(ISTEXT(VLOOKUP(CONCATENATE($A48,"_",W$3),'Unit List'!$A$14:$H$2841,2,FALSE)),"X",$P48)</f>
        <v>+</v>
      </c>
      <c r="X48" s="171" t="str">
        <f>IF(ISTEXT(VLOOKUP(CONCATENATE($A48,"_",X$3),'Unit List'!$A$14:$H$2841,2,FALSE)),"+","")</f>
        <v>+</v>
      </c>
      <c r="Y48" s="67" t="str">
        <f>IF(ISTEXT(VLOOKUP(CONCATENATE($A48,"_",Y$3),'Unit List'!$A$14:$H$2841,2,FALSE)),"X",$X48)</f>
        <v>X</v>
      </c>
      <c r="Z48" s="51" t="str">
        <f>IF(ISTEXT(VLOOKUP(CONCATENATE($A48,"_",Z$3),'Unit List'!$A$14:$H$2841,2,FALSE)),"X",$X48)</f>
        <v>+</v>
      </c>
      <c r="AA48" s="67" t="str">
        <f>IF(ISTEXT(VLOOKUP(CONCATENATE($A48,"_",AA$3),'Unit List'!$A$14:$H$2841,2,FALSE)),"X",$X48)</f>
        <v>X</v>
      </c>
      <c r="AB48" s="67" t="str">
        <f>IF(ISTEXT(VLOOKUP(CONCATENATE($A48,"_",AB$3),'Unit List'!$A$14:$H$2841,2,FALSE)),"X",$X48)</f>
        <v>X</v>
      </c>
      <c r="AC48" s="105" t="s">
        <v>0</v>
      </c>
      <c r="AD48" s="171" t="str">
        <f>IF(ISTEXT(VLOOKUP(CONCATENATE($A48,"_",AD$3),'Unit List'!$A$14:$H$2841,2,FALSE)),"+","")</f>
        <v/>
      </c>
      <c r="AE48" s="51" t="str">
        <f>IF(ISTEXT(VLOOKUP(CONCATENATE($A48,"_",AE$3),'Unit List'!$A$14:$H$2841,2,FALSE)),"X",$AD48)</f>
        <v>X</v>
      </c>
      <c r="AF48" s="51" t="str">
        <f>IF(ISTEXT(VLOOKUP(CONCATENATE($A48,"_",AF$3),'Unit List'!$A$14:$H$2841,2,FALSE)),"X",$AD48)</f>
        <v/>
      </c>
      <c r="AG48" s="171" t="str">
        <f>IF(ISTEXT(VLOOKUP(CONCATENATE($A48,"_",AG$3),'Unit List'!$A$14:$H$2841,2,FALSE)),"+","")</f>
        <v>+</v>
      </c>
      <c r="AH48" s="67" t="str">
        <f>IF(ISTEXT(VLOOKUP(CONCATENATE($A48,"_",AH$3),'Unit List'!$A$14:$H$2841,2,FALSE)),"X",$AG48)</f>
        <v>X</v>
      </c>
      <c r="AI48" s="67" t="str">
        <f>IF(ISTEXT(VLOOKUP(CONCATENATE($A48,"_",AI$3),'Unit List'!$A$14:$H$2841,2,FALSE)),"X",$AG48)</f>
        <v>X</v>
      </c>
      <c r="AJ48" s="53" t="str">
        <f>IF(ISTEXT(VLOOKUP(CONCATENATE($A48,"_",AJ$3),'Unit List'!$A$14:$H$2841,2,FALSE)),"X",$AG48)</f>
        <v>+</v>
      </c>
      <c r="AK48" s="171" t="str">
        <f>IF(ISTEXT(VLOOKUP(CONCATENATE($A48,"_",AK$3),'Unit List'!$A$14:$H$2841,2,FALSE)),"+","")</f>
        <v>+</v>
      </c>
      <c r="AL48" s="107" t="s">
        <v>0</v>
      </c>
      <c r="AM48" s="70" t="str">
        <f>IF(ISTEXT(VLOOKUP(CONCATENATE($A48,"_",AM$3),'Unit List'!$A$14:$H$2841,2,FALSE)),"X",$AK48)</f>
        <v>+</v>
      </c>
      <c r="AN48" s="125" t="str">
        <f>IF(ISTEXT(VLOOKUP(CONCATENATE($A48,"_",AN$3),'Unit List'!$A$14:$H$2841,2,FALSE)),"+","")</f>
        <v>+</v>
      </c>
      <c r="AO48" s="70" t="str">
        <f>IF(ISTEXT(VLOOKUP(CONCATENATE($A48,"_",AO$3),'Unit List'!$A$14:$H$2841,2,FALSE)),"X",$AN48)</f>
        <v>X</v>
      </c>
      <c r="AP48" s="171" t="str">
        <f>IF(ISTEXT(VLOOKUP(CONCATENATE($A48,"_",AP$3),'Unit List'!$A$14:$H$2841,2,FALSE)),"+","")</f>
        <v>+</v>
      </c>
      <c r="AQ48" s="67" t="str">
        <f>IF(ISTEXT(VLOOKUP(CONCATENATE($A48,"_",AQ$3),'Unit List'!$A$14:$H$2841,2,FALSE)),"X",$AP48)</f>
        <v>X</v>
      </c>
      <c r="AR48" s="67" t="str">
        <f>IF(ISTEXT(VLOOKUP(CONCATENATE($A48,"_",AR$3),'Unit List'!$A$14:$H$2841,2,FALSE)),"X",$AP48)</f>
        <v>X</v>
      </c>
      <c r="AS48" s="67" t="str">
        <f>IF(ISTEXT(VLOOKUP(CONCATENATE($A48,"_",AS$3),'Unit List'!$A$14:$H$2841,2,FALSE)),"X",$AP48)</f>
        <v>X</v>
      </c>
      <c r="AT48" s="70" t="str">
        <f>IF(ISTEXT(VLOOKUP(CONCATENATE($A48,"_",AT$3),'Unit List'!$A$14:$H$2841,2,FALSE)),"X",$AP48)</f>
        <v>X</v>
      </c>
      <c r="AU48" s="124" t="str">
        <f>IF(ISTEXT(VLOOKUP(CONCATENATE($A48,"_",AU$3),'Unit List'!$A$14:$H$2841,2,FALSE)),"+","")</f>
        <v>+</v>
      </c>
      <c r="AV48" s="51" t="str">
        <f>IF(ISTEXT(VLOOKUP(CONCATENATE($A48,"_",AV$3),'Unit List'!$A$14:$H$2841,2,FALSE)),"X",$AU48)</f>
        <v>+</v>
      </c>
      <c r="AW48" s="53" t="str">
        <f>IF(ISTEXT(VLOOKUP(CONCATENATE($A48,"_",AW$3),'Unit List'!$A$14:$H$2841,2,FALSE)),"X",$AU48)</f>
        <v>+</v>
      </c>
      <c r="AX48" s="171" t="str">
        <f>IF(ISTEXT(VLOOKUP(CONCATENATE($A48,"_",AX$3),'Unit List'!$A$14:$H$2841,2,FALSE)),"+","")</f>
        <v>+</v>
      </c>
      <c r="AY48" s="67" t="str">
        <f>IF(ISTEXT(VLOOKUP(CONCATENATE($A48,"_",AY$3),'Unit List'!$A$14:$H$2841,2,FALSE)),"X",$AX48)</f>
        <v>X</v>
      </c>
      <c r="AZ48" s="70" t="str">
        <f>IF(ISTEXT(VLOOKUP(CONCATENATE($A48,"_",AZ$3),'Unit List'!$A$14:$H$2841,2,FALSE)),"X",$AX48)</f>
        <v>+</v>
      </c>
      <c r="BA48" s="171" t="str">
        <f>IF(ISTEXT(VLOOKUP(CONCATENATE($A48,"_",BA$3),'Unit List'!$A$14:$H$2841,2,FALSE)),"+","")</f>
        <v>+</v>
      </c>
      <c r="BB48" s="67" t="str">
        <f>IF(ISTEXT(VLOOKUP(CONCATENATE($A48,"_",BB$3),'Unit List'!$A$14:$H$2841,2,FALSE)),"X",$BA48)</f>
        <v>X</v>
      </c>
      <c r="BC48" s="51" t="str">
        <f>IF(ISTEXT(VLOOKUP(CONCATENATE($A48,"_",BC$3),'Unit List'!$A$14:$H$2841,2,FALSE)),"X",$BA48)</f>
        <v>X</v>
      </c>
      <c r="BD48" s="70" t="str">
        <f>IF(ISTEXT(VLOOKUP(CONCATENATE($A48,"_",BD$3),'Unit List'!$A$14:$H$2841,2,FALSE)),"X",$BA48)</f>
        <v>X</v>
      </c>
      <c r="BE48" s="125" t="str">
        <f>IF(ISTEXT(VLOOKUP(CONCATENATE($A48,"_",BE$3),'Unit List'!$A$14:$H$2841,2,FALSE)),"+","")</f>
        <v>+</v>
      </c>
      <c r="BF48" s="62" t="str">
        <f>IF(ISTEXT(VLOOKUP(CONCATENATE($A48,"_",BF$3),'Unit List'!$A$14:$H$2841,2,FALSE)),"X",$BE48)</f>
        <v>+</v>
      </c>
      <c r="BG48" s="75"/>
      <c r="BH48" s="76" t="s">
        <v>0</v>
      </c>
      <c r="BI48" s="211" t="s">
        <v>18</v>
      </c>
      <c r="BJ48" s="212"/>
      <c r="BK48" s="212"/>
      <c r="BL48" s="212"/>
      <c r="BM48" s="213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List'!$A$14:$H$2841,2,FALSE)),"+","")</f>
        <v/>
      </c>
      <c r="C49" s="57" t="str">
        <f>IF(ISTEXT(VLOOKUP(CONCATENATE($A49,"_",C$3),'Unit List'!$A$14:$H$2841,2,FALSE)),"X",$B49)</f>
        <v/>
      </c>
      <c r="D49" s="51" t="str">
        <f>IF(ISTEXT(VLOOKUP(CONCATENATE($A49,"_",D$3),'Unit List'!$A$14:$H$2841,2,FALSE)),"X",$B49)</f>
        <v>X</v>
      </c>
      <c r="E49" s="51" t="str">
        <f>IF(ISTEXT(VLOOKUP(CONCATENATE($A49,"_",E$3),'Unit List'!$A$14:$H$2841,2,FALSE)),"X",$B49)</f>
        <v/>
      </c>
      <c r="F49" s="51" t="str">
        <f>IF(ISTEXT(VLOOKUP(CONCATENATE($A49,"_",F$3),'Unit List'!$A$14:$H$2841,2,FALSE)),"X",$B49)</f>
        <v/>
      </c>
      <c r="G49" s="51" t="str">
        <f>IF(ISTEXT(VLOOKUP(CONCATENATE($A49,"_",G$3),'Unit List'!$A$14:$H$2841,2,FALSE)),"X",$B49)</f>
        <v/>
      </c>
      <c r="H49" s="67" t="str">
        <f>IF(ISTEXT(VLOOKUP(CONCATENATE($A49,"_",H$3),'Unit List'!$A$14:$H$2841,2,FALSE)),"X",$B49)</f>
        <v>X</v>
      </c>
      <c r="I49" s="53" t="str">
        <f>IF(ISTEXT(VLOOKUP(CONCATENATE($A49,"_",I$3),'Unit List'!$A$14:$H$2841,2,FALSE)),"X",$B49)</f>
        <v/>
      </c>
      <c r="J49" s="172" t="str">
        <f>IF(ISTEXT(VLOOKUP(CONCATENATE($A49,"_",J$3),'Unit List'!$A$14:$H$2841,2,FALSE)),"+","")</f>
        <v/>
      </c>
      <c r="K49" s="51" t="str">
        <f>IF(ISTEXT(VLOOKUP(CONCATENATE($A49,"_",K$3),'Unit List'!$A$14:$H$2841,2,FALSE)),"X",$J49)</f>
        <v/>
      </c>
      <c r="L49" s="62" t="str">
        <f>IF(ISTEXT(VLOOKUP(CONCATENATE($A49,"_",L$3),'Unit List'!$A$14:$H$2841,2,FALSE)),"X",$J49)</f>
        <v/>
      </c>
      <c r="M49" s="172" t="str">
        <f>IF(ISTEXT(VLOOKUP(CONCATENATE($A49,"_",M$3),'Unit List'!$A$14:$H$2841,2,FALSE)),"+","")</f>
        <v/>
      </c>
      <c r="N49" s="51" t="str">
        <f>IF(ISTEXT(VLOOKUP(CONCATENATE($A49,"_",N$3),'Unit List'!$A$14:$H$2841,2,FALSE)),"X",$M49)</f>
        <v/>
      </c>
      <c r="O49" s="53" t="str">
        <f>IF(ISTEXT(VLOOKUP(CONCATENATE($A49,"_",O$3),'Unit List'!$A$14:$H$2841,2,FALSE)),"X",$M49)</f>
        <v/>
      </c>
      <c r="P49" s="172" t="str">
        <f>IF(ISTEXT(VLOOKUP(CONCATENATE($A49,"_",P$3),'Unit List'!$A$14:$H$2841,2,FALSE)),"+","")</f>
        <v/>
      </c>
      <c r="Q49" s="51" t="str">
        <f>IF(ISTEXT(VLOOKUP(CONCATENATE($A49,"_",Q$3),'Unit List'!$A$14:$H$2841,2,FALSE)),"X",$P49)</f>
        <v/>
      </c>
      <c r="R49" s="51" t="str">
        <f>IF(ISTEXT(VLOOKUP(CONCATENATE($A49,"_",R$3),'Unit List'!$A$14:$H$2841,2,FALSE)),"X",$P49)</f>
        <v/>
      </c>
      <c r="S49" s="51" t="str">
        <f>IF(ISTEXT(VLOOKUP(CONCATENATE($A49,"_",S$3),'Unit List'!$A$14:$H$2841,2,FALSE)),"X",$P49)</f>
        <v/>
      </c>
      <c r="T49" s="52" t="str">
        <f>IF(ISTEXT(VLOOKUP(CONCATENATE($A49,"_",T$3),'Unit List'!$A$14:$H$2841,2,FALSE)),"X",$P49)</f>
        <v/>
      </c>
      <c r="U49" s="51" t="str">
        <f>IF(ISTEXT(VLOOKUP(CONCATENATE($A49,"_",U$3),'Unit List'!$A$14:$H$2841,2,FALSE)),"X",$P49)</f>
        <v/>
      </c>
      <c r="V49" s="51" t="str">
        <f>IF(ISTEXT(VLOOKUP(CONCATENATE($A49,"_",V$3),'Unit List'!$A$14:$H$2841,2,FALSE)),"X",$P49)</f>
        <v/>
      </c>
      <c r="W49" s="53" t="str">
        <f>IF(ISTEXT(VLOOKUP(CONCATENATE($A49,"_",W$3),'Unit List'!$A$14:$H$2841,2,FALSE)),"X",$P49)</f>
        <v/>
      </c>
      <c r="X49" s="172" t="str">
        <f>IF(ISTEXT(VLOOKUP(CONCATENATE($A49,"_",X$3),'Unit List'!$A$14:$H$2841,2,FALSE)),"+","")</f>
        <v/>
      </c>
      <c r="Y49" s="51" t="str">
        <f>IF(ISTEXT(VLOOKUP(CONCATENATE($A49,"_",Y$3),'Unit List'!$A$14:$H$2841,2,FALSE)),"X",$X49)</f>
        <v/>
      </c>
      <c r="Z49" s="51" t="str">
        <f>IF(ISTEXT(VLOOKUP(CONCATENATE($A49,"_",Z$3),'Unit List'!$A$14:$H$2841,2,FALSE)),"X",$X49)</f>
        <v/>
      </c>
      <c r="AA49" s="51" t="str">
        <f>IF(ISTEXT(VLOOKUP(CONCATENATE($A49,"_",AA$3),'Unit List'!$A$14:$H$2841,2,FALSE)),"X",$X49)</f>
        <v/>
      </c>
      <c r="AB49" s="51" t="str">
        <f>IF(ISTEXT(VLOOKUP(CONCATENATE($A49,"_",AB$3),'Unit List'!$A$14:$H$2841,2,FALSE)),"X",$X49)</f>
        <v/>
      </c>
      <c r="AC49" s="62" t="str">
        <f>IF(ISTEXT(VLOOKUP(CONCATENATE($A49,"_",AC$3),'Unit List'!$A$14:$H$2841,2,FALSE)),"X",$X49)</f>
        <v/>
      </c>
      <c r="AD49" s="172" t="str">
        <f>IF(ISTEXT(VLOOKUP(CONCATENATE($A49,"_",AD$3),'Unit List'!$A$14:$H$2841,2,FALSE)),"+","")</f>
        <v/>
      </c>
      <c r="AE49" s="51" t="str">
        <f>IF(ISTEXT(VLOOKUP(CONCATENATE($A49,"_",AE$3),'Unit List'!$A$14:$H$2841,2,FALSE)),"X",$AD49)</f>
        <v/>
      </c>
      <c r="AF49" s="51" t="str">
        <f>IF(ISTEXT(VLOOKUP(CONCATENATE($A49,"_",AF$3),'Unit List'!$A$14:$H$2841,2,FALSE)),"X",$AD49)</f>
        <v/>
      </c>
      <c r="AG49" s="172" t="str">
        <f>IF(ISTEXT(VLOOKUP(CONCATENATE($A49,"_",AG$3),'Unit List'!$A$14:$H$2841,2,FALSE)),"+","")</f>
        <v/>
      </c>
      <c r="AH49" s="51" t="str">
        <f>IF(ISTEXT(VLOOKUP(CONCATENATE($A49,"_",AH$3),'Unit List'!$A$14:$H$2841,2,FALSE)),"X",$AG49)</f>
        <v/>
      </c>
      <c r="AI49" s="51" t="str">
        <f>IF(ISTEXT(VLOOKUP(CONCATENATE($A49,"_",AI$3),'Unit List'!$A$14:$H$2841,2,FALSE)),"X",$AG49)</f>
        <v/>
      </c>
      <c r="AJ49" s="53" t="str">
        <f>IF(ISTEXT(VLOOKUP(CONCATENATE($A49,"_",AJ$3),'Unit List'!$A$14:$H$2841,2,FALSE)),"X",$AG49)</f>
        <v/>
      </c>
      <c r="AK49" s="172" t="str">
        <f>IF(ISTEXT(VLOOKUP(CONCATENATE($A49,"_",AK$3),'Unit List'!$A$14:$H$2841,2,FALSE)),"+","")</f>
        <v/>
      </c>
      <c r="AL49" s="52" t="str">
        <f>IF(ISTEXT(VLOOKUP(CONCATENATE($A49,"_",AL$3),'Unit List'!$A$14:$H$2841,2,FALSE)),"X",$AK49)</f>
        <v/>
      </c>
      <c r="AM49" s="53" t="str">
        <f>IF(ISTEXT(VLOOKUP(CONCATENATE($A49,"_",AM$3),'Unit List'!$A$14:$H$2841,2,FALSE)),"X",$AK49)</f>
        <v/>
      </c>
      <c r="AN49" s="125" t="str">
        <f>IF(ISTEXT(VLOOKUP(CONCATENATE($A49,"_",AN$3),'Unit List'!$A$14:$H$2841,2,FALSE)),"+","")</f>
        <v/>
      </c>
      <c r="AO49" s="53" t="str">
        <f>IF(ISTEXT(VLOOKUP(CONCATENATE($A49,"_",AO$3),'Unit List'!$A$14:$H$2841,2,FALSE)),"X",$AN49)</f>
        <v/>
      </c>
      <c r="AP49" s="172" t="str">
        <f>IF(ISTEXT(VLOOKUP(CONCATENATE($A49,"_",AP$3),'Unit List'!$A$14:$H$2841,2,FALSE)),"+","")</f>
        <v/>
      </c>
      <c r="AQ49" s="51" t="str">
        <f>IF(ISTEXT(VLOOKUP(CONCATENATE($A49,"_",AQ$3),'Unit List'!$A$14:$H$2841,2,FALSE)),"X",$AP49)</f>
        <v/>
      </c>
      <c r="AR49" s="51" t="str">
        <f>IF(ISTEXT(VLOOKUP(CONCATENATE($A49,"_",AR$3),'Unit List'!$A$14:$H$2841,2,FALSE)),"X",$AP49)</f>
        <v/>
      </c>
      <c r="AS49" s="51" t="str">
        <f>IF(ISTEXT(VLOOKUP(CONCATENATE($A49,"_",AS$3),'Unit List'!$A$14:$H$2841,2,FALSE)),"X",$AP49)</f>
        <v/>
      </c>
      <c r="AT49" s="53" t="str">
        <f>IF(ISTEXT(VLOOKUP(CONCATENATE($A49,"_",AT$3),'Unit List'!$A$14:$H$2841,2,FALSE)),"X",$AP49)</f>
        <v/>
      </c>
      <c r="AU49" s="124" t="str">
        <f>IF(ISTEXT(VLOOKUP(CONCATENATE($A49,"_",AU$3),'Unit List'!$A$14:$H$2841,2,FALSE)),"+","")</f>
        <v/>
      </c>
      <c r="AV49" s="51" t="str">
        <f>IF(ISTEXT(VLOOKUP(CONCATENATE($A49,"_",AV$3),'Unit List'!$A$14:$H$2841,2,FALSE)),"X",$AU49)</f>
        <v/>
      </c>
      <c r="AW49" s="53" t="str">
        <f>IF(ISTEXT(VLOOKUP(CONCATENATE($A49,"_",AW$3),'Unit List'!$A$14:$H$2841,2,FALSE)),"X",$AU49)</f>
        <v/>
      </c>
      <c r="AX49" s="172" t="str">
        <f>IF(ISTEXT(VLOOKUP(CONCATENATE($A49,"_",AX$3),'Unit List'!$A$14:$H$2841,2,FALSE)),"+","")</f>
        <v/>
      </c>
      <c r="AY49" s="51" t="str">
        <f>IF(ISTEXT(VLOOKUP(CONCATENATE($A49,"_",AY$3),'Unit List'!$A$14:$H$2841,2,FALSE)),"X",$AX49)</f>
        <v/>
      </c>
      <c r="AZ49" s="53" t="str">
        <f>IF(ISTEXT(VLOOKUP(CONCATENATE($A49,"_",AZ$3),'Unit List'!$A$14:$H$2841,2,FALSE)),"X",$AX49)</f>
        <v/>
      </c>
      <c r="BA49" s="182" t="str">
        <f>IF(ISTEXT(VLOOKUP(CONCATENATE($A49,"_",BA$3),'Unit List'!$A$14:$H$2841,2,FALSE)),"+","")</f>
        <v/>
      </c>
      <c r="BB49" s="51" t="str">
        <f>IF(ISTEXT(VLOOKUP(CONCATENATE($A49,"_",BB$3),'Unit List'!$A$14:$H$2841,2,FALSE)),"X",$BA49)</f>
        <v/>
      </c>
      <c r="BC49" s="51" t="str">
        <f>IF(ISTEXT(VLOOKUP(CONCATENATE($A49,"_",BC$3),'Unit List'!$A$14:$H$2841,2,FALSE)),"X",$BA49)</f>
        <v/>
      </c>
      <c r="BD49" s="53" t="str">
        <f>IF(ISTEXT(VLOOKUP(CONCATENATE($A49,"_",BD$3),'Unit List'!$A$14:$H$2841,2,FALSE)),"X",$BA49)</f>
        <v/>
      </c>
      <c r="BE49" s="125" t="str">
        <f>IF(ISTEXT(VLOOKUP(CONCATENATE($A49,"_",BE$3),'Unit List'!$A$14:$H$2841,2,FALSE)),"+","")</f>
        <v/>
      </c>
      <c r="BF49" s="62" t="str">
        <f>IF(ISTEXT(VLOOKUP(CONCATENATE($A49,"_",BF$3),'Unit List'!$A$14:$H$2841,2,FALSE)),"X",$BE49)</f>
        <v/>
      </c>
      <c r="BG49" s="64"/>
      <c r="BH49" s="65" t="s">
        <v>0</v>
      </c>
      <c r="BI49" s="211"/>
      <c r="BJ49" s="212"/>
      <c r="BK49" s="212"/>
      <c r="BL49" s="212"/>
      <c r="BM49" s="213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List'!$A$14:$H$2841,2,FALSE)),"+","")</f>
        <v/>
      </c>
      <c r="C50" s="82" t="str">
        <f>IF(ISTEXT(VLOOKUP(CONCATENATE($A50,"_",C$3),'Unit List'!$A$14:$H$2841,2,FALSE)),"X",$B50)</f>
        <v>X</v>
      </c>
      <c r="D50" s="67" t="str">
        <f>IF(ISTEXT(VLOOKUP(CONCATENATE($A50,"_",D$3),'Unit List'!$A$14:$H$2841,2,FALSE)),"X",$B50)</f>
        <v>X</v>
      </c>
      <c r="E50" s="51" t="str">
        <f>IF(ISTEXT(VLOOKUP(CONCATENATE($A50,"_",E$3),'Unit List'!$A$14:$H$2841,2,FALSE)),"X",$B50)</f>
        <v>X</v>
      </c>
      <c r="F50" s="51" t="str">
        <f>IF(ISTEXT(VLOOKUP(CONCATENATE($A50,"_",F$3),'Unit List'!$A$14:$H$2841,2,FALSE)),"X",$B50)</f>
        <v>X</v>
      </c>
      <c r="G50" s="51" t="str">
        <f>IF(ISTEXT(VLOOKUP(CONCATENATE($A50,"_",G$3),'Unit List'!$A$14:$H$2841,2,FALSE)),"X",$B50)</f>
        <v>X</v>
      </c>
      <c r="H50" s="51" t="str">
        <f>IF(ISTEXT(VLOOKUP(CONCATENATE($A50,"_",H$3),'Unit List'!$A$14:$H$2841,2,FALSE)),"X",$B50)</f>
        <v>X</v>
      </c>
      <c r="I50" s="70" t="str">
        <f>IF(ISTEXT(VLOOKUP(CONCATENATE($A50,"_",I$3),'Unit List'!$A$14:$H$2841,2,FALSE)),"X",$B50)</f>
        <v>X</v>
      </c>
      <c r="J50" s="172" t="str">
        <f>IF(ISTEXT(VLOOKUP(CONCATENATE($A50,"_",J$3),'Unit List'!$A$14:$H$2841,2,FALSE)),"+","")</f>
        <v/>
      </c>
      <c r="K50" s="51" t="str">
        <f>IF(ISTEXT(VLOOKUP(CONCATENATE($A50,"_",K$3),'Unit List'!$A$14:$H$2841,2,FALSE)),"X",$J50)</f>
        <v/>
      </c>
      <c r="L50" s="86" t="str">
        <f>IF(ISTEXT(VLOOKUP(CONCATENATE($A50,"_",L$3),'Unit List'!$A$14:$H$2841,2,FALSE)),"X",$J50)</f>
        <v>X</v>
      </c>
      <c r="M50" s="172" t="str">
        <f>IF(ISTEXT(VLOOKUP(CONCATENATE($A50,"_",M$3),'Unit List'!$A$14:$H$2841,2,FALSE)),"+","")</f>
        <v>+</v>
      </c>
      <c r="N50" s="67" t="str">
        <f>IF(ISTEXT(VLOOKUP(CONCATENATE($A50,"_",N$3),'Unit List'!$A$14:$H$2841,2,FALSE)),"X",$M50)</f>
        <v>X</v>
      </c>
      <c r="O50" s="70" t="str">
        <f>IF(ISTEXT(VLOOKUP(CONCATENATE($A50,"_",O$3),'Unit List'!$A$14:$H$2841,2,FALSE)),"X",$M50)</f>
        <v>X</v>
      </c>
      <c r="P50" s="172" t="str">
        <f>IF(ISTEXT(VLOOKUP(CONCATENATE($A50,"_",P$3),'Unit List'!$A$14:$H$2841,2,FALSE)),"+","")</f>
        <v/>
      </c>
      <c r="Q50" s="60" t="str">
        <f>IF(ISTEXT(VLOOKUP(CONCATENATE($A50,"_",Q$3),'Unit List'!$A$14:$H$2841,2,FALSE)),"X",$P50)</f>
        <v/>
      </c>
      <c r="R50" s="51" t="str">
        <f>IF(ISTEXT(VLOOKUP(CONCATENATE($A50,"_",R$3),'Unit List'!$A$14:$H$2841,2,FALSE)),"X",$P50)</f>
        <v/>
      </c>
      <c r="S50" s="67" t="str">
        <f>IF(ISTEXT(VLOOKUP(CONCATENATE($A50,"_",S$3),'Unit List'!$A$14:$H$2841,2,FALSE)),"X",$P50)</f>
        <v>X</v>
      </c>
      <c r="T50" s="52" t="str">
        <f>IF(ISTEXT(VLOOKUP(CONCATENATE($A50,"_",T$3),'Unit List'!$A$14:$H$2841,2,FALSE)),"X",$P50)</f>
        <v/>
      </c>
      <c r="U50" s="67" t="str">
        <f>IF(ISTEXT(VLOOKUP(CONCATENATE($A50,"_",U$3),'Unit List'!$A$14:$H$2841,2,FALSE)),"X",$P50)</f>
        <v>X</v>
      </c>
      <c r="V50" s="51" t="str">
        <f>IF(ISTEXT(VLOOKUP(CONCATENATE($A50,"_",V$3),'Unit List'!$A$14:$H$2841,2,FALSE)),"X",$P50)</f>
        <v/>
      </c>
      <c r="W50" s="53" t="str">
        <f>IF(ISTEXT(VLOOKUP(CONCATENATE($A50,"_",W$3),'Unit List'!$A$14:$H$2841,2,FALSE)),"X",$P50)</f>
        <v/>
      </c>
      <c r="X50" s="172" t="str">
        <f>IF(ISTEXT(VLOOKUP(CONCATENATE($A50,"_",X$3),'Unit List'!$A$14:$H$2841,2,FALSE)),"+","")</f>
        <v/>
      </c>
      <c r="Y50" s="51" t="str">
        <f>IF(ISTEXT(VLOOKUP(CONCATENATE($A50,"_",Y$3),'Unit List'!$A$14:$H$2841,2,FALSE)),"X",$X50)</f>
        <v/>
      </c>
      <c r="Z50" s="51" t="str">
        <f>IF(ISTEXT(VLOOKUP(CONCATENATE($A50,"_",Z$3),'Unit List'!$A$14:$H$2841,2,FALSE)),"X",$X50)</f>
        <v/>
      </c>
      <c r="AA50" s="51" t="str">
        <f>IF(ISTEXT(VLOOKUP(CONCATENATE($A50,"_",AA$3),'Unit List'!$A$14:$H$2841,2,FALSE)),"X",$X50)</f>
        <v/>
      </c>
      <c r="AB50" s="51" t="str">
        <f>IF(ISTEXT(VLOOKUP(CONCATENATE($A50,"_",AB$3),'Unit List'!$A$14:$H$2841,2,FALSE)),"X",$X50)</f>
        <v/>
      </c>
      <c r="AC50" s="62" t="str">
        <f>IF(ISTEXT(VLOOKUP(CONCATENATE($A50,"_",AC$3),'Unit List'!$A$14:$H$2841,2,FALSE)),"X",$X50)</f>
        <v/>
      </c>
      <c r="AD50" s="172" t="str">
        <f>IF(ISTEXT(VLOOKUP(CONCATENATE($A50,"_",AD$3),'Unit List'!$A$14:$H$2841,2,FALSE)),"+","")</f>
        <v/>
      </c>
      <c r="AE50" s="51" t="str">
        <f>IF(ISTEXT(VLOOKUP(CONCATENATE($A50,"_",AE$3),'Unit List'!$A$14:$H$2841,2,FALSE)),"X",$AD50)</f>
        <v/>
      </c>
      <c r="AF50" s="51" t="str">
        <f>IF(ISTEXT(VLOOKUP(CONCATENATE($A50,"_",AF$3),'Unit List'!$A$14:$H$2841,2,FALSE)),"X",$AD50)</f>
        <v/>
      </c>
      <c r="AG50" s="172" t="str">
        <f>IF(ISTEXT(VLOOKUP(CONCATENATE($A50,"_",AG$3),'Unit List'!$A$14:$H$2841,2,FALSE)),"+","")</f>
        <v/>
      </c>
      <c r="AH50" s="51" t="str">
        <f>IF(ISTEXT(VLOOKUP(CONCATENATE($A50,"_",AH$3),'Unit List'!$A$14:$H$2841,2,FALSE)),"X",$AG50)</f>
        <v/>
      </c>
      <c r="AI50" s="51" t="str">
        <f>IF(ISTEXT(VLOOKUP(CONCATENATE($A50,"_",AI$3),'Unit List'!$A$14:$H$2841,2,FALSE)),"X",$AG50)</f>
        <v/>
      </c>
      <c r="AJ50" s="53" t="str">
        <f>IF(ISTEXT(VLOOKUP(CONCATENATE($A50,"_",AJ$3),'Unit List'!$A$14:$H$2841,2,FALSE)),"X",$AG50)</f>
        <v/>
      </c>
      <c r="AK50" s="172" t="str">
        <f>IF(ISTEXT(VLOOKUP(CONCATENATE($A50,"_",AK$3),'Unit List'!$A$14:$H$2841,2,FALSE)),"+","")</f>
        <v/>
      </c>
      <c r="AL50" s="87" t="str">
        <f>IF(ISTEXT(VLOOKUP(CONCATENATE($A50,"_",AL$3),'Unit List'!$A$14:$H$2841,2,FALSE)),"X",$AK50)</f>
        <v>X</v>
      </c>
      <c r="AM50" s="53" t="str">
        <f>IF(ISTEXT(VLOOKUP(CONCATENATE($A50,"_",AM$3),'Unit List'!$A$14:$H$2841,2,FALSE)),"X",$AK50)</f>
        <v/>
      </c>
      <c r="AN50" s="125" t="str">
        <f>IF(ISTEXT(VLOOKUP(CONCATENATE($A50,"_",AN$3),'Unit List'!$A$14:$H$2841,2,FALSE)),"+","")</f>
        <v/>
      </c>
      <c r="AO50" s="61" t="str">
        <f>IF(ISTEXT(VLOOKUP(CONCATENATE($A50,"_",AO$3),'Unit List'!$A$14:$H$2841,2,FALSE)),"X",$AN50)</f>
        <v/>
      </c>
      <c r="AP50" s="172" t="str">
        <f>IF(ISTEXT(VLOOKUP(CONCATENATE($A50,"_",AP$3),'Unit List'!$A$14:$H$2841,2,FALSE)),"+","")</f>
        <v>+</v>
      </c>
      <c r="AQ50" s="51" t="str">
        <f>IF(ISTEXT(VLOOKUP(CONCATENATE($A50,"_",AQ$3),'Unit List'!$A$14:$H$2841,2,FALSE)),"X",$AP50)</f>
        <v>+</v>
      </c>
      <c r="AR50" s="67" t="str">
        <f>IF(ISTEXT(VLOOKUP(CONCATENATE($A50,"_",AR$3),'Unit List'!$A$14:$H$2841,2,FALSE)),"X",$AP50)</f>
        <v>X</v>
      </c>
      <c r="AS50" s="51" t="str">
        <f>IF(ISTEXT(VLOOKUP(CONCATENATE($A50,"_",AS$3),'Unit List'!$A$14:$H$2841,2,FALSE)),"X",$AP50)</f>
        <v>+</v>
      </c>
      <c r="AT50" s="53" t="str">
        <f>IF(ISTEXT(VLOOKUP(CONCATENATE($A50,"_",AT$3),'Unit List'!$A$14:$H$2841,2,FALSE)),"X",$AP50)</f>
        <v>+</v>
      </c>
      <c r="AU50" s="124" t="str">
        <f>IF(ISTEXT(VLOOKUP(CONCATENATE($A50,"_",AU$3),'Unit List'!$A$14:$H$2841,2,FALSE)),"+","")</f>
        <v/>
      </c>
      <c r="AV50" s="51" t="str">
        <f>IF(ISTEXT(VLOOKUP(CONCATENATE($A50,"_",AV$3),'Unit List'!$A$14:$H$2841,2,FALSE)),"X",$AU50)</f>
        <v/>
      </c>
      <c r="AW50" s="53" t="str">
        <f>IF(ISTEXT(VLOOKUP(CONCATENATE($A50,"_",AW$3),'Unit List'!$A$14:$H$2841,2,FALSE)),"X",$AU50)</f>
        <v/>
      </c>
      <c r="AX50" s="172" t="str">
        <f>IF(ISTEXT(VLOOKUP(CONCATENATE($A50,"_",AX$3),'Unit List'!$A$14:$H$2841,2,FALSE)),"+","")</f>
        <v>+</v>
      </c>
      <c r="AY50" s="51" t="str">
        <f>IF(ISTEXT(VLOOKUP(CONCATENATE($A50,"_",AY$3),'Unit List'!$A$14:$H$2841,2,FALSE)),"X",$AX50)</f>
        <v>+</v>
      </c>
      <c r="AZ50" s="53" t="str">
        <f>IF(ISTEXT(VLOOKUP(CONCATENATE($A50,"_",AZ$3),'Unit List'!$A$14:$H$2841,2,FALSE)),"X",$AX50)</f>
        <v>+</v>
      </c>
      <c r="BA50" s="182" t="str">
        <f>IF(ISTEXT(VLOOKUP(CONCATENATE($A50,"_",BA$3),'Unit List'!$A$14:$H$2841,2,FALSE)),"+","")</f>
        <v/>
      </c>
      <c r="BB50" s="51" t="str">
        <f>IF(ISTEXT(VLOOKUP(CONCATENATE($A50,"_",BB$3),'Unit List'!$A$14:$H$2841,2,FALSE)),"X",$BA50)</f>
        <v/>
      </c>
      <c r="BC50" s="51" t="str">
        <f>IF(ISTEXT(VLOOKUP(CONCATENATE($A50,"_",BC$3),'Unit List'!$A$14:$H$2841,2,FALSE)),"X",$BA50)</f>
        <v/>
      </c>
      <c r="BD50" s="53" t="str">
        <f>IF(ISTEXT(VLOOKUP(CONCATENATE($A50,"_",BD$3),'Unit List'!$A$14:$H$2841,2,FALSE)),"X",$BA50)</f>
        <v/>
      </c>
      <c r="BE50" s="125" t="str">
        <f>IF(ISTEXT(VLOOKUP(CONCATENATE($A50,"_",BE$3),'Unit List'!$A$14:$H$2841,2,FALSE)),"+","")</f>
        <v>+</v>
      </c>
      <c r="BF50" s="62" t="str">
        <f>IF(ISTEXT(VLOOKUP(CONCATENATE($A50,"_",BF$3),'Unit List'!$A$14:$H$2841,2,FALSE)),"X",$BE50)</f>
        <v>+</v>
      </c>
      <c r="BG50" s="64"/>
      <c r="BH50" s="65" t="s">
        <v>0</v>
      </c>
      <c r="BI50" s="211"/>
      <c r="BJ50" s="212"/>
      <c r="BK50" s="212"/>
      <c r="BL50" s="212"/>
      <c r="BM50" s="213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List'!$A$14:$H$2841,2,FALSE)),"+","")</f>
        <v/>
      </c>
      <c r="C51" s="82" t="str">
        <f>IF(ISTEXT(VLOOKUP(CONCATENATE($A51,"_",C$3),'Unit List'!$A$14:$H$2841,2,FALSE)),"X",$B51)</f>
        <v>X</v>
      </c>
      <c r="D51" s="60" t="str">
        <f>IF(ISTEXT(VLOOKUP(CONCATENATE($A51,"_",D$3),'Unit List'!$A$14:$H$2841,2,FALSE)),"X",$B51)</f>
        <v/>
      </c>
      <c r="E51" s="58" t="str">
        <f>IF(ISTEXT(VLOOKUP(CONCATENATE($A51,"_",E$3),'Unit List'!$A$14:$H$2841,2,FALSE)),"X",$B51)</f>
        <v/>
      </c>
      <c r="F51" s="67" t="str">
        <f>IF(ISTEXT(VLOOKUP(CONCATENATE($A51,"_",F$3),'Unit List'!$A$14:$H$2841,2,FALSE)),"X",$B51)</f>
        <v>X</v>
      </c>
      <c r="G51" s="67" t="str">
        <f>IF(ISTEXT(VLOOKUP(CONCATENATE($A51,"_",G$3),'Unit List'!$A$14:$H$2841,2,FALSE)),"X",$B51)</f>
        <v>X</v>
      </c>
      <c r="H51" s="67" t="str">
        <f>IF(ISTEXT(VLOOKUP(CONCATENATE($A51,"_",H$3),'Unit List'!$A$14:$H$2841,2,FALSE)),"X",$B51)</f>
        <v>X</v>
      </c>
      <c r="I51" s="53" t="str">
        <f>IF(ISTEXT(VLOOKUP(CONCATENATE($A51,"_",I$3),'Unit List'!$A$14:$H$2841,2,FALSE)),"X",$B51)</f>
        <v/>
      </c>
      <c r="J51" s="172" t="str">
        <f>IF(ISTEXT(VLOOKUP(CONCATENATE($A51,"_",J$3),'Unit List'!$A$14:$H$2841,2,FALSE)),"+","")</f>
        <v>+</v>
      </c>
      <c r="K51" s="94" t="str">
        <f>IF(ISTEXT(VLOOKUP(CONCATENATE($A51,"_",K$3),'Unit List'!$A$14:$H$2841,2,FALSE)),"X",$J51)</f>
        <v>+</v>
      </c>
      <c r="L51" s="68" t="str">
        <f>IF(ISTEXT(VLOOKUP(CONCATENATE($A51,"_",L$3),'Unit List'!$A$14:$H$2841,2,FALSE)),"X",$J51)</f>
        <v>+</v>
      </c>
      <c r="M51" s="172" t="str">
        <f>IF(ISTEXT(VLOOKUP(CONCATENATE($A51,"_",M$3),'Unit List'!$A$14:$H$2841,2,FALSE)),"+","")</f>
        <v>+</v>
      </c>
      <c r="N51" s="51" t="str">
        <f>IF(ISTEXT(VLOOKUP(CONCATENATE($A51,"_",N$3),'Unit List'!$A$14:$H$2841,2,FALSE)),"X",$M51)</f>
        <v>X</v>
      </c>
      <c r="O51" s="53" t="str">
        <f>IF(ISTEXT(VLOOKUP(CONCATENATE($A51,"_",O$3),'Unit List'!$A$14:$H$2841,2,FALSE)),"X",$M51)</f>
        <v>X</v>
      </c>
      <c r="P51" s="171" t="str">
        <f>IF(ISTEXT(VLOOKUP(CONCATENATE($A51,"_",P$3),'Unit List'!$A$14:$H$2841,2,FALSE)),"+","")</f>
        <v>+</v>
      </c>
      <c r="Q51" s="51" t="str">
        <f>IF(ISTEXT(VLOOKUP(CONCATENATE($A51,"_",Q$3),'Unit List'!$A$14:$H$2841,2,FALSE)),"X",$P51)</f>
        <v>+</v>
      </c>
      <c r="R51" s="51" t="str">
        <f>IF(ISTEXT(VLOOKUP(CONCATENATE($A51,"_",R$3),'Unit List'!$A$14:$H$2841,2,FALSE)),"X",$P51)</f>
        <v>+</v>
      </c>
      <c r="S51" s="67" t="str">
        <f>IF(ISTEXT(VLOOKUP(CONCATENATE($A51,"_",S$3),'Unit List'!$A$14:$H$2841,2,FALSE)),"X",$P51)</f>
        <v>X</v>
      </c>
      <c r="T51" s="52" t="str">
        <f>IF(ISTEXT(VLOOKUP(CONCATENATE($A51,"_",T$3),'Unit List'!$A$14:$H$2841,2,FALSE)),"X",$P51)</f>
        <v>+</v>
      </c>
      <c r="U51" s="89" t="s">
        <v>3</v>
      </c>
      <c r="V51" s="67" t="str">
        <f>IF(ISTEXT(VLOOKUP(CONCATENATE($A51,"_",V$3),'Unit List'!$A$14:$H$2841,2,FALSE)),"X",$P51)</f>
        <v>X</v>
      </c>
      <c r="W51" s="53" t="str">
        <f>IF(ISTEXT(VLOOKUP(CONCATENATE($A51,"_",W$3),'Unit List'!$A$14:$H$2841,2,FALSE)),"X",$P51)</f>
        <v>+</v>
      </c>
      <c r="X51" s="171" t="str">
        <f>IF(ISTEXT(VLOOKUP(CONCATENATE($A51,"_",X$3),'Unit List'!$A$14:$H$2841,2,FALSE)),"+","")</f>
        <v>+</v>
      </c>
      <c r="Y51" s="51" t="str">
        <f>IF(ISTEXT(VLOOKUP(CONCATENATE($A51,"_",Y$3),'Unit List'!$A$14:$H$2841,2,FALSE)),"X",$X51)</f>
        <v>X</v>
      </c>
      <c r="Z51" s="51" t="str">
        <f>IF(ISTEXT(VLOOKUP(CONCATENATE($A51,"_",Z$3),'Unit List'!$A$14:$H$2841,2,FALSE)),"X",$X51)</f>
        <v>+</v>
      </c>
      <c r="AA51" s="67" t="str">
        <f>IF(ISTEXT(VLOOKUP(CONCATENATE($A51,"_",AA$3),'Unit List'!$A$14:$H$2841,2,FALSE)),"X",$X51)</f>
        <v>X</v>
      </c>
      <c r="AB51" s="67" t="str">
        <f>IF(ISTEXT(VLOOKUP(CONCATENATE($A51,"_",AB$3),'Unit List'!$A$14:$H$2841,2,FALSE)),"X",$X51)</f>
        <v>X</v>
      </c>
      <c r="AC51" s="86" t="str">
        <f>IF(ISTEXT(VLOOKUP(CONCATENATE($A51,"_",AC$3),'Unit List'!$A$14:$H$2841,2,FALSE)),"X",$X51)</f>
        <v>X</v>
      </c>
      <c r="AD51" s="171" t="str">
        <f>IF(ISTEXT(VLOOKUP(CONCATENATE($A51,"_",AD$3),'Unit List'!$A$14:$H$2841,2,FALSE)),"+","")</f>
        <v>+</v>
      </c>
      <c r="AE51" s="51" t="str">
        <f>IF(ISTEXT(VLOOKUP(CONCATENATE($A51,"_",AE$3),'Unit List'!$A$14:$H$2841,2,FALSE)),"X",$AD51)</f>
        <v>+</v>
      </c>
      <c r="AF51" s="51" t="str">
        <f>IF(ISTEXT(VLOOKUP(CONCATENATE($A51,"_",AF$3),'Unit List'!$A$14:$H$2841,2,FALSE)),"X",$AD51)</f>
        <v>+</v>
      </c>
      <c r="AG51" s="171" t="str">
        <f>IF(ISTEXT(VLOOKUP(CONCATENATE($A51,"_",AG$3),'Unit List'!$A$14:$H$2841,2,FALSE)),"+","")</f>
        <v>+</v>
      </c>
      <c r="AH51" s="67" t="str">
        <f>IF(ISTEXT(VLOOKUP(CONCATENATE($A51,"_",AH$3),'Unit List'!$A$14:$H$2841,2,FALSE)),"X",$AG51)</f>
        <v>X</v>
      </c>
      <c r="AI51" s="67" t="str">
        <f>IF(ISTEXT(VLOOKUP(CONCATENATE($A51,"_",AI$3),'Unit List'!$A$14:$H$2841,2,FALSE)),"X",$AG51)</f>
        <v>X</v>
      </c>
      <c r="AJ51" s="70" t="str">
        <f>IF(ISTEXT(VLOOKUP(CONCATENATE($A51,"_",AJ$3),'Unit List'!$A$14:$H$2841,2,FALSE)),"X",$AG51)</f>
        <v>+</v>
      </c>
      <c r="AK51" s="171" t="str">
        <f>IF(ISTEXT(VLOOKUP(CONCATENATE($A51,"_",AK$3),'Unit List'!$A$14:$H$2841,2,FALSE)),"+","")</f>
        <v>+</v>
      </c>
      <c r="AL51" s="52" t="str">
        <f>IF(ISTEXT(VLOOKUP(CONCATENATE($A51,"_",AL$3),'Unit List'!$A$14:$H$2841,2,FALSE)),"X",$AK51)</f>
        <v>X</v>
      </c>
      <c r="AM51" s="70" t="str">
        <f>IF(ISTEXT(VLOOKUP(CONCATENATE($A51,"_",AM$3),'Unit List'!$A$14:$H$2841,2,FALSE)),"X",$AK51)</f>
        <v>X</v>
      </c>
      <c r="AN51" s="125" t="str">
        <f>IF(ISTEXT(VLOOKUP(CONCATENATE($A51,"_",AN$3),'Unit List'!$A$14:$H$2841,2,FALSE)),"+","")</f>
        <v>+</v>
      </c>
      <c r="AO51" s="70" t="str">
        <f>IF(ISTEXT(VLOOKUP(CONCATENATE($A51,"_",AO$3),'Unit List'!$A$14:$H$2841,2,FALSE)),"X",$AN51)</f>
        <v>X</v>
      </c>
      <c r="AP51" s="171" t="str">
        <f>IF(ISTEXT(VLOOKUP(CONCATENATE($A51,"_",AP$3),'Unit List'!$A$14:$H$2841,2,FALSE)),"+","")</f>
        <v>+</v>
      </c>
      <c r="AQ51" s="67" t="str">
        <f>IF(ISTEXT(VLOOKUP(CONCATENATE($A51,"_",AQ$3),'Unit List'!$A$14:$H$2841,2,FALSE)),"X",$AP51)</f>
        <v>X</v>
      </c>
      <c r="AR51" s="67" t="str">
        <f>IF(ISTEXT(VLOOKUP(CONCATENATE($A51,"_",AR$3),'Unit List'!$A$14:$H$2841,2,FALSE)),"X",$AP51)</f>
        <v>X</v>
      </c>
      <c r="AS51" s="67" t="str">
        <f>IF(ISTEXT(VLOOKUP(CONCATENATE($A51,"_",AS$3),'Unit List'!$A$14:$H$2841,2,FALSE)),"X",$AP51)</f>
        <v>X</v>
      </c>
      <c r="AT51" s="70" t="str">
        <f>IF(ISTEXT(VLOOKUP(CONCATENATE($A51,"_",AT$3),'Unit List'!$A$14:$H$2841,2,FALSE)),"X",$AP51)</f>
        <v>X</v>
      </c>
      <c r="AU51" s="124" t="str">
        <f>IF(ISTEXT(VLOOKUP(CONCATENATE($A51,"_",AU$3),'Unit List'!$A$14:$H$2841,2,FALSE)),"+","")</f>
        <v>+</v>
      </c>
      <c r="AV51" s="90" t="s">
        <v>0</v>
      </c>
      <c r="AW51" s="53" t="str">
        <f>IF(ISTEXT(VLOOKUP(CONCATENATE($A51,"_",AW$3),'Unit List'!$A$14:$H$2841,2,FALSE)),"X",$AU51)</f>
        <v>+</v>
      </c>
      <c r="AX51" s="172" t="str">
        <f>IF(ISTEXT(VLOOKUP(CONCATENATE($A51,"_",AX$3),'Unit List'!$A$14:$H$2841,2,FALSE)),"+","")</f>
        <v/>
      </c>
      <c r="AY51" s="89" t="s">
        <v>0</v>
      </c>
      <c r="AZ51" s="53" t="str">
        <f>IF(ISTEXT(VLOOKUP(CONCATENATE($A51,"_",AZ$3),'Unit List'!$A$14:$H$2841,2,FALSE)),"X",$AX51)</f>
        <v/>
      </c>
      <c r="BA51" s="171" t="str">
        <f>IF(ISTEXT(VLOOKUP(CONCATENATE($A51,"_",BA$3),'Unit List'!$A$14:$H$2841,2,FALSE)),"+","")</f>
        <v>+</v>
      </c>
      <c r="BB51" s="67" t="str">
        <f>IF(ISTEXT(VLOOKUP(CONCATENATE($A51,"_",BB$3),'Unit List'!$A$14:$H$2841,2,FALSE)),"X",$BA51)</f>
        <v>X</v>
      </c>
      <c r="BC51" s="67" t="str">
        <f>IF(ISTEXT(VLOOKUP(CONCATENATE($A51,"_",BC$3),'Unit List'!$A$14:$H$2841,2,FALSE)),"X",$BA51)</f>
        <v>X</v>
      </c>
      <c r="BD51" s="70" t="str">
        <f>IF(ISTEXT(VLOOKUP(CONCATENATE($A51,"_",BD$3),'Unit List'!$A$14:$H$2841,2,FALSE)),"X",$BA51)</f>
        <v>X</v>
      </c>
      <c r="BE51" s="125" t="str">
        <f>IF(ISTEXT(VLOOKUP(CONCATENATE($A51,"_",BE$3),'Unit List'!$A$14:$H$2841,2,FALSE)),"+","")</f>
        <v>+</v>
      </c>
      <c r="BF51" s="86" t="str">
        <f>IF(ISTEXT(VLOOKUP(CONCATENATE($A51,"_",BF$3),'Unit List'!$A$14:$H$2841,2,FALSE)),"X",$BE51)</f>
        <v>X</v>
      </c>
      <c r="BG51" s="75"/>
      <c r="BH51" s="76" t="s">
        <v>0</v>
      </c>
      <c r="BI51" s="211" t="s">
        <v>12</v>
      </c>
      <c r="BJ51" s="214"/>
      <c r="BK51" s="214"/>
      <c r="BL51" s="214"/>
      <c r="BM51" s="215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List'!$A$14:$H$2841,2,FALSE)),"+","")</f>
        <v/>
      </c>
      <c r="C52" s="82" t="str">
        <f>IF(ISTEXT(VLOOKUP(CONCATENATE($A52,"_",C$3),'Unit List'!$A$14:$H$2841,2,FALSE)),"X",$B52)</f>
        <v>X</v>
      </c>
      <c r="D52" s="67" t="str">
        <f>IF(ISTEXT(VLOOKUP(CONCATENATE($A52,"_",D$3),'Unit List'!$A$14:$H$2841,2,FALSE)),"X",$B52)</f>
        <v>X</v>
      </c>
      <c r="E52" s="51" t="str">
        <f>IF(ISTEXT(VLOOKUP(CONCATENATE($A52,"_",E$3),'Unit List'!$A$14:$H$2841,2,FALSE)),"X",$B52)</f>
        <v>X</v>
      </c>
      <c r="F52" s="67" t="str">
        <f>IF(ISTEXT(VLOOKUP(CONCATENATE($A52,"_",F$3),'Unit List'!$A$14:$H$2841,2,FALSE)),"X",$B52)</f>
        <v>X</v>
      </c>
      <c r="G52" s="67" t="str">
        <f>IF(ISTEXT(VLOOKUP(CONCATENATE($A52,"_",G$3),'Unit List'!$A$14:$H$2841,2,FALSE)),"X",$B52)</f>
        <v>X</v>
      </c>
      <c r="H52" s="89" t="s">
        <v>3</v>
      </c>
      <c r="I52" s="70" t="str">
        <f>IF(ISTEXT(VLOOKUP(CONCATENATE($A52,"_",I$3),'Unit List'!$A$14:$H$2841,2,FALSE)),"X",$B52)</f>
        <v>X</v>
      </c>
      <c r="J52" s="172" t="str">
        <f>IF(ISTEXT(VLOOKUP(CONCATENATE($A52,"_",J$3),'Unit List'!$A$14:$H$2841,2,FALSE)),"+","")</f>
        <v/>
      </c>
      <c r="K52" s="51" t="str">
        <f>IF(ISTEXT(VLOOKUP(CONCATENATE($A52,"_",K$3),'Unit List'!$A$14:$H$2841,2,FALSE)),"X",$J52)</f>
        <v/>
      </c>
      <c r="L52" s="86" t="str">
        <f>IF(ISTEXT(VLOOKUP(CONCATENATE($A52,"_",L$3),'Unit List'!$A$14:$H$2841,2,FALSE)),"X",$J52)</f>
        <v>X</v>
      </c>
      <c r="M52" s="172" t="str">
        <f>IF(ISTEXT(VLOOKUP(CONCATENATE($A52,"_",M$3),'Unit List'!$A$14:$H$2841,2,FALSE)),"+","")</f>
        <v>+</v>
      </c>
      <c r="N52" s="67" t="str">
        <f>IF(ISTEXT(VLOOKUP(CONCATENATE($A52,"_",N$3),'Unit List'!$A$14:$H$2841,2,FALSE)),"X",$M52)</f>
        <v>X</v>
      </c>
      <c r="O52" s="70" t="str">
        <f>IF(ISTEXT(VLOOKUP(CONCATENATE($A52,"_",O$3),'Unit List'!$A$14:$H$2841,2,FALSE)),"X",$M52)</f>
        <v>X</v>
      </c>
      <c r="P52" s="172" t="str">
        <f>IF(ISTEXT(VLOOKUP(CONCATENATE($A52,"_",P$3),'Unit List'!$A$14:$H$2841,2,FALSE)),"+","")</f>
        <v/>
      </c>
      <c r="Q52" s="51" t="str">
        <f>IF(ISTEXT(VLOOKUP(CONCATENATE($A52,"_",Q$3),'Unit List'!$A$14:$H$2841,2,FALSE)),"X",$P52)</f>
        <v/>
      </c>
      <c r="R52" s="51" t="str">
        <f>IF(ISTEXT(VLOOKUP(CONCATENATE($A52,"_",R$3),'Unit List'!$A$14:$H$2841,2,FALSE)),"X",$P52)</f>
        <v/>
      </c>
      <c r="S52" s="51" t="str">
        <f>IF(ISTEXT(VLOOKUP(CONCATENATE($A52,"_",S$3),'Unit List'!$A$14:$H$2841,2,FALSE)),"X",$P52)</f>
        <v/>
      </c>
      <c r="T52" s="52" t="str">
        <f>IF(ISTEXT(VLOOKUP(CONCATENATE($A52,"_",T$3),'Unit List'!$A$14:$H$2841,2,FALSE)),"X",$P52)</f>
        <v/>
      </c>
      <c r="U52" s="67" t="str">
        <f>IF(ISTEXT(VLOOKUP(CONCATENATE($A52,"_",U$3),'Unit List'!$A$14:$H$2841,2,FALSE)),"X",$P52)</f>
        <v>X</v>
      </c>
      <c r="V52" s="51" t="str">
        <f>IF(ISTEXT(VLOOKUP(CONCATENATE($A52,"_",V$3),'Unit List'!$A$14:$H$2841,2,FALSE)),"X",$P52)</f>
        <v>X</v>
      </c>
      <c r="W52" s="53" t="str">
        <f>IF(ISTEXT(VLOOKUP(CONCATENATE($A52,"_",W$3),'Unit List'!$A$14:$H$2841,2,FALSE)),"X",$P52)</f>
        <v/>
      </c>
      <c r="X52" s="172" t="str">
        <f>IF(ISTEXT(VLOOKUP(CONCATENATE($A52,"_",X$3),'Unit List'!$A$14:$H$2841,2,FALSE)),"+","")</f>
        <v>+</v>
      </c>
      <c r="Y52" s="51" t="str">
        <f>IF(ISTEXT(VLOOKUP(CONCATENATE($A52,"_",Y$3),'Unit List'!$A$14:$H$2841,2,FALSE)),"X",$X52)</f>
        <v>+</v>
      </c>
      <c r="Z52" s="51" t="str">
        <f>IF(ISTEXT(VLOOKUP(CONCATENATE($A52,"_",Z$3),'Unit List'!$A$14:$H$2841,2,FALSE)),"X",$X52)</f>
        <v>+</v>
      </c>
      <c r="AA52" s="51" t="str">
        <f>IF(ISTEXT(VLOOKUP(CONCATENATE($A52,"_",AA$3),'Unit List'!$A$14:$H$2841,2,FALSE)),"X",$X52)</f>
        <v>+</v>
      </c>
      <c r="AB52" s="51" t="str">
        <f>IF(ISTEXT(VLOOKUP(CONCATENATE($A52,"_",AB$3),'Unit List'!$A$14:$H$2841,2,FALSE)),"X",$X52)</f>
        <v>+</v>
      </c>
      <c r="AC52" s="62" t="str">
        <f>IF(ISTEXT(VLOOKUP(CONCATENATE($A52,"_",AC$3),'Unit List'!$A$14:$H$2841,2,FALSE)),"X",$X52)</f>
        <v>+</v>
      </c>
      <c r="AD52" s="171" t="str">
        <f>IF(ISTEXT(VLOOKUP(CONCATENATE($A52,"_",AD$3),'Unit List'!$A$14:$H$2841,2,FALSE)),"+","")</f>
        <v/>
      </c>
      <c r="AE52" s="51" t="str">
        <f>IF(ISTEXT(VLOOKUP(CONCATENATE($A52,"_",AE$3),'Unit List'!$A$14:$H$2841,2,FALSE)),"X",$AD52)</f>
        <v/>
      </c>
      <c r="AF52" s="51" t="str">
        <f>IF(ISTEXT(VLOOKUP(CONCATENATE($A52,"_",AF$3),'Unit List'!$A$14:$H$2841,2,FALSE)),"X",$AD52)</f>
        <v/>
      </c>
      <c r="AG52" s="171" t="str">
        <f>IF(ISTEXT(VLOOKUP(CONCATENATE($A52,"_",AG$3),'Unit List'!$A$14:$H$2841,2,FALSE)),"+","")</f>
        <v>+</v>
      </c>
      <c r="AH52" s="51" t="str">
        <f>IF(ISTEXT(VLOOKUP(CONCATENATE($A52,"_",AH$3),'Unit List'!$A$14:$H$2841,2,FALSE)),"X",$AG52)</f>
        <v>+</v>
      </c>
      <c r="AI52" s="51" t="str">
        <f>IF(ISTEXT(VLOOKUP(CONCATENATE($A52,"_",AI$3),'Unit List'!$A$14:$H$2841,2,FALSE)),"X",$AG52)</f>
        <v>+</v>
      </c>
      <c r="AJ52" s="53" t="str">
        <f>IF(ISTEXT(VLOOKUP(CONCATENATE($A52,"_",AJ$3),'Unit List'!$A$14:$H$2841,2,FALSE)),"X",$AG52)</f>
        <v>+</v>
      </c>
      <c r="AK52" s="172" t="str">
        <f>IF(ISTEXT(VLOOKUP(CONCATENATE($A52,"_",AK$3),'Unit List'!$A$14:$H$2841,2,FALSE)),"+","")</f>
        <v/>
      </c>
      <c r="AL52" s="87" t="str">
        <f>IF(ISTEXT(VLOOKUP(CONCATENATE($A52,"_",AL$3),'Unit List'!$A$14:$H$2841,2,FALSE)),"X",$AK52)</f>
        <v>X</v>
      </c>
      <c r="AM52" s="53" t="str">
        <f>IF(ISTEXT(VLOOKUP(CONCATENATE($A52,"_",AM$3),'Unit List'!$A$14:$H$2841,2,FALSE)),"X",$AK52)</f>
        <v/>
      </c>
      <c r="AN52" s="125" t="str">
        <f>IF(ISTEXT(VLOOKUP(CONCATENATE($A52,"_",AN$3),'Unit List'!$A$14:$H$2841,2,FALSE)),"+","")</f>
        <v/>
      </c>
      <c r="AO52" s="53" t="str">
        <f>IF(ISTEXT(VLOOKUP(CONCATENATE($A52,"_",AO$3),'Unit List'!$A$14:$H$2841,2,FALSE)),"X",$AN52)</f>
        <v/>
      </c>
      <c r="AP52" s="172" t="str">
        <f>IF(ISTEXT(VLOOKUP(CONCATENATE($A52,"_",AP$3),'Unit List'!$A$14:$H$2841,2,FALSE)),"+","")</f>
        <v>+</v>
      </c>
      <c r="AQ52" s="67" t="str">
        <f>IF(ISTEXT(VLOOKUP(CONCATENATE($A52,"_",AQ$3),'Unit List'!$A$14:$H$2841,2,FALSE)),"X",$AP52)</f>
        <v>X</v>
      </c>
      <c r="AR52" s="67" t="str">
        <f>IF(ISTEXT(VLOOKUP(CONCATENATE($A52,"_",AR$3),'Unit List'!$A$14:$H$2841,2,FALSE)),"X",$AP52)</f>
        <v>X</v>
      </c>
      <c r="AS52" s="51" t="str">
        <f>IF(ISTEXT(VLOOKUP(CONCATENATE($A52,"_",AS$3),'Unit List'!$A$14:$H$2841,2,FALSE)),"X",$AP52)</f>
        <v>+</v>
      </c>
      <c r="AT52" s="53" t="str">
        <f>IF(ISTEXT(VLOOKUP(CONCATENATE($A52,"_",AT$3),'Unit List'!$A$14:$H$2841,2,FALSE)),"X",$AP52)</f>
        <v>+</v>
      </c>
      <c r="AU52" s="124" t="str">
        <f>IF(ISTEXT(VLOOKUP(CONCATENATE($A52,"_",AU$3),'Unit List'!$A$14:$H$2841,2,FALSE)),"+","")</f>
        <v/>
      </c>
      <c r="AV52" s="51" t="str">
        <f>IF(ISTEXT(VLOOKUP(CONCATENATE($A52,"_",AV$3),'Unit List'!$A$14:$H$2841,2,FALSE)),"X",$AU52)</f>
        <v/>
      </c>
      <c r="AW52" s="53" t="str">
        <f>IF(ISTEXT(VLOOKUP(CONCATENATE($A52,"_",AW$3),'Unit List'!$A$14:$H$2841,2,FALSE)),"X",$AU52)</f>
        <v/>
      </c>
      <c r="AX52" s="171" t="str">
        <f>IF(ISTEXT(VLOOKUP(CONCATENATE($A52,"_",AX$3),'Unit List'!$A$14:$H$2841,2,FALSE)),"+","")</f>
        <v>+</v>
      </c>
      <c r="AY52" s="69" t="str">
        <f>IF(ISTEXT(VLOOKUP(CONCATENATE($A52,"_",AY$3),'Unit List'!$A$14:$H$2841,2,FALSE)),"X",$AX52)</f>
        <v>+</v>
      </c>
      <c r="AZ52" s="53" t="str">
        <f>IF(ISTEXT(VLOOKUP(CONCATENATE($A52,"_",AZ$3),'Unit List'!$A$14:$H$2841,2,FALSE)),"X",$AX52)</f>
        <v>+</v>
      </c>
      <c r="BA52" s="171" t="str">
        <f>IF(ISTEXT(VLOOKUP(CONCATENATE($A52,"_",BA$3),'Unit List'!$A$14:$H$2841,2,FALSE)),"+","")</f>
        <v>+</v>
      </c>
      <c r="BB52" s="51" t="str">
        <f>IF(ISTEXT(VLOOKUP(CONCATENATE($A52,"_",BB$3),'Unit List'!$A$14:$H$2841,2,FALSE)),"X",$BA52)</f>
        <v>+</v>
      </c>
      <c r="BC52" s="69" t="str">
        <f>IF(ISTEXT(VLOOKUP(CONCATENATE($A52,"_",BC$3),'Unit List'!$A$14:$H$2841,2,FALSE)),"X",$BA52)</f>
        <v>+</v>
      </c>
      <c r="BD52" s="53" t="str">
        <f>IF(ISTEXT(VLOOKUP(CONCATENATE($A52,"_",BD$3),'Unit List'!$A$14:$H$2841,2,FALSE)),"X",$BA52)</f>
        <v>+</v>
      </c>
      <c r="BE52" s="125" t="str">
        <f>IF(ISTEXT(VLOOKUP(CONCATENATE($A52,"_",BE$3),'Unit List'!$A$14:$H$2841,2,FALSE)),"+","")</f>
        <v>+</v>
      </c>
      <c r="BF52" s="62" t="str">
        <f>IF(ISTEXT(VLOOKUP(CONCATENATE($A52,"_",BF$3),'Unit List'!$A$14:$H$2841,2,FALSE)),"X",$BE52)</f>
        <v>+</v>
      </c>
      <c r="BG52" s="64"/>
      <c r="BH52" s="65" t="s">
        <v>0</v>
      </c>
      <c r="BI52" s="211"/>
      <c r="BJ52" s="212"/>
      <c r="BK52" s="212"/>
      <c r="BL52" s="212"/>
      <c r="BM52" s="213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List'!$A$14:$H$2841,2,FALSE)),"+","")</f>
        <v/>
      </c>
      <c r="C53" s="57" t="str">
        <f>IF(ISTEXT(VLOOKUP(CONCATENATE($A53,"_",C$3),'Unit List'!$A$14:$H$2841,2,FALSE)),"X",$B53)</f>
        <v/>
      </c>
      <c r="D53" s="51" t="str">
        <f>IF(ISTEXT(VLOOKUP(CONCATENATE($A53,"_",D$3),'Unit List'!$A$14:$H$2841,2,FALSE)),"X",$B53)</f>
        <v/>
      </c>
      <c r="E53" s="51" t="str">
        <f>IF(ISTEXT(VLOOKUP(CONCATENATE($A53,"_",E$3),'Unit List'!$A$14:$H$2841,2,FALSE)),"X",$B53)</f>
        <v/>
      </c>
      <c r="F53" s="51" t="str">
        <f>IF(ISTEXT(VLOOKUP(CONCATENATE($A53,"_",F$3),'Unit List'!$A$14:$H$2841,2,FALSE)),"X",$B53)</f>
        <v/>
      </c>
      <c r="G53" s="51" t="str">
        <f>IF(ISTEXT(VLOOKUP(CONCATENATE($A53,"_",G$3),'Unit List'!$A$14:$H$2841,2,FALSE)),"X",$B53)</f>
        <v/>
      </c>
      <c r="H53" s="51" t="str">
        <f>IF(ISTEXT(VLOOKUP(CONCATENATE($A53,"_",H$3),'Unit List'!$A$14:$H$2841,2,FALSE)),"X",$B53)</f>
        <v/>
      </c>
      <c r="I53" s="53" t="str">
        <f>IF(ISTEXT(VLOOKUP(CONCATENATE($A53,"_",I$3),'Unit List'!$A$14:$H$2841,2,FALSE)),"X",$B53)</f>
        <v/>
      </c>
      <c r="J53" s="172" t="str">
        <f>IF(ISTEXT(VLOOKUP(CONCATENATE($A53,"_",J$3),'Unit List'!$A$14:$H$2841,2,FALSE)),"+","")</f>
        <v/>
      </c>
      <c r="K53" s="51" t="str">
        <f>IF(ISTEXT(VLOOKUP(CONCATENATE($A53,"_",K$3),'Unit List'!$A$14:$H$2841,2,FALSE)),"X",$J53)</f>
        <v/>
      </c>
      <c r="L53" s="62" t="str">
        <f>IF(ISTEXT(VLOOKUP(CONCATENATE($A53,"_",L$3),'Unit List'!$A$14:$H$2841,2,FALSE)),"X",$J53)</f>
        <v/>
      </c>
      <c r="M53" s="172" t="str">
        <f>IF(ISTEXT(VLOOKUP(CONCATENATE($A53,"_",M$3),'Unit List'!$A$14:$H$2841,2,FALSE)),"+","")</f>
        <v/>
      </c>
      <c r="N53" s="51" t="str">
        <f>IF(ISTEXT(VLOOKUP(CONCATENATE($A53,"_",N$3),'Unit List'!$A$14:$H$2841,2,FALSE)),"X",$M53)</f>
        <v/>
      </c>
      <c r="O53" s="53" t="str">
        <f>IF(ISTEXT(VLOOKUP(CONCATENATE($A53,"_",O$3),'Unit List'!$A$14:$H$2841,2,FALSE)),"X",$M53)</f>
        <v/>
      </c>
      <c r="P53" s="172" t="str">
        <f>IF(ISTEXT(VLOOKUP(CONCATENATE($A53,"_",P$3),'Unit List'!$A$14:$H$2841,2,FALSE)),"+","")</f>
        <v/>
      </c>
      <c r="Q53" s="51" t="str">
        <f>IF(ISTEXT(VLOOKUP(CONCATENATE($A53,"_",Q$3),'Unit List'!$A$14:$H$2841,2,FALSE)),"X",$P53)</f>
        <v/>
      </c>
      <c r="R53" s="51" t="str">
        <f>IF(ISTEXT(VLOOKUP(CONCATENATE($A53,"_",R$3),'Unit List'!$A$14:$H$2841,2,FALSE)),"X",$P53)</f>
        <v/>
      </c>
      <c r="S53" s="51" t="str">
        <f>IF(ISTEXT(VLOOKUP(CONCATENATE($A53,"_",S$3),'Unit List'!$A$14:$H$2841,2,FALSE)),"X",$P53)</f>
        <v/>
      </c>
      <c r="T53" s="52" t="str">
        <f>IF(ISTEXT(VLOOKUP(CONCATENATE($A53,"_",T$3),'Unit List'!$A$14:$H$2841,2,FALSE)),"X",$P53)</f>
        <v/>
      </c>
      <c r="U53" s="51" t="str">
        <f>IF(ISTEXT(VLOOKUP(CONCATENATE($A53,"_",U$3),'Unit List'!$A$14:$H$2841,2,FALSE)),"X",$P53)</f>
        <v/>
      </c>
      <c r="V53" s="51" t="str">
        <f>IF(ISTEXT(VLOOKUP(CONCATENATE($A53,"_",V$3),'Unit List'!$A$14:$H$2841,2,FALSE)),"X",$P53)</f>
        <v/>
      </c>
      <c r="W53" s="53" t="str">
        <f>IF(ISTEXT(VLOOKUP(CONCATENATE($A53,"_",W$3),'Unit List'!$A$14:$H$2841,2,FALSE)),"X",$P53)</f>
        <v/>
      </c>
      <c r="X53" s="172" t="str">
        <f>IF(ISTEXT(VLOOKUP(CONCATENATE($A53,"_",X$3),'Unit List'!$A$14:$H$2841,2,FALSE)),"+","")</f>
        <v/>
      </c>
      <c r="Y53" s="51" t="str">
        <f>IF(ISTEXT(VLOOKUP(CONCATENATE($A53,"_",Y$3),'Unit List'!$A$14:$H$2841,2,FALSE)),"X",$X53)</f>
        <v/>
      </c>
      <c r="Z53" s="51" t="str">
        <f>IF(ISTEXT(VLOOKUP(CONCATENATE($A53,"_",Z$3),'Unit List'!$A$14:$H$2841,2,FALSE)),"X",$X53)</f>
        <v/>
      </c>
      <c r="AA53" s="51" t="str">
        <f>IF(ISTEXT(VLOOKUP(CONCATENATE($A53,"_",AA$3),'Unit List'!$A$14:$H$2841,2,FALSE)),"X",$X53)</f>
        <v/>
      </c>
      <c r="AB53" s="51" t="str">
        <f>IF(ISTEXT(VLOOKUP(CONCATENATE($A53,"_",AB$3),'Unit List'!$A$14:$H$2841,2,FALSE)),"X",$X53)</f>
        <v/>
      </c>
      <c r="AC53" s="62" t="str">
        <f>IF(ISTEXT(VLOOKUP(CONCATENATE($A53,"_",AC$3),'Unit List'!$A$14:$H$2841,2,FALSE)),"X",$X53)</f>
        <v/>
      </c>
      <c r="AD53" s="172" t="str">
        <f>IF(ISTEXT(VLOOKUP(CONCATENATE($A53,"_",AD$3),'Unit List'!$A$14:$H$2841,2,FALSE)),"+","")</f>
        <v/>
      </c>
      <c r="AE53" s="51" t="str">
        <f>IF(ISTEXT(VLOOKUP(CONCATENATE($A53,"_",AE$3),'Unit List'!$A$14:$H$2841,2,FALSE)),"X",$AD53)</f>
        <v/>
      </c>
      <c r="AF53" s="51" t="str">
        <f>IF(ISTEXT(VLOOKUP(CONCATENATE($A53,"_",AF$3),'Unit List'!$A$14:$H$2841,2,FALSE)),"X",$AD53)</f>
        <v/>
      </c>
      <c r="AG53" s="172" t="str">
        <f>IF(ISTEXT(VLOOKUP(CONCATENATE($A53,"_",AG$3),'Unit List'!$A$14:$H$2841,2,FALSE)),"+","")</f>
        <v/>
      </c>
      <c r="AH53" s="51" t="str">
        <f>IF(ISTEXT(VLOOKUP(CONCATENATE($A53,"_",AH$3),'Unit List'!$A$14:$H$2841,2,FALSE)),"X",$AG53)</f>
        <v/>
      </c>
      <c r="AI53" s="51" t="str">
        <f>IF(ISTEXT(VLOOKUP(CONCATENATE($A53,"_",AI$3),'Unit List'!$A$14:$H$2841,2,FALSE)),"X",$AG53)</f>
        <v/>
      </c>
      <c r="AJ53" s="53" t="str">
        <f>IF(ISTEXT(VLOOKUP(CONCATENATE($A53,"_",AJ$3),'Unit List'!$A$14:$H$2841,2,FALSE)),"X",$AG53)</f>
        <v/>
      </c>
      <c r="AK53" s="172" t="str">
        <f>IF(ISTEXT(VLOOKUP(CONCATENATE($A53,"_",AK$3),'Unit List'!$A$14:$H$2841,2,FALSE)),"+","")</f>
        <v/>
      </c>
      <c r="AL53" s="52" t="str">
        <f>IF(ISTEXT(VLOOKUP(CONCATENATE($A53,"_",AL$3),'Unit List'!$A$14:$H$2841,2,FALSE)),"X",$AK53)</f>
        <v/>
      </c>
      <c r="AM53" s="53" t="str">
        <f>IF(ISTEXT(VLOOKUP(CONCATENATE($A53,"_",AM$3),'Unit List'!$A$14:$H$2841,2,FALSE)),"X",$AK53)</f>
        <v/>
      </c>
      <c r="AN53" s="125" t="str">
        <f>IF(ISTEXT(VLOOKUP(CONCATENATE($A53,"_",AN$3),'Unit List'!$A$14:$H$2841,2,FALSE)),"+","")</f>
        <v/>
      </c>
      <c r="AO53" s="53" t="str">
        <f>IF(ISTEXT(VLOOKUP(CONCATENATE($A53,"_",AO$3),'Unit List'!$A$14:$H$2841,2,FALSE)),"X",$AN53)</f>
        <v/>
      </c>
      <c r="AP53" s="172" t="str">
        <f>IF(ISTEXT(VLOOKUP(CONCATENATE($A53,"_",AP$3),'Unit List'!$A$14:$H$2841,2,FALSE)),"+","")</f>
        <v/>
      </c>
      <c r="AQ53" s="51" t="str">
        <f>IF(ISTEXT(VLOOKUP(CONCATENATE($A53,"_",AQ$3),'Unit List'!$A$14:$H$2841,2,FALSE)),"X",$AP53)</f>
        <v/>
      </c>
      <c r="AR53" s="51" t="str">
        <f>IF(ISTEXT(VLOOKUP(CONCATENATE($A53,"_",AR$3),'Unit List'!$A$14:$H$2841,2,FALSE)),"X",$AP53)</f>
        <v/>
      </c>
      <c r="AS53" s="89" t="s">
        <v>0</v>
      </c>
      <c r="AT53" s="53" t="str">
        <f>IF(ISTEXT(VLOOKUP(CONCATENATE($A53,"_",AT$3),'Unit List'!$A$14:$H$2841,2,FALSE)),"X",$AP53)</f>
        <v/>
      </c>
      <c r="AU53" s="124" t="str">
        <f>IF(ISTEXT(VLOOKUP(CONCATENATE($A53,"_",AU$3),'Unit List'!$A$14:$H$2841,2,FALSE)),"+","")</f>
        <v/>
      </c>
      <c r="AV53" s="51" t="str">
        <f>IF(ISTEXT(VLOOKUP(CONCATENATE($A53,"_",AV$3),'Unit List'!$A$14:$H$2841,2,FALSE)),"X",$AU53)</f>
        <v/>
      </c>
      <c r="AW53" s="53" t="str">
        <f>IF(ISTEXT(VLOOKUP(CONCATENATE($A53,"_",AW$3),'Unit List'!$A$14:$H$2841,2,FALSE)),"X",$AU53)</f>
        <v/>
      </c>
      <c r="AX53" s="172" t="str">
        <f>IF(ISTEXT(VLOOKUP(CONCATENATE($A53,"_",AX$3),'Unit List'!$A$14:$H$2841,2,FALSE)),"+","")</f>
        <v/>
      </c>
      <c r="AY53" s="51" t="str">
        <f>IF(ISTEXT(VLOOKUP(CONCATENATE($A53,"_",AY$3),'Unit List'!$A$14:$H$2841,2,FALSE)),"X",$AX53)</f>
        <v/>
      </c>
      <c r="AZ53" s="53" t="str">
        <f>IF(ISTEXT(VLOOKUP(CONCATENATE($A53,"_",AZ$3),'Unit List'!$A$14:$H$2841,2,FALSE)),"X",$AX53)</f>
        <v/>
      </c>
      <c r="BA53" s="182" t="str">
        <f>IF(ISTEXT(VLOOKUP(CONCATENATE($A53,"_",BA$3),'Unit List'!$A$14:$H$2841,2,FALSE)),"+","")</f>
        <v/>
      </c>
      <c r="BB53" s="51" t="str">
        <f>IF(ISTEXT(VLOOKUP(CONCATENATE($A53,"_",BB$3),'Unit List'!$A$14:$H$2841,2,FALSE)),"X",$BA53)</f>
        <v/>
      </c>
      <c r="BC53" s="51" t="str">
        <f>IF(ISTEXT(VLOOKUP(CONCATENATE($A53,"_",BC$3),'Unit List'!$A$14:$H$2841,2,FALSE)),"X",$BA53)</f>
        <v/>
      </c>
      <c r="BD53" s="53" t="str">
        <f>IF(ISTEXT(VLOOKUP(CONCATENATE($A53,"_",BD$3),'Unit List'!$A$14:$H$2841,2,FALSE)),"X",$BA53)</f>
        <v/>
      </c>
      <c r="BE53" s="125" t="str">
        <f>IF(ISTEXT(VLOOKUP(CONCATENATE($A53,"_",BE$3),'Unit List'!$A$14:$H$2841,2,FALSE)),"+","")</f>
        <v/>
      </c>
      <c r="BF53" s="62" t="str">
        <f>IF(ISTEXT(VLOOKUP(CONCATENATE($A53,"_",BF$3),'Unit List'!$A$14:$H$2841,2,FALSE)),"X",$BE53)</f>
        <v/>
      </c>
      <c r="BG53" s="64"/>
      <c r="BH53" s="65" t="s">
        <v>0</v>
      </c>
      <c r="BI53" s="211"/>
      <c r="BJ53" s="212"/>
      <c r="BK53" s="212"/>
      <c r="BL53" s="212"/>
      <c r="BM53" s="213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List'!$A$14:$H$2841,2,FALSE)),"+","")</f>
        <v/>
      </c>
      <c r="C54" s="57" t="str">
        <f>IF(ISTEXT(VLOOKUP(CONCATENATE($A54,"_",C$3),'Unit List'!$A$14:$H$2841,2,FALSE)),"X",$B54)</f>
        <v/>
      </c>
      <c r="D54" s="51" t="str">
        <f>IF(ISTEXT(VLOOKUP(CONCATENATE($A54,"_",D$3),'Unit List'!$A$14:$H$2841,2,FALSE)),"X",$B54)</f>
        <v/>
      </c>
      <c r="E54" s="51" t="str">
        <f>IF(ISTEXT(VLOOKUP(CONCATENATE($A54,"_",E$3),'Unit List'!$A$14:$H$2841,2,FALSE)),"X",$B54)</f>
        <v/>
      </c>
      <c r="F54" s="51" t="str">
        <f>IF(ISTEXT(VLOOKUP(CONCATENATE($A54,"_",F$3),'Unit List'!$A$14:$H$2841,2,FALSE)),"X",$B54)</f>
        <v/>
      </c>
      <c r="G54" s="51" t="str">
        <f>IF(ISTEXT(VLOOKUP(CONCATENATE($A54,"_",G$3),'Unit List'!$A$14:$H$2841,2,FALSE)),"X",$B54)</f>
        <v/>
      </c>
      <c r="H54" s="51" t="str">
        <f>IF(ISTEXT(VLOOKUP(CONCATENATE($A54,"_",H$3),'Unit List'!$A$14:$H$2841,2,FALSE)),"X",$B54)</f>
        <v/>
      </c>
      <c r="I54" s="53" t="str">
        <f>IF(ISTEXT(VLOOKUP(CONCATENATE($A54,"_",I$3),'Unit List'!$A$14:$H$2841,2,FALSE)),"X",$B54)</f>
        <v/>
      </c>
      <c r="J54" s="172" t="str">
        <f>IF(ISTEXT(VLOOKUP(CONCATENATE($A54,"_",J$3),'Unit List'!$A$14:$H$2841,2,FALSE)),"+","")</f>
        <v>+</v>
      </c>
      <c r="K54" s="51" t="str">
        <f>IF(ISTEXT(VLOOKUP(CONCATENATE($A54,"_",K$3),'Unit List'!$A$14:$H$2841,2,FALSE)),"X",$J54)</f>
        <v>+</v>
      </c>
      <c r="L54" s="62" t="str">
        <f>IF(ISTEXT(VLOOKUP(CONCATENATE($A54,"_",L$3),'Unit List'!$A$14:$H$2841,2,FALSE)),"X",$J54)</f>
        <v>+</v>
      </c>
      <c r="M54" s="172" t="str">
        <f>IF(ISTEXT(VLOOKUP(CONCATENATE($A54,"_",M$3),'Unit List'!$A$14:$H$2841,2,FALSE)),"+","")</f>
        <v/>
      </c>
      <c r="N54" s="51" t="str">
        <f>IF(ISTEXT(VLOOKUP(CONCATENATE($A54,"_",N$3),'Unit List'!$A$14:$H$2841,2,FALSE)),"X",$M54)</f>
        <v/>
      </c>
      <c r="O54" s="53" t="str">
        <f>IF(ISTEXT(VLOOKUP(CONCATENATE($A54,"_",O$3),'Unit List'!$A$14:$H$2841,2,FALSE)),"X",$M54)</f>
        <v/>
      </c>
      <c r="P54" s="172" t="str">
        <f>IF(ISTEXT(VLOOKUP(CONCATENATE($A54,"_",P$3),'Unit List'!$A$14:$H$2841,2,FALSE)),"+","")</f>
        <v/>
      </c>
      <c r="Q54" s="51" t="str">
        <f>IF(ISTEXT(VLOOKUP(CONCATENATE($A54,"_",Q$3),'Unit List'!$A$14:$H$2841,2,FALSE)),"X",$P54)</f>
        <v/>
      </c>
      <c r="R54" s="89" t="s">
        <v>0</v>
      </c>
      <c r="S54" s="51" t="str">
        <f>IF(ISTEXT(VLOOKUP(CONCATENATE($A54,"_",S$3),'Unit List'!$A$14:$H$2841,2,FALSE)),"X",$P54)</f>
        <v/>
      </c>
      <c r="T54" s="52" t="str">
        <f>IF(ISTEXT(VLOOKUP(CONCATENATE($A54,"_",T$3),'Unit List'!$A$14:$H$2841,2,FALSE)),"X",$P54)</f>
        <v/>
      </c>
      <c r="U54" s="51" t="str">
        <f>IF(ISTEXT(VLOOKUP(CONCATENATE($A54,"_",U$3),'Unit List'!$A$14:$H$2841,2,FALSE)),"X",$P54)</f>
        <v/>
      </c>
      <c r="V54" s="51" t="str">
        <f>IF(ISTEXT(VLOOKUP(CONCATENATE($A54,"_",V$3),'Unit List'!$A$14:$H$2841,2,FALSE)),"X",$P54)</f>
        <v/>
      </c>
      <c r="W54" s="53" t="str">
        <f>IF(ISTEXT(VLOOKUP(CONCATENATE($A54,"_",W$3),'Unit List'!$A$14:$H$2841,2,FALSE)),"X",$P54)</f>
        <v/>
      </c>
      <c r="X54" s="172" t="str">
        <f>IF(ISTEXT(VLOOKUP(CONCATENATE($A54,"_",X$3),'Unit List'!$A$14:$H$2841,2,FALSE)),"+","")</f>
        <v/>
      </c>
      <c r="Y54" s="51" t="str">
        <f>IF(ISTEXT(VLOOKUP(CONCATENATE($A54,"_",Y$3),'Unit List'!$A$14:$H$2841,2,FALSE)),"X",$X54)</f>
        <v/>
      </c>
      <c r="Z54" s="51" t="str">
        <f>IF(ISTEXT(VLOOKUP(CONCATENATE($A54,"_",Z$3),'Unit List'!$A$14:$H$2841,2,FALSE)),"X",$X54)</f>
        <v/>
      </c>
      <c r="AA54" s="51" t="str">
        <f>IF(ISTEXT(VLOOKUP(CONCATENATE($A54,"_",AA$3),'Unit List'!$A$14:$H$2841,2,FALSE)),"X",$X54)</f>
        <v/>
      </c>
      <c r="AB54" s="51" t="str">
        <f>IF(ISTEXT(VLOOKUP(CONCATENATE($A54,"_",AB$3),'Unit List'!$A$14:$H$2841,2,FALSE)),"X",$X54)</f>
        <v/>
      </c>
      <c r="AC54" s="62" t="str">
        <f>IF(ISTEXT(VLOOKUP(CONCATENATE($A54,"_",AC$3),'Unit List'!$A$14:$H$2841,2,FALSE)),"X",$X54)</f>
        <v/>
      </c>
      <c r="AD54" s="172" t="str">
        <f>IF(ISTEXT(VLOOKUP(CONCATENATE($A54,"_",AD$3),'Unit List'!$A$14:$H$2841,2,FALSE)),"+","")</f>
        <v/>
      </c>
      <c r="AE54" s="89" t="s">
        <v>0</v>
      </c>
      <c r="AF54" s="51" t="str">
        <f>IF(ISTEXT(VLOOKUP(CONCATENATE($A54,"_",AF$3),'Unit List'!$A$14:$H$2841,2,FALSE)),"X",$AD54)</f>
        <v/>
      </c>
      <c r="AG54" s="172" t="str">
        <f>IF(ISTEXT(VLOOKUP(CONCATENATE($A54,"_",AG$3),'Unit List'!$A$14:$H$2841,2,FALSE)),"+","")</f>
        <v/>
      </c>
      <c r="AH54" s="51" t="str">
        <f>IF(ISTEXT(VLOOKUP(CONCATENATE($A54,"_",AH$3),'Unit List'!$A$14:$H$2841,2,FALSE)),"X",$AG54)</f>
        <v/>
      </c>
      <c r="AI54" s="51" t="str">
        <f>IF(ISTEXT(VLOOKUP(CONCATENATE($A54,"_",AI$3),'Unit List'!$A$14:$H$2841,2,FALSE)),"X",$AG54)</f>
        <v/>
      </c>
      <c r="AJ54" s="53" t="str">
        <f>IF(ISTEXT(VLOOKUP(CONCATENATE($A54,"_",AJ$3),'Unit List'!$A$14:$H$2841,2,FALSE)),"X",$AG54)</f>
        <v/>
      </c>
      <c r="AK54" s="172" t="str">
        <f>IF(ISTEXT(VLOOKUP(CONCATENATE($A54,"_",AK$3),'Unit List'!$A$14:$H$2841,2,FALSE)),"+","")</f>
        <v/>
      </c>
      <c r="AL54" s="52" t="str">
        <f>IF(ISTEXT(VLOOKUP(CONCATENATE($A54,"_",AL$3),'Unit List'!$A$14:$H$2841,2,FALSE)),"X",$AK54)</f>
        <v/>
      </c>
      <c r="AM54" s="53" t="str">
        <f>IF(ISTEXT(VLOOKUP(CONCATENATE($A54,"_",AM$3),'Unit List'!$A$14:$H$2841,2,FALSE)),"X",$AK54)</f>
        <v/>
      </c>
      <c r="AN54" s="125" t="str">
        <f>IF(ISTEXT(VLOOKUP(CONCATENATE($A54,"_",AN$3),'Unit List'!$A$14:$H$2841,2,FALSE)),"+","")</f>
        <v/>
      </c>
      <c r="AO54" s="53" t="str">
        <f>IF(ISTEXT(VLOOKUP(CONCATENATE($A54,"_",AO$3),'Unit List'!$A$14:$H$2841,2,FALSE)),"X",$AN54)</f>
        <v/>
      </c>
      <c r="AP54" s="172" t="str">
        <f>IF(ISTEXT(VLOOKUP(CONCATENATE($A54,"_",AP$3),'Unit List'!$A$14:$H$2841,2,FALSE)),"+","")</f>
        <v/>
      </c>
      <c r="AQ54" s="51" t="str">
        <f>IF(ISTEXT(VLOOKUP(CONCATENATE($A54,"_",AQ$3),'Unit List'!$A$14:$H$2841,2,FALSE)),"X",$AP54)</f>
        <v/>
      </c>
      <c r="AR54" s="51" t="str">
        <f>IF(ISTEXT(VLOOKUP(CONCATENATE($A54,"_",AR$3),'Unit List'!$A$14:$H$2841,2,FALSE)),"X",$AP54)</f>
        <v/>
      </c>
      <c r="AS54" s="51" t="str">
        <f>IF(ISTEXT(VLOOKUP(CONCATENATE($A54,"_",AS$3),'Unit List'!$A$14:$H$2841,2,FALSE)),"X",$AP54)</f>
        <v/>
      </c>
      <c r="AT54" s="53" t="str">
        <f>IF(ISTEXT(VLOOKUP(CONCATENATE($A54,"_",AT$3),'Unit List'!$A$14:$H$2841,2,FALSE)),"X",$AP54)</f>
        <v/>
      </c>
      <c r="AU54" s="124" t="str">
        <f>IF(ISTEXT(VLOOKUP(CONCATENATE($A54,"_",AU$3),'Unit List'!$A$14:$H$2841,2,FALSE)),"+","")</f>
        <v/>
      </c>
      <c r="AV54" s="51" t="str">
        <f>IF(ISTEXT(VLOOKUP(CONCATENATE($A54,"_",AV$3),'Unit List'!$A$14:$H$2841,2,FALSE)),"X",$AU54)</f>
        <v/>
      </c>
      <c r="AW54" s="53" t="str">
        <f>IF(ISTEXT(VLOOKUP(CONCATENATE($A54,"_",AW$3),'Unit List'!$A$14:$H$2841,2,FALSE)),"X",$AU54)</f>
        <v/>
      </c>
      <c r="AX54" s="172" t="str">
        <f>IF(ISTEXT(VLOOKUP(CONCATENATE($A54,"_",AX$3),'Unit List'!$A$14:$H$2841,2,FALSE)),"+","")</f>
        <v/>
      </c>
      <c r="AY54" s="51" t="str">
        <f>IF(ISTEXT(VLOOKUP(CONCATENATE($A54,"_",AY$3),'Unit List'!$A$14:$H$2841,2,FALSE)),"X",$AX54)</f>
        <v/>
      </c>
      <c r="AZ54" s="53" t="str">
        <f>IF(ISTEXT(VLOOKUP(CONCATENATE($A54,"_",AZ$3),'Unit List'!$A$14:$H$2841,2,FALSE)),"X",$AX54)</f>
        <v/>
      </c>
      <c r="BA54" s="182" t="str">
        <f>IF(ISTEXT(VLOOKUP(CONCATENATE($A54,"_",BA$3),'Unit List'!$A$14:$H$2841,2,FALSE)),"+","")</f>
        <v/>
      </c>
      <c r="BB54" s="51" t="str">
        <f>IF(ISTEXT(VLOOKUP(CONCATENATE($A54,"_",BB$3),'Unit List'!$A$14:$H$2841,2,FALSE)),"X",$BA54)</f>
        <v/>
      </c>
      <c r="BC54" s="51" t="str">
        <f>IF(ISTEXT(VLOOKUP(CONCATENATE($A54,"_",BC$3),'Unit List'!$A$14:$H$2841,2,FALSE)),"X",$BA54)</f>
        <v/>
      </c>
      <c r="BD54" s="53" t="str">
        <f>IF(ISTEXT(VLOOKUP(CONCATENATE($A54,"_",BD$3),'Unit List'!$A$14:$H$2841,2,FALSE)),"X",$BA54)</f>
        <v/>
      </c>
      <c r="BE54" s="125" t="str">
        <f>IF(ISTEXT(VLOOKUP(CONCATENATE($A54,"_",BE$3),'Unit List'!$A$14:$H$2841,2,FALSE)),"+","")</f>
        <v/>
      </c>
      <c r="BF54" s="62" t="str">
        <f>IF(ISTEXT(VLOOKUP(CONCATENATE($A54,"_",BF$3),'Unit List'!$A$14:$H$2841,2,FALSE)),"X",$BE54)</f>
        <v/>
      </c>
      <c r="BG54" s="75"/>
      <c r="BH54" s="84"/>
      <c r="BI54" s="211"/>
      <c r="BJ54" s="212"/>
      <c r="BK54" s="212"/>
      <c r="BL54" s="212"/>
      <c r="BM54" s="213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List'!$A$14:$H$2841,2,FALSE)),"+","")</f>
        <v/>
      </c>
      <c r="C55" s="57" t="str">
        <f>IF(ISTEXT(VLOOKUP(CONCATENATE($A55,"_",C$3),'Unit List'!$A$14:$H$2841,2,FALSE)),"X",$B55)</f>
        <v/>
      </c>
      <c r="D55" s="51" t="str">
        <f>IF(ISTEXT(VLOOKUP(CONCATENATE($A55,"_",D$3),'Unit List'!$A$14:$H$2841,2,FALSE)),"X",$B55)</f>
        <v>X</v>
      </c>
      <c r="E55" s="67" t="str">
        <f>IF(ISTEXT(VLOOKUP(CONCATENATE($A55,"_",E$3),'Unit List'!$A$14:$H$2841,2,FALSE)),"X",$B55)</f>
        <v>X</v>
      </c>
      <c r="F55" s="51" t="str">
        <f>IF(ISTEXT(VLOOKUP(CONCATENATE($A55,"_",F$3),'Unit List'!$A$14:$H$2841,2,FALSE)),"X",$B55)</f>
        <v>X</v>
      </c>
      <c r="G55" s="51" t="str">
        <f>IF(ISTEXT(VLOOKUP(CONCATENATE($A55,"_",G$3),'Unit List'!$A$14:$H$2841,2,FALSE)),"X",$B55)</f>
        <v>X</v>
      </c>
      <c r="H55" s="51" t="str">
        <f>IF(ISTEXT(VLOOKUP(CONCATENATE($A55,"_",H$3),'Unit List'!$A$14:$H$2841,2,FALSE)),"X",$B55)</f>
        <v>X</v>
      </c>
      <c r="I55" s="53" t="str">
        <f>IF(ISTEXT(VLOOKUP(CONCATENATE($A55,"_",I$3),'Unit List'!$A$14:$H$2841,2,FALSE)),"X",$B55)</f>
        <v>X</v>
      </c>
      <c r="J55" s="171" t="str">
        <f>IF(ISTEXT(VLOOKUP(CONCATENATE($A55,"_",J$3),'Unit List'!$A$14:$H$2841,2,FALSE)),"+","")</f>
        <v>+</v>
      </c>
      <c r="K55" s="51" t="str">
        <f>IF(ISTEXT(VLOOKUP(CONCATENATE($A55,"_",K$3),'Unit List'!$A$14:$H$2841,2,FALSE)),"X",$J55)</f>
        <v>+</v>
      </c>
      <c r="L55" s="62" t="str">
        <f>IF(ISTEXT(VLOOKUP(CONCATENATE($A55,"_",L$3),'Unit List'!$A$14:$H$2841,2,FALSE)),"X",$J55)</f>
        <v>X</v>
      </c>
      <c r="M55" s="171" t="str">
        <f>IF(ISTEXT(VLOOKUP(CONCATENATE($A55,"_",M$3),'Unit List'!$A$14:$H$2841,2,FALSE)),"+","")</f>
        <v>+</v>
      </c>
      <c r="N55" s="51" t="str">
        <f>IF(ISTEXT(VLOOKUP(CONCATENATE($A55,"_",N$3),'Unit List'!$A$14:$H$2841,2,FALSE)),"X",$M55)</f>
        <v>+</v>
      </c>
      <c r="O55" s="53" t="str">
        <f>IF(ISTEXT(VLOOKUP(CONCATENATE($A55,"_",O$3),'Unit List'!$A$14:$H$2841,2,FALSE)),"X",$M55)</f>
        <v>X</v>
      </c>
      <c r="P55" s="171" t="str">
        <f>IF(ISTEXT(VLOOKUP(CONCATENATE($A55,"_",P$3),'Unit List'!$A$14:$H$2841,2,FALSE)),"+","")</f>
        <v/>
      </c>
      <c r="Q55" s="51" t="str">
        <f>IF(ISTEXT(VLOOKUP(CONCATENATE($A55,"_",Q$3),'Unit List'!$A$14:$H$2841,2,FALSE)),"X",$P55)</f>
        <v/>
      </c>
      <c r="R55" s="51" t="str">
        <f>IF(ISTEXT(VLOOKUP(CONCATENATE($A55,"_",R$3),'Unit List'!$A$14:$H$2841,2,FALSE)),"X",$P55)</f>
        <v>X</v>
      </c>
      <c r="S55" s="51" t="str">
        <f>IF(ISTEXT(VLOOKUP(CONCATENATE($A55,"_",S$3),'Unit List'!$A$14:$H$2841,2,FALSE)),"X",$P55)</f>
        <v>X</v>
      </c>
      <c r="T55" s="52" t="str">
        <f>IF(ISTEXT(VLOOKUP(CONCATENATE($A55,"_",T$3),'Unit List'!$A$14:$H$2841,2,FALSE)),"X",$P55)</f>
        <v>X</v>
      </c>
      <c r="U55" s="51" t="str">
        <f>IF(ISTEXT(VLOOKUP(CONCATENATE($A55,"_",U$3),'Unit List'!$A$14:$H$2841,2,FALSE)),"X",$P55)</f>
        <v>X</v>
      </c>
      <c r="V55" s="51" t="str">
        <f>IF(ISTEXT(VLOOKUP(CONCATENATE($A55,"_",V$3),'Unit List'!$A$14:$H$2841,2,FALSE)),"X",$P55)</f>
        <v>X</v>
      </c>
      <c r="W55" s="53" t="str">
        <f>IF(ISTEXT(VLOOKUP(CONCATENATE($A55,"_",W$3),'Unit List'!$A$14:$H$2841,2,FALSE)),"X",$P55)</f>
        <v/>
      </c>
      <c r="X55" s="172" t="str">
        <f>IF(ISTEXT(VLOOKUP(CONCATENATE($A55,"_",X$3),'Unit List'!$A$14:$H$2841,2,FALSE)),"+","")</f>
        <v>+</v>
      </c>
      <c r="Y55" s="51" t="str">
        <f>IF(ISTEXT(VLOOKUP(CONCATENATE($A55,"_",Y$3),'Unit List'!$A$14:$H$2841,2,FALSE)),"X",$X55)</f>
        <v>+</v>
      </c>
      <c r="Z55" s="51" t="str">
        <f>IF(ISTEXT(VLOOKUP(CONCATENATE($A55,"_",Z$3),'Unit List'!$A$14:$H$2841,2,FALSE)),"X",$X55)</f>
        <v>+</v>
      </c>
      <c r="AA55" s="51" t="str">
        <f>IF(ISTEXT(VLOOKUP(CONCATENATE($A55,"_",AA$3),'Unit List'!$A$14:$H$2841,2,FALSE)),"X",$X55)</f>
        <v>X</v>
      </c>
      <c r="AB55" s="51" t="str">
        <f>IF(ISTEXT(VLOOKUP(CONCATENATE($A55,"_",AB$3),'Unit List'!$A$14:$H$2841,2,FALSE)),"X",$X55)</f>
        <v>X</v>
      </c>
      <c r="AC55" s="62" t="str">
        <f>IF(ISTEXT(VLOOKUP(CONCATENATE($A55,"_",AC$3),'Unit List'!$A$14:$H$2841,2,FALSE)),"X",$X55)</f>
        <v>X</v>
      </c>
      <c r="AD55" s="171" t="str">
        <f>IF(ISTEXT(VLOOKUP(CONCATENATE($A55,"_",AD$3),'Unit List'!$A$14:$H$2841,2,FALSE)),"+","")</f>
        <v>+</v>
      </c>
      <c r="AE55" s="51" t="str">
        <f>IF(ISTEXT(VLOOKUP(CONCATENATE($A55,"_",AE$3),'Unit List'!$A$14:$H$2841,2,FALSE)),"X",$AD55)</f>
        <v>X</v>
      </c>
      <c r="AF55" s="51" t="str">
        <f>IF(ISTEXT(VLOOKUP(CONCATENATE($A55,"_",AF$3),'Unit List'!$A$14:$H$2841,2,FALSE)),"X",$AD55)</f>
        <v>+</v>
      </c>
      <c r="AG55" s="171" t="str">
        <f>IF(ISTEXT(VLOOKUP(CONCATENATE($A55,"_",AG$3),'Unit List'!$A$14:$H$2841,2,FALSE)),"+","")</f>
        <v>+</v>
      </c>
      <c r="AH55" s="67" t="str">
        <f>IF(ISTEXT(VLOOKUP(CONCATENATE($A55,"_",AH$3),'Unit List'!$A$14:$H$2841,2,FALSE)),"X",$AG55)</f>
        <v>X</v>
      </c>
      <c r="AI55" s="67" t="str">
        <f>IF(ISTEXT(VLOOKUP(CONCATENATE($A55,"_",AI$3),'Unit List'!$A$14:$H$2841,2,FALSE)),"X",$AG55)</f>
        <v>+</v>
      </c>
      <c r="AJ55" s="70" t="str">
        <f>IF(ISTEXT(VLOOKUP(CONCATENATE($A55,"_",AJ$3),'Unit List'!$A$14:$H$2841,2,FALSE)),"X",$AG55)</f>
        <v>+</v>
      </c>
      <c r="AK55" s="172" t="str">
        <f>IF(ISTEXT(VLOOKUP(CONCATENATE($A55,"_",AK$3),'Unit List'!$A$14:$H$2841,2,FALSE)),"+","")</f>
        <v/>
      </c>
      <c r="AL55" s="52" t="str">
        <f>IF(ISTEXT(VLOOKUP(CONCATENATE($A55,"_",AL$3),'Unit List'!$A$14:$H$2841,2,FALSE)),"X",$AK55)</f>
        <v/>
      </c>
      <c r="AM55" s="53" t="str">
        <f>IF(ISTEXT(VLOOKUP(CONCATENATE($A55,"_",AM$3),'Unit List'!$A$14:$H$2841,2,FALSE)),"X",$AK55)</f>
        <v/>
      </c>
      <c r="AN55" s="125" t="str">
        <f>IF(ISTEXT(VLOOKUP(CONCATENATE($A55,"_",AN$3),'Unit List'!$A$14:$H$2841,2,FALSE)),"+","")</f>
        <v/>
      </c>
      <c r="AO55" s="53" t="str">
        <f>IF(ISTEXT(VLOOKUP(CONCATENATE($A55,"_",AO$3),'Unit List'!$A$14:$H$2841,2,FALSE)),"X",$AN55)</f>
        <v/>
      </c>
      <c r="AP55" s="172" t="str">
        <f>IF(ISTEXT(VLOOKUP(CONCATENATE($A55,"_",AP$3),'Unit List'!$A$14:$H$2841,2,FALSE)),"+","")</f>
        <v/>
      </c>
      <c r="AQ55" s="51" t="str">
        <f>IF(ISTEXT(VLOOKUP(CONCATENATE($A55,"_",AQ$3),'Unit List'!$A$14:$H$2841,2,FALSE)),"X",$AP55)</f>
        <v/>
      </c>
      <c r="AR55" s="51" t="str">
        <f>IF(ISTEXT(VLOOKUP(CONCATENATE($A55,"_",AR$3),'Unit List'!$A$14:$H$2841,2,FALSE)),"X",$AP55)</f>
        <v/>
      </c>
      <c r="AS55" s="51" t="str">
        <f>IF(ISTEXT(VLOOKUP(CONCATENATE($A55,"_",AS$3),'Unit List'!$A$14:$H$2841,2,FALSE)),"X",$AP55)</f>
        <v/>
      </c>
      <c r="AT55" s="53" t="str">
        <f>IF(ISTEXT(VLOOKUP(CONCATENATE($A55,"_",AT$3),'Unit List'!$A$14:$H$2841,2,FALSE)),"X",$AP55)</f>
        <v/>
      </c>
      <c r="AU55" s="124" t="str">
        <f>IF(ISTEXT(VLOOKUP(CONCATENATE($A55,"_",AU$3),'Unit List'!$A$14:$H$2841,2,FALSE)),"+","")</f>
        <v/>
      </c>
      <c r="AV55" s="51" t="str">
        <f>IF(ISTEXT(VLOOKUP(CONCATENATE($A55,"_",AV$3),'Unit List'!$A$14:$H$2841,2,FALSE)),"X",$AU55)</f>
        <v/>
      </c>
      <c r="AW55" s="53" t="str">
        <f>IF(ISTEXT(VLOOKUP(CONCATENATE($A55,"_",AW$3),'Unit List'!$A$14:$H$2841,2,FALSE)),"X",$AU55)</f>
        <v/>
      </c>
      <c r="AX55" s="171" t="str">
        <f>IF(ISTEXT(VLOOKUP(CONCATENATE($A55,"_",AX$3),'Unit List'!$A$14:$H$2841,2,FALSE)),"+","")</f>
        <v>+</v>
      </c>
      <c r="AY55" s="67" t="str">
        <f>IF(ISTEXT(VLOOKUP(CONCATENATE($A55,"_",AY$3),'Unit List'!$A$14:$H$2841,2,FALSE)),"X",$AX55)</f>
        <v>+</v>
      </c>
      <c r="AZ55" s="70" t="str">
        <f>IF(ISTEXT(VLOOKUP(CONCATENATE($A55,"_",AZ$3),'Unit List'!$A$14:$H$2841,2,FALSE)),"X",$AX55)</f>
        <v>+</v>
      </c>
      <c r="BA55" s="171" t="str">
        <f>IF(ISTEXT(VLOOKUP(CONCATENATE($A55,"_",BA$3),'Unit List'!$A$14:$H$2841,2,FALSE)),"+","")</f>
        <v>+</v>
      </c>
      <c r="BB55" s="89" t="s">
        <v>0</v>
      </c>
      <c r="BC55" s="51" t="str">
        <f>IF(ISTEXT(VLOOKUP(CONCATENATE($A55,"_",BC$3),'Unit List'!$A$14:$H$2841,2,FALSE)),"X",$BA55)</f>
        <v>X</v>
      </c>
      <c r="BD55" s="70" t="str">
        <f>IF(ISTEXT(VLOOKUP(CONCATENATE($A55,"_",BD$3),'Unit List'!$A$14:$H$2841,2,FALSE)),"X",$BA55)</f>
        <v>X</v>
      </c>
      <c r="BE55" s="125" t="str">
        <f>IF(ISTEXT(VLOOKUP(CONCATENATE($A55,"_",BE$3),'Unit List'!$A$14:$H$2841,2,FALSE)),"+","")</f>
        <v>+</v>
      </c>
      <c r="BF55" s="101" t="s">
        <v>0</v>
      </c>
      <c r="BG55" s="75"/>
      <c r="BH55" s="76" t="s">
        <v>0</v>
      </c>
      <c r="BI55" s="211" t="s">
        <v>1919</v>
      </c>
      <c r="BJ55" s="212"/>
      <c r="BK55" s="212"/>
      <c r="BL55" s="212"/>
      <c r="BM55" s="213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List'!$A$14:$H$2841,2,FALSE)),"+","")</f>
        <v/>
      </c>
      <c r="C56" s="57" t="str">
        <f>IF(ISTEXT(VLOOKUP(CONCATENATE($A56,"_",C$3),'Unit List'!$A$14:$H$2841,2,FALSE)),"X",$B56)</f>
        <v/>
      </c>
      <c r="D56" s="51" t="str">
        <f>IF(ISTEXT(VLOOKUP(CONCATENATE($A56,"_",D$3),'Unit List'!$A$14:$H$2841,2,FALSE)),"X",$B56)</f>
        <v/>
      </c>
      <c r="E56" s="51" t="str">
        <f>IF(ISTEXT(VLOOKUP(CONCATENATE($A56,"_",E$3),'Unit List'!$A$14:$H$2841,2,FALSE)),"X",$B56)</f>
        <v>X</v>
      </c>
      <c r="F56" s="51" t="str">
        <f>IF(ISTEXT(VLOOKUP(CONCATENATE($A56,"_",F$3),'Unit List'!$A$14:$H$2841,2,FALSE)),"X",$B56)</f>
        <v>X</v>
      </c>
      <c r="G56" s="51" t="str">
        <f>IF(ISTEXT(VLOOKUP(CONCATENATE($A56,"_",G$3),'Unit List'!$A$14:$H$2841,2,FALSE)),"X",$B56)</f>
        <v/>
      </c>
      <c r="H56" s="51" t="str">
        <f>IF(ISTEXT(VLOOKUP(CONCATENATE($A56,"_",H$3),'Unit List'!$A$14:$H$2841,2,FALSE)),"X",$B56)</f>
        <v/>
      </c>
      <c r="I56" s="53" t="str">
        <f>IF(ISTEXT(VLOOKUP(CONCATENATE($A56,"_",I$3),'Unit List'!$A$14:$H$2841,2,FALSE)),"X",$B56)</f>
        <v/>
      </c>
      <c r="J56" s="172" t="str">
        <f>IF(ISTEXT(VLOOKUP(CONCATENATE($A56,"_",J$3),'Unit List'!$A$14:$H$2841,2,FALSE)),"+","")</f>
        <v/>
      </c>
      <c r="K56" s="51" t="str">
        <f>IF(ISTEXT(VLOOKUP(CONCATENATE($A56,"_",K$3),'Unit List'!$A$14:$H$2841,2,FALSE)),"X",$J56)</f>
        <v/>
      </c>
      <c r="L56" s="62" t="str">
        <f>IF(ISTEXT(VLOOKUP(CONCATENATE($A56,"_",L$3),'Unit List'!$A$14:$H$2841,2,FALSE)),"X",$J56)</f>
        <v/>
      </c>
      <c r="M56" s="172" t="str">
        <f>IF(ISTEXT(VLOOKUP(CONCATENATE($A56,"_",M$3),'Unit List'!$A$14:$H$2841,2,FALSE)),"+","")</f>
        <v/>
      </c>
      <c r="N56" s="51" t="str">
        <f>IF(ISTEXT(VLOOKUP(CONCATENATE($A56,"_",N$3),'Unit List'!$A$14:$H$2841,2,FALSE)),"X",$M56)</f>
        <v/>
      </c>
      <c r="O56" s="53" t="str">
        <f>IF(ISTEXT(VLOOKUP(CONCATENATE($A56,"_",O$3),'Unit List'!$A$14:$H$2841,2,FALSE)),"X",$M56)</f>
        <v/>
      </c>
      <c r="P56" s="172" t="str">
        <f>IF(ISTEXT(VLOOKUP(CONCATENATE($A56,"_",P$3),'Unit List'!$A$14:$H$2841,2,FALSE)),"+","")</f>
        <v/>
      </c>
      <c r="Q56" s="51" t="str">
        <f>IF(ISTEXT(VLOOKUP(CONCATENATE($A56,"_",Q$3),'Unit List'!$A$14:$H$2841,2,FALSE)),"X",$P56)</f>
        <v/>
      </c>
      <c r="R56" s="51" t="str">
        <f>IF(ISTEXT(VLOOKUP(CONCATENATE($A56,"_",R$3),'Unit List'!$A$14:$H$2841,2,FALSE)),"X",$P56)</f>
        <v/>
      </c>
      <c r="S56" s="51" t="str">
        <f>IF(ISTEXT(VLOOKUP(CONCATENATE($A56,"_",S$3),'Unit List'!$A$14:$H$2841,2,FALSE)),"X",$P56)</f>
        <v/>
      </c>
      <c r="T56" s="52" t="str">
        <f>IF(ISTEXT(VLOOKUP(CONCATENATE($A56,"_",T$3),'Unit List'!$A$14:$H$2841,2,FALSE)),"X",$P56)</f>
        <v/>
      </c>
      <c r="U56" s="51" t="str">
        <f>IF(ISTEXT(VLOOKUP(CONCATENATE($A56,"_",U$3),'Unit List'!$A$14:$H$2841,2,FALSE)),"X",$P56)</f>
        <v/>
      </c>
      <c r="V56" s="51" t="str">
        <f>IF(ISTEXT(VLOOKUP(CONCATENATE($A56,"_",V$3),'Unit List'!$A$14:$H$2841,2,FALSE)),"X",$P56)</f>
        <v/>
      </c>
      <c r="W56" s="53" t="str">
        <f>IF(ISTEXT(VLOOKUP(CONCATENATE($A56,"_",W$3),'Unit List'!$A$14:$H$2841,2,FALSE)),"X",$P56)</f>
        <v/>
      </c>
      <c r="X56" s="172" t="str">
        <f>IF(ISTEXT(VLOOKUP(CONCATENATE($A56,"_",X$3),'Unit List'!$A$14:$H$2841,2,FALSE)),"+","")</f>
        <v/>
      </c>
      <c r="Y56" s="51" t="str">
        <f>IF(ISTEXT(VLOOKUP(CONCATENATE($A56,"_",Y$3),'Unit List'!$A$14:$H$2841,2,FALSE)),"X",$X56)</f>
        <v/>
      </c>
      <c r="Z56" s="51" t="str">
        <f>IF(ISTEXT(VLOOKUP(CONCATENATE($A56,"_",Z$3),'Unit List'!$A$14:$H$2841,2,FALSE)),"X",$X56)</f>
        <v/>
      </c>
      <c r="AA56" s="51" t="str">
        <f>IF(ISTEXT(VLOOKUP(CONCATENATE($A56,"_",AA$3),'Unit List'!$A$14:$H$2841,2,FALSE)),"X",$X56)</f>
        <v/>
      </c>
      <c r="AB56" s="51" t="str">
        <f>IF(ISTEXT(VLOOKUP(CONCATENATE($A56,"_",AB$3),'Unit List'!$A$14:$H$2841,2,FALSE)),"X",$X56)</f>
        <v/>
      </c>
      <c r="AC56" s="62" t="str">
        <f>IF(ISTEXT(VLOOKUP(CONCATENATE($A56,"_",AC$3),'Unit List'!$A$14:$H$2841,2,FALSE)),"X",$X56)</f>
        <v/>
      </c>
      <c r="AD56" s="172" t="str">
        <f>IF(ISTEXT(VLOOKUP(CONCATENATE($A56,"_",AD$3),'Unit List'!$A$14:$H$2841,2,FALSE)),"+","")</f>
        <v/>
      </c>
      <c r="AE56" s="51" t="str">
        <f>IF(ISTEXT(VLOOKUP(CONCATENATE($A56,"_",AE$3),'Unit List'!$A$14:$H$2841,2,FALSE)),"X",$AD56)</f>
        <v/>
      </c>
      <c r="AF56" s="51" t="str">
        <f>IF(ISTEXT(VLOOKUP(CONCATENATE($A56,"_",AF$3),'Unit List'!$A$14:$H$2841,2,FALSE)),"X",$AD56)</f>
        <v/>
      </c>
      <c r="AG56" s="172" t="str">
        <f>IF(ISTEXT(VLOOKUP(CONCATENATE($A56,"_",AG$3),'Unit List'!$A$14:$H$2841,2,FALSE)),"+","")</f>
        <v/>
      </c>
      <c r="AH56" s="51" t="str">
        <f>IF(ISTEXT(VLOOKUP(CONCATENATE($A56,"_",AH$3),'Unit List'!$A$14:$H$2841,2,FALSE)),"X",$AG56)</f>
        <v/>
      </c>
      <c r="AI56" s="51" t="str">
        <f>IF(ISTEXT(VLOOKUP(CONCATENATE($A56,"_",AI$3),'Unit List'!$A$14:$H$2841,2,FALSE)),"X",$AG56)</f>
        <v/>
      </c>
      <c r="AJ56" s="53" t="str">
        <f>IF(ISTEXT(VLOOKUP(CONCATENATE($A56,"_",AJ$3),'Unit List'!$A$14:$H$2841,2,FALSE)),"X",$AG56)</f>
        <v/>
      </c>
      <c r="AK56" s="172" t="str">
        <f>IF(ISTEXT(VLOOKUP(CONCATENATE($A56,"_",AK$3),'Unit List'!$A$14:$H$2841,2,FALSE)),"+","")</f>
        <v/>
      </c>
      <c r="AL56" s="52" t="str">
        <f>IF(ISTEXT(VLOOKUP(CONCATENATE($A56,"_",AL$3),'Unit List'!$A$14:$H$2841,2,FALSE)),"X",$AK56)</f>
        <v/>
      </c>
      <c r="AM56" s="53" t="str">
        <f>IF(ISTEXT(VLOOKUP(CONCATENATE($A56,"_",AM$3),'Unit List'!$A$14:$H$2841,2,FALSE)),"X",$AK56)</f>
        <v/>
      </c>
      <c r="AN56" s="125" t="str">
        <f>IF(ISTEXT(VLOOKUP(CONCATENATE($A56,"_",AN$3),'Unit List'!$A$14:$H$2841,2,FALSE)),"+","")</f>
        <v/>
      </c>
      <c r="AO56" s="53" t="str">
        <f>IF(ISTEXT(VLOOKUP(CONCATENATE($A56,"_",AO$3),'Unit List'!$A$14:$H$2841,2,FALSE)),"X",$AN56)</f>
        <v/>
      </c>
      <c r="AP56" s="172" t="str">
        <f>IF(ISTEXT(VLOOKUP(CONCATENATE($A56,"_",AP$3),'Unit List'!$A$14:$H$2841,2,FALSE)),"+","")</f>
        <v/>
      </c>
      <c r="AQ56" s="51" t="str">
        <f>IF(ISTEXT(VLOOKUP(CONCATENATE($A56,"_",AQ$3),'Unit List'!$A$14:$H$2841,2,FALSE)),"X",$AP56)</f>
        <v/>
      </c>
      <c r="AR56" s="51" t="str">
        <f>IF(ISTEXT(VLOOKUP(CONCATENATE($A56,"_",AR$3),'Unit List'!$A$14:$H$2841,2,FALSE)),"X",$AP56)</f>
        <v/>
      </c>
      <c r="AS56" s="51" t="str">
        <f>IF(ISTEXT(VLOOKUP(CONCATENATE($A56,"_",AS$3),'Unit List'!$A$14:$H$2841,2,FALSE)),"X",$AP56)</f>
        <v/>
      </c>
      <c r="AT56" s="53" t="str">
        <f>IF(ISTEXT(VLOOKUP(CONCATENATE($A56,"_",AT$3),'Unit List'!$A$14:$H$2841,2,FALSE)),"X",$AP56)</f>
        <v/>
      </c>
      <c r="AU56" s="124" t="str">
        <f>IF(ISTEXT(VLOOKUP(CONCATENATE($A56,"_",AU$3),'Unit List'!$A$14:$H$2841,2,FALSE)),"+","")</f>
        <v/>
      </c>
      <c r="AV56" s="51" t="str">
        <f>IF(ISTEXT(VLOOKUP(CONCATENATE($A56,"_",AV$3),'Unit List'!$A$14:$H$2841,2,FALSE)),"X",$AU56)</f>
        <v/>
      </c>
      <c r="AW56" s="53" t="str">
        <f>IF(ISTEXT(VLOOKUP(CONCATENATE($A56,"_",AW$3),'Unit List'!$A$14:$H$2841,2,FALSE)),"X",$AU56)</f>
        <v/>
      </c>
      <c r="AX56" s="172" t="str">
        <f>IF(ISTEXT(VLOOKUP(CONCATENATE($A56,"_",AX$3),'Unit List'!$A$14:$H$2841,2,FALSE)),"+","")</f>
        <v/>
      </c>
      <c r="AY56" s="51" t="str">
        <f>IF(ISTEXT(VLOOKUP(CONCATENATE($A56,"_",AY$3),'Unit List'!$A$14:$H$2841,2,FALSE)),"X",$AX56)</f>
        <v/>
      </c>
      <c r="AZ56" s="53" t="str">
        <f>IF(ISTEXT(VLOOKUP(CONCATENATE($A56,"_",AZ$3),'Unit List'!$A$14:$H$2841,2,FALSE)),"X",$AX56)</f>
        <v/>
      </c>
      <c r="BA56" s="182" t="str">
        <f>IF(ISTEXT(VLOOKUP(CONCATENATE($A56,"_",BA$3),'Unit List'!$A$14:$H$2841,2,FALSE)),"+","")</f>
        <v/>
      </c>
      <c r="BB56" s="51" t="str">
        <f>IF(ISTEXT(VLOOKUP(CONCATENATE($A56,"_",BB$3),'Unit List'!$A$14:$H$2841,2,FALSE)),"X",$BA56)</f>
        <v/>
      </c>
      <c r="BC56" s="51" t="str">
        <f>IF(ISTEXT(VLOOKUP(CONCATENATE($A56,"_",BC$3),'Unit List'!$A$14:$H$2841,2,FALSE)),"X",$BA56)</f>
        <v/>
      </c>
      <c r="BD56" s="53" t="str">
        <f>IF(ISTEXT(VLOOKUP(CONCATENATE($A56,"_",BD$3),'Unit List'!$A$14:$H$2841,2,FALSE)),"X",$BA56)</f>
        <v/>
      </c>
      <c r="BE56" s="125" t="str">
        <f>IF(ISTEXT(VLOOKUP(CONCATENATE($A56,"_",BE$3),'Unit List'!$A$14:$H$2841,2,FALSE)),"+","")</f>
        <v/>
      </c>
      <c r="BF56" s="62" t="str">
        <f>IF(ISTEXT(VLOOKUP(CONCATENATE($A56,"_",BF$3),'Unit List'!$A$14:$H$2841,2,FALSE)),"X",$BE56)</f>
        <v/>
      </c>
      <c r="BG56" s="75"/>
      <c r="BH56" s="84"/>
      <c r="BI56" s="211"/>
      <c r="BJ56" s="212"/>
      <c r="BK56" s="212"/>
      <c r="BL56" s="212"/>
      <c r="BM56" s="213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List'!$A$14:$H$2841,2,FALSE)),"+","")</f>
        <v/>
      </c>
      <c r="C57" s="82" t="str">
        <f>IF(ISTEXT(VLOOKUP(CONCATENATE($A57,"_",C$3),'Unit List'!$A$14:$H$2841,2,FALSE)),"X",$B57)</f>
        <v>X</v>
      </c>
      <c r="D57" s="67" t="str">
        <f>IF(ISTEXT(VLOOKUP(CONCATENATE($A57,"_",D$3),'Unit List'!$A$14:$H$2841,2,FALSE)),"X",$B57)</f>
        <v>X</v>
      </c>
      <c r="E57" s="51" t="str">
        <f>IF(ISTEXT(VLOOKUP(CONCATENATE($A57,"_",E$3),'Unit List'!$A$14:$H$2841,2,FALSE)),"X",$B57)</f>
        <v>X</v>
      </c>
      <c r="F57" s="67" t="str">
        <f>IF(ISTEXT(VLOOKUP(CONCATENATE($A57,"_",F$3),'Unit List'!$A$14:$H$2841,2,FALSE)),"X",$B57)</f>
        <v>X</v>
      </c>
      <c r="G57" s="67" t="str">
        <f>IF(ISTEXT(VLOOKUP(CONCATENATE($A57,"_",G$3),'Unit List'!$A$14:$H$2841,2,FALSE)),"X",$B57)</f>
        <v>X</v>
      </c>
      <c r="H57" s="67" t="str">
        <f>IF(ISTEXT(VLOOKUP(CONCATENATE($A57,"_",H$3),'Unit List'!$A$14:$H$2841,2,FALSE)),"X",$B57)</f>
        <v>X</v>
      </c>
      <c r="I57" s="53" t="str">
        <f>IF(ISTEXT(VLOOKUP(CONCATENATE($A57,"_",I$3),'Unit List'!$A$14:$H$2841,2,FALSE)),"X",$B57)</f>
        <v/>
      </c>
      <c r="J57" s="172" t="str">
        <f>IF(ISTEXT(VLOOKUP(CONCATENATE($A57,"_",J$3),'Unit List'!$A$14:$H$2841,2,FALSE)),"+","")</f>
        <v/>
      </c>
      <c r="K57" s="51" t="str">
        <f>IF(ISTEXT(VLOOKUP(CONCATENATE($A57,"_",K$3),'Unit List'!$A$14:$H$2841,2,FALSE)),"X",$J57)</f>
        <v/>
      </c>
      <c r="L57" s="62" t="str">
        <f>IF(ISTEXT(VLOOKUP(CONCATENATE($A57,"_",L$3),'Unit List'!$A$14:$H$2841,2,FALSE)),"X",$J57)</f>
        <v/>
      </c>
      <c r="M57" s="172" t="str">
        <f>IF(ISTEXT(VLOOKUP(CONCATENATE($A57,"_",M$3),'Unit List'!$A$14:$H$2841,2,FALSE)),"+","")</f>
        <v>+</v>
      </c>
      <c r="N57" s="67" t="str">
        <f>IF(ISTEXT(VLOOKUP(CONCATENATE($A57,"_",N$3),'Unit List'!$A$14:$H$2841,2,FALSE)),"X",$M57)</f>
        <v>+</v>
      </c>
      <c r="O57" s="70" t="str">
        <f>IF(ISTEXT(VLOOKUP(CONCATENATE($A57,"_",O$3),'Unit List'!$A$14:$H$2841,2,FALSE)),"X",$M57)</f>
        <v>X</v>
      </c>
      <c r="P57" s="172" t="str">
        <f>IF(ISTEXT(VLOOKUP(CONCATENATE($A57,"_",P$3),'Unit List'!$A$14:$H$2841,2,FALSE)),"+","")</f>
        <v>+</v>
      </c>
      <c r="Q57" s="51" t="str">
        <f>IF(ISTEXT(VLOOKUP(CONCATENATE($A57,"_",Q$3),'Unit List'!$A$14:$H$2841,2,FALSE)),"X",$P57)</f>
        <v>+</v>
      </c>
      <c r="R57" s="51" t="str">
        <f>IF(ISTEXT(VLOOKUP(CONCATENATE($A57,"_",R$3),'Unit List'!$A$14:$H$2841,2,FALSE)),"X",$P57)</f>
        <v>+</v>
      </c>
      <c r="S57" s="51" t="str">
        <f>IF(ISTEXT(VLOOKUP(CONCATENATE($A57,"_",S$3),'Unit List'!$A$14:$H$2841,2,FALSE)),"X",$P57)</f>
        <v>+</v>
      </c>
      <c r="T57" s="52" t="str">
        <f>IF(ISTEXT(VLOOKUP(CONCATENATE($A57,"_",T$3),'Unit List'!$A$14:$H$2841,2,FALSE)),"X",$P57)</f>
        <v>+</v>
      </c>
      <c r="U57" s="67" t="str">
        <f>IF(ISTEXT(VLOOKUP(CONCATENATE($A57,"_",U$3),'Unit List'!$A$14:$H$2841,2,FALSE)),"X",$P57)</f>
        <v>X</v>
      </c>
      <c r="V57" s="51" t="str">
        <f>IF(ISTEXT(VLOOKUP(CONCATENATE($A57,"_",V$3),'Unit List'!$A$14:$H$2841,2,FALSE)),"X",$P57)</f>
        <v>+</v>
      </c>
      <c r="W57" s="53" t="str">
        <f>IF(ISTEXT(VLOOKUP(CONCATENATE($A57,"_",W$3),'Unit List'!$A$14:$H$2841,2,FALSE)),"X",$P57)</f>
        <v>+</v>
      </c>
      <c r="X57" s="172" t="str">
        <f>IF(ISTEXT(VLOOKUP(CONCATENATE($A57,"_",X$3),'Unit List'!$A$14:$H$2841,2,FALSE)),"+","")</f>
        <v/>
      </c>
      <c r="Y57" s="51" t="str">
        <f>IF(ISTEXT(VLOOKUP(CONCATENATE($A57,"_",Y$3),'Unit List'!$A$14:$H$2841,2,FALSE)),"X",$X57)</f>
        <v/>
      </c>
      <c r="Z57" s="51" t="str">
        <f>IF(ISTEXT(VLOOKUP(CONCATENATE($A57,"_",Z$3),'Unit List'!$A$14:$H$2841,2,FALSE)),"X",$X57)</f>
        <v/>
      </c>
      <c r="AA57" s="51" t="str">
        <f>IF(ISTEXT(VLOOKUP(CONCATENATE($A57,"_",AA$3),'Unit List'!$A$14:$H$2841,2,FALSE)),"X",$X57)</f>
        <v/>
      </c>
      <c r="AB57" s="51" t="str">
        <f>IF(ISTEXT(VLOOKUP(CONCATENATE($A57,"_",AB$3),'Unit List'!$A$14:$H$2841,2,FALSE)),"X",$X57)</f>
        <v/>
      </c>
      <c r="AC57" s="62" t="str">
        <f>IF(ISTEXT(VLOOKUP(CONCATENATE($A57,"_",AC$3),'Unit List'!$A$14:$H$2841,2,FALSE)),"X",$X57)</f>
        <v/>
      </c>
      <c r="AD57" s="172" t="str">
        <f>IF(ISTEXT(VLOOKUP(CONCATENATE($A57,"_",AD$3),'Unit List'!$A$14:$H$2841,2,FALSE)),"+","")</f>
        <v/>
      </c>
      <c r="AE57" s="51" t="str">
        <f>IF(ISTEXT(VLOOKUP(CONCATENATE($A57,"_",AE$3),'Unit List'!$A$14:$H$2841,2,FALSE)),"X",$AD57)</f>
        <v/>
      </c>
      <c r="AF57" s="51" t="str">
        <f>IF(ISTEXT(VLOOKUP(CONCATENATE($A57,"_",AF$3),'Unit List'!$A$14:$H$2841,2,FALSE)),"X",$AD57)</f>
        <v/>
      </c>
      <c r="AG57" s="172" t="str">
        <f>IF(ISTEXT(VLOOKUP(CONCATENATE($A57,"_",AG$3),'Unit List'!$A$14:$H$2841,2,FALSE)),"+","")</f>
        <v/>
      </c>
      <c r="AH57" s="51" t="str">
        <f>IF(ISTEXT(VLOOKUP(CONCATENATE($A57,"_",AH$3),'Unit List'!$A$14:$H$2841,2,FALSE)),"X",$AG57)</f>
        <v/>
      </c>
      <c r="AI57" s="51" t="str">
        <f>IF(ISTEXT(VLOOKUP(CONCATENATE($A57,"_",AI$3),'Unit List'!$A$14:$H$2841,2,FALSE)),"X",$AG57)</f>
        <v/>
      </c>
      <c r="AJ57" s="53" t="str">
        <f>IF(ISTEXT(VLOOKUP(CONCATENATE($A57,"_",AJ$3),'Unit List'!$A$14:$H$2841,2,FALSE)),"X",$AG57)</f>
        <v/>
      </c>
      <c r="AK57" s="172" t="str">
        <f>IF(ISTEXT(VLOOKUP(CONCATENATE($A57,"_",AK$3),'Unit List'!$A$14:$H$2841,2,FALSE)),"+","")</f>
        <v>+</v>
      </c>
      <c r="AL57" s="87" t="str">
        <f>IF(ISTEXT(VLOOKUP(CONCATENATE($A57,"_",AL$3),'Unit List'!$A$14:$H$2841,2,FALSE)),"X",$AK57)</f>
        <v>X</v>
      </c>
      <c r="AM57" s="53" t="str">
        <f>IF(ISTEXT(VLOOKUP(CONCATENATE($A57,"_",AM$3),'Unit List'!$A$14:$H$2841,2,FALSE)),"X",$AK57)</f>
        <v>X</v>
      </c>
      <c r="AN57" s="125" t="str">
        <f>IF(ISTEXT(VLOOKUP(CONCATENATE($A57,"_",AN$3),'Unit List'!$A$14:$H$2841,2,FALSE)),"+","")</f>
        <v>+</v>
      </c>
      <c r="AO57" s="53" t="str">
        <f>IF(ISTEXT(VLOOKUP(CONCATENATE($A57,"_",AO$3),'Unit List'!$A$14:$H$2841,2,FALSE)),"X",$AN57)</f>
        <v>+</v>
      </c>
      <c r="AP57" s="172" t="str">
        <f>IF(ISTEXT(VLOOKUP(CONCATENATE($A57,"_",AP$3),'Unit List'!$A$14:$H$2841,2,FALSE)),"+","")</f>
        <v>+</v>
      </c>
      <c r="AQ57" s="67" t="str">
        <f>IF(ISTEXT(VLOOKUP(CONCATENATE($A57,"_",AQ$3),'Unit List'!$A$14:$H$2841,2,FALSE)),"X",$AP57)</f>
        <v>X</v>
      </c>
      <c r="AR57" s="67" t="str">
        <f>IF(ISTEXT(VLOOKUP(CONCATENATE($A57,"_",AR$3),'Unit List'!$A$14:$H$2841,2,FALSE)),"X",$AP57)</f>
        <v>X</v>
      </c>
      <c r="AS57" s="51" t="str">
        <f>IF(ISTEXT(VLOOKUP(CONCATENATE($A57,"_",AS$3),'Unit List'!$A$14:$H$2841,2,FALSE)),"X",$AP57)</f>
        <v>+</v>
      </c>
      <c r="AT57" s="53" t="str">
        <f>IF(ISTEXT(VLOOKUP(CONCATENATE($A57,"_",AT$3),'Unit List'!$A$14:$H$2841,2,FALSE)),"X",$AP57)</f>
        <v>+</v>
      </c>
      <c r="AU57" s="124" t="str">
        <f>IF(ISTEXT(VLOOKUP(CONCATENATE($A57,"_",AU$3),'Unit List'!$A$14:$H$2841,2,FALSE)),"+","")</f>
        <v/>
      </c>
      <c r="AV57" s="51" t="str">
        <f>IF(ISTEXT(VLOOKUP(CONCATENATE($A57,"_",AV$3),'Unit List'!$A$14:$H$2841,2,FALSE)),"X",$AU57)</f>
        <v/>
      </c>
      <c r="AW57" s="53" t="str">
        <f>IF(ISTEXT(VLOOKUP(CONCATENATE($A57,"_",AW$3),'Unit List'!$A$14:$H$2841,2,FALSE)),"X",$AU57)</f>
        <v/>
      </c>
      <c r="AX57" s="172" t="str">
        <f>IF(ISTEXT(VLOOKUP(CONCATENATE($A57,"_",AX$3),'Unit List'!$A$14:$H$2841,2,FALSE)),"+","")</f>
        <v>+</v>
      </c>
      <c r="AY57" s="51" t="str">
        <f>IF(ISTEXT(VLOOKUP(CONCATENATE($A57,"_",AY$3),'Unit List'!$A$14:$H$2841,2,FALSE)),"X",$AX57)</f>
        <v>+</v>
      </c>
      <c r="AZ57" s="53" t="str">
        <f>IF(ISTEXT(VLOOKUP(CONCATENATE($A57,"_",AZ$3),'Unit List'!$A$14:$H$2841,2,FALSE)),"X",$AX57)</f>
        <v>+</v>
      </c>
      <c r="BA57" s="182" t="str">
        <f>IF(ISTEXT(VLOOKUP(CONCATENATE($A57,"_",BA$3),'Unit List'!$A$14:$H$2841,2,FALSE)),"+","")</f>
        <v>+</v>
      </c>
      <c r="BB57" s="51" t="str">
        <f>IF(ISTEXT(VLOOKUP(CONCATENATE($A57,"_",BB$3),'Unit List'!$A$14:$H$2841,2,FALSE)),"X",$BA57)</f>
        <v>+</v>
      </c>
      <c r="BC57" s="51" t="str">
        <f>IF(ISTEXT(VLOOKUP(CONCATENATE($A57,"_",BC$3),'Unit List'!$A$14:$H$2841,2,FALSE)),"X",$BA57)</f>
        <v>+</v>
      </c>
      <c r="BD57" s="53" t="str">
        <f>IF(ISTEXT(VLOOKUP(CONCATENATE($A57,"_",BD$3),'Unit List'!$A$14:$H$2841,2,FALSE)),"X",$BA57)</f>
        <v>+</v>
      </c>
      <c r="BE57" s="125" t="str">
        <f>IF(ISTEXT(VLOOKUP(CONCATENATE($A57,"_",BE$3),'Unit List'!$A$14:$H$2841,2,FALSE)),"+","")</f>
        <v/>
      </c>
      <c r="BF57" s="62" t="str">
        <f>IF(ISTEXT(VLOOKUP(CONCATENATE($A57,"_",BF$3),'Unit List'!$A$14:$H$2841,2,FALSE)),"X",$BE57)</f>
        <v/>
      </c>
      <c r="BG57" s="75"/>
      <c r="BH57" s="84"/>
      <c r="BI57" s="211"/>
      <c r="BJ57" s="212"/>
      <c r="BK57" s="212"/>
      <c r="BL57" s="212"/>
      <c r="BM57" s="213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List'!$A$14:$H$2841,2,FALSE)),"+","")</f>
        <v/>
      </c>
      <c r="C58" s="82" t="str">
        <f>IF(ISTEXT(VLOOKUP(CONCATENATE($A58,"_",C$3),'Unit List'!$A$14:$H$2841,2,FALSE)),"X",$B58)</f>
        <v>X</v>
      </c>
      <c r="D58" s="67" t="str">
        <f>IF(ISTEXT(VLOOKUP(CONCATENATE($A58,"_",D$3),'Unit List'!$A$14:$H$2841,2,FALSE)),"X",$B58)</f>
        <v>X</v>
      </c>
      <c r="E58" s="51" t="str">
        <f>IF(ISTEXT(VLOOKUP(CONCATENATE($A58,"_",E$3),'Unit List'!$A$14:$H$2841,2,FALSE)),"X",$B58)</f>
        <v>X</v>
      </c>
      <c r="F58" s="67" t="str">
        <f>IF(ISTEXT(VLOOKUP(CONCATENATE($A58,"_",F$3),'Unit List'!$A$14:$H$2841,2,FALSE)),"X",$B58)</f>
        <v>X</v>
      </c>
      <c r="G58" s="67" t="str">
        <f>IF(ISTEXT(VLOOKUP(CONCATENATE($A58,"_",G$3),'Unit List'!$A$14:$H$2841,2,FALSE)),"X",$B58)</f>
        <v>X</v>
      </c>
      <c r="H58" s="67" t="str">
        <f>IF(ISTEXT(VLOOKUP(CONCATENATE($A58,"_",H$3),'Unit List'!$A$14:$H$2841,2,FALSE)),"X",$B58)</f>
        <v>X</v>
      </c>
      <c r="I58" s="53" t="str">
        <f>IF(ISTEXT(VLOOKUP(CONCATENATE($A58,"_",I$3),'Unit List'!$A$14:$H$2841,2,FALSE)),"X",$B58)</f>
        <v/>
      </c>
      <c r="J58" s="172" t="str">
        <f>IF(ISTEXT(VLOOKUP(CONCATENATE($A58,"_",J$3),'Unit List'!$A$14:$H$2841,2,FALSE)),"+","")</f>
        <v/>
      </c>
      <c r="K58" s="51" t="str">
        <f>IF(ISTEXT(VLOOKUP(CONCATENATE($A58,"_",K$3),'Unit List'!$A$14:$H$2841,2,FALSE)),"X",$J58)</f>
        <v/>
      </c>
      <c r="L58" s="62" t="str">
        <f>IF(ISTEXT(VLOOKUP(CONCATENATE($A58,"_",L$3),'Unit List'!$A$14:$H$2841,2,FALSE)),"X",$J58)</f>
        <v/>
      </c>
      <c r="M58" s="172" t="str">
        <f>IF(ISTEXT(VLOOKUP(CONCATENATE($A58,"_",M$3),'Unit List'!$A$14:$H$2841,2,FALSE)),"+","")</f>
        <v>+</v>
      </c>
      <c r="N58" s="51" t="str">
        <f>IF(ISTEXT(VLOOKUP(CONCATENATE($A58,"_",N$3),'Unit List'!$A$14:$H$2841,2,FALSE)),"X",$M58)</f>
        <v>+</v>
      </c>
      <c r="O58" s="70" t="str">
        <f>IF(ISTEXT(VLOOKUP(CONCATENATE($A58,"_",O$3),'Unit List'!$A$14:$H$2841,2,FALSE)),"X",$M58)</f>
        <v>+</v>
      </c>
      <c r="P58" s="172" t="str">
        <f>IF(ISTEXT(VLOOKUP(CONCATENATE($A58,"_",P$3),'Unit List'!$A$14:$H$2841,2,FALSE)),"+","")</f>
        <v>+</v>
      </c>
      <c r="Q58" s="51" t="str">
        <f>IF(ISTEXT(VLOOKUP(CONCATENATE($A58,"_",Q$3),'Unit List'!$A$14:$H$2841,2,FALSE)),"X",$P58)</f>
        <v>+</v>
      </c>
      <c r="R58" s="51" t="str">
        <f>IF(ISTEXT(VLOOKUP(CONCATENATE($A58,"_",R$3),'Unit List'!$A$14:$H$2841,2,FALSE)),"X",$P58)</f>
        <v>+</v>
      </c>
      <c r="S58" s="67" t="str">
        <f>IF(ISTEXT(VLOOKUP(CONCATENATE($A58,"_",S$3),'Unit List'!$A$14:$H$2841,2,FALSE)),"X",$P58)</f>
        <v>+</v>
      </c>
      <c r="T58" s="52" t="str">
        <f>IF(ISTEXT(VLOOKUP(CONCATENATE($A58,"_",T$3),'Unit List'!$A$14:$H$2841,2,FALSE)),"X",$P58)</f>
        <v>+</v>
      </c>
      <c r="U58" s="67" t="str">
        <f>IF(ISTEXT(VLOOKUP(CONCATENATE($A58,"_",U$3),'Unit List'!$A$14:$H$2841,2,FALSE)),"X",$P58)</f>
        <v>X</v>
      </c>
      <c r="V58" s="51" t="str">
        <f>IF(ISTEXT(VLOOKUP(CONCATENATE($A58,"_",V$3),'Unit List'!$A$14:$H$2841,2,FALSE)),"X",$P58)</f>
        <v>+</v>
      </c>
      <c r="W58" s="53" t="str">
        <f>IF(ISTEXT(VLOOKUP(CONCATENATE($A58,"_",W$3),'Unit List'!$A$14:$H$2841,2,FALSE)),"X",$P58)</f>
        <v>+</v>
      </c>
      <c r="X58" s="172" t="str">
        <f>IF(ISTEXT(VLOOKUP(CONCATENATE($A58,"_",X$3),'Unit List'!$A$14:$H$2841,2,FALSE)),"+","")</f>
        <v>+</v>
      </c>
      <c r="Y58" s="67" t="str">
        <f>IF(ISTEXT(VLOOKUP(CONCATENATE($A58,"_",Y$3),'Unit List'!$A$14:$H$2841,2,FALSE)),"X",$X58)</f>
        <v>+</v>
      </c>
      <c r="Z58" s="51" t="str">
        <f>IF(ISTEXT(VLOOKUP(CONCATENATE($A58,"_",Z$3),'Unit List'!$A$14:$H$2841,2,FALSE)),"X",$X58)</f>
        <v>+</v>
      </c>
      <c r="AA58" s="51" t="str">
        <f>IF(ISTEXT(VLOOKUP(CONCATENATE($A58,"_",AA$3),'Unit List'!$A$14:$H$2841,2,FALSE)),"X",$X58)</f>
        <v>+</v>
      </c>
      <c r="AB58" s="51" t="str">
        <f>IF(ISTEXT(VLOOKUP(CONCATENATE($A58,"_",AB$3),'Unit List'!$A$14:$H$2841,2,FALSE)),"X",$X58)</f>
        <v>+</v>
      </c>
      <c r="AC58" s="62" t="str">
        <f>IF(ISTEXT(VLOOKUP(CONCATENATE($A58,"_",AC$3),'Unit List'!$A$14:$H$2841,2,FALSE)),"X",$X58)</f>
        <v>+</v>
      </c>
      <c r="AD58" s="172" t="str">
        <f>IF(ISTEXT(VLOOKUP(CONCATENATE($A58,"_",AD$3),'Unit List'!$A$14:$H$2841,2,FALSE)),"+","")</f>
        <v/>
      </c>
      <c r="AE58" s="51" t="str">
        <f>IF(ISTEXT(VLOOKUP(CONCATENATE($A58,"_",AE$3),'Unit List'!$A$14:$H$2841,2,FALSE)),"X",$AD58)</f>
        <v/>
      </c>
      <c r="AF58" s="51" t="str">
        <f>IF(ISTEXT(VLOOKUP(CONCATENATE($A58,"_",AF$3),'Unit List'!$A$14:$H$2841,2,FALSE)),"X",$AD58)</f>
        <v/>
      </c>
      <c r="AG58" s="172" t="str">
        <f>IF(ISTEXT(VLOOKUP(CONCATENATE($A58,"_",AG$3),'Unit List'!$A$14:$H$2841,2,FALSE)),"+","")</f>
        <v/>
      </c>
      <c r="AH58" s="51" t="str">
        <f>IF(ISTEXT(VLOOKUP(CONCATENATE($A58,"_",AH$3),'Unit List'!$A$14:$H$2841,2,FALSE)),"X",$AG58)</f>
        <v/>
      </c>
      <c r="AI58" s="51" t="str">
        <f>IF(ISTEXT(VLOOKUP(CONCATENATE($A58,"_",AI$3),'Unit List'!$A$14:$H$2841,2,FALSE)),"X",$AG58)</f>
        <v/>
      </c>
      <c r="AJ58" s="53" t="str">
        <f>IF(ISTEXT(VLOOKUP(CONCATENATE($A58,"_",AJ$3),'Unit List'!$A$14:$H$2841,2,FALSE)),"X",$AG58)</f>
        <v/>
      </c>
      <c r="AK58" s="172" t="str">
        <f>IF(ISTEXT(VLOOKUP(CONCATENATE($A58,"_",AK$3),'Unit List'!$A$14:$H$2841,2,FALSE)),"+","")</f>
        <v>+</v>
      </c>
      <c r="AL58" s="52" t="str">
        <f>IF(ISTEXT(VLOOKUP(CONCATENATE($A58,"_",AL$3),'Unit List'!$A$14:$H$2841,2,FALSE)),"X",$AK58)</f>
        <v>X</v>
      </c>
      <c r="AM58" s="70" t="str">
        <f>IF(ISTEXT(VLOOKUP(CONCATENATE($A58,"_",AM$3),'Unit List'!$A$14:$H$2841,2,FALSE)),"X",$AK58)</f>
        <v>+</v>
      </c>
      <c r="AN58" s="125" t="str">
        <f>IF(ISTEXT(VLOOKUP(CONCATENATE($A58,"_",AN$3),'Unit List'!$A$14:$H$2841,2,FALSE)),"+","")</f>
        <v>+</v>
      </c>
      <c r="AO58" s="70" t="str">
        <f>IF(ISTEXT(VLOOKUP(CONCATENATE($A58,"_",AO$3),'Unit List'!$A$14:$H$2841,2,FALSE)),"X",$AN58)</f>
        <v>+</v>
      </c>
      <c r="AP58" s="172" t="str">
        <f>IF(ISTEXT(VLOOKUP(CONCATENATE($A58,"_",AP$3),'Unit List'!$A$14:$H$2841,2,FALSE)),"+","")</f>
        <v/>
      </c>
      <c r="AQ58" s="51" t="str">
        <f>IF(ISTEXT(VLOOKUP(CONCATENATE($A58,"_",AQ$3),'Unit List'!$A$14:$H$2841,2,FALSE)),"X",$AP58)</f>
        <v/>
      </c>
      <c r="AR58" s="67" t="str">
        <f>IF(ISTEXT(VLOOKUP(CONCATENATE($A58,"_",AR$3),'Unit List'!$A$14:$H$2841,2,FALSE)),"X",$AP58)</f>
        <v>X</v>
      </c>
      <c r="AS58" s="51" t="str">
        <f>IF(ISTEXT(VLOOKUP(CONCATENATE($A58,"_",AS$3),'Unit List'!$A$14:$H$2841,2,FALSE)),"X",$AP58)</f>
        <v/>
      </c>
      <c r="AT58" s="53" t="str">
        <f>IF(ISTEXT(VLOOKUP(CONCATENATE($A58,"_",AT$3),'Unit List'!$A$14:$H$2841,2,FALSE)),"X",$AP58)</f>
        <v/>
      </c>
      <c r="AU58" s="124" t="str">
        <f>IF(ISTEXT(VLOOKUP(CONCATENATE($A58,"_",AU$3),'Unit List'!$A$14:$H$2841,2,FALSE)),"+","")</f>
        <v/>
      </c>
      <c r="AV58" s="51" t="str">
        <f>IF(ISTEXT(VLOOKUP(CONCATENATE($A58,"_",AV$3),'Unit List'!$A$14:$H$2841,2,FALSE)),"X",$AU58)</f>
        <v/>
      </c>
      <c r="AW58" s="53" t="str">
        <f>IF(ISTEXT(VLOOKUP(CONCATENATE($A58,"_",AW$3),'Unit List'!$A$14:$H$2841,2,FALSE)),"X",$AU58)</f>
        <v/>
      </c>
      <c r="AX58" s="171" t="str">
        <f>IF(ISTEXT(VLOOKUP(CONCATENATE($A58,"_",AX$3),'Unit List'!$A$14:$H$2841,2,FALSE)),"+","")</f>
        <v>+</v>
      </c>
      <c r="AY58" s="67" t="str">
        <f>IF(ISTEXT(VLOOKUP(CONCATENATE($A58,"_",AY$3),'Unit List'!$A$14:$H$2841,2,FALSE)),"X",$AX58)</f>
        <v>+</v>
      </c>
      <c r="AZ58" s="70" t="str">
        <f>IF(ISTEXT(VLOOKUP(CONCATENATE($A58,"_",AZ$3),'Unit List'!$A$14:$H$2841,2,FALSE)),"X",$AX58)</f>
        <v>+</v>
      </c>
      <c r="BA58" s="182" t="str">
        <f>IF(ISTEXT(VLOOKUP(CONCATENATE($A58,"_",BA$3),'Unit List'!$A$14:$H$2841,2,FALSE)),"+","")</f>
        <v/>
      </c>
      <c r="BB58" s="51" t="str">
        <f>IF(ISTEXT(VLOOKUP(CONCATENATE($A58,"_",BB$3),'Unit List'!$A$14:$H$2841,2,FALSE)),"X",$BA58)</f>
        <v/>
      </c>
      <c r="BC58" s="51" t="str">
        <f>IF(ISTEXT(VLOOKUP(CONCATENATE($A58,"_",BC$3),'Unit List'!$A$14:$H$2841,2,FALSE)),"X",$BA58)</f>
        <v/>
      </c>
      <c r="BD58" s="53" t="str">
        <f>IF(ISTEXT(VLOOKUP(CONCATENATE($A58,"_",BD$3),'Unit List'!$A$14:$H$2841,2,FALSE)),"X",$BA58)</f>
        <v/>
      </c>
      <c r="BE58" s="125" t="str">
        <f>IF(ISTEXT(VLOOKUP(CONCATENATE($A58,"_",BE$3),'Unit List'!$A$14:$H$2841,2,FALSE)),"+","")</f>
        <v/>
      </c>
      <c r="BF58" s="62" t="str">
        <f>IF(ISTEXT(VLOOKUP(CONCATENATE($A58,"_",BF$3),'Unit List'!$A$14:$H$2841,2,FALSE)),"X",$BE58)</f>
        <v/>
      </c>
      <c r="BG58" s="75"/>
      <c r="BH58" s="84"/>
      <c r="BI58" s="211" t="s">
        <v>10</v>
      </c>
      <c r="BJ58" s="212"/>
      <c r="BK58" s="212"/>
      <c r="BL58" s="212"/>
      <c r="BM58" s="213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List'!$A$14:$H$2841,2,FALSE)),"+","")</f>
        <v/>
      </c>
      <c r="C59" s="82" t="str">
        <f>IF(ISTEXT(VLOOKUP(CONCATENATE($A59,"_",C$3),'Unit List'!$A$14:$H$2841,2,FALSE)),"X",$B59)</f>
        <v>X</v>
      </c>
      <c r="D59" s="67" t="str">
        <f>IF(ISTEXT(VLOOKUP(CONCATENATE($A59,"_",D$3),'Unit List'!$A$14:$H$2841,2,FALSE)),"X",$B59)</f>
        <v>X</v>
      </c>
      <c r="E59" s="51" t="str">
        <f>IF(ISTEXT(VLOOKUP(CONCATENATE($A59,"_",E$3),'Unit List'!$A$14:$H$2841,2,FALSE)),"X",$B59)</f>
        <v>X</v>
      </c>
      <c r="F59" s="67" t="str">
        <f>IF(ISTEXT(VLOOKUP(CONCATENATE($A59,"_",F$3),'Unit List'!$A$14:$H$2841,2,FALSE)),"X",$B59)</f>
        <v>X</v>
      </c>
      <c r="G59" s="67" t="str">
        <f>IF(ISTEXT(VLOOKUP(CONCATENATE($A59,"_",G$3),'Unit List'!$A$14:$H$2841,2,FALSE)),"X",$B59)</f>
        <v>X</v>
      </c>
      <c r="H59" s="67" t="str">
        <f>IF(ISTEXT(VLOOKUP(CONCATENATE($A59,"_",H$3),'Unit List'!$A$14:$H$2841,2,FALSE)),"X",$B59)</f>
        <v>X</v>
      </c>
      <c r="I59" s="53" t="str">
        <f>IF(ISTEXT(VLOOKUP(CONCATENATE($A59,"_",I$3),'Unit List'!$A$14:$H$2841,2,FALSE)),"X",$B59)</f>
        <v/>
      </c>
      <c r="J59" s="171" t="str">
        <f>IF(ISTEXT(VLOOKUP(CONCATENATE($A59,"_",J$3),'Unit List'!$A$14:$H$2841,2,FALSE)),"+","")</f>
        <v/>
      </c>
      <c r="K59" s="51" t="str">
        <f>IF(ISTEXT(VLOOKUP(CONCATENATE($A59,"_",K$3),'Unit List'!$A$14:$H$2841,2,FALSE)),"X",$J59)</f>
        <v/>
      </c>
      <c r="L59" s="86" t="str">
        <f>IF(ISTEXT(VLOOKUP(CONCATENATE($A59,"_",L$3),'Unit List'!$A$14:$H$2841,2,FALSE)),"X",$J59)</f>
        <v>X</v>
      </c>
      <c r="M59" s="171" t="str">
        <f>IF(ISTEXT(VLOOKUP(CONCATENATE($A59,"_",M$3),'Unit List'!$A$14:$H$2841,2,FALSE)),"+","")</f>
        <v>+</v>
      </c>
      <c r="N59" s="67" t="str">
        <f>IF(ISTEXT(VLOOKUP(CONCATENATE($A59,"_",N$3),'Unit List'!$A$14:$H$2841,2,FALSE)),"X",$M59)</f>
        <v>X</v>
      </c>
      <c r="O59" s="70" t="str">
        <f>IF(ISTEXT(VLOOKUP(CONCATENATE($A59,"_",O$3),'Unit List'!$A$14:$H$2841,2,FALSE)),"X",$M59)</f>
        <v>X</v>
      </c>
      <c r="P59" s="172" t="str">
        <f>IF(ISTEXT(VLOOKUP(CONCATENATE($A59,"_",P$3),'Unit List'!$A$14:$H$2841,2,FALSE)),"+","")</f>
        <v/>
      </c>
      <c r="Q59" s="51" t="str">
        <f>IF(ISTEXT(VLOOKUP(CONCATENATE($A59,"_",Q$3),'Unit List'!$A$14:$H$2841,2,FALSE)),"X",$P59)</f>
        <v>X</v>
      </c>
      <c r="R59" s="51" t="str">
        <f>IF(ISTEXT(VLOOKUP(CONCATENATE($A59,"_",R$3),'Unit List'!$A$14:$H$2841,2,FALSE)),"X",$P59)</f>
        <v/>
      </c>
      <c r="S59" s="67" t="str">
        <f>IF(ISTEXT(VLOOKUP(CONCATENATE($A59,"_",S$3),'Unit List'!$A$14:$H$2841,2,FALSE)),"X",$P59)</f>
        <v>X</v>
      </c>
      <c r="T59" s="52" t="str">
        <f>IF(ISTEXT(VLOOKUP(CONCATENATE($A59,"_",T$3),'Unit List'!$A$14:$H$2841,2,FALSE)),"X",$P59)</f>
        <v/>
      </c>
      <c r="U59" s="67" t="str">
        <f>IF(ISTEXT(VLOOKUP(CONCATENATE($A59,"_",U$3),'Unit List'!$A$14:$H$2841,2,FALSE)),"X",$P59)</f>
        <v>X</v>
      </c>
      <c r="V59" s="51" t="str">
        <f>IF(ISTEXT(VLOOKUP(CONCATENATE($A59,"_",V$3),'Unit List'!$A$14:$H$2841,2,FALSE)),"X",$P59)</f>
        <v>X</v>
      </c>
      <c r="W59" s="53" t="str">
        <f>IF(ISTEXT(VLOOKUP(CONCATENATE($A59,"_",W$3),'Unit List'!$A$14:$H$2841,2,FALSE)),"X",$P59)</f>
        <v/>
      </c>
      <c r="X59" s="172" t="str">
        <f>IF(ISTEXT(VLOOKUP(CONCATENATE($A59,"_",X$3),'Unit List'!$A$14:$H$2841,2,FALSE)),"+","")</f>
        <v/>
      </c>
      <c r="Y59" s="51" t="str">
        <f>IF(ISTEXT(VLOOKUP(CONCATENATE($A59,"_",Y$3),'Unit List'!$A$14:$H$2841,2,FALSE)),"X",$X59)</f>
        <v/>
      </c>
      <c r="Z59" s="51" t="str">
        <f>IF(ISTEXT(VLOOKUP(CONCATENATE($A59,"_",Z$3),'Unit List'!$A$14:$H$2841,2,FALSE)),"X",$X59)</f>
        <v/>
      </c>
      <c r="AA59" s="51" t="str">
        <f>IF(ISTEXT(VLOOKUP(CONCATENATE($A59,"_",AA$3),'Unit List'!$A$14:$H$2841,2,FALSE)),"X",$X59)</f>
        <v/>
      </c>
      <c r="AB59" s="51" t="str">
        <f>IF(ISTEXT(VLOOKUP(CONCATENATE($A59,"_",AB$3),'Unit List'!$A$14:$H$2841,2,FALSE)),"X",$X59)</f>
        <v/>
      </c>
      <c r="AC59" s="62" t="str">
        <f>IF(ISTEXT(VLOOKUP(CONCATENATE($A59,"_",AC$3),'Unit List'!$A$14:$H$2841,2,FALSE)),"X",$X59)</f>
        <v/>
      </c>
      <c r="AD59" s="172" t="str">
        <f>IF(ISTEXT(VLOOKUP(CONCATENATE($A59,"_",AD$3),'Unit List'!$A$14:$H$2841,2,FALSE)),"+","")</f>
        <v/>
      </c>
      <c r="AE59" s="51" t="str">
        <f>IF(ISTEXT(VLOOKUP(CONCATENATE($A59,"_",AE$3),'Unit List'!$A$14:$H$2841,2,FALSE)),"X",$AD59)</f>
        <v/>
      </c>
      <c r="AF59" s="51" t="str">
        <f>IF(ISTEXT(VLOOKUP(CONCATENATE($A59,"_",AF$3),'Unit List'!$A$14:$H$2841,2,FALSE)),"X",$AD59)</f>
        <v/>
      </c>
      <c r="AG59" s="172" t="str">
        <f>IF(ISTEXT(VLOOKUP(CONCATENATE($A59,"_",AG$3),'Unit List'!$A$14:$H$2841,2,FALSE)),"+","")</f>
        <v/>
      </c>
      <c r="AH59" s="51" t="str">
        <f>IF(ISTEXT(VLOOKUP(CONCATENATE($A59,"_",AH$3),'Unit List'!$A$14:$H$2841,2,FALSE)),"X",$AG59)</f>
        <v/>
      </c>
      <c r="AI59" s="51" t="str">
        <f>IF(ISTEXT(VLOOKUP(CONCATENATE($A59,"_",AI$3),'Unit List'!$A$14:$H$2841,2,FALSE)),"X",$AG59)</f>
        <v/>
      </c>
      <c r="AJ59" s="53" t="str">
        <f>IF(ISTEXT(VLOOKUP(CONCATENATE($A59,"_",AJ$3),'Unit List'!$A$14:$H$2841,2,FALSE)),"X",$AG59)</f>
        <v/>
      </c>
      <c r="AK59" s="172" t="str">
        <f>IF(ISTEXT(VLOOKUP(CONCATENATE($A59,"_",AK$3),'Unit List'!$A$14:$H$2841,2,FALSE)),"+","")</f>
        <v/>
      </c>
      <c r="AL59" s="87" t="str">
        <f>IF(ISTEXT(VLOOKUP(CONCATENATE($A59,"_",AL$3),'Unit List'!$A$14:$H$2841,2,FALSE)),"X",$AK59)</f>
        <v>X</v>
      </c>
      <c r="AM59" s="53" t="str">
        <f>IF(ISTEXT(VLOOKUP(CONCATENATE($A59,"_",AM$3),'Unit List'!$A$14:$H$2841,2,FALSE)),"X",$AK59)</f>
        <v/>
      </c>
      <c r="AN59" s="125" t="str">
        <f>IF(ISTEXT(VLOOKUP(CONCATENATE($A59,"_",AN$3),'Unit List'!$A$14:$H$2841,2,FALSE)),"+","")</f>
        <v/>
      </c>
      <c r="AO59" s="53" t="str">
        <f>IF(ISTEXT(VLOOKUP(CONCATENATE($A59,"_",AO$3),'Unit List'!$A$14:$H$2841,2,FALSE)),"X",$AN59)</f>
        <v/>
      </c>
      <c r="AP59" s="172" t="str">
        <f>IF(ISTEXT(VLOOKUP(CONCATENATE($A59,"_",AP$3),'Unit List'!$A$14:$H$2841,2,FALSE)),"+","")</f>
        <v/>
      </c>
      <c r="AQ59" s="51" t="str">
        <f>IF(ISTEXT(VLOOKUP(CONCATENATE($A59,"_",AQ$3),'Unit List'!$A$14:$H$2841,2,FALSE)),"X",$AP59)</f>
        <v>X</v>
      </c>
      <c r="AR59" s="67" t="str">
        <f>IF(ISTEXT(VLOOKUP(CONCATENATE($A59,"_",AR$3),'Unit List'!$A$14:$H$2841,2,FALSE)),"X",$AP59)</f>
        <v>X</v>
      </c>
      <c r="AS59" s="51" t="str">
        <f>IF(ISTEXT(VLOOKUP(CONCATENATE($A59,"_",AS$3),'Unit List'!$A$14:$H$2841,2,FALSE)),"X",$AP59)</f>
        <v/>
      </c>
      <c r="AT59" s="53" t="str">
        <f>IF(ISTEXT(VLOOKUP(CONCATENATE($A59,"_",AT$3),'Unit List'!$A$14:$H$2841,2,FALSE)),"X",$AP59)</f>
        <v/>
      </c>
      <c r="AU59" s="124" t="str">
        <f>IF(ISTEXT(VLOOKUP(CONCATENATE($A59,"_",AU$3),'Unit List'!$A$14:$H$2841,2,FALSE)),"+","")</f>
        <v/>
      </c>
      <c r="AV59" s="51" t="str">
        <f>IF(ISTEXT(VLOOKUP(CONCATENATE($A59,"_",AV$3),'Unit List'!$A$14:$H$2841,2,FALSE)),"X",$AU59)</f>
        <v/>
      </c>
      <c r="AW59" s="53" t="str">
        <f>IF(ISTEXT(VLOOKUP(CONCATENATE($A59,"_",AW$3),'Unit List'!$A$14:$H$2841,2,FALSE)),"X",$AU59)</f>
        <v/>
      </c>
      <c r="AX59" s="172" t="str">
        <f>IF(ISTEXT(VLOOKUP(CONCATENATE($A59,"_",AX$3),'Unit List'!$A$14:$H$2841,2,FALSE)),"+","")</f>
        <v>+</v>
      </c>
      <c r="AY59" s="51" t="str">
        <f>IF(ISTEXT(VLOOKUP(CONCATENATE($A59,"_",AY$3),'Unit List'!$A$14:$H$2841,2,FALSE)),"X",$AX59)</f>
        <v>+</v>
      </c>
      <c r="AZ59" s="53" t="str">
        <f>IF(ISTEXT(VLOOKUP(CONCATENATE($A59,"_",AZ$3),'Unit List'!$A$14:$H$2841,2,FALSE)),"X",$AX59)</f>
        <v>+</v>
      </c>
      <c r="BA59" s="182" t="str">
        <f>IF(ISTEXT(VLOOKUP(CONCATENATE($A59,"_",BA$3),'Unit List'!$A$14:$H$2841,2,FALSE)),"+","")</f>
        <v/>
      </c>
      <c r="BB59" s="51" t="str">
        <f>IF(ISTEXT(VLOOKUP(CONCATENATE($A59,"_",BB$3),'Unit List'!$A$14:$H$2841,2,FALSE)),"X",$BA59)</f>
        <v/>
      </c>
      <c r="BC59" s="51" t="str">
        <f>IF(ISTEXT(VLOOKUP(CONCATENATE($A59,"_",BC$3),'Unit List'!$A$14:$H$2841,2,FALSE)),"X",$BA59)</f>
        <v/>
      </c>
      <c r="BD59" s="53" t="str">
        <f>IF(ISTEXT(VLOOKUP(CONCATENATE($A59,"_",BD$3),'Unit List'!$A$14:$H$2841,2,FALSE)),"X",$BA59)</f>
        <v/>
      </c>
      <c r="BE59" s="125" t="str">
        <f>IF(ISTEXT(VLOOKUP(CONCATENATE($A59,"_",BE$3),'Unit List'!$A$14:$H$2841,2,FALSE)),"+","")</f>
        <v/>
      </c>
      <c r="BF59" s="62" t="str">
        <f>IF(ISTEXT(VLOOKUP(CONCATENATE($A59,"_",BF$3),'Unit List'!$A$14:$H$2841,2,FALSE)),"X",$BE59)</f>
        <v/>
      </c>
      <c r="BG59" s="75"/>
      <c r="BH59" s="84"/>
      <c r="BI59" s="211" t="s">
        <v>9</v>
      </c>
      <c r="BJ59" s="214"/>
      <c r="BK59" s="214"/>
      <c r="BL59" s="214"/>
      <c r="BM59" s="215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2408</v>
      </c>
      <c r="B60" s="181" t="str">
        <f>IF(ISTEXT(VLOOKUP(CONCATENATE($A60,"_",B$3),'Unit List'!$A$14:$H$2841,2,FALSE)),"+","")</f>
        <v/>
      </c>
      <c r="C60" s="82" t="str">
        <f>IF(ISTEXT(VLOOKUP(CONCATENATE($A60,"_",C$3),'Unit List'!$A$14:$H$2841,2,FALSE)),"X",$B60)</f>
        <v>X</v>
      </c>
      <c r="D60" s="67" t="str">
        <f>IF(ISTEXT(VLOOKUP(CONCATENATE($A60,"_",D$3),'Unit List'!$A$14:$H$2841,2,FALSE)),"X",$B60)</f>
        <v>X</v>
      </c>
      <c r="E60" s="51" t="str">
        <f>IF(ISTEXT(VLOOKUP(CONCATENATE($A60,"_",E$3),'Unit List'!$A$14:$H$2841,2,FALSE)),"X",$B60)</f>
        <v>X</v>
      </c>
      <c r="F60" s="67" t="str">
        <f>IF(ISTEXT(VLOOKUP(CONCATENATE($A60,"_",F$3),'Unit List'!$A$14:$H$2841,2,FALSE)),"X",$B60)</f>
        <v>X</v>
      </c>
      <c r="G60" s="99" t="str">
        <f>IF(ISTEXT(VLOOKUP(CONCATENATE($A60,"_",G$3),'Unit List'!$A$14:$H$2841,2,FALSE)),"X",$B60)</f>
        <v>X</v>
      </c>
      <c r="H60" s="67" t="str">
        <f>IF(ISTEXT(VLOOKUP(CONCATENATE($A60,"_",H$3),'Unit List'!$A$14:$H$2841,2,FALSE)),"X",$B60)</f>
        <v>X</v>
      </c>
      <c r="I60" s="70" t="str">
        <f>IF(ISTEXT(VLOOKUP(CONCATENATE($A60,"_",I$3),'Unit List'!$A$14:$H$2841,2,FALSE)),"X",$B60)</f>
        <v>X</v>
      </c>
      <c r="J60" s="171" t="str">
        <f>IF(ISTEXT(VLOOKUP(CONCATENATE($A60,"_",J$3),'Unit List'!$A$14:$H$2841,2,FALSE)),"+","")</f>
        <v/>
      </c>
      <c r="K60" s="51" t="str">
        <f>IF(ISTEXT(VLOOKUP(CONCATENATE($A60,"_",K$3),'Unit List'!$A$14:$H$2841,2,FALSE)),"X",$J60)</f>
        <v/>
      </c>
      <c r="L60" s="86" t="str">
        <f>IF(ISTEXT(VLOOKUP(CONCATENATE($A60,"_",L$3),'Unit List'!$A$14:$H$2841,2,FALSE)),"X",$J60)</f>
        <v>X</v>
      </c>
      <c r="M60" s="171" t="str">
        <f>IF(ISTEXT(VLOOKUP(CONCATENATE($A60,"_",M$3),'Unit List'!$A$14:$H$2841,2,FALSE)),"+","")</f>
        <v>+</v>
      </c>
      <c r="N60" s="67" t="str">
        <f>IF(ISTEXT(VLOOKUP(CONCATENATE($A60,"_",N$3),'Unit List'!$A$14:$H$2841,2,FALSE)),"X",$M60)</f>
        <v>+</v>
      </c>
      <c r="O60" s="70" t="str">
        <f>IF(ISTEXT(VLOOKUP(CONCATENATE($A60,"_",O$3),'Unit List'!$A$14:$H$2841,2,FALSE)),"X",$M60)</f>
        <v>X</v>
      </c>
      <c r="P60" s="172" t="str">
        <f>IF(ISTEXT(VLOOKUP(CONCATENATE($A60,"_",P$3),'Unit List'!$A$14:$H$2841,2,FALSE)),"+","")</f>
        <v/>
      </c>
      <c r="Q60" s="90" t="s">
        <v>0</v>
      </c>
      <c r="R60" s="51" t="str">
        <f>IF(ISTEXT(VLOOKUP(CONCATENATE($A60,"_",R$3),'Unit List'!$A$14:$H$2841,2,FALSE)),"X",$P60)</f>
        <v/>
      </c>
      <c r="S60" s="67" t="str">
        <f>IF(ISTEXT(VLOOKUP(CONCATENATE($A60,"_",S$3),'Unit List'!$A$14:$H$2841,2,FALSE)),"X",$P60)</f>
        <v>X</v>
      </c>
      <c r="T60" s="52" t="str">
        <f>IF(ISTEXT(VLOOKUP(CONCATENATE($A60,"_",T$3),'Unit List'!$A$14:$H$2841,2,FALSE)),"X",$P60)</f>
        <v/>
      </c>
      <c r="U60" s="67" t="str">
        <f>IF(ISTEXT(VLOOKUP(CONCATENATE($A60,"_",U$3),'Unit List'!$A$14:$H$2841,2,FALSE)),"X",$P60)</f>
        <v>X</v>
      </c>
      <c r="V60" s="67" t="str">
        <f>IF(ISTEXT(VLOOKUP(CONCATENATE($A60,"_",V$3),'Unit List'!$A$14:$H$2841,2,FALSE)),"X",$P60)</f>
        <v>X</v>
      </c>
      <c r="W60" s="53" t="str">
        <f>IF(ISTEXT(VLOOKUP(CONCATENATE($A60,"_",W$3),'Unit List'!$A$14:$H$2841,2,FALSE)),"X",$P60)</f>
        <v/>
      </c>
      <c r="X60" s="172" t="str">
        <f>IF(ISTEXT(VLOOKUP(CONCATENATE($A60,"_",X$3),'Unit List'!$A$14:$H$2841,2,FALSE)),"+","")</f>
        <v/>
      </c>
      <c r="Y60" s="51" t="str">
        <f>IF(ISTEXT(VLOOKUP(CONCATENATE($A60,"_",Y$3),'Unit List'!$A$14:$H$2841,2,FALSE)),"X",$X60)</f>
        <v/>
      </c>
      <c r="Z60" s="51" t="str">
        <f>IF(ISTEXT(VLOOKUP(CONCATENATE($A60,"_",Z$3),'Unit List'!$A$14:$H$2841,2,FALSE)),"X",$X60)</f>
        <v/>
      </c>
      <c r="AA60" s="51" t="str">
        <f>IF(ISTEXT(VLOOKUP(CONCATENATE($A60,"_",AA$3),'Unit List'!$A$14:$H$2841,2,FALSE)),"X",$X60)</f>
        <v/>
      </c>
      <c r="AB60" s="51" t="str">
        <f>IF(ISTEXT(VLOOKUP(CONCATENATE($A60,"_",AB$3),'Unit List'!$A$14:$H$2841,2,FALSE)),"X",$X60)</f>
        <v/>
      </c>
      <c r="AC60" s="62" t="str">
        <f>IF(ISTEXT(VLOOKUP(CONCATENATE($A60,"_",AC$3),'Unit List'!$A$14:$H$2841,2,FALSE)),"X",$X60)</f>
        <v/>
      </c>
      <c r="AD60" s="171" t="str">
        <f>IF(ISTEXT(VLOOKUP(CONCATENATE($A60,"_",AD$3),'Unit List'!$A$14:$H$2841,2,FALSE)),"+","")</f>
        <v/>
      </c>
      <c r="AE60" s="51" t="str">
        <f>IF(ISTEXT(VLOOKUP(CONCATENATE($A60,"_",AE$3),'Unit List'!$A$14:$H$2841,2,FALSE)),"X",$AD60)</f>
        <v/>
      </c>
      <c r="AF60" s="51" t="str">
        <f>IF(ISTEXT(VLOOKUP(CONCATENATE($A60,"_",AF$3),'Unit List'!$A$14:$H$2841,2,FALSE)),"X",$AD60)</f>
        <v/>
      </c>
      <c r="AG60" s="171" t="str">
        <f>IF(ISTEXT(VLOOKUP(CONCATENATE($A60,"_",AG$3),'Unit List'!$A$14:$H$2841,2,FALSE)),"+","")</f>
        <v>+</v>
      </c>
      <c r="AH60" s="67" t="str">
        <f>IF(ISTEXT(VLOOKUP(CONCATENATE($A60,"_",AH$3),'Unit List'!$A$14:$H$2841,2,FALSE)),"X",$AG60)</f>
        <v>+</v>
      </c>
      <c r="AI60" s="67" t="str">
        <f>IF(ISTEXT(VLOOKUP(CONCATENATE($A60,"_",AI$3),'Unit List'!$A$14:$H$2841,2,FALSE)),"X",$AG60)</f>
        <v>+</v>
      </c>
      <c r="AJ60" s="70" t="str">
        <f>IF(ISTEXT(VLOOKUP(CONCATENATE($A60,"_",AJ$3),'Unit List'!$A$14:$H$2841,2,FALSE)),"X",$AG60)</f>
        <v>+</v>
      </c>
      <c r="AK60" s="172" t="str">
        <f>IF(ISTEXT(VLOOKUP(CONCATENATE($A60,"_",AK$3),'Unit List'!$A$14:$H$2841,2,FALSE)),"+","")</f>
        <v>+</v>
      </c>
      <c r="AL60" s="87" t="str">
        <f>IF(ISTEXT(VLOOKUP(CONCATENATE($A60,"_",AL$3),'Unit List'!$A$14:$H$2841,2,FALSE)),"X",$AK60)</f>
        <v>+</v>
      </c>
      <c r="AM60" s="53" t="str">
        <f>IF(ISTEXT(VLOOKUP(CONCATENATE($A60,"_",AM$3),'Unit List'!$A$14:$H$2841,2,FALSE)),"X",$AK60)</f>
        <v>+</v>
      </c>
      <c r="AN60" s="125" t="str">
        <f>IF(ISTEXT(VLOOKUP(CONCATENATE($A60,"_",AN$3),'Unit List'!$A$14:$H$2841,2,FALSE)),"+","")</f>
        <v/>
      </c>
      <c r="AO60" s="53" t="str">
        <f>IF(ISTEXT(VLOOKUP(CONCATENATE($A60,"_",AO$3),'Unit List'!$A$14:$H$2841,2,FALSE)),"X",$AN60)</f>
        <v/>
      </c>
      <c r="AP60" s="171" t="str">
        <f>IF(ISTEXT(VLOOKUP(CONCATENATE($A60,"_",AP$3),'Unit List'!$A$14:$H$2841,2,FALSE)),"+","")</f>
        <v>+</v>
      </c>
      <c r="AQ60" s="67" t="str">
        <f>IF(ISTEXT(VLOOKUP(CONCATENATE($A60,"_",AQ$3),'Unit List'!$A$14:$H$2841,2,FALSE)),"X",$AP60)</f>
        <v>X</v>
      </c>
      <c r="AR60" s="67" t="str">
        <f>IF(ISTEXT(VLOOKUP(CONCATENATE($A60,"_",AR$3),'Unit List'!$A$14:$H$2841,2,FALSE)),"X",$AP60)</f>
        <v>X</v>
      </c>
      <c r="AS60" s="94" t="str">
        <f>IF(ISTEXT(VLOOKUP(CONCATENATE($A60,"_",AS$3),'Unit List'!$A$14:$H$2841,2,FALSE)),"X",$AP60)</f>
        <v>+</v>
      </c>
      <c r="AT60" s="53" t="str">
        <f>IF(ISTEXT(VLOOKUP(CONCATENATE($A60,"_",AT$3),'Unit List'!$A$14:$H$2841,2,FALSE)),"X",$AP60)</f>
        <v>+</v>
      </c>
      <c r="AU60" s="124" t="str">
        <f>IF(ISTEXT(VLOOKUP(CONCATENATE($A60,"_",AU$3),'Unit List'!$A$14:$H$2841,2,FALSE)),"+","")</f>
        <v>+</v>
      </c>
      <c r="AV60" s="51" t="str">
        <f>IF(ISTEXT(VLOOKUP(CONCATENATE($A60,"_",AV$3),'Unit List'!$A$14:$H$2841,2,FALSE)),"X",$AU60)</f>
        <v>+</v>
      </c>
      <c r="AW60" s="70" t="str">
        <f>IF(ISTEXT(VLOOKUP(CONCATENATE($A60,"_",AW$3),'Unit List'!$A$14:$H$2841,2,FALSE)),"X",$AU60)</f>
        <v>X</v>
      </c>
      <c r="AX60" s="171" t="str">
        <f>IF(ISTEXT(VLOOKUP(CONCATENATE($A60,"_",AX$3),'Unit List'!$A$14:$H$2841,2,FALSE)),"+","")</f>
        <v>+</v>
      </c>
      <c r="AY60" s="67" t="str">
        <f>IF(ISTEXT(VLOOKUP(CONCATENATE($A60,"_",AY$3),'Unit List'!$A$14:$H$2841,2,FALSE)),"X",$AX60)</f>
        <v>+</v>
      </c>
      <c r="AZ60" s="70" t="str">
        <f>IF(ISTEXT(VLOOKUP(CONCATENATE($A60,"_",AZ$3),'Unit List'!$A$14:$H$2841,2,FALSE)),"X",$AX60)</f>
        <v>+</v>
      </c>
      <c r="BA60" s="182" t="str">
        <f>IF(ISTEXT(VLOOKUP(CONCATENATE($A60,"_",BA$3),'Unit List'!$A$14:$H$2841,2,FALSE)),"+","")</f>
        <v/>
      </c>
      <c r="BB60" s="51" t="str">
        <f>IF(ISTEXT(VLOOKUP(CONCATENATE($A60,"_",BB$3),'Unit List'!$A$14:$H$2841,2,FALSE)),"X",$BA60)</f>
        <v/>
      </c>
      <c r="BC60" s="51" t="str">
        <f>IF(ISTEXT(VLOOKUP(CONCATENATE($A60,"_",BC$3),'Unit List'!$A$14:$H$2841,2,FALSE)),"X",$BA60)</f>
        <v/>
      </c>
      <c r="BD60" s="53" t="str">
        <f>IF(ISTEXT(VLOOKUP(CONCATENATE($A60,"_",BD$3),'Unit List'!$A$14:$H$2841,2,FALSE)),"X",$BA60)</f>
        <v/>
      </c>
      <c r="BE60" s="125" t="str">
        <f>IF(ISTEXT(VLOOKUP(CONCATENATE($A60,"_",BE$3),'Unit List'!$A$14:$H$2841,2,FALSE)),"+","")</f>
        <v/>
      </c>
      <c r="BF60" s="68" t="str">
        <f>IF(ISTEXT(VLOOKUP(CONCATENATE($A60,"_",BF$3),'Unit List'!$A$14:$H$2841,2,FALSE)),"X",$BE60)</f>
        <v/>
      </c>
      <c r="BG60" s="75"/>
      <c r="BH60" s="84"/>
      <c r="BI60" s="211"/>
      <c r="BJ60" s="212"/>
      <c r="BK60" s="212"/>
      <c r="BL60" s="212"/>
      <c r="BM60" s="213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List'!$A$14:$H$2841,2,FALSE)),"+","")</f>
        <v/>
      </c>
      <c r="C61" s="57" t="str">
        <f>IF(ISTEXT(VLOOKUP(CONCATENATE($A61,"_",C$3),'Unit List'!$A$14:$H$2841,2,FALSE)),"X",$B61)</f>
        <v/>
      </c>
      <c r="D61" s="51" t="str">
        <f>IF(ISTEXT(VLOOKUP(CONCATENATE($A61,"_",D$3),'Unit List'!$A$14:$H$2841,2,FALSE)),"X",$B61)</f>
        <v/>
      </c>
      <c r="E61" s="51" t="str">
        <f>IF(ISTEXT(VLOOKUP(CONCATENATE($A61,"_",E$3),'Unit List'!$A$14:$H$2841,2,FALSE)),"X",$B61)</f>
        <v/>
      </c>
      <c r="F61" s="60" t="str">
        <f>IF(ISTEXT(VLOOKUP(CONCATENATE($A61,"_",F$3),'Unit List'!$A$14:$H$2841,2,FALSE)),"X",$B61)</f>
        <v/>
      </c>
      <c r="G61" s="51" t="str">
        <f>IF(ISTEXT(VLOOKUP(CONCATENATE($A61,"_",G$3),'Unit List'!$A$14:$H$2841,2,FALSE)),"X",$B61)</f>
        <v/>
      </c>
      <c r="H61" s="51" t="str">
        <f>IF(ISTEXT(VLOOKUP(CONCATENATE($A61,"_",H$3),'Unit List'!$A$14:$H$2841,2,FALSE)),"X",$B61)</f>
        <v/>
      </c>
      <c r="I61" s="53" t="str">
        <f>IF(ISTEXT(VLOOKUP(CONCATENATE($A61,"_",I$3),'Unit List'!$A$14:$H$2841,2,FALSE)),"X",$B61)</f>
        <v/>
      </c>
      <c r="J61" s="172" t="str">
        <f>IF(ISTEXT(VLOOKUP(CONCATENATE($A61,"_",J$3),'Unit List'!$A$14:$H$2841,2,FALSE)),"+","")</f>
        <v/>
      </c>
      <c r="K61" s="51" t="str">
        <f>IF(ISTEXT(VLOOKUP(CONCATENATE($A61,"_",K$3),'Unit List'!$A$14:$H$2841,2,FALSE)),"X",$J61)</f>
        <v/>
      </c>
      <c r="L61" s="62" t="str">
        <f>IF(ISTEXT(VLOOKUP(CONCATENATE($A61,"_",L$3),'Unit List'!$A$14:$H$2841,2,FALSE)),"X",$J61)</f>
        <v/>
      </c>
      <c r="M61" s="172" t="str">
        <f>IF(ISTEXT(VLOOKUP(CONCATENATE($A61,"_",M$3),'Unit List'!$A$14:$H$2841,2,FALSE)),"+","")</f>
        <v/>
      </c>
      <c r="N61" s="51" t="str">
        <f>IF(ISTEXT(VLOOKUP(CONCATENATE($A61,"_",N$3),'Unit List'!$A$14:$H$2841,2,FALSE)),"X",$M61)</f>
        <v/>
      </c>
      <c r="O61" s="53" t="str">
        <f>IF(ISTEXT(VLOOKUP(CONCATENATE($A61,"_",O$3),'Unit List'!$A$14:$H$2841,2,FALSE)),"X",$M61)</f>
        <v/>
      </c>
      <c r="P61" s="172" t="str">
        <f>IF(ISTEXT(VLOOKUP(CONCATENATE($A61,"_",P$3),'Unit List'!$A$14:$H$2841,2,FALSE)),"+","")</f>
        <v/>
      </c>
      <c r="Q61" s="51" t="str">
        <f>IF(ISTEXT(VLOOKUP(CONCATENATE($A61,"_",Q$3),'Unit List'!$A$14:$H$2841,2,FALSE)),"X",$P61)</f>
        <v/>
      </c>
      <c r="R61" s="51" t="str">
        <f>IF(ISTEXT(VLOOKUP(CONCATENATE($A61,"_",R$3),'Unit List'!$A$14:$H$2841,2,FALSE)),"X",$P61)</f>
        <v/>
      </c>
      <c r="S61" s="51" t="str">
        <f>IF(ISTEXT(VLOOKUP(CONCATENATE($A61,"_",S$3),'Unit List'!$A$14:$H$2841,2,FALSE)),"X",$P61)</f>
        <v/>
      </c>
      <c r="T61" s="52" t="str">
        <f>IF(ISTEXT(VLOOKUP(CONCATENATE($A61,"_",T$3),'Unit List'!$A$14:$H$2841,2,FALSE)),"X",$P61)</f>
        <v/>
      </c>
      <c r="U61" s="51" t="str">
        <f>IF(ISTEXT(VLOOKUP(CONCATENATE($A61,"_",U$3),'Unit List'!$A$14:$H$2841,2,FALSE)),"X",$P61)</f>
        <v/>
      </c>
      <c r="V61" s="60" t="str">
        <f>IF(ISTEXT(VLOOKUP(CONCATENATE($A61,"_",V$3),'Unit List'!$A$14:$H$2841,2,FALSE)),"X",$P61)</f>
        <v/>
      </c>
      <c r="W61" s="53" t="str">
        <f>IF(ISTEXT(VLOOKUP(CONCATENATE($A61,"_",W$3),'Unit List'!$A$14:$H$2841,2,FALSE)),"X",$P61)</f>
        <v/>
      </c>
      <c r="X61" s="172" t="str">
        <f>IF(ISTEXT(VLOOKUP(CONCATENATE($A61,"_",X$3),'Unit List'!$A$14:$H$2841,2,FALSE)),"+","")</f>
        <v/>
      </c>
      <c r="Y61" s="51" t="str">
        <f>IF(ISTEXT(VLOOKUP(CONCATENATE($A61,"_",Y$3),'Unit List'!$A$14:$H$2841,2,FALSE)),"X",$X61)</f>
        <v/>
      </c>
      <c r="Z61" s="51" t="str">
        <f>IF(ISTEXT(VLOOKUP(CONCATENATE($A61,"_",Z$3),'Unit List'!$A$14:$H$2841,2,FALSE)),"X",$X61)</f>
        <v/>
      </c>
      <c r="AA61" s="51" t="str">
        <f>IF(ISTEXT(VLOOKUP(CONCATENATE($A61,"_",AA$3),'Unit List'!$A$14:$H$2841,2,FALSE)),"X",$X61)</f>
        <v/>
      </c>
      <c r="AB61" s="51" t="str">
        <f>IF(ISTEXT(VLOOKUP(CONCATENATE($A61,"_",AB$3),'Unit List'!$A$14:$H$2841,2,FALSE)),"X",$X61)</f>
        <v/>
      </c>
      <c r="AC61" s="62" t="str">
        <f>IF(ISTEXT(VLOOKUP(CONCATENATE($A61,"_",AC$3),'Unit List'!$A$14:$H$2841,2,FALSE)),"X",$X61)</f>
        <v/>
      </c>
      <c r="AD61" s="172" t="str">
        <f>IF(ISTEXT(VLOOKUP(CONCATENATE($A61,"_",AD$3),'Unit List'!$A$14:$H$2841,2,FALSE)),"+","")</f>
        <v/>
      </c>
      <c r="AE61" s="51" t="str">
        <f>IF(ISTEXT(VLOOKUP(CONCATENATE($A61,"_",AE$3),'Unit List'!$A$14:$H$2841,2,FALSE)),"X",$AD61)</f>
        <v/>
      </c>
      <c r="AF61" s="51" t="str">
        <f>IF(ISTEXT(VLOOKUP(CONCATENATE($A61,"_",AF$3),'Unit List'!$A$14:$H$2841,2,FALSE)),"X",$AD61)</f>
        <v/>
      </c>
      <c r="AG61" s="172" t="str">
        <f>IF(ISTEXT(VLOOKUP(CONCATENATE($A61,"_",AG$3),'Unit List'!$A$14:$H$2841,2,FALSE)),"+","")</f>
        <v/>
      </c>
      <c r="AH61" s="51" t="str">
        <f>IF(ISTEXT(VLOOKUP(CONCATENATE($A61,"_",AH$3),'Unit List'!$A$14:$H$2841,2,FALSE)),"X",$AG61)</f>
        <v/>
      </c>
      <c r="AI61" s="51" t="str">
        <f>IF(ISTEXT(VLOOKUP(CONCATENATE($A61,"_",AI$3),'Unit List'!$A$14:$H$2841,2,FALSE)),"X",$AG61)</f>
        <v/>
      </c>
      <c r="AJ61" s="53" t="str">
        <f>IF(ISTEXT(VLOOKUP(CONCATENATE($A61,"_",AJ$3),'Unit List'!$A$14:$H$2841,2,FALSE)),"X",$AG61)</f>
        <v/>
      </c>
      <c r="AK61" s="172" t="str">
        <f>IF(ISTEXT(VLOOKUP(CONCATENATE($A61,"_",AK$3),'Unit List'!$A$14:$H$2841,2,FALSE)),"+","")</f>
        <v/>
      </c>
      <c r="AL61" s="52" t="str">
        <f>IF(ISTEXT(VLOOKUP(CONCATENATE($A61,"_",AL$3),'Unit List'!$A$14:$H$2841,2,FALSE)),"X",$AK61)</f>
        <v/>
      </c>
      <c r="AM61" s="53" t="str">
        <f>IF(ISTEXT(VLOOKUP(CONCATENATE($A61,"_",AM$3),'Unit List'!$A$14:$H$2841,2,FALSE)),"X",$AK61)</f>
        <v/>
      </c>
      <c r="AN61" s="125" t="str">
        <f>IF(ISTEXT(VLOOKUP(CONCATENATE($A61,"_",AN$3),'Unit List'!$A$14:$H$2841,2,FALSE)),"+","")</f>
        <v/>
      </c>
      <c r="AO61" s="53" t="str">
        <f>IF(ISTEXT(VLOOKUP(CONCATENATE($A61,"_",AO$3),'Unit List'!$A$14:$H$2841,2,FALSE)),"X",$AN61)</f>
        <v/>
      </c>
      <c r="AP61" s="172" t="str">
        <f>IF(ISTEXT(VLOOKUP(CONCATENATE($A61,"_",AP$3),'Unit List'!$A$14:$H$2841,2,FALSE)),"+","")</f>
        <v/>
      </c>
      <c r="AQ61" s="51" t="str">
        <f>IF(ISTEXT(VLOOKUP(CONCATENATE($A61,"_",AQ$3),'Unit List'!$A$14:$H$2841,2,FALSE)),"X",$AP61)</f>
        <v/>
      </c>
      <c r="AR61" s="51" t="str">
        <f>IF(ISTEXT(VLOOKUP(CONCATENATE($A61,"_",AR$3),'Unit List'!$A$14:$H$2841,2,FALSE)),"X",$AP61)</f>
        <v/>
      </c>
      <c r="AS61" s="51" t="str">
        <f>IF(ISTEXT(VLOOKUP(CONCATENATE($A61,"_",AS$3),'Unit List'!$A$14:$H$2841,2,FALSE)),"X",$AP61)</f>
        <v/>
      </c>
      <c r="AT61" s="53" t="str">
        <f>IF(ISTEXT(VLOOKUP(CONCATENATE($A61,"_",AT$3),'Unit List'!$A$14:$H$2841,2,FALSE)),"X",$AP61)</f>
        <v/>
      </c>
      <c r="AU61" s="124" t="str">
        <f>IF(ISTEXT(VLOOKUP(CONCATENATE($A61,"_",AU$3),'Unit List'!$A$14:$H$2841,2,FALSE)),"+","")</f>
        <v/>
      </c>
      <c r="AV61" s="51" t="str">
        <f>IF(ISTEXT(VLOOKUP(CONCATENATE($A61,"_",AV$3),'Unit List'!$A$14:$H$2841,2,FALSE)),"X",$AU61)</f>
        <v/>
      </c>
      <c r="AW61" s="53" t="str">
        <f>IF(ISTEXT(VLOOKUP(CONCATENATE($A61,"_",AW$3),'Unit List'!$A$14:$H$2841,2,FALSE)),"X",$AU61)</f>
        <v/>
      </c>
      <c r="AX61" s="172" t="str">
        <f>IF(ISTEXT(VLOOKUP(CONCATENATE($A61,"_",AX$3),'Unit List'!$A$14:$H$2841,2,FALSE)),"+","")</f>
        <v/>
      </c>
      <c r="AY61" s="51" t="str">
        <f>IF(ISTEXT(VLOOKUP(CONCATENATE($A61,"_",AY$3),'Unit List'!$A$14:$H$2841,2,FALSE)),"X",$AX61)</f>
        <v/>
      </c>
      <c r="AZ61" s="53" t="str">
        <f>IF(ISTEXT(VLOOKUP(CONCATENATE($A61,"_",AZ$3),'Unit List'!$A$14:$H$2841,2,FALSE)),"X",$AX61)</f>
        <v/>
      </c>
      <c r="BA61" s="182" t="str">
        <f>IF(ISTEXT(VLOOKUP(CONCATENATE($A61,"_",BA$3),'Unit List'!$A$14:$H$2841,2,FALSE)),"+","")</f>
        <v/>
      </c>
      <c r="BB61" s="51" t="str">
        <f>IF(ISTEXT(VLOOKUP(CONCATENATE($A61,"_",BB$3),'Unit List'!$A$14:$H$2841,2,FALSE)),"X",$BA61)</f>
        <v/>
      </c>
      <c r="BC61" s="51" t="str">
        <f>IF(ISTEXT(VLOOKUP(CONCATENATE($A61,"_",BC$3),'Unit List'!$A$14:$H$2841,2,FALSE)),"X",$BA61)</f>
        <v/>
      </c>
      <c r="BD61" s="53" t="str">
        <f>IF(ISTEXT(VLOOKUP(CONCATENATE($A61,"_",BD$3),'Unit List'!$A$14:$H$2841,2,FALSE)),"X",$BA61)</f>
        <v/>
      </c>
      <c r="BE61" s="125" t="str">
        <f>IF(ISTEXT(VLOOKUP(CONCATENATE($A61,"_",BE$3),'Unit List'!$A$14:$H$2841,2,FALSE)),"+","")</f>
        <v/>
      </c>
      <c r="BF61" s="62" t="str">
        <f>IF(ISTEXT(VLOOKUP(CONCATENATE($A61,"_",BF$3),'Unit List'!$A$14:$H$2841,2,FALSE)),"X",$BE61)</f>
        <v/>
      </c>
      <c r="BG61" s="75"/>
      <c r="BH61" s="84"/>
      <c r="BI61" s="211"/>
      <c r="BJ61" s="212"/>
      <c r="BK61" s="212"/>
      <c r="BL61" s="212"/>
      <c r="BM61" s="213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List'!$A$14:$H$2841,2,FALSE)),"+","")</f>
        <v/>
      </c>
      <c r="C62" s="110" t="str">
        <f>IF(ISTEXT(VLOOKUP(CONCATENATE($A62,"_",C$3),'Unit List'!$A$14:$H$2841,2,FALSE)),"X",$B62)</f>
        <v/>
      </c>
      <c r="D62" s="111" t="str">
        <f>IF(ISTEXT(VLOOKUP(CONCATENATE($A62,"_",D$3),'Unit List'!$A$14:$H$2841,2,FALSE)),"X",$B62)</f>
        <v/>
      </c>
      <c r="E62" s="111" t="str">
        <f>IF(ISTEXT(VLOOKUP(CONCATENATE($A62,"_",E$3),'Unit List'!$A$14:$H$2841,2,FALSE)),"X",$B62)</f>
        <v/>
      </c>
      <c r="F62" s="111" t="str">
        <f>IF(ISTEXT(VLOOKUP(CONCATENATE($A62,"_",F$3),'Unit List'!$A$14:$H$2841,2,FALSE)),"X",$B62)</f>
        <v/>
      </c>
      <c r="G62" s="111" t="str">
        <f>IF(ISTEXT(VLOOKUP(CONCATENATE($A62,"_",G$3),'Unit List'!$A$14:$H$2841,2,FALSE)),"X",$B62)</f>
        <v/>
      </c>
      <c r="H62" s="111" t="str">
        <f>IF(ISTEXT(VLOOKUP(CONCATENATE($A62,"_",H$3),'Unit List'!$A$14:$H$2841,2,FALSE)),"X",$B62)</f>
        <v/>
      </c>
      <c r="I62" s="112" t="s">
        <v>0</v>
      </c>
      <c r="J62" s="173" t="str">
        <f>IF(ISTEXT(VLOOKUP(CONCATENATE($A62,"_",J$3),'Unit List'!$A$14:$H$2841,2,FALSE)),"+","")</f>
        <v/>
      </c>
      <c r="K62" s="111" t="str">
        <f>IF(ISTEXT(VLOOKUP(CONCATENATE($A62,"_",K$3),'Unit List'!$A$14:$H$2841,2,FALSE)),"X",$J62)</f>
        <v/>
      </c>
      <c r="L62" s="113" t="str">
        <f>IF(ISTEXT(VLOOKUP(CONCATENATE($A62,"_",L$3),'Unit List'!$A$14:$H$2841,2,FALSE)),"X",$J62)</f>
        <v/>
      </c>
      <c r="M62" s="173" t="str">
        <f>IF(ISTEXT(VLOOKUP(CONCATENATE($A62,"_",M$3),'Unit List'!$A$14:$H$2841,2,FALSE)),"+","")</f>
        <v/>
      </c>
      <c r="N62" s="111" t="str">
        <f>IF(ISTEXT(VLOOKUP(CONCATENATE($A62,"_",N$3),'Unit List'!$A$14:$H$2841,2,FALSE)),"X",$M62)</f>
        <v/>
      </c>
      <c r="O62" s="114" t="str">
        <f>IF(ISTEXT(VLOOKUP(CONCATENATE($A62,"_",O$3),'Unit List'!$A$14:$H$2841,2,FALSE)),"X",$M62)</f>
        <v/>
      </c>
      <c r="P62" s="173" t="str">
        <f>IF(ISTEXT(VLOOKUP(CONCATENATE($A62,"_",P$3),'Unit List'!$A$14:$H$2841,2,FALSE)),"+","")</f>
        <v/>
      </c>
      <c r="Q62" s="111" t="str">
        <f>IF(ISTEXT(VLOOKUP(CONCATENATE($A62,"_",Q$3),'Unit List'!$A$14:$H$2841,2,FALSE)),"X",$P62)</f>
        <v/>
      </c>
      <c r="R62" s="111" t="str">
        <f>IF(ISTEXT(VLOOKUP(CONCATENATE($A62,"_",R$3),'Unit List'!$A$14:$H$2841,2,FALSE)),"X",$P62)</f>
        <v/>
      </c>
      <c r="S62" s="111" t="str">
        <f>IF(ISTEXT(VLOOKUP(CONCATENATE($A62,"_",S$3),'Unit List'!$A$14:$H$2841,2,FALSE)),"X",$P62)</f>
        <v/>
      </c>
      <c r="T62" s="115" t="str">
        <f>IF(ISTEXT(VLOOKUP(CONCATENATE($A62,"_",T$3),'Unit List'!$A$14:$H$2841,2,FALSE)),"X",$P62)</f>
        <v/>
      </c>
      <c r="U62" s="111" t="str">
        <f>IF(ISTEXT(VLOOKUP(CONCATENATE($A62,"_",U$3),'Unit List'!$A$14:$H$2841,2,FALSE)),"X",$P62)</f>
        <v/>
      </c>
      <c r="V62" s="111" t="str">
        <f>IF(ISTEXT(VLOOKUP(CONCATENATE($A62,"_",V$3),'Unit List'!$A$14:$H$2841,2,FALSE)),"X",$P62)</f>
        <v/>
      </c>
      <c r="W62" s="114" t="str">
        <f>IF(ISTEXT(VLOOKUP(CONCATENATE($A62,"_",W$3),'Unit List'!$A$14:$H$2841,2,FALSE)),"X",$P62)</f>
        <v/>
      </c>
      <c r="X62" s="173" t="str">
        <f>IF(ISTEXT(VLOOKUP(CONCATENATE($A62,"_",X$3),'Unit List'!$A$14:$H$2841,2,FALSE)),"+","")</f>
        <v/>
      </c>
      <c r="Y62" s="111" t="str">
        <f>IF(ISTEXT(VLOOKUP(CONCATENATE($A62,"_",Y$3),'Unit List'!$A$14:$H$2841,2,FALSE)),"X",$X62)</f>
        <v/>
      </c>
      <c r="Z62" s="111" t="str">
        <f>IF(ISTEXT(VLOOKUP(CONCATENATE($A62,"_",Z$3),'Unit List'!$A$14:$H$2841,2,FALSE)),"X",$X62)</f>
        <v/>
      </c>
      <c r="AA62" s="111" t="str">
        <f>IF(ISTEXT(VLOOKUP(CONCATENATE($A62,"_",AA$3),'Unit List'!$A$14:$H$2841,2,FALSE)),"X",$X62)</f>
        <v/>
      </c>
      <c r="AB62" s="111" t="str">
        <f>IF(ISTEXT(VLOOKUP(CONCATENATE($A62,"_",AB$3),'Unit List'!$A$14:$H$2841,2,FALSE)),"X",$X62)</f>
        <v/>
      </c>
      <c r="AC62" s="113" t="str">
        <f>IF(ISTEXT(VLOOKUP(CONCATENATE($A62,"_",AC$3),'Unit List'!$A$14:$H$2841,2,FALSE)),"X",$X62)</f>
        <v/>
      </c>
      <c r="AD62" s="173" t="str">
        <f>IF(ISTEXT(VLOOKUP(CONCATENATE($A62,"_",AD$3),'Unit List'!$A$14:$H$2841,2,FALSE)),"+","")</f>
        <v/>
      </c>
      <c r="AE62" s="111" t="str">
        <f>IF(ISTEXT(VLOOKUP(CONCATENATE($A62,"_",AE$3),'Unit List'!$A$14:$H$2841,2,FALSE)),"X",$AD62)</f>
        <v/>
      </c>
      <c r="AF62" s="114" t="str">
        <f>IF(ISTEXT(VLOOKUP(CONCATENATE($A62,"_",AF$3),'Unit List'!$A$14:$H$2841,2,FALSE)),"X",$AD62)</f>
        <v/>
      </c>
      <c r="AG62" s="173" t="str">
        <f>IF(ISTEXT(VLOOKUP(CONCATENATE($A62,"_",AG$3),'Unit List'!$A$14:$H$2841,2,FALSE)),"+","")</f>
        <v/>
      </c>
      <c r="AH62" s="111" t="str">
        <f>IF(ISTEXT(VLOOKUP(CONCATENATE($A62,"_",AH$3),'Unit List'!$A$14:$H$2841,2,FALSE)),"X",$AG62)</f>
        <v/>
      </c>
      <c r="AI62" s="111" t="str">
        <f>IF(ISTEXT(VLOOKUP(CONCATENATE($A62,"_",AI$3),'Unit List'!$A$14:$H$2841,2,FALSE)),"X",$AG62)</f>
        <v/>
      </c>
      <c r="AJ62" s="114" t="str">
        <f>IF(ISTEXT(VLOOKUP(CONCATENATE($A62,"_",AJ$3),'Unit List'!$A$14:$H$2841,2,FALSE)),"X",$AG62)</f>
        <v/>
      </c>
      <c r="AK62" s="173" t="str">
        <f>IF(ISTEXT(VLOOKUP(CONCATENATE($A62,"_",AK$3),'Unit List'!$A$14:$H$2841,2,FALSE)),"+","")</f>
        <v/>
      </c>
      <c r="AL62" s="115" t="str">
        <f>IF(ISTEXT(VLOOKUP(CONCATENATE($A62,"_",AL$3),'Unit List'!$A$14:$H$2841,2,FALSE)),"X",$AK62)</f>
        <v/>
      </c>
      <c r="AM62" s="114" t="str">
        <f>IF(ISTEXT(VLOOKUP(CONCATENATE($A62,"_",AM$3),'Unit List'!$A$14:$H$2841,2,FALSE)),"X",$AK62)</f>
        <v/>
      </c>
      <c r="AN62" s="186" t="str">
        <f>IF(ISTEXT(VLOOKUP(CONCATENATE($A62,"_",AN$3),'Unit List'!$A$14:$H$2841,2,FALSE)),"+","")</f>
        <v/>
      </c>
      <c r="AO62" s="114" t="str">
        <f>IF(ISTEXT(VLOOKUP(CONCATENATE($A62,"_",AO$3),'Unit List'!$A$14:$H$2841,2,FALSE)),"X",$AN62)</f>
        <v/>
      </c>
      <c r="AP62" s="173" t="str">
        <f>IF(ISTEXT(VLOOKUP(CONCATENATE($A62,"_",AP$3),'Unit List'!$A$14:$H$2841,2,FALSE)),"+","")</f>
        <v/>
      </c>
      <c r="AQ62" s="111" t="str">
        <f>IF(ISTEXT(VLOOKUP(CONCATENATE($A62,"_",AQ$3),'Unit List'!$A$14:$H$2841,2,FALSE)),"X",$AP62)</f>
        <v/>
      </c>
      <c r="AR62" s="111" t="str">
        <f>IF(ISTEXT(VLOOKUP(CONCATENATE($A62,"_",AR$3),'Unit List'!$A$14:$H$2841,2,FALSE)),"X",$AP62)</f>
        <v/>
      </c>
      <c r="AS62" s="111" t="str">
        <f>IF(ISTEXT(VLOOKUP(CONCATENATE($A62,"_",AS$3),'Unit List'!$A$14:$H$2841,2,FALSE)),"X",$AP62)</f>
        <v/>
      </c>
      <c r="AT62" s="114" t="str">
        <f>IF(ISTEXT(VLOOKUP(CONCATENATE($A62,"_",AT$3),'Unit List'!$A$14:$H$2841,2,FALSE)),"X",$AP62)</f>
        <v/>
      </c>
      <c r="AU62" s="187" t="str">
        <f>IF(ISTEXT(VLOOKUP(CONCATENATE($A62,"_",AU$3),'Unit List'!$A$14:$H$2841,2,FALSE)),"+","")</f>
        <v/>
      </c>
      <c r="AV62" s="111" t="str">
        <f>IF(ISTEXT(VLOOKUP(CONCATENATE($A62,"_",AV$3),'Unit List'!$A$14:$H$2841,2,FALSE)),"X",$AU62)</f>
        <v/>
      </c>
      <c r="AW62" s="114" t="str">
        <f>IF(ISTEXT(VLOOKUP(CONCATENATE($A62,"_",AW$3),'Unit List'!$A$14:$H$2841,2,FALSE)),"X",$AU62)</f>
        <v/>
      </c>
      <c r="AX62" s="173" t="str">
        <f>IF(ISTEXT(VLOOKUP(CONCATENATE($A62,"_",AX$3),'Unit List'!$A$14:$H$2841,2,FALSE)),"+","")</f>
        <v/>
      </c>
      <c r="AY62" s="111" t="str">
        <f>IF(ISTEXT(VLOOKUP(CONCATENATE($A62,"_",AY$3),'Unit List'!$A$14:$H$2841,2,FALSE)),"X",$AX62)</f>
        <v/>
      </c>
      <c r="AZ62" s="114" t="str">
        <f>IF(ISTEXT(VLOOKUP(CONCATENATE($A62,"_",AZ$3),'Unit List'!$A$14:$H$2841,2,FALSE)),"X",$AX62)</f>
        <v/>
      </c>
      <c r="BA62" s="188" t="str">
        <f>IF(ISTEXT(VLOOKUP(CONCATENATE($A62,"_",BA$3),'Unit List'!$A$14:$H$2841,2,FALSE)),"+","")</f>
        <v/>
      </c>
      <c r="BB62" s="111" t="str">
        <f>IF(ISTEXT(VLOOKUP(CONCATENATE($A62,"_",BB$3),'Unit List'!$A$14:$H$2841,2,FALSE)),"X",$BA62)</f>
        <v/>
      </c>
      <c r="BC62" s="111" t="str">
        <f>IF(ISTEXT(VLOOKUP(CONCATENATE($A62,"_",BC$3),'Unit List'!$A$14:$H$2841,2,FALSE)),"X",$BA62)</f>
        <v/>
      </c>
      <c r="BD62" s="114" t="str">
        <f>IF(ISTEXT(VLOOKUP(CONCATENATE($A62,"_",BD$3),'Unit List'!$A$14:$H$2841,2,FALSE)),"X",$BA62)</f>
        <v/>
      </c>
      <c r="BE62" s="186" t="str">
        <f>IF(ISTEXT(VLOOKUP(CONCATENATE($A62,"_",BE$3),'Unit List'!$A$14:$H$2841,2,FALSE)),"+","")</f>
        <v/>
      </c>
      <c r="BF62" s="113" t="str">
        <f>IF(ISTEXT(VLOOKUP(CONCATENATE($A62,"_",BF$3),'Unit List'!$A$14:$H$2841,2,FALSE)),"X",$BE62)</f>
        <v/>
      </c>
      <c r="BG62" s="116"/>
      <c r="BH62" s="117"/>
      <c r="BI62" s="216"/>
      <c r="BJ62" s="217"/>
      <c r="BK62" s="217"/>
      <c r="BL62" s="217"/>
      <c r="BM62" s="218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List'!$A$14:$H$2841,2,FALSE)),"+","")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19"/>
      <c r="BJ63" s="220"/>
      <c r="BK63" s="220"/>
      <c r="BL63" s="220"/>
      <c r="BM63" s="221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List'!$A$14:$H$2841,2,FALSE)),"+","")</f>
        <v/>
      </c>
      <c r="C64" s="119" t="str">
        <f>IF(ISTEXT(VLOOKUP(CONCATENATE($A64,"_",C$3),'Unit List'!$A$14:$H$2841,2,FALSE)),"X",$B64)</f>
        <v/>
      </c>
      <c r="D64" s="120" t="str">
        <f>IF(ISTEXT(VLOOKUP(CONCATENATE($A64,"_",D$3),'Unit List'!$A$14:$H$2841,2,FALSE)),"X",$B64)</f>
        <v/>
      </c>
      <c r="E64" s="120" t="str">
        <f>IF(ISTEXT(VLOOKUP(CONCATENATE($A64,"_",E$3),'Unit List'!$A$14:$H$2841,2,FALSE)),"X",$B64)</f>
        <v/>
      </c>
      <c r="F64" s="120" t="str">
        <f>IF(ISTEXT(VLOOKUP(CONCATENATE($A64,"_",F$3),'Unit List'!$A$14:$H$2841,2,FALSE)),"X",$B64)</f>
        <v/>
      </c>
      <c r="G64" s="120" t="str">
        <f>IF(ISTEXT(VLOOKUP(CONCATENATE($A64,"_",G$3),'Unit List'!$A$14:$H$2841,2,FALSE)),"X",$B64)</f>
        <v/>
      </c>
      <c r="H64" s="120" t="str">
        <f>IF(ISTEXT(VLOOKUP(CONCATENATE($A64,"_",H$3),'Unit List'!$A$14:$H$2841,2,FALSE)),"X",$B64)</f>
        <v/>
      </c>
      <c r="I64" s="122" t="str">
        <f>IF(ISTEXT(VLOOKUP(CONCATENATE($A64,"_",I$3),'Unit List'!$A$14:$H$2841,2,FALSE)),"X",$B64)</f>
        <v/>
      </c>
      <c r="J64" s="172" t="str">
        <f>IF(ISTEXT(VLOOKUP(CONCATENATE($A64,"_",J$3),'Unit List'!$A$14:$H$2841,2,FALSE)),"+","")</f>
        <v/>
      </c>
      <c r="K64" s="120" t="str">
        <f>IF(ISTEXT(VLOOKUP(CONCATENATE($A64,"_",K$3),'Unit List'!$A$14:$H$2841,2,FALSE)),"X",$J64)</f>
        <v/>
      </c>
      <c r="L64" s="75" t="str">
        <f>IF(ISTEXT(VLOOKUP(CONCATENATE($A64,"_",L$3),'Unit List'!$A$14:$H$2841,2,FALSE)),"X",$J64)</f>
        <v/>
      </c>
      <c r="M64" s="172" t="str">
        <f>IF(ISTEXT(VLOOKUP(CONCATENATE($A64,"_",M$3),'Unit List'!$A$14:$H$2841,2,FALSE)),"+","")</f>
        <v/>
      </c>
      <c r="N64" s="120" t="str">
        <f>IF(ISTEXT(VLOOKUP(CONCATENATE($A64,"_",N$3),'Unit List'!$A$14:$H$2841,2,FALSE)),"X",$M64)</f>
        <v/>
      </c>
      <c r="O64" s="122" t="str">
        <f>IF(ISTEXT(VLOOKUP(CONCATENATE($A64,"_",O$3),'Unit List'!$A$14:$H$2841,2,FALSE)),"X",$M64)</f>
        <v/>
      </c>
      <c r="P64" s="172" t="str">
        <f>IF(ISTEXT(VLOOKUP(CONCATENATE($A64,"_",P$3),'Unit List'!$A$14:$H$2841,2,FALSE)),"+","")</f>
        <v/>
      </c>
      <c r="Q64" s="120" t="str">
        <f>IF(ISTEXT(VLOOKUP(CONCATENATE($A64,"_",Q$3),'Unit List'!$A$14:$H$2841,2,FALSE)),"X",$P64)</f>
        <v/>
      </c>
      <c r="R64" s="120" t="str">
        <f>IF(ISTEXT(VLOOKUP(CONCATENATE($A64,"_",R$3),'Unit List'!$A$14:$H$2841,2,FALSE)),"X",$P64)</f>
        <v/>
      </c>
      <c r="S64" s="120" t="str">
        <f>IF(ISTEXT(VLOOKUP(CONCATENATE($A64,"_",S$3),'Unit List'!$A$14:$H$2841,2,FALSE)),"X",$P64)</f>
        <v/>
      </c>
      <c r="T64" s="121" t="str">
        <f>IF(ISTEXT(VLOOKUP(CONCATENATE($A64,"_",T$3),'Unit List'!$A$14:$H$2841,2,FALSE)),"X",$P64)</f>
        <v/>
      </c>
      <c r="U64" s="120" t="str">
        <f>IF(ISTEXT(VLOOKUP(CONCATENATE($A64,"_",U$3),'Unit List'!$A$14:$H$2841,2,FALSE)),"X",$P64)</f>
        <v/>
      </c>
      <c r="V64" s="120" t="str">
        <f>IF(ISTEXT(VLOOKUP(CONCATENATE($A64,"_",V$3),'Unit List'!$A$14:$H$2841,2,FALSE)),"X",$P64)</f>
        <v/>
      </c>
      <c r="W64" s="122" t="str">
        <f>IF(ISTEXT(VLOOKUP(CONCATENATE($A64,"_",W$3),'Unit List'!$A$14:$H$2841,2,FALSE)),"X",$P64)</f>
        <v/>
      </c>
      <c r="X64" s="172" t="str">
        <f>IF(ISTEXT(VLOOKUP(CONCATENATE($A64,"_",X$3),'Unit List'!$A$14:$H$2841,2,FALSE)),"+","")</f>
        <v/>
      </c>
      <c r="Y64" s="120" t="str">
        <f>IF(ISTEXT(VLOOKUP(CONCATENATE($A64,"_",Y$3),'Unit List'!$A$14:$H$2841,2,FALSE)),"X",$X64)</f>
        <v/>
      </c>
      <c r="Z64" s="120" t="str">
        <f>IF(ISTEXT(VLOOKUP(CONCATENATE($A64,"_",Z$3),'Unit List'!$A$14:$H$2841,2,FALSE)),"X",$X64)</f>
        <v/>
      </c>
      <c r="AA64" s="120" t="str">
        <f>IF(ISTEXT(VLOOKUP(CONCATENATE($A64,"_",AA$3),'Unit List'!$A$14:$H$2841,2,FALSE)),"X",$X64)</f>
        <v/>
      </c>
      <c r="AB64" s="120" t="str">
        <f>IF(ISTEXT(VLOOKUP(CONCATENATE($A64,"_",AB$3),'Unit List'!$A$14:$H$2841,2,FALSE)),"X",$X64)</f>
        <v/>
      </c>
      <c r="AC64" s="75" t="str">
        <f>IF(ISTEXT(VLOOKUP(CONCATENATE($A64,"_",AC$3),'Unit List'!$A$14:$H$2841,2,FALSE)),"X",$X64)</f>
        <v/>
      </c>
      <c r="AD64" s="172" t="str">
        <f>IF(ISTEXT(VLOOKUP(CONCATENATE($A64,"_",AD$3),'Unit List'!$A$14:$H$2841,2,FALSE)),"+","")</f>
        <v/>
      </c>
      <c r="AE64" s="120" t="str">
        <f>IF(ISTEXT(VLOOKUP(CONCATENATE($A64,"_",AE$3),'Unit List'!$A$14:$H$2841,2,FALSE)),"X",$AD64)</f>
        <v/>
      </c>
      <c r="AF64" s="120" t="str">
        <f>IF(ISTEXT(VLOOKUP(CONCATENATE($A64,"_",AF$3),'Unit List'!$A$14:$H$2841,2,FALSE)),"X",$AD64)</f>
        <v/>
      </c>
      <c r="AG64" s="172" t="str">
        <f>IF(ISTEXT(VLOOKUP(CONCATENATE($A64,"_",AG$3),'Unit List'!$A$14:$H$2841,2,FALSE)),"+","")</f>
        <v/>
      </c>
      <c r="AH64" s="120" t="str">
        <f>IF(ISTEXT(VLOOKUP(CONCATENATE($A64,"_",AH$3),'Unit List'!$A$14:$H$2841,2,FALSE)),"X",$AG64)</f>
        <v/>
      </c>
      <c r="AI64" s="120" t="str">
        <f>IF(ISTEXT(VLOOKUP(CONCATENATE($A64,"_",AI$3),'Unit List'!$A$14:$H$2841,2,FALSE)),"X",$AG64)</f>
        <v/>
      </c>
      <c r="AJ64" s="122" t="str">
        <f>IF(ISTEXT(VLOOKUP(CONCATENATE($A64,"_",AJ$3),'Unit List'!$A$14:$H$2841,2,FALSE)),"X",$AG64)</f>
        <v/>
      </c>
      <c r="AK64" s="172" t="str">
        <f>IF(ISTEXT(VLOOKUP(CONCATENATE($A64,"_",AK$3),'Unit List'!$A$14:$H$2841,2,FALSE)),"+","")</f>
        <v/>
      </c>
      <c r="AL64" s="121" t="str">
        <f>IF(ISTEXT(VLOOKUP(CONCATENATE($A64,"_",AL$3),'Unit List'!$A$14:$H$2841,2,FALSE)),"X",$AK64)</f>
        <v/>
      </c>
      <c r="AM64" s="122" t="str">
        <f>IF(ISTEXT(VLOOKUP(CONCATENATE($A64,"_",AM$3),'Unit List'!$A$14:$H$2841,2,FALSE)),"X",$AK64)</f>
        <v/>
      </c>
      <c r="AN64" s="125" t="str">
        <f>IF(ISTEXT(VLOOKUP(CONCATENATE($A64,"_",AN$3),'Unit List'!$A$14:$H$2841,2,FALSE)),"+","")</f>
        <v/>
      </c>
      <c r="AO64" s="122" t="str">
        <f>IF(ISTEXT(VLOOKUP(CONCATENATE($A64,"_",AO$3),'Unit List'!$A$14:$H$2841,2,FALSE)),"X",$AN64)</f>
        <v/>
      </c>
      <c r="AP64" s="172" t="str">
        <f>IF(ISTEXT(VLOOKUP(CONCATENATE($A64,"_",AP$3),'Unit List'!$A$14:$H$2841,2,FALSE)),"+","")</f>
        <v/>
      </c>
      <c r="AQ64" s="120" t="str">
        <f>IF(ISTEXT(VLOOKUP(CONCATENATE($A64,"_",AQ$3),'Unit List'!$A$14:$H$2841,2,FALSE)),"X",$AP64)</f>
        <v/>
      </c>
      <c r="AR64" s="120" t="str">
        <f>IF(ISTEXT(VLOOKUP(CONCATENATE($A64,"_",AR$3),'Unit List'!$A$14:$H$2841,2,FALSE)),"X",$AP64)</f>
        <v/>
      </c>
      <c r="AS64" s="120" t="str">
        <f>IF(ISTEXT(VLOOKUP(CONCATENATE($A64,"_",AS$3),'Unit List'!$A$14:$H$2841,2,FALSE)),"X",$AP64)</f>
        <v/>
      </c>
      <c r="AT64" s="122" t="str">
        <f>IF(ISTEXT(VLOOKUP(CONCATENATE($A64,"_",AT$3),'Unit List'!$A$14:$H$2841,2,FALSE)),"X",$AP64)</f>
        <v/>
      </c>
      <c r="AU64" s="124" t="str">
        <f>IF(ISTEXT(VLOOKUP(CONCATENATE($A64,"_",AU$3),'Unit List'!$A$14:$H$2841,2,FALSE)),"+","")</f>
        <v/>
      </c>
      <c r="AV64" s="120" t="str">
        <f>IF(ISTEXT(VLOOKUP(CONCATENATE($A64,"_",AV$3),'Unit List'!$A$14:$H$2841,2,FALSE)),"X",$AU64)</f>
        <v/>
      </c>
      <c r="AW64" s="122" t="str">
        <f>IF(ISTEXT(VLOOKUP(CONCATENATE($A64,"_",AW$3),'Unit List'!$A$14:$H$2841,2,FALSE)),"X",$AU64)</f>
        <v/>
      </c>
      <c r="AX64" s="172" t="str">
        <f>IF(ISTEXT(VLOOKUP(CONCATENATE($A64,"_",AX$3),'Unit List'!$A$14:$H$2841,2,FALSE)),"+","")</f>
        <v/>
      </c>
      <c r="AY64" s="120" t="str">
        <f>IF(ISTEXT(VLOOKUP(CONCATENATE($A64,"_",AY$3),'Unit List'!$A$14:$H$2841,2,FALSE)),"X",$AX64)</f>
        <v/>
      </c>
      <c r="AZ64" s="122" t="str">
        <f>IF(ISTEXT(VLOOKUP(CONCATENATE($A64,"_",AZ$3),'Unit List'!$A$14:$H$2841,2,FALSE)),"X",$AX64)</f>
        <v/>
      </c>
      <c r="BA64" s="172" t="str">
        <f>IF(ISTEXT(VLOOKUP(CONCATENATE($A64,"_",BA$3),'Unit List'!$A$14:$H$2841,2,FALSE)),"+","")</f>
        <v/>
      </c>
      <c r="BB64" s="120" t="str">
        <f>IF(ISTEXT(VLOOKUP(CONCATENATE($A64,"_",BB$3),'Unit List'!$A$14:$H$2841,2,FALSE)),"X",$BA64)</f>
        <v/>
      </c>
      <c r="BC64" s="120" t="str">
        <f>IF(ISTEXT(VLOOKUP(CONCATENATE($A64,"_",BC$3),'Unit List'!$A$14:$H$2841,2,FALSE)),"X",$BA64)</f>
        <v/>
      </c>
      <c r="BD64" s="122" t="str">
        <f>IF(ISTEXT(VLOOKUP(CONCATENATE($A64,"_",BD$3),'Unit List'!$A$14:$H$2841,2,FALSE)),"X",$BA64)</f>
        <v/>
      </c>
      <c r="BE64" s="125" t="str">
        <f>IF(ISTEXT(VLOOKUP(CONCATENATE($A64,"_",BE$3),'Unit List'!$A$14:$H$2841,2,FALSE)),"+","")</f>
        <v/>
      </c>
      <c r="BF64" s="75" t="str">
        <f>IF(ISTEXT(VLOOKUP(CONCATENATE($A64,"_",BF$3),'Unit List'!$A$14:$H$2841,2,FALSE)),"X",$BE64)</f>
        <v/>
      </c>
      <c r="BG64" s="64" t="s">
        <v>0</v>
      </c>
      <c r="BH64" s="65" t="s">
        <v>0</v>
      </c>
      <c r="BI64" s="211"/>
      <c r="BJ64" s="212"/>
      <c r="BK64" s="212"/>
      <c r="BL64" s="212"/>
      <c r="BM64" s="213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List'!$A$14:$H$2841,2,FALSE)),"+","")</f>
        <v/>
      </c>
      <c r="C65" s="119" t="str">
        <f>IF(ISTEXT(VLOOKUP(CONCATENATE($A65,"_",C$3),'Unit List'!$A$14:$H$2841,2,FALSE)),"X",$B65)</f>
        <v/>
      </c>
      <c r="D65" s="120" t="str">
        <f>IF(ISTEXT(VLOOKUP(CONCATENATE($A65,"_",D$3),'Unit List'!$A$14:$H$2841,2,FALSE)),"X",$B65)</f>
        <v/>
      </c>
      <c r="E65" s="120" t="str">
        <f>IF(ISTEXT(VLOOKUP(CONCATENATE($A65,"_",E$3),'Unit List'!$A$14:$H$2841,2,FALSE)),"X",$B65)</f>
        <v/>
      </c>
      <c r="F65" s="120" t="str">
        <f>IF(ISTEXT(VLOOKUP(CONCATENATE($A65,"_",F$3),'Unit List'!$A$14:$H$2841,2,FALSE)),"X",$B65)</f>
        <v/>
      </c>
      <c r="G65" s="120" t="str">
        <f>IF(ISTEXT(VLOOKUP(CONCATENATE($A65,"_",G$3),'Unit List'!$A$14:$H$2841,2,FALSE)),"X",$B65)</f>
        <v/>
      </c>
      <c r="H65" s="120" t="str">
        <f>IF(ISTEXT(VLOOKUP(CONCATENATE($A65,"_",H$3),'Unit List'!$A$14:$H$2841,2,FALSE)),"X",$B65)</f>
        <v/>
      </c>
      <c r="I65" s="122" t="str">
        <f>IF(ISTEXT(VLOOKUP(CONCATENATE($A65,"_",I$3),'Unit List'!$A$14:$H$2841,2,FALSE)),"X",$B65)</f>
        <v/>
      </c>
      <c r="J65" s="172" t="str">
        <f>IF(ISTEXT(VLOOKUP(CONCATENATE($A65,"_",J$3),'Unit List'!$A$14:$H$2841,2,FALSE)),"+","")</f>
        <v/>
      </c>
      <c r="K65" s="120" t="str">
        <f>IF(ISTEXT(VLOOKUP(CONCATENATE($A65,"_",K$3),'Unit List'!$A$14:$H$2841,2,FALSE)),"X",$J65)</f>
        <v/>
      </c>
      <c r="L65" s="75" t="str">
        <f>IF(ISTEXT(VLOOKUP(CONCATENATE($A65,"_",L$3),'Unit List'!$A$14:$H$2841,2,FALSE)),"X",$J65)</f>
        <v/>
      </c>
      <c r="M65" s="172" t="str">
        <f>IF(ISTEXT(VLOOKUP(CONCATENATE($A65,"_",M$3),'Unit List'!$A$14:$H$2841,2,FALSE)),"+","")</f>
        <v/>
      </c>
      <c r="N65" s="120" t="str">
        <f>IF(ISTEXT(VLOOKUP(CONCATENATE($A65,"_",N$3),'Unit List'!$A$14:$H$2841,2,FALSE)),"X",$M65)</f>
        <v/>
      </c>
      <c r="O65" s="122" t="str">
        <f>IF(ISTEXT(VLOOKUP(CONCATENATE($A65,"_",O$3),'Unit List'!$A$14:$H$2841,2,FALSE)),"X",$M65)</f>
        <v/>
      </c>
      <c r="P65" s="172" t="str">
        <f>IF(ISTEXT(VLOOKUP(CONCATENATE($A65,"_",P$3),'Unit List'!$A$14:$H$2841,2,FALSE)),"+","")</f>
        <v/>
      </c>
      <c r="Q65" s="120" t="str">
        <f>IF(ISTEXT(VLOOKUP(CONCATENATE($A65,"_",Q$3),'Unit List'!$A$14:$H$2841,2,FALSE)),"X",$P65)</f>
        <v/>
      </c>
      <c r="R65" s="120" t="str">
        <f>IF(ISTEXT(VLOOKUP(CONCATENATE($A65,"_",R$3),'Unit List'!$A$14:$H$2841,2,FALSE)),"X",$P65)</f>
        <v/>
      </c>
      <c r="S65" s="120" t="str">
        <f>IF(ISTEXT(VLOOKUP(CONCATENATE($A65,"_",S$3),'Unit List'!$A$14:$H$2841,2,FALSE)),"X",$P65)</f>
        <v/>
      </c>
      <c r="T65" s="121" t="str">
        <f>IF(ISTEXT(VLOOKUP(CONCATENATE($A65,"_",T$3),'Unit List'!$A$14:$H$2841,2,FALSE)),"X",$P65)</f>
        <v/>
      </c>
      <c r="U65" s="120" t="str">
        <f>IF(ISTEXT(VLOOKUP(CONCATENATE($A65,"_",U$3),'Unit List'!$A$14:$H$2841,2,FALSE)),"X",$P65)</f>
        <v/>
      </c>
      <c r="V65" s="120" t="str">
        <f>IF(ISTEXT(VLOOKUP(CONCATENATE($A65,"_",V$3),'Unit List'!$A$14:$H$2841,2,FALSE)),"X",$P65)</f>
        <v/>
      </c>
      <c r="W65" s="122" t="str">
        <f>IF(ISTEXT(VLOOKUP(CONCATENATE($A65,"_",W$3),'Unit List'!$A$14:$H$2841,2,FALSE)),"X",$P65)</f>
        <v/>
      </c>
      <c r="X65" s="172" t="str">
        <f>IF(ISTEXT(VLOOKUP(CONCATENATE($A65,"_",X$3),'Unit List'!$A$14:$H$2841,2,FALSE)),"+","")</f>
        <v/>
      </c>
      <c r="Y65" s="120" t="str">
        <f>IF(ISTEXT(VLOOKUP(CONCATENATE($A65,"_",Y$3),'Unit List'!$A$14:$H$2841,2,FALSE)),"X",$X65)</f>
        <v/>
      </c>
      <c r="Z65" s="120" t="str">
        <f>IF(ISTEXT(VLOOKUP(CONCATENATE($A65,"_",Z$3),'Unit List'!$A$14:$H$2841,2,FALSE)),"X",$X65)</f>
        <v/>
      </c>
      <c r="AA65" s="120" t="str">
        <f>IF(ISTEXT(VLOOKUP(CONCATENATE($A65,"_",AA$3),'Unit List'!$A$14:$H$2841,2,FALSE)),"X",$X65)</f>
        <v/>
      </c>
      <c r="AB65" s="120" t="str">
        <f>IF(ISTEXT(VLOOKUP(CONCATENATE($A65,"_",AB$3),'Unit List'!$A$14:$H$2841,2,FALSE)),"X",$X65)</f>
        <v/>
      </c>
      <c r="AC65" s="75" t="str">
        <f>IF(ISTEXT(VLOOKUP(CONCATENATE($A65,"_",AC$3),'Unit List'!$A$14:$H$2841,2,FALSE)),"X",$X65)</f>
        <v/>
      </c>
      <c r="AD65" s="172" t="str">
        <f>IF(ISTEXT(VLOOKUP(CONCATENATE($A65,"_",AD$3),'Unit List'!$A$14:$H$2841,2,FALSE)),"+","")</f>
        <v/>
      </c>
      <c r="AE65" s="120" t="str">
        <f>IF(ISTEXT(VLOOKUP(CONCATENATE($A65,"_",AE$3),'Unit List'!$A$14:$H$2841,2,FALSE)),"X",$AD65)</f>
        <v/>
      </c>
      <c r="AF65" s="120" t="str">
        <f>IF(ISTEXT(VLOOKUP(CONCATENATE($A65,"_",AF$3),'Unit List'!$A$14:$H$2841,2,FALSE)),"X",$AD65)</f>
        <v/>
      </c>
      <c r="AG65" s="172" t="str">
        <f>IF(ISTEXT(VLOOKUP(CONCATENATE($A65,"_",AG$3),'Unit List'!$A$14:$H$2841,2,FALSE)),"+","")</f>
        <v/>
      </c>
      <c r="AH65" s="120" t="str">
        <f>IF(ISTEXT(VLOOKUP(CONCATENATE($A65,"_",AH$3),'Unit List'!$A$14:$H$2841,2,FALSE)),"X",$AG65)</f>
        <v/>
      </c>
      <c r="AI65" s="120" t="str">
        <f>IF(ISTEXT(VLOOKUP(CONCATENATE($A65,"_",AI$3),'Unit List'!$A$14:$H$2841,2,FALSE)),"X",$AG65)</f>
        <v/>
      </c>
      <c r="AJ65" s="122" t="str">
        <f>IF(ISTEXT(VLOOKUP(CONCATENATE($A65,"_",AJ$3),'Unit List'!$A$14:$H$2841,2,FALSE)),"X",$AG65)</f>
        <v/>
      </c>
      <c r="AK65" s="172" t="str">
        <f>IF(ISTEXT(VLOOKUP(CONCATENATE($A65,"_",AK$3),'Unit List'!$A$14:$H$2841,2,FALSE)),"+","")</f>
        <v/>
      </c>
      <c r="AL65" s="121" t="str">
        <f>IF(ISTEXT(VLOOKUP(CONCATENATE($A65,"_",AL$3),'Unit List'!$A$14:$H$2841,2,FALSE)),"X",$AK65)</f>
        <v/>
      </c>
      <c r="AM65" s="122" t="str">
        <f>IF(ISTEXT(VLOOKUP(CONCATENATE($A65,"_",AM$3),'Unit List'!$A$14:$H$2841,2,FALSE)),"X",$AK65)</f>
        <v/>
      </c>
      <c r="AN65" s="125" t="str">
        <f>IF(ISTEXT(VLOOKUP(CONCATENATE($A65,"_",AN$3),'Unit List'!$A$14:$H$2841,2,FALSE)),"+","")</f>
        <v/>
      </c>
      <c r="AO65" s="122" t="str">
        <f>IF(ISTEXT(VLOOKUP(CONCATENATE($A65,"_",AO$3),'Unit List'!$A$14:$H$2841,2,FALSE)),"X",$AN65)</f>
        <v/>
      </c>
      <c r="AP65" s="172" t="str">
        <f>IF(ISTEXT(VLOOKUP(CONCATENATE($A65,"_",AP$3),'Unit List'!$A$14:$H$2841,2,FALSE)),"+","")</f>
        <v/>
      </c>
      <c r="AQ65" s="120" t="str">
        <f>IF(ISTEXT(VLOOKUP(CONCATENATE($A65,"_",AQ$3),'Unit List'!$A$14:$H$2841,2,FALSE)),"X",$AP65)</f>
        <v/>
      </c>
      <c r="AR65" s="120" t="str">
        <f>IF(ISTEXT(VLOOKUP(CONCATENATE($A65,"_",AR$3),'Unit List'!$A$14:$H$2841,2,FALSE)),"X",$AP65)</f>
        <v/>
      </c>
      <c r="AS65" s="120" t="str">
        <f>IF(ISTEXT(VLOOKUP(CONCATENATE($A65,"_",AS$3),'Unit List'!$A$14:$H$2841,2,FALSE)),"X",$AP65)</f>
        <v/>
      </c>
      <c r="AT65" s="122" t="str">
        <f>IF(ISTEXT(VLOOKUP(CONCATENATE($A65,"_",AT$3),'Unit List'!$A$14:$H$2841,2,FALSE)),"X",$AP65)</f>
        <v/>
      </c>
      <c r="AU65" s="124" t="str">
        <f>IF(ISTEXT(VLOOKUP(CONCATENATE($A65,"_",AU$3),'Unit List'!$A$14:$H$2841,2,FALSE)),"+","")</f>
        <v/>
      </c>
      <c r="AV65" s="120" t="str">
        <f>IF(ISTEXT(VLOOKUP(CONCATENATE($A65,"_",AV$3),'Unit List'!$A$14:$H$2841,2,FALSE)),"X",$AU65)</f>
        <v/>
      </c>
      <c r="AW65" s="122" t="str">
        <f>IF(ISTEXT(VLOOKUP(CONCATENATE($A65,"_",AW$3),'Unit List'!$A$14:$H$2841,2,FALSE)),"X",$AU65)</f>
        <v/>
      </c>
      <c r="AX65" s="172" t="str">
        <f>IF(ISTEXT(VLOOKUP(CONCATENATE($A65,"_",AX$3),'Unit List'!$A$14:$H$2841,2,FALSE)),"+","")</f>
        <v/>
      </c>
      <c r="AY65" s="120" t="str">
        <f>IF(ISTEXT(VLOOKUP(CONCATENATE($A65,"_",AY$3),'Unit List'!$A$14:$H$2841,2,FALSE)),"X",$AX65)</f>
        <v/>
      </c>
      <c r="AZ65" s="122" t="str">
        <f>IF(ISTEXT(VLOOKUP(CONCATENATE($A65,"_",AZ$3),'Unit List'!$A$14:$H$2841,2,FALSE)),"X",$AX65)</f>
        <v/>
      </c>
      <c r="BA65" s="182" t="str">
        <f>IF(ISTEXT(VLOOKUP(CONCATENATE($A65,"_",BA$3),'Unit List'!$A$14:$H$2841,2,FALSE)),"+","")</f>
        <v/>
      </c>
      <c r="BB65" s="120" t="str">
        <f>IF(ISTEXT(VLOOKUP(CONCATENATE($A65,"_",BB$3),'Unit List'!$A$14:$H$2841,2,FALSE)),"X",$BA65)</f>
        <v/>
      </c>
      <c r="BC65" s="120" t="str">
        <f>IF(ISTEXT(VLOOKUP(CONCATENATE($A65,"_",BC$3),'Unit List'!$A$14:$H$2841,2,FALSE)),"X",$BA65)</f>
        <v/>
      </c>
      <c r="BD65" s="122" t="str">
        <f>IF(ISTEXT(VLOOKUP(CONCATENATE($A65,"_",BD$3),'Unit List'!$A$14:$H$2841,2,FALSE)),"X",$BA65)</f>
        <v/>
      </c>
      <c r="BE65" s="125" t="str">
        <f>IF(ISTEXT(VLOOKUP(CONCATENATE($A65,"_",BE$3),'Unit List'!$A$14:$H$2841,2,FALSE)),"+","")</f>
        <v/>
      </c>
      <c r="BF65" s="75" t="str">
        <f>IF(ISTEXT(VLOOKUP(CONCATENATE($A65,"_",BF$3),'Unit List'!$A$14:$H$2841,2,FALSE)),"X",$BE65)</f>
        <v/>
      </c>
      <c r="BG65" s="75"/>
      <c r="BH65" s="84"/>
      <c r="BI65" s="211"/>
      <c r="BJ65" s="212"/>
      <c r="BK65" s="212"/>
      <c r="BL65" s="212"/>
      <c r="BM65" s="213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List'!$A$14:$H$2841,2,FALSE)),"+","")</f>
        <v/>
      </c>
      <c r="C66" s="119" t="str">
        <f>IF(ISTEXT(VLOOKUP(CONCATENATE($A66,"_",C$3),'Unit List'!$A$14:$H$2841,2,FALSE)),"X",$B66)</f>
        <v/>
      </c>
      <c r="D66" s="120" t="str">
        <f>IF(ISTEXT(VLOOKUP(CONCATENATE($A66,"_",D$3),'Unit List'!$A$14:$H$2841,2,FALSE)),"X",$B66)</f>
        <v/>
      </c>
      <c r="E66" s="120" t="str">
        <f>IF(ISTEXT(VLOOKUP(CONCATENATE($A66,"_",E$3),'Unit List'!$A$14:$H$2841,2,FALSE)),"X",$B66)</f>
        <v>X</v>
      </c>
      <c r="F66" s="120" t="str">
        <f>IF(ISTEXT(VLOOKUP(CONCATENATE($A66,"_",F$3),'Unit List'!$A$14:$H$2841,2,FALSE)),"X",$B66)</f>
        <v/>
      </c>
      <c r="G66" s="120" t="str">
        <f>IF(ISTEXT(VLOOKUP(CONCATENATE($A66,"_",G$3),'Unit List'!$A$14:$H$2841,2,FALSE)),"X",$B66)</f>
        <v/>
      </c>
      <c r="H66" s="120" t="str">
        <f>IF(ISTEXT(VLOOKUP(CONCATENATE($A66,"_",H$3),'Unit List'!$A$14:$H$2841,2,FALSE)),"X",$B66)</f>
        <v/>
      </c>
      <c r="I66" s="122" t="str">
        <f>IF(ISTEXT(VLOOKUP(CONCATENATE($A66,"_",I$3),'Unit List'!$A$14:$H$2841,2,FALSE)),"X",$B66)</f>
        <v/>
      </c>
      <c r="J66" s="172" t="str">
        <f>IF(ISTEXT(VLOOKUP(CONCATENATE($A66,"_",J$3),'Unit List'!$A$14:$H$2841,2,FALSE)),"+","")</f>
        <v/>
      </c>
      <c r="K66" s="120" t="str">
        <f>IF(ISTEXT(VLOOKUP(CONCATENATE($A66,"_",K$3),'Unit List'!$A$14:$H$2841,2,FALSE)),"X",$J66)</f>
        <v/>
      </c>
      <c r="L66" s="75" t="str">
        <f>IF(ISTEXT(VLOOKUP(CONCATENATE($A66,"_",L$3),'Unit List'!$A$14:$H$2841,2,FALSE)),"X",$J66)</f>
        <v/>
      </c>
      <c r="M66" s="172" t="str">
        <f>IF(ISTEXT(VLOOKUP(CONCATENATE($A66,"_",M$3),'Unit List'!$A$14:$H$2841,2,FALSE)),"+","")</f>
        <v/>
      </c>
      <c r="N66" s="120" t="str">
        <f>IF(ISTEXT(VLOOKUP(CONCATENATE($A66,"_",N$3),'Unit List'!$A$14:$H$2841,2,FALSE)),"X",$M66)</f>
        <v/>
      </c>
      <c r="O66" s="122" t="str">
        <f>IF(ISTEXT(VLOOKUP(CONCATENATE($A66,"_",O$3),'Unit List'!$A$14:$H$2841,2,FALSE)),"X",$M66)</f>
        <v/>
      </c>
      <c r="P66" s="172" t="str">
        <f>IF(ISTEXT(VLOOKUP(CONCATENATE($A66,"_",P$3),'Unit List'!$A$14:$H$2841,2,FALSE)),"+","")</f>
        <v/>
      </c>
      <c r="Q66" s="120" t="str">
        <f>IF(ISTEXT(VLOOKUP(CONCATENATE($A66,"_",Q$3),'Unit List'!$A$14:$H$2841,2,FALSE)),"X",$P66)</f>
        <v/>
      </c>
      <c r="R66" s="120" t="str">
        <f>IF(ISTEXT(VLOOKUP(CONCATENATE($A66,"_",R$3),'Unit List'!$A$14:$H$2841,2,FALSE)),"X",$P66)</f>
        <v/>
      </c>
      <c r="S66" s="120" t="str">
        <f>IF(ISTEXT(VLOOKUP(CONCATENATE($A66,"_",S$3),'Unit List'!$A$14:$H$2841,2,FALSE)),"X",$P66)</f>
        <v/>
      </c>
      <c r="T66" s="121" t="str">
        <f>IF(ISTEXT(VLOOKUP(CONCATENATE($A66,"_",T$3),'Unit List'!$A$14:$H$2841,2,FALSE)),"X",$P66)</f>
        <v/>
      </c>
      <c r="U66" s="120" t="str">
        <f>IF(ISTEXT(VLOOKUP(CONCATENATE($A66,"_",U$3),'Unit List'!$A$14:$H$2841,2,FALSE)),"X",$P66)</f>
        <v/>
      </c>
      <c r="V66" s="120" t="str">
        <f>IF(ISTEXT(VLOOKUP(CONCATENATE($A66,"_",V$3),'Unit List'!$A$14:$H$2841,2,FALSE)),"X",$P66)</f>
        <v/>
      </c>
      <c r="W66" s="122" t="str">
        <f>IF(ISTEXT(VLOOKUP(CONCATENATE($A66,"_",W$3),'Unit List'!$A$14:$H$2841,2,FALSE)),"X",$P66)</f>
        <v/>
      </c>
      <c r="X66" s="172" t="str">
        <f>IF(ISTEXT(VLOOKUP(CONCATENATE($A66,"_",X$3),'Unit List'!$A$14:$H$2841,2,FALSE)),"+","")</f>
        <v>+</v>
      </c>
      <c r="Y66" s="120" t="str">
        <f>IF(ISTEXT(VLOOKUP(CONCATENATE($A66,"_",Y$3),'Unit List'!$A$14:$H$2841,2,FALSE)),"X",$X66)</f>
        <v>+</v>
      </c>
      <c r="Z66" s="120" t="str">
        <f>IF(ISTEXT(VLOOKUP(CONCATENATE($A66,"_",Z$3),'Unit List'!$A$14:$H$2841,2,FALSE)),"X",$X66)</f>
        <v>+</v>
      </c>
      <c r="AA66" s="120" t="str">
        <f>IF(ISTEXT(VLOOKUP(CONCATENATE($A66,"_",AA$3),'Unit List'!$A$14:$H$2841,2,FALSE)),"X",$X66)</f>
        <v>+</v>
      </c>
      <c r="AB66" s="120" t="str">
        <f>IF(ISTEXT(VLOOKUP(CONCATENATE($A66,"_",AB$3),'Unit List'!$A$14:$H$2841,2,FALSE)),"X",$X66)</f>
        <v>+</v>
      </c>
      <c r="AC66" s="75" t="str">
        <f>IF(ISTEXT(VLOOKUP(CONCATENATE($A66,"_",AC$3),'Unit List'!$A$14:$H$2841,2,FALSE)),"X",$X66)</f>
        <v>+</v>
      </c>
      <c r="AD66" s="172" t="s">
        <v>2313</v>
      </c>
      <c r="AE66" s="120" t="str">
        <f>IF(ISTEXT(VLOOKUP(CONCATENATE($A66,"_",AE$3),'Unit List'!$A$14:$H$2841,2,FALSE)),"X",$AD66)</f>
        <v>*</v>
      </c>
      <c r="AF66" s="120" t="str">
        <f>IF(ISTEXT(VLOOKUP(CONCATENATE($A66,"_",AF$3),'Unit List'!$A$14:$H$2841,2,FALSE)),"X",$AD66)</f>
        <v>*</v>
      </c>
      <c r="AG66" s="172" t="str">
        <f>IF(ISTEXT(VLOOKUP(CONCATENATE($A66,"_",AG$3),'Unit List'!$A$14:$H$2841,2,FALSE)),"+","")</f>
        <v>+</v>
      </c>
      <c r="AH66" s="120" t="str">
        <f>IF(ISTEXT(VLOOKUP(CONCATENATE($A66,"_",AH$3),'Unit List'!$A$14:$H$2841,2,FALSE)),"X",$AG66)</f>
        <v>+</v>
      </c>
      <c r="AI66" s="120" t="str">
        <f>IF(ISTEXT(VLOOKUP(CONCATENATE($A66,"_",AI$3),'Unit List'!$A$14:$H$2841,2,FALSE)),"X",$AG66)</f>
        <v>+</v>
      </c>
      <c r="AJ66" s="122" t="str">
        <f>IF(ISTEXT(VLOOKUP(CONCATENATE($A66,"_",AJ$3),'Unit List'!$A$14:$H$2841,2,FALSE)),"X",$AG66)</f>
        <v>+</v>
      </c>
      <c r="AK66" s="172" t="str">
        <f>IF(ISTEXT(VLOOKUP(CONCATENATE($A66,"_",AK$3),'Unit List'!$A$14:$H$2841,2,FALSE)),"+","")</f>
        <v>+</v>
      </c>
      <c r="AL66" s="121" t="str">
        <f>IF(ISTEXT(VLOOKUP(CONCATENATE($A66,"_",AL$3),'Unit List'!$A$14:$H$2841,2,FALSE)),"X",$AK66)</f>
        <v>+</v>
      </c>
      <c r="AM66" s="122" t="str">
        <f>IF(ISTEXT(VLOOKUP(CONCATENATE($A66,"_",AM$3),'Unit List'!$A$14:$H$2841,2,FALSE)),"X",$AK66)</f>
        <v>+</v>
      </c>
      <c r="AN66" s="125" t="str">
        <f>IF(ISTEXT(VLOOKUP(CONCATENATE($A66,"_",AN$3),'Unit List'!$A$14:$H$2841,2,FALSE)),"+","")</f>
        <v>+</v>
      </c>
      <c r="AO66" s="122" t="str">
        <f>IF(ISTEXT(VLOOKUP(CONCATENATE($A66,"_",AO$3),'Unit List'!$A$14:$H$2841,2,FALSE)),"X",$AN66)</f>
        <v>+</v>
      </c>
      <c r="AP66" s="172" t="str">
        <f>IF(ISTEXT(VLOOKUP(CONCATENATE($A66,"_",AP$3),'Unit List'!$A$14:$H$2841,2,FALSE)),"+","")</f>
        <v>+</v>
      </c>
      <c r="AQ66" s="120" t="str">
        <f>IF(ISTEXT(VLOOKUP(CONCATENATE($A66,"_",AQ$3),'Unit List'!$A$14:$H$2841,2,FALSE)),"X",$AP66)</f>
        <v>+</v>
      </c>
      <c r="AR66" s="120" t="str">
        <f>IF(ISTEXT(VLOOKUP(CONCATENATE($A66,"_",AR$3),'Unit List'!$A$14:$H$2841,2,FALSE)),"X",$AP66)</f>
        <v>+</v>
      </c>
      <c r="AS66" s="120" t="str">
        <f>IF(ISTEXT(VLOOKUP(CONCATENATE($A66,"_",AS$3),'Unit List'!$A$14:$H$2841,2,FALSE)),"X",$AP66)</f>
        <v>+</v>
      </c>
      <c r="AT66" s="122" t="str">
        <f>IF(ISTEXT(VLOOKUP(CONCATENATE($A66,"_",AT$3),'Unit List'!$A$14:$H$2841,2,FALSE)),"X",$AP66)</f>
        <v>+</v>
      </c>
      <c r="AU66" s="124" t="str">
        <f>IF(ISTEXT(VLOOKUP(CONCATENATE($A66,"_",AU$3),'Unit List'!$A$14:$H$2841,2,FALSE)),"+","")</f>
        <v>+</v>
      </c>
      <c r="AV66" s="120" t="str">
        <f>IF(ISTEXT(VLOOKUP(CONCATENATE($A66,"_",AV$3),'Unit List'!$A$14:$H$2841,2,FALSE)),"X",$AU66)</f>
        <v>+</v>
      </c>
      <c r="AW66" s="122" t="str">
        <f>IF(ISTEXT(VLOOKUP(CONCATENATE($A66,"_",AW$3),'Unit List'!$A$14:$H$2841,2,FALSE)),"X",$AU66)</f>
        <v>+</v>
      </c>
      <c r="AX66" s="171" t="str">
        <f>IF(ISTEXT(VLOOKUP(CONCATENATE($A66,"_",AX$3),'Unit List'!$A$14:$H$2841,2,FALSE)),"+","")</f>
        <v>+</v>
      </c>
      <c r="AY66" s="120" t="str">
        <f>IF(ISTEXT(VLOOKUP(CONCATENATE($A66,"_",AY$3),'Unit List'!$A$14:$H$2841,2,FALSE)),"X",$AX66)</f>
        <v>+</v>
      </c>
      <c r="AZ66" s="122" t="str">
        <f>IF(ISTEXT(VLOOKUP(CONCATENATE($A66,"_",AZ$3),'Unit List'!$A$14:$H$2841,2,FALSE)),"X",$AX66)</f>
        <v>+</v>
      </c>
      <c r="BA66" s="174" t="str">
        <f>IF(ISTEXT(VLOOKUP(CONCATENATE($A66,"_",BA$3),'Unit List'!$A$14:$H$2841,2,FALSE)),"+","")</f>
        <v>+</v>
      </c>
      <c r="BB66" s="120" t="str">
        <f>IF(ISTEXT(VLOOKUP(CONCATENATE($A66,"_",BB$3),'Unit List'!$A$14:$H$2841,2,FALSE)),"X",$BA66)</f>
        <v>+</v>
      </c>
      <c r="BC66" s="120" t="str">
        <f>IF(ISTEXT(VLOOKUP(CONCATENATE($A66,"_",BC$3),'Unit List'!$A$14:$H$2841,2,FALSE)),"X",$BA66)</f>
        <v>+</v>
      </c>
      <c r="BD66" s="122" t="str">
        <f>IF(ISTEXT(VLOOKUP(CONCATENATE($A66,"_",BD$3),'Unit List'!$A$14:$H$2841,2,FALSE)),"X",$BA66)</f>
        <v>+</v>
      </c>
      <c r="BE66" s="175" t="str">
        <f>IF(ISTEXT(VLOOKUP(CONCATENATE($A66,"_",BE$3),'Unit List'!$A$14:$H$2841,2,FALSE)),"+","")</f>
        <v>+</v>
      </c>
      <c r="BF66" s="75" t="str">
        <f>IF(ISTEXT(VLOOKUP(CONCATENATE($A66,"_",BF$3),'Unit List'!$A$14:$H$2841,2,FALSE)),"X",$BE66)</f>
        <v>+</v>
      </c>
      <c r="BG66" s="75"/>
      <c r="BH66" s="84"/>
      <c r="BI66" s="211"/>
      <c r="BJ66" s="212"/>
      <c r="BK66" s="212"/>
      <c r="BL66" s="212"/>
      <c r="BM66" s="213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List'!$A$14:$H$2841,2,FALSE)),"+","")</f>
        <v/>
      </c>
      <c r="C67" s="119" t="str">
        <f>IF(ISTEXT(VLOOKUP(CONCATENATE($A67,"_",C$3),'Unit List'!$A$14:$H$2841,2,FALSE)),"X",$B67)</f>
        <v/>
      </c>
      <c r="D67" s="120" t="str">
        <f>IF(ISTEXT(VLOOKUP(CONCATENATE($A67,"_",D$3),'Unit List'!$A$14:$H$2841,2,FALSE)),"X",$B67)</f>
        <v/>
      </c>
      <c r="E67" s="120" t="str">
        <f>IF(ISTEXT(VLOOKUP(CONCATENATE($A67,"_",E$3),'Unit List'!$A$14:$H$2841,2,FALSE)),"X",$B67)</f>
        <v>X</v>
      </c>
      <c r="F67" s="120" t="str">
        <f>IF(ISTEXT(VLOOKUP(CONCATENATE($A67,"_",F$3),'Unit List'!$A$14:$H$2841,2,FALSE)),"X",$B67)</f>
        <v/>
      </c>
      <c r="G67" s="120" t="str">
        <f>IF(ISTEXT(VLOOKUP(CONCATENATE($A67,"_",G$3),'Unit List'!$A$14:$H$2841,2,FALSE)),"X",$B67)</f>
        <v/>
      </c>
      <c r="H67" s="120" t="str">
        <f>IF(ISTEXT(VLOOKUP(CONCATENATE($A67,"_",H$3),'Unit List'!$A$14:$H$2841,2,FALSE)),"X",$B67)</f>
        <v/>
      </c>
      <c r="I67" s="122" t="str">
        <f>IF(ISTEXT(VLOOKUP(CONCATENATE($A67,"_",I$3),'Unit List'!$A$14:$H$2841,2,FALSE)),"X",$B67)</f>
        <v/>
      </c>
      <c r="J67" s="172" t="str">
        <f>IF(ISTEXT(VLOOKUP(CONCATENATE($A67,"_",J$3),'Unit List'!$A$14:$H$2841,2,FALSE)),"+","")</f>
        <v/>
      </c>
      <c r="K67" s="120" t="str">
        <f>IF(ISTEXT(VLOOKUP(CONCATENATE($A67,"_",K$3),'Unit List'!$A$14:$H$2841,2,FALSE)),"X",$J67)</f>
        <v/>
      </c>
      <c r="L67" s="75" t="str">
        <f>IF(ISTEXT(VLOOKUP(CONCATENATE($A67,"_",L$3),'Unit List'!$A$14:$H$2841,2,FALSE)),"X",$J67)</f>
        <v/>
      </c>
      <c r="M67" s="172" t="str">
        <f>IF(ISTEXT(VLOOKUP(CONCATENATE($A67,"_",M$3),'Unit List'!$A$14:$H$2841,2,FALSE)),"+","")</f>
        <v/>
      </c>
      <c r="N67" s="120" t="str">
        <f>IF(ISTEXT(VLOOKUP(CONCATENATE($A67,"_",N$3),'Unit List'!$A$14:$H$2841,2,FALSE)),"X",$M67)</f>
        <v/>
      </c>
      <c r="O67" s="122" t="str">
        <f>IF(ISTEXT(VLOOKUP(CONCATENATE($A67,"_",O$3),'Unit List'!$A$14:$H$2841,2,FALSE)),"X",$M67)</f>
        <v/>
      </c>
      <c r="P67" s="172" t="str">
        <f>IF(ISTEXT(VLOOKUP(CONCATENATE($A67,"_",P$3),'Unit List'!$A$14:$H$2841,2,FALSE)),"+","")</f>
        <v/>
      </c>
      <c r="Q67" s="120" t="str">
        <f>IF(ISTEXT(VLOOKUP(CONCATENATE($A67,"_",Q$3),'Unit List'!$A$14:$H$2841,2,FALSE)),"X",$P67)</f>
        <v/>
      </c>
      <c r="R67" s="120" t="str">
        <f>IF(ISTEXT(VLOOKUP(CONCATENATE($A67,"_",R$3),'Unit List'!$A$14:$H$2841,2,FALSE)),"X",$P67)</f>
        <v/>
      </c>
      <c r="S67" s="120" t="str">
        <f>IF(ISTEXT(VLOOKUP(CONCATENATE($A67,"_",S$3),'Unit List'!$A$14:$H$2841,2,FALSE)),"X",$P67)</f>
        <v/>
      </c>
      <c r="T67" s="121" t="str">
        <f>IF(ISTEXT(VLOOKUP(CONCATENATE($A67,"_",T$3),'Unit List'!$A$14:$H$2841,2,FALSE)),"X",$P67)</f>
        <v/>
      </c>
      <c r="U67" s="120" t="str">
        <f>IF(ISTEXT(VLOOKUP(CONCATENATE($A67,"_",U$3),'Unit List'!$A$14:$H$2841,2,FALSE)),"X",$P67)</f>
        <v/>
      </c>
      <c r="V67" s="120" t="str">
        <f>IF(ISTEXT(VLOOKUP(CONCATENATE($A67,"_",V$3),'Unit List'!$A$14:$H$2841,2,FALSE)),"X",$P67)</f>
        <v/>
      </c>
      <c r="W67" s="122" t="str">
        <f>IF(ISTEXT(VLOOKUP(CONCATENATE($A67,"_",W$3),'Unit List'!$A$14:$H$2841,2,FALSE)),"X",$P67)</f>
        <v/>
      </c>
      <c r="X67" s="172" t="str">
        <f>IF(ISTEXT(VLOOKUP(CONCATENATE($A67,"_",X$3),'Unit List'!$A$14:$H$2841,2,FALSE)),"+","")</f>
        <v/>
      </c>
      <c r="Y67" s="120" t="str">
        <f>IF(ISTEXT(VLOOKUP(CONCATENATE($A67,"_",Y$3),'Unit List'!$A$14:$H$2841,2,FALSE)),"X",$X67)</f>
        <v/>
      </c>
      <c r="Z67" s="120" t="str">
        <f>IF(ISTEXT(VLOOKUP(CONCATENATE($A67,"_",Z$3),'Unit List'!$A$14:$H$2841,2,FALSE)),"X",$X67)</f>
        <v/>
      </c>
      <c r="AA67" s="120" t="str">
        <f>IF(ISTEXT(VLOOKUP(CONCATENATE($A67,"_",AA$3),'Unit List'!$A$14:$H$2841,2,FALSE)),"X",$X67)</f>
        <v/>
      </c>
      <c r="AB67" s="120" t="str">
        <f>IF(ISTEXT(VLOOKUP(CONCATENATE($A67,"_",AB$3),'Unit List'!$A$14:$H$2841,2,FALSE)),"X",$X67)</f>
        <v/>
      </c>
      <c r="AC67" s="75" t="str">
        <f>IF(ISTEXT(VLOOKUP(CONCATENATE($A67,"_",AC$3),'Unit List'!$A$14:$H$2841,2,FALSE)),"X",$X67)</f>
        <v/>
      </c>
      <c r="AD67" s="172" t="str">
        <f>IF(ISTEXT(VLOOKUP(CONCATENATE($A67,"_",AD$3),'Unit List'!$A$14:$H$2841,2,FALSE)),"+","")</f>
        <v/>
      </c>
      <c r="AE67" s="120" t="str">
        <f>IF(ISTEXT(VLOOKUP(CONCATENATE($A67,"_",AE$3),'Unit List'!$A$14:$H$2841,2,FALSE)),"X",$AD67)</f>
        <v/>
      </c>
      <c r="AF67" s="120" t="str">
        <f>IF(ISTEXT(VLOOKUP(CONCATENATE($A67,"_",AF$3),'Unit List'!$A$14:$H$2841,2,FALSE)),"X",$AD67)</f>
        <v/>
      </c>
      <c r="AG67" s="172" t="str">
        <f>IF(ISTEXT(VLOOKUP(CONCATENATE($A67,"_",AG$3),'Unit List'!$A$14:$H$2841,2,FALSE)),"+","")</f>
        <v>+</v>
      </c>
      <c r="AH67" s="120" t="str">
        <f>IF(ISTEXT(VLOOKUP(CONCATENATE($A67,"_",AH$3),'Unit List'!$A$14:$H$2841,2,FALSE)),"X",$AG67)</f>
        <v>+</v>
      </c>
      <c r="AI67" s="120" t="str">
        <f>IF(ISTEXT(VLOOKUP(CONCATENATE($A67,"_",AI$3),'Unit List'!$A$14:$H$2841,2,FALSE)),"X",$AG67)</f>
        <v>+</v>
      </c>
      <c r="AJ67" s="122" t="str">
        <f>IF(ISTEXT(VLOOKUP(CONCATENATE($A67,"_",AJ$3),'Unit List'!$A$14:$H$2841,2,FALSE)),"X",$AG67)</f>
        <v>+</v>
      </c>
      <c r="AK67" s="172" t="str">
        <f>IF(ISTEXT(VLOOKUP(CONCATENATE($A67,"_",AK$3),'Unit List'!$A$14:$H$2841,2,FALSE)),"+","")</f>
        <v/>
      </c>
      <c r="AL67" s="176" t="str">
        <f>IF(ISTEXT(VLOOKUP(CONCATENATE($A67,"_",AL$3),'Unit List'!$A$14:$H$2841,2,FALSE)),"X",$AK67)</f>
        <v/>
      </c>
      <c r="AM67" s="122" t="str">
        <f>IF(ISTEXT(VLOOKUP(CONCATENATE($A67,"_",AM$3),'Unit List'!$A$14:$H$2841,2,FALSE)),"X",$AK67)</f>
        <v/>
      </c>
      <c r="AN67" s="125" t="str">
        <f>IF(ISTEXT(VLOOKUP(CONCATENATE($A67,"_",AN$3),'Unit List'!$A$14:$H$2841,2,FALSE)),"+","")</f>
        <v>+</v>
      </c>
      <c r="AO67" s="189" t="str">
        <f>IF(ISTEXT(VLOOKUP(CONCATENATE($A67,"_",AO$3),'Unit List'!$A$14:$H$2841,2,FALSE)),"X",$AN67)</f>
        <v>+</v>
      </c>
      <c r="AP67" s="171" t="str">
        <f>IF(ISTEXT(VLOOKUP(CONCATENATE($A67,"_",AP$3),'Unit List'!$A$14:$H$2841,2,FALSE)),"+","")</f>
        <v>+</v>
      </c>
      <c r="AQ67" s="178" t="str">
        <f>IF(ISTEXT(VLOOKUP(CONCATENATE($A67,"_",AQ$3),'Unit List'!$A$14:$H$2841,2,FALSE)),"X",$AP67)</f>
        <v>+</v>
      </c>
      <c r="AR67" s="178" t="str">
        <f>IF(ISTEXT(VLOOKUP(CONCATENATE($A67,"_",AR$3),'Unit List'!$A$14:$H$2841,2,FALSE)),"X",$AP67)</f>
        <v>+</v>
      </c>
      <c r="AS67" s="178" t="str">
        <f>IF(ISTEXT(VLOOKUP(CONCATENATE($A67,"_",AS$3),'Unit List'!$A$14:$H$2841,2,FALSE)),"X",$AP67)</f>
        <v>+</v>
      </c>
      <c r="AT67" s="189" t="str">
        <f>IF(ISTEXT(VLOOKUP(CONCATENATE($A67,"_",AT$3),'Unit List'!$A$14:$H$2841,2,FALSE)),"X",$AP67)</f>
        <v>+</v>
      </c>
      <c r="AU67" s="177" t="str">
        <f>IF(ISTEXT(VLOOKUP(CONCATENATE($A67,"_",AU$3),'Unit List'!$A$14:$H$2841,2,FALSE)),"+","")</f>
        <v>+</v>
      </c>
      <c r="AV67" s="178" t="str">
        <f>IF(ISTEXT(VLOOKUP(CONCATENATE($A67,"_",AV$3),'Unit List'!$A$14:$H$2841,2,FALSE)),"X",$AU67)</f>
        <v>+</v>
      </c>
      <c r="AW67" s="189" t="str">
        <f>IF(ISTEXT(VLOOKUP(CONCATENATE($A67,"_",AW$3),'Unit List'!$A$14:$H$2841,2,FALSE)),"X",$AU67)</f>
        <v>+</v>
      </c>
      <c r="AX67" s="171" t="str">
        <f>IF(ISTEXT(VLOOKUP(CONCATENATE($A67,"_",AX$3),'Unit List'!$A$14:$H$2841,2,FALSE)),"+","")</f>
        <v>+</v>
      </c>
      <c r="AY67" s="120" t="str">
        <f>IF(ISTEXT(VLOOKUP(CONCATENATE($A67,"_",AY$3),'Unit List'!$A$14:$H$2841,2,FALSE)),"X",$AX67)</f>
        <v>+</v>
      </c>
      <c r="AZ67" s="122" t="str">
        <f>IF(ISTEXT(VLOOKUP(CONCATENATE($A67,"_",AZ$3),'Unit List'!$A$14:$H$2841,2,FALSE)),"X",$AX67)</f>
        <v>+</v>
      </c>
      <c r="BA67" s="174" t="str">
        <f>IF(ISTEXT(VLOOKUP(CONCATENATE($A67,"_",BA$3),'Unit List'!$A$14:$H$2841,2,FALSE)),"+","")</f>
        <v>+</v>
      </c>
      <c r="BB67" s="120" t="str">
        <f>IF(ISTEXT(VLOOKUP(CONCATENATE($A67,"_",BB$3),'Unit List'!$A$14:$H$2841,2,FALSE)),"X",$BA67)</f>
        <v>+</v>
      </c>
      <c r="BC67" s="120" t="str">
        <f>IF(ISTEXT(VLOOKUP(CONCATENATE($A67,"_",BC$3),'Unit List'!$A$14:$H$2841,2,FALSE)),"X",$BA67)</f>
        <v>+</v>
      </c>
      <c r="BD67" s="122" t="str">
        <f>IF(ISTEXT(VLOOKUP(CONCATENATE($A67,"_",BD$3),'Unit List'!$A$14:$H$2841,2,FALSE)),"X",$BA67)</f>
        <v>+</v>
      </c>
      <c r="BE67" s="175" t="str">
        <f>IF(ISTEXT(VLOOKUP(CONCATENATE($A67,"_",BE$3),'Unit List'!$A$14:$H$2841,2,FALSE)),"+","")</f>
        <v>+</v>
      </c>
      <c r="BF67" s="75" t="str">
        <f>IF(ISTEXT(VLOOKUP(CONCATENATE($A67,"_",BF$3),'Unit List'!$A$14:$H$2841,2,FALSE)),"X",$BE67)</f>
        <v>+</v>
      </c>
      <c r="BG67" s="75"/>
      <c r="BH67" s="84"/>
      <c r="BI67" s="211"/>
      <c r="BJ67" s="212"/>
      <c r="BK67" s="212"/>
      <c r="BL67" s="212"/>
      <c r="BM67" s="213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List'!$A$14:$H$2841,2,FALSE)),"+","")</f>
        <v/>
      </c>
      <c r="C68" s="180" t="str">
        <f>IF(ISTEXT(VLOOKUP(CONCATENATE($A68,"_",C$3),'Unit List'!$A$14:$H$2841,2,FALSE)),"X",$B68)</f>
        <v/>
      </c>
      <c r="D68" s="178" t="str">
        <f>IF(ISTEXT(VLOOKUP(CONCATENATE($A68,"_",D$3),'Unit List'!$A$14:$H$2841,2,FALSE)),"X",$B68)</f>
        <v/>
      </c>
      <c r="E68" s="178" t="str">
        <f>IF(ISTEXT(VLOOKUP(CONCATENATE($A68,"_",E$3),'Unit List'!$A$14:$H$2841,2,FALSE)),"X",$B68)</f>
        <v/>
      </c>
      <c r="F68" s="178" t="str">
        <f>IF(ISTEXT(VLOOKUP(CONCATENATE($A68,"_",F$3),'Unit List'!$A$14:$H$2841,2,FALSE)),"X",$B68)</f>
        <v/>
      </c>
      <c r="G68" s="178" t="str">
        <f>IF(ISTEXT(VLOOKUP(CONCATENATE($A68,"_",G$3),'Unit List'!$A$14:$H$2841,2,FALSE)),"X",$B68)</f>
        <v/>
      </c>
      <c r="H68" s="178" t="str">
        <f>IF(ISTEXT(VLOOKUP(CONCATENATE($A68,"_",H$3),'Unit List'!$A$14:$H$2841,2,FALSE)),"X",$B68)</f>
        <v/>
      </c>
      <c r="I68" s="189" t="str">
        <f>IF(ISTEXT(VLOOKUP(CONCATENATE($A68,"_",I$3),'Unit List'!$A$14:$H$2841,2,FALSE)),"X",$B68)</f>
        <v/>
      </c>
      <c r="J68" s="171" t="str">
        <f>IF(ISTEXT(VLOOKUP(CONCATENATE($A68,"_",J$3),'Unit List'!$A$14:$H$2841,2,FALSE)),"+","")</f>
        <v/>
      </c>
      <c r="K68" s="178" t="str">
        <f>IF(ISTEXT(VLOOKUP(CONCATENATE($A68,"_",K$3),'Unit List'!$A$14:$H$2841,2,FALSE)),"X",$J68)</f>
        <v/>
      </c>
      <c r="L68" s="95" t="str">
        <f>IF(ISTEXT(VLOOKUP(CONCATENATE($A68,"_",L$3),'Unit List'!$A$14:$H$2841,2,FALSE)),"X",$J68)</f>
        <v/>
      </c>
      <c r="M68" s="171" t="str">
        <f>IF(ISTEXT(VLOOKUP(CONCATENATE($A68,"_",M$3),'Unit List'!$A$14:$H$2841,2,FALSE)),"+","")</f>
        <v/>
      </c>
      <c r="N68" s="178" t="str">
        <f>IF(ISTEXT(VLOOKUP(CONCATENATE($A68,"_",N$3),'Unit List'!$A$14:$H$2841,2,FALSE)),"X",$M68)</f>
        <v/>
      </c>
      <c r="O68" s="189" t="str">
        <f>IF(ISTEXT(VLOOKUP(CONCATENATE($A68,"_",O$3),'Unit List'!$A$14:$H$2841,2,FALSE)),"X",$M68)</f>
        <v/>
      </c>
      <c r="P68" s="171" t="str">
        <f>IF(ISTEXT(VLOOKUP(CONCATENATE($A68,"_",P$3),'Unit List'!$A$14:$H$2841,2,FALSE)),"+","")</f>
        <v/>
      </c>
      <c r="Q68" s="178" t="str">
        <f>IF(ISTEXT(VLOOKUP(CONCATENATE($A68,"_",Q$3),'Unit List'!$A$14:$H$2841,2,FALSE)),"X",$P68)</f>
        <v/>
      </c>
      <c r="R68" s="178" t="str">
        <f>IF(ISTEXT(VLOOKUP(CONCATENATE($A68,"_",R$3),'Unit List'!$A$14:$H$2841,2,FALSE)),"X",$P68)</f>
        <v/>
      </c>
      <c r="S68" s="178" t="str">
        <f>IF(ISTEXT(VLOOKUP(CONCATENATE($A68,"_",S$3),'Unit List'!$A$14:$H$2841,2,FALSE)),"X",$P68)</f>
        <v/>
      </c>
      <c r="T68" s="176" t="str">
        <f>IF(ISTEXT(VLOOKUP(CONCATENATE($A68,"_",T$3),'Unit List'!$A$14:$H$2841,2,FALSE)),"X",$P68)</f>
        <v/>
      </c>
      <c r="U68" s="178" t="str">
        <f>IF(ISTEXT(VLOOKUP(CONCATENATE($A68,"_",U$3),'Unit List'!$A$14:$H$2841,2,FALSE)),"X",$P68)</f>
        <v/>
      </c>
      <c r="V68" s="178" t="str">
        <f>IF(ISTEXT(VLOOKUP(CONCATENATE($A68,"_",V$3),'Unit List'!$A$14:$H$2841,2,FALSE)),"X",$P68)</f>
        <v/>
      </c>
      <c r="W68" s="189" t="str">
        <f>IF(ISTEXT(VLOOKUP(CONCATENATE($A68,"_",W$3),'Unit List'!$A$14:$H$2841,2,FALSE)),"X",$P68)</f>
        <v/>
      </c>
      <c r="X68" s="171" t="str">
        <f>IF(ISTEXT(VLOOKUP(CONCATENATE($A68,"_",X$3),'Unit List'!$A$14:$H$2841,2,FALSE)),"+","")</f>
        <v>+</v>
      </c>
      <c r="Y68" s="178" t="str">
        <f>IF(ISTEXT(VLOOKUP(CONCATENATE($A68,"_",Y$3),'Unit List'!$A$14:$H$2841,2,FALSE)),"X",$X68)</f>
        <v>+</v>
      </c>
      <c r="Z68" s="178" t="str">
        <f>IF(ISTEXT(VLOOKUP(CONCATENATE($A68,"_",Z$3),'Unit List'!$A$14:$H$2841,2,FALSE)),"X",$X68)</f>
        <v>+</v>
      </c>
      <c r="AA68" s="178" t="str">
        <f>IF(ISTEXT(VLOOKUP(CONCATENATE($A68,"_",AA$3),'Unit List'!$A$14:$H$2841,2,FALSE)),"X",$X68)</f>
        <v>+</v>
      </c>
      <c r="AB68" s="178" t="str">
        <f>IF(ISTEXT(VLOOKUP(CONCATENATE($A68,"_",AB$3),'Unit List'!$A$14:$H$2841,2,FALSE)),"X",$X68)</f>
        <v>+</v>
      </c>
      <c r="AC68" s="95" t="str">
        <f>IF(ISTEXT(VLOOKUP(CONCATENATE($A68,"_",AC$3),'Unit List'!$A$14:$H$2841,2,FALSE)),"X",$X68)</f>
        <v>+</v>
      </c>
      <c r="AD68" s="171" t="str">
        <f>IF(ISTEXT(VLOOKUP(CONCATENATE($A68,"_",AD$3),'Unit List'!$A$14:$H$2841,2,FALSE)),"+","")</f>
        <v>+</v>
      </c>
      <c r="AE68" s="120" t="str">
        <f>IF(ISTEXT(VLOOKUP(CONCATENATE($A68,"_",AE$3),'Unit List'!$A$14:$H$2841,2,FALSE)),"X",$AD68)</f>
        <v>+</v>
      </c>
      <c r="AF68" s="120" t="str">
        <f>IF(ISTEXT(VLOOKUP(CONCATENATE($A68,"_",AF$3),'Unit List'!$A$14:$H$2841,2,FALSE)),"X",$AD68)</f>
        <v>+</v>
      </c>
      <c r="AG68" s="171" t="str">
        <f>IF(ISTEXT(VLOOKUP(CONCATENATE($A68,"_",AG$3),'Unit List'!$A$14:$H$2841,2,FALSE)),"+","")</f>
        <v>+</v>
      </c>
      <c r="AH68" s="178" t="str">
        <f>IF(ISTEXT(VLOOKUP(CONCATENATE($A68,"_",AH$3),'Unit List'!$A$14:$H$2841,2,FALSE)),"X",$AG68)</f>
        <v>+</v>
      </c>
      <c r="AI68" s="178" t="str">
        <f>IF(ISTEXT(VLOOKUP(CONCATENATE($A68,"_",AI$3),'Unit List'!$A$14:$H$2841,2,FALSE)),"X",$AG68)</f>
        <v>+</v>
      </c>
      <c r="AJ68" s="189" t="str">
        <f>IF(ISTEXT(VLOOKUP(CONCATENATE($A68,"_",AJ$3),'Unit List'!$A$14:$H$2841,2,FALSE)),"X",$AG68)</f>
        <v>+</v>
      </c>
      <c r="AK68" s="171" t="str">
        <f>IF(ISTEXT(VLOOKUP(CONCATENATE($A68,"_",AK$3),'Unit List'!$A$14:$H$2841,2,FALSE)),"+","")</f>
        <v>+</v>
      </c>
      <c r="AL68" s="176" t="str">
        <f>IF(ISTEXT(VLOOKUP(CONCATENATE($A68,"_",AL$3),'Unit List'!$A$14:$H$2841,2,FALSE)),"X",$AK68)</f>
        <v>+</v>
      </c>
      <c r="AM68" s="189" t="str">
        <f>IF(ISTEXT(VLOOKUP(CONCATENATE($A68,"_",AM$3),'Unit List'!$A$14:$H$2841,2,FALSE)),"X",$AK68)</f>
        <v>+</v>
      </c>
      <c r="AN68" s="175" t="str">
        <f>IF(ISTEXT(VLOOKUP(CONCATENATE($A68,"_",AN$3),'Unit List'!$A$14:$H$2841,2,FALSE)),"+","")</f>
        <v>+</v>
      </c>
      <c r="AO68" s="189" t="str">
        <f>IF(ISTEXT(VLOOKUP(CONCATENATE($A68,"_",AO$3),'Unit List'!$A$14:$H$2841,2,FALSE)),"X",$AN68)</f>
        <v>+</v>
      </c>
      <c r="AP68" s="171" t="str">
        <f>IF(ISTEXT(VLOOKUP(CONCATENATE($A68,"_",AP$3),'Unit List'!$A$14:$H$2841,2,FALSE)),"+","")</f>
        <v>+</v>
      </c>
      <c r="AQ68" s="178" t="str">
        <f>IF(ISTEXT(VLOOKUP(CONCATENATE($A68,"_",AQ$3),'Unit List'!$A$14:$H$2841,2,FALSE)),"X",$AP68)</f>
        <v>+</v>
      </c>
      <c r="AR68" s="178" t="str">
        <f>IF(ISTEXT(VLOOKUP(CONCATENATE($A68,"_",AR$3),'Unit List'!$A$14:$H$2841,2,FALSE)),"X",$AP68)</f>
        <v>+</v>
      </c>
      <c r="AS68" s="178" t="str">
        <f>IF(ISTEXT(VLOOKUP(CONCATENATE($A68,"_",AS$3),'Unit List'!$A$14:$H$2841,2,FALSE)),"X",$AP68)</f>
        <v>+</v>
      </c>
      <c r="AT68" s="189" t="str">
        <f>IF(ISTEXT(VLOOKUP(CONCATENATE($A68,"_",AT$3),'Unit List'!$A$14:$H$2841,2,FALSE)),"X",$AP68)</f>
        <v>+</v>
      </c>
      <c r="AU68" s="177" t="str">
        <f>IF(ISTEXT(VLOOKUP(CONCATENATE($A68,"_",AU$3),'Unit List'!$A$14:$H$2841,2,FALSE)),"+","")</f>
        <v>+</v>
      </c>
      <c r="AV68" s="178" t="str">
        <f>IF(ISTEXT(VLOOKUP(CONCATENATE($A68,"_",AV$3),'Unit List'!$A$14:$H$2841,2,FALSE)),"X",$AU68)</f>
        <v>+</v>
      </c>
      <c r="AW68" s="189" t="str">
        <f>IF(ISTEXT(VLOOKUP(CONCATENATE($A68,"_",AW$3),'Unit List'!$A$14:$H$2841,2,FALSE)),"X",$AU68)</f>
        <v>+</v>
      </c>
      <c r="AX68" s="171" t="str">
        <f>IF(ISTEXT(VLOOKUP(CONCATENATE($A68,"_",AX$3),'Unit List'!$A$14:$H$2841,2,FALSE)),"+","")</f>
        <v>+</v>
      </c>
      <c r="AY68" s="178" t="str">
        <f>IF(ISTEXT(VLOOKUP(CONCATENATE($A68,"_",AY$3),'Unit List'!$A$14:$H$2841,2,FALSE)),"X",$AX68)</f>
        <v>+</v>
      </c>
      <c r="AZ68" s="189" t="str">
        <f>IF(ISTEXT(VLOOKUP(CONCATENATE($A68,"_",AZ$3),'Unit List'!$A$14:$H$2841,2,FALSE)),"X",$AX68)</f>
        <v>+</v>
      </c>
      <c r="BA68" s="171" t="str">
        <f>IF(ISTEXT(VLOOKUP(CONCATENATE($A68,"_",BA$3),'Unit List'!$A$14:$H$2841,2,FALSE)),"+","")</f>
        <v>+</v>
      </c>
      <c r="BB68" s="178" t="str">
        <f>IF(ISTEXT(VLOOKUP(CONCATENATE($A68,"_",BB$3),'Unit List'!$A$14:$H$2841,2,FALSE)),"X",$BA68)</f>
        <v>+</v>
      </c>
      <c r="BC68" s="178" t="str">
        <f>IF(ISTEXT(VLOOKUP(CONCATENATE($A68,"_",BC$3),'Unit List'!$A$14:$H$2841,2,FALSE)),"X",$BA68)</f>
        <v>+</v>
      </c>
      <c r="BD68" s="189" t="str">
        <f>IF(ISTEXT(VLOOKUP(CONCATENATE($A68,"_",BD$3),'Unit List'!$A$14:$H$2841,2,FALSE)),"X",$BA68)</f>
        <v>+</v>
      </c>
      <c r="BE68" s="175" t="str">
        <f>IF(ISTEXT(VLOOKUP(CONCATENATE($A68,"_",BE$3),'Unit List'!$A$14:$H$2841,2,FALSE)),"+","")</f>
        <v>+</v>
      </c>
      <c r="BF68" s="95" t="str">
        <f>IF(ISTEXT(VLOOKUP(CONCATENATE($A68,"_",BF$3),'Unit List'!$A$14:$H$2841,2,FALSE)),"X",$BE68)</f>
        <v>+</v>
      </c>
      <c r="BG68" s="97"/>
      <c r="BH68" s="98" t="s">
        <v>0</v>
      </c>
      <c r="BI68" s="211" t="s">
        <v>1162</v>
      </c>
      <c r="BJ68" s="214"/>
      <c r="BK68" s="214"/>
      <c r="BL68" s="214"/>
      <c r="BM68" s="215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List'!$A$14:$H$2841,2,FALSE)),"+","")</f>
        <v/>
      </c>
      <c r="C69" s="119" t="str">
        <f>IF(ISTEXT(VLOOKUP(CONCATENATE($A69,"_",C$3),'Unit List'!$A$14:$H$2841,2,FALSE)),"X",$B69)</f>
        <v/>
      </c>
      <c r="D69" s="120" t="str">
        <f>IF(ISTEXT(VLOOKUP(CONCATENATE($A69,"_",D$3),'Unit List'!$A$14:$H$2841,2,FALSE)),"X",$B69)</f>
        <v/>
      </c>
      <c r="E69" s="120" t="str">
        <f>IF(ISTEXT(VLOOKUP(CONCATENATE($A69,"_",E$3),'Unit List'!$A$14:$H$2841,2,FALSE)),"X",$B69)</f>
        <v/>
      </c>
      <c r="F69" s="120" t="str">
        <f>IF(ISTEXT(VLOOKUP(CONCATENATE($A69,"_",F$3),'Unit List'!$A$14:$H$2841,2,FALSE)),"X",$B69)</f>
        <v/>
      </c>
      <c r="G69" s="120" t="str">
        <f>IF(ISTEXT(VLOOKUP(CONCATENATE($A69,"_",G$3),'Unit List'!$A$14:$H$2841,2,FALSE)),"X",$B69)</f>
        <v/>
      </c>
      <c r="H69" s="120" t="str">
        <f>IF(ISTEXT(VLOOKUP(CONCATENATE($A69,"_",H$3),'Unit List'!$A$14:$H$2841,2,FALSE)),"X",$B69)</f>
        <v/>
      </c>
      <c r="I69" s="122" t="str">
        <f>IF(ISTEXT(VLOOKUP(CONCATENATE($A69,"_",I$3),'Unit List'!$A$14:$H$2841,2,FALSE)),"X",$B69)</f>
        <v/>
      </c>
      <c r="J69" s="172" t="str">
        <f>IF(ISTEXT(VLOOKUP(CONCATENATE($A69,"_",J$3),'Unit List'!$A$14:$H$2841,2,FALSE)),"+","")</f>
        <v/>
      </c>
      <c r="K69" s="120" t="str">
        <f>IF(ISTEXT(VLOOKUP(CONCATENATE($A69,"_",K$3),'Unit List'!$A$14:$H$2841,2,FALSE)),"X",$J69)</f>
        <v/>
      </c>
      <c r="L69" s="75" t="str">
        <f>IF(ISTEXT(VLOOKUP(CONCATENATE($A69,"_",L$3),'Unit List'!$A$14:$H$2841,2,FALSE)),"X",$J69)</f>
        <v/>
      </c>
      <c r="M69" s="172" t="str">
        <f>IF(ISTEXT(VLOOKUP(CONCATENATE($A69,"_",M$3),'Unit List'!$A$14:$H$2841,2,FALSE)),"+","")</f>
        <v/>
      </c>
      <c r="N69" s="120" t="str">
        <f>IF(ISTEXT(VLOOKUP(CONCATENATE($A69,"_",N$3),'Unit List'!$A$14:$H$2841,2,FALSE)),"X",$M69)</f>
        <v/>
      </c>
      <c r="O69" s="122" t="str">
        <f>IF(ISTEXT(VLOOKUP(CONCATENATE($A69,"_",O$3),'Unit List'!$A$14:$H$2841,2,FALSE)),"X",$M69)</f>
        <v/>
      </c>
      <c r="P69" s="172" t="str">
        <f>IF(ISTEXT(VLOOKUP(CONCATENATE($A69,"_",P$3),'Unit List'!$A$14:$H$2841,2,FALSE)),"+","")</f>
        <v/>
      </c>
      <c r="Q69" s="120" t="str">
        <f>IF(ISTEXT(VLOOKUP(CONCATENATE($A69,"_",Q$3),'Unit List'!$A$14:$H$2841,2,FALSE)),"X",$P69)</f>
        <v/>
      </c>
      <c r="R69" s="120" t="str">
        <f>IF(ISTEXT(VLOOKUP(CONCATENATE($A69,"_",R$3),'Unit List'!$A$14:$H$2841,2,FALSE)),"X",$P69)</f>
        <v/>
      </c>
      <c r="S69" s="120" t="str">
        <f>IF(ISTEXT(VLOOKUP(CONCATENATE($A69,"_",S$3),'Unit List'!$A$14:$H$2841,2,FALSE)),"X",$P69)</f>
        <v/>
      </c>
      <c r="T69" s="121" t="str">
        <f>IF(ISTEXT(VLOOKUP(CONCATENATE($A69,"_",T$3),'Unit List'!$A$14:$H$2841,2,FALSE)),"X",$P69)</f>
        <v/>
      </c>
      <c r="U69" s="120" t="str">
        <f>IF(ISTEXT(VLOOKUP(CONCATENATE($A69,"_",U$3),'Unit List'!$A$14:$H$2841,2,FALSE)),"X",$P69)</f>
        <v/>
      </c>
      <c r="V69" s="120" t="str">
        <f>IF(ISTEXT(VLOOKUP(CONCATENATE($A69,"_",V$3),'Unit List'!$A$14:$H$2841,2,FALSE)),"X",$P69)</f>
        <v/>
      </c>
      <c r="W69" s="122" t="str">
        <f>IF(ISTEXT(VLOOKUP(CONCATENATE($A69,"_",W$3),'Unit List'!$A$14:$H$2841,2,FALSE)),"X",$P69)</f>
        <v/>
      </c>
      <c r="X69" s="172" t="str">
        <f>IF(ISTEXT(VLOOKUP(CONCATENATE($A69,"_",X$3),'Unit List'!$A$14:$H$2841,2,FALSE)),"+","")</f>
        <v/>
      </c>
      <c r="Y69" s="120" t="str">
        <f>IF(ISTEXT(VLOOKUP(CONCATENATE($A69,"_",Y$3),'Unit List'!$A$14:$H$2841,2,FALSE)),"X",$X69)</f>
        <v/>
      </c>
      <c r="Z69" s="120" t="str">
        <f>IF(ISTEXT(VLOOKUP(CONCATENATE($A69,"_",Z$3),'Unit List'!$A$14:$H$2841,2,FALSE)),"X",$X69)</f>
        <v/>
      </c>
      <c r="AA69" s="120" t="str">
        <f>IF(ISTEXT(VLOOKUP(CONCATENATE($A69,"_",AA$3),'Unit List'!$A$14:$H$2841,2,FALSE)),"X",$X69)</f>
        <v/>
      </c>
      <c r="AB69" s="120" t="str">
        <f>IF(ISTEXT(VLOOKUP(CONCATENATE($A69,"_",AB$3),'Unit List'!$A$14:$H$2841,2,FALSE)),"X",$X69)</f>
        <v/>
      </c>
      <c r="AC69" s="75" t="str">
        <f>IF(ISTEXT(VLOOKUP(CONCATENATE($A69,"_",AC$3),'Unit List'!$A$14:$H$2841,2,FALSE)),"X",$X69)</f>
        <v/>
      </c>
      <c r="AD69" s="172" t="str">
        <f>IF(ISTEXT(VLOOKUP(CONCATENATE($A69,"_",AD$3),'Unit List'!$A$14:$H$2841,2,FALSE)),"+","")</f>
        <v/>
      </c>
      <c r="AE69" s="120" t="str">
        <f>IF(ISTEXT(VLOOKUP(CONCATENATE($A69,"_",AE$3),'Unit List'!$A$14:$H$2841,2,FALSE)),"X",$AD69)</f>
        <v/>
      </c>
      <c r="AF69" s="120" t="str">
        <f>IF(ISTEXT(VLOOKUP(CONCATENATE($A69,"_",AF$3),'Unit List'!$A$14:$H$2841,2,FALSE)),"X",$AD69)</f>
        <v/>
      </c>
      <c r="AG69" s="172" t="str">
        <f>IF(ISTEXT(VLOOKUP(CONCATENATE($A69,"_",AG$3),'Unit List'!$A$14:$H$2841,2,FALSE)),"+","")</f>
        <v/>
      </c>
      <c r="AH69" s="120" t="str">
        <f>IF(ISTEXT(VLOOKUP(CONCATENATE($A69,"_",AH$3),'Unit List'!$A$14:$H$2841,2,FALSE)),"X",$AG69)</f>
        <v/>
      </c>
      <c r="AI69" s="120" t="str">
        <f>IF(ISTEXT(VLOOKUP(CONCATENATE($A69,"_",AI$3),'Unit List'!$A$14:$H$2841,2,FALSE)),"X",$AG69)</f>
        <v/>
      </c>
      <c r="AJ69" s="122" t="str">
        <f>IF(ISTEXT(VLOOKUP(CONCATENATE($A69,"_",AJ$3),'Unit List'!$A$14:$H$2841,2,FALSE)),"X",$AG69)</f>
        <v/>
      </c>
      <c r="AK69" s="172" t="str">
        <f>IF(ISTEXT(VLOOKUP(CONCATENATE($A69,"_",AK$3),'Unit List'!$A$14:$H$2841,2,FALSE)),"+","")</f>
        <v/>
      </c>
      <c r="AL69" s="121" t="str">
        <f>IF(ISTEXT(VLOOKUP(CONCATENATE($A69,"_",AL$3),'Unit List'!$A$14:$H$2841,2,FALSE)),"X",$AK69)</f>
        <v/>
      </c>
      <c r="AM69" s="122" t="str">
        <f>IF(ISTEXT(VLOOKUP(CONCATENATE($A69,"_",AM$3),'Unit List'!$A$14:$H$2841,2,FALSE)),"X",$AK69)</f>
        <v/>
      </c>
      <c r="AN69" s="125" t="str">
        <f>IF(ISTEXT(VLOOKUP(CONCATENATE($A69,"_",AN$3),'Unit List'!$A$14:$H$2841,2,FALSE)),"+","")</f>
        <v/>
      </c>
      <c r="AO69" s="122" t="str">
        <f>IF(ISTEXT(VLOOKUP(CONCATENATE($A69,"_",AO$3),'Unit List'!$A$14:$H$2841,2,FALSE)),"X",$AN69)</f>
        <v/>
      </c>
      <c r="AP69" s="172" t="str">
        <f>IF(ISTEXT(VLOOKUP(CONCATENATE($A69,"_",AP$3),'Unit List'!$A$14:$H$2841,2,FALSE)),"+","")</f>
        <v/>
      </c>
      <c r="AQ69" s="120" t="str">
        <f>IF(ISTEXT(VLOOKUP(CONCATENATE($A69,"_",AQ$3),'Unit List'!$A$14:$H$2841,2,FALSE)),"X",$AP69)</f>
        <v/>
      </c>
      <c r="AR69" s="120" t="str">
        <f>IF(ISTEXT(VLOOKUP(CONCATENATE($A69,"_",AR$3),'Unit List'!$A$14:$H$2841,2,FALSE)),"X",$AP69)</f>
        <v/>
      </c>
      <c r="AS69" s="120" t="str">
        <f>IF(ISTEXT(VLOOKUP(CONCATENATE($A69,"_",AS$3),'Unit List'!$A$14:$H$2841,2,FALSE)),"X",$AP69)</f>
        <v/>
      </c>
      <c r="AT69" s="122" t="str">
        <f>IF(ISTEXT(VLOOKUP(CONCATENATE($A69,"_",AT$3),'Unit List'!$A$14:$H$2841,2,FALSE)),"X",$AP69)</f>
        <v/>
      </c>
      <c r="AU69" s="124" t="str">
        <f>IF(ISTEXT(VLOOKUP(CONCATENATE($A69,"_",AU$3),'Unit List'!$A$14:$H$2841,2,FALSE)),"+","")</f>
        <v/>
      </c>
      <c r="AV69" s="120" t="str">
        <f>IF(ISTEXT(VLOOKUP(CONCATENATE($A69,"_",AV$3),'Unit List'!$A$14:$H$2841,2,FALSE)),"X",$AU69)</f>
        <v/>
      </c>
      <c r="AW69" s="122" t="str">
        <f>IF(ISTEXT(VLOOKUP(CONCATENATE($A69,"_",AW$3),'Unit List'!$A$14:$H$2841,2,FALSE)),"X",$AU69)</f>
        <v/>
      </c>
      <c r="AX69" s="172" t="str">
        <f>IF(ISTEXT(VLOOKUP(CONCATENATE($A69,"_",AX$3),'Unit List'!$A$14:$H$2841,2,FALSE)),"+","")</f>
        <v/>
      </c>
      <c r="AY69" s="120" t="str">
        <f>IF(ISTEXT(VLOOKUP(CONCATENATE($A69,"_",AY$3),'Unit List'!$A$14:$H$2841,2,FALSE)),"X",$AX69)</f>
        <v/>
      </c>
      <c r="AZ69" s="122" t="str">
        <f>IF(ISTEXT(VLOOKUP(CONCATENATE($A69,"_",AZ$3),'Unit List'!$A$14:$H$2841,2,FALSE)),"X",$AX69)</f>
        <v/>
      </c>
      <c r="BA69" s="182" t="str">
        <f>IF(ISTEXT(VLOOKUP(CONCATENATE($A69,"_",BA$3),'Unit List'!$A$14:$H$2841,2,FALSE)),"+","")</f>
        <v/>
      </c>
      <c r="BB69" s="120" t="str">
        <f>IF(ISTEXT(VLOOKUP(CONCATENATE($A69,"_",BB$3),'Unit List'!$A$14:$H$2841,2,FALSE)),"X",$BA69)</f>
        <v/>
      </c>
      <c r="BC69" s="120" t="str">
        <f>IF(ISTEXT(VLOOKUP(CONCATENATE($A69,"_",BC$3),'Unit List'!$A$14:$H$2841,2,FALSE)),"X",$BA69)</f>
        <v/>
      </c>
      <c r="BD69" s="122" t="str">
        <f>IF(ISTEXT(VLOOKUP(CONCATENATE($A69,"_",BD$3),'Unit List'!$A$14:$H$2841,2,FALSE)),"X",$BA69)</f>
        <v/>
      </c>
      <c r="BE69" s="125" t="str">
        <f>IF(ISTEXT(VLOOKUP(CONCATENATE($A69,"_",BE$3),'Unit List'!$A$14:$H$2841,2,FALSE)),"+","")</f>
        <v/>
      </c>
      <c r="BF69" s="75" t="str">
        <f>IF(ISTEXT(VLOOKUP(CONCATENATE($A69,"_",BF$3),'Unit List'!$A$14:$H$2841,2,FALSE)),"X",$BE69)</f>
        <v/>
      </c>
      <c r="BG69" s="75"/>
      <c r="BH69" s="84"/>
      <c r="BI69" s="211"/>
      <c r="BJ69" s="212"/>
      <c r="BK69" s="212"/>
      <c r="BL69" s="212"/>
      <c r="BM69" s="213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List'!$A$14:$H$2841,2,FALSE)),"+","")</f>
        <v/>
      </c>
      <c r="C70" s="119" t="str">
        <f>IF(ISTEXT(VLOOKUP(CONCATENATE($A70,"_",C$3),'Unit List'!$A$14:$H$2841,2,FALSE)),"X",$B70)</f>
        <v/>
      </c>
      <c r="D70" s="120" t="str">
        <f>IF(ISTEXT(VLOOKUP(CONCATENATE($A70,"_",D$3),'Unit List'!$A$14:$H$2841,2,FALSE)),"X",$B70)</f>
        <v/>
      </c>
      <c r="E70" s="120" t="str">
        <f>IF(ISTEXT(VLOOKUP(CONCATENATE($A70,"_",E$3),'Unit List'!$A$14:$H$2841,2,FALSE)),"X",$B70)</f>
        <v/>
      </c>
      <c r="F70" s="120" t="str">
        <f>IF(ISTEXT(VLOOKUP(CONCATENATE($A70,"_",F$3),'Unit List'!$A$14:$H$2841,2,FALSE)),"X",$B70)</f>
        <v/>
      </c>
      <c r="G70" s="120" t="str">
        <f>IF(ISTEXT(VLOOKUP(CONCATENATE($A70,"_",G$3),'Unit List'!$A$14:$H$2841,2,FALSE)),"X",$B70)</f>
        <v/>
      </c>
      <c r="H70" s="120" t="str">
        <f>IF(ISTEXT(VLOOKUP(CONCATENATE($A70,"_",H$3),'Unit List'!$A$14:$H$2841,2,FALSE)),"X",$B70)</f>
        <v/>
      </c>
      <c r="I70" s="122" t="str">
        <f>IF(ISTEXT(VLOOKUP(CONCATENATE($A70,"_",I$3),'Unit List'!$A$14:$H$2841,2,FALSE)),"X",$B70)</f>
        <v/>
      </c>
      <c r="J70" s="172" t="str">
        <f>IF(ISTEXT(VLOOKUP(CONCATENATE($A70,"_",J$3),'Unit List'!$A$14:$H$2841,2,FALSE)),"+","")</f>
        <v/>
      </c>
      <c r="K70" s="120" t="str">
        <f>IF(ISTEXT(VLOOKUP(CONCATENATE($A70,"_",K$3),'Unit List'!$A$14:$H$2841,2,FALSE)),"X",$J70)</f>
        <v/>
      </c>
      <c r="L70" s="75" t="str">
        <f>IF(ISTEXT(VLOOKUP(CONCATENATE($A70,"_",L$3),'Unit List'!$A$14:$H$2841,2,FALSE)),"X",$J70)</f>
        <v/>
      </c>
      <c r="M70" s="172" t="str">
        <f>IF(ISTEXT(VLOOKUP(CONCATENATE($A70,"_",M$3),'Unit List'!$A$14:$H$2841,2,FALSE)),"+","")</f>
        <v/>
      </c>
      <c r="N70" s="120" t="str">
        <f>IF(ISTEXT(VLOOKUP(CONCATENATE($A70,"_",N$3),'Unit List'!$A$14:$H$2841,2,FALSE)),"X",$M70)</f>
        <v/>
      </c>
      <c r="O70" s="122" t="str">
        <f>IF(ISTEXT(VLOOKUP(CONCATENATE($A70,"_",O$3),'Unit List'!$A$14:$H$2841,2,FALSE)),"X",$M70)</f>
        <v/>
      </c>
      <c r="P70" s="172" t="str">
        <f>IF(ISTEXT(VLOOKUP(CONCATENATE($A70,"_",P$3),'Unit List'!$A$14:$H$2841,2,FALSE)),"+","")</f>
        <v/>
      </c>
      <c r="Q70" s="120" t="str">
        <f>IF(ISTEXT(VLOOKUP(CONCATENATE($A70,"_",Q$3),'Unit List'!$A$14:$H$2841,2,FALSE)),"X",$P70)</f>
        <v/>
      </c>
      <c r="R70" s="120" t="str">
        <f>IF(ISTEXT(VLOOKUP(CONCATENATE($A70,"_",R$3),'Unit List'!$A$14:$H$2841,2,FALSE)),"X",$P70)</f>
        <v/>
      </c>
      <c r="S70" s="120" t="str">
        <f>IF(ISTEXT(VLOOKUP(CONCATENATE($A70,"_",S$3),'Unit List'!$A$14:$H$2841,2,FALSE)),"X",$P70)</f>
        <v/>
      </c>
      <c r="T70" s="121" t="str">
        <f>IF(ISTEXT(VLOOKUP(CONCATENATE($A70,"_",T$3),'Unit List'!$A$14:$H$2841,2,FALSE)),"X",$P70)</f>
        <v/>
      </c>
      <c r="U70" s="120" t="str">
        <f>IF(ISTEXT(VLOOKUP(CONCATENATE($A70,"_",U$3),'Unit List'!$A$14:$H$2841,2,FALSE)),"X",$P70)</f>
        <v/>
      </c>
      <c r="V70" s="120" t="str">
        <f>IF(ISTEXT(VLOOKUP(CONCATENATE($A70,"_",V$3),'Unit List'!$A$14:$H$2841,2,FALSE)),"X",$P70)</f>
        <v/>
      </c>
      <c r="W70" s="122" t="str">
        <f>IF(ISTEXT(VLOOKUP(CONCATENATE($A70,"_",W$3),'Unit List'!$A$14:$H$2841,2,FALSE)),"X",$P70)</f>
        <v/>
      </c>
      <c r="X70" s="172" t="str">
        <f>IF(ISTEXT(VLOOKUP(CONCATENATE($A70,"_",X$3),'Unit List'!$A$14:$H$2841,2,FALSE)),"+","")</f>
        <v/>
      </c>
      <c r="Y70" s="120" t="str">
        <f>IF(ISTEXT(VLOOKUP(CONCATENATE($A70,"_",Y$3),'Unit List'!$A$14:$H$2841,2,FALSE)),"X",$X70)</f>
        <v/>
      </c>
      <c r="Z70" s="120" t="str">
        <f>IF(ISTEXT(VLOOKUP(CONCATENATE($A70,"_",Z$3),'Unit List'!$A$14:$H$2841,2,FALSE)),"X",$X70)</f>
        <v/>
      </c>
      <c r="AA70" s="120" t="str">
        <f>IF(ISTEXT(VLOOKUP(CONCATENATE($A70,"_",AA$3),'Unit List'!$A$14:$H$2841,2,FALSE)),"X",$X70)</f>
        <v/>
      </c>
      <c r="AB70" s="120" t="str">
        <f>IF(ISTEXT(VLOOKUP(CONCATENATE($A70,"_",AB$3),'Unit List'!$A$14:$H$2841,2,FALSE)),"X",$X70)</f>
        <v/>
      </c>
      <c r="AC70" s="75" t="str">
        <f>IF(ISTEXT(VLOOKUP(CONCATENATE($A70,"_",AC$3),'Unit List'!$A$14:$H$2841,2,FALSE)),"X",$X70)</f>
        <v/>
      </c>
      <c r="AD70" s="172" t="str">
        <f>IF(ISTEXT(VLOOKUP(CONCATENATE($A70,"_",AD$3),'Unit List'!$A$14:$H$2841,2,FALSE)),"+","")</f>
        <v/>
      </c>
      <c r="AE70" s="120" t="str">
        <f>IF(ISTEXT(VLOOKUP(CONCATENATE($A70,"_",AE$3),'Unit List'!$A$14:$H$2841,2,FALSE)),"X",$AD70)</f>
        <v/>
      </c>
      <c r="AF70" s="120" t="str">
        <f>IF(ISTEXT(VLOOKUP(CONCATENATE($A70,"_",AF$3),'Unit List'!$A$14:$H$2841,2,FALSE)),"X",$AD70)</f>
        <v/>
      </c>
      <c r="AG70" s="172" t="str">
        <f>IF(ISTEXT(VLOOKUP(CONCATENATE($A70,"_",AG$3),'Unit List'!$A$14:$H$2841,2,FALSE)),"+","")</f>
        <v/>
      </c>
      <c r="AH70" s="120" t="str">
        <f>IF(ISTEXT(VLOOKUP(CONCATENATE($A70,"_",AH$3),'Unit List'!$A$14:$H$2841,2,FALSE)),"X",$AG70)</f>
        <v/>
      </c>
      <c r="AI70" s="120" t="str">
        <f>IF(ISTEXT(VLOOKUP(CONCATENATE($A70,"_",AI$3),'Unit List'!$A$14:$H$2841,2,FALSE)),"X",$AG70)</f>
        <v/>
      </c>
      <c r="AJ70" s="122" t="str">
        <f>IF(ISTEXT(VLOOKUP(CONCATENATE($A70,"_",AJ$3),'Unit List'!$A$14:$H$2841,2,FALSE)),"X",$AG70)</f>
        <v/>
      </c>
      <c r="AK70" s="172" t="str">
        <f>IF(ISTEXT(VLOOKUP(CONCATENATE($A70,"_",AK$3),'Unit List'!$A$14:$H$2841,2,FALSE)),"+","")</f>
        <v/>
      </c>
      <c r="AL70" s="121" t="str">
        <f>IF(ISTEXT(VLOOKUP(CONCATENATE($A70,"_",AL$3),'Unit List'!$A$14:$H$2841,2,FALSE)),"X",$AK70)</f>
        <v/>
      </c>
      <c r="AM70" s="122" t="str">
        <f>IF(ISTEXT(VLOOKUP(CONCATENATE($A70,"_",AM$3),'Unit List'!$A$14:$H$2841,2,FALSE)),"X",$AK70)</f>
        <v/>
      </c>
      <c r="AN70" s="125" t="str">
        <f>IF(ISTEXT(VLOOKUP(CONCATENATE($A70,"_",AN$3),'Unit List'!$A$14:$H$2841,2,FALSE)),"+","")</f>
        <v/>
      </c>
      <c r="AO70" s="122" t="str">
        <f>IF(ISTEXT(VLOOKUP(CONCATENATE($A70,"_",AO$3),'Unit List'!$A$14:$H$2841,2,FALSE)),"X",$AN70)</f>
        <v/>
      </c>
      <c r="AP70" s="172" t="str">
        <f>IF(ISTEXT(VLOOKUP(CONCATENATE($A70,"_",AP$3),'Unit List'!$A$14:$H$2841,2,FALSE)),"+","")</f>
        <v/>
      </c>
      <c r="AQ70" s="120" t="str">
        <f>IF(ISTEXT(VLOOKUP(CONCATENATE($A70,"_",AQ$3),'Unit List'!$A$14:$H$2841,2,FALSE)),"X",$AP70)</f>
        <v/>
      </c>
      <c r="AR70" s="120" t="str">
        <f>IF(ISTEXT(VLOOKUP(CONCATENATE($A70,"_",AR$3),'Unit List'!$A$14:$H$2841,2,FALSE)),"X",$AP70)</f>
        <v/>
      </c>
      <c r="AS70" s="120" t="str">
        <f>IF(ISTEXT(VLOOKUP(CONCATENATE($A70,"_",AS$3),'Unit List'!$A$14:$H$2841,2,FALSE)),"X",$AP70)</f>
        <v/>
      </c>
      <c r="AT70" s="122" t="str">
        <f>IF(ISTEXT(VLOOKUP(CONCATENATE($A70,"_",AT$3),'Unit List'!$A$14:$H$2841,2,FALSE)),"X",$AP70)</f>
        <v/>
      </c>
      <c r="AU70" s="124" t="str">
        <f>IF(ISTEXT(VLOOKUP(CONCATENATE($A70,"_",AU$3),'Unit List'!$A$14:$H$2841,2,FALSE)),"+","")</f>
        <v/>
      </c>
      <c r="AV70" s="120" t="str">
        <f>IF(ISTEXT(VLOOKUP(CONCATENATE($A70,"_",AV$3),'Unit List'!$A$14:$H$2841,2,FALSE)),"X",$AU70)</f>
        <v/>
      </c>
      <c r="AW70" s="122" t="str">
        <f>IF(ISTEXT(VLOOKUP(CONCATENATE($A70,"_",AW$3),'Unit List'!$A$14:$H$2841,2,FALSE)),"X",$AU70)</f>
        <v/>
      </c>
      <c r="AX70" s="172" t="str">
        <f>IF(ISTEXT(VLOOKUP(CONCATENATE($A70,"_",AX$3),'Unit List'!$A$14:$H$2841,2,FALSE)),"+","")</f>
        <v/>
      </c>
      <c r="AY70" s="120" t="str">
        <f>IF(ISTEXT(VLOOKUP(CONCATENATE($A70,"_",AY$3),'Unit List'!$A$14:$H$2841,2,FALSE)),"X",$AX70)</f>
        <v/>
      </c>
      <c r="AZ70" s="122" t="str">
        <f>IF(ISTEXT(VLOOKUP(CONCATENATE($A70,"_",AZ$3),'Unit List'!$A$14:$H$2841,2,FALSE)),"X",$AX70)</f>
        <v/>
      </c>
      <c r="BA70" s="182" t="str">
        <f>IF(ISTEXT(VLOOKUP(CONCATENATE($A70,"_",BA$3),'Unit List'!$A$14:$H$2841,2,FALSE)),"+","")</f>
        <v/>
      </c>
      <c r="BB70" s="120" t="str">
        <f>IF(ISTEXT(VLOOKUP(CONCATENATE($A70,"_",BB$3),'Unit List'!$A$14:$H$2841,2,FALSE)),"X",$BA70)</f>
        <v/>
      </c>
      <c r="BC70" s="120" t="str">
        <f>IF(ISTEXT(VLOOKUP(CONCATENATE($A70,"_",BC$3),'Unit List'!$A$14:$H$2841,2,FALSE)),"X",$BA70)</f>
        <v/>
      </c>
      <c r="BD70" s="122" t="str">
        <f>IF(ISTEXT(VLOOKUP(CONCATENATE($A70,"_",BD$3),'Unit List'!$A$14:$H$2841,2,FALSE)),"X",$BA70)</f>
        <v/>
      </c>
      <c r="BE70" s="125" t="str">
        <f>IF(ISTEXT(VLOOKUP(CONCATENATE($A70,"_",BE$3),'Unit List'!$A$14:$H$2841,2,FALSE)),"+","")</f>
        <v/>
      </c>
      <c r="BF70" s="75" t="str">
        <f>IF(ISTEXT(VLOOKUP(CONCATENATE($A70,"_",BF$3),'Unit List'!$A$14:$H$2841,2,FALSE)),"X",$BE70)</f>
        <v/>
      </c>
      <c r="BG70" s="75"/>
      <c r="BH70" s="84"/>
      <c r="BI70" s="211"/>
      <c r="BJ70" s="212"/>
      <c r="BK70" s="212"/>
      <c r="BL70" s="212"/>
      <c r="BM70" s="213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List'!$A$14:$H$2841,2,FALSE)),"+","")</f>
        <v/>
      </c>
      <c r="C71" s="119" t="str">
        <f>IF(ISTEXT(VLOOKUP(CONCATENATE($A71,"_",C$3),'Unit List'!$A$14:$H$2841,2,FALSE)),"X",$B71)</f>
        <v/>
      </c>
      <c r="D71" s="120" t="str">
        <f>IF(ISTEXT(VLOOKUP(CONCATENATE($A71,"_",D$3),'Unit List'!$A$14:$H$2841,2,FALSE)),"X",$B71)</f>
        <v/>
      </c>
      <c r="E71" s="120" t="str">
        <f>IF(ISTEXT(VLOOKUP(CONCATENATE($A71,"_",E$3),'Unit List'!$A$14:$H$2841,2,FALSE)),"X",$B71)</f>
        <v/>
      </c>
      <c r="F71" s="120" t="str">
        <f>IF(ISTEXT(VLOOKUP(CONCATENATE($A71,"_",F$3),'Unit List'!$A$14:$H$2841,2,FALSE)),"X",$B71)</f>
        <v/>
      </c>
      <c r="G71" s="120" t="str">
        <f>IF(ISTEXT(VLOOKUP(CONCATENATE($A71,"_",G$3),'Unit List'!$A$14:$H$2841,2,FALSE)),"X",$B71)</f>
        <v/>
      </c>
      <c r="H71" s="120" t="str">
        <f>IF(ISTEXT(VLOOKUP(CONCATENATE($A71,"_",H$3),'Unit List'!$A$14:$H$2841,2,FALSE)),"X",$B71)</f>
        <v/>
      </c>
      <c r="I71" s="122" t="str">
        <f>IF(ISTEXT(VLOOKUP(CONCATENATE($A71,"_",I$3),'Unit List'!$A$14:$H$2841,2,FALSE)),"X",$B71)</f>
        <v/>
      </c>
      <c r="J71" s="172" t="str">
        <f>IF(ISTEXT(VLOOKUP(CONCATENATE($A71,"_",J$3),'Unit List'!$A$14:$H$2841,2,FALSE)),"+","")</f>
        <v/>
      </c>
      <c r="K71" s="120" t="str">
        <f>IF(ISTEXT(VLOOKUP(CONCATENATE($A71,"_",K$3),'Unit List'!$A$14:$H$2841,2,FALSE)),"X",$J71)</f>
        <v/>
      </c>
      <c r="L71" s="75" t="str">
        <f>IF(ISTEXT(VLOOKUP(CONCATENATE($A71,"_",L$3),'Unit List'!$A$14:$H$2841,2,FALSE)),"X",$J71)</f>
        <v/>
      </c>
      <c r="M71" s="172" t="str">
        <f>IF(ISTEXT(VLOOKUP(CONCATENATE($A71,"_",M$3),'Unit List'!$A$14:$H$2841,2,FALSE)),"+","")</f>
        <v/>
      </c>
      <c r="N71" s="120" t="str">
        <f>IF(ISTEXT(VLOOKUP(CONCATENATE($A71,"_",N$3),'Unit List'!$A$14:$H$2841,2,FALSE)),"X",$M71)</f>
        <v/>
      </c>
      <c r="O71" s="122" t="str">
        <f>IF(ISTEXT(VLOOKUP(CONCATENATE($A71,"_",O$3),'Unit List'!$A$14:$H$2841,2,FALSE)),"X",$M71)</f>
        <v/>
      </c>
      <c r="P71" s="172" t="str">
        <f>IF(ISTEXT(VLOOKUP(CONCATENATE($A71,"_",P$3),'Unit List'!$A$14:$H$2841,2,FALSE)),"+","")</f>
        <v/>
      </c>
      <c r="Q71" s="120" t="str">
        <f>IF(ISTEXT(VLOOKUP(CONCATENATE($A71,"_",Q$3),'Unit List'!$A$14:$H$2841,2,FALSE)),"X",$P71)</f>
        <v/>
      </c>
      <c r="R71" s="120" t="str">
        <f>IF(ISTEXT(VLOOKUP(CONCATENATE($A71,"_",R$3),'Unit List'!$A$14:$H$2841,2,FALSE)),"X",$P71)</f>
        <v/>
      </c>
      <c r="S71" s="120" t="str">
        <f>IF(ISTEXT(VLOOKUP(CONCATENATE($A71,"_",S$3),'Unit List'!$A$14:$H$2841,2,FALSE)),"X",$P71)</f>
        <v/>
      </c>
      <c r="T71" s="121" t="str">
        <f>IF(ISTEXT(VLOOKUP(CONCATENATE($A71,"_",T$3),'Unit List'!$A$14:$H$2841,2,FALSE)),"X",$P71)</f>
        <v/>
      </c>
      <c r="U71" s="120" t="str">
        <f>IF(ISTEXT(VLOOKUP(CONCATENATE($A71,"_",U$3),'Unit List'!$A$14:$H$2841,2,FALSE)),"X",$P71)</f>
        <v/>
      </c>
      <c r="V71" s="120" t="str">
        <f>IF(ISTEXT(VLOOKUP(CONCATENATE($A71,"_",V$3),'Unit List'!$A$14:$H$2841,2,FALSE)),"X",$P71)</f>
        <v/>
      </c>
      <c r="W71" s="122" t="str">
        <f>IF(ISTEXT(VLOOKUP(CONCATENATE($A71,"_",W$3),'Unit List'!$A$14:$H$2841,2,FALSE)),"X",$P71)</f>
        <v/>
      </c>
      <c r="X71" s="172" t="str">
        <f>IF(ISTEXT(VLOOKUP(CONCATENATE($A71,"_",X$3),'Unit List'!$A$14:$H$2841,2,FALSE)),"+","")</f>
        <v/>
      </c>
      <c r="Y71" s="120" t="str">
        <f>IF(ISTEXT(VLOOKUP(CONCATENATE($A71,"_",Y$3),'Unit List'!$A$14:$H$2841,2,FALSE)),"X",$X71)</f>
        <v/>
      </c>
      <c r="Z71" s="120" t="str">
        <f>IF(ISTEXT(VLOOKUP(CONCATENATE($A71,"_",Z$3),'Unit List'!$A$14:$H$2841,2,FALSE)),"X",$X71)</f>
        <v/>
      </c>
      <c r="AA71" s="120" t="str">
        <f>IF(ISTEXT(VLOOKUP(CONCATENATE($A71,"_",AA$3),'Unit List'!$A$14:$H$2841,2,FALSE)),"X",$X71)</f>
        <v/>
      </c>
      <c r="AB71" s="120" t="str">
        <f>IF(ISTEXT(VLOOKUP(CONCATENATE($A71,"_",AB$3),'Unit List'!$A$14:$H$2841,2,FALSE)),"X",$X71)</f>
        <v/>
      </c>
      <c r="AC71" s="75" t="str">
        <f>IF(ISTEXT(VLOOKUP(CONCATENATE($A71,"_",AC$3),'Unit List'!$A$14:$H$2841,2,FALSE)),"X",$X71)</f>
        <v/>
      </c>
      <c r="AD71" s="172" t="str">
        <f>IF(ISTEXT(VLOOKUP(CONCATENATE($A71,"_",AD$3),'Unit List'!$A$14:$H$2841,2,FALSE)),"+","")</f>
        <v/>
      </c>
      <c r="AE71" s="120" t="str">
        <f>IF(ISTEXT(VLOOKUP(CONCATENATE($A71,"_",AE$3),'Unit List'!$A$14:$H$2841,2,FALSE)),"X",$AD71)</f>
        <v/>
      </c>
      <c r="AF71" s="120" t="str">
        <f>IF(ISTEXT(VLOOKUP(CONCATENATE($A71,"_",AF$3),'Unit List'!$A$14:$H$2841,2,FALSE)),"X",$AD71)</f>
        <v/>
      </c>
      <c r="AG71" s="172" t="str">
        <f>IF(ISTEXT(VLOOKUP(CONCATENATE($A71,"_",AG$3),'Unit List'!$A$14:$H$2841,2,FALSE)),"+","")</f>
        <v/>
      </c>
      <c r="AH71" s="120" t="str">
        <f>IF(ISTEXT(VLOOKUP(CONCATENATE($A71,"_",AH$3),'Unit List'!$A$14:$H$2841,2,FALSE)),"X",$AG71)</f>
        <v/>
      </c>
      <c r="AI71" s="120" t="str">
        <f>IF(ISTEXT(VLOOKUP(CONCATENATE($A71,"_",AI$3),'Unit List'!$A$14:$H$2841,2,FALSE)),"X",$AG71)</f>
        <v/>
      </c>
      <c r="AJ71" s="122" t="str">
        <f>IF(ISTEXT(VLOOKUP(CONCATENATE($A71,"_",AJ$3),'Unit List'!$A$14:$H$2841,2,FALSE)),"X",$AG71)</f>
        <v/>
      </c>
      <c r="AK71" s="172" t="str">
        <f>IF(ISTEXT(VLOOKUP(CONCATENATE($A71,"_",AK$3),'Unit List'!$A$14:$H$2841,2,FALSE)),"+","")</f>
        <v/>
      </c>
      <c r="AL71" s="121" t="str">
        <f>IF(ISTEXT(VLOOKUP(CONCATENATE($A71,"_",AL$3),'Unit List'!$A$14:$H$2841,2,FALSE)),"X",$AK71)</f>
        <v/>
      </c>
      <c r="AM71" s="122" t="str">
        <f>IF(ISTEXT(VLOOKUP(CONCATENATE($A71,"_",AM$3),'Unit List'!$A$14:$H$2841,2,FALSE)),"X",$AK71)</f>
        <v/>
      </c>
      <c r="AN71" s="125" t="str">
        <f>IF(ISTEXT(VLOOKUP(CONCATENATE($A71,"_",AN$3),'Unit List'!$A$14:$H$2841,2,FALSE)),"+","")</f>
        <v/>
      </c>
      <c r="AO71" s="122" t="str">
        <f>IF(ISTEXT(VLOOKUP(CONCATENATE($A71,"_",AO$3),'Unit List'!$A$14:$H$2841,2,FALSE)),"X",$AN71)</f>
        <v/>
      </c>
      <c r="AP71" s="172" t="str">
        <f>IF(ISTEXT(VLOOKUP(CONCATENATE($A71,"_",AP$3),'Unit List'!$A$14:$H$2841,2,FALSE)),"+","")</f>
        <v/>
      </c>
      <c r="AQ71" s="120" t="str">
        <f>IF(ISTEXT(VLOOKUP(CONCATENATE($A71,"_",AQ$3),'Unit List'!$A$14:$H$2841,2,FALSE)),"X",$AP71)</f>
        <v/>
      </c>
      <c r="AR71" s="120" t="str">
        <f>IF(ISTEXT(VLOOKUP(CONCATENATE($A71,"_",AR$3),'Unit List'!$A$14:$H$2841,2,FALSE)),"X",$AP71)</f>
        <v/>
      </c>
      <c r="AS71" s="120" t="str">
        <f>IF(ISTEXT(VLOOKUP(CONCATENATE($A71,"_",AS$3),'Unit List'!$A$14:$H$2841,2,FALSE)),"X",$AP71)</f>
        <v/>
      </c>
      <c r="AT71" s="122" t="str">
        <f>IF(ISTEXT(VLOOKUP(CONCATENATE($A71,"_",AT$3),'Unit List'!$A$14:$H$2841,2,FALSE)),"X",$AP71)</f>
        <v/>
      </c>
      <c r="AU71" s="124" t="str">
        <f>IF(ISTEXT(VLOOKUP(CONCATENATE($A71,"_",AU$3),'Unit List'!$A$14:$H$2841,2,FALSE)),"+","")</f>
        <v/>
      </c>
      <c r="AV71" s="120" t="str">
        <f>IF(ISTEXT(VLOOKUP(CONCATENATE($A71,"_",AV$3),'Unit List'!$A$14:$H$2841,2,FALSE)),"X",$AU71)</f>
        <v/>
      </c>
      <c r="AW71" s="122" t="str">
        <f>IF(ISTEXT(VLOOKUP(CONCATENATE($A71,"_",AW$3),'Unit List'!$A$14:$H$2841,2,FALSE)),"X",$AU71)</f>
        <v/>
      </c>
      <c r="AX71" s="172" t="str">
        <f>IF(ISTEXT(VLOOKUP(CONCATENATE($A71,"_",AX$3),'Unit List'!$A$14:$H$2841,2,FALSE)),"+","")</f>
        <v/>
      </c>
      <c r="AY71" s="120" t="str">
        <f>IF(ISTEXT(VLOOKUP(CONCATENATE($A71,"_",AY$3),'Unit List'!$A$14:$H$2841,2,FALSE)),"X",$AX71)</f>
        <v/>
      </c>
      <c r="AZ71" s="122" t="str">
        <f>IF(ISTEXT(VLOOKUP(CONCATENATE($A71,"_",AZ$3),'Unit List'!$A$14:$H$2841,2,FALSE)),"X",$AX71)</f>
        <v/>
      </c>
      <c r="BA71" s="182" t="str">
        <f>IF(ISTEXT(VLOOKUP(CONCATENATE($A71,"_",BA$3),'Unit List'!$A$14:$H$2841,2,FALSE)),"+","")</f>
        <v/>
      </c>
      <c r="BB71" s="120" t="str">
        <f>IF(ISTEXT(VLOOKUP(CONCATENATE($A71,"_",BB$3),'Unit List'!$A$14:$H$2841,2,FALSE)),"X",$BA71)</f>
        <v/>
      </c>
      <c r="BC71" s="120" t="str">
        <f>IF(ISTEXT(VLOOKUP(CONCATENATE($A71,"_",BC$3),'Unit List'!$A$14:$H$2841,2,FALSE)),"X",$BA71)</f>
        <v/>
      </c>
      <c r="BD71" s="122" t="str">
        <f>IF(ISTEXT(VLOOKUP(CONCATENATE($A71,"_",BD$3),'Unit List'!$A$14:$H$2841,2,FALSE)),"X",$BA71)</f>
        <v/>
      </c>
      <c r="BE71" s="125" t="str">
        <f>IF(ISTEXT(VLOOKUP(CONCATENATE($A71,"_",BE$3),'Unit List'!$A$14:$H$2841,2,FALSE)),"+","")</f>
        <v/>
      </c>
      <c r="BF71" s="75" t="str">
        <f>IF(ISTEXT(VLOOKUP(CONCATENATE($A71,"_",BF$3),'Unit List'!$A$14:$H$2841,2,FALSE)),"X",$BE71)</f>
        <v/>
      </c>
      <c r="BG71" s="75"/>
      <c r="BH71" s="84"/>
      <c r="BI71" s="211"/>
      <c r="BJ71" s="212"/>
      <c r="BK71" s="212"/>
      <c r="BL71" s="212"/>
      <c r="BM71" s="213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List'!$A$14:$H$2841,2,FALSE)),"+","")</f>
        <v/>
      </c>
      <c r="C72" s="130" t="str">
        <f>IF(ISTEXT(VLOOKUP(CONCATENATE($A72,"_",C$3),'Unit List'!$A$14:$H$2841,2,FALSE)),"X",$B72)</f>
        <v/>
      </c>
      <c r="D72" s="131" t="str">
        <f>IF(ISTEXT(VLOOKUP(CONCATENATE($A72,"_",D$3),'Unit List'!$A$14:$H$2841,2,FALSE)),"X",$B72)</f>
        <v/>
      </c>
      <c r="E72" s="131" t="str">
        <f>IF(ISTEXT(VLOOKUP(CONCATENATE($A72,"_",E$3),'Unit List'!$A$14:$H$2841,2,FALSE)),"X",$B72)</f>
        <v/>
      </c>
      <c r="F72" s="131" t="str">
        <f>IF(ISTEXT(VLOOKUP(CONCATENATE($A72,"_",F$3),'Unit List'!$A$14:$H$2841,2,FALSE)),"X",$B72)</f>
        <v/>
      </c>
      <c r="G72" s="131" t="str">
        <f>IF(ISTEXT(VLOOKUP(CONCATENATE($A72,"_",G$3),'Unit List'!$A$14:$H$2841,2,FALSE)),"X",$B72)</f>
        <v/>
      </c>
      <c r="H72" s="131" t="str">
        <f>IF(ISTEXT(VLOOKUP(CONCATENATE($A72,"_",H$3),'Unit List'!$A$14:$H$2841,2,FALSE)),"X",$B72)</f>
        <v/>
      </c>
      <c r="I72" s="132" t="str">
        <f>IF(ISTEXT(VLOOKUP(CONCATENATE($A72,"_",I$3),'Unit List'!$A$14:$H$2841,2,FALSE)),"X",$B72)</f>
        <v/>
      </c>
      <c r="J72" s="173" t="str">
        <f>IF(ISTEXT(VLOOKUP(CONCATENATE($A72,"_",J$3),'Unit List'!$A$14:$H$2841,2,FALSE)),"+","")</f>
        <v/>
      </c>
      <c r="K72" s="131" t="str">
        <f>IF(ISTEXT(VLOOKUP(CONCATENATE($A72,"_",K$3),'Unit List'!$A$14:$H$2841,2,FALSE)),"X",$J72)</f>
        <v/>
      </c>
      <c r="L72" s="116" t="str">
        <f>IF(ISTEXT(VLOOKUP(CONCATENATE($A72,"_",L$3),'Unit List'!$A$14:$H$2841,2,FALSE)),"X",$J72)</f>
        <v/>
      </c>
      <c r="M72" s="173" t="str">
        <f>IF(ISTEXT(VLOOKUP(CONCATENATE($A72,"_",M$3),'Unit List'!$A$14:$H$2841,2,FALSE)),"+","")</f>
        <v/>
      </c>
      <c r="N72" s="131" t="str">
        <f>IF(ISTEXT(VLOOKUP(CONCATENATE($A72,"_",N$3),'Unit List'!$A$14:$H$2841,2,FALSE)),"X",$M72)</f>
        <v/>
      </c>
      <c r="O72" s="132" t="str">
        <f>IF(ISTEXT(VLOOKUP(CONCATENATE($A72,"_",O$3),'Unit List'!$A$14:$H$2841,2,FALSE)),"X",$M72)</f>
        <v/>
      </c>
      <c r="P72" s="173" t="str">
        <f>IF(ISTEXT(VLOOKUP(CONCATENATE($A72,"_",P$3),'Unit List'!$A$14:$H$2841,2,FALSE)),"+","")</f>
        <v/>
      </c>
      <c r="Q72" s="131" t="str">
        <f>IF(ISTEXT(VLOOKUP(CONCATENATE($A72,"_",Q$3),'Unit List'!$A$14:$H$2841,2,FALSE)),"X",$P72)</f>
        <v/>
      </c>
      <c r="R72" s="131" t="str">
        <f>IF(ISTEXT(VLOOKUP(CONCATENATE($A72,"_",R$3),'Unit List'!$A$14:$H$2841,2,FALSE)),"X",$P72)</f>
        <v/>
      </c>
      <c r="S72" s="131" t="str">
        <f>IF(ISTEXT(VLOOKUP(CONCATENATE($A72,"_",S$3),'Unit List'!$A$14:$H$2841,2,FALSE)),"X",$P72)</f>
        <v/>
      </c>
      <c r="T72" s="133" t="str">
        <f>IF(ISTEXT(VLOOKUP(CONCATENATE($A72,"_",T$3),'Unit List'!$A$14:$H$2841,2,FALSE)),"X",$P72)</f>
        <v/>
      </c>
      <c r="U72" s="131" t="str">
        <f>IF(ISTEXT(VLOOKUP(CONCATENATE($A72,"_",U$3),'Unit List'!$A$14:$H$2841,2,FALSE)),"X",$P72)</f>
        <v/>
      </c>
      <c r="V72" s="131" t="str">
        <f>IF(ISTEXT(VLOOKUP(CONCATENATE($A72,"_",V$3),'Unit List'!$A$14:$H$2841,2,FALSE)),"X",$P72)</f>
        <v/>
      </c>
      <c r="W72" s="132" t="str">
        <f>IF(ISTEXT(VLOOKUP(CONCATENATE($A72,"_",W$3),'Unit List'!$A$14:$H$2841,2,FALSE)),"X",$P72)</f>
        <v/>
      </c>
      <c r="X72" s="173" t="str">
        <f>IF(ISTEXT(VLOOKUP(CONCATENATE($A72,"_",X$3),'Unit List'!$A$14:$H$2841,2,FALSE)),"+","")</f>
        <v/>
      </c>
      <c r="Y72" s="131" t="str">
        <f>IF(ISTEXT(VLOOKUP(CONCATENATE($A72,"_",Y$3),'Unit List'!$A$14:$H$2841,2,FALSE)),"X",$X72)</f>
        <v/>
      </c>
      <c r="Z72" s="131" t="str">
        <f>IF(ISTEXT(VLOOKUP(CONCATENATE($A72,"_",Z$3),'Unit List'!$A$14:$H$2841,2,FALSE)),"X",$X72)</f>
        <v/>
      </c>
      <c r="AA72" s="131" t="str">
        <f>IF(ISTEXT(VLOOKUP(CONCATENATE($A72,"_",AA$3),'Unit List'!$A$14:$H$2841,2,FALSE)),"X",$X72)</f>
        <v/>
      </c>
      <c r="AB72" s="131" t="str">
        <f>IF(ISTEXT(VLOOKUP(CONCATENATE($A72,"_",AB$3),'Unit List'!$A$14:$H$2841,2,FALSE)),"X",$X72)</f>
        <v/>
      </c>
      <c r="AC72" s="116" t="str">
        <f>IF(ISTEXT(VLOOKUP(CONCATENATE($A72,"_",AC$3),'Unit List'!$A$14:$H$2841,2,FALSE)),"X",$X72)</f>
        <v/>
      </c>
      <c r="AD72" s="173" t="str">
        <f>IF(ISTEXT(VLOOKUP(CONCATENATE($A72,"_",AD$3),'Unit List'!$A$14:$H$2841,2,FALSE)),"+","")</f>
        <v/>
      </c>
      <c r="AE72" s="131" t="str">
        <f>IF(ISTEXT(VLOOKUP(CONCATENATE($A72,"_",AE$3),'Unit List'!$A$14:$H$2841,2,FALSE)),"X",$AD72)</f>
        <v/>
      </c>
      <c r="AF72" s="132" t="str">
        <f>IF(ISTEXT(VLOOKUP(CONCATENATE($A72,"_",AF$3),'Unit List'!$A$14:$H$2841,2,FALSE)),"X",$AD72)</f>
        <v/>
      </c>
      <c r="AG72" s="173" t="str">
        <f>IF(ISTEXT(VLOOKUP(CONCATENATE($A72,"_",AG$3),'Unit List'!$A$14:$H$2841,2,FALSE)),"+","")</f>
        <v/>
      </c>
      <c r="AH72" s="131" t="str">
        <f>IF(ISTEXT(VLOOKUP(CONCATENATE($A72,"_",AH$3),'Unit List'!$A$14:$H$2841,2,FALSE)),"X",$AG72)</f>
        <v/>
      </c>
      <c r="AI72" s="131" t="str">
        <f>IF(ISTEXT(VLOOKUP(CONCATENATE($A72,"_",AI$3),'Unit List'!$A$14:$H$2841,2,FALSE)),"X",$AG72)</f>
        <v/>
      </c>
      <c r="AJ72" s="132" t="str">
        <f>IF(ISTEXT(VLOOKUP(CONCATENATE($A72,"_",AJ$3),'Unit List'!$A$14:$H$2841,2,FALSE)),"X",$AG72)</f>
        <v/>
      </c>
      <c r="AK72" s="173" t="str">
        <f>IF(ISTEXT(VLOOKUP(CONCATENATE($A72,"_",AK$3),'Unit List'!$A$14:$H$2841,2,FALSE)),"+","")</f>
        <v/>
      </c>
      <c r="AL72" s="133" t="str">
        <f>IF(ISTEXT(VLOOKUP(CONCATENATE($A72,"_",AL$3),'Unit List'!$A$14:$H$2841,2,FALSE)),"X",$AK72)</f>
        <v/>
      </c>
      <c r="AM72" s="132" t="str">
        <f>IF(ISTEXT(VLOOKUP(CONCATENATE($A72,"_",AM$3),'Unit List'!$A$14:$H$2841,2,FALSE)),"X",$AK72)</f>
        <v/>
      </c>
      <c r="AN72" s="186" t="str">
        <f>IF(ISTEXT(VLOOKUP(CONCATENATE($A72,"_",AN$3),'Unit List'!$A$14:$H$2841,2,FALSE)),"+","")</f>
        <v/>
      </c>
      <c r="AO72" s="132" t="str">
        <f>IF(ISTEXT(VLOOKUP(CONCATENATE($A72,"_",AO$3),'Unit List'!$A$14:$H$2841,2,FALSE)),"X",$AN72)</f>
        <v/>
      </c>
      <c r="AP72" s="173" t="str">
        <f>IF(ISTEXT(VLOOKUP(CONCATENATE($A72,"_",AP$3),'Unit List'!$A$14:$H$2841,2,FALSE)),"+","")</f>
        <v/>
      </c>
      <c r="AQ72" s="131" t="str">
        <f>IF(ISTEXT(VLOOKUP(CONCATENATE($A72,"_",AQ$3),'Unit List'!$A$14:$H$2841,2,FALSE)),"X",$AP72)</f>
        <v/>
      </c>
      <c r="AR72" s="131" t="str">
        <f>IF(ISTEXT(VLOOKUP(CONCATENATE($A72,"_",AR$3),'Unit List'!$A$14:$H$2841,2,FALSE)),"X",$AP72)</f>
        <v/>
      </c>
      <c r="AS72" s="131" t="str">
        <f>IF(ISTEXT(VLOOKUP(CONCATENATE($A72,"_",AS$3),'Unit List'!$A$14:$H$2841,2,FALSE)),"X",$AP72)</f>
        <v/>
      </c>
      <c r="AT72" s="132" t="str">
        <f>IF(ISTEXT(VLOOKUP(CONCATENATE($A72,"_",AT$3),'Unit List'!$A$14:$H$2841,2,FALSE)),"X",$AP72)</f>
        <v/>
      </c>
      <c r="AU72" s="187" t="str">
        <f>IF(ISTEXT(VLOOKUP(CONCATENATE($A72,"_",AU$3),'Unit List'!$A$14:$H$2841,2,FALSE)),"+","")</f>
        <v/>
      </c>
      <c r="AV72" s="131" t="str">
        <f>IF(ISTEXT(VLOOKUP(CONCATENATE($A72,"_",AV$3),'Unit List'!$A$14:$H$2841,2,FALSE)),"X",$AU72)</f>
        <v/>
      </c>
      <c r="AW72" s="132" t="str">
        <f>IF(ISTEXT(VLOOKUP(CONCATENATE($A72,"_",AW$3),'Unit List'!$A$14:$H$2841,2,FALSE)),"X",$AU72)</f>
        <v/>
      </c>
      <c r="AX72" s="173" t="str">
        <f>IF(ISTEXT(VLOOKUP(CONCATENATE($A72,"_",AX$3),'Unit List'!$A$14:$H$2841,2,FALSE)),"+","")</f>
        <v/>
      </c>
      <c r="AY72" s="131" t="str">
        <f>IF(ISTEXT(VLOOKUP(CONCATENATE($A72,"_",AY$3),'Unit List'!$A$14:$H$2841,2,FALSE)),"X",$AX72)</f>
        <v/>
      </c>
      <c r="AZ72" s="132" t="str">
        <f>IF(ISTEXT(VLOOKUP(CONCATENATE($A72,"_",AZ$3),'Unit List'!$A$14:$H$2841,2,FALSE)),"X",$AX72)</f>
        <v/>
      </c>
      <c r="BA72" s="188" t="str">
        <f>IF(ISTEXT(VLOOKUP(CONCATENATE($A72,"_",BA$3),'Unit List'!$A$14:$H$2841,2,FALSE)),"+","")</f>
        <v/>
      </c>
      <c r="BB72" s="131" t="str">
        <f>IF(ISTEXT(VLOOKUP(CONCATENATE($A72,"_",BB$3),'Unit List'!$A$14:$H$2841,2,FALSE)),"X",$BA72)</f>
        <v/>
      </c>
      <c r="BC72" s="131" t="str">
        <f>IF(ISTEXT(VLOOKUP(CONCATENATE($A72,"_",BC$3),'Unit List'!$A$14:$H$2841,2,FALSE)),"X",$BA72)</f>
        <v/>
      </c>
      <c r="BD72" s="132" t="str">
        <f>IF(ISTEXT(VLOOKUP(CONCATENATE($A72,"_",BD$3),'Unit List'!$A$14:$H$2841,2,FALSE)),"X",$BA72)</f>
        <v/>
      </c>
      <c r="BE72" s="186" t="str">
        <f>IF(ISTEXT(VLOOKUP(CONCATENATE($A72,"_",BE$3),'Unit List'!$A$14:$H$2841,2,FALSE)),"+","")</f>
        <v/>
      </c>
      <c r="BF72" s="116" t="str">
        <f>IF(ISTEXT(VLOOKUP(CONCATENATE($A72,"_",BF$3),'Unit List'!$A$14:$H$2841,2,FALSE)),"X",$BE72)</f>
        <v/>
      </c>
      <c r="BG72" s="116"/>
      <c r="BH72" s="117"/>
      <c r="BI72" s="216"/>
      <c r="BJ72" s="217"/>
      <c r="BK72" s="217"/>
      <c r="BL72" s="217"/>
      <c r="BM72" s="218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List'!$A$14:$H$2841,2,FALSE)),"+","")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19"/>
      <c r="BJ73" s="220"/>
      <c r="BK73" s="220"/>
      <c r="BL73" s="220"/>
      <c r="BM73" s="221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List'!$A$14:$H$2841,2,FALSE)),"+","")</f>
        <v/>
      </c>
      <c r="C74" s="119" t="str">
        <f>IF(ISTEXT(VLOOKUP(CONCATENATE($A74,"_",C$3),'Unit List'!$A$14:$H$2841,2,FALSE)),"X",$B74)</f>
        <v/>
      </c>
      <c r="D74" s="120" t="str">
        <f>IF(ISTEXT(VLOOKUP(CONCATENATE($A74,"_",D$3),'Unit List'!$A$14:$H$2841,2,FALSE)),"X",$B74)</f>
        <v/>
      </c>
      <c r="E74" s="120" t="str">
        <f>IF(ISTEXT(VLOOKUP(CONCATENATE($A74,"_",E$3),'Unit List'!$A$14:$H$2841,2,FALSE)),"X",$B74)</f>
        <v/>
      </c>
      <c r="F74" s="120" t="str">
        <f>IF(ISTEXT(VLOOKUP(CONCATENATE($A74,"_",F$3),'Unit List'!$A$14:$H$2841,2,FALSE)),"X",$B74)</f>
        <v/>
      </c>
      <c r="G74" s="120" t="str">
        <f>IF(ISTEXT(VLOOKUP(CONCATENATE($A74,"_",G$3),'Unit List'!$A$14:$H$2841,2,FALSE)),"X",$B74)</f>
        <v/>
      </c>
      <c r="H74" s="120" t="str">
        <f>IF(ISTEXT(VLOOKUP(CONCATENATE($A74,"_",H$3),'Unit List'!$A$14:$H$2841,2,FALSE)),"X",$B74)</f>
        <v/>
      </c>
      <c r="I74" s="122" t="str">
        <f>IF(ISTEXT(VLOOKUP(CONCATENATE($A74,"_",I$3),'Unit List'!$A$14:$H$2841,2,FALSE)),"X",$B74)</f>
        <v/>
      </c>
      <c r="J74" s="171" t="str">
        <f>IF(ISTEXT(VLOOKUP(CONCATENATE($A74,"_",J$3),'Unit List'!$A$14:$H$2841,2,FALSE)),"+","")</f>
        <v/>
      </c>
      <c r="K74" s="134" t="s">
        <v>0</v>
      </c>
      <c r="L74" s="75" t="str">
        <f>IF(ISTEXT(VLOOKUP(CONCATENATE($A74,"_",L$3),'Unit List'!$A$14:$H$2841,2,FALSE)),"X",$J74)</f>
        <v/>
      </c>
      <c r="M74" s="171" t="str">
        <f>IF(ISTEXT(VLOOKUP(CONCATENATE($A74,"_",M$3),'Unit List'!$A$14:$H$2841,2,FALSE)),"+","")</f>
        <v/>
      </c>
      <c r="N74" s="120" t="str">
        <f>IF(ISTEXT(VLOOKUP(CONCATENATE($A74,"_",N$3),'Unit List'!$A$14:$H$2841,2,FALSE)),"X",$M74)</f>
        <v/>
      </c>
      <c r="O74" s="122" t="str">
        <f>IF(ISTEXT(VLOOKUP(CONCATENATE($A74,"_",O$3),'Unit List'!$A$14:$H$2841,2,FALSE)),"X",$M74)</f>
        <v/>
      </c>
      <c r="P74" s="172" t="str">
        <f>IF(ISTEXT(VLOOKUP(CONCATENATE($A74,"_",P$3),'Unit List'!$A$14:$H$2841,2,FALSE)),"+","")</f>
        <v/>
      </c>
      <c r="Q74" s="120" t="str">
        <f>IF(ISTEXT(VLOOKUP(CONCATENATE($A74,"_",Q$3),'Unit List'!$A$14:$H$2841,2,FALSE)),"X",$P74)</f>
        <v/>
      </c>
      <c r="R74" s="120" t="str">
        <f>IF(ISTEXT(VLOOKUP(CONCATENATE($A74,"_",R$3),'Unit List'!$A$14:$H$2841,2,FALSE)),"X",$P74)</f>
        <v/>
      </c>
      <c r="S74" s="120" t="str">
        <f>IF(ISTEXT(VLOOKUP(CONCATENATE($A74,"_",S$3),'Unit List'!$A$14:$H$2841,2,FALSE)),"X",$P74)</f>
        <v/>
      </c>
      <c r="T74" s="121" t="str">
        <f>IF(ISTEXT(VLOOKUP(CONCATENATE($A74,"_",T$3),'Unit List'!$A$14:$H$2841,2,FALSE)),"X",$P74)</f>
        <v/>
      </c>
      <c r="U74" s="120" t="str">
        <f>IF(ISTEXT(VLOOKUP(CONCATENATE($A74,"_",U$3),'Unit List'!$A$14:$H$2841,2,FALSE)),"X",$P74)</f>
        <v/>
      </c>
      <c r="V74" s="120" t="str">
        <f>IF(ISTEXT(VLOOKUP(CONCATENATE($A74,"_",V$3),'Unit List'!$A$14:$H$2841,2,FALSE)),"X",$P74)</f>
        <v/>
      </c>
      <c r="W74" s="122" t="str">
        <f>IF(ISTEXT(VLOOKUP(CONCATENATE($A74,"_",W$3),'Unit List'!$A$14:$H$2841,2,FALSE)),"X",$P74)</f>
        <v/>
      </c>
      <c r="X74" s="172" t="str">
        <f>IF(ISTEXT(VLOOKUP(CONCATENATE($A74,"_",X$3),'Unit List'!$A$14:$H$2841,2,FALSE)),"+","")</f>
        <v/>
      </c>
      <c r="Y74" s="120" t="str">
        <f>IF(ISTEXT(VLOOKUP(CONCATENATE($A74,"_",Y$3),'Unit List'!$A$14:$H$2841,2,FALSE)),"X",$X74)</f>
        <v/>
      </c>
      <c r="Z74" s="120" t="str">
        <f>IF(ISTEXT(VLOOKUP(CONCATENATE($A74,"_",Z$3),'Unit List'!$A$14:$H$2841,2,FALSE)),"X",$X74)</f>
        <v/>
      </c>
      <c r="AA74" s="120" t="str">
        <f>IF(ISTEXT(VLOOKUP(CONCATENATE($A74,"_",AA$3),'Unit List'!$A$14:$H$2841,2,FALSE)),"X",$X74)</f>
        <v/>
      </c>
      <c r="AB74" s="120" t="str">
        <f>IF(ISTEXT(VLOOKUP(CONCATENATE($A74,"_",AB$3),'Unit List'!$A$14:$H$2841,2,FALSE)),"X",$X74)</f>
        <v/>
      </c>
      <c r="AC74" s="75" t="str">
        <f>IF(ISTEXT(VLOOKUP(CONCATENATE($A74,"_",AC$3),'Unit List'!$A$14:$H$2841,2,FALSE)),"X",$X74)</f>
        <v/>
      </c>
      <c r="AD74" s="171" t="str">
        <f>IF(ISTEXT(VLOOKUP(CONCATENATE($A74,"_",AD$3),'Unit List'!$A$14:$H$2841,2,FALSE)),"+","")</f>
        <v/>
      </c>
      <c r="AE74" s="120" t="str">
        <f>IF(ISTEXT(VLOOKUP(CONCATENATE($A74,"_",AE$3),'Unit List'!$A$14:$H$2841,2,FALSE)),"X",$AD74)</f>
        <v/>
      </c>
      <c r="AF74" s="120" t="str">
        <f>IF(ISTEXT(VLOOKUP(CONCATENATE($A74,"_",AF$3),'Unit List'!$A$14:$H$2841,2,FALSE)),"X",$AD74)</f>
        <v/>
      </c>
      <c r="AG74" s="171" t="str">
        <f>IF(ISTEXT(VLOOKUP(CONCATENATE($A74,"_",AG$3),'Unit List'!$A$14:$H$2841,2,FALSE)),"+","")</f>
        <v/>
      </c>
      <c r="AH74" s="120" t="str">
        <f>IF(ISTEXT(VLOOKUP(CONCATENATE($A74,"_",AH$3),'Unit List'!$A$14:$H$2841,2,FALSE)),"X",$AG74)</f>
        <v/>
      </c>
      <c r="AI74" s="120" t="str">
        <f>IF(ISTEXT(VLOOKUP(CONCATENATE($A74,"_",AI$3),'Unit List'!$A$14:$H$2841,2,FALSE)),"X",$AG74)</f>
        <v/>
      </c>
      <c r="AJ74" s="122" t="str">
        <f>IF(ISTEXT(VLOOKUP(CONCATENATE($A74,"_",AJ$3),'Unit List'!$A$14:$H$2841,2,FALSE)),"X",$AG74)</f>
        <v/>
      </c>
      <c r="AK74" s="172" t="str">
        <f>IF(ISTEXT(VLOOKUP(CONCATENATE($A74,"_",AK$3),'Unit List'!$A$14:$H$2841,2,FALSE)),"+","")</f>
        <v/>
      </c>
      <c r="AL74" s="121" t="str">
        <f>IF(ISTEXT(VLOOKUP(CONCATENATE($A74,"_",AL$3),'Unit List'!$A$14:$H$2841,2,FALSE)),"X",$AK74)</f>
        <v/>
      </c>
      <c r="AM74" s="122" t="str">
        <f>IF(ISTEXT(VLOOKUP(CONCATENATE($A74,"_",AM$3),'Unit List'!$A$14:$H$2841,2,FALSE)),"X",$AK74)</f>
        <v/>
      </c>
      <c r="AN74" s="125" t="str">
        <f>IF(ISTEXT(VLOOKUP(CONCATENATE($A74,"_",AN$3),'Unit List'!$A$14:$H$2841,2,FALSE)),"+","")</f>
        <v/>
      </c>
      <c r="AO74" s="122" t="str">
        <f>IF(ISTEXT(VLOOKUP(CONCATENATE($A74,"_",AO$3),'Unit List'!$A$14:$H$2841,2,FALSE)),"X",$AN74)</f>
        <v/>
      </c>
      <c r="AP74" s="171" t="str">
        <f>IF(ISTEXT(VLOOKUP(CONCATENATE($A74,"_",AP$3),'Unit List'!$A$14:$H$2841,2,FALSE)),"+","")</f>
        <v/>
      </c>
      <c r="AQ74" s="120" t="str">
        <f>IF(ISTEXT(VLOOKUP(CONCATENATE($A74,"_",AQ$3),'Unit List'!$A$14:$H$2841,2,FALSE)),"X",$AP74)</f>
        <v/>
      </c>
      <c r="AR74" s="120" t="str">
        <f>IF(ISTEXT(VLOOKUP(CONCATENATE($A74,"_",AR$3),'Unit List'!$A$14:$H$2841,2,FALSE)),"X",$AP74)</f>
        <v/>
      </c>
      <c r="AS74" s="120" t="str">
        <f>IF(ISTEXT(VLOOKUP(CONCATENATE($A74,"_",AS$3),'Unit List'!$A$14:$H$2841,2,FALSE)),"X",$AP74)</f>
        <v/>
      </c>
      <c r="AT74" s="122" t="str">
        <f>IF(ISTEXT(VLOOKUP(CONCATENATE($A74,"_",AT$3),'Unit List'!$A$14:$H$2841,2,FALSE)),"X",$AP74)</f>
        <v/>
      </c>
      <c r="AU74" s="124" t="str">
        <f>IF(ISTEXT(VLOOKUP(CONCATENATE($A74,"_",AU$3),'Unit List'!$A$14:$H$2841,2,FALSE)),"+","")</f>
        <v/>
      </c>
      <c r="AV74" s="120" t="str">
        <f>IF(ISTEXT(VLOOKUP(CONCATENATE($A74,"_",AV$3),'Unit List'!$A$14:$H$2841,2,FALSE)),"X",$AU74)</f>
        <v/>
      </c>
      <c r="AW74" s="122" t="str">
        <f>IF(ISTEXT(VLOOKUP(CONCATENATE($A74,"_",AW$3),'Unit List'!$A$14:$H$2841,2,FALSE)),"X",$AU74)</f>
        <v/>
      </c>
      <c r="AX74" s="171" t="str">
        <f>IF(ISTEXT(VLOOKUP(CONCATENATE($A74,"_",AX$3),'Unit List'!$A$14:$H$2841,2,FALSE)),"+","")</f>
        <v/>
      </c>
      <c r="AY74" s="120" t="str">
        <f>IF(ISTEXT(VLOOKUP(CONCATENATE($A74,"_",AY$3),'Unit List'!$A$14:$H$2841,2,FALSE)),"X",$AX74)</f>
        <v/>
      </c>
      <c r="AZ74" s="122" t="str">
        <f>IF(ISTEXT(VLOOKUP(CONCATENATE($A74,"_",AZ$3),'Unit List'!$A$14:$H$2841,2,FALSE)),"X",$AX74)</f>
        <v/>
      </c>
      <c r="BA74" s="182" t="str">
        <f>IF(ISTEXT(VLOOKUP(CONCATENATE($A74,"_",BA$3),'Unit List'!$A$14:$H$2841,2,FALSE)),"+","")</f>
        <v/>
      </c>
      <c r="BB74" s="178" t="str">
        <f>IF(ISTEXT(VLOOKUP(CONCATENATE($A74,"_",BB$3),'Unit List'!$A$14:$H$2841,2,FALSE)),"X",$BA74)</f>
        <v/>
      </c>
      <c r="BC74" s="178" t="str">
        <f>IF(ISTEXT(VLOOKUP(CONCATENATE($A74,"_",BC$3),'Unit List'!$A$14:$H$2841,2,FALSE)),"X",$BA74)</f>
        <v/>
      </c>
      <c r="BD74" s="122" t="str">
        <f>IF(ISTEXT(VLOOKUP(CONCATENATE($A74,"_",BD$3),'Unit List'!$A$14:$H$2841,2,FALSE)),"X",$BA74)</f>
        <v/>
      </c>
      <c r="BE74" s="125" t="str">
        <f>IF(ISTEXT(VLOOKUP(CONCATENATE($A74,"_",BE$3),'Unit List'!$A$14:$H$2841,2,FALSE)),"+","")</f>
        <v/>
      </c>
      <c r="BF74" s="135" t="s">
        <v>0</v>
      </c>
      <c r="BG74" s="75"/>
      <c r="BH74" s="65" t="s">
        <v>0</v>
      </c>
      <c r="BI74" s="211"/>
      <c r="BJ74" s="212"/>
      <c r="BK74" s="212"/>
      <c r="BL74" s="212"/>
      <c r="BM74" s="213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List'!$A$14:$H$2841,2,FALSE)),"+","")</f>
        <v/>
      </c>
      <c r="C75" s="180" t="str">
        <f>IF(ISTEXT(VLOOKUP(CONCATENATE($A75,"_",C$3),'Unit List'!$A$14:$H$2841,2,FALSE)),"X",$B75)</f>
        <v/>
      </c>
      <c r="D75" s="120" t="str">
        <f>IF(ISTEXT(VLOOKUP(CONCATENATE($A75,"_",D$3),'Unit List'!$A$14:$H$2841,2,FALSE)),"X",$B75)</f>
        <v/>
      </c>
      <c r="E75" s="120" t="str">
        <f>IF(ISTEXT(VLOOKUP(CONCATENATE($A75,"_",E$3),'Unit List'!$A$14:$H$2841,2,FALSE)),"X",$B75)</f>
        <v/>
      </c>
      <c r="F75" s="120" t="str">
        <f>IF(ISTEXT(VLOOKUP(CONCATENATE($A75,"_",F$3),'Unit List'!$A$14:$H$2841,2,FALSE)),"X",$B75)</f>
        <v/>
      </c>
      <c r="G75" s="120" t="str">
        <f>IF(ISTEXT(VLOOKUP(CONCATENATE($A75,"_",G$3),'Unit List'!$A$14:$H$2841,2,FALSE)),"X",$B75)</f>
        <v/>
      </c>
      <c r="H75" s="120" t="str">
        <f>IF(ISTEXT(VLOOKUP(CONCATENATE($A75,"_",H$3),'Unit List'!$A$14:$H$2841,2,FALSE)),"X",$B75)</f>
        <v/>
      </c>
      <c r="I75" s="122" t="str">
        <f>IF(ISTEXT(VLOOKUP(CONCATENATE($A75,"_",I$3),'Unit List'!$A$14:$H$2841,2,FALSE)),"X",$B75)</f>
        <v/>
      </c>
      <c r="J75" s="172" t="str">
        <f>IF(ISTEXT(VLOOKUP(CONCATENATE($A75,"_",J$3),'Unit List'!$A$14:$H$2841,2,FALSE)),"+","")</f>
        <v/>
      </c>
      <c r="K75" s="120" t="str">
        <f>IF(ISTEXT(VLOOKUP(CONCATENATE($A75,"_",K$3),'Unit List'!$A$14:$H$2841,2,FALSE)),"X",$J75)</f>
        <v/>
      </c>
      <c r="L75" s="75" t="str">
        <f>IF(ISTEXT(VLOOKUP(CONCATENATE($A75,"_",L$3),'Unit List'!$A$14:$H$2841,2,FALSE)),"X",$J75)</f>
        <v/>
      </c>
      <c r="M75" s="172" t="str">
        <f>IF(ISTEXT(VLOOKUP(CONCATENATE($A75,"_",M$3),'Unit List'!$A$14:$H$2841,2,FALSE)),"+","")</f>
        <v/>
      </c>
      <c r="N75" s="120" t="str">
        <f>IF(ISTEXT(VLOOKUP(CONCATENATE($A75,"_",N$3),'Unit List'!$A$14:$H$2841,2,FALSE)),"X",$M75)</f>
        <v/>
      </c>
      <c r="O75" s="122" t="str">
        <f>IF(ISTEXT(VLOOKUP(CONCATENATE($A75,"_",O$3),'Unit List'!$A$14:$H$2841,2,FALSE)),"X",$M75)</f>
        <v/>
      </c>
      <c r="P75" s="172" t="str">
        <f>IF(ISTEXT(VLOOKUP(CONCATENATE($A75,"_",P$3),'Unit List'!$A$14:$H$2841,2,FALSE)),"+","")</f>
        <v/>
      </c>
      <c r="Q75" s="120" t="str">
        <f>IF(ISTEXT(VLOOKUP(CONCATENATE($A75,"_",Q$3),'Unit List'!$A$14:$H$2841,2,FALSE)),"X",$P75)</f>
        <v/>
      </c>
      <c r="R75" s="120" t="str">
        <f>IF(ISTEXT(VLOOKUP(CONCATENATE($A75,"_",R$3),'Unit List'!$A$14:$H$2841,2,FALSE)),"X",$P75)</f>
        <v/>
      </c>
      <c r="S75" s="120" t="str">
        <f>IF(ISTEXT(VLOOKUP(CONCATENATE($A75,"_",S$3),'Unit List'!$A$14:$H$2841,2,FALSE)),"X",$P75)</f>
        <v/>
      </c>
      <c r="T75" s="121" t="str">
        <f>IF(ISTEXT(VLOOKUP(CONCATENATE($A75,"_",T$3),'Unit List'!$A$14:$H$2841,2,FALSE)),"X",$P75)</f>
        <v/>
      </c>
      <c r="U75" s="120" t="str">
        <f>IF(ISTEXT(VLOOKUP(CONCATENATE($A75,"_",U$3),'Unit List'!$A$14:$H$2841,2,FALSE)),"X",$P75)</f>
        <v/>
      </c>
      <c r="V75" s="120" t="str">
        <f>IF(ISTEXT(VLOOKUP(CONCATENATE($A75,"_",V$3),'Unit List'!$A$14:$H$2841,2,FALSE)),"X",$P75)</f>
        <v/>
      </c>
      <c r="W75" s="122" t="str">
        <f>IF(ISTEXT(VLOOKUP(CONCATENATE($A75,"_",W$3),'Unit List'!$A$14:$H$2841,2,FALSE)),"X",$P75)</f>
        <v/>
      </c>
      <c r="X75" s="172" t="str">
        <f>IF(ISTEXT(VLOOKUP(CONCATENATE($A75,"_",X$3),'Unit List'!$A$14:$H$2841,2,FALSE)),"+","")</f>
        <v/>
      </c>
      <c r="Y75" s="120" t="str">
        <f>IF(ISTEXT(VLOOKUP(CONCATENATE($A75,"_",Y$3),'Unit List'!$A$14:$H$2841,2,FALSE)),"X",$X75)</f>
        <v/>
      </c>
      <c r="Z75" s="120" t="str">
        <f>IF(ISTEXT(VLOOKUP(CONCATENATE($A75,"_",Z$3),'Unit List'!$A$14:$H$2841,2,FALSE)),"X",$X75)</f>
        <v/>
      </c>
      <c r="AA75" s="120" t="str">
        <f>IF(ISTEXT(VLOOKUP(CONCATENATE($A75,"_",AA$3),'Unit List'!$A$14:$H$2841,2,FALSE)),"X",$X75)</f>
        <v/>
      </c>
      <c r="AB75" s="120" t="str">
        <f>IF(ISTEXT(VLOOKUP(CONCATENATE($A75,"_",AB$3),'Unit List'!$A$14:$H$2841,2,FALSE)),"X",$X75)</f>
        <v/>
      </c>
      <c r="AC75" s="75" t="str">
        <f>IF(ISTEXT(VLOOKUP(CONCATENATE($A75,"_",AC$3),'Unit List'!$A$14:$H$2841,2,FALSE)),"X",$X75)</f>
        <v/>
      </c>
      <c r="AD75" s="172" t="str">
        <f>IF(ISTEXT(VLOOKUP(CONCATENATE($A75,"_",AD$3),'Unit List'!$A$14:$H$2841,2,FALSE)),"+","")</f>
        <v/>
      </c>
      <c r="AE75" s="120" t="str">
        <f>IF(ISTEXT(VLOOKUP(CONCATENATE($A75,"_",AE$3),'Unit List'!$A$14:$H$2841,2,FALSE)),"X",$AD75)</f>
        <v/>
      </c>
      <c r="AF75" s="120" t="str">
        <f>IF(ISTEXT(VLOOKUP(CONCATENATE($A75,"_",AF$3),'Unit List'!$A$14:$H$2841,2,FALSE)),"X",$AD75)</f>
        <v/>
      </c>
      <c r="AG75" s="172" t="str">
        <f>IF(ISTEXT(VLOOKUP(CONCATENATE($A75,"_",AG$3),'Unit List'!$A$14:$H$2841,2,FALSE)),"+","")</f>
        <v/>
      </c>
      <c r="AH75" s="120" t="str">
        <f>IF(ISTEXT(VLOOKUP(CONCATENATE($A75,"_",AH$3),'Unit List'!$A$14:$H$2841,2,FALSE)),"X",$AG75)</f>
        <v/>
      </c>
      <c r="AI75" s="120" t="str">
        <f>IF(ISTEXT(VLOOKUP(CONCATENATE($A75,"_",AI$3),'Unit List'!$A$14:$H$2841,2,FALSE)),"X",$AG75)</f>
        <v/>
      </c>
      <c r="AJ75" s="122" t="str">
        <f>IF(ISTEXT(VLOOKUP(CONCATENATE($A75,"_",AJ$3),'Unit List'!$A$14:$H$2841,2,FALSE)),"X",$AG75)</f>
        <v/>
      </c>
      <c r="AK75" s="172" t="str">
        <f>IF(ISTEXT(VLOOKUP(CONCATENATE($A75,"_",AK$3),'Unit List'!$A$14:$H$2841,2,FALSE)),"+","")</f>
        <v/>
      </c>
      <c r="AL75" s="121" t="str">
        <f>IF(ISTEXT(VLOOKUP(CONCATENATE($A75,"_",AL$3),'Unit List'!$A$14:$H$2841,2,FALSE)),"X",$AK75)</f>
        <v/>
      </c>
      <c r="AM75" s="122" t="str">
        <f>IF(ISTEXT(VLOOKUP(CONCATENATE($A75,"_",AM$3),'Unit List'!$A$14:$H$2841,2,FALSE)),"X",$AK75)</f>
        <v/>
      </c>
      <c r="AN75" s="125" t="str">
        <f>IF(ISTEXT(VLOOKUP(CONCATENATE($A75,"_",AN$3),'Unit List'!$A$14:$H$2841,2,FALSE)),"+","")</f>
        <v/>
      </c>
      <c r="AO75" s="122" t="str">
        <f>IF(ISTEXT(VLOOKUP(CONCATENATE($A75,"_",AO$3),'Unit List'!$A$14:$H$2841,2,FALSE)),"X",$AN75)</f>
        <v/>
      </c>
      <c r="AP75" s="172" t="str">
        <f>IF(ISTEXT(VLOOKUP(CONCATENATE($A75,"_",AP$3),'Unit List'!$A$14:$H$2841,2,FALSE)),"+","")</f>
        <v/>
      </c>
      <c r="AQ75" s="120" t="str">
        <f>IF(ISTEXT(VLOOKUP(CONCATENATE($A75,"_",AQ$3),'Unit List'!$A$14:$H$2841,2,FALSE)),"X",$AP75)</f>
        <v/>
      </c>
      <c r="AR75" s="120" t="str">
        <f>IF(ISTEXT(VLOOKUP(CONCATENATE($A75,"_",AR$3),'Unit List'!$A$14:$H$2841,2,FALSE)),"X",$AP75)</f>
        <v/>
      </c>
      <c r="AS75" s="120" t="str">
        <f>IF(ISTEXT(VLOOKUP(CONCATENATE($A75,"_",AS$3),'Unit List'!$A$14:$H$2841,2,FALSE)),"X",$AP75)</f>
        <v/>
      </c>
      <c r="AT75" s="122" t="str">
        <f>IF(ISTEXT(VLOOKUP(CONCATENATE($A75,"_",AT$3),'Unit List'!$A$14:$H$2841,2,FALSE)),"X",$AP75)</f>
        <v/>
      </c>
      <c r="AU75" s="124" t="str">
        <f>IF(ISTEXT(VLOOKUP(CONCATENATE($A75,"_",AU$3),'Unit List'!$A$14:$H$2841,2,FALSE)),"+","")</f>
        <v/>
      </c>
      <c r="AV75" s="120" t="str">
        <f>IF(ISTEXT(VLOOKUP(CONCATENATE($A75,"_",AV$3),'Unit List'!$A$14:$H$2841,2,FALSE)),"X",$AU75)</f>
        <v/>
      </c>
      <c r="AW75" s="122" t="str">
        <f>IF(ISTEXT(VLOOKUP(CONCATENATE($A75,"_",AW$3),'Unit List'!$A$14:$H$2841,2,FALSE)),"X",$AU75)</f>
        <v/>
      </c>
      <c r="AX75" s="172" t="str">
        <f>IF(ISTEXT(VLOOKUP(CONCATENATE($A75,"_",AX$3),'Unit List'!$A$14:$H$2841,2,FALSE)),"+","")</f>
        <v/>
      </c>
      <c r="AY75" s="120" t="str">
        <f>IF(ISTEXT(VLOOKUP(CONCATENATE($A75,"_",AY$3),'Unit List'!$A$14:$H$2841,2,FALSE)),"X",$AX75)</f>
        <v/>
      </c>
      <c r="AZ75" s="122" t="str">
        <f>IF(ISTEXT(VLOOKUP(CONCATENATE($A75,"_",AZ$3),'Unit List'!$A$14:$H$2841,2,FALSE)),"X",$AX75)</f>
        <v/>
      </c>
      <c r="BA75" s="182" t="str">
        <f>IF(ISTEXT(VLOOKUP(CONCATENATE($A75,"_",BA$3),'Unit List'!$A$14:$H$2841,2,FALSE)),"+","")</f>
        <v/>
      </c>
      <c r="BB75" s="120" t="str">
        <f>IF(ISTEXT(VLOOKUP(CONCATENATE($A75,"_",BB$3),'Unit List'!$A$14:$H$2841,2,FALSE)),"X",$BA75)</f>
        <v/>
      </c>
      <c r="BC75" s="120" t="str">
        <f>IF(ISTEXT(VLOOKUP(CONCATENATE($A75,"_",BC$3),'Unit List'!$A$14:$H$2841,2,FALSE)),"X",$BA75)</f>
        <v/>
      </c>
      <c r="BD75" s="122" t="str">
        <f>IF(ISTEXT(VLOOKUP(CONCATENATE($A75,"_",BD$3),'Unit List'!$A$14:$H$2841,2,FALSE)),"X",$BA75)</f>
        <v/>
      </c>
      <c r="BE75" s="125" t="str">
        <f>IF(ISTEXT(VLOOKUP(CONCATENATE($A75,"_",BE$3),'Unit List'!$A$14:$H$2841,2,FALSE)),"+","")</f>
        <v/>
      </c>
      <c r="BF75" s="75" t="str">
        <f>IF(ISTEXT(VLOOKUP(CONCATENATE($A75,"_",BF$3),'Unit List'!$A$14:$H$2841,2,FALSE)),"X",$BE75)</f>
        <v/>
      </c>
      <c r="BG75" s="64"/>
      <c r="BH75" s="65" t="s">
        <v>0</v>
      </c>
      <c r="BI75" s="211" t="s">
        <v>5</v>
      </c>
      <c r="BJ75" s="214"/>
      <c r="BK75" s="214"/>
      <c r="BL75" s="214"/>
      <c r="BM75" s="215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List'!$A$14:$H$2841,2,FALSE)),"+","")</f>
        <v/>
      </c>
      <c r="C76" s="130" t="str">
        <f>IF(ISTEXT(VLOOKUP(CONCATENATE($A76,"_",C$3),'Unit List'!$A$14:$H$2841,2,FALSE)),"X",$B76)</f>
        <v/>
      </c>
      <c r="D76" s="131" t="str">
        <f>IF(ISTEXT(VLOOKUP(CONCATENATE($A76,"_",D$3),'Unit List'!$A$14:$H$2841,2,FALSE)),"X",$B76)</f>
        <v/>
      </c>
      <c r="E76" s="131" t="str">
        <f>IF(ISTEXT(VLOOKUP(CONCATENATE($A76,"_",E$3),'Unit List'!$A$14:$H$2841,2,FALSE)),"X",$B76)</f>
        <v/>
      </c>
      <c r="F76" s="131" t="str">
        <f>IF(ISTEXT(VLOOKUP(CONCATENATE($A76,"_",F$3),'Unit List'!$A$14:$H$2841,2,FALSE)),"X",$B76)</f>
        <v/>
      </c>
      <c r="G76" s="131" t="str">
        <f>IF(ISTEXT(VLOOKUP(CONCATENATE($A76,"_",G$3),'Unit List'!$A$14:$H$2841,2,FALSE)),"X",$B76)</f>
        <v/>
      </c>
      <c r="H76" s="131" t="str">
        <f>IF(ISTEXT(VLOOKUP(CONCATENATE($A76,"_",H$3),'Unit List'!$A$14:$H$2841,2,FALSE)),"X",$B76)</f>
        <v/>
      </c>
      <c r="I76" s="132" t="str">
        <f>IF(ISTEXT(VLOOKUP(CONCATENATE($A76,"_",I$3),'Unit List'!$A$14:$H$2841,2,FALSE)),"X",$B76)</f>
        <v/>
      </c>
      <c r="J76" s="173" t="str">
        <f>IF(ISTEXT(VLOOKUP(CONCATENATE($A76,"_",J$3),'Unit List'!$A$14:$H$2841,2,FALSE)),"+","")</f>
        <v/>
      </c>
      <c r="K76" s="131" t="str">
        <f>IF(ISTEXT(VLOOKUP(CONCATENATE($A76,"_",K$3),'Unit List'!$A$14:$H$2841,2,FALSE)),"X",$J76)</f>
        <v/>
      </c>
      <c r="L76" s="116" t="str">
        <f>IF(ISTEXT(VLOOKUP(CONCATENATE($A76,"_",L$3),'Unit List'!$A$14:$H$2841,2,FALSE)),"X",$J76)</f>
        <v/>
      </c>
      <c r="M76" s="173" t="str">
        <f>IF(ISTEXT(VLOOKUP(CONCATENATE($A76,"_",M$3),'Unit List'!$A$14:$H$2841,2,FALSE)),"+","")</f>
        <v/>
      </c>
      <c r="N76" s="131" t="str">
        <f>IF(ISTEXT(VLOOKUP(CONCATENATE($A76,"_",N$3),'Unit List'!$A$14:$H$2841,2,FALSE)),"X",$M76)</f>
        <v/>
      </c>
      <c r="O76" s="132" t="str">
        <f>IF(ISTEXT(VLOOKUP(CONCATENATE($A76,"_",O$3),'Unit List'!$A$14:$H$2841,2,FALSE)),"X",$M76)</f>
        <v/>
      </c>
      <c r="P76" s="173" t="str">
        <f>IF(ISTEXT(VLOOKUP(CONCATENATE($A76,"_",P$3),'Unit List'!$A$14:$H$2841,2,FALSE)),"+","")</f>
        <v/>
      </c>
      <c r="Q76" s="131" t="str">
        <f>IF(ISTEXT(VLOOKUP(CONCATENATE($A76,"_",Q$3),'Unit List'!$A$14:$H$2841,2,FALSE)),"X",$P76)</f>
        <v/>
      </c>
      <c r="R76" s="131" t="str">
        <f>IF(ISTEXT(VLOOKUP(CONCATENATE($A76,"_",R$3),'Unit List'!$A$14:$H$2841,2,FALSE)),"X",$P76)</f>
        <v/>
      </c>
      <c r="S76" s="131" t="str">
        <f>IF(ISTEXT(VLOOKUP(CONCATENATE($A76,"_",S$3),'Unit List'!$A$14:$H$2841,2,FALSE)),"X",$P76)</f>
        <v/>
      </c>
      <c r="T76" s="133" t="str">
        <f>IF(ISTEXT(VLOOKUP(CONCATENATE($A76,"_",T$3),'Unit List'!$A$14:$H$2841,2,FALSE)),"X",$P76)</f>
        <v/>
      </c>
      <c r="U76" s="131" t="str">
        <f>IF(ISTEXT(VLOOKUP(CONCATENATE($A76,"_",U$3),'Unit List'!$A$14:$H$2841,2,FALSE)),"X",$P76)</f>
        <v/>
      </c>
      <c r="V76" s="131" t="str">
        <f>IF(ISTEXT(VLOOKUP(CONCATENATE($A76,"_",V$3),'Unit List'!$A$14:$H$2841,2,FALSE)),"X",$P76)</f>
        <v/>
      </c>
      <c r="W76" s="132" t="str">
        <f>IF(ISTEXT(VLOOKUP(CONCATENATE($A76,"_",W$3),'Unit List'!$A$14:$H$2841,2,FALSE)),"X",$P76)</f>
        <v/>
      </c>
      <c r="X76" s="173" t="str">
        <f>IF(ISTEXT(VLOOKUP(CONCATENATE($A76,"_",X$3),'Unit List'!$A$14:$H$2841,2,FALSE)),"+","")</f>
        <v/>
      </c>
      <c r="Y76" s="131" t="str">
        <f>IF(ISTEXT(VLOOKUP(CONCATENATE($A76,"_",Y$3),'Unit List'!$A$14:$H$2841,2,FALSE)),"X",$X76)</f>
        <v/>
      </c>
      <c r="Z76" s="131" t="str">
        <f>IF(ISTEXT(VLOOKUP(CONCATENATE($A76,"_",Z$3),'Unit List'!$A$14:$H$2841,2,FALSE)),"X",$X76)</f>
        <v/>
      </c>
      <c r="AA76" s="131" t="str">
        <f>IF(ISTEXT(VLOOKUP(CONCATENATE($A76,"_",AA$3),'Unit List'!$A$14:$H$2841,2,FALSE)),"X",$X76)</f>
        <v/>
      </c>
      <c r="AB76" s="131" t="str">
        <f>IF(ISTEXT(VLOOKUP(CONCATENATE($A76,"_",AB$3),'Unit List'!$A$14:$H$2841,2,FALSE)),"X",$X76)</f>
        <v/>
      </c>
      <c r="AC76" s="116" t="str">
        <f>IF(ISTEXT(VLOOKUP(CONCATENATE($A76,"_",AC$3),'Unit List'!$A$14:$H$2841,2,FALSE)),"X",$X76)</f>
        <v/>
      </c>
      <c r="AD76" s="173" t="str">
        <f>IF(ISTEXT(VLOOKUP(CONCATENATE($A76,"_",AD$3),'Unit List'!$A$14:$H$2841,2,FALSE)),"+","")</f>
        <v/>
      </c>
      <c r="AE76" s="131" t="str">
        <f>IF(ISTEXT(VLOOKUP(CONCATENATE($A76,"_",AE$3),'Unit List'!$A$14:$H$2841,2,FALSE)),"X",$AD76)</f>
        <v/>
      </c>
      <c r="AF76" s="131" t="str">
        <f>IF(ISTEXT(VLOOKUP(CONCATENATE($A76,"_",AF$3),'Unit List'!$A$14:$H$2841,2,FALSE)),"X",$AD76)</f>
        <v/>
      </c>
      <c r="AG76" s="173" t="str">
        <f>IF(ISTEXT(VLOOKUP(CONCATENATE($A76,"_",AG$3),'Unit List'!$A$14:$H$2841,2,FALSE)),"+","")</f>
        <v/>
      </c>
      <c r="AH76" s="131" t="str">
        <f>IF(ISTEXT(VLOOKUP(CONCATENATE($A76,"_",AH$3),'Unit List'!$A$14:$H$2841,2,FALSE)),"X",$AG76)</f>
        <v/>
      </c>
      <c r="AI76" s="131" t="str">
        <f>IF(ISTEXT(VLOOKUP(CONCATENATE($A76,"_",AI$3),'Unit List'!$A$14:$H$2841,2,FALSE)),"X",$AG76)</f>
        <v/>
      </c>
      <c r="AJ76" s="132" t="str">
        <f>IF(ISTEXT(VLOOKUP(CONCATENATE($A76,"_",AJ$3),'Unit List'!$A$14:$H$2841,2,FALSE)),"X",$AG76)</f>
        <v/>
      </c>
      <c r="AK76" s="173" t="str">
        <f>IF(ISTEXT(VLOOKUP(CONCATENATE($A76,"_",AK$3),'Unit List'!$A$14:$H$2841,2,FALSE)),"+","")</f>
        <v/>
      </c>
      <c r="AL76" s="133" t="str">
        <f>IF(ISTEXT(VLOOKUP(CONCATENATE($A76,"_",AL$3),'Unit List'!$A$14:$H$2841,2,FALSE)),"X",$AK76)</f>
        <v/>
      </c>
      <c r="AM76" s="132" t="str">
        <f>IF(ISTEXT(VLOOKUP(CONCATENATE($A76,"_",AM$3),'Unit List'!$A$14:$H$2841,2,FALSE)),"X",$AK76)</f>
        <v/>
      </c>
      <c r="AN76" s="186" t="str">
        <f>IF(ISTEXT(VLOOKUP(CONCATENATE($A76,"_",AN$3),'Unit List'!$A$14:$H$2841,2,FALSE)),"+","")</f>
        <v/>
      </c>
      <c r="AO76" s="132" t="str">
        <f>IF(ISTEXT(VLOOKUP(CONCATENATE($A76,"_",AO$3),'Unit List'!$A$14:$H$2841,2,FALSE)),"X",$AN76)</f>
        <v/>
      </c>
      <c r="AP76" s="173" t="str">
        <f>IF(ISTEXT(VLOOKUP(CONCATENATE($A76,"_",AP$3),'Unit List'!$A$14:$H$2841,2,FALSE)),"+","")</f>
        <v/>
      </c>
      <c r="AQ76" s="131" t="str">
        <f>IF(ISTEXT(VLOOKUP(CONCATENATE($A76,"_",AQ$3),'Unit List'!$A$14:$H$2841,2,FALSE)),"X",$AP76)</f>
        <v/>
      </c>
      <c r="AR76" s="131" t="str">
        <f>IF(ISTEXT(VLOOKUP(CONCATENATE($A76,"_",AR$3),'Unit List'!$A$14:$H$2841,2,FALSE)),"X",$AP76)</f>
        <v/>
      </c>
      <c r="AS76" s="131" t="str">
        <f>IF(ISTEXT(VLOOKUP(CONCATENATE($A76,"_",AS$3),'Unit List'!$A$14:$H$2841,2,FALSE)),"X",$AP76)</f>
        <v/>
      </c>
      <c r="AT76" s="132" t="str">
        <f>IF(ISTEXT(VLOOKUP(CONCATENATE($A76,"_",AT$3),'Unit List'!$A$14:$H$2841,2,FALSE)),"X",$AP76)</f>
        <v/>
      </c>
      <c r="AU76" s="187" t="str">
        <f>IF(ISTEXT(VLOOKUP(CONCATENATE($A76,"_",AU$3),'Unit List'!$A$14:$H$2841,2,FALSE)),"+","")</f>
        <v/>
      </c>
      <c r="AV76" s="131" t="str">
        <f>IF(ISTEXT(VLOOKUP(CONCATENATE($A76,"_",AV$3),'Unit List'!$A$14:$H$2841,2,FALSE)),"X",$AU76)</f>
        <v/>
      </c>
      <c r="AW76" s="132" t="str">
        <f>IF(ISTEXT(VLOOKUP(CONCATENATE($A76,"_",AW$3),'Unit List'!$A$14:$H$2841,2,FALSE)),"X",$AU76)</f>
        <v/>
      </c>
      <c r="AX76" s="173" t="str">
        <f>IF(ISTEXT(VLOOKUP(CONCATENATE($A76,"_",AX$3),'Unit List'!$A$14:$H$2841,2,FALSE)),"+","")</f>
        <v/>
      </c>
      <c r="AY76" s="131" t="str">
        <f>IF(ISTEXT(VLOOKUP(CONCATENATE($A76,"_",AY$3),'Unit List'!$A$14:$H$2841,2,FALSE)),"X",$AX76)</f>
        <v/>
      </c>
      <c r="AZ76" s="132" t="str">
        <f>IF(ISTEXT(VLOOKUP(CONCATENATE($A76,"_",AZ$3),'Unit List'!$A$14:$H$2841,2,FALSE)),"X",$AX76)</f>
        <v/>
      </c>
      <c r="BA76" s="188" t="str">
        <f>IF(ISTEXT(VLOOKUP(CONCATENATE($A76,"_",BA$3),'Unit List'!$A$14:$H$2841,2,FALSE)),"+","")</f>
        <v/>
      </c>
      <c r="BB76" s="131" t="str">
        <f>IF(ISTEXT(VLOOKUP(CONCATENATE($A76,"_",BB$3),'Unit List'!$A$14:$H$2841,2,FALSE)),"X",$BA76)</f>
        <v/>
      </c>
      <c r="BC76" s="131" t="str">
        <f>IF(ISTEXT(VLOOKUP(CONCATENATE($A76,"_",BC$3),'Unit List'!$A$14:$H$2841,2,FALSE)),"X",$BA76)</f>
        <v/>
      </c>
      <c r="BD76" s="132" t="str">
        <f>IF(ISTEXT(VLOOKUP(CONCATENATE($A76,"_",BD$3),'Unit List'!$A$14:$H$2841,2,FALSE)),"X",$BA76)</f>
        <v/>
      </c>
      <c r="BE76" s="186" t="str">
        <f>IF(ISTEXT(VLOOKUP(CONCATENATE($A76,"_",BE$3),'Unit List'!$A$14:$H$2841,2,FALSE)),"+","")</f>
        <v/>
      </c>
      <c r="BF76" s="116" t="str">
        <f>IF(ISTEXT(VLOOKUP(CONCATENATE($A76,"_",BF$3),'Unit List'!$A$14:$H$2841,2,FALSE)),"X",$BE76)</f>
        <v/>
      </c>
      <c r="BG76" s="136"/>
      <c r="BH76" s="137" t="s">
        <v>0</v>
      </c>
      <c r="BI76" s="216"/>
      <c r="BJ76" s="225"/>
      <c r="BK76" s="225"/>
      <c r="BL76" s="225"/>
      <c r="BM76" s="226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List'!$A$14:$H$2841,2,FALSE)),"+","")</f>
        <v/>
      </c>
      <c r="C78" s="119" t="str">
        <f>IF(ISTEXT(VLOOKUP(CONCATENATE($A78,"_",C$3),'Unit List'!$A$14:$H$2841,2,FALSE)),"X",$B78)</f>
        <v/>
      </c>
      <c r="D78" s="120" t="str">
        <f>IF(ISTEXT(VLOOKUP(CONCATENATE($A78,"_",D$3),'Unit List'!$A$14:$H$2841,2,FALSE)),"X",$B78)</f>
        <v/>
      </c>
      <c r="E78" s="120" t="str">
        <f>IF(ISTEXT(VLOOKUP(CONCATENATE($A78,"_",E$3),'Unit List'!$A$14:$H$2841,2,FALSE)),"X",$B78)</f>
        <v/>
      </c>
      <c r="F78" s="120" t="str">
        <f>IF(ISTEXT(VLOOKUP(CONCATENATE($A78,"_",F$3),'Unit List'!$A$14:$H$2841,2,FALSE)),"X",$B78)</f>
        <v/>
      </c>
      <c r="G78" s="120" t="str">
        <f>IF(ISTEXT(VLOOKUP(CONCATENATE($A78,"_",G$3),'Unit List'!$A$14:$H$2841,2,FALSE)),"X",$B78)</f>
        <v/>
      </c>
      <c r="H78" s="120" t="str">
        <f>IF(ISTEXT(VLOOKUP(CONCATENATE($A78,"_",H$3),'Unit List'!$A$14:$H$2841,2,FALSE)),"X",$B78)</f>
        <v/>
      </c>
      <c r="I78" s="122" t="str">
        <f>IF(ISTEXT(VLOOKUP(CONCATENATE($A78,"_",I$3),'Unit List'!$A$14:$H$2841,2,FALSE)),"X",$B78)</f>
        <v/>
      </c>
      <c r="J78" s="172" t="str">
        <f>IF(ISTEXT(VLOOKUP(CONCATENATE($A78,"_",J$3),'Unit List'!$A$14:$H$2841,2,FALSE)),"+","")</f>
        <v/>
      </c>
      <c r="K78" s="120" t="str">
        <f>IF(ISTEXT(VLOOKUP(CONCATENATE($A78,"_",K$3),'Unit List'!$A$14:$H$2841,2,FALSE)),"X",$J78)</f>
        <v/>
      </c>
      <c r="L78" s="75" t="str">
        <f>IF(ISTEXT(VLOOKUP(CONCATENATE($A78,"_",L$3),'Unit List'!$A$14:$H$2841,2,FALSE)),"X",$J78)</f>
        <v/>
      </c>
      <c r="M78" s="172" t="str">
        <f>IF(ISTEXT(VLOOKUP(CONCATENATE($A78,"_",M$3),'Unit List'!$A$14:$H$2841,2,FALSE)),"+","")</f>
        <v/>
      </c>
      <c r="N78" s="120" t="str">
        <f>IF(ISTEXT(VLOOKUP(CONCATENATE($A78,"_",N$3),'Unit List'!$A$14:$H$2841,2,FALSE)),"X",$M78)</f>
        <v/>
      </c>
      <c r="O78" s="122" t="str">
        <f>IF(ISTEXT(VLOOKUP(CONCATENATE($A78,"_",O$3),'Unit List'!$A$14:$H$2841,2,FALSE)),"X",$M78)</f>
        <v/>
      </c>
      <c r="P78" s="172" t="str">
        <f>IF(ISTEXT(VLOOKUP(CONCATENATE($A78,"_",P$3),'Unit List'!$A$14:$H$2841,2,FALSE)),"+","")</f>
        <v/>
      </c>
      <c r="Q78" s="120" t="str">
        <f>IF(ISTEXT(VLOOKUP(CONCATENATE($A78,"_",Q$3),'Unit List'!$A$14:$H$2841,2,FALSE)),"X",$P78)</f>
        <v/>
      </c>
      <c r="R78" s="120" t="str">
        <f>IF(ISTEXT(VLOOKUP(CONCATENATE($A78,"_",R$3),'Unit List'!$A$14:$H$2841,2,FALSE)),"X",$P78)</f>
        <v/>
      </c>
      <c r="S78" s="120" t="str">
        <f>IF(ISTEXT(VLOOKUP(CONCATENATE($A78,"_",S$3),'Unit List'!$A$14:$H$2841,2,FALSE)),"X",$P78)</f>
        <v/>
      </c>
      <c r="T78" s="121" t="str">
        <f>IF(ISTEXT(VLOOKUP(CONCATENATE($A78,"_",T$3),'Unit List'!$A$14:$H$2841,2,FALSE)),"X",$P78)</f>
        <v/>
      </c>
      <c r="U78" s="120" t="str">
        <f>IF(ISTEXT(VLOOKUP(CONCATENATE($A78,"_",U$3),'Unit List'!$A$14:$H$2841,2,FALSE)),"X",$P78)</f>
        <v/>
      </c>
      <c r="V78" s="120" t="str">
        <f>IF(ISTEXT(VLOOKUP(CONCATENATE($A78,"_",V$3),'Unit List'!$A$14:$H$2841,2,FALSE)),"X",$P78)</f>
        <v/>
      </c>
      <c r="W78" s="122" t="str">
        <f>IF(ISTEXT(VLOOKUP(CONCATENATE($A78,"_",W$3),'Unit List'!$A$14:$H$2841,2,FALSE)),"X",$P78)</f>
        <v/>
      </c>
      <c r="X78" s="172" t="str">
        <f>IF(ISTEXT(VLOOKUP(CONCATENATE($A78,"_",X$3),'Unit List'!$A$14:$H$2841,2,FALSE)),"+","")</f>
        <v/>
      </c>
      <c r="Y78" s="120" t="str">
        <f>IF(ISTEXT(VLOOKUP(CONCATENATE($A78,"_",Y$3),'Unit List'!$A$14:$H$2841,2,FALSE)),"X",$X78)</f>
        <v/>
      </c>
      <c r="Z78" s="120" t="str">
        <f>IF(ISTEXT(VLOOKUP(CONCATENATE($A78,"_",Z$3),'Unit List'!$A$14:$H$2841,2,FALSE)),"X",$X78)</f>
        <v/>
      </c>
      <c r="AA78" s="120" t="str">
        <f>IF(ISTEXT(VLOOKUP(CONCATENATE($A78,"_",AA$3),'Unit List'!$A$14:$H$2841,2,FALSE)),"X",$X78)</f>
        <v/>
      </c>
      <c r="AB78" s="120" t="str">
        <f>IF(ISTEXT(VLOOKUP(CONCATENATE($A78,"_",AB$3),'Unit List'!$A$14:$H$2841,2,FALSE)),"X",$X78)</f>
        <v/>
      </c>
      <c r="AC78" s="75" t="str">
        <f>IF(ISTEXT(VLOOKUP(CONCATENATE($A78,"_",AC$3),'Unit List'!$A$14:$H$2841,2,FALSE)),"X",$X78)</f>
        <v/>
      </c>
      <c r="AD78" s="172" t="str">
        <f>IF(ISTEXT(VLOOKUP(CONCATENATE($A78,"_",AD$3),'Unit List'!$A$14:$H$2841,2,FALSE)),"+","")</f>
        <v/>
      </c>
      <c r="AE78" s="120" t="str">
        <f>IF(ISTEXT(VLOOKUP(CONCATENATE($A78,"_",AE$3),'Unit List'!$A$14:$H$2841,2,FALSE)),"X",$AD78)</f>
        <v/>
      </c>
      <c r="AF78" s="120" t="str">
        <f>IF(ISTEXT(VLOOKUP(CONCATENATE($A78,"_",AF$3),'Unit List'!$A$14:$H$2841,2,FALSE)),"X",$AD78)</f>
        <v/>
      </c>
      <c r="AG78" s="172" t="str">
        <f>IF(ISTEXT(VLOOKUP(CONCATENATE($A78,"_",AG$3),'Unit List'!$A$14:$H$2841,2,FALSE)),"+","")</f>
        <v/>
      </c>
      <c r="AH78" s="120" t="str">
        <f>IF(ISTEXT(VLOOKUP(CONCATENATE($A78,"_",AH$3),'Unit List'!$A$14:$H$2841,2,FALSE)),"X",$AG78)</f>
        <v/>
      </c>
      <c r="AI78" s="120" t="str">
        <f>IF(ISTEXT(VLOOKUP(CONCATENATE($A78,"_",AI$3),'Unit List'!$A$14:$H$2841,2,FALSE)),"X",$AG78)</f>
        <v/>
      </c>
      <c r="AJ78" s="122" t="str">
        <f>IF(ISTEXT(VLOOKUP(CONCATENATE($A78,"_",AJ$3),'Unit List'!$A$14:$H$2841,2,FALSE)),"X",$AG78)</f>
        <v/>
      </c>
      <c r="AK78" s="172" t="str">
        <f>IF(ISTEXT(VLOOKUP(CONCATENATE($A78,"_",AK$3),'Unit List'!$A$14:$H$2841,2,FALSE)),"+","")</f>
        <v/>
      </c>
      <c r="AL78" s="121" t="str">
        <f>IF(ISTEXT(VLOOKUP(CONCATENATE($A78,"_",AL$3),'Unit List'!$A$14:$H$2841,2,FALSE)),"X",$AK78)</f>
        <v/>
      </c>
      <c r="AM78" s="122" t="str">
        <f>IF(ISTEXT(VLOOKUP(CONCATENATE($A78,"_",AM$3),'Unit List'!$A$14:$H$2841,2,FALSE)),"X",$AK78)</f>
        <v/>
      </c>
      <c r="AN78" s="125" t="str">
        <f>IF(ISTEXT(VLOOKUP(CONCATENATE($A78,"_",AN$3),'Unit List'!$A$14:$H$2841,2,FALSE)),"+","")</f>
        <v/>
      </c>
      <c r="AO78" s="122" t="str">
        <f>IF(ISTEXT(VLOOKUP(CONCATENATE($A78,"_",AO$3),'Unit List'!$A$14:$H$2841,2,FALSE)),"X",$AN78)</f>
        <v/>
      </c>
      <c r="AP78" s="172" t="str">
        <f>IF(ISTEXT(VLOOKUP(CONCATENATE($A78,"_",AP$3),'Unit List'!$A$14:$H$2841,2,FALSE)),"+","")</f>
        <v/>
      </c>
      <c r="AQ78" s="120" t="str">
        <f>IF(ISTEXT(VLOOKUP(CONCATENATE($A78,"_",AQ$3),'Unit List'!$A$14:$H$2841,2,FALSE)),"X",$AP78)</f>
        <v/>
      </c>
      <c r="AR78" s="120" t="str">
        <f>IF(ISTEXT(VLOOKUP(CONCATENATE($A78,"_",AR$3),'Unit List'!$A$14:$H$2841,2,FALSE)),"X",$AP78)</f>
        <v/>
      </c>
      <c r="AS78" s="120" t="str">
        <f>IF(ISTEXT(VLOOKUP(CONCATENATE($A78,"_",AS$3),'Unit List'!$A$14:$H$2841,2,FALSE)),"X",$AP78)</f>
        <v/>
      </c>
      <c r="AT78" s="122" t="str">
        <f>IF(ISTEXT(VLOOKUP(CONCATENATE($A78,"_",AT$3),'Unit List'!$A$14:$H$2841,2,FALSE)),"X",$AP78)</f>
        <v/>
      </c>
      <c r="AU78" s="124" t="str">
        <f>IF(ISTEXT(VLOOKUP(CONCATENATE($A78,"_",AU$3),'Unit List'!$A$14:$H$2841,2,FALSE)),"+","")</f>
        <v/>
      </c>
      <c r="AV78" s="120" t="str">
        <f>IF(ISTEXT(VLOOKUP(CONCATENATE($A78,"_",AV$3),'Unit List'!$A$14:$H$2841,2,FALSE)),"X",$AU78)</f>
        <v/>
      </c>
      <c r="AW78" s="122" t="str">
        <f>IF(ISTEXT(VLOOKUP(CONCATENATE($A78,"_",AW$3),'Unit List'!$A$14:$H$2841,2,FALSE)),"X",$AU78)</f>
        <v/>
      </c>
      <c r="AX78" s="172" t="str">
        <f>IF(ISTEXT(VLOOKUP(CONCATENATE($A78,"_",AX$3),'Unit List'!$A$14:$H$2841,2,FALSE)),"+","")</f>
        <v/>
      </c>
      <c r="AY78" s="120" t="str">
        <f>IF(ISTEXT(VLOOKUP(CONCATENATE($A78,"_",AY$3),'Unit List'!$A$14:$H$2841,2,FALSE)),"X",$AX78)</f>
        <v/>
      </c>
      <c r="AZ78" s="122" t="str">
        <f>IF(ISTEXT(VLOOKUP(CONCATENATE($A78,"_",AZ$3),'Unit List'!$A$14:$H$2841,2,FALSE)),"X",$AX78)</f>
        <v/>
      </c>
      <c r="BA78" s="182" t="str">
        <f>IF(ISTEXT(VLOOKUP(CONCATENATE($A78,"_",BA$3),'Unit List'!$A$14:$H$2841,2,FALSE)),"+","")</f>
        <v/>
      </c>
      <c r="BB78" s="120" t="str">
        <f>IF(ISTEXT(VLOOKUP(CONCATENATE($A78,"_",BB$3),'Unit List'!$A$14:$H$2841,2,FALSE)),"X",$BA78)</f>
        <v/>
      </c>
      <c r="BC78" s="120" t="str">
        <f>IF(ISTEXT(VLOOKUP(CONCATENATE($A78,"_",BC$3),'Unit List'!$A$14:$H$2841,2,FALSE)),"X",$BA78)</f>
        <v/>
      </c>
      <c r="BD78" s="122" t="str">
        <f>IF(ISTEXT(VLOOKUP(CONCATENATE($A78,"_",BD$3),'Unit List'!$A$14:$H$2841,2,FALSE)),"X",$BA78)</f>
        <v/>
      </c>
      <c r="BE78" s="125" t="str">
        <f>IF(ISTEXT(VLOOKUP(CONCATENATE($A78,"_",BE$3),'Unit List'!$A$14:$H$2841,2,FALSE)),"+","")</f>
        <v/>
      </c>
      <c r="BF78" s="75" t="str">
        <f>IF(ISTEXT(VLOOKUP(CONCATENATE($A78,"_",BF$3),'Unit List'!$A$14:$H$2841,2,FALSE)),"X",$BE78)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List'!$A$14:$H$2841,2,FALSE)),"+","")</f>
        <v/>
      </c>
      <c r="C79" s="119" t="str">
        <f>IF(ISTEXT(VLOOKUP(CONCATENATE($A79,"_",C$3),'Unit List'!$A$14:$H$2841,2,FALSE)),"X",$B79)</f>
        <v/>
      </c>
      <c r="D79" s="120" t="str">
        <f>IF(ISTEXT(VLOOKUP(CONCATENATE($A79,"_",D$3),'Unit List'!$A$14:$H$2841,2,FALSE)),"X",$B79)</f>
        <v/>
      </c>
      <c r="E79" s="120" t="str">
        <f>IF(ISTEXT(VLOOKUP(CONCATENATE($A79,"_",E$3),'Unit List'!$A$14:$H$2841,2,FALSE)),"X",$B79)</f>
        <v/>
      </c>
      <c r="F79" s="120" t="str">
        <f>IF(ISTEXT(VLOOKUP(CONCATENATE($A79,"_",F$3),'Unit List'!$A$14:$H$2841,2,FALSE)),"X",$B79)</f>
        <v/>
      </c>
      <c r="G79" s="120" t="str">
        <f>IF(ISTEXT(VLOOKUP(CONCATENATE($A79,"_",G$3),'Unit List'!$A$14:$H$2841,2,FALSE)),"X",$B79)</f>
        <v/>
      </c>
      <c r="H79" s="120" t="str">
        <f>IF(ISTEXT(VLOOKUP(CONCATENATE($A79,"_",H$3),'Unit List'!$A$14:$H$2841,2,FALSE)),"X",$B79)</f>
        <v/>
      </c>
      <c r="I79" s="122" t="str">
        <f>IF(ISTEXT(VLOOKUP(CONCATENATE($A79,"_",I$3),'Unit List'!$A$14:$H$2841,2,FALSE)),"X",$B79)</f>
        <v/>
      </c>
      <c r="J79" s="172" t="str">
        <f>IF(ISTEXT(VLOOKUP(CONCATENATE($A79,"_",J$3),'Unit List'!$A$14:$H$2841,2,FALSE)),"+","")</f>
        <v/>
      </c>
      <c r="K79" s="120" t="str">
        <f>IF(ISTEXT(VLOOKUP(CONCATENATE($A79,"_",K$3),'Unit List'!$A$14:$H$2841,2,FALSE)),"X",$J79)</f>
        <v/>
      </c>
      <c r="L79" s="75" t="str">
        <f>IF(ISTEXT(VLOOKUP(CONCATENATE($A79,"_",L$3),'Unit List'!$A$14:$H$2841,2,FALSE)),"X",$J79)</f>
        <v/>
      </c>
      <c r="M79" s="172" t="str">
        <f>IF(ISTEXT(VLOOKUP(CONCATENATE($A79,"_",M$3),'Unit List'!$A$14:$H$2841,2,FALSE)),"+","")</f>
        <v/>
      </c>
      <c r="N79" s="120" t="str">
        <f>IF(ISTEXT(VLOOKUP(CONCATENATE($A79,"_",N$3),'Unit List'!$A$14:$H$2841,2,FALSE)),"X",$M79)</f>
        <v/>
      </c>
      <c r="O79" s="122" t="str">
        <f>IF(ISTEXT(VLOOKUP(CONCATENATE($A79,"_",O$3),'Unit List'!$A$14:$H$2841,2,FALSE)),"X",$M79)</f>
        <v/>
      </c>
      <c r="P79" s="172" t="str">
        <f>IF(ISTEXT(VLOOKUP(CONCATENATE($A79,"_",P$3),'Unit List'!$A$14:$H$2841,2,FALSE)),"+","")</f>
        <v/>
      </c>
      <c r="Q79" s="120" t="str">
        <f>IF(ISTEXT(VLOOKUP(CONCATENATE($A79,"_",Q$3),'Unit List'!$A$14:$H$2841,2,FALSE)),"X",$P79)</f>
        <v/>
      </c>
      <c r="R79" s="120" t="str">
        <f>IF(ISTEXT(VLOOKUP(CONCATENATE($A79,"_",R$3),'Unit List'!$A$14:$H$2841,2,FALSE)),"X",$P79)</f>
        <v/>
      </c>
      <c r="S79" s="120" t="str">
        <f>IF(ISTEXT(VLOOKUP(CONCATENATE($A79,"_",S$3),'Unit List'!$A$14:$H$2841,2,FALSE)),"X",$P79)</f>
        <v/>
      </c>
      <c r="T79" s="121" t="str">
        <f>IF(ISTEXT(VLOOKUP(CONCATENATE($A79,"_",T$3),'Unit List'!$A$14:$H$2841,2,FALSE)),"X",$P79)</f>
        <v/>
      </c>
      <c r="U79" s="120" t="str">
        <f>IF(ISTEXT(VLOOKUP(CONCATENATE($A79,"_",U$3),'Unit List'!$A$14:$H$2841,2,FALSE)),"X",$P79)</f>
        <v/>
      </c>
      <c r="V79" s="120" t="str">
        <f>IF(ISTEXT(VLOOKUP(CONCATENATE($A79,"_",V$3),'Unit List'!$A$14:$H$2841,2,FALSE)),"X",$P79)</f>
        <v/>
      </c>
      <c r="W79" s="122" t="str">
        <f>IF(ISTEXT(VLOOKUP(CONCATENATE($A79,"_",W$3),'Unit List'!$A$14:$H$2841,2,FALSE)),"X",$P79)</f>
        <v/>
      </c>
      <c r="X79" s="172" t="str">
        <f>IF(ISTEXT(VLOOKUP(CONCATENATE($A79,"_",X$3),'Unit List'!$A$14:$H$2841,2,FALSE)),"+","")</f>
        <v/>
      </c>
      <c r="Y79" s="120" t="str">
        <f>IF(ISTEXT(VLOOKUP(CONCATENATE($A79,"_",Y$3),'Unit List'!$A$14:$H$2841,2,FALSE)),"X",$X79)</f>
        <v/>
      </c>
      <c r="Z79" s="120" t="str">
        <f>IF(ISTEXT(VLOOKUP(CONCATENATE($A79,"_",Z$3),'Unit List'!$A$14:$H$2841,2,FALSE)),"X",$X79)</f>
        <v/>
      </c>
      <c r="AA79" s="120" t="str">
        <f>IF(ISTEXT(VLOOKUP(CONCATENATE($A79,"_",AA$3),'Unit List'!$A$14:$H$2841,2,FALSE)),"X",$X79)</f>
        <v/>
      </c>
      <c r="AB79" s="120" t="str">
        <f>IF(ISTEXT(VLOOKUP(CONCATENATE($A79,"_",AB$3),'Unit List'!$A$14:$H$2841,2,FALSE)),"X",$X79)</f>
        <v/>
      </c>
      <c r="AC79" s="75" t="str">
        <f>IF(ISTEXT(VLOOKUP(CONCATENATE($A79,"_",AC$3),'Unit List'!$A$14:$H$2841,2,FALSE)),"X",$X79)</f>
        <v/>
      </c>
      <c r="AD79" s="172" t="str">
        <f>IF(ISTEXT(VLOOKUP(CONCATENATE($A79,"_",AD$3),'Unit List'!$A$14:$H$2841,2,FALSE)),"+","")</f>
        <v/>
      </c>
      <c r="AE79" s="120" t="str">
        <f>IF(ISTEXT(VLOOKUP(CONCATENATE($A79,"_",AE$3),'Unit List'!$A$14:$H$2841,2,FALSE)),"X",$AD79)</f>
        <v/>
      </c>
      <c r="AF79" s="120" t="str">
        <f>IF(ISTEXT(VLOOKUP(CONCATENATE($A79,"_",AF$3),'Unit List'!$A$14:$H$2841,2,FALSE)),"X",$AD79)</f>
        <v/>
      </c>
      <c r="AG79" s="172" t="str">
        <f>IF(ISTEXT(VLOOKUP(CONCATENATE($A79,"_",AG$3),'Unit List'!$A$14:$H$2841,2,FALSE)),"+","")</f>
        <v/>
      </c>
      <c r="AH79" s="120" t="str">
        <f>IF(ISTEXT(VLOOKUP(CONCATENATE($A79,"_",AH$3),'Unit List'!$A$14:$H$2841,2,FALSE)),"X",$AG79)</f>
        <v/>
      </c>
      <c r="AI79" s="120" t="str">
        <f>IF(ISTEXT(VLOOKUP(CONCATENATE($A79,"_",AI$3),'Unit List'!$A$14:$H$2841,2,FALSE)),"X",$AG79)</f>
        <v/>
      </c>
      <c r="AJ79" s="122" t="str">
        <f>IF(ISTEXT(VLOOKUP(CONCATENATE($A79,"_",AJ$3),'Unit List'!$A$14:$H$2841,2,FALSE)),"X",$AG79)</f>
        <v/>
      </c>
      <c r="AK79" s="172" t="str">
        <f>IF(ISTEXT(VLOOKUP(CONCATENATE($A79,"_",AK$3),'Unit List'!$A$14:$H$2841,2,FALSE)),"+","")</f>
        <v/>
      </c>
      <c r="AL79" s="121" t="str">
        <f>IF(ISTEXT(VLOOKUP(CONCATENATE($A79,"_",AL$3),'Unit List'!$A$14:$H$2841,2,FALSE)),"X",$AK79)</f>
        <v/>
      </c>
      <c r="AM79" s="122" t="str">
        <f>IF(ISTEXT(VLOOKUP(CONCATENATE($A79,"_",AM$3),'Unit List'!$A$14:$H$2841,2,FALSE)),"X",$AK79)</f>
        <v/>
      </c>
      <c r="AN79" s="125" t="str">
        <f>IF(ISTEXT(VLOOKUP(CONCATENATE($A79,"_",AN$3),'Unit List'!$A$14:$H$2841,2,FALSE)),"+","")</f>
        <v/>
      </c>
      <c r="AO79" s="122" t="str">
        <f>IF(ISTEXT(VLOOKUP(CONCATENATE($A79,"_",AO$3),'Unit List'!$A$14:$H$2841,2,FALSE)),"X",$AN79)</f>
        <v/>
      </c>
      <c r="AP79" s="172" t="str">
        <f>IF(ISTEXT(VLOOKUP(CONCATENATE($A79,"_",AP$3),'Unit List'!$A$14:$H$2841,2,FALSE)),"+","")</f>
        <v/>
      </c>
      <c r="AQ79" s="120" t="str">
        <f>IF(ISTEXT(VLOOKUP(CONCATENATE($A79,"_",AQ$3),'Unit List'!$A$14:$H$2841,2,FALSE)),"X",$AP79)</f>
        <v/>
      </c>
      <c r="AR79" s="120" t="str">
        <f>IF(ISTEXT(VLOOKUP(CONCATENATE($A79,"_",AR$3),'Unit List'!$A$14:$H$2841,2,FALSE)),"X",$AP79)</f>
        <v/>
      </c>
      <c r="AS79" s="120" t="str">
        <f>IF(ISTEXT(VLOOKUP(CONCATENATE($A79,"_",AS$3),'Unit List'!$A$14:$H$2841,2,FALSE)),"X",$AP79)</f>
        <v/>
      </c>
      <c r="AT79" s="122" t="str">
        <f>IF(ISTEXT(VLOOKUP(CONCATENATE($A79,"_",AT$3),'Unit List'!$A$14:$H$2841,2,FALSE)),"X",$AP79)</f>
        <v/>
      </c>
      <c r="AU79" s="124" t="str">
        <f>IF(ISTEXT(VLOOKUP(CONCATENATE($A79,"_",AU$3),'Unit List'!$A$14:$H$2841,2,FALSE)),"+","")</f>
        <v/>
      </c>
      <c r="AV79" s="120" t="str">
        <f>IF(ISTEXT(VLOOKUP(CONCATENATE($A79,"_",AV$3),'Unit List'!$A$14:$H$2841,2,FALSE)),"X",$AU79)</f>
        <v/>
      </c>
      <c r="AW79" s="122" t="str">
        <f>IF(ISTEXT(VLOOKUP(CONCATENATE($A79,"_",AW$3),'Unit List'!$A$14:$H$2841,2,FALSE)),"X",$AU79)</f>
        <v/>
      </c>
      <c r="AX79" s="172" t="str">
        <f>IF(ISTEXT(VLOOKUP(CONCATENATE($A79,"_",AX$3),'Unit List'!$A$14:$H$2841,2,FALSE)),"+","")</f>
        <v/>
      </c>
      <c r="AY79" s="120" t="str">
        <f>IF(ISTEXT(VLOOKUP(CONCATENATE($A79,"_",AY$3),'Unit List'!$A$14:$H$2841,2,FALSE)),"X",$AX79)</f>
        <v/>
      </c>
      <c r="AZ79" s="122" t="str">
        <f>IF(ISTEXT(VLOOKUP(CONCATENATE($A79,"_",AZ$3),'Unit List'!$A$14:$H$2841,2,FALSE)),"X",$AX79)</f>
        <v/>
      </c>
      <c r="BA79" s="182" t="str">
        <f>IF(ISTEXT(VLOOKUP(CONCATENATE($A79,"_",BA$3),'Unit List'!$A$14:$H$2841,2,FALSE)),"+","")</f>
        <v/>
      </c>
      <c r="BB79" s="120" t="str">
        <f>IF(ISTEXT(VLOOKUP(CONCATENATE($A79,"_",BB$3),'Unit List'!$A$14:$H$2841,2,FALSE)),"X",$BA79)</f>
        <v/>
      </c>
      <c r="BC79" s="120" t="str">
        <f>IF(ISTEXT(VLOOKUP(CONCATENATE($A79,"_",BC$3),'Unit List'!$A$14:$H$2841,2,FALSE)),"X",$BA79)</f>
        <v/>
      </c>
      <c r="BD79" s="122" t="str">
        <f>IF(ISTEXT(VLOOKUP(CONCATENATE($A79,"_",BD$3),'Unit List'!$A$14:$H$2841,2,FALSE)),"X",$BA79)</f>
        <v/>
      </c>
      <c r="BE79" s="125" t="str">
        <f>IF(ISTEXT(VLOOKUP(CONCATENATE($A79,"_",BE$3),'Unit List'!$A$14:$H$2841,2,FALSE)),"+","")</f>
        <v/>
      </c>
      <c r="BF79" s="75" t="str">
        <f>IF(ISTEXT(VLOOKUP(CONCATENATE($A79,"_",BF$3),'Unit List'!$A$14:$H$2841,2,FALSE)),"X",$BE79)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List'!$A$14:$H$2841,2,FALSE)),"+","")</f>
        <v>+</v>
      </c>
      <c r="C80" s="119" t="str">
        <f>IF(ISTEXT(VLOOKUP(CONCATENATE($A80,"_",C$3),'Unit List'!$A$14:$H$2841,2,FALSE)),"X",$B80)</f>
        <v>+</v>
      </c>
      <c r="D80" s="120" t="str">
        <f>IF(ISTEXT(VLOOKUP(CONCATENATE($A80,"_",D$3),'Unit List'!$A$14:$H$2841,2,FALSE)),"X",$B80)</f>
        <v>+</v>
      </c>
      <c r="E80" s="120" t="str">
        <f>IF(ISTEXT(VLOOKUP(CONCATENATE($A80,"_",E$3),'Unit List'!$A$14:$H$2841,2,FALSE)),"X",$B80)</f>
        <v>+</v>
      </c>
      <c r="F80" s="120" t="str">
        <f>IF(ISTEXT(VLOOKUP(CONCATENATE($A80,"_",F$3),'Unit List'!$A$14:$H$2841,2,FALSE)),"X",$B80)</f>
        <v>+</v>
      </c>
      <c r="G80" s="120" t="str">
        <f>IF(ISTEXT(VLOOKUP(CONCATENATE($A80,"_",G$3),'Unit List'!$A$14:$H$2841,2,FALSE)),"X",$B80)</f>
        <v>+</v>
      </c>
      <c r="H80" s="120" t="str">
        <f>IF(ISTEXT(VLOOKUP(CONCATENATE($A80,"_",H$3),'Unit List'!$A$14:$H$2841,2,FALSE)),"X",$B80)</f>
        <v>+</v>
      </c>
      <c r="I80" s="122" t="str">
        <f>IF(ISTEXT(VLOOKUP(CONCATENATE($A80,"_",I$3),'Unit List'!$A$14:$H$2841,2,FALSE)),"X",$B80)</f>
        <v>+</v>
      </c>
      <c r="J80" s="172" t="str">
        <f>IF(ISTEXT(VLOOKUP(CONCATENATE($A80,"_",J$3),'Unit List'!$A$14:$H$2841,2,FALSE)),"+","")</f>
        <v>+</v>
      </c>
      <c r="K80" s="120" t="str">
        <f>IF(ISTEXT(VLOOKUP(CONCATENATE($A80,"_",K$3),'Unit List'!$A$14:$H$2841,2,FALSE)),"X",$J80)</f>
        <v>+</v>
      </c>
      <c r="L80" s="75" t="str">
        <f>IF(ISTEXT(VLOOKUP(CONCATENATE($A80,"_",L$3),'Unit List'!$A$14:$H$2841,2,FALSE)),"X",$J80)</f>
        <v>+</v>
      </c>
      <c r="M80" s="172" t="str">
        <f>IF(ISTEXT(VLOOKUP(CONCATENATE($A80,"_",M$3),'Unit List'!$A$14:$H$2841,2,FALSE)),"+","")</f>
        <v>+</v>
      </c>
      <c r="N80" s="120" t="str">
        <f>IF(ISTEXT(VLOOKUP(CONCATENATE($A80,"_",N$3),'Unit List'!$A$14:$H$2841,2,FALSE)),"X",$M80)</f>
        <v>+</v>
      </c>
      <c r="O80" s="122" t="str">
        <f>IF(ISTEXT(VLOOKUP(CONCATENATE($A80,"_",O$3),'Unit List'!$A$14:$H$2841,2,FALSE)),"X",$M80)</f>
        <v>+</v>
      </c>
      <c r="P80" s="172" t="str">
        <f>IF(ISTEXT(VLOOKUP(CONCATENATE($A80,"_",P$3),'Unit List'!$A$14:$H$2841,2,FALSE)),"+","")</f>
        <v/>
      </c>
      <c r="Q80" s="120" t="str">
        <f>IF(ISTEXT(VLOOKUP(CONCATENATE($A80,"_",Q$3),'Unit List'!$A$14:$H$2841,2,FALSE)),"X",$P80)</f>
        <v/>
      </c>
      <c r="R80" s="120" t="str">
        <f>IF(ISTEXT(VLOOKUP(CONCATENATE($A80,"_",R$3),'Unit List'!$A$14:$H$2841,2,FALSE)),"X",$P80)</f>
        <v/>
      </c>
      <c r="S80" s="120" t="str">
        <f>IF(ISTEXT(VLOOKUP(CONCATENATE($A80,"_",S$3),'Unit List'!$A$14:$H$2841,2,FALSE)),"X",$P80)</f>
        <v/>
      </c>
      <c r="T80" s="121" t="str">
        <f>IF(ISTEXT(VLOOKUP(CONCATENATE($A80,"_",T$3),'Unit List'!$A$14:$H$2841,2,FALSE)),"X",$P80)</f>
        <v/>
      </c>
      <c r="U80" s="120" t="str">
        <f>IF(ISTEXT(VLOOKUP(CONCATENATE($A80,"_",U$3),'Unit List'!$A$14:$H$2841,2,FALSE)),"X",$P80)</f>
        <v/>
      </c>
      <c r="V80" s="120" t="str">
        <f>IF(ISTEXT(VLOOKUP(CONCATENATE($A80,"_",V$3),'Unit List'!$A$14:$H$2841,2,FALSE)),"X",$P80)</f>
        <v/>
      </c>
      <c r="W80" s="122" t="str">
        <f>IF(ISTEXT(VLOOKUP(CONCATENATE($A80,"_",W$3),'Unit List'!$A$14:$H$2841,2,FALSE)),"X",$P80)</f>
        <v/>
      </c>
      <c r="X80" s="172" t="str">
        <f>IF(ISTEXT(VLOOKUP(CONCATENATE($A80,"_",X$3),'Unit List'!$A$14:$H$2841,2,FALSE)),"+","")</f>
        <v/>
      </c>
      <c r="Y80" s="120" t="str">
        <f>IF(ISTEXT(VLOOKUP(CONCATENATE($A80,"_",Y$3),'Unit List'!$A$14:$H$2841,2,FALSE)),"X",$X80)</f>
        <v/>
      </c>
      <c r="Z80" s="120" t="str">
        <f>IF(ISTEXT(VLOOKUP(CONCATENATE($A80,"_",Z$3),'Unit List'!$A$14:$H$2841,2,FALSE)),"X",$X80)</f>
        <v/>
      </c>
      <c r="AA80" s="120" t="str">
        <f>IF(ISTEXT(VLOOKUP(CONCATENATE($A80,"_",AA$3),'Unit List'!$A$14:$H$2841,2,FALSE)),"X",$X80)</f>
        <v/>
      </c>
      <c r="AB80" s="120" t="str">
        <f>IF(ISTEXT(VLOOKUP(CONCATENATE($A80,"_",AB$3),'Unit List'!$A$14:$H$2841,2,FALSE)),"X",$X80)</f>
        <v/>
      </c>
      <c r="AC80" s="75" t="str">
        <f>IF(ISTEXT(VLOOKUP(CONCATENATE($A80,"_",AC$3),'Unit List'!$A$14:$H$2841,2,FALSE)),"X",$X80)</f>
        <v/>
      </c>
      <c r="AD80" s="172" t="str">
        <f>IF(ISTEXT(VLOOKUP(CONCATENATE($A80,"_",AD$3),'Unit List'!$A$14:$H$2841,2,FALSE)),"+","")</f>
        <v/>
      </c>
      <c r="AE80" s="120" t="str">
        <f>IF(ISTEXT(VLOOKUP(CONCATENATE($A80,"_",AE$3),'Unit List'!$A$14:$H$2841,2,FALSE)),"X",$AD80)</f>
        <v/>
      </c>
      <c r="AF80" s="120" t="str">
        <f>IF(ISTEXT(VLOOKUP(CONCATENATE($A80,"_",AF$3),'Unit List'!$A$14:$H$2841,2,FALSE)),"X",$AD80)</f>
        <v/>
      </c>
      <c r="AG80" s="172" t="str">
        <f>IF(ISTEXT(VLOOKUP(CONCATENATE($A80,"_",AG$3),'Unit List'!$A$14:$H$2841,2,FALSE)),"+","")</f>
        <v/>
      </c>
      <c r="AH80" s="120" t="str">
        <f>IF(ISTEXT(VLOOKUP(CONCATENATE($A80,"_",AH$3),'Unit List'!$A$14:$H$2841,2,FALSE)),"X",$AG80)</f>
        <v/>
      </c>
      <c r="AI80" s="120" t="str">
        <f>IF(ISTEXT(VLOOKUP(CONCATENATE($A80,"_",AI$3),'Unit List'!$A$14:$H$2841,2,FALSE)),"X",$AG80)</f>
        <v/>
      </c>
      <c r="AJ80" s="122" t="str">
        <f>IF(ISTEXT(VLOOKUP(CONCATENATE($A80,"_",AJ$3),'Unit List'!$A$14:$H$2841,2,FALSE)),"X",$AG80)</f>
        <v/>
      </c>
      <c r="AK80" s="172" t="str">
        <f>IF(ISTEXT(VLOOKUP(CONCATENATE($A80,"_",AK$3),'Unit List'!$A$14:$H$2841,2,FALSE)),"+","")</f>
        <v>+</v>
      </c>
      <c r="AL80" s="121" t="str">
        <f>IF(ISTEXT(VLOOKUP(CONCATENATE($A80,"_",AL$3),'Unit List'!$A$14:$H$2841,2,FALSE)),"X",$AK80)</f>
        <v>+</v>
      </c>
      <c r="AM80" s="122" t="str">
        <f>IF(ISTEXT(VLOOKUP(CONCATENATE($A80,"_",AM$3),'Unit List'!$A$14:$H$2841,2,FALSE)),"X",$AK80)</f>
        <v>+</v>
      </c>
      <c r="AN80" s="125" t="str">
        <f>IF(ISTEXT(VLOOKUP(CONCATENATE($A80,"_",AN$3),'Unit List'!$A$14:$H$2841,2,FALSE)),"+","")</f>
        <v/>
      </c>
      <c r="AO80" s="122" t="str">
        <f>IF(ISTEXT(VLOOKUP(CONCATENATE($A80,"_",AO$3),'Unit List'!$A$14:$H$2841,2,FALSE)),"X",$AN80)</f>
        <v/>
      </c>
      <c r="AP80" s="172" t="str">
        <f>IF(ISTEXT(VLOOKUP(CONCATENATE($A80,"_",AP$3),'Unit List'!$A$14:$H$2841,2,FALSE)),"+","")</f>
        <v/>
      </c>
      <c r="AQ80" s="120" t="str">
        <f>IF(ISTEXT(VLOOKUP(CONCATENATE($A80,"_",AQ$3),'Unit List'!$A$14:$H$2841,2,FALSE)),"X",$AP80)</f>
        <v/>
      </c>
      <c r="AR80" s="120" t="str">
        <f>IF(ISTEXT(VLOOKUP(CONCATENATE($A80,"_",AR$3),'Unit List'!$A$14:$H$2841,2,FALSE)),"X",$AP80)</f>
        <v/>
      </c>
      <c r="AS80" s="120" t="str">
        <f>IF(ISTEXT(VLOOKUP(CONCATENATE($A80,"_",AS$3),'Unit List'!$A$14:$H$2841,2,FALSE)),"X",$AP80)</f>
        <v/>
      </c>
      <c r="AT80" s="122" t="str">
        <f>IF(ISTEXT(VLOOKUP(CONCATENATE($A80,"_",AT$3),'Unit List'!$A$14:$H$2841,2,FALSE)),"X",$AP80)</f>
        <v/>
      </c>
      <c r="AU80" s="124" t="str">
        <f>IF(ISTEXT(VLOOKUP(CONCATENATE($A80,"_",AU$3),'Unit List'!$A$14:$H$2841,2,FALSE)),"+","")</f>
        <v/>
      </c>
      <c r="AV80" s="120" t="str">
        <f>IF(ISTEXT(VLOOKUP(CONCATENATE($A80,"_",AV$3),'Unit List'!$A$14:$H$2841,2,FALSE)),"X",$AU80)</f>
        <v/>
      </c>
      <c r="AW80" s="122" t="str">
        <f>IF(ISTEXT(VLOOKUP(CONCATENATE($A80,"_",AW$3),'Unit List'!$A$14:$H$2841,2,FALSE)),"X",$AU80)</f>
        <v/>
      </c>
      <c r="AX80" s="172" t="str">
        <f>IF(ISTEXT(VLOOKUP(CONCATENATE($A80,"_",AX$3),'Unit List'!$A$14:$H$2841,2,FALSE)),"+","")</f>
        <v/>
      </c>
      <c r="AY80" s="120" t="str">
        <f>IF(ISTEXT(VLOOKUP(CONCATENATE($A80,"_",AY$3),'Unit List'!$A$14:$H$2841,2,FALSE)),"X",$AX80)</f>
        <v/>
      </c>
      <c r="AZ80" s="122" t="str">
        <f>IF(ISTEXT(VLOOKUP(CONCATENATE($A80,"_",AZ$3),'Unit List'!$A$14:$H$2841,2,FALSE)),"X",$AX80)</f>
        <v/>
      </c>
      <c r="BA80" s="182" t="str">
        <f>IF(ISTEXT(VLOOKUP(CONCATENATE($A80,"_",BA$3),'Unit List'!$A$14:$H$2841,2,FALSE)),"+","")</f>
        <v/>
      </c>
      <c r="BB80" s="120" t="str">
        <f>IF(ISTEXT(VLOOKUP(CONCATENATE($A80,"_",BB$3),'Unit List'!$A$14:$H$2841,2,FALSE)),"X",$BA80)</f>
        <v/>
      </c>
      <c r="BC80" s="120" t="str">
        <f>IF(ISTEXT(VLOOKUP(CONCATENATE($A80,"_",BC$3),'Unit List'!$A$14:$H$2841,2,FALSE)),"X",$BA80)</f>
        <v/>
      </c>
      <c r="BD80" s="122" t="str">
        <f>IF(ISTEXT(VLOOKUP(CONCATENATE($A80,"_",BD$3),'Unit List'!$A$14:$H$2841,2,FALSE)),"X",$BA80)</f>
        <v/>
      </c>
      <c r="BE80" s="125" t="str">
        <f>IF(ISTEXT(VLOOKUP(CONCATENATE($A80,"_",BE$3),'Unit List'!$A$14:$H$2841,2,FALSE)),"+","")</f>
        <v/>
      </c>
      <c r="BF80" s="75" t="str">
        <f>IF(ISTEXT(VLOOKUP(CONCATENATE($A80,"_",BF$3),'Unit List'!$A$14:$H$2841,2,FALSE)),"X",$BE80)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List'!$A$14:$H$2841,2,FALSE)),"+","")</f>
        <v/>
      </c>
      <c r="C81" s="119" t="str">
        <f>IF(ISTEXT(VLOOKUP(CONCATENATE($A81,"_",C$3),'Unit List'!$A$14:$H$2841,2,FALSE)),"X",$B81)</f>
        <v/>
      </c>
      <c r="D81" s="120" t="str">
        <f>IF(ISTEXT(VLOOKUP(CONCATENATE($A81,"_",D$3),'Unit List'!$A$14:$H$2841,2,FALSE)),"X",$B81)</f>
        <v/>
      </c>
      <c r="E81" s="120" t="str">
        <f>IF(ISTEXT(VLOOKUP(CONCATENATE($A81,"_",E$3),'Unit List'!$A$14:$H$2841,2,FALSE)),"X",$B81)</f>
        <v/>
      </c>
      <c r="F81" s="120" t="str">
        <f>IF(ISTEXT(VLOOKUP(CONCATENATE($A81,"_",F$3),'Unit List'!$A$14:$H$2841,2,FALSE)),"X",$B81)</f>
        <v/>
      </c>
      <c r="G81" s="120" t="str">
        <f>IF(ISTEXT(VLOOKUP(CONCATENATE($A81,"_",G$3),'Unit List'!$A$14:$H$2841,2,FALSE)),"X",$B81)</f>
        <v/>
      </c>
      <c r="H81" s="120" t="str">
        <f>IF(ISTEXT(VLOOKUP(CONCATENATE($A81,"_",H$3),'Unit List'!$A$14:$H$2841,2,FALSE)),"X",$B81)</f>
        <v/>
      </c>
      <c r="I81" s="122" t="str">
        <f>IF(ISTEXT(VLOOKUP(CONCATENATE($A81,"_",I$3),'Unit List'!$A$14:$H$2841,2,FALSE)),"X",$B81)</f>
        <v/>
      </c>
      <c r="J81" s="172" t="str">
        <f>IF(ISTEXT(VLOOKUP(CONCATENATE($A81,"_",J$3),'Unit List'!$A$14:$H$2841,2,FALSE)),"+","")</f>
        <v/>
      </c>
      <c r="K81" s="120" t="str">
        <f>IF(ISTEXT(VLOOKUP(CONCATENATE($A81,"_",K$3),'Unit List'!$A$14:$H$2841,2,FALSE)),"X",$J81)</f>
        <v/>
      </c>
      <c r="L81" s="75" t="str">
        <f>IF(ISTEXT(VLOOKUP(CONCATENATE($A81,"_",L$3),'Unit List'!$A$14:$H$2841,2,FALSE)),"X",$J81)</f>
        <v/>
      </c>
      <c r="M81" s="172" t="str">
        <f>IF(ISTEXT(VLOOKUP(CONCATENATE($A81,"_",M$3),'Unit List'!$A$14:$H$2841,2,FALSE)),"+","")</f>
        <v/>
      </c>
      <c r="N81" s="120" t="str">
        <f>IF(ISTEXT(VLOOKUP(CONCATENATE($A81,"_",N$3),'Unit List'!$A$14:$H$2841,2,FALSE)),"X",$M81)</f>
        <v/>
      </c>
      <c r="O81" s="122" t="str">
        <f>IF(ISTEXT(VLOOKUP(CONCATENATE($A81,"_",O$3),'Unit List'!$A$14:$H$2841,2,FALSE)),"X",$M81)</f>
        <v/>
      </c>
      <c r="P81" s="172" t="str">
        <f>IF(ISTEXT(VLOOKUP(CONCATENATE($A81,"_",P$3),'Unit List'!$A$14:$H$2841,2,FALSE)),"+","")</f>
        <v/>
      </c>
      <c r="Q81" s="120" t="str">
        <f>IF(ISTEXT(VLOOKUP(CONCATENATE($A81,"_",Q$3),'Unit List'!$A$14:$H$2841,2,FALSE)),"X",$P81)</f>
        <v/>
      </c>
      <c r="R81" s="120" t="str">
        <f>IF(ISTEXT(VLOOKUP(CONCATENATE($A81,"_",R$3),'Unit List'!$A$14:$H$2841,2,FALSE)),"X",$P81)</f>
        <v/>
      </c>
      <c r="S81" s="120" t="str">
        <f>IF(ISTEXT(VLOOKUP(CONCATENATE($A81,"_",S$3),'Unit List'!$A$14:$H$2841,2,FALSE)),"X",$P81)</f>
        <v/>
      </c>
      <c r="T81" s="121" t="str">
        <f>IF(ISTEXT(VLOOKUP(CONCATENATE($A81,"_",T$3),'Unit List'!$A$14:$H$2841,2,FALSE)),"X",$P81)</f>
        <v/>
      </c>
      <c r="U81" s="120" t="str">
        <f>IF(ISTEXT(VLOOKUP(CONCATENATE($A81,"_",U$3),'Unit List'!$A$14:$H$2841,2,FALSE)),"X",$P81)</f>
        <v/>
      </c>
      <c r="V81" s="120" t="str">
        <f>IF(ISTEXT(VLOOKUP(CONCATENATE($A81,"_",V$3),'Unit List'!$A$14:$H$2841,2,FALSE)),"X",$P81)</f>
        <v/>
      </c>
      <c r="W81" s="122" t="str">
        <f>IF(ISTEXT(VLOOKUP(CONCATENATE($A81,"_",W$3),'Unit List'!$A$14:$H$2841,2,FALSE)),"X",$P81)</f>
        <v/>
      </c>
      <c r="X81" s="172" t="str">
        <f>IF(ISTEXT(VLOOKUP(CONCATENATE($A81,"_",X$3),'Unit List'!$A$14:$H$2841,2,FALSE)),"+","")</f>
        <v/>
      </c>
      <c r="Y81" s="120" t="str">
        <f>IF(ISTEXT(VLOOKUP(CONCATENATE($A81,"_",Y$3),'Unit List'!$A$14:$H$2841,2,FALSE)),"X",$X81)</f>
        <v/>
      </c>
      <c r="Z81" s="120" t="str">
        <f>IF(ISTEXT(VLOOKUP(CONCATENATE($A81,"_",Z$3),'Unit List'!$A$14:$H$2841,2,FALSE)),"X",$X81)</f>
        <v/>
      </c>
      <c r="AA81" s="120" t="str">
        <f>IF(ISTEXT(VLOOKUP(CONCATENATE($A81,"_",AA$3),'Unit List'!$A$14:$H$2841,2,FALSE)),"X",$X81)</f>
        <v/>
      </c>
      <c r="AB81" s="120" t="str">
        <f>IF(ISTEXT(VLOOKUP(CONCATENATE($A81,"_",AB$3),'Unit List'!$A$14:$H$2841,2,FALSE)),"X",$X81)</f>
        <v/>
      </c>
      <c r="AC81" s="75" t="str">
        <f>IF(ISTEXT(VLOOKUP(CONCATENATE($A81,"_",AC$3),'Unit List'!$A$14:$H$2841,2,FALSE)),"X",$X81)</f>
        <v/>
      </c>
      <c r="AD81" s="172" t="str">
        <f>IF(ISTEXT(VLOOKUP(CONCATENATE($A81,"_",AD$3),'Unit List'!$A$14:$H$2841,2,FALSE)),"+","")</f>
        <v/>
      </c>
      <c r="AE81" s="120" t="str">
        <f>IF(ISTEXT(VLOOKUP(CONCATENATE($A81,"_",AE$3),'Unit List'!$A$14:$H$2841,2,FALSE)),"X",$AD81)</f>
        <v/>
      </c>
      <c r="AF81" s="120" t="str">
        <f>IF(ISTEXT(VLOOKUP(CONCATENATE($A81,"_",AF$3),'Unit List'!$A$14:$H$2841,2,FALSE)),"X",$AD81)</f>
        <v/>
      </c>
      <c r="AG81" s="172" t="str">
        <f>IF(ISTEXT(VLOOKUP(CONCATENATE($A81,"_",AG$3),'Unit List'!$A$14:$H$2841,2,FALSE)),"+","")</f>
        <v/>
      </c>
      <c r="AH81" s="120" t="str">
        <f>IF(ISTEXT(VLOOKUP(CONCATENATE($A81,"_",AH$3),'Unit List'!$A$14:$H$2841,2,FALSE)),"X",$AG81)</f>
        <v/>
      </c>
      <c r="AI81" s="120" t="str">
        <f>IF(ISTEXT(VLOOKUP(CONCATENATE($A81,"_",AI$3),'Unit List'!$A$14:$H$2841,2,FALSE)),"X",$AG81)</f>
        <v/>
      </c>
      <c r="AJ81" s="122" t="str">
        <f>IF(ISTEXT(VLOOKUP(CONCATENATE($A81,"_",AJ$3),'Unit List'!$A$14:$H$2841,2,FALSE)),"X",$AG81)</f>
        <v/>
      </c>
      <c r="AK81" s="172" t="str">
        <f>IF(ISTEXT(VLOOKUP(CONCATENATE($A81,"_",AK$3),'Unit List'!$A$14:$H$2841,2,FALSE)),"+","")</f>
        <v/>
      </c>
      <c r="AL81" s="121" t="str">
        <f>IF(ISTEXT(VLOOKUP(CONCATENATE($A81,"_",AL$3),'Unit List'!$A$14:$H$2841,2,FALSE)),"X",$AK81)</f>
        <v/>
      </c>
      <c r="AM81" s="122" t="str">
        <f>IF(ISTEXT(VLOOKUP(CONCATENATE($A81,"_",AM$3),'Unit List'!$A$14:$H$2841,2,FALSE)),"X",$AK81)</f>
        <v/>
      </c>
      <c r="AN81" s="125" t="str">
        <f>IF(ISTEXT(VLOOKUP(CONCATENATE($A81,"_",AN$3),'Unit List'!$A$14:$H$2841,2,FALSE)),"+","")</f>
        <v/>
      </c>
      <c r="AO81" s="122" t="str">
        <f>IF(ISTEXT(VLOOKUP(CONCATENATE($A81,"_",AO$3),'Unit List'!$A$14:$H$2841,2,FALSE)),"X",$AN81)</f>
        <v/>
      </c>
      <c r="AP81" s="172" t="str">
        <f>IF(ISTEXT(VLOOKUP(CONCATENATE($A81,"_",AP$3),'Unit List'!$A$14:$H$2841,2,FALSE)),"+","")</f>
        <v/>
      </c>
      <c r="AQ81" s="120" t="str">
        <f>IF(ISTEXT(VLOOKUP(CONCATENATE($A81,"_",AQ$3),'Unit List'!$A$14:$H$2841,2,FALSE)),"X",$AP81)</f>
        <v/>
      </c>
      <c r="AR81" s="120" t="str">
        <f>IF(ISTEXT(VLOOKUP(CONCATENATE($A81,"_",AR$3),'Unit List'!$A$14:$H$2841,2,FALSE)),"X",$AP81)</f>
        <v/>
      </c>
      <c r="AS81" s="120" t="str">
        <f>IF(ISTEXT(VLOOKUP(CONCATENATE($A81,"_",AS$3),'Unit List'!$A$14:$H$2841,2,FALSE)),"X",$AP81)</f>
        <v/>
      </c>
      <c r="AT81" s="122" t="str">
        <f>IF(ISTEXT(VLOOKUP(CONCATENATE($A81,"_",AT$3),'Unit List'!$A$14:$H$2841,2,FALSE)),"X",$AP81)</f>
        <v/>
      </c>
      <c r="AU81" s="124" t="str">
        <f>IF(ISTEXT(VLOOKUP(CONCATENATE($A81,"_",AU$3),'Unit List'!$A$14:$H$2841,2,FALSE)),"+","")</f>
        <v/>
      </c>
      <c r="AV81" s="120" t="str">
        <f>IF(ISTEXT(VLOOKUP(CONCATENATE($A81,"_",AV$3),'Unit List'!$A$14:$H$2841,2,FALSE)),"X",$AU81)</f>
        <v/>
      </c>
      <c r="AW81" s="122" t="str">
        <f>IF(ISTEXT(VLOOKUP(CONCATENATE($A81,"_",AW$3),'Unit List'!$A$14:$H$2841,2,FALSE)),"X",$AU81)</f>
        <v/>
      </c>
      <c r="AX81" s="172" t="str">
        <f>IF(ISTEXT(VLOOKUP(CONCATENATE($A81,"_",AX$3),'Unit List'!$A$14:$H$2841,2,FALSE)),"+","")</f>
        <v/>
      </c>
      <c r="AY81" s="120" t="str">
        <f>IF(ISTEXT(VLOOKUP(CONCATENATE($A81,"_",AY$3),'Unit List'!$A$14:$H$2841,2,FALSE)),"X",$AX81)</f>
        <v/>
      </c>
      <c r="AZ81" s="122" t="str">
        <f>IF(ISTEXT(VLOOKUP(CONCATENATE($A81,"_",AZ$3),'Unit List'!$A$14:$H$2841,2,FALSE)),"X",$AX81)</f>
        <v/>
      </c>
      <c r="BA81" s="182" t="str">
        <f>IF(ISTEXT(VLOOKUP(CONCATENATE($A81,"_",BA$3),'Unit List'!$A$14:$H$2841,2,FALSE)),"+","")</f>
        <v/>
      </c>
      <c r="BB81" s="120" t="str">
        <f>IF(ISTEXT(VLOOKUP(CONCATENATE($A81,"_",BB$3),'Unit List'!$A$14:$H$2841,2,FALSE)),"X",$BA81)</f>
        <v/>
      </c>
      <c r="BC81" s="120" t="str">
        <f>IF(ISTEXT(VLOOKUP(CONCATENATE($A81,"_",BC$3),'Unit List'!$A$14:$H$2841,2,FALSE)),"X",$BA81)</f>
        <v/>
      </c>
      <c r="BD81" s="122" t="str">
        <f>IF(ISTEXT(VLOOKUP(CONCATENATE($A81,"_",BD$3),'Unit List'!$A$14:$H$2841,2,FALSE)),"X",$BA81)</f>
        <v/>
      </c>
      <c r="BE81" s="125" t="str">
        <f>IF(ISTEXT(VLOOKUP(CONCATENATE($A81,"_",BE$3),'Unit List'!$A$14:$H$2841,2,FALSE)),"+","")</f>
        <v/>
      </c>
      <c r="BF81" s="75" t="str">
        <f>IF(ISTEXT(VLOOKUP(CONCATENATE($A81,"_",BF$3),'Unit List'!$A$14:$H$2841,2,FALSE)),"X",$BE81)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List'!$A$14:$H$2841,2,FALSE)),"+","")</f>
        <v/>
      </c>
      <c r="C82" s="119" t="str">
        <f>IF(ISTEXT(VLOOKUP(CONCATENATE($A82,"_",C$3),'Unit List'!$A$14:$H$2841,2,FALSE)),"X",$B82)</f>
        <v/>
      </c>
      <c r="D82" s="120" t="str">
        <f>IF(ISTEXT(VLOOKUP(CONCATENATE($A82,"_",D$3),'Unit List'!$A$14:$H$2841,2,FALSE)),"X",$B82)</f>
        <v/>
      </c>
      <c r="E82" s="120" t="str">
        <f>IF(ISTEXT(VLOOKUP(CONCATENATE($A82,"_",E$3),'Unit List'!$A$14:$H$2841,2,FALSE)),"X",$B82)</f>
        <v/>
      </c>
      <c r="F82" s="120" t="str">
        <f>IF(ISTEXT(VLOOKUP(CONCATENATE($A82,"_",F$3),'Unit List'!$A$14:$H$2841,2,FALSE)),"X",$B82)</f>
        <v/>
      </c>
      <c r="G82" s="120" t="str">
        <f>IF(ISTEXT(VLOOKUP(CONCATENATE($A82,"_",G$3),'Unit List'!$A$14:$H$2841,2,FALSE)),"X",$B82)</f>
        <v/>
      </c>
      <c r="H82" s="120" t="str">
        <f>IF(ISTEXT(VLOOKUP(CONCATENATE($A82,"_",H$3),'Unit List'!$A$14:$H$2841,2,FALSE)),"X",$B82)</f>
        <v/>
      </c>
      <c r="I82" s="122" t="str">
        <f>IF(ISTEXT(VLOOKUP(CONCATENATE($A82,"_",I$3),'Unit List'!$A$14:$H$2841,2,FALSE)),"X",$B82)</f>
        <v/>
      </c>
      <c r="J82" s="172" t="str">
        <f>IF(ISTEXT(VLOOKUP(CONCATENATE($A82,"_",J$3),'Unit List'!$A$14:$H$2841,2,FALSE)),"+","")</f>
        <v/>
      </c>
      <c r="K82" s="120" t="str">
        <f>IF(ISTEXT(VLOOKUP(CONCATENATE($A82,"_",K$3),'Unit List'!$A$14:$H$2841,2,FALSE)),"X",$J82)</f>
        <v/>
      </c>
      <c r="L82" s="75" t="str">
        <f>IF(ISTEXT(VLOOKUP(CONCATENATE($A82,"_",L$3),'Unit List'!$A$14:$H$2841,2,FALSE)),"X",$J82)</f>
        <v/>
      </c>
      <c r="M82" s="172" t="str">
        <f>IF(ISTEXT(VLOOKUP(CONCATENATE($A82,"_",M$3),'Unit List'!$A$14:$H$2841,2,FALSE)),"+","")</f>
        <v/>
      </c>
      <c r="N82" s="120" t="str">
        <f>IF(ISTEXT(VLOOKUP(CONCATENATE($A82,"_",N$3),'Unit List'!$A$14:$H$2841,2,FALSE)),"X",$M82)</f>
        <v/>
      </c>
      <c r="O82" s="122" t="str">
        <f>IF(ISTEXT(VLOOKUP(CONCATENATE($A82,"_",O$3),'Unit List'!$A$14:$H$2841,2,FALSE)),"X",$M82)</f>
        <v/>
      </c>
      <c r="P82" s="172" t="str">
        <f>IF(ISTEXT(VLOOKUP(CONCATENATE($A82,"_",P$3),'Unit List'!$A$14:$H$2841,2,FALSE)),"+","")</f>
        <v/>
      </c>
      <c r="Q82" s="120" t="str">
        <f>IF(ISTEXT(VLOOKUP(CONCATENATE($A82,"_",Q$3),'Unit List'!$A$14:$H$2841,2,FALSE)),"X",$P82)</f>
        <v/>
      </c>
      <c r="R82" s="120" t="str">
        <f>IF(ISTEXT(VLOOKUP(CONCATENATE($A82,"_",R$3),'Unit List'!$A$14:$H$2841,2,FALSE)),"X",$P82)</f>
        <v/>
      </c>
      <c r="S82" s="120" t="str">
        <f>IF(ISTEXT(VLOOKUP(CONCATENATE($A82,"_",S$3),'Unit List'!$A$14:$H$2841,2,FALSE)),"X",$P82)</f>
        <v/>
      </c>
      <c r="T82" s="121" t="str">
        <f>IF(ISTEXT(VLOOKUP(CONCATENATE($A82,"_",T$3),'Unit List'!$A$14:$H$2841,2,FALSE)),"X",$P82)</f>
        <v/>
      </c>
      <c r="U82" s="120" t="str">
        <f>IF(ISTEXT(VLOOKUP(CONCATENATE($A82,"_",U$3),'Unit List'!$A$14:$H$2841,2,FALSE)),"X",$P82)</f>
        <v/>
      </c>
      <c r="V82" s="120" t="str">
        <f>IF(ISTEXT(VLOOKUP(CONCATENATE($A82,"_",V$3),'Unit List'!$A$14:$H$2841,2,FALSE)),"X",$P82)</f>
        <v/>
      </c>
      <c r="W82" s="122" t="str">
        <f>IF(ISTEXT(VLOOKUP(CONCATENATE($A82,"_",W$3),'Unit List'!$A$14:$H$2841,2,FALSE)),"X",$P82)</f>
        <v/>
      </c>
      <c r="X82" s="172" t="str">
        <f>IF(ISTEXT(VLOOKUP(CONCATENATE($A82,"_",X$3),'Unit List'!$A$14:$H$2841,2,FALSE)),"+","")</f>
        <v/>
      </c>
      <c r="Y82" s="120" t="str">
        <f>IF(ISTEXT(VLOOKUP(CONCATENATE($A82,"_",Y$3),'Unit List'!$A$14:$H$2841,2,FALSE)),"X",$X82)</f>
        <v/>
      </c>
      <c r="Z82" s="120" t="str">
        <f>IF(ISTEXT(VLOOKUP(CONCATENATE($A82,"_",Z$3),'Unit List'!$A$14:$H$2841,2,FALSE)),"X",$X82)</f>
        <v/>
      </c>
      <c r="AA82" s="120" t="str">
        <f>IF(ISTEXT(VLOOKUP(CONCATENATE($A82,"_",AA$3),'Unit List'!$A$14:$H$2841,2,FALSE)),"X",$X82)</f>
        <v/>
      </c>
      <c r="AB82" s="120" t="str">
        <f>IF(ISTEXT(VLOOKUP(CONCATENATE($A82,"_",AB$3),'Unit List'!$A$14:$H$2841,2,FALSE)),"X",$X82)</f>
        <v/>
      </c>
      <c r="AC82" s="75" t="str">
        <f>IF(ISTEXT(VLOOKUP(CONCATENATE($A82,"_",AC$3),'Unit List'!$A$14:$H$2841,2,FALSE)),"X",$X82)</f>
        <v/>
      </c>
      <c r="AD82" s="172" t="str">
        <f>IF(ISTEXT(VLOOKUP(CONCATENATE($A82,"_",AD$3),'Unit List'!$A$14:$H$2841,2,FALSE)),"+","")</f>
        <v/>
      </c>
      <c r="AE82" s="120" t="str">
        <f>IF(ISTEXT(VLOOKUP(CONCATENATE($A82,"_",AE$3),'Unit List'!$A$14:$H$2841,2,FALSE)),"X",$AD82)</f>
        <v/>
      </c>
      <c r="AF82" s="120" t="str">
        <f>IF(ISTEXT(VLOOKUP(CONCATENATE($A82,"_",AF$3),'Unit List'!$A$14:$H$2841,2,FALSE)),"X",$AD82)</f>
        <v/>
      </c>
      <c r="AG82" s="172" t="str">
        <f>IF(ISTEXT(VLOOKUP(CONCATENATE($A82,"_",AG$3),'Unit List'!$A$14:$H$2841,2,FALSE)),"+","")</f>
        <v/>
      </c>
      <c r="AH82" s="120" t="str">
        <f>IF(ISTEXT(VLOOKUP(CONCATENATE($A82,"_",AH$3),'Unit List'!$A$14:$H$2841,2,FALSE)),"X",$AG82)</f>
        <v/>
      </c>
      <c r="AI82" s="120" t="str">
        <f>IF(ISTEXT(VLOOKUP(CONCATENATE($A82,"_",AI$3),'Unit List'!$A$14:$H$2841,2,FALSE)),"X",$AG82)</f>
        <v/>
      </c>
      <c r="AJ82" s="122" t="str">
        <f>IF(ISTEXT(VLOOKUP(CONCATENATE($A82,"_",AJ$3),'Unit List'!$A$14:$H$2841,2,FALSE)),"X",$AG82)</f>
        <v/>
      </c>
      <c r="AK82" s="172" t="str">
        <f>IF(ISTEXT(VLOOKUP(CONCATENATE($A82,"_",AK$3),'Unit List'!$A$14:$H$2841,2,FALSE)),"+","")</f>
        <v/>
      </c>
      <c r="AL82" s="121" t="str">
        <f>IF(ISTEXT(VLOOKUP(CONCATENATE($A82,"_",AL$3),'Unit List'!$A$14:$H$2841,2,FALSE)),"X",$AK82)</f>
        <v/>
      </c>
      <c r="AM82" s="122" t="str">
        <f>IF(ISTEXT(VLOOKUP(CONCATENATE($A82,"_",AM$3),'Unit List'!$A$14:$H$2841,2,FALSE)),"X",$AK82)</f>
        <v/>
      </c>
      <c r="AN82" s="125" t="str">
        <f>IF(ISTEXT(VLOOKUP(CONCATENATE($A82,"_",AN$3),'Unit List'!$A$14:$H$2841,2,FALSE)),"+","")</f>
        <v/>
      </c>
      <c r="AO82" s="122" t="str">
        <f>IF(ISTEXT(VLOOKUP(CONCATENATE($A82,"_",AO$3),'Unit List'!$A$14:$H$2841,2,FALSE)),"X",$AN82)</f>
        <v/>
      </c>
      <c r="AP82" s="172" t="str">
        <f>IF(ISTEXT(VLOOKUP(CONCATENATE($A82,"_",AP$3),'Unit List'!$A$14:$H$2841,2,FALSE)),"+","")</f>
        <v/>
      </c>
      <c r="AQ82" s="120" t="str">
        <f>IF(ISTEXT(VLOOKUP(CONCATENATE($A82,"_",AQ$3),'Unit List'!$A$14:$H$2841,2,FALSE)),"X",$AP82)</f>
        <v/>
      </c>
      <c r="AR82" s="120" t="str">
        <f>IF(ISTEXT(VLOOKUP(CONCATENATE($A82,"_",AR$3),'Unit List'!$A$14:$H$2841,2,FALSE)),"X",$AP82)</f>
        <v/>
      </c>
      <c r="AS82" s="120" t="str">
        <f>IF(ISTEXT(VLOOKUP(CONCATENATE($A82,"_",AS$3),'Unit List'!$A$14:$H$2841,2,FALSE)),"X",$AP82)</f>
        <v/>
      </c>
      <c r="AT82" s="122" t="str">
        <f>IF(ISTEXT(VLOOKUP(CONCATENATE($A82,"_",AT$3),'Unit List'!$A$14:$H$2841,2,FALSE)),"X",$AP82)</f>
        <v/>
      </c>
      <c r="AU82" s="124" t="str">
        <f>IF(ISTEXT(VLOOKUP(CONCATENATE($A82,"_",AU$3),'Unit List'!$A$14:$H$2841,2,FALSE)),"+","")</f>
        <v/>
      </c>
      <c r="AV82" s="120" t="str">
        <f>IF(ISTEXT(VLOOKUP(CONCATENATE($A82,"_",AV$3),'Unit List'!$A$14:$H$2841,2,FALSE)),"X",$AU82)</f>
        <v/>
      </c>
      <c r="AW82" s="122" t="str">
        <f>IF(ISTEXT(VLOOKUP(CONCATENATE($A82,"_",AW$3),'Unit List'!$A$14:$H$2841,2,FALSE)),"X",$AU82)</f>
        <v/>
      </c>
      <c r="AX82" s="172" t="str">
        <f>IF(ISTEXT(VLOOKUP(CONCATENATE($A82,"_",AX$3),'Unit List'!$A$14:$H$2841,2,FALSE)),"+","")</f>
        <v/>
      </c>
      <c r="AY82" s="120" t="str">
        <f>IF(ISTEXT(VLOOKUP(CONCATENATE($A82,"_",AY$3),'Unit List'!$A$14:$H$2841,2,FALSE)),"X",$AX82)</f>
        <v/>
      </c>
      <c r="AZ82" s="122" t="str">
        <f>IF(ISTEXT(VLOOKUP(CONCATENATE($A82,"_",AZ$3),'Unit List'!$A$14:$H$2841,2,FALSE)),"X",$AX82)</f>
        <v/>
      </c>
      <c r="BA82" s="182" t="str">
        <f>IF(ISTEXT(VLOOKUP(CONCATENATE($A82,"_",BA$3),'Unit List'!$A$14:$H$2841,2,FALSE)),"+","")</f>
        <v/>
      </c>
      <c r="BB82" s="120" t="str">
        <f>IF(ISTEXT(VLOOKUP(CONCATENATE($A82,"_",BB$3),'Unit List'!$A$14:$H$2841,2,FALSE)),"X",$BA82)</f>
        <v/>
      </c>
      <c r="BC82" s="120" t="str">
        <f>IF(ISTEXT(VLOOKUP(CONCATENATE($A82,"_",BC$3),'Unit List'!$A$14:$H$2841,2,FALSE)),"X",$BA82)</f>
        <v/>
      </c>
      <c r="BD82" s="122" t="str">
        <f>IF(ISTEXT(VLOOKUP(CONCATENATE($A82,"_",BD$3),'Unit List'!$A$14:$H$2841,2,FALSE)),"X",$BA82)</f>
        <v/>
      </c>
      <c r="BE82" s="125" t="str">
        <f>IF(ISTEXT(VLOOKUP(CONCATENATE($A82,"_",BE$3),'Unit List'!$A$14:$H$2841,2,FALSE)),"+","")</f>
        <v/>
      </c>
      <c r="BF82" s="75" t="str">
        <f>IF(ISTEXT(VLOOKUP(CONCATENATE($A82,"_",BF$3),'Unit List'!$A$14:$H$2841,2,FALSE)),"X",$BE82)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List'!$A$14:$H$2841,2,FALSE)),"+","")</f>
        <v/>
      </c>
      <c r="C83" s="119" t="str">
        <f>IF(ISTEXT(VLOOKUP(CONCATENATE($A83,"_",C$3),'Unit List'!$A$14:$H$2841,2,FALSE)),"X",$B83)</f>
        <v/>
      </c>
      <c r="D83" s="120" t="str">
        <f>IF(ISTEXT(VLOOKUP(CONCATENATE($A83,"_",D$3),'Unit List'!$A$14:$H$2841,2,FALSE)),"X",$B83)</f>
        <v/>
      </c>
      <c r="E83" s="120" t="str">
        <f>IF(ISTEXT(VLOOKUP(CONCATENATE($A83,"_",E$3),'Unit List'!$A$14:$H$2841,2,FALSE)),"X",$B83)</f>
        <v/>
      </c>
      <c r="F83" s="120" t="str">
        <f>IF(ISTEXT(VLOOKUP(CONCATENATE($A83,"_",F$3),'Unit List'!$A$14:$H$2841,2,FALSE)),"X",$B83)</f>
        <v>X</v>
      </c>
      <c r="G83" s="120" t="str">
        <f>IF(ISTEXT(VLOOKUP(CONCATENATE($A83,"_",G$3),'Unit List'!$A$14:$H$2841,2,FALSE)),"X",$B83)</f>
        <v>X</v>
      </c>
      <c r="H83" s="120" t="str">
        <f>IF(ISTEXT(VLOOKUP(CONCATENATE($A83,"_",H$3),'Unit List'!$A$14:$H$2841,2,FALSE)),"X",$B83)</f>
        <v>X</v>
      </c>
      <c r="I83" s="122" t="str">
        <f>IF(ISTEXT(VLOOKUP(CONCATENATE($A83,"_",I$3),'Unit List'!$A$14:$H$2841,2,FALSE)),"X",$B83)</f>
        <v>X</v>
      </c>
      <c r="J83" s="172" t="str">
        <f>IF(ISTEXT(VLOOKUP(CONCATENATE($A83,"_",J$3),'Unit List'!$A$14:$H$2841,2,FALSE)),"+","")</f>
        <v/>
      </c>
      <c r="K83" s="120" t="str">
        <f>IF(ISTEXT(VLOOKUP(CONCATENATE($A83,"_",K$3),'Unit List'!$A$14:$H$2841,2,FALSE)),"X",$J83)</f>
        <v/>
      </c>
      <c r="L83" s="75" t="str">
        <f>IF(ISTEXT(VLOOKUP(CONCATENATE($A83,"_",L$3),'Unit List'!$A$14:$H$2841,2,FALSE)),"X",$J83)</f>
        <v>X</v>
      </c>
      <c r="M83" s="172" t="str">
        <f>IF(ISTEXT(VLOOKUP(CONCATENATE($A83,"_",M$3),'Unit List'!$A$14:$H$2841,2,FALSE)),"+","")</f>
        <v/>
      </c>
      <c r="N83" s="120" t="str">
        <f>IF(ISTEXT(VLOOKUP(CONCATENATE($A83,"_",N$3),'Unit List'!$A$14:$H$2841,2,FALSE)),"X",$M83)</f>
        <v>X</v>
      </c>
      <c r="O83" s="122" t="str">
        <f>IF(ISTEXT(VLOOKUP(CONCATENATE($A83,"_",O$3),'Unit List'!$A$14:$H$2841,2,FALSE)),"X",$M83)</f>
        <v>X</v>
      </c>
      <c r="P83" s="172" t="str">
        <f>IF(ISTEXT(VLOOKUP(CONCATENATE($A83,"_",P$3),'Unit List'!$A$14:$H$2841,2,FALSE)),"+","")</f>
        <v>+</v>
      </c>
      <c r="Q83" s="120" t="str">
        <f>IF(ISTEXT(VLOOKUP(CONCATENATE($A83,"_",Q$3),'Unit List'!$A$14:$H$2841,2,FALSE)),"X",$P83)</f>
        <v>+</v>
      </c>
      <c r="R83" s="120" t="str">
        <f>IF(ISTEXT(VLOOKUP(CONCATENATE($A83,"_",R$3),'Unit List'!$A$14:$H$2841,2,FALSE)),"X",$P83)</f>
        <v>+</v>
      </c>
      <c r="S83" s="120" t="str">
        <f>IF(ISTEXT(VLOOKUP(CONCATENATE($A83,"_",S$3),'Unit List'!$A$14:$H$2841,2,FALSE)),"X",$P83)</f>
        <v>+</v>
      </c>
      <c r="T83" s="121" t="str">
        <f>IF(ISTEXT(VLOOKUP(CONCATENATE($A83,"_",T$3),'Unit List'!$A$14:$H$2841,2,FALSE)),"X",$P83)</f>
        <v>+</v>
      </c>
      <c r="U83" s="120" t="str">
        <f>IF(ISTEXT(VLOOKUP(CONCATENATE($A83,"_",U$3),'Unit List'!$A$14:$H$2841,2,FALSE)),"X",$P83)</f>
        <v>X</v>
      </c>
      <c r="V83" s="120" t="str">
        <f>IF(ISTEXT(VLOOKUP(CONCATENATE($A83,"_",V$3),'Unit List'!$A$14:$H$2841,2,FALSE)),"X",$P83)</f>
        <v>X</v>
      </c>
      <c r="W83" s="122" t="str">
        <f>IF(ISTEXT(VLOOKUP(CONCATENATE($A83,"_",W$3),'Unit List'!$A$14:$H$2841,2,FALSE)),"X",$P83)</f>
        <v>+</v>
      </c>
      <c r="X83" s="172" t="str">
        <f>IF(ISTEXT(VLOOKUP(CONCATENATE($A83,"_",X$3),'Unit List'!$A$14:$H$2841,2,FALSE)),"+","")</f>
        <v/>
      </c>
      <c r="Y83" s="120" t="str">
        <f>IF(ISTEXT(VLOOKUP(CONCATENATE($A83,"_",Y$3),'Unit List'!$A$14:$H$2841,2,FALSE)),"X",$X83)</f>
        <v/>
      </c>
      <c r="Z83" s="120" t="str">
        <f>IF(ISTEXT(VLOOKUP(CONCATENATE($A83,"_",Z$3),'Unit List'!$A$14:$H$2841,2,FALSE)),"X",$X83)</f>
        <v/>
      </c>
      <c r="AA83" s="120" t="str">
        <f>IF(ISTEXT(VLOOKUP(CONCATENATE($A83,"_",AA$3),'Unit List'!$A$14:$H$2841,2,FALSE)),"X",$X83)</f>
        <v/>
      </c>
      <c r="AB83" s="120" t="str">
        <f>IF(ISTEXT(VLOOKUP(CONCATENATE($A83,"_",AB$3),'Unit List'!$A$14:$H$2841,2,FALSE)),"X",$X83)</f>
        <v/>
      </c>
      <c r="AC83" s="75" t="str">
        <f>IF(ISTEXT(VLOOKUP(CONCATENATE($A83,"_",AC$3),'Unit List'!$A$14:$H$2841,2,FALSE)),"X",$X83)</f>
        <v/>
      </c>
      <c r="AD83" s="172" t="str">
        <f>IF(ISTEXT(VLOOKUP(CONCATENATE($A83,"_",AD$3),'Unit List'!$A$14:$H$2841,2,FALSE)),"+","")</f>
        <v>+</v>
      </c>
      <c r="AE83" s="120" t="str">
        <f>IF(ISTEXT(VLOOKUP(CONCATENATE($A83,"_",AE$3),'Unit List'!$A$14:$H$2841,2,FALSE)),"X",$AD83)</f>
        <v>+</v>
      </c>
      <c r="AF83" s="120" t="str">
        <f>IF(ISTEXT(VLOOKUP(CONCATENATE($A83,"_",AF$3),'Unit List'!$A$14:$H$2841,2,FALSE)),"X",$AD83)</f>
        <v>+</v>
      </c>
      <c r="AG83" s="172" t="str">
        <f>IF(ISTEXT(VLOOKUP(CONCATENATE($A83,"_",AG$3),'Unit List'!$A$14:$H$2841,2,FALSE)),"+","")</f>
        <v/>
      </c>
      <c r="AH83" s="120" t="str">
        <f>IF(ISTEXT(VLOOKUP(CONCATENATE($A83,"_",AH$3),'Unit List'!$A$14:$H$2841,2,FALSE)),"X",$AG83)</f>
        <v/>
      </c>
      <c r="AI83" s="120" t="str">
        <f>IF(ISTEXT(VLOOKUP(CONCATENATE($A83,"_",AI$3),'Unit List'!$A$14:$H$2841,2,FALSE)),"X",$AG83)</f>
        <v/>
      </c>
      <c r="AJ83" s="122" t="str">
        <f>IF(ISTEXT(VLOOKUP(CONCATENATE($A83,"_",AJ$3),'Unit List'!$A$14:$H$2841,2,FALSE)),"X",$AG83)</f>
        <v/>
      </c>
      <c r="AK83" s="172" t="str">
        <f>IF(ISTEXT(VLOOKUP(CONCATENATE($A83,"_",AK$3),'Unit List'!$A$14:$H$2841,2,FALSE)),"+","")</f>
        <v/>
      </c>
      <c r="AL83" s="121" t="str">
        <f>IF(ISTEXT(VLOOKUP(CONCATENATE($A83,"_",AL$3),'Unit List'!$A$14:$H$2841,2,FALSE)),"X",$AK83)</f>
        <v/>
      </c>
      <c r="AM83" s="122" t="str">
        <f>IF(ISTEXT(VLOOKUP(CONCATENATE($A83,"_",AM$3),'Unit List'!$A$14:$H$2841,2,FALSE)),"X",$AK83)</f>
        <v>X</v>
      </c>
      <c r="AN83" s="125" t="str">
        <f>IF(ISTEXT(VLOOKUP(CONCATENATE($A83,"_",AN$3),'Unit List'!$A$14:$H$2841,2,FALSE)),"+","")</f>
        <v/>
      </c>
      <c r="AO83" s="122" t="str">
        <f>IF(ISTEXT(VLOOKUP(CONCATENATE($A83,"_",AO$3),'Unit List'!$A$14:$H$2841,2,FALSE)),"X",$AN83)</f>
        <v/>
      </c>
      <c r="AP83" s="172" t="str">
        <f>IF(ISTEXT(VLOOKUP(CONCATENATE($A83,"_",AP$3),'Unit List'!$A$14:$H$2841,2,FALSE)),"+","")</f>
        <v/>
      </c>
      <c r="AQ83" s="120" t="str">
        <f>IF(ISTEXT(VLOOKUP(CONCATENATE($A83,"_",AQ$3),'Unit List'!$A$14:$H$2841,2,FALSE)),"X",$AP83)</f>
        <v/>
      </c>
      <c r="AR83" s="120" t="str">
        <f>IF(ISTEXT(VLOOKUP(CONCATENATE($A83,"_",AR$3),'Unit List'!$A$14:$H$2841,2,FALSE)),"X",$AP83)</f>
        <v/>
      </c>
      <c r="AS83" s="120" t="str">
        <f>IF(ISTEXT(VLOOKUP(CONCATENATE($A83,"_",AS$3),'Unit List'!$A$14:$H$2841,2,FALSE)),"X",$AP83)</f>
        <v/>
      </c>
      <c r="AT83" s="122" t="str">
        <f>IF(ISTEXT(VLOOKUP(CONCATENATE($A83,"_",AT$3),'Unit List'!$A$14:$H$2841,2,FALSE)),"X",$AP83)</f>
        <v/>
      </c>
      <c r="AU83" s="124" t="str">
        <f>IF(ISTEXT(VLOOKUP(CONCATENATE($A83,"_",AU$3),'Unit List'!$A$14:$H$2841,2,FALSE)),"+","")</f>
        <v/>
      </c>
      <c r="AV83" s="120" t="str">
        <f>IF(ISTEXT(VLOOKUP(CONCATENATE($A83,"_",AV$3),'Unit List'!$A$14:$H$2841,2,FALSE)),"X",$AU83)</f>
        <v/>
      </c>
      <c r="AW83" s="122" t="str">
        <f>IF(ISTEXT(VLOOKUP(CONCATENATE($A83,"_",AW$3),'Unit List'!$A$14:$H$2841,2,FALSE)),"X",$AU83)</f>
        <v/>
      </c>
      <c r="AX83" s="172" t="str">
        <f>IF(ISTEXT(VLOOKUP(CONCATENATE($A83,"_",AX$3),'Unit List'!$A$14:$H$2841,2,FALSE)),"+","")</f>
        <v/>
      </c>
      <c r="AY83" s="120" t="str">
        <f>IF(ISTEXT(VLOOKUP(CONCATENATE($A83,"_",AY$3),'Unit List'!$A$14:$H$2841,2,FALSE)),"X",$AX83)</f>
        <v/>
      </c>
      <c r="AZ83" s="122" t="str">
        <f>IF(ISTEXT(VLOOKUP(CONCATENATE($A83,"_",AZ$3),'Unit List'!$A$14:$H$2841,2,FALSE)),"X",$AX83)</f>
        <v/>
      </c>
      <c r="BA83" s="182" t="str">
        <f>IF(ISTEXT(VLOOKUP(CONCATENATE($A83,"_",BA$3),'Unit List'!$A$14:$H$2841,2,FALSE)),"+","")</f>
        <v/>
      </c>
      <c r="BB83" s="120" t="str">
        <f>IF(ISTEXT(VLOOKUP(CONCATENATE($A83,"_",BB$3),'Unit List'!$A$14:$H$2841,2,FALSE)),"X",$BA83)</f>
        <v/>
      </c>
      <c r="BC83" s="120" t="str">
        <f>IF(ISTEXT(VLOOKUP(CONCATENATE($A83,"_",BC$3),'Unit List'!$A$14:$H$2841,2,FALSE)),"X",$BA83)</f>
        <v/>
      </c>
      <c r="BD83" s="122" t="str">
        <f>IF(ISTEXT(VLOOKUP(CONCATENATE($A83,"_",BD$3),'Unit List'!$A$14:$H$2841,2,FALSE)),"X",$BA83)</f>
        <v/>
      </c>
      <c r="BE83" s="125" t="str">
        <f>IF(ISTEXT(VLOOKUP(CONCATENATE($A83,"_",BE$3),'Unit List'!$A$14:$H$2841,2,FALSE)),"+","")</f>
        <v/>
      </c>
      <c r="BF83" s="75" t="str">
        <f>IF(ISTEXT(VLOOKUP(CONCATENATE($A83,"_",BF$3),'Unit List'!$A$14:$H$2841,2,FALSE)),"X",$BE83)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List'!$A$14:$H$2841,2,FALSE)),"+","")</f>
        <v/>
      </c>
      <c r="C84" s="119" t="str">
        <f>IF(ISTEXT(VLOOKUP(CONCATENATE($A84,"_",C$3),'Unit List'!$A$14:$H$2841,2,FALSE)),"X",$B84)</f>
        <v/>
      </c>
      <c r="D84" s="120" t="str">
        <f>IF(ISTEXT(VLOOKUP(CONCATENATE($A84,"_",D$3),'Unit List'!$A$14:$H$2841,2,FALSE)),"X",$B84)</f>
        <v/>
      </c>
      <c r="E84" s="120" t="str">
        <f>IF(ISTEXT(VLOOKUP(CONCATENATE($A84,"_",E$3),'Unit List'!$A$14:$H$2841,2,FALSE)),"X",$B84)</f>
        <v/>
      </c>
      <c r="F84" s="120" t="str">
        <f>IF(ISTEXT(VLOOKUP(CONCATENATE($A84,"_",F$3),'Unit List'!$A$14:$H$2841,2,FALSE)),"X",$B84)</f>
        <v/>
      </c>
      <c r="G84" s="120" t="str">
        <f>IF(ISTEXT(VLOOKUP(CONCATENATE($A84,"_",G$3),'Unit List'!$A$14:$H$2841,2,FALSE)),"X",$B84)</f>
        <v/>
      </c>
      <c r="H84" s="120" t="str">
        <f>IF(ISTEXT(VLOOKUP(CONCATENATE($A84,"_",H$3),'Unit List'!$A$14:$H$2841,2,FALSE)),"X",$B84)</f>
        <v/>
      </c>
      <c r="I84" s="122" t="str">
        <f>IF(ISTEXT(VLOOKUP(CONCATENATE($A84,"_",I$3),'Unit List'!$A$14:$H$2841,2,FALSE)),"X",$B84)</f>
        <v/>
      </c>
      <c r="J84" s="172" t="str">
        <f>IF(ISTEXT(VLOOKUP(CONCATENATE($A84,"_",J$3),'Unit List'!$A$14:$H$2841,2,FALSE)),"+","")</f>
        <v/>
      </c>
      <c r="K84" s="120" t="str">
        <f>IF(ISTEXT(VLOOKUP(CONCATENATE($A84,"_",K$3),'Unit List'!$A$14:$H$2841,2,FALSE)),"X",$J84)</f>
        <v/>
      </c>
      <c r="L84" s="75" t="str">
        <f>IF(ISTEXT(VLOOKUP(CONCATENATE($A84,"_",L$3),'Unit List'!$A$14:$H$2841,2,FALSE)),"X",$J84)</f>
        <v/>
      </c>
      <c r="M84" s="172" t="str">
        <f>IF(ISTEXT(VLOOKUP(CONCATENATE($A84,"_",M$3),'Unit List'!$A$14:$H$2841,2,FALSE)),"+","")</f>
        <v/>
      </c>
      <c r="N84" s="120" t="str">
        <f>IF(ISTEXT(VLOOKUP(CONCATENATE($A84,"_",N$3),'Unit List'!$A$14:$H$2841,2,FALSE)),"X",$M84)</f>
        <v/>
      </c>
      <c r="O84" s="122" t="str">
        <f>IF(ISTEXT(VLOOKUP(CONCATENATE($A84,"_",O$3),'Unit List'!$A$14:$H$2841,2,FALSE)),"X",$M84)</f>
        <v/>
      </c>
      <c r="P84" s="172" t="str">
        <f>IF(ISTEXT(VLOOKUP(CONCATENATE($A84,"_",P$3),'Unit List'!$A$14:$H$2841,2,FALSE)),"+","")</f>
        <v/>
      </c>
      <c r="Q84" s="120" t="str">
        <f>IF(ISTEXT(VLOOKUP(CONCATENATE($A84,"_",Q$3),'Unit List'!$A$14:$H$2841,2,FALSE)),"X",$P84)</f>
        <v/>
      </c>
      <c r="R84" s="120" t="str">
        <f>IF(ISTEXT(VLOOKUP(CONCATENATE($A84,"_",R$3),'Unit List'!$A$14:$H$2841,2,FALSE)),"X",$P84)</f>
        <v/>
      </c>
      <c r="S84" s="120" t="str">
        <f>IF(ISTEXT(VLOOKUP(CONCATENATE($A84,"_",S$3),'Unit List'!$A$14:$H$2841,2,FALSE)),"X",$P84)</f>
        <v/>
      </c>
      <c r="T84" s="121" t="str">
        <f>IF(ISTEXT(VLOOKUP(CONCATENATE($A84,"_",T$3),'Unit List'!$A$14:$H$2841,2,FALSE)),"X",$P84)</f>
        <v/>
      </c>
      <c r="U84" s="120" t="str">
        <f>IF(ISTEXT(VLOOKUP(CONCATENATE($A84,"_",U$3),'Unit List'!$A$14:$H$2841,2,FALSE)),"X",$P84)</f>
        <v/>
      </c>
      <c r="V84" s="120" t="str">
        <f>IF(ISTEXT(VLOOKUP(CONCATENATE($A84,"_",V$3),'Unit List'!$A$14:$H$2841,2,FALSE)),"X",$P84)</f>
        <v/>
      </c>
      <c r="W84" s="122" t="str">
        <f>IF(ISTEXT(VLOOKUP(CONCATENATE($A84,"_",W$3),'Unit List'!$A$14:$H$2841,2,FALSE)),"X",$P84)</f>
        <v/>
      </c>
      <c r="X84" s="172" t="str">
        <f>IF(ISTEXT(VLOOKUP(CONCATENATE($A84,"_",X$3),'Unit List'!$A$14:$H$2841,2,FALSE)),"+","")</f>
        <v/>
      </c>
      <c r="Y84" s="120" t="str">
        <f>IF(ISTEXT(VLOOKUP(CONCATENATE($A84,"_",Y$3),'Unit List'!$A$14:$H$2841,2,FALSE)),"X",$X84)</f>
        <v/>
      </c>
      <c r="Z84" s="120" t="str">
        <f>IF(ISTEXT(VLOOKUP(CONCATENATE($A84,"_",Z$3),'Unit List'!$A$14:$H$2841,2,FALSE)),"X",$X84)</f>
        <v/>
      </c>
      <c r="AA84" s="120" t="str">
        <f>IF(ISTEXT(VLOOKUP(CONCATENATE($A84,"_",AA$3),'Unit List'!$A$14:$H$2841,2,FALSE)),"X",$X84)</f>
        <v/>
      </c>
      <c r="AB84" s="120" t="str">
        <f>IF(ISTEXT(VLOOKUP(CONCATENATE($A84,"_",AB$3),'Unit List'!$A$14:$H$2841,2,FALSE)),"X",$X84)</f>
        <v/>
      </c>
      <c r="AC84" s="75" t="str">
        <f>IF(ISTEXT(VLOOKUP(CONCATENATE($A84,"_",AC$3),'Unit List'!$A$14:$H$2841,2,FALSE)),"X",$X84)</f>
        <v/>
      </c>
      <c r="AD84" s="172" t="str">
        <f>IF(ISTEXT(VLOOKUP(CONCATENATE($A84,"_",AD$3),'Unit List'!$A$14:$H$2841,2,FALSE)),"+","")</f>
        <v/>
      </c>
      <c r="AE84" s="120" t="str">
        <f>IF(ISTEXT(VLOOKUP(CONCATENATE($A84,"_",AE$3),'Unit List'!$A$14:$H$2841,2,FALSE)),"X",$AD84)</f>
        <v/>
      </c>
      <c r="AF84" s="120" t="str">
        <f>IF(ISTEXT(VLOOKUP(CONCATENATE($A84,"_",AF$3),'Unit List'!$A$14:$H$2841,2,FALSE)),"X",$AD84)</f>
        <v/>
      </c>
      <c r="AG84" s="172" t="str">
        <f>IF(ISTEXT(VLOOKUP(CONCATENATE($A84,"_",AG$3),'Unit List'!$A$14:$H$2841,2,FALSE)),"+","")</f>
        <v/>
      </c>
      <c r="AH84" s="120" t="str">
        <f>IF(ISTEXT(VLOOKUP(CONCATENATE($A84,"_",AH$3),'Unit List'!$A$14:$H$2841,2,FALSE)),"X",$AG84)</f>
        <v/>
      </c>
      <c r="AI84" s="120" t="str">
        <f>IF(ISTEXT(VLOOKUP(CONCATENATE($A84,"_",AI$3),'Unit List'!$A$14:$H$2841,2,FALSE)),"X",$AG84)</f>
        <v/>
      </c>
      <c r="AJ84" s="122" t="str">
        <f>IF(ISTEXT(VLOOKUP(CONCATENATE($A84,"_",AJ$3),'Unit List'!$A$14:$H$2841,2,FALSE)),"X",$AG84)</f>
        <v/>
      </c>
      <c r="AK84" s="172" t="str">
        <f>IF(ISTEXT(VLOOKUP(CONCATENATE($A84,"_",AK$3),'Unit List'!$A$14:$H$2841,2,FALSE)),"+","")</f>
        <v/>
      </c>
      <c r="AL84" s="121" t="str">
        <f>IF(ISTEXT(VLOOKUP(CONCATENATE($A84,"_",AL$3),'Unit List'!$A$14:$H$2841,2,FALSE)),"X",$AK84)</f>
        <v/>
      </c>
      <c r="AM84" s="122" t="str">
        <f>IF(ISTEXT(VLOOKUP(CONCATENATE($A84,"_",AM$3),'Unit List'!$A$14:$H$2841,2,FALSE)),"X",$AK84)</f>
        <v/>
      </c>
      <c r="AN84" s="125" t="str">
        <f>IF(ISTEXT(VLOOKUP(CONCATENATE($A84,"_",AN$3),'Unit List'!$A$14:$H$2841,2,FALSE)),"+","")</f>
        <v/>
      </c>
      <c r="AO84" s="122" t="str">
        <f>IF(ISTEXT(VLOOKUP(CONCATENATE($A84,"_",AO$3),'Unit List'!$A$14:$H$2841,2,FALSE)),"X",$AN84)</f>
        <v/>
      </c>
      <c r="AP84" s="172" t="str">
        <f>IF(ISTEXT(VLOOKUP(CONCATENATE($A84,"_",AP$3),'Unit List'!$A$14:$H$2841,2,FALSE)),"+","")</f>
        <v/>
      </c>
      <c r="AQ84" s="120" t="str">
        <f>IF(ISTEXT(VLOOKUP(CONCATENATE($A84,"_",AQ$3),'Unit List'!$A$14:$H$2841,2,FALSE)),"X",$AP84)</f>
        <v/>
      </c>
      <c r="AR84" s="120" t="str">
        <f>IF(ISTEXT(VLOOKUP(CONCATENATE($A84,"_",AR$3),'Unit List'!$A$14:$H$2841,2,FALSE)),"X",$AP84)</f>
        <v/>
      </c>
      <c r="AS84" s="120" t="str">
        <f>IF(ISTEXT(VLOOKUP(CONCATENATE($A84,"_",AS$3),'Unit List'!$A$14:$H$2841,2,FALSE)),"X",$AP84)</f>
        <v/>
      </c>
      <c r="AT84" s="122" t="str">
        <f>IF(ISTEXT(VLOOKUP(CONCATENATE($A84,"_",AT$3),'Unit List'!$A$14:$H$2841,2,FALSE)),"X",$AP84)</f>
        <v/>
      </c>
      <c r="AU84" s="124" t="str">
        <f>IF(ISTEXT(VLOOKUP(CONCATENATE($A84,"_",AU$3),'Unit List'!$A$14:$H$2841,2,FALSE)),"+","")</f>
        <v/>
      </c>
      <c r="AV84" s="120" t="str">
        <f>IF(ISTEXT(VLOOKUP(CONCATENATE($A84,"_",AV$3),'Unit List'!$A$14:$H$2841,2,FALSE)),"X",$AU84)</f>
        <v/>
      </c>
      <c r="AW84" s="122" t="str">
        <f>IF(ISTEXT(VLOOKUP(CONCATENATE($A84,"_",AW$3),'Unit List'!$A$14:$H$2841,2,FALSE)),"X",$AU84)</f>
        <v/>
      </c>
      <c r="AX84" s="172" t="str">
        <f>IF(ISTEXT(VLOOKUP(CONCATENATE($A84,"_",AX$3),'Unit List'!$A$14:$H$2841,2,FALSE)),"+","")</f>
        <v/>
      </c>
      <c r="AY84" s="120" t="str">
        <f>IF(ISTEXT(VLOOKUP(CONCATENATE($A84,"_",AY$3),'Unit List'!$A$14:$H$2841,2,FALSE)),"X",$AX84)</f>
        <v/>
      </c>
      <c r="AZ84" s="122" t="str">
        <f>IF(ISTEXT(VLOOKUP(CONCATENATE($A84,"_",AZ$3),'Unit List'!$A$14:$H$2841,2,FALSE)),"X",$AX84)</f>
        <v/>
      </c>
      <c r="BA84" s="182" t="str">
        <f>IF(ISTEXT(VLOOKUP(CONCATENATE($A84,"_",BA$3),'Unit List'!$A$14:$H$2841,2,FALSE)),"+","")</f>
        <v/>
      </c>
      <c r="BB84" s="120" t="str">
        <f>IF(ISTEXT(VLOOKUP(CONCATENATE($A84,"_",BB$3),'Unit List'!$A$14:$H$2841,2,FALSE)),"X",$BA84)</f>
        <v/>
      </c>
      <c r="BC84" s="120" t="str">
        <f>IF(ISTEXT(VLOOKUP(CONCATENATE($A84,"_",BC$3),'Unit List'!$A$14:$H$2841,2,FALSE)),"X",$BA84)</f>
        <v/>
      </c>
      <c r="BD84" s="122" t="str">
        <f>IF(ISTEXT(VLOOKUP(CONCATENATE($A84,"_",BD$3),'Unit List'!$A$14:$H$2841,2,FALSE)),"X",$BA84)</f>
        <v/>
      </c>
      <c r="BE84" s="125" t="str">
        <f>IF(ISTEXT(VLOOKUP(CONCATENATE($A84,"_",BE$3),'Unit List'!$A$14:$H$2841,2,FALSE)),"+","")</f>
        <v/>
      </c>
      <c r="BF84" s="75" t="str">
        <f>IF(ISTEXT(VLOOKUP(CONCATENATE($A84,"_",BF$3),'Unit List'!$A$14:$H$2841,2,FALSE)),"X",$BE84)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List'!$A$14:$H$2841,2,FALSE)),"+","")</f>
        <v/>
      </c>
      <c r="C85" s="119" t="str">
        <f>IF(ISTEXT(VLOOKUP(CONCATENATE($A85,"_",C$3),'Unit List'!$A$14:$H$2841,2,FALSE)),"X",$B85)</f>
        <v/>
      </c>
      <c r="D85" s="120" t="str">
        <f>IF(ISTEXT(VLOOKUP(CONCATENATE($A85,"_",D$3),'Unit List'!$A$14:$H$2841,2,FALSE)),"X",$B85)</f>
        <v/>
      </c>
      <c r="E85" s="120" t="str">
        <f>IF(ISTEXT(VLOOKUP(CONCATENATE($A85,"_",E$3),'Unit List'!$A$14:$H$2841,2,FALSE)),"X",$B85)</f>
        <v/>
      </c>
      <c r="F85" s="120" t="str">
        <f>IF(ISTEXT(VLOOKUP(CONCATENATE($A85,"_",F$3),'Unit List'!$A$14:$H$2841,2,FALSE)),"X",$B85)</f>
        <v/>
      </c>
      <c r="G85" s="120" t="str">
        <f>IF(ISTEXT(VLOOKUP(CONCATENATE($A85,"_",G$3),'Unit List'!$A$14:$H$2841,2,FALSE)),"X",$B85)</f>
        <v/>
      </c>
      <c r="H85" s="120" t="str">
        <f>IF(ISTEXT(VLOOKUP(CONCATENATE($A85,"_",H$3),'Unit List'!$A$14:$H$2841,2,FALSE)),"X",$B85)</f>
        <v/>
      </c>
      <c r="I85" s="122" t="str">
        <f>IF(ISTEXT(VLOOKUP(CONCATENATE($A85,"_",I$3),'Unit List'!$A$14:$H$2841,2,FALSE)),"X",$B85)</f>
        <v/>
      </c>
      <c r="J85" s="172" t="str">
        <f>IF(ISTEXT(VLOOKUP(CONCATENATE($A85,"_",J$3),'Unit List'!$A$14:$H$2841,2,FALSE)),"+","")</f>
        <v/>
      </c>
      <c r="K85" s="120" t="str">
        <f>IF(ISTEXT(VLOOKUP(CONCATENATE($A85,"_",K$3),'Unit List'!$A$14:$H$2841,2,FALSE)),"X",$J85)</f>
        <v/>
      </c>
      <c r="L85" s="75" t="str">
        <f>IF(ISTEXT(VLOOKUP(CONCATENATE($A85,"_",L$3),'Unit List'!$A$14:$H$2841,2,FALSE)),"X",$J85)</f>
        <v/>
      </c>
      <c r="M85" s="172" t="str">
        <f>IF(ISTEXT(VLOOKUP(CONCATENATE($A85,"_",M$3),'Unit List'!$A$14:$H$2841,2,FALSE)),"+","")</f>
        <v/>
      </c>
      <c r="N85" s="120" t="str">
        <f>IF(ISTEXT(VLOOKUP(CONCATENATE($A85,"_",N$3),'Unit List'!$A$14:$H$2841,2,FALSE)),"X",$M85)</f>
        <v/>
      </c>
      <c r="O85" s="122" t="str">
        <f>IF(ISTEXT(VLOOKUP(CONCATENATE($A85,"_",O$3),'Unit List'!$A$14:$H$2841,2,FALSE)),"X",$M85)</f>
        <v/>
      </c>
      <c r="P85" s="172" t="str">
        <f>IF(ISTEXT(VLOOKUP(CONCATENATE($A85,"_",P$3),'Unit List'!$A$14:$H$2841,2,FALSE)),"+","")</f>
        <v/>
      </c>
      <c r="Q85" s="120" t="str">
        <f>IF(ISTEXT(VLOOKUP(CONCATENATE($A85,"_",Q$3),'Unit List'!$A$14:$H$2841,2,FALSE)),"X",$P85)</f>
        <v/>
      </c>
      <c r="R85" s="120" t="str">
        <f>IF(ISTEXT(VLOOKUP(CONCATENATE($A85,"_",R$3),'Unit List'!$A$14:$H$2841,2,FALSE)),"X",$P85)</f>
        <v/>
      </c>
      <c r="S85" s="120" t="str">
        <f>IF(ISTEXT(VLOOKUP(CONCATENATE($A85,"_",S$3),'Unit List'!$A$14:$H$2841,2,FALSE)),"X",$P85)</f>
        <v/>
      </c>
      <c r="T85" s="121" t="str">
        <f>IF(ISTEXT(VLOOKUP(CONCATENATE($A85,"_",T$3),'Unit List'!$A$14:$H$2841,2,FALSE)),"X",$P85)</f>
        <v/>
      </c>
      <c r="U85" s="120" t="str">
        <f>IF(ISTEXT(VLOOKUP(CONCATENATE($A85,"_",U$3),'Unit List'!$A$14:$H$2841,2,FALSE)),"X",$P85)</f>
        <v/>
      </c>
      <c r="V85" s="120" t="str">
        <f>IF(ISTEXT(VLOOKUP(CONCATENATE($A85,"_",V$3),'Unit List'!$A$14:$H$2841,2,FALSE)),"X",$P85)</f>
        <v/>
      </c>
      <c r="W85" s="122" t="str">
        <f>IF(ISTEXT(VLOOKUP(CONCATENATE($A85,"_",W$3),'Unit List'!$A$14:$H$2841,2,FALSE)),"X",$P85)</f>
        <v/>
      </c>
      <c r="X85" s="172" t="str">
        <f>IF(ISTEXT(VLOOKUP(CONCATENATE($A85,"_",X$3),'Unit List'!$A$14:$H$2841,2,FALSE)),"+","")</f>
        <v/>
      </c>
      <c r="Y85" s="120" t="str">
        <f>IF(ISTEXT(VLOOKUP(CONCATENATE($A85,"_",Y$3),'Unit List'!$A$14:$H$2841,2,FALSE)),"X",$X85)</f>
        <v/>
      </c>
      <c r="Z85" s="120" t="str">
        <f>IF(ISTEXT(VLOOKUP(CONCATENATE($A85,"_",Z$3),'Unit List'!$A$14:$H$2841,2,FALSE)),"X",$X85)</f>
        <v/>
      </c>
      <c r="AA85" s="120" t="str">
        <f>IF(ISTEXT(VLOOKUP(CONCATENATE($A85,"_",AA$3),'Unit List'!$A$14:$H$2841,2,FALSE)),"X",$X85)</f>
        <v/>
      </c>
      <c r="AB85" s="120" t="str">
        <f>IF(ISTEXT(VLOOKUP(CONCATENATE($A85,"_",AB$3),'Unit List'!$A$14:$H$2841,2,FALSE)),"X",$X85)</f>
        <v/>
      </c>
      <c r="AC85" s="75" t="str">
        <f>IF(ISTEXT(VLOOKUP(CONCATENATE($A85,"_",AC$3),'Unit List'!$A$14:$H$2841,2,FALSE)),"X",$X85)</f>
        <v/>
      </c>
      <c r="AD85" s="172" t="str">
        <f>IF(ISTEXT(VLOOKUP(CONCATENATE($A85,"_",AD$3),'Unit List'!$A$14:$H$2841,2,FALSE)),"+","")</f>
        <v/>
      </c>
      <c r="AE85" s="120" t="str">
        <f>IF(ISTEXT(VLOOKUP(CONCATENATE($A85,"_",AE$3),'Unit List'!$A$14:$H$2841,2,FALSE)),"X",$AD85)</f>
        <v/>
      </c>
      <c r="AF85" s="120" t="str">
        <f>IF(ISTEXT(VLOOKUP(CONCATENATE($A85,"_",AF$3),'Unit List'!$A$14:$H$2841,2,FALSE)),"X",$AD85)</f>
        <v/>
      </c>
      <c r="AG85" s="172" t="str">
        <f>IF(ISTEXT(VLOOKUP(CONCATENATE($A85,"_",AG$3),'Unit List'!$A$14:$H$2841,2,FALSE)),"+","")</f>
        <v/>
      </c>
      <c r="AH85" s="120" t="str">
        <f>IF(ISTEXT(VLOOKUP(CONCATENATE($A85,"_",AH$3),'Unit List'!$A$14:$H$2841,2,FALSE)),"X",$AG85)</f>
        <v/>
      </c>
      <c r="AI85" s="120" t="str">
        <f>IF(ISTEXT(VLOOKUP(CONCATENATE($A85,"_",AI$3),'Unit List'!$A$14:$H$2841,2,FALSE)),"X",$AG85)</f>
        <v/>
      </c>
      <c r="AJ85" s="122" t="str">
        <f>IF(ISTEXT(VLOOKUP(CONCATENATE($A85,"_",AJ$3),'Unit List'!$A$14:$H$2841,2,FALSE)),"X",$AG85)</f>
        <v/>
      </c>
      <c r="AK85" s="172" t="str">
        <f>IF(ISTEXT(VLOOKUP(CONCATENATE($A85,"_",AK$3),'Unit List'!$A$14:$H$2841,2,FALSE)),"+","")</f>
        <v/>
      </c>
      <c r="AL85" s="121" t="str">
        <f>IF(ISTEXT(VLOOKUP(CONCATENATE($A85,"_",AL$3),'Unit List'!$A$14:$H$2841,2,FALSE)),"X",$AK85)</f>
        <v/>
      </c>
      <c r="AM85" s="122" t="str">
        <f>IF(ISTEXT(VLOOKUP(CONCATENATE($A85,"_",AM$3),'Unit List'!$A$14:$H$2841,2,FALSE)),"X",$AK85)</f>
        <v/>
      </c>
      <c r="AN85" s="125" t="str">
        <f>IF(ISTEXT(VLOOKUP(CONCATENATE($A85,"_",AN$3),'Unit List'!$A$14:$H$2841,2,FALSE)),"+","")</f>
        <v/>
      </c>
      <c r="AO85" s="122" t="str">
        <f>IF(ISTEXT(VLOOKUP(CONCATENATE($A85,"_",AO$3),'Unit List'!$A$14:$H$2841,2,FALSE)),"X",$AN85)</f>
        <v/>
      </c>
      <c r="AP85" s="172" t="str">
        <f>IF(ISTEXT(VLOOKUP(CONCATENATE($A85,"_",AP$3),'Unit List'!$A$14:$H$2841,2,FALSE)),"+","")</f>
        <v/>
      </c>
      <c r="AQ85" s="120" t="str">
        <f>IF(ISTEXT(VLOOKUP(CONCATENATE($A85,"_",AQ$3),'Unit List'!$A$14:$H$2841,2,FALSE)),"X",$AP85)</f>
        <v/>
      </c>
      <c r="AR85" s="120" t="str">
        <f>IF(ISTEXT(VLOOKUP(CONCATENATE($A85,"_",AR$3),'Unit List'!$A$14:$H$2841,2,FALSE)),"X",$AP85)</f>
        <v/>
      </c>
      <c r="AS85" s="120" t="str">
        <f>IF(ISTEXT(VLOOKUP(CONCATENATE($A85,"_",AS$3),'Unit List'!$A$14:$H$2841,2,FALSE)),"X",$AP85)</f>
        <v/>
      </c>
      <c r="AT85" s="122" t="str">
        <f>IF(ISTEXT(VLOOKUP(CONCATENATE($A85,"_",AT$3),'Unit List'!$A$14:$H$2841,2,FALSE)),"X",$AP85)</f>
        <v/>
      </c>
      <c r="AU85" s="124" t="str">
        <f>IF(ISTEXT(VLOOKUP(CONCATENATE($A85,"_",AU$3),'Unit List'!$A$14:$H$2841,2,FALSE)),"+","")</f>
        <v/>
      </c>
      <c r="AV85" s="120" t="str">
        <f>IF(ISTEXT(VLOOKUP(CONCATENATE($A85,"_",AV$3),'Unit List'!$A$14:$H$2841,2,FALSE)),"X",$AU85)</f>
        <v/>
      </c>
      <c r="AW85" s="122" t="str">
        <f>IF(ISTEXT(VLOOKUP(CONCATENATE($A85,"_",AW$3),'Unit List'!$A$14:$H$2841,2,FALSE)),"X",$AU85)</f>
        <v/>
      </c>
      <c r="AX85" s="172" t="str">
        <f>IF(ISTEXT(VLOOKUP(CONCATENATE($A85,"_",AX$3),'Unit List'!$A$14:$H$2841,2,FALSE)),"+","")</f>
        <v/>
      </c>
      <c r="AY85" s="120" t="str">
        <f>IF(ISTEXT(VLOOKUP(CONCATENATE($A85,"_",AY$3),'Unit List'!$A$14:$H$2841,2,FALSE)),"X",$AX85)</f>
        <v/>
      </c>
      <c r="AZ85" s="122" t="str">
        <f>IF(ISTEXT(VLOOKUP(CONCATENATE($A85,"_",AZ$3),'Unit List'!$A$14:$H$2841,2,FALSE)),"X",$AX85)</f>
        <v/>
      </c>
      <c r="BA85" s="182" t="str">
        <f>IF(ISTEXT(VLOOKUP(CONCATENATE($A85,"_",BA$3),'Unit List'!$A$14:$H$2841,2,FALSE)),"+","")</f>
        <v/>
      </c>
      <c r="BB85" s="120" t="str">
        <f>IF(ISTEXT(VLOOKUP(CONCATENATE($A85,"_",BB$3),'Unit List'!$A$14:$H$2841,2,FALSE)),"X",$BA85)</f>
        <v/>
      </c>
      <c r="BC85" s="120" t="str">
        <f>IF(ISTEXT(VLOOKUP(CONCATENATE($A85,"_",BC$3),'Unit List'!$A$14:$H$2841,2,FALSE)),"X",$BA85)</f>
        <v/>
      </c>
      <c r="BD85" s="122" t="str">
        <f>IF(ISTEXT(VLOOKUP(CONCATENATE($A85,"_",BD$3),'Unit List'!$A$14:$H$2841,2,FALSE)),"X",$BA85)</f>
        <v/>
      </c>
      <c r="BE85" s="125" t="str">
        <f>IF(ISTEXT(VLOOKUP(CONCATENATE($A85,"_",BE$3),'Unit List'!$A$14:$H$2841,2,FALSE)),"+","")</f>
        <v/>
      </c>
      <c r="BF85" s="75" t="str">
        <f>IF(ISTEXT(VLOOKUP(CONCATENATE($A85,"_",BF$3),'Unit List'!$A$14:$H$2841,2,FALSE)),"X",$BE85)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List'!$A$14:$H$2841,2,FALSE)),"+","")</f>
        <v/>
      </c>
      <c r="C86" s="119" t="str">
        <f>IF(ISTEXT(VLOOKUP(CONCATENATE($A86,"_",C$3),'Unit List'!$A$14:$H$2841,2,FALSE)),"X",$B86)</f>
        <v/>
      </c>
      <c r="D86" s="120" t="str">
        <f>IF(ISTEXT(VLOOKUP(CONCATENATE($A86,"_",D$3),'Unit List'!$A$14:$H$2841,2,FALSE)),"X",$B86)</f>
        <v/>
      </c>
      <c r="E86" s="120" t="str">
        <f>IF(ISTEXT(VLOOKUP(CONCATENATE($A86,"_",E$3),'Unit List'!$A$14:$H$2841,2,FALSE)),"X",$B86)</f>
        <v/>
      </c>
      <c r="F86" s="120" t="str">
        <f>IF(ISTEXT(VLOOKUP(CONCATENATE($A86,"_",F$3),'Unit List'!$A$14:$H$2841,2,FALSE)),"X",$B86)</f>
        <v/>
      </c>
      <c r="G86" s="120" t="str">
        <f>IF(ISTEXT(VLOOKUP(CONCATENATE($A86,"_",G$3),'Unit List'!$A$14:$H$2841,2,FALSE)),"X",$B86)</f>
        <v/>
      </c>
      <c r="H86" s="120" t="str">
        <f>IF(ISTEXT(VLOOKUP(CONCATENATE($A86,"_",H$3),'Unit List'!$A$14:$H$2841,2,FALSE)),"X",$B86)</f>
        <v/>
      </c>
      <c r="I86" s="122" t="str">
        <f>IF(ISTEXT(VLOOKUP(CONCATENATE($A86,"_",I$3),'Unit List'!$A$14:$H$2841,2,FALSE)),"X",$B86)</f>
        <v/>
      </c>
      <c r="J86" s="172" t="str">
        <f>IF(ISTEXT(VLOOKUP(CONCATENATE($A86,"_",J$3),'Unit List'!$A$14:$H$2841,2,FALSE)),"+","")</f>
        <v/>
      </c>
      <c r="K86" s="120" t="str">
        <f>IF(ISTEXT(VLOOKUP(CONCATENATE($A86,"_",K$3),'Unit List'!$A$14:$H$2841,2,FALSE)),"X",$J86)</f>
        <v/>
      </c>
      <c r="L86" s="75" t="str">
        <f>IF(ISTEXT(VLOOKUP(CONCATENATE($A86,"_",L$3),'Unit List'!$A$14:$H$2841,2,FALSE)),"X",$J86)</f>
        <v/>
      </c>
      <c r="M86" s="172" t="str">
        <f>IF(ISTEXT(VLOOKUP(CONCATENATE($A86,"_",M$3),'Unit List'!$A$14:$H$2841,2,FALSE)),"+","")</f>
        <v/>
      </c>
      <c r="N86" s="120" t="str">
        <f>IF(ISTEXT(VLOOKUP(CONCATENATE($A86,"_",N$3),'Unit List'!$A$14:$H$2841,2,FALSE)),"X",$M86)</f>
        <v/>
      </c>
      <c r="O86" s="122" t="str">
        <f>IF(ISTEXT(VLOOKUP(CONCATENATE($A86,"_",O$3),'Unit List'!$A$14:$H$2841,2,FALSE)),"X",$M86)</f>
        <v/>
      </c>
      <c r="P86" s="172" t="str">
        <f>IF(ISTEXT(VLOOKUP(CONCATENATE($A86,"_",P$3),'Unit List'!$A$14:$H$2841,2,FALSE)),"+","")</f>
        <v/>
      </c>
      <c r="Q86" s="120" t="str">
        <f>IF(ISTEXT(VLOOKUP(CONCATENATE($A86,"_",Q$3),'Unit List'!$A$14:$H$2841,2,FALSE)),"X",$P86)</f>
        <v/>
      </c>
      <c r="R86" s="120" t="str">
        <f>IF(ISTEXT(VLOOKUP(CONCATENATE($A86,"_",R$3),'Unit List'!$A$14:$H$2841,2,FALSE)),"X",$P86)</f>
        <v/>
      </c>
      <c r="S86" s="120" t="str">
        <f>IF(ISTEXT(VLOOKUP(CONCATENATE($A86,"_",S$3),'Unit List'!$A$14:$H$2841,2,FALSE)),"X",$P86)</f>
        <v/>
      </c>
      <c r="T86" s="121" t="str">
        <f>IF(ISTEXT(VLOOKUP(CONCATENATE($A86,"_",T$3),'Unit List'!$A$14:$H$2841,2,FALSE)),"X",$P86)</f>
        <v/>
      </c>
      <c r="U86" s="120" t="str">
        <f>IF(ISTEXT(VLOOKUP(CONCATENATE($A86,"_",U$3),'Unit List'!$A$14:$H$2841,2,FALSE)),"X",$P86)</f>
        <v/>
      </c>
      <c r="V86" s="120" t="str">
        <f>IF(ISTEXT(VLOOKUP(CONCATENATE($A86,"_",V$3),'Unit List'!$A$14:$H$2841,2,FALSE)),"X",$P86)</f>
        <v/>
      </c>
      <c r="W86" s="122" t="str">
        <f>IF(ISTEXT(VLOOKUP(CONCATENATE($A86,"_",W$3),'Unit List'!$A$14:$H$2841,2,FALSE)),"X",$P86)</f>
        <v/>
      </c>
      <c r="X86" s="172" t="str">
        <f>IF(ISTEXT(VLOOKUP(CONCATENATE($A86,"_",X$3),'Unit List'!$A$14:$H$2841,2,FALSE)),"+","")</f>
        <v/>
      </c>
      <c r="Y86" s="120" t="str">
        <f>IF(ISTEXT(VLOOKUP(CONCATENATE($A86,"_",Y$3),'Unit List'!$A$14:$H$2841,2,FALSE)),"X",$X86)</f>
        <v/>
      </c>
      <c r="Z86" s="120" t="str">
        <f>IF(ISTEXT(VLOOKUP(CONCATENATE($A86,"_",Z$3),'Unit List'!$A$14:$H$2841,2,FALSE)),"X",$X86)</f>
        <v/>
      </c>
      <c r="AA86" s="120" t="str">
        <f>IF(ISTEXT(VLOOKUP(CONCATENATE($A86,"_",AA$3),'Unit List'!$A$14:$H$2841,2,FALSE)),"X",$X86)</f>
        <v/>
      </c>
      <c r="AB86" s="120" t="str">
        <f>IF(ISTEXT(VLOOKUP(CONCATENATE($A86,"_",AB$3),'Unit List'!$A$14:$H$2841,2,FALSE)),"X",$X86)</f>
        <v/>
      </c>
      <c r="AC86" s="75" t="str">
        <f>IF(ISTEXT(VLOOKUP(CONCATENATE($A86,"_",AC$3),'Unit List'!$A$14:$H$2841,2,FALSE)),"X",$X86)</f>
        <v/>
      </c>
      <c r="AD86" s="172" t="str">
        <f>IF(ISTEXT(VLOOKUP(CONCATENATE($A86,"_",AD$3),'Unit List'!$A$14:$H$2841,2,FALSE)),"+","")</f>
        <v/>
      </c>
      <c r="AE86" s="120" t="str">
        <f>IF(ISTEXT(VLOOKUP(CONCATENATE($A86,"_",AE$3),'Unit List'!$A$14:$H$2841,2,FALSE)),"X",$AD86)</f>
        <v/>
      </c>
      <c r="AF86" s="120" t="str">
        <f>IF(ISTEXT(VLOOKUP(CONCATENATE($A86,"_",AF$3),'Unit List'!$A$14:$H$2841,2,FALSE)),"X",$AD86)</f>
        <v/>
      </c>
      <c r="AG86" s="172" t="str">
        <f>IF(ISTEXT(VLOOKUP(CONCATENATE($A86,"_",AG$3),'Unit List'!$A$14:$H$2841,2,FALSE)),"+","")</f>
        <v/>
      </c>
      <c r="AH86" s="120" t="str">
        <f>IF(ISTEXT(VLOOKUP(CONCATENATE($A86,"_",AH$3),'Unit List'!$A$14:$H$2841,2,FALSE)),"X",$AG86)</f>
        <v/>
      </c>
      <c r="AI86" s="120" t="str">
        <f>IF(ISTEXT(VLOOKUP(CONCATENATE($A86,"_",AI$3),'Unit List'!$A$14:$H$2841,2,FALSE)),"X",$AG86)</f>
        <v/>
      </c>
      <c r="AJ86" s="122" t="str">
        <f>IF(ISTEXT(VLOOKUP(CONCATENATE($A86,"_",AJ$3),'Unit List'!$A$14:$H$2841,2,FALSE)),"X",$AG86)</f>
        <v/>
      </c>
      <c r="AK86" s="172" t="str">
        <f>IF(ISTEXT(VLOOKUP(CONCATENATE($A86,"_",AK$3),'Unit List'!$A$14:$H$2841,2,FALSE)),"+","")</f>
        <v/>
      </c>
      <c r="AL86" s="121" t="str">
        <f>IF(ISTEXT(VLOOKUP(CONCATENATE($A86,"_",AL$3),'Unit List'!$A$14:$H$2841,2,FALSE)),"X",$AK86)</f>
        <v/>
      </c>
      <c r="AM86" s="122" t="str">
        <f>IF(ISTEXT(VLOOKUP(CONCATENATE($A86,"_",AM$3),'Unit List'!$A$14:$H$2841,2,FALSE)),"X",$AK86)</f>
        <v/>
      </c>
      <c r="AN86" s="125" t="str">
        <f>IF(ISTEXT(VLOOKUP(CONCATENATE($A86,"_",AN$3),'Unit List'!$A$14:$H$2841,2,FALSE)),"+","")</f>
        <v/>
      </c>
      <c r="AO86" s="122" t="str">
        <f>IF(ISTEXT(VLOOKUP(CONCATENATE($A86,"_",AO$3),'Unit List'!$A$14:$H$2841,2,FALSE)),"X",$AN86)</f>
        <v/>
      </c>
      <c r="AP86" s="172" t="str">
        <f>IF(ISTEXT(VLOOKUP(CONCATENATE($A86,"_",AP$3),'Unit List'!$A$14:$H$2841,2,FALSE)),"+","")</f>
        <v/>
      </c>
      <c r="AQ86" s="120" t="str">
        <f>IF(ISTEXT(VLOOKUP(CONCATENATE($A86,"_",AQ$3),'Unit List'!$A$14:$H$2841,2,FALSE)),"X",$AP86)</f>
        <v/>
      </c>
      <c r="AR86" s="120" t="str">
        <f>IF(ISTEXT(VLOOKUP(CONCATENATE($A86,"_",AR$3),'Unit List'!$A$14:$H$2841,2,FALSE)),"X",$AP86)</f>
        <v/>
      </c>
      <c r="AS86" s="120" t="str">
        <f>IF(ISTEXT(VLOOKUP(CONCATENATE($A86,"_",AS$3),'Unit List'!$A$14:$H$2841,2,FALSE)),"X",$AP86)</f>
        <v/>
      </c>
      <c r="AT86" s="122" t="str">
        <f>IF(ISTEXT(VLOOKUP(CONCATENATE($A86,"_",AT$3),'Unit List'!$A$14:$H$2841,2,FALSE)),"X",$AP86)</f>
        <v/>
      </c>
      <c r="AU86" s="124" t="str">
        <f>IF(ISTEXT(VLOOKUP(CONCATENATE($A86,"_",AU$3),'Unit List'!$A$14:$H$2841,2,FALSE)),"+","")</f>
        <v/>
      </c>
      <c r="AV86" s="120" t="str">
        <f>IF(ISTEXT(VLOOKUP(CONCATENATE($A86,"_",AV$3),'Unit List'!$A$14:$H$2841,2,FALSE)),"X",$AU86)</f>
        <v/>
      </c>
      <c r="AW86" s="122" t="str">
        <f>IF(ISTEXT(VLOOKUP(CONCATENATE($A86,"_",AW$3),'Unit List'!$A$14:$H$2841,2,FALSE)),"X",$AU86)</f>
        <v/>
      </c>
      <c r="AX86" s="172" t="str">
        <f>IF(ISTEXT(VLOOKUP(CONCATENATE($A86,"_",AX$3),'Unit List'!$A$14:$H$2841,2,FALSE)),"+","")</f>
        <v/>
      </c>
      <c r="AY86" s="120" t="str">
        <f>IF(ISTEXT(VLOOKUP(CONCATENATE($A86,"_",AY$3),'Unit List'!$A$14:$H$2841,2,FALSE)),"X",$AX86)</f>
        <v/>
      </c>
      <c r="AZ86" s="122" t="str">
        <f>IF(ISTEXT(VLOOKUP(CONCATENATE($A86,"_",AZ$3),'Unit List'!$A$14:$H$2841,2,FALSE)),"X",$AX86)</f>
        <v/>
      </c>
      <c r="BA86" s="182" t="str">
        <f>IF(ISTEXT(VLOOKUP(CONCATENATE($A86,"_",BA$3),'Unit List'!$A$14:$H$2841,2,FALSE)),"+","")</f>
        <v/>
      </c>
      <c r="BB86" s="120" t="str">
        <f>IF(ISTEXT(VLOOKUP(CONCATENATE($A86,"_",BB$3),'Unit List'!$A$14:$H$2841,2,FALSE)),"X",$BA86)</f>
        <v/>
      </c>
      <c r="BC86" s="120" t="str">
        <f>IF(ISTEXT(VLOOKUP(CONCATENATE($A86,"_",BC$3),'Unit List'!$A$14:$H$2841,2,FALSE)),"X",$BA86)</f>
        <v/>
      </c>
      <c r="BD86" s="122" t="str">
        <f>IF(ISTEXT(VLOOKUP(CONCATENATE($A86,"_",BD$3),'Unit List'!$A$14:$H$2841,2,FALSE)),"X",$BA86)</f>
        <v/>
      </c>
      <c r="BE86" s="125" t="str">
        <f>IF(ISTEXT(VLOOKUP(CONCATENATE($A86,"_",BE$3),'Unit List'!$A$14:$H$2841,2,FALSE)),"+","")</f>
        <v/>
      </c>
      <c r="BF86" s="75" t="str">
        <f>IF(ISTEXT(VLOOKUP(CONCATENATE($A86,"_",BF$3),'Unit List'!$A$14:$H$2841,2,FALSE)),"X",$BE86)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List'!$A$14:$H$2841,2,FALSE)),"+","")</f>
        <v/>
      </c>
      <c r="C87" s="119" t="str">
        <f>IF(ISTEXT(VLOOKUP(CONCATENATE($A87,"_",C$3),'Unit List'!$A$14:$H$2841,2,FALSE)),"X",$B87)</f>
        <v/>
      </c>
      <c r="D87" s="120" t="str">
        <f>IF(ISTEXT(VLOOKUP(CONCATENATE($A87,"_",D$3),'Unit List'!$A$14:$H$2841,2,FALSE)),"X",$B87)</f>
        <v/>
      </c>
      <c r="E87" s="120" t="str">
        <f>IF(ISTEXT(VLOOKUP(CONCATENATE($A87,"_",E$3),'Unit List'!$A$14:$H$2841,2,FALSE)),"X",$B87)</f>
        <v/>
      </c>
      <c r="F87" s="120" t="str">
        <f>IF(ISTEXT(VLOOKUP(CONCATENATE($A87,"_",F$3),'Unit List'!$A$14:$H$2841,2,FALSE)),"X",$B87)</f>
        <v/>
      </c>
      <c r="G87" s="120" t="str">
        <f>IF(ISTEXT(VLOOKUP(CONCATENATE($A87,"_",G$3),'Unit List'!$A$14:$H$2841,2,FALSE)),"X",$B87)</f>
        <v/>
      </c>
      <c r="H87" s="120" t="str">
        <f>IF(ISTEXT(VLOOKUP(CONCATENATE($A87,"_",H$3),'Unit List'!$A$14:$H$2841,2,FALSE)),"X",$B87)</f>
        <v/>
      </c>
      <c r="I87" s="122" t="str">
        <f>IF(ISTEXT(VLOOKUP(CONCATENATE($A87,"_",I$3),'Unit List'!$A$14:$H$2841,2,FALSE)),"X",$B87)</f>
        <v/>
      </c>
      <c r="J87" s="172" t="str">
        <f>IF(ISTEXT(VLOOKUP(CONCATENATE($A87,"_",J$3),'Unit List'!$A$14:$H$2841,2,FALSE)),"+","")</f>
        <v/>
      </c>
      <c r="K87" s="120" t="str">
        <f>IF(ISTEXT(VLOOKUP(CONCATENATE($A87,"_",K$3),'Unit List'!$A$14:$H$2841,2,FALSE)),"X",$J87)</f>
        <v/>
      </c>
      <c r="L87" s="75" t="str">
        <f>IF(ISTEXT(VLOOKUP(CONCATENATE($A87,"_",L$3),'Unit List'!$A$14:$H$2841,2,FALSE)),"X",$J87)</f>
        <v/>
      </c>
      <c r="M87" s="172" t="str">
        <f>IF(ISTEXT(VLOOKUP(CONCATENATE($A87,"_",M$3),'Unit List'!$A$14:$H$2841,2,FALSE)),"+","")</f>
        <v/>
      </c>
      <c r="N87" s="120" t="str">
        <f>IF(ISTEXT(VLOOKUP(CONCATENATE($A87,"_",N$3),'Unit List'!$A$14:$H$2841,2,FALSE)),"X",$M87)</f>
        <v/>
      </c>
      <c r="O87" s="122" t="str">
        <f>IF(ISTEXT(VLOOKUP(CONCATENATE($A87,"_",O$3),'Unit List'!$A$14:$H$2841,2,FALSE)),"X",$M87)</f>
        <v/>
      </c>
      <c r="P87" s="172" t="str">
        <f>IF(ISTEXT(VLOOKUP(CONCATENATE($A87,"_",P$3),'Unit List'!$A$14:$H$2841,2,FALSE)),"+","")</f>
        <v/>
      </c>
      <c r="Q87" s="120" t="str">
        <f>IF(ISTEXT(VLOOKUP(CONCATENATE($A87,"_",Q$3),'Unit List'!$A$14:$H$2841,2,FALSE)),"X",$P87)</f>
        <v/>
      </c>
      <c r="R87" s="120" t="str">
        <f>IF(ISTEXT(VLOOKUP(CONCATENATE($A87,"_",R$3),'Unit List'!$A$14:$H$2841,2,FALSE)),"X",$P87)</f>
        <v/>
      </c>
      <c r="S87" s="120" t="str">
        <f>IF(ISTEXT(VLOOKUP(CONCATENATE($A87,"_",S$3),'Unit List'!$A$14:$H$2841,2,FALSE)),"X",$P87)</f>
        <v/>
      </c>
      <c r="T87" s="121" t="str">
        <f>IF(ISTEXT(VLOOKUP(CONCATENATE($A87,"_",T$3),'Unit List'!$A$14:$H$2841,2,FALSE)),"X",$P87)</f>
        <v/>
      </c>
      <c r="U87" s="120" t="str">
        <f>IF(ISTEXT(VLOOKUP(CONCATENATE($A87,"_",U$3),'Unit List'!$A$14:$H$2841,2,FALSE)),"X",$P87)</f>
        <v>X</v>
      </c>
      <c r="V87" s="120" t="str">
        <f>IF(ISTEXT(VLOOKUP(CONCATENATE($A87,"_",V$3),'Unit List'!$A$14:$H$2841,2,FALSE)),"X",$P87)</f>
        <v/>
      </c>
      <c r="W87" s="122" t="str">
        <f>IF(ISTEXT(VLOOKUP(CONCATENATE($A87,"_",W$3),'Unit List'!$A$14:$H$2841,2,FALSE)),"X",$P87)</f>
        <v/>
      </c>
      <c r="X87" s="172" t="str">
        <f>IF(ISTEXT(VLOOKUP(CONCATENATE($A87,"_",X$3),'Unit List'!$A$14:$H$2841,2,FALSE)),"+","")</f>
        <v/>
      </c>
      <c r="Y87" s="120" t="str">
        <f>IF(ISTEXT(VLOOKUP(CONCATENATE($A87,"_",Y$3),'Unit List'!$A$14:$H$2841,2,FALSE)),"X",$X87)</f>
        <v/>
      </c>
      <c r="Z87" s="120" t="str">
        <f>IF(ISTEXT(VLOOKUP(CONCATENATE($A87,"_",Z$3),'Unit List'!$A$14:$H$2841,2,FALSE)),"X",$X87)</f>
        <v/>
      </c>
      <c r="AA87" s="120" t="str">
        <f>IF(ISTEXT(VLOOKUP(CONCATENATE($A87,"_",AA$3),'Unit List'!$A$14:$H$2841,2,FALSE)),"X",$X87)</f>
        <v/>
      </c>
      <c r="AB87" s="120" t="str">
        <f>IF(ISTEXT(VLOOKUP(CONCATENATE($A87,"_",AB$3),'Unit List'!$A$14:$H$2841,2,FALSE)),"X",$X87)</f>
        <v/>
      </c>
      <c r="AC87" s="75" t="str">
        <f>IF(ISTEXT(VLOOKUP(CONCATENATE($A87,"_",AC$3),'Unit List'!$A$14:$H$2841,2,FALSE)),"X",$X87)</f>
        <v/>
      </c>
      <c r="AD87" s="172" t="str">
        <f>IF(ISTEXT(VLOOKUP(CONCATENATE($A87,"_",AD$3),'Unit List'!$A$14:$H$2841,2,FALSE)),"+","")</f>
        <v/>
      </c>
      <c r="AE87" s="120" t="str">
        <f>IF(ISTEXT(VLOOKUP(CONCATENATE($A87,"_",AE$3),'Unit List'!$A$14:$H$2841,2,FALSE)),"X",$AD87)</f>
        <v/>
      </c>
      <c r="AF87" s="120" t="str">
        <f>IF(ISTEXT(VLOOKUP(CONCATENATE($A87,"_",AF$3),'Unit List'!$A$14:$H$2841,2,FALSE)),"X",$AD87)</f>
        <v/>
      </c>
      <c r="AG87" s="172" t="str">
        <f>IF(ISTEXT(VLOOKUP(CONCATENATE($A87,"_",AG$3),'Unit List'!$A$14:$H$2841,2,FALSE)),"+","")</f>
        <v/>
      </c>
      <c r="AH87" s="120" t="str">
        <f>IF(ISTEXT(VLOOKUP(CONCATENATE($A87,"_",AH$3),'Unit List'!$A$14:$H$2841,2,FALSE)),"X",$AG87)</f>
        <v/>
      </c>
      <c r="AI87" s="120" t="str">
        <f>IF(ISTEXT(VLOOKUP(CONCATENATE($A87,"_",AI$3),'Unit List'!$A$14:$H$2841,2,FALSE)),"X",$AG87)</f>
        <v/>
      </c>
      <c r="AJ87" s="122" t="str">
        <f>IF(ISTEXT(VLOOKUP(CONCATENATE($A87,"_",AJ$3),'Unit List'!$A$14:$H$2841,2,FALSE)),"X",$AG87)</f>
        <v/>
      </c>
      <c r="AK87" s="172" t="str">
        <f>IF(ISTEXT(VLOOKUP(CONCATENATE($A87,"_",AK$3),'Unit List'!$A$14:$H$2841,2,FALSE)),"+","")</f>
        <v/>
      </c>
      <c r="AL87" s="121" t="str">
        <f>IF(ISTEXT(VLOOKUP(CONCATENATE($A87,"_",AL$3),'Unit List'!$A$14:$H$2841,2,FALSE)),"X",$AK87)</f>
        <v/>
      </c>
      <c r="AM87" s="122" t="str">
        <f>IF(ISTEXT(VLOOKUP(CONCATENATE($A87,"_",AM$3),'Unit List'!$A$14:$H$2841,2,FALSE)),"X",$AK87)</f>
        <v/>
      </c>
      <c r="AN87" s="125" t="str">
        <f>IF(ISTEXT(VLOOKUP(CONCATENATE($A87,"_",AN$3),'Unit List'!$A$14:$H$2841,2,FALSE)),"+","")</f>
        <v/>
      </c>
      <c r="AO87" s="122" t="str">
        <f>IF(ISTEXT(VLOOKUP(CONCATENATE($A87,"_",AO$3),'Unit List'!$A$14:$H$2841,2,FALSE)),"X",$AN87)</f>
        <v/>
      </c>
      <c r="AP87" s="172" t="str">
        <f>IF(ISTEXT(VLOOKUP(CONCATENATE($A87,"_",AP$3),'Unit List'!$A$14:$H$2841,2,FALSE)),"+","")</f>
        <v/>
      </c>
      <c r="AQ87" s="120" t="str">
        <f>IF(ISTEXT(VLOOKUP(CONCATENATE($A87,"_",AQ$3),'Unit List'!$A$14:$H$2841,2,FALSE)),"X",$AP87)</f>
        <v/>
      </c>
      <c r="AR87" s="120" t="str">
        <f>IF(ISTEXT(VLOOKUP(CONCATENATE($A87,"_",AR$3),'Unit List'!$A$14:$H$2841,2,FALSE)),"X",$AP87)</f>
        <v/>
      </c>
      <c r="AS87" s="120" t="str">
        <f>IF(ISTEXT(VLOOKUP(CONCATENATE($A87,"_",AS$3),'Unit List'!$A$14:$H$2841,2,FALSE)),"X",$AP87)</f>
        <v/>
      </c>
      <c r="AT87" s="146" t="s">
        <v>0</v>
      </c>
      <c r="AU87" s="124" t="str">
        <f>IF(ISTEXT(VLOOKUP(CONCATENATE($A87,"_",AU$3),'Unit List'!$A$14:$H$2841,2,FALSE)),"+","")</f>
        <v/>
      </c>
      <c r="AV87" s="120" t="str">
        <f>IF(ISTEXT(VLOOKUP(CONCATENATE($A87,"_",AV$3),'Unit List'!$A$14:$H$2841,2,FALSE)),"X",$AU87)</f>
        <v/>
      </c>
      <c r="AW87" s="122" t="str">
        <f>IF(ISTEXT(VLOOKUP(CONCATENATE($A87,"_",AW$3),'Unit List'!$A$14:$H$2841,2,FALSE)),"X",$AU87)</f>
        <v/>
      </c>
      <c r="AX87" s="172" t="str">
        <f>IF(ISTEXT(VLOOKUP(CONCATENATE($A87,"_",AX$3),'Unit List'!$A$14:$H$2841,2,FALSE)),"+","")</f>
        <v/>
      </c>
      <c r="AY87" s="120" t="str">
        <f>IF(ISTEXT(VLOOKUP(CONCATENATE($A87,"_",AY$3),'Unit List'!$A$14:$H$2841,2,FALSE)),"X",$AX87)</f>
        <v/>
      </c>
      <c r="AZ87" s="122" t="str">
        <f>IF(ISTEXT(VLOOKUP(CONCATENATE($A87,"_",AZ$3),'Unit List'!$A$14:$H$2841,2,FALSE)),"X",$AX87)</f>
        <v/>
      </c>
      <c r="BA87" s="182" t="str">
        <f>IF(ISTEXT(VLOOKUP(CONCATENATE($A87,"_",BA$3),'Unit List'!$A$14:$H$2841,2,FALSE)),"+","")</f>
        <v/>
      </c>
      <c r="BB87" s="120" t="str">
        <f>IF(ISTEXT(VLOOKUP(CONCATENATE($A87,"_",BB$3),'Unit List'!$A$14:$H$2841,2,FALSE)),"X",$BA87)</f>
        <v/>
      </c>
      <c r="BC87" s="120" t="str">
        <f>IF(ISTEXT(VLOOKUP(CONCATENATE($A87,"_",BC$3),'Unit List'!$A$14:$H$2841,2,FALSE)),"X",$BA87)</f>
        <v/>
      </c>
      <c r="BD87" s="122" t="str">
        <f>IF(ISTEXT(VLOOKUP(CONCATENATE($A87,"_",BD$3),'Unit List'!$A$14:$H$2841,2,FALSE)),"X",$BA87)</f>
        <v/>
      </c>
      <c r="BE87" s="125" t="str">
        <f>IF(ISTEXT(VLOOKUP(CONCATENATE($A87,"_",BE$3),'Unit List'!$A$14:$H$2841,2,FALSE)),"+","")</f>
        <v/>
      </c>
      <c r="BF87" s="75" t="str">
        <f>IF(ISTEXT(VLOOKUP(CONCATENATE($A87,"_",BF$3),'Unit List'!$A$14:$H$2841,2,FALSE)),"X",$BE87)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List'!$A$14:$H$2841,2,FALSE)),"+","")</f>
        <v/>
      </c>
      <c r="C88" s="119" t="str">
        <f>IF(ISTEXT(VLOOKUP(CONCATENATE($A88,"_",C$3),'Unit List'!$A$14:$H$2841,2,FALSE)),"X",$B88)</f>
        <v/>
      </c>
      <c r="D88" s="120" t="str">
        <f>IF(ISTEXT(VLOOKUP(CONCATENATE($A88,"_",D$3),'Unit List'!$A$14:$H$2841,2,FALSE)),"X",$B88)</f>
        <v/>
      </c>
      <c r="E88" s="120" t="str">
        <f>IF(ISTEXT(VLOOKUP(CONCATENATE($A88,"_",E$3),'Unit List'!$A$14:$H$2841,2,FALSE)),"X",$B88)</f>
        <v/>
      </c>
      <c r="F88" s="120" t="str">
        <f>IF(ISTEXT(VLOOKUP(CONCATENATE($A88,"_",F$3),'Unit List'!$A$14:$H$2841,2,FALSE)),"X",$B88)</f>
        <v/>
      </c>
      <c r="G88" s="120" t="str">
        <f>IF(ISTEXT(VLOOKUP(CONCATENATE($A88,"_",G$3),'Unit List'!$A$14:$H$2841,2,FALSE)),"X",$B88)</f>
        <v/>
      </c>
      <c r="H88" s="120" t="str">
        <f>IF(ISTEXT(VLOOKUP(CONCATENATE($A88,"_",H$3),'Unit List'!$A$14:$H$2841,2,FALSE)),"X",$B88)</f>
        <v/>
      </c>
      <c r="I88" s="122" t="str">
        <f>IF(ISTEXT(VLOOKUP(CONCATENATE($A88,"_",I$3),'Unit List'!$A$14:$H$2841,2,FALSE)),"X",$B88)</f>
        <v/>
      </c>
      <c r="J88" s="172" t="str">
        <f>IF(ISTEXT(VLOOKUP(CONCATENATE($A88,"_",J$3),'Unit List'!$A$14:$H$2841,2,FALSE)),"+","")</f>
        <v/>
      </c>
      <c r="K88" s="120" t="str">
        <f>IF(ISTEXT(VLOOKUP(CONCATENATE($A88,"_",K$3),'Unit List'!$A$14:$H$2841,2,FALSE)),"X",$J88)</f>
        <v/>
      </c>
      <c r="L88" s="75" t="str">
        <f>IF(ISTEXT(VLOOKUP(CONCATENATE($A88,"_",L$3),'Unit List'!$A$14:$H$2841,2,FALSE)),"X",$J88)</f>
        <v/>
      </c>
      <c r="M88" s="172" t="str">
        <f>IF(ISTEXT(VLOOKUP(CONCATENATE($A88,"_",M$3),'Unit List'!$A$14:$H$2841,2,FALSE)),"+","")</f>
        <v/>
      </c>
      <c r="N88" s="120" t="str">
        <f>IF(ISTEXT(VLOOKUP(CONCATENATE($A88,"_",N$3),'Unit List'!$A$14:$H$2841,2,FALSE)),"X",$M88)</f>
        <v/>
      </c>
      <c r="O88" s="122" t="str">
        <f>IF(ISTEXT(VLOOKUP(CONCATENATE($A88,"_",O$3),'Unit List'!$A$14:$H$2841,2,FALSE)),"X",$M88)</f>
        <v/>
      </c>
      <c r="P88" s="172" t="str">
        <f>IF(ISTEXT(VLOOKUP(CONCATENATE($A88,"_",P$3),'Unit List'!$A$14:$H$2841,2,FALSE)),"+","")</f>
        <v/>
      </c>
      <c r="Q88" s="120" t="str">
        <f>IF(ISTEXT(VLOOKUP(CONCATENATE($A88,"_",Q$3),'Unit List'!$A$14:$H$2841,2,FALSE)),"X",$P88)</f>
        <v/>
      </c>
      <c r="R88" s="120" t="str">
        <f>IF(ISTEXT(VLOOKUP(CONCATENATE($A88,"_",R$3),'Unit List'!$A$14:$H$2841,2,FALSE)),"X",$P88)</f>
        <v/>
      </c>
      <c r="S88" s="120" t="str">
        <f>IF(ISTEXT(VLOOKUP(CONCATENATE($A88,"_",S$3),'Unit List'!$A$14:$H$2841,2,FALSE)),"X",$P88)</f>
        <v/>
      </c>
      <c r="T88" s="121" t="str">
        <f>IF(ISTEXT(VLOOKUP(CONCATENATE($A88,"_",T$3),'Unit List'!$A$14:$H$2841,2,FALSE)),"X",$P88)</f>
        <v/>
      </c>
      <c r="U88" s="120" t="str">
        <f>IF(ISTEXT(VLOOKUP(CONCATENATE($A88,"_",U$3),'Unit List'!$A$14:$H$2841,2,FALSE)),"X",$P88)</f>
        <v/>
      </c>
      <c r="V88" s="120" t="str">
        <f>IF(ISTEXT(VLOOKUP(CONCATENATE($A88,"_",V$3),'Unit List'!$A$14:$H$2841,2,FALSE)),"X",$P88)</f>
        <v/>
      </c>
      <c r="W88" s="122" t="str">
        <f>IF(ISTEXT(VLOOKUP(CONCATENATE($A88,"_",W$3),'Unit List'!$A$14:$H$2841,2,FALSE)),"X",$P88)</f>
        <v/>
      </c>
      <c r="X88" s="172" t="str">
        <f>IF(ISTEXT(VLOOKUP(CONCATENATE($A88,"_",X$3),'Unit List'!$A$14:$H$2841,2,FALSE)),"+","")</f>
        <v/>
      </c>
      <c r="Y88" s="120" t="str">
        <f>IF(ISTEXT(VLOOKUP(CONCATENATE($A88,"_",Y$3),'Unit List'!$A$14:$H$2841,2,FALSE)),"X",$X88)</f>
        <v/>
      </c>
      <c r="Z88" s="120" t="str">
        <f>IF(ISTEXT(VLOOKUP(CONCATENATE($A88,"_",Z$3),'Unit List'!$A$14:$H$2841,2,FALSE)),"X",$X88)</f>
        <v/>
      </c>
      <c r="AA88" s="120" t="str">
        <f>IF(ISTEXT(VLOOKUP(CONCATENATE($A88,"_",AA$3),'Unit List'!$A$14:$H$2841,2,FALSE)),"X",$X88)</f>
        <v/>
      </c>
      <c r="AB88" s="120" t="str">
        <f>IF(ISTEXT(VLOOKUP(CONCATENATE($A88,"_",AB$3),'Unit List'!$A$14:$H$2841,2,FALSE)),"X",$X88)</f>
        <v/>
      </c>
      <c r="AC88" s="75" t="str">
        <f>IF(ISTEXT(VLOOKUP(CONCATENATE($A88,"_",AC$3),'Unit List'!$A$14:$H$2841,2,FALSE)),"X",$X88)</f>
        <v/>
      </c>
      <c r="AD88" s="172" t="str">
        <f>IF(ISTEXT(VLOOKUP(CONCATENATE($A88,"_",AD$3),'Unit List'!$A$14:$H$2841,2,FALSE)),"+","")</f>
        <v/>
      </c>
      <c r="AE88" s="120" t="str">
        <f>IF(ISTEXT(VLOOKUP(CONCATENATE($A88,"_",AE$3),'Unit List'!$A$14:$H$2841,2,FALSE)),"X",$AD88)</f>
        <v/>
      </c>
      <c r="AF88" s="120" t="str">
        <f>IF(ISTEXT(VLOOKUP(CONCATENATE($A88,"_",AF$3),'Unit List'!$A$14:$H$2841,2,FALSE)),"X",$AD88)</f>
        <v/>
      </c>
      <c r="AG88" s="172" t="str">
        <f>IF(ISTEXT(VLOOKUP(CONCATENATE($A88,"_",AG$3),'Unit List'!$A$14:$H$2841,2,FALSE)),"+","")</f>
        <v/>
      </c>
      <c r="AH88" s="120" t="str">
        <f>IF(ISTEXT(VLOOKUP(CONCATENATE($A88,"_",AH$3),'Unit List'!$A$14:$H$2841,2,FALSE)),"X",$AG88)</f>
        <v/>
      </c>
      <c r="AI88" s="120" t="str">
        <f>IF(ISTEXT(VLOOKUP(CONCATENATE($A88,"_",AI$3),'Unit List'!$A$14:$H$2841,2,FALSE)),"X",$AG88)</f>
        <v/>
      </c>
      <c r="AJ88" s="122" t="str">
        <f>IF(ISTEXT(VLOOKUP(CONCATENATE($A88,"_",AJ$3),'Unit List'!$A$14:$H$2841,2,FALSE)),"X",$AG88)</f>
        <v/>
      </c>
      <c r="AK88" s="172" t="str">
        <f>IF(ISTEXT(VLOOKUP(CONCATENATE($A88,"_",AK$3),'Unit List'!$A$14:$H$2841,2,FALSE)),"+","")</f>
        <v/>
      </c>
      <c r="AL88" s="121" t="str">
        <f>IF(ISTEXT(VLOOKUP(CONCATENATE($A88,"_",AL$3),'Unit List'!$A$14:$H$2841,2,FALSE)),"X",$AK88)</f>
        <v/>
      </c>
      <c r="AM88" s="122" t="str">
        <f>IF(ISTEXT(VLOOKUP(CONCATENATE($A88,"_",AM$3),'Unit List'!$A$14:$H$2841,2,FALSE)),"X",$AK88)</f>
        <v/>
      </c>
      <c r="AN88" s="125" t="str">
        <f>IF(ISTEXT(VLOOKUP(CONCATENATE($A88,"_",AN$3),'Unit List'!$A$14:$H$2841,2,FALSE)),"+","")</f>
        <v/>
      </c>
      <c r="AO88" s="122" t="str">
        <f>IF(ISTEXT(VLOOKUP(CONCATENATE($A88,"_",AO$3),'Unit List'!$A$14:$H$2841,2,FALSE)),"X",$AN88)</f>
        <v/>
      </c>
      <c r="AP88" s="172" t="str">
        <f>IF(ISTEXT(VLOOKUP(CONCATENATE($A88,"_",AP$3),'Unit List'!$A$14:$H$2841,2,FALSE)),"+","")</f>
        <v/>
      </c>
      <c r="AQ88" s="120" t="str">
        <f>IF(ISTEXT(VLOOKUP(CONCATENATE($A88,"_",AQ$3),'Unit List'!$A$14:$H$2841,2,FALSE)),"X",$AP88)</f>
        <v/>
      </c>
      <c r="AR88" s="120" t="str">
        <f>IF(ISTEXT(VLOOKUP(CONCATENATE($A88,"_",AR$3),'Unit List'!$A$14:$H$2841,2,FALSE)),"X",$AP88)</f>
        <v/>
      </c>
      <c r="AS88" s="120" t="str">
        <f>IF(ISTEXT(VLOOKUP(CONCATENATE($A88,"_",AS$3),'Unit List'!$A$14:$H$2841,2,FALSE)),"X",$AP88)</f>
        <v/>
      </c>
      <c r="AT88" s="122" t="str">
        <f>IF(ISTEXT(VLOOKUP(CONCATENATE($A88,"_",AT$3),'Unit List'!$A$14:$H$2841,2,FALSE)),"X",$AP88)</f>
        <v/>
      </c>
      <c r="AU88" s="124" t="str">
        <f>IF(ISTEXT(VLOOKUP(CONCATENATE($A88,"_",AU$3),'Unit List'!$A$14:$H$2841,2,FALSE)),"+","")</f>
        <v/>
      </c>
      <c r="AV88" s="120" t="str">
        <f>IF(ISTEXT(VLOOKUP(CONCATENATE($A88,"_",AV$3),'Unit List'!$A$14:$H$2841,2,FALSE)),"X",$AU88)</f>
        <v/>
      </c>
      <c r="AW88" s="122" t="str">
        <f>IF(ISTEXT(VLOOKUP(CONCATENATE($A88,"_",AW$3),'Unit List'!$A$14:$H$2841,2,FALSE)),"X",$AU88)</f>
        <v/>
      </c>
      <c r="AX88" s="172" t="str">
        <f>IF(ISTEXT(VLOOKUP(CONCATENATE($A88,"_",AX$3),'Unit List'!$A$14:$H$2841,2,FALSE)),"+","")</f>
        <v/>
      </c>
      <c r="AY88" s="120" t="str">
        <f>IF(ISTEXT(VLOOKUP(CONCATENATE($A88,"_",AY$3),'Unit List'!$A$14:$H$2841,2,FALSE)),"X",$AX88)</f>
        <v/>
      </c>
      <c r="AZ88" s="122" t="str">
        <f>IF(ISTEXT(VLOOKUP(CONCATENATE($A88,"_",AZ$3),'Unit List'!$A$14:$H$2841,2,FALSE)),"X",$AX88)</f>
        <v/>
      </c>
      <c r="BA88" s="182" t="str">
        <f>IF(ISTEXT(VLOOKUP(CONCATENATE($A88,"_",BA$3),'Unit List'!$A$14:$H$2841,2,FALSE)),"+","")</f>
        <v/>
      </c>
      <c r="BB88" s="120" t="str">
        <f>IF(ISTEXT(VLOOKUP(CONCATENATE($A88,"_",BB$3),'Unit List'!$A$14:$H$2841,2,FALSE)),"X",$BA88)</f>
        <v/>
      </c>
      <c r="BC88" s="120" t="str">
        <f>IF(ISTEXT(VLOOKUP(CONCATENATE($A88,"_",BC$3),'Unit List'!$A$14:$H$2841,2,FALSE)),"X",$BA88)</f>
        <v/>
      </c>
      <c r="BD88" s="122" t="str">
        <f>IF(ISTEXT(VLOOKUP(CONCATENATE($A88,"_",BD$3),'Unit List'!$A$14:$H$2841,2,FALSE)),"X",$BA88)</f>
        <v/>
      </c>
      <c r="BE88" s="125" t="str">
        <f>IF(ISTEXT(VLOOKUP(CONCATENATE($A88,"_",BE$3),'Unit List'!$A$14:$H$2841,2,FALSE)),"+","")</f>
        <v/>
      </c>
      <c r="BF88" s="75" t="str">
        <f>IF(ISTEXT(VLOOKUP(CONCATENATE($A88,"_",BF$3),'Unit List'!$A$14:$H$2841,2,FALSE)),"X",$BE88)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List'!$A$14:$H$2841,2,FALSE)),"+","")</f>
        <v/>
      </c>
      <c r="C89" s="119" t="str">
        <f>IF(ISTEXT(VLOOKUP(CONCATENATE($A89,"_",C$3),'Unit List'!$A$14:$H$2841,2,FALSE)),"X",$B89)</f>
        <v/>
      </c>
      <c r="D89" s="120" t="str">
        <f>IF(ISTEXT(VLOOKUP(CONCATENATE($A89,"_",D$3),'Unit List'!$A$14:$H$2841,2,FALSE)),"X",$B89)</f>
        <v/>
      </c>
      <c r="E89" s="120" t="str">
        <f>IF(ISTEXT(VLOOKUP(CONCATENATE($A89,"_",E$3),'Unit List'!$A$14:$H$2841,2,FALSE)),"X",$B89)</f>
        <v/>
      </c>
      <c r="F89" s="120" t="str">
        <f>IF(ISTEXT(VLOOKUP(CONCATENATE($A89,"_",F$3),'Unit List'!$A$14:$H$2841,2,FALSE)),"X",$B89)</f>
        <v/>
      </c>
      <c r="G89" s="120" t="str">
        <f>IF(ISTEXT(VLOOKUP(CONCATENATE($A89,"_",G$3),'Unit List'!$A$14:$H$2841,2,FALSE)),"X",$B89)</f>
        <v/>
      </c>
      <c r="H89" s="120" t="str">
        <f>IF(ISTEXT(VLOOKUP(CONCATENATE($A89,"_",H$3),'Unit List'!$A$14:$H$2841,2,FALSE)),"X",$B89)</f>
        <v/>
      </c>
      <c r="I89" s="122" t="str">
        <f>IF(ISTEXT(VLOOKUP(CONCATENATE($A89,"_",I$3),'Unit List'!$A$14:$H$2841,2,FALSE)),"X",$B89)</f>
        <v/>
      </c>
      <c r="J89" s="172" t="str">
        <f>IF(ISTEXT(VLOOKUP(CONCATENATE($A89,"_",J$3),'Unit List'!$A$14:$H$2841,2,FALSE)),"+","")</f>
        <v/>
      </c>
      <c r="K89" s="120" t="str">
        <f>IF(ISTEXT(VLOOKUP(CONCATENATE($A89,"_",K$3),'Unit List'!$A$14:$H$2841,2,FALSE)),"X",$J89)</f>
        <v/>
      </c>
      <c r="L89" s="75" t="str">
        <f>IF(ISTEXT(VLOOKUP(CONCATENATE($A89,"_",L$3),'Unit List'!$A$14:$H$2841,2,FALSE)),"X",$J89)</f>
        <v/>
      </c>
      <c r="M89" s="172" t="str">
        <f>IF(ISTEXT(VLOOKUP(CONCATENATE($A89,"_",M$3),'Unit List'!$A$14:$H$2841,2,FALSE)),"+","")</f>
        <v/>
      </c>
      <c r="N89" s="120" t="str">
        <f>IF(ISTEXT(VLOOKUP(CONCATENATE($A89,"_",N$3),'Unit List'!$A$14:$H$2841,2,FALSE)),"X",$M89)</f>
        <v/>
      </c>
      <c r="O89" s="122" t="str">
        <f>IF(ISTEXT(VLOOKUP(CONCATENATE($A89,"_",O$3),'Unit List'!$A$14:$H$2841,2,FALSE)),"X",$M89)</f>
        <v/>
      </c>
      <c r="P89" s="172" t="str">
        <f>IF(ISTEXT(VLOOKUP(CONCATENATE($A89,"_",P$3),'Unit List'!$A$14:$H$2841,2,FALSE)),"+","")</f>
        <v/>
      </c>
      <c r="Q89" s="120" t="str">
        <f>IF(ISTEXT(VLOOKUP(CONCATENATE($A89,"_",Q$3),'Unit List'!$A$14:$H$2841,2,FALSE)),"X",$P89)</f>
        <v/>
      </c>
      <c r="R89" s="120" t="str">
        <f>IF(ISTEXT(VLOOKUP(CONCATENATE($A89,"_",R$3),'Unit List'!$A$14:$H$2841,2,FALSE)),"X",$P89)</f>
        <v/>
      </c>
      <c r="S89" s="120" t="str">
        <f>IF(ISTEXT(VLOOKUP(CONCATENATE($A89,"_",S$3),'Unit List'!$A$14:$H$2841,2,FALSE)),"X",$P89)</f>
        <v/>
      </c>
      <c r="T89" s="121" t="str">
        <f>IF(ISTEXT(VLOOKUP(CONCATENATE($A89,"_",T$3),'Unit List'!$A$14:$H$2841,2,FALSE)),"X",$P89)</f>
        <v/>
      </c>
      <c r="U89" s="120" t="str">
        <f>IF(ISTEXT(VLOOKUP(CONCATENATE($A89,"_",U$3),'Unit List'!$A$14:$H$2841,2,FALSE)),"X",$P89)</f>
        <v/>
      </c>
      <c r="V89" s="120" t="str">
        <f>IF(ISTEXT(VLOOKUP(CONCATENATE($A89,"_",V$3),'Unit List'!$A$14:$H$2841,2,FALSE)),"X",$P89)</f>
        <v/>
      </c>
      <c r="W89" s="122" t="str">
        <f>IF(ISTEXT(VLOOKUP(CONCATENATE($A89,"_",W$3),'Unit List'!$A$14:$H$2841,2,FALSE)),"X",$P89)</f>
        <v/>
      </c>
      <c r="X89" s="172" t="str">
        <f>IF(ISTEXT(VLOOKUP(CONCATENATE($A89,"_",X$3),'Unit List'!$A$14:$H$2841,2,FALSE)),"+","")</f>
        <v/>
      </c>
      <c r="Y89" s="120" t="str">
        <f>IF(ISTEXT(VLOOKUP(CONCATENATE($A89,"_",Y$3),'Unit List'!$A$14:$H$2841,2,FALSE)),"X",$X89)</f>
        <v/>
      </c>
      <c r="Z89" s="120" t="str">
        <f>IF(ISTEXT(VLOOKUP(CONCATENATE($A89,"_",Z$3),'Unit List'!$A$14:$H$2841,2,FALSE)),"X",$X89)</f>
        <v/>
      </c>
      <c r="AA89" s="120" t="str">
        <f>IF(ISTEXT(VLOOKUP(CONCATENATE($A89,"_",AA$3),'Unit List'!$A$14:$H$2841,2,FALSE)),"X",$X89)</f>
        <v/>
      </c>
      <c r="AB89" s="120" t="str">
        <f>IF(ISTEXT(VLOOKUP(CONCATENATE($A89,"_",AB$3),'Unit List'!$A$14:$H$2841,2,FALSE)),"X",$X89)</f>
        <v/>
      </c>
      <c r="AC89" s="75" t="str">
        <f>IF(ISTEXT(VLOOKUP(CONCATENATE($A89,"_",AC$3),'Unit List'!$A$14:$H$2841,2,FALSE)),"X",$X89)</f>
        <v/>
      </c>
      <c r="AD89" s="172" t="str">
        <f>IF(ISTEXT(VLOOKUP(CONCATENATE($A89,"_",AD$3),'Unit List'!$A$14:$H$2841,2,FALSE)),"+","")</f>
        <v/>
      </c>
      <c r="AE89" s="120" t="str">
        <f>IF(ISTEXT(VLOOKUP(CONCATENATE($A89,"_",AE$3),'Unit List'!$A$14:$H$2841,2,FALSE)),"X",$AD89)</f>
        <v/>
      </c>
      <c r="AF89" s="120" t="str">
        <f>IF(ISTEXT(VLOOKUP(CONCATENATE($A89,"_",AF$3),'Unit List'!$A$14:$H$2841,2,FALSE)),"X",$AD89)</f>
        <v/>
      </c>
      <c r="AG89" s="172" t="str">
        <f>IF(ISTEXT(VLOOKUP(CONCATENATE($A89,"_",AG$3),'Unit List'!$A$14:$H$2841,2,FALSE)),"+","")</f>
        <v/>
      </c>
      <c r="AH89" s="120" t="str">
        <f>IF(ISTEXT(VLOOKUP(CONCATENATE($A89,"_",AH$3),'Unit List'!$A$14:$H$2841,2,FALSE)),"X",$AG89)</f>
        <v/>
      </c>
      <c r="AI89" s="120" t="str">
        <f>IF(ISTEXT(VLOOKUP(CONCATENATE($A89,"_",AI$3),'Unit List'!$A$14:$H$2841,2,FALSE)),"X",$AG89)</f>
        <v/>
      </c>
      <c r="AJ89" s="122" t="str">
        <f>IF(ISTEXT(VLOOKUP(CONCATENATE($A89,"_",AJ$3),'Unit List'!$A$14:$H$2841,2,FALSE)),"X",$AG89)</f>
        <v/>
      </c>
      <c r="AK89" s="172" t="str">
        <f>IF(ISTEXT(VLOOKUP(CONCATENATE($A89,"_",AK$3),'Unit List'!$A$14:$H$2841,2,FALSE)),"+","")</f>
        <v/>
      </c>
      <c r="AL89" s="121" t="str">
        <f>IF(ISTEXT(VLOOKUP(CONCATENATE($A89,"_",AL$3),'Unit List'!$A$14:$H$2841,2,FALSE)),"X",$AK89)</f>
        <v/>
      </c>
      <c r="AM89" s="122" t="str">
        <f>IF(ISTEXT(VLOOKUP(CONCATENATE($A89,"_",AM$3),'Unit List'!$A$14:$H$2841,2,FALSE)),"X",$AK89)</f>
        <v/>
      </c>
      <c r="AN89" s="125" t="str">
        <f>IF(ISTEXT(VLOOKUP(CONCATENATE($A89,"_",AN$3),'Unit List'!$A$14:$H$2841,2,FALSE)),"+","")</f>
        <v/>
      </c>
      <c r="AO89" s="122" t="str">
        <f>IF(ISTEXT(VLOOKUP(CONCATENATE($A89,"_",AO$3),'Unit List'!$A$14:$H$2841,2,FALSE)),"X",$AN89)</f>
        <v/>
      </c>
      <c r="AP89" s="172" t="str">
        <f>IF(ISTEXT(VLOOKUP(CONCATENATE($A89,"_",AP$3),'Unit List'!$A$14:$H$2841,2,FALSE)),"+","")</f>
        <v/>
      </c>
      <c r="AQ89" s="120" t="str">
        <f>IF(ISTEXT(VLOOKUP(CONCATENATE($A89,"_",AQ$3),'Unit List'!$A$14:$H$2841,2,FALSE)),"X",$AP89)</f>
        <v/>
      </c>
      <c r="AR89" s="120" t="str">
        <f>IF(ISTEXT(VLOOKUP(CONCATENATE($A89,"_",AR$3),'Unit List'!$A$14:$H$2841,2,FALSE)),"X",$AP89)</f>
        <v/>
      </c>
      <c r="AS89" s="120" t="str">
        <f>IF(ISTEXT(VLOOKUP(CONCATENATE($A89,"_",AS$3),'Unit List'!$A$14:$H$2841,2,FALSE)),"X",$AP89)</f>
        <v/>
      </c>
      <c r="AT89" s="122" t="str">
        <f>IF(ISTEXT(VLOOKUP(CONCATENATE($A89,"_",AT$3),'Unit List'!$A$14:$H$2841,2,FALSE)),"X",$AP89)</f>
        <v/>
      </c>
      <c r="AU89" s="124" t="str">
        <f>IF(ISTEXT(VLOOKUP(CONCATENATE($A89,"_",AU$3),'Unit List'!$A$14:$H$2841,2,FALSE)),"+","")</f>
        <v/>
      </c>
      <c r="AV89" s="120" t="str">
        <f>IF(ISTEXT(VLOOKUP(CONCATENATE($A89,"_",AV$3),'Unit List'!$A$14:$H$2841,2,FALSE)),"X",$AU89)</f>
        <v/>
      </c>
      <c r="AW89" s="122" t="str">
        <f>IF(ISTEXT(VLOOKUP(CONCATENATE($A89,"_",AW$3),'Unit List'!$A$14:$H$2841,2,FALSE)),"X",$AU89)</f>
        <v/>
      </c>
      <c r="AX89" s="172" t="str">
        <f>IF(ISTEXT(VLOOKUP(CONCATENATE($A89,"_",AX$3),'Unit List'!$A$14:$H$2841,2,FALSE)),"+","")</f>
        <v/>
      </c>
      <c r="AY89" s="120" t="str">
        <f>IF(ISTEXT(VLOOKUP(CONCATENATE($A89,"_",AY$3),'Unit List'!$A$14:$H$2841,2,FALSE)),"X",$AX89)</f>
        <v/>
      </c>
      <c r="AZ89" s="122" t="str">
        <f>IF(ISTEXT(VLOOKUP(CONCATENATE($A89,"_",AZ$3),'Unit List'!$A$14:$H$2841,2,FALSE)),"X",$AX89)</f>
        <v/>
      </c>
      <c r="BA89" s="182" t="str">
        <f>IF(ISTEXT(VLOOKUP(CONCATENATE($A89,"_",BA$3),'Unit List'!$A$14:$H$2841,2,FALSE)),"+","")</f>
        <v/>
      </c>
      <c r="BB89" s="120" t="str">
        <f>IF(ISTEXT(VLOOKUP(CONCATENATE($A89,"_",BB$3),'Unit List'!$A$14:$H$2841,2,FALSE)),"X",$BA89)</f>
        <v/>
      </c>
      <c r="BC89" s="120" t="str">
        <f>IF(ISTEXT(VLOOKUP(CONCATENATE($A89,"_",BC$3),'Unit List'!$A$14:$H$2841,2,FALSE)),"X",$BA89)</f>
        <v/>
      </c>
      <c r="BD89" s="122" t="str">
        <f>IF(ISTEXT(VLOOKUP(CONCATENATE($A89,"_",BD$3),'Unit List'!$A$14:$H$2841,2,FALSE)),"X",$BA89)</f>
        <v/>
      </c>
      <c r="BE89" s="125" t="str">
        <f>IF(ISTEXT(VLOOKUP(CONCATENATE($A89,"_",BE$3),'Unit List'!$A$14:$H$2841,2,FALSE)),"+","")</f>
        <v/>
      </c>
      <c r="BF89" s="75" t="str">
        <f>IF(ISTEXT(VLOOKUP(CONCATENATE($A89,"_",BF$3),'Unit List'!$A$14:$H$2841,2,FALSE)),"X",$BE89)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List'!$A$14:$H$2841,2,FALSE)),"+","")</f>
        <v/>
      </c>
      <c r="C90" s="119" t="str">
        <f>IF(ISTEXT(VLOOKUP(CONCATENATE($A90,"_",C$3),'Unit List'!$A$14:$H$2841,2,FALSE)),"X",$B90)</f>
        <v/>
      </c>
      <c r="D90" s="120" t="str">
        <f>IF(ISTEXT(VLOOKUP(CONCATENATE($A90,"_",D$3),'Unit List'!$A$14:$H$2841,2,FALSE)),"X",$B90)</f>
        <v/>
      </c>
      <c r="E90" s="120" t="str">
        <f>IF(ISTEXT(VLOOKUP(CONCATENATE($A90,"_",E$3),'Unit List'!$A$14:$H$2841,2,FALSE)),"X",$B90)</f>
        <v/>
      </c>
      <c r="F90" s="120" t="str">
        <f>IF(ISTEXT(VLOOKUP(CONCATENATE($A90,"_",F$3),'Unit List'!$A$14:$H$2841,2,FALSE)),"X",$B90)</f>
        <v/>
      </c>
      <c r="G90" s="120" t="str">
        <f>IF(ISTEXT(VLOOKUP(CONCATENATE($A90,"_",G$3),'Unit List'!$A$14:$H$2841,2,FALSE)),"X",$B90)</f>
        <v/>
      </c>
      <c r="H90" s="120" t="str">
        <f>IF(ISTEXT(VLOOKUP(CONCATENATE($A90,"_",H$3),'Unit List'!$A$14:$H$2841,2,FALSE)),"X",$B90)</f>
        <v/>
      </c>
      <c r="I90" s="122" t="str">
        <f>IF(ISTEXT(VLOOKUP(CONCATENATE($A90,"_",I$3),'Unit List'!$A$14:$H$2841,2,FALSE)),"X",$B90)</f>
        <v/>
      </c>
      <c r="J90" s="172" t="str">
        <f>IF(ISTEXT(VLOOKUP(CONCATENATE($A90,"_",J$3),'Unit List'!$A$14:$H$2841,2,FALSE)),"+","")</f>
        <v/>
      </c>
      <c r="K90" s="120" t="str">
        <f>IF(ISTEXT(VLOOKUP(CONCATENATE($A90,"_",K$3),'Unit List'!$A$14:$H$2841,2,FALSE)),"X",$J90)</f>
        <v/>
      </c>
      <c r="L90" s="75" t="str">
        <f>IF(ISTEXT(VLOOKUP(CONCATENATE($A90,"_",L$3),'Unit List'!$A$14:$H$2841,2,FALSE)),"X",$J90)</f>
        <v/>
      </c>
      <c r="M90" s="172" t="str">
        <f>IF(ISTEXT(VLOOKUP(CONCATENATE($A90,"_",M$3),'Unit List'!$A$14:$H$2841,2,FALSE)),"+","")</f>
        <v/>
      </c>
      <c r="N90" s="120" t="str">
        <f>IF(ISTEXT(VLOOKUP(CONCATENATE($A90,"_",N$3),'Unit List'!$A$14:$H$2841,2,FALSE)),"X",$M90)</f>
        <v/>
      </c>
      <c r="O90" s="122" t="str">
        <f>IF(ISTEXT(VLOOKUP(CONCATENATE($A90,"_",O$3),'Unit List'!$A$14:$H$2841,2,FALSE)),"X",$M90)</f>
        <v/>
      </c>
      <c r="P90" s="172" t="str">
        <f>IF(ISTEXT(VLOOKUP(CONCATENATE($A90,"_",P$3),'Unit List'!$A$14:$H$2841,2,FALSE)),"+","")</f>
        <v/>
      </c>
      <c r="Q90" s="120" t="str">
        <f>IF(ISTEXT(VLOOKUP(CONCATENATE($A90,"_",Q$3),'Unit List'!$A$14:$H$2841,2,FALSE)),"X",$P90)</f>
        <v/>
      </c>
      <c r="R90" s="120" t="str">
        <f>IF(ISTEXT(VLOOKUP(CONCATENATE($A90,"_",R$3),'Unit List'!$A$14:$H$2841,2,FALSE)),"X",$P90)</f>
        <v/>
      </c>
      <c r="S90" s="120" t="str">
        <f>IF(ISTEXT(VLOOKUP(CONCATENATE($A90,"_",S$3),'Unit List'!$A$14:$H$2841,2,FALSE)),"X",$P90)</f>
        <v/>
      </c>
      <c r="T90" s="121" t="str">
        <f>IF(ISTEXT(VLOOKUP(CONCATENATE($A90,"_",T$3),'Unit List'!$A$14:$H$2841,2,FALSE)),"X",$P90)</f>
        <v/>
      </c>
      <c r="U90" s="120" t="str">
        <f>IF(ISTEXT(VLOOKUP(CONCATENATE($A90,"_",U$3),'Unit List'!$A$14:$H$2841,2,FALSE)),"X",$P90)</f>
        <v/>
      </c>
      <c r="V90" s="120" t="str">
        <f>IF(ISTEXT(VLOOKUP(CONCATENATE($A90,"_",V$3),'Unit List'!$A$14:$H$2841,2,FALSE)),"X",$P90)</f>
        <v/>
      </c>
      <c r="W90" s="122" t="str">
        <f>IF(ISTEXT(VLOOKUP(CONCATENATE($A90,"_",W$3),'Unit List'!$A$14:$H$2841,2,FALSE)),"X",$P90)</f>
        <v/>
      </c>
      <c r="X90" s="172" t="str">
        <f>IF(ISTEXT(VLOOKUP(CONCATENATE($A90,"_",X$3),'Unit List'!$A$14:$H$2841,2,FALSE)),"+","")</f>
        <v/>
      </c>
      <c r="Y90" s="120" t="str">
        <f>IF(ISTEXT(VLOOKUP(CONCATENATE($A90,"_",Y$3),'Unit List'!$A$14:$H$2841,2,FALSE)),"X",$X90)</f>
        <v/>
      </c>
      <c r="Z90" s="120" t="str">
        <f>IF(ISTEXT(VLOOKUP(CONCATENATE($A90,"_",Z$3),'Unit List'!$A$14:$H$2841,2,FALSE)),"X",$X90)</f>
        <v/>
      </c>
      <c r="AA90" s="120" t="str">
        <f>IF(ISTEXT(VLOOKUP(CONCATENATE($A90,"_",AA$3),'Unit List'!$A$14:$H$2841,2,FALSE)),"X",$X90)</f>
        <v/>
      </c>
      <c r="AB90" s="120" t="str">
        <f>IF(ISTEXT(VLOOKUP(CONCATENATE($A90,"_",AB$3),'Unit List'!$A$14:$H$2841,2,FALSE)),"X",$X90)</f>
        <v/>
      </c>
      <c r="AC90" s="75" t="str">
        <f>IF(ISTEXT(VLOOKUP(CONCATENATE($A90,"_",AC$3),'Unit List'!$A$14:$H$2841,2,FALSE)),"X",$X90)</f>
        <v/>
      </c>
      <c r="AD90" s="172" t="str">
        <f>IF(ISTEXT(VLOOKUP(CONCATENATE($A90,"_",AD$3),'Unit List'!$A$14:$H$2841,2,FALSE)),"+","")</f>
        <v/>
      </c>
      <c r="AE90" s="120" t="str">
        <f>IF(ISTEXT(VLOOKUP(CONCATENATE($A90,"_",AE$3),'Unit List'!$A$14:$H$2841,2,FALSE)),"X",$AD90)</f>
        <v/>
      </c>
      <c r="AF90" s="120" t="str">
        <f>IF(ISTEXT(VLOOKUP(CONCATENATE($A90,"_",AF$3),'Unit List'!$A$14:$H$2841,2,FALSE)),"X",$AD90)</f>
        <v/>
      </c>
      <c r="AG90" s="172" t="str">
        <f>IF(ISTEXT(VLOOKUP(CONCATENATE($A90,"_",AG$3),'Unit List'!$A$14:$H$2841,2,FALSE)),"+","")</f>
        <v/>
      </c>
      <c r="AH90" s="120" t="str">
        <f>IF(ISTEXT(VLOOKUP(CONCATENATE($A90,"_",AH$3),'Unit List'!$A$14:$H$2841,2,FALSE)),"X",$AG90)</f>
        <v/>
      </c>
      <c r="AI90" s="120" t="str">
        <f>IF(ISTEXT(VLOOKUP(CONCATENATE($A90,"_",AI$3),'Unit List'!$A$14:$H$2841,2,FALSE)),"X",$AG90)</f>
        <v/>
      </c>
      <c r="AJ90" s="122" t="str">
        <f>IF(ISTEXT(VLOOKUP(CONCATENATE($A90,"_",AJ$3),'Unit List'!$A$14:$H$2841,2,FALSE)),"X",$AG90)</f>
        <v/>
      </c>
      <c r="AK90" s="172" t="str">
        <f>IF(ISTEXT(VLOOKUP(CONCATENATE($A90,"_",AK$3),'Unit List'!$A$14:$H$2841,2,FALSE)),"+","")</f>
        <v/>
      </c>
      <c r="AL90" s="121" t="str">
        <f>IF(ISTEXT(VLOOKUP(CONCATENATE($A90,"_",AL$3),'Unit List'!$A$14:$H$2841,2,FALSE)),"X",$AK90)</f>
        <v/>
      </c>
      <c r="AM90" s="122" t="str">
        <f>IF(ISTEXT(VLOOKUP(CONCATENATE($A90,"_",AM$3),'Unit List'!$A$14:$H$2841,2,FALSE)),"X",$AK90)</f>
        <v/>
      </c>
      <c r="AN90" s="125" t="str">
        <f>IF(ISTEXT(VLOOKUP(CONCATENATE($A90,"_",AN$3),'Unit List'!$A$14:$H$2841,2,FALSE)),"+","")</f>
        <v/>
      </c>
      <c r="AO90" s="122" t="str">
        <f>IF(ISTEXT(VLOOKUP(CONCATENATE($A90,"_",AO$3),'Unit List'!$A$14:$H$2841,2,FALSE)),"X",$AN90)</f>
        <v/>
      </c>
      <c r="AP90" s="172" t="str">
        <f>IF(ISTEXT(VLOOKUP(CONCATENATE($A90,"_",AP$3),'Unit List'!$A$14:$H$2841,2,FALSE)),"+","")</f>
        <v/>
      </c>
      <c r="AQ90" s="120" t="str">
        <f>IF(ISTEXT(VLOOKUP(CONCATENATE($A90,"_",AQ$3),'Unit List'!$A$14:$H$2841,2,FALSE)),"X",$AP90)</f>
        <v/>
      </c>
      <c r="AR90" s="120" t="str">
        <f>IF(ISTEXT(VLOOKUP(CONCATENATE($A90,"_",AR$3),'Unit List'!$A$14:$H$2841,2,FALSE)),"X",$AP90)</f>
        <v/>
      </c>
      <c r="AS90" s="120" t="str">
        <f>IF(ISTEXT(VLOOKUP(CONCATENATE($A90,"_",AS$3),'Unit List'!$A$14:$H$2841,2,FALSE)),"X",$AP90)</f>
        <v/>
      </c>
      <c r="AT90" s="122" t="str">
        <f>IF(ISTEXT(VLOOKUP(CONCATENATE($A90,"_",AT$3),'Unit List'!$A$14:$H$2841,2,FALSE)),"X",$AP90)</f>
        <v/>
      </c>
      <c r="AU90" s="124" t="str">
        <f>IF(ISTEXT(VLOOKUP(CONCATENATE($A90,"_",AU$3),'Unit List'!$A$14:$H$2841,2,FALSE)),"+","")</f>
        <v/>
      </c>
      <c r="AV90" s="120" t="str">
        <f>IF(ISTEXT(VLOOKUP(CONCATENATE($A90,"_",AV$3),'Unit List'!$A$14:$H$2841,2,FALSE)),"X",$AU90)</f>
        <v/>
      </c>
      <c r="AW90" s="122" t="str">
        <f>IF(ISTEXT(VLOOKUP(CONCATENATE($A90,"_",AW$3),'Unit List'!$A$14:$H$2841,2,FALSE)),"X",$AU90)</f>
        <v/>
      </c>
      <c r="AX90" s="172" t="str">
        <f>IF(ISTEXT(VLOOKUP(CONCATENATE($A90,"_",AX$3),'Unit List'!$A$14:$H$2841,2,FALSE)),"+","")</f>
        <v/>
      </c>
      <c r="AY90" s="120" t="str">
        <f>IF(ISTEXT(VLOOKUP(CONCATENATE($A90,"_",AY$3),'Unit List'!$A$14:$H$2841,2,FALSE)),"X",$AX90)</f>
        <v/>
      </c>
      <c r="AZ90" s="122" t="str">
        <f>IF(ISTEXT(VLOOKUP(CONCATENATE($A90,"_",AZ$3),'Unit List'!$A$14:$H$2841,2,FALSE)),"X",$AX90)</f>
        <v/>
      </c>
      <c r="BA90" s="182" t="str">
        <f>IF(ISTEXT(VLOOKUP(CONCATENATE($A90,"_",BA$3),'Unit List'!$A$14:$H$2841,2,FALSE)),"+","")</f>
        <v/>
      </c>
      <c r="BB90" s="120" t="str">
        <f>IF(ISTEXT(VLOOKUP(CONCATENATE($A90,"_",BB$3),'Unit List'!$A$14:$H$2841,2,FALSE)),"X",$BA90)</f>
        <v/>
      </c>
      <c r="BC90" s="120" t="str">
        <f>IF(ISTEXT(VLOOKUP(CONCATENATE($A90,"_",BC$3),'Unit List'!$A$14:$H$2841,2,FALSE)),"X",$BA90)</f>
        <v/>
      </c>
      <c r="BD90" s="122" t="str">
        <f>IF(ISTEXT(VLOOKUP(CONCATENATE($A90,"_",BD$3),'Unit List'!$A$14:$H$2841,2,FALSE)),"X",$BA90)</f>
        <v/>
      </c>
      <c r="BE90" s="125" t="str">
        <f>IF(ISTEXT(VLOOKUP(CONCATENATE($A90,"_",BE$3),'Unit List'!$A$14:$H$2841,2,FALSE)),"+","")</f>
        <v/>
      </c>
      <c r="BF90" s="75" t="str">
        <f>IF(ISTEXT(VLOOKUP(CONCATENATE($A90,"_",BF$3),'Unit List'!$A$14:$H$2841,2,FALSE)),"X",$BE90)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List'!$A$14:$H$2841,2,FALSE)),"+","")</f>
        <v/>
      </c>
      <c r="C91" s="119" t="str">
        <f>IF(ISTEXT(VLOOKUP(CONCATENATE($A91,"_",C$3),'Unit List'!$A$14:$H$2841,2,FALSE)),"X",$B91)</f>
        <v/>
      </c>
      <c r="D91" s="120" t="str">
        <f>IF(ISTEXT(VLOOKUP(CONCATENATE($A91,"_",D$3),'Unit List'!$A$14:$H$2841,2,FALSE)),"X",$B91)</f>
        <v/>
      </c>
      <c r="E91" s="120" t="str">
        <f>IF(ISTEXT(VLOOKUP(CONCATENATE($A91,"_",E$3),'Unit List'!$A$14:$H$2841,2,FALSE)),"X",$B91)</f>
        <v/>
      </c>
      <c r="F91" s="120" t="str">
        <f>IF(ISTEXT(VLOOKUP(CONCATENATE($A91,"_",F$3),'Unit List'!$A$14:$H$2841,2,FALSE)),"X",$B91)</f>
        <v/>
      </c>
      <c r="G91" s="120" t="str">
        <f>IF(ISTEXT(VLOOKUP(CONCATENATE($A91,"_",G$3),'Unit List'!$A$14:$H$2841,2,FALSE)),"X",$B91)</f>
        <v/>
      </c>
      <c r="H91" s="120" t="str">
        <f>IF(ISTEXT(VLOOKUP(CONCATENATE($A91,"_",H$3),'Unit List'!$A$14:$H$2841,2,FALSE)),"X",$B91)</f>
        <v/>
      </c>
      <c r="I91" s="122" t="str">
        <f>IF(ISTEXT(VLOOKUP(CONCATENATE($A91,"_",I$3),'Unit List'!$A$14:$H$2841,2,FALSE)),"X",$B91)</f>
        <v/>
      </c>
      <c r="J91" s="172" t="str">
        <f>IF(ISTEXT(VLOOKUP(CONCATENATE($A91,"_",J$3),'Unit List'!$A$14:$H$2841,2,FALSE)),"+","")</f>
        <v/>
      </c>
      <c r="K91" s="120" t="str">
        <f>IF(ISTEXT(VLOOKUP(CONCATENATE($A91,"_",K$3),'Unit List'!$A$14:$H$2841,2,FALSE)),"X",$J91)</f>
        <v/>
      </c>
      <c r="L91" s="75" t="str">
        <f>IF(ISTEXT(VLOOKUP(CONCATENATE($A91,"_",L$3),'Unit List'!$A$14:$H$2841,2,FALSE)),"X",$J91)</f>
        <v/>
      </c>
      <c r="M91" s="172" t="str">
        <f>IF(ISTEXT(VLOOKUP(CONCATENATE($A91,"_",M$3),'Unit List'!$A$14:$H$2841,2,FALSE)),"+","")</f>
        <v/>
      </c>
      <c r="N91" s="120" t="str">
        <f>IF(ISTEXT(VLOOKUP(CONCATENATE($A91,"_",N$3),'Unit List'!$A$14:$H$2841,2,FALSE)),"X",$M91)</f>
        <v/>
      </c>
      <c r="O91" s="122" t="str">
        <f>IF(ISTEXT(VLOOKUP(CONCATENATE($A91,"_",O$3),'Unit List'!$A$14:$H$2841,2,FALSE)),"X",$M91)</f>
        <v/>
      </c>
      <c r="P91" s="172" t="str">
        <f>IF(ISTEXT(VLOOKUP(CONCATENATE($A91,"_",P$3),'Unit List'!$A$14:$H$2841,2,FALSE)),"+","")</f>
        <v/>
      </c>
      <c r="Q91" s="120" t="str">
        <f>IF(ISTEXT(VLOOKUP(CONCATENATE($A91,"_",Q$3),'Unit List'!$A$14:$H$2841,2,FALSE)),"X",$P91)</f>
        <v/>
      </c>
      <c r="R91" s="120" t="str">
        <f>IF(ISTEXT(VLOOKUP(CONCATENATE($A91,"_",R$3),'Unit List'!$A$14:$H$2841,2,FALSE)),"X",$P91)</f>
        <v/>
      </c>
      <c r="S91" s="120" t="str">
        <f>IF(ISTEXT(VLOOKUP(CONCATENATE($A91,"_",S$3),'Unit List'!$A$14:$H$2841,2,FALSE)),"X",$P91)</f>
        <v/>
      </c>
      <c r="T91" s="121" t="str">
        <f>IF(ISTEXT(VLOOKUP(CONCATENATE($A91,"_",T$3),'Unit List'!$A$14:$H$2841,2,FALSE)),"X",$P91)</f>
        <v/>
      </c>
      <c r="U91" s="120" t="str">
        <f>IF(ISTEXT(VLOOKUP(CONCATENATE($A91,"_",U$3),'Unit List'!$A$14:$H$2841,2,FALSE)),"X",$P91)</f>
        <v/>
      </c>
      <c r="V91" s="120" t="str">
        <f>IF(ISTEXT(VLOOKUP(CONCATENATE($A91,"_",V$3),'Unit List'!$A$14:$H$2841,2,FALSE)),"X",$P91)</f>
        <v/>
      </c>
      <c r="W91" s="122" t="str">
        <f>IF(ISTEXT(VLOOKUP(CONCATENATE($A91,"_",W$3),'Unit List'!$A$14:$H$2841,2,FALSE)),"X",$P91)</f>
        <v/>
      </c>
      <c r="X91" s="172" t="str">
        <f>IF(ISTEXT(VLOOKUP(CONCATENATE($A91,"_",X$3),'Unit List'!$A$14:$H$2841,2,FALSE)),"+","")</f>
        <v/>
      </c>
      <c r="Y91" s="120" t="str">
        <f>IF(ISTEXT(VLOOKUP(CONCATENATE($A91,"_",Y$3),'Unit List'!$A$14:$H$2841,2,FALSE)),"X",$X91)</f>
        <v/>
      </c>
      <c r="Z91" s="120" t="str">
        <f>IF(ISTEXT(VLOOKUP(CONCATENATE($A91,"_",Z$3),'Unit List'!$A$14:$H$2841,2,FALSE)),"X",$X91)</f>
        <v/>
      </c>
      <c r="AA91" s="120" t="str">
        <f>IF(ISTEXT(VLOOKUP(CONCATENATE($A91,"_",AA$3),'Unit List'!$A$14:$H$2841,2,FALSE)),"X",$X91)</f>
        <v/>
      </c>
      <c r="AB91" s="120" t="str">
        <f>IF(ISTEXT(VLOOKUP(CONCATENATE($A91,"_",AB$3),'Unit List'!$A$14:$H$2841,2,FALSE)),"X",$X91)</f>
        <v/>
      </c>
      <c r="AC91" s="75" t="str">
        <f>IF(ISTEXT(VLOOKUP(CONCATENATE($A91,"_",AC$3),'Unit List'!$A$14:$H$2841,2,FALSE)),"X",$X91)</f>
        <v/>
      </c>
      <c r="AD91" s="172" t="str">
        <f>IF(ISTEXT(VLOOKUP(CONCATENATE($A91,"_",AD$3),'Unit List'!$A$14:$H$2841,2,FALSE)),"+","")</f>
        <v/>
      </c>
      <c r="AE91" s="120" t="str">
        <f>IF(ISTEXT(VLOOKUP(CONCATENATE($A91,"_",AE$3),'Unit List'!$A$14:$H$2841,2,FALSE)),"X",$AD91)</f>
        <v/>
      </c>
      <c r="AF91" s="120" t="str">
        <f>IF(ISTEXT(VLOOKUP(CONCATENATE($A91,"_",AF$3),'Unit List'!$A$14:$H$2841,2,FALSE)),"X",$AD91)</f>
        <v/>
      </c>
      <c r="AG91" s="172" t="str">
        <f>IF(ISTEXT(VLOOKUP(CONCATENATE($A91,"_",AG$3),'Unit List'!$A$14:$H$2841,2,FALSE)),"+","")</f>
        <v/>
      </c>
      <c r="AH91" s="120" t="str">
        <f>IF(ISTEXT(VLOOKUP(CONCATENATE($A91,"_",AH$3),'Unit List'!$A$14:$H$2841,2,FALSE)),"X",$AG91)</f>
        <v/>
      </c>
      <c r="AI91" s="120" t="str">
        <f>IF(ISTEXT(VLOOKUP(CONCATENATE($A91,"_",AI$3),'Unit List'!$A$14:$H$2841,2,FALSE)),"X",$AG91)</f>
        <v/>
      </c>
      <c r="AJ91" s="122" t="str">
        <f>IF(ISTEXT(VLOOKUP(CONCATENATE($A91,"_",AJ$3),'Unit List'!$A$14:$H$2841,2,FALSE)),"X",$AG91)</f>
        <v/>
      </c>
      <c r="AK91" s="172" t="str">
        <f>IF(ISTEXT(VLOOKUP(CONCATENATE($A91,"_",AK$3),'Unit List'!$A$14:$H$2841,2,FALSE)),"+","")</f>
        <v/>
      </c>
      <c r="AL91" s="121" t="str">
        <f>IF(ISTEXT(VLOOKUP(CONCATENATE($A91,"_",AL$3),'Unit List'!$A$14:$H$2841,2,FALSE)),"X",$AK91)</f>
        <v/>
      </c>
      <c r="AM91" s="122" t="str">
        <f>IF(ISTEXT(VLOOKUP(CONCATENATE($A91,"_",AM$3),'Unit List'!$A$14:$H$2841,2,FALSE)),"X",$AK91)</f>
        <v/>
      </c>
      <c r="AN91" s="125" t="str">
        <f>IF(ISTEXT(VLOOKUP(CONCATENATE($A91,"_",AN$3),'Unit List'!$A$14:$H$2841,2,FALSE)),"+","")</f>
        <v/>
      </c>
      <c r="AO91" s="122" t="str">
        <f>IF(ISTEXT(VLOOKUP(CONCATENATE($A91,"_",AO$3),'Unit List'!$A$14:$H$2841,2,FALSE)),"X",$AN91)</f>
        <v/>
      </c>
      <c r="AP91" s="172" t="str">
        <f>IF(ISTEXT(VLOOKUP(CONCATENATE($A91,"_",AP$3),'Unit List'!$A$14:$H$2841,2,FALSE)),"+","")</f>
        <v/>
      </c>
      <c r="AQ91" s="120" t="str">
        <f>IF(ISTEXT(VLOOKUP(CONCATENATE($A91,"_",AQ$3),'Unit List'!$A$14:$H$2841,2,FALSE)),"X",$AP91)</f>
        <v/>
      </c>
      <c r="AR91" s="120" t="str">
        <f>IF(ISTEXT(VLOOKUP(CONCATENATE($A91,"_",AR$3),'Unit List'!$A$14:$H$2841,2,FALSE)),"X",$AP91)</f>
        <v/>
      </c>
      <c r="AS91" s="120" t="str">
        <f>IF(ISTEXT(VLOOKUP(CONCATENATE($A91,"_",AS$3),'Unit List'!$A$14:$H$2841,2,FALSE)),"X",$AP91)</f>
        <v/>
      </c>
      <c r="AT91" s="122" t="str">
        <f>IF(ISTEXT(VLOOKUP(CONCATENATE($A91,"_",AT$3),'Unit List'!$A$14:$H$2841,2,FALSE)),"X",$AP91)</f>
        <v/>
      </c>
      <c r="AU91" s="124" t="str">
        <f>IF(ISTEXT(VLOOKUP(CONCATENATE($A91,"_",AU$3),'Unit List'!$A$14:$H$2841,2,FALSE)),"+","")</f>
        <v/>
      </c>
      <c r="AV91" s="120" t="str">
        <f>IF(ISTEXT(VLOOKUP(CONCATENATE($A91,"_",AV$3),'Unit List'!$A$14:$H$2841,2,FALSE)),"X",$AU91)</f>
        <v/>
      </c>
      <c r="AW91" s="122" t="str">
        <f>IF(ISTEXT(VLOOKUP(CONCATENATE($A91,"_",AW$3),'Unit List'!$A$14:$H$2841,2,FALSE)),"X",$AU91)</f>
        <v/>
      </c>
      <c r="AX91" s="172" t="str">
        <f>IF(ISTEXT(VLOOKUP(CONCATENATE($A91,"_",AX$3),'Unit List'!$A$14:$H$2841,2,FALSE)),"+","")</f>
        <v/>
      </c>
      <c r="AY91" s="120" t="str">
        <f>IF(ISTEXT(VLOOKUP(CONCATENATE($A91,"_",AY$3),'Unit List'!$A$14:$H$2841,2,FALSE)),"X",$AX91)</f>
        <v/>
      </c>
      <c r="AZ91" s="122" t="str">
        <f>IF(ISTEXT(VLOOKUP(CONCATENATE($A91,"_",AZ$3),'Unit List'!$A$14:$H$2841,2,FALSE)),"X",$AX91)</f>
        <v/>
      </c>
      <c r="BA91" s="182" t="str">
        <f>IF(ISTEXT(VLOOKUP(CONCATENATE($A91,"_",BA$3),'Unit List'!$A$14:$H$2841,2,FALSE)),"+","")</f>
        <v/>
      </c>
      <c r="BB91" s="120" t="str">
        <f>IF(ISTEXT(VLOOKUP(CONCATENATE($A91,"_",BB$3),'Unit List'!$A$14:$H$2841,2,FALSE)),"X",$BA91)</f>
        <v/>
      </c>
      <c r="BC91" s="120" t="str">
        <f>IF(ISTEXT(VLOOKUP(CONCATENATE($A91,"_",BC$3),'Unit List'!$A$14:$H$2841,2,FALSE)),"X",$BA91)</f>
        <v/>
      </c>
      <c r="BD91" s="122" t="str">
        <f>IF(ISTEXT(VLOOKUP(CONCATENATE($A91,"_",BD$3),'Unit List'!$A$14:$H$2841,2,FALSE)),"X",$BA91)</f>
        <v/>
      </c>
      <c r="BE91" s="125" t="str">
        <f>IF(ISTEXT(VLOOKUP(CONCATENATE($A91,"_",BE$3),'Unit List'!$A$14:$H$2841,2,FALSE)),"+","")</f>
        <v/>
      </c>
      <c r="BF91" s="75" t="str">
        <f>IF(ISTEXT(VLOOKUP(CONCATENATE($A91,"_",BF$3),'Unit List'!$A$14:$H$2841,2,FALSE)),"X",$BE91)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List'!$A$14:$H$2841,2,FALSE)),"+","")</f>
        <v/>
      </c>
      <c r="C92" s="119" t="str">
        <f>IF(ISTEXT(VLOOKUP(CONCATENATE($A92,"_",C$3),'Unit List'!$A$14:$H$2841,2,FALSE)),"X",$B92)</f>
        <v/>
      </c>
      <c r="D92" s="120" t="str">
        <f>IF(ISTEXT(VLOOKUP(CONCATENATE($A92,"_",D$3),'Unit List'!$A$14:$H$2841,2,FALSE)),"X",$B92)</f>
        <v/>
      </c>
      <c r="E92" s="120" t="str">
        <f>IF(ISTEXT(VLOOKUP(CONCATENATE($A92,"_",E$3),'Unit List'!$A$14:$H$2841,2,FALSE)),"X",$B92)</f>
        <v/>
      </c>
      <c r="F92" s="120" t="str">
        <f>IF(ISTEXT(VLOOKUP(CONCATENATE($A92,"_",F$3),'Unit List'!$A$14:$H$2841,2,FALSE)),"X",$B92)</f>
        <v/>
      </c>
      <c r="G92" s="120" t="str">
        <f>IF(ISTEXT(VLOOKUP(CONCATENATE($A92,"_",G$3),'Unit List'!$A$14:$H$2841,2,FALSE)),"X",$B92)</f>
        <v/>
      </c>
      <c r="H92" s="120" t="str">
        <f>IF(ISTEXT(VLOOKUP(CONCATENATE($A92,"_",H$3),'Unit List'!$A$14:$H$2841,2,FALSE)),"X",$B92)</f>
        <v/>
      </c>
      <c r="I92" s="122" t="str">
        <f>IF(ISTEXT(VLOOKUP(CONCATENATE($A92,"_",I$3),'Unit List'!$A$14:$H$2841,2,FALSE)),"X",$B92)</f>
        <v/>
      </c>
      <c r="J92" s="172" t="str">
        <f>IF(ISTEXT(VLOOKUP(CONCATENATE($A92,"_",J$3),'Unit List'!$A$14:$H$2841,2,FALSE)),"+","")</f>
        <v/>
      </c>
      <c r="K92" s="120" t="str">
        <f>IF(ISTEXT(VLOOKUP(CONCATENATE($A92,"_",K$3),'Unit List'!$A$14:$H$2841,2,FALSE)),"X",$J92)</f>
        <v/>
      </c>
      <c r="L92" s="75" t="str">
        <f>IF(ISTEXT(VLOOKUP(CONCATENATE($A92,"_",L$3),'Unit List'!$A$14:$H$2841,2,FALSE)),"X",$J92)</f>
        <v/>
      </c>
      <c r="M92" s="172" t="str">
        <f>IF(ISTEXT(VLOOKUP(CONCATENATE($A92,"_",M$3),'Unit List'!$A$14:$H$2841,2,FALSE)),"+","")</f>
        <v/>
      </c>
      <c r="N92" s="120" t="str">
        <f>IF(ISTEXT(VLOOKUP(CONCATENATE($A92,"_",N$3),'Unit List'!$A$14:$H$2841,2,FALSE)),"X",$M92)</f>
        <v/>
      </c>
      <c r="O92" s="122" t="str">
        <f>IF(ISTEXT(VLOOKUP(CONCATENATE($A92,"_",O$3),'Unit List'!$A$14:$H$2841,2,FALSE)),"X",$M92)</f>
        <v/>
      </c>
      <c r="P92" s="172" t="str">
        <f>IF(ISTEXT(VLOOKUP(CONCATENATE($A92,"_",P$3),'Unit List'!$A$14:$H$2841,2,FALSE)),"+","")</f>
        <v/>
      </c>
      <c r="Q92" s="120" t="str">
        <f>IF(ISTEXT(VLOOKUP(CONCATENATE($A92,"_",Q$3),'Unit List'!$A$14:$H$2841,2,FALSE)),"X",$P92)</f>
        <v/>
      </c>
      <c r="R92" s="120" t="str">
        <f>IF(ISTEXT(VLOOKUP(CONCATENATE($A92,"_",R$3),'Unit List'!$A$14:$H$2841,2,FALSE)),"X",$P92)</f>
        <v/>
      </c>
      <c r="S92" s="120" t="str">
        <f>IF(ISTEXT(VLOOKUP(CONCATENATE($A92,"_",S$3),'Unit List'!$A$14:$H$2841,2,FALSE)),"X",$P92)</f>
        <v/>
      </c>
      <c r="T92" s="121" t="str">
        <f>IF(ISTEXT(VLOOKUP(CONCATENATE($A92,"_",T$3),'Unit List'!$A$14:$H$2841,2,FALSE)),"X",$P92)</f>
        <v/>
      </c>
      <c r="U92" s="120" t="str">
        <f>IF(ISTEXT(VLOOKUP(CONCATENATE($A92,"_",U$3),'Unit List'!$A$14:$H$2841,2,FALSE)),"X",$P92)</f>
        <v/>
      </c>
      <c r="V92" s="120" t="str">
        <f>IF(ISTEXT(VLOOKUP(CONCATENATE($A92,"_",V$3),'Unit List'!$A$14:$H$2841,2,FALSE)),"X",$P92)</f>
        <v/>
      </c>
      <c r="W92" s="122" t="str">
        <f>IF(ISTEXT(VLOOKUP(CONCATENATE($A92,"_",W$3),'Unit List'!$A$14:$H$2841,2,FALSE)),"X",$P92)</f>
        <v/>
      </c>
      <c r="X92" s="172" t="str">
        <f>IF(ISTEXT(VLOOKUP(CONCATENATE($A92,"_",X$3),'Unit List'!$A$14:$H$2841,2,FALSE)),"+","")</f>
        <v/>
      </c>
      <c r="Y92" s="120" t="str">
        <f>IF(ISTEXT(VLOOKUP(CONCATENATE($A92,"_",Y$3),'Unit List'!$A$14:$H$2841,2,FALSE)),"X",$X92)</f>
        <v/>
      </c>
      <c r="Z92" s="120" t="str">
        <f>IF(ISTEXT(VLOOKUP(CONCATENATE($A92,"_",Z$3),'Unit List'!$A$14:$H$2841,2,FALSE)),"X",$X92)</f>
        <v/>
      </c>
      <c r="AA92" s="120" t="str">
        <f>IF(ISTEXT(VLOOKUP(CONCATENATE($A92,"_",AA$3),'Unit List'!$A$14:$H$2841,2,FALSE)),"X",$X92)</f>
        <v/>
      </c>
      <c r="AB92" s="120" t="str">
        <f>IF(ISTEXT(VLOOKUP(CONCATENATE($A92,"_",AB$3),'Unit List'!$A$14:$H$2841,2,FALSE)),"X",$X92)</f>
        <v/>
      </c>
      <c r="AC92" s="75" t="str">
        <f>IF(ISTEXT(VLOOKUP(CONCATENATE($A92,"_",AC$3),'Unit List'!$A$14:$H$2841,2,FALSE)),"X",$X92)</f>
        <v/>
      </c>
      <c r="AD92" s="172" t="str">
        <f>IF(ISTEXT(VLOOKUP(CONCATENATE($A92,"_",AD$3),'Unit List'!$A$14:$H$2841,2,FALSE)),"+","")</f>
        <v/>
      </c>
      <c r="AE92" s="120" t="str">
        <f>IF(ISTEXT(VLOOKUP(CONCATENATE($A92,"_",AE$3),'Unit List'!$A$14:$H$2841,2,FALSE)),"X",$AD92)</f>
        <v/>
      </c>
      <c r="AF92" s="120" t="str">
        <f>IF(ISTEXT(VLOOKUP(CONCATENATE($A92,"_",AF$3),'Unit List'!$A$14:$H$2841,2,FALSE)),"X",$AD92)</f>
        <v/>
      </c>
      <c r="AG92" s="172" t="str">
        <f>IF(ISTEXT(VLOOKUP(CONCATENATE($A92,"_",AG$3),'Unit List'!$A$14:$H$2841,2,FALSE)),"+","")</f>
        <v/>
      </c>
      <c r="AH92" s="120" t="str">
        <f>IF(ISTEXT(VLOOKUP(CONCATENATE($A92,"_",AH$3),'Unit List'!$A$14:$H$2841,2,FALSE)),"X",$AG92)</f>
        <v/>
      </c>
      <c r="AI92" s="120" t="str">
        <f>IF(ISTEXT(VLOOKUP(CONCATENATE($A92,"_",AI$3),'Unit List'!$A$14:$H$2841,2,FALSE)),"X",$AG92)</f>
        <v/>
      </c>
      <c r="AJ92" s="122" t="str">
        <f>IF(ISTEXT(VLOOKUP(CONCATENATE($A92,"_",AJ$3),'Unit List'!$A$14:$H$2841,2,FALSE)),"X",$AG92)</f>
        <v/>
      </c>
      <c r="AK92" s="172" t="str">
        <f>IF(ISTEXT(VLOOKUP(CONCATENATE($A92,"_",AK$3),'Unit List'!$A$14:$H$2841,2,FALSE)),"+","")</f>
        <v/>
      </c>
      <c r="AL92" s="121" t="str">
        <f>IF(ISTEXT(VLOOKUP(CONCATENATE($A92,"_",AL$3),'Unit List'!$A$14:$H$2841,2,FALSE)),"X",$AK92)</f>
        <v/>
      </c>
      <c r="AM92" s="122" t="str">
        <f>IF(ISTEXT(VLOOKUP(CONCATENATE($A92,"_",AM$3),'Unit List'!$A$14:$H$2841,2,FALSE)),"X",$AK92)</f>
        <v/>
      </c>
      <c r="AN92" s="125" t="str">
        <f>IF(ISTEXT(VLOOKUP(CONCATENATE($A92,"_",AN$3),'Unit List'!$A$14:$H$2841,2,FALSE)),"+","")</f>
        <v/>
      </c>
      <c r="AO92" s="122" t="str">
        <f>IF(ISTEXT(VLOOKUP(CONCATENATE($A92,"_",AO$3),'Unit List'!$A$14:$H$2841,2,FALSE)),"X",$AN92)</f>
        <v/>
      </c>
      <c r="AP92" s="172" t="str">
        <f>IF(ISTEXT(VLOOKUP(CONCATENATE($A92,"_",AP$3),'Unit List'!$A$14:$H$2841,2,FALSE)),"+","")</f>
        <v/>
      </c>
      <c r="AQ92" s="120" t="str">
        <f>IF(ISTEXT(VLOOKUP(CONCATENATE($A92,"_",AQ$3),'Unit List'!$A$14:$H$2841,2,FALSE)),"X",$AP92)</f>
        <v/>
      </c>
      <c r="AR92" s="120" t="str">
        <f>IF(ISTEXT(VLOOKUP(CONCATENATE($A92,"_",AR$3),'Unit List'!$A$14:$H$2841,2,FALSE)),"X",$AP92)</f>
        <v/>
      </c>
      <c r="AS92" s="120" t="str">
        <f>IF(ISTEXT(VLOOKUP(CONCATENATE($A92,"_",AS$3),'Unit List'!$A$14:$H$2841,2,FALSE)),"X",$AP92)</f>
        <v/>
      </c>
      <c r="AT92" s="122" t="str">
        <f>IF(ISTEXT(VLOOKUP(CONCATENATE($A92,"_",AT$3),'Unit List'!$A$14:$H$2841,2,FALSE)),"X",$AP92)</f>
        <v/>
      </c>
      <c r="AU92" s="124" t="str">
        <f>IF(ISTEXT(VLOOKUP(CONCATENATE($A92,"_",AU$3),'Unit List'!$A$14:$H$2841,2,FALSE)),"+","")</f>
        <v/>
      </c>
      <c r="AV92" s="120" t="str">
        <f>IF(ISTEXT(VLOOKUP(CONCATENATE($A92,"_",AV$3),'Unit List'!$A$14:$H$2841,2,FALSE)),"X",$AU92)</f>
        <v/>
      </c>
      <c r="AW92" s="122" t="str">
        <f>IF(ISTEXT(VLOOKUP(CONCATENATE($A92,"_",AW$3),'Unit List'!$A$14:$H$2841,2,FALSE)),"X",$AU92)</f>
        <v/>
      </c>
      <c r="AX92" s="172" t="str">
        <f>IF(ISTEXT(VLOOKUP(CONCATENATE($A92,"_",AX$3),'Unit List'!$A$14:$H$2841,2,FALSE)),"+","")</f>
        <v/>
      </c>
      <c r="AY92" s="120" t="str">
        <f>IF(ISTEXT(VLOOKUP(CONCATENATE($A92,"_",AY$3),'Unit List'!$A$14:$H$2841,2,FALSE)),"X",$AX92)</f>
        <v/>
      </c>
      <c r="AZ92" s="122" t="str">
        <f>IF(ISTEXT(VLOOKUP(CONCATENATE($A92,"_",AZ$3),'Unit List'!$A$14:$H$2841,2,FALSE)),"X",$AX92)</f>
        <v/>
      </c>
      <c r="BA92" s="182" t="str">
        <f>IF(ISTEXT(VLOOKUP(CONCATENATE($A92,"_",BA$3),'Unit List'!$A$14:$H$2841,2,FALSE)),"+","")</f>
        <v/>
      </c>
      <c r="BB92" s="120" t="str">
        <f>IF(ISTEXT(VLOOKUP(CONCATENATE($A92,"_",BB$3),'Unit List'!$A$14:$H$2841,2,FALSE)),"X",$BA92)</f>
        <v/>
      </c>
      <c r="BC92" s="120" t="str">
        <f>IF(ISTEXT(VLOOKUP(CONCATENATE($A92,"_",BC$3),'Unit List'!$A$14:$H$2841,2,FALSE)),"X",$BA92)</f>
        <v/>
      </c>
      <c r="BD92" s="122" t="str">
        <f>IF(ISTEXT(VLOOKUP(CONCATENATE($A92,"_",BD$3),'Unit List'!$A$14:$H$2841,2,FALSE)),"X",$BA92)</f>
        <v/>
      </c>
      <c r="BE92" s="125" t="str">
        <f>IF(ISTEXT(VLOOKUP(CONCATENATE($A92,"_",BE$3),'Unit List'!$A$14:$H$2841,2,FALSE)),"+","")</f>
        <v/>
      </c>
      <c r="BF92" s="75" t="str">
        <f>IF(ISTEXT(VLOOKUP(CONCATENATE($A92,"_",BF$3),'Unit List'!$A$14:$H$2841,2,FALSE)),"X",$BE92)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List'!$A$14:$H$2841,2,FALSE)),"+","")</f>
        <v/>
      </c>
      <c r="C93" s="119" t="str">
        <f>IF(ISTEXT(VLOOKUP(CONCATENATE($A93,"_",C$3),'Unit List'!$A$14:$H$2841,2,FALSE)),"X",$B93)</f>
        <v/>
      </c>
      <c r="D93" s="120" t="str">
        <f>IF(ISTEXT(VLOOKUP(CONCATENATE($A93,"_",D$3),'Unit List'!$A$14:$H$2841,2,FALSE)),"X",$B93)</f>
        <v/>
      </c>
      <c r="E93" s="120" t="str">
        <f>IF(ISTEXT(VLOOKUP(CONCATENATE($A93,"_",E$3),'Unit List'!$A$14:$H$2841,2,FALSE)),"X",$B93)</f>
        <v/>
      </c>
      <c r="F93" s="120" t="str">
        <f>IF(ISTEXT(VLOOKUP(CONCATENATE($A93,"_",F$3),'Unit List'!$A$14:$H$2841,2,FALSE)),"X",$B93)</f>
        <v/>
      </c>
      <c r="G93" s="120" t="str">
        <f>IF(ISTEXT(VLOOKUP(CONCATENATE($A93,"_",G$3),'Unit List'!$A$14:$H$2841,2,FALSE)),"X",$B93)</f>
        <v/>
      </c>
      <c r="H93" s="120" t="str">
        <f>IF(ISTEXT(VLOOKUP(CONCATENATE($A93,"_",H$3),'Unit List'!$A$14:$H$2841,2,FALSE)),"X",$B93)</f>
        <v/>
      </c>
      <c r="I93" s="122" t="str">
        <f>IF(ISTEXT(VLOOKUP(CONCATENATE($A93,"_",I$3),'Unit List'!$A$14:$H$2841,2,FALSE)),"X",$B93)</f>
        <v/>
      </c>
      <c r="J93" s="172" t="str">
        <f>IF(ISTEXT(VLOOKUP(CONCATENATE($A93,"_",J$3),'Unit List'!$A$14:$H$2841,2,FALSE)),"+","")</f>
        <v/>
      </c>
      <c r="K93" s="120" t="str">
        <f>IF(ISTEXT(VLOOKUP(CONCATENATE($A93,"_",K$3),'Unit List'!$A$14:$H$2841,2,FALSE)),"X",$J93)</f>
        <v/>
      </c>
      <c r="L93" s="75" t="str">
        <f>IF(ISTEXT(VLOOKUP(CONCATENATE($A93,"_",L$3),'Unit List'!$A$14:$H$2841,2,FALSE)),"X",$J93)</f>
        <v/>
      </c>
      <c r="M93" s="172" t="str">
        <f>IF(ISTEXT(VLOOKUP(CONCATENATE($A93,"_",M$3),'Unit List'!$A$14:$H$2841,2,FALSE)),"+","")</f>
        <v/>
      </c>
      <c r="N93" s="120" t="str">
        <f>IF(ISTEXT(VLOOKUP(CONCATENATE($A93,"_",N$3),'Unit List'!$A$14:$H$2841,2,FALSE)),"X",$M93)</f>
        <v/>
      </c>
      <c r="O93" s="122" t="str">
        <f>IF(ISTEXT(VLOOKUP(CONCATENATE($A93,"_",O$3),'Unit List'!$A$14:$H$2841,2,FALSE)),"X",$M93)</f>
        <v/>
      </c>
      <c r="P93" s="172" t="str">
        <f>IF(ISTEXT(VLOOKUP(CONCATENATE($A93,"_",P$3),'Unit List'!$A$14:$H$2841,2,FALSE)),"+","")</f>
        <v/>
      </c>
      <c r="Q93" s="120" t="str">
        <f>IF(ISTEXT(VLOOKUP(CONCATENATE($A93,"_",Q$3),'Unit List'!$A$14:$H$2841,2,FALSE)),"X",$P93)</f>
        <v/>
      </c>
      <c r="R93" s="120" t="str">
        <f>IF(ISTEXT(VLOOKUP(CONCATENATE($A93,"_",R$3),'Unit List'!$A$14:$H$2841,2,FALSE)),"X",$P93)</f>
        <v/>
      </c>
      <c r="S93" s="120" t="str">
        <f>IF(ISTEXT(VLOOKUP(CONCATENATE($A93,"_",S$3),'Unit List'!$A$14:$H$2841,2,FALSE)),"X",$P93)</f>
        <v/>
      </c>
      <c r="T93" s="121" t="str">
        <f>IF(ISTEXT(VLOOKUP(CONCATENATE($A93,"_",T$3),'Unit List'!$A$14:$H$2841,2,FALSE)),"X",$P93)</f>
        <v/>
      </c>
      <c r="U93" s="120" t="str">
        <f>IF(ISTEXT(VLOOKUP(CONCATENATE($A93,"_",U$3),'Unit List'!$A$14:$H$2841,2,FALSE)),"X",$P93)</f>
        <v/>
      </c>
      <c r="V93" s="120" t="str">
        <f>IF(ISTEXT(VLOOKUP(CONCATENATE($A93,"_",V$3),'Unit List'!$A$14:$H$2841,2,FALSE)),"X",$P93)</f>
        <v/>
      </c>
      <c r="W93" s="122" t="str">
        <f>IF(ISTEXT(VLOOKUP(CONCATENATE($A93,"_",W$3),'Unit List'!$A$14:$H$2841,2,FALSE)),"X",$P93)</f>
        <v/>
      </c>
      <c r="X93" s="172" t="str">
        <f>IF(ISTEXT(VLOOKUP(CONCATENATE($A93,"_",X$3),'Unit List'!$A$14:$H$2841,2,FALSE)),"+","")</f>
        <v/>
      </c>
      <c r="Y93" s="120" t="str">
        <f>IF(ISTEXT(VLOOKUP(CONCATENATE($A93,"_",Y$3),'Unit List'!$A$14:$H$2841,2,FALSE)),"X",$X93)</f>
        <v/>
      </c>
      <c r="Z93" s="120" t="str">
        <f>IF(ISTEXT(VLOOKUP(CONCATENATE($A93,"_",Z$3),'Unit List'!$A$14:$H$2841,2,FALSE)),"X",$X93)</f>
        <v/>
      </c>
      <c r="AA93" s="120" t="str">
        <f>IF(ISTEXT(VLOOKUP(CONCATENATE($A93,"_",AA$3),'Unit List'!$A$14:$H$2841,2,FALSE)),"X",$X93)</f>
        <v/>
      </c>
      <c r="AB93" s="120" t="str">
        <f>IF(ISTEXT(VLOOKUP(CONCATENATE($A93,"_",AB$3),'Unit List'!$A$14:$H$2841,2,FALSE)),"X",$X93)</f>
        <v/>
      </c>
      <c r="AC93" s="75" t="str">
        <f>IF(ISTEXT(VLOOKUP(CONCATENATE($A93,"_",AC$3),'Unit List'!$A$14:$H$2841,2,FALSE)),"X",$X93)</f>
        <v/>
      </c>
      <c r="AD93" s="172" t="str">
        <f>IF(ISTEXT(VLOOKUP(CONCATENATE($A93,"_",AD$3),'Unit List'!$A$14:$H$2841,2,FALSE)),"+","")</f>
        <v/>
      </c>
      <c r="AE93" s="120" t="str">
        <f>IF(ISTEXT(VLOOKUP(CONCATENATE($A93,"_",AE$3),'Unit List'!$A$14:$H$2841,2,FALSE)),"X",$AD93)</f>
        <v/>
      </c>
      <c r="AF93" s="120" t="str">
        <f>IF(ISTEXT(VLOOKUP(CONCATENATE($A93,"_",AF$3),'Unit List'!$A$14:$H$2841,2,FALSE)),"X",$AD93)</f>
        <v/>
      </c>
      <c r="AG93" s="172" t="str">
        <f>IF(ISTEXT(VLOOKUP(CONCATENATE($A93,"_",AG$3),'Unit List'!$A$14:$H$2841,2,FALSE)),"+","")</f>
        <v/>
      </c>
      <c r="AH93" s="120" t="str">
        <f>IF(ISTEXT(VLOOKUP(CONCATENATE($A93,"_",AH$3),'Unit List'!$A$14:$H$2841,2,FALSE)),"X",$AG93)</f>
        <v/>
      </c>
      <c r="AI93" s="120" t="str">
        <f>IF(ISTEXT(VLOOKUP(CONCATENATE($A93,"_",AI$3),'Unit List'!$A$14:$H$2841,2,FALSE)),"X",$AG93)</f>
        <v/>
      </c>
      <c r="AJ93" s="122" t="str">
        <f>IF(ISTEXT(VLOOKUP(CONCATENATE($A93,"_",AJ$3),'Unit List'!$A$14:$H$2841,2,FALSE)),"X",$AG93)</f>
        <v/>
      </c>
      <c r="AK93" s="172" t="str">
        <f>IF(ISTEXT(VLOOKUP(CONCATENATE($A93,"_",AK$3),'Unit List'!$A$14:$H$2841,2,FALSE)),"+","")</f>
        <v/>
      </c>
      <c r="AL93" s="121" t="str">
        <f>IF(ISTEXT(VLOOKUP(CONCATENATE($A93,"_",AL$3),'Unit List'!$A$14:$H$2841,2,FALSE)),"X",$AK93)</f>
        <v/>
      </c>
      <c r="AM93" s="122" t="str">
        <f>IF(ISTEXT(VLOOKUP(CONCATENATE($A93,"_",AM$3),'Unit List'!$A$14:$H$2841,2,FALSE)),"X",$AK93)</f>
        <v/>
      </c>
      <c r="AN93" s="125" t="str">
        <f>IF(ISTEXT(VLOOKUP(CONCATENATE($A93,"_",AN$3),'Unit List'!$A$14:$H$2841,2,FALSE)),"+","")</f>
        <v/>
      </c>
      <c r="AO93" s="122" t="str">
        <f>IF(ISTEXT(VLOOKUP(CONCATENATE($A93,"_",AO$3),'Unit List'!$A$14:$H$2841,2,FALSE)),"X",$AN93)</f>
        <v/>
      </c>
      <c r="AP93" s="172" t="str">
        <f>IF(ISTEXT(VLOOKUP(CONCATENATE($A93,"_",AP$3),'Unit List'!$A$14:$H$2841,2,FALSE)),"+","")</f>
        <v/>
      </c>
      <c r="AQ93" s="120" t="str">
        <f>IF(ISTEXT(VLOOKUP(CONCATENATE($A93,"_",AQ$3),'Unit List'!$A$14:$H$2841,2,FALSE)),"X",$AP93)</f>
        <v/>
      </c>
      <c r="AR93" s="120" t="str">
        <f>IF(ISTEXT(VLOOKUP(CONCATENATE($A93,"_",AR$3),'Unit List'!$A$14:$H$2841,2,FALSE)),"X",$AP93)</f>
        <v/>
      </c>
      <c r="AS93" s="120" t="str">
        <f>IF(ISTEXT(VLOOKUP(CONCATENATE($A93,"_",AS$3),'Unit List'!$A$14:$H$2841,2,FALSE)),"X",$AP93)</f>
        <v/>
      </c>
      <c r="AT93" s="122" t="str">
        <f>IF(ISTEXT(VLOOKUP(CONCATENATE($A93,"_",AT$3),'Unit List'!$A$14:$H$2841,2,FALSE)),"X",$AP93)</f>
        <v/>
      </c>
      <c r="AU93" s="124" t="str">
        <f>IF(ISTEXT(VLOOKUP(CONCATENATE($A93,"_",AU$3),'Unit List'!$A$14:$H$2841,2,FALSE)),"+","")</f>
        <v/>
      </c>
      <c r="AV93" s="120" t="str">
        <f>IF(ISTEXT(VLOOKUP(CONCATENATE($A93,"_",AV$3),'Unit List'!$A$14:$H$2841,2,FALSE)),"X",$AU93)</f>
        <v/>
      </c>
      <c r="AW93" s="122" t="str">
        <f>IF(ISTEXT(VLOOKUP(CONCATENATE($A93,"_",AW$3),'Unit List'!$A$14:$H$2841,2,FALSE)),"X",$AU93)</f>
        <v/>
      </c>
      <c r="AX93" s="172" t="str">
        <f>IF(ISTEXT(VLOOKUP(CONCATENATE($A93,"_",AX$3),'Unit List'!$A$14:$H$2841,2,FALSE)),"+","")</f>
        <v/>
      </c>
      <c r="AY93" s="120" t="str">
        <f>IF(ISTEXT(VLOOKUP(CONCATENATE($A93,"_",AY$3),'Unit List'!$A$14:$H$2841,2,FALSE)),"X",$AX93)</f>
        <v/>
      </c>
      <c r="AZ93" s="122" t="str">
        <f>IF(ISTEXT(VLOOKUP(CONCATENATE($A93,"_",AZ$3),'Unit List'!$A$14:$H$2841,2,FALSE)),"X",$AX93)</f>
        <v/>
      </c>
      <c r="BA93" s="182" t="str">
        <f>IF(ISTEXT(VLOOKUP(CONCATENATE($A93,"_",BA$3),'Unit List'!$A$14:$H$2841,2,FALSE)),"+","")</f>
        <v/>
      </c>
      <c r="BB93" s="120" t="str">
        <f>IF(ISTEXT(VLOOKUP(CONCATENATE($A93,"_",BB$3),'Unit List'!$A$14:$H$2841,2,FALSE)),"X",$BA93)</f>
        <v/>
      </c>
      <c r="BC93" s="120" t="str">
        <f>IF(ISTEXT(VLOOKUP(CONCATENATE($A93,"_",BC$3),'Unit List'!$A$14:$H$2841,2,FALSE)),"X",$BA93)</f>
        <v/>
      </c>
      <c r="BD93" s="122" t="str">
        <f>IF(ISTEXT(VLOOKUP(CONCATENATE($A93,"_",BD$3),'Unit List'!$A$14:$H$2841,2,FALSE)),"X",$BA93)</f>
        <v/>
      </c>
      <c r="BE93" s="125" t="str">
        <f>IF(ISTEXT(VLOOKUP(CONCATENATE($A93,"_",BE$3),'Unit List'!$A$14:$H$2841,2,FALSE)),"+","")</f>
        <v/>
      </c>
      <c r="BF93" s="75" t="str">
        <f>IF(ISTEXT(VLOOKUP(CONCATENATE($A93,"_",BF$3),'Unit List'!$A$14:$H$2841,2,FALSE)),"X",$BE93)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List'!$A$14:$H$2841,2,FALSE)),"+","")</f>
        <v/>
      </c>
      <c r="C94" s="119" t="str">
        <f>IF(ISTEXT(VLOOKUP(CONCATENATE($A94,"_",C$3),'Unit List'!$A$14:$H$2841,2,FALSE)),"X",$B94)</f>
        <v/>
      </c>
      <c r="D94" s="120" t="str">
        <f>IF(ISTEXT(VLOOKUP(CONCATENATE($A94,"_",D$3),'Unit List'!$A$14:$H$2841,2,FALSE)),"X",$B94)</f>
        <v/>
      </c>
      <c r="E94" s="120" t="str">
        <f>IF(ISTEXT(VLOOKUP(CONCATENATE($A94,"_",E$3),'Unit List'!$A$14:$H$2841,2,FALSE)),"X",$B94)</f>
        <v/>
      </c>
      <c r="F94" s="120" t="str">
        <f>IF(ISTEXT(VLOOKUP(CONCATENATE($A94,"_",F$3),'Unit List'!$A$14:$H$2841,2,FALSE)),"X",$B94)</f>
        <v/>
      </c>
      <c r="G94" s="120" t="str">
        <f>IF(ISTEXT(VLOOKUP(CONCATENATE($A94,"_",G$3),'Unit List'!$A$14:$H$2841,2,FALSE)),"X",$B94)</f>
        <v/>
      </c>
      <c r="H94" s="120" t="str">
        <f>IF(ISTEXT(VLOOKUP(CONCATENATE($A94,"_",H$3),'Unit List'!$A$14:$H$2841,2,FALSE)),"X",$B94)</f>
        <v/>
      </c>
      <c r="I94" s="122" t="str">
        <f>IF(ISTEXT(VLOOKUP(CONCATENATE($A94,"_",I$3),'Unit List'!$A$14:$H$2841,2,FALSE)),"X",$B94)</f>
        <v/>
      </c>
      <c r="J94" s="172" t="str">
        <f>IF(ISTEXT(VLOOKUP(CONCATENATE($A94,"_",J$3),'Unit List'!$A$14:$H$2841,2,FALSE)),"+","")</f>
        <v/>
      </c>
      <c r="K94" s="120" t="str">
        <f>IF(ISTEXT(VLOOKUP(CONCATENATE($A94,"_",K$3),'Unit List'!$A$14:$H$2841,2,FALSE)),"X",$J94)</f>
        <v/>
      </c>
      <c r="L94" s="75" t="str">
        <f>IF(ISTEXT(VLOOKUP(CONCATENATE($A94,"_",L$3),'Unit List'!$A$14:$H$2841,2,FALSE)),"X",$J94)</f>
        <v/>
      </c>
      <c r="M94" s="172" t="str">
        <f>IF(ISTEXT(VLOOKUP(CONCATENATE($A94,"_",M$3),'Unit List'!$A$14:$H$2841,2,FALSE)),"+","")</f>
        <v/>
      </c>
      <c r="N94" s="120" t="str">
        <f>IF(ISTEXT(VLOOKUP(CONCATENATE($A94,"_",N$3),'Unit List'!$A$14:$H$2841,2,FALSE)),"X",$M94)</f>
        <v/>
      </c>
      <c r="O94" s="122" t="str">
        <f>IF(ISTEXT(VLOOKUP(CONCATENATE($A94,"_",O$3),'Unit List'!$A$14:$H$2841,2,FALSE)),"X",$M94)</f>
        <v/>
      </c>
      <c r="P94" s="172" t="str">
        <f>IF(ISTEXT(VLOOKUP(CONCATENATE($A94,"_",P$3),'Unit List'!$A$14:$H$2841,2,FALSE)),"+","")</f>
        <v/>
      </c>
      <c r="Q94" s="120" t="str">
        <f>IF(ISTEXT(VLOOKUP(CONCATENATE($A94,"_",Q$3),'Unit List'!$A$14:$H$2841,2,FALSE)),"X",$P94)</f>
        <v/>
      </c>
      <c r="R94" s="120" t="str">
        <f>IF(ISTEXT(VLOOKUP(CONCATENATE($A94,"_",R$3),'Unit List'!$A$14:$H$2841,2,FALSE)),"X",$P94)</f>
        <v/>
      </c>
      <c r="S94" s="120" t="str">
        <f>IF(ISTEXT(VLOOKUP(CONCATENATE($A94,"_",S$3),'Unit List'!$A$14:$H$2841,2,FALSE)),"X",$P94)</f>
        <v/>
      </c>
      <c r="T94" s="121" t="str">
        <f>IF(ISTEXT(VLOOKUP(CONCATENATE($A94,"_",T$3),'Unit List'!$A$14:$H$2841,2,FALSE)),"X",$P94)</f>
        <v/>
      </c>
      <c r="U94" s="120" t="str">
        <f>IF(ISTEXT(VLOOKUP(CONCATENATE($A94,"_",U$3),'Unit List'!$A$14:$H$2841,2,FALSE)),"X",$P94)</f>
        <v/>
      </c>
      <c r="V94" s="120" t="str">
        <f>IF(ISTEXT(VLOOKUP(CONCATENATE($A94,"_",V$3),'Unit List'!$A$14:$H$2841,2,FALSE)),"X",$P94)</f>
        <v/>
      </c>
      <c r="W94" s="122" t="str">
        <f>IF(ISTEXT(VLOOKUP(CONCATENATE($A94,"_",W$3),'Unit List'!$A$14:$H$2841,2,FALSE)),"X",$P94)</f>
        <v/>
      </c>
      <c r="X94" s="172" t="str">
        <f>IF(ISTEXT(VLOOKUP(CONCATENATE($A94,"_",X$3),'Unit List'!$A$14:$H$2841,2,FALSE)),"+","")</f>
        <v/>
      </c>
      <c r="Y94" s="120" t="str">
        <f>IF(ISTEXT(VLOOKUP(CONCATENATE($A94,"_",Y$3),'Unit List'!$A$14:$H$2841,2,FALSE)),"X",$X94)</f>
        <v/>
      </c>
      <c r="Z94" s="120" t="str">
        <f>IF(ISTEXT(VLOOKUP(CONCATENATE($A94,"_",Z$3),'Unit List'!$A$14:$H$2841,2,FALSE)),"X",$X94)</f>
        <v/>
      </c>
      <c r="AA94" s="120" t="str">
        <f>IF(ISTEXT(VLOOKUP(CONCATENATE($A94,"_",AA$3),'Unit List'!$A$14:$H$2841,2,FALSE)),"X",$X94)</f>
        <v/>
      </c>
      <c r="AB94" s="120" t="str">
        <f>IF(ISTEXT(VLOOKUP(CONCATENATE($A94,"_",AB$3),'Unit List'!$A$14:$H$2841,2,FALSE)),"X",$X94)</f>
        <v/>
      </c>
      <c r="AC94" s="75" t="str">
        <f>IF(ISTEXT(VLOOKUP(CONCATENATE($A94,"_",AC$3),'Unit List'!$A$14:$H$2841,2,FALSE)),"X",$X94)</f>
        <v/>
      </c>
      <c r="AD94" s="172" t="str">
        <f>IF(ISTEXT(VLOOKUP(CONCATENATE($A94,"_",AD$3),'Unit List'!$A$14:$H$2841,2,FALSE)),"+","")</f>
        <v/>
      </c>
      <c r="AE94" s="120" t="str">
        <f>IF(ISTEXT(VLOOKUP(CONCATENATE($A94,"_",AE$3),'Unit List'!$A$14:$H$2841,2,FALSE)),"X",$AD94)</f>
        <v/>
      </c>
      <c r="AF94" s="120" t="str">
        <f>IF(ISTEXT(VLOOKUP(CONCATENATE($A94,"_",AF$3),'Unit List'!$A$14:$H$2841,2,FALSE)),"X",$AD94)</f>
        <v/>
      </c>
      <c r="AG94" s="172" t="str">
        <f>IF(ISTEXT(VLOOKUP(CONCATENATE($A94,"_",AG$3),'Unit List'!$A$14:$H$2841,2,FALSE)),"+","")</f>
        <v/>
      </c>
      <c r="AH94" s="120" t="str">
        <f>IF(ISTEXT(VLOOKUP(CONCATENATE($A94,"_",AH$3),'Unit List'!$A$14:$H$2841,2,FALSE)),"X",$AG94)</f>
        <v/>
      </c>
      <c r="AI94" s="120" t="str">
        <f>IF(ISTEXT(VLOOKUP(CONCATENATE($A94,"_",AI$3),'Unit List'!$A$14:$H$2841,2,FALSE)),"X",$AG94)</f>
        <v/>
      </c>
      <c r="AJ94" s="122" t="str">
        <f>IF(ISTEXT(VLOOKUP(CONCATENATE($A94,"_",AJ$3),'Unit List'!$A$14:$H$2841,2,FALSE)),"X",$AG94)</f>
        <v/>
      </c>
      <c r="AK94" s="172" t="str">
        <f>IF(ISTEXT(VLOOKUP(CONCATENATE($A94,"_",AK$3),'Unit List'!$A$14:$H$2841,2,FALSE)),"+","")</f>
        <v/>
      </c>
      <c r="AL94" s="121" t="str">
        <f>IF(ISTEXT(VLOOKUP(CONCATENATE($A94,"_",AL$3),'Unit List'!$A$14:$H$2841,2,FALSE)),"X",$AK94)</f>
        <v/>
      </c>
      <c r="AM94" s="122" t="str">
        <f>IF(ISTEXT(VLOOKUP(CONCATENATE($A94,"_",AM$3),'Unit List'!$A$14:$H$2841,2,FALSE)),"X",$AK94)</f>
        <v/>
      </c>
      <c r="AN94" s="125" t="str">
        <f>IF(ISTEXT(VLOOKUP(CONCATENATE($A94,"_",AN$3),'Unit List'!$A$14:$H$2841,2,FALSE)),"+","")</f>
        <v/>
      </c>
      <c r="AO94" s="122" t="str">
        <f>IF(ISTEXT(VLOOKUP(CONCATENATE($A94,"_",AO$3),'Unit List'!$A$14:$H$2841,2,FALSE)),"X",$AN94)</f>
        <v/>
      </c>
      <c r="AP94" s="172" t="str">
        <f>IF(ISTEXT(VLOOKUP(CONCATENATE($A94,"_",AP$3),'Unit List'!$A$14:$H$2841,2,FALSE)),"+","")</f>
        <v/>
      </c>
      <c r="AQ94" s="120" t="str">
        <f>IF(ISTEXT(VLOOKUP(CONCATENATE($A94,"_",AQ$3),'Unit List'!$A$14:$H$2841,2,FALSE)),"X",$AP94)</f>
        <v/>
      </c>
      <c r="AR94" s="120" t="str">
        <f>IF(ISTEXT(VLOOKUP(CONCATENATE($A94,"_",AR$3),'Unit List'!$A$14:$H$2841,2,FALSE)),"X",$AP94)</f>
        <v/>
      </c>
      <c r="AS94" s="120" t="str">
        <f>IF(ISTEXT(VLOOKUP(CONCATENATE($A94,"_",AS$3),'Unit List'!$A$14:$H$2841,2,FALSE)),"X",$AP94)</f>
        <v/>
      </c>
      <c r="AT94" s="122" t="str">
        <f>IF(ISTEXT(VLOOKUP(CONCATENATE($A94,"_",AT$3),'Unit List'!$A$14:$H$2841,2,FALSE)),"X",$AP94)</f>
        <v/>
      </c>
      <c r="AU94" s="124" t="str">
        <f>IF(ISTEXT(VLOOKUP(CONCATENATE($A94,"_",AU$3),'Unit List'!$A$14:$H$2841,2,FALSE)),"+","")</f>
        <v/>
      </c>
      <c r="AV94" s="120" t="str">
        <f>IF(ISTEXT(VLOOKUP(CONCATENATE($A94,"_",AV$3),'Unit List'!$A$14:$H$2841,2,FALSE)),"X",$AU94)</f>
        <v/>
      </c>
      <c r="AW94" s="122" t="str">
        <f>IF(ISTEXT(VLOOKUP(CONCATENATE($A94,"_",AW$3),'Unit List'!$A$14:$H$2841,2,FALSE)),"X",$AU94)</f>
        <v/>
      </c>
      <c r="AX94" s="172" t="str">
        <f>IF(ISTEXT(VLOOKUP(CONCATENATE($A94,"_",AX$3),'Unit List'!$A$14:$H$2841,2,FALSE)),"+","")</f>
        <v/>
      </c>
      <c r="AY94" s="120" t="str">
        <f>IF(ISTEXT(VLOOKUP(CONCATENATE($A94,"_",AY$3),'Unit List'!$A$14:$H$2841,2,FALSE)),"X",$AX94)</f>
        <v/>
      </c>
      <c r="AZ94" s="122" t="str">
        <f>IF(ISTEXT(VLOOKUP(CONCATENATE($A94,"_",AZ$3),'Unit List'!$A$14:$H$2841,2,FALSE)),"X",$AX94)</f>
        <v/>
      </c>
      <c r="BA94" s="182" t="str">
        <f>IF(ISTEXT(VLOOKUP(CONCATENATE($A94,"_",BA$3),'Unit List'!$A$14:$H$2841,2,FALSE)),"+","")</f>
        <v/>
      </c>
      <c r="BB94" s="120" t="str">
        <f>IF(ISTEXT(VLOOKUP(CONCATENATE($A94,"_",BB$3),'Unit List'!$A$14:$H$2841,2,FALSE)),"X",$BA94)</f>
        <v/>
      </c>
      <c r="BC94" s="120" t="str">
        <f>IF(ISTEXT(VLOOKUP(CONCATENATE($A94,"_",BC$3),'Unit List'!$A$14:$H$2841,2,FALSE)),"X",$BA94)</f>
        <v/>
      </c>
      <c r="BD94" s="122" t="str">
        <f>IF(ISTEXT(VLOOKUP(CONCATENATE($A94,"_",BD$3),'Unit List'!$A$14:$H$2841,2,FALSE)),"X",$BA94)</f>
        <v/>
      </c>
      <c r="BE94" s="125" t="str">
        <f>IF(ISTEXT(VLOOKUP(CONCATENATE($A94,"_",BE$3),'Unit List'!$A$14:$H$2841,2,FALSE)),"+","")</f>
        <v/>
      </c>
      <c r="BF94" s="75" t="str">
        <f>IF(ISTEXT(VLOOKUP(CONCATENATE($A94,"_",BF$3),'Unit List'!$A$14:$H$2841,2,FALSE)),"X",$BE94)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List'!$A$14:$H$2841,2,FALSE)),"+","")</f>
        <v/>
      </c>
      <c r="C95" s="119" t="str">
        <f>IF(ISTEXT(VLOOKUP(CONCATENATE($A95,"_",C$3),'Unit List'!$A$14:$H$2841,2,FALSE)),"X",$B95)</f>
        <v/>
      </c>
      <c r="D95" s="120" t="str">
        <f>IF(ISTEXT(VLOOKUP(CONCATENATE($A95,"_",D$3),'Unit List'!$A$14:$H$2841,2,FALSE)),"X",$B95)</f>
        <v/>
      </c>
      <c r="E95" s="120" t="str">
        <f>IF(ISTEXT(VLOOKUP(CONCATENATE($A95,"_",E$3),'Unit List'!$A$14:$H$2841,2,FALSE)),"X",$B95)</f>
        <v/>
      </c>
      <c r="F95" s="120" t="str">
        <f>IF(ISTEXT(VLOOKUP(CONCATENATE($A95,"_",F$3),'Unit List'!$A$14:$H$2841,2,FALSE)),"X",$B95)</f>
        <v/>
      </c>
      <c r="G95" s="120" t="str">
        <f>IF(ISTEXT(VLOOKUP(CONCATENATE($A95,"_",G$3),'Unit List'!$A$14:$H$2841,2,FALSE)),"X",$B95)</f>
        <v/>
      </c>
      <c r="H95" s="120" t="str">
        <f>IF(ISTEXT(VLOOKUP(CONCATENATE($A95,"_",H$3),'Unit List'!$A$14:$H$2841,2,FALSE)),"X",$B95)</f>
        <v/>
      </c>
      <c r="I95" s="122" t="str">
        <f>IF(ISTEXT(VLOOKUP(CONCATENATE($A95,"_",I$3),'Unit List'!$A$14:$H$2841,2,FALSE)),"X",$B95)</f>
        <v/>
      </c>
      <c r="J95" s="172" t="str">
        <f>IF(ISTEXT(VLOOKUP(CONCATENATE($A95,"_",J$3),'Unit List'!$A$14:$H$2841,2,FALSE)),"+","")</f>
        <v/>
      </c>
      <c r="K95" s="120" t="str">
        <f>IF(ISTEXT(VLOOKUP(CONCATENATE($A95,"_",K$3),'Unit List'!$A$14:$H$2841,2,FALSE)),"X",$J95)</f>
        <v/>
      </c>
      <c r="L95" s="75" t="str">
        <f>IF(ISTEXT(VLOOKUP(CONCATENATE($A95,"_",L$3),'Unit List'!$A$14:$H$2841,2,FALSE)),"X",$J95)</f>
        <v/>
      </c>
      <c r="M95" s="172" t="str">
        <f>IF(ISTEXT(VLOOKUP(CONCATENATE($A95,"_",M$3),'Unit List'!$A$14:$H$2841,2,FALSE)),"+","")</f>
        <v/>
      </c>
      <c r="N95" s="120" t="str">
        <f>IF(ISTEXT(VLOOKUP(CONCATENATE($A95,"_",N$3),'Unit List'!$A$14:$H$2841,2,FALSE)),"X",$M95)</f>
        <v/>
      </c>
      <c r="O95" s="122" t="str">
        <f>IF(ISTEXT(VLOOKUP(CONCATENATE($A95,"_",O$3),'Unit List'!$A$14:$H$2841,2,FALSE)),"X",$M95)</f>
        <v/>
      </c>
      <c r="P95" s="172" t="str">
        <f>IF(ISTEXT(VLOOKUP(CONCATENATE($A95,"_",P$3),'Unit List'!$A$14:$H$2841,2,FALSE)),"+","")</f>
        <v/>
      </c>
      <c r="Q95" s="120" t="str">
        <f>IF(ISTEXT(VLOOKUP(CONCATENATE($A95,"_",Q$3),'Unit List'!$A$14:$H$2841,2,FALSE)),"X",$P95)</f>
        <v/>
      </c>
      <c r="R95" s="120" t="str">
        <f>IF(ISTEXT(VLOOKUP(CONCATENATE($A95,"_",R$3),'Unit List'!$A$14:$H$2841,2,FALSE)),"X",$P95)</f>
        <v/>
      </c>
      <c r="S95" s="120" t="str">
        <f>IF(ISTEXT(VLOOKUP(CONCATENATE($A95,"_",S$3),'Unit List'!$A$14:$H$2841,2,FALSE)),"X",$P95)</f>
        <v/>
      </c>
      <c r="T95" s="121" t="str">
        <f>IF(ISTEXT(VLOOKUP(CONCATENATE($A95,"_",T$3),'Unit List'!$A$14:$H$2841,2,FALSE)),"X",$P95)</f>
        <v/>
      </c>
      <c r="U95" s="120" t="str">
        <f>IF(ISTEXT(VLOOKUP(CONCATENATE($A95,"_",U$3),'Unit List'!$A$14:$H$2841,2,FALSE)),"X",$P95)</f>
        <v/>
      </c>
      <c r="V95" s="120" t="str">
        <f>IF(ISTEXT(VLOOKUP(CONCATENATE($A95,"_",V$3),'Unit List'!$A$14:$H$2841,2,FALSE)),"X",$P95)</f>
        <v/>
      </c>
      <c r="W95" s="122" t="str">
        <f>IF(ISTEXT(VLOOKUP(CONCATENATE($A95,"_",W$3),'Unit List'!$A$14:$H$2841,2,FALSE)),"X",$P95)</f>
        <v/>
      </c>
      <c r="X95" s="172" t="str">
        <f>IF(ISTEXT(VLOOKUP(CONCATENATE($A95,"_",X$3),'Unit List'!$A$14:$H$2841,2,FALSE)),"+","")</f>
        <v/>
      </c>
      <c r="Y95" s="120" t="str">
        <f>IF(ISTEXT(VLOOKUP(CONCATENATE($A95,"_",Y$3),'Unit List'!$A$14:$H$2841,2,FALSE)),"X",$X95)</f>
        <v/>
      </c>
      <c r="Z95" s="120" t="str">
        <f>IF(ISTEXT(VLOOKUP(CONCATENATE($A95,"_",Z$3),'Unit List'!$A$14:$H$2841,2,FALSE)),"X",$X95)</f>
        <v/>
      </c>
      <c r="AA95" s="120" t="str">
        <f>IF(ISTEXT(VLOOKUP(CONCATENATE($A95,"_",AA$3),'Unit List'!$A$14:$H$2841,2,FALSE)),"X",$X95)</f>
        <v/>
      </c>
      <c r="AB95" s="120" t="str">
        <f>IF(ISTEXT(VLOOKUP(CONCATENATE($A95,"_",AB$3),'Unit List'!$A$14:$H$2841,2,FALSE)),"X",$X95)</f>
        <v/>
      </c>
      <c r="AC95" s="75" t="str">
        <f>IF(ISTEXT(VLOOKUP(CONCATENATE($A95,"_",AC$3),'Unit List'!$A$14:$H$2841,2,FALSE)),"X",$X95)</f>
        <v/>
      </c>
      <c r="AD95" s="172" t="str">
        <f>IF(ISTEXT(VLOOKUP(CONCATENATE($A95,"_",AD$3),'Unit List'!$A$14:$H$2841,2,FALSE)),"+","")</f>
        <v/>
      </c>
      <c r="AE95" s="120" t="str">
        <f>IF(ISTEXT(VLOOKUP(CONCATENATE($A95,"_",AE$3),'Unit List'!$A$14:$H$2841,2,FALSE)),"X",$AD95)</f>
        <v/>
      </c>
      <c r="AF95" s="120" t="str">
        <f>IF(ISTEXT(VLOOKUP(CONCATENATE($A95,"_",AF$3),'Unit List'!$A$14:$H$2841,2,FALSE)),"X",$AD95)</f>
        <v/>
      </c>
      <c r="AG95" s="172" t="str">
        <f>IF(ISTEXT(VLOOKUP(CONCATENATE($A95,"_",AG$3),'Unit List'!$A$14:$H$2841,2,FALSE)),"+","")</f>
        <v/>
      </c>
      <c r="AH95" s="120" t="str">
        <f>IF(ISTEXT(VLOOKUP(CONCATENATE($A95,"_",AH$3),'Unit List'!$A$14:$H$2841,2,FALSE)),"X",$AG95)</f>
        <v/>
      </c>
      <c r="AI95" s="120" t="str">
        <f>IF(ISTEXT(VLOOKUP(CONCATENATE($A95,"_",AI$3),'Unit List'!$A$14:$H$2841,2,FALSE)),"X",$AG95)</f>
        <v/>
      </c>
      <c r="AJ95" s="122" t="str">
        <f>IF(ISTEXT(VLOOKUP(CONCATENATE($A95,"_",AJ$3),'Unit List'!$A$14:$H$2841,2,FALSE)),"X",$AG95)</f>
        <v/>
      </c>
      <c r="AK95" s="172" t="str">
        <f>IF(ISTEXT(VLOOKUP(CONCATENATE($A95,"_",AK$3),'Unit List'!$A$14:$H$2841,2,FALSE)),"+","")</f>
        <v/>
      </c>
      <c r="AL95" s="121" t="str">
        <f>IF(ISTEXT(VLOOKUP(CONCATENATE($A95,"_",AL$3),'Unit List'!$A$14:$H$2841,2,FALSE)),"X",$AK95)</f>
        <v/>
      </c>
      <c r="AM95" s="122" t="str">
        <f>IF(ISTEXT(VLOOKUP(CONCATENATE($A95,"_",AM$3),'Unit List'!$A$14:$H$2841,2,FALSE)),"X",$AK95)</f>
        <v/>
      </c>
      <c r="AN95" s="125" t="str">
        <f>IF(ISTEXT(VLOOKUP(CONCATENATE($A95,"_",AN$3),'Unit List'!$A$14:$H$2841,2,FALSE)),"+","")</f>
        <v/>
      </c>
      <c r="AO95" s="122" t="str">
        <f>IF(ISTEXT(VLOOKUP(CONCATENATE($A95,"_",AO$3),'Unit List'!$A$14:$H$2841,2,FALSE)),"X",$AN95)</f>
        <v/>
      </c>
      <c r="AP95" s="172" t="str">
        <f>IF(ISTEXT(VLOOKUP(CONCATENATE($A95,"_",AP$3),'Unit List'!$A$14:$H$2841,2,FALSE)),"+","")</f>
        <v/>
      </c>
      <c r="AQ95" s="120" t="str">
        <f>IF(ISTEXT(VLOOKUP(CONCATENATE($A95,"_",AQ$3),'Unit List'!$A$14:$H$2841,2,FALSE)),"X",$AP95)</f>
        <v/>
      </c>
      <c r="AR95" s="120" t="str">
        <f>IF(ISTEXT(VLOOKUP(CONCATENATE($A95,"_",AR$3),'Unit List'!$A$14:$H$2841,2,FALSE)),"X",$AP95)</f>
        <v/>
      </c>
      <c r="AS95" s="120" t="str">
        <f>IF(ISTEXT(VLOOKUP(CONCATENATE($A95,"_",AS$3),'Unit List'!$A$14:$H$2841,2,FALSE)),"X",$AP95)</f>
        <v/>
      </c>
      <c r="AT95" s="122" t="str">
        <f>IF(ISTEXT(VLOOKUP(CONCATENATE($A95,"_",AT$3),'Unit List'!$A$14:$H$2841,2,FALSE)),"X",$AP95)</f>
        <v/>
      </c>
      <c r="AU95" s="124" t="str">
        <f>IF(ISTEXT(VLOOKUP(CONCATENATE($A95,"_",AU$3),'Unit List'!$A$14:$H$2841,2,FALSE)),"+","")</f>
        <v/>
      </c>
      <c r="AV95" s="120" t="str">
        <f>IF(ISTEXT(VLOOKUP(CONCATENATE($A95,"_",AV$3),'Unit List'!$A$14:$H$2841,2,FALSE)),"X",$AU95)</f>
        <v/>
      </c>
      <c r="AW95" s="122" t="str">
        <f>IF(ISTEXT(VLOOKUP(CONCATENATE($A95,"_",AW$3),'Unit List'!$A$14:$H$2841,2,FALSE)),"X",$AU95)</f>
        <v/>
      </c>
      <c r="AX95" s="172" t="str">
        <f>IF(ISTEXT(VLOOKUP(CONCATENATE($A95,"_",AX$3),'Unit List'!$A$14:$H$2841,2,FALSE)),"+","")</f>
        <v/>
      </c>
      <c r="AY95" s="120" t="str">
        <f>IF(ISTEXT(VLOOKUP(CONCATENATE($A95,"_",AY$3),'Unit List'!$A$14:$H$2841,2,FALSE)),"X",$AX95)</f>
        <v/>
      </c>
      <c r="AZ95" s="122" t="str">
        <f>IF(ISTEXT(VLOOKUP(CONCATENATE($A95,"_",AZ$3),'Unit List'!$A$14:$H$2841,2,FALSE)),"X",$AX95)</f>
        <v/>
      </c>
      <c r="BA95" s="182" t="str">
        <f>IF(ISTEXT(VLOOKUP(CONCATENATE($A95,"_",BA$3),'Unit List'!$A$14:$H$2841,2,FALSE)),"+","")</f>
        <v/>
      </c>
      <c r="BB95" s="120" t="str">
        <f>IF(ISTEXT(VLOOKUP(CONCATENATE($A95,"_",BB$3),'Unit List'!$A$14:$H$2841,2,FALSE)),"X",$BA95)</f>
        <v/>
      </c>
      <c r="BC95" s="120" t="str">
        <f>IF(ISTEXT(VLOOKUP(CONCATENATE($A95,"_",BC$3),'Unit List'!$A$14:$H$2841,2,FALSE)),"X",$BA95)</f>
        <v/>
      </c>
      <c r="BD95" s="122" t="str">
        <f>IF(ISTEXT(VLOOKUP(CONCATENATE($A95,"_",BD$3),'Unit List'!$A$14:$H$2841,2,FALSE)),"X",$BA95)</f>
        <v/>
      </c>
      <c r="BE95" s="125" t="str">
        <f>IF(ISTEXT(VLOOKUP(CONCATENATE($A95,"_",BE$3),'Unit List'!$A$14:$H$2841,2,FALSE)),"+","")</f>
        <v/>
      </c>
      <c r="BF95" s="75" t="str">
        <f>IF(ISTEXT(VLOOKUP(CONCATENATE($A95,"_",BF$3),'Unit List'!$A$14:$H$2841,2,FALSE)),"X",$BE95)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List'!$A$14:$H$2841,2,FALSE)),"+","")</f>
        <v/>
      </c>
      <c r="C96" s="119" t="str">
        <f>IF(ISTEXT(VLOOKUP(CONCATENATE($A96,"_",C$3),'Unit List'!$A$14:$H$2841,2,FALSE)),"X",$B96)</f>
        <v/>
      </c>
      <c r="D96" s="120" t="str">
        <f>IF(ISTEXT(VLOOKUP(CONCATENATE($A96,"_",D$3),'Unit List'!$A$14:$H$2841,2,FALSE)),"X",$B96)</f>
        <v/>
      </c>
      <c r="E96" s="120" t="str">
        <f>IF(ISTEXT(VLOOKUP(CONCATENATE($A96,"_",E$3),'Unit List'!$A$14:$H$2841,2,FALSE)),"X",$B96)</f>
        <v/>
      </c>
      <c r="F96" s="120" t="str">
        <f>IF(ISTEXT(VLOOKUP(CONCATENATE($A96,"_",F$3),'Unit List'!$A$14:$H$2841,2,FALSE)),"X",$B96)</f>
        <v/>
      </c>
      <c r="G96" s="120" t="str">
        <f>IF(ISTEXT(VLOOKUP(CONCATENATE($A96,"_",G$3),'Unit List'!$A$14:$H$2841,2,FALSE)),"X",$B96)</f>
        <v/>
      </c>
      <c r="H96" s="120" t="str">
        <f>IF(ISTEXT(VLOOKUP(CONCATENATE($A96,"_",H$3),'Unit List'!$A$14:$H$2841,2,FALSE)),"X",$B96)</f>
        <v/>
      </c>
      <c r="I96" s="122" t="str">
        <f>IF(ISTEXT(VLOOKUP(CONCATENATE($A96,"_",I$3),'Unit List'!$A$14:$H$2841,2,FALSE)),"X",$B96)</f>
        <v/>
      </c>
      <c r="J96" s="172" t="str">
        <f>IF(ISTEXT(VLOOKUP(CONCATENATE($A96,"_",J$3),'Unit List'!$A$14:$H$2841,2,FALSE)),"+","")</f>
        <v/>
      </c>
      <c r="K96" s="120" t="str">
        <f>IF(ISTEXT(VLOOKUP(CONCATENATE($A96,"_",K$3),'Unit List'!$A$14:$H$2841,2,FALSE)),"X",$J96)</f>
        <v/>
      </c>
      <c r="L96" s="75" t="str">
        <f>IF(ISTEXT(VLOOKUP(CONCATENATE($A96,"_",L$3),'Unit List'!$A$14:$H$2841,2,FALSE)),"X",$J96)</f>
        <v/>
      </c>
      <c r="M96" s="172" t="str">
        <f>IF(ISTEXT(VLOOKUP(CONCATENATE($A96,"_",M$3),'Unit List'!$A$14:$H$2841,2,FALSE)),"+","")</f>
        <v/>
      </c>
      <c r="N96" s="120" t="str">
        <f>IF(ISTEXT(VLOOKUP(CONCATENATE($A96,"_",N$3),'Unit List'!$A$14:$H$2841,2,FALSE)),"X",$M96)</f>
        <v/>
      </c>
      <c r="O96" s="122" t="str">
        <f>IF(ISTEXT(VLOOKUP(CONCATENATE($A96,"_",O$3),'Unit List'!$A$14:$H$2841,2,FALSE)),"X",$M96)</f>
        <v/>
      </c>
      <c r="P96" s="172" t="str">
        <f>IF(ISTEXT(VLOOKUP(CONCATENATE($A96,"_",P$3),'Unit List'!$A$14:$H$2841,2,FALSE)),"+","")</f>
        <v/>
      </c>
      <c r="Q96" s="120" t="str">
        <f>IF(ISTEXT(VLOOKUP(CONCATENATE($A96,"_",Q$3),'Unit List'!$A$14:$H$2841,2,FALSE)),"X",$P96)</f>
        <v/>
      </c>
      <c r="R96" s="120" t="str">
        <f>IF(ISTEXT(VLOOKUP(CONCATENATE($A96,"_",R$3),'Unit List'!$A$14:$H$2841,2,FALSE)),"X",$P96)</f>
        <v/>
      </c>
      <c r="S96" s="120" t="str">
        <f>IF(ISTEXT(VLOOKUP(CONCATENATE($A96,"_",S$3),'Unit List'!$A$14:$H$2841,2,FALSE)),"X",$P96)</f>
        <v/>
      </c>
      <c r="T96" s="121" t="str">
        <f>IF(ISTEXT(VLOOKUP(CONCATENATE($A96,"_",T$3),'Unit List'!$A$14:$H$2841,2,FALSE)),"X",$P96)</f>
        <v/>
      </c>
      <c r="U96" s="120" t="str">
        <f>IF(ISTEXT(VLOOKUP(CONCATENATE($A96,"_",U$3),'Unit List'!$A$14:$H$2841,2,FALSE)),"X",$P96)</f>
        <v/>
      </c>
      <c r="V96" s="120" t="str">
        <f>IF(ISTEXT(VLOOKUP(CONCATENATE($A96,"_",V$3),'Unit List'!$A$14:$H$2841,2,FALSE)),"X",$P96)</f>
        <v/>
      </c>
      <c r="W96" s="122" t="str">
        <f>IF(ISTEXT(VLOOKUP(CONCATENATE($A96,"_",W$3),'Unit List'!$A$14:$H$2841,2,FALSE)),"X",$P96)</f>
        <v/>
      </c>
      <c r="X96" s="172" t="str">
        <f>IF(ISTEXT(VLOOKUP(CONCATENATE($A96,"_",X$3),'Unit List'!$A$14:$H$2841,2,FALSE)),"+","")</f>
        <v/>
      </c>
      <c r="Y96" s="120" t="str">
        <f>IF(ISTEXT(VLOOKUP(CONCATENATE($A96,"_",Y$3),'Unit List'!$A$14:$H$2841,2,FALSE)),"X",$X96)</f>
        <v/>
      </c>
      <c r="Z96" s="120" t="str">
        <f>IF(ISTEXT(VLOOKUP(CONCATENATE($A96,"_",Z$3),'Unit List'!$A$14:$H$2841,2,FALSE)),"X",$X96)</f>
        <v/>
      </c>
      <c r="AA96" s="120" t="str">
        <f>IF(ISTEXT(VLOOKUP(CONCATENATE($A96,"_",AA$3),'Unit List'!$A$14:$H$2841,2,FALSE)),"X",$X96)</f>
        <v/>
      </c>
      <c r="AB96" s="120" t="str">
        <f>IF(ISTEXT(VLOOKUP(CONCATENATE($A96,"_",AB$3),'Unit List'!$A$14:$H$2841,2,FALSE)),"X",$X96)</f>
        <v/>
      </c>
      <c r="AC96" s="75" t="str">
        <f>IF(ISTEXT(VLOOKUP(CONCATENATE($A96,"_",AC$3),'Unit List'!$A$14:$H$2841,2,FALSE)),"X",$X96)</f>
        <v/>
      </c>
      <c r="AD96" s="172" t="str">
        <f>IF(ISTEXT(VLOOKUP(CONCATENATE($A96,"_",AD$3),'Unit List'!$A$14:$H$2841,2,FALSE)),"+","")</f>
        <v/>
      </c>
      <c r="AE96" s="120" t="str">
        <f>IF(ISTEXT(VLOOKUP(CONCATENATE($A96,"_",AE$3),'Unit List'!$A$14:$H$2841,2,FALSE)),"X",$AD96)</f>
        <v/>
      </c>
      <c r="AF96" s="120" t="str">
        <f>IF(ISTEXT(VLOOKUP(CONCATENATE($A96,"_",AF$3),'Unit List'!$A$14:$H$2841,2,FALSE)),"X",$AD96)</f>
        <v/>
      </c>
      <c r="AG96" s="172" t="str">
        <f>IF(ISTEXT(VLOOKUP(CONCATENATE($A96,"_",AG$3),'Unit List'!$A$14:$H$2841,2,FALSE)),"+","")</f>
        <v/>
      </c>
      <c r="AH96" s="120" t="str">
        <f>IF(ISTEXT(VLOOKUP(CONCATENATE($A96,"_",AH$3),'Unit List'!$A$14:$H$2841,2,FALSE)),"X",$AG96)</f>
        <v/>
      </c>
      <c r="AI96" s="120" t="str">
        <f>IF(ISTEXT(VLOOKUP(CONCATENATE($A96,"_",AI$3),'Unit List'!$A$14:$H$2841,2,FALSE)),"X",$AG96)</f>
        <v/>
      </c>
      <c r="AJ96" s="122" t="str">
        <f>IF(ISTEXT(VLOOKUP(CONCATENATE($A96,"_",AJ$3),'Unit List'!$A$14:$H$2841,2,FALSE)),"X",$AG96)</f>
        <v/>
      </c>
      <c r="AK96" s="172" t="str">
        <f>IF(ISTEXT(VLOOKUP(CONCATENATE($A96,"_",AK$3),'Unit List'!$A$14:$H$2841,2,FALSE)),"+","")</f>
        <v/>
      </c>
      <c r="AL96" s="121" t="str">
        <f>IF(ISTEXT(VLOOKUP(CONCATENATE($A96,"_",AL$3),'Unit List'!$A$14:$H$2841,2,FALSE)),"X",$AK96)</f>
        <v/>
      </c>
      <c r="AM96" s="122" t="str">
        <f>IF(ISTEXT(VLOOKUP(CONCATENATE($A96,"_",AM$3),'Unit List'!$A$14:$H$2841,2,FALSE)),"X",$AK96)</f>
        <v/>
      </c>
      <c r="AN96" s="125" t="str">
        <f>IF(ISTEXT(VLOOKUP(CONCATENATE($A96,"_",AN$3),'Unit List'!$A$14:$H$2841,2,FALSE)),"+","")</f>
        <v/>
      </c>
      <c r="AO96" s="122" t="str">
        <f>IF(ISTEXT(VLOOKUP(CONCATENATE($A96,"_",AO$3),'Unit List'!$A$14:$H$2841,2,FALSE)),"X",$AN96)</f>
        <v/>
      </c>
      <c r="AP96" s="172" t="str">
        <f>IF(ISTEXT(VLOOKUP(CONCATENATE($A96,"_",AP$3),'Unit List'!$A$14:$H$2841,2,FALSE)),"+","")</f>
        <v/>
      </c>
      <c r="AQ96" s="120" t="str">
        <f>IF(ISTEXT(VLOOKUP(CONCATENATE($A96,"_",AQ$3),'Unit List'!$A$14:$H$2841,2,FALSE)),"X",$AP96)</f>
        <v/>
      </c>
      <c r="AR96" s="120" t="str">
        <f>IF(ISTEXT(VLOOKUP(CONCATENATE($A96,"_",AR$3),'Unit List'!$A$14:$H$2841,2,FALSE)),"X",$AP96)</f>
        <v/>
      </c>
      <c r="AS96" s="120" t="str">
        <f>IF(ISTEXT(VLOOKUP(CONCATENATE($A96,"_",AS$3),'Unit List'!$A$14:$H$2841,2,FALSE)),"X",$AP96)</f>
        <v/>
      </c>
      <c r="AT96" s="122" t="str">
        <f>IF(ISTEXT(VLOOKUP(CONCATENATE($A96,"_",AT$3),'Unit List'!$A$14:$H$2841,2,FALSE)),"X",$AP96)</f>
        <v/>
      </c>
      <c r="AU96" s="124" t="str">
        <f>IF(ISTEXT(VLOOKUP(CONCATENATE($A96,"_",AU$3),'Unit List'!$A$14:$H$2841,2,FALSE)),"+","")</f>
        <v/>
      </c>
      <c r="AV96" s="120" t="str">
        <f>IF(ISTEXT(VLOOKUP(CONCATENATE($A96,"_",AV$3),'Unit List'!$A$14:$H$2841,2,FALSE)),"X",$AU96)</f>
        <v/>
      </c>
      <c r="AW96" s="122" t="str">
        <f>IF(ISTEXT(VLOOKUP(CONCATENATE($A96,"_",AW$3),'Unit List'!$A$14:$H$2841,2,FALSE)),"X",$AU96)</f>
        <v/>
      </c>
      <c r="AX96" s="172" t="str">
        <f>IF(ISTEXT(VLOOKUP(CONCATENATE($A96,"_",AX$3),'Unit List'!$A$14:$H$2841,2,FALSE)),"+","")</f>
        <v/>
      </c>
      <c r="AY96" s="120" t="str">
        <f>IF(ISTEXT(VLOOKUP(CONCATENATE($A96,"_",AY$3),'Unit List'!$A$14:$H$2841,2,FALSE)),"X",$AX96)</f>
        <v/>
      </c>
      <c r="AZ96" s="122" t="str">
        <f>IF(ISTEXT(VLOOKUP(CONCATENATE($A96,"_",AZ$3),'Unit List'!$A$14:$H$2841,2,FALSE)),"X",$AX96)</f>
        <v/>
      </c>
      <c r="BA96" s="182" t="str">
        <f>IF(ISTEXT(VLOOKUP(CONCATENATE($A96,"_",BA$3),'Unit List'!$A$14:$H$2841,2,FALSE)),"+","")</f>
        <v/>
      </c>
      <c r="BB96" s="120" t="str">
        <f>IF(ISTEXT(VLOOKUP(CONCATENATE($A96,"_",BB$3),'Unit List'!$A$14:$H$2841,2,FALSE)),"X",$BA96)</f>
        <v/>
      </c>
      <c r="BC96" s="120" t="str">
        <f>IF(ISTEXT(VLOOKUP(CONCATENATE($A96,"_",BC$3),'Unit List'!$A$14:$H$2841,2,FALSE)),"X",$BA96)</f>
        <v/>
      </c>
      <c r="BD96" s="122" t="str">
        <f>IF(ISTEXT(VLOOKUP(CONCATENATE($A96,"_",BD$3),'Unit List'!$A$14:$H$2841,2,FALSE)),"X",$BA96)</f>
        <v/>
      </c>
      <c r="BE96" s="125" t="str">
        <f>IF(ISTEXT(VLOOKUP(CONCATENATE($A96,"_",BE$3),'Unit List'!$A$14:$H$2841,2,FALSE)),"+","")</f>
        <v/>
      </c>
      <c r="BF96" s="75" t="str">
        <f>IF(ISTEXT(VLOOKUP(CONCATENATE($A96,"_",BF$3),'Unit List'!$A$14:$H$2841,2,FALSE)),"X",$BE96)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List'!$A$14:$H$2841,2,FALSE)),"+","")</f>
        <v/>
      </c>
      <c r="C97" s="119" t="str">
        <f>IF(ISTEXT(VLOOKUP(CONCATENATE($A97,"_",C$3),'Unit List'!$A$14:$H$2841,2,FALSE)),"X",$B97)</f>
        <v/>
      </c>
      <c r="D97" s="120" t="str">
        <f>IF(ISTEXT(VLOOKUP(CONCATENATE($A97,"_",D$3),'Unit List'!$A$14:$H$2841,2,FALSE)),"X",$B97)</f>
        <v/>
      </c>
      <c r="E97" s="120" t="str">
        <f>IF(ISTEXT(VLOOKUP(CONCATENATE($A97,"_",E$3),'Unit List'!$A$14:$H$2841,2,FALSE)),"X",$B97)</f>
        <v/>
      </c>
      <c r="F97" s="120" t="str">
        <f>IF(ISTEXT(VLOOKUP(CONCATENATE($A97,"_",F$3),'Unit List'!$A$14:$H$2841,2,FALSE)),"X",$B97)</f>
        <v/>
      </c>
      <c r="G97" s="120" t="str">
        <f>IF(ISTEXT(VLOOKUP(CONCATENATE($A97,"_",G$3),'Unit List'!$A$14:$H$2841,2,FALSE)),"X",$B97)</f>
        <v/>
      </c>
      <c r="H97" s="120" t="str">
        <f>IF(ISTEXT(VLOOKUP(CONCATENATE($A97,"_",H$3),'Unit List'!$A$14:$H$2841,2,FALSE)),"X",$B97)</f>
        <v/>
      </c>
      <c r="I97" s="122" t="str">
        <f>IF(ISTEXT(VLOOKUP(CONCATENATE($A97,"_",I$3),'Unit List'!$A$14:$H$2841,2,FALSE)),"X",$B97)</f>
        <v/>
      </c>
      <c r="J97" s="172" t="str">
        <f>IF(ISTEXT(VLOOKUP(CONCATENATE($A97,"_",J$3),'Unit List'!$A$14:$H$2841,2,FALSE)),"+","")</f>
        <v/>
      </c>
      <c r="K97" s="120" t="str">
        <f>IF(ISTEXT(VLOOKUP(CONCATENATE($A97,"_",K$3),'Unit List'!$A$14:$H$2841,2,FALSE)),"X",$J97)</f>
        <v/>
      </c>
      <c r="L97" s="75" t="str">
        <f>IF(ISTEXT(VLOOKUP(CONCATENATE($A97,"_",L$3),'Unit List'!$A$14:$H$2841,2,FALSE)),"X",$J97)</f>
        <v/>
      </c>
      <c r="M97" s="172" t="str">
        <f>IF(ISTEXT(VLOOKUP(CONCATENATE($A97,"_",M$3),'Unit List'!$A$14:$H$2841,2,FALSE)),"+","")</f>
        <v/>
      </c>
      <c r="N97" s="120" t="str">
        <f>IF(ISTEXT(VLOOKUP(CONCATENATE($A97,"_",N$3),'Unit List'!$A$14:$H$2841,2,FALSE)),"X",$M97)</f>
        <v/>
      </c>
      <c r="O97" s="122" t="str">
        <f>IF(ISTEXT(VLOOKUP(CONCATENATE($A97,"_",O$3),'Unit List'!$A$14:$H$2841,2,FALSE)),"X",$M97)</f>
        <v/>
      </c>
      <c r="P97" s="172" t="str">
        <f>IF(ISTEXT(VLOOKUP(CONCATENATE($A97,"_",P$3),'Unit List'!$A$14:$H$2841,2,FALSE)),"+","")</f>
        <v/>
      </c>
      <c r="Q97" s="120" t="str">
        <f>IF(ISTEXT(VLOOKUP(CONCATENATE($A97,"_",Q$3),'Unit List'!$A$14:$H$2841,2,FALSE)),"X",$P97)</f>
        <v/>
      </c>
      <c r="R97" s="120" t="str">
        <f>IF(ISTEXT(VLOOKUP(CONCATENATE($A97,"_",R$3),'Unit List'!$A$14:$H$2841,2,FALSE)),"X",$P97)</f>
        <v/>
      </c>
      <c r="S97" s="120" t="str">
        <f>IF(ISTEXT(VLOOKUP(CONCATENATE($A97,"_",S$3),'Unit List'!$A$14:$H$2841,2,FALSE)),"X",$P97)</f>
        <v/>
      </c>
      <c r="T97" s="121" t="str">
        <f>IF(ISTEXT(VLOOKUP(CONCATENATE($A97,"_",T$3),'Unit List'!$A$14:$H$2841,2,FALSE)),"X",$P97)</f>
        <v/>
      </c>
      <c r="U97" s="120" t="str">
        <f>IF(ISTEXT(VLOOKUP(CONCATENATE($A97,"_",U$3),'Unit List'!$A$14:$H$2841,2,FALSE)),"X",$P97)</f>
        <v/>
      </c>
      <c r="V97" s="120" t="str">
        <f>IF(ISTEXT(VLOOKUP(CONCATENATE($A97,"_",V$3),'Unit List'!$A$14:$H$2841,2,FALSE)),"X",$P97)</f>
        <v/>
      </c>
      <c r="W97" s="146" t="s">
        <v>0</v>
      </c>
      <c r="X97" s="172" t="str">
        <f>IF(ISTEXT(VLOOKUP(CONCATENATE($A97,"_",X$3),'Unit List'!$A$14:$H$2841,2,FALSE)),"+","")</f>
        <v/>
      </c>
      <c r="Y97" s="120" t="str">
        <f>IF(ISTEXT(VLOOKUP(CONCATENATE($A97,"_",Y$3),'Unit List'!$A$14:$H$2841,2,FALSE)),"X",$X97)</f>
        <v/>
      </c>
      <c r="Z97" s="120" t="str">
        <f>IF(ISTEXT(VLOOKUP(CONCATENATE($A97,"_",Z$3),'Unit List'!$A$14:$H$2841,2,FALSE)),"X",$X97)</f>
        <v/>
      </c>
      <c r="AA97" s="120" t="str">
        <f>IF(ISTEXT(VLOOKUP(CONCATENATE($A97,"_",AA$3),'Unit List'!$A$14:$H$2841,2,FALSE)),"X",$X97)</f>
        <v/>
      </c>
      <c r="AB97" s="120" t="str">
        <f>IF(ISTEXT(VLOOKUP(CONCATENATE($A97,"_",AB$3),'Unit List'!$A$14:$H$2841,2,FALSE)),"X",$X97)</f>
        <v/>
      </c>
      <c r="AC97" s="75" t="str">
        <f>IF(ISTEXT(VLOOKUP(CONCATENATE($A97,"_",AC$3),'Unit List'!$A$14:$H$2841,2,FALSE)),"X",$X97)</f>
        <v/>
      </c>
      <c r="AD97" s="172" t="str">
        <f>IF(ISTEXT(VLOOKUP(CONCATENATE($A97,"_",AD$3),'Unit List'!$A$14:$H$2841,2,FALSE)),"+","")</f>
        <v/>
      </c>
      <c r="AE97" s="120" t="str">
        <f>IF(ISTEXT(VLOOKUP(CONCATENATE($A97,"_",AE$3),'Unit List'!$A$14:$H$2841,2,FALSE)),"X",$AD97)</f>
        <v/>
      </c>
      <c r="AF97" s="120" t="str">
        <f>IF(ISTEXT(VLOOKUP(CONCATENATE($A97,"_",AF$3),'Unit List'!$A$14:$H$2841,2,FALSE)),"X",$AD97)</f>
        <v/>
      </c>
      <c r="AG97" s="172" t="str">
        <f>IF(ISTEXT(VLOOKUP(CONCATENATE($A97,"_",AG$3),'Unit List'!$A$14:$H$2841,2,FALSE)),"+","")</f>
        <v/>
      </c>
      <c r="AH97" s="120" t="str">
        <f>IF(ISTEXT(VLOOKUP(CONCATENATE($A97,"_",AH$3),'Unit List'!$A$14:$H$2841,2,FALSE)),"X",$AG97)</f>
        <v/>
      </c>
      <c r="AI97" s="120" t="str">
        <f>IF(ISTEXT(VLOOKUP(CONCATENATE($A97,"_",AI$3),'Unit List'!$A$14:$H$2841,2,FALSE)),"X",$AG97)</f>
        <v/>
      </c>
      <c r="AJ97" s="122" t="str">
        <f>IF(ISTEXT(VLOOKUP(CONCATENATE($A97,"_",AJ$3),'Unit List'!$A$14:$H$2841,2,FALSE)),"X",$AG97)</f>
        <v/>
      </c>
      <c r="AK97" s="172" t="str">
        <f>IF(ISTEXT(VLOOKUP(CONCATENATE($A97,"_",AK$3),'Unit List'!$A$14:$H$2841,2,FALSE)),"+","")</f>
        <v/>
      </c>
      <c r="AL97" s="121" t="str">
        <f>IF(ISTEXT(VLOOKUP(CONCATENATE($A97,"_",AL$3),'Unit List'!$A$14:$H$2841,2,FALSE)),"X",$AK97)</f>
        <v/>
      </c>
      <c r="AM97" s="122" t="str">
        <f>IF(ISTEXT(VLOOKUP(CONCATENATE($A97,"_",AM$3),'Unit List'!$A$14:$H$2841,2,FALSE)),"X",$AK97)</f>
        <v/>
      </c>
      <c r="AN97" s="125" t="str">
        <f>IF(ISTEXT(VLOOKUP(CONCATENATE($A97,"_",AN$3),'Unit List'!$A$14:$H$2841,2,FALSE)),"+","")</f>
        <v/>
      </c>
      <c r="AO97" s="122" t="str">
        <f>IF(ISTEXT(VLOOKUP(CONCATENATE($A97,"_",AO$3),'Unit List'!$A$14:$H$2841,2,FALSE)),"X",$AN97)</f>
        <v/>
      </c>
      <c r="AP97" s="172" t="str">
        <f>IF(ISTEXT(VLOOKUP(CONCATENATE($A97,"_",AP$3),'Unit List'!$A$14:$H$2841,2,FALSE)),"+","")</f>
        <v/>
      </c>
      <c r="AQ97" s="120" t="str">
        <f>IF(ISTEXT(VLOOKUP(CONCATENATE($A97,"_",AQ$3),'Unit List'!$A$14:$H$2841,2,FALSE)),"X",$AP97)</f>
        <v/>
      </c>
      <c r="AR97" s="120" t="str">
        <f>IF(ISTEXT(VLOOKUP(CONCATENATE($A97,"_",AR$3),'Unit List'!$A$14:$H$2841,2,FALSE)),"X",$AP97)</f>
        <v/>
      </c>
      <c r="AS97" s="120" t="str">
        <f>IF(ISTEXT(VLOOKUP(CONCATENATE($A97,"_",AS$3),'Unit List'!$A$14:$H$2841,2,FALSE)),"X",$AP97)</f>
        <v/>
      </c>
      <c r="AT97" s="122" t="str">
        <f>IF(ISTEXT(VLOOKUP(CONCATENATE($A97,"_",AT$3),'Unit List'!$A$14:$H$2841,2,FALSE)),"X",$AP97)</f>
        <v/>
      </c>
      <c r="AU97" s="124" t="str">
        <f>IF(ISTEXT(VLOOKUP(CONCATENATE($A97,"_",AU$3),'Unit List'!$A$14:$H$2841,2,FALSE)),"+","")</f>
        <v/>
      </c>
      <c r="AV97" s="120" t="str">
        <f>IF(ISTEXT(VLOOKUP(CONCATENATE($A97,"_",AV$3),'Unit List'!$A$14:$H$2841,2,FALSE)),"X",$AU97)</f>
        <v/>
      </c>
      <c r="AW97" s="122" t="str">
        <f>IF(ISTEXT(VLOOKUP(CONCATENATE($A97,"_",AW$3),'Unit List'!$A$14:$H$2841,2,FALSE)),"X",$AU97)</f>
        <v/>
      </c>
      <c r="AX97" s="172" t="str">
        <f>IF(ISTEXT(VLOOKUP(CONCATENATE($A97,"_",AX$3),'Unit List'!$A$14:$H$2841,2,FALSE)),"+","")</f>
        <v/>
      </c>
      <c r="AY97" s="120" t="str">
        <f>IF(ISTEXT(VLOOKUP(CONCATENATE($A97,"_",AY$3),'Unit List'!$A$14:$H$2841,2,FALSE)),"X",$AX97)</f>
        <v/>
      </c>
      <c r="AZ97" s="122" t="str">
        <f>IF(ISTEXT(VLOOKUP(CONCATENATE($A97,"_",AZ$3),'Unit List'!$A$14:$H$2841,2,FALSE)),"X",$AX97)</f>
        <v/>
      </c>
      <c r="BA97" s="182" t="str">
        <f>IF(ISTEXT(VLOOKUP(CONCATENATE($A97,"_",BA$3),'Unit List'!$A$14:$H$2841,2,FALSE)),"+","")</f>
        <v/>
      </c>
      <c r="BB97" s="120" t="str">
        <f>IF(ISTEXT(VLOOKUP(CONCATENATE($A97,"_",BB$3),'Unit List'!$A$14:$H$2841,2,FALSE)),"X",$BA97)</f>
        <v/>
      </c>
      <c r="BC97" s="120" t="str">
        <f>IF(ISTEXT(VLOOKUP(CONCATENATE($A97,"_",BC$3),'Unit List'!$A$14:$H$2841,2,FALSE)),"X",$BA97)</f>
        <v/>
      </c>
      <c r="BD97" s="122" t="str">
        <f>IF(ISTEXT(VLOOKUP(CONCATENATE($A97,"_",BD$3),'Unit List'!$A$14:$H$2841,2,FALSE)),"X",$BA97)</f>
        <v/>
      </c>
      <c r="BE97" s="125" t="str">
        <f>IF(ISTEXT(VLOOKUP(CONCATENATE($A97,"_",BE$3),'Unit List'!$A$14:$H$2841,2,FALSE)),"+","")</f>
        <v/>
      </c>
      <c r="BF97" s="75" t="str">
        <f>IF(ISTEXT(VLOOKUP(CONCATENATE($A97,"_",BF$3),'Unit List'!$A$14:$H$2841,2,FALSE)),"X",$BE97)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List'!$A$14:$H$2841,2,FALSE)),"+","")</f>
        <v/>
      </c>
      <c r="C98" s="119" t="str">
        <f>IF(ISTEXT(VLOOKUP(CONCATENATE($A98,"_",C$3),'Unit List'!$A$14:$H$2841,2,FALSE)),"X",$B98)</f>
        <v/>
      </c>
      <c r="D98" s="120" t="str">
        <f>IF(ISTEXT(VLOOKUP(CONCATENATE($A98,"_",D$3),'Unit List'!$A$14:$H$2841,2,FALSE)),"X",$B98)</f>
        <v/>
      </c>
      <c r="E98" s="120" t="str">
        <f>IF(ISTEXT(VLOOKUP(CONCATENATE($A98,"_",E$3),'Unit List'!$A$14:$H$2841,2,FALSE)),"X",$B98)</f>
        <v/>
      </c>
      <c r="F98" s="120" t="str">
        <f>IF(ISTEXT(VLOOKUP(CONCATENATE($A98,"_",F$3),'Unit List'!$A$14:$H$2841,2,FALSE)),"X",$B98)</f>
        <v/>
      </c>
      <c r="G98" s="120" t="str">
        <f>IF(ISTEXT(VLOOKUP(CONCATENATE($A98,"_",G$3),'Unit List'!$A$14:$H$2841,2,FALSE)),"X",$B98)</f>
        <v/>
      </c>
      <c r="H98" s="120" t="str">
        <f>IF(ISTEXT(VLOOKUP(CONCATENATE($A98,"_",H$3),'Unit List'!$A$14:$H$2841,2,FALSE)),"X",$B98)</f>
        <v/>
      </c>
      <c r="I98" s="122" t="str">
        <f>IF(ISTEXT(VLOOKUP(CONCATENATE($A98,"_",I$3),'Unit List'!$A$14:$H$2841,2,FALSE)),"X",$B98)</f>
        <v/>
      </c>
      <c r="J98" s="172" t="str">
        <f>IF(ISTEXT(VLOOKUP(CONCATENATE($A98,"_",J$3),'Unit List'!$A$14:$H$2841,2,FALSE)),"+","")</f>
        <v/>
      </c>
      <c r="K98" s="120" t="str">
        <f>IF(ISTEXT(VLOOKUP(CONCATENATE($A98,"_",K$3),'Unit List'!$A$14:$H$2841,2,FALSE)),"X",$J98)</f>
        <v/>
      </c>
      <c r="L98" s="75" t="str">
        <f>IF(ISTEXT(VLOOKUP(CONCATENATE($A98,"_",L$3),'Unit List'!$A$14:$H$2841,2,FALSE)),"X",$J98)</f>
        <v/>
      </c>
      <c r="M98" s="172" t="str">
        <f>IF(ISTEXT(VLOOKUP(CONCATENATE($A98,"_",M$3),'Unit List'!$A$14:$H$2841,2,FALSE)),"+","")</f>
        <v/>
      </c>
      <c r="N98" s="120" t="str">
        <f>IF(ISTEXT(VLOOKUP(CONCATENATE($A98,"_",N$3),'Unit List'!$A$14:$H$2841,2,FALSE)),"X",$M98)</f>
        <v/>
      </c>
      <c r="O98" s="122" t="str">
        <f>IF(ISTEXT(VLOOKUP(CONCATENATE($A98,"_",O$3),'Unit List'!$A$14:$H$2841,2,FALSE)),"X",$M98)</f>
        <v/>
      </c>
      <c r="P98" s="172" t="str">
        <f>IF(ISTEXT(VLOOKUP(CONCATENATE($A98,"_",P$3),'Unit List'!$A$14:$H$2841,2,FALSE)),"+","")</f>
        <v/>
      </c>
      <c r="Q98" s="120" t="str">
        <f>IF(ISTEXT(VLOOKUP(CONCATENATE($A98,"_",Q$3),'Unit List'!$A$14:$H$2841,2,FALSE)),"X",$P98)</f>
        <v/>
      </c>
      <c r="R98" s="120" t="str">
        <f>IF(ISTEXT(VLOOKUP(CONCATENATE($A98,"_",R$3),'Unit List'!$A$14:$H$2841,2,FALSE)),"X",$P98)</f>
        <v/>
      </c>
      <c r="S98" s="120" t="str">
        <f>IF(ISTEXT(VLOOKUP(CONCATENATE($A98,"_",S$3),'Unit List'!$A$14:$H$2841,2,FALSE)),"X",$P98)</f>
        <v/>
      </c>
      <c r="T98" s="121" t="str">
        <f>IF(ISTEXT(VLOOKUP(CONCATENATE($A98,"_",T$3),'Unit List'!$A$14:$H$2841,2,FALSE)),"X",$P98)</f>
        <v/>
      </c>
      <c r="U98" s="120" t="str">
        <f>IF(ISTEXT(VLOOKUP(CONCATENATE($A98,"_",U$3),'Unit List'!$A$14:$H$2841,2,FALSE)),"X",$P98)</f>
        <v/>
      </c>
      <c r="V98" s="120" t="str">
        <f>IF(ISTEXT(VLOOKUP(CONCATENATE($A98,"_",V$3),'Unit List'!$A$14:$H$2841,2,FALSE)),"X",$P98)</f>
        <v/>
      </c>
      <c r="W98" s="122" t="str">
        <f>IF(ISTEXT(VLOOKUP(CONCATENATE($A98,"_",W$3),'Unit List'!$A$14:$H$2841,2,FALSE)),"X",$P98)</f>
        <v/>
      </c>
      <c r="X98" s="172" t="str">
        <f>IF(ISTEXT(VLOOKUP(CONCATENATE($A98,"_",X$3),'Unit List'!$A$14:$H$2841,2,FALSE)),"+","")</f>
        <v/>
      </c>
      <c r="Y98" s="120" t="str">
        <f>IF(ISTEXT(VLOOKUP(CONCATENATE($A98,"_",Y$3),'Unit List'!$A$14:$H$2841,2,FALSE)),"X",$X98)</f>
        <v/>
      </c>
      <c r="Z98" s="120" t="str">
        <f>IF(ISTEXT(VLOOKUP(CONCATENATE($A98,"_",Z$3),'Unit List'!$A$14:$H$2841,2,FALSE)),"X",$X98)</f>
        <v/>
      </c>
      <c r="AA98" s="120" t="str">
        <f>IF(ISTEXT(VLOOKUP(CONCATENATE($A98,"_",AA$3),'Unit List'!$A$14:$H$2841,2,FALSE)),"X",$X98)</f>
        <v/>
      </c>
      <c r="AB98" s="120" t="str">
        <f>IF(ISTEXT(VLOOKUP(CONCATENATE($A98,"_",AB$3),'Unit List'!$A$14:$H$2841,2,FALSE)),"X",$X98)</f>
        <v/>
      </c>
      <c r="AC98" s="75" t="str">
        <f>IF(ISTEXT(VLOOKUP(CONCATENATE($A98,"_",AC$3),'Unit List'!$A$14:$H$2841,2,FALSE)),"X",$X98)</f>
        <v/>
      </c>
      <c r="AD98" s="172" t="str">
        <f>IF(ISTEXT(VLOOKUP(CONCATENATE($A98,"_",AD$3),'Unit List'!$A$14:$H$2841,2,FALSE)),"+","")</f>
        <v/>
      </c>
      <c r="AE98" s="120" t="str">
        <f>IF(ISTEXT(VLOOKUP(CONCATENATE($A98,"_",AE$3),'Unit List'!$A$14:$H$2841,2,FALSE)),"X",$AD98)</f>
        <v/>
      </c>
      <c r="AF98" s="120" t="str">
        <f>IF(ISTEXT(VLOOKUP(CONCATENATE($A98,"_",AF$3),'Unit List'!$A$14:$H$2841,2,FALSE)),"X",$AD98)</f>
        <v/>
      </c>
      <c r="AG98" s="172" t="str">
        <f>IF(ISTEXT(VLOOKUP(CONCATENATE($A98,"_",AG$3),'Unit List'!$A$14:$H$2841,2,FALSE)),"+","")</f>
        <v/>
      </c>
      <c r="AH98" s="120" t="str">
        <f>IF(ISTEXT(VLOOKUP(CONCATENATE($A98,"_",AH$3),'Unit List'!$A$14:$H$2841,2,FALSE)),"X",$AG98)</f>
        <v/>
      </c>
      <c r="AI98" s="120" t="str">
        <f>IF(ISTEXT(VLOOKUP(CONCATENATE($A98,"_",AI$3),'Unit List'!$A$14:$H$2841,2,FALSE)),"X",$AG98)</f>
        <v/>
      </c>
      <c r="AJ98" s="122" t="str">
        <f>IF(ISTEXT(VLOOKUP(CONCATENATE($A98,"_",AJ$3),'Unit List'!$A$14:$H$2841,2,FALSE)),"X",$AG98)</f>
        <v/>
      </c>
      <c r="AK98" s="172" t="str">
        <f>IF(ISTEXT(VLOOKUP(CONCATENATE($A98,"_",AK$3),'Unit List'!$A$14:$H$2841,2,FALSE)),"+","")</f>
        <v/>
      </c>
      <c r="AL98" s="121" t="str">
        <f>IF(ISTEXT(VLOOKUP(CONCATENATE($A98,"_",AL$3),'Unit List'!$A$14:$H$2841,2,FALSE)),"X",$AK98)</f>
        <v/>
      </c>
      <c r="AM98" s="122" t="str">
        <f>IF(ISTEXT(VLOOKUP(CONCATENATE($A98,"_",AM$3),'Unit List'!$A$14:$H$2841,2,FALSE)),"X",$AK98)</f>
        <v/>
      </c>
      <c r="AN98" s="125" t="str">
        <f>IF(ISTEXT(VLOOKUP(CONCATENATE($A98,"_",AN$3),'Unit List'!$A$14:$H$2841,2,FALSE)),"+","")</f>
        <v/>
      </c>
      <c r="AO98" s="122" t="str">
        <f>IF(ISTEXT(VLOOKUP(CONCATENATE($A98,"_",AO$3),'Unit List'!$A$14:$H$2841,2,FALSE)),"X",$AN98)</f>
        <v/>
      </c>
      <c r="AP98" s="172" t="str">
        <f>IF(ISTEXT(VLOOKUP(CONCATENATE($A98,"_",AP$3),'Unit List'!$A$14:$H$2841,2,FALSE)),"+","")</f>
        <v/>
      </c>
      <c r="AQ98" s="120" t="str">
        <f>IF(ISTEXT(VLOOKUP(CONCATENATE($A98,"_",AQ$3),'Unit List'!$A$14:$H$2841,2,FALSE)),"X",$AP98)</f>
        <v/>
      </c>
      <c r="AR98" s="120" t="str">
        <f>IF(ISTEXT(VLOOKUP(CONCATENATE($A98,"_",AR$3),'Unit List'!$A$14:$H$2841,2,FALSE)),"X",$AP98)</f>
        <v/>
      </c>
      <c r="AS98" s="120" t="str">
        <f>IF(ISTEXT(VLOOKUP(CONCATENATE($A98,"_",AS$3),'Unit List'!$A$14:$H$2841,2,FALSE)),"X",$AP98)</f>
        <v/>
      </c>
      <c r="AT98" s="122" t="str">
        <f>IF(ISTEXT(VLOOKUP(CONCATENATE($A98,"_",AT$3),'Unit List'!$A$14:$H$2841,2,FALSE)),"X",$AP98)</f>
        <v/>
      </c>
      <c r="AU98" s="124" t="str">
        <f>IF(ISTEXT(VLOOKUP(CONCATENATE($A98,"_",AU$3),'Unit List'!$A$14:$H$2841,2,FALSE)),"+","")</f>
        <v/>
      </c>
      <c r="AV98" s="120" t="str">
        <f>IF(ISTEXT(VLOOKUP(CONCATENATE($A98,"_",AV$3),'Unit List'!$A$14:$H$2841,2,FALSE)),"X",$AU98)</f>
        <v/>
      </c>
      <c r="AW98" s="122" t="str">
        <f>IF(ISTEXT(VLOOKUP(CONCATENATE($A98,"_",AW$3),'Unit List'!$A$14:$H$2841,2,FALSE)),"X",$AU98)</f>
        <v/>
      </c>
      <c r="AX98" s="172" t="str">
        <f>IF(ISTEXT(VLOOKUP(CONCATENATE($A98,"_",AX$3),'Unit List'!$A$14:$H$2841,2,FALSE)),"+","")</f>
        <v/>
      </c>
      <c r="AY98" s="120" t="str">
        <f>IF(ISTEXT(VLOOKUP(CONCATENATE($A98,"_",AY$3),'Unit List'!$A$14:$H$2841,2,FALSE)),"X",$AX98)</f>
        <v/>
      </c>
      <c r="AZ98" s="122" t="str">
        <f>IF(ISTEXT(VLOOKUP(CONCATENATE($A98,"_",AZ$3),'Unit List'!$A$14:$H$2841,2,FALSE)),"X",$AX98)</f>
        <v/>
      </c>
      <c r="BA98" s="182" t="str">
        <f>IF(ISTEXT(VLOOKUP(CONCATENATE($A98,"_",BA$3),'Unit List'!$A$14:$H$2841,2,FALSE)),"+","")</f>
        <v/>
      </c>
      <c r="BB98" s="120" t="str">
        <f>IF(ISTEXT(VLOOKUP(CONCATENATE($A98,"_",BB$3),'Unit List'!$A$14:$H$2841,2,FALSE)),"X",$BA98)</f>
        <v/>
      </c>
      <c r="BC98" s="120" t="str">
        <f>IF(ISTEXT(VLOOKUP(CONCATENATE($A98,"_",BC$3),'Unit List'!$A$14:$H$2841,2,FALSE)),"X",$BA98)</f>
        <v/>
      </c>
      <c r="BD98" s="122" t="str">
        <f>IF(ISTEXT(VLOOKUP(CONCATENATE($A98,"_",BD$3),'Unit List'!$A$14:$H$2841,2,FALSE)),"X",$BA98)</f>
        <v/>
      </c>
      <c r="BE98" s="125" t="str">
        <f>IF(ISTEXT(VLOOKUP(CONCATENATE($A98,"_",BE$3),'Unit List'!$A$14:$H$2841,2,FALSE)),"+","")</f>
        <v/>
      </c>
      <c r="BF98" s="75" t="str">
        <f>IF(ISTEXT(VLOOKUP(CONCATENATE($A98,"_",BF$3),'Unit List'!$A$14:$H$2841,2,FALSE)),"X",$BE98)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List'!$A$14:$H$2841,2,FALSE)),"+","")</f>
        <v/>
      </c>
      <c r="C99" s="119" t="str">
        <f>IF(ISTEXT(VLOOKUP(CONCATENATE($A99,"_",C$3),'Unit List'!$A$14:$H$2841,2,FALSE)),"X",$B99)</f>
        <v/>
      </c>
      <c r="D99" s="120" t="str">
        <f>IF(ISTEXT(VLOOKUP(CONCATENATE($A99,"_",D$3),'Unit List'!$A$14:$H$2841,2,FALSE)),"X",$B99)</f>
        <v/>
      </c>
      <c r="E99" s="120" t="str">
        <f>IF(ISTEXT(VLOOKUP(CONCATENATE($A99,"_",E$3),'Unit List'!$A$14:$H$2841,2,FALSE)),"X",$B99)</f>
        <v/>
      </c>
      <c r="F99" s="120" t="str">
        <f>IF(ISTEXT(VLOOKUP(CONCATENATE($A99,"_",F$3),'Unit List'!$A$14:$H$2841,2,FALSE)),"X",$B99)</f>
        <v/>
      </c>
      <c r="G99" s="120" t="str">
        <f>IF(ISTEXT(VLOOKUP(CONCATENATE($A99,"_",G$3),'Unit List'!$A$14:$H$2841,2,FALSE)),"X",$B99)</f>
        <v/>
      </c>
      <c r="H99" s="120" t="str">
        <f>IF(ISTEXT(VLOOKUP(CONCATENATE($A99,"_",H$3),'Unit List'!$A$14:$H$2841,2,FALSE)),"X",$B99)</f>
        <v/>
      </c>
      <c r="I99" s="122" t="str">
        <f>IF(ISTEXT(VLOOKUP(CONCATENATE($A99,"_",I$3),'Unit List'!$A$14:$H$2841,2,FALSE)),"X",$B99)</f>
        <v/>
      </c>
      <c r="J99" s="172" t="str">
        <f>IF(ISTEXT(VLOOKUP(CONCATENATE($A99,"_",J$3),'Unit List'!$A$14:$H$2841,2,FALSE)),"+","")</f>
        <v/>
      </c>
      <c r="K99" s="120" t="str">
        <f>IF(ISTEXT(VLOOKUP(CONCATENATE($A99,"_",K$3),'Unit List'!$A$14:$H$2841,2,FALSE)),"X",$J99)</f>
        <v/>
      </c>
      <c r="L99" s="75" t="str">
        <f>IF(ISTEXT(VLOOKUP(CONCATENATE($A99,"_",L$3),'Unit List'!$A$14:$H$2841,2,FALSE)),"X",$J99)</f>
        <v/>
      </c>
      <c r="M99" s="172" t="str">
        <f>IF(ISTEXT(VLOOKUP(CONCATENATE($A99,"_",M$3),'Unit List'!$A$14:$H$2841,2,FALSE)),"+","")</f>
        <v/>
      </c>
      <c r="N99" s="120" t="str">
        <f>IF(ISTEXT(VLOOKUP(CONCATENATE($A99,"_",N$3),'Unit List'!$A$14:$H$2841,2,FALSE)),"X",$M99)</f>
        <v/>
      </c>
      <c r="O99" s="122" t="str">
        <f>IF(ISTEXT(VLOOKUP(CONCATENATE($A99,"_",O$3),'Unit List'!$A$14:$H$2841,2,FALSE)),"X",$M99)</f>
        <v/>
      </c>
      <c r="P99" s="172" t="str">
        <f>IF(ISTEXT(VLOOKUP(CONCATENATE($A99,"_",P$3),'Unit List'!$A$14:$H$2841,2,FALSE)),"+","")</f>
        <v/>
      </c>
      <c r="Q99" s="120" t="str">
        <f>IF(ISTEXT(VLOOKUP(CONCATENATE($A99,"_",Q$3),'Unit List'!$A$14:$H$2841,2,FALSE)),"X",$P99)</f>
        <v/>
      </c>
      <c r="R99" s="120" t="str">
        <f>IF(ISTEXT(VLOOKUP(CONCATENATE($A99,"_",R$3),'Unit List'!$A$14:$H$2841,2,FALSE)),"X",$P99)</f>
        <v/>
      </c>
      <c r="S99" s="120" t="str">
        <f>IF(ISTEXT(VLOOKUP(CONCATENATE($A99,"_",S$3),'Unit List'!$A$14:$H$2841,2,FALSE)),"X",$P99)</f>
        <v/>
      </c>
      <c r="T99" s="121" t="str">
        <f>IF(ISTEXT(VLOOKUP(CONCATENATE($A99,"_",T$3),'Unit List'!$A$14:$H$2841,2,FALSE)),"X",$P99)</f>
        <v/>
      </c>
      <c r="U99" s="120" t="str">
        <f>IF(ISTEXT(VLOOKUP(CONCATENATE($A99,"_",U$3),'Unit List'!$A$14:$H$2841,2,FALSE)),"X",$P99)</f>
        <v/>
      </c>
      <c r="V99" s="120" t="str">
        <f>IF(ISTEXT(VLOOKUP(CONCATENATE($A99,"_",V$3),'Unit List'!$A$14:$H$2841,2,FALSE)),"X",$P99)</f>
        <v/>
      </c>
      <c r="W99" s="122" t="str">
        <f>IF(ISTEXT(VLOOKUP(CONCATENATE($A99,"_",W$3),'Unit List'!$A$14:$H$2841,2,FALSE)),"X",$P99)</f>
        <v/>
      </c>
      <c r="X99" s="172" t="str">
        <f>IF(ISTEXT(VLOOKUP(CONCATENATE($A99,"_",X$3),'Unit List'!$A$14:$H$2841,2,FALSE)),"+","")</f>
        <v/>
      </c>
      <c r="Y99" s="120" t="str">
        <f>IF(ISTEXT(VLOOKUP(CONCATENATE($A99,"_",Y$3),'Unit List'!$A$14:$H$2841,2,FALSE)),"X",$X99)</f>
        <v/>
      </c>
      <c r="Z99" s="120" t="str">
        <f>IF(ISTEXT(VLOOKUP(CONCATENATE($A99,"_",Z$3),'Unit List'!$A$14:$H$2841,2,FALSE)),"X",$X99)</f>
        <v/>
      </c>
      <c r="AA99" s="120" t="str">
        <f>IF(ISTEXT(VLOOKUP(CONCATENATE($A99,"_",AA$3),'Unit List'!$A$14:$H$2841,2,FALSE)),"X",$X99)</f>
        <v/>
      </c>
      <c r="AB99" s="120" t="str">
        <f>IF(ISTEXT(VLOOKUP(CONCATENATE($A99,"_",AB$3),'Unit List'!$A$14:$H$2841,2,FALSE)),"X",$X99)</f>
        <v/>
      </c>
      <c r="AC99" s="75" t="str">
        <f>IF(ISTEXT(VLOOKUP(CONCATENATE($A99,"_",AC$3),'Unit List'!$A$14:$H$2841,2,FALSE)),"X",$X99)</f>
        <v/>
      </c>
      <c r="AD99" s="172" t="str">
        <f>IF(ISTEXT(VLOOKUP(CONCATENATE($A99,"_",AD$3),'Unit List'!$A$14:$H$2841,2,FALSE)),"+","")</f>
        <v/>
      </c>
      <c r="AE99" s="120" t="str">
        <f>IF(ISTEXT(VLOOKUP(CONCATENATE($A99,"_",AE$3),'Unit List'!$A$14:$H$2841,2,FALSE)),"X",$AD99)</f>
        <v/>
      </c>
      <c r="AF99" s="120" t="str">
        <f>IF(ISTEXT(VLOOKUP(CONCATENATE($A99,"_",AF$3),'Unit List'!$A$14:$H$2841,2,FALSE)),"X",$AD99)</f>
        <v/>
      </c>
      <c r="AG99" s="172" t="str">
        <f>IF(ISTEXT(VLOOKUP(CONCATENATE($A99,"_",AG$3),'Unit List'!$A$14:$H$2841,2,FALSE)),"+","")</f>
        <v/>
      </c>
      <c r="AH99" s="120" t="str">
        <f>IF(ISTEXT(VLOOKUP(CONCATENATE($A99,"_",AH$3),'Unit List'!$A$14:$H$2841,2,FALSE)),"X",$AG99)</f>
        <v/>
      </c>
      <c r="AI99" s="120" t="str">
        <f>IF(ISTEXT(VLOOKUP(CONCATENATE($A99,"_",AI$3),'Unit List'!$A$14:$H$2841,2,FALSE)),"X",$AG99)</f>
        <v/>
      </c>
      <c r="AJ99" s="122" t="str">
        <f>IF(ISTEXT(VLOOKUP(CONCATENATE($A99,"_",AJ$3),'Unit List'!$A$14:$H$2841,2,FALSE)),"X",$AG99)</f>
        <v/>
      </c>
      <c r="AK99" s="172" t="str">
        <f>IF(ISTEXT(VLOOKUP(CONCATENATE($A99,"_",AK$3),'Unit List'!$A$14:$H$2841,2,FALSE)),"+","")</f>
        <v/>
      </c>
      <c r="AL99" s="121" t="str">
        <f>IF(ISTEXT(VLOOKUP(CONCATENATE($A99,"_",AL$3),'Unit List'!$A$14:$H$2841,2,FALSE)),"X",$AK99)</f>
        <v/>
      </c>
      <c r="AM99" s="122" t="str">
        <f>IF(ISTEXT(VLOOKUP(CONCATENATE($A99,"_",AM$3),'Unit List'!$A$14:$H$2841,2,FALSE)),"X",$AK99)</f>
        <v/>
      </c>
      <c r="AN99" s="125" t="str">
        <f>IF(ISTEXT(VLOOKUP(CONCATENATE($A99,"_",AN$3),'Unit List'!$A$14:$H$2841,2,FALSE)),"+","")</f>
        <v/>
      </c>
      <c r="AO99" s="122" t="str">
        <f>IF(ISTEXT(VLOOKUP(CONCATENATE($A99,"_",AO$3),'Unit List'!$A$14:$H$2841,2,FALSE)),"X",$AN99)</f>
        <v/>
      </c>
      <c r="AP99" s="172" t="str">
        <f>IF(ISTEXT(VLOOKUP(CONCATENATE($A99,"_",AP$3),'Unit List'!$A$14:$H$2841,2,FALSE)),"+","")</f>
        <v/>
      </c>
      <c r="AQ99" s="120" t="str">
        <f>IF(ISTEXT(VLOOKUP(CONCATENATE($A99,"_",AQ$3),'Unit List'!$A$14:$H$2841,2,FALSE)),"X",$AP99)</f>
        <v/>
      </c>
      <c r="AR99" s="120" t="str">
        <f>IF(ISTEXT(VLOOKUP(CONCATENATE($A99,"_",AR$3),'Unit List'!$A$14:$H$2841,2,FALSE)),"X",$AP99)</f>
        <v/>
      </c>
      <c r="AS99" s="120" t="str">
        <f>IF(ISTEXT(VLOOKUP(CONCATENATE($A99,"_",AS$3),'Unit List'!$A$14:$H$2841,2,FALSE)),"X",$AP99)</f>
        <v/>
      </c>
      <c r="AT99" s="122" t="str">
        <f>IF(ISTEXT(VLOOKUP(CONCATENATE($A99,"_",AT$3),'Unit List'!$A$14:$H$2841,2,FALSE)),"X",$AP99)</f>
        <v/>
      </c>
      <c r="AU99" s="124" t="str">
        <f>IF(ISTEXT(VLOOKUP(CONCATENATE($A99,"_",AU$3),'Unit List'!$A$14:$H$2841,2,FALSE)),"+","")</f>
        <v/>
      </c>
      <c r="AV99" s="120" t="str">
        <f>IF(ISTEXT(VLOOKUP(CONCATENATE($A99,"_",AV$3),'Unit List'!$A$14:$H$2841,2,FALSE)),"X",$AU99)</f>
        <v/>
      </c>
      <c r="AW99" s="122" t="str">
        <f>IF(ISTEXT(VLOOKUP(CONCATENATE($A99,"_",AW$3),'Unit List'!$A$14:$H$2841,2,FALSE)),"X",$AU99)</f>
        <v/>
      </c>
      <c r="AX99" s="172" t="str">
        <f>IF(ISTEXT(VLOOKUP(CONCATENATE($A99,"_",AX$3),'Unit List'!$A$14:$H$2841,2,FALSE)),"+","")</f>
        <v/>
      </c>
      <c r="AY99" s="120" t="str">
        <f>IF(ISTEXT(VLOOKUP(CONCATENATE($A99,"_",AY$3),'Unit List'!$A$14:$H$2841,2,FALSE)),"X",$AX99)</f>
        <v/>
      </c>
      <c r="AZ99" s="122" t="str">
        <f>IF(ISTEXT(VLOOKUP(CONCATENATE($A99,"_",AZ$3),'Unit List'!$A$14:$H$2841,2,FALSE)),"X",$AX99)</f>
        <v/>
      </c>
      <c r="BA99" s="182" t="str">
        <f>IF(ISTEXT(VLOOKUP(CONCATENATE($A99,"_",BA$3),'Unit List'!$A$14:$H$2841,2,FALSE)),"+","")</f>
        <v/>
      </c>
      <c r="BB99" s="120" t="str">
        <f>IF(ISTEXT(VLOOKUP(CONCATENATE($A99,"_",BB$3),'Unit List'!$A$14:$H$2841,2,FALSE)),"X",$BA99)</f>
        <v/>
      </c>
      <c r="BC99" s="120" t="str">
        <f>IF(ISTEXT(VLOOKUP(CONCATENATE($A99,"_",BC$3),'Unit List'!$A$14:$H$2841,2,FALSE)),"X",$BA99)</f>
        <v/>
      </c>
      <c r="BD99" s="122" t="str">
        <f>IF(ISTEXT(VLOOKUP(CONCATENATE($A99,"_",BD$3),'Unit List'!$A$14:$H$2841,2,FALSE)),"X",$BA99)</f>
        <v/>
      </c>
      <c r="BE99" s="125" t="str">
        <f>IF(ISTEXT(VLOOKUP(CONCATENATE($A99,"_",BE$3),'Unit List'!$A$14:$H$2841,2,FALSE)),"+","")</f>
        <v/>
      </c>
      <c r="BF99" s="75" t="str">
        <f>IF(ISTEXT(VLOOKUP(CONCATENATE($A99,"_",BF$3),'Unit List'!$A$14:$H$2841,2,FALSE)),"X",$BE99)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List'!$A$14:$H$2841,2,FALSE)),"+","")</f>
        <v/>
      </c>
      <c r="C100" s="119" t="str">
        <f>IF(ISTEXT(VLOOKUP(CONCATENATE($A100,"_",C$3),'Unit List'!$A$14:$H$2841,2,FALSE)),"X",$B100)</f>
        <v/>
      </c>
      <c r="D100" s="120" t="str">
        <f>IF(ISTEXT(VLOOKUP(CONCATENATE($A100,"_",D$3),'Unit List'!$A$14:$H$2841,2,FALSE)),"X",$B100)</f>
        <v/>
      </c>
      <c r="E100" s="120" t="str">
        <f>IF(ISTEXT(VLOOKUP(CONCATENATE($A100,"_",E$3),'Unit List'!$A$14:$H$2841,2,FALSE)),"X",$B100)</f>
        <v/>
      </c>
      <c r="F100" s="120" t="str">
        <f>IF(ISTEXT(VLOOKUP(CONCATENATE($A100,"_",F$3),'Unit List'!$A$14:$H$2841,2,FALSE)),"X",$B100)</f>
        <v/>
      </c>
      <c r="G100" s="120" t="str">
        <f>IF(ISTEXT(VLOOKUP(CONCATENATE($A100,"_",G$3),'Unit List'!$A$14:$H$2841,2,FALSE)),"X",$B100)</f>
        <v/>
      </c>
      <c r="H100" s="120" t="str">
        <f>IF(ISTEXT(VLOOKUP(CONCATENATE($A100,"_",H$3),'Unit List'!$A$14:$H$2841,2,FALSE)),"X",$B100)</f>
        <v/>
      </c>
      <c r="I100" s="122" t="str">
        <f>IF(ISTEXT(VLOOKUP(CONCATENATE($A100,"_",I$3),'Unit List'!$A$14:$H$2841,2,FALSE)),"X",$B100)</f>
        <v/>
      </c>
      <c r="J100" s="172" t="str">
        <f>IF(ISTEXT(VLOOKUP(CONCATENATE($A100,"_",J$3),'Unit List'!$A$14:$H$2841,2,FALSE)),"+","")</f>
        <v/>
      </c>
      <c r="K100" s="120" t="str">
        <f>IF(ISTEXT(VLOOKUP(CONCATENATE($A100,"_",K$3),'Unit List'!$A$14:$H$2841,2,FALSE)),"X",$J100)</f>
        <v/>
      </c>
      <c r="L100" s="75" t="str">
        <f>IF(ISTEXT(VLOOKUP(CONCATENATE($A100,"_",L$3),'Unit List'!$A$14:$H$2841,2,FALSE)),"X",$J100)</f>
        <v/>
      </c>
      <c r="M100" s="172" t="str">
        <f>IF(ISTEXT(VLOOKUP(CONCATENATE($A100,"_",M$3),'Unit List'!$A$14:$H$2841,2,FALSE)),"+","")</f>
        <v/>
      </c>
      <c r="N100" s="120" t="str">
        <f>IF(ISTEXT(VLOOKUP(CONCATENATE($A100,"_",N$3),'Unit List'!$A$14:$H$2841,2,FALSE)),"X",$M100)</f>
        <v/>
      </c>
      <c r="O100" s="122" t="str">
        <f>IF(ISTEXT(VLOOKUP(CONCATENATE($A100,"_",O$3),'Unit List'!$A$14:$H$2841,2,FALSE)),"X",$M100)</f>
        <v/>
      </c>
      <c r="P100" s="172" t="str">
        <f>IF(ISTEXT(VLOOKUP(CONCATENATE($A100,"_",P$3),'Unit List'!$A$14:$H$2841,2,FALSE)),"+","")</f>
        <v/>
      </c>
      <c r="Q100" s="120" t="str">
        <f>IF(ISTEXT(VLOOKUP(CONCATENATE($A100,"_",Q$3),'Unit List'!$A$14:$H$2841,2,FALSE)),"X",$P100)</f>
        <v/>
      </c>
      <c r="R100" s="120" t="str">
        <f>IF(ISTEXT(VLOOKUP(CONCATENATE($A100,"_",R$3),'Unit List'!$A$14:$H$2841,2,FALSE)),"X",$P100)</f>
        <v/>
      </c>
      <c r="S100" s="120" t="str">
        <f>IF(ISTEXT(VLOOKUP(CONCATENATE($A100,"_",S$3),'Unit List'!$A$14:$H$2841,2,FALSE)),"X",$P100)</f>
        <v/>
      </c>
      <c r="T100" s="121" t="str">
        <f>IF(ISTEXT(VLOOKUP(CONCATENATE($A100,"_",T$3),'Unit List'!$A$14:$H$2841,2,FALSE)),"X",$P100)</f>
        <v/>
      </c>
      <c r="U100" s="120" t="str">
        <f>IF(ISTEXT(VLOOKUP(CONCATENATE($A100,"_",U$3),'Unit List'!$A$14:$H$2841,2,FALSE)),"X",$P100)</f>
        <v/>
      </c>
      <c r="V100" s="120" t="str">
        <f>IF(ISTEXT(VLOOKUP(CONCATENATE($A100,"_",V$3),'Unit List'!$A$14:$H$2841,2,FALSE)),"X",$P100)</f>
        <v/>
      </c>
      <c r="W100" s="122" t="str">
        <f>IF(ISTEXT(VLOOKUP(CONCATENATE($A100,"_",W$3),'Unit List'!$A$14:$H$2841,2,FALSE)),"X",$P100)</f>
        <v/>
      </c>
      <c r="X100" s="172" t="str">
        <f>IF(ISTEXT(VLOOKUP(CONCATENATE($A100,"_",X$3),'Unit List'!$A$14:$H$2841,2,FALSE)),"+","")</f>
        <v/>
      </c>
      <c r="Y100" s="120" t="str">
        <f>IF(ISTEXT(VLOOKUP(CONCATENATE($A100,"_",Y$3),'Unit List'!$A$14:$H$2841,2,FALSE)),"X",$X100)</f>
        <v/>
      </c>
      <c r="Z100" s="120" t="str">
        <f>IF(ISTEXT(VLOOKUP(CONCATENATE($A100,"_",Z$3),'Unit List'!$A$14:$H$2841,2,FALSE)),"X",$X100)</f>
        <v/>
      </c>
      <c r="AA100" s="120" t="str">
        <f>IF(ISTEXT(VLOOKUP(CONCATENATE($A100,"_",AA$3),'Unit List'!$A$14:$H$2841,2,FALSE)),"X",$X100)</f>
        <v/>
      </c>
      <c r="AB100" s="120" t="str">
        <f>IF(ISTEXT(VLOOKUP(CONCATENATE($A100,"_",AB$3),'Unit List'!$A$14:$H$2841,2,FALSE)),"X",$X100)</f>
        <v/>
      </c>
      <c r="AC100" s="75" t="str">
        <f>IF(ISTEXT(VLOOKUP(CONCATENATE($A100,"_",AC$3),'Unit List'!$A$14:$H$2841,2,FALSE)),"X",$X100)</f>
        <v/>
      </c>
      <c r="AD100" s="172" t="str">
        <f>IF(ISTEXT(VLOOKUP(CONCATENATE($A100,"_",AD$3),'Unit List'!$A$14:$H$2841,2,FALSE)),"+","")</f>
        <v/>
      </c>
      <c r="AE100" s="120" t="str">
        <f>IF(ISTEXT(VLOOKUP(CONCATENATE($A100,"_",AE$3),'Unit List'!$A$14:$H$2841,2,FALSE)),"X",$AD100)</f>
        <v/>
      </c>
      <c r="AF100" s="120" t="str">
        <f>IF(ISTEXT(VLOOKUP(CONCATENATE($A100,"_",AF$3),'Unit List'!$A$14:$H$2841,2,FALSE)),"X",$AD100)</f>
        <v/>
      </c>
      <c r="AG100" s="172" t="str">
        <f>IF(ISTEXT(VLOOKUP(CONCATENATE($A100,"_",AG$3),'Unit List'!$A$14:$H$2841,2,FALSE)),"+","")</f>
        <v/>
      </c>
      <c r="AH100" s="120" t="str">
        <f>IF(ISTEXT(VLOOKUP(CONCATENATE($A100,"_",AH$3),'Unit List'!$A$14:$H$2841,2,FALSE)),"X",$AG100)</f>
        <v/>
      </c>
      <c r="AI100" s="120" t="str">
        <f>IF(ISTEXT(VLOOKUP(CONCATENATE($A100,"_",AI$3),'Unit List'!$A$14:$H$2841,2,FALSE)),"X",$AG100)</f>
        <v/>
      </c>
      <c r="AJ100" s="122" t="str">
        <f>IF(ISTEXT(VLOOKUP(CONCATENATE($A100,"_",AJ$3),'Unit List'!$A$14:$H$2841,2,FALSE)),"X",$AG100)</f>
        <v/>
      </c>
      <c r="AK100" s="172" t="str">
        <f>IF(ISTEXT(VLOOKUP(CONCATENATE($A100,"_",AK$3),'Unit List'!$A$14:$H$2841,2,FALSE)),"+","")</f>
        <v/>
      </c>
      <c r="AL100" s="121" t="str">
        <f>IF(ISTEXT(VLOOKUP(CONCATENATE($A100,"_",AL$3),'Unit List'!$A$14:$H$2841,2,FALSE)),"X",$AK100)</f>
        <v/>
      </c>
      <c r="AM100" s="122" t="str">
        <f>IF(ISTEXT(VLOOKUP(CONCATENATE($A100,"_",AM$3),'Unit List'!$A$14:$H$2841,2,FALSE)),"X",$AK100)</f>
        <v/>
      </c>
      <c r="AN100" s="125" t="str">
        <f>IF(ISTEXT(VLOOKUP(CONCATENATE($A100,"_",AN$3),'Unit List'!$A$14:$H$2841,2,FALSE)),"+","")</f>
        <v/>
      </c>
      <c r="AO100" s="122" t="str">
        <f>IF(ISTEXT(VLOOKUP(CONCATENATE($A100,"_",AO$3),'Unit List'!$A$14:$H$2841,2,FALSE)),"X",$AN100)</f>
        <v/>
      </c>
      <c r="AP100" s="172" t="str">
        <f>IF(ISTEXT(VLOOKUP(CONCATENATE($A100,"_",AP$3),'Unit List'!$A$14:$H$2841,2,FALSE)),"+","")</f>
        <v/>
      </c>
      <c r="AQ100" s="120" t="str">
        <f>IF(ISTEXT(VLOOKUP(CONCATENATE($A100,"_",AQ$3),'Unit List'!$A$14:$H$2841,2,FALSE)),"X",$AP100)</f>
        <v/>
      </c>
      <c r="AR100" s="120" t="str">
        <f>IF(ISTEXT(VLOOKUP(CONCATENATE($A100,"_",AR$3),'Unit List'!$A$14:$H$2841,2,FALSE)),"X",$AP100)</f>
        <v/>
      </c>
      <c r="AS100" s="120" t="str">
        <f>IF(ISTEXT(VLOOKUP(CONCATENATE($A100,"_",AS$3),'Unit List'!$A$14:$H$2841,2,FALSE)),"X",$AP100)</f>
        <v/>
      </c>
      <c r="AT100" s="122" t="str">
        <f>IF(ISTEXT(VLOOKUP(CONCATENATE($A100,"_",AT$3),'Unit List'!$A$14:$H$2841,2,FALSE)),"X",$AP100)</f>
        <v/>
      </c>
      <c r="AU100" s="124" t="str">
        <f>IF(ISTEXT(VLOOKUP(CONCATENATE($A100,"_",AU$3),'Unit List'!$A$14:$H$2841,2,FALSE)),"+","")</f>
        <v/>
      </c>
      <c r="AV100" s="120" t="str">
        <f>IF(ISTEXT(VLOOKUP(CONCATENATE($A100,"_",AV$3),'Unit List'!$A$14:$H$2841,2,FALSE)),"X",$AU100)</f>
        <v/>
      </c>
      <c r="AW100" s="122" t="str">
        <f>IF(ISTEXT(VLOOKUP(CONCATENATE($A100,"_",AW$3),'Unit List'!$A$14:$H$2841,2,FALSE)),"X",$AU100)</f>
        <v/>
      </c>
      <c r="AX100" s="172" t="str">
        <f>IF(ISTEXT(VLOOKUP(CONCATENATE($A100,"_",AX$3),'Unit List'!$A$14:$H$2841,2,FALSE)),"+","")</f>
        <v/>
      </c>
      <c r="AY100" s="120" t="str">
        <f>IF(ISTEXT(VLOOKUP(CONCATENATE($A100,"_",AY$3),'Unit List'!$A$14:$H$2841,2,FALSE)),"X",$AX100)</f>
        <v/>
      </c>
      <c r="AZ100" s="122" t="str">
        <f>IF(ISTEXT(VLOOKUP(CONCATENATE($A100,"_",AZ$3),'Unit List'!$A$14:$H$2841,2,FALSE)),"X",$AX100)</f>
        <v/>
      </c>
      <c r="BA100" s="182" t="str">
        <f>IF(ISTEXT(VLOOKUP(CONCATENATE($A100,"_",BA$3),'Unit List'!$A$14:$H$2841,2,FALSE)),"+","")</f>
        <v/>
      </c>
      <c r="BB100" s="120" t="str">
        <f>IF(ISTEXT(VLOOKUP(CONCATENATE($A100,"_",BB$3),'Unit List'!$A$14:$H$2841,2,FALSE)),"X",$BA100)</f>
        <v/>
      </c>
      <c r="BC100" s="120" t="str">
        <f>IF(ISTEXT(VLOOKUP(CONCATENATE($A100,"_",BC$3),'Unit List'!$A$14:$H$2841,2,FALSE)),"X",$BA100)</f>
        <v/>
      </c>
      <c r="BD100" s="122" t="str">
        <f>IF(ISTEXT(VLOOKUP(CONCATENATE($A100,"_",BD$3),'Unit List'!$A$14:$H$2841,2,FALSE)),"X",$BA100)</f>
        <v/>
      </c>
      <c r="BE100" s="125" t="str">
        <f>IF(ISTEXT(VLOOKUP(CONCATENATE($A100,"_",BE$3),'Unit List'!$A$14:$H$2841,2,FALSE)),"+","")</f>
        <v/>
      </c>
      <c r="BF100" s="75" t="str">
        <f>IF(ISTEXT(VLOOKUP(CONCATENATE($A100,"_",BF$3),'Unit List'!$A$14:$H$2841,2,FALSE)),"X",$BE100)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List'!$A$14:$H$2841,2,FALSE)),"+","")</f>
        <v/>
      </c>
      <c r="C101" s="119" t="str">
        <f>IF(ISTEXT(VLOOKUP(CONCATENATE($A101,"_",C$3),'Unit List'!$A$14:$H$2841,2,FALSE)),"X",$B101)</f>
        <v/>
      </c>
      <c r="D101" s="120" t="str">
        <f>IF(ISTEXT(VLOOKUP(CONCATENATE($A101,"_",D$3),'Unit List'!$A$14:$H$2841,2,FALSE)),"X",$B101)</f>
        <v/>
      </c>
      <c r="E101" s="120" t="str">
        <f>IF(ISTEXT(VLOOKUP(CONCATENATE($A101,"_",E$3),'Unit List'!$A$14:$H$2841,2,FALSE)),"X",$B101)</f>
        <v/>
      </c>
      <c r="F101" s="120" t="str">
        <f>IF(ISTEXT(VLOOKUP(CONCATENATE($A101,"_",F$3),'Unit List'!$A$14:$H$2841,2,FALSE)),"X",$B101)</f>
        <v/>
      </c>
      <c r="G101" s="120" t="str">
        <f>IF(ISTEXT(VLOOKUP(CONCATENATE($A101,"_",G$3),'Unit List'!$A$14:$H$2841,2,FALSE)),"X",$B101)</f>
        <v/>
      </c>
      <c r="H101" s="120" t="str">
        <f>IF(ISTEXT(VLOOKUP(CONCATENATE($A101,"_",H$3),'Unit List'!$A$14:$H$2841,2,FALSE)),"X",$B101)</f>
        <v/>
      </c>
      <c r="I101" s="122" t="str">
        <f>IF(ISTEXT(VLOOKUP(CONCATENATE($A101,"_",I$3),'Unit List'!$A$14:$H$2841,2,FALSE)),"X",$B101)</f>
        <v/>
      </c>
      <c r="J101" s="172" t="str">
        <f>IF(ISTEXT(VLOOKUP(CONCATENATE($A101,"_",J$3),'Unit List'!$A$14:$H$2841,2,FALSE)),"+","")</f>
        <v/>
      </c>
      <c r="K101" s="120" t="str">
        <f>IF(ISTEXT(VLOOKUP(CONCATENATE($A101,"_",K$3),'Unit List'!$A$14:$H$2841,2,FALSE)),"X",$J101)</f>
        <v/>
      </c>
      <c r="L101" s="75" t="str">
        <f>IF(ISTEXT(VLOOKUP(CONCATENATE($A101,"_",L$3),'Unit List'!$A$14:$H$2841,2,FALSE)),"X",$J101)</f>
        <v/>
      </c>
      <c r="M101" s="172" t="str">
        <f>IF(ISTEXT(VLOOKUP(CONCATENATE($A101,"_",M$3),'Unit List'!$A$14:$H$2841,2,FALSE)),"+","")</f>
        <v/>
      </c>
      <c r="N101" s="120" t="str">
        <f>IF(ISTEXT(VLOOKUP(CONCATENATE($A101,"_",N$3),'Unit List'!$A$14:$H$2841,2,FALSE)),"X",$M101)</f>
        <v/>
      </c>
      <c r="O101" s="122" t="str">
        <f>IF(ISTEXT(VLOOKUP(CONCATENATE($A101,"_",O$3),'Unit List'!$A$14:$H$2841,2,FALSE)),"X",$M101)</f>
        <v/>
      </c>
      <c r="P101" s="172" t="str">
        <f>IF(ISTEXT(VLOOKUP(CONCATENATE($A101,"_",P$3),'Unit List'!$A$14:$H$2841,2,FALSE)),"+","")</f>
        <v/>
      </c>
      <c r="Q101" s="120" t="str">
        <f>IF(ISTEXT(VLOOKUP(CONCATENATE($A101,"_",Q$3),'Unit List'!$A$14:$H$2841,2,FALSE)),"X",$P101)</f>
        <v/>
      </c>
      <c r="R101" s="120" t="str">
        <f>IF(ISTEXT(VLOOKUP(CONCATENATE($A101,"_",R$3),'Unit List'!$A$14:$H$2841,2,FALSE)),"X",$P101)</f>
        <v/>
      </c>
      <c r="S101" s="120" t="str">
        <f>IF(ISTEXT(VLOOKUP(CONCATENATE($A101,"_",S$3),'Unit List'!$A$14:$H$2841,2,FALSE)),"X",$P101)</f>
        <v/>
      </c>
      <c r="T101" s="121" t="str">
        <f>IF(ISTEXT(VLOOKUP(CONCATENATE($A101,"_",T$3),'Unit List'!$A$14:$H$2841,2,FALSE)),"X",$P101)</f>
        <v/>
      </c>
      <c r="U101" s="120" t="str">
        <f>IF(ISTEXT(VLOOKUP(CONCATENATE($A101,"_",U$3),'Unit List'!$A$14:$H$2841,2,FALSE)),"X",$P101)</f>
        <v/>
      </c>
      <c r="V101" s="120" t="str">
        <f>IF(ISTEXT(VLOOKUP(CONCATENATE($A101,"_",V$3),'Unit List'!$A$14:$H$2841,2,FALSE)),"X",$P101)</f>
        <v/>
      </c>
      <c r="W101" s="122" t="str">
        <f>IF(ISTEXT(VLOOKUP(CONCATENATE($A101,"_",W$3),'Unit List'!$A$14:$H$2841,2,FALSE)),"X",$P101)</f>
        <v/>
      </c>
      <c r="X101" s="172" t="str">
        <f>IF(ISTEXT(VLOOKUP(CONCATENATE($A101,"_",X$3),'Unit List'!$A$14:$H$2841,2,FALSE)),"+","")</f>
        <v/>
      </c>
      <c r="Y101" s="120" t="str">
        <f>IF(ISTEXT(VLOOKUP(CONCATENATE($A101,"_",Y$3),'Unit List'!$A$14:$H$2841,2,FALSE)),"X",$X101)</f>
        <v/>
      </c>
      <c r="Z101" s="120" t="str">
        <f>IF(ISTEXT(VLOOKUP(CONCATENATE($A101,"_",Z$3),'Unit List'!$A$14:$H$2841,2,FALSE)),"X",$X101)</f>
        <v/>
      </c>
      <c r="AA101" s="120" t="str">
        <f>IF(ISTEXT(VLOOKUP(CONCATENATE($A101,"_",AA$3),'Unit List'!$A$14:$H$2841,2,FALSE)),"X",$X101)</f>
        <v/>
      </c>
      <c r="AB101" s="120" t="str">
        <f>IF(ISTEXT(VLOOKUP(CONCATENATE($A101,"_",AB$3),'Unit List'!$A$14:$H$2841,2,FALSE)),"X",$X101)</f>
        <v/>
      </c>
      <c r="AC101" s="75" t="str">
        <f>IF(ISTEXT(VLOOKUP(CONCATENATE($A101,"_",AC$3),'Unit List'!$A$14:$H$2841,2,FALSE)),"X",$X101)</f>
        <v/>
      </c>
      <c r="AD101" s="172" t="str">
        <f>IF(ISTEXT(VLOOKUP(CONCATENATE($A101,"_",AD$3),'Unit List'!$A$14:$H$2841,2,FALSE)),"+","")</f>
        <v/>
      </c>
      <c r="AE101" s="120" t="str">
        <f>IF(ISTEXT(VLOOKUP(CONCATENATE($A101,"_",AE$3),'Unit List'!$A$14:$H$2841,2,FALSE)),"X",$AD101)</f>
        <v/>
      </c>
      <c r="AF101" s="120" t="str">
        <f>IF(ISTEXT(VLOOKUP(CONCATENATE($A101,"_",AF$3),'Unit List'!$A$14:$H$2841,2,FALSE)),"X",$AD101)</f>
        <v/>
      </c>
      <c r="AG101" s="172" t="str">
        <f>IF(ISTEXT(VLOOKUP(CONCATENATE($A101,"_",AG$3),'Unit List'!$A$14:$H$2841,2,FALSE)),"+","")</f>
        <v/>
      </c>
      <c r="AH101" s="120" t="str">
        <f>IF(ISTEXT(VLOOKUP(CONCATENATE($A101,"_",AH$3),'Unit List'!$A$14:$H$2841,2,FALSE)),"X",$AG101)</f>
        <v/>
      </c>
      <c r="AI101" s="120" t="str">
        <f>IF(ISTEXT(VLOOKUP(CONCATENATE($A101,"_",AI$3),'Unit List'!$A$14:$H$2841,2,FALSE)),"X",$AG101)</f>
        <v/>
      </c>
      <c r="AJ101" s="122" t="str">
        <f>IF(ISTEXT(VLOOKUP(CONCATENATE($A101,"_",AJ$3),'Unit List'!$A$14:$H$2841,2,FALSE)),"X",$AG101)</f>
        <v/>
      </c>
      <c r="AK101" s="172" t="str">
        <f>IF(ISTEXT(VLOOKUP(CONCATENATE($A101,"_",AK$3),'Unit List'!$A$14:$H$2841,2,FALSE)),"+","")</f>
        <v/>
      </c>
      <c r="AL101" s="121" t="str">
        <f>IF(ISTEXT(VLOOKUP(CONCATENATE($A101,"_",AL$3),'Unit List'!$A$14:$H$2841,2,FALSE)),"X",$AK101)</f>
        <v/>
      </c>
      <c r="AM101" s="122" t="str">
        <f>IF(ISTEXT(VLOOKUP(CONCATENATE($A101,"_",AM$3),'Unit List'!$A$14:$H$2841,2,FALSE)),"X",$AK101)</f>
        <v/>
      </c>
      <c r="AN101" s="125" t="str">
        <f>IF(ISTEXT(VLOOKUP(CONCATENATE($A101,"_",AN$3),'Unit List'!$A$14:$H$2841,2,FALSE)),"+","")</f>
        <v/>
      </c>
      <c r="AO101" s="122" t="str">
        <f>IF(ISTEXT(VLOOKUP(CONCATENATE($A101,"_",AO$3),'Unit List'!$A$14:$H$2841,2,FALSE)),"X",$AN101)</f>
        <v/>
      </c>
      <c r="AP101" s="172" t="str">
        <f>IF(ISTEXT(VLOOKUP(CONCATENATE($A101,"_",AP$3),'Unit List'!$A$14:$H$2841,2,FALSE)),"+","")</f>
        <v/>
      </c>
      <c r="AQ101" s="120" t="str">
        <f>IF(ISTEXT(VLOOKUP(CONCATENATE($A101,"_",AQ$3),'Unit List'!$A$14:$H$2841,2,FALSE)),"X",$AP101)</f>
        <v/>
      </c>
      <c r="AR101" s="120" t="str">
        <f>IF(ISTEXT(VLOOKUP(CONCATENATE($A101,"_",AR$3),'Unit List'!$A$14:$H$2841,2,FALSE)),"X",$AP101)</f>
        <v/>
      </c>
      <c r="AS101" s="120" t="str">
        <f>IF(ISTEXT(VLOOKUP(CONCATENATE($A101,"_",AS$3),'Unit List'!$A$14:$H$2841,2,FALSE)),"X",$AP101)</f>
        <v/>
      </c>
      <c r="AT101" s="122" t="str">
        <f>IF(ISTEXT(VLOOKUP(CONCATENATE($A101,"_",AT$3),'Unit List'!$A$14:$H$2841,2,FALSE)),"X",$AP101)</f>
        <v/>
      </c>
      <c r="AU101" s="124" t="str">
        <f>IF(ISTEXT(VLOOKUP(CONCATENATE($A101,"_",AU$3),'Unit List'!$A$14:$H$2841,2,FALSE)),"+","")</f>
        <v/>
      </c>
      <c r="AV101" s="120" t="str">
        <f>IF(ISTEXT(VLOOKUP(CONCATENATE($A101,"_",AV$3),'Unit List'!$A$14:$H$2841,2,FALSE)),"X",$AU101)</f>
        <v/>
      </c>
      <c r="AW101" s="122" t="str">
        <f>IF(ISTEXT(VLOOKUP(CONCATENATE($A101,"_",AW$3),'Unit List'!$A$14:$H$2841,2,FALSE)),"X",$AU101)</f>
        <v/>
      </c>
      <c r="AX101" s="172" t="str">
        <f>IF(ISTEXT(VLOOKUP(CONCATENATE($A101,"_",AX$3),'Unit List'!$A$14:$H$2841,2,FALSE)),"+","")</f>
        <v/>
      </c>
      <c r="AY101" s="120" t="str">
        <f>IF(ISTEXT(VLOOKUP(CONCATENATE($A101,"_",AY$3),'Unit List'!$A$14:$H$2841,2,FALSE)),"X",$AX101)</f>
        <v/>
      </c>
      <c r="AZ101" s="122" t="str">
        <f>IF(ISTEXT(VLOOKUP(CONCATENATE($A101,"_",AZ$3),'Unit List'!$A$14:$H$2841,2,FALSE)),"X",$AX101)</f>
        <v/>
      </c>
      <c r="BA101" s="182" t="str">
        <f>IF(ISTEXT(VLOOKUP(CONCATENATE($A101,"_",BA$3),'Unit List'!$A$14:$H$2841,2,FALSE)),"+","")</f>
        <v/>
      </c>
      <c r="BB101" s="120" t="str">
        <f>IF(ISTEXT(VLOOKUP(CONCATENATE($A101,"_",BB$3),'Unit List'!$A$14:$H$2841,2,FALSE)),"X",$BA101)</f>
        <v/>
      </c>
      <c r="BC101" s="120" t="str">
        <f>IF(ISTEXT(VLOOKUP(CONCATENATE($A101,"_",BC$3),'Unit List'!$A$14:$H$2841,2,FALSE)),"X",$BA101)</f>
        <v/>
      </c>
      <c r="BD101" s="122" t="str">
        <f>IF(ISTEXT(VLOOKUP(CONCATENATE($A101,"_",BD$3),'Unit List'!$A$14:$H$2841,2,FALSE)),"X",$BA101)</f>
        <v/>
      </c>
      <c r="BE101" s="125" t="str">
        <f>IF(ISTEXT(VLOOKUP(CONCATENATE($A101,"_",BE$3),'Unit List'!$A$14:$H$2841,2,FALSE)),"+","")</f>
        <v/>
      </c>
      <c r="BF101" s="75" t="str">
        <f>IF(ISTEXT(VLOOKUP(CONCATENATE($A101,"_",BF$3),'Unit List'!$A$14:$H$2841,2,FALSE)),"X",$BE101)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List'!$A$14:$H$2841,2,FALSE)),"+","")</f>
        <v/>
      </c>
      <c r="C102" s="119" t="str">
        <f>IF(ISTEXT(VLOOKUP(CONCATENATE($A102,"_",C$3),'Unit List'!$A$14:$H$2841,2,FALSE)),"X",$B102)</f>
        <v/>
      </c>
      <c r="D102" s="120" t="str">
        <f>IF(ISTEXT(VLOOKUP(CONCATENATE($A102,"_",D$3),'Unit List'!$A$14:$H$2841,2,FALSE)),"X",$B102)</f>
        <v/>
      </c>
      <c r="E102" s="120" t="str">
        <f>IF(ISTEXT(VLOOKUP(CONCATENATE($A102,"_",E$3),'Unit List'!$A$14:$H$2841,2,FALSE)),"X",$B102)</f>
        <v/>
      </c>
      <c r="F102" s="120" t="str">
        <f>IF(ISTEXT(VLOOKUP(CONCATENATE($A102,"_",F$3),'Unit List'!$A$14:$H$2841,2,FALSE)),"X",$B102)</f>
        <v/>
      </c>
      <c r="G102" s="120" t="str">
        <f>IF(ISTEXT(VLOOKUP(CONCATENATE($A102,"_",G$3),'Unit List'!$A$14:$H$2841,2,FALSE)),"X",$B102)</f>
        <v/>
      </c>
      <c r="H102" s="120" t="str">
        <f>IF(ISTEXT(VLOOKUP(CONCATENATE($A102,"_",H$3),'Unit List'!$A$14:$H$2841,2,FALSE)),"X",$B102)</f>
        <v/>
      </c>
      <c r="I102" s="122" t="str">
        <f>IF(ISTEXT(VLOOKUP(CONCATENATE($A102,"_",I$3),'Unit List'!$A$14:$H$2841,2,FALSE)),"X",$B102)</f>
        <v/>
      </c>
      <c r="J102" s="172" t="str">
        <f>IF(ISTEXT(VLOOKUP(CONCATENATE($A102,"_",J$3),'Unit List'!$A$14:$H$2841,2,FALSE)),"+","")</f>
        <v/>
      </c>
      <c r="K102" s="120" t="str">
        <f>IF(ISTEXT(VLOOKUP(CONCATENATE($A102,"_",K$3),'Unit List'!$A$14:$H$2841,2,FALSE)),"X",$J102)</f>
        <v/>
      </c>
      <c r="L102" s="75" t="str">
        <f>IF(ISTEXT(VLOOKUP(CONCATENATE($A102,"_",L$3),'Unit List'!$A$14:$H$2841,2,FALSE)),"X",$J102)</f>
        <v/>
      </c>
      <c r="M102" s="172" t="str">
        <f>IF(ISTEXT(VLOOKUP(CONCATENATE($A102,"_",M$3),'Unit List'!$A$14:$H$2841,2,FALSE)),"+","")</f>
        <v/>
      </c>
      <c r="N102" s="120" t="str">
        <f>IF(ISTEXT(VLOOKUP(CONCATENATE($A102,"_",N$3),'Unit List'!$A$14:$H$2841,2,FALSE)),"X",$M102)</f>
        <v/>
      </c>
      <c r="O102" s="122" t="str">
        <f>IF(ISTEXT(VLOOKUP(CONCATENATE($A102,"_",O$3),'Unit List'!$A$14:$H$2841,2,FALSE)),"X",$M102)</f>
        <v/>
      </c>
      <c r="P102" s="172" t="str">
        <f>IF(ISTEXT(VLOOKUP(CONCATENATE($A102,"_",P$3),'Unit List'!$A$14:$H$2841,2,FALSE)),"+","")</f>
        <v/>
      </c>
      <c r="Q102" s="120" t="str">
        <f>IF(ISTEXT(VLOOKUP(CONCATENATE($A102,"_",Q$3),'Unit List'!$A$14:$H$2841,2,FALSE)),"X",$P102)</f>
        <v/>
      </c>
      <c r="R102" s="120" t="str">
        <f>IF(ISTEXT(VLOOKUP(CONCATENATE($A102,"_",R$3),'Unit List'!$A$14:$H$2841,2,FALSE)),"X",$P102)</f>
        <v/>
      </c>
      <c r="S102" s="120" t="str">
        <f>IF(ISTEXT(VLOOKUP(CONCATENATE($A102,"_",S$3),'Unit List'!$A$14:$H$2841,2,FALSE)),"X",$P102)</f>
        <v/>
      </c>
      <c r="T102" s="121" t="str">
        <f>IF(ISTEXT(VLOOKUP(CONCATENATE($A102,"_",T$3),'Unit List'!$A$14:$H$2841,2,FALSE)),"X",$P102)</f>
        <v/>
      </c>
      <c r="U102" s="120" t="str">
        <f>IF(ISTEXT(VLOOKUP(CONCATENATE($A102,"_",U$3),'Unit List'!$A$14:$H$2841,2,FALSE)),"X",$P102)</f>
        <v/>
      </c>
      <c r="V102" s="120" t="str">
        <f>IF(ISTEXT(VLOOKUP(CONCATENATE($A102,"_",V$3),'Unit List'!$A$14:$H$2841,2,FALSE)),"X",$P102)</f>
        <v/>
      </c>
      <c r="W102" s="122" t="str">
        <f>IF(ISTEXT(VLOOKUP(CONCATENATE($A102,"_",W$3),'Unit List'!$A$14:$H$2841,2,FALSE)),"X",$P102)</f>
        <v/>
      </c>
      <c r="X102" s="172" t="str">
        <f>IF(ISTEXT(VLOOKUP(CONCATENATE($A102,"_",X$3),'Unit List'!$A$14:$H$2841,2,FALSE)),"+","")</f>
        <v/>
      </c>
      <c r="Y102" s="120" t="str">
        <f>IF(ISTEXT(VLOOKUP(CONCATENATE($A102,"_",Y$3),'Unit List'!$A$14:$H$2841,2,FALSE)),"X",$X102)</f>
        <v/>
      </c>
      <c r="Z102" s="120" t="str">
        <f>IF(ISTEXT(VLOOKUP(CONCATENATE($A102,"_",Z$3),'Unit List'!$A$14:$H$2841,2,FALSE)),"X",$X102)</f>
        <v/>
      </c>
      <c r="AA102" s="120" t="str">
        <f>IF(ISTEXT(VLOOKUP(CONCATENATE($A102,"_",AA$3),'Unit List'!$A$14:$H$2841,2,FALSE)),"X",$X102)</f>
        <v/>
      </c>
      <c r="AB102" s="120" t="str">
        <f>IF(ISTEXT(VLOOKUP(CONCATENATE($A102,"_",AB$3),'Unit List'!$A$14:$H$2841,2,FALSE)),"X",$X102)</f>
        <v/>
      </c>
      <c r="AC102" s="75" t="str">
        <f>IF(ISTEXT(VLOOKUP(CONCATENATE($A102,"_",AC$3),'Unit List'!$A$14:$H$2841,2,FALSE)),"X",$X102)</f>
        <v/>
      </c>
      <c r="AD102" s="172" t="str">
        <f>IF(ISTEXT(VLOOKUP(CONCATENATE($A102,"_",AD$3),'Unit List'!$A$14:$H$2841,2,FALSE)),"+","")</f>
        <v/>
      </c>
      <c r="AE102" s="120" t="str">
        <f>IF(ISTEXT(VLOOKUP(CONCATENATE($A102,"_",AE$3),'Unit List'!$A$14:$H$2841,2,FALSE)),"X",$AD102)</f>
        <v/>
      </c>
      <c r="AF102" s="120" t="str">
        <f>IF(ISTEXT(VLOOKUP(CONCATENATE($A102,"_",AF$3),'Unit List'!$A$14:$H$2841,2,FALSE)),"X",$AD102)</f>
        <v/>
      </c>
      <c r="AG102" s="172" t="str">
        <f>IF(ISTEXT(VLOOKUP(CONCATENATE($A102,"_",AG$3),'Unit List'!$A$14:$H$2841,2,FALSE)),"+","")</f>
        <v/>
      </c>
      <c r="AH102" s="120" t="str">
        <f>IF(ISTEXT(VLOOKUP(CONCATENATE($A102,"_",AH$3),'Unit List'!$A$14:$H$2841,2,FALSE)),"X",$AG102)</f>
        <v/>
      </c>
      <c r="AI102" s="120" t="str">
        <f>IF(ISTEXT(VLOOKUP(CONCATENATE($A102,"_",AI$3),'Unit List'!$A$14:$H$2841,2,FALSE)),"X",$AG102)</f>
        <v/>
      </c>
      <c r="AJ102" s="122" t="str">
        <f>IF(ISTEXT(VLOOKUP(CONCATENATE($A102,"_",AJ$3),'Unit List'!$A$14:$H$2841,2,FALSE)),"X",$AG102)</f>
        <v/>
      </c>
      <c r="AK102" s="172" t="str">
        <f>IF(ISTEXT(VLOOKUP(CONCATENATE($A102,"_",AK$3),'Unit List'!$A$14:$H$2841,2,FALSE)),"+","")</f>
        <v/>
      </c>
      <c r="AL102" s="121" t="str">
        <f>IF(ISTEXT(VLOOKUP(CONCATENATE($A102,"_",AL$3),'Unit List'!$A$14:$H$2841,2,FALSE)),"X",$AK102)</f>
        <v/>
      </c>
      <c r="AM102" s="122" t="str">
        <f>IF(ISTEXT(VLOOKUP(CONCATENATE($A102,"_",AM$3),'Unit List'!$A$14:$H$2841,2,FALSE)),"X",$AK102)</f>
        <v/>
      </c>
      <c r="AN102" s="125" t="str">
        <f>IF(ISTEXT(VLOOKUP(CONCATENATE($A102,"_",AN$3),'Unit List'!$A$14:$H$2841,2,FALSE)),"+","")</f>
        <v/>
      </c>
      <c r="AO102" s="122" t="str">
        <f>IF(ISTEXT(VLOOKUP(CONCATENATE($A102,"_",AO$3),'Unit List'!$A$14:$H$2841,2,FALSE)),"X",$AN102)</f>
        <v/>
      </c>
      <c r="AP102" s="172" t="str">
        <f>IF(ISTEXT(VLOOKUP(CONCATENATE($A102,"_",AP$3),'Unit List'!$A$14:$H$2841,2,FALSE)),"+","")</f>
        <v/>
      </c>
      <c r="AQ102" s="120" t="str">
        <f>IF(ISTEXT(VLOOKUP(CONCATENATE($A102,"_",AQ$3),'Unit List'!$A$14:$H$2841,2,FALSE)),"X",$AP102)</f>
        <v/>
      </c>
      <c r="AR102" s="120" t="str">
        <f>IF(ISTEXT(VLOOKUP(CONCATENATE($A102,"_",AR$3),'Unit List'!$A$14:$H$2841,2,FALSE)),"X",$AP102)</f>
        <v/>
      </c>
      <c r="AS102" s="120" t="str">
        <f>IF(ISTEXT(VLOOKUP(CONCATENATE($A102,"_",AS$3),'Unit List'!$A$14:$H$2841,2,FALSE)),"X",$AP102)</f>
        <v/>
      </c>
      <c r="AT102" s="122" t="str">
        <f>IF(ISTEXT(VLOOKUP(CONCATENATE($A102,"_",AT$3),'Unit List'!$A$14:$H$2841,2,FALSE)),"X",$AP102)</f>
        <v/>
      </c>
      <c r="AU102" s="124" t="str">
        <f>IF(ISTEXT(VLOOKUP(CONCATENATE($A102,"_",AU$3),'Unit List'!$A$14:$H$2841,2,FALSE)),"+","")</f>
        <v/>
      </c>
      <c r="AV102" s="120" t="str">
        <f>IF(ISTEXT(VLOOKUP(CONCATENATE($A102,"_",AV$3),'Unit List'!$A$14:$H$2841,2,FALSE)),"X",$AU102)</f>
        <v/>
      </c>
      <c r="AW102" s="122" t="str">
        <f>IF(ISTEXT(VLOOKUP(CONCATENATE($A102,"_",AW$3),'Unit List'!$A$14:$H$2841,2,FALSE)),"X",$AU102)</f>
        <v/>
      </c>
      <c r="AX102" s="172" t="str">
        <f>IF(ISTEXT(VLOOKUP(CONCATENATE($A102,"_",AX$3),'Unit List'!$A$14:$H$2841,2,FALSE)),"+","")</f>
        <v/>
      </c>
      <c r="AY102" s="120" t="str">
        <f>IF(ISTEXT(VLOOKUP(CONCATENATE($A102,"_",AY$3),'Unit List'!$A$14:$H$2841,2,FALSE)),"X",$AX102)</f>
        <v/>
      </c>
      <c r="AZ102" s="122" t="str">
        <f>IF(ISTEXT(VLOOKUP(CONCATENATE($A102,"_",AZ$3),'Unit List'!$A$14:$H$2841,2,FALSE)),"X",$AX102)</f>
        <v/>
      </c>
      <c r="BA102" s="182" t="str">
        <f>IF(ISTEXT(VLOOKUP(CONCATENATE($A102,"_",BA$3),'Unit List'!$A$14:$H$2841,2,FALSE)),"+","")</f>
        <v/>
      </c>
      <c r="BB102" s="120" t="str">
        <f>IF(ISTEXT(VLOOKUP(CONCATENATE($A102,"_",BB$3),'Unit List'!$A$14:$H$2841,2,FALSE)),"X",$BA102)</f>
        <v/>
      </c>
      <c r="BC102" s="120" t="str">
        <f>IF(ISTEXT(VLOOKUP(CONCATENATE($A102,"_",BC$3),'Unit List'!$A$14:$H$2841,2,FALSE)),"X",$BA102)</f>
        <v/>
      </c>
      <c r="BD102" s="122" t="str">
        <f>IF(ISTEXT(VLOOKUP(CONCATENATE($A102,"_",BD$3),'Unit List'!$A$14:$H$2841,2,FALSE)),"X",$BA102)</f>
        <v/>
      </c>
      <c r="BE102" s="125" t="str">
        <f>IF(ISTEXT(VLOOKUP(CONCATENATE($A102,"_",BE$3),'Unit List'!$A$14:$H$2841,2,FALSE)),"+","")</f>
        <v/>
      </c>
      <c r="BF102" s="75" t="str">
        <f>IF(ISTEXT(VLOOKUP(CONCATENATE($A102,"_",BF$3),'Unit List'!$A$14:$H$2841,2,FALSE)),"X",$BE102)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List'!$A$14:$H$2841,2,FALSE)),"+","")</f>
        <v/>
      </c>
      <c r="C103" s="119" t="str">
        <f>IF(ISTEXT(VLOOKUP(CONCATENATE($A103,"_",C$3),'Unit List'!$A$14:$H$2841,2,FALSE)),"X",$B103)</f>
        <v/>
      </c>
      <c r="D103" s="120" t="str">
        <f>IF(ISTEXT(VLOOKUP(CONCATENATE($A103,"_",D$3),'Unit List'!$A$14:$H$2841,2,FALSE)),"X",$B103)</f>
        <v/>
      </c>
      <c r="E103" s="120" t="str">
        <f>IF(ISTEXT(VLOOKUP(CONCATENATE($A103,"_",E$3),'Unit List'!$A$14:$H$2841,2,FALSE)),"X",$B103)</f>
        <v/>
      </c>
      <c r="F103" s="120" t="str">
        <f>IF(ISTEXT(VLOOKUP(CONCATENATE($A103,"_",F$3),'Unit List'!$A$14:$H$2841,2,FALSE)),"X",$B103)</f>
        <v/>
      </c>
      <c r="G103" s="120" t="str">
        <f>IF(ISTEXT(VLOOKUP(CONCATENATE($A103,"_",G$3),'Unit List'!$A$14:$H$2841,2,FALSE)),"X",$B103)</f>
        <v/>
      </c>
      <c r="H103" s="120" t="str">
        <f>IF(ISTEXT(VLOOKUP(CONCATENATE($A103,"_",H$3),'Unit List'!$A$14:$H$2841,2,FALSE)),"X",$B103)</f>
        <v/>
      </c>
      <c r="I103" s="122" t="str">
        <f>IF(ISTEXT(VLOOKUP(CONCATENATE($A103,"_",I$3),'Unit List'!$A$14:$H$2841,2,FALSE)),"X",$B103)</f>
        <v>X</v>
      </c>
      <c r="J103" s="172" t="str">
        <f>IF(ISTEXT(VLOOKUP(CONCATENATE($A103,"_",J$3),'Unit List'!$A$14:$H$2841,2,FALSE)),"+","")</f>
        <v/>
      </c>
      <c r="K103" s="120" t="str">
        <f>IF(ISTEXT(VLOOKUP(CONCATENATE($A103,"_",K$3),'Unit List'!$A$14:$H$2841,2,FALSE)),"X",$J103)</f>
        <v/>
      </c>
      <c r="L103" s="75" t="str">
        <f>IF(ISTEXT(VLOOKUP(CONCATENATE($A103,"_",L$3),'Unit List'!$A$14:$H$2841,2,FALSE)),"X",$J103)</f>
        <v/>
      </c>
      <c r="M103" s="172" t="str">
        <f>IF(ISTEXT(VLOOKUP(CONCATENATE($A103,"_",M$3),'Unit List'!$A$14:$H$2841,2,FALSE)),"+","")</f>
        <v/>
      </c>
      <c r="N103" s="120" t="str">
        <f>IF(ISTEXT(VLOOKUP(CONCATENATE($A103,"_",N$3),'Unit List'!$A$14:$H$2841,2,FALSE)),"X",$M103)</f>
        <v/>
      </c>
      <c r="O103" s="122" t="str">
        <f>IF(ISTEXT(VLOOKUP(CONCATENATE($A103,"_",O$3),'Unit List'!$A$14:$H$2841,2,FALSE)),"X",$M103)</f>
        <v/>
      </c>
      <c r="P103" s="172" t="str">
        <f>IF(ISTEXT(VLOOKUP(CONCATENATE($A103,"_",P$3),'Unit List'!$A$14:$H$2841,2,FALSE)),"+","")</f>
        <v/>
      </c>
      <c r="Q103" s="120" t="str">
        <f>IF(ISTEXT(VLOOKUP(CONCATENATE($A103,"_",Q$3),'Unit List'!$A$14:$H$2841,2,FALSE)),"X",$P103)</f>
        <v/>
      </c>
      <c r="R103" s="120" t="str">
        <f>IF(ISTEXT(VLOOKUP(CONCATENATE($A103,"_",R$3),'Unit List'!$A$14:$H$2841,2,FALSE)),"X",$P103)</f>
        <v/>
      </c>
      <c r="S103" s="120" t="str">
        <f>IF(ISTEXT(VLOOKUP(CONCATENATE($A103,"_",S$3),'Unit List'!$A$14:$H$2841,2,FALSE)),"X",$P103)</f>
        <v/>
      </c>
      <c r="T103" s="121" t="str">
        <f>IF(ISTEXT(VLOOKUP(CONCATENATE($A103,"_",T$3),'Unit List'!$A$14:$H$2841,2,FALSE)),"X",$P103)</f>
        <v/>
      </c>
      <c r="U103" s="120" t="str">
        <f>IF(ISTEXT(VLOOKUP(CONCATENATE($A103,"_",U$3),'Unit List'!$A$14:$H$2841,2,FALSE)),"X",$P103)</f>
        <v/>
      </c>
      <c r="V103" s="120" t="str">
        <f>IF(ISTEXT(VLOOKUP(CONCATENATE($A103,"_",V$3),'Unit List'!$A$14:$H$2841,2,FALSE)),"X",$P103)</f>
        <v/>
      </c>
      <c r="W103" s="122" t="str">
        <f>IF(ISTEXT(VLOOKUP(CONCATENATE($A103,"_",W$3),'Unit List'!$A$14:$H$2841,2,FALSE)),"X",$P103)</f>
        <v/>
      </c>
      <c r="X103" s="172" t="str">
        <f>IF(ISTEXT(VLOOKUP(CONCATENATE($A103,"_",X$3),'Unit List'!$A$14:$H$2841,2,FALSE)),"+","")</f>
        <v/>
      </c>
      <c r="Y103" s="120" t="str">
        <f>IF(ISTEXT(VLOOKUP(CONCATENATE($A103,"_",Y$3),'Unit List'!$A$14:$H$2841,2,FALSE)),"X",$X103)</f>
        <v/>
      </c>
      <c r="Z103" s="120" t="str">
        <f>IF(ISTEXT(VLOOKUP(CONCATENATE($A103,"_",Z$3),'Unit List'!$A$14:$H$2841,2,FALSE)),"X",$X103)</f>
        <v/>
      </c>
      <c r="AA103" s="120" t="str">
        <f>IF(ISTEXT(VLOOKUP(CONCATENATE($A103,"_",AA$3),'Unit List'!$A$14:$H$2841,2,FALSE)),"X",$X103)</f>
        <v/>
      </c>
      <c r="AB103" s="120" t="str">
        <f>IF(ISTEXT(VLOOKUP(CONCATENATE($A103,"_",AB$3),'Unit List'!$A$14:$H$2841,2,FALSE)),"X",$X103)</f>
        <v/>
      </c>
      <c r="AC103" s="75" t="str">
        <f>IF(ISTEXT(VLOOKUP(CONCATENATE($A103,"_",AC$3),'Unit List'!$A$14:$H$2841,2,FALSE)),"X",$X103)</f>
        <v/>
      </c>
      <c r="AD103" s="172" t="str">
        <f>IF(ISTEXT(VLOOKUP(CONCATENATE($A103,"_",AD$3),'Unit List'!$A$14:$H$2841,2,FALSE)),"+","")</f>
        <v/>
      </c>
      <c r="AE103" s="120" t="str">
        <f>IF(ISTEXT(VLOOKUP(CONCATENATE($A103,"_",AE$3),'Unit List'!$A$14:$H$2841,2,FALSE)),"X",$AD103)</f>
        <v/>
      </c>
      <c r="AF103" s="120" t="str">
        <f>IF(ISTEXT(VLOOKUP(CONCATENATE($A103,"_",AF$3),'Unit List'!$A$14:$H$2841,2,FALSE)),"X",$AD103)</f>
        <v/>
      </c>
      <c r="AG103" s="172" t="str">
        <f>IF(ISTEXT(VLOOKUP(CONCATENATE($A103,"_",AG$3),'Unit List'!$A$14:$H$2841,2,FALSE)),"+","")</f>
        <v/>
      </c>
      <c r="AH103" s="120" t="str">
        <f>IF(ISTEXT(VLOOKUP(CONCATENATE($A103,"_",AH$3),'Unit List'!$A$14:$H$2841,2,FALSE)),"X",$AG103)</f>
        <v/>
      </c>
      <c r="AI103" s="120" t="str">
        <f>IF(ISTEXT(VLOOKUP(CONCATENATE($A103,"_",AI$3),'Unit List'!$A$14:$H$2841,2,FALSE)),"X",$AG103)</f>
        <v/>
      </c>
      <c r="AJ103" s="122" t="str">
        <f>IF(ISTEXT(VLOOKUP(CONCATENATE($A103,"_",AJ$3),'Unit List'!$A$14:$H$2841,2,FALSE)),"X",$AG103)</f>
        <v/>
      </c>
      <c r="AK103" s="172" t="str">
        <f>IF(ISTEXT(VLOOKUP(CONCATENATE($A103,"_",AK$3),'Unit List'!$A$14:$H$2841,2,FALSE)),"+","")</f>
        <v/>
      </c>
      <c r="AL103" s="121" t="str">
        <f>IF(ISTEXT(VLOOKUP(CONCATENATE($A103,"_",AL$3),'Unit List'!$A$14:$H$2841,2,FALSE)),"X",$AK103)</f>
        <v/>
      </c>
      <c r="AM103" s="122" t="str">
        <f>IF(ISTEXT(VLOOKUP(CONCATENATE($A103,"_",AM$3),'Unit List'!$A$14:$H$2841,2,FALSE)),"X",$AK103)</f>
        <v/>
      </c>
      <c r="AN103" s="125" t="str">
        <f>IF(ISTEXT(VLOOKUP(CONCATENATE($A103,"_",AN$3),'Unit List'!$A$14:$H$2841,2,FALSE)),"+","")</f>
        <v/>
      </c>
      <c r="AO103" s="122" t="str">
        <f>IF(ISTEXT(VLOOKUP(CONCATENATE($A103,"_",AO$3),'Unit List'!$A$14:$H$2841,2,FALSE)),"X",$AN103)</f>
        <v/>
      </c>
      <c r="AP103" s="172" t="str">
        <f>IF(ISTEXT(VLOOKUP(CONCATENATE($A103,"_",AP$3),'Unit List'!$A$14:$H$2841,2,FALSE)),"+","")</f>
        <v>+</v>
      </c>
      <c r="AQ103" s="120" t="str">
        <f>IF(ISTEXT(VLOOKUP(CONCATENATE($A103,"_",AQ$3),'Unit List'!$A$14:$H$2841,2,FALSE)),"X",$AP103)</f>
        <v>+</v>
      </c>
      <c r="AR103" s="120" t="str">
        <f>IF(ISTEXT(VLOOKUP(CONCATENATE($A103,"_",AR$3),'Unit List'!$A$14:$H$2841,2,FALSE)),"X",$AP103)</f>
        <v>+</v>
      </c>
      <c r="AS103" s="120" t="str">
        <f>IF(ISTEXT(VLOOKUP(CONCATENATE($A103,"_",AS$3),'Unit List'!$A$14:$H$2841,2,FALSE)),"X",$AP103)</f>
        <v>+</v>
      </c>
      <c r="AT103" s="122" t="str">
        <f>IF(ISTEXT(VLOOKUP(CONCATENATE($A103,"_",AT$3),'Unit List'!$A$14:$H$2841,2,FALSE)),"X",$AP103)</f>
        <v>+</v>
      </c>
      <c r="AU103" s="124" t="str">
        <f>IF(ISTEXT(VLOOKUP(CONCATENATE($A103,"_",AU$3),'Unit List'!$A$14:$H$2841,2,FALSE)),"+","")</f>
        <v/>
      </c>
      <c r="AV103" s="120" t="str">
        <f>IF(ISTEXT(VLOOKUP(CONCATENATE($A103,"_",AV$3),'Unit List'!$A$14:$H$2841,2,FALSE)),"X",$AU103)</f>
        <v/>
      </c>
      <c r="AW103" s="122" t="str">
        <f>IF(ISTEXT(VLOOKUP(CONCATENATE($A103,"_",AW$3),'Unit List'!$A$14:$H$2841,2,FALSE)),"X",$AU103)</f>
        <v/>
      </c>
      <c r="AX103" s="172" t="str">
        <f>IF(ISTEXT(VLOOKUP(CONCATENATE($A103,"_",AX$3),'Unit List'!$A$14:$H$2841,2,FALSE)),"+","")</f>
        <v/>
      </c>
      <c r="AY103" s="120" t="str">
        <f>IF(ISTEXT(VLOOKUP(CONCATENATE($A103,"_",AY$3),'Unit List'!$A$14:$H$2841,2,FALSE)),"X",$AX103)</f>
        <v/>
      </c>
      <c r="AZ103" s="122" t="str">
        <f>IF(ISTEXT(VLOOKUP(CONCATENATE($A103,"_",AZ$3),'Unit List'!$A$14:$H$2841,2,FALSE)),"X",$AX103)</f>
        <v/>
      </c>
      <c r="BA103" s="182" t="str">
        <f>IF(ISTEXT(VLOOKUP(CONCATENATE($A103,"_",BA$3),'Unit List'!$A$14:$H$2841,2,FALSE)),"+","")</f>
        <v>+</v>
      </c>
      <c r="BB103" s="120" t="str">
        <f>IF(ISTEXT(VLOOKUP(CONCATENATE($A103,"_",BB$3),'Unit List'!$A$14:$H$2841,2,FALSE)),"X",$BA103)</f>
        <v>+</v>
      </c>
      <c r="BC103" s="120" t="str">
        <f>IF(ISTEXT(VLOOKUP(CONCATENATE($A103,"_",BC$3),'Unit List'!$A$14:$H$2841,2,FALSE)),"X",$BA103)</f>
        <v>+</v>
      </c>
      <c r="BD103" s="122" t="str">
        <f>IF(ISTEXT(VLOOKUP(CONCATENATE($A103,"_",BD$3),'Unit List'!$A$14:$H$2841,2,FALSE)),"X",$BA103)</f>
        <v>+</v>
      </c>
      <c r="BE103" s="125" t="str">
        <f>IF(ISTEXT(VLOOKUP(CONCATENATE($A103,"_",BE$3),'Unit List'!$A$14:$H$2841,2,FALSE)),"+","")</f>
        <v>+</v>
      </c>
      <c r="BF103" s="75" t="str">
        <f>IF(ISTEXT(VLOOKUP(CONCATENATE($A103,"_",BF$3),'Unit List'!$A$14:$H$2841,2,FALSE)),"X",$BE103)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List'!$A$14:$H$2841,2,FALSE)),"+","")</f>
        <v/>
      </c>
      <c r="C104" s="130" t="str">
        <f>IF(ISTEXT(VLOOKUP(CONCATENATE($A104,"_",C$3),'Unit List'!$A$14:$H$2841,2,FALSE)),"X",$B104)</f>
        <v/>
      </c>
      <c r="D104" s="131" t="str">
        <f>IF(ISTEXT(VLOOKUP(CONCATENATE($A104,"_",D$3),'Unit List'!$A$14:$H$2841,2,FALSE)),"X",$B104)</f>
        <v/>
      </c>
      <c r="E104" s="131" t="str">
        <f>IF(ISTEXT(VLOOKUP(CONCATENATE($A104,"_",E$3),'Unit List'!$A$14:$H$2841,2,FALSE)),"X",$B104)</f>
        <v/>
      </c>
      <c r="F104" s="131" t="str">
        <f>IF(ISTEXT(VLOOKUP(CONCATENATE($A104,"_",F$3),'Unit List'!$A$14:$H$2841,2,FALSE)),"X",$B104)</f>
        <v/>
      </c>
      <c r="G104" s="131" t="str">
        <f>IF(ISTEXT(VLOOKUP(CONCATENATE($A104,"_",G$3),'Unit List'!$A$14:$H$2841,2,FALSE)),"X",$B104)</f>
        <v/>
      </c>
      <c r="H104" s="131" t="str">
        <f>IF(ISTEXT(VLOOKUP(CONCATENATE($A104,"_",H$3),'Unit List'!$A$14:$H$2841,2,FALSE)),"X",$B104)</f>
        <v/>
      </c>
      <c r="I104" s="132" t="str">
        <f>IF(ISTEXT(VLOOKUP(CONCATENATE($A104,"_",I$3),'Unit List'!$A$14:$H$2841,2,FALSE)),"X",$B104)</f>
        <v/>
      </c>
      <c r="J104" s="172" t="str">
        <f>IF(ISTEXT(VLOOKUP(CONCATENATE($A104,"_",J$3),'Unit List'!$A$14:$H$2841,2,FALSE)),"+","")</f>
        <v/>
      </c>
      <c r="K104" s="131" t="str">
        <f>IF(ISTEXT(VLOOKUP(CONCATENATE($A104,"_",K$3),'Unit List'!$A$14:$H$2841,2,FALSE)),"X",$J104)</f>
        <v/>
      </c>
      <c r="L104" s="116" t="str">
        <f>IF(ISTEXT(VLOOKUP(CONCATENATE($A104,"_",L$3),'Unit List'!$A$14:$H$2841,2,FALSE)),"X",$J104)</f>
        <v/>
      </c>
      <c r="M104" s="173" t="str">
        <f>IF(ISTEXT(VLOOKUP(CONCATENATE($A104,"_",M$3),'Unit List'!$A$14:$H$2841,2,FALSE)),"+","")</f>
        <v/>
      </c>
      <c r="N104" s="131" t="str">
        <f>IF(ISTEXT(VLOOKUP(CONCATENATE($A104,"_",N$3),'Unit List'!$A$14:$H$2841,2,FALSE)),"X",$M104)</f>
        <v/>
      </c>
      <c r="O104" s="132" t="str">
        <f>IF(ISTEXT(VLOOKUP(CONCATENATE($A104,"_",O$3),'Unit List'!$A$14:$H$2841,2,FALSE)),"X",$M104)</f>
        <v/>
      </c>
      <c r="P104" s="173" t="str">
        <f>IF(ISTEXT(VLOOKUP(CONCATENATE($A104,"_",P$3),'Unit List'!$A$14:$H$2841,2,FALSE)),"+","")</f>
        <v/>
      </c>
      <c r="Q104" s="131" t="str">
        <f>IF(ISTEXT(VLOOKUP(CONCATENATE($A104,"_",Q$3),'Unit List'!$A$14:$H$2841,2,FALSE)),"X",$P104)</f>
        <v/>
      </c>
      <c r="R104" s="131" t="str">
        <f>IF(ISTEXT(VLOOKUP(CONCATENATE($A104,"_",R$3),'Unit List'!$A$14:$H$2841,2,FALSE)),"X",$P104)</f>
        <v/>
      </c>
      <c r="S104" s="131" t="str">
        <f>IF(ISTEXT(VLOOKUP(CONCATENATE($A104,"_",S$3),'Unit List'!$A$14:$H$2841,2,FALSE)),"X",$P104)</f>
        <v/>
      </c>
      <c r="T104" s="133" t="str">
        <f>IF(ISTEXT(VLOOKUP(CONCATENATE($A104,"_",T$3),'Unit List'!$A$14:$H$2841,2,FALSE)),"X",$P104)</f>
        <v/>
      </c>
      <c r="U104" s="131" t="str">
        <f>IF(ISTEXT(VLOOKUP(CONCATENATE($A104,"_",U$3),'Unit List'!$A$14:$H$2841,2,FALSE)),"X",$P104)</f>
        <v/>
      </c>
      <c r="V104" s="131" t="str">
        <f>IF(ISTEXT(VLOOKUP(CONCATENATE($A104,"_",V$3),'Unit List'!$A$14:$H$2841,2,FALSE)),"X",$P104)</f>
        <v/>
      </c>
      <c r="W104" s="132" t="str">
        <f>IF(ISTEXT(VLOOKUP(CONCATENATE($A104,"_",W$3),'Unit List'!$A$14:$H$2841,2,FALSE)),"X",$P104)</f>
        <v/>
      </c>
      <c r="X104" s="173" t="str">
        <f>IF(ISTEXT(VLOOKUP(CONCATENATE($A104,"_",X$3),'Unit List'!$A$14:$H$2841,2,FALSE)),"+","")</f>
        <v/>
      </c>
      <c r="Y104" s="131" t="str">
        <f>IF(ISTEXT(VLOOKUP(CONCATENATE($A104,"_",Y$3),'Unit List'!$A$14:$H$2841,2,FALSE)),"X",$X104)</f>
        <v/>
      </c>
      <c r="Z104" s="131" t="str">
        <f>IF(ISTEXT(VLOOKUP(CONCATENATE($A104,"_",Z$3),'Unit List'!$A$14:$H$2841,2,FALSE)),"X",$X104)</f>
        <v/>
      </c>
      <c r="AA104" s="131" t="str">
        <f>IF(ISTEXT(VLOOKUP(CONCATENATE($A104,"_",AA$3),'Unit List'!$A$14:$H$2841,2,FALSE)),"X",$X104)</f>
        <v/>
      </c>
      <c r="AB104" s="131" t="str">
        <f>IF(ISTEXT(VLOOKUP(CONCATENATE($A104,"_",AB$3),'Unit List'!$A$14:$H$2841,2,FALSE)),"X",$X104)</f>
        <v/>
      </c>
      <c r="AC104" s="116" t="str">
        <f>IF(ISTEXT(VLOOKUP(CONCATENATE($A104,"_",AC$3),'Unit List'!$A$14:$H$2841,2,FALSE)),"X",$X104)</f>
        <v/>
      </c>
      <c r="AD104" s="173" t="str">
        <f>IF(ISTEXT(VLOOKUP(CONCATENATE($A104,"_",AD$3),'Unit List'!$A$14:$H$2841,2,FALSE)),"+","")</f>
        <v/>
      </c>
      <c r="AE104" s="131" t="str">
        <f>IF(ISTEXT(VLOOKUP(CONCATENATE($A104,"_",AE$3),'Unit List'!$A$14:$H$2841,2,FALSE)),"X",$AD104)</f>
        <v/>
      </c>
      <c r="AF104" s="131" t="str">
        <f>IF(ISTEXT(VLOOKUP(CONCATENATE($A104,"_",AF$3),'Unit List'!$A$14:$H$2841,2,FALSE)),"X",$AD104)</f>
        <v/>
      </c>
      <c r="AG104" s="173" t="str">
        <f>IF(ISTEXT(VLOOKUP(CONCATENATE($A104,"_",AG$3),'Unit List'!$A$14:$H$2841,2,FALSE)),"+","")</f>
        <v/>
      </c>
      <c r="AH104" s="131" t="str">
        <f>IF(ISTEXT(VLOOKUP(CONCATENATE($A104,"_",AH$3),'Unit List'!$A$14:$H$2841,2,FALSE)),"X",$AG104)</f>
        <v/>
      </c>
      <c r="AI104" s="131" t="str">
        <f>IF(ISTEXT(VLOOKUP(CONCATENATE($A104,"_",AI$3),'Unit List'!$A$14:$H$2841,2,FALSE)),"X",$AG104)</f>
        <v/>
      </c>
      <c r="AJ104" s="132" t="str">
        <f>IF(ISTEXT(VLOOKUP(CONCATENATE($A104,"_",AJ$3),'Unit List'!$A$14:$H$2841,2,FALSE)),"X",$AG104)</f>
        <v/>
      </c>
      <c r="AK104" s="173" t="str">
        <f>IF(ISTEXT(VLOOKUP(CONCATENATE($A104,"_",AK$3),'Unit List'!$A$14:$H$2841,2,FALSE)),"+","")</f>
        <v/>
      </c>
      <c r="AL104" s="133" t="str">
        <f>IF(ISTEXT(VLOOKUP(CONCATENATE($A104,"_",AL$3),'Unit List'!$A$14:$H$2841,2,FALSE)),"X",$AK104)</f>
        <v/>
      </c>
      <c r="AM104" s="132" t="str">
        <f>IF(ISTEXT(VLOOKUP(CONCATENATE($A104,"_",AM$3),'Unit List'!$A$14:$H$2841,2,FALSE)),"X",$AK104)</f>
        <v/>
      </c>
      <c r="AN104" s="186" t="str">
        <f>IF(ISTEXT(VLOOKUP(CONCATENATE($A104,"_",AN$3),'Unit List'!$A$14:$H$2841,2,FALSE)),"+","")</f>
        <v/>
      </c>
      <c r="AO104" s="132" t="str">
        <f>IF(ISTEXT(VLOOKUP(CONCATENATE($A104,"_",AO$3),'Unit List'!$A$14:$H$2841,2,FALSE)),"X",$AN104)</f>
        <v/>
      </c>
      <c r="AP104" s="173" t="str">
        <f>IF(ISTEXT(VLOOKUP(CONCATENATE($A104,"_",AP$3),'Unit List'!$A$14:$H$2841,2,FALSE)),"+","")</f>
        <v/>
      </c>
      <c r="AQ104" s="131" t="str">
        <f>IF(ISTEXT(VLOOKUP(CONCATENATE($A104,"_",AQ$3),'Unit List'!$A$14:$H$2841,2,FALSE)),"X",$AP104)</f>
        <v/>
      </c>
      <c r="AR104" s="131" t="str">
        <f>IF(ISTEXT(VLOOKUP(CONCATENATE($A104,"_",AR$3),'Unit List'!$A$14:$H$2841,2,FALSE)),"X",$AP104)</f>
        <v/>
      </c>
      <c r="AS104" s="131" t="str">
        <f>IF(ISTEXT(VLOOKUP(CONCATENATE($A104,"_",AS$3),'Unit List'!$A$14:$H$2841,2,FALSE)),"X",$AP104)</f>
        <v/>
      </c>
      <c r="AT104" s="132" t="str">
        <f>IF(ISTEXT(VLOOKUP(CONCATENATE($A104,"_",AT$3),'Unit List'!$A$14:$H$2841,2,FALSE)),"X",$AP104)</f>
        <v/>
      </c>
      <c r="AU104" s="187" t="str">
        <f>IF(ISTEXT(VLOOKUP(CONCATENATE($A104,"_",AU$3),'Unit List'!$A$14:$H$2841,2,FALSE)),"+","")</f>
        <v/>
      </c>
      <c r="AV104" s="131" t="str">
        <f>IF(ISTEXT(VLOOKUP(CONCATENATE($A104,"_",AV$3),'Unit List'!$A$14:$H$2841,2,FALSE)),"X",$AU104)</f>
        <v/>
      </c>
      <c r="AW104" s="132" t="str">
        <f>IF(ISTEXT(VLOOKUP(CONCATENATE($A104,"_",AW$3),'Unit List'!$A$14:$H$2841,2,FALSE)),"X",$AU104)</f>
        <v/>
      </c>
      <c r="AX104" s="173" t="str">
        <f>IF(ISTEXT(VLOOKUP(CONCATENATE($A104,"_",AX$3),'Unit List'!$A$14:$H$2841,2,FALSE)),"+","")</f>
        <v/>
      </c>
      <c r="AY104" s="131" t="str">
        <f>IF(ISTEXT(VLOOKUP(CONCATENATE($A104,"_",AY$3),'Unit List'!$A$14:$H$2841,2,FALSE)),"X",$AX104)</f>
        <v/>
      </c>
      <c r="AZ104" s="132" t="str">
        <f>IF(ISTEXT(VLOOKUP(CONCATENATE($A104,"_",AZ$3),'Unit List'!$A$14:$H$2841,2,FALSE)),"X",$AX104)</f>
        <v/>
      </c>
      <c r="BA104" s="188" t="str">
        <f>IF(ISTEXT(VLOOKUP(CONCATENATE($A104,"_",BA$3),'Unit List'!$A$14:$H$2841,2,FALSE)),"+","")</f>
        <v/>
      </c>
      <c r="BB104" s="131" t="str">
        <f>IF(ISTEXT(VLOOKUP(CONCATENATE($A104,"_",BB$3),'Unit List'!$A$14:$H$2841,2,FALSE)),"X",$BA104)</f>
        <v/>
      </c>
      <c r="BC104" s="131" t="str">
        <f>IF(ISTEXT(VLOOKUP(CONCATENATE($A104,"_",BC$3),'Unit List'!$A$14:$H$2841,2,FALSE)),"X",$BA104)</f>
        <v/>
      </c>
      <c r="BD104" s="132" t="str">
        <f>IF(ISTEXT(VLOOKUP(CONCATENATE($A104,"_",BD$3),'Unit List'!$A$14:$H$2841,2,FALSE)),"X",$BA104)</f>
        <v/>
      </c>
      <c r="BE104" s="186" t="str">
        <f>IF(ISTEXT(VLOOKUP(CONCATENATE($A104,"_",BE$3),'Unit List'!$A$14:$H$2841,2,FALSE)),"+","")</f>
        <v/>
      </c>
      <c r="BF104" s="116" t="str">
        <f>IF(ISTEXT(VLOOKUP(CONCATENATE($A104,"_",BF$3),'Unit List'!$A$14:$H$2841,2,FALSE)),"X",$BE104)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20"/>
  <sheetViews>
    <sheetView tabSelected="1"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16" sqref="A16"/>
    </sheetView>
  </sheetViews>
  <sheetFormatPr defaultRowHeight="15" x14ac:dyDescent="0.25"/>
  <cols>
    <col min="1" max="1" width="46.140625" style="161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2121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2404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2327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2328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2405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62" si="0">CONCATENATE(E14,IF(ISBLANK(C14),"",CONCATENATE("_",C14)))</f>
        <v>_SETTLER</v>
      </c>
      <c r="B14" s="9" t="s">
        <v>2252</v>
      </c>
      <c r="C14" s="5"/>
      <c r="D14" s="5"/>
      <c r="E14" s="5" t="s">
        <v>1078</v>
      </c>
      <c r="F14" s="5" t="s">
        <v>2252</v>
      </c>
      <c r="G14" s="5" t="s">
        <v>2019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161" t="str">
        <f t="shared" si="0"/>
        <v>_SETTLER</v>
      </c>
      <c r="B15" s="9" t="s">
        <v>2252</v>
      </c>
      <c r="C15" s="5"/>
      <c r="D15" s="5"/>
      <c r="E15" s="5" t="s">
        <v>1078</v>
      </c>
      <c r="F15" s="5" t="s">
        <v>2252</v>
      </c>
      <c r="G15" s="5" t="s">
        <v>2040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161" t="str">
        <f t="shared" si="0"/>
        <v>_SETTLER</v>
      </c>
      <c r="B16" s="9" t="s">
        <v>2252</v>
      </c>
      <c r="C16" s="5"/>
      <c r="D16" s="5"/>
      <c r="E16" s="5" t="s">
        <v>1078</v>
      </c>
      <c r="F16" s="5" t="s">
        <v>2252</v>
      </c>
      <c r="G16" s="5" t="s">
        <v>2041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161" t="str">
        <f t="shared" si="0"/>
        <v>_SETTLER</v>
      </c>
      <c r="B17" s="9" t="s">
        <v>2252</v>
      </c>
      <c r="C17" s="5"/>
      <c r="D17" s="5"/>
      <c r="E17" s="5" t="s">
        <v>1078</v>
      </c>
      <c r="F17" s="5" t="s">
        <v>2252</v>
      </c>
      <c r="G17" s="5" t="s">
        <v>2042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161" t="str">
        <f t="shared" si="0"/>
        <v>_SETTLER</v>
      </c>
      <c r="B18" s="9" t="s">
        <v>2252</v>
      </c>
      <c r="C18" s="5"/>
      <c r="D18" s="5"/>
      <c r="E18" s="5" t="s">
        <v>1078</v>
      </c>
      <c r="F18" s="5" t="s">
        <v>2252</v>
      </c>
      <c r="G18" s="5" t="s">
        <v>2043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161" t="str">
        <f t="shared" si="0"/>
        <v>_SETTLER</v>
      </c>
      <c r="B19" s="9" t="s">
        <v>2252</v>
      </c>
      <c r="C19" s="5"/>
      <c r="D19" s="5"/>
      <c r="E19" s="5" t="s">
        <v>1078</v>
      </c>
      <c r="F19" s="5" t="s">
        <v>2252</v>
      </c>
      <c r="G19" s="5" t="s">
        <v>2044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161" t="str">
        <f t="shared" si="0"/>
        <v>_SETTLER</v>
      </c>
      <c r="B20" s="9" t="s">
        <v>2252</v>
      </c>
      <c r="C20" s="5"/>
      <c r="D20" s="5"/>
      <c r="E20" s="5" t="s">
        <v>1078</v>
      </c>
      <c r="F20" s="5" t="s">
        <v>2252</v>
      </c>
      <c r="G20" s="5" t="s">
        <v>2045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161" t="str">
        <f t="shared" si="0"/>
        <v>_SETTLER</v>
      </c>
      <c r="B21" s="9" t="s">
        <v>2252</v>
      </c>
      <c r="C21" s="5"/>
      <c r="D21" s="5"/>
      <c r="E21" s="5" t="s">
        <v>1078</v>
      </c>
      <c r="F21" s="5" t="s">
        <v>2252</v>
      </c>
      <c r="G21" s="5" t="s">
        <v>2046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161" t="str">
        <f t="shared" si="0"/>
        <v>_SETTLER</v>
      </c>
      <c r="B22" s="9" t="s">
        <v>2252</v>
      </c>
      <c r="C22" s="5"/>
      <c r="D22" s="5"/>
      <c r="E22" s="5" t="s">
        <v>1078</v>
      </c>
      <c r="F22" s="5" t="s">
        <v>2252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161" t="str">
        <f t="shared" si="0"/>
        <v>_SETTLER_AFRI</v>
      </c>
      <c r="B23" s="9" t="s">
        <v>2252</v>
      </c>
      <c r="C23" s="5" t="s">
        <v>694</v>
      </c>
      <c r="D23" s="5"/>
      <c r="E23" s="5" t="s">
        <v>1078</v>
      </c>
      <c r="F23" s="5" t="s">
        <v>2252</v>
      </c>
      <c r="G23" s="5" t="s">
        <v>2017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0"/>
        <v>_SETTLER_AFRI</v>
      </c>
      <c r="B24" s="9" t="s">
        <v>2252</v>
      </c>
      <c r="C24" s="5" t="s">
        <v>694</v>
      </c>
      <c r="D24" s="5"/>
      <c r="E24" s="5" t="s">
        <v>1078</v>
      </c>
      <c r="F24" s="5" t="s">
        <v>2252</v>
      </c>
      <c r="G24" s="5" t="s">
        <v>2040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0"/>
        <v>_SETTLER_AFRI</v>
      </c>
      <c r="B25" s="9" t="s">
        <v>2252</v>
      </c>
      <c r="C25" s="5" t="s">
        <v>694</v>
      </c>
      <c r="D25" s="5"/>
      <c r="E25" s="5" t="s">
        <v>1078</v>
      </c>
      <c r="F25" s="5" t="s">
        <v>2252</v>
      </c>
      <c r="G25" s="5" t="s">
        <v>2041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0"/>
        <v>_SETTLER_AFRI</v>
      </c>
      <c r="B26" s="9" t="s">
        <v>2252</v>
      </c>
      <c r="C26" s="5" t="s">
        <v>694</v>
      </c>
      <c r="D26" s="5"/>
      <c r="E26" s="5" t="s">
        <v>1078</v>
      </c>
      <c r="F26" s="5" t="s">
        <v>2252</v>
      </c>
      <c r="G26" s="5" t="s">
        <v>2042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0"/>
        <v>_SETTLER_AFRI</v>
      </c>
      <c r="B27" s="9" t="s">
        <v>2252</v>
      </c>
      <c r="C27" s="5" t="s">
        <v>694</v>
      </c>
      <c r="D27" s="5"/>
      <c r="E27" s="5" t="s">
        <v>1078</v>
      </c>
      <c r="F27" s="5" t="s">
        <v>2252</v>
      </c>
      <c r="G27" s="5" t="s">
        <v>2043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0"/>
        <v>_SETTLER_AFRI</v>
      </c>
      <c r="B28" s="9" t="s">
        <v>2252</v>
      </c>
      <c r="C28" s="5" t="s">
        <v>694</v>
      </c>
      <c r="D28" s="5"/>
      <c r="E28" s="5" t="s">
        <v>1078</v>
      </c>
      <c r="F28" s="5" t="s">
        <v>2252</v>
      </c>
      <c r="G28" s="5" t="s">
        <v>2044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0"/>
        <v>_SETTLER_AFRI</v>
      </c>
      <c r="B29" s="9" t="s">
        <v>2252</v>
      </c>
      <c r="C29" s="5" t="s">
        <v>694</v>
      </c>
      <c r="D29" s="5"/>
      <c r="E29" s="5" t="s">
        <v>1078</v>
      </c>
      <c r="F29" s="5" t="s">
        <v>2252</v>
      </c>
      <c r="G29" s="5" t="s">
        <v>2045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0"/>
        <v>_SETTLER_AFRI</v>
      </c>
      <c r="B30" s="9" t="s">
        <v>2252</v>
      </c>
      <c r="C30" s="5" t="s">
        <v>694</v>
      </c>
      <c r="D30" s="5"/>
      <c r="E30" s="5" t="s">
        <v>1078</v>
      </c>
      <c r="F30" s="5" t="s">
        <v>2252</v>
      </c>
      <c r="G30" s="5" t="s">
        <v>2046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0"/>
        <v>_SETTLER_AFRI</v>
      </c>
      <c r="B31" s="9" t="s">
        <v>2252</v>
      </c>
      <c r="C31" s="5" t="s">
        <v>694</v>
      </c>
      <c r="D31" s="5"/>
      <c r="E31" s="5" t="s">
        <v>1078</v>
      </c>
      <c r="F31" s="5" t="s">
        <v>2252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_SETTLER_AMER</v>
      </c>
      <c r="B32" s="9" t="s">
        <v>2252</v>
      </c>
      <c r="C32" s="5" t="s">
        <v>697</v>
      </c>
      <c r="D32" s="5"/>
      <c r="E32" s="5" t="s">
        <v>1078</v>
      </c>
      <c r="F32" s="5" t="s">
        <v>2252</v>
      </c>
      <c r="G32" s="5" t="s">
        <v>2018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161" t="str">
        <f t="shared" si="0"/>
        <v>_SETTLER_AMER</v>
      </c>
      <c r="B33" s="9" t="s">
        <v>2252</v>
      </c>
      <c r="C33" s="5" t="s">
        <v>697</v>
      </c>
      <c r="D33" s="5"/>
      <c r="E33" s="5" t="s">
        <v>1078</v>
      </c>
      <c r="F33" s="5" t="s">
        <v>2252</v>
      </c>
      <c r="G33" s="5" t="s">
        <v>2040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161" t="str">
        <f t="shared" si="0"/>
        <v>_SETTLER_AMER</v>
      </c>
      <c r="B34" s="9" t="s">
        <v>2252</v>
      </c>
      <c r="C34" s="5" t="s">
        <v>697</v>
      </c>
      <c r="D34" s="5"/>
      <c r="E34" s="5" t="s">
        <v>1078</v>
      </c>
      <c r="F34" s="5" t="s">
        <v>2252</v>
      </c>
      <c r="G34" s="5" t="s">
        <v>2041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161" t="str">
        <f t="shared" si="0"/>
        <v>_SETTLER_AMER</v>
      </c>
      <c r="B35" s="9" t="s">
        <v>2252</v>
      </c>
      <c r="C35" s="5" t="s">
        <v>697</v>
      </c>
      <c r="D35" s="5"/>
      <c r="E35" s="5" t="s">
        <v>1078</v>
      </c>
      <c r="F35" s="5" t="s">
        <v>2252</v>
      </c>
      <c r="G35" s="5" t="s">
        <v>2042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161" t="str">
        <f t="shared" si="0"/>
        <v>_SETTLER_AMER</v>
      </c>
      <c r="B36" s="9" t="s">
        <v>2252</v>
      </c>
      <c r="C36" s="5" t="s">
        <v>697</v>
      </c>
      <c r="D36" s="5"/>
      <c r="E36" s="5" t="s">
        <v>1078</v>
      </c>
      <c r="F36" s="5" t="s">
        <v>2252</v>
      </c>
      <c r="G36" s="5" t="s">
        <v>2043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161" t="str">
        <f t="shared" si="0"/>
        <v>_SETTLER_AMER</v>
      </c>
      <c r="B37" s="9" t="s">
        <v>2252</v>
      </c>
      <c r="C37" s="5" t="s">
        <v>697</v>
      </c>
      <c r="D37" s="5"/>
      <c r="E37" s="5" t="s">
        <v>1078</v>
      </c>
      <c r="F37" s="5" t="s">
        <v>2252</v>
      </c>
      <c r="G37" s="5" t="s">
        <v>2044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161" t="str">
        <f t="shared" si="0"/>
        <v>_SETTLER_AMER</v>
      </c>
      <c r="B38" s="9" t="s">
        <v>2252</v>
      </c>
      <c r="C38" s="5" t="s">
        <v>697</v>
      </c>
      <c r="D38" s="5"/>
      <c r="E38" s="5" t="s">
        <v>1078</v>
      </c>
      <c r="F38" s="5" t="s">
        <v>2252</v>
      </c>
      <c r="G38" s="5" t="s">
        <v>2045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161" t="str">
        <f t="shared" si="0"/>
        <v>_SETTLER_AMER</v>
      </c>
      <c r="B39" s="9" t="s">
        <v>2252</v>
      </c>
      <c r="C39" s="5" t="s">
        <v>697</v>
      </c>
      <c r="D39" s="5"/>
      <c r="E39" s="5" t="s">
        <v>1078</v>
      </c>
      <c r="F39" s="5" t="s">
        <v>2252</v>
      </c>
      <c r="G39" s="5" t="s">
        <v>2046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161" t="str">
        <f t="shared" si="0"/>
        <v>_SETTLER_AMER</v>
      </c>
      <c r="B40" s="9" t="s">
        <v>2252</v>
      </c>
      <c r="C40" s="5" t="s">
        <v>697</v>
      </c>
      <c r="D40" s="5"/>
      <c r="E40" s="5" t="s">
        <v>1078</v>
      </c>
      <c r="F40" s="5" t="s">
        <v>2252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161" t="str">
        <f t="shared" si="0"/>
        <v>_SETTLER_ASIA</v>
      </c>
      <c r="B41" s="9" t="s">
        <v>2252</v>
      </c>
      <c r="C41" s="5" t="s">
        <v>693</v>
      </c>
      <c r="D41" s="5"/>
      <c r="E41" s="5" t="s">
        <v>1078</v>
      </c>
      <c r="F41" s="5" t="s">
        <v>2252</v>
      </c>
      <c r="G41" s="5" t="s">
        <v>2039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0"/>
        <v>_SETTLER_ASIA</v>
      </c>
      <c r="B42" s="9" t="s">
        <v>2252</v>
      </c>
      <c r="C42" s="5" t="s">
        <v>693</v>
      </c>
      <c r="D42" s="5"/>
      <c r="E42" s="5" t="s">
        <v>1078</v>
      </c>
      <c r="F42" s="5" t="s">
        <v>2252</v>
      </c>
      <c r="G42" s="5" t="s">
        <v>2040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0"/>
        <v>_SETTLER_ASIA</v>
      </c>
      <c r="B43" s="9" t="s">
        <v>2252</v>
      </c>
      <c r="C43" s="5" t="s">
        <v>693</v>
      </c>
      <c r="D43" s="5"/>
      <c r="E43" s="5" t="s">
        <v>1078</v>
      </c>
      <c r="F43" s="5" t="s">
        <v>2252</v>
      </c>
      <c r="G43" s="5" t="s">
        <v>2041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0"/>
        <v>_SETTLER_ASIA</v>
      </c>
      <c r="B44" s="9" t="s">
        <v>2252</v>
      </c>
      <c r="C44" s="5" t="s">
        <v>693</v>
      </c>
      <c r="D44" s="5"/>
      <c r="E44" s="5" t="s">
        <v>1078</v>
      </c>
      <c r="F44" s="5" t="s">
        <v>2252</v>
      </c>
      <c r="G44" s="5" t="s">
        <v>2042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0"/>
        <v>_SETTLER_ASIA</v>
      </c>
      <c r="B45" s="9" t="s">
        <v>2252</v>
      </c>
      <c r="C45" s="5" t="s">
        <v>693</v>
      </c>
      <c r="D45" s="5"/>
      <c r="E45" s="5" t="s">
        <v>1078</v>
      </c>
      <c r="F45" s="5" t="s">
        <v>2252</v>
      </c>
      <c r="G45" s="5" t="s">
        <v>2043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0"/>
        <v>_SETTLER_ASIA</v>
      </c>
      <c r="B46" s="9" t="s">
        <v>2252</v>
      </c>
      <c r="C46" s="5" t="s">
        <v>693</v>
      </c>
      <c r="D46" s="5"/>
      <c r="E46" s="5" t="s">
        <v>1078</v>
      </c>
      <c r="F46" s="5" t="s">
        <v>2252</v>
      </c>
      <c r="G46" s="5" t="s">
        <v>2044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0"/>
        <v>_SETTLER_ASIA</v>
      </c>
      <c r="B47" s="9" t="s">
        <v>2252</v>
      </c>
      <c r="C47" s="5" t="s">
        <v>693</v>
      </c>
      <c r="D47" s="5"/>
      <c r="E47" s="5" t="s">
        <v>1078</v>
      </c>
      <c r="F47" s="5" t="s">
        <v>2252</v>
      </c>
      <c r="G47" s="5" t="s">
        <v>2045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0"/>
        <v>_SETTLER_ASIA</v>
      </c>
      <c r="B48" s="9" t="s">
        <v>2252</v>
      </c>
      <c r="C48" s="5" t="s">
        <v>693</v>
      </c>
      <c r="D48" s="5"/>
      <c r="E48" s="5" t="s">
        <v>1078</v>
      </c>
      <c r="F48" s="5" t="s">
        <v>2252</v>
      </c>
      <c r="G48" s="5" t="s">
        <v>2046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0"/>
        <v>_SETTLER_ASIA</v>
      </c>
      <c r="B49" s="9" t="s">
        <v>2252</v>
      </c>
      <c r="C49" s="5" t="s">
        <v>693</v>
      </c>
      <c r="D49" s="5"/>
      <c r="E49" s="5" t="s">
        <v>1078</v>
      </c>
      <c r="F49" s="5" t="s">
        <v>2252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_SETTLER_CENTAS</v>
      </c>
      <c r="B50" s="9" t="s">
        <v>2252</v>
      </c>
      <c r="C50" s="4" t="s">
        <v>918</v>
      </c>
      <c r="D50" s="4" t="s">
        <v>694</v>
      </c>
      <c r="E50" s="4" t="s">
        <v>1078</v>
      </c>
      <c r="F50" s="5" t="s">
        <v>2252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161" t="str">
        <f t="shared" si="0"/>
        <v>_SETTLER_MIDEAST</v>
      </c>
      <c r="B51" s="9" t="s">
        <v>2252</v>
      </c>
      <c r="C51" s="4" t="s">
        <v>690</v>
      </c>
      <c r="D51" s="4" t="s">
        <v>694</v>
      </c>
      <c r="E51" s="4" t="s">
        <v>1078</v>
      </c>
      <c r="F51" s="5" t="s">
        <v>2252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161" t="str">
        <f t="shared" si="0"/>
        <v>_SETTLER_NORTHAF</v>
      </c>
      <c r="B52" s="9" t="s">
        <v>2252</v>
      </c>
      <c r="C52" s="4" t="s">
        <v>2011</v>
      </c>
      <c r="D52" s="4" t="s">
        <v>694</v>
      </c>
      <c r="E52" s="4" t="s">
        <v>1078</v>
      </c>
      <c r="F52" s="5" t="s">
        <v>2252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161" t="str">
        <f t="shared" si="0"/>
        <v>_SETTLER_OCEAN</v>
      </c>
      <c r="B53" s="9" t="s">
        <v>2252</v>
      </c>
      <c r="C53" s="4" t="s">
        <v>994</v>
      </c>
      <c r="D53" s="4" t="s">
        <v>697</v>
      </c>
      <c r="E53" s="4" t="s">
        <v>1078</v>
      </c>
      <c r="F53" s="5" t="s">
        <v>2252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161" t="str">
        <f t="shared" si="0"/>
        <v>_SETTLER_SOUTHAM</v>
      </c>
      <c r="B54" s="9" t="s">
        <v>2252</v>
      </c>
      <c r="C54" s="4" t="s">
        <v>691</v>
      </c>
      <c r="D54" s="4" t="s">
        <v>697</v>
      </c>
      <c r="E54" s="4" t="s">
        <v>1078</v>
      </c>
      <c r="F54" s="5" t="s">
        <v>2252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161" t="str">
        <f t="shared" si="0"/>
        <v>_SETTLER_SOUTHAS</v>
      </c>
      <c r="B55" s="9" t="s">
        <v>2252</v>
      </c>
      <c r="C55" s="4" t="s">
        <v>695</v>
      </c>
      <c r="D55" s="4" t="s">
        <v>693</v>
      </c>
      <c r="E55" s="4" t="s">
        <v>1078</v>
      </c>
      <c r="F55" s="5" t="s">
        <v>2252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161" t="str">
        <f t="shared" si="0"/>
        <v>_SETTLER_SEASIA</v>
      </c>
      <c r="B56" s="9" t="s">
        <v>2252</v>
      </c>
      <c r="C56" s="4" t="s">
        <v>696</v>
      </c>
      <c r="D56" s="4" t="s">
        <v>693</v>
      </c>
      <c r="E56" s="4" t="s">
        <v>1078</v>
      </c>
      <c r="F56" s="5" t="s">
        <v>2252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161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2047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161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2049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161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161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2047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161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2049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161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1942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161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2047</v>
      </c>
      <c r="H63" s="4" t="s">
        <v>861</v>
      </c>
      <c r="I63" s="4" t="s">
        <v>1942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161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2049</v>
      </c>
      <c r="H64" s="4" t="s">
        <v>860</v>
      </c>
      <c r="I64" s="4" t="s">
        <v>1942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161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2048</v>
      </c>
      <c r="H65" s="4" t="s">
        <v>682</v>
      </c>
      <c r="I65" s="4" t="s">
        <v>1942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161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1942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161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2047</v>
      </c>
      <c r="H67" s="4" t="s">
        <v>861</v>
      </c>
      <c r="I67" s="4" t="s">
        <v>1942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161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2049</v>
      </c>
      <c r="H68" s="4" t="s">
        <v>860</v>
      </c>
      <c r="I68" s="4" t="s">
        <v>1942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161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2048</v>
      </c>
      <c r="H69" s="4" t="s">
        <v>682</v>
      </c>
      <c r="I69" s="4" t="s">
        <v>1942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161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161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2047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161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161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2047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161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161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161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161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2047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161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161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2047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161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161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2047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161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161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2047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161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161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2047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161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2047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2047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2047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161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2047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161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161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2047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161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161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2047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2047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2047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2047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2049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2048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2047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2049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2048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2047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2047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2049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2047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2047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2047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2047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2197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>CONCATENATE(E133,IF(ISBLANK(C133),"",CONCATENATE("_",C133)))</f>
        <v>_WARRIOR_NORTHAF</v>
      </c>
      <c r="B133" s="9" t="s">
        <v>787</v>
      </c>
      <c r="C133" s="4" t="s">
        <v>2011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2047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2047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0.14499999999999999</v>
      </c>
      <c r="S138" s="4"/>
      <c r="T138" s="11"/>
      <c r="U138" s="11">
        <v>9.5000000000000001E-2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161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2047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161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2049</v>
      </c>
      <c r="H144" s="4" t="s">
        <v>417</v>
      </c>
      <c r="I144" s="4" t="s">
        <v>2103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161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2047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161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2049</v>
      </c>
      <c r="H147" s="4" t="s">
        <v>417</v>
      </c>
      <c r="I147" s="4" t="s">
        <v>2103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2047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2049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2047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2049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2"/>
        <v>_WORKER</v>
      </c>
      <c r="B154" s="9" t="s">
        <v>2082</v>
      </c>
      <c r="C154" s="5"/>
      <c r="D154" s="5"/>
      <c r="E154" s="5" t="s">
        <v>1316</v>
      </c>
      <c r="F154" s="5" t="s">
        <v>2082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161" t="str">
        <f>CONCATENATE(E155,IF(ISBLANK(C155),"",CONCATENATE("_",C155)))</f>
        <v>_WORKER_NETHERLANDS</v>
      </c>
      <c r="B155" s="9" t="s">
        <v>2082</v>
      </c>
      <c r="C155" s="5" t="s">
        <v>730</v>
      </c>
      <c r="D155" s="5"/>
      <c r="E155" s="5" t="s">
        <v>1316</v>
      </c>
      <c r="F155" s="5" t="s">
        <v>2082</v>
      </c>
      <c r="G155" s="5"/>
      <c r="H155" s="5" t="s">
        <v>2084</v>
      </c>
      <c r="I155" s="5" t="s">
        <v>835</v>
      </c>
      <c r="J155" s="6"/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161" t="str">
        <f t="shared" si="2"/>
        <v>_WORKER_ASIA</v>
      </c>
      <c r="B156" s="9" t="s">
        <v>2082</v>
      </c>
      <c r="C156" s="5" t="s">
        <v>693</v>
      </c>
      <c r="D156" s="5"/>
      <c r="E156" s="5" t="s">
        <v>1316</v>
      </c>
      <c r="F156" s="5" t="s">
        <v>2082</v>
      </c>
      <c r="G156" s="5"/>
      <c r="H156" s="5" t="s">
        <v>2102</v>
      </c>
      <c r="I156" s="5"/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161" t="str">
        <f t="shared" si="2"/>
        <v>_WORKER_SOUTHAM</v>
      </c>
      <c r="B157" s="9" t="s">
        <v>2082</v>
      </c>
      <c r="C157" s="5" t="s">
        <v>691</v>
      </c>
      <c r="D157" s="5"/>
      <c r="E157" s="5" t="s">
        <v>1316</v>
      </c>
      <c r="F157" s="5" t="s">
        <v>2082</v>
      </c>
      <c r="G157" s="5"/>
      <c r="H157" s="5" t="s">
        <v>2083</v>
      </c>
      <c r="I157" s="5" t="s">
        <v>963</v>
      </c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161" t="str">
        <f t="shared" si="2"/>
        <v>_WORKER_OCEAN</v>
      </c>
      <c r="B158" s="9" t="s">
        <v>2082</v>
      </c>
      <c r="C158" s="5" t="s">
        <v>994</v>
      </c>
      <c r="D158" s="5"/>
      <c r="E158" s="5" t="s">
        <v>1316</v>
      </c>
      <c r="F158" s="5" t="s">
        <v>2082</v>
      </c>
      <c r="G158" s="5"/>
      <c r="H158" s="5"/>
      <c r="I158" s="5"/>
      <c r="J158" s="6">
        <v>1</v>
      </c>
      <c r="K158" s="6"/>
      <c r="L158" s="5"/>
      <c r="M158" s="8"/>
      <c r="N158" s="5"/>
      <c r="O158" s="5"/>
      <c r="P158" s="5"/>
      <c r="Q158" s="7"/>
      <c r="R158" s="7"/>
      <c r="S158" s="5"/>
      <c r="T158" s="6"/>
      <c r="U158" s="7"/>
      <c r="V158" s="5"/>
      <c r="W158" s="7"/>
      <c r="X158" s="6"/>
      <c r="Y158" s="5"/>
      <c r="Z158" s="7"/>
      <c r="AA158" s="6"/>
      <c r="AB158" s="5"/>
      <c r="AC158" s="6"/>
      <c r="AD158" s="6"/>
      <c r="AE158" s="5"/>
      <c r="AF158" s="6"/>
      <c r="AG158" s="6"/>
      <c r="AH158" s="5"/>
      <c r="AI158" s="7"/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161" t="str">
        <f t="shared" si="2"/>
        <v>_WORKER_LATE</v>
      </c>
      <c r="B159" s="9" t="s">
        <v>2082</v>
      </c>
      <c r="C159" s="5"/>
      <c r="D159" s="5"/>
      <c r="E159" s="5" t="s">
        <v>1317</v>
      </c>
      <c r="F159" s="5" t="s">
        <v>2085</v>
      </c>
      <c r="G159" s="5"/>
      <c r="H159" s="5" t="s">
        <v>1541</v>
      </c>
      <c r="I159" s="5" t="s">
        <v>128</v>
      </c>
      <c r="J159" s="6"/>
      <c r="K159" s="6"/>
      <c r="L159" s="5" t="s">
        <v>1708</v>
      </c>
      <c r="M159" s="8"/>
      <c r="N159" s="5"/>
      <c r="O159" s="5"/>
      <c r="P159" s="5"/>
      <c r="Q159" s="7">
        <v>8</v>
      </c>
      <c r="R159" s="7" t="s">
        <v>1737</v>
      </c>
      <c r="S159" s="5" t="s">
        <v>1610</v>
      </c>
      <c r="T159" s="6"/>
      <c r="U159" s="7" t="s">
        <v>1737</v>
      </c>
      <c r="V159" s="5"/>
      <c r="W159" s="7" t="s">
        <v>3</v>
      </c>
      <c r="X159" s="6" t="s">
        <v>3</v>
      </c>
      <c r="Y159" s="5"/>
      <c r="Z159" s="7">
        <v>1</v>
      </c>
      <c r="AA159" s="6"/>
      <c r="AB159" s="5"/>
      <c r="AC159" s="6"/>
      <c r="AD159" s="6" t="s">
        <v>3</v>
      </c>
      <c r="AE159" s="5"/>
      <c r="AF159" s="6"/>
      <c r="AG159" s="6"/>
      <c r="AH159" s="5"/>
      <c r="AI159" s="7">
        <v>5</v>
      </c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161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161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161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161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2040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161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2041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161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2047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161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2049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161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161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2047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161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2049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161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2047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2047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2047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1967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1935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2103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2047</v>
      </c>
      <c r="H184" s="4" t="s">
        <v>526</v>
      </c>
      <c r="I184" s="4" t="s">
        <v>2103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2103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2047</v>
      </c>
      <c r="H186" s="4" t="s">
        <v>526</v>
      </c>
      <c r="I186" s="4" t="s">
        <v>2103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2103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2047</v>
      </c>
      <c r="H188" s="4" t="s">
        <v>526</v>
      </c>
      <c r="I188" s="4" t="s">
        <v>2103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2103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2103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161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161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161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161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2103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161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161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161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161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161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2103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161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2103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161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161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161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161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161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161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161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161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2235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2236</v>
      </c>
      <c r="I214" s="4" t="s">
        <v>2237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2050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161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2051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161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161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2052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161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2053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161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2054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161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161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161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161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2047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161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2049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161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161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2047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161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2049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161" t="str">
        <f t="shared" si="3"/>
        <v>BARBARIAN_BRUTE</v>
      </c>
      <c r="B229" s="9" t="s">
        <v>2329</v>
      </c>
      <c r="C229" s="5"/>
      <c r="D229" s="5"/>
      <c r="E229" s="5" t="s">
        <v>2120</v>
      </c>
      <c r="F229" s="5" t="s">
        <v>2120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161" t="str">
        <f t="shared" si="3"/>
        <v>BARBARIAN_BRUTE</v>
      </c>
      <c r="B230" s="9" t="s">
        <v>2329</v>
      </c>
      <c r="C230" s="5"/>
      <c r="D230" s="5"/>
      <c r="E230" s="5" t="s">
        <v>2120</v>
      </c>
      <c r="F230" s="5" t="s">
        <v>2120</v>
      </c>
      <c r="G230" s="5" t="s">
        <v>2047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161" t="str">
        <f t="shared" si="3"/>
        <v>BARBARIAN_BRUTE</v>
      </c>
      <c r="B231" s="9" t="s">
        <v>2329</v>
      </c>
      <c r="C231" s="5"/>
      <c r="D231" s="5"/>
      <c r="E231" s="5" t="s">
        <v>2120</v>
      </c>
      <c r="F231" s="5" t="s">
        <v>2120</v>
      </c>
      <c r="G231" s="5" t="s">
        <v>2049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161" t="str">
        <f t="shared" si="3"/>
        <v>BARBARIAN_BRUTE</v>
      </c>
      <c r="B232" s="9" t="s">
        <v>2329</v>
      </c>
      <c r="C232" s="5"/>
      <c r="D232" s="5"/>
      <c r="E232" s="5" t="s">
        <v>2120</v>
      </c>
      <c r="F232" s="5" t="s">
        <v>2120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161" t="str">
        <f t="shared" si="3"/>
        <v>BARBARIAN_BRUTE</v>
      </c>
      <c r="B233" s="9" t="s">
        <v>2329</v>
      </c>
      <c r="C233" s="5"/>
      <c r="D233" s="5"/>
      <c r="E233" s="5" t="s">
        <v>2120</v>
      </c>
      <c r="F233" s="5" t="s">
        <v>2120</v>
      </c>
      <c r="G233" s="5" t="s">
        <v>2047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161" t="str">
        <f t="shared" si="3"/>
        <v>BARBARIAN_BRUTE</v>
      </c>
      <c r="B234" s="9" t="s">
        <v>2329</v>
      </c>
      <c r="C234" s="5"/>
      <c r="D234" s="5"/>
      <c r="E234" s="5" t="s">
        <v>2120</v>
      </c>
      <c r="F234" s="5" t="s">
        <v>2120</v>
      </c>
      <c r="G234" s="5" t="s">
        <v>2049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161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161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161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2047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161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2049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161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161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2047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161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2049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161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161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2047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161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2049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161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161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2047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161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2049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161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161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161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161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4"/>
        <v>BATTLESHIP_CANADA</v>
      </c>
      <c r="B256" s="9" t="s">
        <v>126</v>
      </c>
      <c r="C256" s="4" t="s">
        <v>2223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161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161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161" t="str">
        <f t="shared" si="4"/>
        <v>BAZOOKA_INFANTRY</v>
      </c>
      <c r="B263" s="9" t="s">
        <v>2330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/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/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161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161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/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161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/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161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/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161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161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/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161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161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/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161" t="str">
        <f t="shared" si="4"/>
        <v>BOMBER_CANADA</v>
      </c>
      <c r="B276" s="9" t="s">
        <v>118</v>
      </c>
      <c r="C276" s="4" t="s">
        <v>2223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161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161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/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161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/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161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/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161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/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161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/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161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/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161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/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161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/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161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/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161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161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161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161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 t="s">
        <v>1695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2040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 t="s">
        <v>1695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2041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 t="s">
        <v>1695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2119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8.5000000000000006E-2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2040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2041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161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161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161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0.08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161" t="str">
        <f>CONCATENATE(E304,IF(ISBLANK(C304),"",CONCATENATE("_",C304)))</f>
        <v>CARGO_SHIP_RENAISSANCE_POSTMODERN</v>
      </c>
      <c r="B304" s="9"/>
      <c r="C304" s="5"/>
      <c r="D304" s="5"/>
      <c r="E304" s="5" t="s">
        <v>2407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0.08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161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 t="s">
        <v>1737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161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1981</v>
      </c>
      <c r="I306" s="5" t="s">
        <v>1984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161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161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1977</v>
      </c>
      <c r="I308" s="5" t="s">
        <v>1984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161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1978</v>
      </c>
      <c r="I309" s="5" t="s">
        <v>1984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161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1979</v>
      </c>
      <c r="I310" s="5" t="s">
        <v>1984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161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1956</v>
      </c>
      <c r="I311" s="5" t="s">
        <v>1957</v>
      </c>
      <c r="J311" s="6">
        <v>1</v>
      </c>
      <c r="K311" s="7"/>
      <c r="L311" s="13"/>
      <c r="M311" s="8"/>
      <c r="N311" s="13"/>
      <c r="O311" s="13"/>
      <c r="P311" s="13"/>
      <c r="Q311" s="7"/>
      <c r="R311" s="6">
        <v>0.17499999999999999</v>
      </c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161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161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161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161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2065</v>
      </c>
      <c r="I315" s="5" t="s">
        <v>1984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161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1983</v>
      </c>
      <c r="I316" s="5" t="s">
        <v>1984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161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161" t="str">
        <f t="shared" si="5"/>
        <v>CARGO_SHIP_RENAISSANCE_NORTHAF</v>
      </c>
      <c r="B318" s="9" t="s">
        <v>1322</v>
      </c>
      <c r="C318" s="5" t="s">
        <v>2011</v>
      </c>
      <c r="D318" s="5"/>
      <c r="E318" s="5" t="s">
        <v>1324</v>
      </c>
      <c r="F318" s="5" t="s">
        <v>1326</v>
      </c>
      <c r="G318" s="5"/>
      <c r="H318" s="5" t="s">
        <v>1980</v>
      </c>
      <c r="I318" s="5" t="s">
        <v>1984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161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1982</v>
      </c>
      <c r="I319" s="5" t="s">
        <v>1984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161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161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1936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4"/>
        <v>CARRIER_CANADA</v>
      </c>
      <c r="B329" s="9" t="s">
        <v>117</v>
      </c>
      <c r="C329" s="4" t="s">
        <v>2223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161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161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167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4"/>
        <v>CAVALRY_NORTHAF</v>
      </c>
      <c r="B343" s="9" t="s">
        <v>751</v>
      </c>
      <c r="C343" s="4" t="s">
        <v>2011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167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1963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2047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2125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161" t="str">
        <f t="shared" si="4"/>
        <v>CHARIOT_ARCHER_NORTHAF</v>
      </c>
      <c r="B350" s="9" t="s">
        <v>752</v>
      </c>
      <c r="C350" s="4" t="s">
        <v>2011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161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161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1966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161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1935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161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161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161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161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161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2103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161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2103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161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2103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161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161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161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161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161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161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2103</v>
      </c>
      <c r="Z367" s="9"/>
    </row>
    <row r="368" spans="1:43" x14ac:dyDescent="0.25">
      <c r="A368" s="161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161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161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161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2103</v>
      </c>
      <c r="Z371" s="9"/>
    </row>
    <row r="372" spans="1:26" x14ac:dyDescent="0.25">
      <c r="A372" s="161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161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2103</v>
      </c>
      <c r="Z373" s="9"/>
    </row>
    <row r="374" spans="1:26" x14ac:dyDescent="0.25">
      <c r="A374" s="161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161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161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161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161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161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2103</v>
      </c>
      <c r="Z379" s="9"/>
    </row>
    <row r="380" spans="1:26" x14ac:dyDescent="0.25">
      <c r="A380" s="161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161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2103</v>
      </c>
      <c r="Z381" s="9"/>
    </row>
    <row r="382" spans="1:26" x14ac:dyDescent="0.25">
      <c r="A382" s="161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2103</v>
      </c>
      <c r="Z382" s="9"/>
    </row>
    <row r="383" spans="1:26" x14ac:dyDescent="0.25">
      <c r="A383" s="161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161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161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161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161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161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161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161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2055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161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2047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161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161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2055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161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161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2047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161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2055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161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161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2055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161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2047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161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161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2055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161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161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161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161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161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1962</v>
      </c>
      <c r="I406" s="4" t="s">
        <v>1025</v>
      </c>
      <c r="Z406" s="9"/>
    </row>
    <row r="407" spans="1:43" x14ac:dyDescent="0.25">
      <c r="A407" s="161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1935</v>
      </c>
      <c r="Z407" s="9"/>
      <c r="AF407" s="9"/>
      <c r="AI407" s="9"/>
    </row>
    <row r="408" spans="1:43" x14ac:dyDescent="0.25">
      <c r="A408" s="161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1935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161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2047</v>
      </c>
      <c r="H409" s="4" t="s">
        <v>932</v>
      </c>
      <c r="I409" s="4" t="s">
        <v>1935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161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2049</v>
      </c>
      <c r="H410" s="4" t="s">
        <v>933</v>
      </c>
      <c r="I410" s="4" t="s">
        <v>1935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161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2048</v>
      </c>
      <c r="H411" s="4" t="s">
        <v>461</v>
      </c>
      <c r="I411" s="4" t="s">
        <v>1935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161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1935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161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2047</v>
      </c>
      <c r="H413" s="4" t="s">
        <v>932</v>
      </c>
      <c r="I413" s="4" t="s">
        <v>1935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161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2049</v>
      </c>
      <c r="H414" s="4" t="s">
        <v>933</v>
      </c>
      <c r="I414" s="4" t="s">
        <v>1935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161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2048</v>
      </c>
      <c r="H415" s="4" t="s">
        <v>461</v>
      </c>
      <c r="I415" s="4" t="s">
        <v>1935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161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161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161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161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2103</v>
      </c>
      <c r="Z419" s="9"/>
      <c r="AF419" s="9"/>
      <c r="AI419" s="9"/>
    </row>
    <row r="420" spans="1:35" x14ac:dyDescent="0.25">
      <c r="A420" s="161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2103</v>
      </c>
      <c r="Z420" s="9"/>
      <c r="AF420" s="9"/>
      <c r="AI420" s="9"/>
    </row>
    <row r="421" spans="1:35" x14ac:dyDescent="0.25">
      <c r="A421" s="161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2103</v>
      </c>
      <c r="Z421" s="9"/>
      <c r="AF421" s="9"/>
      <c r="AI421" s="9"/>
    </row>
    <row r="422" spans="1:35" x14ac:dyDescent="0.25">
      <c r="A422" s="161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1941</v>
      </c>
      <c r="Z422" s="9"/>
      <c r="AF422" s="9"/>
      <c r="AI422" s="9"/>
    </row>
    <row r="423" spans="1:35" x14ac:dyDescent="0.25">
      <c r="A423" s="161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161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161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2103</v>
      </c>
      <c r="Z425" s="9"/>
      <c r="AF425" s="9"/>
      <c r="AI425" s="9"/>
    </row>
    <row r="426" spans="1:35" x14ac:dyDescent="0.25">
      <c r="A426" s="161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161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161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161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2103</v>
      </c>
      <c r="Z429" s="9"/>
      <c r="AF429" s="9"/>
      <c r="AI429" s="9"/>
    </row>
    <row r="430" spans="1:35" x14ac:dyDescent="0.25">
      <c r="A430" s="161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161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161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2103</v>
      </c>
      <c r="Z432" s="9"/>
      <c r="AF432" s="9"/>
      <c r="AI432" s="9"/>
    </row>
    <row r="433" spans="1:43" x14ac:dyDescent="0.25">
      <c r="A433" s="161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161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161" t="str">
        <f>CONCATENATE(E435,IF(ISBLANK(C435),"",CONCATENATE("_",C435)))</f>
        <v>CROSSBOWMAN_NORTHAF</v>
      </c>
      <c r="B435" s="9" t="s">
        <v>115</v>
      </c>
      <c r="C435" s="4" t="s">
        <v>2011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161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161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161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161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2103</v>
      </c>
      <c r="Z439" s="9"/>
      <c r="AF439" s="9"/>
      <c r="AI439" s="9"/>
    </row>
    <row r="440" spans="1:43" x14ac:dyDescent="0.25">
      <c r="A440" s="161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161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2103</v>
      </c>
      <c r="Z441" s="9"/>
      <c r="AF441" s="9"/>
      <c r="AI441" s="9"/>
    </row>
    <row r="442" spans="1:43" x14ac:dyDescent="0.25">
      <c r="A442" s="161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2103</v>
      </c>
      <c r="Z442" s="9"/>
      <c r="AF442" s="9"/>
      <c r="AI442" s="9"/>
    </row>
    <row r="443" spans="1:43" x14ac:dyDescent="0.25">
      <c r="A443" s="161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161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161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161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161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161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161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161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161" t="str">
        <f t="shared" si="7"/>
        <v>DESTROYER_CANADA</v>
      </c>
      <c r="B454" s="9" t="s">
        <v>114</v>
      </c>
      <c r="C454" s="4" t="s">
        <v>2223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161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161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161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161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161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161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161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161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161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161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2040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2041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161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161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161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167"/>
    </row>
    <row r="474" spans="1:43" x14ac:dyDescent="0.25">
      <c r="A474" s="161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161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161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161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161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161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2254</v>
      </c>
      <c r="I479" s="4" t="s">
        <v>120</v>
      </c>
    </row>
    <row r="480" spans="1:43" x14ac:dyDescent="0.25">
      <c r="A480" s="161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161" t="str">
        <f t="shared" si="7"/>
        <v>FIGHTER_CANADA</v>
      </c>
      <c r="B481" s="9" t="s">
        <v>113</v>
      </c>
      <c r="C481" s="4" t="s">
        <v>2223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161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161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161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161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161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161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161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161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161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161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161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161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161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161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161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161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161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161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161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0.115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161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161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161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9.5000000000000001E-2</v>
      </c>
    </row>
    <row r="504" spans="1:43" x14ac:dyDescent="0.25">
      <c r="A504" s="161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167"/>
    </row>
    <row r="505" spans="1:43" x14ac:dyDescent="0.25">
      <c r="A505" s="161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161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</row>
    <row r="507" spans="1:43" x14ac:dyDescent="0.25">
      <c r="A507" s="161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</row>
    <row r="508" spans="1:43" x14ac:dyDescent="0.25">
      <c r="A508" s="161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</row>
    <row r="509" spans="1:43" x14ac:dyDescent="0.25">
      <c r="A509" s="161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</row>
    <row r="510" spans="1:43" x14ac:dyDescent="0.25">
      <c r="A510" s="161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</row>
    <row r="511" spans="1:43" x14ac:dyDescent="0.25">
      <c r="A511" s="161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</row>
    <row r="512" spans="1:43" x14ac:dyDescent="0.25">
      <c r="A512" s="161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</row>
    <row r="513" spans="1:43" x14ac:dyDescent="0.25">
      <c r="A513" s="161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</row>
    <row r="514" spans="1:43" x14ac:dyDescent="0.25">
      <c r="A514" s="161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</row>
    <row r="515" spans="1:43" x14ac:dyDescent="0.25">
      <c r="A515" s="161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161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161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</row>
    <row r="518" spans="1:43" x14ac:dyDescent="0.25">
      <c r="A518" s="161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</row>
    <row r="519" spans="1:43" x14ac:dyDescent="0.25">
      <c r="A519" s="161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161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161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161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161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161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161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R525" s="11">
        <v>0.1</v>
      </c>
      <c r="U525" s="11">
        <v>0.1</v>
      </c>
    </row>
    <row r="526" spans="1:43" x14ac:dyDescent="0.25">
      <c r="A526" s="161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161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161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167"/>
      <c r="R528" s="11">
        <v>0.06</v>
      </c>
      <c r="U528" s="11">
        <v>5.5E-2</v>
      </c>
    </row>
    <row r="529" spans="1:43" x14ac:dyDescent="0.25">
      <c r="A529" s="161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167"/>
      <c r="R529" s="11">
        <v>0.05</v>
      </c>
      <c r="U529" s="11">
        <v>0.04</v>
      </c>
    </row>
    <row r="530" spans="1:43" x14ac:dyDescent="0.25">
      <c r="A530" s="161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161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8"/>
        <v>GENERAL</v>
      </c>
      <c r="B532" s="9" t="s">
        <v>2332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8"/>
        <v>GENERAL_ROME</v>
      </c>
      <c r="B533" s="9" t="s">
        <v>2332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2016</v>
      </c>
      <c r="I533" s="5" t="s">
        <v>1971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8"/>
        <v>GENERAL_KHAN</v>
      </c>
      <c r="B534" s="9" t="s">
        <v>2396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8"/>
        <v>GENERAL_LATE</v>
      </c>
      <c r="B535" s="9" t="s">
        <v>2332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>
        <v>0.125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2040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2041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161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161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2040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161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2041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161" t="str">
        <f t="shared" si="8"/>
        <v>GREAT_MUSICIAN</v>
      </c>
      <c r="B544" s="9" t="s">
        <v>2333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161" t="str">
        <f t="shared" si="8"/>
        <v>GREAT_MUSICIAN</v>
      </c>
      <c r="B545" s="9" t="s">
        <v>2333</v>
      </c>
      <c r="C545" s="5"/>
      <c r="D545" s="5"/>
      <c r="E545" s="5" t="s">
        <v>1351</v>
      </c>
      <c r="F545" s="5" t="s">
        <v>1351</v>
      </c>
      <c r="G545" s="5" t="s">
        <v>2040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161" t="str">
        <f t="shared" si="8"/>
        <v>GREAT_MUSICIAN</v>
      </c>
      <c r="B546" s="9" t="s">
        <v>2333</v>
      </c>
      <c r="C546" s="5"/>
      <c r="D546" s="5"/>
      <c r="E546" s="5" t="s">
        <v>1351</v>
      </c>
      <c r="F546" s="5" t="s">
        <v>1351</v>
      </c>
      <c r="G546" s="5" t="s">
        <v>2041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161" t="str">
        <f t="shared" si="8"/>
        <v>GREAT_MUSICIAN_POSTMODERN</v>
      </c>
      <c r="B547" s="9" t="s">
        <v>2333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>
        <v>0.125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161" t="str">
        <f t="shared" si="8"/>
        <v>GREAT_MUSICIAN_POSTMODERN</v>
      </c>
      <c r="B548" s="9" t="s">
        <v>2333</v>
      </c>
      <c r="C548" s="5"/>
      <c r="D548" s="5"/>
      <c r="E548" s="5" t="s">
        <v>1352</v>
      </c>
      <c r="F548" s="5" t="s">
        <v>1356</v>
      </c>
      <c r="G548" s="5" t="s">
        <v>2040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>
        <v>0.125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161" t="str">
        <f t="shared" si="8"/>
        <v>GREAT_MUSICIAN_POSTMODERN</v>
      </c>
      <c r="B549" s="9" t="s">
        <v>2333</v>
      </c>
      <c r="C549" s="5"/>
      <c r="D549" s="5"/>
      <c r="E549" s="5" t="s">
        <v>1352</v>
      </c>
      <c r="F549" s="5" t="s">
        <v>1356</v>
      </c>
      <c r="G549" s="5" t="s">
        <v>2041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>
        <v>0.125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161" t="str">
        <f t="shared" si="8"/>
        <v>GREAT_PROPHET</v>
      </c>
      <c r="B550" s="9" t="s">
        <v>2334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161" t="str">
        <f t="shared" si="8"/>
        <v>GREAT_PROPHET</v>
      </c>
      <c r="B551" s="9" t="s">
        <v>2334</v>
      </c>
      <c r="C551" s="5"/>
      <c r="D551" s="5"/>
      <c r="E551" s="5" t="s">
        <v>756</v>
      </c>
      <c r="F551" s="5" t="s">
        <v>756</v>
      </c>
      <c r="G551" s="5" t="s">
        <v>2056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161" t="str">
        <f t="shared" si="8"/>
        <v>GREAT_PROPHET</v>
      </c>
      <c r="B552" s="9" t="s">
        <v>2334</v>
      </c>
      <c r="C552" s="5"/>
      <c r="D552" s="5"/>
      <c r="E552" s="5" t="s">
        <v>756</v>
      </c>
      <c r="F552" s="5" t="s">
        <v>756</v>
      </c>
      <c r="G552" s="5" t="s">
        <v>2057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161" t="str">
        <f>CONCATENATE(E553,IF(ISBLANK(C553),"",CONCATENATE("_",C553)))</f>
        <v>GREAT_PROPHET_RENAISSANCE</v>
      </c>
      <c r="B553" s="9" t="s">
        <v>2334</v>
      </c>
      <c r="C553" s="5"/>
      <c r="D553" s="5"/>
      <c r="E553" s="5" t="s">
        <v>2133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161" t="str">
        <f>CONCATENATE(E554,IF(ISBLANK(C554),"",CONCATENATE("_",C554)))</f>
        <v>GREAT_PROPHET_RENAISSANCE</v>
      </c>
      <c r="B554" s="9" t="s">
        <v>2334</v>
      </c>
      <c r="C554" s="5"/>
      <c r="D554" s="5"/>
      <c r="E554" s="5" t="s">
        <v>2133</v>
      </c>
      <c r="F554" s="5" t="s">
        <v>756</v>
      </c>
      <c r="G554" s="5" t="s">
        <v>2056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161" t="str">
        <f>CONCATENATE(E555,IF(ISBLANK(C555),"",CONCATENATE("_",C555)))</f>
        <v>GREAT_PROPHET_RENAISSANCE</v>
      </c>
      <c r="B555" s="9" t="s">
        <v>2334</v>
      </c>
      <c r="C555" s="5"/>
      <c r="D555" s="5"/>
      <c r="E555" s="5" t="s">
        <v>2133</v>
      </c>
      <c r="F555" s="5" t="s">
        <v>756</v>
      </c>
      <c r="G555" s="5" t="s">
        <v>2057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161" t="str">
        <f t="shared" si="8"/>
        <v>GREAT_WRITER</v>
      </c>
      <c r="B556" s="9" t="s">
        <v>2335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161" t="str">
        <f t="shared" si="8"/>
        <v>GREAT_WRITER</v>
      </c>
      <c r="B557" s="9" t="s">
        <v>2335</v>
      </c>
      <c r="C557" s="5"/>
      <c r="D557" s="5"/>
      <c r="E557" s="5" t="s">
        <v>1353</v>
      </c>
      <c r="F557" s="5" t="s">
        <v>1353</v>
      </c>
      <c r="G557" s="5" t="s">
        <v>2040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161" t="str">
        <f t="shared" si="8"/>
        <v>GREAT_WRITER</v>
      </c>
      <c r="B558" s="9" t="s">
        <v>2335</v>
      </c>
      <c r="C558" s="5"/>
      <c r="D558" s="5"/>
      <c r="E558" s="5" t="s">
        <v>1353</v>
      </c>
      <c r="F558" s="5" t="s">
        <v>1353</v>
      </c>
      <c r="G558" s="5" t="s">
        <v>2041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161" t="str">
        <f t="shared" si="8"/>
        <v>GREAT_WRITER_POSTMODERN</v>
      </c>
      <c r="B559" s="9" t="s">
        <v>2335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>
        <v>0.125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161" t="str">
        <f t="shared" si="8"/>
        <v>GREAT_WRITER_POSTMODERN</v>
      </c>
      <c r="B560" s="9" t="s">
        <v>2335</v>
      </c>
      <c r="C560" s="5"/>
      <c r="D560" s="5"/>
      <c r="E560" s="5" t="s">
        <v>1354</v>
      </c>
      <c r="F560" s="5" t="s">
        <v>1357</v>
      </c>
      <c r="G560" s="5" t="s">
        <v>2040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>
        <v>0.125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161" t="str">
        <f t="shared" si="8"/>
        <v>GREAT_WRITER_POSTMODERN</v>
      </c>
      <c r="B561" s="9" t="s">
        <v>2335</v>
      </c>
      <c r="C561" s="5"/>
      <c r="D561" s="5"/>
      <c r="E561" s="5" t="s">
        <v>1354</v>
      </c>
      <c r="F561" s="5" t="s">
        <v>1357</v>
      </c>
      <c r="G561" s="5" t="s">
        <v>2041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>
        <v>0.125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161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161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161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161" t="str">
        <f t="shared" si="9"/>
        <v>HAND_AXE_BARBARIAN</v>
      </c>
      <c r="B566" s="9" t="s">
        <v>2337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161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161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161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161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161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161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1945</v>
      </c>
      <c r="I574" s="4" t="s">
        <v>120</v>
      </c>
    </row>
    <row r="575" spans="1:43" x14ac:dyDescent="0.25">
      <c r="A575" s="161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161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1946</v>
      </c>
      <c r="I576" s="4" t="s">
        <v>120</v>
      </c>
    </row>
    <row r="577" spans="1:9" x14ac:dyDescent="0.25">
      <c r="A577" s="161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161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161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161" t="str">
        <f t="shared" si="9"/>
        <v>HELICOPTER_GUNSHIP_CANADA</v>
      </c>
      <c r="B580" s="9" t="s">
        <v>758</v>
      </c>
      <c r="C580" s="4" t="s">
        <v>2223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161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161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161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161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161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161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161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161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161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161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161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161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161" t="str">
        <f>CONCATENATE(E593,IF(ISBLANK(C593),"",CONCATENATE("_",C593)))</f>
        <v>HELICOPTER_GUNSHIP_NORTHAF</v>
      </c>
      <c r="B593" s="9" t="s">
        <v>758</v>
      </c>
      <c r="C593" s="4" t="s">
        <v>2011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161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161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161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161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161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161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161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161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2047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161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161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2047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161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161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1968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161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2047</v>
      </c>
      <c r="H607" s="4" t="s">
        <v>1986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161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1968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161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2047</v>
      </c>
      <c r="H609" s="4" t="s">
        <v>1986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161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1935</v>
      </c>
    </row>
    <row r="611" spans="1:32" x14ac:dyDescent="0.25">
      <c r="A611" s="161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1935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161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2047</v>
      </c>
      <c r="H612" s="4" t="s">
        <v>935</v>
      </c>
      <c r="I612" s="4" t="s">
        <v>1935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161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2049</v>
      </c>
      <c r="H613" s="4" t="s">
        <v>936</v>
      </c>
      <c r="I613" s="4" t="s">
        <v>1935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161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2048</v>
      </c>
      <c r="H614" s="4" t="s">
        <v>937</v>
      </c>
      <c r="I614" s="4" t="s">
        <v>1935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161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2058</v>
      </c>
      <c r="H615" s="4" t="s">
        <v>462</v>
      </c>
      <c r="I615" s="4" t="s">
        <v>1935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161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161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161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161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161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2103</v>
      </c>
    </row>
    <row r="621" spans="1:32" x14ac:dyDescent="0.25">
      <c r="A621" s="161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161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2103</v>
      </c>
    </row>
    <row r="623" spans="1:32" x14ac:dyDescent="0.25">
      <c r="A623" s="161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2103</v>
      </c>
    </row>
    <row r="624" spans="1:32" x14ac:dyDescent="0.25">
      <c r="A624" s="161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2103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161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2047</v>
      </c>
      <c r="H625" s="4" t="s">
        <v>613</v>
      </c>
      <c r="I625" s="4" t="s">
        <v>2103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161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2103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161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2047</v>
      </c>
      <c r="H627" s="4" t="s">
        <v>613</v>
      </c>
      <c r="I627" s="4" t="s">
        <v>2103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161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161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161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161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161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161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2047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161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161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2047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161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2103</v>
      </c>
    </row>
    <row r="637" spans="1:32" x14ac:dyDescent="0.25">
      <c r="A637" s="161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2103</v>
      </c>
    </row>
    <row r="638" spans="1:32" x14ac:dyDescent="0.25">
      <c r="A638" s="161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161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161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2103</v>
      </c>
    </row>
    <row r="641" spans="1:43" x14ac:dyDescent="0.25">
      <c r="A641" s="161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161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161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161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161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161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2103</v>
      </c>
    </row>
    <row r="647" spans="1:43" x14ac:dyDescent="0.25">
      <c r="A647" s="161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2103</v>
      </c>
    </row>
    <row r="648" spans="1:43" x14ac:dyDescent="0.25">
      <c r="A648" s="161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2103</v>
      </c>
    </row>
    <row r="649" spans="1:43" x14ac:dyDescent="0.25">
      <c r="A649" s="161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161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161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161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161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2080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161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2081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161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161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161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2040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161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161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2040</v>
      </c>
      <c r="H659" s="4" t="s">
        <v>1793</v>
      </c>
      <c r="I659" s="4" t="s">
        <v>102</v>
      </c>
      <c r="J659" s="11">
        <v>1</v>
      </c>
      <c r="Q659" s="11">
        <v>2</v>
      </c>
      <c r="R659" s="11">
        <v>0.13500000000000001</v>
      </c>
      <c r="Z659" s="11">
        <v>0</v>
      </c>
      <c r="AF659" s="11">
        <v>1</v>
      </c>
    </row>
    <row r="660" spans="1:43" x14ac:dyDescent="0.25">
      <c r="A660" s="161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161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161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1.7</v>
      </c>
      <c r="U662" s="11">
        <v>1.3</v>
      </c>
      <c r="Z662" s="9">
        <v>1</v>
      </c>
      <c r="AF662" s="11">
        <v>2</v>
      </c>
    </row>
    <row r="663" spans="1:43" x14ac:dyDescent="0.25">
      <c r="A663" s="161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161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161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2192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161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2040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161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161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2132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161" t="str">
        <f t="shared" si="11"/>
        <v>INQUISITOR_RENAISSANCE</v>
      </c>
      <c r="B669" s="9" t="s">
        <v>759</v>
      </c>
      <c r="C669" s="5"/>
      <c r="D669" s="5"/>
      <c r="E669" s="5" t="s">
        <v>2132</v>
      </c>
      <c r="F669" s="5" t="s">
        <v>759</v>
      </c>
      <c r="G669" s="5" t="s">
        <v>2080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161" t="str">
        <f t="shared" si="11"/>
        <v>INQUISITOR_RENAISSANCE</v>
      </c>
      <c r="B670" s="9" t="s">
        <v>759</v>
      </c>
      <c r="C670" s="5"/>
      <c r="D670" s="5"/>
      <c r="E670" s="5" t="s">
        <v>2132</v>
      </c>
      <c r="F670" s="5" t="s">
        <v>759</v>
      </c>
      <c r="G670" s="5" t="s">
        <v>2081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161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2132</v>
      </c>
      <c r="F671" s="4" t="s">
        <v>759</v>
      </c>
    </row>
    <row r="672" spans="1:43" x14ac:dyDescent="0.25">
      <c r="A672" s="161" t="str">
        <f t="shared" si="11"/>
        <v>INQUISITOR_RENAISSANCE_AMER</v>
      </c>
      <c r="B672" s="9" t="s">
        <v>759</v>
      </c>
      <c r="C672" s="4" t="s">
        <v>697</v>
      </c>
      <c r="E672" s="4" t="s">
        <v>2132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161" t="str">
        <f t="shared" si="11"/>
        <v>INQUISITOR_RENAISSANCE_AMER</v>
      </c>
      <c r="B673" s="9" t="s">
        <v>759</v>
      </c>
      <c r="C673" s="4" t="s">
        <v>697</v>
      </c>
      <c r="E673" s="4" t="s">
        <v>2132</v>
      </c>
      <c r="F673" s="4" t="s">
        <v>759</v>
      </c>
      <c r="G673" s="4" t="s">
        <v>2040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161" t="str">
        <f t="shared" si="11"/>
        <v>INQUISITOR_RENAISSANCE_ASIA</v>
      </c>
      <c r="B674" s="9" t="s">
        <v>759</v>
      </c>
      <c r="C674" s="4" t="s">
        <v>693</v>
      </c>
      <c r="E674" s="4" t="s">
        <v>2132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161" t="str">
        <f t="shared" si="11"/>
        <v>INQUISITOR_RENAISSANCE_ASIA</v>
      </c>
      <c r="B675" s="9" t="s">
        <v>759</v>
      </c>
      <c r="C675" s="4" t="s">
        <v>693</v>
      </c>
      <c r="E675" s="4" t="s">
        <v>2132</v>
      </c>
      <c r="F675" s="4" t="s">
        <v>759</v>
      </c>
      <c r="G675" s="4" t="s">
        <v>2040</v>
      </c>
      <c r="H675" s="4" t="s">
        <v>1793</v>
      </c>
      <c r="I675" s="4" t="s">
        <v>102</v>
      </c>
      <c r="Q675" s="11">
        <v>2</v>
      </c>
      <c r="R675" s="11">
        <v>0.13500000000000001</v>
      </c>
      <c r="Z675" s="11">
        <v>0</v>
      </c>
      <c r="AF675" s="11">
        <v>1</v>
      </c>
    </row>
    <row r="676" spans="1:43" x14ac:dyDescent="0.25">
      <c r="A676" s="161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2132</v>
      </c>
      <c r="F676" s="4" t="s">
        <v>759</v>
      </c>
      <c r="G676" s="14" t="s">
        <v>132</v>
      </c>
      <c r="H676" s="14"/>
    </row>
    <row r="677" spans="1:43" x14ac:dyDescent="0.25">
      <c r="A677" s="161" t="str">
        <f t="shared" si="11"/>
        <v>INQUISITOR_RENAISSANCE_CELTS</v>
      </c>
      <c r="B677" s="9" t="s">
        <v>759</v>
      </c>
      <c r="C677" s="4" t="s">
        <v>709</v>
      </c>
      <c r="E677" s="4" t="s">
        <v>2132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161" t="str">
        <f t="shared" si="11"/>
        <v>INQUISITOR_RENAISSANCE_MIDEAST</v>
      </c>
      <c r="B678" s="9" t="s">
        <v>759</v>
      </c>
      <c r="C678" s="4" t="s">
        <v>690</v>
      </c>
      <c r="E678" s="4" t="s">
        <v>2132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1.5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161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2132</v>
      </c>
      <c r="F679" s="4" t="s">
        <v>759</v>
      </c>
    </row>
    <row r="680" spans="1:43" x14ac:dyDescent="0.25">
      <c r="A680" s="161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2132</v>
      </c>
      <c r="F680" s="4" t="s">
        <v>759</v>
      </c>
    </row>
    <row r="681" spans="1:43" x14ac:dyDescent="0.25">
      <c r="A681" s="161" t="str">
        <f t="shared" si="11"/>
        <v>INQUISITOR_RENAISSANCE_SOUTHAM</v>
      </c>
      <c r="B681" s="9" t="s">
        <v>759</v>
      </c>
      <c r="C681" s="4" t="s">
        <v>691</v>
      </c>
      <c r="E681" s="4" t="s">
        <v>2132</v>
      </c>
      <c r="F681" s="4" t="s">
        <v>759</v>
      </c>
      <c r="H681" s="4" t="s">
        <v>2192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161" t="str">
        <f t="shared" si="11"/>
        <v>INQUISITOR_RENAISSANCE_SOUTHAM</v>
      </c>
      <c r="B682" s="9" t="s">
        <v>759</v>
      </c>
      <c r="C682" s="4" t="s">
        <v>691</v>
      </c>
      <c r="E682" s="4" t="s">
        <v>2132</v>
      </c>
      <c r="F682" s="4" t="s">
        <v>759</v>
      </c>
      <c r="G682" s="4" t="s">
        <v>2040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161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2132</v>
      </c>
      <c r="F683" s="4" t="s">
        <v>759</v>
      </c>
    </row>
    <row r="684" spans="1:43" x14ac:dyDescent="0.25">
      <c r="A684" s="161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161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161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1934</v>
      </c>
      <c r="I686" s="5" t="s">
        <v>1943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161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161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161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1927</v>
      </c>
      <c r="I689" s="5" t="s">
        <v>1943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161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161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1931</v>
      </c>
      <c r="I691" s="5" t="s">
        <v>1943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161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1933</v>
      </c>
      <c r="I692" s="5" t="s">
        <v>1943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161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161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1932</v>
      </c>
      <c r="I694" s="5" t="s">
        <v>1943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161" t="str">
        <f t="shared" si="10"/>
        <v>IRONCLAD_CANADA</v>
      </c>
      <c r="B695" s="9" t="s">
        <v>760</v>
      </c>
      <c r="C695" s="5" t="s">
        <v>2223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161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161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161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1930</v>
      </c>
      <c r="I698" s="5" t="s">
        <v>1943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161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1929</v>
      </c>
      <c r="I699" s="5" t="s">
        <v>1943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161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1926</v>
      </c>
      <c r="I700" s="5" t="s">
        <v>1943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161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1928</v>
      </c>
      <c r="I701" s="5" t="s">
        <v>1943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161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161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161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161" t="str">
        <f t="shared" si="10"/>
        <v>JET_FIGHTER_AMER</v>
      </c>
      <c r="B705" s="9" t="s">
        <v>761</v>
      </c>
      <c r="C705" s="5" t="s">
        <v>697</v>
      </c>
      <c r="D705" s="5" t="s">
        <v>2223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161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161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161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161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161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1939</v>
      </c>
      <c r="I710" s="4" t="s">
        <v>120</v>
      </c>
      <c r="J710" s="6"/>
    </row>
    <row r="711" spans="1:43" x14ac:dyDescent="0.25">
      <c r="A711" s="161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1940</v>
      </c>
      <c r="I711" s="4" t="s">
        <v>120</v>
      </c>
      <c r="J711" s="6"/>
    </row>
    <row r="712" spans="1:43" x14ac:dyDescent="0.25">
      <c r="A712" s="161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161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1935</v>
      </c>
      <c r="U713" s="11">
        <v>0.11</v>
      </c>
    </row>
    <row r="714" spans="1:43" x14ac:dyDescent="0.25">
      <c r="A714" s="161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161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161" t="str">
        <f t="shared" si="10"/>
        <v>JET_FIGHTER_CANADA</v>
      </c>
      <c r="B716" s="9" t="s">
        <v>761</v>
      </c>
      <c r="C716" s="4" t="s">
        <v>2223</v>
      </c>
      <c r="E716" s="4" t="s">
        <v>761</v>
      </c>
      <c r="F716" s="4" t="s">
        <v>794</v>
      </c>
      <c r="G716" s="14"/>
      <c r="H716" s="4" t="s">
        <v>2226</v>
      </c>
      <c r="I716" s="4" t="s">
        <v>2227</v>
      </c>
    </row>
    <row r="717" spans="1:43" x14ac:dyDescent="0.25">
      <c r="A717" s="161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161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161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161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161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161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161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161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161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161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161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161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161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2234</v>
      </c>
      <c r="I729" s="4" t="s">
        <v>1062</v>
      </c>
    </row>
    <row r="730" spans="1:43" x14ac:dyDescent="0.25">
      <c r="A730" s="161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161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161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161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161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161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161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161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1935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161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2047</v>
      </c>
      <c r="H738" s="4" t="s">
        <v>939</v>
      </c>
      <c r="I738" s="4" t="s">
        <v>1935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161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2049</v>
      </c>
      <c r="H739" s="4" t="s">
        <v>940</v>
      </c>
      <c r="I739" s="4" t="s">
        <v>1935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161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2048</v>
      </c>
      <c r="H740" s="4" t="s">
        <v>941</v>
      </c>
      <c r="I740" s="4" t="s">
        <v>1935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161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2058</v>
      </c>
      <c r="H741" s="4" t="s">
        <v>464</v>
      </c>
      <c r="I741" s="4" t="s">
        <v>1935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161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2103</v>
      </c>
    </row>
    <row r="743" spans="1:35" x14ac:dyDescent="0.25">
      <c r="A743" s="161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161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161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161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161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2103</v>
      </c>
    </row>
    <row r="748" spans="1:35" x14ac:dyDescent="0.25">
      <c r="A748" s="161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2104</v>
      </c>
      <c r="I748" s="4" t="s">
        <v>1024</v>
      </c>
    </row>
    <row r="749" spans="1:35" x14ac:dyDescent="0.25">
      <c r="A749" s="161" t="str">
        <f t="shared" si="12"/>
        <v>KNIGHT_POLAN D</v>
      </c>
      <c r="B749" s="9" t="s">
        <v>110</v>
      </c>
      <c r="C749" s="4" t="s">
        <v>2196</v>
      </c>
      <c r="E749" s="4" t="s">
        <v>110</v>
      </c>
      <c r="F749" s="4" t="s">
        <v>110</v>
      </c>
      <c r="H749" s="4" t="s">
        <v>2195</v>
      </c>
      <c r="I749" s="4" t="s">
        <v>1024</v>
      </c>
    </row>
    <row r="750" spans="1:35" x14ac:dyDescent="0.25">
      <c r="A750" s="161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2103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161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2047</v>
      </c>
      <c r="H751" s="4" t="s">
        <v>1003</v>
      </c>
      <c r="I751" s="4" t="s">
        <v>2103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161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2049</v>
      </c>
      <c r="H752" s="4" t="s">
        <v>1004</v>
      </c>
      <c r="I752" s="4" t="s">
        <v>2103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161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2103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161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161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2047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161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161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2047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161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161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2047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161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2049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161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161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2047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161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2049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161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161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2047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161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2049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161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2048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161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2058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161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2059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161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1958</v>
      </c>
      <c r="I770" s="4" t="s">
        <v>1959</v>
      </c>
      <c r="Q770" s="9"/>
      <c r="Z770" s="9"/>
    </row>
    <row r="771" spans="1:35" x14ac:dyDescent="0.25">
      <c r="A771" s="161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161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161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161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161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161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2047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161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161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2047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161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2103</v>
      </c>
    </row>
    <row r="780" spans="1:35" x14ac:dyDescent="0.25">
      <c r="A780" s="161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2103</v>
      </c>
    </row>
    <row r="781" spans="1:35" x14ac:dyDescent="0.25">
      <c r="A781" s="161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161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161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2103</v>
      </c>
    </row>
    <row r="784" spans="1:35" x14ac:dyDescent="0.25">
      <c r="A784" s="161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161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161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2047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161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161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2047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161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161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161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161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2103</v>
      </c>
    </row>
    <row r="793" spans="1:35" x14ac:dyDescent="0.25">
      <c r="A793" s="161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2103</v>
      </c>
    </row>
    <row r="794" spans="1:35" x14ac:dyDescent="0.25">
      <c r="A794" s="161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2103</v>
      </c>
    </row>
    <row r="795" spans="1:35" x14ac:dyDescent="0.25">
      <c r="A795" s="161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161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161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2047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161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2049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161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2048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161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2058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161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161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161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161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161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161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161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161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161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2122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161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2047</v>
      </c>
      <c r="H810" s="5" t="s">
        <v>2123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">
        <v>2124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2122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161" t="s">
        <v>2124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2047</v>
      </c>
      <c r="H812" s="4" t="s">
        <v>2123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161" t="s">
        <v>2124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2122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161" t="s">
        <v>2124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2047</v>
      </c>
      <c r="H814" s="4" t="s">
        <v>2123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161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161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1964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161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2047</v>
      </c>
      <c r="H817" s="4" t="s">
        <v>1965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1964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161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2047</v>
      </c>
      <c r="H819" s="4" t="s">
        <v>1965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161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1964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161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2047</v>
      </c>
      <c r="H821" s="4" t="s">
        <v>1965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161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1935</v>
      </c>
    </row>
    <row r="823" spans="1:35" x14ac:dyDescent="0.25">
      <c r="A823" s="161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1935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161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2047</v>
      </c>
      <c r="H824" s="4" t="s">
        <v>942</v>
      </c>
      <c r="I824" s="4" t="s">
        <v>1935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161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2049</v>
      </c>
      <c r="H825" s="4" t="s">
        <v>943</v>
      </c>
      <c r="I825" s="4" t="s">
        <v>1935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161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2048</v>
      </c>
      <c r="H826" s="4" t="s">
        <v>634</v>
      </c>
      <c r="I826" s="4" t="s">
        <v>1935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161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1935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161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161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161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2047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161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2049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161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161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2047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161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2049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161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161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161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2103</v>
      </c>
    </row>
    <row r="838" spans="1:35" x14ac:dyDescent="0.25">
      <c r="A838" s="161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2103</v>
      </c>
    </row>
    <row r="839" spans="1:35" x14ac:dyDescent="0.25">
      <c r="A839" s="161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161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2103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161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2047</v>
      </c>
      <c r="H841" s="4" t="s">
        <v>1031</v>
      </c>
      <c r="I841" s="4" t="s">
        <v>2103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161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2049</v>
      </c>
      <c r="H842" s="4" t="s">
        <v>1032</v>
      </c>
      <c r="I842" s="4" t="s">
        <v>2103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161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2103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161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2047</v>
      </c>
      <c r="H844" s="4" t="s">
        <v>1031</v>
      </c>
      <c r="I844" s="4" t="s">
        <v>2103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161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2049</v>
      </c>
      <c r="H845" s="4" t="s">
        <v>1032</v>
      </c>
      <c r="I845" s="4" t="s">
        <v>2103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161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161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2103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161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2047</v>
      </c>
      <c r="H848" s="4" t="s">
        <v>1006</v>
      </c>
      <c r="I848" s="4" t="s">
        <v>2103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161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2049</v>
      </c>
      <c r="H849" s="4" t="s">
        <v>617</v>
      </c>
      <c r="I849" s="4" t="s">
        <v>2103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161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2103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161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2047</v>
      </c>
      <c r="H851" s="4" t="s">
        <v>1006</v>
      </c>
      <c r="I851" s="4" t="s">
        <v>2103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161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2049</v>
      </c>
      <c r="H852" s="4" t="s">
        <v>617</v>
      </c>
      <c r="I852" s="4" t="s">
        <v>2103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161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161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161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161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161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2047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161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161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2047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161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161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2047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161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2049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161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161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2047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161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2049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161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161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2047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161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2049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161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2048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161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161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2047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161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2049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161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2048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161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161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2047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161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2049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161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2048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161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2058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161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2059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161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2060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161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161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2047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161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2049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161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2048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161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2058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161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2059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161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2060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161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161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161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161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2047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161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161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2047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161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161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161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161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161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2047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161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161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2047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161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161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2103</v>
      </c>
    </row>
    <row r="903" spans="1:35" x14ac:dyDescent="0.25">
      <c r="A903" s="161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161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161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2103</v>
      </c>
    </row>
    <row r="906" spans="1:35" x14ac:dyDescent="0.25">
      <c r="A906" s="161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161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161" t="str">
        <f>CONCATENATE(E908,IF(ISBLANK(C908),"",CONCATENATE("_",C908)))</f>
        <v>LONGSWORDSMAN_NORTHAF</v>
      </c>
      <c r="B908" s="9" t="s">
        <v>109</v>
      </c>
      <c r="C908" s="4" t="s">
        <v>2011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161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161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161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2047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161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2049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161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161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2047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161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2049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161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161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161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161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161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2103</v>
      </c>
    </row>
    <row r="921" spans="1:43" x14ac:dyDescent="0.25">
      <c r="A921" s="161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161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161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2047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161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161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2047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161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161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2047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161" t="str">
        <f t="shared" si="14"/>
        <v>MACHINEGUN</v>
      </c>
      <c r="B928" s="9" t="s">
        <v>2338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161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161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161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161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161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161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1947</v>
      </c>
      <c r="I934" s="4" t="s">
        <v>1249</v>
      </c>
    </row>
    <row r="935" spans="1:43" x14ac:dyDescent="0.25">
      <c r="A935" s="161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161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161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161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161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1948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161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161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161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161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161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161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161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161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161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161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161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1935</v>
      </c>
    </row>
    <row r="951" spans="1:9" x14ac:dyDescent="0.25">
      <c r="A951" s="161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1935</v>
      </c>
    </row>
    <row r="952" spans="1:9" x14ac:dyDescent="0.25">
      <c r="A952" s="161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161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161" t="str">
        <f t="shared" si="15"/>
        <v>MECHANIZED_INFANTRY_CANADA</v>
      </c>
      <c r="B954" s="9" t="s">
        <v>766</v>
      </c>
      <c r="C954" s="4" t="s">
        <v>2223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161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161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2233</v>
      </c>
      <c r="I956" s="4" t="s">
        <v>1068</v>
      </c>
    </row>
    <row r="957" spans="1:9" x14ac:dyDescent="0.25">
      <c r="A957" s="161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161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161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161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1935</v>
      </c>
    </row>
    <row r="961" spans="1:43" x14ac:dyDescent="0.25">
      <c r="A961" s="161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161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161" t="str">
        <f>CONCATENATE(E963,IF(ISBLANK(C963),"",CONCATENATE("_",C963)))</f>
        <v>MECHANIZED_INFANTRY_NORTHAF</v>
      </c>
      <c r="B963" s="9" t="s">
        <v>766</v>
      </c>
      <c r="C963" s="4" t="s">
        <v>2011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161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161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161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161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161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2062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161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2063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161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161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161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161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161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161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1937</v>
      </c>
      <c r="I975" s="5" t="s">
        <v>1938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161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161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2080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161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2081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161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  <c r="R979" s="11">
        <v>0.15</v>
      </c>
    </row>
    <row r="980" spans="1:43" x14ac:dyDescent="0.25">
      <c r="A980" s="161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161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R981" s="11">
        <v>0.14499999999999999</v>
      </c>
      <c r="Z981" s="11">
        <v>1</v>
      </c>
      <c r="AF981" s="11">
        <v>1</v>
      </c>
    </row>
    <row r="982" spans="1:43" x14ac:dyDescent="0.25">
      <c r="A982" s="161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2040</v>
      </c>
      <c r="H982" s="4" t="s">
        <v>833</v>
      </c>
      <c r="I982" s="4" t="s">
        <v>963</v>
      </c>
      <c r="J982" s="11">
        <v>1</v>
      </c>
      <c r="Q982" s="11">
        <v>1</v>
      </c>
      <c r="R982" s="11">
        <v>0.14499999999999999</v>
      </c>
      <c r="Z982" s="11">
        <v>0</v>
      </c>
      <c r="AF982" s="11">
        <v>1</v>
      </c>
    </row>
    <row r="983" spans="1:43" x14ac:dyDescent="0.25">
      <c r="A983" s="161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2041</v>
      </c>
      <c r="H983" s="4" t="s">
        <v>253</v>
      </c>
      <c r="I983" s="4" t="s">
        <v>963</v>
      </c>
      <c r="J983" s="11">
        <v>1</v>
      </c>
      <c r="Q983" s="9">
        <v>1</v>
      </c>
      <c r="R983" s="11">
        <v>0.14499999999999999</v>
      </c>
      <c r="Z983" s="11">
        <v>0</v>
      </c>
      <c r="AF983" s="9">
        <v>0</v>
      </c>
    </row>
    <row r="984" spans="1:43" x14ac:dyDescent="0.25">
      <c r="A984" s="161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161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161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161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161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161" t="str">
        <f t="shared" si="15"/>
        <v>MISSIONARY_RENAISSANCE</v>
      </c>
      <c r="B989" s="9" t="s">
        <v>768</v>
      </c>
      <c r="E989" s="4" t="s">
        <v>1972</v>
      </c>
      <c r="F989" s="4" t="s">
        <v>1972</v>
      </c>
      <c r="H989" s="4" t="s">
        <v>1974</v>
      </c>
      <c r="I989" s="4" t="s">
        <v>1973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161" t="str">
        <f t="shared" si="15"/>
        <v>MISSIONARY_RENAISSANCE</v>
      </c>
      <c r="B990" s="9" t="s">
        <v>768</v>
      </c>
      <c r="E990" s="4" t="s">
        <v>1972</v>
      </c>
      <c r="F990" s="4" t="s">
        <v>1972</v>
      </c>
      <c r="G990" s="4" t="s">
        <v>2040</v>
      </c>
      <c r="H990" s="4" t="s">
        <v>1975</v>
      </c>
      <c r="I990" s="4" t="s">
        <v>1973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161" t="str">
        <f t="shared" ref="A991:A1000" si="16">CONCATENATE(E991,IF(ISBLANK(C991),"",CONCATENATE("_",C991)))</f>
        <v>MISSIONARY_RENAISSANCE</v>
      </c>
      <c r="B991" s="9" t="s">
        <v>768</v>
      </c>
      <c r="E991" s="4" t="s">
        <v>1972</v>
      </c>
      <c r="F991" s="4" t="s">
        <v>1972</v>
      </c>
      <c r="G991" s="4" t="s">
        <v>2041</v>
      </c>
      <c r="H991" s="4" t="s">
        <v>1976</v>
      </c>
      <c r="I991" s="4" t="s">
        <v>1973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161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1972</v>
      </c>
      <c r="F992" s="4" t="s">
        <v>768</v>
      </c>
      <c r="H992" s="4" t="s">
        <v>330</v>
      </c>
      <c r="I992" s="4" t="s">
        <v>1796</v>
      </c>
      <c r="Q992" s="11">
        <v>3</v>
      </c>
      <c r="R992" s="11">
        <v>0.15</v>
      </c>
    </row>
    <row r="993" spans="1:43" x14ac:dyDescent="0.25">
      <c r="A993" s="161" t="str">
        <f t="shared" si="16"/>
        <v>MISSIONARY_RENAISSANCE_AMER</v>
      </c>
      <c r="B993" s="9" t="s">
        <v>768</v>
      </c>
      <c r="C993" s="4" t="s">
        <v>697</v>
      </c>
      <c r="E993" s="4" t="s">
        <v>1972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161" t="str">
        <f t="shared" si="16"/>
        <v>MISSIONARY_RENAISSANCE_ASIA</v>
      </c>
      <c r="B994" s="9" t="s">
        <v>768</v>
      </c>
      <c r="C994" s="4" t="s">
        <v>693</v>
      </c>
      <c r="E994" s="4" t="s">
        <v>1972</v>
      </c>
      <c r="F994" s="4" t="s">
        <v>768</v>
      </c>
      <c r="H994" s="4" t="s">
        <v>832</v>
      </c>
      <c r="I994" s="4" t="s">
        <v>963</v>
      </c>
      <c r="Q994" s="11">
        <v>1</v>
      </c>
      <c r="R994" s="11">
        <v>0.14499999999999999</v>
      </c>
      <c r="Z994" s="11">
        <v>1</v>
      </c>
      <c r="AF994" s="11">
        <v>1</v>
      </c>
    </row>
    <row r="995" spans="1:43" x14ac:dyDescent="0.25">
      <c r="A995" s="161" t="str">
        <f t="shared" si="16"/>
        <v>MISSIONARY_RENAISSANCE_ASIA</v>
      </c>
      <c r="B995" s="9" t="s">
        <v>768</v>
      </c>
      <c r="C995" s="4" t="s">
        <v>693</v>
      </c>
      <c r="E995" s="4" t="s">
        <v>1972</v>
      </c>
      <c r="F995" s="4" t="s">
        <v>768</v>
      </c>
      <c r="G995" s="4" t="s">
        <v>2040</v>
      </c>
      <c r="H995" s="4" t="s">
        <v>833</v>
      </c>
      <c r="I995" s="4" t="s">
        <v>963</v>
      </c>
      <c r="Q995" s="11">
        <v>1</v>
      </c>
      <c r="R995" s="11">
        <v>0.14499999999999999</v>
      </c>
      <c r="Z995" s="11">
        <v>0</v>
      </c>
      <c r="AF995" s="11">
        <v>1</v>
      </c>
    </row>
    <row r="996" spans="1:43" x14ac:dyDescent="0.25">
      <c r="A996" s="161" t="str">
        <f t="shared" si="16"/>
        <v>MISSIONARY_RENAISSANCE_ASIA</v>
      </c>
      <c r="B996" s="9" t="s">
        <v>768</v>
      </c>
      <c r="C996" s="4" t="s">
        <v>693</v>
      </c>
      <c r="E996" s="4" t="s">
        <v>1972</v>
      </c>
      <c r="F996" s="4" t="s">
        <v>768</v>
      </c>
      <c r="G996" s="4" t="s">
        <v>2041</v>
      </c>
      <c r="H996" s="4" t="s">
        <v>253</v>
      </c>
      <c r="I996" s="4" t="s">
        <v>963</v>
      </c>
      <c r="Q996" s="9">
        <v>1</v>
      </c>
      <c r="R996" s="11">
        <v>0.14499999999999999</v>
      </c>
      <c r="Z996" s="11">
        <v>0</v>
      </c>
      <c r="AF996" s="9">
        <v>0</v>
      </c>
    </row>
    <row r="997" spans="1:43" x14ac:dyDescent="0.25">
      <c r="A997" s="161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1972</v>
      </c>
      <c r="F997" s="4" t="s">
        <v>768</v>
      </c>
    </row>
    <row r="998" spans="1:43" x14ac:dyDescent="0.25">
      <c r="A998" s="161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1972</v>
      </c>
      <c r="F998" s="4" t="s">
        <v>768</v>
      </c>
    </row>
    <row r="999" spans="1:43" x14ac:dyDescent="0.25">
      <c r="A999" s="161" t="str">
        <f t="shared" si="16"/>
        <v>MISSIONARY_RENAISSANCE_SOUTHAM</v>
      </c>
      <c r="B999" s="9" t="s">
        <v>768</v>
      </c>
      <c r="C999" s="4" t="s">
        <v>691</v>
      </c>
      <c r="E999" s="4" t="s">
        <v>1972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161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1972</v>
      </c>
      <c r="F1000" s="4" t="s">
        <v>768</v>
      </c>
    </row>
    <row r="1001" spans="1:43" x14ac:dyDescent="0.25">
      <c r="A1001" s="161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161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161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161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161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161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161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161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161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161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161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161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161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161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161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161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161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1935</v>
      </c>
    </row>
    <row r="1018" spans="1:9" x14ac:dyDescent="0.25">
      <c r="A1018" s="161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161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161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161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161" t="str">
        <f t="shared" si="15"/>
        <v>MODERN_ARMOR_CANADA</v>
      </c>
      <c r="B1022" s="9" t="s">
        <v>121</v>
      </c>
      <c r="C1022" s="4" t="s">
        <v>2223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161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161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161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161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161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161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161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161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1935</v>
      </c>
    </row>
    <row r="1031" spans="1:9" x14ac:dyDescent="0.25">
      <c r="A1031" s="161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161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1935</v>
      </c>
    </row>
    <row r="1033" spans="1:9" x14ac:dyDescent="0.25">
      <c r="A1033" s="161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161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1935</v>
      </c>
    </row>
    <row r="1035" spans="1:9" x14ac:dyDescent="0.25">
      <c r="A1035" s="161" t="str">
        <f>CONCATENATE(E1035,IF(ISBLANK(C1035),"",CONCATENATE("_",C1035)))</f>
        <v>MODERN_ARMOR_NORTHAF</v>
      </c>
      <c r="B1035" s="9" t="s">
        <v>121</v>
      </c>
      <c r="C1035" s="4" t="s">
        <v>2011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1935</v>
      </c>
    </row>
    <row r="1036" spans="1:9" x14ac:dyDescent="0.25">
      <c r="A1036" s="161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161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161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161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161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161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1935</v>
      </c>
    </row>
    <row r="1042" spans="1:43" x14ac:dyDescent="0.25">
      <c r="A1042" s="161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161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1944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161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2047</v>
      </c>
      <c r="H1044" s="4" t="s">
        <v>872</v>
      </c>
      <c r="I1044" s="4" t="s">
        <v>1944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161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2049</v>
      </c>
      <c r="H1045" s="4" t="s">
        <v>328</v>
      </c>
      <c r="I1045" s="4" t="s">
        <v>1944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161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1944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161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2047</v>
      </c>
      <c r="H1047" s="4" t="s">
        <v>872</v>
      </c>
      <c r="I1047" s="4" t="s">
        <v>1944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161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2049</v>
      </c>
      <c r="H1048" s="4" t="s">
        <v>328</v>
      </c>
      <c r="I1048" s="4" t="s">
        <v>1944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161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161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1935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161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2047</v>
      </c>
      <c r="H1051" s="4" t="s">
        <v>467</v>
      </c>
      <c r="I1051" s="4" t="s">
        <v>1935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161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1935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161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2047</v>
      </c>
      <c r="H1053" s="4" t="s">
        <v>467</v>
      </c>
      <c r="I1053" s="4" t="s">
        <v>1935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161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1935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161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2047</v>
      </c>
      <c r="H1055" s="4" t="s">
        <v>467</v>
      </c>
      <c r="I1055" s="4" t="s">
        <v>1935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161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161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161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161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2014</v>
      </c>
      <c r="I1059" s="4" t="s">
        <v>2015</v>
      </c>
    </row>
    <row r="1060" spans="1:35" x14ac:dyDescent="0.25">
      <c r="A1060" s="161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161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2047</v>
      </c>
      <c r="H1061" s="4" t="s">
        <v>1954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161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2049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161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2048</v>
      </c>
      <c r="H1063" s="4" t="s">
        <v>1951</v>
      </c>
      <c r="I1063" s="4" t="s">
        <v>1952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161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2058</v>
      </c>
      <c r="H1064" s="4" t="s">
        <v>1953</v>
      </c>
      <c r="I1064" s="4" t="s">
        <v>1952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161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161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161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161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161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161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2047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161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2049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161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161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2047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161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2049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161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161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161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161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161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161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161" t="str">
        <f t="shared" si="17"/>
        <v>NUCLEAR_SUBMARINE_CANADA</v>
      </c>
      <c r="B1086" s="9" t="s">
        <v>771</v>
      </c>
      <c r="C1086" s="4" t="s">
        <v>2223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161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161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161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161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2127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2047</v>
      </c>
      <c r="H1091" s="5" t="s">
        <v>2129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2049</v>
      </c>
      <c r="H1092" s="5" t="s">
        <v>2126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161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2047</v>
      </c>
      <c r="H1093" s="5" t="s">
        <v>2129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161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2127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161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2048</v>
      </c>
      <c r="H1095" s="5" t="s">
        <v>2128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161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161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161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2047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161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161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2047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161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161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2047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161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161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2047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161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161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161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2047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161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161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2047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161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161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2047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161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161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2047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161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161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2047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161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161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2047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161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161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2047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161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161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2047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161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161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2047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161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161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2047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161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161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2047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161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161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2047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161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161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2047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161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161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2047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161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161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2047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161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161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2047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161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161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2047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161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161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2047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161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161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2047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161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161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2047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161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161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2047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161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161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2047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2047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2047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161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161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2047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161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161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2047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161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161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2047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161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161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2047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161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161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161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161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161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1961</v>
      </c>
      <c r="I1167" s="4" t="s">
        <v>1025</v>
      </c>
    </row>
    <row r="1168" spans="1:43" x14ac:dyDescent="0.25">
      <c r="A1168" s="161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1935</v>
      </c>
    </row>
    <row r="1169" spans="1:35" x14ac:dyDescent="0.25">
      <c r="A1169" s="161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161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161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161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161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2103</v>
      </c>
    </row>
    <row r="1174" spans="1:35" x14ac:dyDescent="0.25">
      <c r="A1174" s="161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2103</v>
      </c>
    </row>
    <row r="1175" spans="1:35" x14ac:dyDescent="0.25">
      <c r="A1175" s="161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2103</v>
      </c>
    </row>
    <row r="1176" spans="1:35" x14ac:dyDescent="0.25">
      <c r="A1176" s="161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1941</v>
      </c>
    </row>
    <row r="1177" spans="1:35" x14ac:dyDescent="0.25">
      <c r="A1177" s="161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161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161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161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161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2103</v>
      </c>
    </row>
    <row r="1182" spans="1:35" x14ac:dyDescent="0.25">
      <c r="A1182" s="161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161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161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161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2047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161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161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2047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161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161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2047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161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161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161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2103</v>
      </c>
    </row>
    <row r="1193" spans="1:35" x14ac:dyDescent="0.25">
      <c r="A1193" s="161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161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161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2103</v>
      </c>
    </row>
    <row r="1196" spans="1:35" x14ac:dyDescent="0.25">
      <c r="A1196" s="161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161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161" t="str">
        <f>CONCATENATE(E1198,IF(ISBLANK(C1198),"",CONCATENATE("_",C1198)))</f>
        <v>PIKEMAN_NORTHAF</v>
      </c>
      <c r="B1198" s="9" t="s">
        <v>107</v>
      </c>
      <c r="C1198" s="4" t="s">
        <v>2011</v>
      </c>
      <c r="E1198" s="4" t="s">
        <v>107</v>
      </c>
      <c r="F1198" s="4" t="s">
        <v>107</v>
      </c>
      <c r="G1198" s="14"/>
      <c r="H1198" s="4" t="s">
        <v>643</v>
      </c>
      <c r="I1198" s="4" t="s">
        <v>1935</v>
      </c>
    </row>
    <row r="1199" spans="1:35" x14ac:dyDescent="0.25">
      <c r="A1199" s="161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161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161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161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161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161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161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161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161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161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161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161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161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2047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2049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161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2047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161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2049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161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161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2047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2049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2047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2049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161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161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2047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2049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161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2047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2049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161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2047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2049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2047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2049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161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161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161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2047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161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2049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2047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2049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161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2047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161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2049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161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161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2047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161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2049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161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161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2047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161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2049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161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161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2047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161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2049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161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161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2047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161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2049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161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161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2047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161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2049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161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161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2047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161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2049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161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161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2047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161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2049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161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161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2047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161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2049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161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161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2047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161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2049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161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161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2047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161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2049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161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161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2047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161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2049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161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161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161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2047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161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2049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161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161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2047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161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2049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161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161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2047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161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2049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161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161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2047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161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2049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161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161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161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2047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161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2049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161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61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2047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2049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161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2047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2049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2047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2049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161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2047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161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2049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161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2047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2049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161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2047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161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2049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161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2047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2049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ref="A1322:A1327" si="22">CONCATENATE(E1322,IF(ISBLANK(C1322),"",CONCATENATE("_",C1322)))</f>
        <v>RIFLEMAN_NORTHAF</v>
      </c>
      <c r="B1322" s="9" t="s">
        <v>123</v>
      </c>
      <c r="C1322" s="4" t="s">
        <v>2011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161" t="str">
        <f t="shared" si="22"/>
        <v>RIFLEMAN_NORTHAF</v>
      </c>
      <c r="B1323" s="9" t="s">
        <v>123</v>
      </c>
      <c r="C1323" s="4" t="s">
        <v>2011</v>
      </c>
      <c r="E1323" s="4" t="s">
        <v>123</v>
      </c>
      <c r="F1323" s="4" t="s">
        <v>123</v>
      </c>
      <c r="G1323" s="4" t="s">
        <v>2047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161" t="str">
        <f t="shared" si="22"/>
        <v>RIFLEMAN_NORTHAF</v>
      </c>
      <c r="B1324" s="9" t="s">
        <v>123</v>
      </c>
      <c r="C1324" s="4" t="s">
        <v>2011</v>
      </c>
      <c r="E1324" s="4" t="s">
        <v>123</v>
      </c>
      <c r="F1324" s="4" t="s">
        <v>123</v>
      </c>
      <c r="G1324" s="4" t="s">
        <v>2049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161" t="str">
        <f t="shared" si="22"/>
        <v>RIFLEMAN_NORTHAF</v>
      </c>
      <c r="B1325" s="9" t="s">
        <v>123</v>
      </c>
      <c r="C1325" s="4" t="s">
        <v>2011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2"/>
        <v>RIFLEMAN_NORTHAF</v>
      </c>
      <c r="B1326" s="9" t="s">
        <v>123</v>
      </c>
      <c r="C1326" s="4" t="s">
        <v>2011</v>
      </c>
      <c r="E1326" s="4" t="s">
        <v>123</v>
      </c>
      <c r="F1326" s="4" t="s">
        <v>123</v>
      </c>
      <c r="G1326" s="4" t="s">
        <v>2047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2"/>
        <v>RIFLEMAN_NORTHAF</v>
      </c>
      <c r="B1327" s="9" t="s">
        <v>123</v>
      </c>
      <c r="C1327" s="4" t="s">
        <v>2011</v>
      </c>
      <c r="E1327" s="4" t="s">
        <v>123</v>
      </c>
      <c r="F1327" s="4" t="s">
        <v>123</v>
      </c>
      <c r="G1327" s="4" t="s">
        <v>2049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161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161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161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161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161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161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2047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161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2049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161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2047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2049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161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161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161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161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2047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161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2049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161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161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2047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161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2049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161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161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161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161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161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161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1935</v>
      </c>
    </row>
    <row r="1354" spans="1:43" x14ac:dyDescent="0.25">
      <c r="A1354" s="161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1935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161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2047</v>
      </c>
      <c r="H1355" s="4" t="s">
        <v>470</v>
      </c>
      <c r="I1355" s="4" t="s">
        <v>1935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161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1935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161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2047</v>
      </c>
      <c r="H1357" s="4" t="s">
        <v>470</v>
      </c>
      <c r="I1357" s="4" t="s">
        <v>1935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161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2103</v>
      </c>
    </row>
    <row r="1359" spans="1:43" x14ac:dyDescent="0.25">
      <c r="A1359" s="161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161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161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161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161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161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161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161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161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161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161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161" t="str">
        <f>CONCATENATE(E1370,IF(ISBLANK(C1370),"",CONCATENATE("_",C1370)))</f>
        <v>SCOUT_NORTHAF</v>
      </c>
      <c r="B1370" s="9" t="s">
        <v>773</v>
      </c>
      <c r="C1370" s="4" t="s">
        <v>2011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161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1985</v>
      </c>
      <c r="I1371" s="4" t="s">
        <v>835</v>
      </c>
    </row>
    <row r="1372" spans="1:9" x14ac:dyDescent="0.25">
      <c r="A1372" s="161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161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161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161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161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161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161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161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161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161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161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161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161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161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161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161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161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2047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161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161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2049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161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2047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161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161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2049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161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1935</v>
      </c>
      <c r="Q1394" s="11" t="s">
        <v>1737</v>
      </c>
    </row>
    <row r="1395" spans="1:43" x14ac:dyDescent="0.25">
      <c r="A1395" s="161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161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161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1960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161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1935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161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1935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161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2047</v>
      </c>
      <c r="H1400" s="4" t="s">
        <v>949</v>
      </c>
      <c r="I1400" s="4" t="s">
        <v>1935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161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2049</v>
      </c>
      <c r="H1401" s="4" t="s">
        <v>950</v>
      </c>
      <c r="I1401" s="4" t="s">
        <v>1935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161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2048</v>
      </c>
      <c r="H1402" s="4" t="s">
        <v>471</v>
      </c>
      <c r="I1402" s="4" t="s">
        <v>1935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161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1935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161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2047</v>
      </c>
      <c r="H1404" s="4" t="s">
        <v>949</v>
      </c>
      <c r="I1404" s="4" t="s">
        <v>1935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161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2049</v>
      </c>
      <c r="H1405" s="4" t="s">
        <v>950</v>
      </c>
      <c r="I1405" s="4" t="s">
        <v>1935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161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2048</v>
      </c>
      <c r="H1406" s="4" t="s">
        <v>471</v>
      </c>
      <c r="I1406" s="4" t="s">
        <v>1935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161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161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161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161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161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2103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161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2103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161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2103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161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1941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161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161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161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161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161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161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161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161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161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161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161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161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2047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161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2049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161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161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2047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161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2049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161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2103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161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2047</v>
      </c>
      <c r="H1432" s="4" t="s">
        <v>662</v>
      </c>
      <c r="I1432" s="4" t="s">
        <v>2103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161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2103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161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2047</v>
      </c>
      <c r="H1434" s="4" t="s">
        <v>662</v>
      </c>
      <c r="I1434" s="4" t="s">
        <v>2103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2103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2047</v>
      </c>
      <c r="H1436" s="4" t="s">
        <v>662</v>
      </c>
      <c r="I1436" s="4" t="s">
        <v>2103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161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161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2103</v>
      </c>
      <c r="Q1438" s="9" t="s">
        <v>1737</v>
      </c>
      <c r="T1438" s="9"/>
      <c r="W1438" s="9"/>
      <c r="AF1438" s="9"/>
      <c r="AI1438" s="9"/>
    </row>
    <row r="1439" spans="1:43" x14ac:dyDescent="0.25">
      <c r="A1439" s="161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161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2103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161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161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161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161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161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161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161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161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161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2047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161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161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2047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161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2047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161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161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161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161" t="str">
        <f t="shared" si="24"/>
        <v>SS_CAPSULE</v>
      </c>
      <c r="B1457" s="9" t="s">
        <v>2339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161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161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161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161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161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161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161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161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161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161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161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161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161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161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161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161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161" t="str">
        <f t="shared" si="24"/>
        <v>SUBMARINE_CANADA</v>
      </c>
      <c r="B1474" s="9" t="s">
        <v>105</v>
      </c>
      <c r="C1474" s="4" t="s">
        <v>2223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161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161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161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161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161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161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161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161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161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161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2047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2049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2047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2049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161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161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161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161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161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2047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161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161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2047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161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161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2047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161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161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161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2103</v>
      </c>
      <c r="Q1502" s="9" t="s">
        <v>1737</v>
      </c>
      <c r="T1502" s="9"/>
      <c r="W1502" s="9"/>
    </row>
    <row r="1503" spans="1:43" x14ac:dyDescent="0.25">
      <c r="A1503" s="161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161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161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2103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161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2047</v>
      </c>
      <c r="H1506" s="4" t="s">
        <v>1955</v>
      </c>
      <c r="I1506" s="4" t="s">
        <v>2103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161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2103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161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2047</v>
      </c>
      <c r="H1508" s="4" t="s">
        <v>1955</v>
      </c>
      <c r="I1508" s="4" t="s">
        <v>2103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161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2103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161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2047</v>
      </c>
      <c r="H1510" s="4" t="s">
        <v>1955</v>
      </c>
      <c r="I1510" s="4" t="s">
        <v>2103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161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2047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2047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2047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2105</v>
      </c>
      <c r="I1517" s="4" t="s">
        <v>1935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161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2103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161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2047</v>
      </c>
      <c r="H1519" s="4" t="s">
        <v>1010</v>
      </c>
      <c r="I1519" s="4" t="s">
        <v>2103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161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2049</v>
      </c>
      <c r="H1520" s="4" t="s">
        <v>627</v>
      </c>
      <c r="I1520" s="4" t="s">
        <v>2103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2103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161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2047</v>
      </c>
      <c r="H1522" s="4" t="s">
        <v>1010</v>
      </c>
      <c r="I1522" s="4" t="s">
        <v>2103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2049</v>
      </c>
      <c r="H1523" s="4" t="s">
        <v>627</v>
      </c>
      <c r="I1523" s="4" t="s">
        <v>2103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1941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161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161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161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2103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161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2047</v>
      </c>
      <c r="H1532" s="4" t="s">
        <v>663</v>
      </c>
      <c r="I1532" s="4" t="s">
        <v>2103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161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2103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161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2047</v>
      </c>
      <c r="H1534" s="4" t="s">
        <v>663</v>
      </c>
      <c r="I1534" s="4" t="s">
        <v>2103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161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2103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161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2047</v>
      </c>
      <c r="H1537" s="4" t="s">
        <v>807</v>
      </c>
      <c r="I1537" s="4" t="s">
        <v>2103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161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2049</v>
      </c>
      <c r="H1538" s="4" t="s">
        <v>171</v>
      </c>
      <c r="I1538" s="4" t="s">
        <v>2103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161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2103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161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2047</v>
      </c>
      <c r="H1540" s="4" t="s">
        <v>807</v>
      </c>
      <c r="I1540" s="4" t="s">
        <v>2103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161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2049</v>
      </c>
      <c r="H1541" s="4" t="s">
        <v>171</v>
      </c>
      <c r="I1541" s="4" t="s">
        <v>2103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161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161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2047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161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2049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161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161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2047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161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2049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161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161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161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161" t="str">
        <f t="shared" si="26"/>
        <v>SWORDSMAN_NORTHAF</v>
      </c>
      <c r="B1551" s="9" t="s">
        <v>104</v>
      </c>
      <c r="C1551" s="4" t="s">
        <v>2011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161" t="str">
        <f t="shared" si="26"/>
        <v>SWORDSMAN_NORTHAF</v>
      </c>
      <c r="B1552" s="9" t="s">
        <v>104</v>
      </c>
      <c r="C1552" s="4" t="s">
        <v>2011</v>
      </c>
      <c r="E1552" s="4" t="s">
        <v>104</v>
      </c>
      <c r="F1552" s="4" t="s">
        <v>104</v>
      </c>
      <c r="G1552" s="4" t="s">
        <v>2047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161" t="str">
        <f t="shared" si="26"/>
        <v>SWORDSMAN_NORTHAF</v>
      </c>
      <c r="B1553" s="9" t="s">
        <v>104</v>
      </c>
      <c r="C1553" s="4" t="s">
        <v>2011</v>
      </c>
      <c r="E1553" s="4" t="s">
        <v>104</v>
      </c>
      <c r="F1553" s="4" t="s">
        <v>104</v>
      </c>
      <c r="G1553" s="4" t="s">
        <v>2049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161" t="str">
        <f t="shared" si="26"/>
        <v>SWORDSMAN_NORTHAF</v>
      </c>
      <c r="B1554" s="9" t="s">
        <v>104</v>
      </c>
      <c r="C1554" s="4" t="s">
        <v>2011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161" t="str">
        <f t="shared" si="26"/>
        <v>SWORDSMAN_NORTHAF</v>
      </c>
      <c r="B1555" s="9" t="s">
        <v>104</v>
      </c>
      <c r="C1555" s="4" t="s">
        <v>2011</v>
      </c>
      <c r="E1555" s="4" t="s">
        <v>104</v>
      </c>
      <c r="F1555" s="4" t="s">
        <v>104</v>
      </c>
      <c r="G1555" s="4" t="s">
        <v>2047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161" t="str">
        <f t="shared" si="26"/>
        <v>SWORDSMAN_NORTHAF</v>
      </c>
      <c r="B1556" s="9" t="s">
        <v>104</v>
      </c>
      <c r="C1556" s="4" t="s">
        <v>2011</v>
      </c>
      <c r="E1556" s="4" t="s">
        <v>104</v>
      </c>
      <c r="F1556" s="4" t="s">
        <v>104</v>
      </c>
      <c r="G1556" s="4" t="s">
        <v>2049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161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161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2103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161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2103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2103</v>
      </c>
      <c r="Q1563" s="9"/>
      <c r="Z1563" s="9"/>
    </row>
    <row r="1564" spans="1:35" x14ac:dyDescent="0.25">
      <c r="A1564" s="161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161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161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2047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161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2049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161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2048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161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2058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161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2059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161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161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2047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161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161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2047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161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161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2047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161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161" t="str">
        <f t="shared" si="26"/>
        <v>TANK_AMER</v>
      </c>
      <c r="B1579" s="9" t="s">
        <v>103</v>
      </c>
      <c r="C1579" s="4" t="s">
        <v>697</v>
      </c>
      <c r="D1579" s="4" t="s">
        <v>2223</v>
      </c>
      <c r="E1579" s="4" t="s">
        <v>103</v>
      </c>
      <c r="F1579" s="4" t="s">
        <v>103</v>
      </c>
    </row>
    <row r="1580" spans="1:43" x14ac:dyDescent="0.25">
      <c r="A1580" s="161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161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161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161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161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161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1935</v>
      </c>
    </row>
    <row r="1586" spans="1:9" x14ac:dyDescent="0.25">
      <c r="A1586" s="161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161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161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161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161" t="str">
        <f t="shared" si="26"/>
        <v>TANK_CANADA</v>
      </c>
      <c r="B1590" s="9" t="s">
        <v>103</v>
      </c>
      <c r="C1590" s="4" t="s">
        <v>2223</v>
      </c>
      <c r="E1590" s="4" t="s">
        <v>103</v>
      </c>
      <c r="F1590" s="4" t="s">
        <v>103</v>
      </c>
      <c r="G1590" s="14"/>
      <c r="H1590" s="4" t="s">
        <v>2224</v>
      </c>
      <c r="I1590" s="4" t="s">
        <v>102</v>
      </c>
    </row>
    <row r="1591" spans="1:9" x14ac:dyDescent="0.25">
      <c r="A1591" s="161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161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161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1935</v>
      </c>
    </row>
    <row r="1594" spans="1:9" x14ac:dyDescent="0.25">
      <c r="A1594" s="161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161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161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161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161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161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161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161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161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1949</v>
      </c>
      <c r="I1605" s="5" t="s">
        <v>1950</v>
      </c>
      <c r="J1605" s="6"/>
      <c r="K1605" s="7"/>
      <c r="L1605" s="13"/>
      <c r="M1605" s="8"/>
      <c r="N1605" s="13"/>
      <c r="O1605" s="13"/>
      <c r="P1605" s="13"/>
      <c r="Q1605" s="7"/>
      <c r="R1605" s="6">
        <v>0.08</v>
      </c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ref="A1606:A1669" si="27">CONCATENATE(E1606,IF(ISBLANK(C1606),"",CONCATENATE("_",C1606)))</f>
        <v>U_AMERICAN_B17</v>
      </c>
      <c r="B1606" s="9" t="s">
        <v>2340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7"/>
        <v>U_AMERICAN_MINUTEMAN</v>
      </c>
      <c r="B1607" s="9" t="s">
        <v>2341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7"/>
        <v>U_ARABIAN_CAMELARCHER</v>
      </c>
      <c r="B1608" s="9" t="s">
        <v>2342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7"/>
        <v>U_ASSYRIAN_SIEGE_TOWER</v>
      </c>
      <c r="B1609" s="9" t="s">
        <v>2343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7"/>
        <v>U_AUSTRIAN_HUSSAR</v>
      </c>
      <c r="B1610" s="9" t="s">
        <v>2344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7"/>
        <v>U_AZTEC_JAGUAR</v>
      </c>
      <c r="B1611" s="9" t="s">
        <v>2345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161" t="str">
        <f t="shared" si="27"/>
        <v>U_BABYLONIAN_BOWMAN</v>
      </c>
      <c r="B1612" s="9" t="s">
        <v>2346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161" t="str">
        <f t="shared" si="27"/>
        <v>U_BRAZILIAN_PRACINHAS</v>
      </c>
      <c r="B1613" s="9" t="s">
        <v>2385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161" t="str">
        <f t="shared" si="27"/>
        <v>U_BYZANTIUM_CATAPHRACT</v>
      </c>
      <c r="B1614" s="9" t="s">
        <v>2386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161" t="str">
        <f t="shared" si="27"/>
        <v>U_BYZANTIUM_DROMON</v>
      </c>
      <c r="B1615" s="9" t="s">
        <v>2387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161" t="str">
        <f t="shared" si="27"/>
        <v>U_CARTHAGE_AFRICANFOREST_ELEPHANT</v>
      </c>
      <c r="B1616" s="9" t="s">
        <v>2388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161" t="str">
        <f t="shared" si="27"/>
        <v>U_CARTHAGE_QUINQUEREME</v>
      </c>
      <c r="B1617" s="9" t="s">
        <v>2389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161" t="str">
        <f t="shared" si="27"/>
        <v>U_CELT_PICTISH_WARRIOR</v>
      </c>
      <c r="B1618" s="9" t="s">
        <v>2347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161" t="str">
        <f t="shared" si="27"/>
        <v>U_CHINESE_CHUKONU</v>
      </c>
      <c r="B1619" s="9" t="s">
        <v>2348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161" t="str">
        <f t="shared" si="27"/>
        <v>U_DANISH_BERSERKER</v>
      </c>
      <c r="B1620" s="9" t="s">
        <v>2349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161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161" t="str">
        <f t="shared" si="27"/>
        <v>U_DANISH_SKI_INFANTRY</v>
      </c>
      <c r="B1622" s="9" t="s">
        <v>2350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161" t="str">
        <f t="shared" si="27"/>
        <v>U_DUTCH_SEA_BEGGARS</v>
      </c>
      <c r="B1623" s="9" t="s">
        <v>2390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161" t="str">
        <f t="shared" si="27"/>
        <v>U_EGYPTIAN_WARCHARIOT</v>
      </c>
      <c r="B1624" s="9" t="s">
        <v>2351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161" t="str">
        <f t="shared" si="27"/>
        <v>U_ENGLISH_LONGBOWMAN</v>
      </c>
      <c r="B1625" s="9" t="s">
        <v>2352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161" t="str">
        <f t="shared" si="27"/>
        <v>U_ENGLISH_SHIPOFTHELINE</v>
      </c>
      <c r="B1626" s="9" t="s">
        <v>2353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161" t="str">
        <f t="shared" si="27"/>
        <v>U_ETHIOPIA_MEHAL_SEFARI</v>
      </c>
      <c r="B1627" s="9" t="s">
        <v>2391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161" t="str">
        <f t="shared" si="27"/>
        <v>U_FRENCH_FOREIGNLEGION</v>
      </c>
      <c r="B1628" s="9" t="s">
        <v>2354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161" t="str">
        <f t="shared" si="27"/>
        <v>U_FRENCH_MUSKETEER</v>
      </c>
      <c r="B1629" s="9" t="s">
        <v>2355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161" t="str">
        <f t="shared" si="27"/>
        <v>U_GERMAN_LANDSKNECHT</v>
      </c>
      <c r="B1630" s="9" t="s">
        <v>2356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161" t="str">
        <f t="shared" si="27"/>
        <v>U_GERMAN_LANDSKNECHT</v>
      </c>
      <c r="B1631" s="9" t="s">
        <v>2356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161" t="str">
        <f t="shared" si="27"/>
        <v>U_GERMAN_LANDSKNECHT</v>
      </c>
      <c r="B1632" s="9" t="s">
        <v>2356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161" t="str">
        <f t="shared" si="27"/>
        <v>U_GERMAN_PANZER</v>
      </c>
      <c r="B1633" s="9" t="s">
        <v>2357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161" t="str">
        <f t="shared" si="27"/>
        <v>U_GREEK_COMPANIONCAVALRY</v>
      </c>
      <c r="B1634" s="9" t="s">
        <v>2358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161" t="str">
        <f t="shared" si="27"/>
        <v>U_GREEK_HOPLITE</v>
      </c>
      <c r="B1635" s="9" t="s">
        <v>2359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161" t="str">
        <f t="shared" si="27"/>
        <v>U_GREEK_HOPLITE</v>
      </c>
      <c r="B1636" s="9" t="s">
        <v>2359</v>
      </c>
      <c r="E1636" s="4" t="s">
        <v>785</v>
      </c>
      <c r="F1636" s="4" t="s">
        <v>785</v>
      </c>
      <c r="G1636" s="4" t="s">
        <v>2055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161" t="str">
        <f t="shared" si="27"/>
        <v>U_GREEK_HOPLITE</v>
      </c>
      <c r="B1637" s="9" t="s">
        <v>2359</v>
      </c>
      <c r="E1637" s="4" t="s">
        <v>785</v>
      </c>
      <c r="F1637" s="4" t="s">
        <v>785</v>
      </c>
      <c r="G1637" s="4" t="s">
        <v>2047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161" t="str">
        <f t="shared" si="27"/>
        <v>U_GREEK_HOPLITE</v>
      </c>
      <c r="B1638" s="9" t="s">
        <v>2359</v>
      </c>
      <c r="E1638" s="4" t="s">
        <v>785</v>
      </c>
      <c r="F1638" s="4" t="s">
        <v>785</v>
      </c>
      <c r="G1638" s="4" t="s">
        <v>2049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161" t="str">
        <f t="shared" si="27"/>
        <v>U_GREEK_HOPLITE</v>
      </c>
      <c r="B1639" s="9" t="s">
        <v>2359</v>
      </c>
      <c r="E1639" s="4" t="s">
        <v>785</v>
      </c>
      <c r="F1639" s="4" t="s">
        <v>785</v>
      </c>
      <c r="G1639" s="4" t="s">
        <v>2055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161" t="str">
        <f t="shared" si="27"/>
        <v>U_GREEK_HOPLITE</v>
      </c>
      <c r="B1640" s="9" t="s">
        <v>2359</v>
      </c>
      <c r="E1640" s="4" t="s">
        <v>785</v>
      </c>
      <c r="F1640" s="4" t="s">
        <v>785</v>
      </c>
      <c r="G1640" s="4" t="s">
        <v>2047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161" t="str">
        <f t="shared" si="27"/>
        <v>U_GREEK_HOPLITE</v>
      </c>
      <c r="B1641" s="9" t="s">
        <v>2359</v>
      </c>
      <c r="E1641" s="4" t="s">
        <v>785</v>
      </c>
      <c r="F1641" s="4" t="s">
        <v>785</v>
      </c>
      <c r="G1641" s="4" t="s">
        <v>2049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161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161" t="str">
        <f t="shared" si="27"/>
        <v>U_HUNS_BATTERING_RAM</v>
      </c>
      <c r="B1643" s="9" t="s">
        <v>2392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161" t="str">
        <f t="shared" si="27"/>
        <v>U_HUNS_BATTERING_RAM</v>
      </c>
      <c r="B1644" s="9" t="s">
        <v>2392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161" t="str">
        <f t="shared" si="27"/>
        <v>U_HUNS_HORSE_ARCHER</v>
      </c>
      <c r="B1645" s="9" t="s">
        <v>2393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161" t="str">
        <f t="shared" si="27"/>
        <v>U_INCAN_SLINGER</v>
      </c>
      <c r="B1646" s="9" t="s">
        <v>2360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161" t="str">
        <f t="shared" si="27"/>
        <v>U_INDIAN_WARELEPHANT</v>
      </c>
      <c r="B1647" s="9" t="s">
        <v>2361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161" t="str">
        <f t="shared" si="27"/>
        <v>U_INDONESIAN_KRIS_SWORDSMAN</v>
      </c>
      <c r="B1648" s="9" t="s">
        <v>2394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161" t="str">
        <f t="shared" si="27"/>
        <v>U_IROQUOIAN_MOHAWKWARRIOR</v>
      </c>
      <c r="B1649" s="9" t="s">
        <v>2362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161" t="str">
        <f t="shared" si="27"/>
        <v>U_JAPANESE_SAMURAI</v>
      </c>
      <c r="B1650" s="9" t="s">
        <v>2363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161" t="str">
        <f t="shared" si="27"/>
        <v>U_JAPANESE_SAMURAI</v>
      </c>
      <c r="B1651" s="9" t="s">
        <v>2363</v>
      </c>
      <c r="E1651" s="4" t="s">
        <v>786</v>
      </c>
      <c r="F1651" s="4" t="s">
        <v>786</v>
      </c>
      <c r="G1651" s="4" t="s">
        <v>2055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161" t="str">
        <f t="shared" si="27"/>
        <v>U_JAPANESE_SAMURAI</v>
      </c>
      <c r="B1652" s="9" t="s">
        <v>2363</v>
      </c>
      <c r="E1652" s="4" t="s">
        <v>786</v>
      </c>
      <c r="F1652" s="4" t="s">
        <v>786</v>
      </c>
      <c r="G1652" s="4" t="s">
        <v>2047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161" t="str">
        <f t="shared" si="27"/>
        <v>U_JAPANESE_SAMURAI</v>
      </c>
      <c r="B1653" s="9" t="s">
        <v>2363</v>
      </c>
      <c r="E1653" s="4" t="s">
        <v>786</v>
      </c>
      <c r="F1653" s="4" t="s">
        <v>786</v>
      </c>
      <c r="G1653" s="4" t="s">
        <v>2055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161" t="str">
        <f t="shared" si="27"/>
        <v>U_JAPANESE_SAMURAI</v>
      </c>
      <c r="B1654" s="9" t="s">
        <v>2363</v>
      </c>
      <c r="E1654" s="4" t="s">
        <v>786</v>
      </c>
      <c r="F1654" s="4" t="s">
        <v>786</v>
      </c>
      <c r="G1654" s="4" t="s">
        <v>2047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161" t="str">
        <f t="shared" si="27"/>
        <v>U_JAPANESE_SAMURAI</v>
      </c>
      <c r="B1655" s="9" t="s">
        <v>2363</v>
      </c>
      <c r="E1655" s="4" t="s">
        <v>786</v>
      </c>
      <c r="F1655" s="4" t="s">
        <v>786</v>
      </c>
      <c r="G1655" s="4" t="s">
        <v>2055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161" t="str">
        <f t="shared" si="27"/>
        <v>U_JAPANESE_SAMURAI</v>
      </c>
      <c r="B1656" s="9" t="s">
        <v>2363</v>
      </c>
      <c r="E1656" s="4" t="s">
        <v>786</v>
      </c>
      <c r="F1656" s="4" t="s">
        <v>786</v>
      </c>
      <c r="G1656" s="4" t="s">
        <v>2047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161" t="str">
        <f t="shared" si="27"/>
        <v>U_JAPANESE_SAMURAI</v>
      </c>
      <c r="B1657" s="9" t="s">
        <v>2363</v>
      </c>
      <c r="E1657" s="4" t="s">
        <v>786</v>
      </c>
      <c r="F1657" s="4" t="s">
        <v>786</v>
      </c>
      <c r="G1657" s="4" t="s">
        <v>2055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161" t="str">
        <f t="shared" si="27"/>
        <v>U_JAPANESE_SAMURAI</v>
      </c>
      <c r="B1658" s="9" t="s">
        <v>2363</v>
      </c>
      <c r="E1658" s="4" t="s">
        <v>786</v>
      </c>
      <c r="F1658" s="4" t="s">
        <v>786</v>
      </c>
      <c r="G1658" s="4" t="s">
        <v>2047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161" t="str">
        <f t="shared" si="27"/>
        <v>U_JAPANESE_SAMURAI</v>
      </c>
      <c r="B1659" s="9" t="s">
        <v>2363</v>
      </c>
      <c r="E1659" s="4" t="s">
        <v>786</v>
      </c>
      <c r="F1659" s="4" t="s">
        <v>786</v>
      </c>
      <c r="G1659" s="4" t="s">
        <v>2055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161" t="str">
        <f t="shared" si="27"/>
        <v>U_JAPANESE_ZERO</v>
      </c>
      <c r="B1660" s="9" t="s">
        <v>2364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161" t="str">
        <f t="shared" si="27"/>
        <v>U_KOREAN_HWACHA</v>
      </c>
      <c r="B1661" s="9" t="s">
        <v>2365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161" t="str">
        <f t="shared" si="27"/>
        <v>U_KOREAN_TURTLESHIP</v>
      </c>
      <c r="B1662" s="9" t="s">
        <v>2395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161" t="str">
        <f t="shared" si="27"/>
        <v>U_MAYAN_ATLALIST</v>
      </c>
      <c r="B1663" s="9" t="s">
        <v>2366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161" t="str">
        <f t="shared" si="27"/>
        <v>U_MONGOLIAN_KESHIK</v>
      </c>
      <c r="B1664" s="9" t="s">
        <v>2367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161" t="str">
        <f t="shared" si="27"/>
        <v>U_MORROCAN_BERBER_CAVALRY</v>
      </c>
      <c r="B1665" s="9" t="s">
        <v>2397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161" t="str">
        <f t="shared" si="27"/>
        <v>U_OTTOMAN_JANISSARY</v>
      </c>
      <c r="B1666" s="9" t="s">
        <v>2368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161" t="str">
        <f t="shared" si="27"/>
        <v>U_OTTOMAN_SIPAHI</v>
      </c>
      <c r="B1667" s="9" t="s">
        <v>2369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161" t="str">
        <f t="shared" si="27"/>
        <v>U_PERSIAN_IMMORTAL</v>
      </c>
      <c r="B1668" s="9" t="s">
        <v>2370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27"/>
        <v>U_POLISH_WINGED_HUSSAR</v>
      </c>
      <c r="B1669" s="9" t="s">
        <v>2371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161" t="str">
        <f t="shared" ref="A1670:A1751" si="28">CONCATENATE(E1670,IF(ISBLANK(C1670),"",CONCATENATE("_",C1670)))</f>
        <v>U_POLYNESIAN_MAORI_WARRIOR</v>
      </c>
      <c r="B1670" s="9" t="s">
        <v>2372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161" t="str">
        <f t="shared" si="28"/>
        <v>U_PORTUGUESE_CARRACK</v>
      </c>
      <c r="B1672" s="9" t="s">
        <v>2398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161" t="str">
        <f t="shared" si="28"/>
        <v>U_ROMAN_BALLISTA</v>
      </c>
      <c r="B1673" s="9" t="s">
        <v>2373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161" t="str">
        <f t="shared" si="28"/>
        <v>U_ROMAN_LEGION</v>
      </c>
      <c r="B1674" s="9" t="s">
        <v>2374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161" t="str">
        <f t="shared" si="28"/>
        <v>U_RUSSIAN_COSSACK</v>
      </c>
      <c r="B1675" s="9" t="s">
        <v>2375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161" t="str">
        <f t="shared" si="28"/>
        <v>U_RUSSIAN_COSSACK</v>
      </c>
      <c r="B1676" s="9" t="s">
        <v>2375</v>
      </c>
      <c r="C1676" s="5"/>
      <c r="D1676" s="5"/>
      <c r="E1676" s="5" t="s">
        <v>1593</v>
      </c>
      <c r="F1676" s="5" t="s">
        <v>1593</v>
      </c>
      <c r="G1676" s="5" t="s">
        <v>2047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161" t="str">
        <f t="shared" si="28"/>
        <v>U_RUSSIAN_COSSACK</v>
      </c>
      <c r="B1677" s="9" t="s">
        <v>2375</v>
      </c>
      <c r="C1677" s="5"/>
      <c r="D1677" s="5"/>
      <c r="E1677" s="5" t="s">
        <v>1593</v>
      </c>
      <c r="F1677" s="5" t="s">
        <v>1593</v>
      </c>
      <c r="G1677" s="5" t="s">
        <v>2049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161" t="str">
        <f t="shared" si="28"/>
        <v>U_RUSSIAN_COSSACK</v>
      </c>
      <c r="B1678" s="9" t="s">
        <v>2375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161" t="str">
        <f t="shared" si="28"/>
        <v>U_RUSSIAN_COSSACK</v>
      </c>
      <c r="B1679" s="9" t="s">
        <v>2375</v>
      </c>
      <c r="C1679" s="5"/>
      <c r="D1679" s="5"/>
      <c r="E1679" s="5" t="s">
        <v>1593</v>
      </c>
      <c r="F1679" s="5" t="s">
        <v>1593</v>
      </c>
      <c r="G1679" s="5" t="s">
        <v>2047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161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161" t="str">
        <f t="shared" si="28"/>
        <v>U_SHOSHONE_COMANCHE_RIDERS</v>
      </c>
      <c r="B1681" s="9" t="s">
        <v>2376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161" t="str">
        <f t="shared" si="28"/>
        <v>U_SHOSHONE_PATHFINDER</v>
      </c>
      <c r="B1682" s="9" t="s">
        <v>2377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161" t="str">
        <f t="shared" si="28"/>
        <v>U_SIAMESE_WARELEPHANT</v>
      </c>
      <c r="B1683" s="9" t="s">
        <v>2378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161" t="str">
        <f t="shared" si="28"/>
        <v>U_SONGHAI_MUSLIMCAVALRY</v>
      </c>
      <c r="B1684" s="9" t="s">
        <v>2379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161" t="str">
        <f t="shared" si="28"/>
        <v>U_SPANISH_CONQUISTADOR</v>
      </c>
      <c r="B1685" s="9" t="s">
        <v>2380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161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0.13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161" t="str">
        <f t="shared" si="28"/>
        <v>U_SPANISH_TERCIO</v>
      </c>
      <c r="B1687" s="9" t="s">
        <v>2381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161" t="str">
        <f t="shared" si="28"/>
        <v>U_SPANISH_TERCIO</v>
      </c>
      <c r="B1688" s="9" t="s">
        <v>2381</v>
      </c>
      <c r="C1688" s="5"/>
      <c r="D1688" s="5"/>
      <c r="E1688" s="5" t="s">
        <v>1601</v>
      </c>
      <c r="F1688" s="5" t="s">
        <v>1601</v>
      </c>
      <c r="G1688" s="5" t="s">
        <v>2061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161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161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161" t="str">
        <f t="shared" si="28"/>
        <v>U_SWEDISH_CAROLEAN</v>
      </c>
      <c r="B1691" s="9" t="s">
        <v>2382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161" t="str">
        <f t="shared" si="28"/>
        <v>U_SWEDISH_HAKKAPELITTA</v>
      </c>
      <c r="B1692" s="9" t="s">
        <v>2399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161" t="str">
        <f t="shared" si="28"/>
        <v>U_VENETIAN_GALLEASS</v>
      </c>
      <c r="B1693" s="9" t="s">
        <v>2383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161" t="str">
        <f t="shared" si="28"/>
        <v>U_VENETIAN_MERCHANT</v>
      </c>
      <c r="B1694" s="9" t="s">
        <v>2384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161" t="str">
        <f t="shared" si="28"/>
        <v>U_ZULU_IMPI_WARRIOR</v>
      </c>
      <c r="B1695" s="9" t="s">
        <v>2336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28"/>
        <v>U_ZULU_IMPI_WARRIOR</v>
      </c>
      <c r="B1696" s="9" t="s">
        <v>2336</v>
      </c>
      <c r="C1696" s="5"/>
      <c r="D1696" s="5"/>
      <c r="E1696" s="5" t="s">
        <v>1608</v>
      </c>
      <c r="F1696" s="5" t="s">
        <v>1608</v>
      </c>
      <c r="G1696" s="5" t="s">
        <v>2047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161" t="str">
        <f t="shared" si="28"/>
        <v>U_ZULU_IMPI_WARRIOR</v>
      </c>
      <c r="B1697" s="9" t="s">
        <v>2336</v>
      </c>
      <c r="C1697" s="5"/>
      <c r="D1697" s="5"/>
      <c r="E1697" s="5" t="s">
        <v>1608</v>
      </c>
      <c r="F1697" s="5" t="s">
        <v>1608</v>
      </c>
      <c r="G1697" s="5" t="s">
        <v>2049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161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161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28"/>
        <v>WW1_BOMBER</v>
      </c>
      <c r="B1708" s="9" t="s">
        <v>2401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28"/>
        <v>WW1_BOMBER_AUSTRALIA</v>
      </c>
      <c r="B1709" s="9" t="s">
        <v>2401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28"/>
        <v>WW1_BOMBER_CANADA</v>
      </c>
      <c r="B1710" s="9" t="s">
        <v>2401</v>
      </c>
      <c r="C1710" s="5" t="s">
        <v>2223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28"/>
        <v>WW1_BOMBER_CELTS</v>
      </c>
      <c r="B1711" s="9" t="s">
        <v>2401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28"/>
        <v>WW1_BOMBER_ENGLAND</v>
      </c>
      <c r="B1712" s="9" t="s">
        <v>2401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2241</v>
      </c>
      <c r="I1712" s="5" t="s">
        <v>2239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28"/>
        <v>WW1_FIGHTER</v>
      </c>
      <c r="B1713" s="9" t="s">
        <v>2402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28"/>
        <v>WW1_FIGHTER_AMER</v>
      </c>
      <c r="B1714" s="9" t="s">
        <v>2402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28"/>
        <v>WW1_FIGHTER_ASIA</v>
      </c>
      <c r="B1715" s="9" t="s">
        <v>2402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161" t="str">
        <f t="shared" si="28"/>
        <v>WW1_FIGHTER_CHINA</v>
      </c>
      <c r="B1716" s="9" t="s">
        <v>2402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161" t="str">
        <f t="shared" si="28"/>
        <v>WW1_FIGHTER_JAPAN</v>
      </c>
      <c r="B1717" s="9" t="s">
        <v>2402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161" t="str">
        <f t="shared" si="28"/>
        <v>WW1_FIGHTER_CENTAS</v>
      </c>
      <c r="B1718" s="9" t="s">
        <v>2402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161" t="str">
        <f t="shared" si="28"/>
        <v>WW1_FIGHTER_HUNS</v>
      </c>
      <c r="B1719" s="9" t="s">
        <v>2402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161" t="str">
        <f t="shared" si="28"/>
        <v>WW1_FIGHTER_EASTEU</v>
      </c>
      <c r="B1720" s="9" t="s">
        <v>2402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161" t="str">
        <f t="shared" si="28"/>
        <v>WW1_FIGHTER_RUSSIA</v>
      </c>
      <c r="B1721" s="9" t="s">
        <v>2402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161" t="str">
        <f t="shared" si="28"/>
        <v>WW1_FIGHTER_AMERICA</v>
      </c>
      <c r="B1722" s="9" t="s">
        <v>2402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161" t="str">
        <f t="shared" si="28"/>
        <v>WW1_FIGHTER_AUSTRALIA</v>
      </c>
      <c r="B1723" s="9" t="s">
        <v>2402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161" t="str">
        <f t="shared" si="28"/>
        <v>WW1_FIGHTER_AUSTRIA</v>
      </c>
      <c r="B1724" s="9" t="s">
        <v>2402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161" t="str">
        <f t="shared" si="28"/>
        <v>WW1_FIGHTER_BELGIUM</v>
      </c>
      <c r="B1725" s="9" t="s">
        <v>2402</v>
      </c>
      <c r="C1725" s="4" t="s">
        <v>704</v>
      </c>
      <c r="E1725" s="4" t="s">
        <v>779</v>
      </c>
      <c r="F1725" s="4" t="s">
        <v>779</v>
      </c>
      <c r="G1725" s="14"/>
      <c r="H1725" s="4" t="s">
        <v>2238</v>
      </c>
      <c r="I1725" s="4" t="s">
        <v>2239</v>
      </c>
    </row>
    <row r="1726" spans="1:43" x14ac:dyDescent="0.25">
      <c r="A1726" s="161" t="str">
        <f t="shared" si="28"/>
        <v>WW1_FIGHTER_CANADA</v>
      </c>
      <c r="B1726" s="9" t="s">
        <v>2402</v>
      </c>
      <c r="C1726" s="4" t="s">
        <v>2223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161" t="str">
        <f t="shared" si="28"/>
        <v>WW1_FIGHTER_CELTS</v>
      </c>
      <c r="B1727" s="9" t="s">
        <v>2402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161" t="str">
        <f t="shared" si="28"/>
        <v>WW1_FIGHTER_ENGLAND</v>
      </c>
      <c r="B1728" s="9" t="s">
        <v>2402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161" t="str">
        <f t="shared" si="28"/>
        <v>WW1_FIGHTER_FRANCE</v>
      </c>
      <c r="B1729" s="9" t="s">
        <v>2402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161" t="str">
        <f t="shared" si="28"/>
        <v>WW1_FIGHTER_GERMANY</v>
      </c>
      <c r="B1730" s="9" t="s">
        <v>2402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161" t="str">
        <f t="shared" si="28"/>
        <v>WW1_FIGHTER_SWISS</v>
      </c>
      <c r="B1731" s="9" t="s">
        <v>2402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161" t="str">
        <f t="shared" si="28"/>
        <v>WW1_FIGHTER_MED</v>
      </c>
      <c r="B1732" s="9" t="s">
        <v>2402</v>
      </c>
      <c r="C1732" s="4" t="s">
        <v>692</v>
      </c>
      <c r="E1732" s="4" t="s">
        <v>779</v>
      </c>
      <c r="F1732" s="4" t="s">
        <v>779</v>
      </c>
      <c r="G1732" s="14"/>
      <c r="H1732" s="4" t="s">
        <v>1923</v>
      </c>
      <c r="I1732" s="4" t="s">
        <v>1924</v>
      </c>
    </row>
    <row r="1733" spans="1:43" x14ac:dyDescent="0.25">
      <c r="A1733" s="161" t="str">
        <f t="shared" si="28"/>
        <v>WW1_FIGHTER_ROME</v>
      </c>
      <c r="B1733" s="9" t="s">
        <v>2402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161" t="str">
        <f t="shared" si="28"/>
        <v>WW1_FIGHTER_OTTOMAN</v>
      </c>
      <c r="B1734" s="9" t="s">
        <v>2402</v>
      </c>
      <c r="C1734" s="4" t="s">
        <v>1037</v>
      </c>
      <c r="E1734" s="4" t="s">
        <v>779</v>
      </c>
      <c r="F1734" s="4" t="s">
        <v>779</v>
      </c>
      <c r="G1734" s="14"/>
      <c r="H1734" s="4" t="s">
        <v>2240</v>
      </c>
      <c r="I1734" s="4" t="s">
        <v>2239</v>
      </c>
    </row>
    <row r="1735" spans="1:43" x14ac:dyDescent="0.25">
      <c r="A1735" s="161" t="str">
        <f t="shared" si="28"/>
        <v>WW1_FIGHTER_SOUTHAM</v>
      </c>
      <c r="B1735" s="9" t="s">
        <v>2402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161" t="str">
        <f t="shared" si="28"/>
        <v>WW1_FIGHTER_SOUTHAS</v>
      </c>
      <c r="B1736" s="9" t="s">
        <v>2402</v>
      </c>
      <c r="C1736" s="4" t="s">
        <v>695</v>
      </c>
      <c r="E1736" s="4" t="s">
        <v>779</v>
      </c>
      <c r="F1736" s="4" t="s">
        <v>779</v>
      </c>
      <c r="G1736" s="14"/>
      <c r="H1736" s="4" t="s">
        <v>1925</v>
      </c>
      <c r="I1736" s="4" t="s">
        <v>1924</v>
      </c>
    </row>
    <row r="1737" spans="1:43" x14ac:dyDescent="0.25">
      <c r="A1737" s="161" t="str">
        <f t="shared" si="28"/>
        <v>WW1_INFANTRY</v>
      </c>
      <c r="B1737" s="9" t="s">
        <v>2403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28"/>
        <v>WW1_INFANTRY_AMER</v>
      </c>
      <c r="B1738" s="9" t="s">
        <v>2403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161" t="str">
        <f t="shared" si="28"/>
        <v>WW1_INFANTRY_JAPAN</v>
      </c>
      <c r="B1739" s="9" t="s">
        <v>2403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161" t="str">
        <f t="shared" si="28"/>
        <v>WW1_INFANTRY_CENTAS</v>
      </c>
      <c r="B1740" s="9" t="s">
        <v>2403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167"/>
    </row>
    <row r="1741" spans="1:43" x14ac:dyDescent="0.25">
      <c r="A1741" s="161" t="str">
        <f t="shared" si="28"/>
        <v>WW1_INFANTRY_HUNS</v>
      </c>
      <c r="B1741" s="9" t="s">
        <v>2403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167"/>
    </row>
    <row r="1742" spans="1:43" x14ac:dyDescent="0.25">
      <c r="A1742" s="161" t="str">
        <f t="shared" si="28"/>
        <v>WW1_INFANTRY_EASTEU</v>
      </c>
      <c r="B1742" s="9" t="s">
        <v>2403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161" t="str">
        <f t="shared" si="28"/>
        <v>WW1_INFANTRY_AMERICA</v>
      </c>
      <c r="B1743" s="9" t="s">
        <v>2403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161" t="str">
        <f t="shared" si="28"/>
        <v>WW1_INFANTRY_AUSTRIA</v>
      </c>
      <c r="B1744" s="9" t="s">
        <v>2403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161" t="str">
        <f t="shared" si="28"/>
        <v>WW1_INFANTRY_CELTS</v>
      </c>
      <c r="B1745" s="9" t="s">
        <v>2403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161" t="str">
        <f t="shared" si="28"/>
        <v>WW1_INFANTRY_ENGLAND</v>
      </c>
      <c r="B1746" s="9" t="s">
        <v>2403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161" t="str">
        <f t="shared" si="28"/>
        <v>WW1_INFANTRY_FRANCE</v>
      </c>
      <c r="B1747" s="9" t="s">
        <v>2403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161" t="str">
        <f t="shared" si="28"/>
        <v>WW1_INFANTRY_GERMANY</v>
      </c>
      <c r="B1748" s="9" t="s">
        <v>2403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161" t="str">
        <f t="shared" si="28"/>
        <v>WW1_INFANTRY_MED</v>
      </c>
      <c r="B1749" s="9" t="s">
        <v>2403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161" t="str">
        <f t="shared" si="28"/>
        <v>WW1_INFANTRY_ROME</v>
      </c>
      <c r="B1750" s="9" t="s">
        <v>2403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161" t="str">
        <f t="shared" si="28"/>
        <v>WW1_INFANTRY_MIDEAST</v>
      </c>
      <c r="B1751" s="9" t="s">
        <v>2403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161" t="str">
        <f t="shared" ref="A1752:A1780" si="29">CONCATENATE(E1752,IF(ISBLANK(C1752),"",CONCATENATE("_",C1752)))</f>
        <v>WW1_INFANTRY_SOUTHAS</v>
      </c>
      <c r="B1752" s="9" t="s">
        <v>2403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161" t="str">
        <f t="shared" si="29"/>
        <v>WW1_TANK</v>
      </c>
      <c r="B1753" s="9" t="s">
        <v>2400</v>
      </c>
      <c r="C1753" s="5"/>
      <c r="D1753" s="5"/>
      <c r="E1753" s="5" t="s">
        <v>781</v>
      </c>
      <c r="F1753" s="5" t="s">
        <v>781</v>
      </c>
      <c r="G1753" s="5"/>
      <c r="H1753" s="5" t="s">
        <v>2242</v>
      </c>
      <c r="I1753" s="5" t="s">
        <v>2239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29"/>
        <v>WW1_TANK_AMER</v>
      </c>
      <c r="B1754" s="9" t="s">
        <v>2400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29"/>
        <v>WW1_TANK_CHINA</v>
      </c>
      <c r="B1755" s="9" t="s">
        <v>2400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161" t="str">
        <f t="shared" si="29"/>
        <v>WW1_TANK_JAPAN</v>
      </c>
      <c r="B1756" s="9" t="s">
        <v>2400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161" t="str">
        <f t="shared" si="29"/>
        <v>WW1_TANK_HUNS</v>
      </c>
      <c r="B1757" s="9" t="s">
        <v>2400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161" t="str">
        <f t="shared" si="29"/>
        <v>WW1_TANK_EASTEU</v>
      </c>
      <c r="B1758" s="9" t="s">
        <v>2400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161" t="str">
        <f t="shared" si="29"/>
        <v>WW1_TANK_POLAND</v>
      </c>
      <c r="B1759" s="9" t="s">
        <v>2400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161" t="str">
        <f t="shared" si="29"/>
        <v>WW1_TANK_RUSSIA</v>
      </c>
      <c r="B1760" s="9" t="s">
        <v>2400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161" t="str">
        <f t="shared" si="29"/>
        <v>WW1_TANK_AMERICA</v>
      </c>
      <c r="B1761" s="9" t="s">
        <v>2400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161" t="str">
        <f t="shared" si="29"/>
        <v>WW1_TANK_AMERICA</v>
      </c>
      <c r="B1762" s="9" t="s">
        <v>2400</v>
      </c>
      <c r="C1762" s="4" t="s">
        <v>699</v>
      </c>
      <c r="E1762" s="4" t="s">
        <v>781</v>
      </c>
      <c r="F1762" s="4" t="s">
        <v>781</v>
      </c>
      <c r="G1762" s="14"/>
      <c r="H1762" s="4" t="s">
        <v>2243</v>
      </c>
      <c r="I1762" s="4" t="s">
        <v>2239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161" t="str">
        <f t="shared" si="29"/>
        <v>WW1_TANK_AUSTRALIA</v>
      </c>
      <c r="B1763" s="9" t="s">
        <v>2400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161" t="str">
        <f t="shared" si="29"/>
        <v>WW1_TANK_AUSTRIA</v>
      </c>
      <c r="B1764" s="9" t="s">
        <v>2400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161" t="str">
        <f t="shared" si="29"/>
        <v>WW1_TANK_BELGIUM</v>
      </c>
      <c r="B1765" s="9" t="s">
        <v>2400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161" t="str">
        <f t="shared" si="29"/>
        <v>WW1_TANK_CANADA</v>
      </c>
      <c r="B1766" s="9" t="s">
        <v>2400</v>
      </c>
      <c r="C1766" s="4" t="s">
        <v>2223</v>
      </c>
      <c r="E1766" s="4" t="s">
        <v>781</v>
      </c>
      <c r="F1766" s="4" t="s">
        <v>781</v>
      </c>
      <c r="G1766" s="14"/>
      <c r="H1766" s="4" t="s">
        <v>2225</v>
      </c>
      <c r="I1766" s="4" t="s">
        <v>120</v>
      </c>
      <c r="R1766" s="11">
        <v>0.13</v>
      </c>
    </row>
    <row r="1767" spans="1:26" x14ac:dyDescent="0.25">
      <c r="A1767" s="161" t="str">
        <f t="shared" si="29"/>
        <v>WW1_TANK_CELTS</v>
      </c>
      <c r="B1767" s="9" t="s">
        <v>2400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161" t="str">
        <f t="shared" si="29"/>
        <v>WW1_TANK_ENGLAND</v>
      </c>
      <c r="B1768" s="9" t="s">
        <v>2400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2222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161" t="str">
        <f>CONCATENATE(E1769,IF(ISBLANK(C1769),"",CONCATENATE("_",C1769)))</f>
        <v>WW1_TANK_ENGLAND</v>
      </c>
      <c r="B1769" s="9" t="s">
        <v>2400</v>
      </c>
      <c r="C1769" s="4" t="s">
        <v>713</v>
      </c>
      <c r="E1769" s="4" t="s">
        <v>781</v>
      </c>
      <c r="F1769" s="4" t="s">
        <v>781</v>
      </c>
      <c r="G1769" s="14" t="s">
        <v>2047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161" t="str">
        <f t="shared" si="29"/>
        <v>WW1_TANK_FRANCE</v>
      </c>
      <c r="B1770" s="9" t="s">
        <v>2400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161" t="str">
        <f t="shared" si="29"/>
        <v>WW1_TANK_FRANCE</v>
      </c>
      <c r="B1771" s="9" t="s">
        <v>2400</v>
      </c>
      <c r="C1771" s="4" t="s">
        <v>715</v>
      </c>
      <c r="E1771" s="4" t="s">
        <v>781</v>
      </c>
      <c r="F1771" s="4" t="s">
        <v>781</v>
      </c>
      <c r="G1771" s="4" t="s">
        <v>2047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161" t="str">
        <f t="shared" si="29"/>
        <v>WW1_TANK_FRANCE</v>
      </c>
      <c r="B1772" s="9" t="s">
        <v>2400</v>
      </c>
      <c r="C1772" s="4" t="s">
        <v>715</v>
      </c>
      <c r="E1772" s="4" t="s">
        <v>781</v>
      </c>
      <c r="F1772" s="4" t="s">
        <v>781</v>
      </c>
      <c r="G1772" s="4" t="s">
        <v>2049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161" t="str">
        <f t="shared" si="29"/>
        <v>WW1_TANK_GERMANY</v>
      </c>
      <c r="B1773" s="9" t="s">
        <v>2400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161" t="str">
        <f t="shared" si="29"/>
        <v>WW1_TANK_GERMANY</v>
      </c>
      <c r="B1774" s="9" t="s">
        <v>2400</v>
      </c>
      <c r="C1774" s="4" t="s">
        <v>717</v>
      </c>
      <c r="E1774" s="4" t="s">
        <v>781</v>
      </c>
      <c r="F1774" s="4" t="s">
        <v>781</v>
      </c>
      <c r="G1774" s="14" t="s">
        <v>2047</v>
      </c>
      <c r="H1774" s="4" t="s">
        <v>2228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161" t="str">
        <f t="shared" si="29"/>
        <v>WW1_TANK_BRAZIL</v>
      </c>
      <c r="B1775" s="9" t="s">
        <v>2400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161" t="str">
        <f t="shared" si="29"/>
        <v>WW1_TANK_GREECE</v>
      </c>
      <c r="B1776" s="9" t="s">
        <v>2400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161" t="str">
        <f t="shared" si="29"/>
        <v>WW1_TANK_ROME</v>
      </c>
      <c r="B1777" s="9" t="s">
        <v>2400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161" t="str">
        <f t="shared" si="29"/>
        <v>WW1_TANK_SPAIN</v>
      </c>
      <c r="B1778" s="9" t="s">
        <v>2400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161" t="str">
        <f t="shared" si="29"/>
        <v>WW1_TANK_SWEDEN</v>
      </c>
      <c r="B1779" s="9" t="s">
        <v>2400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161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161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161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161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161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161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2047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161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161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2047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161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161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161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161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161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2230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161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2047</v>
      </c>
      <c r="H1794" s="4" t="s">
        <v>2231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161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2230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161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2047</v>
      </c>
      <c r="H1796" s="4" t="s">
        <v>2231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161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161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161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161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161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161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161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161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161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161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161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2229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161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2047</v>
      </c>
      <c r="H1808" s="4" t="s">
        <v>2232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161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2229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161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2047</v>
      </c>
      <c r="H1810" s="4" t="s">
        <v>2232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161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161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161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AUTOCHTHON</v>
      </c>
      <c r="C1815" s="5"/>
      <c r="D1815" s="5"/>
      <c r="E1815" s="5" t="s">
        <v>2086</v>
      </c>
      <c r="F1815" s="5" t="s">
        <v>2086</v>
      </c>
      <c r="G1815" s="5"/>
      <c r="H1815" s="5" t="s">
        <v>2091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161" t="str">
        <f t="shared" ref="A1816:A1882" si="31">CONCATENATE(E1816,IF(ISBLANK(C1816),"",CONCATENATE("_",C1816)))</f>
        <v>CAVEMAN</v>
      </c>
      <c r="B1816" s="9"/>
      <c r="C1816" s="5"/>
      <c r="D1816" s="5"/>
      <c r="E1816" s="5" t="s">
        <v>2087</v>
      </c>
      <c r="F1816" s="5" t="s">
        <v>2087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161" t="str">
        <f t="shared" si="31"/>
        <v>CAVEMAN</v>
      </c>
      <c r="B1817" s="9"/>
      <c r="C1817" s="5"/>
      <c r="D1817" s="5"/>
      <c r="E1817" s="5" t="s">
        <v>2087</v>
      </c>
      <c r="F1817" s="5" t="s">
        <v>2087</v>
      </c>
      <c r="G1817" s="5" t="s">
        <v>2047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161" t="str">
        <f t="shared" si="31"/>
        <v>CAVEMAN</v>
      </c>
      <c r="B1818" s="9"/>
      <c r="C1818" s="5"/>
      <c r="D1818" s="5"/>
      <c r="E1818" s="5" t="s">
        <v>2087</v>
      </c>
      <c r="F1818" s="5" t="s">
        <v>2087</v>
      </c>
      <c r="G1818" s="5" t="s">
        <v>2049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161" t="str">
        <f t="shared" si="31"/>
        <v>CAVEMAN</v>
      </c>
      <c r="B1819" s="9"/>
      <c r="C1819" s="5"/>
      <c r="D1819" s="5"/>
      <c r="E1819" s="5" t="s">
        <v>2087</v>
      </c>
      <c r="F1819" s="5" t="s">
        <v>2087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161" t="str">
        <f t="shared" si="31"/>
        <v>CAVEMAN</v>
      </c>
      <c r="B1820" s="9"/>
      <c r="C1820" s="5"/>
      <c r="D1820" s="5"/>
      <c r="E1820" s="5" t="s">
        <v>2087</v>
      </c>
      <c r="F1820" s="5" t="s">
        <v>2087</v>
      </c>
      <c r="G1820" s="5" t="s">
        <v>2047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161" t="str">
        <f t="shared" si="31"/>
        <v>CAVEMAN</v>
      </c>
      <c r="B1821" s="9"/>
      <c r="C1821" s="5"/>
      <c r="D1821" s="5"/>
      <c r="E1821" s="5" t="s">
        <v>2087</v>
      </c>
      <c r="F1821" s="5" t="s">
        <v>2087</v>
      </c>
      <c r="G1821" s="5" t="s">
        <v>2049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>CONCATENATE(E1822,IF(ISBLANK(C1822),"",CONCATENATE("_",C1822)))</f>
        <v>CAVEMAN_AFRI</v>
      </c>
      <c r="C1822" s="5" t="s">
        <v>694</v>
      </c>
      <c r="D1822" s="5"/>
      <c r="E1822" s="5" t="s">
        <v>2087</v>
      </c>
      <c r="F1822" s="5" t="s">
        <v>2087</v>
      </c>
      <c r="G1822" s="5"/>
      <c r="H1822" s="5" t="s">
        <v>2097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161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2087</v>
      </c>
      <c r="F1823" s="4" t="s">
        <v>2087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161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2087</v>
      </c>
      <c r="F1824" s="4" t="s">
        <v>2087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161" t="str">
        <f t="shared" si="31"/>
        <v>CAVEMAN_NORTHAF</v>
      </c>
      <c r="B1825" s="9"/>
      <c r="C1825" s="5" t="s">
        <v>2011</v>
      </c>
      <c r="D1825" s="5"/>
      <c r="E1825" s="5" t="s">
        <v>2087</v>
      </c>
      <c r="F1825" s="5" t="s">
        <v>2087</v>
      </c>
      <c r="G1825" s="5"/>
      <c r="H1825" s="5" t="s">
        <v>2099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161" t="str">
        <f t="shared" si="31"/>
        <v>CAVEMAN_NORTHEU</v>
      </c>
      <c r="B1826" s="9"/>
      <c r="C1826" s="4" t="s">
        <v>962</v>
      </c>
      <c r="D1826" s="4"/>
      <c r="E1826" s="4" t="s">
        <v>2087</v>
      </c>
      <c r="F1826" s="4" t="s">
        <v>2087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161" t="str">
        <f t="shared" si="31"/>
        <v>CAVEMAN_NORTHEU</v>
      </c>
      <c r="B1827" s="9"/>
      <c r="C1827" s="4" t="s">
        <v>962</v>
      </c>
      <c r="D1827" s="4"/>
      <c r="E1827" s="4" t="s">
        <v>2087</v>
      </c>
      <c r="F1827" s="4" t="s">
        <v>2087</v>
      </c>
      <c r="G1827" s="4" t="s">
        <v>2047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161" t="str">
        <f t="shared" si="31"/>
        <v>CAVEMAN_NORTHEU</v>
      </c>
      <c r="B1828" s="9"/>
      <c r="C1828" s="4" t="s">
        <v>962</v>
      </c>
      <c r="D1828" s="4"/>
      <c r="E1828" s="4" t="s">
        <v>2087</v>
      </c>
      <c r="F1828" s="4" t="s">
        <v>2087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161" t="str">
        <f t="shared" si="31"/>
        <v>CAVEMAN_NORTHEU</v>
      </c>
      <c r="B1829" s="9"/>
      <c r="C1829" s="4" t="s">
        <v>962</v>
      </c>
      <c r="D1829" s="4"/>
      <c r="E1829" s="4" t="s">
        <v>2087</v>
      </c>
      <c r="F1829" s="4" t="s">
        <v>2087</v>
      </c>
      <c r="G1829" s="4" t="s">
        <v>2047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161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2103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1"/>
        <v>PRIMITIVE_ARCHER</v>
      </c>
      <c r="C1831" s="5"/>
      <c r="D1831" s="5"/>
      <c r="E1831" s="5" t="s">
        <v>2088</v>
      </c>
      <c r="F1831" s="5" t="s">
        <v>2088</v>
      </c>
      <c r="G1831" s="5"/>
      <c r="H1831" s="5" t="s">
        <v>2090</v>
      </c>
      <c r="I1831" s="5" t="s">
        <v>1935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1"/>
        <v>SAVAGE</v>
      </c>
      <c r="C1832" s="5"/>
      <c r="D1832" s="5"/>
      <c r="E1832" s="5" t="s">
        <v>2089</v>
      </c>
      <c r="F1832" s="5" t="s">
        <v>2089</v>
      </c>
      <c r="G1832" s="5"/>
      <c r="H1832" s="5" t="s">
        <v>2130</v>
      </c>
      <c r="I1832" s="5" t="s">
        <v>2131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161" t="str">
        <f t="shared" si="31"/>
        <v>SAVAGE_AFRI</v>
      </c>
      <c r="B1833" s="9"/>
      <c r="C1833" s="5" t="s">
        <v>694</v>
      </c>
      <c r="D1833" s="5"/>
      <c r="E1833" s="5" t="s">
        <v>2089</v>
      </c>
      <c r="F1833" s="5" t="s">
        <v>2089</v>
      </c>
      <c r="G1833" s="5"/>
      <c r="H1833" s="5" t="s">
        <v>2098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161" t="str">
        <f t="shared" si="31"/>
        <v>SAVAGE_CELTS</v>
      </c>
      <c r="B1834" s="9"/>
      <c r="C1834" s="5" t="s">
        <v>709</v>
      </c>
      <c r="D1834" s="5" t="s">
        <v>962</v>
      </c>
      <c r="E1834" s="5" t="s">
        <v>2089</v>
      </c>
      <c r="F1834" s="5" t="s">
        <v>2089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161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2089</v>
      </c>
      <c r="F1835" s="4" t="s">
        <v>2089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161" t="str">
        <f t="shared" si="31"/>
        <v>SAVAGE_NORTHEU</v>
      </c>
      <c r="B1836" s="9"/>
      <c r="C1836" s="5" t="s">
        <v>962</v>
      </c>
      <c r="D1836" s="5"/>
      <c r="E1836" s="5" t="s">
        <v>2089</v>
      </c>
      <c r="F1836" s="5" t="s">
        <v>2089</v>
      </c>
      <c r="G1836" s="5"/>
      <c r="H1836" s="5" t="s">
        <v>2094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1"/>
        <v>SAVAGE_NORTHAF</v>
      </c>
      <c r="C1837" s="5" t="s">
        <v>2011</v>
      </c>
      <c r="D1837" s="5"/>
      <c r="E1837" s="5" t="s">
        <v>2089</v>
      </c>
      <c r="F1837" s="5" t="s">
        <v>2089</v>
      </c>
      <c r="G1837" s="5"/>
      <c r="H1837" s="5" t="s">
        <v>2100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1"/>
        <v>SAVAGE_NORTHAF</v>
      </c>
      <c r="C1838" s="5" t="s">
        <v>2011</v>
      </c>
      <c r="D1838" s="5"/>
      <c r="E1838" s="5" t="s">
        <v>2089</v>
      </c>
      <c r="F1838" s="5" t="s">
        <v>2089</v>
      </c>
      <c r="G1838" s="5"/>
      <c r="H1838" s="5" t="s">
        <v>2101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1"/>
        <v>SAVAGE_NORTHAF</v>
      </c>
      <c r="C1839" s="5" t="s">
        <v>2011</v>
      </c>
      <c r="D1839" s="5"/>
      <c r="E1839" s="5" t="s">
        <v>2089</v>
      </c>
      <c r="F1839" s="5" t="s">
        <v>2089</v>
      </c>
      <c r="G1839" s="5"/>
      <c r="H1839" s="5" t="s">
        <v>2100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1"/>
        <v>SAVAGE_NORTHAF</v>
      </c>
      <c r="C1840" s="5" t="s">
        <v>2011</v>
      </c>
      <c r="D1840" s="5"/>
      <c r="E1840" s="5" t="s">
        <v>2089</v>
      </c>
      <c r="F1840" s="5" t="s">
        <v>2089</v>
      </c>
      <c r="G1840" s="5"/>
      <c r="H1840" s="5" t="s">
        <v>2101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1"/>
        <v>SHAMAN</v>
      </c>
      <c r="C1841" s="5"/>
      <c r="D1841" s="5"/>
      <c r="E1841" s="5" t="s">
        <v>2095</v>
      </c>
      <c r="F1841" s="5" t="s">
        <v>2095</v>
      </c>
      <c r="G1841" s="5"/>
      <c r="H1841" s="5" t="s">
        <v>2096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1"/>
        <v>2HANDER</v>
      </c>
      <c r="C1842" s="5"/>
      <c r="D1842" s="5"/>
      <c r="E1842" s="5" t="s">
        <v>2170</v>
      </c>
      <c r="F1842" s="5" t="s">
        <v>2170</v>
      </c>
      <c r="G1842" s="5"/>
      <c r="H1842" s="5" t="s">
        <v>2174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1"/>
        <v>2HANDER_NORTHEU</v>
      </c>
      <c r="C1843" s="5" t="s">
        <v>962</v>
      </c>
      <c r="D1843" s="5"/>
      <c r="E1843" s="5" t="s">
        <v>2170</v>
      </c>
      <c r="F1843" s="5" t="s">
        <v>2170</v>
      </c>
      <c r="G1843" s="5"/>
      <c r="H1843" s="5" t="s">
        <v>2421</v>
      </c>
      <c r="I1843" s="5" t="s">
        <v>1813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1"/>
        <v>2HANDER_SWEDEN</v>
      </c>
      <c r="C1844" s="5" t="s">
        <v>739</v>
      </c>
      <c r="D1844" s="5"/>
      <c r="E1844" s="5" t="s">
        <v>2170</v>
      </c>
      <c r="F1844" s="5" t="s">
        <v>2170</v>
      </c>
      <c r="G1844" s="5"/>
      <c r="H1844" s="5" t="s">
        <v>2422</v>
      </c>
      <c r="I1844" s="5" t="s">
        <v>1813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1"/>
        <v>2HANDER_SOUTHAS</v>
      </c>
      <c r="C1845" s="5" t="s">
        <v>695</v>
      </c>
      <c r="D1845" s="5"/>
      <c r="E1845" s="5" t="s">
        <v>2170</v>
      </c>
      <c r="F1845" s="5" t="s">
        <v>2170</v>
      </c>
      <c r="G1845" s="5"/>
      <c r="H1845" s="5" t="s">
        <v>2420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1"/>
        <v>REITER</v>
      </c>
      <c r="C1846" s="5"/>
      <c r="D1846" s="5"/>
      <c r="E1846" s="5" t="s">
        <v>2171</v>
      </c>
      <c r="F1846" s="5" t="s">
        <v>2171</v>
      </c>
      <c r="G1846" s="5"/>
      <c r="H1846" s="5" t="s">
        <v>2175</v>
      </c>
      <c r="I1846" s="5" t="s">
        <v>1935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1"/>
        <v>RODELEROS</v>
      </c>
      <c r="C1847" s="5"/>
      <c r="D1847" s="5"/>
      <c r="E1847" s="5" t="s">
        <v>2172</v>
      </c>
      <c r="F1847" s="5" t="s">
        <v>2172</v>
      </c>
      <c r="G1847" s="5"/>
      <c r="H1847" s="5" t="s">
        <v>2176</v>
      </c>
      <c r="I1847" s="5" t="s">
        <v>1935</v>
      </c>
      <c r="J1847" s="6"/>
      <c r="K1847" s="7">
        <v>1</v>
      </c>
      <c r="L1847" s="13"/>
      <c r="M1847" s="8"/>
      <c r="N1847" s="13"/>
      <c r="O1847" s="13"/>
      <c r="P1847" s="13"/>
      <c r="Q1847" s="7"/>
      <c r="R1847" s="6"/>
      <c r="S1847" s="5"/>
      <c r="T1847" s="6"/>
      <c r="U1847" s="7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1"/>
        <v>FREE_COMPANY</v>
      </c>
      <c r="C1848" s="5"/>
      <c r="D1848" s="5"/>
      <c r="E1848" s="5" t="s">
        <v>2173</v>
      </c>
      <c r="F1848" s="5" t="s">
        <v>2173</v>
      </c>
      <c r="G1848" s="5"/>
      <c r="H1848" s="5" t="s">
        <v>2177</v>
      </c>
      <c r="I1848" s="5" t="s">
        <v>1813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6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1"/>
        <v>FREE_COMPANY</v>
      </c>
      <c r="C1849" s="5"/>
      <c r="D1849" s="5"/>
      <c r="E1849" s="5" t="s">
        <v>2173</v>
      </c>
      <c r="F1849" s="5" t="s">
        <v>2173</v>
      </c>
      <c r="G1849" s="5" t="s">
        <v>2040</v>
      </c>
      <c r="H1849" s="5" t="s">
        <v>2178</v>
      </c>
      <c r="I1849" s="5" t="s">
        <v>1813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6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s="2" customFormat="1" x14ac:dyDescent="0.25">
      <c r="A1850" s="161" t="str">
        <f t="shared" si="31"/>
        <v>EE_CARRACK</v>
      </c>
      <c r="B1850" s="9"/>
      <c r="C1850" s="5"/>
      <c r="D1850" s="5"/>
      <c r="E1850" s="5" t="s">
        <v>2064</v>
      </c>
      <c r="F1850" s="5" t="s">
        <v>2064</v>
      </c>
      <c r="G1850" s="5"/>
      <c r="H1850" s="5" t="s">
        <v>2065</v>
      </c>
      <c r="I1850" s="5" t="s">
        <v>1984</v>
      </c>
      <c r="J1850" s="6"/>
      <c r="K1850" s="7">
        <v>1</v>
      </c>
      <c r="L1850" s="13" t="s">
        <v>1708</v>
      </c>
      <c r="M1850" s="8"/>
      <c r="N1850" s="13" t="s">
        <v>1727</v>
      </c>
      <c r="O1850" s="13"/>
      <c r="P1850" s="13"/>
      <c r="Q1850" s="7">
        <v>1</v>
      </c>
      <c r="R1850" s="6" t="s">
        <v>1695</v>
      </c>
      <c r="S1850" s="13"/>
      <c r="T1850" s="7">
        <v>3</v>
      </c>
      <c r="U1850" s="7" t="s">
        <v>1737</v>
      </c>
      <c r="V1850" s="5" t="s">
        <v>1696</v>
      </c>
      <c r="W1850" s="6"/>
      <c r="X1850" s="6"/>
      <c r="Y1850" s="5"/>
      <c r="Z1850" s="6">
        <v>1</v>
      </c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1"/>
        <v>EE_CARRACK_OTTOMAN</v>
      </c>
      <c r="C1851" s="5" t="s">
        <v>1037</v>
      </c>
      <c r="D1851" s="5"/>
      <c r="E1851" s="5" t="s">
        <v>2064</v>
      </c>
      <c r="F1851" s="5" t="s">
        <v>2064</v>
      </c>
      <c r="G1851" s="5"/>
      <c r="H1851" s="5" t="s">
        <v>1981</v>
      </c>
      <c r="I1851" s="5" t="s">
        <v>1984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1"/>
        <v>EE_CARRACK_RUSSIA</v>
      </c>
      <c r="C1852" s="5" t="s">
        <v>735</v>
      </c>
      <c r="D1852" s="5"/>
      <c r="E1852" s="5" t="s">
        <v>2064</v>
      </c>
      <c r="F1852" s="5" t="s">
        <v>2064</v>
      </c>
      <c r="G1852" s="5"/>
      <c r="H1852" s="5" t="s">
        <v>1977</v>
      </c>
      <c r="I1852" s="5" t="s">
        <v>1984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1"/>
        <v>EE_CARRACK_ENGLAND</v>
      </c>
      <c r="C1853" s="5" t="s">
        <v>713</v>
      </c>
      <c r="D1853" s="5"/>
      <c r="E1853" s="5" t="s">
        <v>2064</v>
      </c>
      <c r="F1853" s="5" t="s">
        <v>2064</v>
      </c>
      <c r="G1853" s="5"/>
      <c r="H1853" s="5" t="s">
        <v>1978</v>
      </c>
      <c r="I1853" s="5" t="s">
        <v>1984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161" t="str">
        <f t="shared" si="31"/>
        <v>EE_CARRACK_FRANCE</v>
      </c>
      <c r="C1854" s="5" t="s">
        <v>715</v>
      </c>
      <c r="D1854" s="5"/>
      <c r="E1854" s="5" t="s">
        <v>2064</v>
      </c>
      <c r="F1854" s="5" t="s">
        <v>2064</v>
      </c>
      <c r="G1854" s="5"/>
      <c r="H1854" s="5" t="s">
        <v>1979</v>
      </c>
      <c r="I1854" s="5" t="s">
        <v>1984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161" t="str">
        <f t="shared" si="31"/>
        <v>EE_CARRACK_ROME</v>
      </c>
      <c r="C1855" s="5" t="s">
        <v>734</v>
      </c>
      <c r="D1855" s="5"/>
      <c r="E1855" s="5" t="s">
        <v>2064</v>
      </c>
      <c r="F1855" s="5" t="s">
        <v>2064</v>
      </c>
      <c r="G1855" s="5"/>
      <c r="H1855" s="5" t="s">
        <v>1983</v>
      </c>
      <c r="I1855" s="5" t="s">
        <v>1984</v>
      </c>
      <c r="J1855" s="6"/>
      <c r="K1855" s="7">
        <v>1</v>
      </c>
      <c r="L1855" s="13"/>
      <c r="M1855" s="8"/>
      <c r="N1855" s="13"/>
      <c r="O1855" s="13"/>
      <c r="P1855" s="13"/>
      <c r="Q1855" s="7"/>
      <c r="R1855" s="6"/>
      <c r="S1855" s="5"/>
      <c r="T1855" s="7"/>
      <c r="U1855" s="7"/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161" t="str">
        <f t="shared" si="31"/>
        <v>EE_CARRACK_NORTHAF</v>
      </c>
      <c r="C1856" s="5" t="s">
        <v>2011</v>
      </c>
      <c r="D1856" s="5"/>
      <c r="E1856" s="5" t="s">
        <v>2064</v>
      </c>
      <c r="F1856" s="5" t="s">
        <v>2064</v>
      </c>
      <c r="G1856" s="5"/>
      <c r="H1856" s="5" t="s">
        <v>1980</v>
      </c>
      <c r="I1856" s="5" t="s">
        <v>1984</v>
      </c>
      <c r="J1856" s="6"/>
      <c r="K1856" s="7">
        <v>1</v>
      </c>
      <c r="L1856" s="13"/>
      <c r="M1856" s="8"/>
      <c r="N1856" s="13"/>
      <c r="O1856" s="13"/>
      <c r="P1856" s="13"/>
      <c r="Q1856" s="7"/>
      <c r="R1856" s="6"/>
      <c r="S1856" s="5"/>
      <c r="T1856" s="7"/>
      <c r="U1856" s="7"/>
      <c r="V1856" s="5"/>
      <c r="W1856" s="6"/>
      <c r="X1856" s="6"/>
      <c r="Y1856" s="5"/>
      <c r="Z1856" s="6"/>
      <c r="AA1856" s="6"/>
      <c r="AB1856" s="5"/>
      <c r="AC1856" s="6"/>
      <c r="AD1856" s="6"/>
      <c r="AE1856" s="5"/>
      <c r="AF1856" s="6"/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161" t="str">
        <f t="shared" si="31"/>
        <v>EE_CARRACK_SWEDEN</v>
      </c>
      <c r="C1857" s="5" t="s">
        <v>739</v>
      </c>
      <c r="D1857" s="5"/>
      <c r="E1857" s="5" t="s">
        <v>2064</v>
      </c>
      <c r="F1857" s="5" t="s">
        <v>2064</v>
      </c>
      <c r="G1857" s="5"/>
      <c r="H1857" s="5" t="s">
        <v>1982</v>
      </c>
      <c r="I1857" s="5" t="s">
        <v>1984</v>
      </c>
      <c r="J1857" s="6"/>
      <c r="K1857" s="7">
        <v>1</v>
      </c>
      <c r="L1857" s="13"/>
      <c r="M1857" s="8"/>
      <c r="N1857" s="13"/>
      <c r="O1857" s="13"/>
      <c r="P1857" s="13"/>
      <c r="Q1857" s="7"/>
      <c r="R1857" s="6"/>
      <c r="S1857" s="5"/>
      <c r="T1857" s="7"/>
      <c r="U1857" s="7"/>
      <c r="V1857" s="5"/>
      <c r="W1857" s="6"/>
      <c r="X1857" s="6"/>
      <c r="Y1857" s="5"/>
      <c r="Z1857" s="6"/>
      <c r="AA1857" s="6"/>
      <c r="AB1857" s="5"/>
      <c r="AC1857" s="6"/>
      <c r="AD1857" s="6"/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31"/>
        <v>EE_CRUISER</v>
      </c>
      <c r="C1858" s="5"/>
      <c r="D1858" s="5"/>
      <c r="E1858" s="5" t="s">
        <v>2190</v>
      </c>
      <c r="F1858" s="5" t="s">
        <v>2190</v>
      </c>
      <c r="G1858" s="5"/>
      <c r="H1858" s="5" t="s">
        <v>2191</v>
      </c>
      <c r="I1858" s="5" t="s">
        <v>1935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>
        <v>0.08</v>
      </c>
      <c r="S1858" s="5"/>
      <c r="T1858" s="7"/>
      <c r="U1858" s="7">
        <v>6.5000000000000002E-2</v>
      </c>
      <c r="V1858" s="5"/>
      <c r="W1858" s="6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31"/>
        <v>EE_CUIRASSIER</v>
      </c>
      <c r="C1859" s="5"/>
      <c r="D1859" s="5"/>
      <c r="E1859" s="5" t="s">
        <v>2077</v>
      </c>
      <c r="F1859" s="5" t="s">
        <v>2077</v>
      </c>
      <c r="G1859" s="5"/>
      <c r="H1859" s="5" t="s">
        <v>2079</v>
      </c>
      <c r="I1859" s="5" t="s">
        <v>2078</v>
      </c>
      <c r="J1859" s="6"/>
      <c r="K1859" s="7">
        <v>1</v>
      </c>
      <c r="L1859" s="13"/>
      <c r="M1859" s="8"/>
      <c r="N1859" s="13"/>
      <c r="O1859" s="13"/>
      <c r="P1859" s="13"/>
      <c r="Q1859" s="7" t="s">
        <v>1695</v>
      </c>
      <c r="R1859" s="6" t="s">
        <v>1695</v>
      </c>
      <c r="S1859" s="13" t="s">
        <v>1695</v>
      </c>
      <c r="T1859" s="6" t="s">
        <v>1695</v>
      </c>
      <c r="U1859" s="7" t="s">
        <v>1695</v>
      </c>
      <c r="V1859" s="5" t="s">
        <v>1701</v>
      </c>
      <c r="W1859" s="6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 t="s">
        <v>1695</v>
      </c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31"/>
        <v>EE_EXPLORER</v>
      </c>
      <c r="C1860" s="5"/>
      <c r="D1860" s="5"/>
      <c r="E1860" s="5" t="s">
        <v>2182</v>
      </c>
      <c r="F1860" s="5" t="s">
        <v>2182</v>
      </c>
      <c r="G1860" s="5" t="s">
        <v>1970</v>
      </c>
      <c r="H1860" s="5" t="s">
        <v>2186</v>
      </c>
      <c r="I1860" s="5" t="s">
        <v>1935</v>
      </c>
      <c r="J1860" s="6"/>
      <c r="K1860" s="7">
        <v>1</v>
      </c>
      <c r="L1860" s="13"/>
      <c r="M1860" s="8"/>
      <c r="N1860" s="13"/>
      <c r="O1860" s="13"/>
      <c r="P1860" s="13"/>
      <c r="Q1860" s="7">
        <v>2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>
        <v>1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1"/>
        <v>EE_EXPLORER</v>
      </c>
      <c r="C1861" s="5"/>
      <c r="D1861" s="5"/>
      <c r="E1861" s="5" t="s">
        <v>2182</v>
      </c>
      <c r="F1861" s="5" t="s">
        <v>2182</v>
      </c>
      <c r="G1861" s="5" t="s">
        <v>2183</v>
      </c>
      <c r="H1861" s="5" t="s">
        <v>2187</v>
      </c>
      <c r="I1861" s="5" t="s">
        <v>1935</v>
      </c>
      <c r="J1861" s="6"/>
      <c r="K1861" s="7">
        <v>1</v>
      </c>
      <c r="L1861" s="13"/>
      <c r="M1861" s="8"/>
      <c r="N1861" s="13"/>
      <c r="O1861" s="13"/>
      <c r="P1861" s="13"/>
      <c r="Q1861" s="7">
        <v>1</v>
      </c>
      <c r="R1861" s="6" t="s">
        <v>1737</v>
      </c>
      <c r="S1861" s="13" t="s">
        <v>20</v>
      </c>
      <c r="T1861" s="6"/>
      <c r="U1861" s="6">
        <v>0.08</v>
      </c>
      <c r="V1861" s="5"/>
      <c r="W1861" s="6" t="s">
        <v>3</v>
      </c>
      <c r="X1861" s="6" t="s">
        <v>3</v>
      </c>
      <c r="Y1861" s="5"/>
      <c r="Z1861" s="6">
        <v>0</v>
      </c>
      <c r="AA1861" s="6"/>
      <c r="AB1861" s="5"/>
      <c r="AC1861" s="6"/>
      <c r="AD1861" s="6" t="s">
        <v>3</v>
      </c>
      <c r="AE1861" s="5"/>
      <c r="AF1861" s="6">
        <v>1</v>
      </c>
      <c r="AG1861" s="6"/>
      <c r="AH1861" s="5"/>
      <c r="AI1861" s="6">
        <v>2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1"/>
        <v>EE_EXPLORER</v>
      </c>
      <c r="C1862" s="5"/>
      <c r="D1862" s="5"/>
      <c r="E1862" s="5" t="s">
        <v>2182</v>
      </c>
      <c r="F1862" s="5" t="s">
        <v>2182</v>
      </c>
      <c r="G1862" s="5" t="s">
        <v>2184</v>
      </c>
      <c r="H1862" s="5" t="s">
        <v>2188</v>
      </c>
      <c r="I1862" s="5" t="s">
        <v>1935</v>
      </c>
      <c r="J1862" s="6"/>
      <c r="K1862" s="7">
        <v>1</v>
      </c>
      <c r="L1862" s="13"/>
      <c r="M1862" s="8"/>
      <c r="N1862" s="13"/>
      <c r="O1862" s="13"/>
      <c r="P1862" s="13"/>
      <c r="Q1862" s="7">
        <v>2</v>
      </c>
      <c r="R1862" s="6" t="s">
        <v>1737</v>
      </c>
      <c r="S1862" s="13" t="s">
        <v>20</v>
      </c>
      <c r="T1862" s="6"/>
      <c r="U1862" s="6">
        <v>0.08</v>
      </c>
      <c r="V1862" s="5"/>
      <c r="W1862" s="6" t="s">
        <v>3</v>
      </c>
      <c r="X1862" s="6" t="s">
        <v>3</v>
      </c>
      <c r="Y1862" s="5"/>
      <c r="Z1862" s="6">
        <v>0</v>
      </c>
      <c r="AA1862" s="6"/>
      <c r="AB1862" s="5"/>
      <c r="AC1862" s="6"/>
      <c r="AD1862" s="6" t="s">
        <v>3</v>
      </c>
      <c r="AE1862" s="5"/>
      <c r="AF1862" s="6">
        <v>0</v>
      </c>
      <c r="AG1862" s="6"/>
      <c r="AH1862" s="5"/>
      <c r="AI1862" s="6">
        <v>1</v>
      </c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1"/>
        <v>EE_EXPLORER</v>
      </c>
      <c r="C1863" s="5"/>
      <c r="D1863" s="5"/>
      <c r="E1863" s="5" t="s">
        <v>2182</v>
      </c>
      <c r="F1863" s="5" t="s">
        <v>2182</v>
      </c>
      <c r="G1863" s="5" t="s">
        <v>2185</v>
      </c>
      <c r="H1863" s="5" t="s">
        <v>2189</v>
      </c>
      <c r="I1863" s="5" t="s">
        <v>1935</v>
      </c>
      <c r="J1863" s="6"/>
      <c r="K1863" s="7">
        <v>1</v>
      </c>
      <c r="L1863" s="13"/>
      <c r="M1863" s="8"/>
      <c r="N1863" s="13"/>
      <c r="O1863" s="13"/>
      <c r="P1863" s="13"/>
      <c r="Q1863" s="7">
        <v>1</v>
      </c>
      <c r="R1863" s="6" t="s">
        <v>1737</v>
      </c>
      <c r="S1863" s="13" t="s">
        <v>20</v>
      </c>
      <c r="T1863" s="6"/>
      <c r="U1863" s="6">
        <v>0.08</v>
      </c>
      <c r="V1863" s="5"/>
      <c r="W1863" s="6" t="s">
        <v>3</v>
      </c>
      <c r="X1863" s="6" t="s">
        <v>3</v>
      </c>
      <c r="Y1863" s="5"/>
      <c r="Z1863" s="6">
        <v>0</v>
      </c>
      <c r="AA1863" s="6"/>
      <c r="AB1863" s="5"/>
      <c r="AC1863" s="6"/>
      <c r="AD1863" s="6" t="s">
        <v>3</v>
      </c>
      <c r="AE1863" s="5"/>
      <c r="AF1863" s="6">
        <v>0</v>
      </c>
      <c r="AG1863" s="6"/>
      <c r="AH1863" s="5"/>
      <c r="AI1863" s="6">
        <v>1</v>
      </c>
      <c r="AJ1863" s="6"/>
      <c r="AK1863" s="5"/>
      <c r="AL1863" s="5"/>
      <c r="AM1863" s="5"/>
      <c r="AN1863" s="5"/>
      <c r="AO1863" s="5"/>
      <c r="AP1863" s="5"/>
      <c r="AQ1863" s="5"/>
    </row>
    <row r="1864" spans="1:43" x14ac:dyDescent="0.25">
      <c r="A1864" s="161" t="str">
        <f t="shared" si="31"/>
        <v>EE_FIELD_GUN</v>
      </c>
      <c r="C1864" s="5"/>
      <c r="D1864" s="5"/>
      <c r="E1864" s="5" t="s">
        <v>2069</v>
      </c>
      <c r="F1864" s="5" t="s">
        <v>2069</v>
      </c>
      <c r="G1864" s="5"/>
      <c r="H1864" s="5" t="s">
        <v>337</v>
      </c>
      <c r="I1864" s="5" t="s">
        <v>1059</v>
      </c>
      <c r="J1864" s="6"/>
      <c r="K1864" s="7">
        <v>1</v>
      </c>
      <c r="L1864" s="13"/>
      <c r="M1864" s="8"/>
      <c r="N1864" s="13"/>
      <c r="O1864" s="13"/>
      <c r="P1864" s="13"/>
      <c r="Q1864" s="7">
        <v>3</v>
      </c>
      <c r="R1864" s="6" t="s">
        <v>1695</v>
      </c>
      <c r="S1864" s="5" t="s">
        <v>1611</v>
      </c>
      <c r="T1864" s="7"/>
      <c r="U1864" s="7" t="s">
        <v>1737</v>
      </c>
      <c r="V1864" s="5" t="s">
        <v>1697</v>
      </c>
      <c r="W1864" s="6" t="s">
        <v>3</v>
      </c>
      <c r="X1864" s="6" t="s">
        <v>3</v>
      </c>
      <c r="Y1864" s="5"/>
      <c r="Z1864" s="6">
        <v>1</v>
      </c>
      <c r="AA1864" s="6"/>
      <c r="AB1864" s="5"/>
      <c r="AC1864" s="6"/>
      <c r="AD1864" s="6" t="s">
        <v>3</v>
      </c>
      <c r="AE1864" s="5"/>
      <c r="AF1864" s="6">
        <v>3</v>
      </c>
      <c r="AG1864" s="6"/>
      <c r="AH1864" s="5"/>
      <c r="AI1864" s="6">
        <v>7</v>
      </c>
      <c r="AJ1864" s="6"/>
      <c r="AK1864" s="5"/>
      <c r="AL1864" s="5"/>
      <c r="AM1864" s="5"/>
      <c r="AN1864" s="5"/>
      <c r="AO1864" s="5"/>
      <c r="AP1864" s="5"/>
      <c r="AQ1864" s="5"/>
    </row>
    <row r="1865" spans="1:43" x14ac:dyDescent="0.25">
      <c r="A1865" s="161" t="str">
        <f t="shared" si="31"/>
        <v>EE_FIELD_GUN_ENGLAND</v>
      </c>
      <c r="C1865" s="5" t="s">
        <v>713</v>
      </c>
      <c r="D1865" s="5"/>
      <c r="E1865" s="5" t="s">
        <v>2069</v>
      </c>
      <c r="F1865" s="5" t="s">
        <v>2069</v>
      </c>
      <c r="G1865" s="5"/>
      <c r="H1865" s="5" t="s">
        <v>2070</v>
      </c>
      <c r="I1865" s="5" t="s">
        <v>966</v>
      </c>
      <c r="J1865" s="6"/>
      <c r="K1865" s="7">
        <v>1</v>
      </c>
      <c r="L1865" s="13"/>
      <c r="M1865" s="8"/>
      <c r="N1865" s="13"/>
      <c r="O1865" s="13"/>
      <c r="P1865" s="13"/>
      <c r="Q1865" s="7"/>
      <c r="R1865" s="6"/>
      <c r="S1865" s="5"/>
      <c r="T1865" s="7"/>
      <c r="U1865" s="7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5"/>
      <c r="AM1865" s="5"/>
      <c r="AN1865" s="5"/>
      <c r="AO1865" s="5"/>
      <c r="AP1865" s="5"/>
      <c r="AQ1865" s="5"/>
    </row>
    <row r="1866" spans="1:43" x14ac:dyDescent="0.25">
      <c r="A1866" s="161" t="str">
        <f t="shared" si="31"/>
        <v>EE_LINE_INFANTRY</v>
      </c>
      <c r="E1866" s="4" t="s">
        <v>1987</v>
      </c>
      <c r="F1866" s="4" t="s">
        <v>1987</v>
      </c>
      <c r="G1866" s="14"/>
      <c r="H1866" s="4" t="s">
        <v>1990</v>
      </c>
      <c r="I1866" s="4" t="s">
        <v>122</v>
      </c>
      <c r="K1866" s="7">
        <v>1</v>
      </c>
      <c r="Q1866" s="11">
        <v>4</v>
      </c>
      <c r="R1866" s="11" t="s">
        <v>1737</v>
      </c>
      <c r="S1866" s="4" t="s">
        <v>1619</v>
      </c>
      <c r="T1866" s="11">
        <v>5</v>
      </c>
      <c r="U1866" s="11" t="s">
        <v>1737</v>
      </c>
      <c r="W1866" s="11" t="s">
        <v>3</v>
      </c>
      <c r="X1866" s="11" t="s">
        <v>3</v>
      </c>
      <c r="Z1866" s="11">
        <v>1</v>
      </c>
      <c r="AD1866" s="11" t="s">
        <v>3</v>
      </c>
      <c r="AF1866" s="11">
        <v>1</v>
      </c>
      <c r="AI1866" s="11">
        <v>2</v>
      </c>
    </row>
    <row r="1867" spans="1:43" x14ac:dyDescent="0.25">
      <c r="A1867" s="161" t="str">
        <f t="shared" si="31"/>
        <v>EE_LINE_INFANTRY</v>
      </c>
      <c r="E1867" s="4" t="s">
        <v>1987</v>
      </c>
      <c r="F1867" s="4" t="s">
        <v>1987</v>
      </c>
      <c r="G1867" s="14" t="s">
        <v>2047</v>
      </c>
      <c r="H1867" s="4" t="s">
        <v>1988</v>
      </c>
      <c r="I1867" s="4" t="s">
        <v>122</v>
      </c>
      <c r="K1867" s="7">
        <v>1</v>
      </c>
      <c r="Q1867" s="11">
        <v>2</v>
      </c>
      <c r="R1867" s="11" t="s">
        <v>1737</v>
      </c>
      <c r="S1867" s="4" t="s">
        <v>1619</v>
      </c>
      <c r="T1867" s="11">
        <v>2</v>
      </c>
      <c r="U1867" s="11" t="s">
        <v>1737</v>
      </c>
      <c r="W1867" s="11" t="s">
        <v>3</v>
      </c>
      <c r="X1867" s="11" t="s">
        <v>3</v>
      </c>
      <c r="Z1867" s="11">
        <v>0</v>
      </c>
      <c r="AD1867" s="11" t="s">
        <v>3</v>
      </c>
      <c r="AF1867" s="11">
        <v>1</v>
      </c>
      <c r="AI1867" s="11">
        <v>1</v>
      </c>
    </row>
    <row r="1868" spans="1:43" x14ac:dyDescent="0.25">
      <c r="A1868" s="161" t="str">
        <f t="shared" si="31"/>
        <v>EE_LINE_INFANTRY</v>
      </c>
      <c r="E1868" s="4" t="s">
        <v>1987</v>
      </c>
      <c r="F1868" s="4" t="s">
        <v>1987</v>
      </c>
      <c r="G1868" s="14" t="s">
        <v>2049</v>
      </c>
      <c r="H1868" s="4" t="s">
        <v>1989</v>
      </c>
      <c r="I1868" s="4" t="s">
        <v>122</v>
      </c>
      <c r="K1868" s="7">
        <v>1</v>
      </c>
      <c r="Q1868" s="11">
        <v>1</v>
      </c>
      <c r="R1868" s="11" t="s">
        <v>1737</v>
      </c>
      <c r="S1868" s="4" t="s">
        <v>1619</v>
      </c>
      <c r="T1868" s="11">
        <v>1</v>
      </c>
      <c r="U1868" s="11" t="s">
        <v>1737</v>
      </c>
      <c r="W1868" s="11" t="s">
        <v>3</v>
      </c>
      <c r="X1868" s="11" t="s">
        <v>3</v>
      </c>
      <c r="Z1868" s="11">
        <v>0</v>
      </c>
      <c r="AD1868" s="11" t="s">
        <v>3</v>
      </c>
      <c r="AF1868" s="11">
        <v>1</v>
      </c>
      <c r="AI1868" s="11">
        <v>1</v>
      </c>
    </row>
    <row r="1869" spans="1:43" x14ac:dyDescent="0.25">
      <c r="A1869" s="161" t="str">
        <f t="shared" si="31"/>
        <v>EE_LINE_INFANTRY</v>
      </c>
      <c r="E1869" s="4" t="s">
        <v>1987</v>
      </c>
      <c r="F1869" s="4" t="s">
        <v>1987</v>
      </c>
      <c r="G1869" s="14"/>
      <c r="H1869" s="4" t="s">
        <v>1990</v>
      </c>
      <c r="I1869" s="4" t="s">
        <v>122</v>
      </c>
      <c r="K1869" s="7">
        <v>1</v>
      </c>
      <c r="Q1869" s="11">
        <v>4</v>
      </c>
      <c r="R1869" s="11" t="s">
        <v>1737</v>
      </c>
      <c r="S1869" s="4" t="s">
        <v>1619</v>
      </c>
      <c r="T1869" s="11">
        <v>6</v>
      </c>
      <c r="U1869" s="11" t="s">
        <v>1737</v>
      </c>
      <c r="W1869" s="11" t="s">
        <v>3</v>
      </c>
      <c r="X1869" s="11" t="s">
        <v>3</v>
      </c>
      <c r="Z1869" s="11">
        <v>0</v>
      </c>
      <c r="AD1869" s="11" t="s">
        <v>3</v>
      </c>
      <c r="AF1869" s="11">
        <v>0</v>
      </c>
      <c r="AI1869" s="11">
        <v>3</v>
      </c>
    </row>
    <row r="1870" spans="1:43" x14ac:dyDescent="0.25">
      <c r="A1870" s="161" t="str">
        <f t="shared" si="31"/>
        <v>EE_LINE_INFANTRY</v>
      </c>
      <c r="E1870" s="4" t="s">
        <v>1987</v>
      </c>
      <c r="F1870" s="4" t="s">
        <v>1987</v>
      </c>
      <c r="G1870" s="14" t="s">
        <v>2047</v>
      </c>
      <c r="H1870" s="4" t="s">
        <v>1988</v>
      </c>
      <c r="I1870" s="4" t="s">
        <v>122</v>
      </c>
      <c r="K1870" s="7">
        <v>1</v>
      </c>
      <c r="Q1870" s="11">
        <v>2</v>
      </c>
      <c r="R1870" s="11" t="s">
        <v>1737</v>
      </c>
      <c r="S1870" s="4" t="s">
        <v>1619</v>
      </c>
      <c r="T1870" s="11">
        <v>3</v>
      </c>
      <c r="U1870" s="11" t="s">
        <v>1737</v>
      </c>
      <c r="W1870" s="11" t="s">
        <v>3</v>
      </c>
      <c r="X1870" s="11" t="s">
        <v>3</v>
      </c>
      <c r="Z1870" s="11">
        <v>0</v>
      </c>
      <c r="AD1870" s="11" t="s">
        <v>3</v>
      </c>
      <c r="AF1870" s="11">
        <v>0</v>
      </c>
      <c r="AI1870" s="11">
        <v>0</v>
      </c>
    </row>
    <row r="1871" spans="1:43" x14ac:dyDescent="0.25">
      <c r="A1871" s="161" t="str">
        <f t="shared" si="31"/>
        <v>EE_LINE_INFANTRY</v>
      </c>
      <c r="E1871" s="4" t="s">
        <v>1987</v>
      </c>
      <c r="F1871" s="4" t="s">
        <v>1987</v>
      </c>
      <c r="G1871" s="14" t="s">
        <v>2049</v>
      </c>
      <c r="H1871" s="4" t="s">
        <v>1989</v>
      </c>
      <c r="I1871" s="4" t="s">
        <v>122</v>
      </c>
      <c r="K1871" s="7">
        <v>1</v>
      </c>
      <c r="Q1871" s="11">
        <v>1</v>
      </c>
      <c r="R1871" s="11" t="s">
        <v>1737</v>
      </c>
      <c r="S1871" s="4" t="s">
        <v>1619</v>
      </c>
      <c r="T1871" s="11">
        <v>2</v>
      </c>
      <c r="U1871" s="11" t="s">
        <v>1737</v>
      </c>
      <c r="W1871" s="11" t="s">
        <v>3</v>
      </c>
      <c r="X1871" s="11" t="s">
        <v>3</v>
      </c>
      <c r="Z1871" s="11">
        <v>0</v>
      </c>
      <c r="AD1871" s="11" t="s">
        <v>3</v>
      </c>
      <c r="AF1871" s="11">
        <v>0</v>
      </c>
      <c r="AI1871" s="11">
        <v>0</v>
      </c>
    </row>
    <row r="1872" spans="1:43" x14ac:dyDescent="0.25">
      <c r="A1872" s="161" t="str">
        <f t="shared" si="31"/>
        <v>EE_LINE_INFANTRY_AUSTRIA</v>
      </c>
      <c r="C1872" s="4" t="s">
        <v>701</v>
      </c>
      <c r="E1872" s="4" t="s">
        <v>1987</v>
      </c>
      <c r="F1872" s="4" t="s">
        <v>1987</v>
      </c>
      <c r="G1872" s="14"/>
      <c r="H1872" s="4" t="s">
        <v>1991</v>
      </c>
      <c r="I1872" s="4" t="s">
        <v>122</v>
      </c>
      <c r="K1872" s="7">
        <v>1</v>
      </c>
      <c r="Q1872" s="11">
        <v>4</v>
      </c>
      <c r="T1872" s="11">
        <v>5</v>
      </c>
      <c r="Z1872" s="11">
        <v>1</v>
      </c>
      <c r="AF1872" s="11">
        <v>1</v>
      </c>
      <c r="AI1872" s="11">
        <v>2</v>
      </c>
    </row>
    <row r="1873" spans="1:43" x14ac:dyDescent="0.25">
      <c r="A1873" s="161" t="str">
        <f t="shared" si="31"/>
        <v>EE_LINE_INFANTRY_AUSTRIA</v>
      </c>
      <c r="C1873" s="4" t="s">
        <v>701</v>
      </c>
      <c r="E1873" s="4" t="s">
        <v>1987</v>
      </c>
      <c r="F1873" s="4" t="s">
        <v>1987</v>
      </c>
      <c r="G1873" s="14" t="s">
        <v>2047</v>
      </c>
      <c r="H1873" s="4" t="s">
        <v>1993</v>
      </c>
      <c r="I1873" s="4" t="s">
        <v>122</v>
      </c>
      <c r="K1873" s="7">
        <v>1</v>
      </c>
      <c r="Q1873" s="11">
        <v>2</v>
      </c>
      <c r="T1873" s="11">
        <v>2</v>
      </c>
      <c r="Z1873" s="11">
        <v>0</v>
      </c>
      <c r="AF1873" s="11">
        <v>1</v>
      </c>
      <c r="AI1873" s="11">
        <v>1</v>
      </c>
    </row>
    <row r="1874" spans="1:43" x14ac:dyDescent="0.25">
      <c r="A1874" s="161" t="str">
        <f t="shared" si="31"/>
        <v>EE_LINE_INFANTRY_AUSTRIA</v>
      </c>
      <c r="C1874" s="4" t="s">
        <v>701</v>
      </c>
      <c r="E1874" s="4" t="s">
        <v>1987</v>
      </c>
      <c r="F1874" s="4" t="s">
        <v>1987</v>
      </c>
      <c r="G1874" s="14" t="s">
        <v>2049</v>
      </c>
      <c r="H1874" s="4" t="s">
        <v>1994</v>
      </c>
      <c r="I1874" s="4" t="s">
        <v>122</v>
      </c>
      <c r="K1874" s="7">
        <v>1</v>
      </c>
      <c r="Q1874" s="11">
        <v>1</v>
      </c>
      <c r="T1874" s="11">
        <v>1</v>
      </c>
      <c r="Z1874" s="11">
        <v>0</v>
      </c>
      <c r="AF1874" s="11">
        <v>1</v>
      </c>
      <c r="AI1874" s="11">
        <v>1</v>
      </c>
    </row>
    <row r="1875" spans="1:43" s="11" customFormat="1" x14ac:dyDescent="0.25">
      <c r="A1875" s="161" t="str">
        <f t="shared" si="31"/>
        <v>EE_LINE_INFANTRY_AUSTRIA</v>
      </c>
      <c r="B1875" s="9"/>
      <c r="C1875" s="4" t="s">
        <v>701</v>
      </c>
      <c r="D1875" s="4"/>
      <c r="E1875" s="4" t="s">
        <v>1987</v>
      </c>
      <c r="F1875" s="4" t="s">
        <v>1987</v>
      </c>
      <c r="G1875" s="14"/>
      <c r="H1875" s="4" t="s">
        <v>1991</v>
      </c>
      <c r="I1875" s="4" t="s">
        <v>122</v>
      </c>
      <c r="K1875" s="7">
        <v>1</v>
      </c>
      <c r="L1875" s="4"/>
      <c r="M1875" s="12"/>
      <c r="N1875" s="4"/>
      <c r="O1875" s="4"/>
      <c r="P1875" s="4"/>
      <c r="Q1875" s="11">
        <v>4</v>
      </c>
      <c r="S1875" s="4"/>
      <c r="T1875" s="11">
        <v>6</v>
      </c>
      <c r="V1875" s="4"/>
      <c r="Y1875" s="4"/>
      <c r="Z1875" s="11">
        <v>0</v>
      </c>
      <c r="AB1875" s="4"/>
      <c r="AE1875" s="4"/>
      <c r="AF1875" s="11">
        <v>0</v>
      </c>
      <c r="AH1875" s="4"/>
      <c r="AI1875" s="11">
        <v>3</v>
      </c>
      <c r="AK1875" s="4"/>
      <c r="AL1875" s="4"/>
      <c r="AM1875" s="4"/>
      <c r="AN1875" s="4"/>
      <c r="AO1875" s="4"/>
      <c r="AP1875" s="4"/>
      <c r="AQ1875" s="4"/>
    </row>
    <row r="1876" spans="1:43" s="11" customFormat="1" x14ac:dyDescent="0.25">
      <c r="A1876" s="161" t="str">
        <f t="shared" si="31"/>
        <v>EE_LINE_INFANTRY_AUSTRIA</v>
      </c>
      <c r="B1876" s="9"/>
      <c r="C1876" s="4" t="s">
        <v>701</v>
      </c>
      <c r="D1876" s="4"/>
      <c r="E1876" s="4" t="s">
        <v>1987</v>
      </c>
      <c r="F1876" s="4" t="s">
        <v>1987</v>
      </c>
      <c r="G1876" s="14" t="s">
        <v>2047</v>
      </c>
      <c r="H1876" s="4" t="s">
        <v>1993</v>
      </c>
      <c r="I1876" s="4" t="s">
        <v>122</v>
      </c>
      <c r="K1876" s="7">
        <v>1</v>
      </c>
      <c r="L1876" s="4"/>
      <c r="M1876" s="12"/>
      <c r="N1876" s="4"/>
      <c r="O1876" s="4"/>
      <c r="P1876" s="4"/>
      <c r="Q1876" s="11">
        <v>2</v>
      </c>
      <c r="S1876" s="4"/>
      <c r="T1876" s="11">
        <v>3</v>
      </c>
      <c r="V1876" s="4"/>
      <c r="Y1876" s="4"/>
      <c r="Z1876" s="11">
        <v>0</v>
      </c>
      <c r="AB1876" s="4"/>
      <c r="AE1876" s="4"/>
      <c r="AF1876" s="11">
        <v>0</v>
      </c>
      <c r="AH1876" s="4"/>
      <c r="AI1876" s="11">
        <v>0</v>
      </c>
      <c r="AK1876" s="4"/>
      <c r="AL1876" s="4"/>
      <c r="AM1876" s="4"/>
      <c r="AN1876" s="4"/>
      <c r="AO1876" s="4"/>
      <c r="AP1876" s="4"/>
      <c r="AQ1876" s="4"/>
    </row>
    <row r="1877" spans="1:43" s="11" customFormat="1" x14ac:dyDescent="0.25">
      <c r="A1877" s="161" t="str">
        <f t="shared" si="31"/>
        <v>EE_LINE_INFANTRY_AUSTRIA</v>
      </c>
      <c r="B1877" s="9"/>
      <c r="C1877" s="4" t="s">
        <v>701</v>
      </c>
      <c r="D1877" s="4"/>
      <c r="E1877" s="4" t="s">
        <v>1987</v>
      </c>
      <c r="F1877" s="4" t="s">
        <v>1987</v>
      </c>
      <c r="G1877" s="14" t="s">
        <v>2049</v>
      </c>
      <c r="H1877" s="4" t="s">
        <v>1994</v>
      </c>
      <c r="I1877" s="4" t="s">
        <v>122</v>
      </c>
      <c r="K1877" s="7">
        <v>1</v>
      </c>
      <c r="L1877" s="4"/>
      <c r="M1877" s="12"/>
      <c r="N1877" s="4"/>
      <c r="O1877" s="4"/>
      <c r="P1877" s="4"/>
      <c r="Q1877" s="11">
        <v>1</v>
      </c>
      <c r="S1877" s="4"/>
      <c r="T1877" s="11">
        <v>2</v>
      </c>
      <c r="V1877" s="4"/>
      <c r="Y1877" s="4"/>
      <c r="Z1877" s="11">
        <v>0</v>
      </c>
      <c r="AB1877" s="4"/>
      <c r="AE1877" s="4"/>
      <c r="AF1877" s="11">
        <v>0</v>
      </c>
      <c r="AH1877" s="4"/>
      <c r="AI1877" s="11">
        <v>0</v>
      </c>
      <c r="AK1877" s="4"/>
      <c r="AL1877" s="4"/>
      <c r="AM1877" s="4"/>
      <c r="AN1877" s="4"/>
      <c r="AO1877" s="4"/>
      <c r="AP1877" s="4"/>
      <c r="AQ1877" s="4"/>
    </row>
    <row r="1878" spans="1:43" s="11" customFormat="1" x14ac:dyDescent="0.25">
      <c r="A1878" s="161" t="str">
        <f t="shared" si="31"/>
        <v>EE_LINE_INFANTRY_DENMARK</v>
      </c>
      <c r="B1878" s="9"/>
      <c r="C1878" s="4" t="s">
        <v>711</v>
      </c>
      <c r="D1878" s="4"/>
      <c r="E1878" s="4" t="s">
        <v>1987</v>
      </c>
      <c r="F1878" s="4" t="s">
        <v>1987</v>
      </c>
      <c r="G1878" s="14"/>
      <c r="H1878" s="4" t="s">
        <v>1992</v>
      </c>
      <c r="I1878" s="4" t="s">
        <v>122</v>
      </c>
      <c r="K1878" s="7">
        <v>1</v>
      </c>
      <c r="L1878" s="4"/>
      <c r="M1878" s="12"/>
      <c r="N1878" s="4"/>
      <c r="O1878" s="4"/>
      <c r="P1878" s="4"/>
      <c r="Q1878" s="11">
        <v>14</v>
      </c>
      <c r="S1878" s="4"/>
      <c r="T1878" s="11">
        <v>19</v>
      </c>
      <c r="V1878" s="4"/>
      <c r="Y1878" s="4"/>
      <c r="Z1878" s="11">
        <v>1</v>
      </c>
      <c r="AB1878" s="4"/>
      <c r="AE1878" s="4"/>
      <c r="AF1878" s="11">
        <v>3</v>
      </c>
      <c r="AH1878" s="4"/>
      <c r="AI1878" s="11">
        <v>7</v>
      </c>
      <c r="AK1878" s="4"/>
      <c r="AL1878" s="4"/>
      <c r="AM1878" s="4"/>
      <c r="AN1878" s="4"/>
      <c r="AO1878" s="4"/>
      <c r="AP1878" s="4"/>
      <c r="AQ1878" s="4"/>
    </row>
    <row r="1879" spans="1:43" s="11" customFormat="1" x14ac:dyDescent="0.25">
      <c r="A1879" s="161" t="str">
        <f t="shared" si="31"/>
        <v>EE_LINE_INFANTRY_ENGLAND</v>
      </c>
      <c r="B1879" s="9"/>
      <c r="C1879" s="4" t="s">
        <v>713</v>
      </c>
      <c r="D1879" s="4"/>
      <c r="E1879" s="4" t="s">
        <v>1987</v>
      </c>
      <c r="F1879" s="4" t="s">
        <v>1987</v>
      </c>
      <c r="G1879" s="1"/>
      <c r="H1879" s="4" t="s">
        <v>1995</v>
      </c>
      <c r="I1879" s="4" t="s">
        <v>122</v>
      </c>
      <c r="K1879" s="7">
        <v>1</v>
      </c>
      <c r="L1879" s="4"/>
      <c r="M1879" s="12"/>
      <c r="N1879" s="4"/>
      <c r="O1879" s="4"/>
      <c r="P1879" s="4"/>
      <c r="Q1879" s="11">
        <v>4</v>
      </c>
      <c r="S1879" s="4"/>
      <c r="T1879" s="11">
        <v>5</v>
      </c>
      <c r="V1879" s="4"/>
      <c r="Y1879" s="4"/>
      <c r="Z1879" s="11">
        <v>1</v>
      </c>
      <c r="AB1879" s="4"/>
      <c r="AE1879" s="4"/>
      <c r="AF1879" s="11">
        <v>1</v>
      </c>
      <c r="AH1879" s="4"/>
      <c r="AI1879" s="11">
        <v>2</v>
      </c>
      <c r="AK1879" s="4"/>
      <c r="AL1879" s="4"/>
      <c r="AM1879" s="4"/>
      <c r="AN1879" s="4"/>
      <c r="AO1879" s="4"/>
      <c r="AP1879" s="4"/>
      <c r="AQ1879" s="4"/>
    </row>
    <row r="1880" spans="1:43" s="11" customFormat="1" x14ac:dyDescent="0.25">
      <c r="A1880" s="161" t="str">
        <f t="shared" si="31"/>
        <v>EE_LINE_INFANTRY_ENGLAND</v>
      </c>
      <c r="B1880" s="9"/>
      <c r="C1880" s="4" t="s">
        <v>713</v>
      </c>
      <c r="D1880" s="4"/>
      <c r="E1880" s="4" t="s">
        <v>1987</v>
      </c>
      <c r="F1880" s="4" t="s">
        <v>1987</v>
      </c>
      <c r="G1880" s="14" t="s">
        <v>2047</v>
      </c>
      <c r="H1880" s="4" t="s">
        <v>2009</v>
      </c>
      <c r="I1880" s="4" t="s">
        <v>122</v>
      </c>
      <c r="K1880" s="7">
        <v>1</v>
      </c>
      <c r="L1880" s="4"/>
      <c r="M1880" s="12"/>
      <c r="N1880" s="4"/>
      <c r="O1880" s="4"/>
      <c r="P1880" s="4"/>
      <c r="Q1880" s="11">
        <v>2</v>
      </c>
      <c r="S1880" s="4"/>
      <c r="T1880" s="11">
        <v>2</v>
      </c>
      <c r="V1880" s="4"/>
      <c r="Y1880" s="4"/>
      <c r="Z1880" s="11">
        <v>0</v>
      </c>
      <c r="AB1880" s="4"/>
      <c r="AE1880" s="4"/>
      <c r="AF1880" s="11">
        <v>1</v>
      </c>
      <c r="AH1880" s="4"/>
      <c r="AI1880" s="11">
        <v>1</v>
      </c>
      <c r="AK1880" s="4"/>
      <c r="AL1880" s="4"/>
      <c r="AM1880" s="4"/>
      <c r="AN1880" s="4"/>
      <c r="AO1880" s="4"/>
      <c r="AP1880" s="4"/>
      <c r="AQ1880" s="4"/>
    </row>
    <row r="1881" spans="1:43" s="11" customFormat="1" x14ac:dyDescent="0.25">
      <c r="A1881" s="161" t="str">
        <f t="shared" si="31"/>
        <v>EE_LINE_INFANTRY_ENGLAND</v>
      </c>
      <c r="B1881" s="9"/>
      <c r="C1881" s="4" t="s">
        <v>713</v>
      </c>
      <c r="D1881" s="4"/>
      <c r="E1881" s="4" t="s">
        <v>1987</v>
      </c>
      <c r="F1881" s="4" t="s">
        <v>1987</v>
      </c>
      <c r="G1881" s="14" t="s">
        <v>2049</v>
      </c>
      <c r="H1881" s="4" t="s">
        <v>2010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1</v>
      </c>
      <c r="S1881" s="4"/>
      <c r="T1881" s="11">
        <v>1</v>
      </c>
      <c r="V1881" s="4"/>
      <c r="Y1881" s="4"/>
      <c r="Z1881" s="11">
        <v>0</v>
      </c>
      <c r="AB1881" s="4"/>
      <c r="AE1881" s="4"/>
      <c r="AF1881" s="11">
        <v>1</v>
      </c>
      <c r="AH1881" s="4"/>
      <c r="AI1881" s="11">
        <v>1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161" t="str">
        <f t="shared" si="31"/>
        <v>EE_LINE_INFANTRY_ENGLAND</v>
      </c>
      <c r="B1882" s="9"/>
      <c r="C1882" s="4" t="s">
        <v>713</v>
      </c>
      <c r="D1882" s="4"/>
      <c r="E1882" s="4" t="s">
        <v>1987</v>
      </c>
      <c r="F1882" s="4" t="s">
        <v>1987</v>
      </c>
      <c r="G1882" s="1"/>
      <c r="H1882" s="4" t="s">
        <v>1995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4</v>
      </c>
      <c r="S1882" s="4"/>
      <c r="T1882" s="11">
        <v>6</v>
      </c>
      <c r="V1882" s="4"/>
      <c r="Y1882" s="4"/>
      <c r="Z1882" s="11">
        <v>0</v>
      </c>
      <c r="AB1882" s="4"/>
      <c r="AE1882" s="4"/>
      <c r="AF1882" s="11">
        <v>0</v>
      </c>
      <c r="AH1882" s="4"/>
      <c r="AI1882" s="11">
        <v>3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161" t="str">
        <f t="shared" ref="A1883:A1898" si="32">CONCATENATE(E1883,IF(ISBLANK(C1883),"",CONCATENATE("_",C1883)))</f>
        <v>EE_LINE_INFANTRY_ENGLAND</v>
      </c>
      <c r="B1883" s="9"/>
      <c r="C1883" s="4" t="s">
        <v>713</v>
      </c>
      <c r="D1883" s="4"/>
      <c r="E1883" s="4" t="s">
        <v>1987</v>
      </c>
      <c r="F1883" s="4" t="s">
        <v>1987</v>
      </c>
      <c r="G1883" s="14" t="s">
        <v>2047</v>
      </c>
      <c r="H1883" s="4" t="s">
        <v>2009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2</v>
      </c>
      <c r="S1883" s="4"/>
      <c r="T1883" s="11">
        <v>3</v>
      </c>
      <c r="V1883" s="4"/>
      <c r="Y1883" s="4"/>
      <c r="Z1883" s="11">
        <v>0</v>
      </c>
      <c r="AB1883" s="4"/>
      <c r="AE1883" s="4"/>
      <c r="AF1883" s="11">
        <v>0</v>
      </c>
      <c r="AH1883" s="4"/>
      <c r="AI1883" s="11">
        <v>0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161" t="str">
        <f t="shared" si="32"/>
        <v>EE_LINE_INFANTRY_ENGLAND</v>
      </c>
      <c r="B1884" s="9"/>
      <c r="C1884" s="4" t="s">
        <v>713</v>
      </c>
      <c r="D1884" s="4"/>
      <c r="E1884" s="4" t="s">
        <v>1987</v>
      </c>
      <c r="F1884" s="4" t="s">
        <v>1987</v>
      </c>
      <c r="G1884" s="14" t="s">
        <v>2049</v>
      </c>
      <c r="H1884" s="4" t="s">
        <v>2010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</v>
      </c>
      <c r="S1884" s="4"/>
      <c r="T1884" s="11">
        <v>2</v>
      </c>
      <c r="V1884" s="4"/>
      <c r="Y1884" s="4"/>
      <c r="Z1884" s="11">
        <v>0</v>
      </c>
      <c r="AB1884" s="4"/>
      <c r="AE1884" s="4"/>
      <c r="AF1884" s="11">
        <v>0</v>
      </c>
      <c r="AH1884" s="4"/>
      <c r="AI1884" s="11">
        <v>0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161" t="str">
        <f t="shared" si="32"/>
        <v>EE_LINE_INFANTRY_FRANCE</v>
      </c>
      <c r="B1885" s="9"/>
      <c r="C1885" s="4" t="s">
        <v>715</v>
      </c>
      <c r="D1885" s="4"/>
      <c r="E1885" s="4" t="s">
        <v>1987</v>
      </c>
      <c r="F1885" s="4" t="s">
        <v>1987</v>
      </c>
      <c r="G1885" s="14"/>
      <c r="H1885" s="4" t="s">
        <v>1996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5</v>
      </c>
      <c r="V1885" s="4"/>
      <c r="Y1885" s="4"/>
      <c r="Z1885" s="11">
        <v>1</v>
      </c>
      <c r="AB1885" s="4"/>
      <c r="AE1885" s="4"/>
      <c r="AF1885" s="11">
        <v>1</v>
      </c>
      <c r="AH1885" s="4"/>
      <c r="AI1885" s="11">
        <v>2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161" t="str">
        <f t="shared" si="32"/>
        <v>EE_LINE_INFANTRY_FRANCE</v>
      </c>
      <c r="B1886" s="9"/>
      <c r="C1886" s="4" t="s">
        <v>715</v>
      </c>
      <c r="D1886" s="4"/>
      <c r="E1886" s="4" t="s">
        <v>1987</v>
      </c>
      <c r="F1886" s="4" t="s">
        <v>1987</v>
      </c>
      <c r="G1886" s="14" t="s">
        <v>2047</v>
      </c>
      <c r="H1886" s="4" t="s">
        <v>2007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2</v>
      </c>
      <c r="V1886" s="4"/>
      <c r="Y1886" s="4"/>
      <c r="Z1886" s="11">
        <v>0</v>
      </c>
      <c r="AB1886" s="4"/>
      <c r="AE1886" s="4"/>
      <c r="AF1886" s="11">
        <v>1</v>
      </c>
      <c r="AH1886" s="4"/>
      <c r="AI1886" s="11">
        <v>1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161" t="str">
        <f t="shared" si="32"/>
        <v>EE_LINE_INFANTRY_FRANCE</v>
      </c>
      <c r="B1887" s="9"/>
      <c r="C1887" s="4" t="s">
        <v>715</v>
      </c>
      <c r="D1887" s="4"/>
      <c r="E1887" s="4" t="s">
        <v>1987</v>
      </c>
      <c r="F1887" s="4" t="s">
        <v>1987</v>
      </c>
      <c r="G1887" s="14" t="s">
        <v>2049</v>
      </c>
      <c r="H1887" s="4" t="s">
        <v>2008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1</v>
      </c>
      <c r="V1887" s="4"/>
      <c r="Y1887" s="4"/>
      <c r="Z1887" s="11">
        <v>0</v>
      </c>
      <c r="AB1887" s="4"/>
      <c r="AE1887" s="4"/>
      <c r="AF1887" s="11">
        <v>1</v>
      </c>
      <c r="AH1887" s="4"/>
      <c r="AI1887" s="11">
        <v>1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161" t="str">
        <f t="shared" si="32"/>
        <v>EE_LINE_INFANTRY_FRANCE</v>
      </c>
      <c r="B1888" s="9"/>
      <c r="C1888" s="4" t="s">
        <v>715</v>
      </c>
      <c r="D1888" s="4"/>
      <c r="E1888" s="4" t="s">
        <v>1987</v>
      </c>
      <c r="F1888" s="4" t="s">
        <v>1987</v>
      </c>
      <c r="G1888" s="14"/>
      <c r="H1888" s="4" t="s">
        <v>1996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6</v>
      </c>
      <c r="V1888" s="4"/>
      <c r="Y1888" s="4"/>
      <c r="Z1888" s="11">
        <v>0</v>
      </c>
      <c r="AB1888" s="4"/>
      <c r="AE1888" s="4"/>
      <c r="AF1888" s="11">
        <v>0</v>
      </c>
      <c r="AH1888" s="4"/>
      <c r="AI1888" s="11">
        <v>3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161" t="str">
        <f t="shared" si="32"/>
        <v>EE_LINE_INFANTRY_FRANCE</v>
      </c>
      <c r="B1889" s="9"/>
      <c r="C1889" s="4" t="s">
        <v>715</v>
      </c>
      <c r="D1889" s="4"/>
      <c r="E1889" s="4" t="s">
        <v>1987</v>
      </c>
      <c r="F1889" s="4" t="s">
        <v>1987</v>
      </c>
      <c r="G1889" s="14" t="s">
        <v>2047</v>
      </c>
      <c r="H1889" s="4" t="s">
        <v>2007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3</v>
      </c>
      <c r="V1889" s="4"/>
      <c r="Y1889" s="4"/>
      <c r="Z1889" s="11">
        <v>0</v>
      </c>
      <c r="AB1889" s="4"/>
      <c r="AE1889" s="4"/>
      <c r="AF1889" s="11">
        <v>0</v>
      </c>
      <c r="AH1889" s="4"/>
      <c r="AI1889" s="11">
        <v>0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161" t="str">
        <f t="shared" si="32"/>
        <v>EE_LINE_INFANTRY_FRANCE</v>
      </c>
      <c r="B1890" s="9"/>
      <c r="C1890" s="4" t="s">
        <v>715</v>
      </c>
      <c r="D1890" s="4"/>
      <c r="E1890" s="4" t="s">
        <v>1987</v>
      </c>
      <c r="F1890" s="4" t="s">
        <v>1987</v>
      </c>
      <c r="G1890" s="14" t="s">
        <v>2049</v>
      </c>
      <c r="H1890" s="4" t="s">
        <v>2008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2</v>
      </c>
      <c r="V1890" s="4"/>
      <c r="Y1890" s="4"/>
      <c r="Z1890" s="11">
        <v>0</v>
      </c>
      <c r="AB1890" s="4"/>
      <c r="AE1890" s="4"/>
      <c r="AF1890" s="11">
        <v>0</v>
      </c>
      <c r="AH1890" s="4"/>
      <c r="AI1890" s="11">
        <v>0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161" t="str">
        <f t="shared" si="32"/>
        <v>EE_LINE_INFANTRY_GERMANY</v>
      </c>
      <c r="B1891" s="9"/>
      <c r="C1891" s="4" t="s">
        <v>717</v>
      </c>
      <c r="D1891" s="4"/>
      <c r="E1891" s="4" t="s">
        <v>1987</v>
      </c>
      <c r="F1891" s="4" t="s">
        <v>1987</v>
      </c>
      <c r="G1891" s="14"/>
      <c r="H1891" s="4" t="s">
        <v>1997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5</v>
      </c>
      <c r="V1891" s="4"/>
      <c r="Y1891" s="4"/>
      <c r="Z1891" s="11">
        <v>1</v>
      </c>
      <c r="AB1891" s="4"/>
      <c r="AE1891" s="4"/>
      <c r="AF1891" s="11">
        <v>1</v>
      </c>
      <c r="AH1891" s="4"/>
      <c r="AI1891" s="11">
        <v>2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161" t="str">
        <f t="shared" si="32"/>
        <v>EE_LINE_INFANTRY_GERMANY</v>
      </c>
      <c r="B1892" s="9"/>
      <c r="C1892" s="4" t="s">
        <v>717</v>
      </c>
      <c r="D1892" s="4"/>
      <c r="E1892" s="4" t="s">
        <v>1987</v>
      </c>
      <c r="F1892" s="4" t="s">
        <v>1987</v>
      </c>
      <c r="G1892" s="14" t="s">
        <v>2047</v>
      </c>
      <c r="H1892" s="4" t="s">
        <v>2005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2</v>
      </c>
      <c r="V1892" s="4"/>
      <c r="Y1892" s="4"/>
      <c r="Z1892" s="11">
        <v>0</v>
      </c>
      <c r="AB1892" s="4"/>
      <c r="AE1892" s="4"/>
      <c r="AF1892" s="11">
        <v>1</v>
      </c>
      <c r="AH1892" s="4"/>
      <c r="AI1892" s="11">
        <v>1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161" t="str">
        <f t="shared" si="32"/>
        <v>EE_LINE_INFANTRY_GERMANY</v>
      </c>
      <c r="B1893" s="9"/>
      <c r="C1893" s="4" t="s">
        <v>717</v>
      </c>
      <c r="D1893" s="4"/>
      <c r="E1893" s="4" t="s">
        <v>1987</v>
      </c>
      <c r="F1893" s="4" t="s">
        <v>1987</v>
      </c>
      <c r="G1893" s="14" t="s">
        <v>2049</v>
      </c>
      <c r="H1893" s="4" t="s">
        <v>2006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1</v>
      </c>
      <c r="V1893" s="4"/>
      <c r="Y1893" s="4"/>
      <c r="Z1893" s="11">
        <v>0</v>
      </c>
      <c r="AB1893" s="4"/>
      <c r="AE1893" s="4"/>
      <c r="AF1893" s="11">
        <v>1</v>
      </c>
      <c r="AH1893" s="4"/>
      <c r="AI1893" s="11">
        <v>1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161" t="str">
        <f t="shared" si="32"/>
        <v>EE_LINE_INFANTRY_GERMANY</v>
      </c>
      <c r="B1894" s="9"/>
      <c r="C1894" s="4" t="s">
        <v>717</v>
      </c>
      <c r="D1894" s="4"/>
      <c r="E1894" s="4" t="s">
        <v>1987</v>
      </c>
      <c r="F1894" s="4" t="s">
        <v>1987</v>
      </c>
      <c r="G1894" s="14"/>
      <c r="H1894" s="4" t="s">
        <v>1997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6</v>
      </c>
      <c r="V1894" s="4"/>
      <c r="Y1894" s="4"/>
      <c r="Z1894" s="11">
        <v>0</v>
      </c>
      <c r="AB1894" s="4"/>
      <c r="AE1894" s="4"/>
      <c r="AF1894" s="11">
        <v>0</v>
      </c>
      <c r="AH1894" s="4"/>
      <c r="AI1894" s="11">
        <v>3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161" t="str">
        <f t="shared" si="32"/>
        <v>EE_LINE_INFANTRY_GERMANY</v>
      </c>
      <c r="B1895" s="9"/>
      <c r="C1895" s="4" t="s">
        <v>717</v>
      </c>
      <c r="D1895" s="4"/>
      <c r="E1895" s="4" t="s">
        <v>1987</v>
      </c>
      <c r="F1895" s="4" t="s">
        <v>1987</v>
      </c>
      <c r="G1895" s="14" t="s">
        <v>2047</v>
      </c>
      <c r="H1895" s="4" t="s">
        <v>2005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3</v>
      </c>
      <c r="V1895" s="4"/>
      <c r="Y1895" s="4"/>
      <c r="Z1895" s="11">
        <v>0</v>
      </c>
      <c r="AB1895" s="4"/>
      <c r="AE1895" s="4"/>
      <c r="AF1895" s="11">
        <v>0</v>
      </c>
      <c r="AH1895" s="4"/>
      <c r="AI1895" s="11">
        <v>0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161" t="str">
        <f t="shared" si="32"/>
        <v>EE_LINE_INFANTRY_GERMANY</v>
      </c>
      <c r="B1896" s="9"/>
      <c r="C1896" s="4" t="s">
        <v>717</v>
      </c>
      <c r="D1896" s="4"/>
      <c r="E1896" s="4" t="s">
        <v>1987</v>
      </c>
      <c r="F1896" s="4" t="s">
        <v>1987</v>
      </c>
      <c r="G1896" s="14" t="s">
        <v>2049</v>
      </c>
      <c r="H1896" s="4" t="s">
        <v>2006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2</v>
      </c>
      <c r="V1896" s="4"/>
      <c r="Y1896" s="4"/>
      <c r="Z1896" s="11">
        <v>0</v>
      </c>
      <c r="AB1896" s="4"/>
      <c r="AE1896" s="4"/>
      <c r="AF1896" s="11">
        <v>0</v>
      </c>
      <c r="AH1896" s="4"/>
      <c r="AI1896" s="11">
        <v>0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161" t="str">
        <f t="shared" si="32"/>
        <v>EE_LINE_INFANTRY_NETHERLANDS</v>
      </c>
      <c r="B1897" s="9"/>
      <c r="C1897" s="4" t="s">
        <v>730</v>
      </c>
      <c r="D1897" s="4"/>
      <c r="E1897" s="4" t="s">
        <v>1987</v>
      </c>
      <c r="F1897" s="4" t="s">
        <v>1987</v>
      </c>
      <c r="G1897" s="14"/>
      <c r="H1897" s="4" t="s">
        <v>1998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5</v>
      </c>
      <c r="V1897" s="4"/>
      <c r="Y1897" s="4"/>
      <c r="Z1897" s="11">
        <v>1</v>
      </c>
      <c r="AB1897" s="4"/>
      <c r="AE1897" s="4"/>
      <c r="AF1897" s="11">
        <v>1</v>
      </c>
      <c r="AH1897" s="4"/>
      <c r="AI1897" s="11">
        <v>2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161" t="str">
        <f t="shared" si="32"/>
        <v>EE_LINE_INFANTRY_NETHERLANDS</v>
      </c>
      <c r="B1898" s="9"/>
      <c r="C1898" s="4" t="s">
        <v>730</v>
      </c>
      <c r="D1898" s="4"/>
      <c r="E1898" s="4" t="s">
        <v>1987</v>
      </c>
      <c r="F1898" s="4" t="s">
        <v>1987</v>
      </c>
      <c r="G1898" s="14" t="s">
        <v>2047</v>
      </c>
      <c r="H1898" s="4" t="s">
        <v>2003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2</v>
      </c>
      <c r="V1898" s="4"/>
      <c r="Y1898" s="4"/>
      <c r="Z1898" s="11">
        <v>0</v>
      </c>
      <c r="AB1898" s="4"/>
      <c r="AE1898" s="4"/>
      <c r="AF1898" s="11">
        <v>1</v>
      </c>
      <c r="AH1898" s="4"/>
      <c r="AI1898" s="11">
        <v>1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161" t="str">
        <f>CONCATENATE(E1899,IF(ISBLANK(C1899),"",CONCATENATE("_",C1899)))</f>
        <v>EE_LINE_INFANTRY_NETHERLANDS</v>
      </c>
      <c r="B1899" s="9"/>
      <c r="C1899" s="4" t="s">
        <v>730</v>
      </c>
      <c r="D1899" s="4"/>
      <c r="E1899" s="4" t="s">
        <v>1987</v>
      </c>
      <c r="F1899" s="4" t="s">
        <v>1987</v>
      </c>
      <c r="G1899" s="14" t="s">
        <v>2049</v>
      </c>
      <c r="H1899" s="4" t="s">
        <v>2004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1</v>
      </c>
      <c r="V1899" s="4"/>
      <c r="Y1899" s="4"/>
      <c r="Z1899" s="11">
        <v>0</v>
      </c>
      <c r="AB1899" s="4"/>
      <c r="AE1899" s="4"/>
      <c r="AF1899" s="11">
        <v>1</v>
      </c>
      <c r="AH1899" s="4"/>
      <c r="AI1899" s="11">
        <v>1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161" t="str">
        <f t="shared" ref="A1900:A1920" si="33">CONCATENATE(E1900,IF(ISBLANK(C1900),"",CONCATENATE("_",C1900)))</f>
        <v>EE_LINE_INFANTRY_NETHERLANDS</v>
      </c>
      <c r="B1900" s="9"/>
      <c r="C1900" s="4" t="s">
        <v>730</v>
      </c>
      <c r="D1900" s="4"/>
      <c r="E1900" s="4" t="s">
        <v>1987</v>
      </c>
      <c r="F1900" s="4" t="s">
        <v>1987</v>
      </c>
      <c r="G1900" s="14"/>
      <c r="H1900" s="4" t="s">
        <v>1998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6</v>
      </c>
      <c r="V1900" s="4"/>
      <c r="Y1900" s="4"/>
      <c r="Z1900" s="11">
        <v>0</v>
      </c>
      <c r="AB1900" s="4"/>
      <c r="AE1900" s="4"/>
      <c r="AF1900" s="11">
        <v>0</v>
      </c>
      <c r="AH1900" s="4"/>
      <c r="AI1900" s="11">
        <v>3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161" t="str">
        <f t="shared" si="33"/>
        <v>EE_LINE_INFANTRY_NETHERLANDS</v>
      </c>
      <c r="B1901" s="9"/>
      <c r="C1901" s="4" t="s">
        <v>730</v>
      </c>
      <c r="D1901" s="4"/>
      <c r="E1901" s="4" t="s">
        <v>1987</v>
      </c>
      <c r="F1901" s="4" t="s">
        <v>1987</v>
      </c>
      <c r="G1901" s="14" t="s">
        <v>2047</v>
      </c>
      <c r="H1901" s="4" t="s">
        <v>2003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3</v>
      </c>
      <c r="V1901" s="4"/>
      <c r="Y1901" s="4"/>
      <c r="Z1901" s="11">
        <v>0</v>
      </c>
      <c r="AB1901" s="4"/>
      <c r="AE1901" s="4"/>
      <c r="AF1901" s="11">
        <v>0</v>
      </c>
      <c r="AH1901" s="4"/>
      <c r="AI1901" s="11">
        <v>0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161" t="str">
        <f t="shared" si="33"/>
        <v>EE_LINE_INFANTRY_NETHERLANDS</v>
      </c>
      <c r="B1902" s="9"/>
      <c r="C1902" s="4" t="s">
        <v>730</v>
      </c>
      <c r="D1902" s="4"/>
      <c r="E1902" s="4" t="s">
        <v>1987</v>
      </c>
      <c r="F1902" s="4" t="s">
        <v>1987</v>
      </c>
      <c r="G1902" s="14" t="s">
        <v>2049</v>
      </c>
      <c r="H1902" s="4" t="s">
        <v>2004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2</v>
      </c>
      <c r="V1902" s="4"/>
      <c r="Y1902" s="4"/>
      <c r="Z1902" s="11">
        <v>0</v>
      </c>
      <c r="AB1902" s="4"/>
      <c r="AE1902" s="4"/>
      <c r="AF1902" s="11">
        <v>0</v>
      </c>
      <c r="AH1902" s="4"/>
      <c r="AI1902" s="11">
        <v>0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161" t="str">
        <f t="shared" si="33"/>
        <v>EE_LINE_INFANTRY_RUSSIA</v>
      </c>
      <c r="B1903" s="9"/>
      <c r="C1903" s="4" t="s">
        <v>735</v>
      </c>
      <c r="D1903" s="4"/>
      <c r="E1903" s="4" t="s">
        <v>1987</v>
      </c>
      <c r="F1903" s="4" t="s">
        <v>1987</v>
      </c>
      <c r="G1903" s="14"/>
      <c r="H1903" s="4" t="s">
        <v>1999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5</v>
      </c>
      <c r="V1903" s="4"/>
      <c r="Y1903" s="4"/>
      <c r="Z1903" s="11">
        <v>1</v>
      </c>
      <c r="AB1903" s="4"/>
      <c r="AE1903" s="4"/>
      <c r="AF1903" s="11">
        <v>1</v>
      </c>
      <c r="AH1903" s="4"/>
      <c r="AI1903" s="11">
        <v>2</v>
      </c>
      <c r="AK1903" s="4"/>
      <c r="AL1903" s="4"/>
      <c r="AM1903" s="4"/>
      <c r="AN1903" s="4"/>
      <c r="AO1903" s="4"/>
      <c r="AP1903" s="4"/>
      <c r="AQ1903" s="4"/>
    </row>
    <row r="1904" spans="1:43" s="11" customFormat="1" x14ac:dyDescent="0.25">
      <c r="A1904" s="161" t="str">
        <f t="shared" si="33"/>
        <v>EE_LINE_INFANTRY_RUSSIA</v>
      </c>
      <c r="B1904" s="9"/>
      <c r="C1904" s="4" t="s">
        <v>735</v>
      </c>
      <c r="D1904" s="4"/>
      <c r="E1904" s="4" t="s">
        <v>1987</v>
      </c>
      <c r="F1904" s="4" t="s">
        <v>1987</v>
      </c>
      <c r="G1904" s="14" t="s">
        <v>2047</v>
      </c>
      <c r="H1904" s="4" t="s">
        <v>2001</v>
      </c>
      <c r="I1904" s="4" t="s">
        <v>122</v>
      </c>
      <c r="K1904" s="7">
        <v>1</v>
      </c>
      <c r="L1904" s="4"/>
      <c r="M1904" s="12"/>
      <c r="N1904" s="4"/>
      <c r="O1904" s="4"/>
      <c r="P1904" s="4"/>
      <c r="Q1904" s="11">
        <v>2</v>
      </c>
      <c r="S1904" s="4"/>
      <c r="T1904" s="11">
        <v>2</v>
      </c>
      <c r="V1904" s="4"/>
      <c r="Y1904" s="4"/>
      <c r="Z1904" s="11">
        <v>0</v>
      </c>
      <c r="AB1904" s="4"/>
      <c r="AE1904" s="4"/>
      <c r="AF1904" s="11">
        <v>1</v>
      </c>
      <c r="AH1904" s="4"/>
      <c r="AI1904" s="11">
        <v>1</v>
      </c>
      <c r="AK1904" s="4"/>
      <c r="AL1904" s="4"/>
      <c r="AM1904" s="4"/>
      <c r="AN1904" s="4"/>
      <c r="AO1904" s="4"/>
      <c r="AP1904" s="4"/>
      <c r="AQ1904" s="4"/>
    </row>
    <row r="1905" spans="1:43" s="11" customFormat="1" x14ac:dyDescent="0.25">
      <c r="A1905" s="161" t="str">
        <f t="shared" si="33"/>
        <v>EE_LINE_INFANTRY_RUSSIA</v>
      </c>
      <c r="B1905" s="9"/>
      <c r="C1905" s="4" t="s">
        <v>735</v>
      </c>
      <c r="D1905" s="4"/>
      <c r="E1905" s="4" t="s">
        <v>1987</v>
      </c>
      <c r="F1905" s="4" t="s">
        <v>1987</v>
      </c>
      <c r="G1905" s="14" t="s">
        <v>2049</v>
      </c>
      <c r="H1905" s="4" t="s">
        <v>2002</v>
      </c>
      <c r="I1905" s="4" t="s">
        <v>122</v>
      </c>
      <c r="K1905" s="7">
        <v>1</v>
      </c>
      <c r="L1905" s="4"/>
      <c r="M1905" s="12"/>
      <c r="N1905" s="4"/>
      <c r="O1905" s="4"/>
      <c r="P1905" s="4"/>
      <c r="Q1905" s="11">
        <v>1</v>
      </c>
      <c r="S1905" s="4"/>
      <c r="T1905" s="11">
        <v>1</v>
      </c>
      <c r="V1905" s="4"/>
      <c r="Y1905" s="4"/>
      <c r="Z1905" s="11">
        <v>0</v>
      </c>
      <c r="AB1905" s="4"/>
      <c r="AE1905" s="4"/>
      <c r="AF1905" s="11">
        <v>1</v>
      </c>
      <c r="AH1905" s="4"/>
      <c r="AI1905" s="11">
        <v>1</v>
      </c>
      <c r="AK1905" s="4"/>
      <c r="AL1905" s="4"/>
      <c r="AM1905" s="4"/>
      <c r="AN1905" s="4"/>
      <c r="AO1905" s="4"/>
      <c r="AP1905" s="4"/>
      <c r="AQ1905" s="4"/>
    </row>
    <row r="1906" spans="1:43" s="11" customFormat="1" x14ac:dyDescent="0.25">
      <c r="A1906" s="161" t="str">
        <f t="shared" si="33"/>
        <v>EE_LINE_INFANTRY_RUSSIA</v>
      </c>
      <c r="B1906" s="9"/>
      <c r="C1906" s="4" t="s">
        <v>735</v>
      </c>
      <c r="D1906" s="4"/>
      <c r="E1906" s="4" t="s">
        <v>1987</v>
      </c>
      <c r="F1906" s="4" t="s">
        <v>1987</v>
      </c>
      <c r="G1906" s="14"/>
      <c r="H1906" s="4" t="s">
        <v>1999</v>
      </c>
      <c r="I1906" s="4" t="s">
        <v>122</v>
      </c>
      <c r="K1906" s="7">
        <v>1</v>
      </c>
      <c r="L1906" s="4"/>
      <c r="M1906" s="12"/>
      <c r="N1906" s="4"/>
      <c r="O1906" s="4"/>
      <c r="P1906" s="4"/>
      <c r="Q1906" s="11">
        <v>4</v>
      </c>
      <c r="S1906" s="4"/>
      <c r="T1906" s="11">
        <v>6</v>
      </c>
      <c r="V1906" s="4"/>
      <c r="Y1906" s="4"/>
      <c r="Z1906" s="11">
        <v>0</v>
      </c>
      <c r="AB1906" s="4"/>
      <c r="AE1906" s="4"/>
      <c r="AF1906" s="11">
        <v>0</v>
      </c>
      <c r="AH1906" s="4"/>
      <c r="AI1906" s="11">
        <v>3</v>
      </c>
      <c r="AK1906" s="4"/>
      <c r="AL1906" s="4"/>
      <c r="AM1906" s="4"/>
      <c r="AN1906" s="4"/>
      <c r="AO1906" s="4"/>
      <c r="AP1906" s="4"/>
      <c r="AQ1906" s="4"/>
    </row>
    <row r="1907" spans="1:43" x14ac:dyDescent="0.25">
      <c r="A1907" s="161" t="str">
        <f t="shared" si="33"/>
        <v>EE_LINE_INFANTRY_RUSSIA</v>
      </c>
      <c r="C1907" s="4" t="s">
        <v>735</v>
      </c>
      <c r="E1907" s="4" t="s">
        <v>1987</v>
      </c>
      <c r="F1907" s="4" t="s">
        <v>1987</v>
      </c>
      <c r="G1907" s="14" t="s">
        <v>2047</v>
      </c>
      <c r="H1907" s="4" t="s">
        <v>2001</v>
      </c>
      <c r="I1907" s="4" t="s">
        <v>122</v>
      </c>
      <c r="K1907" s="7">
        <v>1</v>
      </c>
      <c r="Q1907" s="11">
        <v>2</v>
      </c>
      <c r="T1907" s="11">
        <v>3</v>
      </c>
      <c r="Z1907" s="11">
        <v>0</v>
      </c>
      <c r="AF1907" s="11">
        <v>0</v>
      </c>
      <c r="AI1907" s="11">
        <v>0</v>
      </c>
    </row>
    <row r="1908" spans="1:43" x14ac:dyDescent="0.25">
      <c r="A1908" s="161" t="str">
        <f t="shared" si="33"/>
        <v>EE_LINE_INFANTRY_RUSSIA</v>
      </c>
      <c r="C1908" s="4" t="s">
        <v>735</v>
      </c>
      <c r="E1908" s="4" t="s">
        <v>1987</v>
      </c>
      <c r="F1908" s="4" t="s">
        <v>1987</v>
      </c>
      <c r="G1908" s="14" t="s">
        <v>2049</v>
      </c>
      <c r="H1908" s="4" t="s">
        <v>2002</v>
      </c>
      <c r="I1908" s="4" t="s">
        <v>122</v>
      </c>
      <c r="K1908" s="7">
        <v>1</v>
      </c>
      <c r="Q1908" s="11">
        <v>1</v>
      </c>
      <c r="T1908" s="11">
        <v>2</v>
      </c>
      <c r="Z1908" s="11">
        <v>0</v>
      </c>
      <c r="AF1908" s="11">
        <v>0</v>
      </c>
      <c r="AI1908" s="11">
        <v>0</v>
      </c>
    </row>
    <row r="1909" spans="1:43" x14ac:dyDescent="0.25">
      <c r="A1909" s="161" t="str">
        <f t="shared" si="33"/>
        <v>EE_LINE_INFANTRY_SPAIN</v>
      </c>
      <c r="C1909" s="4" t="s">
        <v>738</v>
      </c>
      <c r="E1909" s="4" t="s">
        <v>1987</v>
      </c>
      <c r="F1909" s="4" t="s">
        <v>1987</v>
      </c>
      <c r="G1909" s="14"/>
      <c r="H1909" s="4" t="s">
        <v>2000</v>
      </c>
      <c r="I1909" s="4" t="s">
        <v>122</v>
      </c>
      <c r="K1909" s="7">
        <v>1</v>
      </c>
      <c r="Q1909" s="11">
        <v>14</v>
      </c>
      <c r="T1909" s="11">
        <v>19</v>
      </c>
      <c r="Z1909" s="11">
        <v>1</v>
      </c>
      <c r="AF1909" s="11">
        <v>3</v>
      </c>
      <c r="AI1909" s="11">
        <v>7</v>
      </c>
    </row>
    <row r="1910" spans="1:43" x14ac:dyDescent="0.25">
      <c r="A1910" s="161" t="str">
        <f t="shared" si="33"/>
        <v>EE_LINE_INFANTRY_WITTENBERG</v>
      </c>
      <c r="C1910" s="4" t="s">
        <v>1215</v>
      </c>
      <c r="D1910" s="4" t="s">
        <v>738</v>
      </c>
      <c r="E1910" s="4" t="s">
        <v>1987</v>
      </c>
      <c r="F1910" s="4" t="s">
        <v>1987</v>
      </c>
      <c r="G1910" s="14"/>
      <c r="K1910" s="7">
        <v>1</v>
      </c>
    </row>
    <row r="1911" spans="1:43" x14ac:dyDescent="0.25">
      <c r="A1911" s="161" t="str">
        <f t="shared" si="33"/>
        <v>EE_SHIP_OF_THE_LINE</v>
      </c>
      <c r="E1911" s="4" t="s">
        <v>2180</v>
      </c>
      <c r="F1911" s="4" t="s">
        <v>2180</v>
      </c>
      <c r="G1911" s="14"/>
      <c r="H1911" s="4" t="s">
        <v>2181</v>
      </c>
      <c r="K1911" s="7">
        <v>1</v>
      </c>
      <c r="Q1911" s="7">
        <v>1</v>
      </c>
      <c r="R1911" s="6" t="s">
        <v>1737</v>
      </c>
      <c r="S1911" s="13"/>
      <c r="T1911" s="7">
        <v>2</v>
      </c>
      <c r="U1911" s="6">
        <v>0.115</v>
      </c>
      <c r="V1911" s="5" t="s">
        <v>1700</v>
      </c>
      <c r="W1911" s="6"/>
      <c r="X1911" s="6"/>
      <c r="Y1911" s="5"/>
      <c r="Z1911" s="6"/>
      <c r="AA1911" s="6"/>
      <c r="AB1911" s="5"/>
      <c r="AC1911" s="6"/>
      <c r="AD1911" s="6"/>
      <c r="AE1911" s="5"/>
      <c r="AF1911" s="6"/>
      <c r="AG1911" s="6"/>
      <c r="AH1911" s="5"/>
      <c r="AI1911" s="6"/>
      <c r="AJ1911" s="6"/>
      <c r="AK1911" s="5"/>
      <c r="AL1911" s="5"/>
      <c r="AM1911" s="5"/>
      <c r="AN1911" s="5"/>
      <c r="AO1911" s="5"/>
      <c r="AP1911" s="5"/>
      <c r="AQ1911" s="5"/>
    </row>
    <row r="1912" spans="1:43" x14ac:dyDescent="0.25">
      <c r="A1912" s="161" t="str">
        <f t="shared" si="33"/>
        <v>EE_SKIRMISHER</v>
      </c>
      <c r="E1912" s="4" t="s">
        <v>2066</v>
      </c>
      <c r="F1912" s="4" t="s">
        <v>2066</v>
      </c>
      <c r="H1912" s="4" t="s">
        <v>2067</v>
      </c>
      <c r="I1912" s="4" t="s">
        <v>2068</v>
      </c>
      <c r="K1912" s="7">
        <v>1</v>
      </c>
      <c r="Q1912" s="11">
        <v>14</v>
      </c>
      <c r="R1912" s="11" t="s">
        <v>1737</v>
      </c>
      <c r="S1912" s="4" t="s">
        <v>1620</v>
      </c>
      <c r="T1912" s="11">
        <v>19</v>
      </c>
      <c r="Z1912" s="11">
        <v>1</v>
      </c>
      <c r="AF1912" s="11">
        <v>3</v>
      </c>
      <c r="AI1912" s="11">
        <v>7</v>
      </c>
    </row>
    <row r="1913" spans="1:43" x14ac:dyDescent="0.25">
      <c r="A1913" s="161" t="str">
        <f t="shared" si="33"/>
        <v>EE_SKIRMISHER_MED</v>
      </c>
      <c r="C1913" s="4" t="s">
        <v>692</v>
      </c>
      <c r="E1913" s="4" t="s">
        <v>2066</v>
      </c>
      <c r="F1913" s="4" t="s">
        <v>2066</v>
      </c>
      <c r="G1913" s="4" t="s">
        <v>2049</v>
      </c>
      <c r="H1913" s="4" t="s">
        <v>2076</v>
      </c>
      <c r="I1913" s="4" t="s">
        <v>2074</v>
      </c>
      <c r="K1913" s="7">
        <v>1</v>
      </c>
      <c r="Q1913" s="11">
        <v>6</v>
      </c>
      <c r="T1913" s="11">
        <v>8</v>
      </c>
      <c r="Z1913" s="11">
        <v>1</v>
      </c>
      <c r="AF1913" s="11">
        <v>1</v>
      </c>
      <c r="AI1913" s="11">
        <v>3</v>
      </c>
    </row>
    <row r="1914" spans="1:43" x14ac:dyDescent="0.25">
      <c r="A1914" s="161" t="str">
        <f t="shared" si="33"/>
        <v>EE_SKIRMISHER_MED</v>
      </c>
      <c r="C1914" s="4" t="s">
        <v>692</v>
      </c>
      <c r="E1914" s="4" t="s">
        <v>2066</v>
      </c>
      <c r="F1914" s="4" t="s">
        <v>2066</v>
      </c>
      <c r="G1914" s="4" t="s">
        <v>2047</v>
      </c>
      <c r="H1914" s="4" t="s">
        <v>2075</v>
      </c>
      <c r="I1914" s="4" t="s">
        <v>2074</v>
      </c>
      <c r="K1914" s="7">
        <v>1</v>
      </c>
      <c r="Q1914" s="11">
        <v>1</v>
      </c>
      <c r="T1914" s="11">
        <v>3</v>
      </c>
      <c r="Z1914" s="11">
        <v>0</v>
      </c>
      <c r="AF1914" s="11">
        <v>1</v>
      </c>
      <c r="AI1914" s="11">
        <v>1</v>
      </c>
    </row>
    <row r="1915" spans="1:43" x14ac:dyDescent="0.25">
      <c r="A1915" s="161" t="str">
        <f t="shared" si="33"/>
        <v>EE_SKIRMISHER_MED</v>
      </c>
      <c r="C1915" s="4" t="s">
        <v>692</v>
      </c>
      <c r="E1915" s="4" t="s">
        <v>2066</v>
      </c>
      <c r="F1915" s="4" t="s">
        <v>2066</v>
      </c>
      <c r="H1915" s="4" t="s">
        <v>2073</v>
      </c>
      <c r="I1915" s="4" t="s">
        <v>2074</v>
      </c>
      <c r="K1915" s="7">
        <v>1</v>
      </c>
      <c r="Q1915" s="11">
        <v>2</v>
      </c>
      <c r="T1915" s="11">
        <v>2</v>
      </c>
      <c r="Z1915" s="11">
        <v>0</v>
      </c>
      <c r="AF1915" s="11">
        <v>1</v>
      </c>
      <c r="AI1915" s="11">
        <v>1</v>
      </c>
    </row>
    <row r="1916" spans="1:43" x14ac:dyDescent="0.25">
      <c r="A1916" s="161" t="str">
        <f t="shared" si="33"/>
        <v>EE_SKIRMISHER_MED</v>
      </c>
      <c r="C1916" s="4" t="s">
        <v>692</v>
      </c>
      <c r="E1916" s="4" t="s">
        <v>2066</v>
      </c>
      <c r="F1916" s="4" t="s">
        <v>2066</v>
      </c>
      <c r="G1916" s="4" t="s">
        <v>2049</v>
      </c>
      <c r="H1916" s="4" t="s">
        <v>2076</v>
      </c>
      <c r="I1916" s="4" t="s">
        <v>2074</v>
      </c>
      <c r="K1916" s="7">
        <v>1</v>
      </c>
      <c r="Q1916" s="11">
        <v>4</v>
      </c>
      <c r="T1916" s="11">
        <v>5</v>
      </c>
      <c r="Z1916" s="11">
        <v>0</v>
      </c>
      <c r="AF1916" s="11">
        <v>0</v>
      </c>
      <c r="AI1916" s="11">
        <v>2</v>
      </c>
    </row>
    <row r="1917" spans="1:43" x14ac:dyDescent="0.25">
      <c r="A1917" s="161" t="str">
        <f t="shared" si="33"/>
        <v>EE_SKIRMISHER_MED</v>
      </c>
      <c r="C1917" s="4" t="s">
        <v>692</v>
      </c>
      <c r="E1917" s="4" t="s">
        <v>2066</v>
      </c>
      <c r="F1917" s="4" t="s">
        <v>2066</v>
      </c>
      <c r="H1917" s="4" t="s">
        <v>2073</v>
      </c>
      <c r="I1917" s="4" t="s">
        <v>2074</v>
      </c>
      <c r="K1917" s="7">
        <v>1</v>
      </c>
      <c r="Q1917" s="11">
        <v>0</v>
      </c>
      <c r="T1917" s="11">
        <v>1</v>
      </c>
      <c r="Z1917" s="11">
        <v>0</v>
      </c>
      <c r="AF1917" s="11">
        <v>0</v>
      </c>
      <c r="AI1917" s="11">
        <v>0</v>
      </c>
    </row>
    <row r="1918" spans="1:43" x14ac:dyDescent="0.25">
      <c r="A1918" s="161" t="str">
        <f t="shared" si="33"/>
        <v>EE_SKIRMISHER_SOUTHAM</v>
      </c>
      <c r="C1918" s="4" t="s">
        <v>691</v>
      </c>
      <c r="E1918" s="4" t="s">
        <v>2066</v>
      </c>
      <c r="F1918" s="4" t="s">
        <v>2066</v>
      </c>
      <c r="H1918" s="4" t="s">
        <v>2071</v>
      </c>
      <c r="I1918" s="4" t="s">
        <v>2072</v>
      </c>
      <c r="K1918" s="7">
        <v>1</v>
      </c>
    </row>
    <row r="1919" spans="1:43" x14ac:dyDescent="0.25">
      <c r="A1919" s="161" t="str">
        <f t="shared" si="33"/>
        <v>EE_UHLAN</v>
      </c>
      <c r="E1919" s="4" t="s">
        <v>2179</v>
      </c>
      <c r="F1919" s="4" t="s">
        <v>2179</v>
      </c>
      <c r="H1919" s="4" t="s">
        <v>380</v>
      </c>
      <c r="I1919" s="4" t="s">
        <v>122</v>
      </c>
      <c r="K1919" s="7">
        <v>1</v>
      </c>
      <c r="Q1919" s="7" t="s">
        <v>1695</v>
      </c>
      <c r="R1919" s="6" t="s">
        <v>1695</v>
      </c>
      <c r="S1919" s="13" t="s">
        <v>1695</v>
      </c>
      <c r="T1919" s="6" t="s">
        <v>1695</v>
      </c>
      <c r="U1919" s="7" t="s">
        <v>1695</v>
      </c>
      <c r="V1919" s="5" t="s">
        <v>1701</v>
      </c>
      <c r="W1919" s="6" t="s">
        <v>3</v>
      </c>
      <c r="X1919" s="6" t="s">
        <v>3</v>
      </c>
      <c r="Y1919" s="5"/>
      <c r="Z1919" s="7">
        <v>1</v>
      </c>
      <c r="AA1919" s="6"/>
      <c r="AB1919" s="5"/>
      <c r="AC1919" s="6"/>
      <c r="AD1919" s="6" t="s">
        <v>3</v>
      </c>
      <c r="AE1919" s="5"/>
      <c r="AF1919" s="7" t="s">
        <v>1695</v>
      </c>
      <c r="AG1919" s="6"/>
      <c r="AH1919" s="5"/>
      <c r="AI1919" s="6"/>
      <c r="AJ1919" s="6"/>
      <c r="AK1919" s="5"/>
      <c r="AL1919" s="5"/>
      <c r="AM1919" s="5"/>
      <c r="AN1919" s="5"/>
      <c r="AO1919" s="5"/>
      <c r="AP1919" s="5"/>
      <c r="AQ1919" s="5"/>
    </row>
    <row r="1920" spans="1:43" x14ac:dyDescent="0.25">
      <c r="A1920" s="161" t="str">
        <f t="shared" si="33"/>
        <v>SWORDSMAN_GOTHS</v>
      </c>
      <c r="B1920" s="9" t="s">
        <v>104</v>
      </c>
      <c r="C1920" s="4" t="s">
        <v>2258</v>
      </c>
      <c r="E1920" s="4" t="s">
        <v>104</v>
      </c>
      <c r="F1920" s="4" t="s">
        <v>104</v>
      </c>
      <c r="H1920" s="5" t="s">
        <v>1442</v>
      </c>
      <c r="I1920" s="5" t="s">
        <v>128</v>
      </c>
      <c r="J1920" s="6"/>
      <c r="K1920" s="6"/>
      <c r="L1920" s="13" t="s">
        <v>1708</v>
      </c>
      <c r="M1920" s="8"/>
      <c r="N1920" s="5"/>
      <c r="O1920" s="5"/>
      <c r="P1920" s="5"/>
      <c r="Q1920" s="7">
        <v>10</v>
      </c>
      <c r="R1920" s="6" t="s">
        <v>1737</v>
      </c>
      <c r="S1920" s="13" t="s">
        <v>1620</v>
      </c>
      <c r="T1920" s="7" t="s">
        <v>1737</v>
      </c>
      <c r="U1920" s="7" t="s">
        <v>1737</v>
      </c>
      <c r="V1920" s="5"/>
      <c r="W1920" s="6" t="s">
        <v>3</v>
      </c>
      <c r="X1920" s="6" t="s">
        <v>3</v>
      </c>
      <c r="Y1920" s="5"/>
      <c r="Z1920" s="6">
        <v>1</v>
      </c>
      <c r="AA1920" s="6"/>
      <c r="AB1920" s="5"/>
      <c r="AC1920" s="6"/>
      <c r="AD1920" s="6" t="s">
        <v>3</v>
      </c>
      <c r="AE1920" s="5"/>
      <c r="AF1920" s="7" t="s">
        <v>1737</v>
      </c>
      <c r="AG1920" s="6"/>
      <c r="AH1920" s="5"/>
      <c r="AI1920" s="7">
        <v>6</v>
      </c>
      <c r="AJ1920" s="6"/>
      <c r="AK1920" s="5"/>
      <c r="AL1920" s="5"/>
      <c r="AM1920" s="5"/>
      <c r="AN1920" s="5"/>
      <c r="AO1920" s="5"/>
      <c r="AP1920" s="5"/>
      <c r="AQ1920" s="5"/>
    </row>
  </sheetData>
  <sheetProtection insertRows="0" deleteRows="0" sort="0" autoFilter="0"/>
  <conditionalFormatting sqref="Q1:Q1048576 D1:D1048576 H1:H1048576">
    <cfRule type="expression" dxfId="2" priority="52" stopIfTrue="1">
      <formula>ISBLANK($H1)</formula>
    </cfRule>
  </conditionalFormatting>
  <conditionalFormatting sqref="H1:H1048576">
    <cfRule type="duplicateValues" dxfId="1" priority="2" stopIfTrue="1"/>
  </conditionalFormatting>
  <conditionalFormatting sqref="C1:C1048576">
    <cfRule type="expression" dxfId="0" priority="5" stopIfTrue="1">
      <formula>COUNTIFS(#REF!,#REF!,#REF!,#REF!)&gt;1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2267</v>
      </c>
      <c r="I1" s="159" t="s">
        <v>2270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2267</v>
      </c>
      <c r="I5" s="159" t="s">
        <v>2270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2223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2223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2248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2291</v>
      </c>
      <c r="I124" s="3" t="s">
        <v>2272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2288</v>
      </c>
      <c r="I130" t="s">
        <v>2272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2249</v>
      </c>
      <c r="B134" s="3">
        <v>0</v>
      </c>
      <c r="C134" s="3">
        <v>1</v>
      </c>
      <c r="D134" s="3" t="s">
        <v>1302</v>
      </c>
      <c r="H134"/>
      <c r="I134" t="s">
        <v>2271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2244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2271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2250</v>
      </c>
      <c r="B137" s="3">
        <v>1</v>
      </c>
      <c r="C137" s="3">
        <v>1</v>
      </c>
      <c r="D137" s="3" t="s">
        <v>2223</v>
      </c>
      <c r="H137" t="s">
        <v>2265</v>
      </c>
      <c r="I137" t="s">
        <v>2271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2287</v>
      </c>
      <c r="I141" t="s">
        <v>2272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2263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2260</v>
      </c>
      <c r="B143" s="3">
        <v>0</v>
      </c>
      <c r="C143" s="3">
        <v>1</v>
      </c>
      <c r="D143" s="3" t="s">
        <v>704</v>
      </c>
      <c r="H143" t="s">
        <v>2282</v>
      </c>
      <c r="I143" t="s">
        <v>2272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2261</v>
      </c>
      <c r="B145" s="3">
        <v>0</v>
      </c>
      <c r="C145" s="3">
        <v>1</v>
      </c>
      <c r="D145" s="3" t="s">
        <v>692</v>
      </c>
      <c r="H145" t="s">
        <v>2290</v>
      </c>
      <c r="I145" t="s">
        <v>2272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2259</v>
      </c>
      <c r="B146" s="3">
        <v>0</v>
      </c>
      <c r="C146" s="3">
        <v>1</v>
      </c>
      <c r="D146" s="3" t="s">
        <v>2258</v>
      </c>
      <c r="E146" s="3" t="s">
        <v>962</v>
      </c>
      <c r="H146" t="s">
        <v>2282</v>
      </c>
      <c r="I146" t="s">
        <v>2272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2289</v>
      </c>
      <c r="I149" t="s">
        <v>2272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2286</v>
      </c>
      <c r="I150" t="s">
        <v>2272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2279</v>
      </c>
      <c r="I151" t="s">
        <v>2272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2279</v>
      </c>
      <c r="I155" t="s">
        <v>2272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2264</v>
      </c>
      <c r="B156" s="3">
        <v>0</v>
      </c>
      <c r="C156" s="3">
        <v>1</v>
      </c>
      <c r="D156" s="3" t="s">
        <v>717</v>
      </c>
      <c r="H156"/>
      <c r="I156" t="s">
        <v>2277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2251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2277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2262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2277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2280</v>
      </c>
      <c r="I163" s="3" t="s">
        <v>2271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2278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2288</v>
      </c>
      <c r="I168" t="s">
        <v>2272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2283</v>
      </c>
      <c r="I173" t="s">
        <v>2272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2287</v>
      </c>
      <c r="I183" t="s">
        <v>2272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2247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2286</v>
      </c>
      <c r="I186" t="s">
        <v>2272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2285</v>
      </c>
      <c r="I187" t="s">
        <v>2272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2273</v>
      </c>
      <c r="I192" t="s">
        <v>2272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2284</v>
      </c>
      <c r="I193" t="s">
        <v>2272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2266</v>
      </c>
      <c r="I196" t="s">
        <v>2272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2266</v>
      </c>
      <c r="I201" s="3" t="s">
        <v>2272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2283</v>
      </c>
      <c r="I205" t="s">
        <v>2272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2282</v>
      </c>
      <c r="I207" t="s">
        <v>2272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2268</v>
      </c>
      <c r="I208" t="s">
        <v>2272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2256</v>
      </c>
      <c r="B210" s="3">
        <v>0</v>
      </c>
      <c r="C210" s="3">
        <v>1</v>
      </c>
      <c r="D210" s="3" t="s">
        <v>2258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2255</v>
      </c>
      <c r="B211" s="3">
        <v>0</v>
      </c>
      <c r="C211" s="3">
        <v>1</v>
      </c>
      <c r="D211" s="3" t="s">
        <v>2258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2273</v>
      </c>
      <c r="I213" t="s">
        <v>2272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2274</v>
      </c>
      <c r="B214" s="3">
        <v>0</v>
      </c>
      <c r="C214" s="3">
        <v>1</v>
      </c>
      <c r="D214" s="3" t="s">
        <v>918</v>
      </c>
      <c r="H214" t="s">
        <v>2275</v>
      </c>
      <c r="I214" t="s">
        <v>2276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2245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2281</v>
      </c>
      <c r="I219" s="3" t="s">
        <v>2271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2246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2269</v>
      </c>
      <c r="I220" s="3" t="s">
        <v>2272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2257</v>
      </c>
      <c r="B222" s="3">
        <v>0</v>
      </c>
      <c r="C222" s="3">
        <v>1</v>
      </c>
      <c r="D222" s="3" t="s">
        <v>2258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2267</v>
      </c>
      <c r="G1" s="159" t="s">
        <v>2270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2414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2413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2415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2416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2417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2408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2091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2301</v>
      </c>
      <c r="G104" s="156" t="s">
        <v>2300</v>
      </c>
    </row>
    <row r="105" spans="1:7" x14ac:dyDescent="0.25">
      <c r="A105" s="154" t="s">
        <v>2092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2301</v>
      </c>
      <c r="G105" s="156" t="s">
        <v>2300</v>
      </c>
    </row>
    <row r="106" spans="1:7" x14ac:dyDescent="0.25">
      <c r="A106" s="154" t="s">
        <v>2093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2301</v>
      </c>
      <c r="G106" s="156" t="s">
        <v>2300</v>
      </c>
    </row>
    <row r="107" spans="1:7" x14ac:dyDescent="0.25">
      <c r="A107" s="154" t="s">
        <v>2110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2301</v>
      </c>
      <c r="G107" s="156" t="s">
        <v>2300</v>
      </c>
    </row>
    <row r="108" spans="1:7" x14ac:dyDescent="0.25">
      <c r="A108" s="154" t="s">
        <v>2094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2301</v>
      </c>
      <c r="G108" s="156" t="s">
        <v>2300</v>
      </c>
    </row>
    <row r="109" spans="1:7" x14ac:dyDescent="0.25">
      <c r="A109" s="154" t="s">
        <v>2096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2301</v>
      </c>
      <c r="G109" s="156" t="s">
        <v>2300</v>
      </c>
    </row>
    <row r="110" spans="1:7" x14ac:dyDescent="0.25">
      <c r="A110" s="154" t="s">
        <v>2412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2411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2176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2410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2109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2111</v>
      </c>
      <c r="G114" s="156" t="s">
        <v>2299</v>
      </c>
    </row>
    <row r="115" spans="1:7" x14ac:dyDescent="0.25">
      <c r="A115" s="154" t="s">
        <v>2112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2111</v>
      </c>
      <c r="G115" s="156" t="s">
        <v>2299</v>
      </c>
    </row>
    <row r="116" spans="1:7" x14ac:dyDescent="0.25">
      <c r="A116" s="154" t="s">
        <v>2108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2111</v>
      </c>
      <c r="G116" s="156" t="s">
        <v>2299</v>
      </c>
    </row>
    <row r="117" spans="1:7" x14ac:dyDescent="0.25">
      <c r="A117" s="154" t="s">
        <v>2113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2111</v>
      </c>
      <c r="G117" s="156" t="s">
        <v>2299</v>
      </c>
    </row>
    <row r="118" spans="1:7" x14ac:dyDescent="0.25">
      <c r="A118" s="154" t="s">
        <v>2107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2111</v>
      </c>
      <c r="G118" s="156" t="s">
        <v>2299</v>
      </c>
    </row>
    <row r="119" spans="1:7" x14ac:dyDescent="0.25">
      <c r="A119" s="154" t="s">
        <v>2114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2111</v>
      </c>
      <c r="G119" s="156" t="s">
        <v>2299</v>
      </c>
    </row>
    <row r="120" spans="1:7" x14ac:dyDescent="0.25">
      <c r="A120" s="154" t="s">
        <v>2115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2111</v>
      </c>
      <c r="G120" s="156" t="s">
        <v>2299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2111</v>
      </c>
      <c r="G121" s="156" t="s">
        <v>2299</v>
      </c>
    </row>
    <row r="122" spans="1:7" x14ac:dyDescent="0.25">
      <c r="A122" s="154" t="s">
        <v>2116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2111</v>
      </c>
      <c r="G122" s="156" t="s">
        <v>2299</v>
      </c>
    </row>
    <row r="123" spans="1:7" x14ac:dyDescent="0.25">
      <c r="A123" s="154" t="s">
        <v>2106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2111</v>
      </c>
      <c r="G123" s="156" t="s">
        <v>2299</v>
      </c>
    </row>
    <row r="124" spans="1:7" x14ac:dyDescent="0.25">
      <c r="A124" s="154" t="s">
        <v>2117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2111</v>
      </c>
      <c r="G124" s="156" t="s">
        <v>2299</v>
      </c>
    </row>
    <row r="125" spans="1:7" x14ac:dyDescent="0.25">
      <c r="A125" s="154" t="s">
        <v>2118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2111</v>
      </c>
      <c r="G125" s="156" t="s">
        <v>2299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1"/>
  <sheetViews>
    <sheetView workbookViewId="0">
      <selection activeCell="A12" sqref="A1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2305</v>
      </c>
      <c r="B1" s="162" t="s">
        <v>2312</v>
      </c>
      <c r="C1" s="162" t="s">
        <v>1102</v>
      </c>
      <c r="D1" s="162" t="s">
        <v>2311</v>
      </c>
    </row>
    <row r="2" spans="1:4" x14ac:dyDescent="0.25">
      <c r="B2" s="162"/>
      <c r="C2" s="162"/>
      <c r="D2" s="162"/>
    </row>
    <row r="3" spans="1:4" x14ac:dyDescent="0.25">
      <c r="B3" s="162" t="s">
        <v>2306</v>
      </c>
    </row>
    <row r="4" spans="1:4" x14ac:dyDescent="0.25">
      <c r="B4" t="s">
        <v>2307</v>
      </c>
    </row>
    <row r="5" spans="1:4" x14ac:dyDescent="0.25">
      <c r="B5" s="163" t="s">
        <v>2406</v>
      </c>
    </row>
    <row r="6" spans="1:4" x14ac:dyDescent="0.25">
      <c r="B6" s="162"/>
    </row>
    <row r="7" spans="1:4" x14ac:dyDescent="0.25">
      <c r="B7" s="162" t="s">
        <v>2205</v>
      </c>
    </row>
    <row r="8" spans="1:4" x14ac:dyDescent="0.25">
      <c r="A8" t="s">
        <v>2325</v>
      </c>
      <c r="B8" t="s">
        <v>2202</v>
      </c>
      <c r="C8" t="s">
        <v>2220</v>
      </c>
      <c r="D8" t="s">
        <v>2310</v>
      </c>
    </row>
    <row r="10" spans="1:4" x14ac:dyDescent="0.25">
      <c r="B10" s="162" t="s">
        <v>2302</v>
      </c>
    </row>
    <row r="11" spans="1:4" x14ac:dyDescent="0.25">
      <c r="A11" t="s">
        <v>2324</v>
      </c>
      <c r="B11" t="s">
        <v>2321</v>
      </c>
      <c r="C11" t="s">
        <v>1790</v>
      </c>
      <c r="D11" s="168" t="s">
        <v>2326</v>
      </c>
    </row>
    <row r="12" spans="1:4" x14ac:dyDescent="0.25">
      <c r="B12" t="s">
        <v>2298</v>
      </c>
      <c r="C12" t="s">
        <v>666</v>
      </c>
      <c r="D12" s="168" t="s">
        <v>2315</v>
      </c>
    </row>
    <row r="14" spans="1:4" x14ac:dyDescent="0.25">
      <c r="B14" s="162" t="s">
        <v>2201</v>
      </c>
    </row>
    <row r="15" spans="1:4" x14ac:dyDescent="0.25">
      <c r="A15" t="s">
        <v>1828</v>
      </c>
      <c r="B15" t="s">
        <v>2316</v>
      </c>
    </row>
    <row r="16" spans="1:4" x14ac:dyDescent="0.25">
      <c r="A16" t="s">
        <v>1828</v>
      </c>
      <c r="B16" t="s">
        <v>2317</v>
      </c>
    </row>
    <row r="17" spans="1:4" x14ac:dyDescent="0.25">
      <c r="A17" t="s">
        <v>1828</v>
      </c>
      <c r="B17" t="s">
        <v>2318</v>
      </c>
    </row>
    <row r="18" spans="1:4" x14ac:dyDescent="0.25">
      <c r="A18" t="s">
        <v>1828</v>
      </c>
      <c r="B18" t="s">
        <v>2319</v>
      </c>
    </row>
    <row r="19" spans="1:4" x14ac:dyDescent="0.25">
      <c r="A19" t="s">
        <v>1828</v>
      </c>
      <c r="B19" t="s">
        <v>2320</v>
      </c>
    </row>
    <row r="20" spans="1:4" x14ac:dyDescent="0.25">
      <c r="A20" t="s">
        <v>1828</v>
      </c>
      <c r="B20" t="s">
        <v>2253</v>
      </c>
    </row>
    <row r="21" spans="1:4" x14ac:dyDescent="0.25">
      <c r="A21" t="s">
        <v>1828</v>
      </c>
      <c r="B21" t="s">
        <v>2294</v>
      </c>
    </row>
    <row r="22" spans="1:4" x14ac:dyDescent="0.25">
      <c r="D22" s="168"/>
    </row>
    <row r="23" spans="1:4" x14ac:dyDescent="0.25">
      <c r="B23" s="162" t="s">
        <v>2204</v>
      </c>
    </row>
    <row r="24" spans="1:4" x14ac:dyDescent="0.25">
      <c r="B24" t="s">
        <v>2219</v>
      </c>
    </row>
    <row r="26" spans="1:4" x14ac:dyDescent="0.25">
      <c r="B26" s="162" t="s">
        <v>2203</v>
      </c>
    </row>
    <row r="27" spans="1:4" x14ac:dyDescent="0.25">
      <c r="B27" t="s">
        <v>2297</v>
      </c>
    </row>
    <row r="29" spans="1:4" x14ac:dyDescent="0.25">
      <c r="B29" s="162" t="s">
        <v>2194</v>
      </c>
    </row>
    <row r="30" spans="1:4" x14ac:dyDescent="0.25">
      <c r="B30" t="s">
        <v>2297</v>
      </c>
    </row>
    <row r="32" spans="1:4" x14ac:dyDescent="0.25">
      <c r="B32" s="162" t="s">
        <v>2309</v>
      </c>
    </row>
    <row r="33" spans="1:4" x14ac:dyDescent="0.25">
      <c r="A33" t="s">
        <v>2323</v>
      </c>
      <c r="B33" s="163" t="s">
        <v>2292</v>
      </c>
      <c r="D33" t="s">
        <v>2199</v>
      </c>
    </row>
    <row r="34" spans="1:4" x14ac:dyDescent="0.25">
      <c r="A34" t="s">
        <v>2323</v>
      </c>
      <c r="B34" s="163" t="s">
        <v>2331</v>
      </c>
      <c r="D34" t="s">
        <v>2199</v>
      </c>
    </row>
    <row r="35" spans="1:4" x14ac:dyDescent="0.25">
      <c r="A35" t="s">
        <v>2323</v>
      </c>
      <c r="B35" s="163" t="s">
        <v>2295</v>
      </c>
      <c r="D35" t="s">
        <v>2199</v>
      </c>
    </row>
    <row r="36" spans="1:4" x14ac:dyDescent="0.25">
      <c r="A36" t="s">
        <v>2323</v>
      </c>
      <c r="B36" s="163" t="s">
        <v>2296</v>
      </c>
      <c r="D36" t="s">
        <v>2199</v>
      </c>
    </row>
    <row r="37" spans="1:4" x14ac:dyDescent="0.25">
      <c r="A37" t="s">
        <v>2323</v>
      </c>
      <c r="B37" t="s">
        <v>2198</v>
      </c>
      <c r="C37" t="s">
        <v>501</v>
      </c>
      <c r="D37" t="s">
        <v>2200</v>
      </c>
    </row>
    <row r="38" spans="1:4" x14ac:dyDescent="0.25">
      <c r="A38" t="s">
        <v>2323</v>
      </c>
      <c r="B38" t="s">
        <v>2206</v>
      </c>
      <c r="C38" t="s">
        <v>283</v>
      </c>
      <c r="D38" t="s">
        <v>2199</v>
      </c>
    </row>
    <row r="39" spans="1:4" x14ac:dyDescent="0.25">
      <c r="A39" t="s">
        <v>2323</v>
      </c>
      <c r="B39" t="s">
        <v>2207</v>
      </c>
      <c r="C39" t="s">
        <v>593</v>
      </c>
      <c r="D39" t="s">
        <v>2199</v>
      </c>
    </row>
    <row r="40" spans="1:4" x14ac:dyDescent="0.25">
      <c r="A40" t="s">
        <v>2323</v>
      </c>
      <c r="B40" t="s">
        <v>2209</v>
      </c>
      <c r="C40" t="s">
        <v>164</v>
      </c>
      <c r="D40" t="s">
        <v>2199</v>
      </c>
    </row>
    <row r="41" spans="1:4" x14ac:dyDescent="0.25">
      <c r="A41" t="s">
        <v>2323</v>
      </c>
      <c r="B41" t="s">
        <v>2293</v>
      </c>
      <c r="D41" t="s">
        <v>2199</v>
      </c>
    </row>
    <row r="42" spans="1:4" x14ac:dyDescent="0.25">
      <c r="A42" t="s">
        <v>2323</v>
      </c>
      <c r="B42" t="s">
        <v>2208</v>
      </c>
      <c r="C42" t="s">
        <v>864</v>
      </c>
      <c r="D42" t="s">
        <v>2199</v>
      </c>
    </row>
    <row r="43" spans="1:4" x14ac:dyDescent="0.25">
      <c r="A43" t="s">
        <v>2323</v>
      </c>
      <c r="B43" t="s">
        <v>2210</v>
      </c>
      <c r="C43" t="s">
        <v>450</v>
      </c>
      <c r="D43" t="s">
        <v>2199</v>
      </c>
    </row>
    <row r="44" spans="1:4" x14ac:dyDescent="0.25">
      <c r="A44" t="s">
        <v>2323</v>
      </c>
      <c r="B44" t="s">
        <v>2211</v>
      </c>
      <c r="C44" t="s">
        <v>407</v>
      </c>
      <c r="D44" t="s">
        <v>2199</v>
      </c>
    </row>
    <row r="45" spans="1:4" x14ac:dyDescent="0.25">
      <c r="A45" t="s">
        <v>2323</v>
      </c>
      <c r="B45" t="s">
        <v>2213</v>
      </c>
      <c r="C45" t="s">
        <v>2214</v>
      </c>
      <c r="D45" t="s">
        <v>2199</v>
      </c>
    </row>
    <row r="46" spans="1:4" x14ac:dyDescent="0.25">
      <c r="A46" t="s">
        <v>2323</v>
      </c>
      <c r="B46" t="s">
        <v>2308</v>
      </c>
    </row>
    <row r="47" spans="1:4" x14ac:dyDescent="0.25">
      <c r="A47" t="s">
        <v>1828</v>
      </c>
      <c r="B47" t="s">
        <v>2322</v>
      </c>
    </row>
    <row r="49" spans="1:3" x14ac:dyDescent="0.25">
      <c r="B49" s="162" t="s">
        <v>2304</v>
      </c>
    </row>
    <row r="50" spans="1:3" x14ac:dyDescent="0.25">
      <c r="A50" t="s">
        <v>0</v>
      </c>
      <c r="B50" s="163" t="s">
        <v>2212</v>
      </c>
      <c r="C50" t="s">
        <v>2016</v>
      </c>
    </row>
    <row r="51" spans="1:3" x14ac:dyDescent="0.25">
      <c r="A51" t="s">
        <v>0</v>
      </c>
      <c r="B51" s="163" t="s">
        <v>2215</v>
      </c>
      <c r="C51" t="s">
        <v>2084</v>
      </c>
    </row>
    <row r="52" spans="1:3" x14ac:dyDescent="0.25">
      <c r="A52" t="s">
        <v>0</v>
      </c>
      <c r="B52" s="163" t="s">
        <v>2216</v>
      </c>
      <c r="C52" t="s">
        <v>2102</v>
      </c>
    </row>
    <row r="53" spans="1:3" x14ac:dyDescent="0.25">
      <c r="A53" t="s">
        <v>0</v>
      </c>
      <c r="B53" s="163" t="s">
        <v>2217</v>
      </c>
      <c r="C53" t="s">
        <v>2083</v>
      </c>
    </row>
    <row r="54" spans="1:3" x14ac:dyDescent="0.25">
      <c r="A54" t="s">
        <v>0</v>
      </c>
      <c r="B54" s="163" t="s">
        <v>2218</v>
      </c>
      <c r="C54" t="s">
        <v>2119</v>
      </c>
    </row>
    <row r="55" spans="1:3" x14ac:dyDescent="0.25">
      <c r="A55" t="s">
        <v>0</v>
      </c>
      <c r="B55" s="163" t="s">
        <v>1324</v>
      </c>
      <c r="C55" t="s">
        <v>2221</v>
      </c>
    </row>
    <row r="56" spans="1:3" x14ac:dyDescent="0.25">
      <c r="A56" t="s">
        <v>0</v>
      </c>
      <c r="B56" s="163" t="s">
        <v>1972</v>
      </c>
      <c r="C56" t="s">
        <v>1974</v>
      </c>
    </row>
    <row r="57" spans="1:3" x14ac:dyDescent="0.25">
      <c r="A57" t="s">
        <v>2313</v>
      </c>
      <c r="B57" s="163" t="s">
        <v>2314</v>
      </c>
    </row>
    <row r="58" spans="1:3" x14ac:dyDescent="0.25">
      <c r="B58" s="163"/>
    </row>
    <row r="59" spans="1:3" x14ac:dyDescent="0.25">
      <c r="B59" s="162" t="s">
        <v>2303</v>
      </c>
    </row>
    <row r="60" spans="1:3" x14ac:dyDescent="0.25">
      <c r="A60" t="s">
        <v>0</v>
      </c>
      <c r="B60" t="s">
        <v>2134</v>
      </c>
      <c r="C60" t="s">
        <v>2097</v>
      </c>
    </row>
    <row r="61" spans="1:3" x14ac:dyDescent="0.25">
      <c r="A61" t="s">
        <v>0</v>
      </c>
      <c r="B61" t="s">
        <v>2193</v>
      </c>
      <c r="C61" t="s">
        <v>1792</v>
      </c>
    </row>
    <row r="62" spans="1:3" x14ac:dyDescent="0.25">
      <c r="A62" t="s">
        <v>0</v>
      </c>
      <c r="B62" t="s">
        <v>2135</v>
      </c>
      <c r="C62" t="s">
        <v>2099</v>
      </c>
    </row>
    <row r="63" spans="1:3" x14ac:dyDescent="0.25">
      <c r="A63" t="s">
        <v>0</v>
      </c>
      <c r="B63" t="s">
        <v>2136</v>
      </c>
      <c r="C63" t="s">
        <v>2160</v>
      </c>
    </row>
    <row r="64" spans="1:3" x14ac:dyDescent="0.25">
      <c r="A64" t="s">
        <v>0</v>
      </c>
      <c r="B64" t="s">
        <v>2089</v>
      </c>
      <c r="C64" t="s">
        <v>2130</v>
      </c>
    </row>
    <row r="65" spans="1:3" x14ac:dyDescent="0.25">
      <c r="A65" t="s">
        <v>0</v>
      </c>
      <c r="B65" t="s">
        <v>2137</v>
      </c>
      <c r="C65" t="s">
        <v>2098</v>
      </c>
    </row>
    <row r="66" spans="1:3" x14ac:dyDescent="0.25">
      <c r="A66" t="s">
        <v>0</v>
      </c>
      <c r="B66" t="s">
        <v>2138</v>
      </c>
      <c r="C66" t="s">
        <v>2094</v>
      </c>
    </row>
    <row r="67" spans="1:3" x14ac:dyDescent="0.25">
      <c r="A67" t="s">
        <v>0</v>
      </c>
      <c r="B67" t="s">
        <v>2139</v>
      </c>
      <c r="C67" t="s">
        <v>2094</v>
      </c>
    </row>
    <row r="68" spans="1:3" x14ac:dyDescent="0.25">
      <c r="A68" t="s">
        <v>0</v>
      </c>
      <c r="B68" t="s">
        <v>2140</v>
      </c>
      <c r="C68" t="s">
        <v>2161</v>
      </c>
    </row>
    <row r="69" spans="1:3" x14ac:dyDescent="0.25">
      <c r="A69" t="s">
        <v>0</v>
      </c>
      <c r="B69" t="s">
        <v>2141</v>
      </c>
      <c r="C69" t="s">
        <v>1981</v>
      </c>
    </row>
    <row r="70" spans="1:3" x14ac:dyDescent="0.25">
      <c r="A70" t="s">
        <v>0</v>
      </c>
      <c r="B70" t="s">
        <v>2142</v>
      </c>
      <c r="C70" t="s">
        <v>1977</v>
      </c>
    </row>
    <row r="71" spans="1:3" x14ac:dyDescent="0.25">
      <c r="A71" t="s">
        <v>0</v>
      </c>
      <c r="B71" t="s">
        <v>2143</v>
      </c>
      <c r="C71" t="s">
        <v>1978</v>
      </c>
    </row>
    <row r="72" spans="1:3" x14ac:dyDescent="0.25">
      <c r="A72" t="s">
        <v>0</v>
      </c>
      <c r="B72" t="s">
        <v>2144</v>
      </c>
      <c r="C72" t="s">
        <v>1979</v>
      </c>
    </row>
    <row r="73" spans="1:3" x14ac:dyDescent="0.25">
      <c r="A73" t="s">
        <v>0</v>
      </c>
      <c r="B73" t="s">
        <v>2145</v>
      </c>
      <c r="C73" t="s">
        <v>1983</v>
      </c>
    </row>
    <row r="74" spans="1:3" x14ac:dyDescent="0.25">
      <c r="A74" t="s">
        <v>0</v>
      </c>
      <c r="B74" t="s">
        <v>2146</v>
      </c>
      <c r="C74" t="s">
        <v>1980</v>
      </c>
    </row>
    <row r="75" spans="1:3" x14ac:dyDescent="0.25">
      <c r="A75" t="s">
        <v>0</v>
      </c>
      <c r="B75" t="s">
        <v>2147</v>
      </c>
      <c r="C75" t="s">
        <v>1982</v>
      </c>
    </row>
    <row r="76" spans="1:3" x14ac:dyDescent="0.25">
      <c r="A76" t="s">
        <v>0</v>
      </c>
      <c r="B76" t="s">
        <v>2077</v>
      </c>
      <c r="C76" t="s">
        <v>2079</v>
      </c>
    </row>
    <row r="77" spans="1:3" x14ac:dyDescent="0.25">
      <c r="A77" t="s">
        <v>0</v>
      </c>
      <c r="B77" t="s">
        <v>2069</v>
      </c>
      <c r="C77" t="s">
        <v>337</v>
      </c>
    </row>
    <row r="78" spans="1:3" x14ac:dyDescent="0.25">
      <c r="A78" t="s">
        <v>0</v>
      </c>
      <c r="B78" t="s">
        <v>2148</v>
      </c>
      <c r="C78" t="s">
        <v>2070</v>
      </c>
    </row>
    <row r="79" spans="1:3" x14ac:dyDescent="0.25">
      <c r="A79" t="s">
        <v>0</v>
      </c>
      <c r="B79" t="s">
        <v>1987</v>
      </c>
      <c r="C79" t="s">
        <v>2162</v>
      </c>
    </row>
    <row r="80" spans="1:3" x14ac:dyDescent="0.25">
      <c r="A80" t="s">
        <v>0</v>
      </c>
      <c r="B80" t="s">
        <v>2149</v>
      </c>
      <c r="C80" t="s">
        <v>2163</v>
      </c>
    </row>
    <row r="81" spans="1:3" x14ac:dyDescent="0.25">
      <c r="A81" t="s">
        <v>0</v>
      </c>
      <c r="B81" t="s">
        <v>2150</v>
      </c>
      <c r="C81" t="s">
        <v>1992</v>
      </c>
    </row>
    <row r="82" spans="1:3" x14ac:dyDescent="0.25">
      <c r="A82" t="s">
        <v>0</v>
      </c>
      <c r="B82" t="s">
        <v>2151</v>
      </c>
      <c r="C82" t="s">
        <v>2164</v>
      </c>
    </row>
    <row r="83" spans="1:3" x14ac:dyDescent="0.25">
      <c r="A83" t="s">
        <v>0</v>
      </c>
      <c r="B83" t="s">
        <v>2152</v>
      </c>
      <c r="C83" t="s">
        <v>2165</v>
      </c>
    </row>
    <row r="84" spans="1:3" x14ac:dyDescent="0.25">
      <c r="A84" t="s">
        <v>0</v>
      </c>
      <c r="B84" t="s">
        <v>2153</v>
      </c>
      <c r="C84" t="s">
        <v>2166</v>
      </c>
    </row>
    <row r="85" spans="1:3" x14ac:dyDescent="0.25">
      <c r="A85" t="s">
        <v>0</v>
      </c>
      <c r="B85" t="s">
        <v>2154</v>
      </c>
      <c r="C85" t="s">
        <v>2167</v>
      </c>
    </row>
    <row r="86" spans="1:3" x14ac:dyDescent="0.25">
      <c r="A86" t="s">
        <v>0</v>
      </c>
      <c r="B86" t="s">
        <v>2155</v>
      </c>
      <c r="C86" t="s">
        <v>2168</v>
      </c>
    </row>
    <row r="87" spans="1:3" x14ac:dyDescent="0.25">
      <c r="A87" t="s">
        <v>0</v>
      </c>
      <c r="B87" t="s">
        <v>2156</v>
      </c>
      <c r="C87" t="s">
        <v>2000</v>
      </c>
    </row>
    <row r="88" spans="1:3" x14ac:dyDescent="0.25">
      <c r="A88" t="s">
        <v>0</v>
      </c>
      <c r="B88" t="s">
        <v>2157</v>
      </c>
      <c r="C88" t="s">
        <v>2000</v>
      </c>
    </row>
    <row r="89" spans="1:3" x14ac:dyDescent="0.25">
      <c r="A89" t="s">
        <v>0</v>
      </c>
      <c r="B89" t="s">
        <v>2066</v>
      </c>
      <c r="C89" t="s">
        <v>2067</v>
      </c>
    </row>
    <row r="90" spans="1:3" x14ac:dyDescent="0.25">
      <c r="A90" t="s">
        <v>0</v>
      </c>
      <c r="B90" t="s">
        <v>2158</v>
      </c>
      <c r="C90" t="s">
        <v>2169</v>
      </c>
    </row>
    <row r="91" spans="1:3" x14ac:dyDescent="0.25">
      <c r="A91" t="s">
        <v>0</v>
      </c>
      <c r="B91" t="s">
        <v>2159</v>
      </c>
      <c r="C91" t="s">
        <v>2071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2016-11-26T03:58:30Z</dcterms:modified>
</cp:coreProperties>
</file>