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X:\CiV\Civ5-RED-Modpack\"/>
    </mc:Choice>
  </mc:AlternateContent>
  <bookViews>
    <workbookView xWindow="11160" yWindow="0" windowWidth="4200" windowHeight="8235" tabRatio="582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9"/>
  <calcPr calcId="162913"/>
</workbook>
</file>

<file path=xl/calcChain.xml><?xml version="1.0" encoding="utf-8"?>
<calcChain xmlns="http://schemas.openxmlformats.org/spreadsheetml/2006/main">
  <c r="A938" i="2" l="1"/>
  <c r="A1285" i="2"/>
  <c r="A1284" i="2"/>
  <c r="A1283" i="2"/>
  <c r="A1282" i="2"/>
  <c r="A1281" i="2"/>
  <c r="A1280" i="2"/>
  <c r="A840" i="2"/>
  <c r="A839" i="2"/>
  <c r="A838" i="2"/>
  <c r="A837" i="2"/>
  <c r="A1292" i="2"/>
  <c r="A1100" i="2" l="1"/>
  <c r="A1099" i="2"/>
  <c r="A1098" i="2"/>
  <c r="A1085" i="2"/>
  <c r="A1083" i="2"/>
  <c r="A1084" i="2"/>
  <c r="A258" i="2"/>
  <c r="A259" i="2"/>
  <c r="A261" i="2"/>
  <c r="A260" i="2"/>
  <c r="A2380" i="2" l="1"/>
  <c r="A2354" i="2" l="1"/>
  <c r="A2357" i="2"/>
  <c r="A2356" i="2"/>
  <c r="A2355" i="2"/>
  <c r="A2003" i="2"/>
  <c r="A2002" i="2"/>
  <c r="A2001" i="2"/>
  <c r="A280" i="2"/>
  <c r="A279" i="2"/>
  <c r="A2394" i="2"/>
  <c r="A2393" i="2"/>
  <c r="A2391" i="2"/>
  <c r="A2358" i="2"/>
  <c r="A2361" i="2"/>
  <c r="A2360" i="2"/>
  <c r="A2359" i="2"/>
  <c r="A2379" i="2" l="1"/>
  <c r="A2378" i="2"/>
  <c r="A2377" i="2"/>
  <c r="A2039" i="2"/>
  <c r="A2053" i="2"/>
  <c r="A2035" i="2"/>
  <c r="A2034" i="2"/>
  <c r="A2033" i="2"/>
  <c r="A2048" i="2"/>
  <c r="A2047" i="2"/>
  <c r="A2046" i="2"/>
  <c r="A2036" i="2"/>
  <c r="A2049" i="2"/>
  <c r="A2007" i="2"/>
  <c r="A2006" i="2"/>
  <c r="A1560" i="2"/>
  <c r="A1557" i="2"/>
  <c r="A1559" i="2"/>
  <c r="A1558" i="2"/>
  <c r="A1556" i="2"/>
  <c r="A1674" i="2"/>
  <c r="A1673" i="2"/>
  <c r="A1672" i="2"/>
  <c r="A1666" i="2"/>
  <c r="A2019" i="2" l="1"/>
  <c r="A2018" i="2"/>
  <c r="A2017" i="2"/>
  <c r="A2016" i="2"/>
  <c r="A2110" i="2"/>
  <c r="A2109" i="2"/>
  <c r="A2108" i="2"/>
  <c r="A2107" i="2"/>
  <c r="A2000" i="2"/>
  <c r="A2066" i="2"/>
  <c r="A2065" i="2"/>
  <c r="A2064" i="2"/>
  <c r="A2063" i="2"/>
  <c r="A2062" i="2"/>
  <c r="A2061" i="2"/>
  <c r="A2060" i="2"/>
  <c r="A2031" i="2"/>
  <c r="A2030" i="2"/>
  <c r="A2029" i="2"/>
  <c r="A2028" i="2"/>
  <c r="A2027" i="2"/>
  <c r="A2026" i="2"/>
  <c r="A2025" i="2"/>
  <c r="A2013" i="2"/>
  <c r="A2012" i="2"/>
  <c r="A2069" i="2"/>
  <c r="A2068" i="2"/>
  <c r="A2014" i="2"/>
  <c r="A418" i="2"/>
  <c r="A863" i="2" l="1"/>
  <c r="A436" i="2"/>
  <c r="A987" i="2"/>
  <c r="A1306" i="2"/>
  <c r="A1302" i="2"/>
  <c r="A2038" i="2" l="1"/>
  <c r="A2037" i="2"/>
  <c r="A2398" i="2"/>
  <c r="A2397" i="2"/>
  <c r="A2396" i="2"/>
  <c r="A2395" i="2"/>
  <c r="A2392" i="2"/>
  <c r="A2390" i="2"/>
  <c r="A2389" i="2"/>
  <c r="A2388" i="2"/>
  <c r="A2387" i="2"/>
  <c r="A2386" i="2"/>
  <c r="A2385" i="2"/>
  <c r="A2384" i="2"/>
  <c r="A2383" i="2"/>
  <c r="A2382" i="2"/>
  <c r="A2381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7" i="2"/>
  <c r="A2059" i="2"/>
  <c r="A2058" i="2"/>
  <c r="A2057" i="2"/>
  <c r="A2056" i="2"/>
  <c r="A2055" i="2"/>
  <c r="A2054" i="2"/>
  <c r="A2052" i="2"/>
  <c r="A2051" i="2"/>
  <c r="A2050" i="2"/>
  <c r="A2045" i="2"/>
  <c r="A2044" i="2"/>
  <c r="A2043" i="2"/>
  <c r="A2042" i="2"/>
  <c r="A2041" i="2"/>
  <c r="A2040" i="2"/>
  <c r="A2032" i="2"/>
  <c r="A2021" i="2"/>
  <c r="A2011" i="2"/>
  <c r="A1990" i="2"/>
  <c r="A1987" i="2"/>
  <c r="A1997" i="2"/>
  <c r="A1992" i="2"/>
  <c r="A1991" i="2"/>
  <c r="A1994" i="2"/>
  <c r="A1986" i="2"/>
  <c r="A1985" i="2"/>
  <c r="A2020" i="2"/>
  <c r="A1999" i="2"/>
  <c r="A1998" i="2"/>
  <c r="A1996" i="2"/>
  <c r="A1995" i="2"/>
  <c r="A1993" i="2"/>
  <c r="A1989" i="2"/>
  <c r="A1988" i="2"/>
  <c r="A1984" i="2"/>
  <c r="A1983" i="2"/>
  <c r="A2023" i="2"/>
  <c r="A2022" i="2"/>
  <c r="A2024" i="2"/>
  <c r="A2015" i="2"/>
  <c r="A2004" i="2"/>
  <c r="A1982" i="2"/>
  <c r="A1490" i="2"/>
  <c r="A417" i="2"/>
  <c r="A1305" i="2"/>
  <c r="A1304" i="2"/>
  <c r="A1303" i="2"/>
  <c r="A1301" i="2"/>
  <c r="A1300" i="2"/>
  <c r="A1554" i="2"/>
  <c r="A1550" i="2"/>
  <c r="A239" i="2"/>
  <c r="A1675" i="2"/>
  <c r="A714" i="2"/>
  <c r="A1553" i="2"/>
  <c r="A1552" i="2"/>
  <c r="A1551" i="2"/>
  <c r="A1549" i="2"/>
  <c r="A1548" i="2"/>
  <c r="A194" i="2"/>
  <c r="A201" i="2"/>
  <c r="A203" i="2"/>
  <c r="A202" i="2"/>
  <c r="A200" i="2"/>
  <c r="A199" i="2"/>
  <c r="A198" i="2"/>
  <c r="A197" i="2"/>
  <c r="A196" i="2"/>
  <c r="A195" i="2"/>
  <c r="A111" i="2" l="1"/>
  <c r="A1555" i="2"/>
  <c r="A2010" i="2"/>
  <c r="A791" i="2"/>
  <c r="A1727" i="2"/>
  <c r="A1171" i="2" l="1"/>
  <c r="A188" i="2" l="1"/>
  <c r="A191" i="2" l="1"/>
  <c r="A184" i="2"/>
  <c r="A1842" i="2" l="1"/>
  <c r="A1784" i="2"/>
  <c r="A1067" i="2"/>
  <c r="A264" i="2"/>
  <c r="A278" i="2"/>
  <c r="A283" i="2"/>
  <c r="A282" i="2"/>
  <c r="A281" i="2"/>
  <c r="A286" i="2"/>
  <c r="A285" i="2"/>
  <c r="A284" i="2"/>
  <c r="A271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39" i="2" l="1"/>
  <c r="A1060" i="2"/>
  <c r="A1625" i="2"/>
  <c r="A1755" i="2"/>
  <c r="A1870" i="2"/>
  <c r="A1945" i="2"/>
  <c r="A681" i="2"/>
  <c r="A822" i="2"/>
  <c r="A1063" i="2"/>
  <c r="A1113" i="2"/>
  <c r="A788" i="2"/>
  <c r="A575" i="2"/>
  <c r="A538" i="2"/>
  <c r="A403" i="2"/>
  <c r="A349" i="2"/>
  <c r="A319" i="2"/>
  <c r="A1919" i="2"/>
  <c r="A1732" i="2"/>
  <c r="A518" i="2"/>
  <c r="A387" i="2"/>
  <c r="A305" i="2"/>
  <c r="A1944" i="2"/>
  <c r="A1895" i="2"/>
  <c r="A1753" i="2"/>
  <c r="A1624" i="2"/>
  <c r="A1111" i="2"/>
  <c r="A677" i="2"/>
  <c r="A573" i="2"/>
  <c r="A537" i="2"/>
  <c r="A402" i="2"/>
  <c r="A348" i="2"/>
  <c r="A318" i="2"/>
  <c r="A1752" i="2"/>
  <c r="A1623" i="2"/>
  <c r="A1146" i="2"/>
  <c r="A535" i="2"/>
  <c r="A347" i="2"/>
  <c r="A1942" i="2"/>
  <c r="A1894" i="2"/>
  <c r="A1749" i="2"/>
  <c r="A1620" i="2"/>
  <c r="A1110" i="2"/>
  <c r="A816" i="2"/>
  <c r="A787" i="2"/>
  <c r="A786" i="2"/>
  <c r="A569" i="2"/>
  <c r="A533" i="2"/>
  <c r="A344" i="2"/>
  <c r="A316" i="2"/>
  <c r="A399" i="2"/>
  <c r="A1915" i="2"/>
  <c r="A1872" i="2"/>
  <c r="A1865" i="2"/>
  <c r="A1726" i="2"/>
  <c r="A1601" i="2"/>
  <c r="A1118" i="2"/>
  <c r="A1040" i="2"/>
  <c r="A790" i="2"/>
  <c r="A546" i="2"/>
  <c r="A648" i="2"/>
  <c r="A514" i="2"/>
  <c r="A383" i="2"/>
  <c r="A322" i="2"/>
  <c r="A301" i="2"/>
  <c r="A672" i="2"/>
  <c r="A366" i="2" l="1"/>
  <c r="A168" i="2" l="1"/>
  <c r="A2009" i="2"/>
  <c r="A2008" i="2"/>
  <c r="A2005" i="2"/>
  <c r="A1981" i="2"/>
  <c r="A572" i="2" l="1"/>
  <c r="A1926" i="2" l="1"/>
  <c r="A1885" i="2"/>
  <c r="A1882" i="2"/>
  <c r="A1867" i="2"/>
  <c r="A1866" i="2"/>
  <c r="A1738" i="2"/>
  <c r="A1612" i="2"/>
  <c r="A1610" i="2"/>
  <c r="A1197" i="2"/>
  <c r="A1196" i="2"/>
  <c r="A392" i="2"/>
  <c r="A524" i="2"/>
  <c r="A1130" i="2"/>
  <c r="A1129" i="2"/>
  <c r="A1128" i="2"/>
  <c r="A1050" i="2"/>
  <c r="A1049" i="2"/>
  <c r="A1048" i="2"/>
  <c r="A1047" i="2"/>
  <c r="A801" i="2"/>
  <c r="A779" i="2"/>
  <c r="A776" i="2"/>
  <c r="A778" i="2"/>
  <c r="A659" i="2"/>
  <c r="A557" i="2"/>
  <c r="A555" i="2"/>
  <c r="A310" i="2"/>
  <c r="A309" i="2"/>
  <c r="A332" i="2"/>
  <c r="A334" i="2"/>
  <c r="A393" i="2"/>
  <c r="A391" i="2"/>
  <c r="A525" i="2"/>
  <c r="A523" i="2"/>
  <c r="A1925" i="2"/>
  <c r="A1869" i="2"/>
  <c r="A1868" i="2"/>
  <c r="A1890" i="2"/>
  <c r="A1893" i="2"/>
  <c r="A1884" i="2"/>
  <c r="A257" i="2" l="1"/>
  <c r="A817" i="2"/>
  <c r="A1051" i="2"/>
  <c r="A1962" i="2"/>
  <c r="A1961" i="2"/>
  <c r="A1960" i="2"/>
  <c r="A1959" i="2"/>
  <c r="A1976" i="2"/>
  <c r="A1975" i="2"/>
  <c r="A1973" i="2"/>
  <c r="A1974" i="2"/>
  <c r="A1937" i="2"/>
  <c r="A803" i="2"/>
  <c r="A1929" i="2"/>
  <c r="A1740" i="2"/>
  <c r="A1932" i="2"/>
  <c r="A1334" i="2" l="1"/>
  <c r="A1335" i="2"/>
  <c r="A1338" i="2"/>
  <c r="A1337" i="2"/>
  <c r="A1336" i="2"/>
  <c r="A1333" i="2"/>
  <c r="A153" i="2"/>
  <c r="A177" i="2"/>
  <c r="A128" i="2" l="1"/>
  <c r="A127" i="2"/>
  <c r="A410" i="2" l="1"/>
  <c r="A190" i="2"/>
  <c r="A634" i="2"/>
  <c r="A633" i="2"/>
  <c r="A632" i="2"/>
  <c r="A635" i="2"/>
  <c r="A636" i="2"/>
  <c r="A63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1204" i="2"/>
  <c r="A1203" i="2"/>
  <c r="A1202" i="2"/>
  <c r="A1205" i="2"/>
  <c r="A1206" i="2"/>
  <c r="A1272" i="2"/>
  <c r="A1271" i="2"/>
  <c r="A1270" i="2"/>
  <c r="A1269" i="2"/>
  <c r="A419" i="2"/>
  <c r="A416" i="2"/>
  <c r="A88" i="2"/>
  <c r="A902" i="2"/>
  <c r="A359" i="2"/>
  <c r="A358" i="2"/>
  <c r="A357" i="2"/>
  <c r="A356" i="2"/>
  <c r="A1659" i="2"/>
  <c r="A841" i="2"/>
  <c r="A187" i="2"/>
  <c r="A1093" i="2"/>
  <c r="A186" i="2"/>
  <c r="A1658" i="2"/>
  <c r="A1657" i="2"/>
  <c r="A189" i="2"/>
  <c r="A377" i="2" l="1"/>
  <c r="A379" i="2"/>
  <c r="A1169" i="2" l="1"/>
  <c r="A901" i="2"/>
  <c r="A1703" i="2"/>
  <c r="A1702" i="2"/>
  <c r="A1701" i="2"/>
  <c r="A1700" i="2"/>
  <c r="A1699" i="2"/>
  <c r="A1698" i="2"/>
  <c r="A1495" i="2"/>
  <c r="A691" i="2"/>
  <c r="A690" i="2"/>
  <c r="A689" i="2"/>
  <c r="A1954" i="2"/>
  <c r="A1953" i="2"/>
  <c r="A1487" i="2"/>
  <c r="A1494" i="2"/>
  <c r="A1483" i="2"/>
  <c r="A1482" i="2"/>
  <c r="A1488" i="2"/>
  <c r="A1486" i="2"/>
  <c r="A1496" i="2"/>
  <c r="A368" i="2" l="1"/>
  <c r="A370" i="2"/>
  <c r="A371" i="2"/>
  <c r="A372" i="2"/>
  <c r="A378" i="2"/>
  <c r="A380" i="2"/>
  <c r="A1104" i="2"/>
  <c r="A1103" i="2"/>
  <c r="A1102" i="2"/>
  <c r="A1101" i="2"/>
  <c r="A1097" i="2"/>
  <c r="A1096" i="2"/>
  <c r="A1095" i="2"/>
  <c r="A1094" i="2"/>
  <c r="A1091" i="2"/>
  <c r="A1092" i="2"/>
  <c r="A1090" i="2"/>
  <c r="A612" i="2"/>
  <c r="A825" i="2"/>
  <c r="A220" i="2"/>
  <c r="A422" i="2"/>
  <c r="A913" i="2"/>
  <c r="A912" i="2"/>
  <c r="A911" i="2"/>
  <c r="A910" i="2"/>
  <c r="A909" i="2"/>
  <c r="A908" i="2"/>
  <c r="A412" i="2"/>
  <c r="A476" i="2"/>
  <c r="A1322" i="2"/>
  <c r="A688" i="2"/>
  <c r="A375" i="2"/>
  <c r="A862" i="2"/>
  <c r="A376" i="2"/>
  <c r="A381" i="2"/>
  <c r="A373" i="2"/>
  <c r="A369" i="2"/>
  <c r="A374" i="2"/>
  <c r="A1652" i="2"/>
  <c r="A1651" i="2"/>
  <c r="A1650" i="2"/>
  <c r="A1649" i="2"/>
  <c r="A1648" i="2"/>
  <c r="A1029" i="2"/>
  <c r="A553" i="2"/>
  <c r="A550" i="2"/>
  <c r="A327" i="2"/>
  <c r="A1170" i="2"/>
  <c r="A1168" i="2"/>
  <c r="A1759" i="2"/>
  <c r="A1112" i="2" l="1"/>
  <c r="A1107" i="2"/>
  <c r="A1033" i="2"/>
  <c r="A1028" i="2"/>
  <c r="A324" i="2"/>
  <c r="A1902" i="2"/>
  <c r="A1734" i="2"/>
  <c r="A1729" i="2"/>
  <c r="A1603" i="2"/>
  <c r="A1606" i="2"/>
  <c r="A1192" i="2"/>
  <c r="A1193" i="2"/>
  <c r="A652" i="2"/>
  <c r="A655" i="2"/>
  <c r="A642" i="2"/>
  <c r="A798" i="2"/>
  <c r="A653" i="2"/>
  <c r="A793" i="2"/>
  <c r="A797" i="2"/>
  <c r="A388" i="2"/>
  <c r="A385" i="2"/>
  <c r="A307" i="2"/>
  <c r="A303" i="2"/>
  <c r="A519" i="2"/>
  <c r="A516" i="2"/>
  <c r="A1071" i="2"/>
  <c r="A1072" i="2"/>
  <c r="A1073" i="2"/>
  <c r="A1493" i="2"/>
  <c r="A162" i="2"/>
  <c r="A1896" i="2"/>
  <c r="A768" i="2"/>
  <c r="A774" i="2"/>
  <c r="A771" i="2"/>
  <c r="A772" i="2"/>
  <c r="A769" i="2"/>
  <c r="A784" i="2"/>
  <c r="A770" i="2"/>
  <c r="A775" i="2"/>
  <c r="A777" i="2"/>
  <c r="A780" i="2"/>
  <c r="A781" i="2"/>
  <c r="A782" i="2"/>
  <c r="A773" i="2"/>
  <c r="A783" i="2"/>
  <c r="A785" i="2"/>
  <c r="A1897" i="2"/>
  <c r="A1877" i="2"/>
  <c r="A1892" i="2"/>
  <c r="A1875" i="2"/>
  <c r="A1891" i="2"/>
  <c r="A234" i="2" l="1"/>
  <c r="A384" i="2"/>
  <c r="A1602" i="2"/>
  <c r="A1916" i="2"/>
  <c r="A1873" i="2"/>
  <c r="A1622" i="2"/>
  <c r="A1200" i="2"/>
  <c r="A1191" i="2"/>
  <c r="A1145" i="2"/>
  <c r="A1119" i="2"/>
  <c r="A1041" i="2"/>
  <c r="A1059" i="2"/>
  <c r="A818" i="2"/>
  <c r="A792" i="2"/>
  <c r="A675" i="2"/>
  <c r="A649" i="2"/>
  <c r="A515" i="2"/>
  <c r="A536" i="2"/>
  <c r="A401" i="2"/>
  <c r="A346" i="2"/>
  <c r="A323" i="2"/>
  <c r="A317" i="2"/>
  <c r="A302" i="2"/>
  <c r="A311" i="2"/>
  <c r="A335" i="2"/>
  <c r="A394" i="2"/>
  <c r="A526" i="2"/>
  <c r="A558" i="2"/>
  <c r="A660" i="2"/>
  <c r="A804" i="2"/>
  <c r="A1198" i="2"/>
  <c r="A1741" i="2"/>
  <c r="A1613" i="2"/>
  <c r="A1131" i="2"/>
  <c r="A1030" i="2"/>
  <c r="A1964" i="2"/>
  <c r="A1930" i="2"/>
  <c r="A1886" i="2"/>
  <c r="A1906" i="2"/>
  <c r="A244" i="2"/>
  <c r="A242" i="2"/>
  <c r="A1567" i="2" l="1"/>
  <c r="A1566" i="2"/>
  <c r="A1565" i="2"/>
  <c r="A1564" i="2"/>
  <c r="A1563" i="2"/>
  <c r="A1562" i="2"/>
  <c r="A1313" i="2"/>
  <c r="A1312" i="2"/>
  <c r="A1311" i="2"/>
  <c r="A1310" i="2"/>
  <c r="A1309" i="2"/>
  <c r="A176" i="2"/>
  <c r="A252" i="2"/>
  <c r="A1492" i="2"/>
  <c r="A1646" i="2"/>
  <c r="A1641" i="2"/>
  <c r="A1640" i="2"/>
  <c r="A1635" i="2"/>
  <c r="A1638" i="2"/>
  <c r="A1639" i="2"/>
  <c r="A1715" i="2"/>
  <c r="A1714" i="2"/>
  <c r="A1717" i="2"/>
  <c r="A1716" i="2"/>
  <c r="A1712" i="2"/>
  <c r="A740" i="2"/>
  <c r="A748" i="2"/>
  <c r="A739" i="2"/>
  <c r="A686" i="2"/>
  <c r="A685" i="2"/>
  <c r="A684" i="2"/>
  <c r="A742" i="2"/>
  <c r="A743" i="2"/>
  <c r="A676" i="2"/>
  <c r="A170" i="2"/>
  <c r="A1706" i="2"/>
  <c r="A149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53" i="2"/>
  <c r="A1654" i="2"/>
  <c r="A1655" i="2"/>
  <c r="A165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62" i="2"/>
  <c r="A263" i="2"/>
  <c r="A265" i="2"/>
  <c r="A266" i="2"/>
  <c r="A267" i="2"/>
  <c r="A268" i="2"/>
  <c r="A269" i="2"/>
  <c r="A270" i="2"/>
  <c r="A272" i="2"/>
  <c r="A273" i="2"/>
  <c r="A274" i="2"/>
  <c r="A275" i="2"/>
  <c r="A276" i="2"/>
  <c r="A277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4" i="2"/>
  <c r="A306" i="2"/>
  <c r="A308" i="2"/>
  <c r="A312" i="2"/>
  <c r="A313" i="2"/>
  <c r="A314" i="2"/>
  <c r="A315" i="2"/>
  <c r="A320" i="2"/>
  <c r="A321" i="2"/>
  <c r="A325" i="2"/>
  <c r="A326" i="2"/>
  <c r="A328" i="2"/>
  <c r="A329" i="2"/>
  <c r="A330" i="2"/>
  <c r="A331" i="2"/>
  <c r="A333" i="2"/>
  <c r="A336" i="2"/>
  <c r="A337" i="2"/>
  <c r="A338" i="2"/>
  <c r="A339" i="2"/>
  <c r="A340" i="2"/>
  <c r="A341" i="2"/>
  <c r="A342" i="2"/>
  <c r="A343" i="2"/>
  <c r="A345" i="2"/>
  <c r="A350" i="2"/>
  <c r="A351" i="2"/>
  <c r="A352" i="2"/>
  <c r="A353" i="2"/>
  <c r="A354" i="2"/>
  <c r="A355" i="2"/>
  <c r="A360" i="2"/>
  <c r="A361" i="2"/>
  <c r="A362" i="2"/>
  <c r="A363" i="2"/>
  <c r="A364" i="2"/>
  <c r="A365" i="2"/>
  <c r="A367" i="2"/>
  <c r="A382" i="2"/>
  <c r="A386" i="2"/>
  <c r="A389" i="2"/>
  <c r="A390" i="2"/>
  <c r="A395" i="2"/>
  <c r="A396" i="2"/>
  <c r="A397" i="2"/>
  <c r="A398" i="2"/>
  <c r="A400" i="2"/>
  <c r="A404" i="2"/>
  <c r="A405" i="2"/>
  <c r="A406" i="2"/>
  <c r="A407" i="2"/>
  <c r="A408" i="2"/>
  <c r="A409" i="2"/>
  <c r="A411" i="2"/>
  <c r="A413" i="2"/>
  <c r="A414" i="2"/>
  <c r="A415" i="2"/>
  <c r="A420" i="2"/>
  <c r="A421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4" i="2"/>
  <c r="A503" i="2"/>
  <c r="A505" i="2"/>
  <c r="A506" i="2"/>
  <c r="A507" i="2"/>
  <c r="A508" i="2"/>
  <c r="A509" i="2"/>
  <c r="A510" i="2"/>
  <c r="A511" i="2"/>
  <c r="A512" i="2"/>
  <c r="A513" i="2"/>
  <c r="A517" i="2"/>
  <c r="A520" i="2"/>
  <c r="A521" i="2"/>
  <c r="A522" i="2"/>
  <c r="A527" i="2"/>
  <c r="A528" i="2"/>
  <c r="A529" i="2"/>
  <c r="A530" i="2"/>
  <c r="A531" i="2"/>
  <c r="A532" i="2"/>
  <c r="A534" i="2"/>
  <c r="A539" i="2"/>
  <c r="A540" i="2"/>
  <c r="A541" i="2"/>
  <c r="A542" i="2"/>
  <c r="A543" i="2"/>
  <c r="A544" i="2"/>
  <c r="A545" i="2"/>
  <c r="A547" i="2"/>
  <c r="A548" i="2"/>
  <c r="A549" i="2"/>
  <c r="A551" i="2"/>
  <c r="A552" i="2"/>
  <c r="A554" i="2"/>
  <c r="A556" i="2"/>
  <c r="A559" i="2"/>
  <c r="A560" i="2"/>
  <c r="A561" i="2"/>
  <c r="A562" i="2"/>
  <c r="A563" i="2"/>
  <c r="A564" i="2"/>
  <c r="A565" i="2"/>
  <c r="A566" i="2"/>
  <c r="A567" i="2"/>
  <c r="A568" i="2"/>
  <c r="A570" i="2"/>
  <c r="A571" i="2"/>
  <c r="A574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8" i="2"/>
  <c r="A639" i="2"/>
  <c r="A640" i="2"/>
  <c r="A641" i="2"/>
  <c r="A643" i="2"/>
  <c r="A644" i="2"/>
  <c r="A645" i="2"/>
  <c r="A646" i="2"/>
  <c r="A647" i="2"/>
  <c r="A650" i="2"/>
  <c r="A651" i="2"/>
  <c r="A654" i="2"/>
  <c r="A656" i="2"/>
  <c r="A657" i="2"/>
  <c r="A658" i="2"/>
  <c r="A661" i="2"/>
  <c r="A662" i="2"/>
  <c r="A663" i="2"/>
  <c r="A664" i="2"/>
  <c r="A673" i="2"/>
  <c r="A665" i="2"/>
  <c r="A666" i="2"/>
  <c r="A667" i="2"/>
  <c r="A668" i="2"/>
  <c r="A669" i="2"/>
  <c r="A670" i="2"/>
  <c r="A671" i="2"/>
  <c r="A674" i="2"/>
  <c r="A678" i="2"/>
  <c r="A679" i="2"/>
  <c r="A680" i="2"/>
  <c r="A682" i="2"/>
  <c r="A683" i="2"/>
  <c r="A687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1947" i="2"/>
  <c r="A1948" i="2"/>
  <c r="A1949" i="2"/>
  <c r="A1950" i="2"/>
  <c r="A1951" i="2"/>
  <c r="A1952" i="2"/>
  <c r="A1955" i="2"/>
  <c r="A1956" i="2"/>
  <c r="A1957" i="2"/>
  <c r="A1958" i="2"/>
  <c r="A1963" i="2"/>
  <c r="A1965" i="2"/>
  <c r="A1966" i="2"/>
  <c r="A1967" i="2"/>
  <c r="A1968" i="2"/>
  <c r="A1969" i="2"/>
  <c r="A1970" i="2"/>
  <c r="A1971" i="2"/>
  <c r="A1972" i="2"/>
  <c r="A1977" i="2"/>
  <c r="A1978" i="2"/>
  <c r="A735" i="2"/>
  <c r="A736" i="2"/>
  <c r="A737" i="2"/>
  <c r="A738" i="2"/>
  <c r="A741" i="2"/>
  <c r="A744" i="2"/>
  <c r="A745" i="2"/>
  <c r="A746" i="2"/>
  <c r="A747" i="2"/>
  <c r="A749" i="2"/>
  <c r="A750" i="2"/>
  <c r="A767" i="2"/>
  <c r="A789" i="2"/>
  <c r="A794" i="2"/>
  <c r="A795" i="2"/>
  <c r="A796" i="2"/>
  <c r="A799" i="2"/>
  <c r="A800" i="2"/>
  <c r="A802" i="2"/>
  <c r="A805" i="2"/>
  <c r="A806" i="2"/>
  <c r="A807" i="2"/>
  <c r="A808" i="2"/>
  <c r="A809" i="2"/>
  <c r="A810" i="2"/>
  <c r="A811" i="2"/>
  <c r="A812" i="2"/>
  <c r="A813" i="2"/>
  <c r="A814" i="2"/>
  <c r="A815" i="2"/>
  <c r="A819" i="2"/>
  <c r="A820" i="2"/>
  <c r="A821" i="2"/>
  <c r="A823" i="2"/>
  <c r="A824" i="2"/>
  <c r="A826" i="2"/>
  <c r="A827" i="2"/>
  <c r="A828" i="2"/>
  <c r="A829" i="2"/>
  <c r="A830" i="2"/>
  <c r="A831" i="2"/>
  <c r="A832" i="2"/>
  <c r="A833" i="2"/>
  <c r="A834" i="2"/>
  <c r="A835" i="2"/>
  <c r="A836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1003" i="2"/>
  <c r="A907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2" i="2"/>
  <c r="A1001" i="2"/>
  <c r="A1004" i="2"/>
  <c r="A1005" i="2"/>
  <c r="A1006" i="2"/>
  <c r="A1007" i="2"/>
  <c r="A1008" i="2"/>
  <c r="A1009" i="2"/>
  <c r="A1010" i="2"/>
  <c r="A1011" i="2"/>
  <c r="A1012" i="2"/>
  <c r="A1013" i="2"/>
  <c r="A1014" i="2"/>
  <c r="A173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31" i="2"/>
  <c r="A1032" i="2"/>
  <c r="A1034" i="2"/>
  <c r="A1035" i="2"/>
  <c r="A1036" i="2"/>
  <c r="A1037" i="2"/>
  <c r="A1038" i="2"/>
  <c r="A1039" i="2"/>
  <c r="A1042" i="2"/>
  <c r="A1043" i="2"/>
  <c r="A1044" i="2"/>
  <c r="A1045" i="2"/>
  <c r="A1046" i="2"/>
  <c r="A1052" i="2"/>
  <c r="A1058" i="2"/>
  <c r="A1053" i="2"/>
  <c r="A1054" i="2"/>
  <c r="A1055" i="2"/>
  <c r="A1056" i="2"/>
  <c r="A1057" i="2"/>
  <c r="A1061" i="2"/>
  <c r="A1062" i="2"/>
  <c r="A1064" i="2"/>
  <c r="A1065" i="2"/>
  <c r="A1066" i="2"/>
  <c r="A1068" i="2"/>
  <c r="A1069" i="2"/>
  <c r="A1070" i="2"/>
  <c r="A1074" i="2"/>
  <c r="A1075" i="2"/>
  <c r="A1076" i="2"/>
  <c r="A1078" i="2"/>
  <c r="A1079" i="2"/>
  <c r="A1080" i="2"/>
  <c r="A1081" i="2"/>
  <c r="A1082" i="2"/>
  <c r="A1086" i="2"/>
  <c r="A1087" i="2"/>
  <c r="A1088" i="2"/>
  <c r="A1089" i="2"/>
  <c r="A1105" i="2"/>
  <c r="A1106" i="2"/>
  <c r="A1108" i="2"/>
  <c r="A1109" i="2"/>
  <c r="A1114" i="2"/>
  <c r="A1115" i="2"/>
  <c r="A1116" i="2"/>
  <c r="A1117" i="2"/>
  <c r="A1120" i="2"/>
  <c r="A1121" i="2"/>
  <c r="A1122" i="2"/>
  <c r="A1123" i="2"/>
  <c r="A1124" i="2"/>
  <c r="A1125" i="2"/>
  <c r="A1126" i="2"/>
  <c r="A1127" i="2"/>
  <c r="A1132" i="2"/>
  <c r="A1133" i="2"/>
  <c r="A1134" i="2"/>
  <c r="A1135" i="2"/>
  <c r="A1144" i="2"/>
  <c r="A1136" i="2"/>
  <c r="A1137" i="2"/>
  <c r="A1138" i="2"/>
  <c r="A1140" i="2"/>
  <c r="A1141" i="2"/>
  <c r="A1142" i="2"/>
  <c r="A1143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3" i="2"/>
  <c r="A1175" i="2"/>
  <c r="A1174" i="2"/>
  <c r="A1172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4" i="2"/>
  <c r="A1195" i="2"/>
  <c r="A1199" i="2"/>
  <c r="A1201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73" i="2"/>
  <c r="A1274" i="2"/>
  <c r="A1275" i="2"/>
  <c r="A1276" i="2"/>
  <c r="A1277" i="2"/>
  <c r="A1278" i="2"/>
  <c r="A1279" i="2"/>
  <c r="A1286" i="2"/>
  <c r="A1287" i="2"/>
  <c r="A1288" i="2"/>
  <c r="A1289" i="2"/>
  <c r="A1290" i="2"/>
  <c r="A1291" i="2"/>
  <c r="A1293" i="2"/>
  <c r="A1294" i="2"/>
  <c r="A1295" i="2"/>
  <c r="A1296" i="2"/>
  <c r="A1297" i="2"/>
  <c r="A1298" i="2"/>
  <c r="A1299" i="2"/>
  <c r="A1307" i="2"/>
  <c r="A1308" i="2"/>
  <c r="A1314" i="2"/>
  <c r="A1315" i="2"/>
  <c r="A1316" i="2"/>
  <c r="A1317" i="2"/>
  <c r="A1318" i="2"/>
  <c r="A1319" i="2"/>
  <c r="A1320" i="2"/>
  <c r="A1321" i="2"/>
  <c r="A1323" i="2"/>
  <c r="A1324" i="2"/>
  <c r="A1325" i="2"/>
  <c r="A1326" i="2"/>
  <c r="A1327" i="2"/>
  <c r="A1328" i="2"/>
  <c r="A1329" i="2"/>
  <c r="A1330" i="2"/>
  <c r="A1331" i="2"/>
  <c r="A1332" i="2"/>
  <c r="A1446" i="2"/>
  <c r="A1447" i="2"/>
  <c r="A1448" i="2"/>
  <c r="A1449" i="2"/>
  <c r="A1450" i="2"/>
  <c r="A1451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077" i="2"/>
  <c r="A1477" i="2"/>
  <c r="A1478" i="2"/>
  <c r="A1479" i="2"/>
  <c r="A1480" i="2"/>
  <c r="A1481" i="2"/>
  <c r="A1484" i="2"/>
  <c r="A1485" i="2"/>
  <c r="A1489" i="2"/>
  <c r="A1491" i="2"/>
  <c r="A1497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61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4" i="2"/>
  <c r="A1605" i="2"/>
  <c r="A1607" i="2"/>
  <c r="A1608" i="2"/>
  <c r="A1609" i="2"/>
  <c r="A1611" i="2"/>
  <c r="A1614" i="2"/>
  <c r="A1615" i="2"/>
  <c r="A1616" i="2"/>
  <c r="A1617" i="2"/>
  <c r="A1618" i="2"/>
  <c r="A1619" i="2"/>
  <c r="A1621" i="2"/>
  <c r="A1626" i="2"/>
  <c r="A1627" i="2"/>
  <c r="A1628" i="2"/>
  <c r="A1629" i="2"/>
  <c r="A1630" i="2"/>
  <c r="A1631" i="2"/>
  <c r="A1632" i="2"/>
  <c r="A1633" i="2"/>
  <c r="A1634" i="2"/>
  <c r="A1636" i="2"/>
  <c r="A1637" i="2"/>
  <c r="A1642" i="2"/>
  <c r="A1643" i="2"/>
  <c r="A1644" i="2"/>
  <c r="A1645" i="2"/>
  <c r="A1647" i="2"/>
  <c r="A1660" i="2"/>
  <c r="A1661" i="2"/>
  <c r="A1662" i="2"/>
  <c r="A1663" i="2"/>
  <c r="A1664" i="2"/>
  <c r="A1665" i="2"/>
  <c r="A1667" i="2"/>
  <c r="A1668" i="2"/>
  <c r="A1669" i="2"/>
  <c r="A1670" i="2"/>
  <c r="A1671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704" i="2"/>
  <c r="A1705" i="2"/>
  <c r="A1707" i="2"/>
  <c r="A1708" i="2"/>
  <c r="A1709" i="2"/>
  <c r="A1710" i="2"/>
  <c r="A1711" i="2"/>
  <c r="A1713" i="2"/>
  <c r="A1718" i="2"/>
  <c r="A1719" i="2"/>
  <c r="A1720" i="2"/>
  <c r="A1721" i="2"/>
  <c r="A1722" i="2"/>
  <c r="A1723" i="2"/>
  <c r="A1724" i="2"/>
  <c r="A1725" i="2"/>
  <c r="A1728" i="2"/>
  <c r="A1730" i="2"/>
  <c r="A1731" i="2"/>
  <c r="A1733" i="2"/>
  <c r="A1735" i="2"/>
  <c r="A1736" i="2"/>
  <c r="A1737" i="2"/>
  <c r="A1739" i="2"/>
  <c r="A1742" i="2"/>
  <c r="A1743" i="2"/>
  <c r="A1744" i="2"/>
  <c r="A1745" i="2"/>
  <c r="A1746" i="2"/>
  <c r="A1747" i="2"/>
  <c r="A1748" i="2"/>
  <c r="A1750" i="2"/>
  <c r="A1751" i="2"/>
  <c r="A1754" i="2"/>
  <c r="A1756" i="2"/>
  <c r="A1757" i="2"/>
  <c r="A1758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71" i="2"/>
  <c r="A1874" i="2"/>
  <c r="A1876" i="2"/>
  <c r="A1878" i="2"/>
  <c r="A1879" i="2"/>
  <c r="A1880" i="2"/>
  <c r="A1881" i="2"/>
  <c r="A1883" i="2"/>
  <c r="A1887" i="2"/>
  <c r="A1888" i="2"/>
  <c r="A1889" i="2"/>
  <c r="A1898" i="2"/>
  <c r="A1899" i="2"/>
  <c r="A1900" i="2"/>
  <c r="A1901" i="2"/>
  <c r="A1903" i="2"/>
  <c r="A1904" i="2"/>
  <c r="A1905" i="2"/>
  <c r="A1907" i="2"/>
  <c r="A1908" i="2"/>
  <c r="A1909" i="2"/>
  <c r="A1910" i="2"/>
  <c r="A1911" i="2"/>
  <c r="A1912" i="2"/>
  <c r="A1913" i="2"/>
  <c r="A1914" i="2"/>
  <c r="A1917" i="2"/>
  <c r="A1918" i="2"/>
  <c r="A1920" i="2"/>
  <c r="A1921" i="2"/>
  <c r="A1922" i="2"/>
  <c r="A1923" i="2"/>
  <c r="A1924" i="2"/>
  <c r="A1927" i="2"/>
  <c r="A1928" i="2"/>
  <c r="A1931" i="2"/>
  <c r="A1933" i="2"/>
  <c r="A1934" i="2"/>
  <c r="A1935" i="2"/>
  <c r="A1936" i="2"/>
  <c r="A1938" i="2"/>
  <c r="A1939" i="2"/>
  <c r="A1940" i="2"/>
  <c r="A1941" i="2"/>
  <c r="A1943" i="2"/>
  <c r="A1946" i="2"/>
  <c r="A1979" i="2"/>
  <c r="A198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31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6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6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13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4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4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4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31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72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73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95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7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1004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76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3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5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5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7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3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5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7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7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4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<sst xmlns="http://schemas.openxmlformats.org/spreadsheetml/2006/main" count="19337" uniqueCount="2817">
  <si>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</si>
  <si>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</si>
  <si>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</si>
  <si>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</si>
  <si>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</si>
  <si>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</si>
  <si>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</si>
  <si>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</si>
  <si>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</si>
  <si>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</si>
  <si>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</si>
  <si>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</si>
  <si>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</si>
  <si>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</si>
  <si>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</si>
  <si>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</si>
  <si>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</si>
  <si>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</si>
  <si>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</si>
  <si>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</si>
  <si>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</si>
  <si>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</si>
  <si>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</si>
  <si>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</si>
  <si>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</si>
  <si>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</si>
  <si>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</si>
  <si>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</si>
  <si>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</si>
  <si>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</si>
  <si>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</si>
  <si>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</si>
  <si>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</si>
  <si>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</si>
  <si>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</si>
  <si>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</si>
  <si>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</si>
  <si>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</si>
  <si>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</si>
  <si>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</si>
  <si>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</si>
  <si>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</si>
  <si>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</si>
  <si>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</si>
  <si>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</si>
  <si>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</si>
  <si>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</si>
  <si>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</si>
  <si>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</si>
  <si>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</si>
  <si>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</si>
  <si>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</si>
  <si>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</si>
  <si>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</si>
  <si>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</si>
  <si>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</si>
  <si>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</si>
  <si>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</si>
  <si>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</si>
  <si>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</si>
  <si>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</si>
  <si>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</si>
  <si>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</si>
  <si>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</si>
  <si>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</si>
  <si>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</si>
  <si>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</si>
  <si>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</si>
  <si>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</si>
  <si>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</si>
  <si>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</si>
  <si>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</si>
  <si>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</si>
  <si>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</si>
  <si>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</si>
  <si>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</si>
  <si>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</si>
  <si>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</si>
  <si>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</si>
  <si>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</si>
  <si>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</si>
  <si>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</si>
  <si>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</si>
  <si>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</si>
  <si>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</si>
  <si>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</si>
  <si>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</si>
  <si>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</si>
  <si>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</si>
  <si>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</si>
  <si>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</si>
  <si>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</si>
  <si>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</si>
  <si>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</si>
  <si>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</si>
  <si>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</si>
  <si>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</si>
  <si>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</si>
  <si>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</si>
  <si>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</si>
  <si>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</si>
  <si>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</si>
  <si>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</si>
  <si>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</si>
  <si>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</si>
  <si>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</si>
  <si>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</si>
  <si>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</si>
  <si>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</si>
  <si>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</si>
  <si>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</si>
  <si>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</si>
  <si>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</si>
  <si>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</si>
  <si>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</si>
  <si>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</si>
  <si>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</si>
  <si>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</si>
  <si>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</si>
  <si>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</si>
  <si>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</si>
  <si>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</si>
  <si>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</si>
  <si>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</si>
  <si>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</si>
  <si>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</si>
  <si>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</si>
  <si>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</si>
  <si>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</si>
  <si>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</si>
  <si>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</si>
  <si>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</si>
  <si>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</si>
  <si>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</si>
  <si>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</si>
  <si>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</si>
  <si>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</si>
  <si>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</si>
  <si>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</si>
  <si>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</si>
  <si>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</si>
  <si>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</si>
  <si>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</si>
  <si>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</si>
  <si>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</si>
  <si>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</si>
  <si>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</si>
  <si>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</si>
  <si>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</si>
  <si>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</si>
  <si>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</si>
  <si>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</si>
  <si>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</si>
  <si>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</si>
  <si>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</si>
  <si>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</si>
  <si>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</si>
  <si>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</si>
  <si>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</si>
  <si>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</si>
  <si>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</si>
  <si>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</si>
  <si>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</si>
  <si>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</si>
  <si>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</si>
  <si>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</si>
  <si>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</si>
  <si>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</si>
  <si>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</si>
  <si>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</si>
  <si>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</si>
  <si>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</si>
  <si>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</si>
  <si>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</si>
  <si>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</si>
  <si>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</si>
  <si>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</si>
  <si>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</si>
  <si>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</si>
  <si>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</si>
  <si>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</si>
  <si>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</si>
  <si>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</si>
  <si>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</si>
  <si>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</si>
  <si>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</si>
  <si>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</si>
  <si>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</si>
  <si>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</si>
  <si>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</si>
  <si>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</si>
  <si>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</si>
  <si>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</si>
  <si>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</si>
  <si>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</si>
  <si>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</si>
  <si>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</si>
  <si>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</si>
  <si>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</si>
  <si>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</si>
  <si>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</si>
  <si>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</si>
  <si>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</si>
  <si>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</si>
  <si>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</si>
  <si>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</si>
  <si>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</si>
  <si>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</si>
  <si>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</si>
  <si>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</si>
  <si>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</si>
  <si>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</si>
  <si>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</si>
  <si>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</si>
  <si>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</si>
  <si>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</si>
  <si>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</si>
  <si>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</si>
  <si>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</si>
  <si>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</si>
  <si>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</si>
  <si>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</si>
  <si>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</si>
  <si>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</si>
  <si>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</si>
  <si>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</si>
  <si>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</si>
  <si>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</si>
  <si>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</si>
  <si>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</si>
  <si>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</si>
  <si>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</si>
  <si>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</si>
  <si>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</si>
  <si>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</si>
  <si>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</si>
  <si>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</si>
  <si>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</si>
  <si>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</si>
  <si>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</si>
  <si>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</si>
  <si>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</si>
  <si>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</si>
  <si>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</si>
  <si>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</si>
  <si>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</si>
  <si>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</si>
  <si>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</si>
  <si>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</si>
  <si>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</si>
  <si>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</si>
  <si>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</si>
  <si>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</si>
  <si>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</si>
  <si>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</si>
  <si>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</si>
  <si>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</si>
  <si>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</si>
  <si>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</si>
  <si>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</si>
  <si>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</si>
  <si>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</si>
  <si>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</si>
  <si>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</si>
  <si>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</si>
  <si>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</si>
  <si>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</si>
  <si>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</si>
  <si>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</si>
  <si>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</si>
  <si>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</si>
  <si>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</si>
  <si>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</si>
  <si>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</si>
  <si>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</si>
  <si>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</si>
  <si>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</si>
  <si>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</si>
  <si>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</si>
  <si>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</si>
  <si>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</si>
  <si>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</si>
  <si>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</si>
  <si>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</si>
  <si>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</si>
  <si>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</si>
  <si>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</si>
  <si>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</si>
  <si>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</si>
  <si>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</si>
  <si>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</si>
  <si>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</si>
  <si>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</si>
  <si>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</si>
  <si>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</si>
  <si>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</si>
  <si>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</si>
  <si>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</si>
  <si>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</si>
  <si>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</si>
  <si>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</si>
  <si>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</si>
  <si>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</si>
  <si>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</si>
  <si>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</si>
  <si>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</si>
  <si>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</si>
  <si>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</si>
  <si>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</si>
  <si>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</si>
  <si>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</si>
  <si>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</si>
  <si>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</si>
  <si>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</si>
  <si>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</si>
  <si>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</si>
  <si>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</si>
  <si>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</si>
  <si>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</si>
  <si>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</si>
  <si>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</si>
  <si>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</si>
  <si>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</si>
  <si>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</si>
  <si>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</si>
  <si>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</si>
  <si>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</si>
  <si>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</si>
  <si>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</si>
  <si>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</si>
  <si>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</si>
  <si>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</si>
  <si>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</si>
  <si>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</si>
  <si>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</si>
  <si>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</si>
  <si>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</si>
  <si>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</si>
  <si>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</si>
  <si>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</si>
  <si>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</si>
  <si>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</si>
  <si>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</si>
  <si>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</si>
  <si>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</si>
  <si>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</si>
  <si>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</si>
  <si>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</si>
  <si>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</si>
  <si>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</si>
  <si>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</si>
  <si>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</si>
  <si>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</si>
  <si>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</si>
  <si>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</si>
  <si>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</si>
  <si>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</si>
  <si>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</si>
  <si>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</si>
  <si>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</si>
  <si>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</si>
  <si>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</si>
  <si>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</si>
  <si>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</si>
  <si>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</si>
  <si>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</si>
  <si>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</si>
  <si>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</si>
  <si>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</si>
  <si>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</si>
  <si>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</si>
  <si>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</si>
  <si>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</si>
  <si>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</si>
  <si>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</si>
  <si>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</si>
  <si>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</si>
  <si>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</si>
  <si>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</si>
  <si>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</si>
  <si>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</si>
  <si>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</si>
  <si>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</si>
  <si>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</si>
  <si>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</si>
  <si>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</si>
  <si>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</si>
  <si>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</si>
  <si>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</si>
  <si>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</si>
  <si>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</si>
  <si>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</si>
  <si>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</si>
  <si>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</si>
  <si>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</si>
  <si>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</si>
  <si>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</si>
  <si>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</si>
  <si>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</si>
  <si>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</si>
  <si>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</si>
  <si>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</si>
  <si>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</si>
  <si>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</si>
  <si>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</si>
  <si>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</si>
  <si>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</si>
  <si>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</si>
  <si>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</si>
  <si>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</si>
  <si>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</si>
  <si>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</si>
  <si>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</si>
  <si>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</si>
  <si>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</si>
  <si>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</si>
  <si>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</si>
  <si>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</si>
  <si>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</si>
  <si>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</si>
  <si>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</si>
  <si>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</si>
  <si>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</si>
  <si>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</si>
  <si>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</si>
  <si>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</si>
  <si>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</si>
  <si>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</si>
  <si>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</si>
  <si>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</si>
  <si>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</si>
  <si>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</si>
  <si>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</si>
  <si>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</si>
  <si>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</si>
  <si>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</si>
  <si>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</si>
  <si>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</si>
  <si>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</si>
  <si>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</si>
  <si>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</si>
  <si>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</si>
  <si>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</si>
  <si>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</si>
  <si>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</si>
  <si>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</si>
  <si>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</si>
  <si>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</si>
  <si>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</si>
  <si>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</si>
  <si>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</si>
  <si>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</si>
  <si>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</si>
  <si>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</si>
  <si>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</si>
  <si>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</si>
  <si>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</si>
  <si>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</si>
  <si>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</si>
  <si>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</si>
  <si>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</si>
  <si>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</si>
  <si>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</si>
  <si>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</si>
  <si>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</si>
  <si>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</si>
  <si>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</si>
  <si>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</si>
  <si>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</si>
  <si>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</si>
  <si>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</si>
  <si>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</si>
  <si>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</si>
  <si>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</si>
  <si>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</si>
  <si>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</si>
  <si>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</si>
  <si>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</si>
  <si>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</si>
  <si>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</si>
  <si>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</si>
  <si>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</si>
  <si>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</si>
  <si>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</si>
  <si>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</si>
  <si>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</si>
  <si>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</si>
  <si>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</si>
  <si>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</si>
  <si>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</si>
  <si>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</si>
  <si>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</si>
  <si>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</si>
  <si>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</si>
  <si>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</si>
  <si>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</si>
  <si>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</si>
  <si>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</si>
  <si>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</si>
  <si>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</si>
  <si>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</si>
  <si>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</si>
  <si>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</si>
  <si>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</si>
  <si>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</si>
  <si>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</si>
  <si>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</si>
  <si>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</si>
  <si>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</si>
  <si>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</si>
  <si>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</si>
  <si>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</si>
  <si>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</si>
  <si>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</si>
  <si>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</si>
  <si>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</si>
  <si>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</si>
  <si>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</si>
  <si>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</si>
  <si>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</si>
  <si>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</si>
  <si>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</si>
  <si>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</si>
  <si>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</si>
  <si>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</si>
  <si>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</si>
  <si>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</si>
  <si>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</si>
  <si>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</si>
  <si>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</si>
  <si>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</si>
  <si>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</si>
  <si>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</si>
  <si>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</si>
  <si>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</si>
  <si>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</si>
  <si>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</si>
  <si>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</si>
  <si>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</si>
  <si>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</si>
  <si>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</si>
  <si>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</si>
  <si>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</si>
  <si>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</si>
  <si>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</si>
  <si>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</si>
  <si>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</si>
  <si>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</si>
  <si>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</si>
  <si>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</si>
  <si>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</si>
  <si>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</si>
  <si>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</si>
  <si>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</si>
  <si>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</si>
  <si>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</si>
  <si>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</si>
  <si>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</si>
  <si>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</si>
  <si>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</si>
  <si>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</si>
  <si>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</si>
  <si>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</si>
  <si>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</si>
  <si>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</si>
  <si>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</si>
  <si>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</si>
  <si>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</si>
  <si>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</si>
  <si>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</si>
  <si>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</si>
  <si>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</si>
  <si>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</si>
  <si>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</si>
  <si>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</si>
  <si>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</si>
  <si>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</si>
  <si>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</si>
  <si>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</si>
  <si>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</si>
  <si>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</si>
  <si>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</si>
  <si>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</si>
  <si>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</si>
  <si>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</si>
  <si>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</si>
  <si>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</si>
  <si>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</si>
  <si>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</si>
  <si>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</si>
  <si>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</si>
  <si>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</si>
  <si>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</si>
  <si>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</si>
  <si>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</si>
  <si>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</si>
  <si>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</si>
  <si>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</si>
  <si>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</si>
  <si>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</si>
  <si>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</si>
  <si>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</si>
  <si>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</si>
  <si>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</si>
  <si>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</si>
  <si>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</si>
  <si>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</si>
  <si>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</si>
  <si>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</si>
  <si>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</si>
  <si>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</si>
  <si>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</si>
  <si>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</si>
  <si>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</si>
  <si>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</si>
  <si>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</si>
  <si>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</si>
  <si>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</si>
  <si>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</si>
  <si>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</si>
  <si>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</si>
  <si>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</si>
  <si>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</si>
  <si>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</si>
  <si>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</si>
  <si>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</si>
  <si>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</si>
  <si>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</si>
  <si>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</si>
  <si>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</si>
  <si>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</si>
  <si>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</si>
  <si>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</si>
  <si>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</si>
  <si>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</si>
  <si>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</si>
  <si>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</si>
  <si>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</si>
  <si>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</si>
  <si>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</si>
  <si>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</si>
  <si>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</si>
  <si>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</si>
  <si>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</si>
  <si>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</si>
  <si>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</si>
  <si>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</si>
  <si>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</si>
  <si>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</si>
  <si>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</si>
  <si>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</si>
  <si>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</si>
  <si>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</si>
  <si>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</si>
  <si>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</si>
  <si>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</si>
  <si>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</si>
  <si>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</si>
  <si>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</si>
  <si>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</si>
  <si>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</si>
  <si>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</si>
  <si>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</si>
  <si>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</si>
  <si>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</si>
  <si>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</si>
  <si>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</si>
  <si>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</si>
  <si>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</si>
  <si>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</si>
  <si>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</si>
  <si>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</si>
  <si>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</si>
  <si>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</si>
  <si>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</si>
  <si>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</si>
  <si>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</si>
  <si>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</si>
  <si>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</si>
  <si>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</si>
  <si>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</si>
  <si>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</si>
  <si>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</si>
  <si>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</si>
  <si>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</si>
  <si>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</si>
  <si>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</si>
  <si>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</si>
  <si>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</si>
  <si>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</si>
  <si>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</si>
  <si>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</si>
  <si>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</si>
  <si>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</si>
  <si>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</si>
  <si>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</si>
  <si>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</si>
  <si>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</si>
  <si>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</si>
  <si>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</si>
  <si>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</si>
  <si>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</si>
  <si>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</si>
  <si>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</si>
  <si>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</si>
  <si>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</si>
  <si>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</si>
  <si>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</si>
  <si>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</si>
  <si>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</si>
  <si>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</si>
  <si>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</si>
  <si>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</si>
  <si>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</si>
  <si>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</si>
  <si>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</si>
  <si>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</si>
  <si>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</si>
  <si>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</si>
  <si>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</si>
  <si>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</si>
  <si>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</si>
  <si>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</si>
  <si>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</si>
  <si>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</si>
  <si>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</si>
  <si>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</si>
  <si>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</si>
  <si>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</si>
  <si>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</si>
  <si>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</si>
  <si>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</si>
  <si>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</si>
  <si>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</si>
  <si>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</si>
  <si>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</si>
  <si>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</si>
  <si>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</si>
  <si>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</si>
  <si>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</si>
  <si>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</si>
  <si>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</si>
  <si>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</si>
  <si>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</si>
  <si>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</si>
  <si>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</si>
  <si>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</si>
  <si>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</si>
  <si>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</si>
  <si>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</si>
  <si>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</si>
  <si>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</si>
  <si>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</si>
  <si>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</si>
  <si>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</si>
  <si>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</si>
  <si>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</si>
  <si>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</si>
  <si>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</si>
  <si>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</si>
  <si>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</si>
  <si>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</si>
  <si>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</si>
  <si>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</si>
  <si>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</si>
  <si>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</si>
  <si>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</si>
  <si>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</si>
  <si>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</si>
  <si>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</si>
  <si>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</si>
  <si>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</si>
  <si>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</si>
  <si>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</si>
  <si>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</si>
  <si>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</si>
  <si>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</si>
  <si>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</si>
  <si>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</si>
  <si>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</si>
  <si>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</si>
  <si>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</si>
  <si>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</si>
  <si>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</si>
  <si>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</si>
  <si>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</si>
  <si>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</si>
  <si>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</si>
  <si>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</si>
  <si>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</si>
  <si>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</si>
  <si>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</si>
  <si>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</si>
  <si>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</si>
  <si>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</si>
  <si>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</si>
  <si>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</si>
  <si>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</si>
  <si>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</si>
  <si>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</si>
  <si>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</si>
  <si>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</si>
  <si>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</si>
  <si>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</si>
  <si>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</si>
  <si>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</si>
  <si>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</si>
  <si>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</si>
  <si>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</si>
  <si>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</si>
  <si>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</si>
  <si>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</si>
  <si>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</si>
  <si>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</si>
  <si>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</si>
  <si>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</si>
  <si>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</si>
  <si>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</si>
  <si>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</si>
  <si>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</si>
  <si>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</si>
  <si>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</si>
  <si>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</si>
  <si>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</si>
  <si>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</si>
  <si>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</si>
  <si>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</si>
  <si>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</si>
  <si>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</si>
  <si>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</si>
  <si>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</si>
  <si>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</si>
  <si>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</si>
  <si>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</si>
  <si>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</si>
  <si>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</si>
  <si>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</si>
  <si>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</si>
  <si>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</si>
  <si>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</si>
  <si>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</si>
  <si>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</si>
  <si>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</si>
  <si>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</si>
  <si>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</si>
  <si>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</si>
  <si>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</si>
  <si>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</si>
  <si>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</si>
  <si>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</si>
  <si>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</si>
  <si>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</si>
  <si>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</si>
  <si>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</si>
  <si>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</si>
  <si>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</si>
  <si>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</si>
  <si>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</si>
  <si>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</si>
  <si>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</si>
  <si>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</si>
  <si>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</si>
  <si>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</si>
  <si>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</si>
  <si>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</si>
  <si>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</si>
  <si>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</si>
  <si>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</si>
  <si>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</si>
  <si>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</si>
  <si>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</si>
  <si>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</si>
  <si>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</si>
  <si>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</si>
  <si>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</si>
  <si>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</si>
  <si>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</si>
  <si>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</si>
  <si>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</si>
  <si>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</si>
  <si>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</si>
  <si>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</si>
  <si>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</si>
  <si>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</si>
  <si>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</si>
  <si>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</si>
  <si>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</si>
  <si>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</si>
  <si>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</si>
  <si>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</si>
  <si>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</si>
  <si>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</si>
  <si>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</si>
  <si>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</si>
  <si>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</si>
  <si>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</si>
  <si>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</si>
  <si>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</si>
  <si>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</si>
  <si>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</si>
  <si>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</si>
  <si>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</si>
  <si>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</si>
  <si>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</si>
  <si>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</si>
  <si>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</si>
  <si>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</si>
  <si>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</si>
  <si>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</si>
  <si>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</si>
  <si>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</si>
  <si>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</si>
  <si>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</si>
  <si>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</si>
  <si>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</si>
  <si>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</si>
  <si>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</si>
  <si>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</si>
  <si>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</si>
  <si>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</si>
  <si>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</si>
  <si>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</si>
  <si>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</si>
  <si>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</si>
  <si>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</si>
  <si>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</si>
  <si>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</si>
  <si>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</si>
  <si>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</si>
  <si>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</si>
  <si>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</si>
  <si>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</si>
  <si>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</si>
  <si>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</si>
  <si>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</si>
  <si>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</si>
  <si>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</si>
  <si>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</si>
  <si>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</si>
  <si>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</si>
  <si>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</si>
  <si>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</si>
  <si>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</si>
  <si>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</si>
  <si>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</si>
  <si>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</si>
  <si>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</si>
  <si>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</si>
  <si>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</si>
  <si>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</si>
  <si>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</si>
  <si>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</si>
  <si>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</si>
  <si>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</si>
  <si>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</si>
  <si>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</si>
  <si>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</si>
  <si>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</si>
  <si>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</si>
  <si>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</si>
  <si>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</si>
  <si>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</si>
  <si>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</si>
  <si>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</si>
  <si>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</si>
  <si>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</si>
  <si>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</si>
  <si>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</si>
  <si>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</si>
  <si>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</si>
  <si>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</si>
  <si>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</si>
  <si>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</si>
  <si>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</si>
  <si>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</si>
  <si>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</si>
  <si>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</si>
  <si>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</si>
  <si>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</si>
  <si>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</si>
  <si>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</si>
  <si>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</si>
  <si>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</si>
  <si>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</si>
  <si>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</si>
  <si>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</si>
  <si>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</si>
  <si>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</si>
  <si>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</si>
  <si>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</si>
  <si>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</si>
  <si>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</si>
  <si>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</si>
  <si>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</si>
  <si>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</si>
  <si>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</si>
  <si>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</si>
  <si>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</si>
  <si>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</si>
  <si>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</si>
  <si>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</si>
  <si>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</si>
  <si>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</si>
  <si>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</si>
  <si>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</si>
  <si>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</si>
  <si>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</si>
  <si>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</si>
  <si>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</si>
  <si>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</si>
  <si>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</si>
  <si>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</si>
  <si>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</si>
  <si>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</si>
  <si>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</si>
  <si>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</si>
  <si>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</si>
  <si>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</si>
  <si>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</si>
  <si>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</si>
  <si>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</si>
  <si>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</si>
  <si>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</si>
  <si>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</si>
  <si>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</si>
  <si>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</si>
  <si>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</si>
  <si>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</si>
  <si>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</si>
  <si>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</si>
  <si>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</si>
  <si>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</si>
  <si>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</si>
  <si>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</si>
  <si>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</si>
  <si>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</si>
  <si>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</si>
  <si>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</si>
  <si>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</si>
  <si>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</si>
  <si>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</si>
  <si>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</si>
  <si>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</si>
  <si>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</si>
  <si>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</si>
  <si>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</si>
  <si>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</si>
  <si>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</si>
  <si>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</si>
  <si>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</si>
  <si>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</si>
  <si>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</si>
  <si>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</si>
  <si>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</si>
  <si>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</si>
  <si>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</si>
  <si>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</si>
  <si>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</si>
  <si>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</si>
  <si>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</si>
  <si>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</si>
  <si>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</si>
  <si>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</si>
  <si>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</si>
  <si>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</si>
  <si>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</si>
  <si>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</si>
  <si>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</si>
  <si>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</si>
  <si>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</si>
  <si>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</si>
  <si>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</si>
  <si>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</si>
  <si>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</si>
  <si>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</si>
  <si>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</si>
  <si>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</si>
  <si>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</si>
  <si>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</si>
  <si>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</si>
  <si>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</si>
  <si>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</si>
  <si>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</si>
  <si>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</si>
  <si>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</si>
  <si>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</si>
  <si>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</si>
  <si>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</si>
  <si>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</si>
  <si>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</si>
  <si>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</si>
  <si>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</si>
  <si>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</si>
  <si>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</si>
  <si>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</si>
  <si>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</si>
  <si>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</si>
  <si>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</si>
  <si>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</si>
  <si>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</si>
  <si>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</si>
  <si>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</si>
  <si>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</si>
  <si>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</si>
  <si>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</si>
  <si>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</si>
  <si>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</si>
  <si>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</si>
  <si>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</si>
  <si>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</si>
  <si>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</si>
  <si>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</si>
  <si>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</si>
  <si>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</si>
  <si>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</si>
  <si>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</si>
  <si>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</si>
  <si>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</si>
  <si>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</si>
  <si>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</si>
  <si>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</si>
  <si>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</si>
  <si>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</si>
  <si>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</si>
  <si>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</si>
  <si>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</si>
  <si>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</si>
  <si>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</si>
  <si>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</si>
  <si>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</si>
  <si>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</si>
  <si>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</si>
  <si>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</si>
  <si>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</si>
  <si>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</si>
  <si>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</si>
  <si>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</si>
  <si>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</si>
  <si>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</si>
  <si>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</si>
  <si>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</si>
  <si>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</si>
  <si>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</si>
  <si>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</si>
  <si>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</si>
  <si>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</si>
  <si>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</si>
  <si>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</si>
  <si>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</si>
  <si>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</si>
  <si>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</si>
  <si>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</si>
  <si>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</si>
  <si>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</si>
  <si>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</si>
  <si>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</si>
  <si>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</si>
  <si>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</si>
  <si>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</si>
  <si>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</si>
  <si>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</si>
  <si>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</si>
  <si>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</si>
  <si>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</si>
  <si>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</si>
  <si>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</si>
  <si>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</si>
  <si>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</si>
  <si>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</si>
  <si>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</si>
  <si>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</si>
  <si>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</si>
  <si>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</si>
  <si>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</si>
  <si>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</si>
  <si>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</si>
  <si>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</si>
  <si>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</si>
  <si>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</si>
  <si>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</si>
  <si>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</si>
  <si>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</si>
  <si>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</si>
  <si>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</si>
  <si>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</si>
  <si>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</si>
  <si>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</si>
  <si>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</si>
  <si>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</si>
  <si>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</si>
  <si>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</si>
  <si>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</si>
  <si>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</si>
  <si>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</si>
  <si>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</si>
  <si>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</si>
  <si>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</si>
  <si>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</si>
  <si>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</si>
  <si>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</si>
  <si>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</si>
  <si>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</si>
  <si>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</si>
  <si>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</si>
  <si>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</si>
  <si>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</si>
  <si>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</si>
  <si>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</si>
  <si>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</si>
  <si>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</si>
  <si>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</si>
  <si>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</si>
  <si>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</si>
  <si>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</si>
  <si>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</si>
  <si>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</si>
  <si>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</si>
  <si>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</si>
  <si>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</si>
  <si>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</si>
  <si>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</si>
  <si>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</si>
  <si>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</si>
  <si>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</si>
  <si>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</si>
  <si>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</si>
  <si>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</si>
  <si>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</si>
  <si>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</si>
  <si>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</si>
  <si>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</si>
  <si>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</si>
  <si>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</si>
  <si>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</si>
  <si>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</si>
  <si>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</si>
  <si>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</si>
  <si>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</si>
  <si>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</si>
  <si>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</si>
  <si>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</si>
  <si>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</si>
  <si>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</si>
  <si>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</si>
  <si>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</si>
  <si>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</si>
  <si>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</si>
  <si>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</si>
  <si>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</si>
  <si>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</si>
  <si>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</si>
  <si>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</si>
  <si>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</si>
  <si>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</si>
  <si>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</si>
  <si>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</si>
  <si>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</si>
  <si>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</si>
  <si>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</si>
  <si>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</si>
  <si>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</si>
  <si>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</si>
  <si>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</si>
  <si>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</si>
  <si>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</si>
  <si>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</si>
  <si>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</si>
  <si>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</si>
  <si>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</si>
  <si>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</si>
  <si>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</si>
  <si>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</si>
  <si>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</si>
  <si>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</si>
  <si>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</si>
  <si>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</si>
  <si>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</si>
  <si>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</si>
  <si>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</si>
  <si>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</si>
  <si>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</si>
  <si>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</si>
  <si>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</si>
  <si>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</si>
  <si>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</si>
  <si>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</si>
  <si>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</si>
  <si>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</si>
  <si>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</si>
  <si>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</si>
  <si>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</si>
  <si>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</si>
  <si>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</si>
  <si>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</si>
  <si>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</si>
  <si>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</si>
  <si>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</si>
  <si>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</si>
  <si>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</si>
  <si>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</si>
  <si>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</si>
  <si>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</si>
  <si>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</si>
  <si>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</si>
  <si>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</si>
  <si>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</si>
  <si>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</si>
  <si>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</si>
  <si>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</si>
  <si>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</si>
  <si>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</si>
  <si>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</si>
  <si>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</si>
  <si>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</si>
  <si>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</si>
  <si>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</si>
  <si>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</si>
  <si>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</si>
  <si>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</si>
  <si>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</si>
  <si>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</si>
  <si>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</si>
  <si>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</si>
  <si>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</si>
  <si>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</si>
  <si>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</si>
  <si>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</si>
  <si>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</si>
  <si>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</si>
  <si>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</si>
  <si>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</si>
  <si>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</si>
  <si>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</si>
  <si>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</si>
  <si>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</si>
  <si>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</si>
  <si>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</si>
  <si>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</si>
  <si>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</si>
  <si>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</si>
  <si>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</si>
  <si>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</si>
  <si>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</si>
  <si>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</si>
  <si>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</si>
  <si>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</si>
  <si>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</si>
  <si>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</si>
  <si>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</si>
  <si>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</si>
  <si>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</si>
  <si>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</si>
  <si>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</si>
  <si>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</si>
  <si>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</si>
  <si>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</si>
  <si>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</si>
  <si>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</si>
  <si>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</si>
  <si>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</si>
  <si>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</si>
  <si>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</si>
  <si>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</si>
  <si>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</si>
  <si>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</si>
  <si>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</si>
  <si>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</si>
  <si>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</si>
  <si>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</si>
  <si>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</si>
  <si>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</si>
  <si>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</si>
  <si>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</si>
  <si>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</si>
  <si>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</si>
  <si>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</si>
  <si>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</si>
  <si>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</si>
  <si>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</si>
  <si>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</si>
  <si>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</si>
  <si>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</si>
  <si>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</si>
  <si>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</si>
  <si>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</si>
  <si>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</si>
  <si>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</si>
  <si>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</si>
  <si>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</si>
  <si>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</si>
  <si>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</si>
  <si>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</si>
  <si>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</si>
  <si>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</si>
  <si>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</si>
  <si>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</si>
  <si>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</si>
  <si>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</si>
  <si>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</si>
  <si>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</si>
  <si>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</si>
  <si>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</si>
  <si>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</si>
  <si>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</si>
  <si>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</si>
  <si>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</si>
  <si>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</si>
  <si>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</si>
  <si>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</si>
  <si>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</si>
  <si>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</si>
  <si>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</si>
  <si>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</si>
  <si>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</si>
  <si>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</si>
  <si>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</si>
  <si>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</si>
  <si>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</si>
  <si>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</si>
  <si>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</si>
  <si>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</si>
  <si>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</si>
  <si>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</si>
  <si>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</si>
  <si>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</si>
  <si>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</si>
  <si>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</si>
  <si>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</si>
  <si>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</si>
  <si>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</si>
  <si>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</si>
  <si>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</si>
  <si>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</si>
  <si>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</si>
  <si>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</si>
  <si>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</si>
  <si>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</si>
  <si>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</si>
  <si>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</si>
  <si>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</si>
  <si>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</si>
  <si>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</si>
  <si>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</si>
  <si>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</si>
  <si>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</si>
  <si>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</si>
  <si>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</si>
  <si>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</si>
  <si>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</si>
  <si>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</si>
  <si>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</si>
  <si>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</si>
  <si>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</si>
  <si>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</si>
  <si>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</si>
  <si>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</si>
  <si>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</si>
  <si>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</si>
  <si>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</si>
  <si>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</si>
  <si>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</si>
  <si>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</si>
  <si>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</si>
  <si>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</si>
  <si>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</si>
  <si>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</si>
  <si>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</si>
  <si>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</si>
  <si>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</si>
  <si>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</si>
  <si>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</si>
  <si>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</si>
  <si>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</si>
  <si>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</si>
  <si>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</si>
  <si>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</si>
  <si>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</si>
  <si>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</si>
  <si>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</si>
  <si>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</si>
  <si>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</si>
  <si>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</si>
  <si>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</si>
  <si>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</si>
  <si>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</si>
  <si>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</si>
  <si>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</si>
  <si>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</si>
  <si>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</si>
  <si>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</si>
  <si>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</si>
  <si>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</si>
  <si>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</si>
  <si>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</si>
  <si>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</si>
  <si>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</si>
  <si>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</si>
  <si>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</si>
  <si>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</si>
  <si>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</si>
  <si>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</si>
  <si>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</si>
  <si>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</si>
  <si>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</si>
  <si>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</si>
  <si>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</si>
  <si>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</si>
  <si>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</si>
  <si>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</si>
  <si>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</si>
  <si>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</si>
  <si>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</si>
  <si>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</si>
  <si>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</si>
  <si>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</si>
  <si>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</si>
  <si>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</si>
  <si>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</si>
  <si>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</si>
  <si>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</si>
  <si>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</si>
  <si>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</si>
  <si>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</si>
  <si>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</si>
  <si>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</si>
  <si>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</si>
  <si>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</si>
  <si>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</si>
  <si>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</si>
  <si>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</si>
  <si>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</si>
  <si>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</si>
  <si>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</si>
  <si>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</si>
  <si>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</si>
  <si>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</si>
  <si>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</si>
  <si>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</si>
  <si>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</si>
  <si>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</si>
  <si>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</si>
  <si>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</si>
  <si>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</si>
  <si>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</si>
  <si>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</si>
  <si>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</si>
  <si>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</si>
  <si>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</si>
  <si>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</si>
  <si>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</si>
  <si>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</si>
  <si>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</si>
  <si>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</si>
  <si>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</si>
  <si>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</si>
  <si>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</si>
  <si>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</si>
  <si>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</si>
  <si>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</si>
  <si>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</si>
  <si>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</si>
  <si>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</si>
  <si>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</si>
  <si>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</si>
  <si>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</si>
  <si>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</si>
  <si>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</si>
  <si>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</si>
  <si>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</si>
  <si>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</si>
  <si>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</si>
  <si>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</si>
  <si>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</si>
  <si>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</si>
  <si>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</si>
  <si>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</si>
  <si>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</si>
  <si>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</si>
  <si>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</si>
  <si>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</si>
  <si>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</si>
  <si>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</si>
  <si>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</si>
  <si>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</si>
  <si>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</si>
  <si>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</si>
  <si>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</si>
  <si>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</si>
  <si>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</si>
  <si>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</si>
  <si>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</si>
  <si>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</si>
  <si>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</si>
  <si>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</si>
  <si>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</si>
  <si>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</si>
  <si>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</si>
  <si>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</si>
  <si>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</si>
  <si>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</si>
  <si>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</si>
  <si>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</si>
  <si>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</si>
  <si>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</si>
  <si>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</si>
  <si>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</si>
  <si>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</si>
  <si>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</si>
  <si>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</si>
  <si>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</si>
  <si>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</si>
  <si>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</si>
  <si>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</si>
  <si>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</si>
  <si>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</si>
  <si>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</si>
  <si>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</si>
  <si>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</si>
  <si>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</si>
  <si>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</si>
  <si>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</si>
  <si>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</si>
  <si>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</si>
  <si>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</si>
  <si>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</si>
  <si>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</si>
  <si>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</si>
  <si>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</si>
  <si>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</si>
  <si>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</si>
  <si>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</si>
  <si>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</si>
  <si>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</si>
  <si>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</si>
  <si>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</si>
  <si>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</si>
  <si>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</si>
  <si>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</si>
  <si>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</si>
  <si>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</si>
  <si>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</si>
  <si>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</si>
  <si>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</si>
  <si>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</si>
  <si>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</si>
  <si>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</si>
  <si>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</si>
  <si>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</si>
  <si>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</si>
  <si>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</si>
  <si>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</si>
  <si>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</si>
  <si>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</si>
  <si>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</si>
  <si>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</si>
  <si>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</si>
  <si>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</si>
  <si>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</si>
  <si>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</si>
  <si>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</si>
  <si>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</si>
  <si>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</si>
  <si>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</si>
  <si>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</si>
  <si>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</si>
  <si>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</si>
  <si>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</si>
  <si>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</si>
  <si>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</si>
  <si>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</si>
  <si>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</si>
  <si>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</si>
  <si>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</si>
  <si>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</si>
  <si>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</si>
  <si>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</si>
  <si>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</si>
  <si>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</si>
  <si>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</si>
  <si>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</si>
  <si>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</si>
  <si>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</si>
  <si>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</si>
  <si>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</si>
  <si>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</si>
  <si>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</si>
  <si>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</si>
  <si>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</si>
  <si>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</si>
  <si>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</si>
  <si>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</si>
  <si>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</si>
  <si>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</si>
  <si>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</si>
  <si>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</si>
  <si>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</si>
  <si>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</si>
  <si>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</si>
  <si>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</si>
  <si>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</si>
  <si>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</si>
  <si>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</si>
  <si>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</si>
  <si>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</si>
  <si>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</si>
  <si>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</si>
  <si>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</si>
  <si>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</si>
  <si>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</si>
  <si>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</si>
  <si>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</si>
  <si>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</si>
  <si>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</si>
  <si>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</si>
  <si>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</si>
  <si>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</si>
  <si>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</si>
  <si>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</si>
  <si>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</si>
  <si>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</si>
  <si>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</si>
  <si>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</si>
  <si>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</si>
  <si>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</si>
  <si>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</si>
  <si>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</si>
  <si>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</si>
  <si>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</si>
  <si>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</si>
  <si>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</si>
  <si>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</si>
  <si>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</si>
  <si>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</si>
  <si>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</si>
  <si>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</si>
  <si>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</si>
  <si>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</si>
  <si>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</si>
  <si>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</si>
  <si>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</si>
  <si>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</si>
  <si>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</si>
  <si>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</si>
  <si>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</si>
  <si>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</si>
  <si>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</si>
  <si>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</si>
  <si>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</si>
  <si>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</si>
  <si>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</si>
  <si>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</si>
  <si>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</si>
  <si>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</si>
  <si>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</si>
  <si>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</si>
  <si>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</si>
  <si>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</si>
  <si>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</si>
  <si>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</si>
  <si>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</si>
  <si>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</si>
  <si>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</si>
  <si>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</si>
  <si>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</si>
  <si>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</si>
  <si>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</si>
  <si>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</si>
  <si>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</si>
  <si>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</si>
  <si>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</si>
  <si>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</si>
  <si>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</si>
  <si>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</si>
  <si>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</si>
  <si>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</si>
  <si>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</si>
  <si>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</si>
  <si>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</si>
  <si>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</si>
  <si>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</si>
  <si>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</si>
  <si>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</si>
  <si>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</si>
  <si>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</si>
  <si>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</si>
  <si>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</si>
  <si>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</si>
  <si>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</si>
  <si>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</si>
  <si>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</si>
  <si>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</si>
  <si>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</si>
  <si>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</si>
  <si>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</si>
  <si>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</si>
  <si>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</si>
  <si>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</si>
  <si>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</si>
  <si>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</si>
  <si>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</si>
  <si>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</si>
  <si>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</si>
  <si>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</si>
  <si>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</si>
  <si>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</si>
  <si>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</si>
  <si>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</si>
  <si>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</si>
  <si>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</si>
  <si>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</si>
  <si>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</si>
  <si>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</si>
  <si>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</si>
  <si>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</si>
  <si>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</si>
  <si>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</si>
  <si>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</si>
  <si>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</si>
  <si>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</si>
  <si>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</si>
  <si>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</si>
  <si>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</si>
  <si>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</si>
  <si>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</si>
  <si>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</si>
  <si>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</si>
  <si>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</si>
  <si>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</si>
  <si>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</si>
  <si>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</si>
  <si>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</si>
  <si>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</si>
  <si>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</si>
  <si>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</si>
  <si>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</si>
  <si>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</si>
  <si>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</si>
  <si>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</si>
  <si>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</si>
  <si>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</si>
  <si>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</si>
  <si>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</si>
  <si>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</si>
  <si>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</si>
  <si>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</si>
  <si>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</si>
  <si>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</si>
  <si>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</si>
  <si>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</si>
  <si>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</si>
  <si>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</si>
  <si>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</si>
  <si>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</si>
  <si>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</si>
  <si>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</si>
  <si>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</si>
  <si>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</si>
  <si>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</si>
  <si>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</si>
  <si>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</si>
  <si>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</si>
  <si>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</si>
  <si>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</si>
  <si>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</si>
  <si>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</si>
  <si>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</si>
  <si>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</si>
  <si>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</si>
  <si>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</si>
  <si>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</si>
  <si>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</si>
  <si>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</si>
  <si>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</si>
  <si>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</si>
  <si>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</si>
  <si>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</si>
  <si>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</si>
  <si>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</si>
  <si>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</si>
  <si>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</si>
  <si>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</si>
  <si>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</si>
  <si>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</si>
  <si>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</si>
  <si>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</si>
  <si>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</si>
  <si>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</si>
  <si>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</si>
  <si>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</si>
  <si>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</si>
  <si>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</si>
  <si>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</si>
  <si>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</si>
  <si>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</si>
  <si>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</si>
  <si>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</si>
  <si>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</si>
  <si>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</si>
  <si>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</si>
  <si>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</si>
  <si>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</si>
  <si>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</si>
  <si>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</si>
  <si>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</si>
  <si>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</si>
  <si>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</si>
  <si>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</si>
  <si>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</si>
  <si>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</si>
  <si>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</si>
  <si>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</si>
  <si>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</si>
  <si>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</si>
  <si>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</si>
  <si>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</si>
  <si>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</si>
  <si>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</si>
  <si>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</si>
  <si>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</si>
  <si>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</si>
  <si>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</si>
  <si>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</si>
  <si>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</si>
  <si>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</si>
  <si>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</si>
  <si>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</si>
  <si>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</si>
  <si>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</si>
  <si>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</si>
  <si>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</si>
  <si>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</si>
  <si>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</si>
  <si>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</si>
  <si>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</si>
  <si>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</si>
  <si>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</si>
  <si>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</si>
  <si>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</si>
  <si>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</si>
  <si>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</si>
  <si>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</si>
  <si>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</si>
  <si>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</si>
  <si>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</si>
  <si>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</si>
  <si>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</si>
  <si>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</si>
  <si>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</si>
  <si>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</si>
  <si>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</si>
  <si>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</si>
  <si>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</si>
  <si>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</si>
  <si>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</si>
  <si>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</si>
  <si>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</si>
  <si>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</si>
  <si>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</si>
  <si>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</si>
  <si>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</si>
  <si>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</si>
  <si>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</si>
  <si>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</si>
  <si>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</si>
  <si>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</si>
  <si>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</si>
  <si>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</si>
  <si>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</si>
  <si>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</si>
  <si>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</si>
  <si>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</si>
  <si>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</si>
  <si>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</si>
  <si>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</si>
  <si>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</si>
  <si>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</si>
  <si>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</si>
  <si>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</si>
  <si>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</si>
  <si>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</si>
  <si>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</si>
  <si>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</si>
  <si>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</si>
  <si>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</si>
  <si>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</si>
  <si>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</si>
  <si>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</si>
  <si>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</si>
  <si>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</si>
  <si>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</si>
  <si>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</si>
  <si>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</si>
  <si>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</si>
  <si>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</si>
  <si>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</si>
  <si>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</si>
  <si>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</si>
  <si>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</si>
  <si>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</si>
  <si>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</si>
  <si>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</si>
  <si>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</si>
  <si>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</si>
  <si>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</si>
  <si>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</si>
  <si>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</si>
  <si>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</si>
  <si>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</si>
  <si>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</si>
  <si>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</si>
  <si>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</si>
  <si>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</si>
  <si>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</si>
  <si>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</si>
  <si>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</si>
  <si>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</si>
  <si>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</si>
  <si>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</si>
  <si>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</si>
  <si>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</si>
  <si>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</si>
  <si>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</si>
  <si>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</si>
  <si>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</si>
  <si>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</si>
  <si>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</si>
  <si>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</si>
  <si>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</si>
  <si>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</si>
  <si>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</si>
  <si>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</si>
  <si>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</si>
  <si>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</si>
  <si>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</si>
  <si>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</si>
  <si>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</si>
  <si>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</si>
  <si>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</si>
  <si>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</si>
  <si>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</si>
  <si>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</si>
  <si>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</si>
  <si>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</si>
  <si>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</si>
  <si>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</si>
  <si>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</si>
  <si>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</si>
  <si>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</si>
  <si>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</si>
  <si>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</si>
  <si>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</si>
  <si>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</si>
  <si>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</si>
  <si>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</si>
  <si>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</si>
  <si>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</si>
  <si>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</si>
  <si>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</si>
  <si>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</si>
  <si>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</si>
  <si>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</si>
  <si>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</si>
  <si>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</si>
  <si>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</si>
  <si>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</si>
  <si>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</si>
  <si>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</si>
  <si>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</si>
  <si>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</si>
  <si>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</si>
  <si>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</si>
  <si>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</si>
  <si>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</si>
  <si>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</si>
  <si>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</si>
  <si>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</si>
  <si>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</si>
  <si>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</si>
  <si>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</si>
  <si>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</si>
  <si>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</si>
  <si>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</si>
  <si>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</si>
  <si>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</si>
  <si>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</si>
  <si>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</si>
  <si>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</si>
  <si>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</si>
  <si>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</si>
  <si>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</si>
  <si>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</si>
  <si>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</si>
  <si>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</si>
  <si>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</si>
  <si>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</si>
  <si>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</si>
  <si>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</si>
  <si>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</si>
  <si>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</si>
  <si>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</si>
  <si>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</si>
  <si>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</si>
  <si>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</si>
  <si>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</si>
  <si>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</si>
  <si>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</si>
  <si>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</si>
  <si>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</si>
  <si>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</si>
  <si>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</si>
  <si>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</si>
  <si>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</si>
  <si>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</si>
  <si>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</si>
  <si>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</si>
  <si>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</si>
  <si>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</si>
  <si>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</si>
  <si>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</si>
  <si>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</si>
  <si>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</si>
  <si>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</si>
  <si>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</si>
  <si>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</si>
  <si>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</si>
  <si>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</si>
  <si>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</si>
  <si>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</si>
  <si>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</si>
  <si>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</si>
  <si>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</si>
  <si>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</si>
  <si>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</si>
  <si>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</si>
  <si>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</si>
  <si>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</si>
  <si>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</si>
  <si>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</si>
  <si>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</si>
  <si>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</si>
  <si>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</si>
  <si>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</si>
  <si>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</si>
  <si>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</si>
  <si>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</si>
  <si>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</si>
  <si>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</si>
  <si>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</si>
  <si>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</si>
  <si>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</si>
  <si>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</si>
  <si>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</si>
  <si>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</si>
  <si>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</si>
  <si>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</si>
  <si>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</si>
  <si>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</si>
  <si>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</si>
  <si>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</si>
  <si>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</si>
  <si>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</si>
  <si>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</si>
  <si>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</si>
  <si>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</si>
  <si>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</si>
  <si>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</si>
  <si>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</si>
  <si>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</si>
  <si>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</si>
  <si>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</si>
  <si>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</si>
  <si>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</si>
  <si>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</si>
  <si>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</si>
  <si>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</si>
  <si>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</si>
  <si>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</si>
  <si>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</si>
  <si>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</si>
  <si>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</si>
  <si>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</si>
  <si>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</si>
  <si>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</si>
  <si>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</si>
  <si>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</si>
  <si>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</si>
  <si>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</si>
  <si>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</si>
  <si>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</si>
  <si>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</si>
  <si>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</si>
  <si>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</si>
  <si>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</si>
  <si>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</si>
  <si>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</si>
  <si>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</si>
  <si>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</si>
  <si>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</si>
  <si>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</si>
  <si>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</si>
  <si>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</si>
  <si>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</si>
  <si>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</si>
  <si>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</si>
  <si>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</si>
  <si>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</si>
  <si>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</si>
  <si>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</si>
  <si>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</si>
  <si>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</si>
  <si>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</si>
  <si>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</si>
  <si>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</si>
  <si>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</si>
  <si>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</si>
  <si>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</si>
  <si>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</si>
  <si>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</si>
  <si>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</si>
  <si>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</si>
  <si>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</si>
  <si>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</si>
  <si>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</si>
  <si>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</si>
  <si>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</si>
  <si>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</si>
  <si>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</si>
  <si>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</si>
  <si>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</si>
  <si>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</si>
  <si>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</si>
  <si>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</si>
  <si>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</si>
  <si>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</si>
  <si>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</si>
  <si>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</si>
  <si>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</si>
  <si>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</si>
  <si>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</si>
  <si>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</si>
  <si>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</si>
  <si>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</si>
  <si>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</si>
  <si>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</si>
  <si>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</si>
  <si>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</si>
  <si>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</si>
  <si>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</si>
  <si>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</si>
  <si>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</si>
  <si>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</si>
  <si>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</si>
  <si>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</si>
  <si>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</si>
  <si>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</si>
  <si>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</si>
  <si>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</si>
  <si>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</si>
  <si>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</si>
  <si>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</si>
  <si>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</si>
  <si>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</si>
  <si>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</si>
  <si>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</si>
  <si>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</si>
  <si>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</si>
  <si>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</si>
  <si>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</si>
  <si>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</si>
  <si>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</si>
  <si>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</si>
  <si>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</si>
  <si>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</si>
  <si>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</si>
  <si>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</si>
  <si>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</si>
  <si>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</si>
  <si>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</si>
  <si>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</si>
  <si>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</si>
  <si>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</si>
  <si>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</si>
  <si>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</si>
  <si>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</si>
  <si>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</si>
  <si>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</si>
  <si>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</si>
  <si>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</si>
  <si>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</si>
  <si>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</si>
  <si>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</si>
  <si>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</si>
  <si>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</si>
  <si>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</si>
  <si>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</si>
  <si>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</si>
  <si>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</si>
  <si>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</si>
  <si>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</si>
  <si>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</si>
  <si>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</si>
  <si>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</si>
  <si>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</si>
  <si>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</si>
  <si>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</si>
  <si>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</si>
  <si>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</si>
  <si>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</si>
  <si>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</si>
  <si>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</si>
  <si>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</si>
  <si>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</si>
  <si>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</si>
  <si>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</si>
  <si>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</si>
  <si>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</si>
  <si>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</si>
  <si>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</si>
  <si>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</si>
  <si>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</si>
  <si>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</si>
  <si>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</si>
  <si>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</si>
  <si>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</si>
  <si>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</si>
  <si>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</si>
  <si>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</si>
  <si>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</si>
  <si>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</si>
  <si>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</si>
  <si>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</si>
  <si>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</si>
  <si>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</si>
  <si>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</si>
  <si>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</si>
  <si>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</si>
  <si>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</si>
  <si>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</si>
  <si>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</si>
  <si>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</si>
  <si>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</si>
  <si>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</si>
  <si>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</si>
  <si>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</si>
  <si>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</si>
  <si>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</si>
  <si>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</si>
  <si>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</si>
  <si>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</si>
  <si>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</si>
  <si>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</si>
  <si>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</si>
  <si>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</si>
  <si>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</si>
  <si>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</si>
  <si>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</si>
  <si>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</si>
  <si>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</si>
  <si>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</si>
  <si>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</si>
  <si>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</si>
  <si>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</si>
  <si>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</si>
  <si>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</si>
  <si>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</si>
  <si>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</si>
  <si>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</si>
  <si>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</si>
  <si>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</si>
  <si>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</si>
  <si>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</si>
  <si>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</si>
  <si>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</si>
  <si>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</si>
  <si>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</si>
  <si>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</si>
  <si>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</si>
  <si>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</si>
  <si>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</si>
  <si>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</si>
  <si>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</si>
  <si>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</si>
  <si>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</si>
  <si>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</si>
  <si>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</si>
  <si>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</si>
  <si>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</si>
  <si>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</si>
  <si>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</si>
  <si>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</si>
  <si>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</si>
  <si>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</si>
  <si>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</si>
  <si>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</si>
  <si>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</si>
  <si>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</si>
  <si>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</si>
  <si>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</si>
  <si>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</si>
  <si>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</si>
  <si>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</si>
  <si>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</si>
  <si>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</si>
  <si>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</si>
  <si>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</si>
  <si>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</si>
  <si>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</si>
  <si>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</si>
  <si>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</si>
  <si>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</si>
  <si>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</si>
  <si>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</si>
  <si>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</si>
  <si>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</si>
  <si>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</si>
  <si>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</si>
  <si>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</si>
  <si>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</si>
  <si>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</si>
  <si>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</si>
  <si>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</si>
  <si>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</si>
  <si>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</si>
  <si>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</si>
  <si>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</si>
  <si>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</si>
  <si>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</si>
  <si>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</si>
  <si>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</si>
  <si>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</si>
  <si>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</si>
  <si>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</si>
  <si>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</si>
  <si>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</si>
  <si>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</si>
  <si>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</si>
  <si>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</si>
  <si>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</si>
  <si>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</si>
  <si>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</si>
  <si>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</si>
  <si>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</si>
  <si>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</si>
  <si>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</si>
  <si>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</si>
  <si>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</si>
  <si>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</si>
  <si>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</si>
  <si>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</si>
  <si>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</si>
  <si>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</si>
  <si>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</si>
  <si>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</si>
  <si>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</si>
  <si>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</si>
  <si>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</si>
  <si>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</si>
  <si>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</si>
  <si>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</si>
  <si>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</si>
  <si>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</si>
  <si>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</si>
  <si>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</si>
  <si>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</si>
  <si>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</si>
  <si>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</si>
  <si>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</si>
  <si>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</si>
  <si>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</si>
  <si>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</si>
  <si>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</si>
  <si>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</si>
  <si>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</si>
  <si>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</si>
  <si>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</si>
  <si>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</si>
  <si>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</si>
  <si>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</si>
  <si>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</si>
  <si>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</si>
  <si>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</si>
  <si>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</si>
  <si>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</si>
  <si>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</si>
  <si>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</si>
  <si>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</si>
  <si>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</si>
  <si>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</si>
  <si>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</si>
  <si>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</si>
  <si>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</si>
  <si>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</si>
  <si>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</si>
  <si>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</si>
  <si>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</si>
  <si>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</si>
  <si>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</si>
  <si>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</si>
  <si>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</si>
  <si>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</si>
  <si>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</si>
  <si>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</si>
  <si>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</si>
  <si>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</si>
  <si>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</si>
  <si>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</si>
  <si>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</si>
  <si>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</si>
  <si>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</si>
  <si>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</si>
  <si>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</si>
  <si>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</si>
  <si>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</si>
  <si>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</si>
  <si>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</si>
  <si>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</si>
  <si>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</si>
  <si>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</si>
  <si>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</si>
  <si>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</si>
  <si>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</si>
  <si>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</si>
  <si>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</si>
  <si>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</si>
  <si>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</si>
  <si>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</si>
  <si>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</si>
  <si>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</si>
  <si>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</si>
  <si>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</si>
  <si>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</si>
  <si>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</si>
  <si>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</si>
  <si>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</si>
  <si>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</si>
  <si>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</si>
  <si>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</si>
  <si>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</si>
  <si>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</si>
  <si>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</si>
  <si>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</si>
  <si>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</si>
  <si>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</si>
  <si>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</si>
  <si>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</si>
  <si>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</si>
  <si>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</si>
  <si>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</si>
  <si>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</si>
  <si>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</si>
  <si>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</si>
  <si>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</si>
  <si>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</si>
  <si>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</si>
  <si>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</si>
  <si>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</si>
  <si>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</si>
  <si>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</si>
  <si>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</si>
  <si>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</si>
  <si>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</si>
  <si>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</si>
  <si>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</si>
  <si>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</si>
  <si>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</si>
  <si>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</si>
  <si>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</si>
  <si>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</si>
  <si>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</si>
  <si>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</si>
  <si>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</si>
  <si>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</si>
  <si>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</si>
  <si>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</si>
  <si>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</si>
  <si>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</si>
  <si>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</si>
  <si>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</si>
  <si>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</si>
  <si>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</si>
  <si>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</si>
  <si>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</si>
  <si>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</si>
  <si>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</si>
  <si>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</si>
  <si>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</si>
  <si>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</si>
  <si>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</si>
  <si>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</si>
  <si>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</si>
  <si>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</si>
  <si>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</si>
  <si>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</si>
  <si>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</si>
  <si>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</si>
  <si>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</si>
  <si>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</si>
  <si>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</si>
  <si>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</si>
  <si>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</si>
  <si>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</si>
  <si>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</si>
  <si>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</si>
  <si>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</si>
  <si>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</si>
  <si>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</si>
  <si>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</si>
  <si>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</si>
  <si>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</si>
  <si>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</si>
  <si>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</si>
  <si>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</si>
  <si>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</si>
  <si>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</si>
  <si>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</si>
  <si>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</si>
  <si>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</si>
  <si>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</si>
  <si>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</si>
  <si>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</si>
  <si>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</si>
  <si>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</si>
  <si>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</si>
  <si>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</si>
  <si>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</si>
  <si>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</si>
  <si>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</si>
  <si>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</si>
  <si>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</si>
  <si>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</si>
  <si>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</si>
  <si>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</si>
  <si>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</si>
  <si>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</si>
  <si>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</si>
  <si>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</si>
  <si>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</si>
  <si>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</si>
  <si>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</si>
  <si>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</si>
  <si>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</si>
  <si>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</si>
  <si>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</si>
  <si>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</si>
  <si>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</si>
  <si>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</si>
  <si>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</si>
  <si>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</si>
  <si>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</si>
  <si>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</si>
  <si>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</si>
  <si>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</si>
  <si>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</si>
  <si>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</si>
  <si>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</si>
  <si>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</si>
  <si>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</si>
  <si>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</si>
  <si>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</si>
  <si>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</si>
  <si>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</si>
  <si>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</si>
  <si>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</si>
  <si>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</si>
  <si>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</si>
  <si>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</si>
  <si>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</si>
  <si>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</si>
  <si>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</si>
  <si>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</si>
  <si>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</si>
  <si>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</si>
  <si>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</si>
  <si>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</si>
  <si>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</si>
  <si>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</si>
  <si>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</si>
  <si>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</si>
  <si>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</si>
  <si>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</si>
  <si>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</si>
  <si>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</si>
  <si>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</si>
  <si>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</si>
  <si>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</si>
  <si>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</si>
  <si>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</si>
  <si>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</si>
  <si>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</si>
  <si>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</si>
  <si>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</si>
  <si>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</si>
  <si>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</si>
  <si>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</si>
  <si>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</si>
  <si>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</si>
  <si>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</si>
  <si>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</si>
  <si>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</si>
  <si>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</si>
  <si>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</si>
  <si>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</si>
  <si>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</si>
  <si>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</si>
  <si>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</si>
  <si>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</si>
  <si>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</si>
  <si>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</si>
  <si>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</si>
  <si>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</si>
  <si>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</si>
  <si>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</si>
  <si>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</si>
  <si>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</si>
  <si>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</si>
  <si>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</si>
  <si>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</si>
  <si>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</si>
  <si>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</si>
  <si>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</si>
  <si>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</si>
  <si>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</si>
  <si>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</si>
  <si>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</si>
  <si>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</si>
  <si>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</si>
  <si>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</si>
  <si>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</si>
  <si>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</si>
  <si>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</si>
  <si>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</si>
  <si>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</si>
  <si>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</si>
  <si>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</si>
  <si>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</si>
  <si>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</si>
  <si>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</si>
  <si>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</si>
  <si>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</si>
  <si>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</si>
  <si>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</si>
  <si>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</si>
  <si>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</si>
  <si>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</si>
  <si>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</si>
  <si>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</si>
  <si>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</si>
  <si>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</si>
  <si>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</si>
  <si>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</si>
  <si>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</si>
  <si>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</si>
  <si>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</si>
  <si>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</si>
  <si>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</si>
  <si>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</si>
  <si>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</si>
  <si>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</si>
  <si>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</si>
  <si>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</si>
  <si>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</si>
  <si>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</si>
  <si>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</si>
  <si>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</si>
  <si>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</si>
  <si>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</si>
  <si>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</si>
  <si>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</si>
  <si>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</si>
  <si>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</si>
  <si>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</si>
  <si>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</si>
  <si>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</si>
  <si>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</si>
  <si>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</si>
  <si>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</si>
  <si>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</si>
  <si>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</si>
  <si>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</si>
  <si>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</si>
  <si>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</si>
  <si>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</si>
  <si>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</si>
  <si>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</si>
  <si>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</si>
  <si>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</si>
  <si>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</si>
  <si>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</si>
  <si>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</si>
  <si>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</si>
  <si>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</si>
  <si>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</si>
  <si>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</si>
  <si>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</si>
  <si>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</si>
  <si>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</si>
  <si>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</si>
  <si>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</si>
  <si>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</si>
  <si>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</si>
  <si>
    <r>
      <t xml:space="preserve">X
</t>
    </r>
    <r>
      <rPr>
        <sz val="11"/>
        <color rgb="FFFF0000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
+</t>
    </r>
    <r>
      <rPr>
        <sz val="11"/>
        <color rgb="FF00B0F0"/>
        <rFont val="Calibri"/>
        <family val="2"/>
        <scheme val="minor"/>
      </rPr>
      <t xml:space="preserve">
</t>
    </r>
    <r>
      <rPr>
        <sz val="11"/>
        <color theme="0" tint="-0.249977111117893"/>
        <rFont val="Calibri"/>
        <family val="2"/>
        <scheme val="minor"/>
      </rPr>
      <t>x</t>
    </r>
  </si>
  <si>
    <r>
      <rPr>
        <sz val="11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</si>
  <si>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1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</si>
  <si>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Imam</t>
  </si>
  <si>
    <t>Guru</t>
  </si>
  <si>
    <t>amb</t>
  </si>
  <si>
    <t>bouncymischa, Firaxis (BE)</t>
  </si>
  <si>
    <t>Wolfdog, Firaxis (Col)</t>
  </si>
  <si>
    <t>Deliverator, Firaxis (Col)</t>
  </si>
  <si>
    <t>Deliverator, Oleg153, Firaxis (Col)</t>
  </si>
  <si>
    <t>MissionaryNorthAf</t>
  </si>
  <si>
    <t>zwei833, Polycrates</t>
  </si>
  <si>
    <t>Han_Spearman</t>
  </si>
  <si>
    <t>zwei833, danrell</t>
  </si>
  <si>
    <t>Bashtnik</t>
  </si>
  <si>
    <t>Vitez</t>
  </si>
  <si>
    <t>Lefegii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</si>
</sst>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27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8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28" fillId="0" borderId="0" xfId="0" applyNumberFormat="1" applyFont="1" applyProtection="1">
      <protection locked="0"/>
    </xf>
    <xf numFmtId="0" fontId="28" fillId="0" borderId="0" xfId="0" applyNumberFormat="1" applyFont="1" applyProtection="1">
      <protection locked="0"/>
    </xf>
    <xf numFmtId="0" fontId="0" fillId="0" borderId="0" xfId="0" applyNumberFormat="1" applyBorder="1"/>
    <xf numFmtId="0" fontId="30" fillId="0" borderId="0" xfId="0" applyFont="1"/>
    <xf numFmtId="0" fontId="31" fillId="34" borderId="34" xfId="42" applyFont="1" applyFill="1" applyBorder="1" applyAlignment="1">
      <alignment horizontal="right"/>
    </xf>
    <xf numFmtId="0" fontId="31" fillId="34" borderId="32" xfId="42" applyFont="1" applyFill="1" applyBorder="1" applyAlignment="1">
      <alignment horizontal="center"/>
    </xf>
    <xf numFmtId="0" fontId="31" fillId="34" borderId="34" xfId="42" applyFont="1" applyFill="1" applyBorder="1" applyAlignment="1">
      <alignment horizontal="center"/>
    </xf>
    <xf numFmtId="0" fontId="31" fillId="0" borderId="0" xfId="42" applyFont="1" applyAlignment="1">
      <alignment horizontal="center"/>
    </xf>
    <xf numFmtId="0" fontId="31" fillId="34" borderId="22" xfId="42" applyFont="1" applyFill="1" applyBorder="1" applyAlignment="1">
      <alignment horizontal="center" vertical="top"/>
    </xf>
    <xf numFmtId="0" fontId="31" fillId="34" borderId="0" xfId="42" applyFont="1" applyFill="1" applyBorder="1" applyAlignment="1">
      <alignment horizontal="center" vertical="top"/>
    </xf>
    <xf numFmtId="0" fontId="31" fillId="34" borderId="28" xfId="42" applyFont="1" applyFill="1" applyBorder="1" applyAlignment="1">
      <alignment horizontal="center" vertical="top"/>
    </xf>
    <xf numFmtId="0" fontId="31" fillId="34" borderId="26" xfId="42" applyFont="1" applyFill="1" applyBorder="1" applyAlignment="1">
      <alignment horizontal="center" vertical="top"/>
    </xf>
    <xf numFmtId="0" fontId="31" fillId="34" borderId="23" xfId="42" applyFont="1" applyFill="1" applyBorder="1" applyAlignment="1">
      <alignment horizontal="center" vertical="top"/>
    </xf>
    <xf numFmtId="0" fontId="31" fillId="34" borderId="10" xfId="42" applyFont="1" applyFill="1" applyBorder="1" applyAlignment="1">
      <alignment horizontal="center" vertical="top"/>
    </xf>
    <xf numFmtId="0" fontId="31" fillId="34" borderId="24" xfId="42" applyFont="1" applyFill="1" applyBorder="1" applyAlignment="1">
      <alignment horizontal="center" vertical="top"/>
    </xf>
    <xf numFmtId="0" fontId="31" fillId="34" borderId="25" xfId="42" applyFont="1" applyFill="1" applyBorder="1" applyAlignment="1">
      <alignment horizontal="center" vertical="top"/>
    </xf>
    <xf numFmtId="0" fontId="31" fillId="34" borderId="38" xfId="42" applyFont="1" applyFill="1" applyBorder="1" applyAlignment="1"/>
    <xf numFmtId="0" fontId="31" fillId="34" borderId="36" xfId="42" applyFont="1" applyFill="1" applyBorder="1" applyAlignment="1"/>
    <xf numFmtId="10" fontId="33" fillId="0" borderId="11" xfId="42" applyNumberFormat="1" applyFont="1" applyBorder="1" applyAlignment="1">
      <alignment horizontal="center"/>
    </xf>
    <xf numFmtId="0" fontId="34" fillId="0" borderId="14" xfId="42" applyFont="1" applyBorder="1" applyAlignment="1">
      <alignment horizontal="left" vertical="center" textRotation="90"/>
    </xf>
    <xf numFmtId="0" fontId="31" fillId="0" borderId="18" xfId="42" applyFont="1" applyFill="1" applyBorder="1" applyAlignment="1">
      <alignment horizontal="left" vertical="center" textRotation="90"/>
    </xf>
    <xf numFmtId="0" fontId="31" fillId="0" borderId="15" xfId="42" applyFont="1" applyBorder="1" applyAlignment="1">
      <alignment horizontal="left" vertical="center" textRotation="90"/>
    </xf>
    <xf numFmtId="0" fontId="31" fillId="0" borderId="12" xfId="42" applyFont="1" applyBorder="1" applyAlignment="1">
      <alignment horizontal="left" vertical="center" textRotation="90"/>
    </xf>
    <xf numFmtId="0" fontId="34" fillId="0" borderId="16" xfId="42" applyFont="1" applyBorder="1" applyAlignment="1">
      <alignment horizontal="left" vertical="center" textRotation="90"/>
    </xf>
    <xf numFmtId="0" fontId="31" fillId="0" borderId="13" xfId="42" applyFont="1" applyBorder="1" applyAlignment="1">
      <alignment horizontal="left" vertical="center" textRotation="90"/>
    </xf>
    <xf numFmtId="0" fontId="34" fillId="0" borderId="17" xfId="42" applyFont="1" applyBorder="1" applyAlignment="1">
      <alignment horizontal="left" vertical="center" textRotation="90"/>
    </xf>
    <xf numFmtId="0" fontId="31" fillId="0" borderId="19" xfId="42" applyFont="1" applyBorder="1" applyAlignment="1">
      <alignment horizontal="left" vertical="center" textRotation="90"/>
    </xf>
    <xf numFmtId="0" fontId="34" fillId="0" borderId="18" xfId="42" applyFont="1" applyBorder="1" applyAlignment="1">
      <alignment horizontal="left" vertical="center" textRotation="90"/>
    </xf>
    <xf numFmtId="0" fontId="31" fillId="0" borderId="11" xfId="42" applyFont="1" applyBorder="1" applyAlignment="1">
      <alignment horizontal="left" vertical="center" textRotation="90"/>
    </xf>
    <xf numFmtId="164" fontId="35" fillId="34" borderId="44" xfId="43" applyNumberFormat="1" applyFont="1" applyFill="1" applyBorder="1" applyAlignment="1">
      <alignment horizontal="center" vertical="center"/>
    </xf>
    <xf numFmtId="164" fontId="31" fillId="34" borderId="45" xfId="43" applyNumberFormat="1" applyFont="1" applyFill="1" applyBorder="1" applyAlignment="1">
      <alignment horizontal="center" vertical="center" wrapText="1"/>
    </xf>
    <xf numFmtId="0" fontId="35" fillId="34" borderId="46" xfId="43" applyNumberFormat="1" applyFont="1" applyFill="1" applyBorder="1" applyAlignment="1">
      <alignment horizontal="center" vertical="center"/>
    </xf>
    <xf numFmtId="10" fontId="31" fillId="0" borderId="18" xfId="42" applyNumberFormat="1" applyFont="1" applyFill="1" applyBorder="1" applyAlignment="1">
      <alignment vertical="center" wrapText="1"/>
    </xf>
    <xf numFmtId="0" fontId="38" fillId="0" borderId="13" xfId="42" quotePrefix="1" applyFont="1" applyFill="1" applyBorder="1" applyAlignment="1">
      <alignment vertical="center" wrapText="1"/>
    </xf>
    <xf numFmtId="0" fontId="33" fillId="0" borderId="0" xfId="42" applyFont="1" applyAlignment="1">
      <alignment horizontal="center" textRotation="90"/>
    </xf>
    <xf numFmtId="0" fontId="33" fillId="0" borderId="0" xfId="42" applyFont="1" applyAlignment="1">
      <alignment horizontal="center"/>
    </xf>
    <xf numFmtId="0" fontId="31" fillId="0" borderId="10" xfId="42" applyFont="1" applyFill="1" applyBorder="1"/>
    <xf numFmtId="0" fontId="31" fillId="33" borderId="30" xfId="42" applyFont="1" applyFill="1" applyBorder="1" applyAlignment="1">
      <alignment horizontal="center" vertical="center"/>
    </xf>
    <xf numFmtId="0" fontId="31" fillId="0" borderId="29" xfId="42" applyFont="1" applyFill="1" applyBorder="1" applyAlignment="1">
      <alignment horizontal="center" vertical="center"/>
    </xf>
    <xf numFmtId="0" fontId="31" fillId="35" borderId="26" xfId="42" applyFont="1" applyFill="1" applyBorder="1" applyAlignment="1">
      <alignment horizontal="center" vertical="center"/>
    </xf>
    <xf numFmtId="0" fontId="31" fillId="0" borderId="26" xfId="42" applyFont="1" applyFill="1" applyBorder="1" applyAlignment="1">
      <alignment horizontal="center" vertical="center"/>
    </xf>
    <xf numFmtId="0" fontId="31" fillId="38" borderId="26" xfId="42" applyFont="1" applyFill="1" applyBorder="1" applyAlignment="1">
      <alignment horizontal="center" vertical="center"/>
    </xf>
    <xf numFmtId="0" fontId="31" fillId="0" borderId="23" xfId="42" applyFont="1" applyFill="1" applyBorder="1" applyAlignment="1">
      <alignment horizontal="center" vertical="center"/>
    </xf>
    <xf numFmtId="0" fontId="31" fillId="33" borderId="27" xfId="42" applyFont="1" applyFill="1" applyBorder="1" applyAlignment="1">
      <alignment horizontal="center" vertical="center"/>
    </xf>
    <xf numFmtId="0" fontId="31" fillId="37" borderId="24" xfId="42" applyFont="1" applyFill="1" applyBorder="1" applyAlignment="1">
      <alignment horizontal="center" vertical="center"/>
    </xf>
    <xf numFmtId="0" fontId="31" fillId="37" borderId="23" xfId="42" applyFont="1" applyFill="1" applyBorder="1" applyAlignment="1">
      <alignment horizontal="center" vertical="center"/>
    </xf>
    <xf numFmtId="0" fontId="31" fillId="0" borderId="28" xfId="42" applyFont="1" applyFill="1" applyBorder="1" applyAlignment="1">
      <alignment horizontal="center" vertical="center"/>
    </xf>
    <xf numFmtId="0" fontId="31" fillId="0" borderId="24" xfId="42" applyFont="1" applyFill="1" applyBorder="1" applyAlignment="1">
      <alignment horizontal="center" vertical="center"/>
    </xf>
    <xf numFmtId="0" fontId="31" fillId="37" borderId="28" xfId="42" applyFont="1" applyFill="1" applyBorder="1" applyAlignment="1">
      <alignment horizontal="center" vertical="center"/>
    </xf>
    <xf numFmtId="0" fontId="31" fillId="33" borderId="25" xfId="42" applyFont="1" applyFill="1" applyBorder="1" applyAlignment="1">
      <alignment horizontal="center" vertical="center"/>
    </xf>
    <xf numFmtId="0" fontId="31" fillId="33" borderId="0" xfId="42" applyFont="1" applyFill="1" applyBorder="1" applyAlignment="1">
      <alignment horizontal="center" vertical="center"/>
    </xf>
    <xf numFmtId="0" fontId="31" fillId="33" borderId="10" xfId="42" applyFont="1" applyFill="1" applyBorder="1" applyAlignment="1">
      <alignment horizontal="center" vertical="center"/>
    </xf>
    <xf numFmtId="0" fontId="39" fillId="33" borderId="24" xfId="42" applyFont="1" applyFill="1" applyBorder="1" applyAlignment="1">
      <alignment horizontal="center" vertical="center"/>
    </xf>
    <xf numFmtId="0" fontId="39" fillId="33" borderId="22" xfId="42" applyFont="1" applyFill="1" applyBorder="1" applyAlignment="1">
      <alignment horizontal="center" vertical="center"/>
    </xf>
    <xf numFmtId="0" fontId="33" fillId="0" borderId="0" xfId="42" applyFont="1" applyAlignment="1">
      <alignment horizontal="center" vertical="center"/>
    </xf>
    <xf numFmtId="0" fontId="33" fillId="0" borderId="0" xfId="42" applyFont="1"/>
    <xf numFmtId="0" fontId="31" fillId="37" borderId="26" xfId="42" applyFont="1" applyFill="1" applyBorder="1" applyAlignment="1">
      <alignment horizontal="center" vertical="center"/>
    </xf>
    <xf numFmtId="0" fontId="31" fillId="35" borderId="29" xfId="42" applyFont="1" applyFill="1" applyBorder="1" applyAlignment="1">
      <alignment horizontal="center" vertical="center"/>
    </xf>
    <xf numFmtId="0" fontId="31" fillId="38" borderId="24" xfId="42" quotePrefix="1" applyFont="1" applyFill="1" applyBorder="1" applyAlignment="1">
      <alignment horizontal="center" vertical="center"/>
    </xf>
    <xf numFmtId="0" fontId="31" fillId="0" borderId="26" xfId="42" quotePrefix="1" applyFont="1" applyFill="1" applyBorder="1" applyAlignment="1">
      <alignment horizontal="center" vertical="center"/>
    </xf>
    <xf numFmtId="0" fontId="31" fillId="38" borderId="23" xfId="42" applyFont="1" applyFill="1" applyBorder="1" applyAlignment="1">
      <alignment horizontal="center" vertical="center"/>
    </xf>
    <xf numFmtId="0" fontId="31" fillId="33" borderId="27" xfId="42" quotePrefix="1" applyFont="1" applyFill="1" applyBorder="1" applyAlignment="1">
      <alignment horizontal="center" vertical="center"/>
    </xf>
    <xf numFmtId="0" fontId="31" fillId="0" borderId="28" xfId="42" quotePrefix="1" applyFont="1" applyFill="1" applyBorder="1" applyAlignment="1">
      <alignment horizontal="center" vertical="center"/>
    </xf>
    <xf numFmtId="0" fontId="31" fillId="0" borderId="23" xfId="42" quotePrefix="1" applyFont="1" applyFill="1" applyBorder="1" applyAlignment="1">
      <alignment horizontal="center" vertical="center"/>
    </xf>
    <xf numFmtId="0" fontId="40" fillId="36" borderId="26" xfId="42" applyFont="1" applyFill="1" applyBorder="1" applyAlignment="1">
      <alignment horizontal="center" vertical="center"/>
    </xf>
    <xf numFmtId="0" fontId="31" fillId="38" borderId="23" xfId="42" quotePrefix="1" applyFont="1" applyFill="1" applyBorder="1" applyAlignment="1">
      <alignment horizontal="center" vertical="center"/>
    </xf>
    <xf numFmtId="0" fontId="31" fillId="33" borderId="0" xfId="42" quotePrefix="1" applyFont="1" applyFill="1" applyBorder="1" applyAlignment="1">
      <alignment horizontal="center" vertical="center"/>
    </xf>
    <xf numFmtId="0" fontId="31" fillId="33" borderId="10" xfId="42" quotePrefix="1" applyFont="1" applyFill="1" applyBorder="1" applyAlignment="1">
      <alignment horizontal="center" vertical="center"/>
    </xf>
    <xf numFmtId="0" fontId="40" fillId="0" borderId="23" xfId="42" applyFont="1" applyFill="1" applyBorder="1" applyAlignment="1">
      <alignment horizontal="center" vertical="center"/>
    </xf>
    <xf numFmtId="0" fontId="31" fillId="0" borderId="24" xfId="42" quotePrefix="1" applyFont="1" applyFill="1" applyBorder="1" applyAlignment="1">
      <alignment horizontal="center" vertical="center"/>
    </xf>
    <xf numFmtId="0" fontId="31" fillId="33" borderId="24" xfId="42" applyFont="1" applyFill="1" applyBorder="1" applyAlignment="1">
      <alignment horizontal="center" vertical="center"/>
    </xf>
    <xf numFmtId="0" fontId="41" fillId="33" borderId="22" xfId="42" applyFont="1" applyFill="1" applyBorder="1" applyAlignment="1">
      <alignment horizontal="center" vertical="center"/>
    </xf>
    <xf numFmtId="0" fontId="33" fillId="38" borderId="10" xfId="42" applyFont="1" applyFill="1" applyBorder="1" applyAlignment="1">
      <alignment horizontal="left" vertical="center"/>
    </xf>
    <xf numFmtId="0" fontId="33" fillId="0" borderId="24" xfId="42" quotePrefix="1" applyFont="1" applyBorder="1" applyAlignment="1">
      <alignment horizontal="left" vertical="center"/>
    </xf>
    <xf numFmtId="0" fontId="33" fillId="37" borderId="10" xfId="42" applyFont="1" applyFill="1" applyBorder="1" applyAlignment="1">
      <alignment horizontal="left" vertical="center"/>
    </xf>
    <xf numFmtId="0" fontId="33" fillId="36" borderId="16" xfId="42" applyFont="1" applyFill="1" applyBorder="1" applyAlignment="1">
      <alignment horizontal="left" vertical="center"/>
    </xf>
    <xf numFmtId="0" fontId="33" fillId="0" borderId="13" xfId="42" quotePrefix="1" applyFont="1" applyBorder="1" applyAlignment="1">
      <alignment horizontal="left" vertical="center"/>
    </xf>
    <xf numFmtId="0" fontId="31" fillId="38" borderId="29" xfId="42" applyFont="1" applyFill="1" applyBorder="1" applyAlignment="1">
      <alignment horizontal="center" vertical="center"/>
    </xf>
    <xf numFmtId="0" fontId="43" fillId="0" borderId="26" xfId="42" applyFont="1" applyFill="1" applyBorder="1" applyAlignment="1">
      <alignment horizontal="center" vertical="center"/>
    </xf>
    <xf numFmtId="0" fontId="31" fillId="33" borderId="22" xfId="42" applyFont="1" applyFill="1" applyBorder="1" applyAlignment="1">
      <alignment horizontal="center" vertical="center"/>
    </xf>
    <xf numFmtId="0" fontId="40" fillId="0" borderId="29" xfId="42" applyFont="1" applyFill="1" applyBorder="1" applyAlignment="1">
      <alignment horizontal="center" vertical="center"/>
    </xf>
    <xf numFmtId="0" fontId="31" fillId="38" borderId="24" xfId="42" applyFont="1" applyFill="1" applyBorder="1" applyAlignment="1">
      <alignment horizontal="center" vertical="center"/>
    </xf>
    <xf numFmtId="0" fontId="31" fillId="38" borderId="28" xfId="42" applyFont="1" applyFill="1" applyBorder="1" applyAlignment="1">
      <alignment horizontal="center" vertical="center"/>
    </xf>
    <xf numFmtId="0" fontId="41" fillId="0" borderId="28" xfId="42" applyFont="1" applyFill="1" applyBorder="1" applyAlignment="1">
      <alignment horizontal="center" vertical="center"/>
    </xf>
    <xf numFmtId="0" fontId="40" fillId="0" borderId="26" xfId="42" applyFont="1" applyFill="1" applyBorder="1" applyAlignment="1">
      <alignment horizontal="center" vertical="center"/>
    </xf>
    <xf numFmtId="0" fontId="41" fillId="0" borderId="26" xfId="42" applyFont="1" applyFill="1" applyBorder="1" applyAlignment="1">
      <alignment horizontal="center" vertical="center"/>
    </xf>
    <xf numFmtId="0" fontId="41" fillId="0" borderId="23" xfId="42" applyFont="1" applyFill="1" applyBorder="1" applyAlignment="1">
      <alignment horizontal="center" vertical="center"/>
    </xf>
    <xf numFmtId="0" fontId="40" fillId="0" borderId="28" xfId="42" applyFont="1" applyFill="1" applyBorder="1" applyAlignment="1">
      <alignment horizontal="center" vertical="center"/>
    </xf>
    <xf numFmtId="0" fontId="31" fillId="37" borderId="29" xfId="42" applyFont="1" applyFill="1" applyBorder="1" applyAlignment="1">
      <alignment horizontal="center" vertical="center"/>
    </xf>
    <xf numFmtId="0" fontId="31" fillId="38" borderId="26" xfId="42" quotePrefix="1" applyFont="1" applyFill="1" applyBorder="1" applyAlignment="1">
      <alignment horizontal="center" vertical="center"/>
    </xf>
    <xf numFmtId="0" fontId="31" fillId="33" borderId="25" xfId="42" quotePrefix="1" applyFont="1" applyFill="1" applyBorder="1" applyAlignment="1">
      <alignment horizontal="center" vertical="center"/>
    </xf>
    <xf numFmtId="0" fontId="31" fillId="33" borderId="24" xfId="42" quotePrefix="1" applyFont="1" applyFill="1" applyBorder="1" applyAlignment="1">
      <alignment horizontal="center" vertical="center"/>
    </xf>
    <xf numFmtId="0" fontId="31" fillId="33" borderId="22" xfId="42" quotePrefix="1" applyFont="1" applyFill="1" applyBorder="1" applyAlignment="1">
      <alignment horizontal="center" vertical="center"/>
    </xf>
    <xf numFmtId="0" fontId="39" fillId="33" borderId="24" xfId="42" quotePrefix="1" applyFont="1" applyFill="1" applyBorder="1" applyAlignment="1">
      <alignment horizontal="center" vertical="center"/>
    </xf>
    <xf numFmtId="0" fontId="39" fillId="33" borderId="22" xfId="42" quotePrefix="1" applyFont="1" applyFill="1" applyBorder="1" applyAlignment="1">
      <alignment horizontal="center" vertical="center"/>
    </xf>
    <xf numFmtId="0" fontId="40" fillId="36" borderId="23" xfId="42" applyFont="1" applyFill="1" applyBorder="1" applyAlignment="1">
      <alignment horizontal="center" vertical="center"/>
    </xf>
    <xf numFmtId="0" fontId="40" fillId="0" borderId="24" xfId="42" applyFont="1" applyFill="1" applyBorder="1" applyAlignment="1">
      <alignment horizontal="center" vertical="center"/>
    </xf>
    <xf numFmtId="0" fontId="40" fillId="36" borderId="29" xfId="42" applyFont="1" applyFill="1" applyBorder="1" applyAlignment="1">
      <alignment horizontal="center" vertical="center"/>
    </xf>
    <xf numFmtId="0" fontId="43" fillId="38" borderId="26" xfId="42" quotePrefix="1" applyFont="1" applyFill="1" applyBorder="1" applyAlignment="1">
      <alignment horizontal="center" vertical="center"/>
    </xf>
    <xf numFmtId="0" fontId="43" fillId="38" borderId="24" xfId="42" quotePrefix="1" applyFont="1" applyFill="1" applyBorder="1" applyAlignment="1">
      <alignment horizontal="center" vertical="center"/>
    </xf>
    <xf numFmtId="0" fontId="40" fillId="36" borderId="24" xfId="42" applyFont="1" applyFill="1" applyBorder="1" applyAlignment="1">
      <alignment horizontal="center" vertical="center"/>
    </xf>
    <xf numFmtId="0" fontId="41" fillId="36" borderId="23" xfId="42" applyFont="1" applyFill="1" applyBorder="1" applyAlignment="1">
      <alignment horizontal="center" vertical="center"/>
    </xf>
    <xf numFmtId="0" fontId="40" fillId="36" borderId="28" xfId="42" applyFont="1" applyFill="1" applyBorder="1" applyAlignment="1">
      <alignment horizontal="center" vertical="center"/>
    </xf>
    <xf numFmtId="0" fontId="31" fillId="0" borderId="27" xfId="42" applyFont="1" applyFill="1" applyBorder="1"/>
    <xf numFmtId="0" fontId="45" fillId="38" borderId="26" xfId="42" applyFont="1" applyFill="1" applyBorder="1" applyAlignment="1">
      <alignment horizontal="center" vertical="center"/>
    </xf>
    <xf numFmtId="0" fontId="31" fillId="0" borderId="16" xfId="42" applyFont="1" applyFill="1" applyBorder="1"/>
    <xf numFmtId="0" fontId="31" fillId="33" borderId="21" xfId="42" applyFont="1" applyFill="1" applyBorder="1" applyAlignment="1">
      <alignment horizontal="center" vertical="center"/>
    </xf>
    <xf numFmtId="0" fontId="31" fillId="0" borderId="20" xfId="42" applyFont="1" applyFill="1" applyBorder="1" applyAlignment="1">
      <alignment horizontal="center" vertical="center"/>
    </xf>
    <xf numFmtId="0" fontId="31" fillId="0" borderId="15" xfId="42" applyFont="1" applyFill="1" applyBorder="1" applyAlignment="1">
      <alignment horizontal="center" vertical="center"/>
    </xf>
    <xf numFmtId="0" fontId="41" fillId="0" borderId="12" xfId="42" applyFont="1" applyFill="1" applyBorder="1" applyAlignment="1">
      <alignment horizontal="center" vertical="center"/>
    </xf>
    <xf numFmtId="0" fontId="31" fillId="33" borderId="17" xfId="42" applyFont="1" applyFill="1" applyBorder="1" applyAlignment="1">
      <alignment horizontal="center" vertical="center"/>
    </xf>
    <xf numFmtId="0" fontId="31" fillId="0" borderId="13" xfId="42" applyFont="1" applyFill="1" applyBorder="1" applyAlignment="1">
      <alignment horizontal="center" vertical="center"/>
    </xf>
    <xf numFmtId="0" fontId="31" fillId="0" borderId="12" xfId="42" applyFont="1" applyFill="1" applyBorder="1" applyAlignment="1">
      <alignment horizontal="center" vertical="center"/>
    </xf>
    <xf numFmtId="0" fontId="31" fillId="0" borderId="19" xfId="42" applyFont="1" applyFill="1" applyBorder="1" applyAlignment="1">
      <alignment horizontal="center" vertical="center"/>
    </xf>
    <xf numFmtId="0" fontId="31" fillId="33" borderId="14" xfId="42" applyFont="1" applyFill="1" applyBorder="1" applyAlignment="1">
      <alignment horizontal="center" vertical="center"/>
    </xf>
    <xf numFmtId="0" fontId="31" fillId="33" borderId="18" xfId="42" applyFont="1" applyFill="1" applyBorder="1" applyAlignment="1">
      <alignment horizontal="center" vertical="center"/>
    </xf>
    <xf numFmtId="0" fontId="31" fillId="33" borderId="16" xfId="42" applyFont="1" applyFill="1" applyBorder="1" applyAlignment="1">
      <alignment horizontal="center" vertical="center"/>
    </xf>
    <xf numFmtId="0" fontId="31" fillId="33" borderId="13" xfId="42" applyFont="1" applyFill="1" applyBorder="1" applyAlignment="1">
      <alignment horizontal="center" vertical="center"/>
    </xf>
    <xf numFmtId="0" fontId="31" fillId="33" borderId="11" xfId="42" applyFont="1" applyFill="1" applyBorder="1" applyAlignment="1">
      <alignment horizontal="center" vertical="center"/>
    </xf>
    <xf numFmtId="0" fontId="46" fillId="33" borderId="10" xfId="42" applyFont="1" applyFill="1" applyBorder="1"/>
    <xf numFmtId="0" fontId="31" fillId="33" borderId="29" xfId="42" applyFont="1" applyFill="1" applyBorder="1" applyAlignment="1">
      <alignment horizontal="center" vertical="center"/>
    </xf>
    <xf numFmtId="0" fontId="31" fillId="33" borderId="26" xfId="42" applyFont="1" applyFill="1" applyBorder="1" applyAlignment="1">
      <alignment horizontal="center" vertical="center"/>
    </xf>
    <xf numFmtId="0" fontId="31" fillId="33" borderId="28" xfId="42" applyFont="1" applyFill="1" applyBorder="1" applyAlignment="1">
      <alignment horizontal="center" vertical="center"/>
    </xf>
    <xf numFmtId="0" fontId="31" fillId="33" borderId="23" xfId="42" applyFont="1" applyFill="1" applyBorder="1" applyAlignment="1">
      <alignment horizontal="center" vertical="center"/>
    </xf>
    <xf numFmtId="0" fontId="31" fillId="33" borderId="41" xfId="42" applyFont="1" applyFill="1" applyBorder="1" applyAlignment="1">
      <alignment horizontal="center" vertical="center"/>
    </xf>
    <xf numFmtId="0" fontId="31" fillId="33" borderId="0" xfId="42" applyFont="1" applyFill="1" applyAlignment="1">
      <alignment horizontal="center" vertical="center"/>
    </xf>
    <xf numFmtId="0" fontId="31" fillId="33" borderId="42" xfId="42" applyFont="1" applyFill="1" applyBorder="1" applyAlignment="1">
      <alignment horizontal="center" vertical="center"/>
    </xf>
    <xf numFmtId="0" fontId="31" fillId="33" borderId="43" xfId="42" applyFont="1" applyFill="1" applyBorder="1" applyAlignment="1">
      <alignment horizontal="center" vertical="center"/>
    </xf>
    <xf numFmtId="0" fontId="31" fillId="33" borderId="27" xfId="42" applyFont="1" applyFill="1" applyBorder="1"/>
    <xf numFmtId="0" fontId="33" fillId="0" borderId="0" xfId="42" applyFont="1" applyAlignment="1">
      <alignment horizontal="left" vertical="center"/>
    </xf>
    <xf numFmtId="0" fontId="31" fillId="33" borderId="10" xfId="42" applyFont="1" applyFill="1" applyBorder="1"/>
    <xf numFmtId="0" fontId="31" fillId="33" borderId="28" xfId="42" quotePrefix="1" applyFont="1" applyFill="1" applyBorder="1" applyAlignment="1">
      <alignment horizontal="center" vertical="center"/>
    </xf>
    <xf numFmtId="0" fontId="31" fillId="33" borderId="23" xfId="42" quotePrefix="1" applyFont="1" applyFill="1" applyBorder="1" applyAlignment="1">
      <alignment horizontal="center" vertical="center"/>
    </xf>
    <xf numFmtId="0" fontId="31" fillId="33" borderId="26" xfId="42" quotePrefix="1" applyFont="1" applyFill="1" applyBorder="1" applyAlignment="1">
      <alignment horizontal="center" vertical="center"/>
    </xf>
    <xf numFmtId="0" fontId="31" fillId="33" borderId="30" xfId="42" quotePrefix="1" applyFont="1" applyFill="1" applyBorder="1" applyAlignment="1">
      <alignment horizontal="center" vertical="center"/>
    </xf>
    <xf numFmtId="0" fontId="31" fillId="33" borderId="29" xfId="42" quotePrefix="1" applyFont="1" applyFill="1" applyBorder="1" applyAlignment="1">
      <alignment horizontal="center" vertical="center"/>
    </xf>
    <xf numFmtId="0" fontId="31" fillId="33" borderId="16" xfId="42" applyFont="1" applyFill="1" applyBorder="1"/>
    <xf numFmtId="0" fontId="31" fillId="33" borderId="20" xfId="42" applyFont="1" applyFill="1" applyBorder="1" applyAlignment="1">
      <alignment horizontal="center" vertical="center"/>
    </xf>
    <xf numFmtId="0" fontId="31" fillId="33" borderId="15" xfId="42" applyFont="1" applyFill="1" applyBorder="1" applyAlignment="1">
      <alignment horizontal="center" vertical="center"/>
    </xf>
    <xf numFmtId="0" fontId="31" fillId="33" borderId="12" xfId="42" applyFont="1" applyFill="1" applyBorder="1" applyAlignment="1">
      <alignment horizontal="center" vertical="center"/>
    </xf>
    <xf numFmtId="0" fontId="31" fillId="33" borderId="19" xfId="42" applyFont="1" applyFill="1" applyBorder="1" applyAlignment="1">
      <alignment horizontal="center" vertical="center"/>
    </xf>
    <xf numFmtId="0" fontId="41" fillId="33" borderId="26" xfId="42" applyFont="1" applyFill="1" applyBorder="1" applyAlignment="1">
      <alignment horizontal="center" vertical="center"/>
    </xf>
    <xf numFmtId="0" fontId="41" fillId="33" borderId="24" xfId="42" applyFont="1" applyFill="1" applyBorder="1" applyAlignment="1">
      <alignment horizontal="center" vertical="center"/>
    </xf>
    <xf numFmtId="0" fontId="39" fillId="33" borderId="13" xfId="42" applyFont="1" applyFill="1" applyBorder="1" applyAlignment="1">
      <alignment horizontal="center" vertical="center"/>
    </xf>
    <xf numFmtId="0" fontId="39" fillId="33" borderId="11" xfId="42" applyFont="1" applyFill="1" applyBorder="1" applyAlignment="1">
      <alignment horizontal="center"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9" fillId="33" borderId="10" xfId="42" applyFont="1" applyFill="1" applyBorder="1"/>
    <xf numFmtId="0" fontId="47" fillId="0" borderId="10" xfId="42" applyFont="1" applyBorder="1" applyAlignment="1">
      <alignment vertical="center"/>
    </xf>
    <xf numFmtId="0" fontId="47" fillId="0" borderId="0" xfId="42" applyFont="1" applyBorder="1" applyAlignment="1">
      <alignment vertical="center"/>
    </xf>
    <xf numFmtId="0" fontId="31" fillId="33" borderId="31" xfId="42" applyFont="1" applyFill="1" applyBorder="1" applyAlignment="1">
      <alignment horizontal="center" vertical="center"/>
    </xf>
    <xf numFmtId="0" fontId="39" fillId="33" borderId="27" xfId="42" applyFont="1" applyFill="1" applyBorder="1"/>
    <xf numFmtId="0" fontId="39" fillId="33" borderId="23" xfId="42" applyFont="1" applyFill="1" applyBorder="1" applyAlignment="1">
      <alignment horizontal="center" vertical="center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0" xfId="42" applyFont="1" applyAlignment="1">
      <alignment vertical="center"/>
    </xf>
    <xf numFmtId="0" fontId="41" fillId="33" borderId="23" xfId="42" applyFont="1" applyFill="1" applyBorder="1" applyAlignment="1">
      <alignment horizontal="center" vertical="center"/>
    </xf>
    <xf numFmtId="0" fontId="39" fillId="33" borderId="16" xfId="42" applyFont="1" applyFill="1" applyBorder="1"/>
    <xf numFmtId="0" fontId="33" fillId="0" borderId="0" xfId="42" applyFont="1" applyFill="1" applyAlignment="1">
      <alignment horizontal="center" vertical="center"/>
    </xf>
    <xf numFmtId="0" fontId="48" fillId="0" borderId="0" xfId="0" applyFont="1" applyBorder="1"/>
    <xf numFmtId="0" fontId="48" fillId="0" borderId="0" xfId="0" applyFont="1"/>
    <xf numFmtId="0" fontId="33" fillId="0" borderId="0" xfId="42" applyFont="1" applyFill="1"/>
    <xf numFmtId="0" fontId="33" fillId="0" borderId="0" xfId="42" applyFont="1" applyAlignment="1">
      <alignment horizontal="left"/>
    </xf>
    <xf numFmtId="0" fontId="31" fillId="34" borderId="33" xfId="42" applyFont="1" applyFill="1" applyBorder="1" applyAlignment="1">
      <alignment horizontal="center"/>
    </xf>
    <xf numFmtId="0" fontId="31" fillId="34" borderId="35" xfId="42" applyFont="1" applyFill="1" applyBorder="1" applyAlignment="1">
      <alignment horizontal="center"/>
    </xf>
    <xf numFmtId="0" fontId="31" fillId="34" borderId="32" xfId="42" applyFont="1" applyFill="1" applyBorder="1" applyAlignment="1">
      <alignment horizontal="center"/>
    </xf>
    <xf numFmtId="0" fontId="31" fillId="34" borderId="37" xfId="42" applyFont="1" applyFill="1" applyBorder="1" applyAlignment="1">
      <alignment horizontal="center"/>
    </xf>
    <xf numFmtId="0" fontId="31" fillId="34" borderId="36" xfId="42" applyFont="1" applyFill="1" applyBorder="1" applyAlignment="1">
      <alignment horizontal="center"/>
    </xf>
    <xf numFmtId="0" fontId="33" fillId="0" borderId="10" xfId="42" applyFont="1" applyFill="1" applyBorder="1" applyAlignment="1">
      <alignment horizontal="center" vertical="center"/>
    </xf>
    <xf numFmtId="0" fontId="33" fillId="0" borderId="0" xfId="42" applyFont="1" applyFill="1" applyBorder="1" applyAlignment="1">
      <alignment horizontal="center" vertical="center"/>
    </xf>
    <xf numFmtId="0" fontId="31" fillId="34" borderId="39" xfId="42" applyFont="1" applyFill="1" applyBorder="1" applyAlignment="1">
      <alignment horizontal="center"/>
    </xf>
    <xf numFmtId="0" fontId="31" fillId="34" borderId="40" xfId="42" applyFont="1" applyFill="1" applyBorder="1" applyAlignment="1">
      <alignment horizontal="center"/>
    </xf>
    <xf numFmtId="0" fontId="31" fillId="34" borderId="10" xfId="42" applyFont="1" applyFill="1" applyBorder="1" applyAlignment="1">
      <alignment horizontal="center"/>
    </xf>
    <xf numFmtId="0" fontId="31" fillId="34" borderId="24" xfId="42" applyFont="1" applyFill="1" applyBorder="1" applyAlignment="1">
      <alignment horizontal="center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24" xfId="42" applyFont="1" applyBorder="1" applyAlignment="1">
      <alignment vertical="center"/>
    </xf>
    <xf numFmtId="0" fontId="42" fillId="0" borderId="0" xfId="42" applyFont="1" applyBorder="1" applyAlignment="1">
      <alignment vertical="center"/>
    </xf>
    <xf numFmtId="0" fontId="42" fillId="0" borderId="24" xfId="42" applyFont="1" applyBorder="1" applyAlignment="1">
      <alignment vertical="center"/>
    </xf>
    <xf numFmtId="0" fontId="32" fillId="34" borderId="33" xfId="42" applyFont="1" applyFill="1" applyBorder="1" applyAlignment="1">
      <alignment horizontal="center"/>
    </xf>
    <xf numFmtId="0" fontId="32" fillId="34" borderId="35" xfId="42" applyFont="1" applyFill="1" applyBorder="1" applyAlignment="1">
      <alignment horizontal="center"/>
    </xf>
    <xf numFmtId="0" fontId="32" fillId="34" borderId="32" xfId="42" applyFont="1" applyFill="1" applyBorder="1" applyAlignment="1">
      <alignment horizontal="center"/>
    </xf>
    <xf numFmtId="0" fontId="33" fillId="0" borderId="10" xfId="42" applyFont="1" applyBorder="1" applyAlignment="1">
      <alignment horizontal="center" vertical="center"/>
    </xf>
    <xf numFmtId="0" fontId="33" fillId="0" borderId="0" xfId="42" applyFont="1" applyBorder="1" applyAlignment="1">
      <alignment horizontal="center" vertical="center"/>
    </xf>
    <xf numFmtId="0" fontId="33" fillId="0" borderId="16" xfId="42" applyFont="1" applyBorder="1" applyAlignment="1">
      <alignment vertical="center"/>
    </xf>
    <xf numFmtId="0" fontId="42" fillId="0" borderId="18" xfId="42" applyFont="1" applyBorder="1" applyAlignment="1">
      <alignment vertical="center"/>
    </xf>
    <xf numFmtId="0" fontId="42" fillId="0" borderId="13" xfId="42" applyFont="1" applyBorder="1" applyAlignment="1">
      <alignment vertical="center"/>
    </xf>
    <xf numFmtId="0" fontId="33" fillId="0" borderId="18" xfId="42" applyFont="1" applyBorder="1" applyAlignment="1">
      <alignment vertical="center"/>
    </xf>
    <xf numFmtId="0" fontId="33" fillId="0" borderId="13" xfId="42" applyFont="1" applyBorder="1" applyAlignment="1">
      <alignment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3" fillId="0" borderId="32" xfId="42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 val="4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AN52" activePane="bottomRight" state="frozen"/>
      <selection pane="topRight" activeCell="B1" sqref="B1"/>
      <selection pane="bottomLeft" activeCell="A4" sqref="A4"/>
      <selection pane="bottomRight" activeCell="BJ3" sqref="BJ3"/>
    </sheetView>
  </sheetViews>
  <sheetFormatPr defaultColWidth="11.5703125" defaultRowHeight="15" x14ac:dyDescent="0.25"/>
  <cols>
    <col min="1" max="1" width="27.42578125" style="109" bestFit="1" customWidth="1"/>
    <col min="2" max="2" width="3.7109375" style="109" customWidth="1"/>
    <col min="3" max="3" width="3.7109375" style="215" customWidth="1"/>
    <col min="4" max="18" width="3.7109375" style="109" customWidth="1"/>
    <col min="19" max="19" width="3.7109375" style="213" customWidth="1"/>
    <col min="20" max="20" width="3.7109375" style="214" customWidth="1"/>
    <col min="21" max="23" width="3.7109375" style="109" customWidth="1"/>
    <col min="24" max="24" width="3.7109375" style="214" customWidth="1"/>
    <col min="25" max="30" width="3.7109375" style="109" customWidth="1"/>
    <col min="31" max="32" width="3.7109375" style="214" customWidth="1"/>
    <col min="33" max="60" width="3.7109375" style="109" customWidth="1"/>
    <col min="61" max="61" width="21.5703125" style="109" bestFit="1" customWidth="1"/>
    <col min="62" max="62" width="11.28515625" style="109" bestFit="1" customWidth="1"/>
    <col min="63" max="63" width="17.28515625" style="109" bestFit="1" customWidth="1"/>
    <col min="64" max="64" width="2.28515625" style="109" bestFit="1" customWidth="1"/>
    <col min="65" max="65" width="25.140625" style="109" bestFit="1" customWidth="1"/>
    <col min="66" max="126" width="3.7109375" style="109" customWidth="1"/>
    <col min="127" max="127" width="33.28515625" style="109" bestFit="1" customWidth="1"/>
    <col min="128" max="128" width="3.7109375" style="109" customWidth="1"/>
    <col min="129" max="129" width="25.140625" style="109" bestFit="1" customWidth="1"/>
    <col min="130" max="130" width="33.28515625" style="216" bestFit="1" customWidth="1"/>
    <col min="131" max="131" width="14.5703125" style="216" bestFit="1" customWidth="1"/>
    <col min="132" max="16384" width="11.5703125" style="109"/>
  </cols>
  <sheetData>
    <row r="1" spans="1:131" s="61" customFormat="1" ht="15" customHeight="1" x14ac:dyDescent="0.2">
      <c r="A1" s="58" t="s">
        <v>101</v>
      </c>
      <c r="B1" s="218" t="s">
        <v>100</v>
      </c>
      <c r="C1" s="218"/>
      <c r="D1" s="218"/>
      <c r="E1" s="218"/>
      <c r="F1" s="218"/>
      <c r="G1" s="218"/>
      <c r="H1" s="218"/>
      <c r="I1" s="219"/>
      <c r="J1" s="233" t="s">
        <v>1292</v>
      </c>
      <c r="K1" s="234"/>
      <c r="L1" s="235"/>
      <c r="M1" s="233" t="s">
        <v>1293</v>
      </c>
      <c r="N1" s="234"/>
      <c r="O1" s="235"/>
      <c r="P1" s="217" t="s">
        <v>99</v>
      </c>
      <c r="Q1" s="218"/>
      <c r="R1" s="218"/>
      <c r="S1" s="218"/>
      <c r="T1" s="218"/>
      <c r="U1" s="218"/>
      <c r="V1" s="218"/>
      <c r="W1" s="219"/>
      <c r="X1" s="217" t="s">
        <v>98</v>
      </c>
      <c r="Y1" s="218"/>
      <c r="Z1" s="218"/>
      <c r="AA1" s="218"/>
      <c r="AB1" s="218"/>
      <c r="AC1" s="219"/>
      <c r="AD1" s="217" t="s">
        <v>2005</v>
      </c>
      <c r="AE1" s="218"/>
      <c r="AF1" s="219"/>
      <c r="AG1" s="217" t="s">
        <v>97</v>
      </c>
      <c r="AH1" s="218"/>
      <c r="AI1" s="218"/>
      <c r="AJ1" s="219"/>
      <c r="AK1" s="233" t="s">
        <v>1290</v>
      </c>
      <c r="AL1" s="234"/>
      <c r="AM1" s="235"/>
      <c r="AN1" s="233" t="s">
        <v>1291</v>
      </c>
      <c r="AO1" s="235"/>
      <c r="AP1" s="217" t="s">
        <v>96</v>
      </c>
      <c r="AQ1" s="218"/>
      <c r="AR1" s="218"/>
      <c r="AS1" s="218"/>
      <c r="AT1" s="219"/>
      <c r="AU1" s="234" t="s">
        <v>95</v>
      </c>
      <c r="AV1" s="234"/>
      <c r="AW1" s="235"/>
      <c r="AX1" s="217" t="s">
        <v>1294</v>
      </c>
      <c r="AY1" s="218"/>
      <c r="AZ1" s="219"/>
      <c r="BA1" s="217" t="s">
        <v>1295</v>
      </c>
      <c r="BB1" s="218"/>
      <c r="BC1" s="218"/>
      <c r="BD1" s="219"/>
      <c r="BE1" s="233" t="s">
        <v>94</v>
      </c>
      <c r="BF1" s="235"/>
      <c r="BG1" s="59" t="s">
        <v>1</v>
      </c>
      <c r="BH1" s="60" t="s">
        <v>1</v>
      </c>
      <c r="BI1" s="60" t="s">
        <v>1297</v>
      </c>
      <c r="BJ1" s="60" t="s">
        <v>1296</v>
      </c>
      <c r="BK1" s="59" t="s">
        <v>1298</v>
      </c>
      <c r="BL1" s="218" t="s">
        <v>93</v>
      </c>
      <c r="BM1" s="219"/>
    </row>
    <row r="2" spans="1:131" s="61" customFormat="1" ht="12.75" customHeight="1" x14ac:dyDescent="0.2">
      <c r="A2" s="62" t="s">
        <v>1912</v>
      </c>
      <c r="B2" s="63" t="s">
        <v>1</v>
      </c>
      <c r="C2" s="64"/>
      <c r="D2" s="65" t="s">
        <v>91</v>
      </c>
      <c r="E2" s="65" t="s">
        <v>91</v>
      </c>
      <c r="F2" s="65"/>
      <c r="G2" s="65"/>
      <c r="H2" s="65"/>
      <c r="I2" s="66" t="s">
        <v>91</v>
      </c>
      <c r="J2" s="67"/>
      <c r="K2" s="64" t="s">
        <v>90</v>
      </c>
      <c r="L2" s="68" t="s">
        <v>91</v>
      </c>
      <c r="M2" s="69" t="s">
        <v>1</v>
      </c>
      <c r="N2" s="65" t="s">
        <v>92</v>
      </c>
      <c r="O2" s="66"/>
      <c r="P2" s="69" t="s">
        <v>1</v>
      </c>
      <c r="Q2" s="65" t="s">
        <v>92</v>
      </c>
      <c r="R2" s="65" t="s">
        <v>91</v>
      </c>
      <c r="S2" s="65"/>
      <c r="T2" s="64" t="s">
        <v>92</v>
      </c>
      <c r="U2" s="65"/>
      <c r="V2" s="65" t="s">
        <v>90</v>
      </c>
      <c r="W2" s="66" t="s">
        <v>92</v>
      </c>
      <c r="X2" s="69" t="s">
        <v>1</v>
      </c>
      <c r="Y2" s="65"/>
      <c r="Z2" s="65" t="s">
        <v>92</v>
      </c>
      <c r="AA2" s="65" t="s">
        <v>90</v>
      </c>
      <c r="AB2" s="65"/>
      <c r="AC2" s="68"/>
      <c r="AD2" s="69" t="s">
        <v>1</v>
      </c>
      <c r="AE2" s="65" t="s">
        <v>91</v>
      </c>
      <c r="AF2" s="65" t="s">
        <v>92</v>
      </c>
      <c r="AG2" s="69" t="s">
        <v>1</v>
      </c>
      <c r="AH2" s="65" t="s">
        <v>91</v>
      </c>
      <c r="AI2" s="65"/>
      <c r="AJ2" s="66" t="s">
        <v>92</v>
      </c>
      <c r="AK2" s="67" t="s">
        <v>1</v>
      </c>
      <c r="AL2" s="64" t="s">
        <v>91</v>
      </c>
      <c r="AM2" s="66"/>
      <c r="AN2" s="69" t="s">
        <v>1</v>
      </c>
      <c r="AO2" s="66"/>
      <c r="AP2" s="69" t="s">
        <v>1</v>
      </c>
      <c r="AQ2" s="65"/>
      <c r="AR2" s="65"/>
      <c r="AS2" s="65" t="s">
        <v>90</v>
      </c>
      <c r="AT2" s="66" t="s">
        <v>90</v>
      </c>
      <c r="AU2" s="69" t="s">
        <v>1</v>
      </c>
      <c r="AV2" s="65" t="s">
        <v>92</v>
      </c>
      <c r="AW2" s="66"/>
      <c r="AX2" s="69" t="s">
        <v>1</v>
      </c>
      <c r="AY2" s="65"/>
      <c r="AZ2" s="66" t="s">
        <v>92</v>
      </c>
      <c r="BA2" s="69" t="s">
        <v>1</v>
      </c>
      <c r="BB2" s="65"/>
      <c r="BC2" s="65" t="s">
        <v>90</v>
      </c>
      <c r="BD2" s="66" t="s">
        <v>91</v>
      </c>
      <c r="BE2" s="69" t="s">
        <v>1</v>
      </c>
      <c r="BF2" s="66" t="s">
        <v>90</v>
      </c>
      <c r="BG2" s="62"/>
      <c r="BH2" s="62"/>
      <c r="BI2" s="70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613</v>
      </c>
      <c r="BJ2" s="70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545</v>
      </c>
      <c r="BK2" s="71">
        <f>(9+2+8+6+3+2+1+4+2+2+3+1)*59</f>
        <v>2537</v>
      </c>
      <c r="BL2" s="220"/>
      <c r="BM2" s="221"/>
    </row>
    <row r="3" spans="1:131" s="89" customFormat="1" ht="112.5" customHeight="1" x14ac:dyDescent="0.2">
      <c r="A3" s="72" t="s">
        <v>89</v>
      </c>
      <c r="B3" s="73" t="s">
        <v>1277</v>
      </c>
      <c r="C3" s="74" t="s">
        <v>88</v>
      </c>
      <c r="D3" s="75" t="s">
        <v>87</v>
      </c>
      <c r="E3" s="75" t="s">
        <v>86</v>
      </c>
      <c r="F3" s="75" t="s">
        <v>84</v>
      </c>
      <c r="G3" s="75" t="s">
        <v>83</v>
      </c>
      <c r="H3" s="75" t="s">
        <v>82</v>
      </c>
      <c r="I3" s="76" t="s">
        <v>81</v>
      </c>
      <c r="J3" s="77" t="s">
        <v>1278</v>
      </c>
      <c r="K3" s="75" t="s">
        <v>85</v>
      </c>
      <c r="L3" s="78" t="s">
        <v>80</v>
      </c>
      <c r="M3" s="79" t="s">
        <v>1279</v>
      </c>
      <c r="N3" s="75" t="s">
        <v>79</v>
      </c>
      <c r="O3" s="76" t="s">
        <v>78</v>
      </c>
      <c r="P3" s="79" t="s">
        <v>1280</v>
      </c>
      <c r="Q3" s="75" t="s">
        <v>77</v>
      </c>
      <c r="R3" s="75" t="s">
        <v>76</v>
      </c>
      <c r="S3" s="75" t="s">
        <v>74</v>
      </c>
      <c r="T3" s="80" t="s">
        <v>73</v>
      </c>
      <c r="U3" s="75" t="s">
        <v>72</v>
      </c>
      <c r="V3" s="75" t="s">
        <v>71</v>
      </c>
      <c r="W3" s="76" t="s">
        <v>70</v>
      </c>
      <c r="X3" s="79" t="s">
        <v>1281</v>
      </c>
      <c r="Y3" s="75" t="s">
        <v>69</v>
      </c>
      <c r="Z3" s="75" t="s">
        <v>65</v>
      </c>
      <c r="AA3" s="75" t="s">
        <v>66</v>
      </c>
      <c r="AB3" s="75" t="s">
        <v>68</v>
      </c>
      <c r="AC3" s="78" t="s">
        <v>67</v>
      </c>
      <c r="AD3" s="79" t="s">
        <v>2004</v>
      </c>
      <c r="AE3" s="75" t="s">
        <v>75</v>
      </c>
      <c r="AF3" s="75" t="s">
        <v>64</v>
      </c>
      <c r="AG3" s="79" t="s">
        <v>1282</v>
      </c>
      <c r="AH3" s="75" t="s">
        <v>63</v>
      </c>
      <c r="AI3" s="75" t="s">
        <v>62</v>
      </c>
      <c r="AJ3" s="76" t="s">
        <v>1289</v>
      </c>
      <c r="AK3" s="79" t="s">
        <v>1283</v>
      </c>
      <c r="AL3" s="80" t="s">
        <v>61</v>
      </c>
      <c r="AM3" s="76" t="s">
        <v>60</v>
      </c>
      <c r="AN3" s="73" t="s">
        <v>1284</v>
      </c>
      <c r="AO3" s="78" t="s">
        <v>59</v>
      </c>
      <c r="AP3" s="79" t="s">
        <v>96</v>
      </c>
      <c r="AQ3" s="75" t="s">
        <v>58</v>
      </c>
      <c r="AR3" s="75" t="s">
        <v>57</v>
      </c>
      <c r="AS3" s="75" t="s">
        <v>56</v>
      </c>
      <c r="AT3" s="76" t="s">
        <v>1719</v>
      </c>
      <c r="AU3" s="81" t="s">
        <v>1285</v>
      </c>
      <c r="AV3" s="75" t="s">
        <v>55</v>
      </c>
      <c r="AW3" s="76" t="s">
        <v>54</v>
      </c>
      <c r="AX3" s="79" t="s">
        <v>1286</v>
      </c>
      <c r="AY3" s="75" t="s">
        <v>53</v>
      </c>
      <c r="AZ3" s="76" t="s">
        <v>52</v>
      </c>
      <c r="BA3" s="77" t="s">
        <v>1287</v>
      </c>
      <c r="BB3" s="75" t="s">
        <v>51</v>
      </c>
      <c r="BC3" s="75" t="s">
        <v>50</v>
      </c>
      <c r="BD3" s="76" t="s">
        <v>49</v>
      </c>
      <c r="BE3" s="73" t="s">
        <v>1288</v>
      </c>
      <c r="BF3" s="78" t="s">
        <v>48</v>
      </c>
      <c r="BG3" s="78" t="s">
        <v>47</v>
      </c>
      <c r="BH3" s="82" t="s">
        <v>46</v>
      </c>
      <c r="BI3" s="83">
        <f>$BI$2/$BK$2</f>
        <v>0.24162396531336225</v>
      </c>
      <c r="BJ3" s="84" t="s">
        <v>1742</v>
      </c>
      <c r="BK3" s="85" t="str">
        <f>CONCATENATE(ROUND(($BI$2+$BJ$2)/$BK$2,3)*100,"%*")</f>
        <v>45.6%*</v>
      </c>
      <c r="BL3" s="86" t="s">
        <v>2800</v>
      </c>
      <c r="BM3" s="87" t="s">
        <v>2366</v>
      </c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131" ht="12.75" customHeight="1" x14ac:dyDescent="0.2">
      <c r="A4" s="90" t="s">
        <v>1103</v>
      </c>
      <c r="B4" s="91" t="str">
        <f>IF(ISTEXT(VLOOKUP(CONCATENATE($A4,"_",B$3),'Unit List'!$A$23:$H$3319,2,FALSE)),"+","")</f>
        <v/>
      </c>
      <c r="C4" s="92" t="str">
        <f>IF(ISTEXT(VLOOKUP(CONCATENATE($A4,"_",C$3),'Unit List'!$A$23:$H$3319,2,FALSE)),"X",$B4)</f>
        <v>X</v>
      </c>
      <c r="D4" s="93" t="str">
        <f>IF(ISTEXT(VLOOKUP(CONCATENATE($A4,"_",D$3),'Unit List'!$A$23:$H$3319,2,FALSE)),"X",$B4)</f>
        <v/>
      </c>
      <c r="E4" s="94" t="str">
        <f>IF(ISTEXT(VLOOKUP(CONCATENATE($A4,"_",E$3),'Unit List'!$A$23:$H$3319,2,FALSE)),"X",$B4)</f>
        <v/>
      </c>
      <c r="F4" s="93" t="str">
        <f>IF(ISTEXT(VLOOKUP(CONCATENATE($A4,"_",F$3),'Unit List'!$A$23:$H$3319,2,FALSE)),"X",$B4)</f>
        <v/>
      </c>
      <c r="G4" s="95" t="str">
        <f>IF(ISTEXT(VLOOKUP(CONCATENATE($A4,"_",G$3),'Unit List'!$A$23:$H$3319,2,FALSE)),"X",$B4)</f>
        <v>X</v>
      </c>
      <c r="H4" s="93" t="str">
        <f>IF(ISTEXT(VLOOKUP(CONCATENATE($A4,"_",H$3),'Unit List'!$A$23:$H$3319,2,FALSE)),"X",$B4)</f>
        <v/>
      </c>
      <c r="I4" s="96" t="str">
        <f>IF(ISTEXT(VLOOKUP(CONCATENATE($A4,"_",I$3),'Unit List'!$A$23:$H$3319,2,FALSE)),"X",$B4)</f>
        <v/>
      </c>
      <c r="J4" s="97" t="str">
        <f>IF(ISTEXT(VLOOKUP(CONCATENATE($A4,"_",J$3),'Unit List'!$A$23:$H$3319,2,FALSE)),"+","")</f>
        <v/>
      </c>
      <c r="K4" s="94" t="str">
        <f>IF(ISTEXT(VLOOKUP(CONCATENATE($A4,"_",K$3),'Unit List'!$A$23:$H$3319,2,FALSE)),"X",$J4)</f>
        <v/>
      </c>
      <c r="L4" s="98" t="str">
        <f>IF(ISTEXT(VLOOKUP(CONCATENATE($A4,"_",L$3),'Unit List'!$A$23:$H$3319,2,FALSE)),"X",$J4)</f>
        <v/>
      </c>
      <c r="M4" s="97" t="str">
        <f>IF(ISTEXT(VLOOKUP(CONCATENATE($A4,"_",M$3),'Unit List'!$A$23:$H$3319,2,FALSE)),"+","")</f>
        <v/>
      </c>
      <c r="N4" s="94" t="str">
        <f>IF(ISTEXT(VLOOKUP(CONCATENATE($A4,"_",N$3),'Unit List'!$A$23:$H$3319,2,FALSE)),"X",$M4)</f>
        <v/>
      </c>
      <c r="O4" s="99" t="str">
        <f>IF(ISTEXT(VLOOKUP(CONCATENATE($A4,"_",O$3),'Unit List'!$A$23:$H$3319,2,FALSE)),"X",$M4)</f>
        <v/>
      </c>
      <c r="P4" s="97" t="str">
        <f>IF(ISTEXT(VLOOKUP(CONCATENATE($A4,"_",P$3),'Unit List'!$A$23:$H$3319,2,FALSE)),"+","")</f>
        <v>+</v>
      </c>
      <c r="Q4" s="94" t="str">
        <f>IF(ISTEXT(VLOOKUP(CONCATENATE($A4,"_",Q$3),'Unit List'!$A$23:$H$3319,2,FALSE)),"X",$P4)</f>
        <v>+</v>
      </c>
      <c r="R4" s="94" t="str">
        <f>IF(ISTEXT(VLOOKUP(CONCATENATE($A4,"_",R$3),'Unit List'!$A$23:$H$3319,2,FALSE)),"X",$P4)</f>
        <v>+</v>
      </c>
      <c r="S4" s="94" t="str">
        <f>IF(ISTEXT(VLOOKUP(CONCATENATE($A4,"_",S$3),'Unit List'!$A$23:$H$3319,2,FALSE)),"X",$P4)</f>
        <v>+</v>
      </c>
      <c r="T4" s="100" t="str">
        <f>IF(ISTEXT(VLOOKUP(CONCATENATE($A4,"_",T$3),'Unit List'!$A$23:$H$3319,2,FALSE)),"X",$P4)</f>
        <v>+</v>
      </c>
      <c r="U4" s="95" t="str">
        <f>IF(ISTEXT(VLOOKUP(CONCATENATE($A4,"_",U$3),'Unit List'!$A$23:$H$3319,2,FALSE)),"X",$P4)</f>
        <v>X</v>
      </c>
      <c r="V4" s="94" t="str">
        <f>IF(ISTEXT(VLOOKUP(CONCATENATE($A4,"_",V$3),'Unit List'!$A$23:$H$3319,2,FALSE)),"X",$P4)</f>
        <v>+</v>
      </c>
      <c r="W4" s="96" t="str">
        <f>IF(ISTEXT(VLOOKUP(CONCATENATE($A4,"_",W$3),'Unit List'!$A$23:$H$3319,2,FALSE)),"X",$P4)</f>
        <v>+</v>
      </c>
      <c r="X4" s="97" t="str">
        <f>IF(ISTEXT(VLOOKUP(CONCATENATE($A4,"_",X$3),'Unit List'!$A$23:$H$3319,2,FALSE)),"+","")</f>
        <v/>
      </c>
      <c r="Y4" s="94" t="str">
        <f>IF(ISTEXT(VLOOKUP(CONCATENATE($A4,"_",Y$3),'Unit List'!$A$23:$H$3319,2,FALSE)),"X",$X4)</f>
        <v/>
      </c>
      <c r="Z4" s="94" t="str">
        <f>IF(ISTEXT(VLOOKUP(CONCATENATE($A4,"_",Z$3),'Unit List'!$A$23:$H$3319,2,FALSE)),"X",$X4)</f>
        <v/>
      </c>
      <c r="AA4" s="94" t="str">
        <f>IF(ISTEXT(VLOOKUP(CONCATENATE($A4,"_",AA$3),'Unit List'!$A$23:$H$3319,2,FALSE)),"X",$X4)</f>
        <v/>
      </c>
      <c r="AB4" s="94" t="str">
        <f>IF(ISTEXT(VLOOKUP(CONCATENATE($A4,"_",AB$3),'Unit List'!$A$23:$H$3319,2,FALSE)),"X",$X4)</f>
        <v/>
      </c>
      <c r="AC4" s="101" t="str">
        <f>IF(ISTEXT(VLOOKUP(CONCATENATE($A4,"_",AC$3),'Unit List'!$A$23:$H$3319,2,FALSE)),"X",$X4)</f>
        <v/>
      </c>
      <c r="AD4" s="97" t="str">
        <f>IF(ISTEXT(VLOOKUP(CONCATENATE($A4,"_",AD$3),'Unit List'!$A$23:$H$3319,2,FALSE)),"+","")</f>
        <v>+</v>
      </c>
      <c r="AE4" s="94" t="str">
        <f>IF(ISTEXT(VLOOKUP(CONCATENATE($A4,"_",AE$3),'Unit List'!$A$23:$H$3319,2,FALSE)),"X",$AD4)</f>
        <v>+</v>
      </c>
      <c r="AF4" s="94" t="str">
        <f>IF(ISTEXT(VLOOKUP(CONCATENATE($A4,"_",AF$3),'Unit List'!$A$23:$H$3319,2,FALSE)),"X",$AD4)</f>
        <v>+</v>
      </c>
      <c r="AG4" s="97" t="str">
        <f>IF(ISTEXT(VLOOKUP(CONCATENATE($A4,"_",AG$3),'Unit List'!$A$23:$H$3319,2,FALSE)),"+","")</f>
        <v/>
      </c>
      <c r="AH4" s="94" t="str">
        <f>IF(ISTEXT(VLOOKUP(CONCATENATE($A4,"_",AH$3),'Unit List'!$A$23:$H$3319,2,FALSE)),"X",$AG4)</f>
        <v/>
      </c>
      <c r="AI4" s="94" t="str">
        <f>IF(ISTEXT(VLOOKUP(CONCATENATE($A4,"_",AI$3),'Unit List'!$A$23:$H$3319,2,FALSE)),"X",$AG4)</f>
        <v/>
      </c>
      <c r="AJ4" s="96" t="str">
        <f>IF(ISTEXT(VLOOKUP(CONCATENATE($A4,"_",AJ$3),'Unit List'!$A$23:$H$3319,2,FALSE)),"X",$AG4)</f>
        <v/>
      </c>
      <c r="AK4" s="97" t="str">
        <f>IF(ISTEXT(VLOOKUP(CONCATENATE($A4,"_",AK$3),'Unit List'!$A$23:$H$3319,2,FALSE)),"+","")</f>
        <v/>
      </c>
      <c r="AL4" s="102" t="str">
        <f>IF(ISTEXT(VLOOKUP(CONCATENATE($A4,"_",AL$3),'Unit List'!$A$23:$H$3319,2,FALSE)),"X",$AK4)</f>
        <v/>
      </c>
      <c r="AM4" s="96" t="str">
        <f>IF(ISTEXT(VLOOKUP(CONCATENATE($A4,"_",AM$3),'Unit List'!$A$23:$H$3319,2,FALSE)),"X",$AK4)</f>
        <v/>
      </c>
      <c r="AN4" s="103" t="str">
        <f>IF(ISTEXT(VLOOKUP(CONCATENATE($A4,"_",AN$3),'Unit List'!$A$23:$H$3319,2,FALSE)),"+","")</f>
        <v/>
      </c>
      <c r="AO4" s="96" t="str">
        <f>IF(ISTEXT(VLOOKUP(CONCATENATE($A4,"_",AO$3),'Unit List'!$A$23:$H$3319,2,FALSE)),"X",$AN4)</f>
        <v/>
      </c>
      <c r="AP4" s="97" t="str">
        <f>IF(ISTEXT(VLOOKUP(CONCATENATE($A4,"_",AP$3),'Unit List'!$A$23:$H$3319,2,FALSE)),"+","")</f>
        <v>+</v>
      </c>
      <c r="AQ4" s="94" t="str">
        <f>IF(ISTEXT(VLOOKUP(CONCATENATE($A4,"_",AQ$3),'Unit List'!$A$23:$H$3319,2,FALSE)),"X",$AP4)</f>
        <v>+</v>
      </c>
      <c r="AR4" s="95" t="str">
        <f>IF(ISTEXT(VLOOKUP(CONCATENATE($A4,"_",AR$3),'Unit List'!$A$23:$H$3319,2,FALSE)),"X",$AP4)</f>
        <v>X</v>
      </c>
      <c r="AS4" s="94" t="str">
        <f>IF(ISTEXT(VLOOKUP(CONCATENATE($A4,"_",AS$3),'Unit List'!$A$23:$H$3319,2,FALSE)),"X",$AP4)</f>
        <v>+</v>
      </c>
      <c r="AT4" s="96" t="str">
        <f>IF(ISTEXT(VLOOKUP(CONCATENATE($A4,"_",AT$3),'Unit List'!$A$23:$H$3319,2,FALSE)),"X",$AP4)</f>
        <v>+</v>
      </c>
      <c r="AU4" s="104" t="str">
        <f>IF(ISTEXT(VLOOKUP(CONCATENATE($A4,"_",AU$3),'Unit List'!$A$23:$H$3319,2,FALSE)),"+","")</f>
        <v>+</v>
      </c>
      <c r="AV4" s="94" t="str">
        <f>IF(ISTEXT(VLOOKUP(CONCATENATE($A4,"_",AV$3),'Unit List'!$A$23:$H$3319,2,FALSE)),"X",$AU4)</f>
        <v>+</v>
      </c>
      <c r="AW4" s="96" t="str">
        <f>IF(ISTEXT(VLOOKUP(CONCATENATE($A4,"_",AW$3),'Unit List'!$A$23:$H$3319,2,FALSE)),"X",$AU4)</f>
        <v>+</v>
      </c>
      <c r="AX4" s="97" t="str">
        <f>IF(ISTEXT(VLOOKUP(CONCATENATE($A4,"_",AX$3),'Unit List'!$A$23:$H$3319,2,FALSE)),"+","")</f>
        <v>+</v>
      </c>
      <c r="AY4" s="94" t="str">
        <f>IF(ISTEXT(VLOOKUP(CONCATENATE($A4,"_",AY$3),'Unit List'!$A$23:$H$3319,2,FALSE)),"X",$AX4)</f>
        <v>+</v>
      </c>
      <c r="AZ4" s="96" t="str">
        <f>IF(ISTEXT(VLOOKUP(CONCATENATE($A4,"_",AZ$3),'Unit List'!$A$23:$H$3319,2,FALSE)),"X",$AX4)</f>
        <v>+</v>
      </c>
      <c r="BA4" s="105" t="str">
        <f>IF(ISTEXT(VLOOKUP(CONCATENATE($A4,"_",BA$3),'Unit List'!$A$23:$H$3319,2,FALSE)),"+","")</f>
        <v/>
      </c>
      <c r="BB4" s="94" t="str">
        <f>IF(ISTEXT(VLOOKUP(CONCATENATE($A4,"_",BB$3),'Unit List'!$A$23:$H$3319,2,FALSE)),"X",$BA4)</f>
        <v/>
      </c>
      <c r="BC4" s="94" t="str">
        <f>IF(ISTEXT(VLOOKUP(CONCATENATE($A4,"_",BC$3),'Unit List'!$A$23:$H$3319,2,FALSE)),"X",$BA4)</f>
        <v/>
      </c>
      <c r="BD4" s="96" t="str">
        <f>IF(ISTEXT(VLOOKUP(CONCATENATE($A4,"_",BD$3),'Unit List'!$A$23:$H$3319,2,FALSE)),"X",$BA4)</f>
        <v/>
      </c>
      <c r="BE4" s="103" t="str">
        <f>IF(ISTEXT(VLOOKUP(CONCATENATE($A4,"_",BE$3),'Unit List'!$A$23:$H$3319,2,FALSE)),"+","")</f>
        <v>+</v>
      </c>
      <c r="BF4" s="101" t="str">
        <f>IF(ISTEXT(VLOOKUP(CONCATENATE($A4,"_",BF$3),'Unit List'!$A$23:$H$3319,2,FALSE)),"X",$BE4)</f>
        <v>+</v>
      </c>
      <c r="BG4" s="106"/>
      <c r="BH4" s="107" t="s">
        <v>0</v>
      </c>
      <c r="BI4" s="236"/>
      <c r="BJ4" s="237"/>
      <c r="BK4" s="237"/>
      <c r="BL4" s="226" t="s">
        <v>1744</v>
      </c>
      <c r="BM4" s="227"/>
      <c r="BN4" s="108"/>
      <c r="BO4" s="108"/>
      <c r="BP4" s="108"/>
      <c r="BQ4" s="108"/>
      <c r="BR4" s="108"/>
      <c r="BS4" s="108"/>
      <c r="DZ4" s="109"/>
      <c r="EA4" s="109"/>
    </row>
    <row r="5" spans="1:131" ht="12.75" customHeight="1" x14ac:dyDescent="0.2">
      <c r="A5" s="90" t="s">
        <v>1104</v>
      </c>
      <c r="B5" s="91" t="str">
        <f>IF(ISTEXT(VLOOKUP(CONCATENATE($A5,"_",B$3),'Unit List'!$A$23:$H$3319,2,FALSE)),"+","")</f>
        <v/>
      </c>
      <c r="C5" s="92" t="str">
        <f>IF(ISTEXT(VLOOKUP(CONCATENATE($A5,"_",C$3),'Unit List'!$A$23:$H$3319,2,FALSE)),"X",$B5)</f>
        <v/>
      </c>
      <c r="D5" s="93" t="str">
        <f>IF(ISTEXT(VLOOKUP(CONCATENATE($A5,"_",D$3),'Unit List'!$A$23:$H$3319,2,FALSE)),"X",$B5)</f>
        <v/>
      </c>
      <c r="E5" s="94" t="str">
        <f>IF(ISTEXT(VLOOKUP(CONCATENATE($A5,"_",E$3),'Unit List'!$A$23:$H$3319,2,FALSE)),"X",$B5)</f>
        <v/>
      </c>
      <c r="F5" s="93" t="str">
        <f>IF(ISTEXT(VLOOKUP(CONCATENATE($A5,"_",F$3),'Unit List'!$A$23:$H$3319,2,FALSE)),"X",$B5)</f>
        <v/>
      </c>
      <c r="G5" s="93" t="str">
        <f>IF(ISTEXT(VLOOKUP(CONCATENATE($A5,"_",G$3),'Unit List'!$A$23:$H$3319,2,FALSE)),"X",$B5)</f>
        <v/>
      </c>
      <c r="H5" s="93" t="str">
        <f>IF(ISTEXT(VLOOKUP(CONCATENATE($A5,"_",H$3),'Unit List'!$A$23:$H$3319,2,FALSE)),"X",$B5)</f>
        <v/>
      </c>
      <c r="I5" s="96" t="str">
        <f>IF(ISTEXT(VLOOKUP(CONCATENATE($A5,"_",I$3),'Unit List'!$A$23:$H$3319,2,FALSE)),"X",$B5)</f>
        <v/>
      </c>
      <c r="J5" s="97" t="str">
        <f>IF(ISTEXT(VLOOKUP(CONCATENATE($A5,"_",J$3),'Unit List'!$A$23:$H$3319,2,FALSE)),"+","")</f>
        <v/>
      </c>
      <c r="K5" s="94" t="str">
        <f>IF(ISTEXT(VLOOKUP(CONCATENATE($A5,"_",K$3),'Unit List'!$A$23:$H$3319,2,FALSE)),"X",$J5)</f>
        <v/>
      </c>
      <c r="L5" s="98" t="str">
        <f>IF(ISTEXT(VLOOKUP(CONCATENATE($A5,"_",L$3),'Unit List'!$A$23:$H$3319,2,FALSE)),"X",$J5)</f>
        <v/>
      </c>
      <c r="M5" s="97" t="str">
        <f>IF(ISTEXT(VLOOKUP(CONCATENATE($A5,"_",M$3),'Unit List'!$A$23:$H$3319,2,FALSE)),"+","")</f>
        <v/>
      </c>
      <c r="N5" s="110" t="str">
        <f>IF(ISTEXT(VLOOKUP(CONCATENATE($A5,"_",N$3),'Unit List'!$A$23:$H$3319,2,FALSE)),"X",$M5)</f>
        <v/>
      </c>
      <c r="O5" s="99" t="str">
        <f>IF(ISTEXT(VLOOKUP(CONCATENATE($A5,"_",O$3),'Unit List'!$A$23:$H$3319,2,FALSE)),"X",$M5)</f>
        <v/>
      </c>
      <c r="P5" s="97" t="str">
        <f>IF(ISTEXT(VLOOKUP(CONCATENATE($A5,"_",P$3),'Unit List'!$A$23:$H$3319,2,FALSE)),"+","")</f>
        <v/>
      </c>
      <c r="Q5" s="94" t="str">
        <f>IF(ISTEXT(VLOOKUP(CONCATENATE($A5,"_",Q$3),'Unit List'!$A$23:$H$3319,2,FALSE)),"X",$P5)</f>
        <v/>
      </c>
      <c r="R5" s="94" t="str">
        <f>IF(ISTEXT(VLOOKUP(CONCATENATE($A5,"_",R$3),'Unit List'!$A$23:$H$3319,2,FALSE)),"X",$P5)</f>
        <v/>
      </c>
      <c r="S5" s="94" t="str">
        <f>IF(ISTEXT(VLOOKUP(CONCATENATE($A5,"_",S$3),'Unit List'!$A$23:$H$3319,2,FALSE)),"X",$P5)</f>
        <v/>
      </c>
      <c r="T5" s="100" t="str">
        <f>IF(ISTEXT(VLOOKUP(CONCATENATE($A5,"_",T$3),'Unit List'!$A$23:$H$3319,2,FALSE)),"X",$P5)</f>
        <v/>
      </c>
      <c r="U5" s="110" t="str">
        <f>IF(ISTEXT(VLOOKUP(CONCATENATE($A5,"_",U$3),'Unit List'!$A$23:$H$3319,2,FALSE)),"X",$P5)</f>
        <v/>
      </c>
      <c r="V5" s="110" t="str">
        <f>IF(ISTEXT(VLOOKUP(CONCATENATE($A5,"_",V$3),'Unit List'!$A$23:$H$3319,2,FALSE)),"X",$P5)</f>
        <v/>
      </c>
      <c r="W5" s="96" t="str">
        <f>IF(ISTEXT(VLOOKUP(CONCATENATE($A5,"_",W$3),'Unit List'!$A$23:$H$3319,2,FALSE)),"X",$P5)</f>
        <v/>
      </c>
      <c r="X5" s="97" t="str">
        <f>IF(ISTEXT(VLOOKUP(CONCATENATE($A5,"_",X$3),'Unit List'!$A$23:$H$3319,2,FALSE)),"+","")</f>
        <v/>
      </c>
      <c r="Y5" s="94" t="str">
        <f>IF(ISTEXT(VLOOKUP(CONCATENATE($A5,"_",Y$3),'Unit List'!$A$23:$H$3319,2,FALSE)),"X",$X5)</f>
        <v/>
      </c>
      <c r="Z5" s="94" t="str">
        <f>IF(ISTEXT(VLOOKUP(CONCATENATE($A5,"_",Z$3),'Unit List'!$A$23:$H$3319,2,FALSE)),"X",$X5)</f>
        <v/>
      </c>
      <c r="AA5" s="94" t="str">
        <f>IF(ISTEXT(VLOOKUP(CONCATENATE($A5,"_",AA$3),'Unit List'!$A$23:$H$3319,2,FALSE)),"X",$X5)</f>
        <v/>
      </c>
      <c r="AB5" s="94" t="str">
        <f>IF(ISTEXT(VLOOKUP(CONCATENATE($A5,"_",AB$3),'Unit List'!$A$23:$H$3319,2,FALSE)),"X",$X5)</f>
        <v/>
      </c>
      <c r="AC5" s="101" t="str">
        <f>IF(ISTEXT(VLOOKUP(CONCATENATE($A5,"_",AC$3),'Unit List'!$A$23:$H$3319,2,FALSE)),"X",$X5)</f>
        <v/>
      </c>
      <c r="AD5" s="97" t="str">
        <f>IF(ISTEXT(VLOOKUP(CONCATENATE($A5,"_",AD$3),'Unit List'!$A$23:$H$3319,2,FALSE)),"+","")</f>
        <v/>
      </c>
      <c r="AE5" s="94" t="str">
        <f>IF(ISTEXT(VLOOKUP(CONCATENATE($A5,"_",AE$3),'Unit List'!$A$23:$H$3319,2,FALSE)),"X",$AD5)</f>
        <v/>
      </c>
      <c r="AF5" s="94" t="str">
        <f>IF(ISTEXT(VLOOKUP(CONCATENATE($A5,"_",AF$3),'Unit List'!$A$23:$H$3319,2,FALSE)),"X",$AD5)</f>
        <v/>
      </c>
      <c r="AG5" s="97" t="str">
        <f>IF(ISTEXT(VLOOKUP(CONCATENATE($A5,"_",AG$3),'Unit List'!$A$23:$H$3319,2,FALSE)),"+","")</f>
        <v/>
      </c>
      <c r="AH5" s="94" t="str">
        <f>IF(ISTEXT(VLOOKUP(CONCATENATE($A5,"_",AH$3),'Unit List'!$A$23:$H$3319,2,FALSE)),"X",$AG5)</f>
        <v/>
      </c>
      <c r="AI5" s="94" t="str">
        <f>IF(ISTEXT(VLOOKUP(CONCATENATE($A5,"_",AI$3),'Unit List'!$A$23:$H$3319,2,FALSE)),"X",$AG5)</f>
        <v/>
      </c>
      <c r="AJ5" s="96" t="str">
        <f>IF(ISTEXT(VLOOKUP(CONCATENATE($A5,"_",AJ$3),'Unit List'!$A$23:$H$3319,2,FALSE)),"X",$AG5)</f>
        <v/>
      </c>
      <c r="AK5" s="97" t="str">
        <f>IF(ISTEXT(VLOOKUP(CONCATENATE($A5,"_",AK$3),'Unit List'!$A$23:$H$3319,2,FALSE)),"+","")</f>
        <v/>
      </c>
      <c r="AL5" s="102" t="str">
        <f>IF(ISTEXT(VLOOKUP(CONCATENATE($A5,"_",AL$3),'Unit List'!$A$23:$H$3319,2,FALSE)),"X",$AK5)</f>
        <v/>
      </c>
      <c r="AM5" s="96" t="str">
        <f>IF(ISTEXT(VLOOKUP(CONCATENATE($A5,"_",AM$3),'Unit List'!$A$23:$H$3319,2,FALSE)),"X",$AK5)</f>
        <v/>
      </c>
      <c r="AN5" s="103" t="str">
        <f>IF(ISTEXT(VLOOKUP(CONCATENATE($A5,"_",AN$3),'Unit List'!$A$23:$H$3319,2,FALSE)),"+","")</f>
        <v/>
      </c>
      <c r="AO5" s="96" t="str">
        <f>IF(ISTEXT(VLOOKUP(CONCATENATE($A5,"_",AO$3),'Unit List'!$A$23:$H$3319,2,FALSE)),"X",$AN5)</f>
        <v/>
      </c>
      <c r="AP5" s="97" t="str">
        <f>IF(ISTEXT(VLOOKUP(CONCATENATE($A5,"_",AP$3),'Unit List'!$A$23:$H$3319,2,FALSE)),"+","")</f>
        <v/>
      </c>
      <c r="AQ5" s="110" t="str">
        <f>IF(ISTEXT(VLOOKUP(CONCATENATE($A5,"_",AQ$3),'Unit List'!$A$23:$H$3319,2,FALSE)),"X",$AP5)</f>
        <v/>
      </c>
      <c r="AR5" s="110" t="str">
        <f>IF(ISTEXT(VLOOKUP(CONCATENATE($A5,"_",AR$3),'Unit List'!$A$23:$H$3319,2,FALSE)),"X",$AP5)</f>
        <v/>
      </c>
      <c r="AS5" s="94" t="str">
        <f>IF(ISTEXT(VLOOKUP(CONCATENATE($A5,"_",AS$3),'Unit List'!$A$23:$H$3319,2,FALSE)),"X",$AP5)</f>
        <v/>
      </c>
      <c r="AT5" s="96" t="str">
        <f>IF(ISTEXT(VLOOKUP(CONCATENATE($A5,"_",AT$3),'Unit List'!$A$23:$H$3319,2,FALSE)),"X",$AP5)</f>
        <v/>
      </c>
      <c r="AU5" s="104" t="str">
        <f>IF(ISTEXT(VLOOKUP(CONCATENATE($A5,"_",AU$3),'Unit List'!$A$23:$H$3319,2,FALSE)),"+","")</f>
        <v/>
      </c>
      <c r="AV5" s="94" t="str">
        <f>IF(ISTEXT(VLOOKUP(CONCATENATE($A5,"_",AV$3),'Unit List'!$A$23:$H$3319,2,FALSE)),"X",$AU5)</f>
        <v/>
      </c>
      <c r="AW5" s="96" t="str">
        <f>IF(ISTEXT(VLOOKUP(CONCATENATE($A5,"_",AW$3),'Unit List'!$A$23:$H$3319,2,FALSE)),"X",$AU5)</f>
        <v/>
      </c>
      <c r="AX5" s="97" t="str">
        <f>IF(ISTEXT(VLOOKUP(CONCATENATE($A5,"_",AX$3),'Unit List'!$A$23:$H$3319,2,FALSE)),"+","")</f>
        <v/>
      </c>
      <c r="AY5" s="94" t="str">
        <f>IF(ISTEXT(VLOOKUP(CONCATENATE($A5,"_",AY$3),'Unit List'!$A$23:$H$3319,2,FALSE)),"X",$AX5)</f>
        <v/>
      </c>
      <c r="AZ5" s="96" t="str">
        <f>IF(ISTEXT(VLOOKUP(CONCATENATE($A5,"_",AZ$3),'Unit List'!$A$23:$H$3319,2,FALSE)),"X",$AX5)</f>
        <v/>
      </c>
      <c r="BA5" s="105" t="str">
        <f>IF(ISTEXT(VLOOKUP(CONCATENATE($A5,"_",BA$3),'Unit List'!$A$23:$H$3319,2,FALSE)),"+","")</f>
        <v/>
      </c>
      <c r="BB5" s="94" t="str">
        <f>IF(ISTEXT(VLOOKUP(CONCATENATE($A5,"_",BB$3),'Unit List'!$A$23:$H$3319,2,FALSE)),"X",$BA5)</f>
        <v/>
      </c>
      <c r="BC5" s="94" t="str">
        <f>IF(ISTEXT(VLOOKUP(CONCATENATE($A5,"_",BC$3),'Unit List'!$A$23:$H$3319,2,FALSE)),"X",$BA5)</f>
        <v/>
      </c>
      <c r="BD5" s="96" t="str">
        <f>IF(ISTEXT(VLOOKUP(CONCATENATE($A5,"_",BD$3),'Unit List'!$A$23:$H$3319,2,FALSE)),"X",$BA5)</f>
        <v/>
      </c>
      <c r="BE5" s="103" t="str">
        <f>IF(ISTEXT(VLOOKUP(CONCATENATE($A5,"_",BE$3),'Unit List'!$A$23:$H$3319,2,FALSE)),"+","")</f>
        <v/>
      </c>
      <c r="BF5" s="101" t="str">
        <f>IF(ISTEXT(VLOOKUP(CONCATENATE($A5,"_",BF$3),'Unit List'!$A$23:$H$3319,2,FALSE)),"X",$BE5)</f>
        <v/>
      </c>
      <c r="BG5" s="106"/>
      <c r="BH5" s="107" t="s">
        <v>0</v>
      </c>
      <c r="BI5" s="228"/>
      <c r="BJ5" s="229"/>
      <c r="BK5" s="229"/>
      <c r="BL5" s="224" t="s">
        <v>1745</v>
      </c>
      <c r="BM5" s="225"/>
      <c r="BN5" s="108"/>
      <c r="BO5" s="108"/>
      <c r="BP5" s="108"/>
      <c r="BQ5" s="108"/>
      <c r="BR5" s="108"/>
      <c r="BS5" s="108"/>
      <c r="DZ5" s="109"/>
      <c r="EA5" s="109"/>
    </row>
    <row r="6" spans="1:131" ht="12.75" customHeight="1" x14ac:dyDescent="0.2">
      <c r="A6" s="90" t="s">
        <v>44</v>
      </c>
      <c r="B6" s="91" t="str">
        <f>IF(ISTEXT(VLOOKUP(CONCATENATE($A6,"_",B$3),'Unit List'!$A$23:$H$3319,2,FALSE)),"+","")</f>
        <v/>
      </c>
      <c r="C6" s="111" t="str">
        <f>IF(ISTEXT(VLOOKUP(CONCATENATE($A6,"_",C$3),'Unit List'!$A$23:$H$3319,2,FALSE)),"X",$B6)</f>
        <v/>
      </c>
      <c r="D6" s="95" t="str">
        <f>IF(ISTEXT(VLOOKUP(CONCATENATE($A6,"_",D$3),'Unit List'!$A$23:$H$3319,2,FALSE)),"X",$B6)</f>
        <v>X</v>
      </c>
      <c r="E6" s="94" t="str">
        <f>IF(ISTEXT(VLOOKUP(CONCATENATE($A6,"_",E$3),'Unit List'!$A$23:$H$3319,2,FALSE)),"X",$B6)</f>
        <v/>
      </c>
      <c r="F6" s="95" t="str">
        <f>IF(ISTEXT(VLOOKUP(CONCATENATE($A6,"_",F$3),'Unit List'!$A$23:$H$3319,2,FALSE)),"X",$B6)</f>
        <v>X</v>
      </c>
      <c r="G6" s="95" t="str">
        <f>IF(ISTEXT(VLOOKUP(CONCATENATE($A6,"_",G$3),'Unit List'!$A$23:$H$3319,2,FALSE)),"X",$B6)</f>
        <v>X</v>
      </c>
      <c r="H6" s="95" t="str">
        <f>IF(ISTEXT(VLOOKUP(CONCATENATE($A6,"_",H$3),'Unit List'!$A$23:$H$3319,2,FALSE)),"X",$B6)</f>
        <v>X</v>
      </c>
      <c r="I6" s="99" t="str">
        <f>IF(ISTEXT(VLOOKUP(CONCATENATE($A6,"_",I$3),'Unit List'!$A$23:$H$3319,2,FALSE)),"X",$B6)</f>
        <v/>
      </c>
      <c r="J6" s="97" t="str">
        <f>IF(ISTEXT(VLOOKUP(CONCATENATE($A6,"_",J$3),'Unit List'!$A$23:$H$3319,2,FALSE)),"+","")</f>
        <v>+</v>
      </c>
      <c r="K6" s="95" t="str">
        <f>IF(ISTEXT(VLOOKUP(CONCATENATE($A6,"_",K$3),'Unit List'!$A$23:$H$3319,2,FALSE)),"X",$J6)</f>
        <v>+</v>
      </c>
      <c r="L6" s="112" t="str">
        <f>IF(ISTEXT(VLOOKUP(CONCATENATE($A6,"_",L$3),'Unit List'!$A$23:$H$3319,2,FALSE)),"X",$J6)</f>
        <v>+</v>
      </c>
      <c r="M6" s="97" t="str">
        <f>IF(ISTEXT(VLOOKUP(CONCATENATE($A6,"_",M$3),'Unit List'!$A$23:$H$3319,2,FALSE)),"+","")</f>
        <v>+</v>
      </c>
      <c r="N6" s="113" t="str">
        <f>IF(ISTEXT(VLOOKUP(CONCATENATE($A6,"_",N$3),'Unit List'!$A$23:$H$3319,2,FALSE)),"X",$M6)</f>
        <v>+</v>
      </c>
      <c r="O6" s="114" t="str">
        <f>IF(ISTEXT(VLOOKUP(CONCATENATE($A6,"_",O$3),'Unit List'!$A$23:$H$3319,2,FALSE)),"X",$M6)</f>
        <v>+</v>
      </c>
      <c r="P6" s="115" t="str">
        <f>IF(ISTEXT(VLOOKUP(CONCATENATE($A6,"_",P$3),'Unit List'!$A$23:$H$3319,2,FALSE)),"+","")</f>
        <v>+</v>
      </c>
      <c r="Q6" s="113" t="str">
        <f>IF(ISTEXT(VLOOKUP(CONCATENATE($A6,"_",Q$3),'Unit List'!$A$23:$H$3319,2,FALSE)),"X",$P6)</f>
        <v>+</v>
      </c>
      <c r="R6" s="113" t="str">
        <f>IF(ISTEXT(VLOOKUP(CONCATENATE($A6,"_",R$3),'Unit List'!$A$23:$H$3319,2,FALSE)),"X",$P6)</f>
        <v>+</v>
      </c>
      <c r="S6" s="95" t="str">
        <f>IF(ISTEXT(VLOOKUP(CONCATENATE($A6,"_",S$3),'Unit List'!$A$23:$H$3319,2,FALSE)),"X",$P6)</f>
        <v>X</v>
      </c>
      <c r="T6" s="116" t="str">
        <f>IF(ISTEXT(VLOOKUP(CONCATENATE($A6,"_",T$3),'Unit List'!$A$23:$H$3319,2,FALSE)),"X",$P6)</f>
        <v>+</v>
      </c>
      <c r="U6" s="95" t="str">
        <f>IF(ISTEXT(VLOOKUP(CONCATENATE($A6,"_",U$3),'Unit List'!$A$23:$H$3319,2,FALSE)),"X",$P6)</f>
        <v>X</v>
      </c>
      <c r="V6" s="95" t="str">
        <f>IF(ISTEXT(VLOOKUP(CONCATENATE($A6,"_",V$3),'Unit List'!$A$23:$H$3319,2,FALSE)),"X",$P6)</f>
        <v>X</v>
      </c>
      <c r="W6" s="117" t="str">
        <f>IF(ISTEXT(VLOOKUP(CONCATENATE($A6,"_",W$3),'Unit List'!$A$23:$H$3319,2,FALSE)),"X",$P6)</f>
        <v>+</v>
      </c>
      <c r="X6" s="115" t="str">
        <f>IF(ISTEXT(VLOOKUP(CONCATENATE($A6,"_",X$3),'Unit List'!$A$23:$H$3319,2,FALSE)),"+","")</f>
        <v>+</v>
      </c>
      <c r="Y6" s="95" t="str">
        <f>IF(ISTEXT(VLOOKUP(CONCATENATE($A6,"_",Y$3),'Unit List'!$A$23:$H$3319,2,FALSE)),"X",$X6)</f>
        <v>X</v>
      </c>
      <c r="Z6" s="113" t="str">
        <f>IF(ISTEXT(VLOOKUP(CONCATENATE($A6,"_",Z$3),'Unit List'!$A$23:$H$3319,2,FALSE)),"X",$X6)</f>
        <v>+</v>
      </c>
      <c r="AA6" s="118" t="s">
        <v>0</v>
      </c>
      <c r="AB6" s="95" t="str">
        <f>IF(ISTEXT(VLOOKUP(CONCATENATE($A6,"_",AB$3),'Unit List'!$A$23:$H$3319,2,FALSE)),"X",$X6)</f>
        <v>X</v>
      </c>
      <c r="AC6" s="112" t="str">
        <f>IF(ISTEXT(VLOOKUP(CONCATENATE($A6,"_",AC$3),'Unit List'!$A$23:$H$3319,2,FALSE)),"X",$X6)</f>
        <v>X</v>
      </c>
      <c r="AD6" s="115" t="str">
        <f>IF(ISTEXT(VLOOKUP(CONCATENATE($A6,"_",AD$3),'Unit List'!$A$23:$H$3319,2,FALSE)),"+","")</f>
        <v/>
      </c>
      <c r="AE6" s="94" t="str">
        <f>IF(ISTEXT(VLOOKUP(CONCATENATE($A6,"_",AE$3),'Unit List'!$A$23:$H$3319,2,FALSE)),"X",$AD6)</f>
        <v>X</v>
      </c>
      <c r="AF6" s="94" t="str">
        <f>IF(ISTEXT(VLOOKUP(CONCATENATE($A6,"_",AF$3),'Unit List'!$A$23:$H$3319,2,FALSE)),"X",$AD6)</f>
        <v/>
      </c>
      <c r="AG6" s="115" t="str">
        <f>IF(ISTEXT(VLOOKUP(CONCATENATE($A6,"_",AG$3),'Unit List'!$A$23:$H$3319,2,FALSE)),"+","")</f>
        <v>+</v>
      </c>
      <c r="AH6" s="95" t="str">
        <f>IF(ISTEXT(VLOOKUP(CONCATENATE($A6,"_",AH$3),'Unit List'!$A$23:$H$3319,2,FALSE)),"X",$AG6)</f>
        <v>X</v>
      </c>
      <c r="AI6" s="113" t="str">
        <f>IF(ISTEXT(VLOOKUP(CONCATENATE($A6,"_",AI$3),'Unit List'!$A$23:$H$3319,2,FALSE)),"X",$AG6)</f>
        <v>X</v>
      </c>
      <c r="AJ6" s="119" t="str">
        <f>IF(ISTEXT(VLOOKUP(CONCATENATE($A6,"_",AJ$3),'Unit List'!$A$23:$H$3319,2,FALSE)),"X",$AG6)</f>
        <v>+</v>
      </c>
      <c r="AK6" s="115" t="str">
        <f>IF(ISTEXT(VLOOKUP(CONCATENATE($A6,"_",AK$3),'Unit List'!$A$23:$H$3319,2,FALSE)),"+","")</f>
        <v>+</v>
      </c>
      <c r="AL6" s="116" t="str">
        <f>IF(ISTEXT(VLOOKUP(CONCATENATE($A6,"_",AL$3),'Unit List'!$A$23:$H$3319,2,FALSE)),"X",$AK6)</f>
        <v>+</v>
      </c>
      <c r="AM6" s="119" t="str">
        <f>IF(ISTEXT(VLOOKUP(CONCATENATE($A6,"_",AM$3),'Unit List'!$A$23:$H$3319,2,FALSE)),"X",$AK6)</f>
        <v>+</v>
      </c>
      <c r="AN6" s="103" t="str">
        <f>IF(ISTEXT(VLOOKUP(CONCATENATE($A6,"_",AN$3),'Unit List'!$A$23:$H$3319,2,FALSE)),"+","")</f>
        <v>+</v>
      </c>
      <c r="AO6" s="114" t="str">
        <f>IF(ISTEXT(VLOOKUP(CONCATENATE($A6,"_",AO$3),'Unit List'!$A$23:$H$3319,2,FALSE)),"X",$AN6)</f>
        <v>X</v>
      </c>
      <c r="AP6" s="115" t="str">
        <f>IF(ISTEXT(VLOOKUP(CONCATENATE($A6,"_",AP$3),'Unit List'!$A$23:$H$3319,2,FALSE)),"+","")</f>
        <v>+</v>
      </c>
      <c r="AQ6" s="95" t="str">
        <f>IF(ISTEXT(VLOOKUP(CONCATENATE($A6,"_",AQ$3),'Unit List'!$A$23:$H$3319,2,FALSE)),"X",$AP6)</f>
        <v>X</v>
      </c>
      <c r="AR6" s="95" t="str">
        <f>IF(ISTEXT(VLOOKUP(CONCATENATE($A6,"_",AR$3),'Unit List'!$A$23:$H$3319,2,FALSE)),"X",$AP6)</f>
        <v>X</v>
      </c>
      <c r="AS6" s="95" t="str">
        <f>IF(ISTEXT(VLOOKUP(CONCATENATE($A6,"_",AS$3),'Unit List'!$A$23:$H$3319,2,FALSE)),"X",$AP6)</f>
        <v>X</v>
      </c>
      <c r="AT6" s="119" t="str">
        <f>IF(ISTEXT(VLOOKUP(CONCATENATE($A6,"_",AT$3),'Unit List'!$A$23:$H$3319,2,FALSE)),"X",$AP6)</f>
        <v>X</v>
      </c>
      <c r="AU6" s="120" t="str">
        <f>IF(ISTEXT(VLOOKUP(CONCATENATE($A6,"_",AU$3),'Unit List'!$A$23:$H$3319,2,FALSE)),"+","")</f>
        <v>+</v>
      </c>
      <c r="AV6" s="113" t="str">
        <f>IF(ISTEXT(VLOOKUP(CONCATENATE($A6,"_",AV$3),'Unit List'!$A$23:$H$3319,2,FALSE)),"X",$AU6)</f>
        <v>+</v>
      </c>
      <c r="AW6" s="117" t="str">
        <f>IF(ISTEXT(VLOOKUP(CONCATENATE($A6,"_",AW$3),'Unit List'!$A$23:$H$3319,2,FALSE)),"X",$AU6)</f>
        <v>+</v>
      </c>
      <c r="AX6" s="115" t="str">
        <f>IF(ISTEXT(VLOOKUP(CONCATENATE($A6,"_",AX$3),'Unit List'!$A$23:$H$3319,2,FALSE)),"+","")</f>
        <v>+</v>
      </c>
      <c r="AY6" s="95" t="str">
        <f>IF(ISTEXT(VLOOKUP(CONCATENATE($A6,"_",AY$3),'Unit List'!$A$23:$H$3319,2,FALSE)),"X",$AX6)</f>
        <v>+</v>
      </c>
      <c r="AZ6" s="114" t="str">
        <f>IF(ISTEXT(VLOOKUP(CONCATENATE($A6,"_",AZ$3),'Unit List'!$A$23:$H$3319,2,FALSE)),"X",$AX6)</f>
        <v>+</v>
      </c>
      <c r="BA6" s="121" t="str">
        <f>IF(ISTEXT(VLOOKUP(CONCATENATE($A6,"_",BA$3),'Unit List'!$A$23:$H$3319,2,FALSE)),"+","")</f>
        <v>+</v>
      </c>
      <c r="BB6" s="95" t="str">
        <f>IF(ISTEXT(VLOOKUP(CONCATENATE($A6,"_",BB$3),'Unit List'!$A$23:$H$3319,2,FALSE)),"X",$BA6)</f>
        <v>X</v>
      </c>
      <c r="BC6" s="118" t="s">
        <v>0</v>
      </c>
      <c r="BD6" s="122" t="s">
        <v>0</v>
      </c>
      <c r="BE6" s="103" t="str">
        <f>IF(ISTEXT(VLOOKUP(CONCATENATE($A6,"_",BE$3),'Unit List'!$A$23:$H$3319,2,FALSE)),"+","")</f>
        <v>+</v>
      </c>
      <c r="BF6" s="123" t="str">
        <f>IF(ISTEXT(VLOOKUP(CONCATENATE($A6,"_",BF$3),'Unit List'!$A$23:$H$3319,2,FALSE)),"X",$BE6)</f>
        <v>+</v>
      </c>
      <c r="BG6" s="124"/>
      <c r="BH6" s="125" t="s">
        <v>0</v>
      </c>
      <c r="BI6" s="228" t="s">
        <v>12</v>
      </c>
      <c r="BJ6" s="231"/>
      <c r="BK6" s="231"/>
      <c r="BL6" s="126"/>
      <c r="BM6" s="127" t="s">
        <v>45</v>
      </c>
      <c r="BN6" s="108"/>
      <c r="BO6" s="108"/>
      <c r="BP6" s="108"/>
      <c r="BQ6" s="108"/>
      <c r="BR6" s="108"/>
      <c r="BS6" s="108"/>
      <c r="DZ6" s="109"/>
      <c r="EA6" s="109"/>
    </row>
    <row r="7" spans="1:131" ht="12.75" customHeight="1" x14ac:dyDescent="0.2">
      <c r="A7" s="90" t="s">
        <v>43</v>
      </c>
      <c r="B7" s="91" t="str">
        <f>IF(ISTEXT(VLOOKUP(CONCATENATE($A7,"_",B$3),'Unit List'!$A$23:$H$3319,2,FALSE)),"+","")</f>
        <v/>
      </c>
      <c r="C7" s="92" t="str">
        <f>IF(ISTEXT(VLOOKUP(CONCATENATE($A7,"_",C$3),'Unit List'!$A$23:$H$3319,2,FALSE)),"X",$B7)</f>
        <v/>
      </c>
      <c r="D7" s="94" t="str">
        <f>IF(ISTEXT(VLOOKUP(CONCATENATE($A7,"_",D$3),'Unit List'!$A$23:$H$3319,2,FALSE)),"X",$B7)</f>
        <v/>
      </c>
      <c r="E7" s="94" t="str">
        <f>IF(ISTEXT(VLOOKUP(CONCATENATE($A7,"_",E$3),'Unit List'!$A$23:$H$3319,2,FALSE)),"X",$B7)</f>
        <v/>
      </c>
      <c r="F7" s="94" t="str">
        <f>IF(ISTEXT(VLOOKUP(CONCATENATE($A7,"_",F$3),'Unit List'!$A$23:$H$3319,2,FALSE)),"X",$B7)</f>
        <v/>
      </c>
      <c r="G7" s="94" t="str">
        <f>IF(ISTEXT(VLOOKUP(CONCATENATE($A7,"_",G$3),'Unit List'!$A$23:$H$3319,2,FALSE)),"X",$B7)</f>
        <v>X</v>
      </c>
      <c r="H7" s="94" t="str">
        <f>IF(ISTEXT(VLOOKUP(CONCATENATE($A7,"_",H$3),'Unit List'!$A$23:$H$3319,2,FALSE)),"X",$B7)</f>
        <v/>
      </c>
      <c r="I7" s="96" t="str">
        <f>IF(ISTEXT(VLOOKUP(CONCATENATE($A7,"_",I$3),'Unit List'!$A$23:$H$3319,2,FALSE)),"X",$B7)</f>
        <v/>
      </c>
      <c r="J7" s="97" t="str">
        <f>IF(ISTEXT(VLOOKUP(CONCATENATE($A7,"_",J$3),'Unit List'!$A$23:$H$3319,2,FALSE)),"+","")</f>
        <v/>
      </c>
      <c r="K7" s="94" t="str">
        <f>IF(ISTEXT(VLOOKUP(CONCATENATE($A7,"_",K$3),'Unit List'!$A$23:$H$3319,2,FALSE)),"X",$J7)</f>
        <v/>
      </c>
      <c r="L7" s="101" t="str">
        <f>IF(ISTEXT(VLOOKUP(CONCATENATE($A7,"_",L$3),'Unit List'!$A$23:$H$3319,2,FALSE)),"X",$J7)</f>
        <v/>
      </c>
      <c r="M7" s="97" t="str">
        <f>IF(ISTEXT(VLOOKUP(CONCATENATE($A7,"_",M$3),'Unit List'!$A$23:$H$3319,2,FALSE)),"+","")</f>
        <v>+</v>
      </c>
      <c r="N7" s="94" t="str">
        <f>IF(ISTEXT(VLOOKUP(CONCATENATE($A7,"_",N$3),'Unit List'!$A$23:$H$3319,2,FALSE)),"X",$M7)</f>
        <v>+</v>
      </c>
      <c r="O7" s="114" t="str">
        <f>IF(ISTEXT(VLOOKUP(CONCATENATE($A7,"_",O$3),'Unit List'!$A$23:$H$3319,2,FALSE)),"X",$M7)</f>
        <v>+</v>
      </c>
      <c r="P7" s="115" t="str">
        <f>IF(ISTEXT(VLOOKUP(CONCATENATE($A7,"_",P$3),'Unit List'!$A$23:$H$3319,2,FALSE)),"+","")</f>
        <v/>
      </c>
      <c r="Q7" s="94" t="str">
        <f>IF(ISTEXT(VLOOKUP(CONCATENATE($A7,"_",Q$3),'Unit List'!$A$23:$H$3319,2,FALSE)),"X",$P7)</f>
        <v/>
      </c>
      <c r="R7" s="94" t="str">
        <f>IF(ISTEXT(VLOOKUP(CONCATENATE($A7,"_",R$3),'Unit List'!$A$23:$H$3319,2,FALSE)),"X",$P7)</f>
        <v/>
      </c>
      <c r="S7" s="94" t="str">
        <f>IF(ISTEXT(VLOOKUP(CONCATENATE($A7,"_",S$3),'Unit List'!$A$23:$H$3319,2,FALSE)),"X",$P7)</f>
        <v/>
      </c>
      <c r="T7" s="100" t="str">
        <f>IF(ISTEXT(VLOOKUP(CONCATENATE($A7,"_",T$3),'Unit List'!$A$23:$H$3319,2,FALSE)),"X",$P7)</f>
        <v/>
      </c>
      <c r="U7" s="94" t="str">
        <f>IF(ISTEXT(VLOOKUP(CONCATENATE($A7,"_",U$3),'Unit List'!$A$23:$H$3319,2,FALSE)),"X",$P7)</f>
        <v/>
      </c>
      <c r="V7" s="94" t="str">
        <f>IF(ISTEXT(VLOOKUP(CONCATENATE($A7,"_",V$3),'Unit List'!$A$23:$H$3319,2,FALSE)),"X",$P7)</f>
        <v/>
      </c>
      <c r="W7" s="96" t="str">
        <f>IF(ISTEXT(VLOOKUP(CONCATENATE($A7,"_",W$3),'Unit List'!$A$23:$H$3319,2,FALSE)),"X",$P7)</f>
        <v/>
      </c>
      <c r="X7" s="97" t="str">
        <f>IF(ISTEXT(VLOOKUP(CONCATENATE($A7,"_",X$3),'Unit List'!$A$23:$H$3319,2,FALSE)),"+","")</f>
        <v/>
      </c>
      <c r="Y7" s="94" t="str">
        <f>IF(ISTEXT(VLOOKUP(CONCATENATE($A7,"_",Y$3),'Unit List'!$A$23:$H$3319,2,FALSE)),"X",$X7)</f>
        <v/>
      </c>
      <c r="Z7" s="94" t="str">
        <f>IF(ISTEXT(VLOOKUP(CONCATENATE($A7,"_",Z$3),'Unit List'!$A$23:$H$3319,2,FALSE)),"X",$X7)</f>
        <v/>
      </c>
      <c r="AA7" s="94" t="str">
        <f>IF(ISTEXT(VLOOKUP(CONCATENATE($A7,"_",AA$3),'Unit List'!$A$23:$H$3319,2,FALSE)),"X",$X7)</f>
        <v>X</v>
      </c>
      <c r="AB7" s="94" t="str">
        <f>IF(ISTEXT(VLOOKUP(CONCATENATE($A7,"_",AB$3),'Unit List'!$A$23:$H$3319,2,FALSE)),"X",$X7)</f>
        <v>X</v>
      </c>
      <c r="AC7" s="101" t="str">
        <f>IF(ISTEXT(VLOOKUP(CONCATENATE($A7,"_",AC$3),'Unit List'!$A$23:$H$3319,2,FALSE)),"X",$X7)</f>
        <v/>
      </c>
      <c r="AD7" s="97" t="str">
        <f>IF(ISTEXT(VLOOKUP(CONCATENATE($A7,"_",AD$3),'Unit List'!$A$23:$H$3319,2,FALSE)),"+","")</f>
        <v>+</v>
      </c>
      <c r="AE7" s="94" t="str">
        <f>IF(ISTEXT(VLOOKUP(CONCATENATE($A7,"_",AE$3),'Unit List'!$A$23:$H$3319,2,FALSE)),"X",$AD7)</f>
        <v>+</v>
      </c>
      <c r="AF7" s="94" t="str">
        <f>IF(ISTEXT(VLOOKUP(CONCATENATE($A7,"_",AF$3),'Unit List'!$A$23:$H$3319,2,FALSE)),"X",$AD7)</f>
        <v>+</v>
      </c>
      <c r="AG7" s="97" t="str">
        <f>IF(ISTEXT(VLOOKUP(CONCATENATE($A7,"_",AG$3),'Unit List'!$A$23:$H$3319,2,FALSE)),"+","")</f>
        <v/>
      </c>
      <c r="AH7" s="94" t="str">
        <f>IF(ISTEXT(VLOOKUP(CONCATENATE($A7,"_",AH$3),'Unit List'!$A$23:$H$3319,2,FALSE)),"X",$AG7)</f>
        <v/>
      </c>
      <c r="AI7" s="94" t="str">
        <f>IF(ISTEXT(VLOOKUP(CONCATENATE($A7,"_",AI$3),'Unit List'!$A$23:$H$3319,2,FALSE)),"X",$AG7)</f>
        <v/>
      </c>
      <c r="AJ7" s="96" t="str">
        <f>IF(ISTEXT(VLOOKUP(CONCATENATE($A7,"_",AJ$3),'Unit List'!$A$23:$H$3319,2,FALSE)),"X",$AG7)</f>
        <v/>
      </c>
      <c r="AK7" s="97" t="str">
        <f>IF(ISTEXT(VLOOKUP(CONCATENATE($A7,"_",AK$3),'Unit List'!$A$23:$H$3319,2,FALSE)),"+","")</f>
        <v/>
      </c>
      <c r="AL7" s="100" t="str">
        <f>IF(ISTEXT(VLOOKUP(CONCATENATE($A7,"_",AL$3),'Unit List'!$A$23:$H$3319,2,FALSE)),"X",$AK7)</f>
        <v/>
      </c>
      <c r="AM7" s="96" t="str">
        <f>IF(ISTEXT(VLOOKUP(CONCATENATE($A7,"_",AM$3),'Unit List'!$A$23:$H$3319,2,FALSE)),"X",$AK7)</f>
        <v/>
      </c>
      <c r="AN7" s="103" t="str">
        <f>IF(ISTEXT(VLOOKUP(CONCATENATE($A7,"_",AN$3),'Unit List'!$A$23:$H$3319,2,FALSE)),"+","")</f>
        <v/>
      </c>
      <c r="AO7" s="96" t="str">
        <f>IF(ISTEXT(VLOOKUP(CONCATENATE($A7,"_",AO$3),'Unit List'!$A$23:$H$3319,2,FALSE)),"X",$AN7)</f>
        <v/>
      </c>
      <c r="AP7" s="97" t="str">
        <f>IF(ISTEXT(VLOOKUP(CONCATENATE($A7,"_",AP$3),'Unit List'!$A$23:$H$3319,2,FALSE)),"+","")</f>
        <v/>
      </c>
      <c r="AQ7" s="94" t="str">
        <f>IF(ISTEXT(VLOOKUP(CONCATENATE($A7,"_",AQ$3),'Unit List'!$A$23:$H$3319,2,FALSE)),"X",$AP7)</f>
        <v/>
      </c>
      <c r="AR7" s="94" t="str">
        <f>IF(ISTEXT(VLOOKUP(CONCATENATE($A7,"_",AR$3),'Unit List'!$A$23:$H$3319,2,FALSE)),"X",$AP7)</f>
        <v/>
      </c>
      <c r="AS7" s="94" t="str">
        <f>IF(ISTEXT(VLOOKUP(CONCATENATE($A7,"_",AS$3),'Unit List'!$A$23:$H$3319,2,FALSE)),"X",$AP7)</f>
        <v/>
      </c>
      <c r="AT7" s="96" t="str">
        <f>IF(ISTEXT(VLOOKUP(CONCATENATE($A7,"_",AT$3),'Unit List'!$A$23:$H$3319,2,FALSE)),"X",$AP7)</f>
        <v/>
      </c>
      <c r="AU7" s="104" t="str">
        <f>IF(ISTEXT(VLOOKUP(CONCATENATE($A7,"_",AU$3),'Unit List'!$A$23:$H$3319,2,FALSE)),"+","")</f>
        <v>+</v>
      </c>
      <c r="AV7" s="94" t="str">
        <f>IF(ISTEXT(VLOOKUP(CONCATENATE($A7,"_",AV$3),'Unit List'!$A$23:$H$3319,2,FALSE)),"X",$AU7)</f>
        <v>+</v>
      </c>
      <c r="AW7" s="96" t="str">
        <f>IF(ISTEXT(VLOOKUP(CONCATENATE($A7,"_",AW$3),'Unit List'!$A$23:$H$3319,2,FALSE)),"X",$AU7)</f>
        <v>+</v>
      </c>
      <c r="AX7" s="97" t="str">
        <f>IF(ISTEXT(VLOOKUP(CONCATENATE($A7,"_",AX$3),'Unit List'!$A$23:$H$3319,2,FALSE)),"+","")</f>
        <v/>
      </c>
      <c r="AY7" s="94" t="str">
        <f>IF(ISTEXT(VLOOKUP(CONCATENATE($A7,"_",AY$3),'Unit List'!$A$23:$H$3319,2,FALSE)),"X",$AX7)</f>
        <v/>
      </c>
      <c r="AZ7" s="96" t="str">
        <f>IF(ISTEXT(VLOOKUP(CONCATENATE($A7,"_",AZ$3),'Unit List'!$A$23:$H$3319,2,FALSE)),"X",$AX7)</f>
        <v/>
      </c>
      <c r="BA7" s="105" t="str">
        <f>IF(ISTEXT(VLOOKUP(CONCATENATE($A7,"_",BA$3),'Unit List'!$A$23:$H$3319,2,FALSE)),"+","")</f>
        <v/>
      </c>
      <c r="BB7" s="94" t="str">
        <f>IF(ISTEXT(VLOOKUP(CONCATENATE($A7,"_",BB$3),'Unit List'!$A$23:$H$3319,2,FALSE)),"X",$BA7)</f>
        <v/>
      </c>
      <c r="BC7" s="94" t="str">
        <f>IF(ISTEXT(VLOOKUP(CONCATENATE($A7,"_",BC$3),'Unit List'!$A$23:$H$3319,2,FALSE)),"X",$BA7)</f>
        <v/>
      </c>
      <c r="BD7" s="96" t="str">
        <f>IF(ISTEXT(VLOOKUP(CONCATENATE($A7,"_",BD$3),'Unit List'!$A$23:$H$3319,2,FALSE)),"X",$BA7)</f>
        <v/>
      </c>
      <c r="BE7" s="103" t="str">
        <f>IF(ISTEXT(VLOOKUP(CONCATENATE($A7,"_",BE$3),'Unit List'!$A$23:$H$3319,2,FALSE)),"+","")</f>
        <v/>
      </c>
      <c r="BF7" s="101" t="str">
        <f>IF(ISTEXT(VLOOKUP(CONCATENATE($A7,"_",BF$3),'Unit List'!$A$23:$H$3319,2,FALSE)),"X",$BE7)</f>
        <v/>
      </c>
      <c r="BG7" s="106"/>
      <c r="BH7" s="107" t="s">
        <v>0</v>
      </c>
      <c r="BI7" s="228"/>
      <c r="BJ7" s="229"/>
      <c r="BK7" s="229"/>
      <c r="BL7" s="128"/>
      <c r="BM7" s="127" t="s">
        <v>1743</v>
      </c>
      <c r="BN7" s="108"/>
      <c r="BO7" s="108"/>
      <c r="BP7" s="108"/>
      <c r="BQ7" s="108"/>
      <c r="BR7" s="108"/>
      <c r="BS7" s="108"/>
      <c r="DZ7" s="109"/>
      <c r="EA7" s="109"/>
    </row>
    <row r="8" spans="1:131" ht="12.75" customHeight="1" x14ac:dyDescent="0.2">
      <c r="A8" s="90" t="s">
        <v>1105</v>
      </c>
      <c r="B8" s="91" t="str">
        <f>IF(ISTEXT(VLOOKUP(CONCATENATE($A8,"_",B$3),'Unit List'!$A$23:$H$3319,2,FALSE)),"+","")</f>
        <v/>
      </c>
      <c r="C8" s="92" t="str">
        <f>IF(ISTEXT(VLOOKUP(CONCATENATE($A8,"_",C$3),'Unit List'!$A$23:$H$3319,2,FALSE)),"X",$B8)</f>
        <v/>
      </c>
      <c r="D8" s="94" t="str">
        <f>IF(ISTEXT(VLOOKUP(CONCATENATE($A8,"_",D$3),'Unit List'!$A$23:$H$3319,2,FALSE)),"X",$B8)</f>
        <v/>
      </c>
      <c r="E8" s="94" t="str">
        <f>IF(ISTEXT(VLOOKUP(CONCATENATE($A8,"_",E$3),'Unit List'!$A$23:$H$3319,2,FALSE)),"X",$B8)</f>
        <v/>
      </c>
      <c r="F8" s="94" t="str">
        <f>IF(ISTEXT(VLOOKUP(CONCATENATE($A8,"_",F$3),'Unit List'!$A$23:$H$3319,2,FALSE)),"X",$B8)</f>
        <v/>
      </c>
      <c r="G8" s="94" t="str">
        <f>IF(ISTEXT(VLOOKUP(CONCATENATE($A8,"_",G$3),'Unit List'!$A$23:$H$3319,2,FALSE)),"X",$B8)</f>
        <v/>
      </c>
      <c r="H8" s="94" t="str">
        <f>IF(ISTEXT(VLOOKUP(CONCATENATE($A8,"_",H$3),'Unit List'!$A$23:$H$3319,2,FALSE)),"X",$B8)</f>
        <v/>
      </c>
      <c r="I8" s="96" t="str">
        <f>IF(ISTEXT(VLOOKUP(CONCATENATE($A8,"_",I$3),'Unit List'!$A$23:$H$3319,2,FALSE)),"X",$B8)</f>
        <v/>
      </c>
      <c r="J8" s="97" t="str">
        <f>IF(ISTEXT(VLOOKUP(CONCATENATE($A8,"_",J$3),'Unit List'!$A$23:$H$3319,2,FALSE)),"+","")</f>
        <v/>
      </c>
      <c r="K8" s="94" t="str">
        <f>IF(ISTEXT(VLOOKUP(CONCATENATE($A8,"_",K$3),'Unit List'!$A$23:$H$3319,2,FALSE)),"X",$J8)</f>
        <v/>
      </c>
      <c r="L8" s="101" t="str">
        <f>IF(ISTEXT(VLOOKUP(CONCATENATE($A8,"_",L$3),'Unit List'!$A$23:$H$3319,2,FALSE)),"X",$J8)</f>
        <v/>
      </c>
      <c r="M8" s="97" t="str">
        <f>IF(ISTEXT(VLOOKUP(CONCATENATE($A8,"_",M$3),'Unit List'!$A$23:$H$3319,2,FALSE)),"+","")</f>
        <v/>
      </c>
      <c r="N8" s="94" t="str">
        <f>IF(ISTEXT(VLOOKUP(CONCATENATE($A8,"_",N$3),'Unit List'!$A$23:$H$3319,2,FALSE)),"X",$M8)</f>
        <v/>
      </c>
      <c r="O8" s="96" t="str">
        <f>IF(ISTEXT(VLOOKUP(CONCATENATE($A8,"_",O$3),'Unit List'!$A$23:$H$3319,2,FALSE)),"X",$M8)</f>
        <v/>
      </c>
      <c r="P8" s="97" t="str">
        <f>IF(ISTEXT(VLOOKUP(CONCATENATE($A8,"_",P$3),'Unit List'!$A$23:$H$3319,2,FALSE)),"+","")</f>
        <v/>
      </c>
      <c r="Q8" s="94" t="str">
        <f>IF(ISTEXT(VLOOKUP(CONCATENATE($A8,"_",Q$3),'Unit List'!$A$23:$H$3319,2,FALSE)),"X",$P8)</f>
        <v/>
      </c>
      <c r="R8" s="94" t="str">
        <f>IF(ISTEXT(VLOOKUP(CONCATENATE($A8,"_",R$3),'Unit List'!$A$23:$H$3319,2,FALSE)),"X",$P8)</f>
        <v/>
      </c>
      <c r="S8" s="94" t="str">
        <f>IF(ISTEXT(VLOOKUP(CONCATENATE($A8,"_",S$3),'Unit List'!$A$23:$H$3319,2,FALSE)),"X",$P8)</f>
        <v/>
      </c>
      <c r="T8" s="100" t="str">
        <f>IF(ISTEXT(VLOOKUP(CONCATENATE($A8,"_",T$3),'Unit List'!$A$23:$H$3319,2,FALSE)),"X",$P8)</f>
        <v/>
      </c>
      <c r="U8" s="94" t="str">
        <f>IF(ISTEXT(VLOOKUP(CONCATENATE($A8,"_",U$3),'Unit List'!$A$23:$H$3319,2,FALSE)),"X",$P8)</f>
        <v/>
      </c>
      <c r="V8" s="94" t="str">
        <f>IF(ISTEXT(VLOOKUP(CONCATENATE($A8,"_",V$3),'Unit List'!$A$23:$H$3319,2,FALSE)),"X",$P8)</f>
        <v/>
      </c>
      <c r="W8" s="96" t="str">
        <f>IF(ISTEXT(VLOOKUP(CONCATENATE($A8,"_",W$3),'Unit List'!$A$23:$H$3319,2,FALSE)),"X",$P8)</f>
        <v/>
      </c>
      <c r="X8" s="97" t="str">
        <f>IF(ISTEXT(VLOOKUP(CONCATENATE($A8,"_",X$3),'Unit List'!$A$23:$H$3319,2,FALSE)),"+","")</f>
        <v/>
      </c>
      <c r="Y8" s="94" t="str">
        <f>IF(ISTEXT(VLOOKUP(CONCATENATE($A8,"_",Y$3),'Unit List'!$A$23:$H$3319,2,FALSE)),"X",$X8)</f>
        <v/>
      </c>
      <c r="Z8" s="94" t="str">
        <f>IF(ISTEXT(VLOOKUP(CONCATENATE($A8,"_",Z$3),'Unit List'!$A$23:$H$3319,2,FALSE)),"X",$X8)</f>
        <v/>
      </c>
      <c r="AA8" s="94" t="str">
        <f>IF(ISTEXT(VLOOKUP(CONCATENATE($A8,"_",AA$3),'Unit List'!$A$23:$H$3319,2,FALSE)),"X",$X8)</f>
        <v/>
      </c>
      <c r="AB8" s="94" t="str">
        <f>IF(ISTEXT(VLOOKUP(CONCATENATE($A8,"_",AB$3),'Unit List'!$A$23:$H$3319,2,FALSE)),"X",$X8)</f>
        <v/>
      </c>
      <c r="AC8" s="101" t="str">
        <f>IF(ISTEXT(VLOOKUP(CONCATENATE($A8,"_",AC$3),'Unit List'!$A$23:$H$3319,2,FALSE)),"X",$X8)</f>
        <v/>
      </c>
      <c r="AD8" s="97" t="str">
        <f>IF(ISTEXT(VLOOKUP(CONCATENATE($A8,"_",AD$3),'Unit List'!$A$23:$H$3319,2,FALSE)),"+","")</f>
        <v/>
      </c>
      <c r="AE8" s="94" t="str">
        <f>IF(ISTEXT(VLOOKUP(CONCATENATE($A8,"_",AE$3),'Unit List'!$A$23:$H$3319,2,FALSE)),"X",$AD8)</f>
        <v/>
      </c>
      <c r="AF8" s="94" t="str">
        <f>IF(ISTEXT(VLOOKUP(CONCATENATE($A8,"_",AF$3),'Unit List'!$A$23:$H$3319,2,FALSE)),"X",$AD8)</f>
        <v/>
      </c>
      <c r="AG8" s="97" t="str">
        <f>IF(ISTEXT(VLOOKUP(CONCATENATE($A8,"_",AG$3),'Unit List'!$A$23:$H$3319,2,FALSE)),"+","")</f>
        <v/>
      </c>
      <c r="AH8" s="94" t="str">
        <f>IF(ISTEXT(VLOOKUP(CONCATENATE($A8,"_",AH$3),'Unit List'!$A$23:$H$3319,2,FALSE)),"X",$AG8)</f>
        <v/>
      </c>
      <c r="AI8" s="94" t="str">
        <f>IF(ISTEXT(VLOOKUP(CONCATENATE($A8,"_",AI$3),'Unit List'!$A$23:$H$3319,2,FALSE)),"X",$AG8)</f>
        <v/>
      </c>
      <c r="AJ8" s="96" t="str">
        <f>IF(ISTEXT(VLOOKUP(CONCATENATE($A8,"_",AJ$3),'Unit List'!$A$23:$H$3319,2,FALSE)),"X",$AG8)</f>
        <v/>
      </c>
      <c r="AK8" s="97" t="str">
        <f>IF(ISTEXT(VLOOKUP(CONCATENATE($A8,"_",AK$3),'Unit List'!$A$23:$H$3319,2,FALSE)),"+","")</f>
        <v/>
      </c>
      <c r="AL8" s="100" t="str">
        <f>IF(ISTEXT(VLOOKUP(CONCATENATE($A8,"_",AL$3),'Unit List'!$A$23:$H$3319,2,FALSE)),"X",$AK8)</f>
        <v/>
      </c>
      <c r="AM8" s="96" t="str">
        <f>IF(ISTEXT(VLOOKUP(CONCATENATE($A8,"_",AM$3),'Unit List'!$A$23:$H$3319,2,FALSE)),"X",$AK8)</f>
        <v/>
      </c>
      <c r="AN8" s="103" t="str">
        <f>IF(ISTEXT(VLOOKUP(CONCATENATE($A8,"_",AN$3),'Unit List'!$A$23:$H$3319,2,FALSE)),"+","")</f>
        <v/>
      </c>
      <c r="AO8" s="96" t="str">
        <f>IF(ISTEXT(VLOOKUP(CONCATENATE($A8,"_",AO$3),'Unit List'!$A$23:$H$3319,2,FALSE)),"X",$AN8)</f>
        <v/>
      </c>
      <c r="AP8" s="97" t="str">
        <f>IF(ISTEXT(VLOOKUP(CONCATENATE($A8,"_",AP$3),'Unit List'!$A$23:$H$3319,2,FALSE)),"+","")</f>
        <v/>
      </c>
      <c r="AQ8" s="94" t="str">
        <f>IF(ISTEXT(VLOOKUP(CONCATENATE($A8,"_",AQ$3),'Unit List'!$A$23:$H$3319,2,FALSE)),"X",$AP8)</f>
        <v/>
      </c>
      <c r="AR8" s="94" t="str">
        <f>IF(ISTEXT(VLOOKUP(CONCATENATE($A8,"_",AR$3),'Unit List'!$A$23:$H$3319,2,FALSE)),"X",$AP8)</f>
        <v/>
      </c>
      <c r="AS8" s="94" t="str">
        <f>IF(ISTEXT(VLOOKUP(CONCATENATE($A8,"_",AS$3),'Unit List'!$A$23:$H$3319,2,FALSE)),"X",$AP8)</f>
        <v/>
      </c>
      <c r="AT8" s="96" t="str">
        <f>IF(ISTEXT(VLOOKUP(CONCATENATE($A8,"_",AT$3),'Unit List'!$A$23:$H$3319,2,FALSE)),"X",$AP8)</f>
        <v/>
      </c>
      <c r="AU8" s="104" t="str">
        <f>IF(ISTEXT(VLOOKUP(CONCATENATE($A8,"_",AU$3),'Unit List'!$A$23:$H$3319,2,FALSE)),"+","")</f>
        <v/>
      </c>
      <c r="AV8" s="94" t="str">
        <f>IF(ISTEXT(VLOOKUP(CONCATENATE($A8,"_",AV$3),'Unit List'!$A$23:$H$3319,2,FALSE)),"X",$AU8)</f>
        <v/>
      </c>
      <c r="AW8" s="96" t="str">
        <f>IF(ISTEXT(VLOOKUP(CONCATENATE($A8,"_",AW$3),'Unit List'!$A$23:$H$3319,2,FALSE)),"X",$AU8)</f>
        <v/>
      </c>
      <c r="AX8" s="97" t="str">
        <f>IF(ISTEXT(VLOOKUP(CONCATENATE($A8,"_",AX$3),'Unit List'!$A$23:$H$3319,2,FALSE)),"+","")</f>
        <v/>
      </c>
      <c r="AY8" s="94" t="str">
        <f>IF(ISTEXT(VLOOKUP(CONCATENATE($A8,"_",AY$3),'Unit List'!$A$23:$H$3319,2,FALSE)),"X",$AX8)</f>
        <v/>
      </c>
      <c r="AZ8" s="96" t="str">
        <f>IF(ISTEXT(VLOOKUP(CONCATENATE($A8,"_",AZ$3),'Unit List'!$A$23:$H$3319,2,FALSE)),"X",$AX8)</f>
        <v/>
      </c>
      <c r="BA8" s="105" t="str">
        <f>IF(ISTEXT(VLOOKUP(CONCATENATE($A8,"_",BA$3),'Unit List'!$A$23:$H$3319,2,FALSE)),"+","")</f>
        <v/>
      </c>
      <c r="BB8" s="94" t="str">
        <f>IF(ISTEXT(VLOOKUP(CONCATENATE($A8,"_",BB$3),'Unit List'!$A$23:$H$3319,2,FALSE)),"X",$BA8)</f>
        <v/>
      </c>
      <c r="BC8" s="94" t="str">
        <f>IF(ISTEXT(VLOOKUP(CONCATENATE($A8,"_",BC$3),'Unit List'!$A$23:$H$3319,2,FALSE)),"X",$BA8)</f>
        <v/>
      </c>
      <c r="BD8" s="96" t="str">
        <f>IF(ISTEXT(VLOOKUP(CONCATENATE($A8,"_",BD$3),'Unit List'!$A$23:$H$3319,2,FALSE)),"X",$BA8)</f>
        <v/>
      </c>
      <c r="BE8" s="103" t="str">
        <f>IF(ISTEXT(VLOOKUP(CONCATENATE($A8,"_",BE$3),'Unit List'!$A$23:$H$3319,2,FALSE)),"+","")</f>
        <v/>
      </c>
      <c r="BF8" s="101" t="str">
        <f>IF(ISTEXT(VLOOKUP(CONCATENATE($A8,"_",BF$3),'Unit List'!$A$23:$H$3319,2,FALSE)),"X",$BE8)</f>
        <v/>
      </c>
      <c r="BG8" s="106" t="s">
        <v>0</v>
      </c>
      <c r="BH8" s="107" t="s">
        <v>0</v>
      </c>
      <c r="BI8" s="222"/>
      <c r="BJ8" s="223"/>
      <c r="BK8" s="223"/>
      <c r="BL8" s="129"/>
      <c r="BM8" s="130" t="s">
        <v>42</v>
      </c>
      <c r="BN8" s="108"/>
      <c r="BO8" s="108"/>
      <c r="BP8" s="108"/>
      <c r="BQ8" s="108"/>
      <c r="BR8" s="108"/>
      <c r="BS8" s="108"/>
      <c r="DZ8" s="109"/>
      <c r="EA8" s="109"/>
    </row>
    <row r="9" spans="1:131" ht="12.75" customHeight="1" x14ac:dyDescent="0.2">
      <c r="A9" s="90" t="s">
        <v>41</v>
      </c>
      <c r="B9" s="91" t="str">
        <f>IF(ISTEXT(VLOOKUP(CONCATENATE($A9,"_",B$3),'Unit List'!$A$23:$H$3319,2,FALSE)),"+","")</f>
        <v/>
      </c>
      <c r="C9" s="131" t="str">
        <f>IF(ISTEXT(VLOOKUP(CONCATENATE($A9,"_",C$3),'Unit List'!$A$23:$H$3319,2,FALSE)),"X",$B9)</f>
        <v>X</v>
      </c>
      <c r="D9" s="94" t="str">
        <f>IF(ISTEXT(VLOOKUP(CONCATENATE($A9,"_",D$3),'Unit List'!$A$23:$H$3319,2,FALSE)),"X",$B9)</f>
        <v/>
      </c>
      <c r="E9" s="94" t="str">
        <f>IF(ISTEXT(VLOOKUP(CONCATENATE($A9,"_",E$3),'Unit List'!$A$23:$H$3319,2,FALSE)),"X",$B9)</f>
        <v>X</v>
      </c>
      <c r="F9" s="95" t="str">
        <f>IF(ISTEXT(VLOOKUP(CONCATENATE($A9,"_",F$3),'Unit List'!$A$23:$H$3319,2,FALSE)),"X",$B9)</f>
        <v>X</v>
      </c>
      <c r="G9" s="95" t="str">
        <f>IF(ISTEXT(VLOOKUP(CONCATENATE($A9,"_",G$3),'Unit List'!$A$23:$H$3319,2,FALSE)),"X",$B9)</f>
        <v>X</v>
      </c>
      <c r="H9" s="95" t="str">
        <f>IF(ISTEXT(VLOOKUP(CONCATENATE($A9,"_",H$3),'Unit List'!$A$23:$H$3319,2,FALSE)),"X",$B9)</f>
        <v>X</v>
      </c>
      <c r="I9" s="96" t="str">
        <f>IF(ISTEXT(VLOOKUP(CONCATENATE($A9,"_",I$3),'Unit List'!$A$23:$H$3319,2,FALSE)),"X",$B9)</f>
        <v/>
      </c>
      <c r="J9" s="97" t="str">
        <f>IF(ISTEXT(VLOOKUP(CONCATENATE($A9,"_",J$3),'Unit List'!$A$23:$H$3319,2,FALSE)),"+","")</f>
        <v/>
      </c>
      <c r="K9" s="94" t="str">
        <f>IF(ISTEXT(VLOOKUP(CONCATENATE($A9,"_",K$3),'Unit List'!$A$23:$H$3319,2,FALSE)),"X",$J9)</f>
        <v/>
      </c>
      <c r="L9" s="101" t="str">
        <f>IF(ISTEXT(VLOOKUP(CONCATENATE($A9,"_",L$3),'Unit List'!$A$23:$H$3319,2,FALSE)),"X",$J9)</f>
        <v/>
      </c>
      <c r="M9" s="97" t="str">
        <f>IF(ISTEXT(VLOOKUP(CONCATENATE($A9,"_",M$3),'Unit List'!$A$23:$H$3319,2,FALSE)),"+","")</f>
        <v>+</v>
      </c>
      <c r="N9" s="110" t="str">
        <f>IF(ISTEXT(VLOOKUP(CONCATENATE($A9,"_",N$3),'Unit List'!$A$23:$H$3319,2,FALSE)),"X",$M9)</f>
        <v>+</v>
      </c>
      <c r="O9" s="114" t="str">
        <f>IF(ISTEXT(VLOOKUP(CONCATENATE($A9,"_",O$3),'Unit List'!$A$23:$H$3319,2,FALSE)),"X",$M9)</f>
        <v>X</v>
      </c>
      <c r="P9" s="97" t="str">
        <f>IF(ISTEXT(VLOOKUP(CONCATENATE($A9,"_",P$3),'Unit List'!$A$23:$H$3319,2,FALSE)),"+","")</f>
        <v/>
      </c>
      <c r="Q9" s="94" t="str">
        <f>IF(ISTEXT(VLOOKUP(CONCATENATE($A9,"_",Q$3),'Unit List'!$A$23:$H$3319,2,FALSE)),"X",$P9)</f>
        <v/>
      </c>
      <c r="R9" s="94" t="str">
        <f>IF(ISTEXT(VLOOKUP(CONCATENATE($A9,"_",R$3),'Unit List'!$A$23:$H$3319,2,FALSE)),"X",$P9)</f>
        <v/>
      </c>
      <c r="S9" s="94" t="str">
        <f>IF(ISTEXT(VLOOKUP(CONCATENATE($A9,"_",S$3),'Unit List'!$A$23:$H$3319,2,FALSE)),"X",$P9)</f>
        <v/>
      </c>
      <c r="T9" s="100" t="str">
        <f>IF(ISTEXT(VLOOKUP(CONCATENATE($A9,"_",T$3),'Unit List'!$A$23:$H$3319,2,FALSE)),"X",$P9)</f>
        <v/>
      </c>
      <c r="U9" s="95" t="str">
        <f>IF(ISTEXT(VLOOKUP(CONCATENATE($A9,"_",U$3),'Unit List'!$A$23:$H$3319,2,FALSE)),"X",$P9)</f>
        <v>X</v>
      </c>
      <c r="V9" s="94" t="str">
        <f>IF(ISTEXT(VLOOKUP(CONCATENATE($A9,"_",V$3),'Unit List'!$A$23:$H$3319,2,FALSE)),"X",$P9)</f>
        <v/>
      </c>
      <c r="W9" s="96" t="str">
        <f>IF(ISTEXT(VLOOKUP(CONCATENATE($A9,"_",W$3),'Unit List'!$A$23:$H$3319,2,FALSE)),"X",$P9)</f>
        <v/>
      </c>
      <c r="X9" s="97" t="str">
        <f>IF(ISTEXT(VLOOKUP(CONCATENATE($A9,"_",X$3),'Unit List'!$A$23:$H$3319,2,FALSE)),"+","")</f>
        <v/>
      </c>
      <c r="Y9" s="94" t="str">
        <f>IF(ISTEXT(VLOOKUP(CONCATENATE($A9,"_",Y$3),'Unit List'!$A$23:$H$3319,2,FALSE)),"X",$X9)</f>
        <v/>
      </c>
      <c r="Z9" s="94" t="str">
        <f>IF(ISTEXT(VLOOKUP(CONCATENATE($A9,"_",Z$3),'Unit List'!$A$23:$H$3319,2,FALSE)),"X",$X9)</f>
        <v/>
      </c>
      <c r="AA9" s="94" t="str">
        <f>IF(ISTEXT(VLOOKUP(CONCATENATE($A9,"_",AA$3),'Unit List'!$A$23:$H$3319,2,FALSE)),"X",$X9)</f>
        <v/>
      </c>
      <c r="AB9" s="94" t="str">
        <f>IF(ISTEXT(VLOOKUP(CONCATENATE($A9,"_",AB$3),'Unit List'!$A$23:$H$3319,2,FALSE)),"X",$X9)</f>
        <v/>
      </c>
      <c r="AC9" s="101" t="str">
        <f>IF(ISTEXT(VLOOKUP(CONCATENATE($A9,"_",AC$3),'Unit List'!$A$23:$H$3319,2,FALSE)),"X",$X9)</f>
        <v/>
      </c>
      <c r="AD9" s="97" t="str">
        <f>IF(ISTEXT(VLOOKUP(CONCATENATE($A9,"_",AD$3),'Unit List'!$A$23:$H$3319,2,FALSE)),"+","")</f>
        <v>+</v>
      </c>
      <c r="AE9" s="94" t="str">
        <f>IF(ISTEXT(VLOOKUP(CONCATENATE($A9,"_",AE$3),'Unit List'!$A$23:$H$3319,2,FALSE)),"X",$AD9)</f>
        <v>+</v>
      </c>
      <c r="AF9" s="94" t="str">
        <f>IF(ISTEXT(VLOOKUP(CONCATENATE($A9,"_",AF$3),'Unit List'!$A$23:$H$3319,2,FALSE)),"X",$AD9)</f>
        <v>+</v>
      </c>
      <c r="AG9" s="97" t="str">
        <f>IF(ISTEXT(VLOOKUP(CONCATENATE($A9,"_",AG$3),'Unit List'!$A$23:$H$3319,2,FALSE)),"+","")</f>
        <v/>
      </c>
      <c r="AH9" s="94" t="str">
        <f>IF(ISTEXT(VLOOKUP(CONCATENATE($A9,"_",AH$3),'Unit List'!$A$23:$H$3319,2,FALSE)),"X",$AG9)</f>
        <v/>
      </c>
      <c r="AI9" s="94" t="str">
        <f>IF(ISTEXT(VLOOKUP(CONCATENATE($A9,"_",AI$3),'Unit List'!$A$23:$H$3319,2,FALSE)),"X",$AG9)</f>
        <v/>
      </c>
      <c r="AJ9" s="96" t="str">
        <f>IF(ISTEXT(VLOOKUP(CONCATENATE($A9,"_",AJ$3),'Unit List'!$A$23:$H$3319,2,FALSE)),"X",$AG9)</f>
        <v>X</v>
      </c>
      <c r="AK9" s="97" t="str">
        <f>IF(ISTEXT(VLOOKUP(CONCATENATE($A9,"_",AK$3),'Unit List'!$A$23:$H$3319,2,FALSE)),"+","")</f>
        <v/>
      </c>
      <c r="AL9" s="100" t="str">
        <f>IF(ISTEXT(VLOOKUP(CONCATENATE($A9,"_",AL$3),'Unit List'!$A$23:$H$3319,2,FALSE)),"X",$AK9)</f>
        <v/>
      </c>
      <c r="AM9" s="96" t="str">
        <f>IF(ISTEXT(VLOOKUP(CONCATENATE($A9,"_",AM$3),'Unit List'!$A$23:$H$3319,2,FALSE)),"X",$AK9)</f>
        <v/>
      </c>
      <c r="AN9" s="103" t="str">
        <f>IF(ISTEXT(VLOOKUP(CONCATENATE($A9,"_",AN$3),'Unit List'!$A$23:$H$3319,2,FALSE)),"+","")</f>
        <v>+</v>
      </c>
      <c r="AO9" s="96" t="str">
        <f>IF(ISTEXT(VLOOKUP(CONCATENATE($A9,"_",AO$3),'Unit List'!$A$23:$H$3319,2,FALSE)),"X",$AN9)</f>
        <v>+</v>
      </c>
      <c r="AP9" s="97" t="str">
        <f>IF(ISTEXT(VLOOKUP(CONCATENATE($A9,"_",AP$3),'Unit List'!$A$23:$H$3319,2,FALSE)),"+","")</f>
        <v>+</v>
      </c>
      <c r="AQ9" s="94" t="str">
        <f>IF(ISTEXT(VLOOKUP(CONCATENATE($A9,"_",AQ$3),'Unit List'!$A$23:$H$3319,2,FALSE)),"X",$AP9)</f>
        <v>+</v>
      </c>
      <c r="AR9" s="95" t="str">
        <f>IF(ISTEXT(VLOOKUP(CONCATENATE($A9,"_",AR$3),'Unit List'!$A$23:$H$3319,2,FALSE)),"X",$AP9)</f>
        <v>X</v>
      </c>
      <c r="AS9" s="94" t="str">
        <f>IF(ISTEXT(VLOOKUP(CONCATENATE($A9,"_",AS$3),'Unit List'!$A$23:$H$3319,2,FALSE)),"X",$AP9)</f>
        <v>X</v>
      </c>
      <c r="AT9" s="96" t="str">
        <f>IF(ISTEXT(VLOOKUP(CONCATENATE($A9,"_",AT$3),'Unit List'!$A$23:$H$3319,2,FALSE)),"X",$AP9)</f>
        <v>+</v>
      </c>
      <c r="AU9" s="104" t="str">
        <f>IF(ISTEXT(VLOOKUP(CONCATENATE($A9,"_",AU$3),'Unit List'!$A$23:$H$3319,2,FALSE)),"+","")</f>
        <v>+</v>
      </c>
      <c r="AV9" s="94" t="str">
        <f>IF(ISTEXT(VLOOKUP(CONCATENATE($A9,"_",AV$3),'Unit List'!$A$23:$H$3319,2,FALSE)),"X",$AU9)</f>
        <v>+</v>
      </c>
      <c r="AW9" s="96" t="str">
        <f>IF(ISTEXT(VLOOKUP(CONCATENATE($A9,"_",AW$3),'Unit List'!$A$23:$H$3319,2,FALSE)),"X",$AU9)</f>
        <v>+</v>
      </c>
      <c r="AX9" s="97" t="str">
        <f>IF(ISTEXT(VLOOKUP(CONCATENATE($A9,"_",AX$3),'Unit List'!$A$23:$H$3319,2,FALSE)),"+","")</f>
        <v>+</v>
      </c>
      <c r="AY9" s="94" t="str">
        <f>IF(ISTEXT(VLOOKUP(CONCATENATE($A9,"_",AY$3),'Unit List'!$A$23:$H$3319,2,FALSE)),"X",$AX9)</f>
        <v>+</v>
      </c>
      <c r="AZ9" s="96" t="str">
        <f>IF(ISTEXT(VLOOKUP(CONCATENATE($A9,"_",AZ$3),'Unit List'!$A$23:$H$3319,2,FALSE)),"X",$AX9)</f>
        <v>+</v>
      </c>
      <c r="BA9" s="105" t="str">
        <f>IF(ISTEXT(VLOOKUP(CONCATENATE($A9,"_",BA$3),'Unit List'!$A$23:$H$3319,2,FALSE)),"+","")</f>
        <v/>
      </c>
      <c r="BB9" s="94" t="str">
        <f>IF(ISTEXT(VLOOKUP(CONCATENATE($A9,"_",BB$3),'Unit List'!$A$23:$H$3319,2,FALSE)),"X",$BA9)</f>
        <v/>
      </c>
      <c r="BC9" s="94" t="str">
        <f>IF(ISTEXT(VLOOKUP(CONCATENATE($A9,"_",BC$3),'Unit List'!$A$23:$H$3319,2,FALSE)),"X",$BA9)</f>
        <v/>
      </c>
      <c r="BD9" s="96" t="str">
        <f>IF(ISTEXT(VLOOKUP(CONCATENATE($A9,"_",BD$3),'Unit List'!$A$23:$H$3319,2,FALSE)),"X",$BA9)</f>
        <v/>
      </c>
      <c r="BE9" s="103" t="str">
        <f>IF(ISTEXT(VLOOKUP(CONCATENATE($A9,"_",BE$3),'Unit List'!$A$23:$H$3319,2,FALSE)),"+","")</f>
        <v>+</v>
      </c>
      <c r="BF9" s="101" t="str">
        <f>IF(ISTEXT(VLOOKUP(CONCATENATE($A9,"_",BF$3),'Unit List'!$A$23:$H$3319,2,FALSE)),"X",$BE9)</f>
        <v>+</v>
      </c>
      <c r="BG9" s="106"/>
      <c r="BH9" s="107" t="s">
        <v>0</v>
      </c>
      <c r="BI9" s="228"/>
      <c r="BJ9" s="229"/>
      <c r="BK9" s="229"/>
      <c r="BL9" s="229"/>
      <c r="BM9" s="230"/>
      <c r="BN9" s="108"/>
      <c r="BO9" s="108"/>
      <c r="BP9" s="108"/>
      <c r="BQ9" s="108"/>
      <c r="BR9" s="108"/>
      <c r="BS9" s="108"/>
      <c r="DZ9" s="109"/>
      <c r="EA9" s="109"/>
    </row>
    <row r="10" spans="1:131" ht="12.75" customHeight="1" x14ac:dyDescent="0.2">
      <c r="A10" s="90" t="s">
        <v>1112</v>
      </c>
      <c r="B10" s="91" t="str">
        <f>IF(ISTEXT(VLOOKUP(CONCATENATE($A10,"_",B$3),'Unit List'!$A$23:$H$3319,2,FALSE)),"+","")</f>
        <v/>
      </c>
      <c r="C10" s="92" t="str">
        <f>IF(ISTEXT(VLOOKUP(CONCATENATE($A10,"_",C$3),'Unit List'!$A$23:$H$3319,2,FALSE)),"X",$B10)</f>
        <v/>
      </c>
      <c r="D10" s="94" t="str">
        <f>IF(ISTEXT(VLOOKUP(CONCATENATE($A10,"_",D$3),'Unit List'!$A$23:$H$3319,2,FALSE)),"X",$B10)</f>
        <v/>
      </c>
      <c r="E10" s="94" t="str">
        <f>IF(ISTEXT(VLOOKUP(CONCATENATE($A10,"_",E$3),'Unit List'!$A$23:$H$3319,2,FALSE)),"X",$B10)</f>
        <v/>
      </c>
      <c r="F10" s="94" t="str">
        <f>IF(ISTEXT(VLOOKUP(CONCATENATE($A10,"_",F$3),'Unit List'!$A$23:$H$3319,2,FALSE)),"X",$B10)</f>
        <v/>
      </c>
      <c r="G10" s="94" t="str">
        <f>IF(ISTEXT(VLOOKUP(CONCATENATE($A10,"_",G$3),'Unit List'!$A$23:$H$3319,2,FALSE)),"X",$B10)</f>
        <v/>
      </c>
      <c r="H10" s="94" t="str">
        <f>IF(ISTEXT(VLOOKUP(CONCATENATE($A10,"_",H$3),'Unit List'!$A$23:$H$3319,2,FALSE)),"X",$B10)</f>
        <v/>
      </c>
      <c r="I10" s="96" t="str">
        <f>IF(ISTEXT(VLOOKUP(CONCATENATE($A10,"_",I$3),'Unit List'!$A$23:$H$3319,2,FALSE)),"X",$B10)</f>
        <v/>
      </c>
      <c r="J10" s="97" t="str">
        <f>IF(ISTEXT(VLOOKUP(CONCATENATE($A10,"_",J$3),'Unit List'!$A$23:$H$3319,2,FALSE)),"+","")</f>
        <v/>
      </c>
      <c r="K10" s="94" t="str">
        <f>IF(ISTEXT(VLOOKUP(CONCATENATE($A10,"_",K$3),'Unit List'!$A$23:$H$3319,2,FALSE)),"X",$J10)</f>
        <v/>
      </c>
      <c r="L10" s="101" t="str">
        <f>IF(ISTEXT(VLOOKUP(CONCATENATE($A10,"_",L$3),'Unit List'!$A$23:$H$3319,2,FALSE)),"X",$J10)</f>
        <v/>
      </c>
      <c r="M10" s="97" t="str">
        <f>IF(ISTEXT(VLOOKUP(CONCATENATE($A10,"_",M$3),'Unit List'!$A$23:$H$3319,2,FALSE)),"+","")</f>
        <v/>
      </c>
      <c r="N10" s="94" t="str">
        <f>IF(ISTEXT(VLOOKUP(CONCATENATE($A10,"_",N$3),'Unit List'!$A$23:$H$3319,2,FALSE)),"X",$M10)</f>
        <v/>
      </c>
      <c r="O10" s="96" t="str">
        <f>IF(ISTEXT(VLOOKUP(CONCATENATE($A10,"_",O$3),'Unit List'!$A$23:$H$3319,2,FALSE)),"X",$M10)</f>
        <v/>
      </c>
      <c r="P10" s="97" t="str">
        <f>IF(ISTEXT(VLOOKUP(CONCATENATE($A10,"_",P$3),'Unit List'!$A$23:$H$3319,2,FALSE)),"+","")</f>
        <v/>
      </c>
      <c r="Q10" s="94" t="str">
        <f>IF(ISTEXT(VLOOKUP(CONCATENATE($A10,"_",Q$3),'Unit List'!$A$23:$H$3319,2,FALSE)),"X",$P10)</f>
        <v/>
      </c>
      <c r="R10" s="94" t="str">
        <f>IF(ISTEXT(VLOOKUP(CONCATENATE($A10,"_",R$3),'Unit List'!$A$23:$H$3319,2,FALSE)),"X",$P10)</f>
        <v/>
      </c>
      <c r="S10" s="94" t="str">
        <f>IF(ISTEXT(VLOOKUP(CONCATENATE($A10,"_",S$3),'Unit List'!$A$23:$H$3319,2,FALSE)),"X",$P10)</f>
        <v/>
      </c>
      <c r="T10" s="100" t="str">
        <f>IF(ISTEXT(VLOOKUP(CONCATENATE($A10,"_",T$3),'Unit List'!$A$23:$H$3319,2,FALSE)),"X",$P10)</f>
        <v/>
      </c>
      <c r="U10" s="94" t="str">
        <f>IF(ISTEXT(VLOOKUP(CONCATENATE($A10,"_",U$3),'Unit List'!$A$23:$H$3319,2,FALSE)),"X",$P10)</f>
        <v/>
      </c>
      <c r="V10" s="94" t="str">
        <f>IF(ISTEXT(VLOOKUP(CONCATENATE($A10,"_",V$3),'Unit List'!$A$23:$H$3319,2,FALSE)),"X",$P10)</f>
        <v/>
      </c>
      <c r="W10" s="96" t="str">
        <f>IF(ISTEXT(VLOOKUP(CONCATENATE($A10,"_",W$3),'Unit List'!$A$23:$H$3319,2,FALSE)),"X",$P10)</f>
        <v/>
      </c>
      <c r="X10" s="97" t="str">
        <f>IF(ISTEXT(VLOOKUP(CONCATENATE($A10,"_",X$3),'Unit List'!$A$23:$H$3319,2,FALSE)),"+","")</f>
        <v/>
      </c>
      <c r="Y10" s="94" t="str">
        <f>IF(ISTEXT(VLOOKUP(CONCATENATE($A10,"_",Y$3),'Unit List'!$A$23:$H$3319,2,FALSE)),"X",$X10)</f>
        <v/>
      </c>
      <c r="Z10" s="94" t="str">
        <f>IF(ISTEXT(VLOOKUP(CONCATENATE($A10,"_",Z$3),'Unit List'!$A$23:$H$3319,2,FALSE)),"X",$X10)</f>
        <v/>
      </c>
      <c r="AA10" s="94" t="str">
        <f>IF(ISTEXT(VLOOKUP(CONCATENATE($A10,"_",AA$3),'Unit List'!$A$23:$H$3319,2,FALSE)),"X",$X10)</f>
        <v/>
      </c>
      <c r="AB10" s="94" t="str">
        <f>IF(ISTEXT(VLOOKUP(CONCATENATE($A10,"_",AB$3),'Unit List'!$A$23:$H$3319,2,FALSE)),"X",$X10)</f>
        <v/>
      </c>
      <c r="AC10" s="101" t="str">
        <f>IF(ISTEXT(VLOOKUP(CONCATENATE($A10,"_",AC$3),'Unit List'!$A$23:$H$3319,2,FALSE)),"X",$X10)</f>
        <v/>
      </c>
      <c r="AD10" s="97" t="str">
        <f>IF(ISTEXT(VLOOKUP(CONCATENATE($A10,"_",AD$3),'Unit List'!$A$23:$H$3319,2,FALSE)),"+","")</f>
        <v/>
      </c>
      <c r="AE10" s="94" t="str">
        <f>IF(ISTEXT(VLOOKUP(CONCATENATE($A10,"_",AE$3),'Unit List'!$A$23:$H$3319,2,FALSE)),"X",$AD10)</f>
        <v/>
      </c>
      <c r="AF10" s="94" t="str">
        <f>IF(ISTEXT(VLOOKUP(CONCATENATE($A10,"_",AF$3),'Unit List'!$A$23:$H$3319,2,FALSE)),"X",$AD10)</f>
        <v/>
      </c>
      <c r="AG10" s="97" t="str">
        <f>IF(ISTEXT(VLOOKUP(CONCATENATE($A10,"_",AG$3),'Unit List'!$A$23:$H$3319,2,FALSE)),"+","")</f>
        <v/>
      </c>
      <c r="AH10" s="132" t="str">
        <f>IF(ISTEXT(VLOOKUP(CONCATENATE($A10,"_",AH$3),'Unit List'!$A$23:$H$3319,2,FALSE)),"X",$AG10)</f>
        <v/>
      </c>
      <c r="AI10" s="132" t="str">
        <f>IF(ISTEXT(VLOOKUP(CONCATENATE($A10,"_",AI$3),'Unit List'!$A$23:$H$3319,2,FALSE)),"X",$AG10)</f>
        <v/>
      </c>
      <c r="AJ10" s="96" t="str">
        <f>IF(ISTEXT(VLOOKUP(CONCATENATE($A10,"_",AJ$3),'Unit List'!$A$23:$H$3319,2,FALSE)),"X",$AG10)</f>
        <v/>
      </c>
      <c r="AK10" s="97" t="str">
        <f>IF(ISTEXT(VLOOKUP(CONCATENATE($A10,"_",AK$3),'Unit List'!$A$23:$H$3319,2,FALSE)),"+","")</f>
        <v/>
      </c>
      <c r="AL10" s="100" t="str">
        <f>IF(ISTEXT(VLOOKUP(CONCATENATE($A10,"_",AL$3),'Unit List'!$A$23:$H$3319,2,FALSE)),"X",$AK10)</f>
        <v/>
      </c>
      <c r="AM10" s="96" t="str">
        <f>IF(ISTEXT(VLOOKUP(CONCATENATE($A10,"_",AM$3),'Unit List'!$A$23:$H$3319,2,FALSE)),"X",$AK10)</f>
        <v/>
      </c>
      <c r="AN10" s="103" t="str">
        <f>IF(ISTEXT(VLOOKUP(CONCATENATE($A10,"_",AN$3),'Unit List'!$A$23:$H$3319,2,FALSE)),"+","")</f>
        <v/>
      </c>
      <c r="AO10" s="96" t="str">
        <f>IF(ISTEXT(VLOOKUP(CONCATENATE($A10,"_",AO$3),'Unit List'!$A$23:$H$3319,2,FALSE)),"X",$AN10)</f>
        <v/>
      </c>
      <c r="AP10" s="97" t="str">
        <f>IF(ISTEXT(VLOOKUP(CONCATENATE($A10,"_",AP$3),'Unit List'!$A$23:$H$3319,2,FALSE)),"+","")</f>
        <v/>
      </c>
      <c r="AQ10" s="94" t="str">
        <f>IF(ISTEXT(VLOOKUP(CONCATENATE($A10,"_",AQ$3),'Unit List'!$A$23:$H$3319,2,FALSE)),"X",$AP10)</f>
        <v/>
      </c>
      <c r="AR10" s="94" t="str">
        <f>IF(ISTEXT(VLOOKUP(CONCATENATE($A10,"_",AR$3),'Unit List'!$A$23:$H$3319,2,FALSE)),"X",$AP10)</f>
        <v/>
      </c>
      <c r="AS10" s="94" t="str">
        <f>IF(ISTEXT(VLOOKUP(CONCATENATE($A10,"_",AS$3),'Unit List'!$A$23:$H$3319,2,FALSE)),"X",$AP10)</f>
        <v/>
      </c>
      <c r="AT10" s="96" t="str">
        <f>IF(ISTEXT(VLOOKUP(CONCATENATE($A10,"_",AT$3),'Unit List'!$A$23:$H$3319,2,FALSE)),"X",$AP10)</f>
        <v/>
      </c>
      <c r="AU10" s="104" t="str">
        <f>IF(ISTEXT(VLOOKUP(CONCATENATE($A10,"_",AU$3),'Unit List'!$A$23:$H$3319,2,FALSE)),"+","")</f>
        <v/>
      </c>
      <c r="AV10" s="94" t="str">
        <f>IF(ISTEXT(VLOOKUP(CONCATENATE($A10,"_",AV$3),'Unit List'!$A$23:$H$3319,2,FALSE)),"X",$AU10)</f>
        <v/>
      </c>
      <c r="AW10" s="96" t="str">
        <f>IF(ISTEXT(VLOOKUP(CONCATENATE($A10,"_",AW$3),'Unit List'!$A$23:$H$3319,2,FALSE)),"X",$AU10)</f>
        <v/>
      </c>
      <c r="AX10" s="97" t="str">
        <f>IF(ISTEXT(VLOOKUP(CONCATENATE($A10,"_",AX$3),'Unit List'!$A$23:$H$3319,2,FALSE)),"+","")</f>
        <v/>
      </c>
      <c r="AY10" s="94" t="str">
        <f>IF(ISTEXT(VLOOKUP(CONCATENATE($A10,"_",AY$3),'Unit List'!$A$23:$H$3319,2,FALSE)),"X",$AX10)</f>
        <v/>
      </c>
      <c r="AZ10" s="96" t="str">
        <f>IF(ISTEXT(VLOOKUP(CONCATENATE($A10,"_",AZ$3),'Unit List'!$A$23:$H$3319,2,FALSE)),"X",$AX10)</f>
        <v/>
      </c>
      <c r="BA10" s="105" t="str">
        <f>IF(ISTEXT(VLOOKUP(CONCATENATE($A10,"_",BA$3),'Unit List'!$A$23:$H$3319,2,FALSE)),"+","")</f>
        <v/>
      </c>
      <c r="BB10" s="94" t="str">
        <f>IF(ISTEXT(VLOOKUP(CONCATENATE($A10,"_",BB$3),'Unit List'!$A$23:$H$3319,2,FALSE)),"X",$BA10)</f>
        <v/>
      </c>
      <c r="BC10" s="94" t="str">
        <f>IF(ISTEXT(VLOOKUP(CONCATENATE($A10,"_",BC$3),'Unit List'!$A$23:$H$3319,2,FALSE)),"X",$BA10)</f>
        <v/>
      </c>
      <c r="BD10" s="96" t="str">
        <f>IF(ISTEXT(VLOOKUP(CONCATENATE($A10,"_",BD$3),'Unit List'!$A$23:$H$3319,2,FALSE)),"X",$BA10)</f>
        <v/>
      </c>
      <c r="BE10" s="103" t="str">
        <f>IF(ISTEXT(VLOOKUP(CONCATENATE($A10,"_",BE$3),'Unit List'!$A$23:$H$3319,2,FALSE)),"+","")</f>
        <v/>
      </c>
      <c r="BF10" s="101" t="str">
        <f>IF(ISTEXT(VLOOKUP(CONCATENATE($A10,"_",BF$3),'Unit List'!$A$23:$H$3319,2,FALSE)),"X",$BE10)</f>
        <v/>
      </c>
      <c r="BG10" s="124"/>
      <c r="BH10" s="133"/>
      <c r="BI10" s="228"/>
      <c r="BJ10" s="229"/>
      <c r="BK10" s="229"/>
      <c r="BL10" s="229"/>
      <c r="BM10" s="230"/>
      <c r="BN10" s="108"/>
      <c r="BO10" s="108"/>
      <c r="BP10" s="108"/>
      <c r="BQ10" s="108"/>
      <c r="BR10" s="108"/>
      <c r="BS10" s="108"/>
      <c r="DZ10" s="109"/>
      <c r="EA10" s="109"/>
    </row>
    <row r="11" spans="1:131" ht="12.75" customHeight="1" x14ac:dyDescent="0.2">
      <c r="A11" s="90" t="s">
        <v>40</v>
      </c>
      <c r="B11" s="91" t="str">
        <f>IF(ISTEXT(VLOOKUP(CONCATENATE($A11,"_",B$3),'Unit List'!$A$23:$H$3319,2,FALSE)),"+","")</f>
        <v/>
      </c>
      <c r="C11" s="134" t="str">
        <f>IF(ISTEXT(VLOOKUP(CONCATENATE($A11,"_",C$3),'Unit List'!$A$23:$H$3319,2,FALSE)),"X",$B11)</f>
        <v>X</v>
      </c>
      <c r="D11" s="95" t="str">
        <f>IF(ISTEXT(VLOOKUP(CONCATENATE($A11,"_",D$3),'Unit List'!$A$23:$H$3319,2,FALSE)),"X",$B11)</f>
        <v>X</v>
      </c>
      <c r="E11" s="94" t="str">
        <f>IF(ISTEXT(VLOOKUP(CONCATENATE($A11,"_",E$3),'Unit List'!$A$23:$H$3319,2,FALSE)),"X",$B11)</f>
        <v>X</v>
      </c>
      <c r="F11" s="95" t="str">
        <f>IF(ISTEXT(VLOOKUP(CONCATENATE($A11,"_",F$3),'Unit List'!$A$23:$H$3319,2,FALSE)),"X",$B11)</f>
        <v>X</v>
      </c>
      <c r="G11" s="95" t="str">
        <f>IF(ISTEXT(VLOOKUP(CONCATENATE($A11,"_",G$3),'Unit List'!$A$23:$H$3319,2,FALSE)),"X",$B11)</f>
        <v>X</v>
      </c>
      <c r="H11" s="94" t="str">
        <f>IF(ISTEXT(VLOOKUP(CONCATENATE($A11,"_",H$3),'Unit List'!$A$23:$H$3319,2,FALSE)),"X",$B11)</f>
        <v>X</v>
      </c>
      <c r="I11" s="114" t="str">
        <f>IF(ISTEXT(VLOOKUP(CONCATENATE($A11,"_",I$3),'Unit List'!$A$23:$H$3319,2,FALSE)),"X",$B11)</f>
        <v>X</v>
      </c>
      <c r="J11" s="97" t="str">
        <f>IF(ISTEXT(VLOOKUP(CONCATENATE($A11,"_",J$3),'Unit List'!$A$23:$H$3319,2,FALSE)),"+","")</f>
        <v/>
      </c>
      <c r="K11" s="94" t="str">
        <f>IF(ISTEXT(VLOOKUP(CONCATENATE($A11,"_",K$3),'Unit List'!$A$23:$H$3319,2,FALSE)),"X",$J11)</f>
        <v/>
      </c>
      <c r="L11" s="135" t="str">
        <f>IF(ISTEXT(VLOOKUP(CONCATENATE($A11,"_",L$3),'Unit List'!$A$23:$H$3319,2,FALSE)),"X",$J11)</f>
        <v>X</v>
      </c>
      <c r="M11" s="97" t="str">
        <f>IF(ISTEXT(VLOOKUP(CONCATENATE($A11,"_",M$3),'Unit List'!$A$23:$H$3319,2,FALSE)),"+","")</f>
        <v>+</v>
      </c>
      <c r="N11" s="95" t="str">
        <f>IF(ISTEXT(VLOOKUP(CONCATENATE($A11,"_",N$3),'Unit List'!$A$23:$H$3319,2,FALSE)),"X",$M11)</f>
        <v>X</v>
      </c>
      <c r="O11" s="114" t="str">
        <f>IF(ISTEXT(VLOOKUP(CONCATENATE($A11,"_",O$3),'Unit List'!$A$23:$H$3319,2,FALSE)),"X",$M11)</f>
        <v>X</v>
      </c>
      <c r="P11" s="97" t="str">
        <f>IF(ISTEXT(VLOOKUP(CONCATENATE($A11,"_",P$3),'Unit List'!$A$23:$H$3319,2,FALSE)),"+","")</f>
        <v/>
      </c>
      <c r="Q11" s="94" t="str">
        <f>IF(ISTEXT(VLOOKUP(CONCATENATE($A11,"_",Q$3),'Unit List'!$A$23:$H$3319,2,FALSE)),"X",$P11)</f>
        <v/>
      </c>
      <c r="R11" s="94" t="str">
        <f>IF(ISTEXT(VLOOKUP(CONCATENATE($A11,"_",R$3),'Unit List'!$A$23:$H$3319,2,FALSE)),"X",$P11)</f>
        <v/>
      </c>
      <c r="S11" s="95" t="str">
        <f>IF(ISTEXT(VLOOKUP(CONCATENATE($A11,"_",S$3),'Unit List'!$A$23:$H$3319,2,FALSE)),"X",$P11)</f>
        <v>X</v>
      </c>
      <c r="T11" s="100" t="str">
        <f>IF(ISTEXT(VLOOKUP(CONCATENATE($A11,"_",T$3),'Unit List'!$A$23:$H$3319,2,FALSE)),"X",$P11)</f>
        <v/>
      </c>
      <c r="U11" s="95" t="str">
        <f>IF(ISTEXT(VLOOKUP(CONCATENATE($A11,"_",U$3),'Unit List'!$A$23:$H$3319,2,FALSE)),"X",$P11)</f>
        <v>X</v>
      </c>
      <c r="V11" s="95" t="str">
        <f>IF(ISTEXT(VLOOKUP(CONCATENATE($A11,"_",V$3),'Unit List'!$A$23:$H$3319,2,FALSE)),"X",$P11)</f>
        <v>X</v>
      </c>
      <c r="W11" s="96" t="str">
        <f>IF(ISTEXT(VLOOKUP(CONCATENATE($A11,"_",W$3),'Unit List'!$A$23:$H$3319,2,FALSE)),"X",$P11)</f>
        <v/>
      </c>
      <c r="X11" s="97" t="str">
        <f>IF(ISTEXT(VLOOKUP(CONCATENATE($A11,"_",X$3),'Unit List'!$A$23:$H$3319,2,FALSE)),"+","")</f>
        <v/>
      </c>
      <c r="Y11" s="94" t="str">
        <f>IF(ISTEXT(VLOOKUP(CONCATENATE($A11,"_",Y$3),'Unit List'!$A$23:$H$3319,2,FALSE)),"X",$X11)</f>
        <v/>
      </c>
      <c r="Z11" s="94" t="str">
        <f>IF(ISTEXT(VLOOKUP(CONCATENATE($A11,"_",Z$3),'Unit List'!$A$23:$H$3319,2,FALSE)),"X",$X11)</f>
        <v/>
      </c>
      <c r="AA11" s="94" t="str">
        <f>IF(ISTEXT(VLOOKUP(CONCATENATE($A11,"_",AA$3),'Unit List'!$A$23:$H$3319,2,FALSE)),"X",$X11)</f>
        <v/>
      </c>
      <c r="AB11" s="95" t="str">
        <f>IF(ISTEXT(VLOOKUP(CONCATENATE($A11,"_",AB$3),'Unit List'!$A$23:$H$3319,2,FALSE)),"X",$X11)</f>
        <v>X</v>
      </c>
      <c r="AC11" s="101" t="str">
        <f>IF(ISTEXT(VLOOKUP(CONCATENATE($A11,"_",AC$3),'Unit List'!$A$23:$H$3319,2,FALSE)),"X",$X11)</f>
        <v/>
      </c>
      <c r="AD11" s="97" t="str">
        <f>IF(ISTEXT(VLOOKUP(CONCATENATE($A11,"_",AD$3),'Unit List'!$A$23:$H$3319,2,FALSE)),"+","")</f>
        <v>+</v>
      </c>
      <c r="AE11" s="94" t="str">
        <f>IF(ISTEXT(VLOOKUP(CONCATENATE($A11,"_",AE$3),'Unit List'!$A$23:$H$3319,2,FALSE)),"X",$AD11)</f>
        <v>+</v>
      </c>
      <c r="AF11" s="94" t="str">
        <f>IF(ISTEXT(VLOOKUP(CONCATENATE($A11,"_",AF$3),'Unit List'!$A$23:$H$3319,2,FALSE)),"X",$AD11)</f>
        <v>+</v>
      </c>
      <c r="AG11" s="97" t="str">
        <f>IF(ISTEXT(VLOOKUP(CONCATENATE($A11,"_",AG$3),'Unit List'!$A$23:$H$3319,2,FALSE)),"+","")</f>
        <v/>
      </c>
      <c r="AH11" s="94" t="str">
        <f>IF(ISTEXT(VLOOKUP(CONCATENATE($A11,"_",AH$3),'Unit List'!$A$23:$H$3319,2,FALSE)),"X",$AG11)</f>
        <v/>
      </c>
      <c r="AI11" s="94" t="str">
        <f>IF(ISTEXT(VLOOKUP(CONCATENATE($A11,"_",AI$3),'Unit List'!$A$23:$H$3319,2,FALSE)),"X",$AG11)</f>
        <v/>
      </c>
      <c r="AJ11" s="96" t="str">
        <f>IF(ISTEXT(VLOOKUP(CONCATENATE($A11,"_",AJ$3),'Unit List'!$A$23:$H$3319,2,FALSE)),"X",$AG11)</f>
        <v>X</v>
      </c>
      <c r="AK11" s="97" t="str">
        <f>IF(ISTEXT(VLOOKUP(CONCATENATE($A11,"_",AK$3),'Unit List'!$A$23:$H$3319,2,FALSE)),"+","")</f>
        <v/>
      </c>
      <c r="AL11" s="136" t="str">
        <f>IF(ISTEXT(VLOOKUP(CONCATENATE($A11,"_",AL$3),'Unit List'!$A$23:$H$3319,2,FALSE)),"X",$AK11)</f>
        <v>X</v>
      </c>
      <c r="AM11" s="96" t="str">
        <f>IF(ISTEXT(VLOOKUP(CONCATENATE($A11,"_",AM$3),'Unit List'!$A$23:$H$3319,2,FALSE)),"X",$AK11)</f>
        <v/>
      </c>
      <c r="AN11" s="103" t="str">
        <f>IF(ISTEXT(VLOOKUP(CONCATENATE($A11,"_",AN$3),'Unit List'!$A$23:$H$3319,2,FALSE)),"+","")</f>
        <v>+</v>
      </c>
      <c r="AO11" s="96" t="str">
        <f>IF(ISTEXT(VLOOKUP(CONCATENATE($A11,"_",AO$3),'Unit List'!$A$23:$H$3319,2,FALSE)),"X",$AN11)</f>
        <v>+</v>
      </c>
      <c r="AP11" s="97" t="str">
        <f>IF(ISTEXT(VLOOKUP(CONCATENATE($A11,"_",AP$3),'Unit List'!$A$23:$H$3319,2,FALSE)),"+","")</f>
        <v>+</v>
      </c>
      <c r="AQ11" s="95" t="str">
        <f>IF(ISTEXT(VLOOKUP(CONCATENATE($A11,"_",AQ$3),'Unit List'!$A$23:$H$3319,2,FALSE)),"X",$AP11)</f>
        <v>X</v>
      </c>
      <c r="AR11" s="95" t="str">
        <f>IF(ISTEXT(VLOOKUP(CONCATENATE($A11,"_",AR$3),'Unit List'!$A$23:$H$3319,2,FALSE)),"X",$AP11)</f>
        <v>X</v>
      </c>
      <c r="AS11" s="94" t="str">
        <f>IF(ISTEXT(VLOOKUP(CONCATENATE($A11,"_",AS$3),'Unit List'!$A$23:$H$3319,2,FALSE)),"X",$AP11)</f>
        <v>+</v>
      </c>
      <c r="AT11" s="96" t="str">
        <f>IF(ISTEXT(VLOOKUP(CONCATENATE($A11,"_",AT$3),'Unit List'!$A$23:$H$3319,2,FALSE)),"X",$AP11)</f>
        <v>+</v>
      </c>
      <c r="AU11" s="104" t="str">
        <f>IF(ISTEXT(VLOOKUP(CONCATENATE($A11,"_",AU$3),'Unit List'!$A$23:$H$3319,2,FALSE)),"+","")</f>
        <v>+</v>
      </c>
      <c r="AV11" s="94" t="str">
        <f>IF(ISTEXT(VLOOKUP(CONCATENATE($A11,"_",AV$3),'Unit List'!$A$23:$H$3319,2,FALSE)),"X",$AU11)</f>
        <v>+</v>
      </c>
      <c r="AW11" s="96" t="str">
        <f>IF(ISTEXT(VLOOKUP(CONCATENATE($A11,"_",AW$3),'Unit List'!$A$23:$H$3319,2,FALSE)),"X",$AU11)</f>
        <v>+</v>
      </c>
      <c r="AX11" s="97" t="str">
        <f>IF(ISTEXT(VLOOKUP(CONCATENATE($A11,"_",AX$3),'Unit List'!$A$23:$H$3319,2,FALSE)),"+","")</f>
        <v>+</v>
      </c>
      <c r="AY11" s="94" t="str">
        <f>IF(ISTEXT(VLOOKUP(CONCATENATE($A11,"_",AY$3),'Unit List'!$A$23:$H$3319,2,FALSE)),"X",$AX11)</f>
        <v>+</v>
      </c>
      <c r="AZ11" s="96" t="str">
        <f>IF(ISTEXT(VLOOKUP(CONCATENATE($A11,"_",AZ$3),'Unit List'!$A$23:$H$3319,2,FALSE)),"X",$AX11)</f>
        <v>+</v>
      </c>
      <c r="BA11" s="105" t="str">
        <f>IF(ISTEXT(VLOOKUP(CONCATENATE($A11,"_",BA$3),'Unit List'!$A$23:$H$3319,2,FALSE)),"+","")</f>
        <v/>
      </c>
      <c r="BB11" s="94" t="str">
        <f>IF(ISTEXT(VLOOKUP(CONCATENATE($A11,"_",BB$3),'Unit List'!$A$23:$H$3319,2,FALSE)),"X",$BA11)</f>
        <v/>
      </c>
      <c r="BC11" s="94" t="str">
        <f>IF(ISTEXT(VLOOKUP(CONCATENATE($A11,"_",BC$3),'Unit List'!$A$23:$H$3319,2,FALSE)),"X",$BA11)</f>
        <v/>
      </c>
      <c r="BD11" s="96" t="str">
        <f>IF(ISTEXT(VLOOKUP(CONCATENATE($A11,"_",BD$3),'Unit List'!$A$23:$H$3319,2,FALSE)),"X",$BA11)</f>
        <v/>
      </c>
      <c r="BE11" s="103" t="str">
        <f>IF(ISTEXT(VLOOKUP(CONCATENATE($A11,"_",BE$3),'Unit List'!$A$23:$H$3319,2,FALSE)),"+","")</f>
        <v>+</v>
      </c>
      <c r="BF11" s="101" t="str">
        <f>IF(ISTEXT(VLOOKUP(CONCATENATE($A11,"_",BF$3),'Unit List'!$A$23:$H$3319,2,FALSE)),"X",$BE11)</f>
        <v>+</v>
      </c>
      <c r="BG11" s="106"/>
      <c r="BH11" s="107" t="s">
        <v>0</v>
      </c>
      <c r="BI11" s="228"/>
      <c r="BJ11" s="229"/>
      <c r="BK11" s="229"/>
      <c r="BL11" s="229"/>
      <c r="BM11" s="230"/>
      <c r="BN11" s="108"/>
      <c r="BO11" s="108"/>
      <c r="BP11" s="108"/>
      <c r="BQ11" s="108"/>
      <c r="BR11" s="108"/>
      <c r="BS11" s="108"/>
      <c r="DZ11" s="109"/>
      <c r="EA11" s="109"/>
    </row>
    <row r="12" spans="1:131" ht="12.75" customHeight="1" x14ac:dyDescent="0.2">
      <c r="A12" s="90" t="s">
        <v>39</v>
      </c>
      <c r="B12" s="91" t="str">
        <f>IF(ISTEXT(VLOOKUP(CONCATENATE($A12,"_",B$3),'Unit List'!$A$23:$H$3319,2,FALSE)),"+","")</f>
        <v/>
      </c>
      <c r="C12" s="92" t="str">
        <f>IF(ISTEXT(VLOOKUP(CONCATENATE($A12,"_",C$3),'Unit List'!$A$23:$H$3319,2,FALSE)),"X",$B12)</f>
        <v/>
      </c>
      <c r="D12" s="94" t="str">
        <f>IF(ISTEXT(VLOOKUP(CONCATENATE($A12,"_",D$3),'Unit List'!$A$23:$H$3319,2,FALSE)),"X",$B12)</f>
        <v/>
      </c>
      <c r="E12" s="94" t="str">
        <f>IF(ISTEXT(VLOOKUP(CONCATENATE($A12,"_",E$3),'Unit List'!$A$23:$H$3319,2,FALSE)),"X",$B12)</f>
        <v/>
      </c>
      <c r="F12" s="94" t="str">
        <f>IF(ISTEXT(VLOOKUP(CONCATENATE($A12,"_",F$3),'Unit List'!$A$23:$H$3319,2,FALSE)),"X",$B12)</f>
        <v>X</v>
      </c>
      <c r="G12" s="95" t="str">
        <f>IF(ISTEXT(VLOOKUP(CONCATENATE($A12,"_",G$3),'Unit List'!$A$23:$H$3319,2,FALSE)),"X",$B12)</f>
        <v>X</v>
      </c>
      <c r="H12" s="94" t="str">
        <f>IF(ISTEXT(VLOOKUP(CONCATENATE($A12,"_",H$3),'Unit List'!$A$23:$H$3319,2,FALSE)),"X",$B12)</f>
        <v/>
      </c>
      <c r="I12" s="96" t="str">
        <f>IF(ISTEXT(VLOOKUP(CONCATENATE($A12,"_",I$3),'Unit List'!$A$23:$H$3319,2,FALSE)),"X",$B12)</f>
        <v/>
      </c>
      <c r="J12" s="97" t="str">
        <f>IF(ISTEXT(VLOOKUP(CONCATENATE($A12,"_",J$3),'Unit List'!$A$23:$H$3319,2,FALSE)),"+","")</f>
        <v/>
      </c>
      <c r="K12" s="94" t="str">
        <f>IF(ISTEXT(VLOOKUP(CONCATENATE($A12,"_",K$3),'Unit List'!$A$23:$H$3319,2,FALSE)),"X",$J12)</f>
        <v/>
      </c>
      <c r="L12" s="101" t="str">
        <f>IF(ISTEXT(VLOOKUP(CONCATENATE($A12,"_",L$3),'Unit List'!$A$23:$H$3319,2,FALSE)),"X",$J12)</f>
        <v/>
      </c>
      <c r="M12" s="97" t="str">
        <f>IF(ISTEXT(VLOOKUP(CONCATENATE($A12,"_",M$3),'Unit List'!$A$23:$H$3319,2,FALSE)),"+","")</f>
        <v/>
      </c>
      <c r="N12" s="94" t="str">
        <f>IF(ISTEXT(VLOOKUP(CONCATENATE($A12,"_",N$3),'Unit List'!$A$23:$H$3319,2,FALSE)),"X",$M12)</f>
        <v/>
      </c>
      <c r="O12" s="96" t="str">
        <f>IF(ISTEXT(VLOOKUP(CONCATENATE($A12,"_",O$3),'Unit List'!$A$23:$H$3319,2,FALSE)),"X",$M12)</f>
        <v/>
      </c>
      <c r="P12" s="97" t="str">
        <f>IF(ISTEXT(VLOOKUP(CONCATENATE($A12,"_",P$3),'Unit List'!$A$23:$H$3319,2,FALSE)),"+","")</f>
        <v/>
      </c>
      <c r="Q12" s="94" t="str">
        <f>IF(ISTEXT(VLOOKUP(CONCATENATE($A12,"_",Q$3),'Unit List'!$A$23:$H$3319,2,FALSE)),"X",$P12)</f>
        <v/>
      </c>
      <c r="R12" s="94" t="str">
        <f>IF(ISTEXT(VLOOKUP(CONCATENATE($A12,"_",R$3),'Unit List'!$A$23:$H$3319,2,FALSE)),"X",$P12)</f>
        <v/>
      </c>
      <c r="S12" s="94" t="str">
        <f>IF(ISTEXT(VLOOKUP(CONCATENATE($A12,"_",S$3),'Unit List'!$A$23:$H$3319,2,FALSE)),"X",$P12)</f>
        <v/>
      </c>
      <c r="T12" s="100" t="str">
        <f>IF(ISTEXT(VLOOKUP(CONCATENATE($A12,"_",T$3),'Unit List'!$A$23:$H$3319,2,FALSE)),"X",$P12)</f>
        <v/>
      </c>
      <c r="U12" s="94" t="str">
        <f>IF(ISTEXT(VLOOKUP(CONCATENATE($A12,"_",U$3),'Unit List'!$A$23:$H$3319,2,FALSE)),"X",$P12)</f>
        <v/>
      </c>
      <c r="V12" s="94" t="str">
        <f>IF(ISTEXT(VLOOKUP(CONCATENATE($A12,"_",V$3),'Unit List'!$A$23:$H$3319,2,FALSE)),"X",$P12)</f>
        <v/>
      </c>
      <c r="W12" s="96" t="str">
        <f>IF(ISTEXT(VLOOKUP(CONCATENATE($A12,"_",W$3),'Unit List'!$A$23:$H$3319,2,FALSE)),"X",$P12)</f>
        <v/>
      </c>
      <c r="X12" s="97" t="str">
        <f>IF(ISTEXT(VLOOKUP(CONCATENATE($A12,"_",X$3),'Unit List'!$A$23:$H$3319,2,FALSE)),"+","")</f>
        <v/>
      </c>
      <c r="Y12" s="94" t="str">
        <f>IF(ISTEXT(VLOOKUP(CONCATENATE($A12,"_",Y$3),'Unit List'!$A$23:$H$3319,2,FALSE)),"X",$X12)</f>
        <v/>
      </c>
      <c r="Z12" s="94" t="str">
        <f>IF(ISTEXT(VLOOKUP(CONCATENATE($A12,"_",Z$3),'Unit List'!$A$23:$H$3319,2,FALSE)),"X",$X12)</f>
        <v/>
      </c>
      <c r="AA12" s="94" t="str">
        <f>IF(ISTEXT(VLOOKUP(CONCATENATE($A12,"_",AA$3),'Unit List'!$A$23:$H$3319,2,FALSE)),"X",$X12)</f>
        <v/>
      </c>
      <c r="AB12" s="94" t="str">
        <f>IF(ISTEXT(VLOOKUP(CONCATENATE($A12,"_",AB$3),'Unit List'!$A$23:$H$3319,2,FALSE)),"X",$X12)</f>
        <v/>
      </c>
      <c r="AC12" s="101" t="str">
        <f>IF(ISTEXT(VLOOKUP(CONCATENATE($A12,"_",AC$3),'Unit List'!$A$23:$H$3319,2,FALSE)),"X",$X12)</f>
        <v/>
      </c>
      <c r="AD12" s="97" t="str">
        <f>IF(ISTEXT(VLOOKUP(CONCATENATE($A12,"_",AD$3),'Unit List'!$A$23:$H$3319,2,FALSE)),"+","")</f>
        <v/>
      </c>
      <c r="AE12" s="94" t="str">
        <f>IF(ISTEXT(VLOOKUP(CONCATENATE($A12,"_",AE$3),'Unit List'!$A$23:$H$3319,2,FALSE)),"X",$AD12)</f>
        <v/>
      </c>
      <c r="AF12" s="94" t="str">
        <f>IF(ISTEXT(VLOOKUP(CONCATENATE($A12,"_",AF$3),'Unit List'!$A$23:$H$3319,2,FALSE)),"X",$AD12)</f>
        <v/>
      </c>
      <c r="AG12" s="97" t="str">
        <f>IF(ISTEXT(VLOOKUP(CONCATENATE($A12,"_",AG$3),'Unit List'!$A$23:$H$3319,2,FALSE)),"+","")</f>
        <v/>
      </c>
      <c r="AH12" s="94" t="str">
        <f>IF(ISTEXT(VLOOKUP(CONCATENATE($A12,"_",AH$3),'Unit List'!$A$23:$H$3319,2,FALSE)),"X",$AG12)</f>
        <v/>
      </c>
      <c r="AI12" s="94" t="str">
        <f>IF(ISTEXT(VLOOKUP(CONCATENATE($A12,"_",AI$3),'Unit List'!$A$23:$H$3319,2,FALSE)),"X",$AG12)</f>
        <v/>
      </c>
      <c r="AJ12" s="96" t="str">
        <f>IF(ISTEXT(VLOOKUP(CONCATENATE($A12,"_",AJ$3),'Unit List'!$A$23:$H$3319,2,FALSE)),"X",$AG12)</f>
        <v/>
      </c>
      <c r="AK12" s="97" t="str">
        <f>IF(ISTEXT(VLOOKUP(CONCATENATE($A12,"_",AK$3),'Unit List'!$A$23:$H$3319,2,FALSE)),"+","")</f>
        <v/>
      </c>
      <c r="AL12" s="100" t="str">
        <f>IF(ISTEXT(VLOOKUP(CONCATENATE($A12,"_",AL$3),'Unit List'!$A$23:$H$3319,2,FALSE)),"X",$AK12)</f>
        <v/>
      </c>
      <c r="AM12" s="99" t="str">
        <f>IF(ISTEXT(VLOOKUP(CONCATENATE($A12,"_",AM$3),'Unit List'!$A$23:$H$3319,2,FALSE)),"X",$AK12)</f>
        <v/>
      </c>
      <c r="AN12" s="103" t="str">
        <f>IF(ISTEXT(VLOOKUP(CONCATENATE($A12,"_",AN$3),'Unit List'!$A$23:$H$3319,2,FALSE)),"+","")</f>
        <v/>
      </c>
      <c r="AO12" s="96" t="str">
        <f>IF(ISTEXT(VLOOKUP(CONCATENATE($A12,"_",AO$3),'Unit List'!$A$23:$H$3319,2,FALSE)),"X",$AN12)</f>
        <v/>
      </c>
      <c r="AP12" s="97" t="str">
        <f>IF(ISTEXT(VLOOKUP(CONCATENATE($A12,"_",AP$3),'Unit List'!$A$23:$H$3319,2,FALSE)),"+","")</f>
        <v/>
      </c>
      <c r="AQ12" s="94" t="str">
        <f>IF(ISTEXT(VLOOKUP(CONCATENATE($A12,"_",AQ$3),'Unit List'!$A$23:$H$3319,2,FALSE)),"X",$AP12)</f>
        <v/>
      </c>
      <c r="AR12" s="94" t="str">
        <f>IF(ISTEXT(VLOOKUP(CONCATENATE($A12,"_",AR$3),'Unit List'!$A$23:$H$3319,2,FALSE)),"X",$AP12)</f>
        <v/>
      </c>
      <c r="AS12" s="94" t="str">
        <f>IF(ISTEXT(VLOOKUP(CONCATENATE($A12,"_",AS$3),'Unit List'!$A$23:$H$3319,2,FALSE)),"X",$AP12)</f>
        <v/>
      </c>
      <c r="AT12" s="96" t="str">
        <f>IF(ISTEXT(VLOOKUP(CONCATENATE($A12,"_",AT$3),'Unit List'!$A$23:$H$3319,2,FALSE)),"X",$AP12)</f>
        <v/>
      </c>
      <c r="AU12" s="104" t="str">
        <f>IF(ISTEXT(VLOOKUP(CONCATENATE($A12,"_",AU$3),'Unit List'!$A$23:$H$3319,2,FALSE)),"+","")</f>
        <v/>
      </c>
      <c r="AV12" s="94" t="str">
        <f>IF(ISTEXT(VLOOKUP(CONCATENATE($A12,"_",AV$3),'Unit List'!$A$23:$H$3319,2,FALSE)),"X",$AU12)</f>
        <v/>
      </c>
      <c r="AW12" s="96" t="str">
        <f>IF(ISTEXT(VLOOKUP(CONCATENATE($A12,"_",AW$3),'Unit List'!$A$23:$H$3319,2,FALSE)),"X",$AU12)</f>
        <v/>
      </c>
      <c r="AX12" s="97" t="str">
        <f>IF(ISTEXT(VLOOKUP(CONCATENATE($A12,"_",AX$3),'Unit List'!$A$23:$H$3319,2,FALSE)),"+","")</f>
        <v/>
      </c>
      <c r="AY12" s="94" t="str">
        <f>IF(ISTEXT(VLOOKUP(CONCATENATE($A12,"_",AY$3),'Unit List'!$A$23:$H$3319,2,FALSE)),"X",$AX12)</f>
        <v/>
      </c>
      <c r="AZ12" s="96" t="str">
        <f>IF(ISTEXT(VLOOKUP(CONCATENATE($A12,"_",AZ$3),'Unit List'!$A$23:$H$3319,2,FALSE)),"X",$AX12)</f>
        <v/>
      </c>
      <c r="BA12" s="105" t="str">
        <f>IF(ISTEXT(VLOOKUP(CONCATENATE($A12,"_",BA$3),'Unit List'!$A$23:$H$3319,2,FALSE)),"+","")</f>
        <v/>
      </c>
      <c r="BB12" s="94" t="str">
        <f>IF(ISTEXT(VLOOKUP(CONCATENATE($A12,"_",BB$3),'Unit List'!$A$23:$H$3319,2,FALSE)),"X",$BA12)</f>
        <v/>
      </c>
      <c r="BC12" s="94" t="str">
        <f>IF(ISTEXT(VLOOKUP(CONCATENATE($A12,"_",BC$3),'Unit List'!$A$23:$H$3319,2,FALSE)),"X",$BA12)</f>
        <v/>
      </c>
      <c r="BD12" s="96" t="str">
        <f>IF(ISTEXT(VLOOKUP(CONCATENATE($A12,"_",BD$3),'Unit List'!$A$23:$H$3319,2,FALSE)),"X",$BA12)</f>
        <v/>
      </c>
      <c r="BE12" s="103" t="str">
        <f>IF(ISTEXT(VLOOKUP(CONCATENATE($A12,"_",BE$3),'Unit List'!$A$23:$H$3319,2,FALSE)),"+","")</f>
        <v/>
      </c>
      <c r="BF12" s="101" t="str">
        <f>IF(ISTEXT(VLOOKUP(CONCATENATE($A12,"_",BF$3),'Unit List'!$A$23:$H$3319,2,FALSE)),"X",$BE12)</f>
        <v/>
      </c>
      <c r="BG12" s="106"/>
      <c r="BH12" s="107" t="s">
        <v>0</v>
      </c>
      <c r="BI12" s="228"/>
      <c r="BJ12" s="229"/>
      <c r="BK12" s="229"/>
      <c r="BL12" s="229"/>
      <c r="BM12" s="230"/>
      <c r="BN12" s="108"/>
      <c r="BO12" s="108"/>
      <c r="BP12" s="108"/>
      <c r="BQ12" s="108"/>
      <c r="BR12" s="108"/>
      <c r="BS12" s="108"/>
      <c r="DZ12" s="109"/>
      <c r="EA12" s="109"/>
    </row>
    <row r="13" spans="1:131" ht="12.75" customHeight="1" x14ac:dyDescent="0.2">
      <c r="A13" s="90" t="s">
        <v>38</v>
      </c>
      <c r="B13" s="91" t="str">
        <f>IF(ISTEXT(VLOOKUP(CONCATENATE($A13,"_",B$3),'Unit List'!$A$23:$H$3319,2,FALSE)),"+","")</f>
        <v/>
      </c>
      <c r="C13" s="92" t="str">
        <f>IF(ISTEXT(VLOOKUP(CONCATENATE($A13,"_",C$3),'Unit List'!$A$23:$H$3319,2,FALSE)),"X",$B13)</f>
        <v/>
      </c>
      <c r="D13" s="94" t="str">
        <f>IF(ISTEXT(VLOOKUP(CONCATENATE($A13,"_",D$3),'Unit List'!$A$23:$H$3319,2,FALSE)),"X",$B13)</f>
        <v/>
      </c>
      <c r="E13" s="94" t="str">
        <f>IF(ISTEXT(VLOOKUP(CONCATENATE($A13,"_",E$3),'Unit List'!$A$23:$H$3319,2,FALSE)),"X",$B13)</f>
        <v/>
      </c>
      <c r="F13" s="94" t="str">
        <f>IF(ISTEXT(VLOOKUP(CONCATENATE($A13,"_",F$3),'Unit List'!$A$23:$H$3319,2,FALSE)),"X",$B13)</f>
        <v/>
      </c>
      <c r="G13" s="94" t="str">
        <f>IF(ISTEXT(VLOOKUP(CONCATENATE($A13,"_",G$3),'Unit List'!$A$23:$H$3319,2,FALSE)),"X",$B13)</f>
        <v/>
      </c>
      <c r="H13" s="94" t="str">
        <f>IF(ISTEXT(VLOOKUP(CONCATENATE($A13,"_",H$3),'Unit List'!$A$23:$H$3319,2,FALSE)),"X",$B13)</f>
        <v/>
      </c>
      <c r="I13" s="96" t="str">
        <f>IF(ISTEXT(VLOOKUP(CONCATENATE($A13,"_",I$3),'Unit List'!$A$23:$H$3319,2,FALSE)),"X",$B13)</f>
        <v/>
      </c>
      <c r="J13" s="97" t="str">
        <f>IF(ISTEXT(VLOOKUP(CONCATENATE($A13,"_",J$3),'Unit List'!$A$23:$H$3319,2,FALSE)),"+","")</f>
        <v/>
      </c>
      <c r="K13" s="94" t="str">
        <f>IF(ISTEXT(VLOOKUP(CONCATENATE($A13,"_",K$3),'Unit List'!$A$23:$H$3319,2,FALSE)),"X",$J13)</f>
        <v/>
      </c>
      <c r="L13" s="101" t="str">
        <f>IF(ISTEXT(VLOOKUP(CONCATENATE($A13,"_",L$3),'Unit List'!$A$23:$H$3319,2,FALSE)),"X",$J13)</f>
        <v/>
      </c>
      <c r="M13" s="97" t="str">
        <f>IF(ISTEXT(VLOOKUP(CONCATENATE($A13,"_",M$3),'Unit List'!$A$23:$H$3319,2,FALSE)),"+","")</f>
        <v/>
      </c>
      <c r="N13" s="94" t="str">
        <f>IF(ISTEXT(VLOOKUP(CONCATENATE($A13,"_",N$3),'Unit List'!$A$23:$H$3319,2,FALSE)),"X",$M13)</f>
        <v/>
      </c>
      <c r="O13" s="96" t="str">
        <f>IF(ISTEXT(VLOOKUP(CONCATENATE($A13,"_",O$3),'Unit List'!$A$23:$H$3319,2,FALSE)),"X",$M13)</f>
        <v/>
      </c>
      <c r="P13" s="97" t="str">
        <f>IF(ISTEXT(VLOOKUP(CONCATENATE($A13,"_",P$3),'Unit List'!$A$23:$H$3319,2,FALSE)),"+","")</f>
        <v/>
      </c>
      <c r="Q13" s="94" t="str">
        <f>IF(ISTEXT(VLOOKUP(CONCATENATE($A13,"_",Q$3),'Unit List'!$A$23:$H$3319,2,FALSE)),"X",$P13)</f>
        <v/>
      </c>
      <c r="R13" s="94" t="str">
        <f>IF(ISTEXT(VLOOKUP(CONCATENATE($A13,"_",R$3),'Unit List'!$A$23:$H$3319,2,FALSE)),"X",$P13)</f>
        <v/>
      </c>
      <c r="S13" s="94" t="str">
        <f>IF(ISTEXT(VLOOKUP(CONCATENATE($A13,"_",S$3),'Unit List'!$A$23:$H$3319,2,FALSE)),"X",$P13)</f>
        <v/>
      </c>
      <c r="T13" s="137" t="s">
        <v>0</v>
      </c>
      <c r="U13" s="94" t="str">
        <f>IF(ISTEXT(VLOOKUP(CONCATENATE($A13,"_",U$3),'Unit List'!$A$23:$H$3319,2,FALSE)),"X",$P13)</f>
        <v/>
      </c>
      <c r="V13" s="94" t="str">
        <f>IF(ISTEXT(VLOOKUP(CONCATENATE($A13,"_",V$3),'Unit List'!$A$23:$H$3319,2,FALSE)),"X",$P13)</f>
        <v/>
      </c>
      <c r="W13" s="96" t="str">
        <f>IF(ISTEXT(VLOOKUP(CONCATENATE($A13,"_",W$3),'Unit List'!$A$23:$H$3319,2,FALSE)),"X",$P13)</f>
        <v/>
      </c>
      <c r="X13" s="97" t="str">
        <f>IF(ISTEXT(VLOOKUP(CONCATENATE($A13,"_",X$3),'Unit List'!$A$23:$H$3319,2,FALSE)),"+","")</f>
        <v/>
      </c>
      <c r="Y13" s="94" t="str">
        <f>IF(ISTEXT(VLOOKUP(CONCATENATE($A13,"_",Y$3),'Unit List'!$A$23:$H$3319,2,FALSE)),"X",$X13)</f>
        <v/>
      </c>
      <c r="Z13" s="94" t="str">
        <f>IF(ISTEXT(VLOOKUP(CONCATENATE($A13,"_",Z$3),'Unit List'!$A$23:$H$3319,2,FALSE)),"X",$X13)</f>
        <v/>
      </c>
      <c r="AA13" s="94" t="str">
        <f>IF(ISTEXT(VLOOKUP(CONCATENATE($A13,"_",AA$3),'Unit List'!$A$23:$H$3319,2,FALSE)),"X",$X13)</f>
        <v/>
      </c>
      <c r="AB13" s="94" t="str">
        <f>IF(ISTEXT(VLOOKUP(CONCATENATE($A13,"_",AB$3),'Unit List'!$A$23:$H$3319,2,FALSE)),"X",$X13)</f>
        <v/>
      </c>
      <c r="AC13" s="101" t="str">
        <f>IF(ISTEXT(VLOOKUP(CONCATENATE($A13,"_",AC$3),'Unit List'!$A$23:$H$3319,2,FALSE)),"X",$X13)</f>
        <v/>
      </c>
      <c r="AD13" s="97" t="str">
        <f>IF(ISTEXT(VLOOKUP(CONCATENATE($A13,"_",AD$3),'Unit List'!$A$23:$H$3319,2,FALSE)),"+","")</f>
        <v/>
      </c>
      <c r="AE13" s="94" t="str">
        <f>IF(ISTEXT(VLOOKUP(CONCATENATE($A13,"_",AE$3),'Unit List'!$A$23:$H$3319,2,FALSE)),"X",$AD13)</f>
        <v/>
      </c>
      <c r="AF13" s="94" t="str">
        <f>IF(ISTEXT(VLOOKUP(CONCATENATE($A13,"_",AF$3),'Unit List'!$A$23:$H$3319,2,FALSE)),"X",$AD13)</f>
        <v/>
      </c>
      <c r="AG13" s="97" t="str">
        <f>IF(ISTEXT(VLOOKUP(CONCATENATE($A13,"_",AG$3),'Unit List'!$A$23:$H$3319,2,FALSE)),"+","")</f>
        <v/>
      </c>
      <c r="AH13" s="94" t="str">
        <f>IF(ISTEXT(VLOOKUP(CONCATENATE($A13,"_",AH$3),'Unit List'!$A$23:$H$3319,2,FALSE)),"X",$AG13)</f>
        <v/>
      </c>
      <c r="AI13" s="94" t="str">
        <f>IF(ISTEXT(VLOOKUP(CONCATENATE($A13,"_",AI$3),'Unit List'!$A$23:$H$3319,2,FALSE)),"X",$AG13)</f>
        <v/>
      </c>
      <c r="AJ13" s="96" t="str">
        <f>IF(ISTEXT(VLOOKUP(CONCATENATE($A13,"_",AJ$3),'Unit List'!$A$23:$H$3319,2,FALSE)),"X",$AG13)</f>
        <v/>
      </c>
      <c r="AK13" s="97" t="str">
        <f>IF(ISTEXT(VLOOKUP(CONCATENATE($A13,"_",AK$3),'Unit List'!$A$23:$H$3319,2,FALSE)),"+","")</f>
        <v/>
      </c>
      <c r="AL13" s="100" t="str">
        <f>IF(ISTEXT(VLOOKUP(CONCATENATE($A13,"_",AL$3),'Unit List'!$A$23:$H$3319,2,FALSE)),"X",$AK13)</f>
        <v/>
      </c>
      <c r="AM13" s="96" t="str">
        <f>IF(ISTEXT(VLOOKUP(CONCATENATE($A13,"_",AM$3),'Unit List'!$A$23:$H$3319,2,FALSE)),"X",$AK13)</f>
        <v/>
      </c>
      <c r="AN13" s="103" t="str">
        <f>IF(ISTEXT(VLOOKUP(CONCATENATE($A13,"_",AN$3),'Unit List'!$A$23:$H$3319,2,FALSE)),"+","")</f>
        <v/>
      </c>
      <c r="AO13" s="96" t="str">
        <f>IF(ISTEXT(VLOOKUP(CONCATENATE($A13,"_",AO$3),'Unit List'!$A$23:$H$3319,2,FALSE)),"X",$AN13)</f>
        <v/>
      </c>
      <c r="AP13" s="97" t="str">
        <f>IF(ISTEXT(VLOOKUP(CONCATENATE($A13,"_",AP$3),'Unit List'!$A$23:$H$3319,2,FALSE)),"+","")</f>
        <v/>
      </c>
      <c r="AQ13" s="94" t="str">
        <f>IF(ISTEXT(VLOOKUP(CONCATENATE($A13,"_",AQ$3),'Unit List'!$A$23:$H$3319,2,FALSE)),"X",$AP13)</f>
        <v/>
      </c>
      <c r="AR13" s="94" t="str">
        <f>IF(ISTEXT(VLOOKUP(CONCATENATE($A13,"_",AR$3),'Unit List'!$A$23:$H$3319,2,FALSE)),"X",$AP13)</f>
        <v/>
      </c>
      <c r="AS13" s="138" t="s">
        <v>0</v>
      </c>
      <c r="AT13" s="96" t="str">
        <f>IF(ISTEXT(VLOOKUP(CONCATENATE($A13,"_",AT$3),'Unit List'!$A$23:$H$3319,2,FALSE)),"X",$AP13)</f>
        <v/>
      </c>
      <c r="AU13" s="104" t="str">
        <f>IF(ISTEXT(VLOOKUP(CONCATENATE($A13,"_",AU$3),'Unit List'!$A$23:$H$3319,2,FALSE)),"+","")</f>
        <v/>
      </c>
      <c r="AV13" s="94" t="str">
        <f>IF(ISTEXT(VLOOKUP(CONCATENATE($A13,"_",AV$3),'Unit List'!$A$23:$H$3319,2,FALSE)),"X",$AU13)</f>
        <v/>
      </c>
      <c r="AW13" s="96" t="str">
        <f>IF(ISTEXT(VLOOKUP(CONCATENATE($A13,"_",AW$3),'Unit List'!$A$23:$H$3319,2,FALSE)),"X",$AU13)</f>
        <v/>
      </c>
      <c r="AX13" s="97" t="str">
        <f>IF(ISTEXT(VLOOKUP(CONCATENATE($A13,"_",AX$3),'Unit List'!$A$23:$H$3319,2,FALSE)),"+","")</f>
        <v/>
      </c>
      <c r="AY13" s="94" t="str">
        <f>IF(ISTEXT(VLOOKUP(CONCATENATE($A13,"_",AY$3),'Unit List'!$A$23:$H$3319,2,FALSE)),"X",$AX13)</f>
        <v/>
      </c>
      <c r="AZ13" s="96" t="str">
        <f>IF(ISTEXT(VLOOKUP(CONCATENATE($A13,"_",AZ$3),'Unit List'!$A$23:$H$3319,2,FALSE)),"X",$AX13)</f>
        <v/>
      </c>
      <c r="BA13" s="105" t="str">
        <f>IF(ISTEXT(VLOOKUP(CONCATENATE($A13,"_",BA$3),'Unit List'!$A$23:$H$3319,2,FALSE)),"+","")</f>
        <v/>
      </c>
      <c r="BB13" s="94" t="str">
        <f>IF(ISTEXT(VLOOKUP(CONCATENATE($A13,"_",BB$3),'Unit List'!$A$23:$H$3319,2,FALSE)),"X",$BA13)</f>
        <v/>
      </c>
      <c r="BC13" s="94" t="str">
        <f>IF(ISTEXT(VLOOKUP(CONCATENATE($A13,"_",BC$3),'Unit List'!$A$23:$H$3319,2,FALSE)),"X",$BA13)</f>
        <v/>
      </c>
      <c r="BD13" s="96" t="str">
        <f>IF(ISTEXT(VLOOKUP(CONCATENATE($A13,"_",BD$3),'Unit List'!$A$23:$H$3319,2,FALSE)),"X",$BA13)</f>
        <v/>
      </c>
      <c r="BE13" s="103" t="str">
        <f>IF(ISTEXT(VLOOKUP(CONCATENATE($A13,"_",BE$3),'Unit List'!$A$23:$H$3319,2,FALSE)),"+","")</f>
        <v/>
      </c>
      <c r="BF13" s="101" t="str">
        <f>IF(ISTEXT(VLOOKUP(CONCATENATE($A13,"_",BF$3),'Unit List'!$A$23:$H$3319,2,FALSE)),"X",$BE13)</f>
        <v/>
      </c>
      <c r="BG13" s="124"/>
      <c r="BH13" s="133"/>
      <c r="BI13" s="228"/>
      <c r="BJ13" s="229"/>
      <c r="BK13" s="229"/>
      <c r="BL13" s="229"/>
      <c r="BM13" s="230"/>
      <c r="BN13" s="108"/>
      <c r="BO13" s="108"/>
      <c r="BP13" s="108"/>
      <c r="BQ13" s="108"/>
      <c r="BR13" s="108"/>
      <c r="BS13" s="108"/>
      <c r="DZ13" s="109"/>
      <c r="EA13" s="109"/>
    </row>
    <row r="14" spans="1:131" ht="12.75" customHeight="1" x14ac:dyDescent="0.2">
      <c r="A14" s="90" t="s">
        <v>37</v>
      </c>
      <c r="B14" s="91" t="str">
        <f>IF(ISTEXT(VLOOKUP(CONCATENATE($A14,"_",B$3),'Unit List'!$A$23:$H$3319,2,FALSE)),"+","")</f>
        <v/>
      </c>
      <c r="C14" s="131" t="str">
        <f>IF(ISTEXT(VLOOKUP(CONCATENATE($A14,"_",C$3),'Unit List'!$A$23:$H$3319,2,FALSE)),"X",$B14)</f>
        <v>X</v>
      </c>
      <c r="D14" s="94" t="str">
        <f>IF(ISTEXT(VLOOKUP(CONCATENATE($A14,"_",D$3),'Unit List'!$A$23:$H$3319,2,FALSE)),"X",$B14)</f>
        <v>X</v>
      </c>
      <c r="E14" s="94" t="str">
        <f>IF(ISTEXT(VLOOKUP(CONCATENATE($A14,"_",E$3),'Unit List'!$A$23:$H$3319,2,FALSE)),"X",$B14)</f>
        <v>X</v>
      </c>
      <c r="F14" s="95" t="str">
        <f>IF(ISTEXT(VLOOKUP(CONCATENATE($A14,"_",F$3),'Unit List'!$A$23:$H$3319,2,FALSE)),"X",$B14)</f>
        <v>X</v>
      </c>
      <c r="G14" s="95" t="str">
        <f>IF(ISTEXT(VLOOKUP(CONCATENATE($A14,"_",G$3),'Unit List'!$A$23:$H$3319,2,FALSE)),"X",$B14)</f>
        <v>X</v>
      </c>
      <c r="H14" s="95" t="str">
        <f>IF(ISTEXT(VLOOKUP(CONCATENATE($A14,"_",H$3),'Unit List'!$A$23:$H$3319,2,FALSE)),"X",$B14)</f>
        <v>X</v>
      </c>
      <c r="I14" s="96" t="str">
        <f>IF(ISTEXT(VLOOKUP(CONCATENATE($A14,"_",I$3),'Unit List'!$A$23:$H$3319,2,FALSE)),"X",$B14)</f>
        <v/>
      </c>
      <c r="J14" s="97" t="str">
        <f>IF(ISTEXT(VLOOKUP(CONCATENATE($A14,"_",J$3),'Unit List'!$A$23:$H$3319,2,FALSE)),"+","")</f>
        <v/>
      </c>
      <c r="K14" s="94" t="str">
        <f>IF(ISTEXT(VLOOKUP(CONCATENATE($A14,"_",K$3),'Unit List'!$A$23:$H$3319,2,FALSE)),"X",$J14)</f>
        <v/>
      </c>
      <c r="L14" s="135" t="str">
        <f>IF(ISTEXT(VLOOKUP(CONCATENATE($A14,"_",L$3),'Unit List'!$A$23:$H$3319,2,FALSE)),"X",$J14)</f>
        <v>X</v>
      </c>
      <c r="M14" s="97" t="str">
        <f>IF(ISTEXT(VLOOKUP(CONCATENATE($A14,"_",M$3),'Unit List'!$A$23:$H$3319,2,FALSE)),"+","")</f>
        <v>+</v>
      </c>
      <c r="N14" s="94" t="str">
        <f>IF(ISTEXT(VLOOKUP(CONCATENATE($A14,"_",N$3),'Unit List'!$A$23:$H$3319,2,FALSE)),"X",$M14)</f>
        <v>+</v>
      </c>
      <c r="O14" s="114" t="str">
        <f>IF(ISTEXT(VLOOKUP(CONCATENATE($A14,"_",O$3),'Unit List'!$A$23:$H$3319,2,FALSE)),"X",$M14)</f>
        <v>X</v>
      </c>
      <c r="P14" s="97" t="str">
        <f>IF(ISTEXT(VLOOKUP(CONCATENATE($A14,"_",P$3),'Unit List'!$A$23:$H$3319,2,FALSE)),"+","")</f>
        <v/>
      </c>
      <c r="Q14" s="94" t="str">
        <f>IF(ISTEXT(VLOOKUP(CONCATENATE($A14,"_",Q$3),'Unit List'!$A$23:$H$3319,2,FALSE)),"X",$P14)</f>
        <v/>
      </c>
      <c r="R14" s="94" t="str">
        <f>IF(ISTEXT(VLOOKUP(CONCATENATE($A14,"_",R$3),'Unit List'!$A$23:$H$3319,2,FALSE)),"X",$P14)</f>
        <v/>
      </c>
      <c r="S14" s="94" t="str">
        <f>IF(ISTEXT(VLOOKUP(CONCATENATE($A14,"_",S$3),'Unit List'!$A$23:$H$3319,2,FALSE)),"X",$P14)</f>
        <v/>
      </c>
      <c r="T14" s="100" t="str">
        <f>IF(ISTEXT(VLOOKUP(CONCATENATE($A14,"_",T$3),'Unit List'!$A$23:$H$3319,2,FALSE)),"X",$P14)</f>
        <v/>
      </c>
      <c r="U14" s="95" t="str">
        <f>IF(ISTEXT(VLOOKUP(CONCATENATE($A14,"_",U$3),'Unit List'!$A$23:$H$3319,2,FALSE)),"X",$P14)</f>
        <v>X</v>
      </c>
      <c r="V14" s="94" t="str">
        <f>IF(ISTEXT(VLOOKUP(CONCATENATE($A14,"_",V$3),'Unit List'!$A$23:$H$3319,2,FALSE)),"X",$P14)</f>
        <v/>
      </c>
      <c r="W14" s="96" t="str">
        <f>IF(ISTEXT(VLOOKUP(CONCATENATE($A14,"_",W$3),'Unit List'!$A$23:$H$3319,2,FALSE)),"X",$P14)</f>
        <v/>
      </c>
      <c r="X14" s="97" t="str">
        <f>IF(ISTEXT(VLOOKUP(CONCATENATE($A14,"_",X$3),'Unit List'!$A$23:$H$3319,2,FALSE)),"+","")</f>
        <v/>
      </c>
      <c r="Y14" s="94" t="str">
        <f>IF(ISTEXT(VLOOKUP(CONCATENATE($A14,"_",Y$3),'Unit List'!$A$23:$H$3319,2,FALSE)),"X",$X14)</f>
        <v/>
      </c>
      <c r="Z14" s="94" t="str">
        <f>IF(ISTEXT(VLOOKUP(CONCATENATE($A14,"_",Z$3),'Unit List'!$A$23:$H$3319,2,FALSE)),"X",$X14)</f>
        <v/>
      </c>
      <c r="AA14" s="94" t="str">
        <f>IF(ISTEXT(VLOOKUP(CONCATENATE($A14,"_",AA$3),'Unit List'!$A$23:$H$3319,2,FALSE)),"X",$X14)</f>
        <v/>
      </c>
      <c r="AB14" s="94" t="str">
        <f>IF(ISTEXT(VLOOKUP(CONCATENATE($A14,"_",AB$3),'Unit List'!$A$23:$H$3319,2,FALSE)),"X",$X14)</f>
        <v/>
      </c>
      <c r="AC14" s="101" t="str">
        <f>IF(ISTEXT(VLOOKUP(CONCATENATE($A14,"_",AC$3),'Unit List'!$A$23:$H$3319,2,FALSE)),"X",$X14)</f>
        <v/>
      </c>
      <c r="AD14" s="97" t="str">
        <f>IF(ISTEXT(VLOOKUP(CONCATENATE($A14,"_",AD$3),'Unit List'!$A$23:$H$3319,2,FALSE)),"+","")</f>
        <v>+</v>
      </c>
      <c r="AE14" s="94" t="str">
        <f>IF(ISTEXT(VLOOKUP(CONCATENATE($A14,"_",AE$3),'Unit List'!$A$23:$H$3319,2,FALSE)),"X",$AD14)</f>
        <v>+</v>
      </c>
      <c r="AF14" s="94" t="str">
        <f>IF(ISTEXT(VLOOKUP(CONCATENATE($A14,"_",AF$3),'Unit List'!$A$23:$H$3319,2,FALSE)),"X",$AD14)</f>
        <v>+</v>
      </c>
      <c r="AG14" s="97" t="str">
        <f>IF(ISTEXT(VLOOKUP(CONCATENATE($A14,"_",AG$3),'Unit List'!$A$23:$H$3319,2,FALSE)),"+","")</f>
        <v/>
      </c>
      <c r="AH14" s="94" t="str">
        <f>IF(ISTEXT(VLOOKUP(CONCATENATE($A14,"_",AH$3),'Unit List'!$A$23:$H$3319,2,FALSE)),"X",$AG14)</f>
        <v/>
      </c>
      <c r="AI14" s="94" t="str">
        <f>IF(ISTEXT(VLOOKUP(CONCATENATE($A14,"_",AI$3),'Unit List'!$A$23:$H$3319,2,FALSE)),"X",$AG14)</f>
        <v/>
      </c>
      <c r="AJ14" s="96" t="str">
        <f>IF(ISTEXT(VLOOKUP(CONCATENATE($A14,"_",AJ$3),'Unit List'!$A$23:$H$3319,2,FALSE)),"X",$AG14)</f>
        <v>X</v>
      </c>
      <c r="AK14" s="97" t="str">
        <f>IF(ISTEXT(VLOOKUP(CONCATENATE($A14,"_",AK$3),'Unit List'!$A$23:$H$3319,2,FALSE)),"+","")</f>
        <v/>
      </c>
      <c r="AL14" s="100" t="str">
        <f>IF(ISTEXT(VLOOKUP(CONCATENATE($A14,"_",AL$3),'Unit List'!$A$23:$H$3319,2,FALSE)),"X",$AK14)</f>
        <v/>
      </c>
      <c r="AM14" s="96" t="str">
        <f>IF(ISTEXT(VLOOKUP(CONCATENATE($A14,"_",AM$3),'Unit List'!$A$23:$H$3319,2,FALSE)),"X",$AK14)</f>
        <v/>
      </c>
      <c r="AN14" s="103" t="str">
        <f>IF(ISTEXT(VLOOKUP(CONCATENATE($A14,"_",AN$3),'Unit List'!$A$23:$H$3319,2,FALSE)),"+","")</f>
        <v>+</v>
      </c>
      <c r="AO14" s="96" t="str">
        <f>IF(ISTEXT(VLOOKUP(CONCATENATE($A14,"_",AO$3),'Unit List'!$A$23:$H$3319,2,FALSE)),"X",$AN14)</f>
        <v>+</v>
      </c>
      <c r="AP14" s="97" t="str">
        <f>IF(ISTEXT(VLOOKUP(CONCATENATE($A14,"_",AP$3),'Unit List'!$A$23:$H$3319,2,FALSE)),"+","")</f>
        <v>+</v>
      </c>
      <c r="AQ14" s="94" t="str">
        <f>IF(ISTEXT(VLOOKUP(CONCATENATE($A14,"_",AQ$3),'Unit List'!$A$23:$H$3319,2,FALSE)),"X",$AP14)</f>
        <v>+</v>
      </c>
      <c r="AR14" s="95" t="str">
        <f>IF(ISTEXT(VLOOKUP(CONCATENATE($A14,"_",AR$3),'Unit List'!$A$23:$H$3319,2,FALSE)),"X",$AP14)</f>
        <v>X</v>
      </c>
      <c r="AS14" s="94" t="str">
        <f>IF(ISTEXT(VLOOKUP(CONCATENATE($A14,"_",AS$3),'Unit List'!$A$23:$H$3319,2,FALSE)),"X",$AP14)</f>
        <v>X</v>
      </c>
      <c r="AT14" s="96" t="str">
        <f>IF(ISTEXT(VLOOKUP(CONCATENATE($A14,"_",AT$3),'Unit List'!$A$23:$H$3319,2,FALSE)),"X",$AP14)</f>
        <v>+</v>
      </c>
      <c r="AU14" s="104" t="str">
        <f>IF(ISTEXT(VLOOKUP(CONCATENATE($A14,"_",AU$3),'Unit List'!$A$23:$H$3319,2,FALSE)),"+","")</f>
        <v>+</v>
      </c>
      <c r="AV14" s="94" t="str">
        <f>IF(ISTEXT(VLOOKUP(CONCATENATE($A14,"_",AV$3),'Unit List'!$A$23:$H$3319,2,FALSE)),"X",$AU14)</f>
        <v>+</v>
      </c>
      <c r="AW14" s="96" t="str">
        <f>IF(ISTEXT(VLOOKUP(CONCATENATE($A14,"_",AW$3),'Unit List'!$A$23:$H$3319,2,FALSE)),"X",$AU14)</f>
        <v>+</v>
      </c>
      <c r="AX14" s="97" t="str">
        <f>IF(ISTEXT(VLOOKUP(CONCATENATE($A14,"_",AX$3),'Unit List'!$A$23:$H$3319,2,FALSE)),"+","")</f>
        <v>+</v>
      </c>
      <c r="AY14" s="94" t="str">
        <f>IF(ISTEXT(VLOOKUP(CONCATENATE($A14,"_",AY$3),'Unit List'!$A$23:$H$3319,2,FALSE)),"X",$AX14)</f>
        <v>+</v>
      </c>
      <c r="AZ14" s="96" t="str">
        <f>IF(ISTEXT(VLOOKUP(CONCATENATE($A14,"_",AZ$3),'Unit List'!$A$23:$H$3319,2,FALSE)),"X",$AX14)</f>
        <v>+</v>
      </c>
      <c r="BA14" s="105" t="str">
        <f>IF(ISTEXT(VLOOKUP(CONCATENATE($A14,"_",BA$3),'Unit List'!$A$23:$H$3319,2,FALSE)),"+","")</f>
        <v/>
      </c>
      <c r="BB14" s="94" t="str">
        <f>IF(ISTEXT(VLOOKUP(CONCATENATE($A14,"_",BB$3),'Unit List'!$A$23:$H$3319,2,FALSE)),"X",$BA14)</f>
        <v/>
      </c>
      <c r="BC14" s="94" t="str">
        <f>IF(ISTEXT(VLOOKUP(CONCATENATE($A14,"_",BC$3),'Unit List'!$A$23:$H$3319,2,FALSE)),"X",$BA14)</f>
        <v/>
      </c>
      <c r="BD14" s="96" t="str">
        <f>IF(ISTEXT(VLOOKUP(CONCATENATE($A14,"_",BD$3),'Unit List'!$A$23:$H$3319,2,FALSE)),"X",$BA14)</f>
        <v/>
      </c>
      <c r="BE14" s="103" t="str">
        <f>IF(ISTEXT(VLOOKUP(CONCATENATE($A14,"_",BE$3),'Unit List'!$A$23:$H$3319,2,FALSE)),"+","")</f>
        <v>+</v>
      </c>
      <c r="BF14" s="101" t="str">
        <f>IF(ISTEXT(VLOOKUP(CONCATENATE($A14,"_",BF$3),'Unit List'!$A$23:$H$3319,2,FALSE)),"X",$BE14)</f>
        <v>+</v>
      </c>
      <c r="BG14" s="106" t="s">
        <v>0</v>
      </c>
      <c r="BH14" s="107" t="s">
        <v>0</v>
      </c>
      <c r="BI14" s="228"/>
      <c r="BJ14" s="229"/>
      <c r="BK14" s="229"/>
      <c r="BL14" s="229"/>
      <c r="BM14" s="230"/>
      <c r="BN14" s="108"/>
      <c r="BO14" s="108"/>
      <c r="BP14" s="108"/>
      <c r="BQ14" s="108"/>
      <c r="BR14" s="108"/>
      <c r="BS14" s="108"/>
      <c r="DZ14" s="109"/>
      <c r="EA14" s="109"/>
    </row>
    <row r="15" spans="1:131" ht="12.75" customHeight="1" x14ac:dyDescent="0.2">
      <c r="A15" s="90" t="s">
        <v>36</v>
      </c>
      <c r="B15" s="91" t="str">
        <f>IF(ISTEXT(VLOOKUP(CONCATENATE($A15,"_",B$3),'Unit List'!$A$23:$H$3319,2,FALSE)),"+","")</f>
        <v/>
      </c>
      <c r="C15" s="92" t="str">
        <f>IF(ISTEXT(VLOOKUP(CONCATENATE($A15,"_",C$3),'Unit List'!$A$23:$H$3319,2,FALSE)),"X",$B15)</f>
        <v/>
      </c>
      <c r="D15" s="94" t="str">
        <f>IF(ISTEXT(VLOOKUP(CONCATENATE($A15,"_",D$3),'Unit List'!$A$23:$H$3319,2,FALSE)),"X",$B15)</f>
        <v/>
      </c>
      <c r="E15" s="94" t="str">
        <f>IF(ISTEXT(VLOOKUP(CONCATENATE($A15,"_",E$3),'Unit List'!$A$23:$H$3319,2,FALSE)),"X",$B15)</f>
        <v/>
      </c>
      <c r="F15" s="94" t="str">
        <f>IF(ISTEXT(VLOOKUP(CONCATENATE($A15,"_",F$3),'Unit List'!$A$23:$H$3319,2,FALSE)),"X",$B15)</f>
        <v/>
      </c>
      <c r="G15" s="94" t="str">
        <f>IF(ISTEXT(VLOOKUP(CONCATENATE($A15,"_",G$3),'Unit List'!$A$23:$H$3319,2,FALSE)),"X",$B15)</f>
        <v/>
      </c>
      <c r="H15" s="94" t="str">
        <f>IF(ISTEXT(VLOOKUP(CONCATENATE($A15,"_",H$3),'Unit List'!$A$23:$H$3319,2,FALSE)),"X",$B15)</f>
        <v/>
      </c>
      <c r="I15" s="96" t="str">
        <f>IF(ISTEXT(VLOOKUP(CONCATENATE($A15,"_",I$3),'Unit List'!$A$23:$H$3319,2,FALSE)),"X",$B15)</f>
        <v/>
      </c>
      <c r="J15" s="97" t="str">
        <f>IF(ISTEXT(VLOOKUP(CONCATENATE($A15,"_",J$3),'Unit List'!$A$23:$H$3319,2,FALSE)),"+","")</f>
        <v/>
      </c>
      <c r="K15" s="94" t="str">
        <f>IF(ISTEXT(VLOOKUP(CONCATENATE($A15,"_",K$3),'Unit List'!$A$23:$H$3319,2,FALSE)),"X",$J15)</f>
        <v/>
      </c>
      <c r="L15" s="101" t="str">
        <f>IF(ISTEXT(VLOOKUP(CONCATENATE($A15,"_",L$3),'Unit List'!$A$23:$H$3319,2,FALSE)),"X",$J15)</f>
        <v/>
      </c>
      <c r="M15" s="97" t="str">
        <f>IF(ISTEXT(VLOOKUP(CONCATENATE($A15,"_",M$3),'Unit List'!$A$23:$H$3319,2,FALSE)),"+","")</f>
        <v/>
      </c>
      <c r="N15" s="94" t="str">
        <f>IF(ISTEXT(VLOOKUP(CONCATENATE($A15,"_",N$3),'Unit List'!$A$23:$H$3319,2,FALSE)),"X",$M15)</f>
        <v/>
      </c>
      <c r="O15" s="96" t="str">
        <f>IF(ISTEXT(VLOOKUP(CONCATENATE($A15,"_",O$3),'Unit List'!$A$23:$H$3319,2,FALSE)),"X",$M15)</f>
        <v/>
      </c>
      <c r="P15" s="97" t="str">
        <f>IF(ISTEXT(VLOOKUP(CONCATENATE($A15,"_",P$3),'Unit List'!$A$23:$H$3319,2,FALSE)),"+","")</f>
        <v/>
      </c>
      <c r="Q15" s="94" t="str">
        <f>IF(ISTEXT(VLOOKUP(CONCATENATE($A15,"_",Q$3),'Unit List'!$A$23:$H$3319,2,FALSE)),"X",$P15)</f>
        <v/>
      </c>
      <c r="R15" s="94" t="str">
        <f>IF(ISTEXT(VLOOKUP(CONCATENATE($A15,"_",R$3),'Unit List'!$A$23:$H$3319,2,FALSE)),"X",$P15)</f>
        <v/>
      </c>
      <c r="S15" s="94" t="str">
        <f>IF(ISTEXT(VLOOKUP(CONCATENATE($A15,"_",S$3),'Unit List'!$A$23:$H$3319,2,FALSE)),"X",$P15)</f>
        <v/>
      </c>
      <c r="T15" s="100" t="str">
        <f>IF(ISTEXT(VLOOKUP(CONCATENATE($A15,"_",T$3),'Unit List'!$A$23:$H$3319,2,FALSE)),"X",$P15)</f>
        <v/>
      </c>
      <c r="U15" s="138" t="s">
        <v>0</v>
      </c>
      <c r="V15" s="94" t="str">
        <f>IF(ISTEXT(VLOOKUP(CONCATENATE($A15,"_",V$3),'Unit List'!$A$23:$H$3319,2,FALSE)),"X",$P15)</f>
        <v/>
      </c>
      <c r="W15" s="96" t="str">
        <f>IF(ISTEXT(VLOOKUP(CONCATENATE($A15,"_",W$3),'Unit List'!$A$23:$H$3319,2,FALSE)),"X",$P15)</f>
        <v/>
      </c>
      <c r="X15" s="97" t="str">
        <f>IF(ISTEXT(VLOOKUP(CONCATENATE($A15,"_",X$3),'Unit List'!$A$23:$H$3319,2,FALSE)),"+","")</f>
        <v/>
      </c>
      <c r="Y15" s="94" t="str">
        <f>IF(ISTEXT(VLOOKUP(CONCATENATE($A15,"_",Y$3),'Unit List'!$A$23:$H$3319,2,FALSE)),"X",$X15)</f>
        <v/>
      </c>
      <c r="Z15" s="139" t="s">
        <v>0</v>
      </c>
      <c r="AA15" s="94" t="str">
        <f>IF(ISTEXT(VLOOKUP(CONCATENATE($A15,"_",AA$3),'Unit List'!$A$23:$H$3319,2,FALSE)),"X",$X15)</f>
        <v/>
      </c>
      <c r="AB15" s="94" t="str">
        <f>IF(ISTEXT(VLOOKUP(CONCATENATE($A15,"_",AB$3),'Unit List'!$A$23:$H$3319,2,FALSE)),"X",$X15)</f>
        <v/>
      </c>
      <c r="AC15" s="101" t="str">
        <f>IF(ISTEXT(VLOOKUP(CONCATENATE($A15,"_",AC$3),'Unit List'!$A$23:$H$3319,2,FALSE)),"X",$X15)</f>
        <v/>
      </c>
      <c r="AD15" s="97" t="str">
        <f>IF(ISTEXT(VLOOKUP(CONCATENATE($A15,"_",AD$3),'Unit List'!$A$23:$H$3319,2,FALSE)),"+","")</f>
        <v/>
      </c>
      <c r="AE15" s="94" t="str">
        <f>IF(ISTEXT(VLOOKUP(CONCATENATE($A15,"_",AE$3),'Unit List'!$A$23:$H$3319,2,FALSE)),"X",$AD15)</f>
        <v/>
      </c>
      <c r="AF15" s="94" t="str">
        <f>IF(ISTEXT(VLOOKUP(CONCATENATE($A15,"_",AF$3),'Unit List'!$A$23:$H$3319,2,FALSE)),"X",$AD15)</f>
        <v/>
      </c>
      <c r="AG15" s="97" t="str">
        <f>IF(ISTEXT(VLOOKUP(CONCATENATE($A15,"_",AG$3),'Unit List'!$A$23:$H$3319,2,FALSE)),"+","")</f>
        <v/>
      </c>
      <c r="AH15" s="94" t="str">
        <f>IF(ISTEXT(VLOOKUP(CONCATENATE($A15,"_",AH$3),'Unit List'!$A$23:$H$3319,2,FALSE)),"X",$AG15)</f>
        <v/>
      </c>
      <c r="AI15" s="94" t="str">
        <f>IF(ISTEXT(VLOOKUP(CONCATENATE($A15,"_",AI$3),'Unit List'!$A$23:$H$3319,2,FALSE)),"X",$AG15)</f>
        <v/>
      </c>
      <c r="AJ15" s="96" t="str">
        <f>IF(ISTEXT(VLOOKUP(CONCATENATE($A15,"_",AJ$3),'Unit List'!$A$23:$H$3319,2,FALSE)),"X",$AG15)</f>
        <v/>
      </c>
      <c r="AK15" s="97" t="str">
        <f>IF(ISTEXT(VLOOKUP(CONCATENATE($A15,"_",AK$3),'Unit List'!$A$23:$H$3319,2,FALSE)),"+","")</f>
        <v/>
      </c>
      <c r="AL15" s="100" t="str">
        <f>IF(ISTEXT(VLOOKUP(CONCATENATE($A15,"_",AL$3),'Unit List'!$A$23:$H$3319,2,FALSE)),"X",$AK15)</f>
        <v/>
      </c>
      <c r="AM15" s="96" t="str">
        <f>IF(ISTEXT(VLOOKUP(CONCATENATE($A15,"_",AM$3),'Unit List'!$A$23:$H$3319,2,FALSE)),"X",$AK15)</f>
        <v/>
      </c>
      <c r="AN15" s="103" t="str">
        <f>IF(ISTEXT(VLOOKUP(CONCATENATE($A15,"_",AN$3),'Unit List'!$A$23:$H$3319,2,FALSE)),"+","")</f>
        <v/>
      </c>
      <c r="AO15" s="96" t="str">
        <f>IF(ISTEXT(VLOOKUP(CONCATENATE($A15,"_",AO$3),'Unit List'!$A$23:$H$3319,2,FALSE)),"X",$AN15)</f>
        <v/>
      </c>
      <c r="AP15" s="97" t="str">
        <f>IF(ISTEXT(VLOOKUP(CONCATENATE($A15,"_",AP$3),'Unit List'!$A$23:$H$3319,2,FALSE)),"+","")</f>
        <v/>
      </c>
      <c r="AQ15" s="94" t="str">
        <f>IF(ISTEXT(VLOOKUP(CONCATENATE($A15,"_",AQ$3),'Unit List'!$A$23:$H$3319,2,FALSE)),"X",$AP15)</f>
        <v/>
      </c>
      <c r="AR15" s="94" t="str">
        <f>IF(ISTEXT(VLOOKUP(CONCATENATE($A15,"_",AR$3),'Unit List'!$A$23:$H$3319,2,FALSE)),"X",$AP15)</f>
        <v/>
      </c>
      <c r="AS15" s="94" t="str">
        <f>IF(ISTEXT(VLOOKUP(CONCATENATE($A15,"_",AS$3),'Unit List'!$A$23:$H$3319,2,FALSE)),"X",$AP15)</f>
        <v/>
      </c>
      <c r="AT15" s="96" t="str">
        <f>IF(ISTEXT(VLOOKUP(CONCATENATE($A15,"_",AT$3),'Unit List'!$A$23:$H$3319,2,FALSE)),"X",$AP15)</f>
        <v/>
      </c>
      <c r="AU15" s="104" t="str">
        <f>IF(ISTEXT(VLOOKUP(CONCATENATE($A15,"_",AU$3),'Unit List'!$A$23:$H$3319,2,FALSE)),"+","")</f>
        <v/>
      </c>
      <c r="AV15" s="94" t="str">
        <f>IF(ISTEXT(VLOOKUP(CONCATENATE($A15,"_",AV$3),'Unit List'!$A$23:$H$3319,2,FALSE)),"X",$AU15)</f>
        <v/>
      </c>
      <c r="AW15" s="96" t="str">
        <f>IF(ISTEXT(VLOOKUP(CONCATENATE($A15,"_",AW$3),'Unit List'!$A$23:$H$3319,2,FALSE)),"X",$AU15)</f>
        <v/>
      </c>
      <c r="AX15" s="97" t="str">
        <f>IF(ISTEXT(VLOOKUP(CONCATENATE($A15,"_",AX$3),'Unit List'!$A$23:$H$3319,2,FALSE)),"+","")</f>
        <v/>
      </c>
      <c r="AY15" s="94" t="str">
        <f>IF(ISTEXT(VLOOKUP(CONCATENATE($A15,"_",AY$3),'Unit List'!$A$23:$H$3319,2,FALSE)),"X",$AX15)</f>
        <v/>
      </c>
      <c r="AZ15" s="96" t="str">
        <f>IF(ISTEXT(VLOOKUP(CONCATENATE($A15,"_",AZ$3),'Unit List'!$A$23:$H$3319,2,FALSE)),"X",$AX15)</f>
        <v/>
      </c>
      <c r="BA15" s="105" t="str">
        <f>IF(ISTEXT(VLOOKUP(CONCATENATE($A15,"_",BA$3),'Unit List'!$A$23:$H$3319,2,FALSE)),"+","")</f>
        <v/>
      </c>
      <c r="BB15" s="94" t="str">
        <f>IF(ISTEXT(VLOOKUP(CONCATENATE($A15,"_",BB$3),'Unit List'!$A$23:$H$3319,2,FALSE)),"X",$BA15)</f>
        <v/>
      </c>
      <c r="BC15" s="94" t="str">
        <f>IF(ISTEXT(VLOOKUP(CONCATENATE($A15,"_",BC$3),'Unit List'!$A$23:$H$3319,2,FALSE)),"X",$BA15)</f>
        <v/>
      </c>
      <c r="BD15" s="96" t="str">
        <f>IF(ISTEXT(VLOOKUP(CONCATENATE($A15,"_",BD$3),'Unit List'!$A$23:$H$3319,2,FALSE)),"X",$BA15)</f>
        <v/>
      </c>
      <c r="BE15" s="103" t="str">
        <f>IF(ISTEXT(VLOOKUP(CONCATENATE($A15,"_",BE$3),'Unit List'!$A$23:$H$3319,2,FALSE)),"+","")</f>
        <v/>
      </c>
      <c r="BF15" s="101" t="str">
        <f>IF(ISTEXT(VLOOKUP(CONCATENATE($A15,"_",BF$3),'Unit List'!$A$23:$H$3319,2,FALSE)),"X",$BE15)</f>
        <v/>
      </c>
      <c r="BG15" s="106"/>
      <c r="BH15" s="107" t="s">
        <v>0</v>
      </c>
      <c r="BI15" s="228"/>
      <c r="BJ15" s="229"/>
      <c r="BK15" s="229"/>
      <c r="BL15" s="229"/>
      <c r="BM15" s="230"/>
      <c r="BN15" s="108"/>
      <c r="BO15" s="108"/>
      <c r="BP15" s="108"/>
      <c r="BQ15" s="108"/>
      <c r="BR15" s="108"/>
      <c r="BS15" s="108"/>
      <c r="DZ15" s="109"/>
      <c r="EA15" s="109"/>
    </row>
    <row r="16" spans="1:131" ht="12.75" customHeight="1" x14ac:dyDescent="0.2">
      <c r="A16" s="90" t="s">
        <v>35</v>
      </c>
      <c r="B16" s="91" t="str">
        <f>IF(ISTEXT(VLOOKUP(CONCATENATE($A16,"_",B$3),'Unit List'!$A$23:$H$3319,2,FALSE)),"+","")</f>
        <v/>
      </c>
      <c r="C16" s="92" t="str">
        <f>IF(ISTEXT(VLOOKUP(CONCATENATE($A16,"_",C$3),'Unit List'!$A$23:$H$3319,2,FALSE)),"X",$B16)</f>
        <v/>
      </c>
      <c r="D16" s="138" t="s">
        <v>0</v>
      </c>
      <c r="E16" s="94" t="str">
        <f>IF(ISTEXT(VLOOKUP(CONCATENATE($A16,"_",E$3),'Unit List'!$A$23:$H$3319,2,FALSE)),"X",$B16)</f>
        <v/>
      </c>
      <c r="F16" s="94" t="str">
        <f>IF(ISTEXT(VLOOKUP(CONCATENATE($A16,"_",F$3),'Unit List'!$A$23:$H$3319,2,FALSE)),"X",$B16)</f>
        <v/>
      </c>
      <c r="G16" s="95" t="str">
        <f>IF(ISTEXT(VLOOKUP(CONCATENATE($A16,"_",G$3),'Unit List'!$A$23:$H$3319,2,FALSE)),"X",$B16)</f>
        <v>X</v>
      </c>
      <c r="H16" s="95" t="str">
        <f>IF(ISTEXT(VLOOKUP(CONCATENATE($A16,"_",H$3),'Unit List'!$A$23:$H$3319,2,FALSE)),"X",$B16)</f>
        <v>X</v>
      </c>
      <c r="I16" s="96" t="str">
        <f>IF(ISTEXT(VLOOKUP(CONCATENATE($A16,"_",I$3),'Unit List'!$A$23:$H$3319,2,FALSE)),"X",$B16)</f>
        <v/>
      </c>
      <c r="J16" s="97" t="str">
        <f>IF(ISTEXT(VLOOKUP(CONCATENATE($A16,"_",J$3),'Unit List'!$A$23:$H$3319,2,FALSE)),"+","")</f>
        <v/>
      </c>
      <c r="K16" s="94" t="str">
        <f>IF(ISTEXT(VLOOKUP(CONCATENATE($A16,"_",K$3),'Unit List'!$A$23:$H$3319,2,FALSE)),"X",$J16)</f>
        <v/>
      </c>
      <c r="L16" s="101" t="str">
        <f>IF(ISTEXT(VLOOKUP(CONCATENATE($A16,"_",L$3),'Unit List'!$A$23:$H$3319,2,FALSE)),"X",$J16)</f>
        <v/>
      </c>
      <c r="M16" s="97" t="str">
        <f>IF(ISTEXT(VLOOKUP(CONCATENATE($A16,"_",M$3),'Unit List'!$A$23:$H$3319,2,FALSE)),"+","")</f>
        <v/>
      </c>
      <c r="N16" s="94" t="str">
        <f>IF(ISTEXT(VLOOKUP(CONCATENATE($A16,"_",N$3),'Unit List'!$A$23:$H$3319,2,FALSE)),"X",$M16)</f>
        <v/>
      </c>
      <c r="O16" s="122" t="s">
        <v>0</v>
      </c>
      <c r="P16" s="97" t="str">
        <f>IF(ISTEXT(VLOOKUP(CONCATENATE($A16,"_",P$3),'Unit List'!$A$23:$H$3319,2,FALSE)),"+","")</f>
        <v/>
      </c>
      <c r="Q16" s="94" t="str">
        <f>IF(ISTEXT(VLOOKUP(CONCATENATE($A16,"_",Q$3),'Unit List'!$A$23:$H$3319,2,FALSE)),"X",$P16)</f>
        <v/>
      </c>
      <c r="R16" s="94" t="str">
        <f>IF(ISTEXT(VLOOKUP(CONCATENATE($A16,"_",R$3),'Unit List'!$A$23:$H$3319,2,FALSE)),"X",$P16)</f>
        <v/>
      </c>
      <c r="S16" s="94" t="str">
        <f>IF(ISTEXT(VLOOKUP(CONCATENATE($A16,"_",S$3),'Unit List'!$A$23:$H$3319,2,FALSE)),"X",$P16)</f>
        <v/>
      </c>
      <c r="T16" s="100" t="str">
        <f>IF(ISTEXT(VLOOKUP(CONCATENATE($A16,"_",T$3),'Unit List'!$A$23:$H$3319,2,FALSE)),"X",$P16)</f>
        <v/>
      </c>
      <c r="U16" s="94" t="str">
        <f>IF(ISTEXT(VLOOKUP(CONCATENATE($A16,"_",U$3),'Unit List'!$A$23:$H$3319,2,FALSE)),"X",$P16)</f>
        <v/>
      </c>
      <c r="V16" s="94" t="str">
        <f>IF(ISTEXT(VLOOKUP(CONCATENATE($A16,"_",V$3),'Unit List'!$A$23:$H$3319,2,FALSE)),"X",$P16)</f>
        <v/>
      </c>
      <c r="W16" s="96" t="str">
        <f>IF(ISTEXT(VLOOKUP(CONCATENATE($A16,"_",W$3),'Unit List'!$A$23:$H$3319,2,FALSE)),"X",$P16)</f>
        <v/>
      </c>
      <c r="X16" s="97" t="str">
        <f>IF(ISTEXT(VLOOKUP(CONCATENATE($A16,"_",X$3),'Unit List'!$A$23:$H$3319,2,FALSE)),"+","")</f>
        <v>+</v>
      </c>
      <c r="Y16" s="94" t="str">
        <f>IF(ISTEXT(VLOOKUP(CONCATENATE($A16,"_",Y$3),'Unit List'!$A$23:$H$3319,2,FALSE)),"X",$X16)</f>
        <v>+</v>
      </c>
      <c r="Z16" s="94" t="str">
        <f>IF(ISTEXT(VLOOKUP(CONCATENATE($A16,"_",Z$3),'Unit List'!$A$23:$H$3319,2,FALSE)),"X",$X16)</f>
        <v>+</v>
      </c>
      <c r="AA16" s="94" t="str">
        <f>IF(ISTEXT(VLOOKUP(CONCATENATE($A16,"_",AA$3),'Unit List'!$A$23:$H$3319,2,FALSE)),"X",$X16)</f>
        <v>+</v>
      </c>
      <c r="AB16" s="94" t="str">
        <f>IF(ISTEXT(VLOOKUP(CONCATENATE($A16,"_",AB$3),'Unit List'!$A$23:$H$3319,2,FALSE)),"X",$X16)</f>
        <v>+</v>
      </c>
      <c r="AC16" s="101" t="str">
        <f>IF(ISTEXT(VLOOKUP(CONCATENATE($A16,"_",AC$3),'Unit List'!$A$23:$H$3319,2,FALSE)),"X",$X16)</f>
        <v>+</v>
      </c>
      <c r="AD16" s="97" t="str">
        <f>IF(ISTEXT(VLOOKUP(CONCATENATE($A16,"_",AD$3),'Unit List'!$A$23:$H$3319,2,FALSE)),"+","")</f>
        <v>+</v>
      </c>
      <c r="AE16" s="94" t="str">
        <f>IF(ISTEXT(VLOOKUP(CONCATENATE($A16,"_",AE$3),'Unit List'!$A$23:$H$3319,2,FALSE)),"X",$AD16)</f>
        <v>+</v>
      </c>
      <c r="AF16" s="139" t="s">
        <v>0</v>
      </c>
      <c r="AG16" s="97" t="str">
        <f>IF(ISTEXT(VLOOKUP(CONCATENATE($A16,"_",AG$3),'Unit List'!$A$23:$H$3319,2,FALSE)),"+","")</f>
        <v/>
      </c>
      <c r="AH16" s="94" t="str">
        <f>IF(ISTEXT(VLOOKUP(CONCATENATE($A16,"_",AH$3),'Unit List'!$A$23:$H$3319,2,FALSE)),"X",$AG16)</f>
        <v/>
      </c>
      <c r="AI16" s="94" t="str">
        <f>IF(ISTEXT(VLOOKUP(CONCATENATE($A16,"_",AI$3),'Unit List'!$A$23:$H$3319,2,FALSE)),"X",$AG16)</f>
        <v/>
      </c>
      <c r="AJ16" s="96" t="str">
        <f>IF(ISTEXT(VLOOKUP(CONCATENATE($A16,"_",AJ$3),'Unit List'!$A$23:$H$3319,2,FALSE)),"X",$AG16)</f>
        <v/>
      </c>
      <c r="AK16" s="97" t="str">
        <f>IF(ISTEXT(VLOOKUP(CONCATENATE($A16,"_",AK$3),'Unit List'!$A$23:$H$3319,2,FALSE)),"+","")</f>
        <v/>
      </c>
      <c r="AL16" s="100" t="str">
        <f>IF(ISTEXT(VLOOKUP(CONCATENATE($A16,"_",AL$3),'Unit List'!$A$23:$H$3319,2,FALSE)),"X",$AK16)</f>
        <v>X</v>
      </c>
      <c r="AM16" s="96" t="str">
        <f>IF(ISTEXT(VLOOKUP(CONCATENATE($A16,"_",AM$3),'Unit List'!$A$23:$H$3319,2,FALSE)),"X",$AK16)</f>
        <v/>
      </c>
      <c r="AN16" s="103" t="str">
        <f>IF(ISTEXT(VLOOKUP(CONCATENATE($A16,"_",AN$3),'Unit List'!$A$23:$H$3319,2,FALSE)),"+","")</f>
        <v/>
      </c>
      <c r="AO16" s="96" t="str">
        <f>IF(ISTEXT(VLOOKUP(CONCATENATE($A16,"_",AO$3),'Unit List'!$A$23:$H$3319,2,FALSE)),"X",$AN16)</f>
        <v/>
      </c>
      <c r="AP16" s="97" t="str">
        <f>IF(ISTEXT(VLOOKUP(CONCATENATE($A16,"_",AP$3),'Unit List'!$A$23:$H$3319,2,FALSE)),"+","")</f>
        <v/>
      </c>
      <c r="AQ16" s="94" t="str">
        <f>IF(ISTEXT(VLOOKUP(CONCATENATE($A16,"_",AQ$3),'Unit List'!$A$23:$H$3319,2,FALSE)),"X",$AP16)</f>
        <v/>
      </c>
      <c r="AR16" s="94" t="str">
        <f>IF(ISTEXT(VLOOKUP(CONCATENATE($A16,"_",AR$3),'Unit List'!$A$23:$H$3319,2,FALSE)),"X",$AP16)</f>
        <v/>
      </c>
      <c r="AS16" s="94" t="str">
        <f>IF(ISTEXT(VLOOKUP(CONCATENATE($A16,"_",AS$3),'Unit List'!$A$23:$H$3319,2,FALSE)),"X",$AP16)</f>
        <v/>
      </c>
      <c r="AT16" s="96" t="str">
        <f>IF(ISTEXT(VLOOKUP(CONCATENATE($A16,"_",AT$3),'Unit List'!$A$23:$H$3319,2,FALSE)),"X",$AP16)</f>
        <v/>
      </c>
      <c r="AU16" s="104" t="str">
        <f>IF(ISTEXT(VLOOKUP(CONCATENATE($A16,"_",AU$3),'Unit List'!$A$23:$H$3319,2,FALSE)),"+","")</f>
        <v/>
      </c>
      <c r="AV16" s="94" t="str">
        <f>IF(ISTEXT(VLOOKUP(CONCATENATE($A16,"_",AV$3),'Unit List'!$A$23:$H$3319,2,FALSE)),"X",$AU16)</f>
        <v/>
      </c>
      <c r="AW16" s="96" t="str">
        <f>IF(ISTEXT(VLOOKUP(CONCATENATE($A16,"_",AW$3),'Unit List'!$A$23:$H$3319,2,FALSE)),"X",$AU16)</f>
        <v/>
      </c>
      <c r="AX16" s="97" t="str">
        <f>IF(ISTEXT(VLOOKUP(CONCATENATE($A16,"_",AX$3),'Unit List'!$A$23:$H$3319,2,FALSE)),"+","")</f>
        <v/>
      </c>
      <c r="AY16" s="94" t="str">
        <f>IF(ISTEXT(VLOOKUP(CONCATENATE($A16,"_",AY$3),'Unit List'!$A$23:$H$3319,2,FALSE)),"X",$AX16)</f>
        <v/>
      </c>
      <c r="AZ16" s="140" t="s">
        <v>0</v>
      </c>
      <c r="BA16" s="105" t="str">
        <f>IF(ISTEXT(VLOOKUP(CONCATENATE($A16,"_",BA$3),'Unit List'!$A$23:$H$3319,2,FALSE)),"+","")</f>
        <v/>
      </c>
      <c r="BB16" s="94" t="str">
        <f>IF(ISTEXT(VLOOKUP(CONCATENATE($A16,"_",BB$3),'Unit List'!$A$23:$H$3319,2,FALSE)),"X",$BA16)</f>
        <v/>
      </c>
      <c r="BC16" s="94" t="str">
        <f>IF(ISTEXT(VLOOKUP(CONCATENATE($A16,"_",BC$3),'Unit List'!$A$23:$H$3319,2,FALSE)),"X",$BA16)</f>
        <v/>
      </c>
      <c r="BD16" s="96" t="str">
        <f>IF(ISTEXT(VLOOKUP(CONCATENATE($A16,"_",BD$3),'Unit List'!$A$23:$H$3319,2,FALSE)),"X",$BA16)</f>
        <v/>
      </c>
      <c r="BE16" s="103" t="str">
        <f>IF(ISTEXT(VLOOKUP(CONCATENATE($A16,"_",BE$3),'Unit List'!$A$23:$H$3319,2,FALSE)),"+","")</f>
        <v/>
      </c>
      <c r="BF16" s="101" t="str">
        <f>IF(ISTEXT(VLOOKUP(CONCATENATE($A16,"_",BF$3),'Unit List'!$A$23:$H$3319,2,FALSE)),"X",$BE16)</f>
        <v/>
      </c>
      <c r="BG16" s="106"/>
      <c r="BH16" s="107" t="s">
        <v>0</v>
      </c>
      <c r="BI16" s="228"/>
      <c r="BJ16" s="229"/>
      <c r="BK16" s="229"/>
      <c r="BL16" s="229"/>
      <c r="BM16" s="230"/>
      <c r="BN16" s="108"/>
      <c r="BO16" s="108"/>
      <c r="BP16" s="108"/>
      <c r="BQ16" s="108"/>
      <c r="BR16" s="108"/>
      <c r="BS16" s="108"/>
      <c r="DZ16" s="109"/>
      <c r="EA16" s="109"/>
    </row>
    <row r="17" spans="1:131" ht="12.75" customHeight="1" x14ac:dyDescent="0.2">
      <c r="A17" s="90" t="s">
        <v>1106</v>
      </c>
      <c r="B17" s="91" t="str">
        <f>IF(ISTEXT(VLOOKUP(CONCATENATE($A17,"_",B$3),'Unit List'!$A$23:$H$3319,2,FALSE)),"+","")</f>
        <v/>
      </c>
      <c r="C17" s="92" t="str">
        <f>IF(ISTEXT(VLOOKUP(CONCATENATE($A17,"_",C$3),'Unit List'!$A$23:$H$3319,2,FALSE)),"X",$B17)</f>
        <v/>
      </c>
      <c r="D17" s="94" t="str">
        <f>IF(ISTEXT(VLOOKUP(CONCATENATE($A17,"_",D$3),'Unit List'!$A$23:$H$3319,2,FALSE)),"X",$B17)</f>
        <v/>
      </c>
      <c r="E17" s="94" t="str">
        <f>IF(ISTEXT(VLOOKUP(CONCATENATE($A17,"_",E$3),'Unit List'!$A$23:$H$3319,2,FALSE)),"X",$B17)</f>
        <v/>
      </c>
      <c r="F17" s="94" t="str">
        <f>IF(ISTEXT(VLOOKUP(CONCATENATE($A17,"_",F$3),'Unit List'!$A$23:$H$3319,2,FALSE)),"X",$B17)</f>
        <v/>
      </c>
      <c r="G17" s="94" t="str">
        <f>IF(ISTEXT(VLOOKUP(CONCATENATE($A17,"_",G$3),'Unit List'!$A$23:$H$3319,2,FALSE)),"X",$B17)</f>
        <v/>
      </c>
      <c r="H17" s="94" t="str">
        <f>IF(ISTEXT(VLOOKUP(CONCATENATE($A17,"_",H$3),'Unit List'!$A$23:$H$3319,2,FALSE)),"X",$B17)</f>
        <v/>
      </c>
      <c r="I17" s="96" t="str">
        <f>IF(ISTEXT(VLOOKUP(CONCATENATE($A17,"_",I$3),'Unit List'!$A$23:$H$3319,2,FALSE)),"X",$B17)</f>
        <v/>
      </c>
      <c r="J17" s="97" t="str">
        <f>IF(ISTEXT(VLOOKUP(CONCATENATE($A17,"_",J$3),'Unit List'!$A$23:$H$3319,2,FALSE)),"+","")</f>
        <v/>
      </c>
      <c r="K17" s="94" t="str">
        <f>IF(ISTEXT(VLOOKUP(CONCATENATE($A17,"_",K$3),'Unit List'!$A$23:$H$3319,2,FALSE)),"X",$J17)</f>
        <v/>
      </c>
      <c r="L17" s="101" t="str">
        <f>IF(ISTEXT(VLOOKUP(CONCATENATE($A17,"_",L$3),'Unit List'!$A$23:$H$3319,2,FALSE)),"X",$J17)</f>
        <v/>
      </c>
      <c r="M17" s="97" t="str">
        <f>IF(ISTEXT(VLOOKUP(CONCATENATE($A17,"_",M$3),'Unit List'!$A$23:$H$3319,2,FALSE)),"+","")</f>
        <v/>
      </c>
      <c r="N17" s="94" t="str">
        <f>IF(ISTEXT(VLOOKUP(CONCATENATE($A17,"_",N$3),'Unit List'!$A$23:$H$3319,2,FALSE)),"X",$M17)</f>
        <v/>
      </c>
      <c r="O17" s="96" t="str">
        <f>IF(ISTEXT(VLOOKUP(CONCATENATE($A17,"_",O$3),'Unit List'!$A$23:$H$3319,2,FALSE)),"X",$M17)</f>
        <v/>
      </c>
      <c r="P17" s="97" t="str">
        <f>IF(ISTEXT(VLOOKUP(CONCATENATE($A17,"_",P$3),'Unit List'!$A$23:$H$3319,2,FALSE)),"+","")</f>
        <v>+</v>
      </c>
      <c r="Q17" s="94" t="str">
        <f>IF(ISTEXT(VLOOKUP(CONCATENATE($A17,"_",Q$3),'Unit List'!$A$23:$H$3319,2,FALSE)),"X",$P17)</f>
        <v>+</v>
      </c>
      <c r="R17" s="94" t="str">
        <f>IF(ISTEXT(VLOOKUP(CONCATENATE($A17,"_",R$3),'Unit List'!$A$23:$H$3319,2,FALSE)),"X",$P17)</f>
        <v>+</v>
      </c>
      <c r="S17" s="94" t="str">
        <f>IF(ISTEXT(VLOOKUP(CONCATENATE($A17,"_",S$3),'Unit List'!$A$23:$H$3319,2,FALSE)),"X",$P17)</f>
        <v>+</v>
      </c>
      <c r="T17" s="100" t="str">
        <f>IF(ISTEXT(VLOOKUP(CONCATENATE($A17,"_",T$3),'Unit List'!$A$23:$H$3319,2,FALSE)),"X",$P17)</f>
        <v>+</v>
      </c>
      <c r="U17" s="94" t="str">
        <f>IF(ISTEXT(VLOOKUP(CONCATENATE($A17,"_",U$3),'Unit List'!$A$23:$H$3319,2,FALSE)),"X",$P17)</f>
        <v>+</v>
      </c>
      <c r="V17" s="94" t="str">
        <f>IF(ISTEXT(VLOOKUP(CONCATENATE($A17,"_",V$3),'Unit List'!$A$23:$H$3319,2,FALSE)),"X",$P17)</f>
        <v>+</v>
      </c>
      <c r="W17" s="96" t="str">
        <f>IF(ISTEXT(VLOOKUP(CONCATENATE($A17,"_",W$3),'Unit List'!$A$23:$H$3319,2,FALSE)),"X",$P17)</f>
        <v>+</v>
      </c>
      <c r="X17" s="97" t="str">
        <f>IF(ISTEXT(VLOOKUP(CONCATENATE($A17,"_",X$3),'Unit List'!$A$23:$H$3319,2,FALSE)),"+","")</f>
        <v/>
      </c>
      <c r="Y17" s="94" t="str">
        <f>IF(ISTEXT(VLOOKUP(CONCATENATE($A17,"_",Y$3),'Unit List'!$A$23:$H$3319,2,FALSE)),"X",$X17)</f>
        <v/>
      </c>
      <c r="Z17" s="94" t="str">
        <f>IF(ISTEXT(VLOOKUP(CONCATENATE($A17,"_",Z$3),'Unit List'!$A$23:$H$3319,2,FALSE)),"X",$X17)</f>
        <v/>
      </c>
      <c r="AA17" s="94" t="str">
        <f>IF(ISTEXT(VLOOKUP(CONCATENATE($A17,"_",AA$3),'Unit List'!$A$23:$H$3319,2,FALSE)),"X",$X17)</f>
        <v/>
      </c>
      <c r="AB17" s="138" t="s">
        <v>0</v>
      </c>
      <c r="AC17" s="101" t="str">
        <f>IF(ISTEXT(VLOOKUP(CONCATENATE($A17,"_",AC$3),'Unit List'!$A$23:$H$3319,2,FALSE)),"X",$X17)</f>
        <v/>
      </c>
      <c r="AD17" s="97" t="str">
        <f>IF(ISTEXT(VLOOKUP(CONCATENATE($A17,"_",AD$3),'Unit List'!$A$23:$H$3319,2,FALSE)),"+","")</f>
        <v>+</v>
      </c>
      <c r="AE17" s="94" t="str">
        <f>IF(ISTEXT(VLOOKUP(CONCATENATE($A17,"_",AE$3),'Unit List'!$A$23:$H$3319,2,FALSE)),"X",$AD17)</f>
        <v>X</v>
      </c>
      <c r="AF17" s="94" t="str">
        <f>IF(ISTEXT(VLOOKUP(CONCATENATE($A17,"_",AF$3),'Unit List'!$A$23:$H$3319,2,FALSE)),"X",$AD17)</f>
        <v>+</v>
      </c>
      <c r="AG17" s="97" t="str">
        <f>IF(ISTEXT(VLOOKUP(CONCATENATE($A17,"_",AG$3),'Unit List'!$A$23:$H$3319,2,FALSE)),"+","")</f>
        <v>+</v>
      </c>
      <c r="AH17" s="94" t="str">
        <f>IF(ISTEXT(VLOOKUP(CONCATENATE($A17,"_",AH$3),'Unit List'!$A$23:$H$3319,2,FALSE)),"X",$AG17)</f>
        <v>+</v>
      </c>
      <c r="AI17" s="94" t="str">
        <f>IF(ISTEXT(VLOOKUP(CONCATENATE($A17,"_",AI$3),'Unit List'!$A$23:$H$3319,2,FALSE)),"X",$AG17)</f>
        <v>+</v>
      </c>
      <c r="AJ17" s="96" t="str">
        <f>IF(ISTEXT(VLOOKUP(CONCATENATE($A17,"_",AJ$3),'Unit List'!$A$23:$H$3319,2,FALSE)),"X",$AG17)</f>
        <v>+</v>
      </c>
      <c r="AK17" s="97" t="str">
        <f>IF(ISTEXT(VLOOKUP(CONCATENATE($A17,"_",AK$3),'Unit List'!$A$23:$H$3319,2,FALSE)),"+","")</f>
        <v/>
      </c>
      <c r="AL17" s="141" t="s">
        <v>0</v>
      </c>
      <c r="AM17" s="96" t="str">
        <f>IF(ISTEXT(VLOOKUP(CONCATENATE($A17,"_",AM$3),'Unit List'!$A$23:$H$3319,2,FALSE)),"X",$AK17)</f>
        <v/>
      </c>
      <c r="AN17" s="103" t="str">
        <f>IF(ISTEXT(VLOOKUP(CONCATENATE($A17,"_",AN$3),'Unit List'!$A$23:$H$3319,2,FALSE)),"+","")</f>
        <v/>
      </c>
      <c r="AO17" s="122" t="s">
        <v>0</v>
      </c>
      <c r="AP17" s="97" t="str">
        <f>IF(ISTEXT(VLOOKUP(CONCATENATE($A17,"_",AP$3),'Unit List'!$A$23:$H$3319,2,FALSE)),"+","")</f>
        <v>+</v>
      </c>
      <c r="AQ17" s="94" t="str">
        <f>IF(ISTEXT(VLOOKUP(CONCATENATE($A17,"_",AQ$3),'Unit List'!$A$23:$H$3319,2,FALSE)),"X",$AP17)</f>
        <v>+</v>
      </c>
      <c r="AR17" s="94" t="str">
        <f>IF(ISTEXT(VLOOKUP(CONCATENATE($A17,"_",AR$3),'Unit List'!$A$23:$H$3319,2,FALSE)),"X",$AP17)</f>
        <v>+</v>
      </c>
      <c r="AS17" s="94" t="str">
        <f>IF(ISTEXT(VLOOKUP(CONCATENATE($A17,"_",AS$3),'Unit List'!$A$23:$H$3319,2,FALSE)),"X",$AP17)</f>
        <v>+</v>
      </c>
      <c r="AT17" s="96" t="str">
        <f>IF(ISTEXT(VLOOKUP(CONCATENATE($A17,"_",AT$3),'Unit List'!$A$23:$H$3319,2,FALSE)),"X",$AP17)</f>
        <v>+</v>
      </c>
      <c r="AU17" s="104" t="str">
        <f>IF(ISTEXT(VLOOKUP(CONCATENATE($A17,"_",AU$3),'Unit List'!$A$23:$H$3319,2,FALSE)),"+","")</f>
        <v/>
      </c>
      <c r="AV17" s="94" t="str">
        <f>IF(ISTEXT(VLOOKUP(CONCATENATE($A17,"_",AV$3),'Unit List'!$A$23:$H$3319,2,FALSE)),"X",$AU17)</f>
        <v/>
      </c>
      <c r="AW17" s="96" t="str">
        <f>IF(ISTEXT(VLOOKUP(CONCATENATE($A17,"_",AW$3),'Unit List'!$A$23:$H$3319,2,FALSE)),"X",$AU17)</f>
        <v/>
      </c>
      <c r="AX17" s="115" t="str">
        <f>IF(ISTEXT(VLOOKUP(CONCATENATE($A17,"_",AX$3),'Unit List'!$A$23:$H$3319,2,FALSE)),"+","")</f>
        <v>+</v>
      </c>
      <c r="AY17" s="95" t="str">
        <f>IF(ISTEXT(VLOOKUP(CONCATENATE($A17,"_",AY$3),'Unit List'!$A$23:$H$3319,2,FALSE)),"X",$AX17)</f>
        <v>+</v>
      </c>
      <c r="AZ17" s="114" t="str">
        <f>IF(ISTEXT(VLOOKUP(CONCATENATE($A17,"_",AZ$3),'Unit List'!$A$23:$H$3319,2,FALSE)),"X",$AX17)</f>
        <v>+</v>
      </c>
      <c r="BA17" s="105" t="str">
        <f>IF(ISTEXT(VLOOKUP(CONCATENATE($A17,"_",BA$3),'Unit List'!$A$23:$H$3319,2,FALSE)),"+","")</f>
        <v/>
      </c>
      <c r="BB17" s="94" t="str">
        <f>IF(ISTEXT(VLOOKUP(CONCATENATE($A17,"_",BB$3),'Unit List'!$A$23:$H$3319,2,FALSE)),"X",$BA17)</f>
        <v/>
      </c>
      <c r="BC17" s="94" t="str">
        <f>IF(ISTEXT(VLOOKUP(CONCATENATE($A17,"_",BC$3),'Unit List'!$A$23:$H$3319,2,FALSE)),"X",$BA17)</f>
        <v/>
      </c>
      <c r="BD17" s="96" t="str">
        <f>IF(ISTEXT(VLOOKUP(CONCATENATE($A17,"_",BD$3),'Unit List'!$A$23:$H$3319,2,FALSE)),"X",$BA17)</f>
        <v/>
      </c>
      <c r="BE17" s="103" t="str">
        <f>IF(ISTEXT(VLOOKUP(CONCATENATE($A17,"_",BE$3),'Unit List'!$A$23:$H$3319,2,FALSE)),"+","")</f>
        <v/>
      </c>
      <c r="BF17" s="101" t="str">
        <f>IF(ISTEXT(VLOOKUP(CONCATENATE($A17,"_",BF$3),'Unit List'!$A$23:$H$3319,2,FALSE)),"X",$BE17)</f>
        <v/>
      </c>
      <c r="BG17" s="124"/>
      <c r="BH17" s="125" t="s">
        <v>0</v>
      </c>
      <c r="BI17" s="228" t="s">
        <v>1299</v>
      </c>
      <c r="BJ17" s="229"/>
      <c r="BK17" s="229"/>
      <c r="BL17" s="229"/>
      <c r="BM17" s="230"/>
      <c r="BN17" s="108"/>
      <c r="BO17" s="108"/>
      <c r="BP17" s="108"/>
      <c r="BQ17" s="108"/>
      <c r="BR17" s="108"/>
      <c r="BS17" s="108"/>
      <c r="DZ17" s="109"/>
      <c r="EA17" s="109"/>
    </row>
    <row r="18" spans="1:131" ht="12.75" customHeight="1" x14ac:dyDescent="0.2">
      <c r="A18" s="90" t="s">
        <v>1271</v>
      </c>
      <c r="B18" s="91" t="str">
        <f>IF(ISTEXT(VLOOKUP(CONCATENATE($A18,"_",B$3),'Unit List'!$A$23:$H$3319,2,FALSE)),"+","")</f>
        <v/>
      </c>
      <c r="C18" s="142" t="str">
        <f>IF(ISTEXT(VLOOKUP(CONCATENATE($A18,"_",C$3),'Unit List'!$A$23:$H$3319,2,FALSE)),"X",$B18)</f>
        <v/>
      </c>
      <c r="D18" s="110" t="str">
        <f>IF(ISTEXT(VLOOKUP(CONCATENATE($A18,"_",D$3),'Unit List'!$A$23:$H$3319,2,FALSE)),"X",$B18)</f>
        <v/>
      </c>
      <c r="E18" s="94" t="str">
        <f>IF(ISTEXT(VLOOKUP(CONCATENATE($A18,"_",E$3),'Unit List'!$A$23:$H$3319,2,FALSE)),"X",$B18)</f>
        <v/>
      </c>
      <c r="F18" s="95" t="str">
        <f>IF(ISTEXT(VLOOKUP(CONCATENATE($A18,"_",F$3),'Unit List'!$A$23:$H$3319,2,FALSE)),"X",$B18)</f>
        <v>X</v>
      </c>
      <c r="G18" s="95" t="str">
        <f>IF(ISTEXT(VLOOKUP(CONCATENATE($A18,"_",G$3),'Unit List'!$A$23:$H$3319,2,FALSE)),"X",$B18)</f>
        <v>X</v>
      </c>
      <c r="H18" s="95" t="str">
        <f>IF(ISTEXT(VLOOKUP(CONCATENATE($A18,"_",H$3),'Unit List'!$A$23:$H$3319,2,FALSE)),"X",$B18)</f>
        <v>X</v>
      </c>
      <c r="I18" s="96" t="str">
        <f>IF(ISTEXT(VLOOKUP(CONCATENATE($A18,"_",I$3),'Unit List'!$A$23:$H$3319,2,FALSE)),"X",$B18)</f>
        <v>X</v>
      </c>
      <c r="J18" s="97" t="str">
        <f>IF(ISTEXT(VLOOKUP(CONCATENATE($A18,"_",J$3),'Unit List'!$A$23:$H$3319,2,FALSE)),"+","")</f>
        <v>+</v>
      </c>
      <c r="K18" s="143" t="str">
        <f>IF(ISTEXT(VLOOKUP(CONCATENATE($A18,"_",K$3),'Unit List'!$A$23:$H$3319,2,FALSE)),"X",$J18)</f>
        <v>+</v>
      </c>
      <c r="L18" s="112" t="str">
        <f>IF(ISTEXT(VLOOKUP(CONCATENATE($A18,"_",L$3),'Unit List'!$A$23:$H$3319,2,FALSE)),"X",$J18)</f>
        <v>+</v>
      </c>
      <c r="M18" s="97" t="str">
        <f>IF(ISTEXT(VLOOKUP(CONCATENATE($A18,"_",M$3),'Unit List'!$A$23:$H$3319,2,FALSE)),"+","")</f>
        <v>+</v>
      </c>
      <c r="N18" s="94" t="str">
        <f>IF(ISTEXT(VLOOKUP(CONCATENATE($A18,"_",N$3),'Unit List'!$A$23:$H$3319,2,FALSE)),"X",$M18)</f>
        <v>+</v>
      </c>
      <c r="O18" s="114" t="str">
        <f>IF(ISTEXT(VLOOKUP(CONCATENATE($A18,"_",O$3),'Unit List'!$A$23:$H$3319,2,FALSE)),"X",$M18)</f>
        <v>X</v>
      </c>
      <c r="P18" s="97" t="str">
        <f>IF(ISTEXT(VLOOKUP(CONCATENATE($A18,"_",P$3),'Unit List'!$A$23:$H$3319,2,FALSE)),"+","")</f>
        <v>+</v>
      </c>
      <c r="Q18" s="94" t="str">
        <f>IF(ISTEXT(VLOOKUP(CONCATENATE($A18,"_",Q$3),'Unit List'!$A$23:$H$3319,2,FALSE)),"X",$P18)</f>
        <v>+</v>
      </c>
      <c r="R18" s="94" t="str">
        <f>IF(ISTEXT(VLOOKUP(CONCATENATE($A18,"_",R$3),'Unit List'!$A$23:$H$3319,2,FALSE)),"X",$P18)</f>
        <v>+</v>
      </c>
      <c r="S18" s="95" t="str">
        <f>IF(ISTEXT(VLOOKUP(CONCATENATE($A18,"_",S$3),'Unit List'!$A$23:$H$3319,2,FALSE)),"X",$P18)</f>
        <v>X</v>
      </c>
      <c r="T18" s="100" t="str">
        <f>IF(ISTEXT(VLOOKUP(CONCATENATE($A18,"_",T$3),'Unit List'!$A$23:$H$3319,2,FALSE)),"X",$P18)</f>
        <v>+</v>
      </c>
      <c r="U18" s="95" t="str">
        <f>IF(ISTEXT(VLOOKUP(CONCATENATE($A18,"_",U$3),'Unit List'!$A$23:$H$3319,2,FALSE)),"X",$P18)</f>
        <v>X</v>
      </c>
      <c r="V18" s="95" t="str">
        <f>IF(ISTEXT(VLOOKUP(CONCATENATE($A18,"_",V$3),'Unit List'!$A$23:$H$3319,2,FALSE)),"X",$P18)</f>
        <v>X</v>
      </c>
      <c r="W18" s="96" t="str">
        <f>IF(ISTEXT(VLOOKUP(CONCATENATE($A18,"_",W$3),'Unit List'!$A$23:$H$3319,2,FALSE)),"X",$P18)</f>
        <v>+</v>
      </c>
      <c r="X18" s="115" t="str">
        <f>IF(ISTEXT(VLOOKUP(CONCATENATE($A18,"_",X$3),'Unit List'!$A$23:$H$3319,2,FALSE)),"+","")</f>
        <v>+</v>
      </c>
      <c r="Y18" s="95" t="str">
        <f>IF(ISTEXT(VLOOKUP(CONCATENATE($A18,"_",Y$3),'Unit List'!$A$23:$H$3319,2,FALSE)),"X",$X18)</f>
        <v>+</v>
      </c>
      <c r="Z18" s="94" t="str">
        <f>IF(ISTEXT(VLOOKUP(CONCATENATE($A18,"_",Z$3),'Unit List'!$A$23:$H$3319,2,FALSE)),"X",$X18)</f>
        <v>+</v>
      </c>
      <c r="AA18" s="95" t="str">
        <f>IF(ISTEXT(VLOOKUP(CONCATENATE($A18,"_",AA$3),'Unit List'!$A$23:$H$3319,2,FALSE)),"X",$X18)</f>
        <v>X</v>
      </c>
      <c r="AB18" s="95" t="str">
        <f>IF(ISTEXT(VLOOKUP(CONCATENATE($A18,"_",AB$3),'Unit List'!$A$23:$H$3319,2,FALSE)),"X",$X18)</f>
        <v>X</v>
      </c>
      <c r="AC18" s="135" t="str">
        <f>IF(ISTEXT(VLOOKUP(CONCATENATE($A18,"_",AC$3),'Unit List'!$A$23:$H$3319,2,FALSE)),"X",$X18)</f>
        <v>X</v>
      </c>
      <c r="AD18" s="115" t="str">
        <f>IF(ISTEXT(VLOOKUP(CONCATENATE($A18,"_",AD$3),'Unit List'!$A$23:$H$3319,2,FALSE)),"+","")</f>
        <v/>
      </c>
      <c r="AE18" s="94" t="str">
        <f>IF(ISTEXT(VLOOKUP(CONCATENATE($A18,"_",AE$3),'Unit List'!$A$23:$H$3319,2,FALSE)),"X",$AD18)</f>
        <v>X</v>
      </c>
      <c r="AF18" s="94" t="str">
        <f>IF(ISTEXT(VLOOKUP(CONCATENATE($A18,"_",AF$3),'Unit List'!$A$23:$H$3319,2,FALSE)),"X",$AD18)</f>
        <v/>
      </c>
      <c r="AG18" s="115" t="str">
        <f>IF(ISTEXT(VLOOKUP(CONCATENATE($A18,"_",AG$3),'Unit List'!$A$23:$H$3319,2,FALSE)),"+","")</f>
        <v>+</v>
      </c>
      <c r="AH18" s="95" t="str">
        <f>IF(ISTEXT(VLOOKUP(CONCATENATE($A18,"_",AH$3),'Unit List'!$A$23:$H$3319,2,FALSE)),"X",$AG18)</f>
        <v>+</v>
      </c>
      <c r="AI18" s="94" t="str">
        <f>IF(ISTEXT(VLOOKUP(CONCATENATE($A18,"_",AI$3),'Unit List'!$A$23:$H$3319,2,FALSE)),"X",$AG18)</f>
        <v>X</v>
      </c>
      <c r="AJ18" s="96" t="str">
        <f>IF(ISTEXT(VLOOKUP(CONCATENATE($A18,"_",AJ$3),'Unit List'!$A$23:$H$3319,2,FALSE)),"X",$AG18)</f>
        <v>+</v>
      </c>
      <c r="AK18" s="115" t="str">
        <f>IF(ISTEXT(VLOOKUP(CONCATENATE($A18,"_",AK$3),'Unit List'!$A$23:$H$3319,2,FALSE)),"+","")</f>
        <v>+</v>
      </c>
      <c r="AL18" s="100" t="str">
        <f>IF(ISTEXT(VLOOKUP(CONCATENATE($A18,"_",AL$3),'Unit List'!$A$23:$H$3319,2,FALSE)),"X",$AK18)</f>
        <v>+</v>
      </c>
      <c r="AM18" s="114" t="str">
        <f>IF(ISTEXT(VLOOKUP(CONCATENATE($A18,"_",AM$3),'Unit List'!$A$23:$H$3319,2,FALSE)),"X",$AK18)</f>
        <v>+</v>
      </c>
      <c r="AN18" s="103" t="str">
        <f>IF(ISTEXT(VLOOKUP(CONCATENATE($A18,"_",AN$3),'Unit List'!$A$23:$H$3319,2,FALSE)),"+","")</f>
        <v>+</v>
      </c>
      <c r="AO18" s="114" t="str">
        <f>IF(ISTEXT(VLOOKUP(CONCATENATE($A18,"_",AO$3),'Unit List'!$A$23:$H$3319,2,FALSE)),"X",$AN18)</f>
        <v>X</v>
      </c>
      <c r="AP18" s="115" t="str">
        <f>IF(ISTEXT(VLOOKUP(CONCATENATE($A18,"_",AP$3),'Unit List'!$A$23:$H$3319,2,FALSE)),"+","")</f>
        <v>+</v>
      </c>
      <c r="AQ18" s="95" t="str">
        <f>IF(ISTEXT(VLOOKUP(CONCATENATE($A18,"_",AQ$3),'Unit List'!$A$23:$H$3319,2,FALSE)),"X",$AP18)</f>
        <v>X</v>
      </c>
      <c r="AR18" s="95" t="str">
        <f>IF(ISTEXT(VLOOKUP(CONCATENATE($A18,"_",AR$3),'Unit List'!$A$23:$H$3319,2,FALSE)),"X",$AP18)</f>
        <v>X</v>
      </c>
      <c r="AS18" s="95" t="str">
        <f>IF(ISTEXT(VLOOKUP(CONCATENATE($A18,"_",AS$3),'Unit List'!$A$23:$H$3319,2,FALSE)),"X",$AP18)</f>
        <v>X</v>
      </c>
      <c r="AT18" s="114" t="str">
        <f>IF(ISTEXT(VLOOKUP(CONCATENATE($A18,"_",AT$3),'Unit List'!$A$23:$H$3319,2,FALSE)),"X",$AP18)</f>
        <v>X</v>
      </c>
      <c r="AU18" s="104" t="str">
        <f>IF(ISTEXT(VLOOKUP(CONCATENATE($A18,"_",AU$3),'Unit List'!$A$23:$H$3319,2,FALSE)),"+","")</f>
        <v>+</v>
      </c>
      <c r="AV18" s="94" t="str">
        <f>IF(ISTEXT(VLOOKUP(CONCATENATE($A18,"_",AV$3),'Unit List'!$A$23:$H$3319,2,FALSE)),"X",$AU18)</f>
        <v>+</v>
      </c>
      <c r="AW18" s="96" t="str">
        <f>IF(ISTEXT(VLOOKUP(CONCATENATE($A18,"_",AW$3),'Unit List'!$A$23:$H$3319,2,FALSE)),"X",$AU18)</f>
        <v>+</v>
      </c>
      <c r="AX18" s="115" t="str">
        <f>IF(ISTEXT(VLOOKUP(CONCATENATE($A18,"_",AX$3),'Unit List'!$A$23:$H$3319,2,FALSE)),"+","")</f>
        <v>+</v>
      </c>
      <c r="AY18" s="95" t="str">
        <f>IF(ISTEXT(VLOOKUP(CONCATENATE($A18,"_",AY$3),'Unit List'!$A$23:$H$3319,2,FALSE)),"X",$AX18)</f>
        <v>+</v>
      </c>
      <c r="AZ18" s="114" t="str">
        <f>IF(ISTEXT(VLOOKUP(CONCATENATE($A18,"_",AZ$3),'Unit List'!$A$23:$H$3319,2,FALSE)),"X",$AX18)</f>
        <v>+</v>
      </c>
      <c r="BA18" s="115" t="str">
        <f>IF(ISTEXT(VLOOKUP(CONCATENATE($A18,"_",BA$3),'Unit List'!$A$23:$H$3319,2,FALSE)),"+","")</f>
        <v>+</v>
      </c>
      <c r="BB18" s="95" t="str">
        <f>IF(ISTEXT(VLOOKUP(CONCATENATE($A18,"_",BB$3),'Unit List'!$A$23:$H$3319,2,FALSE)),"X",$BA18)</f>
        <v>X</v>
      </c>
      <c r="BC18" s="95" t="str">
        <f>IF(ISTEXT(VLOOKUP(CONCATENATE($A18,"_",BC$3),'Unit List'!$A$23:$H$3319,2,FALSE)),"X",$BA18)</f>
        <v>X</v>
      </c>
      <c r="BD18" s="114" t="str">
        <f>IF(ISTEXT(VLOOKUP(CONCATENATE($A18,"_",BD$3),'Unit List'!$A$23:$H$3319,2,FALSE)),"X",$BA18)</f>
        <v>X</v>
      </c>
      <c r="BE18" s="103" t="str">
        <f>IF(ISTEXT(VLOOKUP(CONCATENATE($A18,"_",BE$3),'Unit List'!$A$23:$H$3319,2,FALSE)),"+","")</f>
        <v>+</v>
      </c>
      <c r="BF18" s="101" t="str">
        <f>IF(ISTEXT(VLOOKUP(CONCATENATE($A18,"_",BF$3),'Unit List'!$A$23:$H$3319,2,FALSE)),"X",$BE18)</f>
        <v>+</v>
      </c>
      <c r="BG18" s="124"/>
      <c r="BH18" s="133"/>
      <c r="BI18" s="228" t="s">
        <v>12</v>
      </c>
      <c r="BJ18" s="231"/>
      <c r="BK18" s="231"/>
      <c r="BL18" s="231"/>
      <c r="BM18" s="232"/>
      <c r="BN18" s="108"/>
      <c r="BO18" s="108"/>
      <c r="BP18" s="108"/>
      <c r="BQ18" s="108"/>
      <c r="BR18" s="108"/>
      <c r="BS18" s="108"/>
      <c r="DZ18" s="109"/>
      <c r="EA18" s="109"/>
    </row>
    <row r="19" spans="1:131" ht="12.75" customHeight="1" x14ac:dyDescent="0.2">
      <c r="A19" s="90" t="s">
        <v>34</v>
      </c>
      <c r="B19" s="91" t="str">
        <f>IF(ISTEXT(VLOOKUP(CONCATENATE($A19,"_",B$3),'Unit List'!$A$23:$H$3319,2,FALSE)),"+","")</f>
        <v/>
      </c>
      <c r="C19" s="131" t="str">
        <f>IF(ISTEXT(VLOOKUP(CONCATENATE($A19,"_",C$3),'Unit List'!$A$23:$H$3319,2,FALSE)),"X",$B19)</f>
        <v>X</v>
      </c>
      <c r="D19" s="110" t="str">
        <f>IF(ISTEXT(VLOOKUP(CONCATENATE($A19,"_",D$3),'Unit List'!$A$23:$H$3319,2,FALSE)),"X",$B19)</f>
        <v/>
      </c>
      <c r="E19" s="94" t="str">
        <f>IF(ISTEXT(VLOOKUP(CONCATENATE($A19,"_",E$3),'Unit List'!$A$23:$H$3319,2,FALSE)),"X",$B19)</f>
        <v/>
      </c>
      <c r="F19" s="118" t="s">
        <v>0</v>
      </c>
      <c r="G19" s="95" t="str">
        <f>IF(ISTEXT(VLOOKUP(CONCATENATE($A19,"_",G$3),'Unit List'!$A$23:$H$3319,2,FALSE)),"X",$B19)</f>
        <v>X</v>
      </c>
      <c r="H19" s="95" t="str">
        <f>IF(ISTEXT(VLOOKUP(CONCATENATE($A19,"_",H$3),'Unit List'!$A$23:$H$3319,2,FALSE)),"X",$B19)</f>
        <v>X</v>
      </c>
      <c r="I19" s="96" t="str">
        <f>IF(ISTEXT(VLOOKUP(CONCATENATE($A19,"_",I$3),'Unit List'!$A$23:$H$3319,2,FALSE)),"X",$B19)</f>
        <v/>
      </c>
      <c r="J19" s="97" t="str">
        <f>IF(ISTEXT(VLOOKUP(CONCATENATE($A19,"_",J$3),'Unit List'!$A$23:$H$3319,2,FALSE)),"+","")</f>
        <v>+</v>
      </c>
      <c r="K19" s="143" t="str">
        <f>IF(ISTEXT(VLOOKUP(CONCATENATE($A19,"_",K$3),'Unit List'!$A$23:$H$3319,2,FALSE)),"X",$J19)</f>
        <v>+</v>
      </c>
      <c r="L19" s="112" t="str">
        <f>IF(ISTEXT(VLOOKUP(CONCATENATE($A19,"_",L$3),'Unit List'!$A$23:$H$3319,2,FALSE)),"X",$J19)</f>
        <v>+</v>
      </c>
      <c r="M19" s="97" t="str">
        <f>IF(ISTEXT(VLOOKUP(CONCATENATE($A19,"_",M$3),'Unit List'!$A$23:$H$3319,2,FALSE)),"+","")</f>
        <v/>
      </c>
      <c r="N19" s="94" t="str">
        <f>IF(ISTEXT(VLOOKUP(CONCATENATE($A19,"_",N$3),'Unit List'!$A$23:$H$3319,2,FALSE)),"X",$M19)</f>
        <v/>
      </c>
      <c r="O19" s="114" t="str">
        <f>IF(ISTEXT(VLOOKUP(CONCATENATE($A19,"_",O$3),'Unit List'!$A$23:$H$3319,2,FALSE)),"X",$M19)</f>
        <v>X</v>
      </c>
      <c r="P19" s="97" t="str">
        <f>IF(ISTEXT(VLOOKUP(CONCATENATE($A19,"_",P$3),'Unit List'!$A$23:$H$3319,2,FALSE)),"+","")</f>
        <v>+</v>
      </c>
      <c r="Q19" s="113" t="str">
        <f>IF(ISTEXT(VLOOKUP(CONCATENATE($A19,"_",Q$3),'Unit List'!$A$23:$H$3319,2,FALSE)),"X",$P19)</f>
        <v>+</v>
      </c>
      <c r="R19" s="113" t="str">
        <f>IF(ISTEXT(VLOOKUP(CONCATENATE($A19,"_",R$3),'Unit List'!$A$23:$H$3319,2,FALSE)),"X",$P19)</f>
        <v>+</v>
      </c>
      <c r="S19" s="94" t="str">
        <f>IF(ISTEXT(VLOOKUP(CONCATENATE($A19,"_",S$3),'Unit List'!$A$23:$H$3319,2,FALSE)),"X",$P19)</f>
        <v>X</v>
      </c>
      <c r="T19" s="116" t="str">
        <f>IF(ISTEXT(VLOOKUP(CONCATENATE($A19,"_",T$3),'Unit List'!$A$23:$H$3319,2,FALSE)),"X",$P19)</f>
        <v>+</v>
      </c>
      <c r="U19" s="95" t="str">
        <f>IF(ISTEXT(VLOOKUP(CONCATENATE($A19,"_",U$3),'Unit List'!$A$23:$H$3319,2,FALSE)),"X",$P19)</f>
        <v>X</v>
      </c>
      <c r="V19" s="95" t="str">
        <f>IF(ISTEXT(VLOOKUP(CONCATENATE($A19,"_",V$3),'Unit List'!$A$23:$H$3319,2,FALSE)),"X",$P19)</f>
        <v>X</v>
      </c>
      <c r="W19" s="117" t="str">
        <f>IF(ISTEXT(VLOOKUP(CONCATENATE($A19,"_",W$3),'Unit List'!$A$23:$H$3319,2,FALSE)),"X",$P19)</f>
        <v>+</v>
      </c>
      <c r="X19" s="115" t="str">
        <f>IF(ISTEXT(VLOOKUP(CONCATENATE($A19,"_",X$3),'Unit List'!$A$23:$H$3319,2,FALSE)),"+","")</f>
        <v>+</v>
      </c>
      <c r="Y19" s="95" t="str">
        <f>IF(ISTEXT(VLOOKUP(CONCATENATE($A19,"_",Y$3),'Unit List'!$A$23:$H$3319,2,FALSE)),"X",$X19)</f>
        <v>X</v>
      </c>
      <c r="Z19" s="113" t="str">
        <f>IF(ISTEXT(VLOOKUP(CONCATENATE($A19,"_",Z$3),'Unit List'!$A$23:$H$3319,2,FALSE)),"X",$X19)</f>
        <v>+</v>
      </c>
      <c r="AA19" s="95" t="str">
        <f>IF(ISTEXT(VLOOKUP(CONCATENATE($A19,"_",AA$3),'Unit List'!$A$23:$H$3319,2,FALSE)),"X",$X19)</f>
        <v>X</v>
      </c>
      <c r="AB19" s="95" t="str">
        <f>IF(ISTEXT(VLOOKUP(CONCATENATE($A19,"_",AB$3),'Unit List'!$A$23:$H$3319,2,FALSE)),"X",$X19)</f>
        <v>X</v>
      </c>
      <c r="AC19" s="112" t="str">
        <f>IF(ISTEXT(VLOOKUP(CONCATENATE($A19,"_",AC$3),'Unit List'!$A$23:$H$3319,2,FALSE)),"X",$X19)</f>
        <v>X</v>
      </c>
      <c r="AD19" s="115" t="str">
        <f>IF(ISTEXT(VLOOKUP(CONCATENATE($A19,"_",AD$3),'Unit List'!$A$23:$H$3319,2,FALSE)),"+","")</f>
        <v>+</v>
      </c>
      <c r="AE19" s="94" t="str">
        <f>IF(ISTEXT(VLOOKUP(CONCATENATE($A19,"_",AE$3),'Unit List'!$A$23:$H$3319,2,FALSE)),"X",$AD19)</f>
        <v>+</v>
      </c>
      <c r="AF19" s="94" t="str">
        <f>IF(ISTEXT(VLOOKUP(CONCATENATE($A19,"_",AF$3),'Unit List'!$A$23:$H$3319,2,FALSE)),"X",$AD19)</f>
        <v>+</v>
      </c>
      <c r="AG19" s="115" t="str">
        <f>IF(ISTEXT(VLOOKUP(CONCATENATE($A19,"_",AG$3),'Unit List'!$A$23:$H$3319,2,FALSE)),"+","")</f>
        <v>+</v>
      </c>
      <c r="AH19" s="95" t="str">
        <f>IF(ISTEXT(VLOOKUP(CONCATENATE($A19,"_",AH$3),'Unit List'!$A$23:$H$3319,2,FALSE)),"X",$AG19)</f>
        <v>+</v>
      </c>
      <c r="AI19" s="113" t="str">
        <f>IF(ISTEXT(VLOOKUP(CONCATENATE($A19,"_",AI$3),'Unit List'!$A$23:$H$3319,2,FALSE)),"X",$AG19)</f>
        <v>X</v>
      </c>
      <c r="AJ19" s="117" t="str">
        <f>IF(ISTEXT(VLOOKUP(CONCATENATE($A19,"_",AJ$3),'Unit List'!$A$23:$H$3319,2,FALSE)),"X",$AG19)</f>
        <v>+</v>
      </c>
      <c r="AK19" s="115" t="str">
        <f>IF(ISTEXT(VLOOKUP(CONCATENATE($A19,"_",AK$3),'Unit List'!$A$23:$H$3319,2,FALSE)),"+","")</f>
        <v>+</v>
      </c>
      <c r="AL19" s="116" t="str">
        <f>IF(ISTEXT(VLOOKUP(CONCATENATE($A19,"_",AL$3),'Unit List'!$A$23:$H$3319,2,FALSE)),"X",$AK19)</f>
        <v>+</v>
      </c>
      <c r="AM19" s="119" t="str">
        <f>IF(ISTEXT(VLOOKUP(CONCATENATE($A19,"_",AM$3),'Unit List'!$A$23:$H$3319,2,FALSE)),"X",$AK19)</f>
        <v>+</v>
      </c>
      <c r="AN19" s="144" t="str">
        <f>IF(ISTEXT(VLOOKUP(CONCATENATE($A19,"_",AN$3),'Unit List'!$A$23:$H$3319,2,FALSE)),"+","")</f>
        <v>+</v>
      </c>
      <c r="AO19" s="114" t="str">
        <f>IF(ISTEXT(VLOOKUP(CONCATENATE($A19,"_",AO$3),'Unit List'!$A$23:$H$3319,2,FALSE)),"X",$AN19)</f>
        <v>+</v>
      </c>
      <c r="AP19" s="115" t="str">
        <f>IF(ISTEXT(VLOOKUP(CONCATENATE($A19,"_",AP$3),'Unit List'!$A$23:$H$3319,2,FALSE)),"+","")</f>
        <v>+</v>
      </c>
      <c r="AQ19" s="138" t="s">
        <v>0</v>
      </c>
      <c r="AR19" s="95" t="str">
        <f>IF(ISTEXT(VLOOKUP(CONCATENATE($A19,"_",AR$3),'Unit List'!$A$23:$H$3319,2,FALSE)),"X",$AP19)</f>
        <v>X</v>
      </c>
      <c r="AS19" s="95" t="str">
        <f>IF(ISTEXT(VLOOKUP(CONCATENATE($A19,"_",AS$3),'Unit List'!$A$23:$H$3319,2,FALSE)),"X",$AP19)</f>
        <v>+</v>
      </c>
      <c r="AT19" s="119" t="str">
        <f>IF(ISTEXT(VLOOKUP(CONCATENATE($A19,"_",AT$3),'Unit List'!$A$23:$H$3319,2,FALSE)),"X",$AP19)</f>
        <v>X</v>
      </c>
      <c r="AU19" s="120" t="str">
        <f>IF(ISTEXT(VLOOKUP(CONCATENATE($A19,"_",AU$3),'Unit List'!$A$23:$H$3319,2,FALSE)),"+","")</f>
        <v>+</v>
      </c>
      <c r="AV19" s="113" t="str">
        <f>IF(ISTEXT(VLOOKUP(CONCATENATE($A19,"_",AV$3),'Unit List'!$A$23:$H$3319,2,FALSE)),"X",$AU19)</f>
        <v>+</v>
      </c>
      <c r="AW19" s="117" t="str">
        <f>IF(ISTEXT(VLOOKUP(CONCATENATE($A19,"_",AW$3),'Unit List'!$A$23:$H$3319,2,FALSE)),"X",$AU19)</f>
        <v>+</v>
      </c>
      <c r="AX19" s="115" t="str">
        <f>IF(ISTEXT(VLOOKUP(CONCATENATE($A19,"_",AX$3),'Unit List'!$A$23:$H$3319,2,FALSE)),"+","")</f>
        <v>+</v>
      </c>
      <c r="AY19" s="95" t="str">
        <f>IF(ISTEXT(VLOOKUP(CONCATENATE($A19,"_",AY$3),'Unit List'!$A$23:$H$3319,2,FALSE)),"X",$AX19)</f>
        <v>X</v>
      </c>
      <c r="AZ19" s="114" t="str">
        <f>IF(ISTEXT(VLOOKUP(CONCATENATE($A19,"_",AZ$3),'Unit List'!$A$23:$H$3319,2,FALSE)),"X",$AX19)</f>
        <v>+</v>
      </c>
      <c r="BA19" s="115" t="str">
        <f>IF(ISTEXT(VLOOKUP(CONCATENATE($A19,"_",BA$3),'Unit List'!$A$23:$H$3319,2,FALSE)),"+","")</f>
        <v>+</v>
      </c>
      <c r="BB19" s="95" t="str">
        <f>IF(ISTEXT(VLOOKUP(CONCATENATE($A19,"_",BB$3),'Unit List'!$A$23:$H$3319,2,FALSE)),"X",$BA19)</f>
        <v>X</v>
      </c>
      <c r="BC19" s="143" t="str">
        <f>IF(ISTEXT(VLOOKUP(CONCATENATE($A19,"_",BC$3),'Unit List'!$A$23:$H$3319,2,FALSE)),"X",$BA19)</f>
        <v>X</v>
      </c>
      <c r="BD19" s="119" t="str">
        <f>IF(ISTEXT(VLOOKUP(CONCATENATE($A19,"_",BD$3),'Unit List'!$A$23:$H$3319,2,FALSE)),"X",$BA19)</f>
        <v>X</v>
      </c>
      <c r="BE19" s="144" t="str">
        <f>IF(ISTEXT(VLOOKUP(CONCATENATE($A19,"_",BE$3),'Unit List'!$A$23:$H$3319,2,FALSE)),"+","")</f>
        <v>+</v>
      </c>
      <c r="BF19" s="123" t="str">
        <f>IF(ISTEXT(VLOOKUP(CONCATENATE($A19,"_",BF$3),'Unit List'!$A$23:$H$3319,2,FALSE)),"X",$BE19)</f>
        <v>+</v>
      </c>
      <c r="BG19" s="145"/>
      <c r="BH19" s="146"/>
      <c r="BI19" s="228" t="s">
        <v>12</v>
      </c>
      <c r="BJ19" s="231"/>
      <c r="BK19" s="231"/>
      <c r="BL19" s="231"/>
      <c r="BM19" s="232"/>
      <c r="BN19" s="108"/>
      <c r="BO19" s="108"/>
      <c r="BP19" s="108"/>
      <c r="BQ19" s="108"/>
      <c r="BR19" s="108"/>
      <c r="BS19" s="108"/>
      <c r="DZ19" s="109"/>
      <c r="EA19" s="109"/>
    </row>
    <row r="20" spans="1:131" ht="12.75" customHeight="1" x14ac:dyDescent="0.2">
      <c r="A20" s="90" t="s">
        <v>33</v>
      </c>
      <c r="B20" s="91" t="str">
        <f>IF(ISTEXT(VLOOKUP(CONCATENATE($A20,"_",B$3),'Unit List'!$A$23:$H$3319,2,FALSE)),"+","")</f>
        <v/>
      </c>
      <c r="C20" s="131" t="str">
        <f>IF(ISTEXT(VLOOKUP(CONCATENATE($A20,"_",C$3),'Unit List'!$A$23:$H$3319,2,FALSE)),"X",$B20)</f>
        <v>X</v>
      </c>
      <c r="D20" s="94" t="str">
        <f>IF(ISTEXT(VLOOKUP(CONCATENATE($A20,"_",D$3),'Unit List'!$A$23:$H$3319,2,FALSE)),"X",$B20)</f>
        <v>X</v>
      </c>
      <c r="E20" s="94" t="str">
        <f>IF(ISTEXT(VLOOKUP(CONCATENATE($A20,"_",E$3),'Unit List'!$A$23:$H$3319,2,FALSE)),"X",$B20)</f>
        <v>X</v>
      </c>
      <c r="F20" s="95" t="str">
        <f>IF(ISTEXT(VLOOKUP(CONCATENATE($A20,"_",F$3),'Unit List'!$A$23:$H$3319,2,FALSE)),"X",$B20)</f>
        <v>X</v>
      </c>
      <c r="G20" s="95" t="str">
        <f>IF(ISTEXT(VLOOKUP(CONCATENATE($A20,"_",G$3),'Unit List'!$A$23:$H$3319,2,FALSE)),"X",$B20)</f>
        <v>X</v>
      </c>
      <c r="H20" s="95" t="str">
        <f>IF(ISTEXT(VLOOKUP(CONCATENATE($A20,"_",H$3),'Unit List'!$A$23:$H$3319,2,FALSE)),"X",$B20)</f>
        <v>X</v>
      </c>
      <c r="I20" s="114" t="str">
        <f>IF(ISTEXT(VLOOKUP(CONCATENATE($A20,"_",I$3),'Unit List'!$A$23:$H$3319,2,FALSE)),"X",$B20)</f>
        <v>X</v>
      </c>
      <c r="J20" s="97" t="str">
        <f>IF(ISTEXT(VLOOKUP(CONCATENATE($A20,"_",J$3),'Unit List'!$A$23:$H$3319,2,FALSE)),"+","")</f>
        <v/>
      </c>
      <c r="K20" s="94" t="str">
        <f>IF(ISTEXT(VLOOKUP(CONCATENATE($A20,"_",K$3),'Unit List'!$A$23:$H$3319,2,FALSE)),"X",$J20)</f>
        <v/>
      </c>
      <c r="L20" s="135" t="str">
        <f>IF(ISTEXT(VLOOKUP(CONCATENATE($A20,"_",L$3),'Unit List'!$A$23:$H$3319,2,FALSE)),"X",$J20)</f>
        <v>X</v>
      </c>
      <c r="M20" s="97" t="str">
        <f>IF(ISTEXT(VLOOKUP(CONCATENATE($A20,"_",M$3),'Unit List'!$A$23:$H$3319,2,FALSE)),"+","")</f>
        <v>+</v>
      </c>
      <c r="N20" s="95" t="str">
        <f>IF(ISTEXT(VLOOKUP(CONCATENATE($A20,"_",N$3),'Unit List'!$A$23:$H$3319,2,FALSE)),"X",$M20)</f>
        <v>X</v>
      </c>
      <c r="O20" s="114" t="str">
        <f>IF(ISTEXT(VLOOKUP(CONCATENATE($A20,"_",O$3),'Unit List'!$A$23:$H$3319,2,FALSE)),"X",$M20)</f>
        <v>X</v>
      </c>
      <c r="P20" s="97" t="str">
        <f>IF(ISTEXT(VLOOKUP(CONCATENATE($A20,"_",P$3),'Unit List'!$A$23:$H$3319,2,FALSE)),"+","")</f>
        <v/>
      </c>
      <c r="Q20" s="94" t="str">
        <f>IF(ISTEXT(VLOOKUP(CONCATENATE($A20,"_",Q$3),'Unit List'!$A$23:$H$3319,2,FALSE)),"X",$P20)</f>
        <v/>
      </c>
      <c r="R20" s="94" t="str">
        <f>IF(ISTEXT(VLOOKUP(CONCATENATE($A20,"_",R$3),'Unit List'!$A$23:$H$3319,2,FALSE)),"X",$P20)</f>
        <v/>
      </c>
      <c r="S20" s="95" t="str">
        <f>IF(ISTEXT(VLOOKUP(CONCATENATE($A20,"_",S$3),'Unit List'!$A$23:$H$3319,2,FALSE)),"X",$P20)</f>
        <v>X</v>
      </c>
      <c r="T20" s="100" t="str">
        <f>IF(ISTEXT(VLOOKUP(CONCATENATE($A20,"_",T$3),'Unit List'!$A$23:$H$3319,2,FALSE)),"X",$P20)</f>
        <v/>
      </c>
      <c r="U20" s="95" t="str">
        <f>IF(ISTEXT(VLOOKUP(CONCATENATE($A20,"_",U$3),'Unit List'!$A$23:$H$3319,2,FALSE)),"X",$P20)</f>
        <v>X</v>
      </c>
      <c r="V20" s="94" t="str">
        <f>IF(ISTEXT(VLOOKUP(CONCATENATE($A20,"_",V$3),'Unit List'!$A$23:$H$3319,2,FALSE)),"X",$P20)</f>
        <v/>
      </c>
      <c r="W20" s="96" t="str">
        <f>IF(ISTEXT(VLOOKUP(CONCATENATE($A20,"_",W$3),'Unit List'!$A$23:$H$3319,2,FALSE)),"X",$P20)</f>
        <v/>
      </c>
      <c r="X20" s="97" t="str">
        <f>IF(ISTEXT(VLOOKUP(CONCATENATE($A20,"_",X$3),'Unit List'!$A$23:$H$3319,2,FALSE)),"+","")</f>
        <v/>
      </c>
      <c r="Y20" s="94" t="str">
        <f>IF(ISTEXT(VLOOKUP(CONCATENATE($A20,"_",Y$3),'Unit List'!$A$23:$H$3319,2,FALSE)),"X",$X20)</f>
        <v/>
      </c>
      <c r="Z20" s="94" t="str">
        <f>IF(ISTEXT(VLOOKUP(CONCATENATE($A20,"_",Z$3),'Unit List'!$A$23:$H$3319,2,FALSE)),"X",$X20)</f>
        <v/>
      </c>
      <c r="AA20" s="94" t="str">
        <f>IF(ISTEXT(VLOOKUP(CONCATENATE($A20,"_",AA$3),'Unit List'!$A$23:$H$3319,2,FALSE)),"X",$X20)</f>
        <v/>
      </c>
      <c r="AB20" s="94" t="str">
        <f>IF(ISTEXT(VLOOKUP(CONCATENATE($A20,"_",AB$3),'Unit List'!$A$23:$H$3319,2,FALSE)),"X",$X20)</f>
        <v/>
      </c>
      <c r="AC20" s="101" t="str">
        <f>IF(ISTEXT(VLOOKUP(CONCATENATE($A20,"_",AC$3),'Unit List'!$A$23:$H$3319,2,FALSE)),"X",$X20)</f>
        <v/>
      </c>
      <c r="AD20" s="97" t="str">
        <f>IF(ISTEXT(VLOOKUP(CONCATENATE($A20,"_",AD$3),'Unit List'!$A$23:$H$3319,2,FALSE)),"+","")</f>
        <v>+</v>
      </c>
      <c r="AE20" s="94" t="str">
        <f>IF(ISTEXT(VLOOKUP(CONCATENATE($A20,"_",AE$3),'Unit List'!$A$23:$H$3319,2,FALSE)),"X",$AD20)</f>
        <v>+</v>
      </c>
      <c r="AF20" s="94" t="str">
        <f>IF(ISTEXT(VLOOKUP(CONCATENATE($A20,"_",AF$3),'Unit List'!$A$23:$H$3319,2,FALSE)),"X",$AD20)</f>
        <v>+</v>
      </c>
      <c r="AG20" s="97" t="str">
        <f>IF(ISTEXT(VLOOKUP(CONCATENATE($A20,"_",AG$3),'Unit List'!$A$23:$H$3319,2,FALSE)),"+","")</f>
        <v/>
      </c>
      <c r="AH20" s="94" t="str">
        <f>IF(ISTEXT(VLOOKUP(CONCATENATE($A20,"_",AH$3),'Unit List'!$A$23:$H$3319,2,FALSE)),"X",$AG20)</f>
        <v/>
      </c>
      <c r="AI20" s="94" t="str">
        <f>IF(ISTEXT(VLOOKUP(CONCATENATE($A20,"_",AI$3),'Unit List'!$A$23:$H$3319,2,FALSE)),"X",$AG20)</f>
        <v/>
      </c>
      <c r="AJ20" s="96" t="str">
        <f>IF(ISTEXT(VLOOKUP(CONCATENATE($A20,"_",AJ$3),'Unit List'!$A$23:$H$3319,2,FALSE)),"X",$AG20)</f>
        <v>X</v>
      </c>
      <c r="AK20" s="97" t="str">
        <f>IF(ISTEXT(VLOOKUP(CONCATENATE($A20,"_",AK$3),'Unit List'!$A$23:$H$3319,2,FALSE)),"+","")</f>
        <v/>
      </c>
      <c r="AL20" s="100" t="str">
        <f>IF(ISTEXT(VLOOKUP(CONCATENATE($A20,"_",AL$3),'Unit List'!$A$23:$H$3319,2,FALSE)),"X",$AK20)</f>
        <v/>
      </c>
      <c r="AM20" s="96" t="str">
        <f>IF(ISTEXT(VLOOKUP(CONCATENATE($A20,"_",AM$3),'Unit List'!$A$23:$H$3319,2,FALSE)),"X",$AK20)</f>
        <v/>
      </c>
      <c r="AN20" s="103" t="str">
        <f>IF(ISTEXT(VLOOKUP(CONCATENATE($A20,"_",AN$3),'Unit List'!$A$23:$H$3319,2,FALSE)),"+","")</f>
        <v>+</v>
      </c>
      <c r="AO20" s="96" t="str">
        <f>IF(ISTEXT(VLOOKUP(CONCATENATE($A20,"_",AO$3),'Unit List'!$A$23:$H$3319,2,FALSE)),"X",$AN20)</f>
        <v>+</v>
      </c>
      <c r="AP20" s="97" t="str">
        <f>IF(ISTEXT(VLOOKUP(CONCATENATE($A20,"_",AP$3),'Unit List'!$A$23:$H$3319,2,FALSE)),"+","")</f>
        <v>+</v>
      </c>
      <c r="AQ20" s="94" t="str">
        <f>IF(ISTEXT(VLOOKUP(CONCATENATE($A20,"_",AQ$3),'Unit List'!$A$23:$H$3319,2,FALSE)),"X",$AP20)</f>
        <v>+</v>
      </c>
      <c r="AR20" s="95" t="str">
        <f>IF(ISTEXT(VLOOKUP(CONCATENATE($A20,"_",AR$3),'Unit List'!$A$23:$H$3319,2,FALSE)),"X",$AP20)</f>
        <v>X</v>
      </c>
      <c r="AS20" s="94" t="str">
        <f>IF(ISTEXT(VLOOKUP(CONCATENATE($A20,"_",AS$3),'Unit List'!$A$23:$H$3319,2,FALSE)),"X",$AP20)</f>
        <v>X</v>
      </c>
      <c r="AT20" s="96" t="str">
        <f>IF(ISTEXT(VLOOKUP(CONCATENATE($A20,"_",AT$3),'Unit List'!$A$23:$H$3319,2,FALSE)),"X",$AP20)</f>
        <v>+</v>
      </c>
      <c r="AU20" s="104" t="str">
        <f>IF(ISTEXT(VLOOKUP(CONCATENATE($A20,"_",AU$3),'Unit List'!$A$23:$H$3319,2,FALSE)),"+","")</f>
        <v>+</v>
      </c>
      <c r="AV20" s="94" t="str">
        <f>IF(ISTEXT(VLOOKUP(CONCATENATE($A20,"_",AV$3),'Unit List'!$A$23:$H$3319,2,FALSE)),"X",$AU20)</f>
        <v>+</v>
      </c>
      <c r="AW20" s="96" t="str">
        <f>IF(ISTEXT(VLOOKUP(CONCATENATE($A20,"_",AW$3),'Unit List'!$A$23:$H$3319,2,FALSE)),"X",$AU20)</f>
        <v>+</v>
      </c>
      <c r="AX20" s="97" t="str">
        <f>IF(ISTEXT(VLOOKUP(CONCATENATE($A20,"_",AX$3),'Unit List'!$A$23:$H$3319,2,FALSE)),"+","")</f>
        <v>+</v>
      </c>
      <c r="AY20" s="94" t="str">
        <f>IF(ISTEXT(VLOOKUP(CONCATENATE($A20,"_",AY$3),'Unit List'!$A$23:$H$3319,2,FALSE)),"X",$AX20)</f>
        <v>+</v>
      </c>
      <c r="AZ20" s="96" t="str">
        <f>IF(ISTEXT(VLOOKUP(CONCATENATE($A20,"_",AZ$3),'Unit List'!$A$23:$H$3319,2,FALSE)),"X",$AX20)</f>
        <v>+</v>
      </c>
      <c r="BA20" s="105" t="str">
        <f>IF(ISTEXT(VLOOKUP(CONCATENATE($A20,"_",BA$3),'Unit List'!$A$23:$H$3319,2,FALSE)),"+","")</f>
        <v/>
      </c>
      <c r="BB20" s="94" t="str">
        <f>IF(ISTEXT(VLOOKUP(CONCATENATE($A20,"_",BB$3),'Unit List'!$A$23:$H$3319,2,FALSE)),"X",$BA20)</f>
        <v/>
      </c>
      <c r="BC20" s="94" t="str">
        <f>IF(ISTEXT(VLOOKUP(CONCATENATE($A20,"_",BC$3),'Unit List'!$A$23:$H$3319,2,FALSE)),"X",$BA20)</f>
        <v/>
      </c>
      <c r="BD20" s="96" t="str">
        <f>IF(ISTEXT(VLOOKUP(CONCATENATE($A20,"_",BD$3),'Unit List'!$A$23:$H$3319,2,FALSE)),"X",$BA20)</f>
        <v/>
      </c>
      <c r="BE20" s="103" t="str">
        <f>IF(ISTEXT(VLOOKUP(CONCATENATE($A20,"_",BE$3),'Unit List'!$A$23:$H$3319,2,FALSE)),"+","")</f>
        <v>+</v>
      </c>
      <c r="BF20" s="101" t="str">
        <f>IF(ISTEXT(VLOOKUP(CONCATENATE($A20,"_",BF$3),'Unit List'!$A$23:$H$3319,2,FALSE)),"X",$BE20)</f>
        <v>+</v>
      </c>
      <c r="BG20" s="124"/>
      <c r="BH20" s="133"/>
      <c r="BI20" s="228"/>
      <c r="BJ20" s="229"/>
      <c r="BK20" s="229"/>
      <c r="BL20" s="229"/>
      <c r="BM20" s="230"/>
      <c r="BN20" s="108"/>
      <c r="BO20" s="108"/>
      <c r="BP20" s="108"/>
      <c r="BQ20" s="108"/>
      <c r="BR20" s="108"/>
      <c r="BS20" s="108"/>
      <c r="DZ20" s="109"/>
      <c r="EA20" s="109"/>
    </row>
    <row r="21" spans="1:131" ht="12.75" customHeight="1" x14ac:dyDescent="0.2">
      <c r="A21" s="90" t="s">
        <v>32</v>
      </c>
      <c r="B21" s="91" t="str">
        <f>IF(ISTEXT(VLOOKUP(CONCATENATE($A21,"_",B$3),'Unit List'!$A$23:$H$3319,2,FALSE)),"+","")</f>
        <v/>
      </c>
      <c r="C21" s="131" t="str">
        <f>IF(ISTEXT(VLOOKUP(CONCATENATE($A21,"_",C$3),'Unit List'!$A$23:$H$3319,2,FALSE)),"X",$B21)</f>
        <v>X</v>
      </c>
      <c r="D21" s="95" t="str">
        <f>IF(ISTEXT(VLOOKUP(CONCATENATE($A21,"_",D$3),'Unit List'!$A$23:$H$3319,2,FALSE)),"X",$B21)</f>
        <v>X</v>
      </c>
      <c r="E21" s="94" t="str">
        <f>IF(ISTEXT(VLOOKUP(CONCATENATE($A21,"_",E$3),'Unit List'!$A$23:$H$3319,2,FALSE)),"X",$B21)</f>
        <v>X</v>
      </c>
      <c r="F21" s="95" t="str">
        <f>IF(ISTEXT(VLOOKUP(CONCATENATE($A21,"_",F$3),'Unit List'!$A$23:$H$3319,2,FALSE)),"X",$B21)</f>
        <v>X</v>
      </c>
      <c r="G21" s="95" t="str">
        <f>IF(ISTEXT(VLOOKUP(CONCATENATE($A21,"_",G$3),'Unit List'!$A$23:$H$3319,2,FALSE)),"X",$B21)</f>
        <v>X</v>
      </c>
      <c r="H21" s="95" t="str">
        <f>IF(ISTEXT(VLOOKUP(CONCATENATE($A21,"_",H$3),'Unit List'!$A$23:$H$3319,2,FALSE)),"X",$B21)</f>
        <v>X</v>
      </c>
      <c r="I21" s="114" t="str">
        <f>IF(ISTEXT(VLOOKUP(CONCATENATE($A21,"_",I$3),'Unit List'!$A$23:$H$3319,2,FALSE)),"X",$B21)</f>
        <v>X</v>
      </c>
      <c r="J21" s="97" t="str">
        <f>IF(ISTEXT(VLOOKUP(CONCATENATE($A21,"_",J$3),'Unit List'!$A$23:$H$3319,2,FALSE)),"+","")</f>
        <v/>
      </c>
      <c r="K21" s="94" t="str">
        <f>IF(ISTEXT(VLOOKUP(CONCATENATE($A21,"_",K$3),'Unit List'!$A$23:$H$3319,2,FALSE)),"X",$J21)</f>
        <v/>
      </c>
      <c r="L21" s="135" t="str">
        <f>IF(ISTEXT(VLOOKUP(CONCATENATE($A21,"_",L$3),'Unit List'!$A$23:$H$3319,2,FALSE)),"X",$J21)</f>
        <v>X</v>
      </c>
      <c r="M21" s="97" t="str">
        <f>IF(ISTEXT(VLOOKUP(CONCATENATE($A21,"_",M$3),'Unit List'!$A$23:$H$3319,2,FALSE)),"+","")</f>
        <v>+</v>
      </c>
      <c r="N21" s="95" t="str">
        <f>IF(ISTEXT(VLOOKUP(CONCATENATE($A21,"_",N$3),'Unit List'!$A$23:$H$3319,2,FALSE)),"X",$M21)</f>
        <v>X</v>
      </c>
      <c r="O21" s="114" t="str">
        <f>IF(ISTEXT(VLOOKUP(CONCATENATE($A21,"_",O$3),'Unit List'!$A$23:$H$3319,2,FALSE)),"X",$M21)</f>
        <v>X</v>
      </c>
      <c r="P21" s="97" t="str">
        <f>IF(ISTEXT(VLOOKUP(CONCATENATE($A21,"_",P$3),'Unit List'!$A$23:$H$3319,2,FALSE)),"+","")</f>
        <v/>
      </c>
      <c r="Q21" s="94" t="str">
        <f>IF(ISTEXT(VLOOKUP(CONCATENATE($A21,"_",Q$3),'Unit List'!$A$23:$H$3319,2,FALSE)),"X",$P21)</f>
        <v>X</v>
      </c>
      <c r="R21" s="94" t="str">
        <f>IF(ISTEXT(VLOOKUP(CONCATENATE($A21,"_",R$3),'Unit List'!$A$23:$H$3319,2,FALSE)),"X",$P21)</f>
        <v/>
      </c>
      <c r="S21" s="95" t="str">
        <f>IF(ISTEXT(VLOOKUP(CONCATENATE($A21,"_",S$3),'Unit List'!$A$23:$H$3319,2,FALSE)),"X",$P21)</f>
        <v>X</v>
      </c>
      <c r="T21" s="100" t="str">
        <f>IF(ISTEXT(VLOOKUP(CONCATENATE($A21,"_",T$3),'Unit List'!$A$23:$H$3319,2,FALSE)),"X",$P21)</f>
        <v/>
      </c>
      <c r="U21" s="95" t="str">
        <f>IF(ISTEXT(VLOOKUP(CONCATENATE($A21,"_",U$3),'Unit List'!$A$23:$H$3319,2,FALSE)),"X",$P21)</f>
        <v>X</v>
      </c>
      <c r="V21" s="95" t="str">
        <f>IF(ISTEXT(VLOOKUP(CONCATENATE($A21,"_",V$3),'Unit List'!$A$23:$H$3319,2,FALSE)),"X",$P21)</f>
        <v>X</v>
      </c>
      <c r="W21" s="96" t="str">
        <f>IF(ISTEXT(VLOOKUP(CONCATENATE($A21,"_",W$3),'Unit List'!$A$23:$H$3319,2,FALSE)),"X",$P21)</f>
        <v/>
      </c>
      <c r="X21" s="115" t="str">
        <f>IF(ISTEXT(VLOOKUP(CONCATENATE($A21,"_",X$3),'Unit List'!$A$23:$H$3319,2,FALSE)),"+","")</f>
        <v>+</v>
      </c>
      <c r="Y21" s="113" t="str">
        <f>IF(ISTEXT(VLOOKUP(CONCATENATE($A21,"_",Y$3),'Unit List'!$A$23:$H$3319,2,FALSE)),"X",$X21)</f>
        <v>+</v>
      </c>
      <c r="Z21" s="113" t="str">
        <f>IF(ISTEXT(VLOOKUP(CONCATENATE($A21,"_",Z$3),'Unit List'!$A$23:$H$3319,2,FALSE)),"X",$X21)</f>
        <v>+</v>
      </c>
      <c r="AA21" s="113" t="str">
        <f>IF(ISTEXT(VLOOKUP(CONCATENATE($A21,"_",AA$3),'Unit List'!$A$23:$H$3319,2,FALSE)),"X",$X21)</f>
        <v>+</v>
      </c>
      <c r="AB21" s="95" t="str">
        <f>IF(ISTEXT(VLOOKUP(CONCATENATE($A21,"_",AB$3),'Unit List'!$A$23:$H$3319,2,FALSE)),"X",$X21)</f>
        <v>X</v>
      </c>
      <c r="AC21" s="123" t="str">
        <f>IF(ISTEXT(VLOOKUP(CONCATENATE($A21,"_",AC$3),'Unit List'!$A$23:$H$3319,2,FALSE)),"X",$X21)</f>
        <v>+</v>
      </c>
      <c r="AD21" s="115" t="str">
        <f>IF(ISTEXT(VLOOKUP(CONCATENATE($A21,"_",AD$3),'Unit List'!$A$23:$H$3319,2,FALSE)),"+","")</f>
        <v>+</v>
      </c>
      <c r="AE21" s="94" t="str">
        <f>IF(ISTEXT(VLOOKUP(CONCATENATE($A21,"_",AE$3),'Unit List'!$A$23:$H$3319,2,FALSE)),"X",$AD21)</f>
        <v>+</v>
      </c>
      <c r="AF21" s="94" t="str">
        <f>IF(ISTEXT(VLOOKUP(CONCATENATE($A21,"_",AF$3),'Unit List'!$A$23:$H$3319,2,FALSE)),"X",$AD21)</f>
        <v>+</v>
      </c>
      <c r="AG21" s="115" t="str">
        <f>IF(ISTEXT(VLOOKUP(CONCATENATE($A21,"_",AG$3),'Unit List'!$A$23:$H$3319,2,FALSE)),"+","")</f>
        <v>+</v>
      </c>
      <c r="AH21" s="113" t="str">
        <f>IF(ISTEXT(VLOOKUP(CONCATENATE($A21,"_",AH$3),'Unit List'!$A$23:$H$3319,2,FALSE)),"X",$AG21)</f>
        <v>+</v>
      </c>
      <c r="AI21" s="113" t="str">
        <f>IF(ISTEXT(VLOOKUP(CONCATENATE($A21,"_",AI$3),'Unit List'!$A$23:$H$3319,2,FALSE)),"X",$AG21)</f>
        <v>+</v>
      </c>
      <c r="AJ21" s="96" t="str">
        <f>IF(ISTEXT(VLOOKUP(CONCATENATE($A21,"_",AJ$3),'Unit List'!$A$23:$H$3319,2,FALSE)),"X",$AG21)</f>
        <v>X</v>
      </c>
      <c r="AK21" s="115" t="str">
        <f>IF(ISTEXT(VLOOKUP(CONCATENATE($A21,"_",AK$3),'Unit List'!$A$23:$H$3319,2,FALSE)),"+","")</f>
        <v/>
      </c>
      <c r="AL21" s="136" t="str">
        <f>IF(ISTEXT(VLOOKUP(CONCATENATE($A21,"_",AL$3),'Unit List'!$A$23:$H$3319,2,FALSE)),"X",$AK21)</f>
        <v>X</v>
      </c>
      <c r="AM21" s="96" t="str">
        <f>IF(ISTEXT(VLOOKUP(CONCATENATE($A21,"_",AM$3),'Unit List'!$A$23:$H$3319,2,FALSE)),"X",$AK21)</f>
        <v>X</v>
      </c>
      <c r="AN21" s="144" t="str">
        <f>IF(ISTEXT(VLOOKUP(CONCATENATE($A21,"_",AN$3),'Unit List'!$A$23:$H$3319,2,FALSE)),"+","")</f>
        <v>+</v>
      </c>
      <c r="AO21" s="96" t="str">
        <f>IF(ISTEXT(VLOOKUP(CONCATENATE($A21,"_",AO$3),'Unit List'!$A$23:$H$3319,2,FALSE)),"X",$AN21)</f>
        <v>+</v>
      </c>
      <c r="AP21" s="97" t="str">
        <f>IF(ISTEXT(VLOOKUP(CONCATENATE($A21,"_",AP$3),'Unit List'!$A$23:$H$3319,2,FALSE)),"+","")</f>
        <v/>
      </c>
      <c r="AQ21" s="95" t="str">
        <f>IF(ISTEXT(VLOOKUP(CONCATENATE($A21,"_",AQ$3),'Unit List'!$A$23:$H$3319,2,FALSE)),"X",$AP21)</f>
        <v>X</v>
      </c>
      <c r="AR21" s="138" t="s">
        <v>0</v>
      </c>
      <c r="AS21" s="94" t="str">
        <f>IF(ISTEXT(VLOOKUP(CONCATENATE($A21,"_",AS$3),'Unit List'!$A$23:$H$3319,2,FALSE)),"X",$AP21)</f>
        <v/>
      </c>
      <c r="AT21" s="96" t="str">
        <f>IF(ISTEXT(VLOOKUP(CONCATENATE($A21,"_",AT$3),'Unit List'!$A$23:$H$3319,2,FALSE)),"X",$AP21)</f>
        <v/>
      </c>
      <c r="AU21" s="104" t="str">
        <f>IF(ISTEXT(VLOOKUP(CONCATENATE($A21,"_",AU$3),'Unit List'!$A$23:$H$3319,2,FALSE)),"+","")</f>
        <v>+</v>
      </c>
      <c r="AV21" s="94" t="str">
        <f>IF(ISTEXT(VLOOKUP(CONCATENATE($A21,"_",AV$3),'Unit List'!$A$23:$H$3319,2,FALSE)),"X",$AU21)</f>
        <v>+</v>
      </c>
      <c r="AW21" s="96" t="str">
        <f>IF(ISTEXT(VLOOKUP(CONCATENATE($A21,"_",AW$3),'Unit List'!$A$23:$H$3319,2,FALSE)),"X",$AU21)</f>
        <v>+</v>
      </c>
      <c r="AX21" s="115" t="str">
        <f>IF(ISTEXT(VLOOKUP(CONCATENATE($A21,"_",AX$3),'Unit List'!$A$23:$H$3319,2,FALSE)),"+","")</f>
        <v>+</v>
      </c>
      <c r="AY21" s="113" t="str">
        <f>IF(ISTEXT(VLOOKUP(CONCATENATE($A21,"_",AY$3),'Unit List'!$A$23:$H$3319,2,FALSE)),"X",$AX21)</f>
        <v>+</v>
      </c>
      <c r="AZ21" s="96" t="str">
        <f>IF(ISTEXT(VLOOKUP(CONCATENATE($A21,"_",AZ$3),'Unit List'!$A$23:$H$3319,2,FALSE)),"X",$AX21)</f>
        <v>+</v>
      </c>
      <c r="BA21" s="115" t="str">
        <f>IF(ISTEXT(VLOOKUP(CONCATENATE($A21,"_",BA$3),'Unit List'!$A$23:$H$3319,2,FALSE)),"+","")</f>
        <v>+</v>
      </c>
      <c r="BB21" s="113" t="str">
        <f>IF(ISTEXT(VLOOKUP(CONCATENATE($A21,"_",BB$3),'Unit List'!$A$23:$H$3319,2,FALSE)),"X",$BA21)</f>
        <v>+</v>
      </c>
      <c r="BC21" s="113" t="str">
        <f>IF(ISTEXT(VLOOKUP(CONCATENATE($A21,"_",BC$3),'Unit List'!$A$23:$H$3319,2,FALSE)),"X",$BA21)</f>
        <v>+</v>
      </c>
      <c r="BD21" s="117" t="str">
        <f>IF(ISTEXT(VLOOKUP(CONCATENATE($A21,"_",BD$3),'Unit List'!$A$23:$H$3319,2,FALSE)),"X",$BA21)</f>
        <v>+</v>
      </c>
      <c r="BE21" s="144" t="str">
        <f>IF(ISTEXT(VLOOKUP(CONCATENATE($A21,"_",BE$3),'Unit List'!$A$23:$H$3319,2,FALSE)),"+","")</f>
        <v>+</v>
      </c>
      <c r="BF21" s="101" t="str">
        <f>IF(ISTEXT(VLOOKUP(CONCATENATE($A21,"_",BF$3),'Unit List'!$A$23:$H$3319,2,FALSE)),"X",$BE21)</f>
        <v>+</v>
      </c>
      <c r="BG21" s="147"/>
      <c r="BH21" s="148" t="s">
        <v>0</v>
      </c>
      <c r="BI21" s="228"/>
      <c r="BJ21" s="229"/>
      <c r="BK21" s="229"/>
      <c r="BL21" s="229"/>
      <c r="BM21" s="230"/>
      <c r="BN21" s="108"/>
      <c r="BO21" s="108"/>
      <c r="BP21" s="108"/>
      <c r="BQ21" s="108"/>
      <c r="BR21" s="108"/>
      <c r="BS21" s="108"/>
      <c r="DZ21" s="109"/>
      <c r="EA21" s="109"/>
    </row>
    <row r="22" spans="1:131" ht="12.75" customHeight="1" x14ac:dyDescent="0.2">
      <c r="A22" s="90" t="s">
        <v>31</v>
      </c>
      <c r="B22" s="91" t="str">
        <f>IF(ISTEXT(VLOOKUP(CONCATENATE($A22,"_",B$3),'Unit List'!$A$23:$H$3319,2,FALSE)),"+","")</f>
        <v/>
      </c>
      <c r="C22" s="92" t="str">
        <f>IF(ISTEXT(VLOOKUP(CONCATENATE($A22,"_",C$3),'Unit List'!$A$23:$H$3319,2,FALSE)),"X",$B22)</f>
        <v/>
      </c>
      <c r="D22" s="94" t="str">
        <f>IF(ISTEXT(VLOOKUP(CONCATENATE($A22,"_",D$3),'Unit List'!$A$23:$H$3319,2,FALSE)),"X",$B22)</f>
        <v/>
      </c>
      <c r="E22" s="94" t="str">
        <f>IF(ISTEXT(VLOOKUP(CONCATENATE($A22,"_",E$3),'Unit List'!$A$23:$H$3319,2,FALSE)),"X",$B22)</f>
        <v/>
      </c>
      <c r="F22" s="138" t="s">
        <v>0</v>
      </c>
      <c r="G22" s="94" t="str">
        <f>IF(ISTEXT(VLOOKUP(CONCATENATE($A22,"_",G$3),'Unit List'!$A$23:$H$3319,2,FALSE)),"X",$B22)</f>
        <v/>
      </c>
      <c r="H22" s="94" t="str">
        <f>IF(ISTEXT(VLOOKUP(CONCATENATE($A22,"_",H$3),'Unit List'!$A$23:$H$3319,2,FALSE)),"X",$B22)</f>
        <v/>
      </c>
      <c r="I22" s="96" t="str">
        <f>IF(ISTEXT(VLOOKUP(CONCATENATE($A22,"_",I$3),'Unit List'!$A$23:$H$3319,2,FALSE)),"X",$B22)</f>
        <v/>
      </c>
      <c r="J22" s="97" t="str">
        <f>IF(ISTEXT(VLOOKUP(CONCATENATE($A22,"_",J$3),'Unit List'!$A$23:$H$3319,2,FALSE)),"+","")</f>
        <v/>
      </c>
      <c r="K22" s="94" t="str">
        <f>IF(ISTEXT(VLOOKUP(CONCATENATE($A22,"_",K$3),'Unit List'!$A$23:$H$3319,2,FALSE)),"X",$J22)</f>
        <v/>
      </c>
      <c r="L22" s="101" t="str">
        <f>IF(ISTEXT(VLOOKUP(CONCATENATE($A22,"_",L$3),'Unit List'!$A$23:$H$3319,2,FALSE)),"X",$J22)</f>
        <v/>
      </c>
      <c r="M22" s="97" t="str">
        <f>IF(ISTEXT(VLOOKUP(CONCATENATE($A22,"_",M$3),'Unit List'!$A$23:$H$3319,2,FALSE)),"+","")</f>
        <v/>
      </c>
      <c r="N22" s="94" t="str">
        <f>IF(ISTEXT(VLOOKUP(CONCATENATE($A22,"_",N$3),'Unit List'!$A$23:$H$3319,2,FALSE)),"X",$M22)</f>
        <v/>
      </c>
      <c r="O22" s="96" t="str">
        <f>IF(ISTEXT(VLOOKUP(CONCATENATE($A22,"_",O$3),'Unit List'!$A$23:$H$3319,2,FALSE)),"X",$M22)</f>
        <v/>
      </c>
      <c r="P22" s="97" t="str">
        <f>IF(ISTEXT(VLOOKUP(CONCATENATE($A22,"_",P$3),'Unit List'!$A$23:$H$3319,2,FALSE)),"+","")</f>
        <v/>
      </c>
      <c r="Q22" s="94" t="str">
        <f>IF(ISTEXT(VLOOKUP(CONCATENATE($A22,"_",Q$3),'Unit List'!$A$23:$H$3319,2,FALSE)),"X",$P22)</f>
        <v/>
      </c>
      <c r="R22" s="94" t="str">
        <f>IF(ISTEXT(VLOOKUP(CONCATENATE($A22,"_",R$3),'Unit List'!$A$23:$H$3319,2,FALSE)),"X",$P22)</f>
        <v/>
      </c>
      <c r="S22" s="94" t="str">
        <f>IF(ISTEXT(VLOOKUP(CONCATENATE($A22,"_",S$3),'Unit List'!$A$23:$H$3319,2,FALSE)),"X",$P22)</f>
        <v/>
      </c>
      <c r="T22" s="100" t="str">
        <f>IF(ISTEXT(VLOOKUP(CONCATENATE($A22,"_",T$3),'Unit List'!$A$23:$H$3319,2,FALSE)),"X",$P22)</f>
        <v/>
      </c>
      <c r="U22" s="94" t="str">
        <f>IF(ISTEXT(VLOOKUP(CONCATENATE($A22,"_",U$3),'Unit List'!$A$23:$H$3319,2,FALSE)),"X",$P22)</f>
        <v/>
      </c>
      <c r="V22" s="94" t="str">
        <f>IF(ISTEXT(VLOOKUP(CONCATENATE($A22,"_",V$3),'Unit List'!$A$23:$H$3319,2,FALSE)),"X",$P22)</f>
        <v/>
      </c>
      <c r="W22" s="96" t="str">
        <f>IF(ISTEXT(VLOOKUP(CONCATENATE($A22,"_",W$3),'Unit List'!$A$23:$H$3319,2,FALSE)),"X",$P22)</f>
        <v/>
      </c>
      <c r="X22" s="97" t="str">
        <f>IF(ISTEXT(VLOOKUP(CONCATENATE($A22,"_",X$3),'Unit List'!$A$23:$H$3319,2,FALSE)),"+","")</f>
        <v/>
      </c>
      <c r="Y22" s="94" t="str">
        <f>IF(ISTEXT(VLOOKUP(CONCATENATE($A22,"_",Y$3),'Unit List'!$A$23:$H$3319,2,FALSE)),"X",$X22)</f>
        <v/>
      </c>
      <c r="Z22" s="94" t="str">
        <f>IF(ISTEXT(VLOOKUP(CONCATENATE($A22,"_",Z$3),'Unit List'!$A$23:$H$3319,2,FALSE)),"X",$X22)</f>
        <v/>
      </c>
      <c r="AA22" s="94" t="str">
        <f>IF(ISTEXT(VLOOKUP(CONCATENATE($A22,"_",AA$3),'Unit List'!$A$23:$H$3319,2,FALSE)),"X",$X22)</f>
        <v/>
      </c>
      <c r="AB22" s="94" t="str">
        <f>IF(ISTEXT(VLOOKUP(CONCATENATE($A22,"_",AB$3),'Unit List'!$A$23:$H$3319,2,FALSE)),"X",$X22)</f>
        <v/>
      </c>
      <c r="AC22" s="101" t="str">
        <f>IF(ISTEXT(VLOOKUP(CONCATENATE($A22,"_",AC$3),'Unit List'!$A$23:$H$3319,2,FALSE)),"X",$X22)</f>
        <v/>
      </c>
      <c r="AD22" s="97" t="str">
        <f>IF(ISTEXT(VLOOKUP(CONCATENATE($A22,"_",AD$3),'Unit List'!$A$23:$H$3319,2,FALSE)),"+","")</f>
        <v/>
      </c>
      <c r="AE22" s="94" t="str">
        <f>IF(ISTEXT(VLOOKUP(CONCATENATE($A22,"_",AE$3),'Unit List'!$A$23:$H$3319,2,FALSE)),"X",$AD22)</f>
        <v/>
      </c>
      <c r="AF22" s="94" t="str">
        <f>IF(ISTEXT(VLOOKUP(CONCATENATE($A22,"_",AF$3),'Unit List'!$A$23:$H$3319,2,FALSE)),"X",$AD22)</f>
        <v/>
      </c>
      <c r="AG22" s="97" t="str">
        <f>IF(ISTEXT(VLOOKUP(CONCATENATE($A22,"_",AG$3),'Unit List'!$A$23:$H$3319,2,FALSE)),"+","")</f>
        <v/>
      </c>
      <c r="AH22" s="94" t="str">
        <f>IF(ISTEXT(VLOOKUP(CONCATENATE($A22,"_",AH$3),'Unit List'!$A$23:$H$3319,2,FALSE)),"X",$AG22)</f>
        <v/>
      </c>
      <c r="AI22" s="94" t="str">
        <f>IF(ISTEXT(VLOOKUP(CONCATENATE($A22,"_",AI$3),'Unit List'!$A$23:$H$3319,2,FALSE)),"X",$AG22)</f>
        <v/>
      </c>
      <c r="AJ22" s="96" t="str">
        <f>IF(ISTEXT(VLOOKUP(CONCATENATE($A22,"_",AJ$3),'Unit List'!$A$23:$H$3319,2,FALSE)),"X",$AG22)</f>
        <v/>
      </c>
      <c r="AK22" s="97" t="str">
        <f>IF(ISTEXT(VLOOKUP(CONCATENATE($A22,"_",AK$3),'Unit List'!$A$23:$H$3319,2,FALSE)),"+","")</f>
        <v/>
      </c>
      <c r="AL22" s="100" t="str">
        <f>IF(ISTEXT(VLOOKUP(CONCATENATE($A22,"_",AL$3),'Unit List'!$A$23:$H$3319,2,FALSE)),"X",$AK22)</f>
        <v/>
      </c>
      <c r="AM22" s="96" t="str">
        <f>IF(ISTEXT(VLOOKUP(CONCATENATE($A22,"_",AM$3),'Unit List'!$A$23:$H$3319,2,FALSE)),"X",$AK22)</f>
        <v/>
      </c>
      <c r="AN22" s="103" t="str">
        <f>IF(ISTEXT(VLOOKUP(CONCATENATE($A22,"_",AN$3),'Unit List'!$A$23:$H$3319,2,FALSE)),"+","")</f>
        <v/>
      </c>
      <c r="AO22" s="96" t="str">
        <f>IF(ISTEXT(VLOOKUP(CONCATENATE($A22,"_",AO$3),'Unit List'!$A$23:$H$3319,2,FALSE)),"X",$AN22)</f>
        <v/>
      </c>
      <c r="AP22" s="97" t="str">
        <f>IF(ISTEXT(VLOOKUP(CONCATENATE($A22,"_",AP$3),'Unit List'!$A$23:$H$3319,2,FALSE)),"+","")</f>
        <v/>
      </c>
      <c r="AQ22" s="94" t="str">
        <f>IF(ISTEXT(VLOOKUP(CONCATENATE($A22,"_",AQ$3),'Unit List'!$A$23:$H$3319,2,FALSE)),"X",$AP22)</f>
        <v/>
      </c>
      <c r="AR22" s="94" t="str">
        <f>IF(ISTEXT(VLOOKUP(CONCATENATE($A22,"_",AR$3),'Unit List'!$A$23:$H$3319,2,FALSE)),"X",$AP22)</f>
        <v/>
      </c>
      <c r="AS22" s="94" t="str">
        <f>IF(ISTEXT(VLOOKUP(CONCATENATE($A22,"_",AS$3),'Unit List'!$A$23:$H$3319,2,FALSE)),"X",$AP22)</f>
        <v/>
      </c>
      <c r="AT22" s="96" t="str">
        <f>IF(ISTEXT(VLOOKUP(CONCATENATE($A22,"_",AT$3),'Unit List'!$A$23:$H$3319,2,FALSE)),"X",$AP22)</f>
        <v/>
      </c>
      <c r="AU22" s="104" t="str">
        <f>IF(ISTEXT(VLOOKUP(CONCATENATE($A22,"_",AU$3),'Unit List'!$A$23:$H$3319,2,FALSE)),"+","")</f>
        <v/>
      </c>
      <c r="AV22" s="94" t="str">
        <f>IF(ISTEXT(VLOOKUP(CONCATENATE($A22,"_",AV$3),'Unit List'!$A$23:$H$3319,2,FALSE)),"X",$AU22)</f>
        <v/>
      </c>
      <c r="AW22" s="96" t="str">
        <f>IF(ISTEXT(VLOOKUP(CONCATENATE($A22,"_",AW$3),'Unit List'!$A$23:$H$3319,2,FALSE)),"X",$AU22)</f>
        <v/>
      </c>
      <c r="AX22" s="97" t="str">
        <f>IF(ISTEXT(VLOOKUP(CONCATENATE($A22,"_",AX$3),'Unit List'!$A$23:$H$3319,2,FALSE)),"+","")</f>
        <v/>
      </c>
      <c r="AY22" s="94" t="str">
        <f>IF(ISTEXT(VLOOKUP(CONCATENATE($A22,"_",AY$3),'Unit List'!$A$23:$H$3319,2,FALSE)),"X",$AX22)</f>
        <v/>
      </c>
      <c r="AZ22" s="96" t="str">
        <f>IF(ISTEXT(VLOOKUP(CONCATENATE($A22,"_",AZ$3),'Unit List'!$A$23:$H$3319,2,FALSE)),"X",$AX22)</f>
        <v/>
      </c>
      <c r="BA22" s="105" t="str">
        <f>IF(ISTEXT(VLOOKUP(CONCATENATE($A22,"_",BA$3),'Unit List'!$A$23:$H$3319,2,FALSE)),"+","")</f>
        <v/>
      </c>
      <c r="BB22" s="94" t="str">
        <f>IF(ISTEXT(VLOOKUP(CONCATENATE($A22,"_",BB$3),'Unit List'!$A$23:$H$3319,2,FALSE)),"X",$BA22)</f>
        <v/>
      </c>
      <c r="BC22" s="94" t="str">
        <f>IF(ISTEXT(VLOOKUP(CONCATENATE($A22,"_",BC$3),'Unit List'!$A$23:$H$3319,2,FALSE)),"X",$BA22)</f>
        <v/>
      </c>
      <c r="BD22" s="96" t="str">
        <f>IF(ISTEXT(VLOOKUP(CONCATENATE($A22,"_",BD$3),'Unit List'!$A$23:$H$3319,2,FALSE)),"X",$BA22)</f>
        <v/>
      </c>
      <c r="BE22" s="103" t="str">
        <f>IF(ISTEXT(VLOOKUP(CONCATENATE($A22,"_",BE$3),'Unit List'!$A$23:$H$3319,2,FALSE)),"+","")</f>
        <v/>
      </c>
      <c r="BF22" s="101" t="str">
        <f>IF(ISTEXT(VLOOKUP(CONCATENATE($A22,"_",BF$3),'Unit List'!$A$23:$H$3319,2,FALSE)),"X",$BE22)</f>
        <v/>
      </c>
      <c r="BG22" s="124"/>
      <c r="BH22" s="133"/>
      <c r="BI22" s="228"/>
      <c r="BJ22" s="229"/>
      <c r="BK22" s="229"/>
      <c r="BL22" s="229"/>
      <c r="BM22" s="230"/>
      <c r="BN22" s="108"/>
      <c r="BO22" s="108"/>
      <c r="BP22" s="108"/>
      <c r="BQ22" s="108"/>
      <c r="BR22" s="108"/>
      <c r="BS22" s="108"/>
      <c r="DZ22" s="109"/>
      <c r="EA22" s="109"/>
    </row>
    <row r="23" spans="1:131" ht="12.75" customHeight="1" x14ac:dyDescent="0.2">
      <c r="A23" s="90" t="s">
        <v>1276</v>
      </c>
      <c r="B23" s="91" t="str">
        <f>IF(ISTEXT(VLOOKUP(CONCATENATE($A23,"_",B$3),'Unit List'!$A$23:$H$3319,2,FALSE)),"+","")</f>
        <v/>
      </c>
      <c r="C23" s="92" t="str">
        <f>IF(ISTEXT(VLOOKUP(CONCATENATE($A23,"_",C$3),'Unit List'!$A$23:$H$3319,2,FALSE)),"X",$B23)</f>
        <v/>
      </c>
      <c r="D23" s="94" t="str">
        <f>IF(ISTEXT(VLOOKUP(CONCATENATE($A23,"_",D$3),'Unit List'!$A$23:$H$3319,2,FALSE)),"X",$B23)</f>
        <v/>
      </c>
      <c r="E23" s="94" t="str">
        <f>IF(ISTEXT(VLOOKUP(CONCATENATE($A23,"_",E$3),'Unit List'!$A$23:$H$3319,2,FALSE)),"X",$B23)</f>
        <v/>
      </c>
      <c r="F23" s="94" t="str">
        <f>IF(ISTEXT(VLOOKUP(CONCATENATE($A23,"_",F$3),'Unit List'!$A$23:$H$3319,2,FALSE)),"X",$B23)</f>
        <v/>
      </c>
      <c r="G23" s="94" t="str">
        <f>IF(ISTEXT(VLOOKUP(CONCATENATE($A23,"_",G$3),'Unit List'!$A$23:$H$3319,2,FALSE)),"X",$B23)</f>
        <v/>
      </c>
      <c r="H23" s="94" t="str">
        <f>IF(ISTEXT(VLOOKUP(CONCATENATE($A23,"_",H$3),'Unit List'!$A$23:$H$3319,2,FALSE)),"X",$B23)</f>
        <v/>
      </c>
      <c r="I23" s="96" t="str">
        <f>IF(ISTEXT(VLOOKUP(CONCATENATE($A23,"_",I$3),'Unit List'!$A$23:$H$3319,2,FALSE)),"X",$B23)</f>
        <v/>
      </c>
      <c r="J23" s="97" t="str">
        <f>IF(ISTEXT(VLOOKUP(CONCATENATE($A23,"_",J$3),'Unit List'!$A$23:$H$3319,2,FALSE)),"+","")</f>
        <v/>
      </c>
      <c r="K23" s="94" t="str">
        <f>IF(ISTEXT(VLOOKUP(CONCATENATE($A23,"_",K$3),'Unit List'!$A$23:$H$3319,2,FALSE)),"X",$J23)</f>
        <v/>
      </c>
      <c r="L23" s="101" t="str">
        <f>IF(ISTEXT(VLOOKUP(CONCATENATE($A23,"_",L$3),'Unit List'!$A$23:$H$3319,2,FALSE)),"X",$J23)</f>
        <v/>
      </c>
      <c r="M23" s="97" t="str">
        <f>IF(ISTEXT(VLOOKUP(CONCATENATE($A23,"_",M$3),'Unit List'!$A$23:$H$3319,2,FALSE)),"+","")</f>
        <v/>
      </c>
      <c r="N23" s="94" t="str">
        <f>IF(ISTEXT(VLOOKUP(CONCATENATE($A23,"_",N$3),'Unit List'!$A$23:$H$3319,2,FALSE)),"X",$M23)</f>
        <v/>
      </c>
      <c r="O23" s="96" t="str">
        <f>IF(ISTEXT(VLOOKUP(CONCATENATE($A23,"_",O$3),'Unit List'!$A$23:$H$3319,2,FALSE)),"X",$M23)</f>
        <v/>
      </c>
      <c r="P23" s="97" t="str">
        <f>IF(ISTEXT(VLOOKUP(CONCATENATE($A23,"_",P$3),'Unit List'!$A$23:$H$3319,2,FALSE)),"+","")</f>
        <v/>
      </c>
      <c r="Q23" s="94" t="str">
        <f>IF(ISTEXT(VLOOKUP(CONCATENATE($A23,"_",Q$3),'Unit List'!$A$23:$H$3319,2,FALSE)),"X",$P23)</f>
        <v/>
      </c>
      <c r="R23" s="94" t="str">
        <f>IF(ISTEXT(VLOOKUP(CONCATENATE($A23,"_",R$3),'Unit List'!$A$23:$H$3319,2,FALSE)),"X",$P23)</f>
        <v/>
      </c>
      <c r="S23" s="94" t="str">
        <f>IF(ISTEXT(VLOOKUP(CONCATENATE($A23,"_",S$3),'Unit List'!$A$23:$H$3319,2,FALSE)),"X",$P23)</f>
        <v/>
      </c>
      <c r="T23" s="100" t="str">
        <f>IF(ISTEXT(VLOOKUP(CONCATENATE($A23,"_",T$3),'Unit List'!$A$23:$H$3319,2,FALSE)),"X",$P23)</f>
        <v/>
      </c>
      <c r="U23" s="94" t="str">
        <f>IF(ISTEXT(VLOOKUP(CONCATENATE($A23,"_",U$3),'Unit List'!$A$23:$H$3319,2,FALSE)),"X",$P23)</f>
        <v/>
      </c>
      <c r="V23" s="94" t="str">
        <f>IF(ISTEXT(VLOOKUP(CONCATENATE($A23,"_",V$3),'Unit List'!$A$23:$H$3319,2,FALSE)),"X",$P23)</f>
        <v/>
      </c>
      <c r="W23" s="140" t="s">
        <v>0</v>
      </c>
      <c r="X23" s="97" t="str">
        <f>IF(ISTEXT(VLOOKUP(CONCATENATE($A23,"_",X$3),'Unit List'!$A$23:$H$3319,2,FALSE)),"+","")</f>
        <v/>
      </c>
      <c r="Y23" s="94" t="str">
        <f>IF(ISTEXT(VLOOKUP(CONCATENATE($A23,"_",Y$3),'Unit List'!$A$23:$H$3319,2,FALSE)),"X",$X23)</f>
        <v/>
      </c>
      <c r="Z23" s="94" t="str">
        <f>IF(ISTEXT(VLOOKUP(CONCATENATE($A23,"_",Z$3),'Unit List'!$A$23:$H$3319,2,FALSE)),"X",$X23)</f>
        <v/>
      </c>
      <c r="AA23" s="94" t="str">
        <f>IF(ISTEXT(VLOOKUP(CONCATENATE($A23,"_",AA$3),'Unit List'!$A$23:$H$3319,2,FALSE)),"X",$X23)</f>
        <v/>
      </c>
      <c r="AB23" s="94" t="str">
        <f>IF(ISTEXT(VLOOKUP(CONCATENATE($A23,"_",AB$3),'Unit List'!$A$23:$H$3319,2,FALSE)),"X",$X23)</f>
        <v/>
      </c>
      <c r="AC23" s="101" t="str">
        <f>IF(ISTEXT(VLOOKUP(CONCATENATE($A23,"_",AC$3),'Unit List'!$A$23:$H$3319,2,FALSE)),"X",$X23)</f>
        <v/>
      </c>
      <c r="AD23" s="97" t="str">
        <f>IF(ISTEXT(VLOOKUP(CONCATENATE($A23,"_",AD$3),'Unit List'!$A$23:$H$3319,2,FALSE)),"+","")</f>
        <v/>
      </c>
      <c r="AE23" s="94" t="str">
        <f>IF(ISTEXT(VLOOKUP(CONCATENATE($A23,"_",AE$3),'Unit List'!$A$23:$H$3319,2,FALSE)),"X",$AD23)</f>
        <v/>
      </c>
      <c r="AF23" s="94" t="str">
        <f>IF(ISTEXT(VLOOKUP(CONCATENATE($A23,"_",AF$3),'Unit List'!$A$23:$H$3319,2,FALSE)),"X",$AD23)</f>
        <v/>
      </c>
      <c r="AG23" s="97" t="str">
        <f>IF(ISTEXT(VLOOKUP(CONCATENATE($A23,"_",AG$3),'Unit List'!$A$23:$H$3319,2,FALSE)),"+","")</f>
        <v/>
      </c>
      <c r="AH23" s="94" t="str">
        <f>IF(ISTEXT(VLOOKUP(CONCATENATE($A23,"_",AH$3),'Unit List'!$A$23:$H$3319,2,FALSE)),"X",$AG23)</f>
        <v/>
      </c>
      <c r="AI23" s="94" t="str">
        <f>IF(ISTEXT(VLOOKUP(CONCATENATE($A23,"_",AI$3),'Unit List'!$A$23:$H$3319,2,FALSE)),"X",$AG23)</f>
        <v/>
      </c>
      <c r="AJ23" s="96" t="str">
        <f>IF(ISTEXT(VLOOKUP(CONCATENATE($A23,"_",AJ$3),'Unit List'!$A$23:$H$3319,2,FALSE)),"X",$AG23)</f>
        <v/>
      </c>
      <c r="AK23" s="97" t="str">
        <f>IF(ISTEXT(VLOOKUP(CONCATENATE($A23,"_",AK$3),'Unit List'!$A$23:$H$3319,2,FALSE)),"+","")</f>
        <v/>
      </c>
      <c r="AL23" s="100" t="str">
        <f>IF(ISTEXT(VLOOKUP(CONCATENATE($A23,"_",AL$3),'Unit List'!$A$23:$H$3319,2,FALSE)),"X",$AK23)</f>
        <v/>
      </c>
      <c r="AM23" s="96" t="str">
        <f>IF(ISTEXT(VLOOKUP(CONCATENATE($A23,"_",AM$3),'Unit List'!$A$23:$H$3319,2,FALSE)),"X",$AK23)</f>
        <v/>
      </c>
      <c r="AN23" s="103" t="str">
        <f>IF(ISTEXT(VLOOKUP(CONCATENATE($A23,"_",AN$3),'Unit List'!$A$23:$H$3319,2,FALSE)),"+","")</f>
        <v/>
      </c>
      <c r="AO23" s="96" t="str">
        <f>IF(ISTEXT(VLOOKUP(CONCATENATE($A23,"_",AO$3),'Unit List'!$A$23:$H$3319,2,FALSE)),"X",$AN23)</f>
        <v/>
      </c>
      <c r="AP23" s="97" t="str">
        <f>IF(ISTEXT(VLOOKUP(CONCATENATE($A23,"_",AP$3),'Unit List'!$A$23:$H$3319,2,FALSE)),"+","")</f>
        <v/>
      </c>
      <c r="AQ23" s="94" t="str">
        <f>IF(ISTEXT(VLOOKUP(CONCATENATE($A23,"_",AQ$3),'Unit List'!$A$23:$H$3319,2,FALSE)),"X",$AP23)</f>
        <v/>
      </c>
      <c r="AR23" s="94" t="str">
        <f>IF(ISTEXT(VLOOKUP(CONCATENATE($A23,"_",AR$3),'Unit List'!$A$23:$H$3319,2,FALSE)),"X",$AP23)</f>
        <v/>
      </c>
      <c r="AS23" s="94" t="str">
        <f>IF(ISTEXT(VLOOKUP(CONCATENATE($A23,"_",AS$3),'Unit List'!$A$23:$H$3319,2,FALSE)),"X",$AP23)</f>
        <v/>
      </c>
      <c r="AT23" s="96" t="str">
        <f>IF(ISTEXT(VLOOKUP(CONCATENATE($A23,"_",AT$3),'Unit List'!$A$23:$H$3319,2,FALSE)),"X",$AP23)</f>
        <v/>
      </c>
      <c r="AU23" s="104" t="str">
        <f>IF(ISTEXT(VLOOKUP(CONCATENATE($A23,"_",AU$3),'Unit List'!$A$23:$H$3319,2,FALSE)),"+","")</f>
        <v/>
      </c>
      <c r="AV23" s="94" t="str">
        <f>IF(ISTEXT(VLOOKUP(CONCATENATE($A23,"_",AV$3),'Unit List'!$A$23:$H$3319,2,FALSE)),"X",$AU23)</f>
        <v/>
      </c>
      <c r="AW23" s="96" t="str">
        <f>IF(ISTEXT(VLOOKUP(CONCATENATE($A23,"_",AW$3),'Unit List'!$A$23:$H$3319,2,FALSE)),"X",$AU23)</f>
        <v/>
      </c>
      <c r="AX23" s="97" t="str">
        <f>IF(ISTEXT(VLOOKUP(CONCATENATE($A23,"_",AX$3),'Unit List'!$A$23:$H$3319,2,FALSE)),"+","")</f>
        <v/>
      </c>
      <c r="AY23" s="94" t="str">
        <f>IF(ISTEXT(VLOOKUP(CONCATENATE($A23,"_",AY$3),'Unit List'!$A$23:$H$3319,2,FALSE)),"X",$AX23)</f>
        <v/>
      </c>
      <c r="AZ23" s="96" t="str">
        <f>IF(ISTEXT(VLOOKUP(CONCATENATE($A23,"_",AZ$3),'Unit List'!$A$23:$H$3319,2,FALSE)),"X",$AX23)</f>
        <v/>
      </c>
      <c r="BA23" s="105" t="str">
        <f>IF(ISTEXT(VLOOKUP(CONCATENATE($A23,"_",BA$3),'Unit List'!$A$23:$H$3319,2,FALSE)),"+","")</f>
        <v/>
      </c>
      <c r="BB23" s="94" t="str">
        <f>IF(ISTEXT(VLOOKUP(CONCATENATE($A23,"_",BB$3),'Unit List'!$A$23:$H$3319,2,FALSE)),"X",$BA23)</f>
        <v/>
      </c>
      <c r="BC23" s="94" t="str">
        <f>IF(ISTEXT(VLOOKUP(CONCATENATE($A23,"_",BC$3),'Unit List'!$A$23:$H$3319,2,FALSE)),"X",$BA23)</f>
        <v/>
      </c>
      <c r="BD23" s="96" t="str">
        <f>IF(ISTEXT(VLOOKUP(CONCATENATE($A23,"_",BD$3),'Unit List'!$A$23:$H$3319,2,FALSE)),"X",$BA23)</f>
        <v/>
      </c>
      <c r="BE23" s="103" t="str">
        <f>IF(ISTEXT(VLOOKUP(CONCATENATE($A23,"_",BE$3),'Unit List'!$A$23:$H$3319,2,FALSE)),"+","")</f>
        <v/>
      </c>
      <c r="BF23" s="101" t="str">
        <f>IF(ISTEXT(VLOOKUP(CONCATENATE($A23,"_",BF$3),'Unit List'!$A$23:$H$3319,2,FALSE)),"X",$BE23)</f>
        <v/>
      </c>
      <c r="BG23" s="124"/>
      <c r="BH23" s="133"/>
      <c r="BI23" s="228"/>
      <c r="BJ23" s="229"/>
      <c r="BK23" s="229"/>
      <c r="BL23" s="229"/>
      <c r="BM23" s="230"/>
      <c r="BN23" s="108"/>
      <c r="BO23" s="108"/>
      <c r="BP23" s="108"/>
      <c r="BQ23" s="108"/>
      <c r="BR23" s="108"/>
      <c r="BS23" s="108"/>
      <c r="DZ23" s="109"/>
      <c r="EA23" s="109"/>
    </row>
    <row r="24" spans="1:131" ht="12.75" customHeight="1" x14ac:dyDescent="0.2">
      <c r="A24" s="90" t="s">
        <v>1274</v>
      </c>
      <c r="B24" s="91" t="str">
        <f>IF(ISTEXT(VLOOKUP(CONCATENATE($A24,"_",B$3),'Unit List'!$A$23:$H$3319,2,FALSE)),"+","")</f>
        <v/>
      </c>
      <c r="C24" s="92" t="str">
        <f>IF(ISTEXT(VLOOKUP(CONCATENATE($A24,"_",C$3),'Unit List'!$A$23:$H$3319,2,FALSE)),"X",$B24)</f>
        <v/>
      </c>
      <c r="D24" s="94" t="str">
        <f>IF(ISTEXT(VLOOKUP(CONCATENATE($A24,"_",D$3),'Unit List'!$A$23:$H$3319,2,FALSE)),"X",$B24)</f>
        <v/>
      </c>
      <c r="E24" s="94" t="str">
        <f>IF(ISTEXT(VLOOKUP(CONCATENATE($A24,"_",E$3),'Unit List'!$A$23:$H$3319,2,FALSE)),"X",$B24)</f>
        <v/>
      </c>
      <c r="F24" s="94" t="str">
        <f>IF(ISTEXT(VLOOKUP(CONCATENATE($A24,"_",F$3),'Unit List'!$A$23:$H$3319,2,FALSE)),"X",$B24)</f>
        <v/>
      </c>
      <c r="G24" s="94" t="str">
        <f>IF(ISTEXT(VLOOKUP(CONCATENATE($A24,"_",G$3),'Unit List'!$A$23:$H$3319,2,FALSE)),"X",$B24)</f>
        <v/>
      </c>
      <c r="H24" s="94" t="str">
        <f>IF(ISTEXT(VLOOKUP(CONCATENATE($A24,"_",H$3),'Unit List'!$A$23:$H$3319,2,FALSE)),"X",$B24)</f>
        <v/>
      </c>
      <c r="I24" s="96" t="str">
        <f>IF(ISTEXT(VLOOKUP(CONCATENATE($A24,"_",I$3),'Unit List'!$A$23:$H$3319,2,FALSE)),"X",$B24)</f>
        <v/>
      </c>
      <c r="J24" s="97" t="str">
        <f>IF(ISTEXT(VLOOKUP(CONCATENATE($A24,"_",J$3),'Unit List'!$A$23:$H$3319,2,FALSE)),"+","")</f>
        <v/>
      </c>
      <c r="K24" s="94" t="str">
        <f>IF(ISTEXT(VLOOKUP(CONCATENATE($A24,"_",K$3),'Unit List'!$A$23:$H$3319,2,FALSE)),"X",$J24)</f>
        <v/>
      </c>
      <c r="L24" s="101" t="str">
        <f>IF(ISTEXT(VLOOKUP(CONCATENATE($A24,"_",L$3),'Unit List'!$A$23:$H$3319,2,FALSE)),"X",$J24)</f>
        <v/>
      </c>
      <c r="M24" s="97" t="str">
        <f>IF(ISTEXT(VLOOKUP(CONCATENATE($A24,"_",M$3),'Unit List'!$A$23:$H$3319,2,FALSE)),"+","")</f>
        <v/>
      </c>
      <c r="N24" s="94" t="str">
        <f>IF(ISTEXT(VLOOKUP(CONCATENATE($A24,"_",N$3),'Unit List'!$A$23:$H$3319,2,FALSE)),"X",$M24)</f>
        <v/>
      </c>
      <c r="O24" s="96" t="str">
        <f>IF(ISTEXT(VLOOKUP(CONCATENATE($A24,"_",O$3),'Unit List'!$A$23:$H$3319,2,FALSE)),"X",$M24)</f>
        <v/>
      </c>
      <c r="P24" s="97" t="str">
        <f>IF(ISTEXT(VLOOKUP(CONCATENATE($A24,"_",P$3),'Unit List'!$A$23:$H$3319,2,FALSE)),"+","")</f>
        <v/>
      </c>
      <c r="Q24" s="94" t="str">
        <f>IF(ISTEXT(VLOOKUP(CONCATENATE($A24,"_",Q$3),'Unit List'!$A$23:$H$3319,2,FALSE)),"X",$P24)</f>
        <v/>
      </c>
      <c r="R24" s="94" t="str">
        <f>IF(ISTEXT(VLOOKUP(CONCATENATE($A24,"_",R$3),'Unit List'!$A$23:$H$3319,2,FALSE)),"X",$P24)</f>
        <v/>
      </c>
      <c r="S24" s="94" t="str">
        <f>IF(ISTEXT(VLOOKUP(CONCATENATE($A24,"_",S$3),'Unit List'!$A$23:$H$3319,2,FALSE)),"X",$P24)</f>
        <v/>
      </c>
      <c r="T24" s="100" t="str">
        <f>IF(ISTEXT(VLOOKUP(CONCATENATE($A24,"_",T$3),'Unit List'!$A$23:$H$3319,2,FALSE)),"X",$P24)</f>
        <v/>
      </c>
      <c r="U24" s="94" t="str">
        <f>IF(ISTEXT(VLOOKUP(CONCATENATE($A24,"_",U$3),'Unit List'!$A$23:$H$3319,2,FALSE)),"X",$P24)</f>
        <v/>
      </c>
      <c r="V24" s="94" t="str">
        <f>IF(ISTEXT(VLOOKUP(CONCATENATE($A24,"_",V$3),'Unit List'!$A$23:$H$3319,2,FALSE)),"X",$P24)</f>
        <v/>
      </c>
      <c r="W24" s="96" t="str">
        <f>IF(ISTEXT(VLOOKUP(CONCATENATE($A24,"_",W$3),'Unit List'!$A$23:$H$3319,2,FALSE)),"X",$P24)</f>
        <v/>
      </c>
      <c r="X24" s="97" t="str">
        <f>IF(ISTEXT(VLOOKUP(CONCATENATE($A24,"_",X$3),'Unit List'!$A$23:$H$3319,2,FALSE)),"+","")</f>
        <v/>
      </c>
      <c r="Y24" s="94" t="str">
        <f>IF(ISTEXT(VLOOKUP(CONCATENATE($A24,"_",Y$3),'Unit List'!$A$23:$H$3319,2,FALSE)),"X",$X24)</f>
        <v/>
      </c>
      <c r="Z24" s="94" t="str">
        <f>IF(ISTEXT(VLOOKUP(CONCATENATE($A24,"_",Z$3),'Unit List'!$A$23:$H$3319,2,FALSE)),"X",$X24)</f>
        <v/>
      </c>
      <c r="AA24" s="94" t="str">
        <f>IF(ISTEXT(VLOOKUP(CONCATENATE($A24,"_",AA$3),'Unit List'!$A$23:$H$3319,2,FALSE)),"X",$X24)</f>
        <v/>
      </c>
      <c r="AB24" s="94" t="str">
        <f>IF(ISTEXT(VLOOKUP(CONCATENATE($A24,"_",AB$3),'Unit List'!$A$23:$H$3319,2,FALSE)),"X",$X24)</f>
        <v/>
      </c>
      <c r="AC24" s="101" t="str">
        <f>IF(ISTEXT(VLOOKUP(CONCATENATE($A24,"_",AC$3),'Unit List'!$A$23:$H$3319,2,FALSE)),"X",$X24)</f>
        <v/>
      </c>
      <c r="AD24" s="97" t="str">
        <f>IF(ISTEXT(VLOOKUP(CONCATENATE($A24,"_",AD$3),'Unit List'!$A$23:$H$3319,2,FALSE)),"+","")</f>
        <v/>
      </c>
      <c r="AE24" s="94" t="str">
        <f>IF(ISTEXT(VLOOKUP(CONCATENATE($A24,"_",AE$3),'Unit List'!$A$23:$H$3319,2,FALSE)),"X",$AD24)</f>
        <v/>
      </c>
      <c r="AF24" s="94" t="str">
        <f>IF(ISTEXT(VLOOKUP(CONCATENATE($A24,"_",AF$3),'Unit List'!$A$23:$H$3319,2,FALSE)),"X",$AD24)</f>
        <v/>
      </c>
      <c r="AG24" s="97" t="str">
        <f>IF(ISTEXT(VLOOKUP(CONCATENATE($A24,"_",AG$3),'Unit List'!$A$23:$H$3319,2,FALSE)),"+","")</f>
        <v/>
      </c>
      <c r="AH24" s="94" t="str">
        <f>IF(ISTEXT(VLOOKUP(CONCATENATE($A24,"_",AH$3),'Unit List'!$A$23:$H$3319,2,FALSE)),"X",$AG24)</f>
        <v/>
      </c>
      <c r="AI24" s="94" t="str">
        <f>IF(ISTEXT(VLOOKUP(CONCATENATE($A24,"_",AI$3),'Unit List'!$A$23:$H$3319,2,FALSE)),"X",$AG24)</f>
        <v/>
      </c>
      <c r="AJ24" s="96" t="str">
        <f>IF(ISTEXT(VLOOKUP(CONCATENATE($A24,"_",AJ$3),'Unit List'!$A$23:$H$3319,2,FALSE)),"X",$AG24)</f>
        <v/>
      </c>
      <c r="AK24" s="97" t="str">
        <f>IF(ISTEXT(VLOOKUP(CONCATENATE($A24,"_",AK$3),'Unit List'!$A$23:$H$3319,2,FALSE)),"+","")</f>
        <v/>
      </c>
      <c r="AL24" s="100" t="str">
        <f>IF(ISTEXT(VLOOKUP(CONCATENATE($A24,"_",AL$3),'Unit List'!$A$23:$H$3319,2,FALSE)),"X",$AK24)</f>
        <v/>
      </c>
      <c r="AM24" s="96" t="str">
        <f>IF(ISTEXT(VLOOKUP(CONCATENATE($A24,"_",AM$3),'Unit List'!$A$23:$H$3319,2,FALSE)),"X",$AK24)</f>
        <v/>
      </c>
      <c r="AN24" s="103" t="str">
        <f>IF(ISTEXT(VLOOKUP(CONCATENATE($A24,"_",AN$3),'Unit List'!$A$23:$H$3319,2,FALSE)),"+","")</f>
        <v/>
      </c>
      <c r="AO24" s="96" t="str">
        <f>IF(ISTEXT(VLOOKUP(CONCATENATE($A24,"_",AO$3),'Unit List'!$A$23:$H$3319,2,FALSE)),"X",$AN24)</f>
        <v/>
      </c>
      <c r="AP24" s="97" t="str">
        <f>IF(ISTEXT(VLOOKUP(CONCATENATE($A24,"_",AP$3),'Unit List'!$A$23:$H$3319,2,FALSE)),"+","")</f>
        <v/>
      </c>
      <c r="AQ24" s="94" t="str">
        <f>IF(ISTEXT(VLOOKUP(CONCATENATE($A24,"_",AQ$3),'Unit List'!$A$23:$H$3319,2,FALSE)),"X",$AP24)</f>
        <v/>
      </c>
      <c r="AR24" s="94" t="str">
        <f>IF(ISTEXT(VLOOKUP(CONCATENATE($A24,"_",AR$3),'Unit List'!$A$23:$H$3319,2,FALSE)),"X",$AP24)</f>
        <v/>
      </c>
      <c r="AS24" s="94" t="str">
        <f>IF(ISTEXT(VLOOKUP(CONCATENATE($A24,"_",AS$3),'Unit List'!$A$23:$H$3319,2,FALSE)),"X",$AP24)</f>
        <v/>
      </c>
      <c r="AT24" s="96" t="str">
        <f>IF(ISTEXT(VLOOKUP(CONCATENATE($A24,"_",AT$3),'Unit List'!$A$23:$H$3319,2,FALSE)),"X",$AP24)</f>
        <v/>
      </c>
      <c r="AU24" s="104" t="str">
        <f>IF(ISTEXT(VLOOKUP(CONCATENATE($A24,"_",AU$3),'Unit List'!$A$23:$H$3319,2,FALSE)),"+","")</f>
        <v/>
      </c>
      <c r="AV24" s="94" t="str">
        <f>IF(ISTEXT(VLOOKUP(CONCATENATE($A24,"_",AV$3),'Unit List'!$A$23:$H$3319,2,FALSE)),"X",$AU24)</f>
        <v/>
      </c>
      <c r="AW24" s="96" t="str">
        <f>IF(ISTEXT(VLOOKUP(CONCATENATE($A24,"_",AW$3),'Unit List'!$A$23:$H$3319,2,FALSE)),"X",$AU24)</f>
        <v/>
      </c>
      <c r="AX24" s="97" t="str">
        <f>IF(ISTEXT(VLOOKUP(CONCATENATE($A24,"_",AX$3),'Unit List'!$A$23:$H$3319,2,FALSE)),"+","")</f>
        <v/>
      </c>
      <c r="AY24" s="94" t="str">
        <f>IF(ISTEXT(VLOOKUP(CONCATENATE($A24,"_",AY$3),'Unit List'!$A$23:$H$3319,2,FALSE)),"X",$AX24)</f>
        <v/>
      </c>
      <c r="AZ24" s="96" t="str">
        <f>IF(ISTEXT(VLOOKUP(CONCATENATE($A24,"_",AZ$3),'Unit List'!$A$23:$H$3319,2,FALSE)),"X",$AX24)</f>
        <v/>
      </c>
      <c r="BA24" s="105" t="str">
        <f>IF(ISTEXT(VLOOKUP(CONCATENATE($A24,"_",BA$3),'Unit List'!$A$23:$H$3319,2,FALSE)),"+","")</f>
        <v/>
      </c>
      <c r="BB24" s="94" t="str">
        <f>IF(ISTEXT(VLOOKUP(CONCATENATE($A24,"_",BB$3),'Unit List'!$A$23:$H$3319,2,FALSE)),"X",$BA24)</f>
        <v/>
      </c>
      <c r="BC24" s="94" t="str">
        <f>IF(ISTEXT(VLOOKUP(CONCATENATE($A24,"_",BC$3),'Unit List'!$A$23:$H$3319,2,FALSE)),"X",$BA24)</f>
        <v/>
      </c>
      <c r="BD24" s="96" t="str">
        <f>IF(ISTEXT(VLOOKUP(CONCATENATE($A24,"_",BD$3),'Unit List'!$A$23:$H$3319,2,FALSE)),"X",$BA24)</f>
        <v/>
      </c>
      <c r="BE24" s="103" t="str">
        <f>IF(ISTEXT(VLOOKUP(CONCATENATE($A24,"_",BE$3),'Unit List'!$A$23:$H$3319,2,FALSE)),"+","")</f>
        <v/>
      </c>
      <c r="BF24" s="101" t="str">
        <f>IF(ISTEXT(VLOOKUP(CONCATENATE($A24,"_",BF$3),'Unit List'!$A$23:$H$3319,2,FALSE)),"X",$BE24)</f>
        <v/>
      </c>
      <c r="BG24" s="124"/>
      <c r="BH24" s="133"/>
      <c r="BI24" s="228"/>
      <c r="BJ24" s="229"/>
      <c r="BK24" s="229"/>
      <c r="BL24" s="229"/>
      <c r="BM24" s="230"/>
      <c r="BN24" s="108"/>
      <c r="BO24" s="108"/>
      <c r="BP24" s="108"/>
      <c r="BQ24" s="108"/>
      <c r="BR24" s="108"/>
      <c r="BS24" s="108"/>
      <c r="DZ24" s="109"/>
      <c r="EA24" s="109"/>
    </row>
    <row r="25" spans="1:131" ht="12.75" customHeight="1" x14ac:dyDescent="0.2">
      <c r="A25" s="90" t="s">
        <v>1156</v>
      </c>
      <c r="B25" s="91" t="str">
        <f>IF(ISTEXT(VLOOKUP(CONCATENATE($A25,"_",B$3),'Unit List'!$A$23:$H$3319,2,FALSE)),"+","")</f>
        <v/>
      </c>
      <c r="C25" s="92" t="str">
        <f>IF(ISTEXT(VLOOKUP(CONCATENATE($A25,"_",C$3),'Unit List'!$A$23:$H$3319,2,FALSE)),"X",$B25)</f>
        <v/>
      </c>
      <c r="D25" s="94" t="str">
        <f>IF(ISTEXT(VLOOKUP(CONCATENATE($A25,"_",D$3),'Unit List'!$A$23:$H$3319,2,FALSE)),"X",$B25)</f>
        <v>X</v>
      </c>
      <c r="E25" s="94" t="str">
        <f>IF(ISTEXT(VLOOKUP(CONCATENATE($A25,"_",E$3),'Unit List'!$A$23:$H$3319,2,FALSE)),"X",$B25)</f>
        <v/>
      </c>
      <c r="F25" s="94" t="str">
        <f>IF(ISTEXT(VLOOKUP(CONCATENATE($A25,"_",F$3),'Unit List'!$A$23:$H$3319,2,FALSE)),"X",$B25)</f>
        <v/>
      </c>
      <c r="G25" s="94" t="str">
        <f>IF(ISTEXT(VLOOKUP(CONCATENATE($A25,"_",G$3),'Unit List'!$A$23:$H$3319,2,FALSE)),"X",$B25)</f>
        <v/>
      </c>
      <c r="H25" s="95" t="str">
        <f>IF(ISTEXT(VLOOKUP(CONCATENATE($A25,"_",H$3),'Unit List'!$A$23:$H$3319,2,FALSE)),"X",$B25)</f>
        <v>X</v>
      </c>
      <c r="I25" s="96" t="str">
        <f>IF(ISTEXT(VLOOKUP(CONCATENATE($A25,"_",I$3),'Unit List'!$A$23:$H$3319,2,FALSE)),"X",$B25)</f>
        <v/>
      </c>
      <c r="J25" s="97" t="str">
        <f>IF(ISTEXT(VLOOKUP(CONCATENATE($A25,"_",J$3),'Unit List'!$A$23:$H$3319,2,FALSE)),"+","")</f>
        <v/>
      </c>
      <c r="K25" s="94" t="str">
        <f>IF(ISTEXT(VLOOKUP(CONCATENATE($A25,"_",K$3),'Unit List'!$A$23:$H$3319,2,FALSE)),"X",$J25)</f>
        <v/>
      </c>
      <c r="L25" s="101" t="str">
        <f>IF(ISTEXT(VLOOKUP(CONCATENATE($A25,"_",L$3),'Unit List'!$A$23:$H$3319,2,FALSE)),"X",$J25)</f>
        <v/>
      </c>
      <c r="M25" s="97" t="str">
        <f>IF(ISTEXT(VLOOKUP(CONCATENATE($A25,"_",M$3),'Unit List'!$A$23:$H$3319,2,FALSE)),"+","")</f>
        <v/>
      </c>
      <c r="N25" s="94" t="str">
        <f>IF(ISTEXT(VLOOKUP(CONCATENATE($A25,"_",N$3),'Unit List'!$A$23:$H$3319,2,FALSE)),"X",$M25)</f>
        <v/>
      </c>
      <c r="O25" s="96" t="str">
        <f>IF(ISTEXT(VLOOKUP(CONCATENATE($A25,"_",O$3),'Unit List'!$A$23:$H$3319,2,FALSE)),"X",$M25)</f>
        <v/>
      </c>
      <c r="P25" s="97" t="str">
        <f>IF(ISTEXT(VLOOKUP(CONCATENATE($A25,"_",P$3),'Unit List'!$A$23:$H$3319,2,FALSE)),"+","")</f>
        <v/>
      </c>
      <c r="Q25" s="94" t="str">
        <f>IF(ISTEXT(VLOOKUP(CONCATENATE($A25,"_",Q$3),'Unit List'!$A$23:$H$3319,2,FALSE)),"X",$P25)</f>
        <v/>
      </c>
      <c r="R25" s="94" t="str">
        <f>IF(ISTEXT(VLOOKUP(CONCATENATE($A25,"_",R$3),'Unit List'!$A$23:$H$3319,2,FALSE)),"X",$P25)</f>
        <v/>
      </c>
      <c r="S25" s="94" t="str">
        <f>IF(ISTEXT(VLOOKUP(CONCATENATE($A25,"_",S$3),'Unit List'!$A$23:$H$3319,2,FALSE)),"X",$P25)</f>
        <v/>
      </c>
      <c r="T25" s="100" t="str">
        <f>IF(ISTEXT(VLOOKUP(CONCATENATE($A25,"_",T$3),'Unit List'!$A$23:$H$3319,2,FALSE)),"X",$P25)</f>
        <v/>
      </c>
      <c r="U25" s="94" t="str">
        <f>IF(ISTEXT(VLOOKUP(CONCATENATE($A25,"_",U$3),'Unit List'!$A$23:$H$3319,2,FALSE)),"X",$P25)</f>
        <v/>
      </c>
      <c r="V25" s="94" t="str">
        <f>IF(ISTEXT(VLOOKUP(CONCATENATE($A25,"_",V$3),'Unit List'!$A$23:$H$3319,2,FALSE)),"X",$P25)</f>
        <v/>
      </c>
      <c r="W25" s="96" t="str">
        <f>IF(ISTEXT(VLOOKUP(CONCATENATE($A25,"_",W$3),'Unit List'!$A$23:$H$3319,2,FALSE)),"X",$P25)</f>
        <v/>
      </c>
      <c r="X25" s="97" t="str">
        <f>IF(ISTEXT(VLOOKUP(CONCATENATE($A25,"_",X$3),'Unit List'!$A$23:$H$3319,2,FALSE)),"+","")</f>
        <v/>
      </c>
      <c r="Y25" s="94" t="str">
        <f>IF(ISTEXT(VLOOKUP(CONCATENATE($A25,"_",Y$3),'Unit List'!$A$23:$H$3319,2,FALSE)),"X",$X25)</f>
        <v/>
      </c>
      <c r="Z25" s="94" t="str">
        <f>IF(ISTEXT(VLOOKUP(CONCATENATE($A25,"_",Z$3),'Unit List'!$A$23:$H$3319,2,FALSE)),"X",$X25)</f>
        <v/>
      </c>
      <c r="AA25" s="94" t="str">
        <f>IF(ISTEXT(VLOOKUP(CONCATENATE($A25,"_",AA$3),'Unit List'!$A$23:$H$3319,2,FALSE)),"X",$X25)</f>
        <v/>
      </c>
      <c r="AB25" s="94" t="str">
        <f>IF(ISTEXT(VLOOKUP(CONCATENATE($A25,"_",AB$3),'Unit List'!$A$23:$H$3319,2,FALSE)),"X",$X25)</f>
        <v/>
      </c>
      <c r="AC25" s="101" t="str">
        <f>IF(ISTEXT(VLOOKUP(CONCATENATE($A25,"_",AC$3),'Unit List'!$A$23:$H$3319,2,FALSE)),"X",$X25)</f>
        <v/>
      </c>
      <c r="AD25" s="97" t="str">
        <f>IF(ISTEXT(VLOOKUP(CONCATENATE($A25,"_",AD$3),'Unit List'!$A$23:$H$3319,2,FALSE)),"+","")</f>
        <v/>
      </c>
      <c r="AE25" s="94" t="str">
        <f>IF(ISTEXT(VLOOKUP(CONCATENATE($A25,"_",AE$3),'Unit List'!$A$23:$H$3319,2,FALSE)),"X",$AD25)</f>
        <v/>
      </c>
      <c r="AF25" s="94" t="str">
        <f>IF(ISTEXT(VLOOKUP(CONCATENATE($A25,"_",AF$3),'Unit List'!$A$23:$H$3319,2,FALSE)),"X",$AD25)</f>
        <v/>
      </c>
      <c r="AG25" s="97" t="str">
        <f>IF(ISTEXT(VLOOKUP(CONCATENATE($A25,"_",AG$3),'Unit List'!$A$23:$H$3319,2,FALSE)),"+","")</f>
        <v/>
      </c>
      <c r="AH25" s="132" t="str">
        <f>IF(ISTEXT(VLOOKUP(CONCATENATE($A25,"_",AH$3),'Unit List'!$A$23:$H$3319,2,FALSE)),"X",$AG25)</f>
        <v/>
      </c>
      <c r="AI25" s="132" t="str">
        <f>IF(ISTEXT(VLOOKUP(CONCATENATE($A25,"_",AI$3),'Unit List'!$A$23:$H$3319,2,FALSE)),"X",$AG25)</f>
        <v/>
      </c>
      <c r="AJ25" s="96" t="str">
        <f>IF(ISTEXT(VLOOKUP(CONCATENATE($A25,"_",AJ$3),'Unit List'!$A$23:$H$3319,2,FALSE)),"X",$AG25)</f>
        <v/>
      </c>
      <c r="AK25" s="97" t="str">
        <f>IF(ISTEXT(VLOOKUP(CONCATENATE($A25,"_",AK$3),'Unit List'!$A$23:$H$3319,2,FALSE)),"+","")</f>
        <v/>
      </c>
      <c r="AL25" s="100" t="str">
        <f>IF(ISTEXT(VLOOKUP(CONCATENATE($A25,"_",AL$3),'Unit List'!$A$23:$H$3319,2,FALSE)),"X",$AK25)</f>
        <v/>
      </c>
      <c r="AM25" s="96" t="str">
        <f>IF(ISTEXT(VLOOKUP(CONCATENATE($A25,"_",AM$3),'Unit List'!$A$23:$H$3319,2,FALSE)),"X",$AK25)</f>
        <v/>
      </c>
      <c r="AN25" s="103" t="str">
        <f>IF(ISTEXT(VLOOKUP(CONCATENATE($A25,"_",AN$3),'Unit List'!$A$23:$H$3319,2,FALSE)),"+","")</f>
        <v/>
      </c>
      <c r="AO25" s="96" t="str">
        <f>IF(ISTEXT(VLOOKUP(CONCATENATE($A25,"_",AO$3),'Unit List'!$A$23:$H$3319,2,FALSE)),"X",$AN25)</f>
        <v/>
      </c>
      <c r="AP25" s="97" t="str">
        <f>IF(ISTEXT(VLOOKUP(CONCATENATE($A25,"_",AP$3),'Unit List'!$A$23:$H$3319,2,FALSE)),"+","")</f>
        <v/>
      </c>
      <c r="AQ25" s="94" t="str">
        <f>IF(ISTEXT(VLOOKUP(CONCATENATE($A25,"_",AQ$3),'Unit List'!$A$23:$H$3319,2,FALSE)),"X",$AP25)</f>
        <v/>
      </c>
      <c r="AR25" s="94" t="str">
        <f>IF(ISTEXT(VLOOKUP(CONCATENATE($A25,"_",AR$3),'Unit List'!$A$23:$H$3319,2,FALSE)),"X",$AP25)</f>
        <v/>
      </c>
      <c r="AS25" s="94" t="str">
        <f>IF(ISTEXT(VLOOKUP(CONCATENATE($A25,"_",AS$3),'Unit List'!$A$23:$H$3319,2,FALSE)),"X",$AP25)</f>
        <v/>
      </c>
      <c r="AT25" s="96" t="str">
        <f>IF(ISTEXT(VLOOKUP(CONCATENATE($A25,"_",AT$3),'Unit List'!$A$23:$H$3319,2,FALSE)),"X",$AP25)</f>
        <v/>
      </c>
      <c r="AU25" s="104" t="str">
        <f>IF(ISTEXT(VLOOKUP(CONCATENATE($A25,"_",AU$3),'Unit List'!$A$23:$H$3319,2,FALSE)),"+","")</f>
        <v/>
      </c>
      <c r="AV25" s="94" t="str">
        <f>IF(ISTEXT(VLOOKUP(CONCATENATE($A25,"_",AV$3),'Unit List'!$A$23:$H$3319,2,FALSE)),"X",$AU25)</f>
        <v/>
      </c>
      <c r="AW25" s="96" t="str">
        <f>IF(ISTEXT(VLOOKUP(CONCATENATE($A25,"_",AW$3),'Unit List'!$A$23:$H$3319,2,FALSE)),"X",$AU25)</f>
        <v/>
      </c>
      <c r="AX25" s="97" t="str">
        <f>IF(ISTEXT(VLOOKUP(CONCATENATE($A25,"_",AX$3),'Unit List'!$A$23:$H$3319,2,FALSE)),"+","")</f>
        <v/>
      </c>
      <c r="AY25" s="94" t="str">
        <f>IF(ISTEXT(VLOOKUP(CONCATENATE($A25,"_",AY$3),'Unit List'!$A$23:$H$3319,2,FALSE)),"X",$AX25)</f>
        <v/>
      </c>
      <c r="AZ25" s="96" t="str">
        <f>IF(ISTEXT(VLOOKUP(CONCATENATE($A25,"_",AZ$3),'Unit List'!$A$23:$H$3319,2,FALSE)),"X",$AX25)</f>
        <v/>
      </c>
      <c r="BA25" s="105" t="str">
        <f>IF(ISTEXT(VLOOKUP(CONCATENATE($A25,"_",BA$3),'Unit List'!$A$23:$H$3319,2,FALSE)),"+","")</f>
        <v/>
      </c>
      <c r="BB25" s="94" t="str">
        <f>IF(ISTEXT(VLOOKUP(CONCATENATE($A25,"_",BB$3),'Unit List'!$A$23:$H$3319,2,FALSE)),"X",$BA25)</f>
        <v/>
      </c>
      <c r="BC25" s="94" t="str">
        <f>IF(ISTEXT(VLOOKUP(CONCATENATE($A25,"_",BC$3),'Unit List'!$A$23:$H$3319,2,FALSE)),"X",$BA25)</f>
        <v/>
      </c>
      <c r="BD25" s="96" t="str">
        <f>IF(ISTEXT(VLOOKUP(CONCATENATE($A25,"_",BD$3),'Unit List'!$A$23:$H$3319,2,FALSE)),"X",$BA25)</f>
        <v/>
      </c>
      <c r="BE25" s="103" t="str">
        <f>IF(ISTEXT(VLOOKUP(CONCATENATE($A25,"_",BE$3),'Unit List'!$A$23:$H$3319,2,FALSE)),"+","")</f>
        <v/>
      </c>
      <c r="BF25" s="101" t="str">
        <f>IF(ISTEXT(VLOOKUP(CONCATENATE($A25,"_",BF$3),'Unit List'!$A$23:$H$3319,2,FALSE)),"X",$BE25)</f>
        <v/>
      </c>
      <c r="BG25" s="106"/>
      <c r="BH25" s="107" t="s">
        <v>0</v>
      </c>
      <c r="BI25" s="228"/>
      <c r="BJ25" s="229"/>
      <c r="BK25" s="229"/>
      <c r="BL25" s="229"/>
      <c r="BM25" s="230"/>
      <c r="BN25" s="108"/>
      <c r="BO25" s="108"/>
      <c r="BP25" s="108"/>
      <c r="BQ25" s="108"/>
      <c r="BR25" s="108"/>
      <c r="BS25" s="108"/>
      <c r="DZ25" s="109"/>
      <c r="EA25" s="109"/>
    </row>
    <row r="26" spans="1:131" ht="12.75" customHeight="1" x14ac:dyDescent="0.2">
      <c r="A26" s="90" t="s">
        <v>1107</v>
      </c>
      <c r="B26" s="91" t="str">
        <f>IF(ISTEXT(VLOOKUP(CONCATENATE($A26,"_",B$3),'Unit List'!$A$23:$H$3319,2,FALSE)),"+","")</f>
        <v/>
      </c>
      <c r="C26" s="131" t="str">
        <f>IF(ISTEXT(VLOOKUP(CONCATENATE($A26,"_",C$3),'Unit List'!$A$23:$H$3319,2,FALSE)),"X",$B26)</f>
        <v>X</v>
      </c>
      <c r="D26" s="94" t="str">
        <f>IF(ISTEXT(VLOOKUP(CONCATENATE($A26,"_",D$3),'Unit List'!$A$23:$H$3319,2,FALSE)),"X",$B26)</f>
        <v>X</v>
      </c>
      <c r="E26" s="94" t="str">
        <f>IF(ISTEXT(VLOOKUP(CONCATENATE($A26,"_",E$3),'Unit List'!$A$23:$H$3319,2,FALSE)),"X",$B26)</f>
        <v>X</v>
      </c>
      <c r="F26" s="95" t="str">
        <f>IF(ISTEXT(VLOOKUP(CONCATENATE($A26,"_",F$3),'Unit List'!$A$23:$H$3319,2,FALSE)),"X",$B26)</f>
        <v>X</v>
      </c>
      <c r="G26" s="95" t="str">
        <f>IF(ISTEXT(VLOOKUP(CONCATENATE($A26,"_",G$3),'Unit List'!$A$23:$H$3319,2,FALSE)),"X",$B26)</f>
        <v>X</v>
      </c>
      <c r="H26" s="95" t="str">
        <f>IF(ISTEXT(VLOOKUP(CONCATENATE($A26,"_",H$3),'Unit List'!$A$23:$H$3319,2,FALSE)),"X",$B26)</f>
        <v>X</v>
      </c>
      <c r="I26" s="114" t="str">
        <f>IF(ISTEXT(VLOOKUP(CONCATENATE($A26,"_",I$3),'Unit List'!$A$23:$H$3319,2,FALSE)),"X",$B26)</f>
        <v>X</v>
      </c>
      <c r="J26" s="97" t="str">
        <f>IF(ISTEXT(VLOOKUP(CONCATENATE($A26,"_",J$3),'Unit List'!$A$23:$H$3319,2,FALSE)),"+","")</f>
        <v/>
      </c>
      <c r="K26" s="94" t="str">
        <f>IF(ISTEXT(VLOOKUP(CONCATENATE($A26,"_",K$3),'Unit List'!$A$23:$H$3319,2,FALSE)),"X",$J26)</f>
        <v/>
      </c>
      <c r="L26" s="101" t="str">
        <f>IF(ISTEXT(VLOOKUP(CONCATENATE($A26,"_",L$3),'Unit List'!$A$23:$H$3319,2,FALSE)),"X",$J26)</f>
        <v>X</v>
      </c>
      <c r="M26" s="97" t="str">
        <f>IF(ISTEXT(VLOOKUP(CONCATENATE($A26,"_",M$3),'Unit List'!$A$23:$H$3319,2,FALSE)),"+","")</f>
        <v>+</v>
      </c>
      <c r="N26" s="94" t="str">
        <f>IF(ISTEXT(VLOOKUP(CONCATENATE($A26,"_",N$3),'Unit List'!$A$23:$H$3319,2,FALSE)),"X",$M26)</f>
        <v>X</v>
      </c>
      <c r="O26" s="96" t="str">
        <f>IF(ISTEXT(VLOOKUP(CONCATENATE($A26,"_",O$3),'Unit List'!$A$23:$H$3319,2,FALSE)),"X",$M26)</f>
        <v>X</v>
      </c>
      <c r="P26" s="97" t="str">
        <f>IF(ISTEXT(VLOOKUP(CONCATENATE($A26,"_",P$3),'Unit List'!$A$23:$H$3319,2,FALSE)),"+","")</f>
        <v/>
      </c>
      <c r="Q26" s="94" t="str">
        <f>IF(ISTEXT(VLOOKUP(CONCATENATE($A26,"_",Q$3),'Unit List'!$A$23:$H$3319,2,FALSE)),"X",$P26)</f>
        <v/>
      </c>
      <c r="R26" s="94" t="str">
        <f>IF(ISTEXT(VLOOKUP(CONCATENATE($A26,"_",R$3),'Unit List'!$A$23:$H$3319,2,FALSE)),"X",$P26)</f>
        <v/>
      </c>
      <c r="S26" s="95" t="str">
        <f>IF(ISTEXT(VLOOKUP(CONCATENATE($A26,"_",S$3),'Unit List'!$A$23:$H$3319,2,FALSE)),"X",$P26)</f>
        <v>X</v>
      </c>
      <c r="T26" s="100" t="str">
        <f>IF(ISTEXT(VLOOKUP(CONCATENATE($A26,"_",T$3),'Unit List'!$A$23:$H$3319,2,FALSE)),"X",$P26)</f>
        <v/>
      </c>
      <c r="U26" s="95" t="str">
        <f>IF(ISTEXT(VLOOKUP(CONCATENATE($A26,"_",U$3),'Unit List'!$A$23:$H$3319,2,FALSE)),"X",$P26)</f>
        <v>X</v>
      </c>
      <c r="V26" s="95" t="str">
        <f>IF(ISTEXT(VLOOKUP(CONCATENATE($A26,"_",V$3),'Unit List'!$A$23:$H$3319,2,FALSE)),"X",$P26)</f>
        <v>X</v>
      </c>
      <c r="W26" s="96" t="str">
        <f>IF(ISTEXT(VLOOKUP(CONCATENATE($A26,"_",W$3),'Unit List'!$A$23:$H$3319,2,FALSE)),"X",$P26)</f>
        <v/>
      </c>
      <c r="X26" s="97" t="str">
        <f>IF(ISTEXT(VLOOKUP(CONCATENATE($A26,"_",X$3),'Unit List'!$A$23:$H$3319,2,FALSE)),"+","")</f>
        <v>+</v>
      </c>
      <c r="Y26" s="113" t="str">
        <f>IF(ISTEXT(VLOOKUP(CONCATENATE($A26,"_",Y$3),'Unit List'!$A$23:$H$3319,2,FALSE)),"X",$X26)</f>
        <v>X</v>
      </c>
      <c r="Z26" s="94" t="str">
        <f>IF(ISTEXT(VLOOKUP(CONCATENATE($A26,"_",Z$3),'Unit List'!$A$23:$H$3319,2,FALSE)),"X",$X26)</f>
        <v>+</v>
      </c>
      <c r="AA26" s="94" t="str">
        <f>IF(ISTEXT(VLOOKUP(CONCATENATE($A26,"_",AA$3),'Unit List'!$A$23:$H$3319,2,FALSE)),"X",$X26)</f>
        <v>X</v>
      </c>
      <c r="AB26" s="94" t="str">
        <f>IF(ISTEXT(VLOOKUP(CONCATENATE($A26,"_",AB$3),'Unit List'!$A$23:$H$3319,2,FALSE)),"X",$X26)</f>
        <v>X</v>
      </c>
      <c r="AC26" s="101" t="str">
        <f>IF(ISTEXT(VLOOKUP(CONCATENATE($A26,"_",AC$3),'Unit List'!$A$23:$H$3319,2,FALSE)),"X",$X26)</f>
        <v>+</v>
      </c>
      <c r="AD26" s="97" t="str">
        <f>IF(ISTEXT(VLOOKUP(CONCATENATE($A26,"_",AD$3),'Unit List'!$A$23:$H$3319,2,FALSE)),"+","")</f>
        <v>+</v>
      </c>
      <c r="AE26" s="94" t="str">
        <f>IF(ISTEXT(VLOOKUP(CONCATENATE($A26,"_",AE$3),'Unit List'!$A$23:$H$3319,2,FALSE)),"X",$AD26)</f>
        <v>+</v>
      </c>
      <c r="AF26" s="94" t="str">
        <f>IF(ISTEXT(VLOOKUP(CONCATENATE($A26,"_",AF$3),'Unit List'!$A$23:$H$3319,2,FALSE)),"X",$AD26)</f>
        <v>+</v>
      </c>
      <c r="AG26" s="97" t="str">
        <f>IF(ISTEXT(VLOOKUP(CONCATENATE($A26,"_",AG$3),'Unit List'!$A$23:$H$3319,2,FALSE)),"+","")</f>
        <v>+</v>
      </c>
      <c r="AH26" s="94" t="str">
        <f>IF(ISTEXT(VLOOKUP(CONCATENATE($A26,"_",AH$3),'Unit List'!$A$23:$H$3319,2,FALSE)),"X",$AG26)</f>
        <v>X</v>
      </c>
      <c r="AI26" s="94" t="str">
        <f>IF(ISTEXT(VLOOKUP(CONCATENATE($A26,"_",AI$3),'Unit List'!$A$23:$H$3319,2,FALSE)),"X",$AG26)</f>
        <v>+</v>
      </c>
      <c r="AJ26" s="96" t="str">
        <f>IF(ISTEXT(VLOOKUP(CONCATENATE($A26,"_",AJ$3),'Unit List'!$A$23:$H$3319,2,FALSE)),"X",$AG26)</f>
        <v>X</v>
      </c>
      <c r="AK26" s="97" t="str">
        <f>IF(ISTEXT(VLOOKUP(CONCATENATE($A26,"_",AK$3),'Unit List'!$A$23:$H$3319,2,FALSE)),"+","")</f>
        <v/>
      </c>
      <c r="AL26" s="100" t="str">
        <f>IF(ISTEXT(VLOOKUP(CONCATENATE($A26,"_",AL$3),'Unit List'!$A$23:$H$3319,2,FALSE)),"X",$AK26)</f>
        <v/>
      </c>
      <c r="AM26" s="96" t="str">
        <f>IF(ISTEXT(VLOOKUP(CONCATENATE($A26,"_",AM$3),'Unit List'!$A$23:$H$3319,2,FALSE)),"X",$AK26)</f>
        <v/>
      </c>
      <c r="AN26" s="103" t="str">
        <f>IF(ISTEXT(VLOOKUP(CONCATENATE($A26,"_",AN$3),'Unit List'!$A$23:$H$3319,2,FALSE)),"+","")</f>
        <v>+</v>
      </c>
      <c r="AO26" s="96" t="str">
        <f>IF(ISTEXT(VLOOKUP(CONCATENATE($A26,"_",AO$3),'Unit List'!$A$23:$H$3319,2,FALSE)),"X",$AN26)</f>
        <v>X</v>
      </c>
      <c r="AP26" s="97" t="str">
        <f>IF(ISTEXT(VLOOKUP(CONCATENATE($A26,"_",AP$3),'Unit List'!$A$23:$H$3319,2,FALSE)),"+","")</f>
        <v>+</v>
      </c>
      <c r="AQ26" s="94" t="str">
        <f>IF(ISTEXT(VLOOKUP(CONCATENATE($A26,"_",AQ$3),'Unit List'!$A$23:$H$3319,2,FALSE)),"X",$AP26)</f>
        <v>+</v>
      </c>
      <c r="AR26" s="95" t="str">
        <f>IF(ISTEXT(VLOOKUP(CONCATENATE($A26,"_",AR$3),'Unit List'!$A$23:$H$3319,2,FALSE)),"X",$AP26)</f>
        <v>X</v>
      </c>
      <c r="AS26" s="94" t="str">
        <f>IF(ISTEXT(VLOOKUP(CONCATENATE($A26,"_",AS$3),'Unit List'!$A$23:$H$3319,2,FALSE)),"X",$AP26)</f>
        <v>+</v>
      </c>
      <c r="AT26" s="96" t="str">
        <f>IF(ISTEXT(VLOOKUP(CONCATENATE($A26,"_",AT$3),'Unit List'!$A$23:$H$3319,2,FALSE)),"X",$AP26)</f>
        <v>+</v>
      </c>
      <c r="AU26" s="104" t="str">
        <f>IF(ISTEXT(VLOOKUP(CONCATENATE($A26,"_",AU$3),'Unit List'!$A$23:$H$3319,2,FALSE)),"+","")</f>
        <v>+</v>
      </c>
      <c r="AV26" s="94" t="str">
        <f>IF(ISTEXT(VLOOKUP(CONCATENATE($A26,"_",AV$3),'Unit List'!$A$23:$H$3319,2,FALSE)),"X",$AU26)</f>
        <v>+</v>
      </c>
      <c r="AW26" s="96" t="str">
        <f>IF(ISTEXT(VLOOKUP(CONCATENATE($A26,"_",AW$3),'Unit List'!$A$23:$H$3319,2,FALSE)),"X",$AU26)</f>
        <v>+</v>
      </c>
      <c r="AX26" s="97" t="str">
        <f>IF(ISTEXT(VLOOKUP(CONCATENATE($A26,"_",AX$3),'Unit List'!$A$23:$H$3319,2,FALSE)),"+","")</f>
        <v>+</v>
      </c>
      <c r="AY26" s="94" t="str">
        <f>IF(ISTEXT(VLOOKUP(CONCATENATE($A26,"_",AY$3),'Unit List'!$A$23:$H$3319,2,FALSE)),"X",$AX26)</f>
        <v>+</v>
      </c>
      <c r="AZ26" s="96" t="str">
        <f>IF(ISTEXT(VLOOKUP(CONCATENATE($A26,"_",AZ$3),'Unit List'!$A$23:$H$3319,2,FALSE)),"X",$AX26)</f>
        <v>+</v>
      </c>
      <c r="BA26" s="105" t="str">
        <f>IF(ISTEXT(VLOOKUP(CONCATENATE($A26,"_",BA$3),'Unit List'!$A$23:$H$3319,2,FALSE)),"+","")</f>
        <v>+</v>
      </c>
      <c r="BB26" s="94" t="str">
        <f>IF(ISTEXT(VLOOKUP(CONCATENATE($A26,"_",BB$3),'Unit List'!$A$23:$H$3319,2,FALSE)),"X",$BA26)</f>
        <v>X</v>
      </c>
      <c r="BC26" s="94" t="str">
        <f>IF(ISTEXT(VLOOKUP(CONCATENATE($A26,"_",BC$3),'Unit List'!$A$23:$H$3319,2,FALSE)),"X",$BA26)</f>
        <v>+</v>
      </c>
      <c r="BD26" s="96" t="str">
        <f>IF(ISTEXT(VLOOKUP(CONCATENATE($A26,"_",BD$3),'Unit List'!$A$23:$H$3319,2,FALSE)),"X",$BA26)</f>
        <v>+</v>
      </c>
      <c r="BE26" s="103" t="str">
        <f>IF(ISTEXT(VLOOKUP(CONCATENATE($A26,"_",BE$3),'Unit List'!$A$23:$H$3319,2,FALSE)),"+","")</f>
        <v>+</v>
      </c>
      <c r="BF26" s="101" t="str">
        <f>IF(ISTEXT(VLOOKUP(CONCATENATE($A26,"_",BF$3),'Unit List'!$A$23:$H$3319,2,FALSE)),"X",$BE26)</f>
        <v>+</v>
      </c>
      <c r="BG26" s="106"/>
      <c r="BH26" s="107" t="s">
        <v>0</v>
      </c>
      <c r="BI26" s="228"/>
      <c r="BJ26" s="229"/>
      <c r="BK26" s="229"/>
      <c r="BL26" s="229"/>
      <c r="BM26" s="230"/>
      <c r="BN26" s="108"/>
      <c r="BO26" s="108"/>
      <c r="BP26" s="108"/>
      <c r="BQ26" s="108"/>
      <c r="BR26" s="108"/>
      <c r="BS26" s="108"/>
      <c r="DZ26" s="109"/>
      <c r="EA26" s="109"/>
    </row>
    <row r="27" spans="1:131" ht="12.75" customHeight="1" x14ac:dyDescent="0.2">
      <c r="A27" s="90" t="s">
        <v>30</v>
      </c>
      <c r="B27" s="91" t="str">
        <f>IF(ISTEXT(VLOOKUP(CONCATENATE($A27,"_",B$3),'Unit List'!$A$23:$H$3319,2,FALSE)),"+","")</f>
        <v/>
      </c>
      <c r="C27" s="142" t="str">
        <f>IF(ISTEXT(VLOOKUP(CONCATENATE($A27,"_",C$3),'Unit List'!$A$23:$H$3319,2,FALSE)),"X",$B27)</f>
        <v/>
      </c>
      <c r="D27" s="110" t="str">
        <f>IF(ISTEXT(VLOOKUP(CONCATENATE($A27,"_",D$3),'Unit List'!$A$23:$H$3319,2,FALSE)),"X",$B27)</f>
        <v/>
      </c>
      <c r="E27" s="94" t="str">
        <f>IF(ISTEXT(VLOOKUP(CONCATENATE($A27,"_",E$3),'Unit List'!$A$23:$H$3319,2,FALSE)),"X",$B27)</f>
        <v/>
      </c>
      <c r="F27" s="95" t="str">
        <f>IF(ISTEXT(VLOOKUP(CONCATENATE($A27,"_",F$3),'Unit List'!$A$23:$H$3319,2,FALSE)),"X",$B27)</f>
        <v>X</v>
      </c>
      <c r="G27" s="95" t="str">
        <f>IF(ISTEXT(VLOOKUP(CONCATENATE($A27,"_",G$3),'Unit List'!$A$23:$H$3319,2,FALSE)),"X",$B27)</f>
        <v>X</v>
      </c>
      <c r="H27" s="95" t="str">
        <f>IF(ISTEXT(VLOOKUP(CONCATENATE($A27,"_",H$3),'Unit List'!$A$23:$H$3319,2,FALSE)),"X",$B27)</f>
        <v>X</v>
      </c>
      <c r="I27" s="96" t="str">
        <f>IF(ISTEXT(VLOOKUP(CONCATENATE($A27,"_",I$3),'Unit List'!$A$23:$H$3319,2,FALSE)),"X",$B27)</f>
        <v/>
      </c>
      <c r="J27" s="97" t="str">
        <f>IF(ISTEXT(VLOOKUP(CONCATENATE($A27,"_",J$3),'Unit List'!$A$23:$H$3319,2,FALSE)),"+","")</f>
        <v>+</v>
      </c>
      <c r="K27" s="143" t="str">
        <f>IF(ISTEXT(VLOOKUP(CONCATENATE($A27,"_",K$3),'Unit List'!$A$23:$H$3319,2,FALSE)),"X",$J27)</f>
        <v>+</v>
      </c>
      <c r="L27" s="112" t="str">
        <f>IF(ISTEXT(VLOOKUP(CONCATENATE($A27,"_",L$3),'Unit List'!$A$23:$H$3319,2,FALSE)),"X",$J27)</f>
        <v>+</v>
      </c>
      <c r="M27" s="97" t="str">
        <f>IF(ISTEXT(VLOOKUP(CONCATENATE($A27,"_",M$3),'Unit List'!$A$23:$H$3319,2,FALSE)),"+","")</f>
        <v>+</v>
      </c>
      <c r="N27" s="94" t="str">
        <f>IF(ISTEXT(VLOOKUP(CONCATENATE($A27,"_",N$3),'Unit List'!$A$23:$H$3319,2,FALSE)),"X",$M27)</f>
        <v>+</v>
      </c>
      <c r="O27" s="114" t="str">
        <f>IF(ISTEXT(VLOOKUP(CONCATENATE($A27,"_",O$3),'Unit List'!$A$23:$H$3319,2,FALSE)),"X",$M27)</f>
        <v>X</v>
      </c>
      <c r="P27" s="115" t="str">
        <f>IF(ISTEXT(VLOOKUP(CONCATENATE($A27,"_",P$3),'Unit List'!$A$23:$H$3319,2,FALSE)),"+","")</f>
        <v>+</v>
      </c>
      <c r="Q27" s="94" t="str">
        <f>IF(ISTEXT(VLOOKUP(CONCATENATE($A27,"_",Q$3),'Unit List'!$A$23:$H$3319,2,FALSE)),"X",$P27)</f>
        <v>+</v>
      </c>
      <c r="R27" s="138" t="s">
        <v>0</v>
      </c>
      <c r="S27" s="118" t="s">
        <v>0</v>
      </c>
      <c r="T27" s="100" t="str">
        <f>IF(ISTEXT(VLOOKUP(CONCATENATE($A27,"_",T$3),'Unit List'!$A$23:$H$3319,2,FALSE)),"X",$P27)</f>
        <v>+</v>
      </c>
      <c r="U27" s="95" t="str">
        <f>IF(ISTEXT(VLOOKUP(CONCATENATE($A27,"_",U$3),'Unit List'!$A$23:$H$3319,2,FALSE)),"X",$P27)</f>
        <v>X</v>
      </c>
      <c r="V27" s="95" t="str">
        <f>IF(ISTEXT(VLOOKUP(CONCATENATE($A27,"_",V$3),'Unit List'!$A$23:$H$3319,2,FALSE)),"X",$P27)</f>
        <v>X</v>
      </c>
      <c r="W27" s="96" t="str">
        <f>IF(ISTEXT(VLOOKUP(CONCATENATE($A27,"_",W$3),'Unit List'!$A$23:$H$3319,2,FALSE)),"X",$P27)</f>
        <v>+</v>
      </c>
      <c r="X27" s="115" t="str">
        <f>IF(ISTEXT(VLOOKUP(CONCATENATE($A27,"_",X$3),'Unit List'!$A$23:$H$3319,2,FALSE)),"+","")</f>
        <v>+</v>
      </c>
      <c r="Y27" s="95" t="str">
        <f>IF(ISTEXT(VLOOKUP(CONCATENATE($A27,"_",Y$3),'Unit List'!$A$23:$H$3319,2,FALSE)),"X",$X27)</f>
        <v>X</v>
      </c>
      <c r="Z27" s="94" t="str">
        <f>IF(ISTEXT(VLOOKUP(CONCATENATE($A27,"_",Z$3),'Unit List'!$A$23:$H$3319,2,FALSE)),"X",$X27)</f>
        <v>+</v>
      </c>
      <c r="AA27" s="95" t="str">
        <f>IF(ISTEXT(VLOOKUP(CONCATENATE($A27,"_",AA$3),'Unit List'!$A$23:$H$3319,2,FALSE)),"X",$X27)</f>
        <v>X</v>
      </c>
      <c r="AB27" s="95" t="str">
        <f>IF(ISTEXT(VLOOKUP(CONCATENATE($A27,"_",AB$3),'Unit List'!$A$23:$H$3319,2,FALSE)),"X",$X27)</f>
        <v>X</v>
      </c>
      <c r="AC27" s="135" t="str">
        <f>IF(ISTEXT(VLOOKUP(CONCATENATE($A27,"_",AC$3),'Unit List'!$A$23:$H$3319,2,FALSE)),"X",$X27)</f>
        <v>X</v>
      </c>
      <c r="AD27" s="115" t="str">
        <f>IF(ISTEXT(VLOOKUP(CONCATENATE($A27,"_",AD$3),'Unit List'!$A$23:$H$3319,2,FALSE)),"+","")</f>
        <v/>
      </c>
      <c r="AE27" s="138" t="s">
        <v>0</v>
      </c>
      <c r="AF27" s="94" t="str">
        <f>IF(ISTEXT(VLOOKUP(CONCATENATE($A27,"_",AF$3),'Unit List'!$A$23:$H$3319,2,FALSE)),"X",$AD27)</f>
        <v/>
      </c>
      <c r="AG27" s="115" t="str">
        <f>IF(ISTEXT(VLOOKUP(CONCATENATE($A27,"_",AG$3),'Unit List'!$A$23:$H$3319,2,FALSE)),"+","")</f>
        <v>+</v>
      </c>
      <c r="AH27" s="95" t="str">
        <f>IF(ISTEXT(VLOOKUP(CONCATENATE($A27,"_",AH$3),'Unit List'!$A$23:$H$3319,2,FALSE)),"X",$AG27)</f>
        <v>X</v>
      </c>
      <c r="AI27" s="94" t="str">
        <f>IF(ISTEXT(VLOOKUP(CONCATENATE($A27,"_",AI$3),'Unit List'!$A$23:$H$3319,2,FALSE)),"X",$AG27)</f>
        <v>X</v>
      </c>
      <c r="AJ27" s="117" t="str">
        <f>IF(ISTEXT(VLOOKUP(CONCATENATE($A27,"_",AJ$3),'Unit List'!$A$23:$H$3319,2,FALSE)),"X",$AG27)</f>
        <v>+</v>
      </c>
      <c r="AK27" s="115" t="str">
        <f>IF(ISTEXT(VLOOKUP(CONCATENATE($A27,"_",AK$3),'Unit List'!$A$23:$H$3319,2,FALSE)),"+","")</f>
        <v>+</v>
      </c>
      <c r="AL27" s="100" t="str">
        <f>IF(ISTEXT(VLOOKUP(CONCATENATE($A27,"_",AL$3),'Unit List'!$A$23:$H$3319,2,FALSE)),"X",$AK27)</f>
        <v>+</v>
      </c>
      <c r="AM27" s="114" t="str">
        <f>IF(ISTEXT(VLOOKUP(CONCATENATE($A27,"_",AM$3),'Unit List'!$A$23:$H$3319,2,FALSE)),"X",$AK27)</f>
        <v>X</v>
      </c>
      <c r="AN27" s="103" t="str">
        <f>IF(ISTEXT(VLOOKUP(CONCATENATE($A27,"_",AN$3),'Unit List'!$A$23:$H$3319,2,FALSE)),"+","")</f>
        <v>+</v>
      </c>
      <c r="AO27" s="114" t="str">
        <f>IF(ISTEXT(VLOOKUP(CONCATENATE($A27,"_",AO$3),'Unit List'!$A$23:$H$3319,2,FALSE)),"X",$AN27)</f>
        <v>+</v>
      </c>
      <c r="AP27" s="115" t="str">
        <f>IF(ISTEXT(VLOOKUP(CONCATENATE($A27,"_",AP$3),'Unit List'!$A$23:$H$3319,2,FALSE)),"+","")</f>
        <v>+</v>
      </c>
      <c r="AQ27" s="95" t="str">
        <f>IF(ISTEXT(VLOOKUP(CONCATENATE($A27,"_",AQ$3),'Unit List'!$A$23:$H$3319,2,FALSE)),"X",$AP27)</f>
        <v>X</v>
      </c>
      <c r="AR27" s="95" t="str">
        <f>IF(ISTEXT(VLOOKUP(CONCATENATE($A27,"_",AR$3),'Unit List'!$A$23:$H$3319,2,FALSE)),"X",$AP27)</f>
        <v>X</v>
      </c>
      <c r="AS27" s="95" t="str">
        <f>IF(ISTEXT(VLOOKUP(CONCATENATE($A27,"_",AS$3),'Unit List'!$A$23:$H$3319,2,FALSE)),"X",$AP27)</f>
        <v>X</v>
      </c>
      <c r="AT27" s="114" t="str">
        <f>IF(ISTEXT(VLOOKUP(CONCATENATE($A27,"_",AT$3),'Unit List'!$A$23:$H$3319,2,FALSE)),"X",$AP27)</f>
        <v>X</v>
      </c>
      <c r="AU27" s="104" t="str">
        <f>IF(ISTEXT(VLOOKUP(CONCATENATE($A27,"_",AU$3),'Unit List'!$A$23:$H$3319,2,FALSE)),"+","")</f>
        <v>+</v>
      </c>
      <c r="AV27" s="113" t="str">
        <f>IF(ISTEXT(VLOOKUP(CONCATENATE($A27,"_",AV$3),'Unit List'!$A$23:$H$3319,2,FALSE)),"X",$AU27)</f>
        <v>+</v>
      </c>
      <c r="AW27" s="96" t="str">
        <f>IF(ISTEXT(VLOOKUP(CONCATENATE($A27,"_",AW$3),'Unit List'!$A$23:$H$3319,2,FALSE)),"X",$AU27)</f>
        <v>+</v>
      </c>
      <c r="AX27" s="97" t="str">
        <f>IF(ISTEXT(VLOOKUP(CONCATENATE($A27,"_",AX$3),'Unit List'!$A$23:$H$3319,2,FALSE)),"+","")</f>
        <v>+</v>
      </c>
      <c r="AY27" s="95" t="str">
        <f>IF(ISTEXT(VLOOKUP(CONCATENATE($A27,"_",AY$3),'Unit List'!$A$23:$H$3319,2,FALSE)),"X",$AX27)</f>
        <v>X</v>
      </c>
      <c r="AZ27" s="114" t="str">
        <f>IF(ISTEXT(VLOOKUP(CONCATENATE($A27,"_",AZ$3),'Unit List'!$A$23:$H$3319,2,FALSE)),"X",$AX27)</f>
        <v>+</v>
      </c>
      <c r="BA27" s="115" t="str">
        <f>IF(ISTEXT(VLOOKUP(CONCATENATE($A27,"_",BA$3),'Unit List'!$A$23:$H$3319,2,FALSE)),"+","")</f>
        <v>+</v>
      </c>
      <c r="BB27" s="95" t="str">
        <f>IF(ISTEXT(VLOOKUP(CONCATENATE($A27,"_",BB$3),'Unit List'!$A$23:$H$3319,2,FALSE)),"X",$BA27)</f>
        <v>X</v>
      </c>
      <c r="BC27" s="95" t="str">
        <f>IF(ISTEXT(VLOOKUP(CONCATENATE($A27,"_",BC$3),'Unit List'!$A$23:$H$3319,2,FALSE)),"X",$BA27)</f>
        <v>X</v>
      </c>
      <c r="BD27" s="114" t="str">
        <f>IF(ISTEXT(VLOOKUP(CONCATENATE($A27,"_",BD$3),'Unit List'!$A$23:$H$3319,2,FALSE)),"X",$BA27)</f>
        <v>X</v>
      </c>
      <c r="BE27" s="103" t="str">
        <f>IF(ISTEXT(VLOOKUP(CONCATENATE($A27,"_",BE$3),'Unit List'!$A$23:$H$3319,2,FALSE)),"+","")</f>
        <v>+</v>
      </c>
      <c r="BF27" s="101" t="str">
        <f>IF(ISTEXT(VLOOKUP(CONCATENATE($A27,"_",BF$3),'Unit List'!$A$23:$H$3319,2,FALSE)),"X",$BE27)</f>
        <v>+</v>
      </c>
      <c r="BG27" s="124"/>
      <c r="BH27" s="125" t="s">
        <v>0</v>
      </c>
      <c r="BI27" s="228" t="s">
        <v>12</v>
      </c>
      <c r="BJ27" s="231"/>
      <c r="BK27" s="231"/>
      <c r="BL27" s="231"/>
      <c r="BM27" s="232"/>
      <c r="BN27" s="108"/>
      <c r="BO27" s="108"/>
      <c r="BP27" s="108"/>
      <c r="BQ27" s="108"/>
      <c r="BR27" s="108"/>
      <c r="BS27" s="108"/>
      <c r="DZ27" s="109"/>
      <c r="EA27" s="109"/>
    </row>
    <row r="28" spans="1:131" ht="12.75" customHeight="1" x14ac:dyDescent="0.2">
      <c r="A28" s="90" t="s">
        <v>29</v>
      </c>
      <c r="B28" s="91" t="str">
        <f>IF(ISTEXT(VLOOKUP(CONCATENATE($A28,"_",B$3),'Unit List'!$A$23:$H$3319,2,FALSE)),"+","")</f>
        <v>+</v>
      </c>
      <c r="C28" s="92" t="str">
        <f>IF(ISTEXT(VLOOKUP(CONCATENATE($A28,"_",C$3),'Unit List'!$A$23:$H$3319,2,FALSE)),"X",$B28)</f>
        <v>X</v>
      </c>
      <c r="D28" s="94" t="str">
        <f>IF(ISTEXT(VLOOKUP(CONCATENATE($A28,"_",D$3),'Unit List'!$A$23:$H$3319,2,FALSE)),"X",$B28)</f>
        <v>X</v>
      </c>
      <c r="E28" s="94" t="str">
        <f>IF(ISTEXT(VLOOKUP(CONCATENATE($A28,"_",E$3),'Unit List'!$A$23:$H$3319,2,FALSE)),"X",$B28)</f>
        <v>X</v>
      </c>
      <c r="F28" s="110" t="str">
        <f>IF(ISTEXT(VLOOKUP(CONCATENATE($A28,"_",F$3),'Unit List'!$A$23:$H$3319,2,FALSE)),"X",$B28)</f>
        <v>X</v>
      </c>
      <c r="G28" s="94" t="str">
        <f>IF(ISTEXT(VLOOKUP(CONCATENATE($A28,"_",G$3),'Unit List'!$A$23:$H$3319,2,FALSE)),"X",$B28)</f>
        <v>X</v>
      </c>
      <c r="H28" s="94" t="str">
        <f>IF(ISTEXT(VLOOKUP(CONCATENATE($A28,"_",H$3),'Unit List'!$A$23:$H$3319,2,FALSE)),"X",$B28)</f>
        <v>X</v>
      </c>
      <c r="I28" s="96" t="str">
        <f>IF(ISTEXT(VLOOKUP(CONCATENATE($A28,"_",I$3),'Unit List'!$A$23:$H$3319,2,FALSE)),"X",$B28)</f>
        <v>+</v>
      </c>
      <c r="J28" s="97" t="str">
        <f>IF(ISTEXT(VLOOKUP(CONCATENATE($A28,"_",J$3),'Unit List'!$A$23:$H$3319,2,FALSE)),"+","")</f>
        <v/>
      </c>
      <c r="K28" s="94" t="str">
        <f>IF(ISTEXT(VLOOKUP(CONCATENATE($A28,"_",K$3),'Unit List'!$A$23:$H$3319,2,FALSE)),"X",$J28)</f>
        <v/>
      </c>
      <c r="L28" s="101" t="str">
        <f>IF(ISTEXT(VLOOKUP(CONCATENATE($A28,"_",L$3),'Unit List'!$A$23:$H$3319,2,FALSE)),"X",$J28)</f>
        <v/>
      </c>
      <c r="M28" s="97" t="str">
        <f>IF(ISTEXT(VLOOKUP(CONCATENATE($A28,"_",M$3),'Unit List'!$A$23:$H$3319,2,FALSE)),"+","")</f>
        <v>+</v>
      </c>
      <c r="N28" s="94" t="str">
        <f>IF(ISTEXT(VLOOKUP(CONCATENATE($A28,"_",N$3),'Unit List'!$A$23:$H$3319,2,FALSE)),"X",$M28)</f>
        <v>+</v>
      </c>
      <c r="O28" s="96" t="str">
        <f>IF(ISTEXT(VLOOKUP(CONCATENATE($A28,"_",O$3),'Unit List'!$A$23:$H$3319,2,FALSE)),"X",$M28)</f>
        <v>X</v>
      </c>
      <c r="P28" s="97" t="str">
        <f>IF(ISTEXT(VLOOKUP(CONCATENATE($A28,"_",P$3),'Unit List'!$A$23:$H$3319,2,FALSE)),"+","")</f>
        <v>+</v>
      </c>
      <c r="Q28" s="94" t="str">
        <f>IF(ISTEXT(VLOOKUP(CONCATENATE($A28,"_",Q$3),'Unit List'!$A$23:$H$3319,2,FALSE)),"X",$P28)</f>
        <v>+</v>
      </c>
      <c r="R28" s="94" t="str">
        <f>IF(ISTEXT(VLOOKUP(CONCATENATE($A28,"_",R$3),'Unit List'!$A$23:$H$3319,2,FALSE)),"X",$P28)</f>
        <v>+</v>
      </c>
      <c r="S28" s="94" t="str">
        <f>IF(ISTEXT(VLOOKUP(CONCATENATE($A28,"_",S$3),'Unit List'!$A$23:$H$3319,2,FALSE)),"X",$P28)</f>
        <v>+</v>
      </c>
      <c r="T28" s="100" t="str">
        <f>IF(ISTEXT(VLOOKUP(CONCATENATE($A28,"_",T$3),'Unit List'!$A$23:$H$3319,2,FALSE)),"X",$P28)</f>
        <v>+</v>
      </c>
      <c r="U28" s="94" t="str">
        <f>IF(ISTEXT(VLOOKUP(CONCATENATE($A28,"_",U$3),'Unit List'!$A$23:$H$3319,2,FALSE)),"X",$P28)</f>
        <v>X</v>
      </c>
      <c r="V28" s="94" t="str">
        <f>IF(ISTEXT(VLOOKUP(CONCATENATE($A28,"_",V$3),'Unit List'!$A$23:$H$3319,2,FALSE)),"X",$P28)</f>
        <v>X</v>
      </c>
      <c r="W28" s="96" t="str">
        <f>IF(ISTEXT(VLOOKUP(CONCATENATE($A28,"_",W$3),'Unit List'!$A$23:$H$3319,2,FALSE)),"X",$P28)</f>
        <v>+</v>
      </c>
      <c r="X28" s="97" t="str">
        <f>IF(ISTEXT(VLOOKUP(CONCATENATE($A28,"_",X$3),'Unit List'!$A$23:$H$3319,2,FALSE)),"+","")</f>
        <v/>
      </c>
      <c r="Y28" s="94" t="str">
        <f>IF(ISTEXT(VLOOKUP(CONCATENATE($A28,"_",Y$3),'Unit List'!$A$23:$H$3319,2,FALSE)),"X",$X28)</f>
        <v/>
      </c>
      <c r="Z28" s="94" t="str">
        <f>IF(ISTEXT(VLOOKUP(CONCATENATE($A28,"_",Z$3),'Unit List'!$A$23:$H$3319,2,FALSE)),"X",$X28)</f>
        <v/>
      </c>
      <c r="AA28" s="94" t="str">
        <f>IF(ISTEXT(VLOOKUP(CONCATENATE($A28,"_",AA$3),'Unit List'!$A$23:$H$3319,2,FALSE)),"X",$X28)</f>
        <v/>
      </c>
      <c r="AB28" s="94" t="str">
        <f>IF(ISTEXT(VLOOKUP(CONCATENATE($A28,"_",AB$3),'Unit List'!$A$23:$H$3319,2,FALSE)),"X",$X28)</f>
        <v/>
      </c>
      <c r="AC28" s="101" t="str">
        <f>IF(ISTEXT(VLOOKUP(CONCATENATE($A28,"_",AC$3),'Unit List'!$A$23:$H$3319,2,FALSE)),"X",$X28)</f>
        <v/>
      </c>
      <c r="AD28" s="97" t="str">
        <f>IF(ISTEXT(VLOOKUP(CONCATENATE($A28,"_",AD$3),'Unit List'!$A$23:$H$3319,2,FALSE)),"+","")</f>
        <v>+</v>
      </c>
      <c r="AE28" s="94" t="str">
        <f>IF(ISTEXT(VLOOKUP(CONCATENATE($A28,"_",AE$3),'Unit List'!$A$23:$H$3319,2,FALSE)),"X",$AD28)</f>
        <v>+</v>
      </c>
      <c r="AF28" s="94" t="str">
        <f>IF(ISTEXT(VLOOKUP(CONCATENATE($A28,"_",AF$3),'Unit List'!$A$23:$H$3319,2,FALSE)),"X",$AD28)</f>
        <v>+</v>
      </c>
      <c r="AG28" s="97" t="str">
        <f>IF(ISTEXT(VLOOKUP(CONCATENATE($A28,"_",AG$3),'Unit List'!$A$23:$H$3319,2,FALSE)),"+","")</f>
        <v/>
      </c>
      <c r="AH28" s="94" t="str">
        <f>IF(ISTEXT(VLOOKUP(CONCATENATE($A28,"_",AH$3),'Unit List'!$A$23:$H$3319,2,FALSE)),"X",$AG28)</f>
        <v/>
      </c>
      <c r="AI28" s="94" t="str">
        <f>IF(ISTEXT(VLOOKUP(CONCATENATE($A28,"_",AI$3),'Unit List'!$A$23:$H$3319,2,FALSE)),"X",$AG28)</f>
        <v/>
      </c>
      <c r="AJ28" s="96" t="str">
        <f>IF(ISTEXT(VLOOKUP(CONCATENATE($A28,"_",AJ$3),'Unit List'!$A$23:$H$3319,2,FALSE)),"X",$AG28)</f>
        <v/>
      </c>
      <c r="AK28" s="97" t="str">
        <f>IF(ISTEXT(VLOOKUP(CONCATENATE($A28,"_",AK$3),'Unit List'!$A$23:$H$3319,2,FALSE)),"+","")</f>
        <v>+</v>
      </c>
      <c r="AL28" s="100" t="str">
        <f>IF(ISTEXT(VLOOKUP(CONCATENATE($A28,"_",AL$3),'Unit List'!$A$23:$H$3319,2,FALSE)),"X",$AK28)</f>
        <v>+</v>
      </c>
      <c r="AM28" s="96" t="str">
        <f>IF(ISTEXT(VLOOKUP(CONCATENATE($A28,"_",AM$3),'Unit List'!$A$23:$H$3319,2,FALSE)),"X",$AK28)</f>
        <v>+</v>
      </c>
      <c r="AN28" s="103" t="str">
        <f>IF(ISTEXT(VLOOKUP(CONCATENATE($A28,"_",AN$3),'Unit List'!$A$23:$H$3319,2,FALSE)),"+","")</f>
        <v>+</v>
      </c>
      <c r="AO28" s="96" t="str">
        <f>IF(ISTEXT(VLOOKUP(CONCATENATE($A28,"_",AO$3),'Unit List'!$A$23:$H$3319,2,FALSE)),"X",$AN28)</f>
        <v>+</v>
      </c>
      <c r="AP28" s="97" t="str">
        <f>IF(ISTEXT(VLOOKUP(CONCATENATE($A28,"_",AP$3),'Unit List'!$A$23:$H$3319,2,FALSE)),"+","")</f>
        <v>+</v>
      </c>
      <c r="AQ28" s="94" t="str">
        <f>IF(ISTEXT(VLOOKUP(CONCATENATE($A28,"_",AQ$3),'Unit List'!$A$23:$H$3319,2,FALSE)),"X",$AP28)</f>
        <v>+</v>
      </c>
      <c r="AR28" s="94" t="str">
        <f>IF(ISTEXT(VLOOKUP(CONCATENATE($A28,"_",AR$3),'Unit List'!$A$23:$H$3319,2,FALSE)),"X",$AP28)</f>
        <v>X</v>
      </c>
      <c r="AS28" s="94" t="str">
        <f>IF(ISTEXT(VLOOKUP(CONCATENATE($A28,"_",AS$3),'Unit List'!$A$23:$H$3319,2,FALSE)),"X",$AP28)</f>
        <v>+</v>
      </c>
      <c r="AT28" s="96" t="str">
        <f>IF(ISTEXT(VLOOKUP(CONCATENATE($A28,"_",AT$3),'Unit List'!$A$23:$H$3319,2,FALSE)),"X",$AP28)</f>
        <v>+</v>
      </c>
      <c r="AU28" s="104" t="str">
        <f>IF(ISTEXT(VLOOKUP(CONCATENATE($A28,"_",AU$3),'Unit List'!$A$23:$H$3319,2,FALSE)),"+","")</f>
        <v>+</v>
      </c>
      <c r="AV28" s="94" t="str">
        <f>IF(ISTEXT(VLOOKUP(CONCATENATE($A28,"_",AV$3),'Unit List'!$A$23:$H$3319,2,FALSE)),"X",$AU28)</f>
        <v>+</v>
      </c>
      <c r="AW28" s="96" t="str">
        <f>IF(ISTEXT(VLOOKUP(CONCATENATE($A28,"_",AW$3),'Unit List'!$A$23:$H$3319,2,FALSE)),"X",$AU28)</f>
        <v>+</v>
      </c>
      <c r="AX28" s="97" t="str">
        <f>IF(ISTEXT(VLOOKUP(CONCATENATE($A28,"_",AX$3),'Unit List'!$A$23:$H$3319,2,FALSE)),"+","")</f>
        <v>+</v>
      </c>
      <c r="AY28" s="94" t="str">
        <f>IF(ISTEXT(VLOOKUP(CONCATENATE($A28,"_",AY$3),'Unit List'!$A$23:$H$3319,2,FALSE)),"X",$AX28)</f>
        <v>+</v>
      </c>
      <c r="AZ28" s="96" t="str">
        <f>IF(ISTEXT(VLOOKUP(CONCATENATE($A28,"_",AZ$3),'Unit List'!$A$23:$H$3319,2,FALSE)),"X",$AX28)</f>
        <v>+</v>
      </c>
      <c r="BA28" s="105" t="str">
        <f>IF(ISTEXT(VLOOKUP(CONCATENATE($A28,"_",BA$3),'Unit List'!$A$23:$H$3319,2,FALSE)),"+","")</f>
        <v/>
      </c>
      <c r="BB28" s="94" t="str">
        <f>IF(ISTEXT(VLOOKUP(CONCATENATE($A28,"_",BB$3),'Unit List'!$A$23:$H$3319,2,FALSE)),"X",$BA28)</f>
        <v/>
      </c>
      <c r="BC28" s="94" t="str">
        <f>IF(ISTEXT(VLOOKUP(CONCATENATE($A28,"_",BC$3),'Unit List'!$A$23:$H$3319,2,FALSE)),"X",$BA28)</f>
        <v/>
      </c>
      <c r="BD28" s="96" t="str">
        <f>IF(ISTEXT(VLOOKUP(CONCATENATE($A28,"_",BD$3),'Unit List'!$A$23:$H$3319,2,FALSE)),"X",$BA28)</f>
        <v/>
      </c>
      <c r="BE28" s="103" t="str">
        <f>IF(ISTEXT(VLOOKUP(CONCATENATE($A28,"_",BE$3),'Unit List'!$A$23:$H$3319,2,FALSE)),"+","")</f>
        <v/>
      </c>
      <c r="BF28" s="101" t="str">
        <f>IF(ISTEXT(VLOOKUP(CONCATENATE($A28,"_",BF$3),'Unit List'!$A$23:$H$3319,2,FALSE)),"X",$BE28)</f>
        <v/>
      </c>
      <c r="BG28" s="106"/>
      <c r="BH28" s="107" t="s">
        <v>0</v>
      </c>
      <c r="BI28" s="228"/>
      <c r="BJ28" s="229"/>
      <c r="BK28" s="229"/>
      <c r="BL28" s="229"/>
      <c r="BM28" s="230"/>
      <c r="BN28" s="108"/>
      <c r="BO28" s="108"/>
      <c r="BP28" s="108"/>
      <c r="BQ28" s="108"/>
      <c r="BR28" s="108"/>
      <c r="BS28" s="108"/>
      <c r="DZ28" s="109"/>
      <c r="EA28" s="109"/>
    </row>
    <row r="29" spans="1:131" ht="12.75" customHeight="1" x14ac:dyDescent="0.2">
      <c r="A29" s="90" t="s">
        <v>1109</v>
      </c>
      <c r="B29" s="91" t="str">
        <f>IF(ISTEXT(VLOOKUP(CONCATENATE($A29,"_",B$3),'Unit List'!$A$23:$H$3319,2,FALSE)),"+","")</f>
        <v/>
      </c>
      <c r="C29" s="131" t="str">
        <f>IF(ISTEXT(VLOOKUP(CONCATENATE($A29,"_",C$3),'Unit List'!$A$23:$H$3319,2,FALSE)),"X",$B29)</f>
        <v>X</v>
      </c>
      <c r="D29" s="95" t="str">
        <f>IF(ISTEXT(VLOOKUP(CONCATENATE($A29,"_",D$3),'Unit List'!$A$23:$H$3319,2,FALSE)),"X",$B29)</f>
        <v>X</v>
      </c>
      <c r="E29" s="94" t="str">
        <f>IF(ISTEXT(VLOOKUP(CONCATENATE($A29,"_",E$3),'Unit List'!$A$23:$H$3319,2,FALSE)),"X",$B29)</f>
        <v>X</v>
      </c>
      <c r="F29" s="95" t="str">
        <f>IF(ISTEXT(VLOOKUP(CONCATENATE($A29,"_",F$3),'Unit List'!$A$23:$H$3319,2,FALSE)),"X",$B29)</f>
        <v>X</v>
      </c>
      <c r="G29" s="94" t="str">
        <f>IF(ISTEXT(VLOOKUP(CONCATENATE($A29,"_",G$3),'Unit List'!$A$23:$H$3319,2,FALSE)),"X",$B29)</f>
        <v>X</v>
      </c>
      <c r="H29" s="95" t="str">
        <f>IF(ISTEXT(VLOOKUP(CONCATENATE($A29,"_",H$3),'Unit List'!$A$23:$H$3319,2,FALSE)),"X",$B29)</f>
        <v>X</v>
      </c>
      <c r="I29" s="96" t="str">
        <f>IF(ISTEXT(VLOOKUP(CONCATENATE($A29,"_",I$3),'Unit List'!$A$23:$H$3319,2,FALSE)),"X",$B29)</f>
        <v/>
      </c>
      <c r="J29" s="97" t="str">
        <f>IF(ISTEXT(VLOOKUP(CONCATENATE($A29,"_",J$3),'Unit List'!$A$23:$H$3319,2,FALSE)),"+","")</f>
        <v>+</v>
      </c>
      <c r="K29" s="94" t="str">
        <f>IF(ISTEXT(VLOOKUP(CONCATENATE($A29,"_",K$3),'Unit List'!$A$23:$H$3319,2,FALSE)),"X",$J29)</f>
        <v>+</v>
      </c>
      <c r="L29" s="101" t="str">
        <f>IF(ISTEXT(VLOOKUP(CONCATENATE($A29,"_",L$3),'Unit List'!$A$23:$H$3319,2,FALSE)),"X",$J29)</f>
        <v>+</v>
      </c>
      <c r="M29" s="97" t="str">
        <f>IF(ISTEXT(VLOOKUP(CONCATENATE($A29,"_",M$3),'Unit List'!$A$23:$H$3319,2,FALSE)),"+","")</f>
        <v>+</v>
      </c>
      <c r="N29" s="94" t="str">
        <f>IF(ISTEXT(VLOOKUP(CONCATENATE($A29,"_",N$3),'Unit List'!$A$23:$H$3319,2,FALSE)),"X",$M29)</f>
        <v>+</v>
      </c>
      <c r="O29" s="114" t="str">
        <f>IF(ISTEXT(VLOOKUP(CONCATENATE($A29,"_",O$3),'Unit List'!$A$23:$H$3319,2,FALSE)),"X",$M29)</f>
        <v>X</v>
      </c>
      <c r="P29" s="97" t="str">
        <f>IF(ISTEXT(VLOOKUP(CONCATENATE($A29,"_",P$3),'Unit List'!$A$23:$H$3319,2,FALSE)),"+","")</f>
        <v/>
      </c>
      <c r="Q29" s="94" t="str">
        <f>IF(ISTEXT(VLOOKUP(CONCATENATE($A29,"_",Q$3),'Unit List'!$A$23:$H$3319,2,FALSE)),"X",$P29)</f>
        <v/>
      </c>
      <c r="R29" s="94" t="str">
        <f>IF(ISTEXT(VLOOKUP(CONCATENATE($A29,"_",R$3),'Unit List'!$A$23:$H$3319,2,FALSE)),"X",$P29)</f>
        <v/>
      </c>
      <c r="S29" s="95" t="str">
        <f>IF(ISTEXT(VLOOKUP(CONCATENATE($A29,"_",S$3),'Unit List'!$A$23:$H$3319,2,FALSE)),"X",$P29)</f>
        <v>X</v>
      </c>
      <c r="T29" s="136" t="str">
        <f>IF(ISTEXT(VLOOKUP(CONCATENATE($A29,"_",T$3),'Unit List'!$A$23:$H$3319,2,FALSE)),"X",$P29)</f>
        <v>X</v>
      </c>
      <c r="U29" s="95" t="str">
        <f>IF(ISTEXT(VLOOKUP(CONCATENATE($A29,"_",U$3),'Unit List'!$A$23:$H$3319,2,FALSE)),"X",$P29)</f>
        <v>X</v>
      </c>
      <c r="V29" s="95" t="str">
        <f>IF(ISTEXT(VLOOKUP(CONCATENATE($A29,"_",V$3),'Unit List'!$A$23:$H$3319,2,FALSE)),"X",$P29)</f>
        <v>X</v>
      </c>
      <c r="W29" s="96" t="str">
        <f>IF(ISTEXT(VLOOKUP(CONCATENATE($A29,"_",W$3),'Unit List'!$A$23:$H$3319,2,FALSE)),"X",$P29)</f>
        <v/>
      </c>
      <c r="X29" s="97" t="str">
        <f>IF(ISTEXT(VLOOKUP(CONCATENATE($A29,"_",X$3),'Unit List'!$A$23:$H$3319,2,FALSE)),"+","")</f>
        <v/>
      </c>
      <c r="Y29" s="94" t="str">
        <f>IF(ISTEXT(VLOOKUP(CONCATENATE($A29,"_",Y$3),'Unit List'!$A$23:$H$3319,2,FALSE)),"X",$X29)</f>
        <v/>
      </c>
      <c r="Z29" s="94" t="str">
        <f>IF(ISTEXT(VLOOKUP(CONCATENATE($A29,"_",Z$3),'Unit List'!$A$23:$H$3319,2,FALSE)),"X",$X29)</f>
        <v/>
      </c>
      <c r="AA29" s="95" t="str">
        <f>IF(ISTEXT(VLOOKUP(CONCATENATE($A29,"_",AA$3),'Unit List'!$A$23:$H$3319,2,FALSE)),"X",$X29)</f>
        <v>X</v>
      </c>
      <c r="AB29" s="95" t="str">
        <f>IF(ISTEXT(VLOOKUP(CONCATENATE($A29,"_",AB$3),'Unit List'!$A$23:$H$3319,2,FALSE)),"X",$X29)</f>
        <v>X</v>
      </c>
      <c r="AC29" s="135" t="str">
        <f>IF(ISTEXT(VLOOKUP(CONCATENATE($A29,"_",AC$3),'Unit List'!$A$23:$H$3319,2,FALSE)),"X",$X29)</f>
        <v>X</v>
      </c>
      <c r="AD29" s="97" t="str">
        <f>IF(ISTEXT(VLOOKUP(CONCATENATE($A29,"_",AD$3),'Unit List'!$A$23:$H$3319,2,FALSE)),"+","")</f>
        <v>+</v>
      </c>
      <c r="AE29" s="94" t="str">
        <f>IF(ISTEXT(VLOOKUP(CONCATENATE($A29,"_",AE$3),'Unit List'!$A$23:$H$3319,2,FALSE)),"X",$AD29)</f>
        <v>+</v>
      </c>
      <c r="AF29" s="94" t="str">
        <f>IF(ISTEXT(VLOOKUP(CONCATENATE($A29,"_",AF$3),'Unit List'!$A$23:$H$3319,2,FALSE)),"X",$AD29)</f>
        <v>+</v>
      </c>
      <c r="AG29" s="97" t="str">
        <f>IF(ISTEXT(VLOOKUP(CONCATENATE($A29,"_",AG$3),'Unit List'!$A$23:$H$3319,2,FALSE)),"+","")</f>
        <v/>
      </c>
      <c r="AH29" s="94" t="str">
        <f>IF(ISTEXT(VLOOKUP(CONCATENATE($A29,"_",AH$3),'Unit List'!$A$23:$H$3319,2,FALSE)),"X",$AG29)</f>
        <v/>
      </c>
      <c r="AI29" s="94" t="str">
        <f>IF(ISTEXT(VLOOKUP(CONCATENATE($A29,"_",AI$3),'Unit List'!$A$23:$H$3319,2,FALSE)),"X",$AG29)</f>
        <v/>
      </c>
      <c r="AJ29" s="96" t="str">
        <f>IF(ISTEXT(VLOOKUP(CONCATENATE($A29,"_",AJ$3),'Unit List'!$A$23:$H$3319,2,FALSE)),"X",$AG29)</f>
        <v>X</v>
      </c>
      <c r="AK29" s="97" t="str">
        <f>IF(ISTEXT(VLOOKUP(CONCATENATE($A29,"_",AK$3),'Unit List'!$A$23:$H$3319,2,FALSE)),"+","")</f>
        <v/>
      </c>
      <c r="AL29" s="100" t="str">
        <f>IF(ISTEXT(VLOOKUP(CONCATENATE($A29,"_",AL$3),'Unit List'!$A$23:$H$3319,2,FALSE)),"X",$AK29)</f>
        <v/>
      </c>
      <c r="AM29" s="114" t="str">
        <f>IF(ISTEXT(VLOOKUP(CONCATENATE($A29,"_",AM$3),'Unit List'!$A$23:$H$3319,2,FALSE)),"X",$AK29)</f>
        <v>X</v>
      </c>
      <c r="AN29" s="103" t="str">
        <f>IF(ISTEXT(VLOOKUP(CONCATENATE($A29,"_",AN$3),'Unit List'!$A$23:$H$3319,2,FALSE)),"+","")</f>
        <v>+</v>
      </c>
      <c r="AO29" s="114" t="str">
        <f>IF(ISTEXT(VLOOKUP(CONCATENATE($A29,"_",AO$3),'Unit List'!$A$23:$H$3319,2,FALSE)),"X",$AN29)</f>
        <v>X</v>
      </c>
      <c r="AP29" s="97" t="str">
        <f>IF(ISTEXT(VLOOKUP(CONCATENATE($A29,"_",AP$3),'Unit List'!$A$23:$H$3319,2,FALSE)),"+","")</f>
        <v>+</v>
      </c>
      <c r="AQ29" s="94" t="str">
        <f>IF(ISTEXT(VLOOKUP(CONCATENATE($A29,"_",AQ$3),'Unit List'!$A$23:$H$3319,2,FALSE)),"X",$AP29)</f>
        <v>+</v>
      </c>
      <c r="AR29" s="95" t="str">
        <f>IF(ISTEXT(VLOOKUP(CONCATENATE($A29,"_",AR$3),'Unit List'!$A$23:$H$3319,2,FALSE)),"X",$AP29)</f>
        <v>X</v>
      </c>
      <c r="AS29" s="95" t="str">
        <f>IF(ISTEXT(VLOOKUP(CONCATENATE($A29,"_",AS$3),'Unit List'!$A$23:$H$3319,2,FALSE)),"X",$AP29)</f>
        <v>X</v>
      </c>
      <c r="AT29" s="96" t="str">
        <f>IF(ISTEXT(VLOOKUP(CONCATENATE($A29,"_",AT$3),'Unit List'!$A$23:$H$3319,2,FALSE)),"X",$AP29)</f>
        <v>+</v>
      </c>
      <c r="AU29" s="104" t="str">
        <f>IF(ISTEXT(VLOOKUP(CONCATENATE($A29,"_",AU$3),'Unit List'!$A$23:$H$3319,2,FALSE)),"+","")</f>
        <v/>
      </c>
      <c r="AV29" s="94" t="str">
        <f>IF(ISTEXT(VLOOKUP(CONCATENATE($A29,"_",AV$3),'Unit List'!$A$23:$H$3319,2,FALSE)),"X",$AU29)</f>
        <v/>
      </c>
      <c r="AW29" s="96" t="str">
        <f>IF(ISTEXT(VLOOKUP(CONCATENATE($A29,"_",AW$3),'Unit List'!$A$23:$H$3319,2,FALSE)),"X",$AU29)</f>
        <v>X</v>
      </c>
      <c r="AX29" s="97" t="str">
        <f>IF(ISTEXT(VLOOKUP(CONCATENATE($A29,"_",AX$3),'Unit List'!$A$23:$H$3319,2,FALSE)),"+","")</f>
        <v>+</v>
      </c>
      <c r="AY29" s="94" t="str">
        <f>IF(ISTEXT(VLOOKUP(CONCATENATE($A29,"_",AY$3),'Unit List'!$A$23:$H$3319,2,FALSE)),"X",$AX29)</f>
        <v>X</v>
      </c>
      <c r="AZ29" s="96" t="str">
        <f>IF(ISTEXT(VLOOKUP(CONCATENATE($A29,"_",AZ$3),'Unit List'!$A$23:$H$3319,2,FALSE)),"X",$AX29)</f>
        <v>+</v>
      </c>
      <c r="BA29" s="105" t="str">
        <f>IF(ISTEXT(VLOOKUP(CONCATENATE($A29,"_",BA$3),'Unit List'!$A$23:$H$3319,2,FALSE)),"+","")</f>
        <v>+</v>
      </c>
      <c r="BB29" s="94" t="str">
        <f>IF(ISTEXT(VLOOKUP(CONCATENATE($A29,"_",BB$3),'Unit List'!$A$23:$H$3319,2,FALSE)),"X",$BA29)</f>
        <v>+</v>
      </c>
      <c r="BC29" s="94" t="str">
        <f>IF(ISTEXT(VLOOKUP(CONCATENATE($A29,"_",BC$3),'Unit List'!$A$23:$H$3319,2,FALSE)),"X",$BA29)</f>
        <v>+</v>
      </c>
      <c r="BD29" s="96" t="str">
        <f>IF(ISTEXT(VLOOKUP(CONCATENATE($A29,"_",BD$3),'Unit List'!$A$23:$H$3319,2,FALSE)),"X",$BA29)</f>
        <v>+</v>
      </c>
      <c r="BE29" s="103" t="str">
        <f>IF(ISTEXT(VLOOKUP(CONCATENATE($A29,"_",BE$3),'Unit List'!$A$23:$H$3319,2,FALSE)),"+","")</f>
        <v>+</v>
      </c>
      <c r="BF29" s="101" t="str">
        <f>IF(ISTEXT(VLOOKUP(CONCATENATE($A29,"_",BF$3),'Unit List'!$A$23:$H$3319,2,FALSE)),"X",$BE29)</f>
        <v>+</v>
      </c>
      <c r="BG29" s="106"/>
      <c r="BH29" s="107" t="s">
        <v>0</v>
      </c>
      <c r="BI29" s="228" t="s">
        <v>12</v>
      </c>
      <c r="BJ29" s="231"/>
      <c r="BK29" s="231"/>
      <c r="BL29" s="231"/>
      <c r="BM29" s="232"/>
      <c r="BN29" s="108"/>
      <c r="BO29" s="108"/>
      <c r="BP29" s="108"/>
      <c r="BQ29" s="108"/>
      <c r="BR29" s="108"/>
      <c r="BS29" s="108"/>
      <c r="DZ29" s="109"/>
      <c r="EA29" s="109"/>
    </row>
    <row r="30" spans="1:131" ht="12.75" customHeight="1" x14ac:dyDescent="0.2">
      <c r="A30" s="90" t="s">
        <v>28</v>
      </c>
      <c r="B30" s="91" t="str">
        <f>IF(ISTEXT(VLOOKUP(CONCATENATE($A30,"_",B$3),'Unit List'!$A$23:$H$3319,2,FALSE)),"+","")</f>
        <v/>
      </c>
      <c r="C30" s="92" t="str">
        <f>IF(ISTEXT(VLOOKUP(CONCATENATE($A30,"_",C$3),'Unit List'!$A$23:$H$3319,2,FALSE)),"X",$B30)</f>
        <v/>
      </c>
      <c r="D30" s="110" t="str">
        <f>IF(ISTEXT(VLOOKUP(CONCATENATE($A30,"_",D$3),'Unit List'!$A$23:$H$3319,2,FALSE)),"X",$B30)</f>
        <v/>
      </c>
      <c r="E30" s="94" t="str">
        <f>IF(ISTEXT(VLOOKUP(CONCATENATE($A30,"_",E$3),'Unit List'!$A$23:$H$3319,2,FALSE)),"X",$B30)</f>
        <v/>
      </c>
      <c r="F30" s="95" t="str">
        <f>IF(ISTEXT(VLOOKUP(CONCATENATE($A30,"_",F$3),'Unit List'!$A$23:$H$3319,2,FALSE)),"X",$B30)</f>
        <v>X</v>
      </c>
      <c r="G30" s="94" t="str">
        <f>IF(ISTEXT(VLOOKUP(CONCATENATE($A30,"_",G$3),'Unit List'!$A$23:$H$3319,2,FALSE)),"X",$B30)</f>
        <v>X</v>
      </c>
      <c r="H30" s="95" t="str">
        <f>IF(ISTEXT(VLOOKUP(CONCATENATE($A30,"_",H$3),'Unit List'!$A$23:$H$3319,2,FALSE)),"X",$B30)</f>
        <v>X</v>
      </c>
      <c r="I30" s="96" t="str">
        <f>IF(ISTEXT(VLOOKUP(CONCATENATE($A30,"_",I$3),'Unit List'!$A$23:$H$3319,2,FALSE)),"X",$B30)</f>
        <v/>
      </c>
      <c r="J30" s="97" t="str">
        <f>IF(ISTEXT(VLOOKUP(CONCATENATE($A30,"_",J$3),'Unit List'!$A$23:$H$3319,2,FALSE)),"+","")</f>
        <v>+</v>
      </c>
      <c r="K30" s="143" t="str">
        <f>IF(ISTEXT(VLOOKUP(CONCATENATE($A30,"_",K$3),'Unit List'!$A$23:$H$3319,2,FALSE)),"X",$J30)</f>
        <v>+</v>
      </c>
      <c r="L30" s="135" t="str">
        <f>IF(ISTEXT(VLOOKUP(CONCATENATE($A30,"_",L$3),'Unit List'!$A$23:$H$3319,2,FALSE)),"X",$J30)</f>
        <v>+</v>
      </c>
      <c r="M30" s="97" t="str">
        <f>IF(ISTEXT(VLOOKUP(CONCATENATE($A30,"_",M$3),'Unit List'!$A$23:$H$3319,2,FALSE)),"+","")</f>
        <v>+</v>
      </c>
      <c r="N30" s="94" t="str">
        <f>IF(ISTEXT(VLOOKUP(CONCATENATE($A30,"_",N$3),'Unit List'!$A$23:$H$3319,2,FALSE)),"X",$M30)</f>
        <v>X</v>
      </c>
      <c r="O30" s="114" t="str">
        <f>IF(ISTEXT(VLOOKUP(CONCATENATE($A30,"_",O$3),'Unit List'!$A$23:$H$3319,2,FALSE)),"X",$M30)</f>
        <v>X</v>
      </c>
      <c r="P30" s="97" t="str">
        <f>IF(ISTEXT(VLOOKUP(CONCATENATE($A30,"_",P$3),'Unit List'!$A$23:$H$3319,2,FALSE)),"+","")</f>
        <v/>
      </c>
      <c r="Q30" s="94" t="str">
        <f>IF(ISTEXT(VLOOKUP(CONCATENATE($A30,"_",Q$3),'Unit List'!$A$23:$H$3319,2,FALSE)),"X",$P30)</f>
        <v/>
      </c>
      <c r="R30" s="94" t="str">
        <f>IF(ISTEXT(VLOOKUP(CONCATENATE($A30,"_",R$3),'Unit List'!$A$23:$H$3319,2,FALSE)),"X",$P30)</f>
        <v/>
      </c>
      <c r="S30" s="95" t="str">
        <f>IF(ISTEXT(VLOOKUP(CONCATENATE($A30,"_",S$3),'Unit List'!$A$23:$H$3319,2,FALSE)),"X",$P30)</f>
        <v>X</v>
      </c>
      <c r="T30" s="100" t="str">
        <f>IF(ISTEXT(VLOOKUP(CONCATENATE($A30,"_",T$3),'Unit List'!$A$23:$H$3319,2,FALSE)),"X",$P30)</f>
        <v/>
      </c>
      <c r="U30" s="95" t="str">
        <f>IF(ISTEXT(VLOOKUP(CONCATENATE($A30,"_",U$3),'Unit List'!$A$23:$H$3319,2,FALSE)),"X",$P30)</f>
        <v>X</v>
      </c>
      <c r="V30" s="138" t="s">
        <v>3</v>
      </c>
      <c r="W30" s="96" t="str">
        <f>IF(ISTEXT(VLOOKUP(CONCATENATE($A30,"_",W$3),'Unit List'!$A$23:$H$3319,2,FALSE)),"X",$P30)</f>
        <v/>
      </c>
      <c r="X30" s="115" t="str">
        <f>IF(ISTEXT(VLOOKUP(CONCATENATE($A30,"_",X$3),'Unit List'!$A$23:$H$3319,2,FALSE)),"+","")</f>
        <v>+</v>
      </c>
      <c r="Y30" s="118" t="s">
        <v>0</v>
      </c>
      <c r="Z30" s="94" t="str">
        <f>IF(ISTEXT(VLOOKUP(CONCATENATE($A30,"_",Z$3),'Unit List'!$A$23:$H$3319,2,FALSE)),"X",$X30)</f>
        <v>+</v>
      </c>
      <c r="AA30" s="95" t="str">
        <f>IF(ISTEXT(VLOOKUP(CONCATENATE($A30,"_",AA$3),'Unit List'!$A$23:$H$3319,2,FALSE)),"X",$X30)</f>
        <v>X</v>
      </c>
      <c r="AB30" s="95" t="str">
        <f>IF(ISTEXT(VLOOKUP(CONCATENATE($A30,"_",AB$3),'Unit List'!$A$23:$H$3319,2,FALSE)),"X",$X30)</f>
        <v>X</v>
      </c>
      <c r="AC30" s="135" t="str">
        <f>IF(ISTEXT(VLOOKUP(CONCATENATE($A30,"_",AC$3),'Unit List'!$A$23:$H$3319,2,FALSE)),"X",$X30)</f>
        <v>X</v>
      </c>
      <c r="AD30" s="115" t="str">
        <f>IF(ISTEXT(VLOOKUP(CONCATENATE($A30,"_",AD$3),'Unit List'!$A$23:$H$3319,2,FALSE)),"+","")</f>
        <v/>
      </c>
      <c r="AE30" s="94" t="str">
        <f>IF(ISTEXT(VLOOKUP(CONCATENATE($A30,"_",AE$3),'Unit List'!$A$23:$H$3319,2,FALSE)),"X",$AD30)</f>
        <v>X</v>
      </c>
      <c r="AF30" s="94" t="str">
        <f>IF(ISTEXT(VLOOKUP(CONCATENATE($A30,"_",AF$3),'Unit List'!$A$23:$H$3319,2,FALSE)),"X",$AD30)</f>
        <v/>
      </c>
      <c r="AG30" s="115" t="str">
        <f>IF(ISTEXT(VLOOKUP(CONCATENATE($A30,"_",AG$3),'Unit List'!$A$23:$H$3319,2,FALSE)),"+","")</f>
        <v>+</v>
      </c>
      <c r="AH30" s="95" t="str">
        <f>IF(ISTEXT(VLOOKUP(CONCATENATE($A30,"_",AH$3),'Unit List'!$A$23:$H$3319,2,FALSE)),"X",$AG30)</f>
        <v>+</v>
      </c>
      <c r="AI30" s="138" t="s">
        <v>0</v>
      </c>
      <c r="AJ30" s="117" t="str">
        <f>IF(ISTEXT(VLOOKUP(CONCATENATE($A30,"_",AJ$3),'Unit List'!$A$23:$H$3319,2,FALSE)),"X",$AG30)</f>
        <v>+</v>
      </c>
      <c r="AK30" s="115" t="str">
        <f>IF(ISTEXT(VLOOKUP(CONCATENATE($A30,"_",AK$3),'Unit List'!$A$23:$H$3319,2,FALSE)),"+","")</f>
        <v>+</v>
      </c>
      <c r="AL30" s="100" t="str">
        <f>IF(ISTEXT(VLOOKUP(CONCATENATE($A30,"_",AL$3),'Unit List'!$A$23:$H$3319,2,FALSE)),"X",$AK30)</f>
        <v>+</v>
      </c>
      <c r="AM30" s="114" t="str">
        <f>IF(ISTEXT(VLOOKUP(CONCATENATE($A30,"_",AM$3),'Unit List'!$A$23:$H$3319,2,FALSE)),"X",$AK30)</f>
        <v>X</v>
      </c>
      <c r="AN30" s="103" t="str">
        <f>IF(ISTEXT(VLOOKUP(CONCATENATE($A30,"_",AN$3),'Unit List'!$A$23:$H$3319,2,FALSE)),"+","")</f>
        <v>+</v>
      </c>
      <c r="AO30" s="114" t="str">
        <f>IF(ISTEXT(VLOOKUP(CONCATENATE($A30,"_",AO$3),'Unit List'!$A$23:$H$3319,2,FALSE)),"X",$AN30)</f>
        <v>+</v>
      </c>
      <c r="AP30" s="115" t="str">
        <f>IF(ISTEXT(VLOOKUP(CONCATENATE($A30,"_",AP$3),'Unit List'!$A$23:$H$3319,2,FALSE)),"+","")</f>
        <v>+</v>
      </c>
      <c r="AQ30" s="94" t="str">
        <f>IF(ISTEXT(VLOOKUP(CONCATENATE($A30,"_",AQ$3),'Unit List'!$A$23:$H$3319,2,FALSE)),"X",$AP30)</f>
        <v>X</v>
      </c>
      <c r="AR30" s="95" t="str">
        <f>IF(ISTEXT(VLOOKUP(CONCATENATE($A30,"_",AR$3),'Unit List'!$A$23:$H$3319,2,FALSE)),"X",$AP30)</f>
        <v>X</v>
      </c>
      <c r="AS30" s="95" t="str">
        <f>IF(ISTEXT(VLOOKUP(CONCATENATE($A30,"_",AS$3),'Unit List'!$A$23:$H$3319,2,FALSE)),"X",$AP30)</f>
        <v>X</v>
      </c>
      <c r="AT30" s="149" t="s">
        <v>0</v>
      </c>
      <c r="AU30" s="104" t="str">
        <f>IF(ISTEXT(VLOOKUP(CONCATENATE($A30,"_",AU$3),'Unit List'!$A$23:$H$3319,2,FALSE)),"+","")</f>
        <v>+</v>
      </c>
      <c r="AV30" s="94" t="str">
        <f>IF(ISTEXT(VLOOKUP(CONCATENATE($A30,"_",AV$3),'Unit List'!$A$23:$H$3319,2,FALSE)),"X",$AU30)</f>
        <v>+</v>
      </c>
      <c r="AW30" s="122" t="s">
        <v>0</v>
      </c>
      <c r="AX30" s="115" t="str">
        <f>IF(ISTEXT(VLOOKUP(CONCATENATE($A30,"_",AX$3),'Unit List'!$A$23:$H$3319,2,FALSE)),"+","")</f>
        <v>+</v>
      </c>
      <c r="AY30" s="95" t="str">
        <f>IF(ISTEXT(VLOOKUP(CONCATENATE($A30,"_",AY$3),'Unit List'!$A$23:$H$3319,2,FALSE)),"X",$AX30)</f>
        <v>X</v>
      </c>
      <c r="AZ30" s="114" t="str">
        <f>IF(ISTEXT(VLOOKUP(CONCATENATE($A30,"_",AZ$3),'Unit List'!$A$23:$H$3319,2,FALSE)),"X",$AX30)</f>
        <v>+</v>
      </c>
      <c r="BA30" s="115" t="str">
        <f>IF(ISTEXT(VLOOKUP(CONCATENATE($A30,"_",BA$3),'Unit List'!$A$23:$H$3319,2,FALSE)),"+","")</f>
        <v>+</v>
      </c>
      <c r="BB30" s="95" t="str">
        <f>IF(ISTEXT(VLOOKUP(CONCATENATE($A30,"_",BB$3),'Unit List'!$A$23:$H$3319,2,FALSE)),"X",$BA30)</f>
        <v>X</v>
      </c>
      <c r="BC30" s="95" t="str">
        <f>IF(ISTEXT(VLOOKUP(CONCATENATE($A30,"_",BC$3),'Unit List'!$A$23:$H$3319,2,FALSE)),"X",$BA30)</f>
        <v>X</v>
      </c>
      <c r="BD30" s="114" t="str">
        <f>IF(ISTEXT(VLOOKUP(CONCATENATE($A30,"_",BD$3),'Unit List'!$A$23:$H$3319,2,FALSE)),"X",$BA30)</f>
        <v>X</v>
      </c>
      <c r="BE30" s="103" t="str">
        <f>IF(ISTEXT(VLOOKUP(CONCATENATE($A30,"_",BE$3),'Unit List'!$A$23:$H$3319,2,FALSE)),"+","")</f>
        <v>+</v>
      </c>
      <c r="BF30" s="101" t="str">
        <f>IF(ISTEXT(VLOOKUP(CONCATENATE($A30,"_",BF$3),'Unit List'!$A$23:$H$3319,2,FALSE)),"X",$BE30)</f>
        <v>+</v>
      </c>
      <c r="BG30" s="106"/>
      <c r="BH30" s="107" t="s">
        <v>0</v>
      </c>
      <c r="BI30" s="228" t="s">
        <v>12</v>
      </c>
      <c r="BJ30" s="231"/>
      <c r="BK30" s="231"/>
      <c r="BL30" s="231"/>
      <c r="BM30" s="232"/>
      <c r="BN30" s="108"/>
      <c r="BO30" s="108"/>
      <c r="BP30" s="108"/>
      <c r="BQ30" s="108"/>
      <c r="BR30" s="108"/>
      <c r="BS30" s="108"/>
      <c r="DZ30" s="109"/>
      <c r="EA30" s="109"/>
    </row>
    <row r="31" spans="1:131" ht="12.75" customHeight="1" x14ac:dyDescent="0.2">
      <c r="A31" s="90" t="s">
        <v>27</v>
      </c>
      <c r="B31" s="91" t="str">
        <f>IF(ISTEXT(VLOOKUP(CONCATENATE($A31,"_",B$3),'Unit List'!$A$23:$H$3319,2,FALSE)),"+","")</f>
        <v/>
      </c>
      <c r="C31" s="92" t="str">
        <f>IF(ISTEXT(VLOOKUP(CONCATENATE($A31,"_",C$3),'Unit List'!$A$23:$H$3319,2,FALSE)),"X",$B31)</f>
        <v/>
      </c>
      <c r="D31" s="94" t="str">
        <f>IF(ISTEXT(VLOOKUP(CONCATENATE($A31,"_",D$3),'Unit List'!$A$23:$H$3319,2,FALSE)),"X",$B31)</f>
        <v/>
      </c>
      <c r="E31" s="94" t="str">
        <f>IF(ISTEXT(VLOOKUP(CONCATENATE($A31,"_",E$3),'Unit List'!$A$23:$H$3319,2,FALSE)),"X",$B31)</f>
        <v/>
      </c>
      <c r="F31" s="94" t="str">
        <f>IF(ISTEXT(VLOOKUP(CONCATENATE($A31,"_",F$3),'Unit List'!$A$23:$H$3319,2,FALSE)),"X",$B31)</f>
        <v/>
      </c>
      <c r="G31" s="95" t="str">
        <f>IF(ISTEXT(VLOOKUP(CONCATENATE($A31,"_",G$3),'Unit List'!$A$23:$H$3319,2,FALSE)),"X",$B31)</f>
        <v>X</v>
      </c>
      <c r="H31" s="95" t="str">
        <f>IF(ISTEXT(VLOOKUP(CONCATENATE($A31,"_",H$3),'Unit List'!$A$23:$H$3319,2,FALSE)),"X",$B31)</f>
        <v>X</v>
      </c>
      <c r="I31" s="114" t="str">
        <f>IF(ISTEXT(VLOOKUP(CONCATENATE($A31,"_",I$3),'Unit List'!$A$23:$H$3319,2,FALSE)),"X",$B31)</f>
        <v>X</v>
      </c>
      <c r="J31" s="97" t="str">
        <f>IF(ISTEXT(VLOOKUP(CONCATENATE($A31,"_",J$3),'Unit List'!$A$23:$H$3319,2,FALSE)),"+","")</f>
        <v/>
      </c>
      <c r="K31" s="94" t="str">
        <f>IF(ISTEXT(VLOOKUP(CONCATENATE($A31,"_",K$3),'Unit List'!$A$23:$H$3319,2,FALSE)),"X",$J31)</f>
        <v/>
      </c>
      <c r="L31" s="150" t="s">
        <v>0</v>
      </c>
      <c r="M31" s="97" t="str">
        <f>IF(ISTEXT(VLOOKUP(CONCATENATE($A31,"_",M$3),'Unit List'!$A$23:$H$3319,2,FALSE)),"+","")</f>
        <v/>
      </c>
      <c r="N31" s="139" t="s">
        <v>0</v>
      </c>
      <c r="O31" s="96" t="str">
        <f>IF(ISTEXT(VLOOKUP(CONCATENATE($A31,"_",O$3),'Unit List'!$A$23:$H$3319,2,FALSE)),"X",$M31)</f>
        <v/>
      </c>
      <c r="P31" s="97" t="str">
        <f>IF(ISTEXT(VLOOKUP(CONCATENATE($A31,"_",P$3),'Unit List'!$A$23:$H$3319,2,FALSE)),"+","")</f>
        <v/>
      </c>
      <c r="Q31" s="94" t="str">
        <f>IF(ISTEXT(VLOOKUP(CONCATENATE($A31,"_",Q$3),'Unit List'!$A$23:$H$3319,2,FALSE)),"X",$P31)</f>
        <v/>
      </c>
      <c r="R31" s="94" t="str">
        <f>IF(ISTEXT(VLOOKUP(CONCATENATE($A31,"_",R$3),'Unit List'!$A$23:$H$3319,2,FALSE)),"X",$P31)</f>
        <v/>
      </c>
      <c r="S31" s="94" t="str">
        <f>IF(ISTEXT(VLOOKUP(CONCATENATE($A31,"_",S$3),'Unit List'!$A$23:$H$3319,2,FALSE)),"X",$P31)</f>
        <v/>
      </c>
      <c r="T31" s="100" t="str">
        <f>IF(ISTEXT(VLOOKUP(CONCATENATE($A31,"_",T$3),'Unit List'!$A$23:$H$3319,2,FALSE)),"X",$P31)</f>
        <v/>
      </c>
      <c r="U31" s="94" t="str">
        <f>IF(ISTEXT(VLOOKUP(CONCATENATE($A31,"_",U$3),'Unit List'!$A$23:$H$3319,2,FALSE)),"X",$P31)</f>
        <v/>
      </c>
      <c r="V31" s="94" t="str">
        <f>IF(ISTEXT(VLOOKUP(CONCATENATE($A31,"_",V$3),'Unit List'!$A$23:$H$3319,2,FALSE)),"X",$P31)</f>
        <v/>
      </c>
      <c r="W31" s="96" t="str">
        <f>IF(ISTEXT(VLOOKUP(CONCATENATE($A31,"_",W$3),'Unit List'!$A$23:$H$3319,2,FALSE)),"X",$P31)</f>
        <v/>
      </c>
      <c r="X31" s="97" t="str">
        <f>IF(ISTEXT(VLOOKUP(CONCATENATE($A31,"_",X$3),'Unit List'!$A$23:$H$3319,2,FALSE)),"+","")</f>
        <v>+</v>
      </c>
      <c r="Y31" s="94" t="str">
        <f>IF(ISTEXT(VLOOKUP(CONCATENATE($A31,"_",Y$3),'Unit List'!$A$23:$H$3319,2,FALSE)),"X",$X31)</f>
        <v>+</v>
      </c>
      <c r="Z31" s="94" t="str">
        <f>IF(ISTEXT(VLOOKUP(CONCATENATE($A31,"_",Z$3),'Unit List'!$A$23:$H$3319,2,FALSE)),"X",$X31)</f>
        <v>+</v>
      </c>
      <c r="AA31" s="94" t="str">
        <f>IF(ISTEXT(VLOOKUP(CONCATENATE($A31,"_",AA$3),'Unit List'!$A$23:$H$3319,2,FALSE)),"X",$X31)</f>
        <v>+</v>
      </c>
      <c r="AB31" s="94" t="str">
        <f>IF(ISTEXT(VLOOKUP(CONCATENATE($A31,"_",AB$3),'Unit List'!$A$23:$H$3319,2,FALSE)),"X",$X31)</f>
        <v>+</v>
      </c>
      <c r="AC31" s="101" t="str">
        <f>IF(ISTEXT(VLOOKUP(CONCATENATE($A31,"_",AC$3),'Unit List'!$A$23:$H$3319,2,FALSE)),"X",$X31)</f>
        <v>+</v>
      </c>
      <c r="AD31" s="97" t="str">
        <f>IF(ISTEXT(VLOOKUP(CONCATENATE($A31,"_",AD$3),'Unit List'!$A$23:$H$3319,2,FALSE)),"+","")</f>
        <v/>
      </c>
      <c r="AE31" s="94" t="str">
        <f>IF(ISTEXT(VLOOKUP(CONCATENATE($A31,"_",AE$3),'Unit List'!$A$23:$H$3319,2,FALSE)),"X",$AD31)</f>
        <v/>
      </c>
      <c r="AF31" s="94" t="str">
        <f>IF(ISTEXT(VLOOKUP(CONCATENATE($A31,"_",AF$3),'Unit List'!$A$23:$H$3319,2,FALSE)),"X",$AD31)</f>
        <v/>
      </c>
      <c r="AG31" s="97" t="str">
        <f>IF(ISTEXT(VLOOKUP(CONCATENATE($A31,"_",AG$3),'Unit List'!$A$23:$H$3319,2,FALSE)),"+","")</f>
        <v/>
      </c>
      <c r="AH31" s="94" t="str">
        <f>IF(ISTEXT(VLOOKUP(CONCATENATE($A31,"_",AH$3),'Unit List'!$A$23:$H$3319,2,FALSE)),"X",$AG31)</f>
        <v/>
      </c>
      <c r="AI31" s="94" t="str">
        <f>IF(ISTEXT(VLOOKUP(CONCATENATE($A31,"_",AI$3),'Unit List'!$A$23:$H$3319,2,FALSE)),"X",$AG31)</f>
        <v/>
      </c>
      <c r="AJ31" s="96" t="str">
        <f>IF(ISTEXT(VLOOKUP(CONCATENATE($A31,"_",AJ$3),'Unit List'!$A$23:$H$3319,2,FALSE)),"X",$AG31)</f>
        <v/>
      </c>
      <c r="AK31" s="97" t="str">
        <f>IF(ISTEXT(VLOOKUP(CONCATENATE($A31,"_",AK$3),'Unit List'!$A$23:$H$3319,2,FALSE)),"+","")</f>
        <v>+</v>
      </c>
      <c r="AL31" s="100" t="str">
        <f>IF(ISTEXT(VLOOKUP(CONCATENATE($A31,"_",AL$3),'Unit List'!$A$23:$H$3319,2,FALSE)),"X",$AK31)</f>
        <v>+</v>
      </c>
      <c r="AM31" s="122" t="s">
        <v>0</v>
      </c>
      <c r="AN31" s="103" t="str">
        <f>IF(ISTEXT(VLOOKUP(CONCATENATE($A31,"_",AN$3),'Unit List'!$A$23:$H$3319,2,FALSE)),"+","")</f>
        <v/>
      </c>
      <c r="AO31" s="96" t="str">
        <f>IF(ISTEXT(VLOOKUP(CONCATENATE($A31,"_",AO$3),'Unit List'!$A$23:$H$3319,2,FALSE)),"X",$AN31)</f>
        <v/>
      </c>
      <c r="AP31" s="97" t="str">
        <f>IF(ISTEXT(VLOOKUP(CONCATENATE($A31,"_",AP$3),'Unit List'!$A$23:$H$3319,2,FALSE)),"+","")</f>
        <v/>
      </c>
      <c r="AQ31" s="94" t="str">
        <f>IF(ISTEXT(VLOOKUP(CONCATENATE($A31,"_",AQ$3),'Unit List'!$A$23:$H$3319,2,FALSE)),"X",$AP31)</f>
        <v/>
      </c>
      <c r="AR31" s="95" t="str">
        <f>IF(ISTEXT(VLOOKUP(CONCATENATE($A31,"_",AR$3),'Unit List'!$A$23:$H$3319,2,FALSE)),"X",$AP31)</f>
        <v>X</v>
      </c>
      <c r="AS31" s="94" t="str">
        <f>IF(ISTEXT(VLOOKUP(CONCATENATE($A31,"_",AS$3),'Unit List'!$A$23:$H$3319,2,FALSE)),"X",$AP31)</f>
        <v/>
      </c>
      <c r="AT31" s="96" t="str">
        <f>IF(ISTEXT(VLOOKUP(CONCATENATE($A31,"_",AT$3),'Unit List'!$A$23:$H$3319,2,FALSE)),"X",$AP31)</f>
        <v/>
      </c>
      <c r="AU31" s="104" t="str">
        <f>IF(ISTEXT(VLOOKUP(CONCATENATE($A31,"_",AU$3),'Unit List'!$A$23:$H$3319,2,FALSE)),"+","")</f>
        <v/>
      </c>
      <c r="AV31" s="94" t="str">
        <f>IF(ISTEXT(VLOOKUP(CONCATENATE($A31,"_",AV$3),'Unit List'!$A$23:$H$3319,2,FALSE)),"X",$AU31)</f>
        <v/>
      </c>
      <c r="AW31" s="96" t="str">
        <f>IF(ISTEXT(VLOOKUP(CONCATENATE($A31,"_",AW$3),'Unit List'!$A$23:$H$3319,2,FALSE)),"X",$AU31)</f>
        <v/>
      </c>
      <c r="AX31" s="97" t="str">
        <f>IF(ISTEXT(VLOOKUP(CONCATENATE($A31,"_",AX$3),'Unit List'!$A$23:$H$3319,2,FALSE)),"+","")</f>
        <v/>
      </c>
      <c r="AY31" s="94" t="str">
        <f>IF(ISTEXT(VLOOKUP(CONCATENATE($A31,"_",AY$3),'Unit List'!$A$23:$H$3319,2,FALSE)),"X",$AX31)</f>
        <v/>
      </c>
      <c r="AZ31" s="96" t="str">
        <f>IF(ISTEXT(VLOOKUP(CONCATENATE($A31,"_",AZ$3),'Unit List'!$A$23:$H$3319,2,FALSE)),"X",$AX31)</f>
        <v/>
      </c>
      <c r="BA31" s="105" t="str">
        <f>IF(ISTEXT(VLOOKUP(CONCATENATE($A31,"_",BA$3),'Unit List'!$A$23:$H$3319,2,FALSE)),"+","")</f>
        <v/>
      </c>
      <c r="BB31" s="94" t="str">
        <f>IF(ISTEXT(VLOOKUP(CONCATENATE($A31,"_",BB$3),'Unit List'!$A$23:$H$3319,2,FALSE)),"X",$BA31)</f>
        <v/>
      </c>
      <c r="BC31" s="94" t="str">
        <f>IF(ISTEXT(VLOOKUP(CONCATENATE($A31,"_",BC$3),'Unit List'!$A$23:$H$3319,2,FALSE)),"X",$BA31)</f>
        <v/>
      </c>
      <c r="BD31" s="96" t="str">
        <f>IF(ISTEXT(VLOOKUP(CONCATENATE($A31,"_",BD$3),'Unit List'!$A$23:$H$3319,2,FALSE)),"X",$BA31)</f>
        <v/>
      </c>
      <c r="BE31" s="103" t="str">
        <f>IF(ISTEXT(VLOOKUP(CONCATENATE($A31,"_",BE$3),'Unit List'!$A$23:$H$3319,2,FALSE)),"+","")</f>
        <v/>
      </c>
      <c r="BF31" s="101" t="str">
        <f>IF(ISTEXT(VLOOKUP(CONCATENATE($A31,"_",BF$3),'Unit List'!$A$23:$H$3319,2,FALSE)),"X",$BE31)</f>
        <v/>
      </c>
      <c r="BG31" s="106"/>
      <c r="BH31" s="107" t="s">
        <v>0</v>
      </c>
      <c r="BI31" s="228"/>
      <c r="BJ31" s="231"/>
      <c r="BK31" s="231"/>
      <c r="BL31" s="231"/>
      <c r="BM31" s="232"/>
      <c r="BN31" s="108"/>
      <c r="BO31" s="108"/>
      <c r="BP31" s="108"/>
      <c r="BQ31" s="108"/>
      <c r="BR31" s="108"/>
      <c r="BS31" s="108"/>
      <c r="DZ31" s="109"/>
      <c r="EA31" s="109"/>
    </row>
    <row r="32" spans="1:131" ht="12.75" customHeight="1" x14ac:dyDescent="0.2">
      <c r="A32" s="90" t="s">
        <v>26</v>
      </c>
      <c r="B32" s="91" t="str">
        <f>IF(ISTEXT(VLOOKUP(CONCATENATE($A32,"_",B$3),'Unit List'!$A$23:$H$3319,2,FALSE)),"+","")</f>
        <v/>
      </c>
      <c r="C32" s="131" t="str">
        <f>IF(ISTEXT(VLOOKUP(CONCATENATE($A32,"_",C$3),'Unit List'!$A$23:$H$3319,2,FALSE)),"X",$B32)</f>
        <v>X</v>
      </c>
      <c r="D32" s="95" t="str">
        <f>IF(ISTEXT(VLOOKUP(CONCATENATE($A32,"_",D$3),'Unit List'!$A$23:$H$3319,2,FALSE)),"X",$B32)</f>
        <v>X</v>
      </c>
      <c r="E32" s="94" t="str">
        <f>IF(ISTEXT(VLOOKUP(CONCATENATE($A32,"_",E$3),'Unit List'!$A$23:$H$3319,2,FALSE)),"X",$B32)</f>
        <v>X</v>
      </c>
      <c r="F32" s="95" t="str">
        <f>IF(ISTEXT(VLOOKUP(CONCATENATE($A32,"_",F$3),'Unit List'!$A$23:$H$3319,2,FALSE)),"X",$B32)</f>
        <v>X</v>
      </c>
      <c r="G32" s="95" t="str">
        <f>IF(ISTEXT(VLOOKUP(CONCATENATE($A32,"_",G$3),'Unit List'!$A$23:$H$3319,2,FALSE)),"X",$B32)</f>
        <v>X</v>
      </c>
      <c r="H32" s="95" t="str">
        <f>IF(ISTEXT(VLOOKUP(CONCATENATE($A32,"_",H$3),'Unit List'!$A$23:$H$3319,2,FALSE)),"X",$B32)</f>
        <v>X</v>
      </c>
      <c r="I32" s="96" t="str">
        <f>IF(ISTEXT(VLOOKUP(CONCATENATE($A32,"_",I$3),'Unit List'!$A$23:$H$3319,2,FALSE)),"X",$B32)</f>
        <v/>
      </c>
      <c r="J32" s="97" t="str">
        <f>IF(ISTEXT(VLOOKUP(CONCATENATE($A32,"_",J$3),'Unit List'!$A$23:$H$3319,2,FALSE)),"+","")</f>
        <v>+</v>
      </c>
      <c r="K32" s="118" t="s">
        <v>0</v>
      </c>
      <c r="L32" s="135" t="str">
        <f>IF(ISTEXT(VLOOKUP(CONCATENATE($A32,"_",L$3),'Unit List'!$A$23:$H$3319,2,FALSE)),"X",$J32)</f>
        <v>+</v>
      </c>
      <c r="M32" s="97" t="str">
        <f>IF(ISTEXT(VLOOKUP(CONCATENATE($A32,"_",M$3),'Unit List'!$A$23:$H$3319,2,FALSE)),"+","")</f>
        <v>+</v>
      </c>
      <c r="N32" s="94" t="str">
        <f>IF(ISTEXT(VLOOKUP(CONCATENATE($A32,"_",N$3),'Unit List'!$A$23:$H$3319,2,FALSE)),"X",$M32)</f>
        <v>X</v>
      </c>
      <c r="O32" s="114" t="str">
        <f>IF(ISTEXT(VLOOKUP(CONCATENATE($A32,"_",O$3),'Unit List'!$A$23:$H$3319,2,FALSE)),"X",$M32)</f>
        <v>X</v>
      </c>
      <c r="P32" s="115" t="str">
        <f>IF(ISTEXT(VLOOKUP(CONCATENATE($A32,"_",P$3),'Unit List'!$A$23:$H$3319,2,FALSE)),"+","")</f>
        <v>+</v>
      </c>
      <c r="Q32" s="94" t="str">
        <f>IF(ISTEXT(VLOOKUP(CONCATENATE($A32,"_",Q$3),'Unit List'!$A$23:$H$3319,2,FALSE)),"X",$P32)</f>
        <v>+</v>
      </c>
      <c r="R32" s="95" t="str">
        <f>IF(ISTEXT(VLOOKUP(CONCATENATE($A32,"_",R$3),'Unit List'!$A$23:$H$3319,2,FALSE)),"X",$P32)</f>
        <v>X</v>
      </c>
      <c r="S32" s="95" t="str">
        <f>IF(ISTEXT(VLOOKUP(CONCATENATE($A32,"_",S$3),'Unit List'!$A$23:$H$3319,2,FALSE)),"X",$P32)</f>
        <v>X</v>
      </c>
      <c r="T32" s="100" t="str">
        <f>IF(ISTEXT(VLOOKUP(CONCATENATE($A32,"_",T$3),'Unit List'!$A$23:$H$3319,2,FALSE)),"X",$P32)</f>
        <v>X</v>
      </c>
      <c r="U32" s="95" t="str">
        <f>IF(ISTEXT(VLOOKUP(CONCATENATE($A32,"_",U$3),'Unit List'!$A$23:$H$3319,2,FALSE)),"X",$P32)</f>
        <v>X</v>
      </c>
      <c r="V32" s="95" t="str">
        <f>IF(ISTEXT(VLOOKUP(CONCATENATE($A32,"_",V$3),'Unit List'!$A$23:$H$3319,2,FALSE)),"X",$P32)</f>
        <v>X</v>
      </c>
      <c r="W32" s="96" t="str">
        <f>IF(ISTEXT(VLOOKUP(CONCATENATE($A32,"_",W$3),'Unit List'!$A$23:$H$3319,2,FALSE)),"X",$P32)</f>
        <v>+</v>
      </c>
      <c r="X32" s="115" t="str">
        <f>IF(ISTEXT(VLOOKUP(CONCATENATE($A32,"_",X$3),'Unit List'!$A$23:$H$3319,2,FALSE)),"+","")</f>
        <v>+</v>
      </c>
      <c r="Y32" s="95" t="str">
        <f>IF(ISTEXT(VLOOKUP(CONCATENATE($A32,"_",Y$3),'Unit List'!$A$23:$H$3319,2,FALSE)),"X",$X32)</f>
        <v>X</v>
      </c>
      <c r="Z32" s="94" t="str">
        <f>IF(ISTEXT(VLOOKUP(CONCATENATE($A32,"_",Z$3),'Unit List'!$A$23:$H$3319,2,FALSE)),"X",$X32)</f>
        <v>+</v>
      </c>
      <c r="AA32" s="95" t="str">
        <f>IF(ISTEXT(VLOOKUP(CONCATENATE($A32,"_",AA$3),'Unit List'!$A$23:$H$3319,2,FALSE)),"X",$X32)</f>
        <v>X</v>
      </c>
      <c r="AB32" s="95" t="str">
        <f>IF(ISTEXT(VLOOKUP(CONCATENATE($A32,"_",AB$3),'Unit List'!$A$23:$H$3319,2,FALSE)),"X",$X32)</f>
        <v>X</v>
      </c>
      <c r="AC32" s="135" t="str">
        <f>IF(ISTEXT(VLOOKUP(CONCATENATE($A32,"_",AC$3),'Unit List'!$A$23:$H$3319,2,FALSE)),"X",$X32)</f>
        <v>X</v>
      </c>
      <c r="AD32" s="115" t="str">
        <f>IF(ISTEXT(VLOOKUP(CONCATENATE($A32,"_",AD$3),'Unit List'!$A$23:$H$3319,2,FALSE)),"+","")</f>
        <v>+</v>
      </c>
      <c r="AE32" s="94" t="str">
        <f>IF(ISTEXT(VLOOKUP(CONCATENATE($A32,"_",AE$3),'Unit List'!$A$23:$H$3319,2,FALSE)),"X",$AD32)</f>
        <v>X</v>
      </c>
      <c r="AF32" s="94" t="str">
        <f>IF(ISTEXT(VLOOKUP(CONCATENATE($A32,"_",AF$3),'Unit List'!$A$23:$H$3319,2,FALSE)),"X",$AD32)</f>
        <v>X</v>
      </c>
      <c r="AG32" s="115" t="str">
        <f>IF(ISTEXT(VLOOKUP(CONCATENATE($A32,"_",AG$3),'Unit List'!$A$23:$H$3319,2,FALSE)),"+","")</f>
        <v>+</v>
      </c>
      <c r="AH32" s="95" t="str">
        <f>IF(ISTEXT(VLOOKUP(CONCATENATE($A32,"_",AH$3),'Unit List'!$A$23:$H$3319,2,FALSE)),"X",$AG32)</f>
        <v>X</v>
      </c>
      <c r="AI32" s="95" t="str">
        <f>IF(ISTEXT(VLOOKUP(CONCATENATE($A32,"_",AI$3),'Unit List'!$A$23:$H$3319,2,FALSE)),"X",$AG32)</f>
        <v>X</v>
      </c>
      <c r="AJ32" s="96" t="str">
        <f>IF(ISTEXT(VLOOKUP(CONCATENATE($A32,"_",AJ$3),'Unit List'!$A$23:$H$3319,2,FALSE)),"X",$AG32)</f>
        <v>+</v>
      </c>
      <c r="AK32" s="115" t="str">
        <f>IF(ISTEXT(VLOOKUP(CONCATENATE($A32,"_",AK$3),'Unit List'!$A$23:$H$3319,2,FALSE)),"+","")</f>
        <v>+</v>
      </c>
      <c r="AL32" s="100" t="str">
        <f>IF(ISTEXT(VLOOKUP(CONCATENATE($A32,"_",AL$3),'Unit List'!$A$23:$H$3319,2,FALSE)),"X",$AK32)</f>
        <v>X</v>
      </c>
      <c r="AM32" s="114" t="str">
        <f>IF(ISTEXT(VLOOKUP(CONCATENATE($A32,"_",AM$3),'Unit List'!$A$23:$H$3319,2,FALSE)),"X",$AK32)</f>
        <v>X</v>
      </c>
      <c r="AN32" s="103" t="str">
        <f>IF(ISTEXT(VLOOKUP(CONCATENATE($A32,"_",AN$3),'Unit List'!$A$23:$H$3319,2,FALSE)),"+","")</f>
        <v>+</v>
      </c>
      <c r="AO32" s="114" t="str">
        <f>IF(ISTEXT(VLOOKUP(CONCATENATE($A32,"_",AO$3),'Unit List'!$A$23:$H$3319,2,FALSE)),"X",$AN32)</f>
        <v>+</v>
      </c>
      <c r="AP32" s="115" t="str">
        <f>IF(ISTEXT(VLOOKUP(CONCATENATE($A32,"_",AP$3),'Unit List'!$A$23:$H$3319,2,FALSE)),"+","")</f>
        <v>+</v>
      </c>
      <c r="AQ32" s="95" t="str">
        <f>IF(ISTEXT(VLOOKUP(CONCATENATE($A32,"_",AQ$3),'Unit List'!$A$23:$H$3319,2,FALSE)),"X",$AP32)</f>
        <v>X</v>
      </c>
      <c r="AR32" s="138" t="s">
        <v>3</v>
      </c>
      <c r="AS32" s="95" t="str">
        <f>IF(ISTEXT(VLOOKUP(CONCATENATE($A32,"_",AS$3),'Unit List'!$A$23:$H$3319,2,FALSE)),"X",$AP32)</f>
        <v>X</v>
      </c>
      <c r="AT32" s="114" t="str">
        <f>IF(ISTEXT(VLOOKUP(CONCATENATE($A32,"_",AT$3),'Unit List'!$A$23:$H$3319,2,FALSE)),"X",$AP32)</f>
        <v>X</v>
      </c>
      <c r="AU32" s="104" t="str">
        <f>IF(ISTEXT(VLOOKUP(CONCATENATE($A32,"_",AU$3),'Unit List'!$A$23:$H$3319,2,FALSE)),"+","")</f>
        <v>+</v>
      </c>
      <c r="AV32" s="94" t="str">
        <f>IF(ISTEXT(VLOOKUP(CONCATENATE($A32,"_",AV$3),'Unit List'!$A$23:$H$3319,2,FALSE)),"X",$AU32)</f>
        <v>+</v>
      </c>
      <c r="AW32" s="96" t="str">
        <f>IF(ISTEXT(VLOOKUP(CONCATENATE($A32,"_",AW$3),'Unit List'!$A$23:$H$3319,2,FALSE)),"X",$AU32)</f>
        <v>+</v>
      </c>
      <c r="AX32" s="115" t="str">
        <f>IF(ISTEXT(VLOOKUP(CONCATENATE($A32,"_",AX$3),'Unit List'!$A$23:$H$3319,2,FALSE)),"+","")</f>
        <v>+</v>
      </c>
      <c r="AY32" s="95" t="str">
        <f>IF(ISTEXT(VLOOKUP(CONCATENATE($A32,"_",AY$3),'Unit List'!$A$23:$H$3319,2,FALSE)),"X",$AX32)</f>
        <v>X</v>
      </c>
      <c r="AZ32" s="114" t="str">
        <f>IF(ISTEXT(VLOOKUP(CONCATENATE($A32,"_",AZ$3),'Unit List'!$A$23:$H$3319,2,FALSE)),"X",$AX32)</f>
        <v>+</v>
      </c>
      <c r="BA32" s="115" t="str">
        <f>IF(ISTEXT(VLOOKUP(CONCATENATE($A32,"_",BA$3),'Unit List'!$A$23:$H$3319,2,FALSE)),"+","")</f>
        <v>+</v>
      </c>
      <c r="BB32" s="95" t="str">
        <f>IF(ISTEXT(VLOOKUP(CONCATENATE($A32,"_",BB$3),'Unit List'!$A$23:$H$3319,2,FALSE)),"X",$BA32)</f>
        <v>X</v>
      </c>
      <c r="BC32" s="95" t="str">
        <f>IF(ISTEXT(VLOOKUP(CONCATENATE($A32,"_",BC$3),'Unit List'!$A$23:$H$3319,2,FALSE)),"X",$BA32)</f>
        <v>X</v>
      </c>
      <c r="BD32" s="114" t="str">
        <f>IF(ISTEXT(VLOOKUP(CONCATENATE($A32,"_",BD$3),'Unit List'!$A$23:$H$3319,2,FALSE)),"X",$BA32)</f>
        <v>X</v>
      </c>
      <c r="BE32" s="103" t="str">
        <f>IF(ISTEXT(VLOOKUP(CONCATENATE($A32,"_",BE$3),'Unit List'!$A$23:$H$3319,2,FALSE)),"+","")</f>
        <v>+</v>
      </c>
      <c r="BF32" s="135" t="str">
        <f>IF(ISTEXT(VLOOKUP(CONCATENATE($A32,"_",BF$3),'Unit List'!$A$23:$H$3319,2,FALSE)),"X",$BE32)</f>
        <v>+</v>
      </c>
      <c r="BG32" s="124"/>
      <c r="BH32" s="133"/>
      <c r="BI32" s="228" t="s">
        <v>2357</v>
      </c>
      <c r="BJ32" s="231"/>
      <c r="BK32" s="231"/>
      <c r="BL32" s="231"/>
      <c r="BM32" s="232"/>
      <c r="BN32" s="108"/>
      <c r="BO32" s="108"/>
      <c r="BP32" s="108"/>
      <c r="BQ32" s="108"/>
      <c r="BR32" s="108"/>
      <c r="BS32" s="108"/>
      <c r="DZ32" s="109"/>
      <c r="EA32" s="109"/>
    </row>
    <row r="33" spans="1:131" ht="12.75" customHeight="1" x14ac:dyDescent="0.2">
      <c r="A33" s="90" t="s">
        <v>1275</v>
      </c>
      <c r="B33" s="91" t="str">
        <f>IF(ISTEXT(VLOOKUP(CONCATENATE($A33,"_",B$3),'Unit List'!$A$23:$H$3319,2,FALSE)),"+","")</f>
        <v/>
      </c>
      <c r="C33" s="92" t="str">
        <f>IF(ISTEXT(VLOOKUP(CONCATENATE($A33,"_",C$3),'Unit List'!$A$23:$H$3319,2,FALSE)),"X",$B33)</f>
        <v/>
      </c>
      <c r="D33" s="94" t="str">
        <f>IF(ISTEXT(VLOOKUP(CONCATENATE($A33,"_",D$3),'Unit List'!$A$23:$H$3319,2,FALSE)),"X",$B33)</f>
        <v/>
      </c>
      <c r="E33" s="94" t="str">
        <f>IF(ISTEXT(VLOOKUP(CONCATENATE($A33,"_",E$3),'Unit List'!$A$23:$H$3319,2,FALSE)),"X",$B33)</f>
        <v/>
      </c>
      <c r="F33" s="94" t="str">
        <f>IF(ISTEXT(VLOOKUP(CONCATENATE($A33,"_",F$3),'Unit List'!$A$23:$H$3319,2,FALSE)),"X",$B33)</f>
        <v/>
      </c>
      <c r="G33" s="94" t="str">
        <f>IF(ISTEXT(VLOOKUP(CONCATENATE($A33,"_",G$3),'Unit List'!$A$23:$H$3319,2,FALSE)),"X",$B33)</f>
        <v/>
      </c>
      <c r="H33" s="94" t="str">
        <f>IF(ISTEXT(VLOOKUP(CONCATENATE($A33,"_",H$3),'Unit List'!$A$23:$H$3319,2,FALSE)),"X",$B33)</f>
        <v/>
      </c>
      <c r="I33" s="96" t="str">
        <f>IF(ISTEXT(VLOOKUP(CONCATENATE($A33,"_",I$3),'Unit List'!$A$23:$H$3319,2,FALSE)),"X",$B33)</f>
        <v/>
      </c>
      <c r="J33" s="97" t="str">
        <f>IF(ISTEXT(VLOOKUP(CONCATENATE($A33,"_",J$3),'Unit List'!$A$23:$H$3319,2,FALSE)),"+","")</f>
        <v/>
      </c>
      <c r="K33" s="94" t="str">
        <f>IF(ISTEXT(VLOOKUP(CONCATENATE($A33,"_",K$3),'Unit List'!$A$23:$H$3319,2,FALSE)),"X",$J33)</f>
        <v/>
      </c>
      <c r="L33" s="101" t="str">
        <f>IF(ISTEXT(VLOOKUP(CONCATENATE($A33,"_",L$3),'Unit List'!$A$23:$H$3319,2,FALSE)),"X",$J33)</f>
        <v/>
      </c>
      <c r="M33" s="97" t="str">
        <f>IF(ISTEXT(VLOOKUP(CONCATENATE($A33,"_",M$3),'Unit List'!$A$23:$H$3319,2,FALSE)),"+","")</f>
        <v/>
      </c>
      <c r="N33" s="94" t="str">
        <f>IF(ISTEXT(VLOOKUP(CONCATENATE($A33,"_",N$3),'Unit List'!$A$23:$H$3319,2,FALSE)),"X",$M33)</f>
        <v/>
      </c>
      <c r="O33" s="96" t="str">
        <f>IF(ISTEXT(VLOOKUP(CONCATENATE($A33,"_",O$3),'Unit List'!$A$23:$H$3319,2,FALSE)),"X",$M33)</f>
        <v/>
      </c>
      <c r="P33" s="97" t="str">
        <f>IF(ISTEXT(VLOOKUP(CONCATENATE($A33,"_",P$3),'Unit List'!$A$23:$H$3319,2,FALSE)),"+","")</f>
        <v/>
      </c>
      <c r="Q33" s="94" t="str">
        <f>IF(ISTEXT(VLOOKUP(CONCATENATE($A33,"_",Q$3),'Unit List'!$A$23:$H$3319,2,FALSE)),"X",$P33)</f>
        <v/>
      </c>
      <c r="R33" s="94" t="str">
        <f>IF(ISTEXT(VLOOKUP(CONCATENATE($A33,"_",R$3),'Unit List'!$A$23:$H$3319,2,FALSE)),"X",$P33)</f>
        <v/>
      </c>
      <c r="S33" s="94" t="str">
        <f>IF(ISTEXT(VLOOKUP(CONCATENATE($A33,"_",S$3),'Unit List'!$A$23:$H$3319,2,FALSE)),"X",$P33)</f>
        <v/>
      </c>
      <c r="T33" s="100" t="str">
        <f>IF(ISTEXT(VLOOKUP(CONCATENATE($A33,"_",T$3),'Unit List'!$A$23:$H$3319,2,FALSE)),"X",$P33)</f>
        <v/>
      </c>
      <c r="U33" s="94" t="str">
        <f>IF(ISTEXT(VLOOKUP(CONCATENATE($A33,"_",U$3),'Unit List'!$A$23:$H$3319,2,FALSE)),"X",$P33)</f>
        <v/>
      </c>
      <c r="V33" s="94" t="str">
        <f>IF(ISTEXT(VLOOKUP(CONCATENATE($A33,"_",V$3),'Unit List'!$A$23:$H$3319,2,FALSE)),"X",$P33)</f>
        <v/>
      </c>
      <c r="W33" s="96" t="str">
        <f>IF(ISTEXT(VLOOKUP(CONCATENATE($A33,"_",W$3),'Unit List'!$A$23:$H$3319,2,FALSE)),"X",$P33)</f>
        <v/>
      </c>
      <c r="X33" s="97" t="str">
        <f>IF(ISTEXT(VLOOKUP(CONCATENATE($A33,"_",X$3),'Unit List'!$A$23:$H$3319,2,FALSE)),"+","")</f>
        <v/>
      </c>
      <c r="Y33" s="94" t="str">
        <f>IF(ISTEXT(VLOOKUP(CONCATENATE($A33,"_",Y$3),'Unit List'!$A$23:$H$3319,2,FALSE)),"X",$X33)</f>
        <v/>
      </c>
      <c r="Z33" s="94" t="str">
        <f>IF(ISTEXT(VLOOKUP(CONCATENATE($A33,"_",Z$3),'Unit List'!$A$23:$H$3319,2,FALSE)),"X",$X33)</f>
        <v/>
      </c>
      <c r="AA33" s="94" t="str">
        <f>IF(ISTEXT(VLOOKUP(CONCATENATE($A33,"_",AA$3),'Unit List'!$A$23:$H$3319,2,FALSE)),"X",$X33)</f>
        <v/>
      </c>
      <c r="AB33" s="94" t="str">
        <f>IF(ISTEXT(VLOOKUP(CONCATENATE($A33,"_",AB$3),'Unit List'!$A$23:$H$3319,2,FALSE)),"X",$X33)</f>
        <v/>
      </c>
      <c r="AC33" s="101" t="str">
        <f>IF(ISTEXT(VLOOKUP(CONCATENATE($A33,"_",AC$3),'Unit List'!$A$23:$H$3319,2,FALSE)),"X",$X33)</f>
        <v/>
      </c>
      <c r="AD33" s="97" t="str">
        <f>IF(ISTEXT(VLOOKUP(CONCATENATE($A33,"_",AD$3),'Unit List'!$A$23:$H$3319,2,FALSE)),"+","")</f>
        <v/>
      </c>
      <c r="AE33" s="94" t="str">
        <f>IF(ISTEXT(VLOOKUP(CONCATENATE($A33,"_",AE$3),'Unit List'!$A$23:$H$3319,2,FALSE)),"X",$AD33)</f>
        <v/>
      </c>
      <c r="AF33" s="94" t="str">
        <f>IF(ISTEXT(VLOOKUP(CONCATENATE($A33,"_",AF$3),'Unit List'!$A$23:$H$3319,2,FALSE)),"X",$AD33)</f>
        <v/>
      </c>
      <c r="AG33" s="97" t="str">
        <f>IF(ISTEXT(VLOOKUP(CONCATENATE($A33,"_",AG$3),'Unit List'!$A$23:$H$3319,2,FALSE)),"+","")</f>
        <v/>
      </c>
      <c r="AH33" s="94" t="str">
        <f>IF(ISTEXT(VLOOKUP(CONCATENATE($A33,"_",AH$3),'Unit List'!$A$23:$H$3319,2,FALSE)),"X",$AG33)</f>
        <v/>
      </c>
      <c r="AI33" s="94" t="str">
        <f>IF(ISTEXT(VLOOKUP(CONCATENATE($A33,"_",AI$3),'Unit List'!$A$23:$H$3319,2,FALSE)),"X",$AG33)</f>
        <v/>
      </c>
      <c r="AJ33" s="96" t="str">
        <f>IF(ISTEXT(VLOOKUP(CONCATENATE($A33,"_",AJ$3),'Unit List'!$A$23:$H$3319,2,FALSE)),"X",$AG33)</f>
        <v/>
      </c>
      <c r="AK33" s="97" t="str">
        <f>IF(ISTEXT(VLOOKUP(CONCATENATE($A33,"_",AK$3),'Unit List'!$A$23:$H$3319,2,FALSE)),"+","")</f>
        <v/>
      </c>
      <c r="AL33" s="100" t="str">
        <f>IF(ISTEXT(VLOOKUP(CONCATENATE($A33,"_",AL$3),'Unit List'!$A$23:$H$3319,2,FALSE)),"X",$AK33)</f>
        <v/>
      </c>
      <c r="AM33" s="96" t="str">
        <f>IF(ISTEXT(VLOOKUP(CONCATENATE($A33,"_",AM$3),'Unit List'!$A$23:$H$3319,2,FALSE)),"X",$AK33)</f>
        <v/>
      </c>
      <c r="AN33" s="103" t="str">
        <f>IF(ISTEXT(VLOOKUP(CONCATENATE($A33,"_",AN$3),'Unit List'!$A$23:$H$3319,2,FALSE)),"+","")</f>
        <v/>
      </c>
      <c r="AO33" s="96" t="str">
        <f>IF(ISTEXT(VLOOKUP(CONCATENATE($A33,"_",AO$3),'Unit List'!$A$23:$H$3319,2,FALSE)),"X",$AN33)</f>
        <v/>
      </c>
      <c r="AP33" s="97" t="str">
        <f>IF(ISTEXT(VLOOKUP(CONCATENATE($A33,"_",AP$3),'Unit List'!$A$23:$H$3319,2,FALSE)),"+","")</f>
        <v/>
      </c>
      <c r="AQ33" s="94" t="str">
        <f>IF(ISTEXT(VLOOKUP(CONCATENATE($A33,"_",AQ$3),'Unit List'!$A$23:$H$3319,2,FALSE)),"X",$AP33)</f>
        <v/>
      </c>
      <c r="AR33" s="94" t="str">
        <f>IF(ISTEXT(VLOOKUP(CONCATENATE($A33,"_",AR$3),'Unit List'!$A$23:$H$3319,2,FALSE)),"X",$AP33)</f>
        <v/>
      </c>
      <c r="AS33" s="94" t="str">
        <f>IF(ISTEXT(VLOOKUP(CONCATENATE($A33,"_",AS$3),'Unit List'!$A$23:$H$3319,2,FALSE)),"X",$AP33)</f>
        <v/>
      </c>
      <c r="AT33" s="96" t="str">
        <f>IF(ISTEXT(VLOOKUP(CONCATENATE($A33,"_",AT$3),'Unit List'!$A$23:$H$3319,2,FALSE)),"X",$AP33)</f>
        <v/>
      </c>
      <c r="AU33" s="104" t="str">
        <f>IF(ISTEXT(VLOOKUP(CONCATENATE($A33,"_",AU$3),'Unit List'!$A$23:$H$3319,2,FALSE)),"+","")</f>
        <v/>
      </c>
      <c r="AV33" s="94" t="str">
        <f>IF(ISTEXT(VLOOKUP(CONCATENATE($A33,"_",AV$3),'Unit List'!$A$23:$H$3319,2,FALSE)),"X",$AU33)</f>
        <v/>
      </c>
      <c r="AW33" s="96" t="str">
        <f>IF(ISTEXT(VLOOKUP(CONCATENATE($A33,"_",AW$3),'Unit List'!$A$23:$H$3319,2,FALSE)),"X",$AU33)</f>
        <v/>
      </c>
      <c r="AX33" s="97" t="str">
        <f>IF(ISTEXT(VLOOKUP(CONCATENATE($A33,"_",AX$3),'Unit List'!$A$23:$H$3319,2,FALSE)),"+","")</f>
        <v/>
      </c>
      <c r="AY33" s="94" t="str">
        <f>IF(ISTEXT(VLOOKUP(CONCATENATE($A33,"_",AY$3),'Unit List'!$A$23:$H$3319,2,FALSE)),"X",$AX33)</f>
        <v/>
      </c>
      <c r="AZ33" s="96" t="str">
        <f>IF(ISTEXT(VLOOKUP(CONCATENATE($A33,"_",AZ$3),'Unit List'!$A$23:$H$3319,2,FALSE)),"X",$AX33)</f>
        <v/>
      </c>
      <c r="BA33" s="105" t="str">
        <f>IF(ISTEXT(VLOOKUP(CONCATENATE($A33,"_",BA$3),'Unit List'!$A$23:$H$3319,2,FALSE)),"+","")</f>
        <v/>
      </c>
      <c r="BB33" s="94" t="str">
        <f>IF(ISTEXT(VLOOKUP(CONCATENATE($A33,"_",BB$3),'Unit List'!$A$23:$H$3319,2,FALSE)),"X",$BA33)</f>
        <v/>
      </c>
      <c r="BC33" s="94" t="str">
        <f>IF(ISTEXT(VLOOKUP(CONCATENATE($A33,"_",BC$3),'Unit List'!$A$23:$H$3319,2,FALSE)),"X",$BA33)</f>
        <v/>
      </c>
      <c r="BD33" s="96" t="str">
        <f>IF(ISTEXT(VLOOKUP(CONCATENATE($A33,"_",BD$3),'Unit List'!$A$23:$H$3319,2,FALSE)),"X",$BA33)</f>
        <v/>
      </c>
      <c r="BE33" s="103" t="str">
        <f>IF(ISTEXT(VLOOKUP(CONCATENATE($A33,"_",BE$3),'Unit List'!$A$23:$H$3319,2,FALSE)),"+","")</f>
        <v/>
      </c>
      <c r="BF33" s="101" t="str">
        <f>IF(ISTEXT(VLOOKUP(CONCATENATE($A33,"_",BF$3),'Unit List'!$A$23:$H$3319,2,FALSE)),"X",$BE33)</f>
        <v/>
      </c>
      <c r="BG33" s="124"/>
      <c r="BH33" s="133"/>
      <c r="BI33" s="228"/>
      <c r="BJ33" s="229"/>
      <c r="BK33" s="229"/>
      <c r="BL33" s="229"/>
      <c r="BM33" s="230"/>
      <c r="BN33" s="108"/>
      <c r="BO33" s="108"/>
      <c r="BP33" s="108"/>
      <c r="BQ33" s="108"/>
      <c r="BR33" s="108"/>
      <c r="BS33" s="108"/>
      <c r="DZ33" s="109"/>
      <c r="EA33" s="109"/>
    </row>
    <row r="34" spans="1:131" ht="12.75" customHeight="1" x14ac:dyDescent="0.2">
      <c r="A34" s="90" t="s">
        <v>11</v>
      </c>
      <c r="B34" s="91" t="str">
        <f>IF(ISTEXT(VLOOKUP(CONCATENATE($A34,"_",B$3),'Unit List'!$A$23:$H$3319,2,FALSE)),"+","")</f>
        <v/>
      </c>
      <c r="C34" s="92" t="str">
        <f>IF(ISTEXT(VLOOKUP(CONCATENATE($A34,"_",C$3),'Unit List'!$A$23:$H$3319,2,FALSE)),"X",$B34)</f>
        <v/>
      </c>
      <c r="D34" s="94" t="str">
        <f>IF(ISTEXT(VLOOKUP(CONCATENATE($A34,"_",D$3),'Unit List'!$A$23:$H$3319,2,FALSE)),"X",$B34)</f>
        <v/>
      </c>
      <c r="E34" s="94" t="str">
        <f>IF(ISTEXT(VLOOKUP(CONCATENATE($A34,"_",E$3),'Unit List'!$A$23:$H$3319,2,FALSE)),"X",$B34)</f>
        <v>X</v>
      </c>
      <c r="F34" s="94" t="str">
        <f>IF(ISTEXT(VLOOKUP(CONCATENATE($A34,"_",F$3),'Unit List'!$A$23:$H$3319,2,FALSE)),"X",$B34)</f>
        <v>X</v>
      </c>
      <c r="G34" s="94" t="str">
        <f>IF(ISTEXT(VLOOKUP(CONCATENATE($A34,"_",G$3),'Unit List'!$A$23:$H$3319,2,FALSE)),"X",$B34)</f>
        <v/>
      </c>
      <c r="H34" s="95" t="str">
        <f>IF(ISTEXT(VLOOKUP(CONCATENATE($A34,"_",H$3),'Unit List'!$A$23:$H$3319,2,FALSE)),"X",$B34)</f>
        <v/>
      </c>
      <c r="I34" s="96" t="str">
        <f>IF(ISTEXT(VLOOKUP(CONCATENATE($A34,"_",I$3),'Unit List'!$A$23:$H$3319,2,FALSE)),"X",$B34)</f>
        <v/>
      </c>
      <c r="J34" s="97" t="str">
        <f>IF(ISTEXT(VLOOKUP(CONCATENATE($A34,"_",J$3),'Unit List'!$A$23:$H$3319,2,FALSE)),"+","")</f>
        <v>+</v>
      </c>
      <c r="K34" s="94" t="str">
        <f>IF(ISTEXT(VLOOKUP(CONCATENATE($A34,"_",K$3),'Unit List'!$A$23:$H$3319,2,FALSE)),"X",$J34)</f>
        <v>+</v>
      </c>
      <c r="L34" s="101" t="str">
        <f>IF(ISTEXT(VLOOKUP(CONCATENATE($A34,"_",L$3),'Unit List'!$A$23:$H$3319,2,FALSE)),"X",$J34)</f>
        <v>+</v>
      </c>
      <c r="M34" s="97" t="str">
        <f>IF(ISTEXT(VLOOKUP(CONCATENATE($A34,"_",M$3),'Unit List'!$A$23:$H$3319,2,FALSE)),"+","")</f>
        <v>+</v>
      </c>
      <c r="N34" s="94" t="str">
        <f>IF(ISTEXT(VLOOKUP(CONCATENATE($A34,"_",N$3),'Unit List'!$A$23:$H$3319,2,FALSE)),"X",$M34)</f>
        <v>+</v>
      </c>
      <c r="O34" s="96" t="str">
        <f>IF(ISTEXT(VLOOKUP(CONCATENATE($A34,"_",O$3),'Unit List'!$A$23:$H$3319,2,FALSE)),"X",$M34)</f>
        <v>X</v>
      </c>
      <c r="P34" s="97" t="str">
        <f>IF(ISTEXT(VLOOKUP(CONCATENATE($A34,"_",P$3),'Unit List'!$A$23:$H$3319,2,FALSE)),"+","")</f>
        <v/>
      </c>
      <c r="Q34" s="94" t="str">
        <f>IF(ISTEXT(VLOOKUP(CONCATENATE($A34,"_",Q$3),'Unit List'!$A$23:$H$3319,2,FALSE)),"X",$P34)</f>
        <v/>
      </c>
      <c r="R34" s="94" t="str">
        <f>IF(ISTEXT(VLOOKUP(CONCATENATE($A34,"_",R$3),'Unit List'!$A$23:$H$3319,2,FALSE)),"X",$P34)</f>
        <v/>
      </c>
      <c r="S34" s="94" t="str">
        <f>IF(ISTEXT(VLOOKUP(CONCATENATE($A34,"_",S$3),'Unit List'!$A$23:$H$3319,2,FALSE)),"X",$P34)</f>
        <v/>
      </c>
      <c r="T34" s="100" t="str">
        <f>IF(ISTEXT(VLOOKUP(CONCATENATE($A34,"_",T$3),'Unit List'!$A$23:$H$3319,2,FALSE)),"X",$P34)</f>
        <v/>
      </c>
      <c r="U34" s="94" t="str">
        <f>IF(ISTEXT(VLOOKUP(CONCATENATE($A34,"_",U$3),'Unit List'!$A$23:$H$3319,2,FALSE)),"X",$P34)</f>
        <v/>
      </c>
      <c r="V34" s="94" t="str">
        <f>IF(ISTEXT(VLOOKUP(CONCATENATE($A34,"_",V$3),'Unit List'!$A$23:$H$3319,2,FALSE)),"X",$P34)</f>
        <v/>
      </c>
      <c r="W34" s="96" t="str">
        <f>IF(ISTEXT(VLOOKUP(CONCATENATE($A34,"_",W$3),'Unit List'!$A$23:$H$3319,2,FALSE)),"X",$P34)</f>
        <v/>
      </c>
      <c r="X34" s="97" t="str">
        <f>IF(ISTEXT(VLOOKUP(CONCATENATE($A34,"_",X$3),'Unit List'!$A$23:$H$3319,2,FALSE)),"+","")</f>
        <v>+</v>
      </c>
      <c r="Y34" s="94" t="str">
        <f>IF(ISTEXT(VLOOKUP(CONCATENATE($A34,"_",Y$3),'Unit List'!$A$23:$H$3319,2,FALSE)),"X",$X34)</f>
        <v>+</v>
      </c>
      <c r="Z34" s="94" t="str">
        <f>IF(ISTEXT(VLOOKUP(CONCATENATE($A34,"_",Z$3),'Unit List'!$A$23:$H$3319,2,FALSE)),"X",$X34)</f>
        <v>+</v>
      </c>
      <c r="AA34" s="94" t="str">
        <f>IF(ISTEXT(VLOOKUP(CONCATENATE($A34,"_",AA$3),'Unit List'!$A$23:$H$3319,2,FALSE)),"X",$X34)</f>
        <v>+</v>
      </c>
      <c r="AB34" s="94" t="str">
        <f>IF(ISTEXT(VLOOKUP(CONCATENATE($A34,"_",AB$3),'Unit List'!$A$23:$H$3319,2,FALSE)),"X",$X34)</f>
        <v>+</v>
      </c>
      <c r="AC34" s="101" t="str">
        <f>IF(ISTEXT(VLOOKUP(CONCATENATE($A34,"_",AC$3),'Unit List'!$A$23:$H$3319,2,FALSE)),"X",$X34)</f>
        <v>+</v>
      </c>
      <c r="AD34" s="97" t="str">
        <f>IF(ISTEXT(VLOOKUP(CONCATENATE($A34,"_",AD$3),'Unit List'!$A$23:$H$3319,2,FALSE)),"+","")</f>
        <v/>
      </c>
      <c r="AE34" s="94" t="str">
        <f>IF(ISTEXT(VLOOKUP(CONCATENATE($A34,"_",AE$3),'Unit List'!$A$23:$H$3319,2,FALSE)),"X",$AD34)</f>
        <v/>
      </c>
      <c r="AF34" s="94" t="str">
        <f>IF(ISTEXT(VLOOKUP(CONCATENATE($A34,"_",AF$3),'Unit List'!$A$23:$H$3319,2,FALSE)),"X",$AD34)</f>
        <v/>
      </c>
      <c r="AG34" s="97" t="str">
        <f>IF(ISTEXT(VLOOKUP(CONCATENATE($A34,"_",AG$3),'Unit List'!$A$23:$H$3319,2,FALSE)),"+","")</f>
        <v>+</v>
      </c>
      <c r="AH34" s="94" t="str">
        <f>IF(ISTEXT(VLOOKUP(CONCATENATE($A34,"_",AH$3),'Unit List'!$A$23:$H$3319,2,FALSE)),"X",$AG34)</f>
        <v>+</v>
      </c>
      <c r="AI34" s="94" t="str">
        <f>IF(ISTEXT(VLOOKUP(CONCATENATE($A34,"_",AI$3),'Unit List'!$A$23:$H$3319,2,FALSE)),"X",$AG34)</f>
        <v>+</v>
      </c>
      <c r="AJ34" s="96" t="str">
        <f>IF(ISTEXT(VLOOKUP(CONCATENATE($A34,"_",AJ$3),'Unit List'!$A$23:$H$3319,2,FALSE)),"X",$AG34)</f>
        <v>+</v>
      </c>
      <c r="AK34" s="97" t="str">
        <f>IF(ISTEXT(VLOOKUP(CONCATENATE($A34,"_",AK$3),'Unit List'!$A$23:$H$3319,2,FALSE)),"+","")</f>
        <v>+</v>
      </c>
      <c r="AL34" s="100" t="str">
        <f>IF(ISTEXT(VLOOKUP(CONCATENATE($A34,"_",AL$3),'Unit List'!$A$23:$H$3319,2,FALSE)),"X",$AK34)</f>
        <v>+</v>
      </c>
      <c r="AM34" s="96" t="str">
        <f>IF(ISTEXT(VLOOKUP(CONCATENATE($A34,"_",AM$3),'Unit List'!$A$23:$H$3319,2,FALSE)),"X",$AK34)</f>
        <v>+</v>
      </c>
      <c r="AN34" s="103" t="str">
        <f>IF(ISTEXT(VLOOKUP(CONCATENATE($A34,"_",AN$3),'Unit List'!$A$23:$H$3319,2,FALSE)),"+","")</f>
        <v/>
      </c>
      <c r="AO34" s="96" t="str">
        <f>IF(ISTEXT(VLOOKUP(CONCATENATE($A34,"_",AO$3),'Unit List'!$A$23:$H$3319,2,FALSE)),"X",$AN34)</f>
        <v/>
      </c>
      <c r="AP34" s="97" t="str">
        <f>IF(ISTEXT(VLOOKUP(CONCATENATE($A34,"_",AP$3),'Unit List'!$A$23:$H$3319,2,FALSE)),"+","")</f>
        <v>+</v>
      </c>
      <c r="AQ34" s="94" t="str">
        <f>IF(ISTEXT(VLOOKUP(CONCATENATE($A34,"_",AQ$3),'Unit List'!$A$23:$H$3319,2,FALSE)),"X",$AP34)</f>
        <v>+</v>
      </c>
      <c r="AR34" s="94" t="str">
        <f>IF(ISTEXT(VLOOKUP(CONCATENATE($A34,"_",AR$3),'Unit List'!$A$23:$H$3319,2,FALSE)),"X",$AP34)</f>
        <v>+</v>
      </c>
      <c r="AS34" s="94" t="str">
        <f>IF(ISTEXT(VLOOKUP(CONCATENATE($A34,"_",AS$3),'Unit List'!$A$23:$H$3319,2,FALSE)),"X",$AP34)</f>
        <v>+</v>
      </c>
      <c r="AT34" s="96" t="str">
        <f>IF(ISTEXT(VLOOKUP(CONCATENATE($A34,"_",AT$3),'Unit List'!$A$23:$H$3319,2,FALSE)),"X",$AP34)</f>
        <v>+</v>
      </c>
      <c r="AU34" s="104" t="str">
        <f>IF(ISTEXT(VLOOKUP(CONCATENATE($A34,"_",AU$3),'Unit List'!$A$23:$H$3319,2,FALSE)),"+","")</f>
        <v>+</v>
      </c>
      <c r="AV34" s="94" t="str">
        <f>IF(ISTEXT(VLOOKUP(CONCATENATE($A34,"_",AV$3),'Unit List'!$A$23:$H$3319,2,FALSE)),"X",$AU34)</f>
        <v>+</v>
      </c>
      <c r="AW34" s="96" t="str">
        <f>IF(ISTEXT(VLOOKUP(CONCATENATE($A34,"_",AW$3),'Unit List'!$A$23:$H$3319,2,FALSE)),"X",$AU34)</f>
        <v>+</v>
      </c>
      <c r="AX34" s="97" t="str">
        <f>IF(ISTEXT(VLOOKUP(CONCATENATE($A34,"_",AX$3),'Unit List'!$A$23:$H$3319,2,FALSE)),"+","")</f>
        <v>+</v>
      </c>
      <c r="AY34" s="94" t="str">
        <f>IF(ISTEXT(VLOOKUP(CONCATENATE($A34,"_",AY$3),'Unit List'!$A$23:$H$3319,2,FALSE)),"X",$AX34)</f>
        <v>+</v>
      </c>
      <c r="AZ34" s="96" t="str">
        <f>IF(ISTEXT(VLOOKUP(CONCATENATE($A34,"_",AZ$3),'Unit List'!$A$23:$H$3319,2,FALSE)),"X",$AX34)</f>
        <v>+</v>
      </c>
      <c r="BA34" s="105" t="str">
        <f>IF(ISTEXT(VLOOKUP(CONCATENATE($A34,"_",BA$3),'Unit List'!$A$23:$H$3319,2,FALSE)),"+","")</f>
        <v>+</v>
      </c>
      <c r="BB34" s="94" t="str">
        <f>IF(ISTEXT(VLOOKUP(CONCATENATE($A34,"_",BB$3),'Unit List'!$A$23:$H$3319,2,FALSE)),"X",$BA34)</f>
        <v>+</v>
      </c>
      <c r="BC34" s="94" t="str">
        <f>IF(ISTEXT(VLOOKUP(CONCATENATE($A34,"_",BC$3),'Unit List'!$A$23:$H$3319,2,FALSE)),"X",$BA34)</f>
        <v>+</v>
      </c>
      <c r="BD34" s="96" t="str">
        <f>IF(ISTEXT(VLOOKUP(CONCATENATE($A34,"_",BD$3),'Unit List'!$A$23:$H$3319,2,FALSE)),"X",$BA34)</f>
        <v>+</v>
      </c>
      <c r="BE34" s="103" t="str">
        <f>IF(ISTEXT(VLOOKUP(CONCATENATE($A34,"_",BE$3),'Unit List'!$A$23:$H$3319,2,FALSE)),"+","")</f>
        <v>+</v>
      </c>
      <c r="BF34" s="101" t="str">
        <f>IF(ISTEXT(VLOOKUP(CONCATENATE($A34,"_",BF$3),'Unit List'!$A$23:$H$3319,2,FALSE)),"X",$BE34)</f>
        <v>+</v>
      </c>
      <c r="BG34" s="124"/>
      <c r="BH34" s="133"/>
      <c r="BI34" s="228"/>
      <c r="BJ34" s="229"/>
      <c r="BK34" s="229"/>
      <c r="BL34" s="229"/>
      <c r="BM34" s="230"/>
      <c r="BN34" s="108"/>
      <c r="BO34" s="108"/>
      <c r="BP34" s="108"/>
      <c r="BQ34" s="108"/>
      <c r="BR34" s="108"/>
      <c r="BS34" s="108"/>
      <c r="DZ34" s="109"/>
      <c r="EA34" s="109"/>
    </row>
    <row r="35" spans="1:131" ht="12.75" customHeight="1" x14ac:dyDescent="0.2">
      <c r="A35" s="90" t="s">
        <v>1144</v>
      </c>
      <c r="B35" s="91" t="str">
        <f>IF(ISTEXT(VLOOKUP(CONCATENATE($A35,"_",B$3),'Unit List'!$A$23:$H$3319,2,FALSE)),"+","")</f>
        <v/>
      </c>
      <c r="C35" s="92" t="str">
        <f>IF(ISTEXT(VLOOKUP(CONCATENATE($A35,"_",C$3),'Unit List'!$A$23:$H$3319,2,FALSE)),"X",$B35)</f>
        <v/>
      </c>
      <c r="D35" s="94" t="str">
        <f>IF(ISTEXT(VLOOKUP(CONCATENATE($A35,"_",D$3),'Unit List'!$A$23:$H$3319,2,FALSE)),"X",$B35)</f>
        <v/>
      </c>
      <c r="E35" s="94" t="str">
        <f>IF(ISTEXT(VLOOKUP(CONCATENATE($A35,"_",E$3),'Unit List'!$A$23:$H$3319,2,FALSE)),"X",$B35)</f>
        <v/>
      </c>
      <c r="F35" s="94" t="str">
        <f>IF(ISTEXT(VLOOKUP(CONCATENATE($A35,"_",F$3),'Unit List'!$A$23:$H$3319,2,FALSE)),"X",$B35)</f>
        <v/>
      </c>
      <c r="G35" s="94" t="str">
        <f>IF(ISTEXT(VLOOKUP(CONCATENATE($A35,"_",G$3),'Unit List'!$A$23:$H$3319,2,FALSE)),"X",$B35)</f>
        <v/>
      </c>
      <c r="H35" s="94" t="str">
        <f>IF(ISTEXT(VLOOKUP(CONCATENATE($A35,"_",H$3),'Unit List'!$A$23:$H$3319,2,FALSE)),"X",$B35)</f>
        <v/>
      </c>
      <c r="I35" s="96" t="str">
        <f>IF(ISTEXT(VLOOKUP(CONCATENATE($A35,"_",I$3),'Unit List'!$A$23:$H$3319,2,FALSE)),"X",$B35)</f>
        <v/>
      </c>
      <c r="J35" s="97" t="str">
        <f>IF(ISTEXT(VLOOKUP(CONCATENATE($A35,"_",J$3),'Unit List'!$A$23:$H$3319,2,FALSE)),"+","")</f>
        <v/>
      </c>
      <c r="K35" s="94" t="str">
        <f>IF(ISTEXT(VLOOKUP(CONCATENATE($A35,"_",K$3),'Unit List'!$A$23:$H$3319,2,FALSE)),"X",$J35)</f>
        <v/>
      </c>
      <c r="L35" s="101" t="str">
        <f>IF(ISTEXT(VLOOKUP(CONCATENATE($A35,"_",L$3),'Unit List'!$A$23:$H$3319,2,FALSE)),"X",$J35)</f>
        <v/>
      </c>
      <c r="M35" s="97" t="str">
        <f>IF(ISTEXT(VLOOKUP(CONCATENATE($A35,"_",M$3),'Unit List'!$A$23:$H$3319,2,FALSE)),"+","")</f>
        <v/>
      </c>
      <c r="N35" s="94" t="str">
        <f>IF(ISTEXT(VLOOKUP(CONCATENATE($A35,"_",N$3),'Unit List'!$A$23:$H$3319,2,FALSE)),"X",$M35)</f>
        <v/>
      </c>
      <c r="O35" s="96" t="str">
        <f>IF(ISTEXT(VLOOKUP(CONCATENATE($A35,"_",O$3),'Unit List'!$A$23:$H$3319,2,FALSE)),"X",$M35)</f>
        <v/>
      </c>
      <c r="P35" s="97" t="str">
        <f>IF(ISTEXT(VLOOKUP(CONCATENATE($A35,"_",P$3),'Unit List'!$A$23:$H$3319,2,FALSE)),"+","")</f>
        <v/>
      </c>
      <c r="Q35" s="94" t="str">
        <f>IF(ISTEXT(VLOOKUP(CONCATENATE($A35,"_",Q$3),'Unit List'!$A$23:$H$3319,2,FALSE)),"X",$P35)</f>
        <v/>
      </c>
      <c r="R35" s="94" t="str">
        <f>IF(ISTEXT(VLOOKUP(CONCATENATE($A35,"_",R$3),'Unit List'!$A$23:$H$3319,2,FALSE)),"X",$P35)</f>
        <v/>
      </c>
      <c r="S35" s="94" t="str">
        <f>IF(ISTEXT(VLOOKUP(CONCATENATE($A35,"_",S$3),'Unit List'!$A$23:$H$3319,2,FALSE)),"X",$P35)</f>
        <v/>
      </c>
      <c r="T35" s="100" t="str">
        <f>IF(ISTEXT(VLOOKUP(CONCATENATE($A35,"_",T$3),'Unit List'!$A$23:$H$3319,2,FALSE)),"X",$P35)</f>
        <v/>
      </c>
      <c r="U35" s="94" t="str">
        <f>IF(ISTEXT(VLOOKUP(CONCATENATE($A35,"_",U$3),'Unit List'!$A$23:$H$3319,2,FALSE)),"X",$P35)</f>
        <v/>
      </c>
      <c r="V35" s="94" t="str">
        <f>IF(ISTEXT(VLOOKUP(CONCATENATE($A35,"_",V$3),'Unit List'!$A$23:$H$3319,2,FALSE)),"X",$P35)</f>
        <v/>
      </c>
      <c r="W35" s="96" t="str">
        <f>IF(ISTEXT(VLOOKUP(CONCATENATE($A35,"_",W$3),'Unit List'!$A$23:$H$3319,2,FALSE)),"X",$P35)</f>
        <v/>
      </c>
      <c r="X35" s="97" t="str">
        <f>IF(ISTEXT(VLOOKUP(CONCATENATE($A35,"_",X$3),'Unit List'!$A$23:$H$3319,2,FALSE)),"+","")</f>
        <v/>
      </c>
      <c r="Y35" s="94" t="str">
        <f>IF(ISTEXT(VLOOKUP(CONCATENATE($A35,"_",Y$3),'Unit List'!$A$23:$H$3319,2,FALSE)),"X",$X35)</f>
        <v/>
      </c>
      <c r="Z35" s="94" t="str">
        <f>IF(ISTEXT(VLOOKUP(CONCATENATE($A35,"_",Z$3),'Unit List'!$A$23:$H$3319,2,FALSE)),"X",$X35)</f>
        <v/>
      </c>
      <c r="AA35" s="94" t="str">
        <f>IF(ISTEXT(VLOOKUP(CONCATENATE($A35,"_",AA$3),'Unit List'!$A$23:$H$3319,2,FALSE)),"X",$X35)</f>
        <v/>
      </c>
      <c r="AB35" s="94" t="str">
        <f>IF(ISTEXT(VLOOKUP(CONCATENATE($A35,"_",AB$3),'Unit List'!$A$23:$H$3319,2,FALSE)),"X",$X35)</f>
        <v/>
      </c>
      <c r="AC35" s="101" t="str">
        <f>IF(ISTEXT(VLOOKUP(CONCATENATE($A35,"_",AC$3),'Unit List'!$A$23:$H$3319,2,FALSE)),"X",$X35)</f>
        <v/>
      </c>
      <c r="AD35" s="97" t="str">
        <f>IF(ISTEXT(VLOOKUP(CONCATENATE($A35,"_",AD$3),'Unit List'!$A$23:$H$3319,2,FALSE)),"+","")</f>
        <v/>
      </c>
      <c r="AE35" s="94" t="str">
        <f>IF(ISTEXT(VLOOKUP(CONCATENATE($A35,"_",AE$3),'Unit List'!$A$23:$H$3319,2,FALSE)),"X",$AD35)</f>
        <v/>
      </c>
      <c r="AF35" s="94" t="str">
        <f>IF(ISTEXT(VLOOKUP(CONCATENATE($A35,"_",AF$3),'Unit List'!$A$23:$H$3319,2,FALSE)),"X",$AD35)</f>
        <v/>
      </c>
      <c r="AG35" s="97" t="str">
        <f>IF(ISTEXT(VLOOKUP(CONCATENATE($A35,"_",AG$3),'Unit List'!$A$23:$H$3319,2,FALSE)),"+","")</f>
        <v/>
      </c>
      <c r="AH35" s="94" t="str">
        <f>IF(ISTEXT(VLOOKUP(CONCATENATE($A35,"_",AH$3),'Unit List'!$A$23:$H$3319,2,FALSE)),"X",$AG35)</f>
        <v/>
      </c>
      <c r="AI35" s="94" t="str">
        <f>IF(ISTEXT(VLOOKUP(CONCATENATE($A35,"_",AI$3),'Unit List'!$A$23:$H$3319,2,FALSE)),"X",$AG35)</f>
        <v/>
      </c>
      <c r="AJ35" s="96" t="str">
        <f>IF(ISTEXT(VLOOKUP(CONCATENATE($A35,"_",AJ$3),'Unit List'!$A$23:$H$3319,2,FALSE)),"X",$AG35)</f>
        <v/>
      </c>
      <c r="AK35" s="97" t="str">
        <f>IF(ISTEXT(VLOOKUP(CONCATENATE($A35,"_",AK$3),'Unit List'!$A$23:$H$3319,2,FALSE)),"+","")</f>
        <v/>
      </c>
      <c r="AL35" s="100" t="str">
        <f>IF(ISTEXT(VLOOKUP(CONCATENATE($A35,"_",AL$3),'Unit List'!$A$23:$H$3319,2,FALSE)),"X",$AK35)</f>
        <v/>
      </c>
      <c r="AM35" s="96" t="str">
        <f>IF(ISTEXT(VLOOKUP(CONCATENATE($A35,"_",AM$3),'Unit List'!$A$23:$H$3319,2,FALSE)),"X",$AK35)</f>
        <v/>
      </c>
      <c r="AN35" s="103" t="str">
        <f>IF(ISTEXT(VLOOKUP(CONCATENATE($A35,"_",AN$3),'Unit List'!$A$23:$H$3319,2,FALSE)),"+","")</f>
        <v/>
      </c>
      <c r="AO35" s="96" t="str">
        <f>IF(ISTEXT(VLOOKUP(CONCATENATE($A35,"_",AO$3),'Unit List'!$A$23:$H$3319,2,FALSE)),"X",$AN35)</f>
        <v/>
      </c>
      <c r="AP35" s="97" t="str">
        <f>IF(ISTEXT(VLOOKUP(CONCATENATE($A35,"_",AP$3),'Unit List'!$A$23:$H$3319,2,FALSE)),"+","")</f>
        <v/>
      </c>
      <c r="AQ35" s="94" t="str">
        <f>IF(ISTEXT(VLOOKUP(CONCATENATE($A35,"_",AQ$3),'Unit List'!$A$23:$H$3319,2,FALSE)),"X",$AP35)</f>
        <v/>
      </c>
      <c r="AR35" s="94" t="str">
        <f>IF(ISTEXT(VLOOKUP(CONCATENATE($A35,"_",AR$3),'Unit List'!$A$23:$H$3319,2,FALSE)),"X",$AP35)</f>
        <v/>
      </c>
      <c r="AS35" s="94" t="str">
        <f>IF(ISTEXT(VLOOKUP(CONCATENATE($A35,"_",AS$3),'Unit List'!$A$23:$H$3319,2,FALSE)),"X",$AP35)</f>
        <v/>
      </c>
      <c r="AT35" s="96" t="str">
        <f>IF(ISTEXT(VLOOKUP(CONCATENATE($A35,"_",AT$3),'Unit List'!$A$23:$H$3319,2,FALSE)),"X",$AP35)</f>
        <v/>
      </c>
      <c r="AU35" s="104" t="str">
        <f>IF(ISTEXT(VLOOKUP(CONCATENATE($A35,"_",AU$3),'Unit List'!$A$23:$H$3319,2,FALSE)),"+","")</f>
        <v/>
      </c>
      <c r="AV35" s="94" t="str">
        <f>IF(ISTEXT(VLOOKUP(CONCATENATE($A35,"_",AV$3),'Unit List'!$A$23:$H$3319,2,FALSE)),"X",$AU35)</f>
        <v/>
      </c>
      <c r="AW35" s="96" t="str">
        <f>IF(ISTEXT(VLOOKUP(CONCATENATE($A35,"_",AW$3),'Unit List'!$A$23:$H$3319,2,FALSE)),"X",$AU35)</f>
        <v/>
      </c>
      <c r="AX35" s="97" t="str">
        <f>IF(ISTEXT(VLOOKUP(CONCATENATE($A35,"_",AX$3),'Unit List'!$A$23:$H$3319,2,FALSE)),"+","")</f>
        <v/>
      </c>
      <c r="AY35" s="94" t="str">
        <f>IF(ISTEXT(VLOOKUP(CONCATENATE($A35,"_",AY$3),'Unit List'!$A$23:$H$3319,2,FALSE)),"X",$AX35)</f>
        <v/>
      </c>
      <c r="AZ35" s="96" t="str">
        <f>IF(ISTEXT(VLOOKUP(CONCATENATE($A35,"_",AZ$3),'Unit List'!$A$23:$H$3319,2,FALSE)),"X",$AX35)</f>
        <v/>
      </c>
      <c r="BA35" s="105" t="str">
        <f>IF(ISTEXT(VLOOKUP(CONCATENATE($A35,"_",BA$3),'Unit List'!$A$23:$H$3319,2,FALSE)),"+","")</f>
        <v/>
      </c>
      <c r="BB35" s="94" t="str">
        <f>IF(ISTEXT(VLOOKUP(CONCATENATE($A35,"_",BB$3),'Unit List'!$A$23:$H$3319,2,FALSE)),"X",$BA35)</f>
        <v/>
      </c>
      <c r="BC35" s="94" t="str">
        <f>IF(ISTEXT(VLOOKUP(CONCATENATE($A35,"_",BC$3),'Unit List'!$A$23:$H$3319,2,FALSE)),"X",$BA35)</f>
        <v/>
      </c>
      <c r="BD35" s="96" t="str">
        <f>IF(ISTEXT(VLOOKUP(CONCATENATE($A35,"_",BD$3),'Unit List'!$A$23:$H$3319,2,FALSE)),"X",$BA35)</f>
        <v/>
      </c>
      <c r="BE35" s="103" t="str">
        <f>IF(ISTEXT(VLOOKUP(CONCATENATE($A35,"_",BE$3),'Unit List'!$A$23:$H$3319,2,FALSE)),"+","")</f>
        <v/>
      </c>
      <c r="BF35" s="101" t="str">
        <f>IF(ISTEXT(VLOOKUP(CONCATENATE($A35,"_",BF$3),'Unit List'!$A$23:$H$3319,2,FALSE)),"X",$BE35)</f>
        <v/>
      </c>
      <c r="BG35" s="124"/>
      <c r="BH35" s="133"/>
      <c r="BI35" s="228"/>
      <c r="BJ35" s="229"/>
      <c r="BK35" s="229"/>
      <c r="BL35" s="229"/>
      <c r="BM35" s="230"/>
      <c r="BN35" s="108"/>
      <c r="BO35" s="108"/>
      <c r="BP35" s="108"/>
      <c r="BQ35" s="108"/>
      <c r="BR35" s="108"/>
      <c r="BS35" s="108"/>
      <c r="DZ35" s="109"/>
      <c r="EA35" s="109"/>
    </row>
    <row r="36" spans="1:131" ht="12.75" customHeight="1" x14ac:dyDescent="0.2">
      <c r="A36" s="90" t="s">
        <v>1145</v>
      </c>
      <c r="B36" s="91" t="str">
        <f>IF(ISTEXT(VLOOKUP(CONCATENATE($A36,"_",B$3),'Unit List'!$A$23:$H$3319,2,FALSE)),"+","")</f>
        <v>+</v>
      </c>
      <c r="C36" s="92" t="str">
        <f>IF(ISTEXT(VLOOKUP(CONCATENATE($A36,"_",C$3),'Unit List'!$A$23:$H$3319,2,FALSE)),"X",$B36)</f>
        <v>X</v>
      </c>
      <c r="D36" s="94" t="str">
        <f>IF(ISTEXT(VLOOKUP(CONCATENATE($A36,"_",D$3),'Unit List'!$A$23:$H$3319,2,FALSE)),"X",$B36)</f>
        <v>X</v>
      </c>
      <c r="E36" s="94" t="str">
        <f>IF(ISTEXT(VLOOKUP(CONCATENATE($A36,"_",E$3),'Unit List'!$A$23:$H$3319,2,FALSE)),"X",$B36)</f>
        <v>X</v>
      </c>
      <c r="F36" s="94" t="str">
        <f>IF(ISTEXT(VLOOKUP(CONCATENATE($A36,"_",F$3),'Unit List'!$A$23:$H$3319,2,FALSE)),"X",$B36)</f>
        <v>X</v>
      </c>
      <c r="G36" s="94" t="str">
        <f>IF(ISTEXT(VLOOKUP(CONCATENATE($A36,"_",G$3),'Unit List'!$A$23:$H$3319,2,FALSE)),"X",$B36)</f>
        <v>+</v>
      </c>
      <c r="H36" s="95" t="str">
        <f>IF(ISTEXT(VLOOKUP(CONCATENATE($A36,"_",H$3),'Unit List'!$A$23:$H$3319,2,FALSE)),"X",$B36)</f>
        <v>X</v>
      </c>
      <c r="I36" s="96" t="str">
        <f>IF(ISTEXT(VLOOKUP(CONCATENATE($A36,"_",I$3),'Unit List'!$A$23:$H$3319,2,FALSE)),"X",$B36)</f>
        <v>+</v>
      </c>
      <c r="J36" s="115" t="str">
        <f>IF(ISTEXT(VLOOKUP(CONCATENATE($A36,"_",J$3),'Unit List'!$A$23:$H$3319,2,FALSE)),"+","")</f>
        <v/>
      </c>
      <c r="K36" s="94" t="str">
        <f>IF(ISTEXT(VLOOKUP(CONCATENATE($A36,"_",K$3),'Unit List'!$A$23:$H$3319,2,FALSE)),"X",$J36)</f>
        <v/>
      </c>
      <c r="L36" s="101" t="str">
        <f>IF(ISTEXT(VLOOKUP(CONCATENATE($A36,"_",L$3),'Unit List'!$A$23:$H$3319,2,FALSE)),"X",$J36)</f>
        <v/>
      </c>
      <c r="M36" s="115" t="str">
        <f>IF(ISTEXT(VLOOKUP(CONCATENATE($A36,"_",M$3),'Unit List'!$A$23:$H$3319,2,FALSE)),"+","")</f>
        <v>+</v>
      </c>
      <c r="N36" s="113" t="str">
        <f>IF(ISTEXT(VLOOKUP(CONCATENATE($A36,"_",N$3),'Unit List'!$A$23:$H$3319,2,FALSE)),"X",$M36)</f>
        <v>+</v>
      </c>
      <c r="O36" s="114" t="str">
        <f>IF(ISTEXT(VLOOKUP(CONCATENATE($A36,"_",O$3),'Unit List'!$A$23:$H$3319,2,FALSE)),"X",$M36)</f>
        <v>X</v>
      </c>
      <c r="P36" s="97" t="str">
        <f>IF(ISTEXT(VLOOKUP(CONCATENATE($A36,"_",P$3),'Unit List'!$A$23:$H$3319,2,FALSE)),"+","")</f>
        <v/>
      </c>
      <c r="Q36" s="94" t="str">
        <f>IF(ISTEXT(VLOOKUP(CONCATENATE($A36,"_",Q$3),'Unit List'!$A$23:$H$3319,2,FALSE)),"X",$P36)</f>
        <v/>
      </c>
      <c r="R36" s="94" t="str">
        <f>IF(ISTEXT(VLOOKUP(CONCATENATE($A36,"_",R$3),'Unit List'!$A$23:$H$3319,2,FALSE)),"X",$P36)</f>
        <v/>
      </c>
      <c r="S36" s="94" t="str">
        <f>IF(ISTEXT(VLOOKUP(CONCATENATE($A36,"_",S$3),'Unit List'!$A$23:$H$3319,2,FALSE)),"X",$P36)</f>
        <v/>
      </c>
      <c r="T36" s="100" t="str">
        <f>IF(ISTEXT(VLOOKUP(CONCATENATE($A36,"_",T$3),'Unit List'!$A$23:$H$3319,2,FALSE)),"X",$P36)</f>
        <v/>
      </c>
      <c r="U36" s="95" t="str">
        <f>IF(ISTEXT(VLOOKUP(CONCATENATE($A36,"_",U$3),'Unit List'!$A$23:$H$3319,2,FALSE)),"X",$P36)</f>
        <v>X</v>
      </c>
      <c r="V36" s="94" t="str">
        <f>IF(ISTEXT(VLOOKUP(CONCATENATE($A36,"_",V$3),'Unit List'!$A$23:$H$3319,2,FALSE)),"X",$P36)</f>
        <v/>
      </c>
      <c r="W36" s="96" t="str">
        <f>IF(ISTEXT(VLOOKUP(CONCATENATE($A36,"_",W$3),'Unit List'!$A$23:$H$3319,2,FALSE)),"X",$P36)</f>
        <v/>
      </c>
      <c r="X36" s="115" t="str">
        <f>IF(ISTEXT(VLOOKUP(CONCATENATE($A36,"_",X$3),'Unit List'!$A$23:$H$3319,2,FALSE)),"+","")</f>
        <v>+</v>
      </c>
      <c r="Y36" s="94" t="str">
        <f>IF(ISTEXT(VLOOKUP(CONCATENATE($A36,"_",Y$3),'Unit List'!$A$23:$H$3319,2,FALSE)),"X",$X36)</f>
        <v>X</v>
      </c>
      <c r="Z36" s="94" t="str">
        <f>IF(ISTEXT(VLOOKUP(CONCATENATE($A36,"_",Z$3),'Unit List'!$A$23:$H$3319,2,FALSE)),"X",$X36)</f>
        <v>+</v>
      </c>
      <c r="AA36" s="95" t="str">
        <f>IF(ISTEXT(VLOOKUP(CONCATENATE($A36,"_",AA$3),'Unit List'!$A$23:$H$3319,2,FALSE)),"X",$X36)</f>
        <v>X</v>
      </c>
      <c r="AB36" s="94" t="str">
        <f>IF(ISTEXT(VLOOKUP(CONCATENATE($A36,"_",AB$3),'Unit List'!$A$23:$H$3319,2,FALSE)),"X",$X36)</f>
        <v>+</v>
      </c>
      <c r="AC36" s="135" t="str">
        <f>IF(ISTEXT(VLOOKUP(CONCATENATE($A36,"_",AC$3),'Unit List'!$A$23:$H$3319,2,FALSE)),"X",$X36)</f>
        <v>X</v>
      </c>
      <c r="AD36" s="115" t="str">
        <f>IF(ISTEXT(VLOOKUP(CONCATENATE($A36,"_",AD$3),'Unit List'!$A$23:$H$3319,2,FALSE)),"+","")</f>
        <v>+</v>
      </c>
      <c r="AE36" s="94" t="str">
        <f>IF(ISTEXT(VLOOKUP(CONCATENATE($A36,"_",AE$3),'Unit List'!$A$23:$H$3319,2,FALSE)),"X",$AD36)</f>
        <v>+</v>
      </c>
      <c r="AF36" s="94" t="str">
        <f>IF(ISTEXT(VLOOKUP(CONCATENATE($A36,"_",AF$3),'Unit List'!$A$23:$H$3319,2,FALSE)),"X",$AD36)</f>
        <v>+</v>
      </c>
      <c r="AG36" s="115" t="str">
        <f>IF(ISTEXT(VLOOKUP(CONCATENATE($A36,"_",AG$3),'Unit List'!$A$23:$H$3319,2,FALSE)),"+","")</f>
        <v>+</v>
      </c>
      <c r="AH36" s="94" t="str">
        <f>IF(ISTEXT(VLOOKUP(CONCATENATE($A36,"_",AH$3),'Unit List'!$A$23:$H$3319,2,FALSE)),"X",$AG36)</f>
        <v>+</v>
      </c>
      <c r="AI36" s="94" t="str">
        <f>IF(ISTEXT(VLOOKUP(CONCATENATE($A36,"_",AI$3),'Unit List'!$A$23:$H$3319,2,FALSE)),"X",$AG36)</f>
        <v>+</v>
      </c>
      <c r="AJ36" s="96" t="str">
        <f>IF(ISTEXT(VLOOKUP(CONCATENATE($A36,"_",AJ$3),'Unit List'!$A$23:$H$3319,2,FALSE)),"X",$AG36)</f>
        <v>X</v>
      </c>
      <c r="AK36" s="97" t="str">
        <f>IF(ISTEXT(VLOOKUP(CONCATENATE($A36,"_",AK$3),'Unit List'!$A$23:$H$3319,2,FALSE)),"+","")</f>
        <v/>
      </c>
      <c r="AL36" s="100" t="str">
        <f>IF(ISTEXT(VLOOKUP(CONCATENATE($A36,"_",AL$3),'Unit List'!$A$23:$H$3319,2,FALSE)),"X",$AK36)</f>
        <v/>
      </c>
      <c r="AM36" s="96" t="str">
        <f>IF(ISTEXT(VLOOKUP(CONCATENATE($A36,"_",AM$3),'Unit List'!$A$23:$H$3319,2,FALSE)),"X",$AK36)</f>
        <v/>
      </c>
      <c r="AN36" s="103" t="str">
        <f>IF(ISTEXT(VLOOKUP(CONCATENATE($A36,"_",AN$3),'Unit List'!$A$23:$H$3319,2,FALSE)),"+","")</f>
        <v>+</v>
      </c>
      <c r="AO36" s="114" t="str">
        <f>IF(ISTEXT(VLOOKUP(CONCATENATE($A36,"_",AO$3),'Unit List'!$A$23:$H$3319,2,FALSE)),"X",$AN36)</f>
        <v>X</v>
      </c>
      <c r="AP36" s="97" t="str">
        <f>IF(ISTEXT(VLOOKUP(CONCATENATE($A36,"_",AP$3),'Unit List'!$A$23:$H$3319,2,FALSE)),"+","")</f>
        <v>+</v>
      </c>
      <c r="AQ36" s="113" t="str">
        <f>IF(ISTEXT(VLOOKUP(CONCATENATE($A36,"_",AQ$3),'Unit List'!$A$23:$H$3319,2,FALSE)),"X",$AP36)</f>
        <v>+</v>
      </c>
      <c r="AR36" s="94" t="str">
        <f>IF(ISTEXT(VLOOKUP(CONCATENATE($A36,"_",AR$3),'Unit List'!$A$23:$H$3319,2,FALSE)),"X",$AP36)</f>
        <v>+</v>
      </c>
      <c r="AS36" s="94" t="str">
        <f>IF(ISTEXT(VLOOKUP(CONCATENATE($A36,"_",AS$3),'Unit List'!$A$23:$H$3319,2,FALSE)),"X",$AP36)</f>
        <v>+</v>
      </c>
      <c r="AT36" s="96" t="str">
        <f>IF(ISTEXT(VLOOKUP(CONCATENATE($A36,"_",AT$3),'Unit List'!$A$23:$H$3319,2,FALSE)),"X",$AP36)</f>
        <v>+</v>
      </c>
      <c r="AU36" s="104" t="str">
        <f>IF(ISTEXT(VLOOKUP(CONCATENATE($A36,"_",AU$3),'Unit List'!$A$23:$H$3319,2,FALSE)),"+","")</f>
        <v>+</v>
      </c>
      <c r="AV36" s="94" t="str">
        <f>IF(ISTEXT(VLOOKUP(CONCATENATE($A36,"_",AV$3),'Unit List'!$A$23:$H$3319,2,FALSE)),"X",$AU36)</f>
        <v>+</v>
      </c>
      <c r="AW36" s="96" t="str">
        <f>IF(ISTEXT(VLOOKUP(CONCATENATE($A36,"_",AW$3),'Unit List'!$A$23:$H$3319,2,FALSE)),"X",$AU36)</f>
        <v>+</v>
      </c>
      <c r="AX36" s="97" t="str">
        <f>IF(ISTEXT(VLOOKUP(CONCATENATE($A36,"_",AX$3),'Unit List'!$A$23:$H$3319,2,FALSE)),"+","")</f>
        <v>+</v>
      </c>
      <c r="AY36" s="94" t="str">
        <f>IF(ISTEXT(VLOOKUP(CONCATENATE($A36,"_",AY$3),'Unit List'!$A$23:$H$3319,2,FALSE)),"X",$AX36)</f>
        <v>+</v>
      </c>
      <c r="AZ36" s="96" t="str">
        <f>IF(ISTEXT(VLOOKUP(CONCATENATE($A36,"_",AZ$3),'Unit List'!$A$23:$H$3319,2,FALSE)),"X",$AX36)</f>
        <v>+</v>
      </c>
      <c r="BA36" s="105" t="str">
        <f>IF(ISTEXT(VLOOKUP(CONCATENATE($A36,"_",BA$3),'Unit List'!$A$23:$H$3319,2,FALSE)),"+","")</f>
        <v/>
      </c>
      <c r="BB36" s="94" t="str">
        <f>IF(ISTEXT(VLOOKUP(CONCATENATE($A36,"_",BB$3),'Unit List'!$A$23:$H$3319,2,FALSE)),"X",$BA36)</f>
        <v/>
      </c>
      <c r="BC36" s="94" t="str">
        <f>IF(ISTEXT(VLOOKUP(CONCATENATE($A36,"_",BC$3),'Unit List'!$A$23:$H$3319,2,FALSE)),"X",$BA36)</f>
        <v/>
      </c>
      <c r="BD36" s="96" t="str">
        <f>IF(ISTEXT(VLOOKUP(CONCATENATE($A36,"_",BD$3),'Unit List'!$A$23:$H$3319,2,FALSE)),"X",$BA36)</f>
        <v/>
      </c>
      <c r="BE36" s="103" t="str">
        <f>IF(ISTEXT(VLOOKUP(CONCATENATE($A36,"_",BE$3),'Unit List'!$A$23:$H$3319,2,FALSE)),"+","")</f>
        <v>+</v>
      </c>
      <c r="BF36" s="101" t="str">
        <f>IF(ISTEXT(VLOOKUP(CONCATENATE($A36,"_",BF$3),'Unit List'!$A$23:$H$3319,2,FALSE)),"X",$BE36)</f>
        <v>+</v>
      </c>
      <c r="BG36" s="106"/>
      <c r="BH36" s="107" t="s">
        <v>0</v>
      </c>
      <c r="BI36" s="228"/>
      <c r="BJ36" s="229"/>
      <c r="BK36" s="229"/>
      <c r="BL36" s="229"/>
      <c r="BM36" s="230"/>
      <c r="BN36" s="108"/>
      <c r="BO36" s="108"/>
      <c r="BP36" s="108"/>
      <c r="BQ36" s="108"/>
      <c r="BR36" s="108"/>
      <c r="BS36" s="108"/>
      <c r="DZ36" s="109"/>
      <c r="EA36" s="109"/>
    </row>
    <row r="37" spans="1:131" ht="12.75" customHeight="1" x14ac:dyDescent="0.2">
      <c r="A37" s="90" t="s">
        <v>1146</v>
      </c>
      <c r="B37" s="91" t="str">
        <f>IF(ISTEXT(VLOOKUP(CONCATENATE($A37,"_",B$3),'Unit List'!$A$23:$H$3319,2,FALSE)),"+","")</f>
        <v/>
      </c>
      <c r="C37" s="142" t="str">
        <f>IF(ISTEXT(VLOOKUP(CONCATENATE($A37,"_",C$3),'Unit List'!$A$23:$H$3319,2,FALSE)),"X",$B37)</f>
        <v/>
      </c>
      <c r="D37" s="94" t="str">
        <f>IF(ISTEXT(VLOOKUP(CONCATENATE($A37,"_",D$3),'Unit List'!$A$23:$H$3319,2,FALSE)),"X",$B37)</f>
        <v/>
      </c>
      <c r="E37" s="94" t="str">
        <f>IF(ISTEXT(VLOOKUP(CONCATENATE($A37,"_",E$3),'Unit List'!$A$23:$H$3319,2,FALSE)),"X",$B37)</f>
        <v/>
      </c>
      <c r="F37" s="94" t="str">
        <f>IF(ISTEXT(VLOOKUP(CONCATENATE($A37,"_",F$3),'Unit List'!$A$23:$H$3319,2,FALSE)),"X",$B37)</f>
        <v/>
      </c>
      <c r="G37" s="94" t="str">
        <f>IF(ISTEXT(VLOOKUP(CONCATENATE($A37,"_",G$3),'Unit List'!$A$23:$H$3319,2,FALSE)),"X",$B37)</f>
        <v/>
      </c>
      <c r="H37" s="94" t="str">
        <f>IF(ISTEXT(VLOOKUP(CONCATENATE($A37,"_",H$3),'Unit List'!$A$23:$H$3319,2,FALSE)),"X",$B37)</f>
        <v/>
      </c>
      <c r="I37" s="96" t="str">
        <f>IF(ISTEXT(VLOOKUP(CONCATENATE($A37,"_",I$3),'Unit List'!$A$23:$H$3319,2,FALSE)),"X",$B37)</f>
        <v/>
      </c>
      <c r="J37" s="97" t="str">
        <f>IF(ISTEXT(VLOOKUP(CONCATENATE($A37,"_",J$3),'Unit List'!$A$23:$H$3319,2,FALSE)),"+","")</f>
        <v/>
      </c>
      <c r="K37" s="94" t="str">
        <f>IF(ISTEXT(VLOOKUP(CONCATENATE($A37,"_",K$3),'Unit List'!$A$23:$H$3319,2,FALSE)),"X",$J37)</f>
        <v/>
      </c>
      <c r="L37" s="101" t="str">
        <f>IF(ISTEXT(VLOOKUP(CONCATENATE($A37,"_",L$3),'Unit List'!$A$23:$H$3319,2,FALSE)),"X",$J37)</f>
        <v/>
      </c>
      <c r="M37" s="97" t="str">
        <f>IF(ISTEXT(VLOOKUP(CONCATENATE($A37,"_",M$3),'Unit List'!$A$23:$H$3319,2,FALSE)),"+","")</f>
        <v>+</v>
      </c>
      <c r="N37" s="94" t="str">
        <f>IF(ISTEXT(VLOOKUP(CONCATENATE($A37,"_",N$3),'Unit List'!$A$23:$H$3319,2,FALSE)),"X",$M37)</f>
        <v>+</v>
      </c>
      <c r="O37" s="99" t="str">
        <f>IF(ISTEXT(VLOOKUP(CONCATENATE($A37,"_",O$3),'Unit List'!$A$23:$H$3319,2,FALSE)),"X",$M37)</f>
        <v>+</v>
      </c>
      <c r="P37" s="97" t="str">
        <f>IF(ISTEXT(VLOOKUP(CONCATENATE($A37,"_",P$3),'Unit List'!$A$23:$H$3319,2,FALSE)),"+","")</f>
        <v/>
      </c>
      <c r="Q37" s="94" t="str">
        <f>IF(ISTEXT(VLOOKUP(CONCATENATE($A37,"_",Q$3),'Unit List'!$A$23:$H$3319,2,FALSE)),"X",$P37)</f>
        <v/>
      </c>
      <c r="R37" s="94" t="str">
        <f>IF(ISTEXT(VLOOKUP(CONCATENATE($A37,"_",R$3),'Unit List'!$A$23:$H$3319,2,FALSE)),"X",$P37)</f>
        <v/>
      </c>
      <c r="S37" s="94" t="str">
        <f>IF(ISTEXT(VLOOKUP(CONCATENATE($A37,"_",S$3),'Unit List'!$A$23:$H$3319,2,FALSE)),"X",$P37)</f>
        <v/>
      </c>
      <c r="T37" s="100" t="str">
        <f>IF(ISTEXT(VLOOKUP(CONCATENATE($A37,"_",T$3),'Unit List'!$A$23:$H$3319,2,FALSE)),"X",$P37)</f>
        <v/>
      </c>
      <c r="U37" s="94" t="str">
        <f>IF(ISTEXT(VLOOKUP(CONCATENATE($A37,"_",U$3),'Unit List'!$A$23:$H$3319,2,FALSE)),"X",$P37)</f>
        <v/>
      </c>
      <c r="V37" s="94" t="str">
        <f>IF(ISTEXT(VLOOKUP(CONCATENATE($A37,"_",V$3),'Unit List'!$A$23:$H$3319,2,FALSE)),"X",$P37)</f>
        <v/>
      </c>
      <c r="W37" s="96" t="str">
        <f>IF(ISTEXT(VLOOKUP(CONCATENATE($A37,"_",W$3),'Unit List'!$A$23:$H$3319,2,FALSE)),"X",$P37)</f>
        <v/>
      </c>
      <c r="X37" s="97" t="str">
        <f>IF(ISTEXT(VLOOKUP(CONCATENATE($A37,"_",X$3),'Unit List'!$A$23:$H$3319,2,FALSE)),"+","")</f>
        <v/>
      </c>
      <c r="Y37" s="94" t="str">
        <f>IF(ISTEXT(VLOOKUP(CONCATENATE($A37,"_",Y$3),'Unit List'!$A$23:$H$3319,2,FALSE)),"X",$X37)</f>
        <v/>
      </c>
      <c r="Z37" s="94" t="str">
        <f>IF(ISTEXT(VLOOKUP(CONCATENATE($A37,"_",Z$3),'Unit List'!$A$23:$H$3319,2,FALSE)),"X",$X37)</f>
        <v/>
      </c>
      <c r="AA37" s="94" t="str">
        <f>IF(ISTEXT(VLOOKUP(CONCATENATE($A37,"_",AA$3),'Unit List'!$A$23:$H$3319,2,FALSE)),"X",$X37)</f>
        <v/>
      </c>
      <c r="AB37" s="94" t="str">
        <f>IF(ISTEXT(VLOOKUP(CONCATENATE($A37,"_",AB$3),'Unit List'!$A$23:$H$3319,2,FALSE)),"X",$X37)</f>
        <v/>
      </c>
      <c r="AC37" s="101" t="str">
        <f>IF(ISTEXT(VLOOKUP(CONCATENATE($A37,"_",AC$3),'Unit List'!$A$23:$H$3319,2,FALSE)),"X",$X37)</f>
        <v/>
      </c>
      <c r="AD37" s="97" t="str">
        <f>IF(ISTEXT(VLOOKUP(CONCATENATE($A37,"_",AD$3),'Unit List'!$A$23:$H$3319,2,FALSE)),"+","")</f>
        <v/>
      </c>
      <c r="AE37" s="94" t="str">
        <f>IF(ISTEXT(VLOOKUP(CONCATENATE($A37,"_",AE$3),'Unit List'!$A$23:$H$3319,2,FALSE)),"X",$AD37)</f>
        <v/>
      </c>
      <c r="AF37" s="94" t="str">
        <f>IF(ISTEXT(VLOOKUP(CONCATENATE($A37,"_",AF$3),'Unit List'!$A$23:$H$3319,2,FALSE)),"X",$AD37)</f>
        <v/>
      </c>
      <c r="AG37" s="97" t="str">
        <f>IF(ISTEXT(VLOOKUP(CONCATENATE($A37,"_",AG$3),'Unit List'!$A$23:$H$3319,2,FALSE)),"+","")</f>
        <v/>
      </c>
      <c r="AH37" s="94" t="str">
        <f>IF(ISTEXT(VLOOKUP(CONCATENATE($A37,"_",AH$3),'Unit List'!$A$23:$H$3319,2,FALSE)),"X",$AG37)</f>
        <v/>
      </c>
      <c r="AI37" s="94" t="str">
        <f>IF(ISTEXT(VLOOKUP(CONCATENATE($A37,"_",AI$3),'Unit List'!$A$23:$H$3319,2,FALSE)),"X",$AG37)</f>
        <v/>
      </c>
      <c r="AJ37" s="96" t="str">
        <f>IF(ISTEXT(VLOOKUP(CONCATENATE($A37,"_",AJ$3),'Unit List'!$A$23:$H$3319,2,FALSE)),"X",$AG37)</f>
        <v/>
      </c>
      <c r="AK37" s="97" t="str">
        <f>IF(ISTEXT(VLOOKUP(CONCATENATE($A37,"_",AK$3),'Unit List'!$A$23:$H$3319,2,FALSE)),"+","")</f>
        <v>+</v>
      </c>
      <c r="AL37" s="100" t="str">
        <f>IF(ISTEXT(VLOOKUP(CONCATENATE($A37,"_",AL$3),'Unit List'!$A$23:$H$3319,2,FALSE)),"X",$AK37)</f>
        <v>+</v>
      </c>
      <c r="AM37" s="96" t="str">
        <f>IF(ISTEXT(VLOOKUP(CONCATENATE($A37,"_",AM$3),'Unit List'!$A$23:$H$3319,2,FALSE)),"X",$AK37)</f>
        <v>+</v>
      </c>
      <c r="AN37" s="103" t="str">
        <f>IF(ISTEXT(VLOOKUP(CONCATENATE($A37,"_",AN$3),'Unit List'!$A$23:$H$3319,2,FALSE)),"+","")</f>
        <v/>
      </c>
      <c r="AO37" s="96" t="str">
        <f>IF(ISTEXT(VLOOKUP(CONCATENATE($A37,"_",AO$3),'Unit List'!$A$23:$H$3319,2,FALSE)),"X",$AN37)</f>
        <v/>
      </c>
      <c r="AP37" s="97" t="str">
        <f>IF(ISTEXT(VLOOKUP(CONCATENATE($A37,"_",AP$3),'Unit List'!$A$23:$H$3319,2,FALSE)),"+","")</f>
        <v>+</v>
      </c>
      <c r="AQ37" s="94" t="str">
        <f>IF(ISTEXT(VLOOKUP(CONCATENATE($A37,"_",AQ$3),'Unit List'!$A$23:$H$3319,2,FALSE)),"X",$AP37)</f>
        <v>+</v>
      </c>
      <c r="AR37" s="94" t="str">
        <f>IF(ISTEXT(VLOOKUP(CONCATENATE($A37,"_",AR$3),'Unit List'!$A$23:$H$3319,2,FALSE)),"X",$AP37)</f>
        <v>+</v>
      </c>
      <c r="AS37" s="94" t="str">
        <f>IF(ISTEXT(VLOOKUP(CONCATENATE($A37,"_",AS$3),'Unit List'!$A$23:$H$3319,2,FALSE)),"X",$AP37)</f>
        <v>+</v>
      </c>
      <c r="AT37" s="96" t="str">
        <f>IF(ISTEXT(VLOOKUP(CONCATENATE($A37,"_",AT$3),'Unit List'!$A$23:$H$3319,2,FALSE)),"X",$AP37)</f>
        <v>+</v>
      </c>
      <c r="AU37" s="104" t="str">
        <f>IF(ISTEXT(VLOOKUP(CONCATENATE($A37,"_",AU$3),'Unit List'!$A$23:$H$3319,2,FALSE)),"+","")</f>
        <v/>
      </c>
      <c r="AV37" s="94" t="str">
        <f>IF(ISTEXT(VLOOKUP(CONCATENATE($A37,"_",AV$3),'Unit List'!$A$23:$H$3319,2,FALSE)),"X",$AU37)</f>
        <v/>
      </c>
      <c r="AW37" s="96" t="str">
        <f>IF(ISTEXT(VLOOKUP(CONCATENATE($A37,"_",AW$3),'Unit List'!$A$23:$H$3319,2,FALSE)),"X",$AU37)</f>
        <v/>
      </c>
      <c r="AX37" s="97" t="str">
        <f>IF(ISTEXT(VLOOKUP(CONCATENATE($A37,"_",AX$3),'Unit List'!$A$23:$H$3319,2,FALSE)),"+","")</f>
        <v/>
      </c>
      <c r="AY37" s="94" t="str">
        <f>IF(ISTEXT(VLOOKUP(CONCATENATE($A37,"_",AY$3),'Unit List'!$A$23:$H$3319,2,FALSE)),"X",$AX37)</f>
        <v/>
      </c>
      <c r="AZ37" s="96" t="str">
        <f>IF(ISTEXT(VLOOKUP(CONCATENATE($A37,"_",AZ$3),'Unit List'!$A$23:$H$3319,2,FALSE)),"X",$AX37)</f>
        <v/>
      </c>
      <c r="BA37" s="105" t="str">
        <f>IF(ISTEXT(VLOOKUP(CONCATENATE($A37,"_",BA$3),'Unit List'!$A$23:$H$3319,2,FALSE)),"+","")</f>
        <v/>
      </c>
      <c r="BB37" s="94" t="str">
        <f>IF(ISTEXT(VLOOKUP(CONCATENATE($A37,"_",BB$3),'Unit List'!$A$23:$H$3319,2,FALSE)),"X",$BA37)</f>
        <v/>
      </c>
      <c r="BC37" s="94" t="str">
        <f>IF(ISTEXT(VLOOKUP(CONCATENATE($A37,"_",BC$3),'Unit List'!$A$23:$H$3319,2,FALSE)),"X",$BA37)</f>
        <v/>
      </c>
      <c r="BD37" s="96" t="str">
        <f>IF(ISTEXT(VLOOKUP(CONCATENATE($A37,"_",BD$3),'Unit List'!$A$23:$H$3319,2,FALSE)),"X",$BA37)</f>
        <v/>
      </c>
      <c r="BE37" s="103" t="str">
        <f>IF(ISTEXT(VLOOKUP(CONCATENATE($A37,"_",BE$3),'Unit List'!$A$23:$H$3319,2,FALSE)),"+","")</f>
        <v/>
      </c>
      <c r="BF37" s="101" t="str">
        <f>IF(ISTEXT(VLOOKUP(CONCATENATE($A37,"_",BF$3),'Unit List'!$A$23:$H$3319,2,FALSE)),"X",$BE37)</f>
        <v/>
      </c>
      <c r="BG37" s="106"/>
      <c r="BH37" s="107" t="s">
        <v>0</v>
      </c>
      <c r="BI37" s="228"/>
      <c r="BJ37" s="229"/>
      <c r="BK37" s="229"/>
      <c r="BL37" s="229"/>
      <c r="BM37" s="230"/>
      <c r="BN37" s="108"/>
      <c r="BO37" s="108"/>
      <c r="BP37" s="108"/>
      <c r="BQ37" s="108"/>
      <c r="BR37" s="108"/>
      <c r="BS37" s="108"/>
      <c r="DZ37" s="109"/>
      <c r="EA37" s="109"/>
    </row>
    <row r="38" spans="1:131" ht="12.75" customHeight="1" x14ac:dyDescent="0.2">
      <c r="A38" s="90" t="s">
        <v>1147</v>
      </c>
      <c r="B38" s="91" t="str">
        <f>IF(ISTEXT(VLOOKUP(CONCATENATE($A38,"_",B$3),'Unit List'!$A$23:$H$3319,2,FALSE)),"+","")</f>
        <v/>
      </c>
      <c r="C38" s="92" t="str">
        <f>IF(ISTEXT(VLOOKUP(CONCATENATE($A38,"_",C$3),'Unit List'!$A$23:$H$3319,2,FALSE)),"X",$B38)</f>
        <v/>
      </c>
      <c r="D38" s="94" t="str">
        <f>IF(ISTEXT(VLOOKUP(CONCATENATE($A38,"_",D$3),'Unit List'!$A$23:$H$3319,2,FALSE)),"X",$B38)</f>
        <v/>
      </c>
      <c r="E38" s="94" t="str">
        <f>IF(ISTEXT(VLOOKUP(CONCATENATE($A38,"_",E$3),'Unit List'!$A$23:$H$3319,2,FALSE)),"X",$B38)</f>
        <v/>
      </c>
      <c r="F38" s="94" t="str">
        <f>IF(ISTEXT(VLOOKUP(CONCATENATE($A38,"_",F$3),'Unit List'!$A$23:$H$3319,2,FALSE)),"X",$B38)</f>
        <v/>
      </c>
      <c r="G38" s="95" t="str">
        <f>IF(ISTEXT(VLOOKUP(CONCATENATE($A38,"_",G$3),'Unit List'!$A$23:$H$3319,2,FALSE)),"X",$B38)</f>
        <v>X</v>
      </c>
      <c r="H38" s="94" t="str">
        <f>IF(ISTEXT(VLOOKUP(CONCATENATE($A38,"_",H$3),'Unit List'!$A$23:$H$3319,2,FALSE)),"X",$B38)</f>
        <v>X</v>
      </c>
      <c r="I38" s="96" t="str">
        <f>IF(ISTEXT(VLOOKUP(CONCATENATE($A38,"_",I$3),'Unit List'!$A$23:$H$3319,2,FALSE)),"X",$B38)</f>
        <v/>
      </c>
      <c r="J38" s="97" t="str">
        <f>IF(ISTEXT(VLOOKUP(CONCATENATE($A38,"_",J$3),'Unit List'!$A$23:$H$3319,2,FALSE)),"+","")</f>
        <v/>
      </c>
      <c r="K38" s="94" t="str">
        <f>IF(ISTEXT(VLOOKUP(CONCATENATE($A38,"_",K$3),'Unit List'!$A$23:$H$3319,2,FALSE)),"X",$J38)</f>
        <v/>
      </c>
      <c r="L38" s="101" t="str">
        <f>IF(ISTEXT(VLOOKUP(CONCATENATE($A38,"_",L$3),'Unit List'!$A$23:$H$3319,2,FALSE)),"X",$J38)</f>
        <v/>
      </c>
      <c r="M38" s="97" t="str">
        <f>IF(ISTEXT(VLOOKUP(CONCATENATE($A38,"_",M$3),'Unit List'!$A$23:$H$3319,2,FALSE)),"+","")</f>
        <v/>
      </c>
      <c r="N38" s="94" t="str">
        <f>IF(ISTEXT(VLOOKUP(CONCATENATE($A38,"_",N$3),'Unit List'!$A$23:$H$3319,2,FALSE)),"X",$M38)</f>
        <v/>
      </c>
      <c r="O38" s="96" t="str">
        <f>IF(ISTEXT(VLOOKUP(CONCATENATE($A38,"_",O$3),'Unit List'!$A$23:$H$3319,2,FALSE)),"X",$M38)</f>
        <v/>
      </c>
      <c r="P38" s="97" t="str">
        <f>IF(ISTEXT(VLOOKUP(CONCATENATE($A38,"_",P$3),'Unit List'!$A$23:$H$3319,2,FALSE)),"+","")</f>
        <v/>
      </c>
      <c r="Q38" s="94" t="str">
        <f>IF(ISTEXT(VLOOKUP(CONCATENATE($A38,"_",Q$3),'Unit List'!$A$23:$H$3319,2,FALSE)),"X",$P38)</f>
        <v/>
      </c>
      <c r="R38" s="94" t="str">
        <f>IF(ISTEXT(VLOOKUP(CONCATENATE($A38,"_",R$3),'Unit List'!$A$23:$H$3319,2,FALSE)),"X",$P38)</f>
        <v/>
      </c>
      <c r="S38" s="94" t="str">
        <f>IF(ISTEXT(VLOOKUP(CONCATENATE($A38,"_",S$3),'Unit List'!$A$23:$H$3319,2,FALSE)),"X",$P38)</f>
        <v/>
      </c>
      <c r="T38" s="100" t="str">
        <f>IF(ISTEXT(VLOOKUP(CONCATENATE($A38,"_",T$3),'Unit List'!$A$23:$H$3319,2,FALSE)),"X",$P38)</f>
        <v/>
      </c>
      <c r="U38" s="94" t="str">
        <f>IF(ISTEXT(VLOOKUP(CONCATENATE($A38,"_",U$3),'Unit List'!$A$23:$H$3319,2,FALSE)),"X",$P38)</f>
        <v/>
      </c>
      <c r="V38" s="95" t="str">
        <f>IF(ISTEXT(VLOOKUP(CONCATENATE($A38,"_",V$3),'Unit List'!$A$23:$H$3319,2,FALSE)),"X",$P38)</f>
        <v>X</v>
      </c>
      <c r="W38" s="96" t="str">
        <f>IF(ISTEXT(VLOOKUP(CONCATENATE($A38,"_",W$3),'Unit List'!$A$23:$H$3319,2,FALSE)),"X",$P38)</f>
        <v/>
      </c>
      <c r="X38" s="97" t="str">
        <f>IF(ISTEXT(VLOOKUP(CONCATENATE($A38,"_",X$3),'Unit List'!$A$23:$H$3319,2,FALSE)),"+","")</f>
        <v>+</v>
      </c>
      <c r="Y38" s="94" t="str">
        <f>IF(ISTEXT(VLOOKUP(CONCATENATE($A38,"_",Y$3),'Unit List'!$A$23:$H$3319,2,FALSE)),"X",$X38)</f>
        <v>+</v>
      </c>
      <c r="Z38" s="94" t="str">
        <f>IF(ISTEXT(VLOOKUP(CONCATENATE($A38,"_",Z$3),'Unit List'!$A$23:$H$3319,2,FALSE)),"X",$X38)</f>
        <v>+</v>
      </c>
      <c r="AA38" s="94" t="str">
        <f>IF(ISTEXT(VLOOKUP(CONCATENATE($A38,"_",AA$3),'Unit List'!$A$23:$H$3319,2,FALSE)),"X",$X38)</f>
        <v>+</v>
      </c>
      <c r="AB38" s="94" t="str">
        <f>IF(ISTEXT(VLOOKUP(CONCATENATE($A38,"_",AB$3),'Unit List'!$A$23:$H$3319,2,FALSE)),"X",$X38)</f>
        <v>+</v>
      </c>
      <c r="AC38" s="101" t="str">
        <f>IF(ISTEXT(VLOOKUP(CONCATENATE($A38,"_",AC$3),'Unit List'!$A$23:$H$3319,2,FALSE)),"X",$X38)</f>
        <v>+</v>
      </c>
      <c r="AD38" s="97" t="str">
        <f>IF(ISTEXT(VLOOKUP(CONCATENATE($A38,"_",AD$3),'Unit List'!$A$23:$H$3319,2,FALSE)),"+","")</f>
        <v>+</v>
      </c>
      <c r="AE38" s="94" t="str">
        <f>IF(ISTEXT(VLOOKUP(CONCATENATE($A38,"_",AE$3),'Unit List'!$A$23:$H$3319,2,FALSE)),"X",$AD38)</f>
        <v>+</v>
      </c>
      <c r="AF38" s="94" t="str">
        <f>IF(ISTEXT(VLOOKUP(CONCATENATE($A38,"_",AF$3),'Unit List'!$A$23:$H$3319,2,FALSE)),"X",$AD38)</f>
        <v>+</v>
      </c>
      <c r="AG38" s="97" t="str">
        <f>IF(ISTEXT(VLOOKUP(CONCATENATE($A38,"_",AG$3),'Unit List'!$A$23:$H$3319,2,FALSE)),"+","")</f>
        <v/>
      </c>
      <c r="AH38" s="94" t="str">
        <f>IF(ISTEXT(VLOOKUP(CONCATENATE($A38,"_",AH$3),'Unit List'!$A$23:$H$3319,2,FALSE)),"X",$AG38)</f>
        <v/>
      </c>
      <c r="AI38" s="94" t="str">
        <f>IF(ISTEXT(VLOOKUP(CONCATENATE($A38,"_",AI$3),'Unit List'!$A$23:$H$3319,2,FALSE)),"X",$AG38)</f>
        <v/>
      </c>
      <c r="AJ38" s="96" t="str">
        <f>IF(ISTEXT(VLOOKUP(CONCATENATE($A38,"_",AJ$3),'Unit List'!$A$23:$H$3319,2,FALSE)),"X",$AG38)</f>
        <v/>
      </c>
      <c r="AK38" s="97" t="str">
        <f>IF(ISTEXT(VLOOKUP(CONCATENATE($A38,"_",AK$3),'Unit List'!$A$23:$H$3319,2,FALSE)),"+","")</f>
        <v/>
      </c>
      <c r="AL38" s="100" t="str">
        <f>IF(ISTEXT(VLOOKUP(CONCATENATE($A38,"_",AL$3),'Unit List'!$A$23:$H$3319,2,FALSE)),"X",$AK38)</f>
        <v/>
      </c>
      <c r="AM38" s="96" t="str">
        <f>IF(ISTEXT(VLOOKUP(CONCATENATE($A38,"_",AM$3),'Unit List'!$A$23:$H$3319,2,FALSE)),"X",$AK38)</f>
        <v/>
      </c>
      <c r="AN38" s="103" t="str">
        <f>IF(ISTEXT(VLOOKUP(CONCATENATE($A38,"_",AN$3),'Unit List'!$A$23:$H$3319,2,FALSE)),"+","")</f>
        <v>+</v>
      </c>
      <c r="AO38" s="96" t="str">
        <f>IF(ISTEXT(VLOOKUP(CONCATENATE($A38,"_",AO$3),'Unit List'!$A$23:$H$3319,2,FALSE)),"X",$AN38)</f>
        <v>+</v>
      </c>
      <c r="AP38" s="97" t="str">
        <f>IF(ISTEXT(VLOOKUP(CONCATENATE($A38,"_",AP$3),'Unit List'!$A$23:$H$3319,2,FALSE)),"+","")</f>
        <v/>
      </c>
      <c r="AQ38" s="94" t="str">
        <f>IF(ISTEXT(VLOOKUP(CONCATENATE($A38,"_",AQ$3),'Unit List'!$A$23:$H$3319,2,FALSE)),"X",$AP38)</f>
        <v/>
      </c>
      <c r="AR38" s="94" t="str">
        <f>IF(ISTEXT(VLOOKUP(CONCATENATE($A38,"_",AR$3),'Unit List'!$A$23:$H$3319,2,FALSE)),"X",$AP38)</f>
        <v/>
      </c>
      <c r="AS38" s="94" t="str">
        <f>IF(ISTEXT(VLOOKUP(CONCATENATE($A38,"_",AS$3),'Unit List'!$A$23:$H$3319,2,FALSE)),"X",$AP38)</f>
        <v/>
      </c>
      <c r="AT38" s="96" t="str">
        <f>IF(ISTEXT(VLOOKUP(CONCATENATE($A38,"_",AT$3),'Unit List'!$A$23:$H$3319,2,FALSE)),"X",$AP38)</f>
        <v/>
      </c>
      <c r="AU38" s="104" t="str">
        <f>IF(ISTEXT(VLOOKUP(CONCATENATE($A38,"_",AU$3),'Unit List'!$A$23:$H$3319,2,FALSE)),"+","")</f>
        <v>+</v>
      </c>
      <c r="AV38" s="94" t="str">
        <f>IF(ISTEXT(VLOOKUP(CONCATENATE($A38,"_",AV$3),'Unit List'!$A$23:$H$3319,2,FALSE)),"X",$AU38)</f>
        <v>+</v>
      </c>
      <c r="AW38" s="96" t="str">
        <f>IF(ISTEXT(VLOOKUP(CONCATENATE($A38,"_",AW$3),'Unit List'!$A$23:$H$3319,2,FALSE)),"X",$AU38)</f>
        <v>+</v>
      </c>
      <c r="AX38" s="97" t="str">
        <f>IF(ISTEXT(VLOOKUP(CONCATENATE($A38,"_",AX$3),'Unit List'!$A$23:$H$3319,2,FALSE)),"+","")</f>
        <v/>
      </c>
      <c r="AY38" s="94" t="str">
        <f>IF(ISTEXT(VLOOKUP(CONCATENATE($A38,"_",AY$3),'Unit List'!$A$23:$H$3319,2,FALSE)),"X",$AX38)</f>
        <v/>
      </c>
      <c r="AZ38" s="96" t="str">
        <f>IF(ISTEXT(VLOOKUP(CONCATENATE($A38,"_",AZ$3),'Unit List'!$A$23:$H$3319,2,FALSE)),"X",$AX38)</f>
        <v/>
      </c>
      <c r="BA38" s="105" t="str">
        <f>IF(ISTEXT(VLOOKUP(CONCATENATE($A38,"_",BA$3),'Unit List'!$A$23:$H$3319,2,FALSE)),"+","")</f>
        <v>+</v>
      </c>
      <c r="BB38" s="94" t="str">
        <f>IF(ISTEXT(VLOOKUP(CONCATENATE($A38,"_",BB$3),'Unit List'!$A$23:$H$3319,2,FALSE)),"X",$BA38)</f>
        <v>+</v>
      </c>
      <c r="BC38" s="94" t="str">
        <f>IF(ISTEXT(VLOOKUP(CONCATENATE($A38,"_",BC$3),'Unit List'!$A$23:$H$3319,2,FALSE)),"X",$BA38)</f>
        <v>+</v>
      </c>
      <c r="BD38" s="96" t="str">
        <f>IF(ISTEXT(VLOOKUP(CONCATENATE($A38,"_",BD$3),'Unit List'!$A$23:$H$3319,2,FALSE)),"X",$BA38)</f>
        <v>+</v>
      </c>
      <c r="BE38" s="103" t="str">
        <f>IF(ISTEXT(VLOOKUP(CONCATENATE($A38,"_",BE$3),'Unit List'!$A$23:$H$3319,2,FALSE)),"+","")</f>
        <v/>
      </c>
      <c r="BF38" s="101" t="str">
        <f>IF(ISTEXT(VLOOKUP(CONCATENATE($A38,"_",BF$3),'Unit List'!$A$23:$H$3319,2,FALSE)),"X",$BE38)</f>
        <v/>
      </c>
      <c r="BG38" s="106"/>
      <c r="BH38" s="107" t="s">
        <v>0</v>
      </c>
      <c r="BI38" s="228"/>
      <c r="BJ38" s="229"/>
      <c r="BK38" s="229"/>
      <c r="BL38" s="229"/>
      <c r="BM38" s="230"/>
      <c r="BN38" s="108"/>
      <c r="BO38" s="108"/>
      <c r="BP38" s="108"/>
      <c r="BQ38" s="108"/>
      <c r="BR38" s="108"/>
      <c r="BS38" s="108"/>
      <c r="DZ38" s="109"/>
      <c r="EA38" s="109"/>
    </row>
    <row r="39" spans="1:131" ht="12.75" customHeight="1" x14ac:dyDescent="0.2">
      <c r="A39" s="90" t="s">
        <v>1148</v>
      </c>
      <c r="B39" s="91" t="str">
        <f>IF(ISTEXT(VLOOKUP(CONCATENATE($A39,"_",B$3),'Unit List'!$A$23:$H$3319,2,FALSE)),"+","")</f>
        <v/>
      </c>
      <c r="C39" s="131" t="str">
        <f>IF(ISTEXT(VLOOKUP(CONCATENATE($A39,"_",C$3),'Unit List'!$A$23:$H$3319,2,FALSE)),"X",$B39)</f>
        <v>X</v>
      </c>
      <c r="D39" s="94" t="str">
        <f>IF(ISTEXT(VLOOKUP(CONCATENATE($A39,"_",D$3),'Unit List'!$A$23:$H$3319,2,FALSE)),"X",$B39)</f>
        <v>X</v>
      </c>
      <c r="E39" s="94" t="str">
        <f>IF(ISTEXT(VLOOKUP(CONCATENATE($A39,"_",E$3),'Unit List'!$A$23:$H$3319,2,FALSE)),"X",$B39)</f>
        <v>X</v>
      </c>
      <c r="F39" s="95" t="str">
        <f>IF(ISTEXT(VLOOKUP(CONCATENATE($A39,"_",F$3),'Unit List'!$A$23:$H$3319,2,FALSE)),"X",$B39)</f>
        <v>X</v>
      </c>
      <c r="G39" s="95" t="str">
        <f>IF(ISTEXT(VLOOKUP(CONCATENATE($A39,"_",G$3),'Unit List'!$A$23:$H$3319,2,FALSE)),"X",$B39)</f>
        <v>X</v>
      </c>
      <c r="H39" s="95" t="str">
        <f>IF(ISTEXT(VLOOKUP(CONCATENATE($A39,"_",H$3),'Unit List'!$A$23:$H$3319,2,FALSE)),"X",$B39)</f>
        <v>X</v>
      </c>
      <c r="I39" s="96" t="str">
        <f>IF(ISTEXT(VLOOKUP(CONCATENATE($A39,"_",I$3),'Unit List'!$A$23:$H$3319,2,FALSE)),"X",$B39)</f>
        <v>X</v>
      </c>
      <c r="J39" s="115" t="str">
        <f>IF(ISTEXT(VLOOKUP(CONCATENATE($A39,"_",J$3),'Unit List'!$A$23:$H$3319,2,FALSE)),"+","")</f>
        <v/>
      </c>
      <c r="K39" s="94" t="str">
        <f>IF(ISTEXT(VLOOKUP(CONCATENATE($A39,"_",K$3),'Unit List'!$A$23:$H$3319,2,FALSE)),"X",$J39)</f>
        <v/>
      </c>
      <c r="L39" s="101" t="str">
        <f>IF(ISTEXT(VLOOKUP(CONCATENATE($A39,"_",L$3),'Unit List'!$A$23:$H$3319,2,FALSE)),"X",$J39)</f>
        <v/>
      </c>
      <c r="M39" s="115" t="str">
        <f>IF(ISTEXT(VLOOKUP(CONCATENATE($A39,"_",M$3),'Unit List'!$A$23:$H$3319,2,FALSE)),"+","")</f>
        <v>+</v>
      </c>
      <c r="N39" s="113" t="str">
        <f>IF(ISTEXT(VLOOKUP(CONCATENATE($A39,"_",N$3),'Unit List'!$A$23:$H$3319,2,FALSE)),"X",$M39)</f>
        <v>+</v>
      </c>
      <c r="O39" s="119" t="str">
        <f>IF(ISTEXT(VLOOKUP(CONCATENATE($A39,"_",O$3),'Unit List'!$A$23:$H$3319,2,FALSE)),"X",$M39)</f>
        <v>X</v>
      </c>
      <c r="P39" s="97" t="str">
        <f>IF(ISTEXT(VLOOKUP(CONCATENATE($A39,"_",P$3),'Unit List'!$A$23:$H$3319,2,FALSE)),"+","")</f>
        <v/>
      </c>
      <c r="Q39" s="94" t="str">
        <f>IF(ISTEXT(VLOOKUP(CONCATENATE($A39,"_",Q$3),'Unit List'!$A$23:$H$3319,2,FALSE)),"X",$P39)</f>
        <v/>
      </c>
      <c r="R39" s="94" t="str">
        <f>IF(ISTEXT(VLOOKUP(CONCATENATE($A39,"_",R$3),'Unit List'!$A$23:$H$3319,2,FALSE)),"X",$P39)</f>
        <v/>
      </c>
      <c r="S39" s="94" t="str">
        <f>IF(ISTEXT(VLOOKUP(CONCATENATE($A39,"_",S$3),'Unit List'!$A$23:$H$3319,2,FALSE)),"X",$P39)</f>
        <v>X</v>
      </c>
      <c r="T39" s="100" t="str">
        <f>IF(ISTEXT(VLOOKUP(CONCATENATE($A39,"_",T$3),'Unit List'!$A$23:$H$3319,2,FALSE)),"X",$P39)</f>
        <v/>
      </c>
      <c r="U39" s="95" t="str">
        <f>IF(ISTEXT(VLOOKUP(CONCATENATE($A39,"_",U$3),'Unit List'!$A$23:$H$3319,2,FALSE)),"X",$P39)</f>
        <v>X</v>
      </c>
      <c r="V39" s="94" t="str">
        <f>IF(ISTEXT(VLOOKUP(CONCATENATE($A39,"_",V$3),'Unit List'!$A$23:$H$3319,2,FALSE)),"X",$P39)</f>
        <v/>
      </c>
      <c r="W39" s="96" t="str">
        <f>IF(ISTEXT(VLOOKUP(CONCATENATE($A39,"_",W$3),'Unit List'!$A$23:$H$3319,2,FALSE)),"X",$P39)</f>
        <v/>
      </c>
      <c r="X39" s="115" t="str">
        <f>IF(ISTEXT(VLOOKUP(CONCATENATE($A39,"_",X$3),'Unit List'!$A$23:$H$3319,2,FALSE)),"+","")</f>
        <v>+</v>
      </c>
      <c r="Y39" s="95" t="str">
        <f>IF(ISTEXT(VLOOKUP(CONCATENATE($A39,"_",Y$3),'Unit List'!$A$23:$H$3319,2,FALSE)),"X",$X39)</f>
        <v>X</v>
      </c>
      <c r="Z39" s="94" t="str">
        <f>IF(ISTEXT(VLOOKUP(CONCATENATE($A39,"_",Z$3),'Unit List'!$A$23:$H$3319,2,FALSE)),"X",$X39)</f>
        <v>+</v>
      </c>
      <c r="AA39" s="95" t="str">
        <f>IF(ISTEXT(VLOOKUP(CONCATENATE($A39,"_",AA$3),'Unit List'!$A$23:$H$3319,2,FALSE)),"X",$X39)</f>
        <v>X</v>
      </c>
      <c r="AB39" s="95" t="str">
        <f>IF(ISTEXT(VLOOKUP(CONCATENATE($A39,"_",AB$3),'Unit List'!$A$23:$H$3319,2,FALSE)),"X",$X39)</f>
        <v>X</v>
      </c>
      <c r="AC39" s="112" t="str">
        <f>IF(ISTEXT(VLOOKUP(CONCATENATE($A39,"_",AC$3),'Unit List'!$A$23:$H$3319,2,FALSE)),"X",$X39)</f>
        <v>X</v>
      </c>
      <c r="AD39" s="115" t="str">
        <f>IF(ISTEXT(VLOOKUP(CONCATENATE($A39,"_",AD$3),'Unit List'!$A$23:$H$3319,2,FALSE)),"+","")</f>
        <v>+</v>
      </c>
      <c r="AE39" s="94" t="str">
        <f>IF(ISTEXT(VLOOKUP(CONCATENATE($A39,"_",AE$3),'Unit List'!$A$23:$H$3319,2,FALSE)),"X",$AD39)</f>
        <v>+</v>
      </c>
      <c r="AF39" s="94" t="str">
        <f>IF(ISTEXT(VLOOKUP(CONCATENATE($A39,"_",AF$3),'Unit List'!$A$23:$H$3319,2,FALSE)),"X",$AD39)</f>
        <v>+</v>
      </c>
      <c r="AG39" s="115" t="str">
        <f>IF(ISTEXT(VLOOKUP(CONCATENATE($A39,"_",AG$3),'Unit List'!$A$23:$H$3319,2,FALSE)),"+","")</f>
        <v>+</v>
      </c>
      <c r="AH39" s="95" t="str">
        <f>IF(ISTEXT(VLOOKUP(CONCATENATE($A39,"_",AH$3),'Unit List'!$A$23:$H$3319,2,FALSE)),"X",$AG39)</f>
        <v>X</v>
      </c>
      <c r="AI39" s="95" t="str">
        <f>IF(ISTEXT(VLOOKUP(CONCATENATE($A39,"_",AI$3),'Unit List'!$A$23:$H$3319,2,FALSE)),"X",$AG39)</f>
        <v>X</v>
      </c>
      <c r="AJ39" s="117" t="str">
        <f>IF(ISTEXT(VLOOKUP(CONCATENATE($A39,"_",AJ$3),'Unit List'!$A$23:$H$3319,2,FALSE)),"X",$AG39)</f>
        <v>X</v>
      </c>
      <c r="AK39" s="115" t="str">
        <f>IF(ISTEXT(VLOOKUP(CONCATENATE($A39,"_",AK$3),'Unit List'!$A$23:$H$3319,2,FALSE)),"+","")</f>
        <v>+</v>
      </c>
      <c r="AL39" s="100" t="str">
        <f>IF(ISTEXT(VLOOKUP(CONCATENATE($A39,"_",AL$3),'Unit List'!$A$23:$H$3319,2,FALSE)),"X",$AK39)</f>
        <v>+</v>
      </c>
      <c r="AM39" s="117" t="str">
        <f>IF(ISTEXT(VLOOKUP(CONCATENATE($A39,"_",AM$3),'Unit List'!$A$23:$H$3319,2,FALSE)),"X",$AK39)</f>
        <v>X</v>
      </c>
      <c r="AN39" s="103" t="str">
        <f>IF(ISTEXT(VLOOKUP(CONCATENATE($A39,"_",AN$3),'Unit List'!$A$23:$H$3319,2,FALSE)),"+","")</f>
        <v>+</v>
      </c>
      <c r="AO39" s="114" t="str">
        <f>IF(ISTEXT(VLOOKUP(CONCATENATE($A39,"_",AO$3),'Unit List'!$A$23:$H$3319,2,FALSE)),"X",$AN39)</f>
        <v>X</v>
      </c>
      <c r="AP39" s="115" t="str">
        <f>IF(ISTEXT(VLOOKUP(CONCATENATE($A39,"_",AP$3),'Unit List'!$A$23:$H$3319,2,FALSE)),"+","")</f>
        <v>+</v>
      </c>
      <c r="AQ39" s="95" t="str">
        <f>IF(ISTEXT(VLOOKUP(CONCATENATE($A39,"_",AQ$3),'Unit List'!$A$23:$H$3319,2,FALSE)),"X",$AP39)</f>
        <v>X</v>
      </c>
      <c r="AR39" s="94" t="str">
        <f>IF(ISTEXT(VLOOKUP(CONCATENATE($A39,"_",AR$3),'Unit List'!$A$23:$H$3319,2,FALSE)),"X",$AP39)</f>
        <v>+</v>
      </c>
      <c r="AS39" s="94" t="str">
        <f>IF(ISTEXT(VLOOKUP(CONCATENATE($A39,"_",AS$3),'Unit List'!$A$23:$H$3319,2,FALSE)),"X",$AP39)</f>
        <v>+</v>
      </c>
      <c r="AT39" s="114" t="str">
        <f>IF(ISTEXT(VLOOKUP(CONCATENATE($A39,"_",AT$3),'Unit List'!$A$23:$H$3319,2,FALSE)),"X",$AP39)</f>
        <v>X</v>
      </c>
      <c r="AU39" s="104" t="str">
        <f>IF(ISTEXT(VLOOKUP(CONCATENATE($A39,"_",AU$3),'Unit List'!$A$23:$H$3319,2,FALSE)),"+","")</f>
        <v>+</v>
      </c>
      <c r="AV39" s="94" t="str">
        <f>IF(ISTEXT(VLOOKUP(CONCATENATE($A39,"_",AV$3),'Unit List'!$A$23:$H$3319,2,FALSE)),"X",$AU39)</f>
        <v>+</v>
      </c>
      <c r="AW39" s="114" t="str">
        <f>IF(ISTEXT(VLOOKUP(CONCATENATE($A39,"_",AW$3),'Unit List'!$A$23:$H$3319,2,FALSE)),"X",$AU39)</f>
        <v>X</v>
      </c>
      <c r="AX39" s="97" t="str">
        <f>IF(ISTEXT(VLOOKUP(CONCATENATE($A39,"_",AX$3),'Unit List'!$A$23:$H$3319,2,FALSE)),"+","")</f>
        <v>+</v>
      </c>
      <c r="AY39" s="94" t="str">
        <f>IF(ISTEXT(VLOOKUP(CONCATENATE($A39,"_",AY$3),'Unit List'!$A$23:$H$3319,2,FALSE)),"X",$AX39)</f>
        <v>+</v>
      </c>
      <c r="AZ39" s="96" t="str">
        <f>IF(ISTEXT(VLOOKUP(CONCATENATE($A39,"_",AZ$3),'Unit List'!$A$23:$H$3319,2,FALSE)),"X",$AX39)</f>
        <v>+</v>
      </c>
      <c r="BA39" s="105" t="str">
        <f>IF(ISTEXT(VLOOKUP(CONCATENATE($A39,"_",BA$3),'Unit List'!$A$23:$H$3319,2,FALSE)),"+","")</f>
        <v/>
      </c>
      <c r="BB39" s="94" t="str">
        <f>IF(ISTEXT(VLOOKUP(CONCATENATE($A39,"_",BB$3),'Unit List'!$A$23:$H$3319,2,FALSE)),"X",$BA39)</f>
        <v/>
      </c>
      <c r="BC39" s="95" t="str">
        <f>IF(ISTEXT(VLOOKUP(CONCATENATE($A39,"_",BC$3),'Unit List'!$A$23:$H$3319,2,FALSE)),"X",$BA39)</f>
        <v>X</v>
      </c>
      <c r="BD39" s="96" t="str">
        <f>IF(ISTEXT(VLOOKUP(CONCATENATE($A39,"_",BD$3),'Unit List'!$A$23:$H$3319,2,FALSE)),"X",$BA39)</f>
        <v/>
      </c>
      <c r="BE39" s="103" t="str">
        <f>IF(ISTEXT(VLOOKUP(CONCATENATE($A39,"_",BE$3),'Unit List'!$A$23:$H$3319,2,FALSE)),"+","")</f>
        <v>+</v>
      </c>
      <c r="BF39" s="101" t="str">
        <f>IF(ISTEXT(VLOOKUP(CONCATENATE($A39,"_",BF$3),'Unit List'!$A$23:$H$3319,2,FALSE)),"X",$BE39)</f>
        <v>+</v>
      </c>
      <c r="BG39" s="106"/>
      <c r="BH39" s="107" t="s">
        <v>0</v>
      </c>
      <c r="BI39" s="228"/>
      <c r="BJ39" s="229"/>
      <c r="BK39" s="229"/>
      <c r="BL39" s="229"/>
      <c r="BM39" s="230"/>
      <c r="BN39" s="108"/>
      <c r="BO39" s="108"/>
      <c r="BP39" s="108"/>
      <c r="BQ39" s="108"/>
      <c r="BR39" s="108"/>
      <c r="BS39" s="108"/>
      <c r="DZ39" s="109"/>
      <c r="EA39" s="109"/>
    </row>
    <row r="40" spans="1:131" ht="12.75" customHeight="1" x14ac:dyDescent="0.2">
      <c r="A40" s="90" t="s">
        <v>25</v>
      </c>
      <c r="B40" s="91" t="str">
        <f>IF(ISTEXT(VLOOKUP(CONCATENATE($A40,"_",B$3),'Unit List'!$A$23:$H$3319,2,FALSE)),"+","")</f>
        <v/>
      </c>
      <c r="C40" s="151" t="s">
        <v>3</v>
      </c>
      <c r="D40" s="94" t="str">
        <f>IF(ISTEXT(VLOOKUP(CONCATENATE($A40,"_",D$3),'Unit List'!$A$23:$H$3319,2,FALSE)),"X",$B40)</f>
        <v>X</v>
      </c>
      <c r="E40" s="94" t="str">
        <f>IF(ISTEXT(VLOOKUP(CONCATENATE($A40,"_",E$3),'Unit List'!$A$23:$H$3319,2,FALSE)),"X",$B40)</f>
        <v/>
      </c>
      <c r="F40" s="95" t="str">
        <f>IF(ISTEXT(VLOOKUP(CONCATENATE($A40,"_",F$3),'Unit List'!$A$23:$H$3319,2,FALSE)),"X",$B40)</f>
        <v>X</v>
      </c>
      <c r="G40" s="138" t="s">
        <v>0</v>
      </c>
      <c r="H40" s="94" t="str">
        <f>IF(ISTEXT(VLOOKUP(CONCATENATE($A40,"_",H$3),'Unit List'!$A$23:$H$3319,2,FALSE)),"X",$B40)</f>
        <v>X</v>
      </c>
      <c r="I40" s="114" t="str">
        <f>IF(ISTEXT(VLOOKUP(CONCATENATE($A40,"_",I$3),'Unit List'!$A$23:$H$3319,2,FALSE)),"X",$B40)</f>
        <v>X</v>
      </c>
      <c r="J40" s="115" t="str">
        <f>IF(ISTEXT(VLOOKUP(CONCATENATE($A40,"_",J$3),'Unit List'!$A$23:$H$3319,2,FALSE)),"+","")</f>
        <v/>
      </c>
      <c r="K40" s="94" t="str">
        <f>IF(ISTEXT(VLOOKUP(CONCATENATE($A40,"_",K$3),'Unit List'!$A$23:$H$3319,2,FALSE)),"X",$J40)</f>
        <v/>
      </c>
      <c r="L40" s="101" t="str">
        <f>IF(ISTEXT(VLOOKUP(CONCATENATE($A40,"_",L$3),'Unit List'!$A$23:$H$3319,2,FALSE)),"X",$J40)</f>
        <v/>
      </c>
      <c r="M40" s="115" t="str">
        <f>IF(ISTEXT(VLOOKUP(CONCATENATE($A40,"_",M$3),'Unit List'!$A$23:$H$3319,2,FALSE)),"+","")</f>
        <v>+</v>
      </c>
      <c r="N40" s="94" t="str">
        <f>IF(ISTEXT(VLOOKUP(CONCATENATE($A40,"_",N$3),'Unit List'!$A$23:$H$3319,2,FALSE)),"X",$M40)</f>
        <v>X</v>
      </c>
      <c r="O40" s="96" t="str">
        <f>IF(ISTEXT(VLOOKUP(CONCATENATE($A40,"_",O$3),'Unit List'!$A$23:$H$3319,2,FALSE)),"X",$M40)</f>
        <v>X</v>
      </c>
      <c r="P40" s="97" t="str">
        <f>IF(ISTEXT(VLOOKUP(CONCATENATE($A40,"_",P$3),'Unit List'!$A$23:$H$3319,2,FALSE)),"+","")</f>
        <v/>
      </c>
      <c r="Q40" s="95" t="str">
        <f>IF(ISTEXT(VLOOKUP(CONCATENATE($A40,"_",Q$3),'Unit List'!$A$23:$H$3319,2,FALSE)),"X",$P40)</f>
        <v>X</v>
      </c>
      <c r="R40" s="94" t="str">
        <f>IF(ISTEXT(VLOOKUP(CONCATENATE($A40,"_",R$3),'Unit List'!$A$23:$H$3319,2,FALSE)),"X",$P40)</f>
        <v/>
      </c>
      <c r="S40" s="94" t="str">
        <f>IF(ISTEXT(VLOOKUP(CONCATENATE($A40,"_",S$3),'Unit List'!$A$23:$H$3319,2,FALSE)),"X",$P40)</f>
        <v/>
      </c>
      <c r="T40" s="100" t="str">
        <f>IF(ISTEXT(VLOOKUP(CONCATENATE($A40,"_",T$3),'Unit List'!$A$23:$H$3319,2,FALSE)),"X",$P40)</f>
        <v/>
      </c>
      <c r="U40" s="94" t="str">
        <f>IF(ISTEXT(VLOOKUP(CONCATENATE($A40,"_",U$3),'Unit List'!$A$23:$H$3319,2,FALSE)),"X",$P40)</f>
        <v/>
      </c>
      <c r="V40" s="118" t="s">
        <v>0</v>
      </c>
      <c r="W40" s="96" t="str">
        <f>IF(ISTEXT(VLOOKUP(CONCATENATE($A40,"_",W$3),'Unit List'!$A$23:$H$3319,2,FALSE)),"X",$P40)</f>
        <v/>
      </c>
      <c r="X40" s="97" t="str">
        <f>IF(ISTEXT(VLOOKUP(CONCATENATE($A40,"_",X$3),'Unit List'!$A$23:$H$3319,2,FALSE)),"+","")</f>
        <v/>
      </c>
      <c r="Y40" s="94" t="str">
        <f>IF(ISTEXT(VLOOKUP(CONCATENATE($A40,"_",Y$3),'Unit List'!$A$23:$H$3319,2,FALSE)),"X",$X40)</f>
        <v/>
      </c>
      <c r="Z40" s="94" t="str">
        <f>IF(ISTEXT(VLOOKUP(CONCATENATE($A40,"_",Z$3),'Unit List'!$A$23:$H$3319,2,FALSE)),"X",$X40)</f>
        <v/>
      </c>
      <c r="AA40" s="94" t="str">
        <f>IF(ISTEXT(VLOOKUP(CONCATENATE($A40,"_",AA$3),'Unit List'!$A$23:$H$3319,2,FALSE)),"X",$X40)</f>
        <v/>
      </c>
      <c r="AB40" s="94" t="str">
        <f>IF(ISTEXT(VLOOKUP(CONCATENATE($A40,"_",AB$3),'Unit List'!$A$23:$H$3319,2,FALSE)),"X",$X40)</f>
        <v/>
      </c>
      <c r="AC40" s="101" t="str">
        <f>IF(ISTEXT(VLOOKUP(CONCATENATE($A40,"_",AC$3),'Unit List'!$A$23:$H$3319,2,FALSE)),"X",$X40)</f>
        <v/>
      </c>
      <c r="AD40" s="115" t="str">
        <f>IF(ISTEXT(VLOOKUP(CONCATENATE($A40,"_",AD$3),'Unit List'!$A$23:$H$3319,2,FALSE)),"+","")</f>
        <v/>
      </c>
      <c r="AE40" s="94" t="str">
        <f>IF(ISTEXT(VLOOKUP(CONCATENATE($A40,"_",AE$3),'Unit List'!$A$23:$H$3319,2,FALSE)),"X",$AD40)</f>
        <v/>
      </c>
      <c r="AF40" s="94" t="str">
        <f>IF(ISTEXT(VLOOKUP(CONCATENATE($A40,"_",AF$3),'Unit List'!$A$23:$H$3319,2,FALSE)),"X",$AD40)</f>
        <v/>
      </c>
      <c r="AG40" s="115" t="str">
        <f>IF(ISTEXT(VLOOKUP(CONCATENATE($A40,"_",AG$3),'Unit List'!$A$23:$H$3319,2,FALSE)),"+","")</f>
        <v>+</v>
      </c>
      <c r="AH40" s="95" t="str">
        <f>IF(ISTEXT(VLOOKUP(CONCATENATE($A40,"_",AH$3),'Unit List'!$A$23:$H$3319,2,FALSE)),"X",$AG40)</f>
        <v>+</v>
      </c>
      <c r="AI40" s="113" t="str">
        <f>IF(ISTEXT(VLOOKUP(CONCATENATE($A40,"_",AI$3),'Unit List'!$A$23:$H$3319,2,FALSE)),"X",$AG40)</f>
        <v>+</v>
      </c>
      <c r="AJ40" s="117" t="str">
        <f>IF(ISTEXT(VLOOKUP(CONCATENATE($A40,"_",AJ$3),'Unit List'!$A$23:$H$3319,2,FALSE)),"X",$AG40)</f>
        <v>+</v>
      </c>
      <c r="AK40" s="97" t="str">
        <f>IF(ISTEXT(VLOOKUP(CONCATENATE($A40,"_",AK$3),'Unit List'!$A$23:$H$3319,2,FALSE)),"+","")</f>
        <v/>
      </c>
      <c r="AL40" s="100" t="str">
        <f>IF(ISTEXT(VLOOKUP(CONCATENATE($A40,"_",AL$3),'Unit List'!$A$23:$H$3319,2,FALSE)),"X",$AK40)</f>
        <v/>
      </c>
      <c r="AM40" s="122" t="s">
        <v>0</v>
      </c>
      <c r="AN40" s="103" t="str">
        <f>IF(ISTEXT(VLOOKUP(CONCATENATE($A40,"_",AN$3),'Unit List'!$A$23:$H$3319,2,FALSE)),"+","")</f>
        <v/>
      </c>
      <c r="AO40" s="96" t="str">
        <f>IF(ISTEXT(VLOOKUP(CONCATENATE($A40,"_",AO$3),'Unit List'!$A$23:$H$3319,2,FALSE)),"X",$AN40)</f>
        <v/>
      </c>
      <c r="AP40" s="97" t="str">
        <f>IF(ISTEXT(VLOOKUP(CONCATENATE($A40,"_",AP$3),'Unit List'!$A$23:$H$3319,2,FALSE)),"+","")</f>
        <v/>
      </c>
      <c r="AQ40" s="94" t="str">
        <f>IF(ISTEXT(VLOOKUP(CONCATENATE($A40,"_",AQ$3),'Unit List'!$A$23:$H$3319,2,FALSE)),"X",$AP40)</f>
        <v/>
      </c>
      <c r="AR40" s="94" t="str">
        <f>IF(ISTEXT(VLOOKUP(CONCATENATE($A40,"_",AR$3),'Unit List'!$A$23:$H$3319,2,FALSE)),"X",$AP40)</f>
        <v/>
      </c>
      <c r="AS40" s="94" t="str">
        <f>IF(ISTEXT(VLOOKUP(CONCATENATE($A40,"_",AS$3),'Unit List'!$A$23:$H$3319,2,FALSE)),"X",$AP40)</f>
        <v/>
      </c>
      <c r="AT40" s="96" t="str">
        <f>IF(ISTEXT(VLOOKUP(CONCATENATE($A40,"_",AT$3),'Unit List'!$A$23:$H$3319,2,FALSE)),"X",$AP40)</f>
        <v/>
      </c>
      <c r="AU40" s="104" t="str">
        <f>IF(ISTEXT(VLOOKUP(CONCATENATE($A40,"_",AU$3),'Unit List'!$A$23:$H$3319,2,FALSE)),"+","")</f>
        <v/>
      </c>
      <c r="AV40" s="94" t="str">
        <f>IF(ISTEXT(VLOOKUP(CONCATENATE($A40,"_",AV$3),'Unit List'!$A$23:$H$3319,2,FALSE)),"X",$AU40)</f>
        <v/>
      </c>
      <c r="AW40" s="96" t="str">
        <f>IF(ISTEXT(VLOOKUP(CONCATENATE($A40,"_",AW$3),'Unit List'!$A$23:$H$3319,2,FALSE)),"X",$AU40)</f>
        <v/>
      </c>
      <c r="AX40" s="115" t="str">
        <f>IF(ISTEXT(VLOOKUP(CONCATENATE($A40,"_",AX$3),'Unit List'!$A$23:$H$3319,2,FALSE)),"+","")</f>
        <v>+</v>
      </c>
      <c r="AY40" s="95" t="str">
        <f>IF(ISTEXT(VLOOKUP(CONCATENATE($A40,"_",AY$3),'Unit List'!$A$23:$H$3319,2,FALSE)),"X",$AX40)</f>
        <v>X</v>
      </c>
      <c r="AZ40" s="114" t="str">
        <f>IF(ISTEXT(VLOOKUP(CONCATENATE($A40,"_",AZ$3),'Unit List'!$A$23:$H$3319,2,FALSE)),"X",$AX40)</f>
        <v>X</v>
      </c>
      <c r="BA40" s="105" t="str">
        <f>IF(ISTEXT(VLOOKUP(CONCATENATE($A40,"_",BA$3),'Unit List'!$A$23:$H$3319,2,FALSE)),"+","")</f>
        <v/>
      </c>
      <c r="BB40" s="94" t="str">
        <f>IF(ISTEXT(VLOOKUP(CONCATENATE($A40,"_",BB$3),'Unit List'!$A$23:$H$3319,2,FALSE)),"X",$BA40)</f>
        <v/>
      </c>
      <c r="BC40" s="94" t="str">
        <f>IF(ISTEXT(VLOOKUP(CONCATENATE($A40,"_",BC$3),'Unit List'!$A$23:$H$3319,2,FALSE)),"X",$BA40)</f>
        <v/>
      </c>
      <c r="BD40" s="96" t="str">
        <f>IF(ISTEXT(VLOOKUP(CONCATENATE($A40,"_",BD$3),'Unit List'!$A$23:$H$3319,2,FALSE)),"X",$BA40)</f>
        <v/>
      </c>
      <c r="BE40" s="103" t="str">
        <f>IF(ISTEXT(VLOOKUP(CONCATENATE($A40,"_",BE$3),'Unit List'!$A$23:$H$3319,2,FALSE)),"+","")</f>
        <v/>
      </c>
      <c r="BF40" s="101" t="str">
        <f>IF(ISTEXT(VLOOKUP(CONCATENATE($A40,"_",BF$3),'Unit List'!$A$23:$H$3319,2,FALSE)),"X",$BE40)</f>
        <v/>
      </c>
      <c r="BG40" s="124"/>
      <c r="BH40" s="133"/>
      <c r="BI40" s="228" t="s">
        <v>24</v>
      </c>
      <c r="BJ40" s="231"/>
      <c r="BK40" s="231"/>
      <c r="BL40" s="231"/>
      <c r="BM40" s="232"/>
      <c r="BN40" s="108"/>
      <c r="BO40" s="108"/>
      <c r="BP40" s="108"/>
      <c r="BQ40" s="108"/>
      <c r="BR40" s="108"/>
      <c r="BS40" s="108"/>
      <c r="DZ40" s="109"/>
      <c r="EA40" s="109"/>
    </row>
    <row r="41" spans="1:131" ht="12.75" customHeight="1" x14ac:dyDescent="0.2">
      <c r="A41" s="90" t="s">
        <v>1273</v>
      </c>
      <c r="B41" s="91" t="str">
        <f>IF(ISTEXT(VLOOKUP(CONCATENATE($A41,"_",B$3),'Unit List'!$A$23:$H$3319,2,FALSE)),"+","")</f>
        <v/>
      </c>
      <c r="C41" s="92" t="str">
        <f>IF(ISTEXT(VLOOKUP(CONCATENATE($A41,"_",C$3),'Unit List'!$A$23:$H$3319,2,FALSE)),"X",$B41)</f>
        <v/>
      </c>
      <c r="D41" s="94" t="str">
        <f>IF(ISTEXT(VLOOKUP(CONCATENATE($A41,"_",D$3),'Unit List'!$A$23:$H$3319,2,FALSE)),"X",$B41)</f>
        <v/>
      </c>
      <c r="E41" s="94" t="str">
        <f>IF(ISTEXT(VLOOKUP(CONCATENATE($A41,"_",E$3),'Unit List'!$A$23:$H$3319,2,FALSE)),"X",$B41)</f>
        <v/>
      </c>
      <c r="F41" s="94" t="str">
        <f>IF(ISTEXT(VLOOKUP(CONCATENATE($A41,"_",F$3),'Unit List'!$A$23:$H$3319,2,FALSE)),"X",$B41)</f>
        <v/>
      </c>
      <c r="G41" s="94" t="str">
        <f>IF(ISTEXT(VLOOKUP(CONCATENATE($A41,"_",G$3),'Unit List'!$A$23:$H$3319,2,FALSE)),"X",$B41)</f>
        <v/>
      </c>
      <c r="H41" s="94" t="str">
        <f>IF(ISTEXT(VLOOKUP(CONCATENATE($A41,"_",H$3),'Unit List'!$A$23:$H$3319,2,FALSE)),"X",$B41)</f>
        <v/>
      </c>
      <c r="I41" s="96" t="str">
        <f>IF(ISTEXT(VLOOKUP(CONCATENATE($A41,"_",I$3),'Unit List'!$A$23:$H$3319,2,FALSE)),"X",$B41)</f>
        <v/>
      </c>
      <c r="J41" s="97" t="str">
        <f>IF(ISTEXT(VLOOKUP(CONCATENATE($A41,"_",J$3),'Unit List'!$A$23:$H$3319,2,FALSE)),"+","")</f>
        <v/>
      </c>
      <c r="K41" s="94" t="str">
        <f>IF(ISTEXT(VLOOKUP(CONCATENATE($A41,"_",K$3),'Unit List'!$A$23:$H$3319,2,FALSE)),"X",$J41)</f>
        <v/>
      </c>
      <c r="L41" s="101" t="str">
        <f>IF(ISTEXT(VLOOKUP(CONCATENATE($A41,"_",L$3),'Unit List'!$A$23:$H$3319,2,FALSE)),"X",$J41)</f>
        <v/>
      </c>
      <c r="M41" s="97" t="str">
        <f>IF(ISTEXT(VLOOKUP(CONCATENATE($A41,"_",M$3),'Unit List'!$A$23:$H$3319,2,FALSE)),"+","")</f>
        <v/>
      </c>
      <c r="N41" s="94" t="str">
        <f>IF(ISTEXT(VLOOKUP(CONCATENATE($A41,"_",N$3),'Unit List'!$A$23:$H$3319,2,FALSE)),"X",$M41)</f>
        <v/>
      </c>
      <c r="O41" s="96" t="str">
        <f>IF(ISTEXT(VLOOKUP(CONCATENATE($A41,"_",O$3),'Unit List'!$A$23:$H$3319,2,FALSE)),"X",$M41)</f>
        <v/>
      </c>
      <c r="P41" s="97" t="str">
        <f>IF(ISTEXT(VLOOKUP(CONCATENATE($A41,"_",P$3),'Unit List'!$A$23:$H$3319,2,FALSE)),"+","")</f>
        <v/>
      </c>
      <c r="Q41" s="94" t="str">
        <f>IF(ISTEXT(VLOOKUP(CONCATENATE($A41,"_",Q$3),'Unit List'!$A$23:$H$3319,2,FALSE)),"X",$P41)</f>
        <v/>
      </c>
      <c r="R41" s="94" t="str">
        <f>IF(ISTEXT(VLOOKUP(CONCATENATE($A41,"_",R$3),'Unit List'!$A$23:$H$3319,2,FALSE)),"X",$P41)</f>
        <v/>
      </c>
      <c r="S41" s="94" t="str">
        <f>IF(ISTEXT(VLOOKUP(CONCATENATE($A41,"_",S$3),'Unit List'!$A$23:$H$3319,2,FALSE)),"X",$P41)</f>
        <v/>
      </c>
      <c r="T41" s="100" t="str">
        <f>IF(ISTEXT(VLOOKUP(CONCATENATE($A41,"_",T$3),'Unit List'!$A$23:$H$3319,2,FALSE)),"X",$P41)</f>
        <v/>
      </c>
      <c r="U41" s="94" t="str">
        <f>IF(ISTEXT(VLOOKUP(CONCATENATE($A41,"_",U$3),'Unit List'!$A$23:$H$3319,2,FALSE)),"X",$P41)</f>
        <v/>
      </c>
      <c r="V41" s="94" t="str">
        <f>IF(ISTEXT(VLOOKUP(CONCATENATE($A41,"_",V$3),'Unit List'!$A$23:$H$3319,2,FALSE)),"X",$P41)</f>
        <v/>
      </c>
      <c r="W41" s="96" t="str">
        <f>IF(ISTEXT(VLOOKUP(CONCATENATE($A41,"_",W$3),'Unit List'!$A$23:$H$3319,2,FALSE)),"X",$P41)</f>
        <v/>
      </c>
      <c r="X41" s="97" t="str">
        <f>IF(ISTEXT(VLOOKUP(CONCATENATE($A41,"_",X$3),'Unit List'!$A$23:$H$3319,2,FALSE)),"+","")</f>
        <v/>
      </c>
      <c r="Y41" s="94" t="str">
        <f>IF(ISTEXT(VLOOKUP(CONCATENATE($A41,"_",Y$3),'Unit List'!$A$23:$H$3319,2,FALSE)),"X",$X41)</f>
        <v/>
      </c>
      <c r="Z41" s="94" t="str">
        <f>IF(ISTEXT(VLOOKUP(CONCATENATE($A41,"_",Z$3),'Unit List'!$A$23:$H$3319,2,FALSE)),"X",$X41)</f>
        <v/>
      </c>
      <c r="AA41" s="94" t="str">
        <f>IF(ISTEXT(VLOOKUP(CONCATENATE($A41,"_",AA$3),'Unit List'!$A$23:$H$3319,2,FALSE)),"X",$X41)</f>
        <v/>
      </c>
      <c r="AB41" s="94" t="str">
        <f>IF(ISTEXT(VLOOKUP(CONCATENATE($A41,"_",AB$3),'Unit List'!$A$23:$H$3319,2,FALSE)),"X",$X41)</f>
        <v/>
      </c>
      <c r="AC41" s="101" t="str">
        <f>IF(ISTEXT(VLOOKUP(CONCATENATE($A41,"_",AC$3),'Unit List'!$A$23:$H$3319,2,FALSE)),"X",$X41)</f>
        <v/>
      </c>
      <c r="AD41" s="97" t="str">
        <f>IF(ISTEXT(VLOOKUP(CONCATENATE($A41,"_",AD$3),'Unit List'!$A$23:$H$3319,2,FALSE)),"+","")</f>
        <v/>
      </c>
      <c r="AE41" s="94" t="str">
        <f>IF(ISTEXT(VLOOKUP(CONCATENATE($A41,"_",AE$3),'Unit List'!$A$23:$H$3319,2,FALSE)),"X",$AD41)</f>
        <v/>
      </c>
      <c r="AF41" s="94" t="str">
        <f>IF(ISTEXT(VLOOKUP(CONCATENATE($A41,"_",AF$3),'Unit List'!$A$23:$H$3319,2,FALSE)),"X",$AD41)</f>
        <v/>
      </c>
      <c r="AG41" s="97" t="str">
        <f>IF(ISTEXT(VLOOKUP(CONCATENATE($A41,"_",AG$3),'Unit List'!$A$23:$H$3319,2,FALSE)),"+","")</f>
        <v/>
      </c>
      <c r="AH41" s="132" t="str">
        <f>IF(ISTEXT(VLOOKUP(CONCATENATE($A41,"_",AH$3),'Unit List'!$A$23:$H$3319,2,FALSE)),"X",$AG41)</f>
        <v/>
      </c>
      <c r="AI41" s="132" t="str">
        <f>IF(ISTEXT(VLOOKUP(CONCATENATE($A41,"_",AI$3),'Unit List'!$A$23:$H$3319,2,FALSE)),"X",$AG41)</f>
        <v/>
      </c>
      <c r="AJ41" s="96" t="str">
        <f>IF(ISTEXT(VLOOKUP(CONCATENATE($A41,"_",AJ$3),'Unit List'!$A$23:$H$3319,2,FALSE)),"X",$AG41)</f>
        <v/>
      </c>
      <c r="AK41" s="97" t="str">
        <f>IF(ISTEXT(VLOOKUP(CONCATENATE($A41,"_",AK$3),'Unit List'!$A$23:$H$3319,2,FALSE)),"+","")</f>
        <v/>
      </c>
      <c r="AL41" s="100" t="str">
        <f>IF(ISTEXT(VLOOKUP(CONCATENATE($A41,"_",AL$3),'Unit List'!$A$23:$H$3319,2,FALSE)),"X",$AK41)</f>
        <v/>
      </c>
      <c r="AM41" s="96" t="str">
        <f>IF(ISTEXT(VLOOKUP(CONCATENATE($A41,"_",AM$3),'Unit List'!$A$23:$H$3319,2,FALSE)),"X",$AK41)</f>
        <v/>
      </c>
      <c r="AN41" s="103" t="str">
        <f>IF(ISTEXT(VLOOKUP(CONCATENATE($A41,"_",AN$3),'Unit List'!$A$23:$H$3319,2,FALSE)),"+","")</f>
        <v/>
      </c>
      <c r="AO41" s="96" t="str">
        <f>IF(ISTEXT(VLOOKUP(CONCATENATE($A41,"_",AO$3),'Unit List'!$A$23:$H$3319,2,FALSE)),"X",$AN41)</f>
        <v/>
      </c>
      <c r="AP41" s="97" t="str">
        <f>IF(ISTEXT(VLOOKUP(CONCATENATE($A41,"_",AP$3),'Unit List'!$A$23:$H$3319,2,FALSE)),"+","")</f>
        <v/>
      </c>
      <c r="AQ41" s="94" t="str">
        <f>IF(ISTEXT(VLOOKUP(CONCATENATE($A41,"_",AQ$3),'Unit List'!$A$23:$H$3319,2,FALSE)),"X",$AP41)</f>
        <v/>
      </c>
      <c r="AR41" s="94" t="str">
        <f>IF(ISTEXT(VLOOKUP(CONCATENATE($A41,"_",AR$3),'Unit List'!$A$23:$H$3319,2,FALSE)),"X",$AP41)</f>
        <v/>
      </c>
      <c r="AS41" s="94" t="str">
        <f>IF(ISTEXT(VLOOKUP(CONCATENATE($A41,"_",AS$3),'Unit List'!$A$23:$H$3319,2,FALSE)),"X",$AP41)</f>
        <v/>
      </c>
      <c r="AT41" s="96" t="str">
        <f>IF(ISTEXT(VLOOKUP(CONCATENATE($A41,"_",AT$3),'Unit List'!$A$23:$H$3319,2,FALSE)),"X",$AP41)</f>
        <v/>
      </c>
      <c r="AU41" s="104" t="str">
        <f>IF(ISTEXT(VLOOKUP(CONCATENATE($A41,"_",AU$3),'Unit List'!$A$23:$H$3319,2,FALSE)),"+","")</f>
        <v/>
      </c>
      <c r="AV41" s="94" t="str">
        <f>IF(ISTEXT(VLOOKUP(CONCATENATE($A41,"_",AV$3),'Unit List'!$A$23:$H$3319,2,FALSE)),"X",$AU41)</f>
        <v/>
      </c>
      <c r="AW41" s="96" t="str">
        <f>IF(ISTEXT(VLOOKUP(CONCATENATE($A41,"_",AW$3),'Unit List'!$A$23:$H$3319,2,FALSE)),"X",$AU41)</f>
        <v/>
      </c>
      <c r="AX41" s="97" t="str">
        <f>IF(ISTEXT(VLOOKUP(CONCATENATE($A41,"_",AX$3),'Unit List'!$A$23:$H$3319,2,FALSE)),"+","")</f>
        <v/>
      </c>
      <c r="AY41" s="94" t="str">
        <f>IF(ISTEXT(VLOOKUP(CONCATENATE($A41,"_",AY$3),'Unit List'!$A$23:$H$3319,2,FALSE)),"X",$AX41)</f>
        <v/>
      </c>
      <c r="AZ41" s="96" t="str">
        <f>IF(ISTEXT(VLOOKUP(CONCATENATE($A41,"_",AZ$3),'Unit List'!$A$23:$H$3319,2,FALSE)),"X",$AX41)</f>
        <v/>
      </c>
      <c r="BA41" s="105" t="str">
        <f>IF(ISTEXT(VLOOKUP(CONCATENATE($A41,"_",BA$3),'Unit List'!$A$23:$H$3319,2,FALSE)),"+","")</f>
        <v/>
      </c>
      <c r="BB41" s="94" t="str">
        <f>IF(ISTEXT(VLOOKUP(CONCATENATE($A41,"_",BB$3),'Unit List'!$A$23:$H$3319,2,FALSE)),"X",$BA41)</f>
        <v/>
      </c>
      <c r="BC41" s="94" t="str">
        <f>IF(ISTEXT(VLOOKUP(CONCATENATE($A41,"_",BC$3),'Unit List'!$A$23:$H$3319,2,FALSE)),"X",$BA41)</f>
        <v/>
      </c>
      <c r="BD41" s="96" t="str">
        <f>IF(ISTEXT(VLOOKUP(CONCATENATE($A41,"_",BD$3),'Unit List'!$A$23:$H$3319,2,FALSE)),"X",$BA41)</f>
        <v/>
      </c>
      <c r="BE41" s="103" t="str">
        <f>IF(ISTEXT(VLOOKUP(CONCATENATE($A41,"_",BE$3),'Unit List'!$A$23:$H$3319,2,FALSE)),"+","")</f>
        <v/>
      </c>
      <c r="BF41" s="101" t="str">
        <f>IF(ISTEXT(VLOOKUP(CONCATENATE($A41,"_",BF$3),'Unit List'!$A$23:$H$3319,2,FALSE)),"X",$BE41)</f>
        <v/>
      </c>
      <c r="BG41" s="106" t="s">
        <v>0</v>
      </c>
      <c r="BH41" s="107" t="s">
        <v>0</v>
      </c>
      <c r="BI41" s="228"/>
      <c r="BJ41" s="229"/>
      <c r="BK41" s="229"/>
      <c r="BL41" s="229"/>
      <c r="BM41" s="230"/>
      <c r="BN41" s="108"/>
      <c r="BO41" s="108"/>
      <c r="BP41" s="108"/>
      <c r="BQ41" s="108"/>
      <c r="BR41" s="108"/>
      <c r="BS41" s="108"/>
      <c r="DZ41" s="109"/>
      <c r="EA41" s="109"/>
    </row>
    <row r="42" spans="1:131" ht="12.75" customHeight="1" x14ac:dyDescent="0.2">
      <c r="A42" s="90" t="s">
        <v>1149</v>
      </c>
      <c r="B42" s="91" t="str">
        <f>IF(ISTEXT(VLOOKUP(CONCATENATE($A42,"_",B$3),'Unit List'!$A$23:$H$3319,2,FALSE)),"+","")</f>
        <v/>
      </c>
      <c r="C42" s="92" t="str">
        <f>IF(ISTEXT(VLOOKUP(CONCATENATE($A42,"_",C$3),'Unit List'!$A$23:$H$3319,2,FALSE)),"X",$B42)</f>
        <v>X</v>
      </c>
      <c r="D42" s="94" t="str">
        <f>IF(ISTEXT(VLOOKUP(CONCATENATE($A42,"_",D$3),'Unit List'!$A$23:$H$3319,2,FALSE)),"X",$B42)</f>
        <v/>
      </c>
      <c r="E42" s="94" t="str">
        <f>IF(ISTEXT(VLOOKUP(CONCATENATE($A42,"_",E$3),'Unit List'!$A$23:$H$3319,2,FALSE)),"X",$B42)</f>
        <v>X</v>
      </c>
      <c r="F42" s="94" t="str">
        <f>IF(ISTEXT(VLOOKUP(CONCATENATE($A42,"_",F$3),'Unit List'!$A$23:$H$3319,2,FALSE)),"X",$B42)</f>
        <v>X</v>
      </c>
      <c r="G42" s="94" t="str">
        <f>IF(ISTEXT(VLOOKUP(CONCATENATE($A42,"_",G$3),'Unit List'!$A$23:$H$3319,2,FALSE)),"X",$B42)</f>
        <v/>
      </c>
      <c r="H42" s="94" t="str">
        <f>IF(ISTEXT(VLOOKUP(CONCATENATE($A42,"_",H$3),'Unit List'!$A$23:$H$3319,2,FALSE)),"X",$B42)</f>
        <v/>
      </c>
      <c r="I42" s="96" t="str">
        <f>IF(ISTEXT(VLOOKUP(CONCATENATE($A42,"_",I$3),'Unit List'!$A$23:$H$3319,2,FALSE)),"X",$B42)</f>
        <v/>
      </c>
      <c r="J42" s="97" t="str">
        <f>IF(ISTEXT(VLOOKUP(CONCATENATE($A42,"_",J$3),'Unit List'!$A$23:$H$3319,2,FALSE)),"+","")</f>
        <v/>
      </c>
      <c r="K42" s="94" t="str">
        <f>IF(ISTEXT(VLOOKUP(CONCATENATE($A42,"_",K$3),'Unit List'!$A$23:$H$3319,2,FALSE)),"X",$J42)</f>
        <v/>
      </c>
      <c r="L42" s="101" t="str">
        <f>IF(ISTEXT(VLOOKUP(CONCATENATE($A42,"_",L$3),'Unit List'!$A$23:$H$3319,2,FALSE)),"X",$J42)</f>
        <v/>
      </c>
      <c r="M42" s="97" t="str">
        <f>IF(ISTEXT(VLOOKUP(CONCATENATE($A42,"_",M$3),'Unit List'!$A$23:$H$3319,2,FALSE)),"+","")</f>
        <v>+</v>
      </c>
      <c r="N42" s="94" t="str">
        <f>IF(ISTEXT(VLOOKUP(CONCATENATE($A42,"_",N$3),'Unit List'!$A$23:$H$3319,2,FALSE)),"X",$M42)</f>
        <v>+</v>
      </c>
      <c r="O42" s="114" t="str">
        <f>IF(ISTEXT(VLOOKUP(CONCATENATE($A42,"_",O$3),'Unit List'!$A$23:$H$3319,2,FALSE)),"X",$M42)</f>
        <v>X</v>
      </c>
      <c r="P42" s="97" t="str">
        <f>IF(ISTEXT(VLOOKUP(CONCATENATE($A42,"_",P$3),'Unit List'!$A$23:$H$3319,2,FALSE)),"+","")</f>
        <v/>
      </c>
      <c r="Q42" s="94" t="str">
        <f>IF(ISTEXT(VLOOKUP(CONCATENATE($A42,"_",Q$3),'Unit List'!$A$23:$H$3319,2,FALSE)),"X",$P42)</f>
        <v/>
      </c>
      <c r="R42" s="94" t="str">
        <f>IF(ISTEXT(VLOOKUP(CONCATENATE($A42,"_",R$3),'Unit List'!$A$23:$H$3319,2,FALSE)),"X",$P42)</f>
        <v/>
      </c>
      <c r="S42" s="94" t="str">
        <f>IF(ISTEXT(VLOOKUP(CONCATENATE($A42,"_",S$3),'Unit List'!$A$23:$H$3319,2,FALSE)),"X",$P42)</f>
        <v/>
      </c>
      <c r="T42" s="100" t="str">
        <f>IF(ISTEXT(VLOOKUP(CONCATENATE($A42,"_",T$3),'Unit List'!$A$23:$H$3319,2,FALSE)),"X",$P42)</f>
        <v/>
      </c>
      <c r="U42" s="94" t="str">
        <f>IF(ISTEXT(VLOOKUP(CONCATENATE($A42,"_",U$3),'Unit List'!$A$23:$H$3319,2,FALSE)),"X",$P42)</f>
        <v/>
      </c>
      <c r="V42" s="94" t="str">
        <f>IF(ISTEXT(VLOOKUP(CONCATENATE($A42,"_",V$3),'Unit List'!$A$23:$H$3319,2,FALSE)),"X",$P42)</f>
        <v/>
      </c>
      <c r="W42" s="96" t="str">
        <f>IF(ISTEXT(VLOOKUP(CONCATENATE($A42,"_",W$3),'Unit List'!$A$23:$H$3319,2,FALSE)),"X",$P42)</f>
        <v/>
      </c>
      <c r="X42" s="97" t="str">
        <f>IF(ISTEXT(VLOOKUP(CONCATENATE($A42,"_",X$3),'Unit List'!$A$23:$H$3319,2,FALSE)),"+","")</f>
        <v/>
      </c>
      <c r="Y42" s="94" t="str">
        <f>IF(ISTEXT(VLOOKUP(CONCATENATE($A42,"_",Y$3),'Unit List'!$A$23:$H$3319,2,FALSE)),"X",$X42)</f>
        <v/>
      </c>
      <c r="Z42" s="94" t="str">
        <f>IF(ISTEXT(VLOOKUP(CONCATENATE($A42,"_",Z$3),'Unit List'!$A$23:$H$3319,2,FALSE)),"X",$X42)</f>
        <v/>
      </c>
      <c r="AA42" s="94" t="str">
        <f>IF(ISTEXT(VLOOKUP(CONCATENATE($A42,"_",AA$3),'Unit List'!$A$23:$H$3319,2,FALSE)),"X",$X42)</f>
        <v/>
      </c>
      <c r="AB42" s="94" t="str">
        <f>IF(ISTEXT(VLOOKUP(CONCATENATE($A42,"_",AB$3),'Unit List'!$A$23:$H$3319,2,FALSE)),"X",$X42)</f>
        <v/>
      </c>
      <c r="AC42" s="101" t="str">
        <f>IF(ISTEXT(VLOOKUP(CONCATENATE($A42,"_",AC$3),'Unit List'!$A$23:$H$3319,2,FALSE)),"X",$X42)</f>
        <v/>
      </c>
      <c r="AD42" s="97" t="str">
        <f>IF(ISTEXT(VLOOKUP(CONCATENATE($A42,"_",AD$3),'Unit List'!$A$23:$H$3319,2,FALSE)),"+","")</f>
        <v/>
      </c>
      <c r="AE42" s="94" t="str">
        <f>IF(ISTEXT(VLOOKUP(CONCATENATE($A42,"_",AE$3),'Unit List'!$A$23:$H$3319,2,FALSE)),"X",$AD42)</f>
        <v/>
      </c>
      <c r="AF42" s="94" t="str">
        <f>IF(ISTEXT(VLOOKUP(CONCATENATE($A42,"_",AF$3),'Unit List'!$A$23:$H$3319,2,FALSE)),"X",$AD42)</f>
        <v/>
      </c>
      <c r="AG42" s="97" t="str">
        <f>IF(ISTEXT(VLOOKUP(CONCATENATE($A42,"_",AG$3),'Unit List'!$A$23:$H$3319,2,FALSE)),"+","")</f>
        <v/>
      </c>
      <c r="AH42" s="94" t="str">
        <f>IF(ISTEXT(VLOOKUP(CONCATENATE($A42,"_",AH$3),'Unit List'!$A$23:$H$3319,2,FALSE)),"X",$AG42)</f>
        <v/>
      </c>
      <c r="AI42" s="94" t="str">
        <f>IF(ISTEXT(VLOOKUP(CONCATENATE($A42,"_",AI$3),'Unit List'!$A$23:$H$3319,2,FALSE)),"X",$AG42)</f>
        <v/>
      </c>
      <c r="AJ42" s="96" t="str">
        <f>IF(ISTEXT(VLOOKUP(CONCATENATE($A42,"_",AJ$3),'Unit List'!$A$23:$H$3319,2,FALSE)),"X",$AG42)</f>
        <v/>
      </c>
      <c r="AK42" s="97" t="str">
        <f>IF(ISTEXT(VLOOKUP(CONCATENATE($A42,"_",AK$3),'Unit List'!$A$23:$H$3319,2,FALSE)),"+","")</f>
        <v/>
      </c>
      <c r="AL42" s="100" t="str">
        <f>IF(ISTEXT(VLOOKUP(CONCATENATE($A42,"_",AL$3),'Unit List'!$A$23:$H$3319,2,FALSE)),"X",$AK42)</f>
        <v/>
      </c>
      <c r="AM42" s="96" t="str">
        <f>IF(ISTEXT(VLOOKUP(CONCATENATE($A42,"_",AM$3),'Unit List'!$A$23:$H$3319,2,FALSE)),"X",$AK42)</f>
        <v/>
      </c>
      <c r="AN42" s="103" t="str">
        <f>IF(ISTEXT(VLOOKUP(CONCATENATE($A42,"_",AN$3),'Unit List'!$A$23:$H$3319,2,FALSE)),"+","")</f>
        <v/>
      </c>
      <c r="AO42" s="96" t="str">
        <f>IF(ISTEXT(VLOOKUP(CONCATENATE($A42,"_",AO$3),'Unit List'!$A$23:$H$3319,2,FALSE)),"X",$AN42)</f>
        <v/>
      </c>
      <c r="AP42" s="97" t="str">
        <f>IF(ISTEXT(VLOOKUP(CONCATENATE($A42,"_",AP$3),'Unit List'!$A$23:$H$3319,2,FALSE)),"+","")</f>
        <v>+</v>
      </c>
      <c r="AQ42" s="94" t="str">
        <f>IF(ISTEXT(VLOOKUP(CONCATENATE($A42,"_",AQ$3),'Unit List'!$A$23:$H$3319,2,FALSE)),"X",$AP42)</f>
        <v>+</v>
      </c>
      <c r="AR42" s="94" t="str">
        <f>IF(ISTEXT(VLOOKUP(CONCATENATE($A42,"_",AR$3),'Unit List'!$A$23:$H$3319,2,FALSE)),"X",$AP42)</f>
        <v>+</v>
      </c>
      <c r="AS42" s="94" t="str">
        <f>IF(ISTEXT(VLOOKUP(CONCATENATE($A42,"_",AS$3),'Unit List'!$A$23:$H$3319,2,FALSE)),"X",$AP42)</f>
        <v>+</v>
      </c>
      <c r="AT42" s="96" t="str">
        <f>IF(ISTEXT(VLOOKUP(CONCATENATE($A42,"_",AT$3),'Unit List'!$A$23:$H$3319,2,FALSE)),"X",$AP42)</f>
        <v>+</v>
      </c>
      <c r="AU42" s="104" t="str">
        <f>IF(ISTEXT(VLOOKUP(CONCATENATE($A42,"_",AU$3),'Unit List'!$A$23:$H$3319,2,FALSE)),"+","")</f>
        <v/>
      </c>
      <c r="AV42" s="94" t="str">
        <f>IF(ISTEXT(VLOOKUP(CONCATENATE($A42,"_",AV$3),'Unit List'!$A$23:$H$3319,2,FALSE)),"X",$AU42)</f>
        <v/>
      </c>
      <c r="AW42" s="96" t="str">
        <f>IF(ISTEXT(VLOOKUP(CONCATENATE($A42,"_",AW$3),'Unit List'!$A$23:$H$3319,2,FALSE)),"X",$AU42)</f>
        <v/>
      </c>
      <c r="AX42" s="97" t="str">
        <f>IF(ISTEXT(VLOOKUP(CONCATENATE($A42,"_",AX$3),'Unit List'!$A$23:$H$3319,2,FALSE)),"+","")</f>
        <v>+</v>
      </c>
      <c r="AY42" s="94" t="str">
        <f>IF(ISTEXT(VLOOKUP(CONCATENATE($A42,"_",AY$3),'Unit List'!$A$23:$H$3319,2,FALSE)),"X",$AX42)</f>
        <v>+</v>
      </c>
      <c r="AZ42" s="96" t="str">
        <f>IF(ISTEXT(VLOOKUP(CONCATENATE($A42,"_",AZ$3),'Unit List'!$A$23:$H$3319,2,FALSE)),"X",$AX42)</f>
        <v>+</v>
      </c>
      <c r="BA42" s="105" t="str">
        <f>IF(ISTEXT(VLOOKUP(CONCATENATE($A42,"_",BA$3),'Unit List'!$A$23:$H$3319,2,FALSE)),"+","")</f>
        <v/>
      </c>
      <c r="BB42" s="94" t="str">
        <f>IF(ISTEXT(VLOOKUP(CONCATENATE($A42,"_",BB$3),'Unit List'!$A$23:$H$3319,2,FALSE)),"X",$BA42)</f>
        <v/>
      </c>
      <c r="BC42" s="94" t="str">
        <f>IF(ISTEXT(VLOOKUP(CONCATENATE($A42,"_",BC$3),'Unit List'!$A$23:$H$3319,2,FALSE)),"X",$BA42)</f>
        <v/>
      </c>
      <c r="BD42" s="96" t="str">
        <f>IF(ISTEXT(VLOOKUP(CONCATENATE($A42,"_",BD$3),'Unit List'!$A$23:$H$3319,2,FALSE)),"X",$BA42)</f>
        <v/>
      </c>
      <c r="BE42" s="103" t="str">
        <f>IF(ISTEXT(VLOOKUP(CONCATENATE($A42,"_",BE$3),'Unit List'!$A$23:$H$3319,2,FALSE)),"+","")</f>
        <v>+</v>
      </c>
      <c r="BF42" s="101" t="str">
        <f>IF(ISTEXT(VLOOKUP(CONCATENATE($A42,"_",BF$3),'Unit List'!$A$23:$H$3319,2,FALSE)),"X",$BE42)</f>
        <v>+</v>
      </c>
      <c r="BG42" s="106"/>
      <c r="BH42" s="107" t="s">
        <v>0</v>
      </c>
      <c r="BI42" s="228"/>
      <c r="BJ42" s="229"/>
      <c r="BK42" s="229"/>
      <c r="BL42" s="229"/>
      <c r="BM42" s="230"/>
      <c r="BN42" s="108"/>
      <c r="BO42" s="108"/>
      <c r="BP42" s="108"/>
      <c r="BQ42" s="108"/>
      <c r="BR42" s="108"/>
      <c r="BS42" s="108"/>
      <c r="DZ42" s="109"/>
      <c r="EA42" s="109"/>
    </row>
    <row r="43" spans="1:131" ht="12.75" customHeight="1" x14ac:dyDescent="0.2">
      <c r="A43" s="90" t="s">
        <v>23</v>
      </c>
      <c r="B43" s="91" t="str">
        <f>IF(ISTEXT(VLOOKUP(CONCATENATE($A43,"_",B$3),'Unit List'!$A$23:$H$3319,2,FALSE)),"+","")</f>
        <v/>
      </c>
      <c r="C43" s="131" t="str">
        <f>IF(ISTEXT(VLOOKUP(CONCATENATE($A43,"_",C$3),'Unit List'!$A$23:$H$3319,2,FALSE)),"X",$B43)</f>
        <v>X</v>
      </c>
      <c r="D43" s="95" t="str">
        <f>IF(ISTEXT(VLOOKUP(CONCATENATE($A43,"_",D$3),'Unit List'!$A$23:$H$3319,2,FALSE)),"X",$B43)</f>
        <v>X</v>
      </c>
      <c r="E43" s="94" t="str">
        <f>IF(ISTEXT(VLOOKUP(CONCATENATE($A43,"_",E$3),'Unit List'!$A$23:$H$3319,2,FALSE)),"X",$B43)</f>
        <v/>
      </c>
      <c r="F43" s="95" t="str">
        <f>IF(ISTEXT(VLOOKUP(CONCATENATE($A43,"_",F$3),'Unit List'!$A$23:$H$3319,2,FALSE)),"X",$B43)</f>
        <v>X</v>
      </c>
      <c r="G43" s="95" t="str">
        <f>IF(ISTEXT(VLOOKUP(CONCATENATE($A43,"_",G$3),'Unit List'!$A$23:$H$3319,2,FALSE)),"X",$B43)</f>
        <v>X</v>
      </c>
      <c r="H43" s="95" t="str">
        <f>IF(ISTEXT(VLOOKUP(CONCATENATE($A43,"_",H$3),'Unit List'!$A$23:$H$3319,2,FALSE)),"X",$B43)</f>
        <v>X</v>
      </c>
      <c r="I43" s="114" t="str">
        <f>IF(ISTEXT(VLOOKUP(CONCATENATE($A43,"_",I$3),'Unit List'!$A$23:$H$3319,2,FALSE)),"X",$B43)</f>
        <v>X</v>
      </c>
      <c r="J43" s="97" t="str">
        <f>IF(ISTEXT(VLOOKUP(CONCATENATE($A43,"_",J$3),'Unit List'!$A$23:$H$3319,2,FALSE)),"+","")</f>
        <v>+</v>
      </c>
      <c r="K43" s="94" t="str">
        <f>IF(ISTEXT(VLOOKUP(CONCATENATE($A43,"_",K$3),'Unit List'!$A$23:$H$3319,2,FALSE)),"X",$J43)</f>
        <v>+</v>
      </c>
      <c r="L43" s="135" t="str">
        <f>IF(ISTEXT(VLOOKUP(CONCATENATE($A43,"_",L$3),'Unit List'!$A$23:$H$3319,2,FALSE)),"X",$J43)</f>
        <v>+</v>
      </c>
      <c r="M43" s="97" t="str">
        <f>IF(ISTEXT(VLOOKUP(CONCATENATE($A43,"_",M$3),'Unit List'!$A$23:$H$3319,2,FALSE)),"+","")</f>
        <v>+</v>
      </c>
      <c r="N43" s="95" t="str">
        <f>IF(ISTEXT(VLOOKUP(CONCATENATE($A43,"_",N$3),'Unit List'!$A$23:$H$3319,2,FALSE)),"X",$M43)</f>
        <v>+</v>
      </c>
      <c r="O43" s="114" t="str">
        <f>IF(ISTEXT(VLOOKUP(CONCATENATE($A43,"_",O$3),'Unit List'!$A$23:$H$3319,2,FALSE)),"X",$M43)</f>
        <v>X</v>
      </c>
      <c r="P43" s="97" t="str">
        <f>IF(ISTEXT(VLOOKUP(CONCATENATE($A43,"_",P$3),'Unit List'!$A$23:$H$3319,2,FALSE)),"+","")</f>
        <v/>
      </c>
      <c r="Q43" s="94" t="str">
        <f>IF(ISTEXT(VLOOKUP(CONCATENATE($A43,"_",Q$3),'Unit List'!$A$23:$H$3319,2,FALSE)),"X",$P43)</f>
        <v/>
      </c>
      <c r="R43" s="94" t="str">
        <f>IF(ISTEXT(VLOOKUP(CONCATENATE($A43,"_",R$3),'Unit List'!$A$23:$H$3319,2,FALSE)),"X",$P43)</f>
        <v/>
      </c>
      <c r="S43" s="95" t="str">
        <f>IF(ISTEXT(VLOOKUP(CONCATENATE($A43,"_",S$3),'Unit List'!$A$23:$H$3319,2,FALSE)),"X",$P43)</f>
        <v>X</v>
      </c>
      <c r="T43" s="100" t="str">
        <f>IF(ISTEXT(VLOOKUP(CONCATENATE($A43,"_",T$3),'Unit List'!$A$23:$H$3319,2,FALSE)),"X",$P43)</f>
        <v/>
      </c>
      <c r="U43" s="95" t="str">
        <f>IF(ISTEXT(VLOOKUP(CONCATENATE($A43,"_",U$3),'Unit List'!$A$23:$H$3319,2,FALSE)),"X",$P43)</f>
        <v>X</v>
      </c>
      <c r="V43" s="95" t="str">
        <f>IF(ISTEXT(VLOOKUP(CONCATENATE($A43,"_",V$3),'Unit List'!$A$23:$H$3319,2,FALSE)),"X",$P43)</f>
        <v>X</v>
      </c>
      <c r="W43" s="96" t="str">
        <f>IF(ISTEXT(VLOOKUP(CONCATENATE($A43,"_",W$3),'Unit List'!$A$23:$H$3319,2,FALSE)),"X",$P43)</f>
        <v/>
      </c>
      <c r="X43" s="97" t="str">
        <f>IF(ISTEXT(VLOOKUP(CONCATENATE($A43,"_",X$3),'Unit List'!$A$23:$H$3319,2,FALSE)),"+","")</f>
        <v/>
      </c>
      <c r="Y43" s="94" t="str">
        <f>IF(ISTEXT(VLOOKUP(CONCATENATE($A43,"_",Y$3),'Unit List'!$A$23:$H$3319,2,FALSE)),"X",$X43)</f>
        <v/>
      </c>
      <c r="Z43" s="94" t="str">
        <f>IF(ISTEXT(VLOOKUP(CONCATENATE($A43,"_",Z$3),'Unit List'!$A$23:$H$3319,2,FALSE)),"X",$X43)</f>
        <v/>
      </c>
      <c r="AA43" s="94" t="str">
        <f>IF(ISTEXT(VLOOKUP(CONCATENATE($A43,"_",AA$3),'Unit List'!$A$23:$H$3319,2,FALSE)),"X",$X43)</f>
        <v/>
      </c>
      <c r="AB43" s="94" t="str">
        <f>IF(ISTEXT(VLOOKUP(CONCATENATE($A43,"_",AB$3),'Unit List'!$A$23:$H$3319,2,FALSE)),"X",$X43)</f>
        <v/>
      </c>
      <c r="AC43" s="101" t="str">
        <f>IF(ISTEXT(VLOOKUP(CONCATENATE($A43,"_",AC$3),'Unit List'!$A$23:$H$3319,2,FALSE)),"X",$X43)</f>
        <v/>
      </c>
      <c r="AD43" s="97" t="str">
        <f>IF(ISTEXT(VLOOKUP(CONCATENATE($A43,"_",AD$3),'Unit List'!$A$23:$H$3319,2,FALSE)),"+","")</f>
        <v/>
      </c>
      <c r="AE43" s="94" t="str">
        <f>IF(ISTEXT(VLOOKUP(CONCATENATE($A43,"_",AE$3),'Unit List'!$A$23:$H$3319,2,FALSE)),"X",$AD43)</f>
        <v/>
      </c>
      <c r="AF43" s="94" t="str">
        <f>IF(ISTEXT(VLOOKUP(CONCATENATE($A43,"_",AF$3),'Unit List'!$A$23:$H$3319,2,FALSE)),"X",$AD43)</f>
        <v/>
      </c>
      <c r="AG43" s="97" t="str">
        <f>IF(ISTEXT(VLOOKUP(CONCATENATE($A43,"_",AG$3),'Unit List'!$A$23:$H$3319,2,FALSE)),"+","")</f>
        <v/>
      </c>
      <c r="AH43" s="94" t="str">
        <f>IF(ISTEXT(VLOOKUP(CONCATENATE($A43,"_",AH$3),'Unit List'!$A$23:$H$3319,2,FALSE)),"X",$AG43)</f>
        <v/>
      </c>
      <c r="AI43" s="94" t="str">
        <f>IF(ISTEXT(VLOOKUP(CONCATENATE($A43,"_",AI$3),'Unit List'!$A$23:$H$3319,2,FALSE)),"X",$AG43)</f>
        <v/>
      </c>
      <c r="AJ43" s="96" t="str">
        <f>IF(ISTEXT(VLOOKUP(CONCATENATE($A43,"_",AJ$3),'Unit List'!$A$23:$H$3319,2,FALSE)),"X",$AG43)</f>
        <v/>
      </c>
      <c r="AK43" s="97" t="str">
        <f>IF(ISTEXT(VLOOKUP(CONCATENATE($A43,"_",AK$3),'Unit List'!$A$23:$H$3319,2,FALSE)),"+","")</f>
        <v/>
      </c>
      <c r="AL43" s="136" t="str">
        <f>IF(ISTEXT(VLOOKUP(CONCATENATE($A43,"_",AL$3),'Unit List'!$A$23:$H$3319,2,FALSE)),"X",$AK43)</f>
        <v>X</v>
      </c>
      <c r="AM43" s="96" t="str">
        <f>IF(ISTEXT(VLOOKUP(CONCATENATE($A43,"_",AM$3),'Unit List'!$A$23:$H$3319,2,FALSE)),"X",$AK43)</f>
        <v/>
      </c>
      <c r="AN43" s="103" t="str">
        <f>IF(ISTEXT(VLOOKUP(CONCATENATE($A43,"_",AN$3),'Unit List'!$A$23:$H$3319,2,FALSE)),"+","")</f>
        <v>+</v>
      </c>
      <c r="AO43" s="96" t="str">
        <f>IF(ISTEXT(VLOOKUP(CONCATENATE($A43,"_",AO$3),'Unit List'!$A$23:$H$3319,2,FALSE)),"X",$AN43)</f>
        <v>+</v>
      </c>
      <c r="AP43" s="97" t="str">
        <f>IF(ISTEXT(VLOOKUP(CONCATENATE($A43,"_",AP$3),'Unit List'!$A$23:$H$3319,2,FALSE)),"+","")</f>
        <v>+</v>
      </c>
      <c r="AQ43" s="94" t="str">
        <f>IF(ISTEXT(VLOOKUP(CONCATENATE($A43,"_",AQ$3),'Unit List'!$A$23:$H$3319,2,FALSE)),"X",$AP43)</f>
        <v>X</v>
      </c>
      <c r="AR43" s="95" t="str">
        <f>IF(ISTEXT(VLOOKUP(CONCATENATE($A43,"_",AR$3),'Unit List'!$A$23:$H$3319,2,FALSE)),"X",$AP43)</f>
        <v>X</v>
      </c>
      <c r="AS43" s="94" t="str">
        <f>IF(ISTEXT(VLOOKUP(CONCATENATE($A43,"_",AS$3),'Unit List'!$A$23:$H$3319,2,FALSE)),"X",$AP43)</f>
        <v>+</v>
      </c>
      <c r="AT43" s="96" t="str">
        <f>IF(ISTEXT(VLOOKUP(CONCATENATE($A43,"_",AT$3),'Unit List'!$A$23:$H$3319,2,FALSE)),"X",$AP43)</f>
        <v>+</v>
      </c>
      <c r="AU43" s="104" t="str">
        <f>IF(ISTEXT(VLOOKUP(CONCATENATE($A43,"_",AU$3),'Unit List'!$A$23:$H$3319,2,FALSE)),"+","")</f>
        <v>+</v>
      </c>
      <c r="AV43" s="94" t="str">
        <f>IF(ISTEXT(VLOOKUP(CONCATENATE($A43,"_",AV$3),'Unit List'!$A$23:$H$3319,2,FALSE)),"X",$AU43)</f>
        <v>+</v>
      </c>
      <c r="AW43" s="96" t="str">
        <f>IF(ISTEXT(VLOOKUP(CONCATENATE($A43,"_",AW$3),'Unit List'!$A$23:$H$3319,2,FALSE)),"X",$AU43)</f>
        <v>+</v>
      </c>
      <c r="AX43" s="97" t="str">
        <f>IF(ISTEXT(VLOOKUP(CONCATENATE($A43,"_",AX$3),'Unit List'!$A$23:$H$3319,2,FALSE)),"+","")</f>
        <v>+</v>
      </c>
      <c r="AY43" s="94" t="str">
        <f>IF(ISTEXT(VLOOKUP(CONCATENATE($A43,"_",AY$3),'Unit List'!$A$23:$H$3319,2,FALSE)),"X",$AX43)</f>
        <v>+</v>
      </c>
      <c r="AZ43" s="96" t="str">
        <f>IF(ISTEXT(VLOOKUP(CONCATENATE($A43,"_",AZ$3),'Unit List'!$A$23:$H$3319,2,FALSE)),"X",$AX43)</f>
        <v>+</v>
      </c>
      <c r="BA43" s="105" t="str">
        <f>IF(ISTEXT(VLOOKUP(CONCATENATE($A43,"_",BA$3),'Unit List'!$A$23:$H$3319,2,FALSE)),"+","")</f>
        <v>+</v>
      </c>
      <c r="BB43" s="94" t="str">
        <f>IF(ISTEXT(VLOOKUP(CONCATENATE($A43,"_",BB$3),'Unit List'!$A$23:$H$3319,2,FALSE)),"X",$BA43)</f>
        <v>+</v>
      </c>
      <c r="BC43" s="94" t="str">
        <f>IF(ISTEXT(VLOOKUP(CONCATENATE($A43,"_",BC$3),'Unit List'!$A$23:$H$3319,2,FALSE)),"X",$BA43)</f>
        <v>+</v>
      </c>
      <c r="BD43" s="96" t="str">
        <f>IF(ISTEXT(VLOOKUP(CONCATENATE($A43,"_",BD$3),'Unit List'!$A$23:$H$3319,2,FALSE)),"X",$BA43)</f>
        <v>+</v>
      </c>
      <c r="BE43" s="103" t="str">
        <f>IF(ISTEXT(VLOOKUP(CONCATENATE($A43,"_",BE$3),'Unit List'!$A$23:$H$3319,2,FALSE)),"+","")</f>
        <v>+</v>
      </c>
      <c r="BF43" s="101" t="str">
        <f>IF(ISTEXT(VLOOKUP(CONCATENATE($A43,"_",BF$3),'Unit List'!$A$23:$H$3319,2,FALSE)),"X",$BE43)</f>
        <v>+</v>
      </c>
      <c r="BG43" s="124"/>
      <c r="BH43" s="133"/>
      <c r="BI43" s="228"/>
      <c r="BJ43" s="229"/>
      <c r="BK43" s="229"/>
      <c r="BL43" s="229"/>
      <c r="BM43" s="230"/>
      <c r="BN43" s="108"/>
      <c r="BO43" s="108"/>
      <c r="BP43" s="108"/>
      <c r="BQ43" s="108"/>
      <c r="BR43" s="108"/>
      <c r="BS43" s="108"/>
      <c r="DZ43" s="109"/>
      <c r="EA43" s="109"/>
    </row>
    <row r="44" spans="1:131" ht="12.75" customHeight="1" x14ac:dyDescent="0.2">
      <c r="A44" s="90" t="s">
        <v>22</v>
      </c>
      <c r="B44" s="91" t="str">
        <f>IF(ISTEXT(VLOOKUP(CONCATENATE($A44,"_",B$3),'Unit List'!$A$23:$H$3319,2,FALSE)),"+","")</f>
        <v/>
      </c>
      <c r="C44" s="131" t="str">
        <f>IF(ISTEXT(VLOOKUP(CONCATENATE($A44,"_",C$3),'Unit List'!$A$23:$H$3319,2,FALSE)),"X",$B44)</f>
        <v>X</v>
      </c>
      <c r="D44" s="110" t="str">
        <f>IF(ISTEXT(VLOOKUP(CONCATENATE($A44,"_",D$3),'Unit List'!$A$23:$H$3319,2,FALSE)),"X",$B44)</f>
        <v/>
      </c>
      <c r="E44" s="94" t="str">
        <f>IF(ISTEXT(VLOOKUP(CONCATENATE($A44,"_",E$3),'Unit List'!$A$23:$H$3319,2,FALSE)),"X",$B44)</f>
        <v/>
      </c>
      <c r="F44" s="95" t="str">
        <f>IF(ISTEXT(VLOOKUP(CONCATENATE($A44,"_",F$3),'Unit List'!$A$23:$H$3319,2,FALSE)),"X",$B44)</f>
        <v>X</v>
      </c>
      <c r="G44" s="95" t="str">
        <f>IF(ISTEXT(VLOOKUP(CONCATENATE($A44,"_",G$3),'Unit List'!$A$23:$H$3319,2,FALSE)),"X",$B44)</f>
        <v>X</v>
      </c>
      <c r="H44" s="95" t="str">
        <f>IF(ISTEXT(VLOOKUP(CONCATENATE($A44,"_",H$3),'Unit List'!$A$23:$H$3319,2,FALSE)),"X",$B44)</f>
        <v>X</v>
      </c>
      <c r="I44" s="96" t="str">
        <f>IF(ISTEXT(VLOOKUP(CONCATENATE($A44,"_",I$3),'Unit List'!$A$23:$H$3319,2,FALSE)),"X",$B44)</f>
        <v/>
      </c>
      <c r="J44" s="97" t="str">
        <f>IF(ISTEXT(VLOOKUP(CONCATENATE($A44,"_",J$3),'Unit List'!$A$23:$H$3319,2,FALSE)),"+","")</f>
        <v>+</v>
      </c>
      <c r="K44" s="152" t="str">
        <f>IF(ISTEXT(VLOOKUP(CONCATENATE($A44,"_",K$3),'Unit List'!$A$23:$H$3319,2,FALSE)),"X",$J44)</f>
        <v>+</v>
      </c>
      <c r="L44" s="153" t="str">
        <f>IF(ISTEXT(VLOOKUP(CONCATENATE($A44,"_",L$3),'Unit List'!$A$23:$H$3319,2,FALSE)),"X",$J44)</f>
        <v>+</v>
      </c>
      <c r="M44" s="97" t="str">
        <f>IF(ISTEXT(VLOOKUP(CONCATENATE($A44,"_",M$3),'Unit List'!$A$23:$H$3319,2,FALSE)),"+","")</f>
        <v>+</v>
      </c>
      <c r="N44" s="94" t="str">
        <f>IF(ISTEXT(VLOOKUP(CONCATENATE($A44,"_",N$3),'Unit List'!$A$23:$H$3319,2,FALSE)),"X",$M44)</f>
        <v>+</v>
      </c>
      <c r="O44" s="114" t="str">
        <f>IF(ISTEXT(VLOOKUP(CONCATENATE($A44,"_",O$3),'Unit List'!$A$23:$H$3319,2,FALSE)),"X",$M44)</f>
        <v>X</v>
      </c>
      <c r="P44" s="115" t="str">
        <f>IF(ISTEXT(VLOOKUP(CONCATENATE($A44,"_",P$3),'Unit List'!$A$23:$H$3319,2,FALSE)),"+","")</f>
        <v>+</v>
      </c>
      <c r="Q44" s="94" t="str">
        <f>IF(ISTEXT(VLOOKUP(CONCATENATE($A44,"_",Q$3),'Unit List'!$A$23:$H$3319,2,FALSE)),"X",$P44)</f>
        <v>+</v>
      </c>
      <c r="R44" s="94" t="str">
        <f>IF(ISTEXT(VLOOKUP(CONCATENATE($A44,"_",R$3),'Unit List'!$A$23:$H$3319,2,FALSE)),"X",$P44)</f>
        <v>+</v>
      </c>
      <c r="S44" s="95" t="str">
        <f>IF(ISTEXT(VLOOKUP(CONCATENATE($A44,"_",S$3),'Unit List'!$A$23:$H$3319,2,FALSE)),"X",$P44)</f>
        <v>X</v>
      </c>
      <c r="T44" s="100" t="str">
        <f>IF(ISTEXT(VLOOKUP(CONCATENATE($A44,"_",T$3),'Unit List'!$A$23:$H$3319,2,FALSE)),"X",$P44)</f>
        <v>+</v>
      </c>
      <c r="U44" s="95" t="str">
        <f>IF(ISTEXT(VLOOKUP(CONCATENATE($A44,"_",U$3),'Unit List'!$A$23:$H$3319,2,FALSE)),"X",$P44)</f>
        <v>X</v>
      </c>
      <c r="V44" s="95" t="str">
        <f>IF(ISTEXT(VLOOKUP(CONCATENATE($A44,"_",V$3),'Unit List'!$A$23:$H$3319,2,FALSE)),"X",$P44)</f>
        <v>X</v>
      </c>
      <c r="W44" s="96" t="str">
        <f>IF(ISTEXT(VLOOKUP(CONCATENATE($A44,"_",W$3),'Unit List'!$A$23:$H$3319,2,FALSE)),"X",$P44)</f>
        <v>+</v>
      </c>
      <c r="X44" s="115" t="str">
        <f>IF(ISTEXT(VLOOKUP(CONCATENATE($A44,"_",X$3),'Unit List'!$A$23:$H$3319,2,FALSE)),"+","")</f>
        <v>+</v>
      </c>
      <c r="Y44" s="95" t="str">
        <f>IF(ISTEXT(VLOOKUP(CONCATENATE($A44,"_",Y$3),'Unit List'!$A$23:$H$3319,2,FALSE)),"X",$X44)</f>
        <v>X</v>
      </c>
      <c r="Z44" s="94" t="str">
        <f>IF(ISTEXT(VLOOKUP(CONCATENATE($A44,"_",Z$3),'Unit List'!$A$23:$H$3319,2,FALSE)),"X",$X44)</f>
        <v>+</v>
      </c>
      <c r="AA44" s="95" t="str">
        <f>IF(ISTEXT(VLOOKUP(CONCATENATE($A44,"_",AA$3),'Unit List'!$A$23:$H$3319,2,FALSE)),"X",$X44)</f>
        <v>X</v>
      </c>
      <c r="AB44" s="95" t="str">
        <f>IF(ISTEXT(VLOOKUP(CONCATENATE($A44,"_",AB$3),'Unit List'!$A$23:$H$3319,2,FALSE)),"X",$X44)</f>
        <v>X</v>
      </c>
      <c r="AC44" s="135" t="str">
        <f>IF(ISTEXT(VLOOKUP(CONCATENATE($A44,"_",AC$3),'Unit List'!$A$23:$H$3319,2,FALSE)),"X",$X44)</f>
        <v>X</v>
      </c>
      <c r="AD44" s="115" t="str">
        <f>IF(ISTEXT(VLOOKUP(CONCATENATE($A44,"_",AD$3),'Unit List'!$A$23:$H$3319,2,FALSE)),"+","")</f>
        <v>+</v>
      </c>
      <c r="AE44" s="94" t="str">
        <f>IF(ISTEXT(VLOOKUP(CONCATENATE($A44,"_",AE$3),'Unit List'!$A$23:$H$3319,2,FALSE)),"X",$AD44)</f>
        <v>X</v>
      </c>
      <c r="AF44" s="94" t="str">
        <f>IF(ISTEXT(VLOOKUP(CONCATENATE($A44,"_",AF$3),'Unit List'!$A$23:$H$3319,2,FALSE)),"X",$AD44)</f>
        <v>+</v>
      </c>
      <c r="AG44" s="115" t="str">
        <f>IF(ISTEXT(VLOOKUP(CONCATENATE($A44,"_",AG$3),'Unit List'!$A$23:$H$3319,2,FALSE)),"+","")</f>
        <v>+</v>
      </c>
      <c r="AH44" s="95" t="str">
        <f>IF(ISTEXT(VLOOKUP(CONCATENATE($A44,"_",AH$3),'Unit List'!$A$23:$H$3319,2,FALSE)),"X",$AG44)</f>
        <v>+</v>
      </c>
      <c r="AI44" s="95" t="str">
        <f>IF(ISTEXT(VLOOKUP(CONCATENATE($A44,"_",AI$3),'Unit List'!$A$23:$H$3319,2,FALSE)),"X",$AG44)</f>
        <v>X</v>
      </c>
      <c r="AJ44" s="140" t="s">
        <v>0</v>
      </c>
      <c r="AK44" s="115" t="str">
        <f>IF(ISTEXT(VLOOKUP(CONCATENATE($A44,"_",AK$3),'Unit List'!$A$23:$H$3319,2,FALSE)),"+","")</f>
        <v>+</v>
      </c>
      <c r="AL44" s="100" t="str">
        <f>IF(ISTEXT(VLOOKUP(CONCATENATE($A44,"_",AL$3),'Unit List'!$A$23:$H$3319,2,FALSE)),"X",$AK44)</f>
        <v>+</v>
      </c>
      <c r="AM44" s="114" t="str">
        <f>IF(ISTEXT(VLOOKUP(CONCATENATE($A44,"_",AM$3),'Unit List'!$A$23:$H$3319,2,FALSE)),"X",$AK44)</f>
        <v>+</v>
      </c>
      <c r="AN44" s="103" t="str">
        <f>IF(ISTEXT(VLOOKUP(CONCATENATE($A44,"_",AN$3),'Unit List'!$A$23:$H$3319,2,FALSE)),"+","")</f>
        <v>+</v>
      </c>
      <c r="AO44" s="114" t="str">
        <f>IF(ISTEXT(VLOOKUP(CONCATENATE($A44,"_",AO$3),'Unit List'!$A$23:$H$3319,2,FALSE)),"X",$AN44)</f>
        <v>+</v>
      </c>
      <c r="AP44" s="115" t="str">
        <f>IF(ISTEXT(VLOOKUP(CONCATENATE($A44,"_",AP$3),'Unit List'!$A$23:$H$3319,2,FALSE)),"+","")</f>
        <v>+</v>
      </c>
      <c r="AQ44" s="95" t="str">
        <f>IF(ISTEXT(VLOOKUP(CONCATENATE($A44,"_",AQ$3),'Unit List'!$A$23:$H$3319,2,FALSE)),"X",$AP44)</f>
        <v>X</v>
      </c>
      <c r="AR44" s="95" t="str">
        <f>IF(ISTEXT(VLOOKUP(CONCATENATE($A44,"_",AR$3),'Unit List'!$A$23:$H$3319,2,FALSE)),"X",$AP44)</f>
        <v>X</v>
      </c>
      <c r="AS44" s="95" t="str">
        <f>IF(ISTEXT(VLOOKUP(CONCATENATE($A44,"_",AS$3),'Unit List'!$A$23:$H$3319,2,FALSE)),"X",$AP44)</f>
        <v>X</v>
      </c>
      <c r="AT44" s="114" t="str">
        <f>IF(ISTEXT(VLOOKUP(CONCATENATE($A44,"_",AT$3),'Unit List'!$A$23:$H$3319,2,FALSE)),"X",$AP44)</f>
        <v>X</v>
      </c>
      <c r="AU44" s="104" t="str">
        <f>IF(ISTEXT(VLOOKUP(CONCATENATE($A44,"_",AU$3),'Unit List'!$A$23:$H$3319,2,FALSE)),"+","")</f>
        <v>+</v>
      </c>
      <c r="AV44" s="94" t="str">
        <f>IF(ISTEXT(VLOOKUP(CONCATENATE($A44,"_",AV$3),'Unit List'!$A$23:$H$3319,2,FALSE)),"X",$AU44)</f>
        <v>+</v>
      </c>
      <c r="AW44" s="96" t="str">
        <f>IF(ISTEXT(VLOOKUP(CONCATENATE($A44,"_",AW$3),'Unit List'!$A$23:$H$3319,2,FALSE)),"X",$AU44)</f>
        <v>+</v>
      </c>
      <c r="AX44" s="115" t="str">
        <f>IF(ISTEXT(VLOOKUP(CONCATENATE($A44,"_",AX$3),'Unit List'!$A$23:$H$3319,2,FALSE)),"+","")</f>
        <v>+</v>
      </c>
      <c r="AY44" s="95" t="str">
        <f>IF(ISTEXT(VLOOKUP(CONCATENATE($A44,"_",AY$3),'Unit List'!$A$23:$H$3319,2,FALSE)),"X",$AX44)</f>
        <v>+</v>
      </c>
      <c r="AZ44" s="114" t="str">
        <f>IF(ISTEXT(VLOOKUP(CONCATENATE($A44,"_",AZ$3),'Unit List'!$A$23:$H$3319,2,FALSE)),"X",$AX44)</f>
        <v>+</v>
      </c>
      <c r="BA44" s="115" t="str">
        <f>IF(ISTEXT(VLOOKUP(CONCATENATE($A44,"_",BA$3),'Unit List'!$A$23:$H$3319,2,FALSE)),"+","")</f>
        <v>+</v>
      </c>
      <c r="BB44" s="95" t="str">
        <f>IF(ISTEXT(VLOOKUP(CONCATENATE($A44,"_",BB$3),'Unit List'!$A$23:$H$3319,2,FALSE)),"X",$BA44)</f>
        <v>X</v>
      </c>
      <c r="BC44" s="95" t="str">
        <f>IF(ISTEXT(VLOOKUP(CONCATENATE($A44,"_",BC$3),'Unit List'!$A$23:$H$3319,2,FALSE)),"X",$BA44)</f>
        <v>X</v>
      </c>
      <c r="BD44" s="114" t="str">
        <f>IF(ISTEXT(VLOOKUP(CONCATENATE($A44,"_",BD$3),'Unit List'!$A$23:$H$3319,2,FALSE)),"X",$BA44)</f>
        <v>X</v>
      </c>
      <c r="BE44" s="103" t="str">
        <f>IF(ISTEXT(VLOOKUP(CONCATENATE($A44,"_",BE$3),'Unit List'!$A$23:$H$3319,2,FALSE)),"+","")</f>
        <v>+</v>
      </c>
      <c r="BF44" s="101" t="str">
        <f>IF(ISTEXT(VLOOKUP(CONCATENATE($A44,"_",BF$3),'Unit List'!$A$23:$H$3319,2,FALSE)),"X",$BE44)</f>
        <v>+</v>
      </c>
      <c r="BG44" s="124"/>
      <c r="BH44" s="133"/>
      <c r="BI44" s="228" t="s">
        <v>2801</v>
      </c>
      <c r="BJ44" s="229"/>
      <c r="BK44" s="229"/>
      <c r="BL44" s="229"/>
      <c r="BM44" s="230"/>
      <c r="BN44" s="108"/>
      <c r="BO44" s="108"/>
      <c r="BP44" s="108"/>
      <c r="BQ44" s="108"/>
      <c r="BR44" s="108"/>
      <c r="BS44" s="108"/>
      <c r="DZ44" s="109"/>
      <c r="EA44" s="109"/>
    </row>
    <row r="45" spans="1:131" ht="12.75" customHeight="1" x14ac:dyDescent="0.2">
      <c r="A45" s="90" t="s">
        <v>21</v>
      </c>
      <c r="B45" s="91" t="str">
        <f>IF(ISTEXT(VLOOKUP(CONCATENATE($A45,"_",B$3),'Unit List'!$A$23:$H$3319,2,FALSE)),"+","")</f>
        <v/>
      </c>
      <c r="C45" s="131" t="str">
        <f>IF(ISTEXT(VLOOKUP(CONCATENATE($A45,"_",C$3),'Unit List'!$A$23:$H$3319,2,FALSE)),"X",$B45)</f>
        <v>X</v>
      </c>
      <c r="D45" s="95" t="str">
        <f>IF(ISTEXT(VLOOKUP(CONCATENATE($A45,"_",D$3),'Unit List'!$A$23:$H$3319,2,FALSE)),"X",$B45)</f>
        <v>X</v>
      </c>
      <c r="E45" s="95" t="str">
        <f>IF(ISTEXT(VLOOKUP(CONCATENATE($A45,"_",E$3),'Unit List'!$A$23:$H$3319,2,FALSE)),"X",$B45)</f>
        <v>X</v>
      </c>
      <c r="F45" s="95" t="str">
        <f>IF(ISTEXT(VLOOKUP(CONCATENATE($A45,"_",F$3),'Unit List'!$A$23:$H$3319,2,FALSE)),"X",$B45)</f>
        <v>X</v>
      </c>
      <c r="G45" s="95" t="str">
        <f>IF(ISTEXT(VLOOKUP(CONCATENATE($A45,"_",G$3),'Unit List'!$A$23:$H$3319,2,FALSE)),"X",$B45)</f>
        <v>X</v>
      </c>
      <c r="H45" s="95" t="str">
        <f>IF(ISTEXT(VLOOKUP(CONCATENATE($A45,"_",H$3),'Unit List'!$A$23:$H$3319,2,FALSE)),"X",$B45)</f>
        <v>X</v>
      </c>
      <c r="I45" s="114" t="str">
        <f>IF(ISTEXT(VLOOKUP(CONCATENATE($A45,"_",I$3),'Unit List'!$A$23:$H$3319,2,FALSE)),"X",$B45)</f>
        <v>X</v>
      </c>
      <c r="J45" s="97" t="str">
        <f>IF(ISTEXT(VLOOKUP(CONCATENATE($A45,"_",J$3),'Unit List'!$A$23:$H$3319,2,FALSE)),"+","")</f>
        <v>+</v>
      </c>
      <c r="K45" s="118" t="s">
        <v>0</v>
      </c>
      <c r="L45" s="154" t="s">
        <v>3</v>
      </c>
      <c r="M45" s="97" t="str">
        <f>IF(ISTEXT(VLOOKUP(CONCATENATE($A45,"_",M$3),'Unit List'!$A$23:$H$3319,2,FALSE)),"+","")</f>
        <v/>
      </c>
      <c r="N45" s="94" t="str">
        <f>IF(ISTEXT(VLOOKUP(CONCATENATE($A45,"_",N$3),'Unit List'!$A$23:$H$3319,2,FALSE)),"X",$M45)</f>
        <v/>
      </c>
      <c r="O45" s="114" t="str">
        <f>IF(ISTEXT(VLOOKUP(CONCATENATE($A45,"_",O$3),'Unit List'!$A$23:$H$3319,2,FALSE)),"X",$M45)</f>
        <v>X</v>
      </c>
      <c r="P45" s="97" t="str">
        <f>IF(ISTEXT(VLOOKUP(CONCATENATE($A45,"_",P$3),'Unit List'!$A$23:$H$3319,2,FALSE)),"+","")</f>
        <v/>
      </c>
      <c r="Q45" s="94" t="str">
        <f>IF(ISTEXT(VLOOKUP(CONCATENATE($A45,"_",Q$3),'Unit List'!$A$23:$H$3319,2,FALSE)),"X",$P45)</f>
        <v/>
      </c>
      <c r="R45" s="94" t="str">
        <f>IF(ISTEXT(VLOOKUP(CONCATENATE($A45,"_",R$3),'Unit List'!$A$23:$H$3319,2,FALSE)),"X",$P45)</f>
        <v/>
      </c>
      <c r="S45" s="95" t="str">
        <f>IF(ISTEXT(VLOOKUP(CONCATENATE($A45,"_",S$3),'Unit List'!$A$23:$H$3319,2,FALSE)),"X",$P45)</f>
        <v>X</v>
      </c>
      <c r="T45" s="100" t="str">
        <f>IF(ISTEXT(VLOOKUP(CONCATENATE($A45,"_",T$3),'Unit List'!$A$23:$H$3319,2,FALSE)),"X",$P45)</f>
        <v/>
      </c>
      <c r="U45" s="94" t="str">
        <f>IF(ISTEXT(VLOOKUP(CONCATENATE($A45,"_",U$3),'Unit List'!$A$23:$H$3319,2,FALSE)),"X",$P45)</f>
        <v/>
      </c>
      <c r="V45" s="95" t="str">
        <f>IF(ISTEXT(VLOOKUP(CONCATENATE($A45,"_",V$3),'Unit List'!$A$23:$H$3319,2,FALSE)),"X",$P45)</f>
        <v>X</v>
      </c>
      <c r="W45" s="96" t="str">
        <f>IF(ISTEXT(VLOOKUP(CONCATENATE($A45,"_",W$3),'Unit List'!$A$23:$H$3319,2,FALSE)),"X",$P45)</f>
        <v/>
      </c>
      <c r="X45" s="115" t="str">
        <f>IF(ISTEXT(VLOOKUP(CONCATENATE($A45,"_",X$3),'Unit List'!$A$23:$H$3319,2,FALSE)),"+","")</f>
        <v>+</v>
      </c>
      <c r="Y45" s="95" t="str">
        <f>IF(ISTEXT(VLOOKUP(CONCATENATE($A45,"_",Y$3),'Unit List'!$A$23:$H$3319,2,FALSE)),"X",$X45)</f>
        <v>X</v>
      </c>
      <c r="Z45" s="94" t="str">
        <f>IF(ISTEXT(VLOOKUP(CONCATENATE($A45,"_",Z$3),'Unit List'!$A$23:$H$3319,2,FALSE)),"X",$X45)</f>
        <v>+</v>
      </c>
      <c r="AA45" s="95" t="str">
        <f>IF(ISTEXT(VLOOKUP(CONCATENATE($A45,"_",AA$3),'Unit List'!$A$23:$H$3319,2,FALSE)),"X",$X45)</f>
        <v>X</v>
      </c>
      <c r="AB45" s="95" t="str">
        <f>IF(ISTEXT(VLOOKUP(CONCATENATE($A45,"_",AB$3),'Unit List'!$A$23:$H$3319,2,FALSE)),"X",$X45)</f>
        <v>X</v>
      </c>
      <c r="AC45" s="135" t="str">
        <f>IF(ISTEXT(VLOOKUP(CONCATENATE($A45,"_",AC$3),'Unit List'!$A$23:$H$3319,2,FALSE)),"X",$X45)</f>
        <v>X</v>
      </c>
      <c r="AD45" s="97" t="str">
        <f>IF(ISTEXT(VLOOKUP(CONCATENATE($A45,"_",AD$3),'Unit List'!$A$23:$H$3319,2,FALSE)),"+","")</f>
        <v>+</v>
      </c>
      <c r="AE45" s="94" t="str">
        <f>IF(ISTEXT(VLOOKUP(CONCATENATE($A45,"_",AE$3),'Unit List'!$A$23:$H$3319,2,FALSE)),"X",$AD45)</f>
        <v>+</v>
      </c>
      <c r="AF45" s="94" t="str">
        <f>IF(ISTEXT(VLOOKUP(CONCATENATE($A45,"_",AF$3),'Unit List'!$A$23:$H$3319,2,FALSE)),"X",$AD45)</f>
        <v>+</v>
      </c>
      <c r="AG45" s="97" t="str">
        <f>IF(ISTEXT(VLOOKUP(CONCATENATE($A45,"_",AG$3),'Unit List'!$A$23:$H$3319,2,FALSE)),"+","")</f>
        <v>+</v>
      </c>
      <c r="AH45" s="138" t="s">
        <v>0</v>
      </c>
      <c r="AI45" s="94" t="str">
        <f>IF(ISTEXT(VLOOKUP(CONCATENATE($A45,"_",AI$3),'Unit List'!$A$23:$H$3319,2,FALSE)),"X",$AG45)</f>
        <v>+</v>
      </c>
      <c r="AJ45" s="96" t="str">
        <f>IF(ISTEXT(VLOOKUP(CONCATENATE($A45,"_",AJ$3),'Unit List'!$A$23:$H$3319,2,FALSE)),"X",$AG45)</f>
        <v>+</v>
      </c>
      <c r="AK45" s="115" t="str">
        <f>IF(ISTEXT(VLOOKUP(CONCATENATE($A45,"_",AK$3),'Unit List'!$A$23:$H$3319,2,FALSE)),"+","")</f>
        <v>+</v>
      </c>
      <c r="AL45" s="100" t="str">
        <f>IF(ISTEXT(VLOOKUP(CONCATENATE($A45,"_",AL$3),'Unit List'!$A$23:$H$3319,2,FALSE)),"X",$AK45)</f>
        <v>X</v>
      </c>
      <c r="AM45" s="114" t="str">
        <f>IF(ISTEXT(VLOOKUP(CONCATENATE($A45,"_",AM$3),'Unit List'!$A$23:$H$3319,2,FALSE)),"X",$AK45)</f>
        <v>+</v>
      </c>
      <c r="AN45" s="103" t="str">
        <f>IF(ISTEXT(VLOOKUP(CONCATENATE($A45,"_",AN$3),'Unit List'!$A$23:$H$3319,2,FALSE)),"+","")</f>
        <v>+</v>
      </c>
      <c r="AO45" s="114" t="str">
        <f>IF(ISTEXT(VLOOKUP(CONCATENATE($A45,"_",AO$3),'Unit List'!$A$23:$H$3319,2,FALSE)),"X",$AN45)</f>
        <v>X</v>
      </c>
      <c r="AP45" s="115" t="str">
        <f>IF(ISTEXT(VLOOKUP(CONCATENATE($A45,"_",AP$3),'Unit List'!$A$23:$H$3319,2,FALSE)),"+","")</f>
        <v>+</v>
      </c>
      <c r="AQ45" s="95" t="str">
        <f>IF(ISTEXT(VLOOKUP(CONCATENATE($A45,"_",AQ$3),'Unit List'!$A$23:$H$3319,2,FALSE)),"X",$AP45)</f>
        <v>X</v>
      </c>
      <c r="AR45" s="95" t="str">
        <f>IF(ISTEXT(VLOOKUP(CONCATENATE($A45,"_",AR$3),'Unit List'!$A$23:$H$3319,2,FALSE)),"X",$AP45)</f>
        <v>X</v>
      </c>
      <c r="AS45" s="94" t="str">
        <f>IF(ISTEXT(VLOOKUP(CONCATENATE($A45,"_",AS$3),'Unit List'!$A$23:$H$3319,2,FALSE)),"X",$AP45)</f>
        <v>+</v>
      </c>
      <c r="AT45" s="114" t="str">
        <f>IF(ISTEXT(VLOOKUP(CONCATENATE($A45,"_",AT$3),'Unit List'!$A$23:$H$3319,2,FALSE)),"X",$AP45)</f>
        <v>+</v>
      </c>
      <c r="AU45" s="104" t="str">
        <f>IF(ISTEXT(VLOOKUP(CONCATENATE($A45,"_",AU$3),'Unit List'!$A$23:$H$3319,2,FALSE)),"+","")</f>
        <v>+</v>
      </c>
      <c r="AV45" s="94" t="str">
        <f>IF(ISTEXT(VLOOKUP(CONCATENATE($A45,"_",AV$3),'Unit List'!$A$23:$H$3319,2,FALSE)),"X",$AU45)</f>
        <v>+</v>
      </c>
      <c r="AW45" s="114" t="str">
        <f>IF(ISTEXT(VLOOKUP(CONCATENATE($A45,"_",AW$3),'Unit List'!$A$23:$H$3319,2,FALSE)),"X",$AU45)</f>
        <v>+</v>
      </c>
      <c r="AX45" s="115" t="str">
        <f>IF(ISTEXT(VLOOKUP(CONCATENATE($A45,"_",AX$3),'Unit List'!$A$23:$H$3319,2,FALSE)),"+","")</f>
        <v>+</v>
      </c>
      <c r="AY45" s="95" t="str">
        <f>IF(ISTEXT(VLOOKUP(CONCATENATE($A45,"_",AY$3),'Unit List'!$A$23:$H$3319,2,FALSE)),"X",$AX45)</f>
        <v>X</v>
      </c>
      <c r="AZ45" s="114" t="str">
        <f>IF(ISTEXT(VLOOKUP(CONCATENATE($A45,"_",AZ$3),'Unit List'!$A$23:$H$3319,2,FALSE)),"X",$AX45)</f>
        <v>+</v>
      </c>
      <c r="BA45" s="115" t="str">
        <f>IF(ISTEXT(VLOOKUP(CONCATENATE($A45,"_",BA$3),'Unit List'!$A$23:$H$3319,2,FALSE)),"+","")</f>
        <v>+</v>
      </c>
      <c r="BB45" s="95" t="str">
        <f>IF(ISTEXT(VLOOKUP(CONCATENATE($A45,"_",BB$3),'Unit List'!$A$23:$H$3319,2,FALSE)),"X",$BA45)</f>
        <v>X</v>
      </c>
      <c r="BC45" s="94" t="str">
        <f>IF(ISTEXT(VLOOKUP(CONCATENATE($A45,"_",BC$3),'Unit List'!$A$23:$H$3319,2,FALSE)),"X",$BA45)</f>
        <v>X</v>
      </c>
      <c r="BD45" s="96" t="str">
        <f>IF(ISTEXT(VLOOKUP(CONCATENATE($A45,"_",BD$3),'Unit List'!$A$23:$H$3319,2,FALSE)),"X",$BA45)</f>
        <v>X</v>
      </c>
      <c r="BE45" s="103" t="str">
        <f>IF(ISTEXT(VLOOKUP(CONCATENATE($A45,"_",BE$3),'Unit List'!$A$23:$H$3319,2,FALSE)),"+","")</f>
        <v>+</v>
      </c>
      <c r="BF45" s="101" t="str">
        <f>IF(ISTEXT(VLOOKUP(CONCATENATE($A45,"_",BF$3),'Unit List'!$A$23:$H$3319,2,FALSE)),"X",$BE45)</f>
        <v>+</v>
      </c>
      <c r="BG45" s="124"/>
      <c r="BH45" s="133"/>
      <c r="BI45" s="228"/>
      <c r="BJ45" s="229"/>
      <c r="BK45" s="229"/>
      <c r="BL45" s="229"/>
      <c r="BM45" s="230"/>
      <c r="BN45" s="108"/>
      <c r="BO45" s="108"/>
      <c r="BP45" s="108"/>
      <c r="BQ45" s="108"/>
      <c r="BR45" s="108"/>
      <c r="BS45" s="108"/>
      <c r="DZ45" s="109"/>
      <c r="EA45" s="109"/>
    </row>
    <row r="46" spans="1:131" ht="12.75" customHeight="1" x14ac:dyDescent="0.2">
      <c r="A46" s="90" t="s">
        <v>1150</v>
      </c>
      <c r="B46" s="91" t="str">
        <f>IF(ISTEXT(VLOOKUP(CONCATENATE($A46,"_",B$3),'Unit List'!$A$23:$H$3319,2,FALSE)),"+","")</f>
        <v/>
      </c>
      <c r="C46" s="92" t="str">
        <f>IF(ISTEXT(VLOOKUP(CONCATENATE($A46,"_",C$3),'Unit List'!$A$23:$H$3319,2,FALSE)),"X",$B46)</f>
        <v/>
      </c>
      <c r="D46" s="94" t="str">
        <f>IF(ISTEXT(VLOOKUP(CONCATENATE($A46,"_",D$3),'Unit List'!$A$23:$H$3319,2,FALSE)),"X",$B46)</f>
        <v/>
      </c>
      <c r="E46" s="94" t="str">
        <f>IF(ISTEXT(VLOOKUP(CONCATENATE($A46,"_",E$3),'Unit List'!$A$23:$H$3319,2,FALSE)),"X",$B46)</f>
        <v/>
      </c>
      <c r="F46" s="94" t="str">
        <f>IF(ISTEXT(VLOOKUP(CONCATENATE($A46,"_",F$3),'Unit List'!$A$23:$H$3319,2,FALSE)),"X",$B46)</f>
        <v/>
      </c>
      <c r="G46" s="94" t="str">
        <f>IF(ISTEXT(VLOOKUP(CONCATENATE($A46,"_",G$3),'Unit List'!$A$23:$H$3319,2,FALSE)),"X",$B46)</f>
        <v/>
      </c>
      <c r="H46" s="94" t="str">
        <f>IF(ISTEXT(VLOOKUP(CONCATENATE($A46,"_",H$3),'Unit List'!$A$23:$H$3319,2,FALSE)),"X",$B46)</f>
        <v/>
      </c>
      <c r="I46" s="96" t="str">
        <f>IF(ISTEXT(VLOOKUP(CONCATENATE($A46,"_",I$3),'Unit List'!$A$23:$H$3319,2,FALSE)),"X",$B46)</f>
        <v/>
      </c>
      <c r="J46" s="97" t="str">
        <f>IF(ISTEXT(VLOOKUP(CONCATENATE($A46,"_",J$3),'Unit List'!$A$23:$H$3319,2,FALSE)),"+","")</f>
        <v/>
      </c>
      <c r="K46" s="94" t="str">
        <f>IF(ISTEXT(VLOOKUP(CONCATENATE($A46,"_",K$3),'Unit List'!$A$23:$H$3319,2,FALSE)),"X",$J46)</f>
        <v/>
      </c>
      <c r="L46" s="101" t="str">
        <f>IF(ISTEXT(VLOOKUP(CONCATENATE($A46,"_",L$3),'Unit List'!$A$23:$H$3319,2,FALSE)),"X",$J46)</f>
        <v/>
      </c>
      <c r="M46" s="97" t="str">
        <f>IF(ISTEXT(VLOOKUP(CONCATENATE($A46,"_",M$3),'Unit List'!$A$23:$H$3319,2,FALSE)),"+","")</f>
        <v/>
      </c>
      <c r="N46" s="94" t="str">
        <f>IF(ISTEXT(VLOOKUP(CONCATENATE($A46,"_",N$3),'Unit List'!$A$23:$H$3319,2,FALSE)),"X",$M46)</f>
        <v/>
      </c>
      <c r="O46" s="96" t="str">
        <f>IF(ISTEXT(VLOOKUP(CONCATENATE($A46,"_",O$3),'Unit List'!$A$23:$H$3319,2,FALSE)),"X",$M46)</f>
        <v/>
      </c>
      <c r="P46" s="97" t="str">
        <f>IF(ISTEXT(VLOOKUP(CONCATENATE($A46,"_",P$3),'Unit List'!$A$23:$H$3319,2,FALSE)),"+","")</f>
        <v/>
      </c>
      <c r="Q46" s="94" t="str">
        <f>IF(ISTEXT(VLOOKUP(CONCATENATE($A46,"_",Q$3),'Unit List'!$A$23:$H$3319,2,FALSE)),"X",$P46)</f>
        <v/>
      </c>
      <c r="R46" s="94" t="str">
        <f>IF(ISTEXT(VLOOKUP(CONCATENATE($A46,"_",R$3),'Unit List'!$A$23:$H$3319,2,FALSE)),"X",$P46)</f>
        <v/>
      </c>
      <c r="S46" s="94" t="str">
        <f>IF(ISTEXT(VLOOKUP(CONCATENATE($A46,"_",S$3),'Unit List'!$A$23:$H$3319,2,FALSE)),"X",$P46)</f>
        <v/>
      </c>
      <c r="T46" s="100" t="str">
        <f>IF(ISTEXT(VLOOKUP(CONCATENATE($A46,"_",T$3),'Unit List'!$A$23:$H$3319,2,FALSE)),"X",$P46)</f>
        <v/>
      </c>
      <c r="U46" s="94" t="str">
        <f>IF(ISTEXT(VLOOKUP(CONCATENATE($A46,"_",U$3),'Unit List'!$A$23:$H$3319,2,FALSE)),"X",$P46)</f>
        <v/>
      </c>
      <c r="V46" s="94" t="str">
        <f>IF(ISTEXT(VLOOKUP(CONCATENATE($A46,"_",V$3),'Unit List'!$A$23:$H$3319,2,FALSE)),"X",$P46)</f>
        <v/>
      </c>
      <c r="W46" s="96" t="str">
        <f>IF(ISTEXT(VLOOKUP(CONCATENATE($A46,"_",W$3),'Unit List'!$A$23:$H$3319,2,FALSE)),"X",$P46)</f>
        <v/>
      </c>
      <c r="X46" s="97" t="str">
        <f>IF(ISTEXT(VLOOKUP(CONCATENATE($A46,"_",X$3),'Unit List'!$A$23:$H$3319,2,FALSE)),"+","")</f>
        <v/>
      </c>
      <c r="Y46" s="94" t="str">
        <f>IF(ISTEXT(VLOOKUP(CONCATENATE($A46,"_",Y$3),'Unit List'!$A$23:$H$3319,2,FALSE)),"X",$X46)</f>
        <v/>
      </c>
      <c r="Z46" s="94" t="str">
        <f>IF(ISTEXT(VLOOKUP(CONCATENATE($A46,"_",Z$3),'Unit List'!$A$23:$H$3319,2,FALSE)),"X",$X46)</f>
        <v/>
      </c>
      <c r="AA46" s="94" t="str">
        <f>IF(ISTEXT(VLOOKUP(CONCATENATE($A46,"_",AA$3),'Unit List'!$A$23:$H$3319,2,FALSE)),"X",$X46)</f>
        <v/>
      </c>
      <c r="AB46" s="94" t="str">
        <f>IF(ISTEXT(VLOOKUP(CONCATENATE($A46,"_",AB$3),'Unit List'!$A$23:$H$3319,2,FALSE)),"X",$X46)</f>
        <v/>
      </c>
      <c r="AC46" s="101" t="str">
        <f>IF(ISTEXT(VLOOKUP(CONCATENATE($A46,"_",AC$3),'Unit List'!$A$23:$H$3319,2,FALSE)),"X",$X46)</f>
        <v/>
      </c>
      <c r="AD46" s="97" t="str">
        <f>IF(ISTEXT(VLOOKUP(CONCATENATE($A46,"_",AD$3),'Unit List'!$A$23:$H$3319,2,FALSE)),"+","")</f>
        <v/>
      </c>
      <c r="AE46" s="94" t="str">
        <f>IF(ISTEXT(VLOOKUP(CONCATENATE($A46,"_",AE$3),'Unit List'!$A$23:$H$3319,2,FALSE)),"X",$AD46)</f>
        <v/>
      </c>
      <c r="AF46" s="94" t="str">
        <f>IF(ISTEXT(VLOOKUP(CONCATENATE($A46,"_",AF$3),'Unit List'!$A$23:$H$3319,2,FALSE)),"X",$AD46)</f>
        <v/>
      </c>
      <c r="AG46" s="97" t="str">
        <f>IF(ISTEXT(VLOOKUP(CONCATENATE($A46,"_",AG$3),'Unit List'!$A$23:$H$3319,2,FALSE)),"+","")</f>
        <v/>
      </c>
      <c r="AH46" s="94" t="str">
        <f>IF(ISTEXT(VLOOKUP(CONCATENATE($A46,"_",AH$3),'Unit List'!$A$23:$H$3319,2,FALSE)),"X",$AG46)</f>
        <v/>
      </c>
      <c r="AI46" s="94" t="str">
        <f>IF(ISTEXT(VLOOKUP(CONCATENATE($A46,"_",AI$3),'Unit List'!$A$23:$H$3319,2,FALSE)),"X",$AG46)</f>
        <v/>
      </c>
      <c r="AJ46" s="96" t="str">
        <f>IF(ISTEXT(VLOOKUP(CONCATENATE($A46,"_",AJ$3),'Unit List'!$A$23:$H$3319,2,FALSE)),"X",$AG46)</f>
        <v/>
      </c>
      <c r="AK46" s="97" t="str">
        <f>IF(ISTEXT(VLOOKUP(CONCATENATE($A46,"_",AK$3),'Unit List'!$A$23:$H$3319,2,FALSE)),"+","")</f>
        <v/>
      </c>
      <c r="AL46" s="100" t="str">
        <f>IF(ISTEXT(VLOOKUP(CONCATENATE($A46,"_",AL$3),'Unit List'!$A$23:$H$3319,2,FALSE)),"X",$AK46)</f>
        <v/>
      </c>
      <c r="AM46" s="96" t="str">
        <f>IF(ISTEXT(VLOOKUP(CONCATENATE($A46,"_",AM$3),'Unit List'!$A$23:$H$3319,2,FALSE)),"X",$AK46)</f>
        <v/>
      </c>
      <c r="AN46" s="103" t="str">
        <f>IF(ISTEXT(VLOOKUP(CONCATENATE($A46,"_",AN$3),'Unit List'!$A$23:$H$3319,2,FALSE)),"+","")</f>
        <v/>
      </c>
      <c r="AO46" s="96" t="str">
        <f>IF(ISTEXT(VLOOKUP(CONCATENATE($A46,"_",AO$3),'Unit List'!$A$23:$H$3319,2,FALSE)),"X",$AN46)</f>
        <v/>
      </c>
      <c r="AP46" s="97" t="str">
        <f>IF(ISTEXT(VLOOKUP(CONCATENATE($A46,"_",AP$3),'Unit List'!$A$23:$H$3319,2,FALSE)),"+","")</f>
        <v/>
      </c>
      <c r="AQ46" s="94" t="str">
        <f>IF(ISTEXT(VLOOKUP(CONCATENATE($A46,"_",AQ$3),'Unit List'!$A$23:$H$3319,2,FALSE)),"X",$AP46)</f>
        <v/>
      </c>
      <c r="AR46" s="94" t="str">
        <f>IF(ISTEXT(VLOOKUP(CONCATENATE($A46,"_",AR$3),'Unit List'!$A$23:$H$3319,2,FALSE)),"X",$AP46)</f>
        <v/>
      </c>
      <c r="AS46" s="94" t="str">
        <f>IF(ISTEXT(VLOOKUP(CONCATENATE($A46,"_",AS$3),'Unit List'!$A$23:$H$3319,2,FALSE)),"X",$AP46)</f>
        <v/>
      </c>
      <c r="AT46" s="96" t="str">
        <f>IF(ISTEXT(VLOOKUP(CONCATENATE($A46,"_",AT$3),'Unit List'!$A$23:$H$3319,2,FALSE)),"X",$AP46)</f>
        <v/>
      </c>
      <c r="AU46" s="104" t="str">
        <f>IF(ISTEXT(VLOOKUP(CONCATENATE($A46,"_",AU$3),'Unit List'!$A$23:$H$3319,2,FALSE)),"+","")</f>
        <v/>
      </c>
      <c r="AV46" s="94" t="str">
        <f>IF(ISTEXT(VLOOKUP(CONCATENATE($A46,"_",AV$3),'Unit List'!$A$23:$H$3319,2,FALSE)),"X",$AU46)</f>
        <v/>
      </c>
      <c r="AW46" s="96" t="str">
        <f>IF(ISTEXT(VLOOKUP(CONCATENATE($A46,"_",AW$3),'Unit List'!$A$23:$H$3319,2,FALSE)),"X",$AU46)</f>
        <v/>
      </c>
      <c r="AX46" s="97" t="str">
        <f>IF(ISTEXT(VLOOKUP(CONCATENATE($A46,"_",AX$3),'Unit List'!$A$23:$H$3319,2,FALSE)),"+","")</f>
        <v/>
      </c>
      <c r="AY46" s="94" t="str">
        <f>IF(ISTEXT(VLOOKUP(CONCATENATE($A46,"_",AY$3),'Unit List'!$A$23:$H$3319,2,FALSE)),"X",$AX46)</f>
        <v/>
      </c>
      <c r="AZ46" s="96" t="str">
        <f>IF(ISTEXT(VLOOKUP(CONCATENATE($A46,"_",AZ$3),'Unit List'!$A$23:$H$3319,2,FALSE)),"X",$AX46)</f>
        <v/>
      </c>
      <c r="BA46" s="105" t="str">
        <f>IF(ISTEXT(VLOOKUP(CONCATENATE($A46,"_",BA$3),'Unit List'!$A$23:$H$3319,2,FALSE)),"+","")</f>
        <v/>
      </c>
      <c r="BB46" s="94" t="str">
        <f>IF(ISTEXT(VLOOKUP(CONCATENATE($A46,"_",BB$3),'Unit List'!$A$23:$H$3319,2,FALSE)),"X",$BA46)</f>
        <v/>
      </c>
      <c r="BC46" s="94" t="str">
        <f>IF(ISTEXT(VLOOKUP(CONCATENATE($A46,"_",BC$3),'Unit List'!$A$23:$H$3319,2,FALSE)),"X",$BA46)</f>
        <v/>
      </c>
      <c r="BD46" s="96" t="str">
        <f>IF(ISTEXT(VLOOKUP(CONCATENATE($A46,"_",BD$3),'Unit List'!$A$23:$H$3319,2,FALSE)),"X",$BA46)</f>
        <v/>
      </c>
      <c r="BE46" s="103" t="str">
        <f>IF(ISTEXT(VLOOKUP(CONCATENATE($A46,"_",BE$3),'Unit List'!$A$23:$H$3319,2,FALSE)),"+","")</f>
        <v/>
      </c>
      <c r="BF46" s="101" t="str">
        <f>IF(ISTEXT(VLOOKUP(CONCATENATE($A46,"_",BF$3),'Unit List'!$A$23:$H$3319,2,FALSE)),"X",$BE46)</f>
        <v/>
      </c>
      <c r="BG46" s="106"/>
      <c r="BH46" s="107" t="s">
        <v>0</v>
      </c>
      <c r="BI46" s="228"/>
      <c r="BJ46" s="229"/>
      <c r="BK46" s="229"/>
      <c r="BL46" s="229"/>
      <c r="BM46" s="230"/>
      <c r="BN46" s="108"/>
      <c r="BO46" s="108"/>
      <c r="BP46" s="108"/>
      <c r="BQ46" s="108"/>
      <c r="BR46" s="108"/>
      <c r="BS46" s="108"/>
      <c r="DZ46" s="109"/>
      <c r="EA46" s="109"/>
    </row>
    <row r="47" spans="1:131" ht="12.75" customHeight="1" x14ac:dyDescent="0.2">
      <c r="A47" s="90" t="s">
        <v>20</v>
      </c>
      <c r="B47" s="91" t="str">
        <f>IF(ISTEXT(VLOOKUP(CONCATENATE($A47,"_",B$3),'Unit List'!$A$23:$H$3319,2,FALSE)),"+","")</f>
        <v/>
      </c>
      <c r="C47" s="92" t="str">
        <f>IF(ISTEXT(VLOOKUP(CONCATENATE($A47,"_",C$3),'Unit List'!$A$23:$H$3319,2,FALSE)),"X",$B47)</f>
        <v/>
      </c>
      <c r="D47" s="94" t="str">
        <f>IF(ISTEXT(VLOOKUP(CONCATENATE($A47,"_",D$3),'Unit List'!$A$23:$H$3319,2,FALSE)),"X",$B47)</f>
        <v/>
      </c>
      <c r="E47" s="94" t="str">
        <f>IF(ISTEXT(VLOOKUP(CONCATENATE($A47,"_",E$3),'Unit List'!$A$23:$H$3319,2,FALSE)),"X",$B47)</f>
        <v>X</v>
      </c>
      <c r="F47" s="94" t="str">
        <f>IF(ISTEXT(VLOOKUP(CONCATENATE($A47,"_",F$3),'Unit List'!$A$23:$H$3319,2,FALSE)),"X",$B47)</f>
        <v>X</v>
      </c>
      <c r="G47" s="94" t="str">
        <f>IF(ISTEXT(VLOOKUP(CONCATENATE($A47,"_",G$3),'Unit List'!$A$23:$H$3319,2,FALSE)),"X",$B47)</f>
        <v>X</v>
      </c>
      <c r="H47" s="94" t="str">
        <f>IF(ISTEXT(VLOOKUP(CONCATENATE($A47,"_",H$3),'Unit List'!$A$23:$H$3319,2,FALSE)),"X",$B47)</f>
        <v/>
      </c>
      <c r="I47" s="96" t="str">
        <f>IF(ISTEXT(VLOOKUP(CONCATENATE($A47,"_",I$3),'Unit List'!$A$23:$H$3319,2,FALSE)),"X",$B47)</f>
        <v>X</v>
      </c>
      <c r="J47" s="97" t="str">
        <f>IF(ISTEXT(VLOOKUP(CONCATENATE($A47,"_",J$3),'Unit List'!$A$23:$H$3319,2,FALSE)),"+","")</f>
        <v>+</v>
      </c>
      <c r="K47" s="94" t="str">
        <f>IF(ISTEXT(VLOOKUP(CONCATENATE($A47,"_",K$3),'Unit List'!$A$23:$H$3319,2,FALSE)),"X",$J47)</f>
        <v>+</v>
      </c>
      <c r="L47" s="101" t="str">
        <f>IF(ISTEXT(VLOOKUP(CONCATENATE($A47,"_",L$3),'Unit List'!$A$23:$H$3319,2,FALSE)),"X",$J47)</f>
        <v>+</v>
      </c>
      <c r="M47" s="97" t="str">
        <f>IF(ISTEXT(VLOOKUP(CONCATENATE($A47,"_",M$3),'Unit List'!$A$23:$H$3319,2,FALSE)),"+","")</f>
        <v/>
      </c>
      <c r="N47" s="94" t="str">
        <f>IF(ISTEXT(VLOOKUP(CONCATENATE($A47,"_",N$3),'Unit List'!$A$23:$H$3319,2,FALSE)),"X",$M47)</f>
        <v/>
      </c>
      <c r="O47" s="96" t="str">
        <f>IF(ISTEXT(VLOOKUP(CONCATENATE($A47,"_",O$3),'Unit List'!$A$23:$H$3319,2,FALSE)),"X",$M47)</f>
        <v/>
      </c>
      <c r="P47" s="97" t="str">
        <f>IF(ISTEXT(VLOOKUP(CONCATENATE($A47,"_",P$3),'Unit List'!$A$23:$H$3319,2,FALSE)),"+","")</f>
        <v>+</v>
      </c>
      <c r="Q47" s="94" t="str">
        <f>IF(ISTEXT(VLOOKUP(CONCATENATE($A47,"_",Q$3),'Unit List'!$A$23:$H$3319,2,FALSE)),"X",$P47)</f>
        <v>+</v>
      </c>
      <c r="R47" s="94" t="str">
        <f>IF(ISTEXT(VLOOKUP(CONCATENATE($A47,"_",R$3),'Unit List'!$A$23:$H$3319,2,FALSE)),"X",$P47)</f>
        <v>+</v>
      </c>
      <c r="S47" s="94" t="str">
        <f>IF(ISTEXT(VLOOKUP(CONCATENATE($A47,"_",S$3),'Unit List'!$A$23:$H$3319,2,FALSE)),"X",$P47)</f>
        <v>+</v>
      </c>
      <c r="T47" s="100" t="str">
        <f>IF(ISTEXT(VLOOKUP(CONCATENATE($A47,"_",T$3),'Unit List'!$A$23:$H$3319,2,FALSE)),"X",$P47)</f>
        <v>+</v>
      </c>
      <c r="U47" s="94" t="str">
        <f>IF(ISTEXT(VLOOKUP(CONCATENATE($A47,"_",U$3),'Unit List'!$A$23:$H$3319,2,FALSE)),"X",$P47)</f>
        <v>+</v>
      </c>
      <c r="V47" s="94" t="str">
        <f>IF(ISTEXT(VLOOKUP(CONCATENATE($A47,"_",V$3),'Unit List'!$A$23:$H$3319,2,FALSE)),"X",$P47)</f>
        <v>+</v>
      </c>
      <c r="W47" s="96" t="str">
        <f>IF(ISTEXT(VLOOKUP(CONCATENATE($A47,"_",W$3),'Unit List'!$A$23:$H$3319,2,FALSE)),"X",$P47)</f>
        <v>+</v>
      </c>
      <c r="X47" s="97" t="str">
        <f>IF(ISTEXT(VLOOKUP(CONCATENATE($A47,"_",X$3),'Unit List'!$A$23:$H$3319,2,FALSE)),"+","")</f>
        <v>+</v>
      </c>
      <c r="Y47" s="94" t="str">
        <f>IF(ISTEXT(VLOOKUP(CONCATENATE($A47,"_",Y$3),'Unit List'!$A$23:$H$3319,2,FALSE)),"X",$X47)</f>
        <v>+</v>
      </c>
      <c r="Z47" s="94" t="str">
        <f>IF(ISTEXT(VLOOKUP(CONCATENATE($A47,"_",Z$3),'Unit List'!$A$23:$H$3319,2,FALSE)),"X",$X47)</f>
        <v>+</v>
      </c>
      <c r="AA47" s="94" t="str">
        <f>IF(ISTEXT(VLOOKUP(CONCATENATE($A47,"_",AA$3),'Unit List'!$A$23:$H$3319,2,FALSE)),"X",$X47)</f>
        <v>+</v>
      </c>
      <c r="AB47" s="94" t="str">
        <f>IF(ISTEXT(VLOOKUP(CONCATENATE($A47,"_",AB$3),'Unit List'!$A$23:$H$3319,2,FALSE)),"X",$X47)</f>
        <v>X</v>
      </c>
      <c r="AC47" s="101" t="str">
        <f>IF(ISTEXT(VLOOKUP(CONCATENATE($A47,"_",AC$3),'Unit List'!$A$23:$H$3319,2,FALSE)),"X",$X47)</f>
        <v>X</v>
      </c>
      <c r="AD47" s="115" t="str">
        <f>IF(ISTEXT(VLOOKUP(CONCATENATE($A47,"_",AD$3),'Unit List'!$A$23:$H$3319,2,FALSE)),"+","")</f>
        <v>+</v>
      </c>
      <c r="AE47" s="94" t="str">
        <f>IF(ISTEXT(VLOOKUP(CONCATENATE($A47,"_",AE$3),'Unit List'!$A$23:$H$3319,2,FALSE)),"X",$AD47)</f>
        <v>X</v>
      </c>
      <c r="AF47" s="94" t="str">
        <f>IF(ISTEXT(VLOOKUP(CONCATENATE($A47,"_",AF$3),'Unit List'!$A$23:$H$3319,2,FALSE)),"X",$AD47)</f>
        <v>+</v>
      </c>
      <c r="AG47" s="115" t="str">
        <f>IF(ISTEXT(VLOOKUP(CONCATENATE($A47,"_",AG$3),'Unit List'!$A$23:$H$3319,2,FALSE)),"+","")</f>
        <v>+</v>
      </c>
      <c r="AH47" s="95" t="str">
        <f>IF(ISTEXT(VLOOKUP(CONCATENATE($A47,"_",AH$3),'Unit List'!$A$23:$H$3319,2,FALSE)),"X",$AG47)</f>
        <v>+</v>
      </c>
      <c r="AI47" s="95" t="str">
        <f>IF(ISTEXT(VLOOKUP(CONCATENATE($A47,"_",AI$3),'Unit List'!$A$23:$H$3319,2,FALSE)),"X",$AG47)</f>
        <v>+</v>
      </c>
      <c r="AJ47" s="114" t="str">
        <f>IF(ISTEXT(VLOOKUP(CONCATENATE($A47,"_",AJ$3),'Unit List'!$A$23:$H$3319,2,FALSE)),"X",$AG47)</f>
        <v>+</v>
      </c>
      <c r="AK47" s="97" t="str">
        <f>IF(ISTEXT(VLOOKUP(CONCATENATE($A47,"_",AK$3),'Unit List'!$A$23:$H$3319,2,FALSE)),"+","")</f>
        <v/>
      </c>
      <c r="AL47" s="100" t="str">
        <f>IF(ISTEXT(VLOOKUP(CONCATENATE($A47,"_",AL$3),'Unit List'!$A$23:$H$3319,2,FALSE)),"X",$AK47)</f>
        <v/>
      </c>
      <c r="AM47" s="96" t="str">
        <f>IF(ISTEXT(VLOOKUP(CONCATENATE($A47,"_",AM$3),'Unit List'!$A$23:$H$3319,2,FALSE)),"X",$AK47)</f>
        <v/>
      </c>
      <c r="AN47" s="103" t="str">
        <f>IF(ISTEXT(VLOOKUP(CONCATENATE($A47,"_",AN$3),'Unit List'!$A$23:$H$3319,2,FALSE)),"+","")</f>
        <v>+</v>
      </c>
      <c r="AO47" s="114" t="str">
        <f>IF(ISTEXT(VLOOKUP(CONCATENATE($A47,"_",AO$3),'Unit List'!$A$23:$H$3319,2,FALSE)),"X",$AN47)</f>
        <v>X</v>
      </c>
      <c r="AP47" s="115" t="str">
        <f>IF(ISTEXT(VLOOKUP(CONCATENATE($A47,"_",AP$3),'Unit List'!$A$23:$H$3319,2,FALSE)),"+","")</f>
        <v>+</v>
      </c>
      <c r="AQ47" s="95" t="str">
        <f>IF(ISTEXT(VLOOKUP(CONCATENATE($A47,"_",AQ$3),'Unit List'!$A$23:$H$3319,2,FALSE)),"X",$AP47)</f>
        <v>+</v>
      </c>
      <c r="AR47" s="95" t="str">
        <f>IF(ISTEXT(VLOOKUP(CONCATENATE($A47,"_",AR$3),'Unit List'!$A$23:$H$3319,2,FALSE)),"X",$AP47)</f>
        <v>+</v>
      </c>
      <c r="AS47" s="95" t="str">
        <f>IF(ISTEXT(VLOOKUP(CONCATENATE($A47,"_",AS$3),'Unit List'!$A$23:$H$3319,2,FALSE)),"X",$AP47)</f>
        <v>+</v>
      </c>
      <c r="AT47" s="114" t="str">
        <f>IF(ISTEXT(VLOOKUP(CONCATENATE($A47,"_",AT$3),'Unit List'!$A$23:$H$3319,2,FALSE)),"X",$AP47)</f>
        <v>+</v>
      </c>
      <c r="AU47" s="104" t="str">
        <f>IF(ISTEXT(VLOOKUP(CONCATENATE($A47,"_",AU$3),'Unit List'!$A$23:$H$3319,2,FALSE)),"+","")</f>
        <v>+</v>
      </c>
      <c r="AV47" s="94" t="str">
        <f>IF(ISTEXT(VLOOKUP(CONCATENATE($A47,"_",AV$3),'Unit List'!$A$23:$H$3319,2,FALSE)),"X",$AU47)</f>
        <v>+</v>
      </c>
      <c r="AW47" s="96" t="str">
        <f>IF(ISTEXT(VLOOKUP(CONCATENATE($A47,"_",AW$3),'Unit List'!$A$23:$H$3319,2,FALSE)),"X",$AU47)</f>
        <v>+</v>
      </c>
      <c r="AX47" s="115" t="str">
        <f>IF(ISTEXT(VLOOKUP(CONCATENATE($A47,"_",AX$3),'Unit List'!$A$23:$H$3319,2,FALSE)),"+","")</f>
        <v>+</v>
      </c>
      <c r="AY47" s="95" t="str">
        <f>IF(ISTEXT(VLOOKUP(CONCATENATE($A47,"_",AY$3),'Unit List'!$A$23:$H$3319,2,FALSE)),"X",$AX47)</f>
        <v>X</v>
      </c>
      <c r="AZ47" s="155" t="s">
        <v>0</v>
      </c>
      <c r="BA47" s="115" t="str">
        <f>IF(ISTEXT(VLOOKUP(CONCATENATE($A47,"_",BA$3),'Unit List'!$A$23:$H$3319,2,FALSE)),"+","")</f>
        <v>+</v>
      </c>
      <c r="BB47" s="95" t="str">
        <f>IF(ISTEXT(VLOOKUP(CONCATENATE($A47,"_",BB$3),'Unit List'!$A$23:$H$3319,2,FALSE)),"X",$BA47)</f>
        <v>X</v>
      </c>
      <c r="BC47" s="95" t="str">
        <f>IF(ISTEXT(VLOOKUP(CONCATENATE($A47,"_",BC$3),'Unit List'!$A$23:$H$3319,2,FALSE)),"X",$BA47)</f>
        <v>X</v>
      </c>
      <c r="BD47" s="96" t="str">
        <f>IF(ISTEXT(VLOOKUP(CONCATENATE($A47,"_",BD$3),'Unit List'!$A$23:$H$3319,2,FALSE)),"X",$BA47)</f>
        <v>+</v>
      </c>
      <c r="BE47" s="103" t="str">
        <f>IF(ISTEXT(VLOOKUP(CONCATENATE($A47,"_",BE$3),'Unit List'!$A$23:$H$3319,2,FALSE)),"+","")</f>
        <v>+</v>
      </c>
      <c r="BF47" s="101" t="str">
        <f>IF(ISTEXT(VLOOKUP(CONCATENATE($A47,"_",BF$3),'Unit List'!$A$23:$H$3319,2,FALSE)),"X",$BE47)</f>
        <v>+</v>
      </c>
      <c r="BG47" s="106" t="s">
        <v>0</v>
      </c>
      <c r="BH47" s="107" t="s">
        <v>0</v>
      </c>
      <c r="BI47" s="228"/>
      <c r="BJ47" s="229"/>
      <c r="BK47" s="229"/>
      <c r="BL47" s="229"/>
      <c r="BM47" s="230"/>
      <c r="BN47" s="108"/>
      <c r="BO47" s="108"/>
      <c r="BP47" s="108"/>
      <c r="BQ47" s="108"/>
      <c r="BR47" s="108"/>
      <c r="BS47" s="108"/>
      <c r="DZ47" s="109"/>
      <c r="EA47" s="109"/>
    </row>
    <row r="48" spans="1:131" ht="12.75" customHeight="1" x14ac:dyDescent="0.2">
      <c r="A48" s="90" t="s">
        <v>19</v>
      </c>
      <c r="B48" s="91" t="str">
        <f>IF(ISTEXT(VLOOKUP(CONCATENATE($A48,"_",B$3),'Unit List'!$A$23:$H$3319,2,FALSE)),"+","")</f>
        <v/>
      </c>
      <c r="C48" s="131" t="str">
        <f>IF(ISTEXT(VLOOKUP(CONCATENATE($A48,"_",C$3),'Unit List'!$A$23:$H$3319,2,FALSE)),"X",$B48)</f>
        <v>X</v>
      </c>
      <c r="D48" s="110" t="str">
        <f>IF(ISTEXT(VLOOKUP(CONCATENATE($A48,"_",D$3),'Unit List'!$A$23:$H$3319,2,FALSE)),"X",$B48)</f>
        <v>X</v>
      </c>
      <c r="E48" s="138" t="s">
        <v>0</v>
      </c>
      <c r="F48" s="95" t="str">
        <f>IF(ISTEXT(VLOOKUP(CONCATENATE($A48,"_",F$3),'Unit List'!$A$23:$H$3319,2,FALSE)),"X",$B48)</f>
        <v>X</v>
      </c>
      <c r="G48" s="95" t="str">
        <f>IF(ISTEXT(VLOOKUP(CONCATENATE($A48,"_",G$3),'Unit List'!$A$23:$H$3319,2,FALSE)),"X",$B48)</f>
        <v>X</v>
      </c>
      <c r="H48" s="95" t="str">
        <f>IF(ISTEXT(VLOOKUP(CONCATENATE($A48,"_",H$3),'Unit List'!$A$23:$H$3319,2,FALSE)),"X",$B48)</f>
        <v>X</v>
      </c>
      <c r="I48" s="96" t="str">
        <f>IF(ISTEXT(VLOOKUP(CONCATENATE($A48,"_",I$3),'Unit List'!$A$23:$H$3319,2,FALSE)),"X",$B48)</f>
        <v>X</v>
      </c>
      <c r="J48" s="97" t="str">
        <f>IF(ISTEXT(VLOOKUP(CONCATENATE($A48,"_",J$3),'Unit List'!$A$23:$H$3319,2,FALSE)),"+","")</f>
        <v>+</v>
      </c>
      <c r="K48" s="143" t="str">
        <f>IF(ISTEXT(VLOOKUP(CONCATENATE($A48,"_",K$3),'Unit List'!$A$23:$H$3319,2,FALSE)),"X",$J48)</f>
        <v>+</v>
      </c>
      <c r="L48" s="112" t="str">
        <f>IF(ISTEXT(VLOOKUP(CONCATENATE($A48,"_",L$3),'Unit List'!$A$23:$H$3319,2,FALSE)),"X",$J48)</f>
        <v>+</v>
      </c>
      <c r="M48" s="97" t="str">
        <f>IF(ISTEXT(VLOOKUP(CONCATENATE($A48,"_",M$3),'Unit List'!$A$23:$H$3319,2,FALSE)),"+","")</f>
        <v>+</v>
      </c>
      <c r="N48" s="94" t="str">
        <f>IF(ISTEXT(VLOOKUP(CONCATENATE($A48,"_",N$3),'Unit List'!$A$23:$H$3319,2,FALSE)),"X",$M48)</f>
        <v>+</v>
      </c>
      <c r="O48" s="114" t="str">
        <f>IF(ISTEXT(VLOOKUP(CONCATENATE($A48,"_",O$3),'Unit List'!$A$23:$H$3319,2,FALSE)),"X",$M48)</f>
        <v>+</v>
      </c>
      <c r="P48" s="115" t="str">
        <f>IF(ISTEXT(VLOOKUP(CONCATENATE($A48,"_",P$3),'Unit List'!$A$23:$H$3319,2,FALSE)),"+","")</f>
        <v>+</v>
      </c>
      <c r="Q48" s="94" t="str">
        <f>IF(ISTEXT(VLOOKUP(CONCATENATE($A48,"_",Q$3),'Unit List'!$A$23:$H$3319,2,FALSE)),"X",$P48)</f>
        <v>+</v>
      </c>
      <c r="R48" s="94" t="str">
        <f>IF(ISTEXT(VLOOKUP(CONCATENATE($A48,"_",R$3),'Unit List'!$A$23:$H$3319,2,FALSE)),"X",$P48)</f>
        <v>+</v>
      </c>
      <c r="S48" s="118" t="str">
        <f>IF(ISTEXT(VLOOKUP(CONCATENATE($A48,"_",S$3),'Unit List'!$A$23:$H$3319,2,FALSE)),"X",$P48)</f>
        <v>X</v>
      </c>
      <c r="T48" s="100" t="str">
        <f>IF(ISTEXT(VLOOKUP(CONCATENATE($A48,"_",T$3),'Unit List'!$A$23:$H$3319,2,FALSE)),"X",$P48)</f>
        <v>X</v>
      </c>
      <c r="U48" s="95" t="str">
        <f>IF(ISTEXT(VLOOKUP(CONCATENATE($A48,"_",U$3),'Unit List'!$A$23:$H$3319,2,FALSE)),"X",$P48)</f>
        <v>X</v>
      </c>
      <c r="V48" s="95" t="str">
        <f>IF(ISTEXT(VLOOKUP(CONCATENATE($A48,"_",V$3),'Unit List'!$A$23:$H$3319,2,FALSE)),"X",$P48)</f>
        <v>X</v>
      </c>
      <c r="W48" s="96" t="str">
        <f>IF(ISTEXT(VLOOKUP(CONCATENATE($A48,"_",W$3),'Unit List'!$A$23:$H$3319,2,FALSE)),"X",$P48)</f>
        <v>+</v>
      </c>
      <c r="X48" s="115" t="str">
        <f>IF(ISTEXT(VLOOKUP(CONCATENATE($A48,"_",X$3),'Unit List'!$A$23:$H$3319,2,FALSE)),"+","")</f>
        <v>+</v>
      </c>
      <c r="Y48" s="95" t="str">
        <f>IF(ISTEXT(VLOOKUP(CONCATENATE($A48,"_",Y$3),'Unit List'!$A$23:$H$3319,2,FALSE)),"X",$X48)</f>
        <v>X</v>
      </c>
      <c r="Z48" s="94" t="str">
        <f>IF(ISTEXT(VLOOKUP(CONCATENATE($A48,"_",Z$3),'Unit List'!$A$23:$H$3319,2,FALSE)),"X",$X48)</f>
        <v>+</v>
      </c>
      <c r="AA48" s="95" t="str">
        <f>IF(ISTEXT(VLOOKUP(CONCATENATE($A48,"_",AA$3),'Unit List'!$A$23:$H$3319,2,FALSE)),"X",$X48)</f>
        <v>X</v>
      </c>
      <c r="AB48" s="95" t="str">
        <f>IF(ISTEXT(VLOOKUP(CONCATENATE($A48,"_",AB$3),'Unit List'!$A$23:$H$3319,2,FALSE)),"X",$X48)</f>
        <v>X</v>
      </c>
      <c r="AC48" s="154" t="s">
        <v>0</v>
      </c>
      <c r="AD48" s="115" t="str">
        <f>IF(ISTEXT(VLOOKUP(CONCATENATE($A48,"_",AD$3),'Unit List'!$A$23:$H$3319,2,FALSE)),"+","")</f>
        <v/>
      </c>
      <c r="AE48" s="94" t="str">
        <f>IF(ISTEXT(VLOOKUP(CONCATENATE($A48,"_",AE$3),'Unit List'!$A$23:$H$3319,2,FALSE)),"X",$AD48)</f>
        <v>X</v>
      </c>
      <c r="AF48" s="94" t="str">
        <f>IF(ISTEXT(VLOOKUP(CONCATENATE($A48,"_",AF$3),'Unit List'!$A$23:$H$3319,2,FALSE)),"X",$AD48)</f>
        <v/>
      </c>
      <c r="AG48" s="115" t="str">
        <f>IF(ISTEXT(VLOOKUP(CONCATENATE($A48,"_",AG$3),'Unit List'!$A$23:$H$3319,2,FALSE)),"+","")</f>
        <v>+</v>
      </c>
      <c r="AH48" s="95" t="str">
        <f>IF(ISTEXT(VLOOKUP(CONCATENATE($A48,"_",AH$3),'Unit List'!$A$23:$H$3319,2,FALSE)),"X",$AG48)</f>
        <v>X</v>
      </c>
      <c r="AI48" s="95" t="str">
        <f>IF(ISTEXT(VLOOKUP(CONCATENATE($A48,"_",AI$3),'Unit List'!$A$23:$H$3319,2,FALSE)),"X",$AG48)</f>
        <v>X</v>
      </c>
      <c r="AJ48" s="96" t="str">
        <f>IF(ISTEXT(VLOOKUP(CONCATENATE($A48,"_",AJ$3),'Unit List'!$A$23:$H$3319,2,FALSE)),"X",$AG48)</f>
        <v>+</v>
      </c>
      <c r="AK48" s="115" t="str">
        <f>IF(ISTEXT(VLOOKUP(CONCATENATE($A48,"_",AK$3),'Unit List'!$A$23:$H$3319,2,FALSE)),"+","")</f>
        <v>+</v>
      </c>
      <c r="AL48" s="156" t="s">
        <v>0</v>
      </c>
      <c r="AM48" s="114" t="str">
        <f>IF(ISTEXT(VLOOKUP(CONCATENATE($A48,"_",AM$3),'Unit List'!$A$23:$H$3319,2,FALSE)),"X",$AK48)</f>
        <v>+</v>
      </c>
      <c r="AN48" s="103" t="str">
        <f>IF(ISTEXT(VLOOKUP(CONCATENATE($A48,"_",AN$3),'Unit List'!$A$23:$H$3319,2,FALSE)),"+","")</f>
        <v>+</v>
      </c>
      <c r="AO48" s="114" t="str">
        <f>IF(ISTEXT(VLOOKUP(CONCATENATE($A48,"_",AO$3),'Unit List'!$A$23:$H$3319,2,FALSE)),"X",$AN48)</f>
        <v>X</v>
      </c>
      <c r="AP48" s="115" t="str">
        <f>IF(ISTEXT(VLOOKUP(CONCATENATE($A48,"_",AP$3),'Unit List'!$A$23:$H$3319,2,FALSE)),"+","")</f>
        <v>+</v>
      </c>
      <c r="AQ48" s="95" t="str">
        <f>IF(ISTEXT(VLOOKUP(CONCATENATE($A48,"_",AQ$3),'Unit List'!$A$23:$H$3319,2,FALSE)),"X",$AP48)</f>
        <v>X</v>
      </c>
      <c r="AR48" s="95" t="str">
        <f>IF(ISTEXT(VLOOKUP(CONCATENATE($A48,"_",AR$3),'Unit List'!$A$23:$H$3319,2,FALSE)),"X",$AP48)</f>
        <v>X</v>
      </c>
      <c r="AS48" s="95" t="str">
        <f>IF(ISTEXT(VLOOKUP(CONCATENATE($A48,"_",AS$3),'Unit List'!$A$23:$H$3319,2,FALSE)),"X",$AP48)</f>
        <v>X</v>
      </c>
      <c r="AT48" s="114" t="str">
        <f>IF(ISTEXT(VLOOKUP(CONCATENATE($A48,"_",AT$3),'Unit List'!$A$23:$H$3319,2,FALSE)),"X",$AP48)</f>
        <v>X</v>
      </c>
      <c r="AU48" s="104" t="str">
        <f>IF(ISTEXT(VLOOKUP(CONCATENATE($A48,"_",AU$3),'Unit List'!$A$23:$H$3319,2,FALSE)),"+","")</f>
        <v>+</v>
      </c>
      <c r="AV48" s="94" t="str">
        <f>IF(ISTEXT(VLOOKUP(CONCATENATE($A48,"_",AV$3),'Unit List'!$A$23:$H$3319,2,FALSE)),"X",$AU48)</f>
        <v>+</v>
      </c>
      <c r="AW48" s="96" t="str">
        <f>IF(ISTEXT(VLOOKUP(CONCATENATE($A48,"_",AW$3),'Unit List'!$A$23:$H$3319,2,FALSE)),"X",$AU48)</f>
        <v>+</v>
      </c>
      <c r="AX48" s="115" t="str">
        <f>IF(ISTEXT(VLOOKUP(CONCATENATE($A48,"_",AX$3),'Unit List'!$A$23:$H$3319,2,FALSE)),"+","")</f>
        <v>+</v>
      </c>
      <c r="AY48" s="95" t="str">
        <f>IF(ISTEXT(VLOOKUP(CONCATENATE($A48,"_",AY$3),'Unit List'!$A$23:$H$3319,2,FALSE)),"X",$AX48)</f>
        <v>X</v>
      </c>
      <c r="AZ48" s="114" t="str">
        <f>IF(ISTEXT(VLOOKUP(CONCATENATE($A48,"_",AZ$3),'Unit List'!$A$23:$H$3319,2,FALSE)),"X",$AX48)</f>
        <v>+</v>
      </c>
      <c r="BA48" s="115" t="str">
        <f>IF(ISTEXT(VLOOKUP(CONCATENATE($A48,"_",BA$3),'Unit List'!$A$23:$H$3319,2,FALSE)),"+","")</f>
        <v>+</v>
      </c>
      <c r="BB48" s="95" t="str">
        <f>IF(ISTEXT(VLOOKUP(CONCATENATE($A48,"_",BB$3),'Unit List'!$A$23:$H$3319,2,FALSE)),"X",$BA48)</f>
        <v>X</v>
      </c>
      <c r="BC48" s="94" t="str">
        <f>IF(ISTEXT(VLOOKUP(CONCATENATE($A48,"_",BC$3),'Unit List'!$A$23:$H$3319,2,FALSE)),"X",$BA48)</f>
        <v>X</v>
      </c>
      <c r="BD48" s="114" t="str">
        <f>IF(ISTEXT(VLOOKUP(CONCATENATE($A48,"_",BD$3),'Unit List'!$A$23:$H$3319,2,FALSE)),"X",$BA48)</f>
        <v>X</v>
      </c>
      <c r="BE48" s="103" t="str">
        <f>IF(ISTEXT(VLOOKUP(CONCATENATE($A48,"_",BE$3),'Unit List'!$A$23:$H$3319,2,FALSE)),"+","")</f>
        <v>+</v>
      </c>
      <c r="BF48" s="101" t="str">
        <f>IF(ISTEXT(VLOOKUP(CONCATENATE($A48,"_",BF$3),'Unit List'!$A$23:$H$3319,2,FALSE)),"X",$BE48)</f>
        <v>+</v>
      </c>
      <c r="BG48" s="124"/>
      <c r="BH48" s="125" t="s">
        <v>0</v>
      </c>
      <c r="BI48" s="228" t="s">
        <v>18</v>
      </c>
      <c r="BJ48" s="229"/>
      <c r="BK48" s="229"/>
      <c r="BL48" s="229"/>
      <c r="BM48" s="230"/>
      <c r="BN48" s="108"/>
      <c r="BO48" s="108"/>
      <c r="BP48" s="108"/>
      <c r="BQ48" s="108"/>
      <c r="BR48" s="108"/>
      <c r="BS48" s="108"/>
      <c r="DZ48" s="109"/>
      <c r="EA48" s="109"/>
    </row>
    <row r="49" spans="1:131" ht="12.75" customHeight="1" x14ac:dyDescent="0.2">
      <c r="A49" s="90" t="s">
        <v>1151</v>
      </c>
      <c r="B49" s="91" t="str">
        <f>IF(ISTEXT(VLOOKUP(CONCATENATE($A49,"_",B$3),'Unit List'!$A$23:$H$3319,2,FALSE)),"+","")</f>
        <v/>
      </c>
      <c r="C49" s="92" t="str">
        <f>IF(ISTEXT(VLOOKUP(CONCATENATE($A49,"_",C$3),'Unit List'!$A$23:$H$3319,2,FALSE)),"X",$B49)</f>
        <v/>
      </c>
      <c r="D49" s="94" t="str">
        <f>IF(ISTEXT(VLOOKUP(CONCATENATE($A49,"_",D$3),'Unit List'!$A$23:$H$3319,2,FALSE)),"X",$B49)</f>
        <v>X</v>
      </c>
      <c r="E49" s="94" t="str">
        <f>IF(ISTEXT(VLOOKUP(CONCATENATE($A49,"_",E$3),'Unit List'!$A$23:$H$3319,2,FALSE)),"X",$B49)</f>
        <v/>
      </c>
      <c r="F49" s="94" t="str">
        <f>IF(ISTEXT(VLOOKUP(CONCATENATE($A49,"_",F$3),'Unit List'!$A$23:$H$3319,2,FALSE)),"X",$B49)</f>
        <v/>
      </c>
      <c r="G49" s="94" t="str">
        <f>IF(ISTEXT(VLOOKUP(CONCATENATE($A49,"_",G$3),'Unit List'!$A$23:$H$3319,2,FALSE)),"X",$B49)</f>
        <v/>
      </c>
      <c r="H49" s="95" t="str">
        <f>IF(ISTEXT(VLOOKUP(CONCATENATE($A49,"_",H$3),'Unit List'!$A$23:$H$3319,2,FALSE)),"X",$B49)</f>
        <v>X</v>
      </c>
      <c r="I49" s="96" t="str">
        <f>IF(ISTEXT(VLOOKUP(CONCATENATE($A49,"_",I$3),'Unit List'!$A$23:$H$3319,2,FALSE)),"X",$B49)</f>
        <v/>
      </c>
      <c r="J49" s="97" t="str">
        <f>IF(ISTEXT(VLOOKUP(CONCATENATE($A49,"_",J$3),'Unit List'!$A$23:$H$3319,2,FALSE)),"+","")</f>
        <v/>
      </c>
      <c r="K49" s="94" t="str">
        <f>IF(ISTEXT(VLOOKUP(CONCATENATE($A49,"_",K$3),'Unit List'!$A$23:$H$3319,2,FALSE)),"X",$J49)</f>
        <v/>
      </c>
      <c r="L49" s="101" t="str">
        <f>IF(ISTEXT(VLOOKUP(CONCATENATE($A49,"_",L$3),'Unit List'!$A$23:$H$3319,2,FALSE)),"X",$J49)</f>
        <v/>
      </c>
      <c r="M49" s="97" t="str">
        <f>IF(ISTEXT(VLOOKUP(CONCATENATE($A49,"_",M$3),'Unit List'!$A$23:$H$3319,2,FALSE)),"+","")</f>
        <v/>
      </c>
      <c r="N49" s="94" t="str">
        <f>IF(ISTEXT(VLOOKUP(CONCATENATE($A49,"_",N$3),'Unit List'!$A$23:$H$3319,2,FALSE)),"X",$M49)</f>
        <v/>
      </c>
      <c r="O49" s="96" t="str">
        <f>IF(ISTEXT(VLOOKUP(CONCATENATE($A49,"_",O$3),'Unit List'!$A$23:$H$3319,2,FALSE)),"X",$M49)</f>
        <v/>
      </c>
      <c r="P49" s="97" t="str">
        <f>IF(ISTEXT(VLOOKUP(CONCATENATE($A49,"_",P$3),'Unit List'!$A$23:$H$3319,2,FALSE)),"+","")</f>
        <v/>
      </c>
      <c r="Q49" s="94" t="str">
        <f>IF(ISTEXT(VLOOKUP(CONCATENATE($A49,"_",Q$3),'Unit List'!$A$23:$H$3319,2,FALSE)),"X",$P49)</f>
        <v/>
      </c>
      <c r="R49" s="94" t="str">
        <f>IF(ISTEXT(VLOOKUP(CONCATENATE($A49,"_",R$3),'Unit List'!$A$23:$H$3319,2,FALSE)),"X",$P49)</f>
        <v/>
      </c>
      <c r="S49" s="94" t="str">
        <f>IF(ISTEXT(VLOOKUP(CONCATENATE($A49,"_",S$3),'Unit List'!$A$23:$H$3319,2,FALSE)),"X",$P49)</f>
        <v/>
      </c>
      <c r="T49" s="100" t="str">
        <f>IF(ISTEXT(VLOOKUP(CONCATENATE($A49,"_",T$3),'Unit List'!$A$23:$H$3319,2,FALSE)),"X",$P49)</f>
        <v/>
      </c>
      <c r="U49" s="94" t="str">
        <f>IF(ISTEXT(VLOOKUP(CONCATENATE($A49,"_",U$3),'Unit List'!$A$23:$H$3319,2,FALSE)),"X",$P49)</f>
        <v/>
      </c>
      <c r="V49" s="94" t="str">
        <f>IF(ISTEXT(VLOOKUP(CONCATENATE($A49,"_",V$3),'Unit List'!$A$23:$H$3319,2,FALSE)),"X",$P49)</f>
        <v/>
      </c>
      <c r="W49" s="96" t="str">
        <f>IF(ISTEXT(VLOOKUP(CONCATENATE($A49,"_",W$3),'Unit List'!$A$23:$H$3319,2,FALSE)),"X",$P49)</f>
        <v/>
      </c>
      <c r="X49" s="97" t="str">
        <f>IF(ISTEXT(VLOOKUP(CONCATENATE($A49,"_",X$3),'Unit List'!$A$23:$H$3319,2,FALSE)),"+","")</f>
        <v/>
      </c>
      <c r="Y49" s="94" t="str">
        <f>IF(ISTEXT(VLOOKUP(CONCATENATE($A49,"_",Y$3),'Unit List'!$A$23:$H$3319,2,FALSE)),"X",$X49)</f>
        <v/>
      </c>
      <c r="Z49" s="94" t="str">
        <f>IF(ISTEXT(VLOOKUP(CONCATENATE($A49,"_",Z$3),'Unit List'!$A$23:$H$3319,2,FALSE)),"X",$X49)</f>
        <v/>
      </c>
      <c r="AA49" s="94" t="str">
        <f>IF(ISTEXT(VLOOKUP(CONCATENATE($A49,"_",AA$3),'Unit List'!$A$23:$H$3319,2,FALSE)),"X",$X49)</f>
        <v/>
      </c>
      <c r="AB49" s="94" t="str">
        <f>IF(ISTEXT(VLOOKUP(CONCATENATE($A49,"_",AB$3),'Unit List'!$A$23:$H$3319,2,FALSE)),"X",$X49)</f>
        <v/>
      </c>
      <c r="AC49" s="101" t="str">
        <f>IF(ISTEXT(VLOOKUP(CONCATENATE($A49,"_",AC$3),'Unit List'!$A$23:$H$3319,2,FALSE)),"X",$X49)</f>
        <v/>
      </c>
      <c r="AD49" s="97" t="str">
        <f>IF(ISTEXT(VLOOKUP(CONCATENATE($A49,"_",AD$3),'Unit List'!$A$23:$H$3319,2,FALSE)),"+","")</f>
        <v/>
      </c>
      <c r="AE49" s="94" t="str">
        <f>IF(ISTEXT(VLOOKUP(CONCATENATE($A49,"_",AE$3),'Unit List'!$A$23:$H$3319,2,FALSE)),"X",$AD49)</f>
        <v/>
      </c>
      <c r="AF49" s="94" t="str">
        <f>IF(ISTEXT(VLOOKUP(CONCATENATE($A49,"_",AF$3),'Unit List'!$A$23:$H$3319,2,FALSE)),"X",$AD49)</f>
        <v/>
      </c>
      <c r="AG49" s="97" t="str">
        <f>IF(ISTEXT(VLOOKUP(CONCATENATE($A49,"_",AG$3),'Unit List'!$A$23:$H$3319,2,FALSE)),"+","")</f>
        <v/>
      </c>
      <c r="AH49" s="94" t="str">
        <f>IF(ISTEXT(VLOOKUP(CONCATENATE($A49,"_",AH$3),'Unit List'!$A$23:$H$3319,2,FALSE)),"X",$AG49)</f>
        <v/>
      </c>
      <c r="AI49" s="94" t="str">
        <f>IF(ISTEXT(VLOOKUP(CONCATENATE($A49,"_",AI$3),'Unit List'!$A$23:$H$3319,2,FALSE)),"X",$AG49)</f>
        <v/>
      </c>
      <c r="AJ49" s="96" t="str">
        <f>IF(ISTEXT(VLOOKUP(CONCATENATE($A49,"_",AJ$3),'Unit List'!$A$23:$H$3319,2,FALSE)),"X",$AG49)</f>
        <v/>
      </c>
      <c r="AK49" s="97" t="str">
        <f>IF(ISTEXT(VLOOKUP(CONCATENATE($A49,"_",AK$3),'Unit List'!$A$23:$H$3319,2,FALSE)),"+","")</f>
        <v/>
      </c>
      <c r="AL49" s="100" t="str">
        <f>IF(ISTEXT(VLOOKUP(CONCATENATE($A49,"_",AL$3),'Unit List'!$A$23:$H$3319,2,FALSE)),"X",$AK49)</f>
        <v/>
      </c>
      <c r="AM49" s="96" t="str">
        <f>IF(ISTEXT(VLOOKUP(CONCATENATE($A49,"_",AM$3),'Unit List'!$A$23:$H$3319,2,FALSE)),"X",$AK49)</f>
        <v/>
      </c>
      <c r="AN49" s="103" t="str">
        <f>IF(ISTEXT(VLOOKUP(CONCATENATE($A49,"_",AN$3),'Unit List'!$A$23:$H$3319,2,FALSE)),"+","")</f>
        <v/>
      </c>
      <c r="AO49" s="96" t="str">
        <f>IF(ISTEXT(VLOOKUP(CONCATENATE($A49,"_",AO$3),'Unit List'!$A$23:$H$3319,2,FALSE)),"X",$AN49)</f>
        <v/>
      </c>
      <c r="AP49" s="97" t="str">
        <f>IF(ISTEXT(VLOOKUP(CONCATENATE($A49,"_",AP$3),'Unit List'!$A$23:$H$3319,2,FALSE)),"+","")</f>
        <v/>
      </c>
      <c r="AQ49" s="94" t="str">
        <f>IF(ISTEXT(VLOOKUP(CONCATENATE($A49,"_",AQ$3),'Unit List'!$A$23:$H$3319,2,FALSE)),"X",$AP49)</f>
        <v/>
      </c>
      <c r="AR49" s="94" t="str">
        <f>IF(ISTEXT(VLOOKUP(CONCATENATE($A49,"_",AR$3),'Unit List'!$A$23:$H$3319,2,FALSE)),"X",$AP49)</f>
        <v/>
      </c>
      <c r="AS49" s="94" t="str">
        <f>IF(ISTEXT(VLOOKUP(CONCATENATE($A49,"_",AS$3),'Unit List'!$A$23:$H$3319,2,FALSE)),"X",$AP49)</f>
        <v/>
      </c>
      <c r="AT49" s="96" t="str">
        <f>IF(ISTEXT(VLOOKUP(CONCATENATE($A49,"_",AT$3),'Unit List'!$A$23:$H$3319,2,FALSE)),"X",$AP49)</f>
        <v/>
      </c>
      <c r="AU49" s="104" t="str">
        <f>IF(ISTEXT(VLOOKUP(CONCATENATE($A49,"_",AU$3),'Unit List'!$A$23:$H$3319,2,FALSE)),"+","")</f>
        <v/>
      </c>
      <c r="AV49" s="94" t="str">
        <f>IF(ISTEXT(VLOOKUP(CONCATENATE($A49,"_",AV$3),'Unit List'!$A$23:$H$3319,2,FALSE)),"X",$AU49)</f>
        <v/>
      </c>
      <c r="AW49" s="96" t="str">
        <f>IF(ISTEXT(VLOOKUP(CONCATENATE($A49,"_",AW$3),'Unit List'!$A$23:$H$3319,2,FALSE)),"X",$AU49)</f>
        <v/>
      </c>
      <c r="AX49" s="97" t="str">
        <f>IF(ISTEXT(VLOOKUP(CONCATENATE($A49,"_",AX$3),'Unit List'!$A$23:$H$3319,2,FALSE)),"+","")</f>
        <v/>
      </c>
      <c r="AY49" s="94" t="str">
        <f>IF(ISTEXT(VLOOKUP(CONCATENATE($A49,"_",AY$3),'Unit List'!$A$23:$H$3319,2,FALSE)),"X",$AX49)</f>
        <v/>
      </c>
      <c r="AZ49" s="96" t="str">
        <f>IF(ISTEXT(VLOOKUP(CONCATENATE($A49,"_",AZ$3),'Unit List'!$A$23:$H$3319,2,FALSE)),"X",$AX49)</f>
        <v/>
      </c>
      <c r="BA49" s="105" t="str">
        <f>IF(ISTEXT(VLOOKUP(CONCATENATE($A49,"_",BA$3),'Unit List'!$A$23:$H$3319,2,FALSE)),"+","")</f>
        <v/>
      </c>
      <c r="BB49" s="94" t="str">
        <f>IF(ISTEXT(VLOOKUP(CONCATENATE($A49,"_",BB$3),'Unit List'!$A$23:$H$3319,2,FALSE)),"X",$BA49)</f>
        <v/>
      </c>
      <c r="BC49" s="94" t="str">
        <f>IF(ISTEXT(VLOOKUP(CONCATENATE($A49,"_",BC$3),'Unit List'!$A$23:$H$3319,2,FALSE)),"X",$BA49)</f>
        <v/>
      </c>
      <c r="BD49" s="96" t="str">
        <f>IF(ISTEXT(VLOOKUP(CONCATENATE($A49,"_",BD$3),'Unit List'!$A$23:$H$3319,2,FALSE)),"X",$BA49)</f>
        <v/>
      </c>
      <c r="BE49" s="103" t="str">
        <f>IF(ISTEXT(VLOOKUP(CONCATENATE($A49,"_",BE$3),'Unit List'!$A$23:$H$3319,2,FALSE)),"+","")</f>
        <v/>
      </c>
      <c r="BF49" s="101" t="str">
        <f>IF(ISTEXT(VLOOKUP(CONCATENATE($A49,"_",BF$3),'Unit List'!$A$23:$H$3319,2,FALSE)),"X",$BE49)</f>
        <v/>
      </c>
      <c r="BG49" s="106"/>
      <c r="BH49" s="107" t="s">
        <v>0</v>
      </c>
      <c r="BI49" s="228"/>
      <c r="BJ49" s="229"/>
      <c r="BK49" s="229"/>
      <c r="BL49" s="229"/>
      <c r="BM49" s="230"/>
      <c r="BN49" s="108"/>
      <c r="BO49" s="108"/>
      <c r="BP49" s="108"/>
      <c r="BQ49" s="108"/>
      <c r="BR49" s="108"/>
      <c r="BS49" s="108"/>
      <c r="DZ49" s="109"/>
      <c r="EA49" s="109"/>
    </row>
    <row r="50" spans="1:131" ht="12.75" customHeight="1" x14ac:dyDescent="0.2">
      <c r="A50" s="90" t="s">
        <v>17</v>
      </c>
      <c r="B50" s="91" t="str">
        <f>IF(ISTEXT(VLOOKUP(CONCATENATE($A50,"_",B$3),'Unit List'!$A$23:$H$3319,2,FALSE)),"+","")</f>
        <v/>
      </c>
      <c r="C50" s="131" t="str">
        <f>IF(ISTEXT(VLOOKUP(CONCATENATE($A50,"_",C$3),'Unit List'!$A$23:$H$3319,2,FALSE)),"X",$B50)</f>
        <v>X</v>
      </c>
      <c r="D50" s="95" t="str">
        <f>IF(ISTEXT(VLOOKUP(CONCATENATE($A50,"_",D$3),'Unit List'!$A$23:$H$3319,2,FALSE)),"X",$B50)</f>
        <v>X</v>
      </c>
      <c r="E50" s="94" t="str">
        <f>IF(ISTEXT(VLOOKUP(CONCATENATE($A50,"_",E$3),'Unit List'!$A$23:$H$3319,2,FALSE)),"X",$B50)</f>
        <v>X</v>
      </c>
      <c r="F50" s="94" t="str">
        <f>IF(ISTEXT(VLOOKUP(CONCATENATE($A50,"_",F$3),'Unit List'!$A$23:$H$3319,2,FALSE)),"X",$B50)</f>
        <v>X</v>
      </c>
      <c r="G50" s="94" t="str">
        <f>IF(ISTEXT(VLOOKUP(CONCATENATE($A50,"_",G$3),'Unit List'!$A$23:$H$3319,2,FALSE)),"X",$B50)</f>
        <v>X</v>
      </c>
      <c r="H50" s="94" t="str">
        <f>IF(ISTEXT(VLOOKUP(CONCATENATE($A50,"_",H$3),'Unit List'!$A$23:$H$3319,2,FALSE)),"X",$B50)</f>
        <v>X</v>
      </c>
      <c r="I50" s="114" t="str">
        <f>IF(ISTEXT(VLOOKUP(CONCATENATE($A50,"_",I$3),'Unit List'!$A$23:$H$3319,2,FALSE)),"X",$B50)</f>
        <v>X</v>
      </c>
      <c r="J50" s="97" t="str">
        <f>IF(ISTEXT(VLOOKUP(CONCATENATE($A50,"_",J$3),'Unit List'!$A$23:$H$3319,2,FALSE)),"+","")</f>
        <v/>
      </c>
      <c r="K50" s="94" t="str">
        <f>IF(ISTEXT(VLOOKUP(CONCATENATE($A50,"_",K$3),'Unit List'!$A$23:$H$3319,2,FALSE)),"X",$J50)</f>
        <v/>
      </c>
      <c r="L50" s="135" t="str">
        <f>IF(ISTEXT(VLOOKUP(CONCATENATE($A50,"_",L$3),'Unit List'!$A$23:$H$3319,2,FALSE)),"X",$J50)</f>
        <v>X</v>
      </c>
      <c r="M50" s="97" t="str">
        <f>IF(ISTEXT(VLOOKUP(CONCATENATE($A50,"_",M$3),'Unit List'!$A$23:$H$3319,2,FALSE)),"+","")</f>
        <v>+</v>
      </c>
      <c r="N50" s="95" t="str">
        <f>IF(ISTEXT(VLOOKUP(CONCATENATE($A50,"_",N$3),'Unit List'!$A$23:$H$3319,2,FALSE)),"X",$M50)</f>
        <v>X</v>
      </c>
      <c r="O50" s="114" t="str">
        <f>IF(ISTEXT(VLOOKUP(CONCATENATE($A50,"_",O$3),'Unit List'!$A$23:$H$3319,2,FALSE)),"X",$M50)</f>
        <v>X</v>
      </c>
      <c r="P50" s="97" t="str">
        <f>IF(ISTEXT(VLOOKUP(CONCATENATE($A50,"_",P$3),'Unit List'!$A$23:$H$3319,2,FALSE)),"+","")</f>
        <v/>
      </c>
      <c r="Q50" s="110" t="str">
        <f>IF(ISTEXT(VLOOKUP(CONCATENATE($A50,"_",Q$3),'Unit List'!$A$23:$H$3319,2,FALSE)),"X",$P50)</f>
        <v/>
      </c>
      <c r="R50" s="94" t="str">
        <f>IF(ISTEXT(VLOOKUP(CONCATENATE($A50,"_",R$3),'Unit List'!$A$23:$H$3319,2,FALSE)),"X",$P50)</f>
        <v/>
      </c>
      <c r="S50" s="95" t="str">
        <f>IF(ISTEXT(VLOOKUP(CONCATENATE($A50,"_",S$3),'Unit List'!$A$23:$H$3319,2,FALSE)),"X",$P50)</f>
        <v>X</v>
      </c>
      <c r="T50" s="100" t="str">
        <f>IF(ISTEXT(VLOOKUP(CONCATENATE($A50,"_",T$3),'Unit List'!$A$23:$H$3319,2,FALSE)),"X",$P50)</f>
        <v/>
      </c>
      <c r="U50" s="95" t="str">
        <f>IF(ISTEXT(VLOOKUP(CONCATENATE($A50,"_",U$3),'Unit List'!$A$23:$H$3319,2,FALSE)),"X",$P50)</f>
        <v>X</v>
      </c>
      <c r="V50" s="94" t="str">
        <f>IF(ISTEXT(VLOOKUP(CONCATENATE($A50,"_",V$3),'Unit List'!$A$23:$H$3319,2,FALSE)),"X",$P50)</f>
        <v/>
      </c>
      <c r="W50" s="96" t="str">
        <f>IF(ISTEXT(VLOOKUP(CONCATENATE($A50,"_",W$3),'Unit List'!$A$23:$H$3319,2,FALSE)),"X",$P50)</f>
        <v/>
      </c>
      <c r="X50" s="97" t="str">
        <f>IF(ISTEXT(VLOOKUP(CONCATENATE($A50,"_",X$3),'Unit List'!$A$23:$H$3319,2,FALSE)),"+","")</f>
        <v/>
      </c>
      <c r="Y50" s="94" t="str">
        <f>IF(ISTEXT(VLOOKUP(CONCATENATE($A50,"_",Y$3),'Unit List'!$A$23:$H$3319,2,FALSE)),"X",$X50)</f>
        <v/>
      </c>
      <c r="Z50" s="94" t="str">
        <f>IF(ISTEXT(VLOOKUP(CONCATENATE($A50,"_",Z$3),'Unit List'!$A$23:$H$3319,2,FALSE)),"X",$X50)</f>
        <v/>
      </c>
      <c r="AA50" s="94" t="str">
        <f>IF(ISTEXT(VLOOKUP(CONCATENATE($A50,"_",AA$3),'Unit List'!$A$23:$H$3319,2,FALSE)),"X",$X50)</f>
        <v/>
      </c>
      <c r="AB50" s="94" t="str">
        <f>IF(ISTEXT(VLOOKUP(CONCATENATE($A50,"_",AB$3),'Unit List'!$A$23:$H$3319,2,FALSE)),"X",$X50)</f>
        <v/>
      </c>
      <c r="AC50" s="101" t="str">
        <f>IF(ISTEXT(VLOOKUP(CONCATENATE($A50,"_",AC$3),'Unit List'!$A$23:$H$3319,2,FALSE)),"X",$X50)</f>
        <v/>
      </c>
      <c r="AD50" s="97" t="str">
        <f>IF(ISTEXT(VLOOKUP(CONCATENATE($A50,"_",AD$3),'Unit List'!$A$23:$H$3319,2,FALSE)),"+","")</f>
        <v>+</v>
      </c>
      <c r="AE50" s="94" t="str">
        <f>IF(ISTEXT(VLOOKUP(CONCATENATE($A50,"_",AE$3),'Unit List'!$A$23:$H$3319,2,FALSE)),"X",$AD50)</f>
        <v>+</v>
      </c>
      <c r="AF50" s="94" t="str">
        <f>IF(ISTEXT(VLOOKUP(CONCATENATE($A50,"_",AF$3),'Unit List'!$A$23:$H$3319,2,FALSE)),"X",$AD50)</f>
        <v>+</v>
      </c>
      <c r="AG50" s="97" t="str">
        <f>IF(ISTEXT(VLOOKUP(CONCATENATE($A50,"_",AG$3),'Unit List'!$A$23:$H$3319,2,FALSE)),"+","")</f>
        <v/>
      </c>
      <c r="AH50" s="94" t="str">
        <f>IF(ISTEXT(VLOOKUP(CONCATENATE($A50,"_",AH$3),'Unit List'!$A$23:$H$3319,2,FALSE)),"X",$AG50)</f>
        <v/>
      </c>
      <c r="AI50" s="94" t="str">
        <f>IF(ISTEXT(VLOOKUP(CONCATENATE($A50,"_",AI$3),'Unit List'!$A$23:$H$3319,2,FALSE)),"X",$AG50)</f>
        <v/>
      </c>
      <c r="AJ50" s="96" t="str">
        <f>IF(ISTEXT(VLOOKUP(CONCATENATE($A50,"_",AJ$3),'Unit List'!$A$23:$H$3319,2,FALSE)),"X",$AG50)</f>
        <v>X</v>
      </c>
      <c r="AK50" s="97" t="str">
        <f>IF(ISTEXT(VLOOKUP(CONCATENATE($A50,"_",AK$3),'Unit List'!$A$23:$H$3319,2,FALSE)),"+","")</f>
        <v/>
      </c>
      <c r="AL50" s="136" t="str">
        <f>IF(ISTEXT(VLOOKUP(CONCATENATE($A50,"_",AL$3),'Unit List'!$A$23:$H$3319,2,FALSE)),"X",$AK50)</f>
        <v>X</v>
      </c>
      <c r="AM50" s="96" t="str">
        <f>IF(ISTEXT(VLOOKUP(CONCATENATE($A50,"_",AM$3),'Unit List'!$A$23:$H$3319,2,FALSE)),"X",$AK50)</f>
        <v/>
      </c>
      <c r="AN50" s="103" t="str">
        <f>IF(ISTEXT(VLOOKUP(CONCATENATE($A50,"_",AN$3),'Unit List'!$A$23:$H$3319,2,FALSE)),"+","")</f>
        <v>+</v>
      </c>
      <c r="AO50" s="99" t="str">
        <f>IF(ISTEXT(VLOOKUP(CONCATENATE($A50,"_",AO$3),'Unit List'!$A$23:$H$3319,2,FALSE)),"X",$AN50)</f>
        <v>+</v>
      </c>
      <c r="AP50" s="97" t="str">
        <f>IF(ISTEXT(VLOOKUP(CONCATENATE($A50,"_",AP$3),'Unit List'!$A$23:$H$3319,2,FALSE)),"+","")</f>
        <v>+</v>
      </c>
      <c r="AQ50" s="94" t="str">
        <f>IF(ISTEXT(VLOOKUP(CONCATENATE($A50,"_",AQ$3),'Unit List'!$A$23:$H$3319,2,FALSE)),"X",$AP50)</f>
        <v>+</v>
      </c>
      <c r="AR50" s="95" t="str">
        <f>IF(ISTEXT(VLOOKUP(CONCATENATE($A50,"_",AR$3),'Unit List'!$A$23:$H$3319,2,FALSE)),"X",$AP50)</f>
        <v>X</v>
      </c>
      <c r="AS50" s="94" t="str">
        <f>IF(ISTEXT(VLOOKUP(CONCATENATE($A50,"_",AS$3),'Unit List'!$A$23:$H$3319,2,FALSE)),"X",$AP50)</f>
        <v>+</v>
      </c>
      <c r="AT50" s="96" t="str">
        <f>IF(ISTEXT(VLOOKUP(CONCATENATE($A50,"_",AT$3),'Unit List'!$A$23:$H$3319,2,FALSE)),"X",$AP50)</f>
        <v>+</v>
      </c>
      <c r="AU50" s="104" t="str">
        <f>IF(ISTEXT(VLOOKUP(CONCATENATE($A50,"_",AU$3),'Unit List'!$A$23:$H$3319,2,FALSE)),"+","")</f>
        <v>+</v>
      </c>
      <c r="AV50" s="94" t="str">
        <f>IF(ISTEXT(VLOOKUP(CONCATENATE($A50,"_",AV$3),'Unit List'!$A$23:$H$3319,2,FALSE)),"X",$AU50)</f>
        <v>+</v>
      </c>
      <c r="AW50" s="96" t="str">
        <f>IF(ISTEXT(VLOOKUP(CONCATENATE($A50,"_",AW$3),'Unit List'!$A$23:$H$3319,2,FALSE)),"X",$AU50)</f>
        <v>+</v>
      </c>
      <c r="AX50" s="97" t="str">
        <f>IF(ISTEXT(VLOOKUP(CONCATENATE($A50,"_",AX$3),'Unit List'!$A$23:$H$3319,2,FALSE)),"+","")</f>
        <v>+</v>
      </c>
      <c r="AY50" s="94" t="str">
        <f>IF(ISTEXT(VLOOKUP(CONCATENATE($A50,"_",AY$3),'Unit List'!$A$23:$H$3319,2,FALSE)),"X",$AX50)</f>
        <v>+</v>
      </c>
      <c r="AZ50" s="96" t="str">
        <f>IF(ISTEXT(VLOOKUP(CONCATENATE($A50,"_",AZ$3),'Unit List'!$A$23:$H$3319,2,FALSE)),"X",$AX50)</f>
        <v>+</v>
      </c>
      <c r="BA50" s="105" t="str">
        <f>IF(ISTEXT(VLOOKUP(CONCATENATE($A50,"_",BA$3),'Unit List'!$A$23:$H$3319,2,FALSE)),"+","")</f>
        <v/>
      </c>
      <c r="BB50" s="94" t="str">
        <f>IF(ISTEXT(VLOOKUP(CONCATENATE($A50,"_",BB$3),'Unit List'!$A$23:$H$3319,2,FALSE)),"X",$BA50)</f>
        <v/>
      </c>
      <c r="BC50" s="94" t="str">
        <f>IF(ISTEXT(VLOOKUP(CONCATENATE($A50,"_",BC$3),'Unit List'!$A$23:$H$3319,2,FALSE)),"X",$BA50)</f>
        <v/>
      </c>
      <c r="BD50" s="96" t="str">
        <f>IF(ISTEXT(VLOOKUP(CONCATENATE($A50,"_",BD$3),'Unit List'!$A$23:$H$3319,2,FALSE)),"X",$BA50)</f>
        <v/>
      </c>
      <c r="BE50" s="103" t="str">
        <f>IF(ISTEXT(VLOOKUP(CONCATENATE($A50,"_",BE$3),'Unit List'!$A$23:$H$3319,2,FALSE)),"+","")</f>
        <v>+</v>
      </c>
      <c r="BF50" s="101" t="str">
        <f>IF(ISTEXT(VLOOKUP(CONCATENATE($A50,"_",BF$3),'Unit List'!$A$23:$H$3319,2,FALSE)),"X",$BE50)</f>
        <v>+</v>
      </c>
      <c r="BG50" s="106"/>
      <c r="BH50" s="107" t="s">
        <v>0</v>
      </c>
      <c r="BI50" s="228"/>
      <c r="BJ50" s="229"/>
      <c r="BK50" s="229"/>
      <c r="BL50" s="229"/>
      <c r="BM50" s="230"/>
      <c r="BN50" s="108"/>
      <c r="BO50" s="108"/>
      <c r="BP50" s="108"/>
      <c r="BQ50" s="108"/>
      <c r="BR50" s="108"/>
      <c r="BS50" s="108"/>
      <c r="DZ50" s="109"/>
      <c r="EA50" s="109"/>
    </row>
    <row r="51" spans="1:131" ht="12.75" customHeight="1" x14ac:dyDescent="0.2">
      <c r="A51" s="90" t="s">
        <v>16</v>
      </c>
      <c r="B51" s="91" t="str">
        <f>IF(ISTEXT(VLOOKUP(CONCATENATE($A51,"_",B$3),'Unit List'!$A$23:$H$3319,2,FALSE)),"+","")</f>
        <v>+</v>
      </c>
      <c r="C51" s="131" t="str">
        <f>IF(ISTEXT(VLOOKUP(CONCATENATE($A51,"_",C$3),'Unit List'!$A$23:$H$3319,2,FALSE)),"X",$B51)</f>
        <v>X</v>
      </c>
      <c r="D51" s="110" t="str">
        <f>IF(ISTEXT(VLOOKUP(CONCATENATE($A51,"_",D$3),'Unit List'!$A$23:$H$3319,2,FALSE)),"X",$B51)</f>
        <v>+</v>
      </c>
      <c r="E51" s="93" t="str">
        <f>IF(ISTEXT(VLOOKUP(CONCATENATE($A51,"_",E$3),'Unit List'!$A$23:$H$3319,2,FALSE)),"X",$B51)</f>
        <v>+</v>
      </c>
      <c r="F51" s="95" t="str">
        <f>IF(ISTEXT(VLOOKUP(CONCATENATE($A51,"_",F$3),'Unit List'!$A$23:$H$3319,2,FALSE)),"X",$B51)</f>
        <v>X</v>
      </c>
      <c r="G51" s="95" t="str">
        <f>IF(ISTEXT(VLOOKUP(CONCATENATE($A51,"_",G$3),'Unit List'!$A$23:$H$3319,2,FALSE)),"X",$B51)</f>
        <v>X</v>
      </c>
      <c r="H51" s="95" t="str">
        <f>IF(ISTEXT(VLOOKUP(CONCATENATE($A51,"_",H$3),'Unit List'!$A$23:$H$3319,2,FALSE)),"X",$B51)</f>
        <v>X</v>
      </c>
      <c r="I51" s="96" t="str">
        <f>IF(ISTEXT(VLOOKUP(CONCATENATE($A51,"_",I$3),'Unit List'!$A$23:$H$3319,2,FALSE)),"X",$B51)</f>
        <v>+</v>
      </c>
      <c r="J51" s="97" t="str">
        <f>IF(ISTEXT(VLOOKUP(CONCATENATE($A51,"_",J$3),'Unit List'!$A$23:$H$3319,2,FALSE)),"+","")</f>
        <v>+</v>
      </c>
      <c r="K51" s="143" t="str">
        <f>IF(ISTEXT(VLOOKUP(CONCATENATE($A51,"_",K$3),'Unit List'!$A$23:$H$3319,2,FALSE)),"X",$J51)</f>
        <v>+</v>
      </c>
      <c r="L51" s="112" t="str">
        <f>IF(ISTEXT(VLOOKUP(CONCATENATE($A51,"_",L$3),'Unit List'!$A$23:$H$3319,2,FALSE)),"X",$J51)</f>
        <v>+</v>
      </c>
      <c r="M51" s="97" t="str">
        <f>IF(ISTEXT(VLOOKUP(CONCATENATE($A51,"_",M$3),'Unit List'!$A$23:$H$3319,2,FALSE)),"+","")</f>
        <v>+</v>
      </c>
      <c r="N51" s="94" t="str">
        <f>IF(ISTEXT(VLOOKUP(CONCATENATE($A51,"_",N$3),'Unit List'!$A$23:$H$3319,2,FALSE)),"X",$M51)</f>
        <v>X</v>
      </c>
      <c r="O51" s="96" t="str">
        <f>IF(ISTEXT(VLOOKUP(CONCATENATE($A51,"_",O$3),'Unit List'!$A$23:$H$3319,2,FALSE)),"X",$M51)</f>
        <v>X</v>
      </c>
      <c r="P51" s="115" t="str">
        <f>IF(ISTEXT(VLOOKUP(CONCATENATE($A51,"_",P$3),'Unit List'!$A$23:$H$3319,2,FALSE)),"+","")</f>
        <v>+</v>
      </c>
      <c r="Q51" s="94" t="str">
        <f>IF(ISTEXT(VLOOKUP(CONCATENATE($A51,"_",Q$3),'Unit List'!$A$23:$H$3319,2,FALSE)),"X",$P51)</f>
        <v>+</v>
      </c>
      <c r="R51" s="94" t="str">
        <f>IF(ISTEXT(VLOOKUP(CONCATENATE($A51,"_",R$3),'Unit List'!$A$23:$H$3319,2,FALSE)),"X",$P51)</f>
        <v>+</v>
      </c>
      <c r="S51" s="95" t="str">
        <f>IF(ISTEXT(VLOOKUP(CONCATENATE($A51,"_",S$3),'Unit List'!$A$23:$H$3319,2,FALSE)),"X",$P51)</f>
        <v>X</v>
      </c>
      <c r="T51" s="100" t="str">
        <f>IF(ISTEXT(VLOOKUP(CONCATENATE($A51,"_",T$3),'Unit List'!$A$23:$H$3319,2,FALSE)),"X",$P51)</f>
        <v>+</v>
      </c>
      <c r="U51" s="138" t="s">
        <v>3</v>
      </c>
      <c r="V51" s="95" t="str">
        <f>IF(ISTEXT(VLOOKUP(CONCATENATE($A51,"_",V$3),'Unit List'!$A$23:$H$3319,2,FALSE)),"X",$P51)</f>
        <v>X</v>
      </c>
      <c r="W51" s="96" t="str">
        <f>IF(ISTEXT(VLOOKUP(CONCATENATE($A51,"_",W$3),'Unit List'!$A$23:$H$3319,2,FALSE)),"X",$P51)</f>
        <v>+</v>
      </c>
      <c r="X51" s="115" t="str">
        <f>IF(ISTEXT(VLOOKUP(CONCATENATE($A51,"_",X$3),'Unit List'!$A$23:$H$3319,2,FALSE)),"+","")</f>
        <v>+</v>
      </c>
      <c r="Y51" s="94" t="str">
        <f>IF(ISTEXT(VLOOKUP(CONCATENATE($A51,"_",Y$3),'Unit List'!$A$23:$H$3319,2,FALSE)),"X",$X51)</f>
        <v>X</v>
      </c>
      <c r="Z51" s="94" t="str">
        <f>IF(ISTEXT(VLOOKUP(CONCATENATE($A51,"_",Z$3),'Unit List'!$A$23:$H$3319,2,FALSE)),"X",$X51)</f>
        <v>+</v>
      </c>
      <c r="AA51" s="95" t="str">
        <f>IF(ISTEXT(VLOOKUP(CONCATENATE($A51,"_",AA$3),'Unit List'!$A$23:$H$3319,2,FALSE)),"X",$X51)</f>
        <v>X</v>
      </c>
      <c r="AB51" s="95" t="str">
        <f>IF(ISTEXT(VLOOKUP(CONCATENATE($A51,"_",AB$3),'Unit List'!$A$23:$H$3319,2,FALSE)),"X",$X51)</f>
        <v>X</v>
      </c>
      <c r="AC51" s="135" t="str">
        <f>IF(ISTEXT(VLOOKUP(CONCATENATE($A51,"_",AC$3),'Unit List'!$A$23:$H$3319,2,FALSE)),"X",$X51)</f>
        <v>X</v>
      </c>
      <c r="AD51" s="115" t="str">
        <f>IF(ISTEXT(VLOOKUP(CONCATENATE($A51,"_",AD$3),'Unit List'!$A$23:$H$3319,2,FALSE)),"+","")</f>
        <v>+</v>
      </c>
      <c r="AE51" s="94" t="str">
        <f>IF(ISTEXT(VLOOKUP(CONCATENATE($A51,"_",AE$3),'Unit List'!$A$23:$H$3319,2,FALSE)),"X",$AD51)</f>
        <v>X</v>
      </c>
      <c r="AF51" s="94" t="str">
        <f>IF(ISTEXT(VLOOKUP(CONCATENATE($A51,"_",AF$3),'Unit List'!$A$23:$H$3319,2,FALSE)),"X",$AD51)</f>
        <v>+</v>
      </c>
      <c r="AG51" s="115" t="str">
        <f>IF(ISTEXT(VLOOKUP(CONCATENATE($A51,"_",AG$3),'Unit List'!$A$23:$H$3319,2,FALSE)),"+","")</f>
        <v>+</v>
      </c>
      <c r="AH51" s="95" t="str">
        <f>IF(ISTEXT(VLOOKUP(CONCATENATE($A51,"_",AH$3),'Unit List'!$A$23:$H$3319,2,FALSE)),"X",$AG51)</f>
        <v>X</v>
      </c>
      <c r="AI51" s="95" t="str">
        <f>IF(ISTEXT(VLOOKUP(CONCATENATE($A51,"_",AI$3),'Unit List'!$A$23:$H$3319,2,FALSE)),"X",$AG51)</f>
        <v>X</v>
      </c>
      <c r="AJ51" s="114" t="str">
        <f>IF(ISTEXT(VLOOKUP(CONCATENATE($A51,"_",AJ$3),'Unit List'!$A$23:$H$3319,2,FALSE)),"X",$AG51)</f>
        <v>+</v>
      </c>
      <c r="AK51" s="115" t="str">
        <f>IF(ISTEXT(VLOOKUP(CONCATENATE($A51,"_",AK$3),'Unit List'!$A$23:$H$3319,2,FALSE)),"+","")</f>
        <v>+</v>
      </c>
      <c r="AL51" s="100" t="str">
        <f>IF(ISTEXT(VLOOKUP(CONCATENATE($A51,"_",AL$3),'Unit List'!$A$23:$H$3319,2,FALSE)),"X",$AK51)</f>
        <v>X</v>
      </c>
      <c r="AM51" s="114" t="str">
        <f>IF(ISTEXT(VLOOKUP(CONCATENATE($A51,"_",AM$3),'Unit List'!$A$23:$H$3319,2,FALSE)),"X",$AK51)</f>
        <v>X</v>
      </c>
      <c r="AN51" s="103" t="str">
        <f>IF(ISTEXT(VLOOKUP(CONCATENATE($A51,"_",AN$3),'Unit List'!$A$23:$H$3319,2,FALSE)),"+","")</f>
        <v>+</v>
      </c>
      <c r="AO51" s="114" t="str">
        <f>IF(ISTEXT(VLOOKUP(CONCATENATE($A51,"_",AO$3),'Unit List'!$A$23:$H$3319,2,FALSE)),"X",$AN51)</f>
        <v>X</v>
      </c>
      <c r="AP51" s="115" t="str">
        <f>IF(ISTEXT(VLOOKUP(CONCATENATE($A51,"_",AP$3),'Unit List'!$A$23:$H$3319,2,FALSE)),"+","")</f>
        <v>+</v>
      </c>
      <c r="AQ51" s="95" t="str">
        <f>IF(ISTEXT(VLOOKUP(CONCATENATE($A51,"_",AQ$3),'Unit List'!$A$23:$H$3319,2,FALSE)),"X",$AP51)</f>
        <v>X</v>
      </c>
      <c r="AR51" s="95" t="str">
        <f>IF(ISTEXT(VLOOKUP(CONCATENATE($A51,"_",AR$3),'Unit List'!$A$23:$H$3319,2,FALSE)),"X",$AP51)</f>
        <v>X</v>
      </c>
      <c r="AS51" s="95" t="str">
        <f>IF(ISTEXT(VLOOKUP(CONCATENATE($A51,"_",AS$3),'Unit List'!$A$23:$H$3319,2,FALSE)),"X",$AP51)</f>
        <v>X</v>
      </c>
      <c r="AT51" s="114" t="str">
        <f>IF(ISTEXT(VLOOKUP(CONCATENATE($A51,"_",AT$3),'Unit List'!$A$23:$H$3319,2,FALSE)),"X",$AP51)</f>
        <v>X</v>
      </c>
      <c r="AU51" s="104" t="str">
        <f>IF(ISTEXT(VLOOKUP(CONCATENATE($A51,"_",AU$3),'Unit List'!$A$23:$H$3319,2,FALSE)),"+","")</f>
        <v>+</v>
      </c>
      <c r="AV51" s="139" t="s">
        <v>0</v>
      </c>
      <c r="AW51" s="96" t="str">
        <f>IF(ISTEXT(VLOOKUP(CONCATENATE($A51,"_",AW$3),'Unit List'!$A$23:$H$3319,2,FALSE)),"X",$AU51)</f>
        <v>+</v>
      </c>
      <c r="AX51" s="97" t="str">
        <f>IF(ISTEXT(VLOOKUP(CONCATENATE($A51,"_",AX$3),'Unit List'!$A$23:$H$3319,2,FALSE)),"+","")</f>
        <v/>
      </c>
      <c r="AY51" s="138" t="s">
        <v>0</v>
      </c>
      <c r="AZ51" s="96" t="str">
        <f>IF(ISTEXT(VLOOKUP(CONCATENATE($A51,"_",AZ$3),'Unit List'!$A$23:$H$3319,2,FALSE)),"X",$AX51)</f>
        <v/>
      </c>
      <c r="BA51" s="115" t="str">
        <f>IF(ISTEXT(VLOOKUP(CONCATENATE($A51,"_",BA$3),'Unit List'!$A$23:$H$3319,2,FALSE)),"+","")</f>
        <v>+</v>
      </c>
      <c r="BB51" s="95" t="str">
        <f>IF(ISTEXT(VLOOKUP(CONCATENATE($A51,"_",BB$3),'Unit List'!$A$23:$H$3319,2,FALSE)),"X",$BA51)</f>
        <v>X</v>
      </c>
      <c r="BC51" s="95" t="str">
        <f>IF(ISTEXT(VLOOKUP(CONCATENATE($A51,"_",BC$3),'Unit List'!$A$23:$H$3319,2,FALSE)),"X",$BA51)</f>
        <v>X</v>
      </c>
      <c r="BD51" s="114" t="str">
        <f>IF(ISTEXT(VLOOKUP(CONCATENATE($A51,"_",BD$3),'Unit List'!$A$23:$H$3319,2,FALSE)),"X",$BA51)</f>
        <v>X</v>
      </c>
      <c r="BE51" s="103" t="str">
        <f>IF(ISTEXT(VLOOKUP(CONCATENATE($A51,"_",BE$3),'Unit List'!$A$23:$H$3319,2,FALSE)),"+","")</f>
        <v>+</v>
      </c>
      <c r="BF51" s="135" t="str">
        <f>IF(ISTEXT(VLOOKUP(CONCATENATE($A51,"_",BF$3),'Unit List'!$A$23:$H$3319,2,FALSE)),"X",$BE51)</f>
        <v>X</v>
      </c>
      <c r="BG51" s="124"/>
      <c r="BH51" s="125" t="s">
        <v>0</v>
      </c>
      <c r="BI51" s="228" t="s">
        <v>12</v>
      </c>
      <c r="BJ51" s="231"/>
      <c r="BK51" s="231"/>
      <c r="BL51" s="231"/>
      <c r="BM51" s="232"/>
      <c r="BN51" s="108"/>
      <c r="BO51" s="108"/>
      <c r="BP51" s="108"/>
      <c r="BQ51" s="108"/>
      <c r="BR51" s="108"/>
      <c r="BS51" s="108"/>
      <c r="DZ51" s="109"/>
      <c r="EA51" s="109"/>
    </row>
    <row r="52" spans="1:131" ht="12.75" customHeight="1" x14ac:dyDescent="0.2">
      <c r="A52" s="90" t="s">
        <v>15</v>
      </c>
      <c r="B52" s="91" t="str">
        <f>IF(ISTEXT(VLOOKUP(CONCATENATE($A52,"_",B$3),'Unit List'!$A$23:$H$3319,2,FALSE)),"+","")</f>
        <v/>
      </c>
      <c r="C52" s="131" t="str">
        <f>IF(ISTEXT(VLOOKUP(CONCATENATE($A52,"_",C$3),'Unit List'!$A$23:$H$3319,2,FALSE)),"X",$B52)</f>
        <v>X</v>
      </c>
      <c r="D52" s="95" t="str">
        <f>IF(ISTEXT(VLOOKUP(CONCATENATE($A52,"_",D$3),'Unit List'!$A$23:$H$3319,2,FALSE)),"X",$B52)</f>
        <v>X</v>
      </c>
      <c r="E52" s="94" t="str">
        <f>IF(ISTEXT(VLOOKUP(CONCATENATE($A52,"_",E$3),'Unit List'!$A$23:$H$3319,2,FALSE)),"X",$B52)</f>
        <v>X</v>
      </c>
      <c r="F52" s="95" t="str">
        <f>IF(ISTEXT(VLOOKUP(CONCATENATE($A52,"_",F$3),'Unit List'!$A$23:$H$3319,2,FALSE)),"X",$B52)</f>
        <v>X</v>
      </c>
      <c r="G52" s="95" t="str">
        <f>IF(ISTEXT(VLOOKUP(CONCATENATE($A52,"_",G$3),'Unit List'!$A$23:$H$3319,2,FALSE)),"X",$B52)</f>
        <v>X</v>
      </c>
      <c r="H52" s="138" t="s">
        <v>3</v>
      </c>
      <c r="I52" s="114" t="str">
        <f>IF(ISTEXT(VLOOKUP(CONCATENATE($A52,"_",I$3),'Unit List'!$A$23:$H$3319,2,FALSE)),"X",$B52)</f>
        <v>X</v>
      </c>
      <c r="J52" s="97" t="str">
        <f>IF(ISTEXT(VLOOKUP(CONCATENATE($A52,"_",J$3),'Unit List'!$A$23:$H$3319,2,FALSE)),"+","")</f>
        <v/>
      </c>
      <c r="K52" s="94" t="str">
        <f>IF(ISTEXT(VLOOKUP(CONCATENATE($A52,"_",K$3),'Unit List'!$A$23:$H$3319,2,FALSE)),"X",$J52)</f>
        <v/>
      </c>
      <c r="L52" s="135" t="str">
        <f>IF(ISTEXT(VLOOKUP(CONCATENATE($A52,"_",L$3),'Unit List'!$A$23:$H$3319,2,FALSE)),"X",$J52)</f>
        <v>X</v>
      </c>
      <c r="M52" s="97" t="str">
        <f>IF(ISTEXT(VLOOKUP(CONCATENATE($A52,"_",M$3),'Unit List'!$A$23:$H$3319,2,FALSE)),"+","")</f>
        <v>+</v>
      </c>
      <c r="N52" s="95" t="str">
        <f>IF(ISTEXT(VLOOKUP(CONCATENATE($A52,"_",N$3),'Unit List'!$A$23:$H$3319,2,FALSE)),"X",$M52)</f>
        <v>X</v>
      </c>
      <c r="O52" s="114" t="str">
        <f>IF(ISTEXT(VLOOKUP(CONCATENATE($A52,"_",O$3),'Unit List'!$A$23:$H$3319,2,FALSE)),"X",$M52)</f>
        <v>X</v>
      </c>
      <c r="P52" s="97" t="str">
        <f>IF(ISTEXT(VLOOKUP(CONCATENATE($A52,"_",P$3),'Unit List'!$A$23:$H$3319,2,FALSE)),"+","")</f>
        <v/>
      </c>
      <c r="Q52" s="94" t="str">
        <f>IF(ISTEXT(VLOOKUP(CONCATENATE($A52,"_",Q$3),'Unit List'!$A$23:$H$3319,2,FALSE)),"X",$P52)</f>
        <v/>
      </c>
      <c r="R52" s="94" t="str">
        <f>IF(ISTEXT(VLOOKUP(CONCATENATE($A52,"_",R$3),'Unit List'!$A$23:$H$3319,2,FALSE)),"X",$P52)</f>
        <v/>
      </c>
      <c r="S52" s="94" t="str">
        <f>IF(ISTEXT(VLOOKUP(CONCATENATE($A52,"_",S$3),'Unit List'!$A$23:$H$3319,2,FALSE)),"X",$P52)</f>
        <v/>
      </c>
      <c r="T52" s="100" t="str">
        <f>IF(ISTEXT(VLOOKUP(CONCATENATE($A52,"_",T$3),'Unit List'!$A$23:$H$3319,2,FALSE)),"X",$P52)</f>
        <v/>
      </c>
      <c r="U52" s="95" t="str">
        <f>IF(ISTEXT(VLOOKUP(CONCATENATE($A52,"_",U$3),'Unit List'!$A$23:$H$3319,2,FALSE)),"X",$P52)</f>
        <v>X</v>
      </c>
      <c r="V52" s="94" t="str">
        <f>IF(ISTEXT(VLOOKUP(CONCATENATE($A52,"_",V$3),'Unit List'!$A$23:$H$3319,2,FALSE)),"X",$P52)</f>
        <v>X</v>
      </c>
      <c r="W52" s="96" t="str">
        <f>IF(ISTEXT(VLOOKUP(CONCATENATE($A52,"_",W$3),'Unit List'!$A$23:$H$3319,2,FALSE)),"X",$P52)</f>
        <v/>
      </c>
      <c r="X52" s="97" t="str">
        <f>IF(ISTEXT(VLOOKUP(CONCATENATE($A52,"_",X$3),'Unit List'!$A$23:$H$3319,2,FALSE)),"+","")</f>
        <v>+</v>
      </c>
      <c r="Y52" s="94" t="str">
        <f>IF(ISTEXT(VLOOKUP(CONCATENATE($A52,"_",Y$3),'Unit List'!$A$23:$H$3319,2,FALSE)),"X",$X52)</f>
        <v>+</v>
      </c>
      <c r="Z52" s="94" t="str">
        <f>IF(ISTEXT(VLOOKUP(CONCATENATE($A52,"_",Z$3),'Unit List'!$A$23:$H$3319,2,FALSE)),"X",$X52)</f>
        <v>+</v>
      </c>
      <c r="AA52" s="94" t="str">
        <f>IF(ISTEXT(VLOOKUP(CONCATENATE($A52,"_",AA$3),'Unit List'!$A$23:$H$3319,2,FALSE)),"X",$X52)</f>
        <v>+</v>
      </c>
      <c r="AB52" s="94" t="str">
        <f>IF(ISTEXT(VLOOKUP(CONCATENATE($A52,"_",AB$3),'Unit List'!$A$23:$H$3319,2,FALSE)),"X",$X52)</f>
        <v>+</v>
      </c>
      <c r="AC52" s="101" t="str">
        <f>IF(ISTEXT(VLOOKUP(CONCATENATE($A52,"_",AC$3),'Unit List'!$A$23:$H$3319,2,FALSE)),"X",$X52)</f>
        <v>+</v>
      </c>
      <c r="AD52" s="115" t="str">
        <f>IF(ISTEXT(VLOOKUP(CONCATENATE($A52,"_",AD$3),'Unit List'!$A$23:$H$3319,2,FALSE)),"+","")</f>
        <v>+</v>
      </c>
      <c r="AE52" s="94" t="str">
        <f>IF(ISTEXT(VLOOKUP(CONCATENATE($A52,"_",AE$3),'Unit List'!$A$23:$H$3319,2,FALSE)),"X",$AD52)</f>
        <v>+</v>
      </c>
      <c r="AF52" s="94" t="str">
        <f>IF(ISTEXT(VLOOKUP(CONCATENATE($A52,"_",AF$3),'Unit List'!$A$23:$H$3319,2,FALSE)),"X",$AD52)</f>
        <v>+</v>
      </c>
      <c r="AG52" s="115" t="str">
        <f>IF(ISTEXT(VLOOKUP(CONCATENATE($A52,"_",AG$3),'Unit List'!$A$23:$H$3319,2,FALSE)),"+","")</f>
        <v>+</v>
      </c>
      <c r="AH52" s="94" t="str">
        <f>IF(ISTEXT(VLOOKUP(CONCATENATE($A52,"_",AH$3),'Unit List'!$A$23:$H$3319,2,FALSE)),"X",$AG52)</f>
        <v>+</v>
      </c>
      <c r="AI52" s="94" t="str">
        <f>IF(ISTEXT(VLOOKUP(CONCATENATE($A52,"_",AI$3),'Unit List'!$A$23:$H$3319,2,FALSE)),"X",$AG52)</f>
        <v>+</v>
      </c>
      <c r="AJ52" s="96" t="str">
        <f>IF(ISTEXT(VLOOKUP(CONCATENATE($A52,"_",AJ$3),'Unit List'!$A$23:$H$3319,2,FALSE)),"X",$AG52)</f>
        <v>X</v>
      </c>
      <c r="AK52" s="97" t="str">
        <f>IF(ISTEXT(VLOOKUP(CONCATENATE($A52,"_",AK$3),'Unit List'!$A$23:$H$3319,2,FALSE)),"+","")</f>
        <v/>
      </c>
      <c r="AL52" s="136" t="str">
        <f>IF(ISTEXT(VLOOKUP(CONCATENATE($A52,"_",AL$3),'Unit List'!$A$23:$H$3319,2,FALSE)),"X",$AK52)</f>
        <v>X</v>
      </c>
      <c r="AM52" s="96" t="str">
        <f>IF(ISTEXT(VLOOKUP(CONCATENATE($A52,"_",AM$3),'Unit List'!$A$23:$H$3319,2,FALSE)),"X",$AK52)</f>
        <v/>
      </c>
      <c r="AN52" s="103" t="str">
        <f>IF(ISTEXT(VLOOKUP(CONCATENATE($A52,"_",AN$3),'Unit List'!$A$23:$H$3319,2,FALSE)),"+","")</f>
        <v>+</v>
      </c>
      <c r="AO52" s="96" t="str">
        <f>IF(ISTEXT(VLOOKUP(CONCATENATE($A52,"_",AO$3),'Unit List'!$A$23:$H$3319,2,FALSE)),"X",$AN52)</f>
        <v>+</v>
      </c>
      <c r="AP52" s="97" t="str">
        <f>IF(ISTEXT(VLOOKUP(CONCATENATE($A52,"_",AP$3),'Unit List'!$A$23:$H$3319,2,FALSE)),"+","")</f>
        <v>+</v>
      </c>
      <c r="AQ52" s="95" t="str">
        <f>IF(ISTEXT(VLOOKUP(CONCATENATE($A52,"_",AQ$3),'Unit List'!$A$23:$H$3319,2,FALSE)),"X",$AP52)</f>
        <v>X</v>
      </c>
      <c r="AR52" s="95" t="str">
        <f>IF(ISTEXT(VLOOKUP(CONCATENATE($A52,"_",AR$3),'Unit List'!$A$23:$H$3319,2,FALSE)),"X",$AP52)</f>
        <v>X</v>
      </c>
      <c r="AS52" s="94" t="str">
        <f>IF(ISTEXT(VLOOKUP(CONCATENATE($A52,"_",AS$3),'Unit List'!$A$23:$H$3319,2,FALSE)),"X",$AP52)</f>
        <v>X</v>
      </c>
      <c r="AT52" s="96" t="str">
        <f>IF(ISTEXT(VLOOKUP(CONCATENATE($A52,"_",AT$3),'Unit List'!$A$23:$H$3319,2,FALSE)),"X",$AP52)</f>
        <v>+</v>
      </c>
      <c r="AU52" s="104" t="str">
        <f>IF(ISTEXT(VLOOKUP(CONCATENATE($A52,"_",AU$3),'Unit List'!$A$23:$H$3319,2,FALSE)),"+","")</f>
        <v>+</v>
      </c>
      <c r="AV52" s="94" t="str">
        <f>IF(ISTEXT(VLOOKUP(CONCATENATE($A52,"_",AV$3),'Unit List'!$A$23:$H$3319,2,FALSE)),"X",$AU52)</f>
        <v>+</v>
      </c>
      <c r="AW52" s="96" t="str">
        <f>IF(ISTEXT(VLOOKUP(CONCATENATE($A52,"_",AW$3),'Unit List'!$A$23:$H$3319,2,FALSE)),"X",$AU52)</f>
        <v>+</v>
      </c>
      <c r="AX52" s="115" t="str">
        <f>IF(ISTEXT(VLOOKUP(CONCATENATE($A52,"_",AX$3),'Unit List'!$A$23:$H$3319,2,FALSE)),"+","")</f>
        <v>+</v>
      </c>
      <c r="AY52" s="113" t="str">
        <f>IF(ISTEXT(VLOOKUP(CONCATENATE($A52,"_",AY$3),'Unit List'!$A$23:$H$3319,2,FALSE)),"X",$AX52)</f>
        <v>X</v>
      </c>
      <c r="AZ52" s="96" t="str">
        <f>IF(ISTEXT(VLOOKUP(CONCATENATE($A52,"_",AZ$3),'Unit List'!$A$23:$H$3319,2,FALSE)),"X",$AX52)</f>
        <v>+</v>
      </c>
      <c r="BA52" s="115" t="str">
        <f>IF(ISTEXT(VLOOKUP(CONCATENATE($A52,"_",BA$3),'Unit List'!$A$23:$H$3319,2,FALSE)),"+","")</f>
        <v>+</v>
      </c>
      <c r="BB52" s="94" t="str">
        <f>IF(ISTEXT(VLOOKUP(CONCATENATE($A52,"_",BB$3),'Unit List'!$A$23:$H$3319,2,FALSE)),"X",$BA52)</f>
        <v>+</v>
      </c>
      <c r="BC52" s="113" t="str">
        <f>IF(ISTEXT(VLOOKUP(CONCATENATE($A52,"_",BC$3),'Unit List'!$A$23:$H$3319,2,FALSE)),"X",$BA52)</f>
        <v>+</v>
      </c>
      <c r="BD52" s="96" t="str">
        <f>IF(ISTEXT(VLOOKUP(CONCATENATE($A52,"_",BD$3),'Unit List'!$A$23:$H$3319,2,FALSE)),"X",$BA52)</f>
        <v>+</v>
      </c>
      <c r="BE52" s="103" t="str">
        <f>IF(ISTEXT(VLOOKUP(CONCATENATE($A52,"_",BE$3),'Unit List'!$A$23:$H$3319,2,FALSE)),"+","")</f>
        <v>+</v>
      </c>
      <c r="BF52" s="101" t="str">
        <f>IF(ISTEXT(VLOOKUP(CONCATENATE($A52,"_",BF$3),'Unit List'!$A$23:$H$3319,2,FALSE)),"X",$BE52)</f>
        <v>+</v>
      </c>
      <c r="BG52" s="106"/>
      <c r="BH52" s="107" t="s">
        <v>0</v>
      </c>
      <c r="BI52" s="228"/>
      <c r="BJ52" s="229"/>
      <c r="BK52" s="229"/>
      <c r="BL52" s="229"/>
      <c r="BM52" s="230"/>
      <c r="BN52" s="108"/>
      <c r="BO52" s="108"/>
      <c r="BP52" s="108"/>
      <c r="BQ52" s="108"/>
      <c r="BR52" s="108"/>
      <c r="BS52" s="108"/>
      <c r="DZ52" s="109"/>
      <c r="EA52" s="109"/>
    </row>
    <row r="53" spans="1:131" ht="12.75" customHeight="1" x14ac:dyDescent="0.2">
      <c r="A53" s="90" t="s">
        <v>14</v>
      </c>
      <c r="B53" s="91" t="str">
        <f>IF(ISTEXT(VLOOKUP(CONCATENATE($A53,"_",B$3),'Unit List'!$A$23:$H$3319,2,FALSE)),"+","")</f>
        <v/>
      </c>
      <c r="C53" s="92" t="str">
        <f>IF(ISTEXT(VLOOKUP(CONCATENATE($A53,"_",C$3),'Unit List'!$A$23:$H$3319,2,FALSE)),"X",$B53)</f>
        <v/>
      </c>
      <c r="D53" s="94" t="str">
        <f>IF(ISTEXT(VLOOKUP(CONCATENATE($A53,"_",D$3),'Unit List'!$A$23:$H$3319,2,FALSE)),"X",$B53)</f>
        <v/>
      </c>
      <c r="E53" s="94" t="str">
        <f>IF(ISTEXT(VLOOKUP(CONCATENATE($A53,"_",E$3),'Unit List'!$A$23:$H$3319,2,FALSE)),"X",$B53)</f>
        <v/>
      </c>
      <c r="F53" s="94" t="str">
        <f>IF(ISTEXT(VLOOKUP(CONCATENATE($A53,"_",F$3),'Unit List'!$A$23:$H$3319,2,FALSE)),"X",$B53)</f>
        <v/>
      </c>
      <c r="G53" s="94" t="str">
        <f>IF(ISTEXT(VLOOKUP(CONCATENATE($A53,"_",G$3),'Unit List'!$A$23:$H$3319,2,FALSE)),"X",$B53)</f>
        <v/>
      </c>
      <c r="H53" s="94" t="str">
        <f>IF(ISTEXT(VLOOKUP(CONCATENATE($A53,"_",H$3),'Unit List'!$A$23:$H$3319,2,FALSE)),"X",$B53)</f>
        <v/>
      </c>
      <c r="I53" s="96" t="str">
        <f>IF(ISTEXT(VLOOKUP(CONCATENATE($A53,"_",I$3),'Unit List'!$A$23:$H$3319,2,FALSE)),"X",$B53)</f>
        <v/>
      </c>
      <c r="J53" s="97" t="str">
        <f>IF(ISTEXT(VLOOKUP(CONCATENATE($A53,"_",J$3),'Unit List'!$A$23:$H$3319,2,FALSE)),"+","")</f>
        <v/>
      </c>
      <c r="K53" s="94" t="str">
        <f>IF(ISTEXT(VLOOKUP(CONCATENATE($A53,"_",K$3),'Unit List'!$A$23:$H$3319,2,FALSE)),"X",$J53)</f>
        <v/>
      </c>
      <c r="L53" s="101" t="str">
        <f>IF(ISTEXT(VLOOKUP(CONCATENATE($A53,"_",L$3),'Unit List'!$A$23:$H$3319,2,FALSE)),"X",$J53)</f>
        <v/>
      </c>
      <c r="M53" s="97" t="str">
        <f>IF(ISTEXT(VLOOKUP(CONCATENATE($A53,"_",M$3),'Unit List'!$A$23:$H$3319,2,FALSE)),"+","")</f>
        <v/>
      </c>
      <c r="N53" s="94" t="str">
        <f>IF(ISTEXT(VLOOKUP(CONCATENATE($A53,"_",N$3),'Unit List'!$A$23:$H$3319,2,FALSE)),"X",$M53)</f>
        <v/>
      </c>
      <c r="O53" s="96" t="str">
        <f>IF(ISTEXT(VLOOKUP(CONCATENATE($A53,"_",O$3),'Unit List'!$A$23:$H$3319,2,FALSE)),"X",$M53)</f>
        <v/>
      </c>
      <c r="P53" s="97" t="str">
        <f>IF(ISTEXT(VLOOKUP(CONCATENATE($A53,"_",P$3),'Unit List'!$A$23:$H$3319,2,FALSE)),"+","")</f>
        <v/>
      </c>
      <c r="Q53" s="94" t="str">
        <f>IF(ISTEXT(VLOOKUP(CONCATENATE($A53,"_",Q$3),'Unit List'!$A$23:$H$3319,2,FALSE)),"X",$P53)</f>
        <v/>
      </c>
      <c r="R53" s="94" t="str">
        <f>IF(ISTEXT(VLOOKUP(CONCATENATE($A53,"_",R$3),'Unit List'!$A$23:$H$3319,2,FALSE)),"X",$P53)</f>
        <v/>
      </c>
      <c r="S53" s="94" t="str">
        <f>IF(ISTEXT(VLOOKUP(CONCATENATE($A53,"_",S$3),'Unit List'!$A$23:$H$3319,2,FALSE)),"X",$P53)</f>
        <v/>
      </c>
      <c r="T53" s="100" t="str">
        <f>IF(ISTEXT(VLOOKUP(CONCATENATE($A53,"_",T$3),'Unit List'!$A$23:$H$3319,2,FALSE)),"X",$P53)</f>
        <v/>
      </c>
      <c r="U53" s="94" t="str">
        <f>IF(ISTEXT(VLOOKUP(CONCATENATE($A53,"_",U$3),'Unit List'!$A$23:$H$3319,2,FALSE)),"X",$P53)</f>
        <v/>
      </c>
      <c r="V53" s="94" t="str">
        <f>IF(ISTEXT(VLOOKUP(CONCATENATE($A53,"_",V$3),'Unit List'!$A$23:$H$3319,2,FALSE)),"X",$P53)</f>
        <v/>
      </c>
      <c r="W53" s="96" t="str">
        <f>IF(ISTEXT(VLOOKUP(CONCATENATE($A53,"_",W$3),'Unit List'!$A$23:$H$3319,2,FALSE)),"X",$P53)</f>
        <v/>
      </c>
      <c r="X53" s="97" t="str">
        <f>IF(ISTEXT(VLOOKUP(CONCATENATE($A53,"_",X$3),'Unit List'!$A$23:$H$3319,2,FALSE)),"+","")</f>
        <v/>
      </c>
      <c r="Y53" s="94" t="str">
        <f>IF(ISTEXT(VLOOKUP(CONCATENATE($A53,"_",Y$3),'Unit List'!$A$23:$H$3319,2,FALSE)),"X",$X53)</f>
        <v/>
      </c>
      <c r="Z53" s="94" t="str">
        <f>IF(ISTEXT(VLOOKUP(CONCATENATE($A53,"_",Z$3),'Unit List'!$A$23:$H$3319,2,FALSE)),"X",$X53)</f>
        <v/>
      </c>
      <c r="AA53" s="94" t="str">
        <f>IF(ISTEXT(VLOOKUP(CONCATENATE($A53,"_",AA$3),'Unit List'!$A$23:$H$3319,2,FALSE)),"X",$X53)</f>
        <v/>
      </c>
      <c r="AB53" s="94" t="str">
        <f>IF(ISTEXT(VLOOKUP(CONCATENATE($A53,"_",AB$3),'Unit List'!$A$23:$H$3319,2,FALSE)),"X",$X53)</f>
        <v/>
      </c>
      <c r="AC53" s="101" t="str">
        <f>IF(ISTEXT(VLOOKUP(CONCATENATE($A53,"_",AC$3),'Unit List'!$A$23:$H$3319,2,FALSE)),"X",$X53)</f>
        <v/>
      </c>
      <c r="AD53" s="97" t="str">
        <f>IF(ISTEXT(VLOOKUP(CONCATENATE($A53,"_",AD$3),'Unit List'!$A$23:$H$3319,2,FALSE)),"+","")</f>
        <v/>
      </c>
      <c r="AE53" s="94" t="str">
        <f>IF(ISTEXT(VLOOKUP(CONCATENATE($A53,"_",AE$3),'Unit List'!$A$23:$H$3319,2,FALSE)),"X",$AD53)</f>
        <v/>
      </c>
      <c r="AF53" s="94" t="str">
        <f>IF(ISTEXT(VLOOKUP(CONCATENATE($A53,"_",AF$3),'Unit List'!$A$23:$H$3319,2,FALSE)),"X",$AD53)</f>
        <v/>
      </c>
      <c r="AG53" s="97" t="str">
        <f>IF(ISTEXT(VLOOKUP(CONCATENATE($A53,"_",AG$3),'Unit List'!$A$23:$H$3319,2,FALSE)),"+","")</f>
        <v/>
      </c>
      <c r="AH53" s="94" t="str">
        <f>IF(ISTEXT(VLOOKUP(CONCATENATE($A53,"_",AH$3),'Unit List'!$A$23:$H$3319,2,FALSE)),"X",$AG53)</f>
        <v/>
      </c>
      <c r="AI53" s="94" t="str">
        <f>IF(ISTEXT(VLOOKUP(CONCATENATE($A53,"_",AI$3),'Unit List'!$A$23:$H$3319,2,FALSE)),"X",$AG53)</f>
        <v/>
      </c>
      <c r="AJ53" s="96" t="str">
        <f>IF(ISTEXT(VLOOKUP(CONCATENATE($A53,"_",AJ$3),'Unit List'!$A$23:$H$3319,2,FALSE)),"X",$AG53)</f>
        <v/>
      </c>
      <c r="AK53" s="97" t="str">
        <f>IF(ISTEXT(VLOOKUP(CONCATENATE($A53,"_",AK$3),'Unit List'!$A$23:$H$3319,2,FALSE)),"+","")</f>
        <v/>
      </c>
      <c r="AL53" s="100" t="str">
        <f>IF(ISTEXT(VLOOKUP(CONCATENATE($A53,"_",AL$3),'Unit List'!$A$23:$H$3319,2,FALSE)),"X",$AK53)</f>
        <v/>
      </c>
      <c r="AM53" s="96" t="str">
        <f>IF(ISTEXT(VLOOKUP(CONCATENATE($A53,"_",AM$3),'Unit List'!$A$23:$H$3319,2,FALSE)),"X",$AK53)</f>
        <v/>
      </c>
      <c r="AN53" s="103" t="str">
        <f>IF(ISTEXT(VLOOKUP(CONCATENATE($A53,"_",AN$3),'Unit List'!$A$23:$H$3319,2,FALSE)),"+","")</f>
        <v/>
      </c>
      <c r="AO53" s="96" t="str">
        <f>IF(ISTEXT(VLOOKUP(CONCATENATE($A53,"_",AO$3),'Unit List'!$A$23:$H$3319,2,FALSE)),"X",$AN53)</f>
        <v/>
      </c>
      <c r="AP53" s="97" t="str">
        <f>IF(ISTEXT(VLOOKUP(CONCATENATE($A53,"_",AP$3),'Unit List'!$A$23:$H$3319,2,FALSE)),"+","")</f>
        <v/>
      </c>
      <c r="AQ53" s="94" t="str">
        <f>IF(ISTEXT(VLOOKUP(CONCATENATE($A53,"_",AQ$3),'Unit List'!$A$23:$H$3319,2,FALSE)),"X",$AP53)</f>
        <v/>
      </c>
      <c r="AR53" s="94" t="str">
        <f>IF(ISTEXT(VLOOKUP(CONCATENATE($A53,"_",AR$3),'Unit List'!$A$23:$H$3319,2,FALSE)),"X",$AP53)</f>
        <v/>
      </c>
      <c r="AS53" s="138" t="s">
        <v>0</v>
      </c>
      <c r="AT53" s="96" t="str">
        <f>IF(ISTEXT(VLOOKUP(CONCATENATE($A53,"_",AT$3),'Unit List'!$A$23:$H$3319,2,FALSE)),"X",$AP53)</f>
        <v/>
      </c>
      <c r="AU53" s="104" t="str">
        <f>IF(ISTEXT(VLOOKUP(CONCATENATE($A53,"_",AU$3),'Unit List'!$A$23:$H$3319,2,FALSE)),"+","")</f>
        <v/>
      </c>
      <c r="AV53" s="94" t="str">
        <f>IF(ISTEXT(VLOOKUP(CONCATENATE($A53,"_",AV$3),'Unit List'!$A$23:$H$3319,2,FALSE)),"X",$AU53)</f>
        <v/>
      </c>
      <c r="AW53" s="96" t="str">
        <f>IF(ISTEXT(VLOOKUP(CONCATENATE($A53,"_",AW$3),'Unit List'!$A$23:$H$3319,2,FALSE)),"X",$AU53)</f>
        <v/>
      </c>
      <c r="AX53" s="97" t="str">
        <f>IF(ISTEXT(VLOOKUP(CONCATENATE($A53,"_",AX$3),'Unit List'!$A$23:$H$3319,2,FALSE)),"+","")</f>
        <v/>
      </c>
      <c r="AY53" s="94" t="str">
        <f>IF(ISTEXT(VLOOKUP(CONCATENATE($A53,"_",AY$3),'Unit List'!$A$23:$H$3319,2,FALSE)),"X",$AX53)</f>
        <v/>
      </c>
      <c r="AZ53" s="96" t="str">
        <f>IF(ISTEXT(VLOOKUP(CONCATENATE($A53,"_",AZ$3),'Unit List'!$A$23:$H$3319,2,FALSE)),"X",$AX53)</f>
        <v/>
      </c>
      <c r="BA53" s="105" t="str">
        <f>IF(ISTEXT(VLOOKUP(CONCATENATE($A53,"_",BA$3),'Unit List'!$A$23:$H$3319,2,FALSE)),"+","")</f>
        <v/>
      </c>
      <c r="BB53" s="94" t="str">
        <f>IF(ISTEXT(VLOOKUP(CONCATENATE($A53,"_",BB$3),'Unit List'!$A$23:$H$3319,2,FALSE)),"X",$BA53)</f>
        <v/>
      </c>
      <c r="BC53" s="94" t="str">
        <f>IF(ISTEXT(VLOOKUP(CONCATENATE($A53,"_",BC$3),'Unit List'!$A$23:$H$3319,2,FALSE)),"X",$BA53)</f>
        <v/>
      </c>
      <c r="BD53" s="96" t="str">
        <f>IF(ISTEXT(VLOOKUP(CONCATENATE($A53,"_",BD$3),'Unit List'!$A$23:$H$3319,2,FALSE)),"X",$BA53)</f>
        <v/>
      </c>
      <c r="BE53" s="103" t="str">
        <f>IF(ISTEXT(VLOOKUP(CONCATENATE($A53,"_",BE$3),'Unit List'!$A$23:$H$3319,2,FALSE)),"+","")</f>
        <v/>
      </c>
      <c r="BF53" s="101" t="str">
        <f>IF(ISTEXT(VLOOKUP(CONCATENATE($A53,"_",BF$3),'Unit List'!$A$23:$H$3319,2,FALSE)),"X",$BE53)</f>
        <v/>
      </c>
      <c r="BG53" s="106"/>
      <c r="BH53" s="107" t="s">
        <v>0</v>
      </c>
      <c r="BI53" s="228"/>
      <c r="BJ53" s="229"/>
      <c r="BK53" s="229"/>
      <c r="BL53" s="229"/>
      <c r="BM53" s="230"/>
      <c r="BN53" s="108"/>
      <c r="BO53" s="108"/>
      <c r="BP53" s="108"/>
      <c r="BQ53" s="108"/>
      <c r="BR53" s="108"/>
      <c r="BS53" s="108"/>
      <c r="DZ53" s="109"/>
      <c r="EA53" s="109"/>
    </row>
    <row r="54" spans="1:131" ht="12.75" customHeight="1" x14ac:dyDescent="0.2">
      <c r="A54" s="157" t="s">
        <v>13</v>
      </c>
      <c r="B54" s="91" t="str">
        <f>IF(ISTEXT(VLOOKUP(CONCATENATE($A54,"_",B$3),'Unit List'!$A$23:$H$3319,2,FALSE)),"+","")</f>
        <v/>
      </c>
      <c r="C54" s="92" t="str">
        <f>IF(ISTEXT(VLOOKUP(CONCATENATE($A54,"_",C$3),'Unit List'!$A$23:$H$3319,2,FALSE)),"X",$B54)</f>
        <v/>
      </c>
      <c r="D54" s="94" t="str">
        <f>IF(ISTEXT(VLOOKUP(CONCATENATE($A54,"_",D$3),'Unit List'!$A$23:$H$3319,2,FALSE)),"X",$B54)</f>
        <v/>
      </c>
      <c r="E54" s="94" t="str">
        <f>IF(ISTEXT(VLOOKUP(CONCATENATE($A54,"_",E$3),'Unit List'!$A$23:$H$3319,2,FALSE)),"X",$B54)</f>
        <v/>
      </c>
      <c r="F54" s="94" t="str">
        <f>IF(ISTEXT(VLOOKUP(CONCATENATE($A54,"_",F$3),'Unit List'!$A$23:$H$3319,2,FALSE)),"X",$B54)</f>
        <v/>
      </c>
      <c r="G54" s="94" t="str">
        <f>IF(ISTEXT(VLOOKUP(CONCATENATE($A54,"_",G$3),'Unit List'!$A$23:$H$3319,2,FALSE)),"X",$B54)</f>
        <v/>
      </c>
      <c r="H54" s="94" t="str">
        <f>IF(ISTEXT(VLOOKUP(CONCATENATE($A54,"_",H$3),'Unit List'!$A$23:$H$3319,2,FALSE)),"X",$B54)</f>
        <v/>
      </c>
      <c r="I54" s="96" t="str">
        <f>IF(ISTEXT(VLOOKUP(CONCATENATE($A54,"_",I$3),'Unit List'!$A$23:$H$3319,2,FALSE)),"X",$B54)</f>
        <v/>
      </c>
      <c r="J54" s="97" t="str">
        <f>IF(ISTEXT(VLOOKUP(CONCATENATE($A54,"_",J$3),'Unit List'!$A$23:$H$3319,2,FALSE)),"+","")</f>
        <v>+</v>
      </c>
      <c r="K54" s="94" t="str">
        <f>IF(ISTEXT(VLOOKUP(CONCATENATE($A54,"_",K$3),'Unit List'!$A$23:$H$3319,2,FALSE)),"X",$J54)</f>
        <v>+</v>
      </c>
      <c r="L54" s="101" t="str">
        <f>IF(ISTEXT(VLOOKUP(CONCATENATE($A54,"_",L$3),'Unit List'!$A$23:$H$3319,2,FALSE)),"X",$J54)</f>
        <v>+</v>
      </c>
      <c r="M54" s="97" t="str">
        <f>IF(ISTEXT(VLOOKUP(CONCATENATE($A54,"_",M$3),'Unit List'!$A$23:$H$3319,2,FALSE)),"+","")</f>
        <v/>
      </c>
      <c r="N54" s="94" t="str">
        <f>IF(ISTEXT(VLOOKUP(CONCATENATE($A54,"_",N$3),'Unit List'!$A$23:$H$3319,2,FALSE)),"X",$M54)</f>
        <v/>
      </c>
      <c r="O54" s="96" t="str">
        <f>IF(ISTEXT(VLOOKUP(CONCATENATE($A54,"_",O$3),'Unit List'!$A$23:$H$3319,2,FALSE)),"X",$M54)</f>
        <v/>
      </c>
      <c r="P54" s="97" t="str">
        <f>IF(ISTEXT(VLOOKUP(CONCATENATE($A54,"_",P$3),'Unit List'!$A$23:$H$3319,2,FALSE)),"+","")</f>
        <v/>
      </c>
      <c r="Q54" s="94" t="str">
        <f>IF(ISTEXT(VLOOKUP(CONCATENATE($A54,"_",Q$3),'Unit List'!$A$23:$H$3319,2,FALSE)),"X",$P54)</f>
        <v/>
      </c>
      <c r="R54" s="138" t="s">
        <v>0</v>
      </c>
      <c r="S54" s="94" t="str">
        <f>IF(ISTEXT(VLOOKUP(CONCATENATE($A54,"_",S$3),'Unit List'!$A$23:$H$3319,2,FALSE)),"X",$P54)</f>
        <v/>
      </c>
      <c r="T54" s="100" t="str">
        <f>IF(ISTEXT(VLOOKUP(CONCATENATE($A54,"_",T$3),'Unit List'!$A$23:$H$3319,2,FALSE)),"X",$P54)</f>
        <v/>
      </c>
      <c r="U54" s="94" t="str">
        <f>IF(ISTEXT(VLOOKUP(CONCATENATE($A54,"_",U$3),'Unit List'!$A$23:$H$3319,2,FALSE)),"X",$P54)</f>
        <v/>
      </c>
      <c r="V54" s="94" t="str">
        <f>IF(ISTEXT(VLOOKUP(CONCATENATE($A54,"_",V$3),'Unit List'!$A$23:$H$3319,2,FALSE)),"X",$P54)</f>
        <v/>
      </c>
      <c r="W54" s="96" t="str">
        <f>IF(ISTEXT(VLOOKUP(CONCATENATE($A54,"_",W$3),'Unit List'!$A$23:$H$3319,2,FALSE)),"X",$P54)</f>
        <v/>
      </c>
      <c r="X54" s="97" t="str">
        <f>IF(ISTEXT(VLOOKUP(CONCATENATE($A54,"_",X$3),'Unit List'!$A$23:$H$3319,2,FALSE)),"+","")</f>
        <v/>
      </c>
      <c r="Y54" s="94" t="str">
        <f>IF(ISTEXT(VLOOKUP(CONCATENATE($A54,"_",Y$3),'Unit List'!$A$23:$H$3319,2,FALSE)),"X",$X54)</f>
        <v/>
      </c>
      <c r="Z54" s="94" t="str">
        <f>IF(ISTEXT(VLOOKUP(CONCATENATE($A54,"_",Z$3),'Unit List'!$A$23:$H$3319,2,FALSE)),"X",$X54)</f>
        <v/>
      </c>
      <c r="AA54" s="94" t="str">
        <f>IF(ISTEXT(VLOOKUP(CONCATENATE($A54,"_",AA$3),'Unit List'!$A$23:$H$3319,2,FALSE)),"X",$X54)</f>
        <v/>
      </c>
      <c r="AB54" s="94" t="str">
        <f>IF(ISTEXT(VLOOKUP(CONCATENATE($A54,"_",AB$3),'Unit List'!$A$23:$H$3319,2,FALSE)),"X",$X54)</f>
        <v/>
      </c>
      <c r="AC54" s="101" t="str">
        <f>IF(ISTEXT(VLOOKUP(CONCATENATE($A54,"_",AC$3),'Unit List'!$A$23:$H$3319,2,FALSE)),"X",$X54)</f>
        <v/>
      </c>
      <c r="AD54" s="97" t="str">
        <f>IF(ISTEXT(VLOOKUP(CONCATENATE($A54,"_",AD$3),'Unit List'!$A$23:$H$3319,2,FALSE)),"+","")</f>
        <v/>
      </c>
      <c r="AE54" s="138" t="s">
        <v>0</v>
      </c>
      <c r="AF54" s="94" t="str">
        <f>IF(ISTEXT(VLOOKUP(CONCATENATE($A54,"_",AF$3),'Unit List'!$A$23:$H$3319,2,FALSE)),"X",$AD54)</f>
        <v/>
      </c>
      <c r="AG54" s="97" t="str">
        <f>IF(ISTEXT(VLOOKUP(CONCATENATE($A54,"_",AG$3),'Unit List'!$A$23:$H$3319,2,FALSE)),"+","")</f>
        <v/>
      </c>
      <c r="AH54" s="94" t="str">
        <f>IF(ISTEXT(VLOOKUP(CONCATENATE($A54,"_",AH$3),'Unit List'!$A$23:$H$3319,2,FALSE)),"X",$AG54)</f>
        <v/>
      </c>
      <c r="AI54" s="94" t="str">
        <f>IF(ISTEXT(VLOOKUP(CONCATENATE($A54,"_",AI$3),'Unit List'!$A$23:$H$3319,2,FALSE)),"X",$AG54)</f>
        <v/>
      </c>
      <c r="AJ54" s="96" t="str">
        <f>IF(ISTEXT(VLOOKUP(CONCATENATE($A54,"_",AJ$3),'Unit List'!$A$23:$H$3319,2,FALSE)),"X",$AG54)</f>
        <v/>
      </c>
      <c r="AK54" s="97" t="str">
        <f>IF(ISTEXT(VLOOKUP(CONCATENATE($A54,"_",AK$3),'Unit List'!$A$23:$H$3319,2,FALSE)),"+","")</f>
        <v/>
      </c>
      <c r="AL54" s="100" t="str">
        <f>IF(ISTEXT(VLOOKUP(CONCATENATE($A54,"_",AL$3),'Unit List'!$A$23:$H$3319,2,FALSE)),"X",$AK54)</f>
        <v/>
      </c>
      <c r="AM54" s="96" t="str">
        <f>IF(ISTEXT(VLOOKUP(CONCATENATE($A54,"_",AM$3),'Unit List'!$A$23:$H$3319,2,FALSE)),"X",$AK54)</f>
        <v/>
      </c>
      <c r="AN54" s="103" t="str">
        <f>IF(ISTEXT(VLOOKUP(CONCATENATE($A54,"_",AN$3),'Unit List'!$A$23:$H$3319,2,FALSE)),"+","")</f>
        <v/>
      </c>
      <c r="AO54" s="96" t="str">
        <f>IF(ISTEXT(VLOOKUP(CONCATENATE($A54,"_",AO$3),'Unit List'!$A$23:$H$3319,2,FALSE)),"X",$AN54)</f>
        <v/>
      </c>
      <c r="AP54" s="97" t="str">
        <f>IF(ISTEXT(VLOOKUP(CONCATENATE($A54,"_",AP$3),'Unit List'!$A$23:$H$3319,2,FALSE)),"+","")</f>
        <v/>
      </c>
      <c r="AQ54" s="94" t="str">
        <f>IF(ISTEXT(VLOOKUP(CONCATENATE($A54,"_",AQ$3),'Unit List'!$A$23:$H$3319,2,FALSE)),"X",$AP54)</f>
        <v/>
      </c>
      <c r="AR54" s="94" t="str">
        <f>IF(ISTEXT(VLOOKUP(CONCATENATE($A54,"_",AR$3),'Unit List'!$A$23:$H$3319,2,FALSE)),"X",$AP54)</f>
        <v/>
      </c>
      <c r="AS54" s="94" t="str">
        <f>IF(ISTEXT(VLOOKUP(CONCATENATE($A54,"_",AS$3),'Unit List'!$A$23:$H$3319,2,FALSE)),"X",$AP54)</f>
        <v/>
      </c>
      <c r="AT54" s="96" t="str">
        <f>IF(ISTEXT(VLOOKUP(CONCATENATE($A54,"_",AT$3),'Unit List'!$A$23:$H$3319,2,FALSE)),"X",$AP54)</f>
        <v/>
      </c>
      <c r="AU54" s="104" t="str">
        <f>IF(ISTEXT(VLOOKUP(CONCATENATE($A54,"_",AU$3),'Unit List'!$A$23:$H$3319,2,FALSE)),"+","")</f>
        <v/>
      </c>
      <c r="AV54" s="94" t="str">
        <f>IF(ISTEXT(VLOOKUP(CONCATENATE($A54,"_",AV$3),'Unit List'!$A$23:$H$3319,2,FALSE)),"X",$AU54)</f>
        <v/>
      </c>
      <c r="AW54" s="96" t="str">
        <f>IF(ISTEXT(VLOOKUP(CONCATENATE($A54,"_",AW$3),'Unit List'!$A$23:$H$3319,2,FALSE)),"X",$AU54)</f>
        <v/>
      </c>
      <c r="AX54" s="97" t="str">
        <f>IF(ISTEXT(VLOOKUP(CONCATENATE($A54,"_",AX$3),'Unit List'!$A$23:$H$3319,2,FALSE)),"+","")</f>
        <v/>
      </c>
      <c r="AY54" s="94" t="str">
        <f>IF(ISTEXT(VLOOKUP(CONCATENATE($A54,"_",AY$3),'Unit List'!$A$23:$H$3319,2,FALSE)),"X",$AX54)</f>
        <v/>
      </c>
      <c r="AZ54" s="96" t="str">
        <f>IF(ISTEXT(VLOOKUP(CONCATENATE($A54,"_",AZ$3),'Unit List'!$A$23:$H$3319,2,FALSE)),"X",$AX54)</f>
        <v/>
      </c>
      <c r="BA54" s="105" t="str">
        <f>IF(ISTEXT(VLOOKUP(CONCATENATE($A54,"_",BA$3),'Unit List'!$A$23:$H$3319,2,FALSE)),"+","")</f>
        <v/>
      </c>
      <c r="BB54" s="94" t="str">
        <f>IF(ISTEXT(VLOOKUP(CONCATENATE($A54,"_",BB$3),'Unit List'!$A$23:$H$3319,2,FALSE)),"X",$BA54)</f>
        <v/>
      </c>
      <c r="BC54" s="94" t="str">
        <f>IF(ISTEXT(VLOOKUP(CONCATENATE($A54,"_",BC$3),'Unit List'!$A$23:$H$3319,2,FALSE)),"X",$BA54)</f>
        <v/>
      </c>
      <c r="BD54" s="96" t="str">
        <f>IF(ISTEXT(VLOOKUP(CONCATENATE($A54,"_",BD$3),'Unit List'!$A$23:$H$3319,2,FALSE)),"X",$BA54)</f>
        <v/>
      </c>
      <c r="BE54" s="103" t="str">
        <f>IF(ISTEXT(VLOOKUP(CONCATENATE($A54,"_",BE$3),'Unit List'!$A$23:$H$3319,2,FALSE)),"+","")</f>
        <v/>
      </c>
      <c r="BF54" s="101" t="str">
        <f>IF(ISTEXT(VLOOKUP(CONCATENATE($A54,"_",BF$3),'Unit List'!$A$23:$H$3319,2,FALSE)),"X",$BE54)</f>
        <v/>
      </c>
      <c r="BG54" s="124"/>
      <c r="BH54" s="133"/>
      <c r="BI54" s="228"/>
      <c r="BJ54" s="229"/>
      <c r="BK54" s="229"/>
      <c r="BL54" s="229"/>
      <c r="BM54" s="230"/>
      <c r="BN54" s="108"/>
      <c r="BO54" s="108"/>
      <c r="BP54" s="108"/>
      <c r="BQ54" s="108"/>
      <c r="BR54" s="108"/>
      <c r="BS54" s="108"/>
      <c r="DZ54" s="109"/>
      <c r="EA54" s="109"/>
    </row>
    <row r="55" spans="1:131" ht="12.75" customHeight="1" x14ac:dyDescent="0.2">
      <c r="A55" s="90" t="s">
        <v>1152</v>
      </c>
      <c r="B55" s="91" t="str">
        <f>IF(ISTEXT(VLOOKUP(CONCATENATE($A55,"_",B$3),'Unit List'!$A$23:$H$3319,2,FALSE)),"+","")</f>
        <v/>
      </c>
      <c r="C55" s="92" t="str">
        <f>IF(ISTEXT(VLOOKUP(CONCATENATE($A55,"_",C$3),'Unit List'!$A$23:$H$3319,2,FALSE)),"X",$B55)</f>
        <v/>
      </c>
      <c r="D55" s="94" t="str">
        <f>IF(ISTEXT(VLOOKUP(CONCATENATE($A55,"_",D$3),'Unit List'!$A$23:$H$3319,2,FALSE)),"X",$B55)</f>
        <v>X</v>
      </c>
      <c r="E55" s="95" t="str">
        <f>IF(ISTEXT(VLOOKUP(CONCATENATE($A55,"_",E$3),'Unit List'!$A$23:$H$3319,2,FALSE)),"X",$B55)</f>
        <v>X</v>
      </c>
      <c r="F55" s="94" t="str">
        <f>IF(ISTEXT(VLOOKUP(CONCATENATE($A55,"_",F$3),'Unit List'!$A$23:$H$3319,2,FALSE)),"X",$B55)</f>
        <v>X</v>
      </c>
      <c r="G55" s="94" t="str">
        <f>IF(ISTEXT(VLOOKUP(CONCATENATE($A55,"_",G$3),'Unit List'!$A$23:$H$3319,2,FALSE)),"X",$B55)</f>
        <v>X</v>
      </c>
      <c r="H55" s="94" t="str">
        <f>IF(ISTEXT(VLOOKUP(CONCATENATE($A55,"_",H$3),'Unit List'!$A$23:$H$3319,2,FALSE)),"X",$B55)</f>
        <v>X</v>
      </c>
      <c r="I55" s="96" t="str">
        <f>IF(ISTEXT(VLOOKUP(CONCATENATE($A55,"_",I$3),'Unit List'!$A$23:$H$3319,2,FALSE)),"X",$B55)</f>
        <v>X</v>
      </c>
      <c r="J55" s="115" t="str">
        <f>IF(ISTEXT(VLOOKUP(CONCATENATE($A55,"_",J$3),'Unit List'!$A$23:$H$3319,2,FALSE)),"+","")</f>
        <v>+</v>
      </c>
      <c r="K55" s="94" t="str">
        <f>IF(ISTEXT(VLOOKUP(CONCATENATE($A55,"_",K$3),'Unit List'!$A$23:$H$3319,2,FALSE)),"X",$J55)</f>
        <v>+</v>
      </c>
      <c r="L55" s="101" t="str">
        <f>IF(ISTEXT(VLOOKUP(CONCATENATE($A55,"_",L$3),'Unit List'!$A$23:$H$3319,2,FALSE)),"X",$J55)</f>
        <v>X</v>
      </c>
      <c r="M55" s="115" t="str">
        <f>IF(ISTEXT(VLOOKUP(CONCATENATE($A55,"_",M$3),'Unit List'!$A$23:$H$3319,2,FALSE)),"+","")</f>
        <v>+</v>
      </c>
      <c r="N55" s="94" t="str">
        <f>IF(ISTEXT(VLOOKUP(CONCATENATE($A55,"_",N$3),'Unit List'!$A$23:$H$3319,2,FALSE)),"X",$M55)</f>
        <v>+</v>
      </c>
      <c r="O55" s="96" t="str">
        <f>IF(ISTEXT(VLOOKUP(CONCATENATE($A55,"_",O$3),'Unit List'!$A$23:$H$3319,2,FALSE)),"X",$M55)</f>
        <v>X</v>
      </c>
      <c r="P55" s="115" t="str">
        <f>IF(ISTEXT(VLOOKUP(CONCATENATE($A55,"_",P$3),'Unit List'!$A$23:$H$3319,2,FALSE)),"+","")</f>
        <v/>
      </c>
      <c r="Q55" s="94" t="str">
        <f>IF(ISTEXT(VLOOKUP(CONCATENATE($A55,"_",Q$3),'Unit List'!$A$23:$H$3319,2,FALSE)),"X",$P55)</f>
        <v/>
      </c>
      <c r="R55" s="94" t="str">
        <f>IF(ISTEXT(VLOOKUP(CONCATENATE($A55,"_",R$3),'Unit List'!$A$23:$H$3319,2,FALSE)),"X",$P55)</f>
        <v>X</v>
      </c>
      <c r="S55" s="94" t="str">
        <f>IF(ISTEXT(VLOOKUP(CONCATENATE($A55,"_",S$3),'Unit List'!$A$23:$H$3319,2,FALSE)),"X",$P55)</f>
        <v>X</v>
      </c>
      <c r="T55" s="100" t="str">
        <f>IF(ISTEXT(VLOOKUP(CONCATENATE($A55,"_",T$3),'Unit List'!$A$23:$H$3319,2,FALSE)),"X",$P55)</f>
        <v>X</v>
      </c>
      <c r="U55" s="94" t="str">
        <f>IF(ISTEXT(VLOOKUP(CONCATENATE($A55,"_",U$3),'Unit List'!$A$23:$H$3319,2,FALSE)),"X",$P55)</f>
        <v>X</v>
      </c>
      <c r="V55" s="94" t="str">
        <f>IF(ISTEXT(VLOOKUP(CONCATENATE($A55,"_",V$3),'Unit List'!$A$23:$H$3319,2,FALSE)),"X",$P55)</f>
        <v>X</v>
      </c>
      <c r="W55" s="96" t="str">
        <f>IF(ISTEXT(VLOOKUP(CONCATENATE($A55,"_",W$3),'Unit List'!$A$23:$H$3319,2,FALSE)),"X",$P55)</f>
        <v/>
      </c>
      <c r="X55" s="97" t="str">
        <f>IF(ISTEXT(VLOOKUP(CONCATENATE($A55,"_",X$3),'Unit List'!$A$23:$H$3319,2,FALSE)),"+","")</f>
        <v>+</v>
      </c>
      <c r="Y55" s="94" t="str">
        <f>IF(ISTEXT(VLOOKUP(CONCATENATE($A55,"_",Y$3),'Unit List'!$A$23:$H$3319,2,FALSE)),"X",$X55)</f>
        <v>+</v>
      </c>
      <c r="Z55" s="94" t="str">
        <f>IF(ISTEXT(VLOOKUP(CONCATENATE($A55,"_",Z$3),'Unit List'!$A$23:$H$3319,2,FALSE)),"X",$X55)</f>
        <v>+</v>
      </c>
      <c r="AA55" s="94" t="str">
        <f>IF(ISTEXT(VLOOKUP(CONCATENATE($A55,"_",AA$3),'Unit List'!$A$23:$H$3319,2,FALSE)),"X",$X55)</f>
        <v>X</v>
      </c>
      <c r="AB55" s="94" t="str">
        <f>IF(ISTEXT(VLOOKUP(CONCATENATE($A55,"_",AB$3),'Unit List'!$A$23:$H$3319,2,FALSE)),"X",$X55)</f>
        <v>X</v>
      </c>
      <c r="AC55" s="101" t="str">
        <f>IF(ISTEXT(VLOOKUP(CONCATENATE($A55,"_",AC$3),'Unit List'!$A$23:$H$3319,2,FALSE)),"X",$X55)</f>
        <v>X</v>
      </c>
      <c r="AD55" s="115" t="str">
        <f>IF(ISTEXT(VLOOKUP(CONCATENATE($A55,"_",AD$3),'Unit List'!$A$23:$H$3319,2,FALSE)),"+","")</f>
        <v>+</v>
      </c>
      <c r="AE55" s="94" t="str">
        <f>IF(ISTEXT(VLOOKUP(CONCATENATE($A55,"_",AE$3),'Unit List'!$A$23:$H$3319,2,FALSE)),"X",$AD55)</f>
        <v>X</v>
      </c>
      <c r="AF55" s="94" t="str">
        <f>IF(ISTEXT(VLOOKUP(CONCATENATE($A55,"_",AF$3),'Unit List'!$A$23:$H$3319,2,FALSE)),"X",$AD55)</f>
        <v>+</v>
      </c>
      <c r="AG55" s="115" t="str">
        <f>IF(ISTEXT(VLOOKUP(CONCATENATE($A55,"_",AG$3),'Unit List'!$A$23:$H$3319,2,FALSE)),"+","")</f>
        <v>+</v>
      </c>
      <c r="AH55" s="95" t="str">
        <f>IF(ISTEXT(VLOOKUP(CONCATENATE($A55,"_",AH$3),'Unit List'!$A$23:$H$3319,2,FALSE)),"X",$AG55)</f>
        <v>X</v>
      </c>
      <c r="AI55" s="95" t="str">
        <f>IF(ISTEXT(VLOOKUP(CONCATENATE($A55,"_",AI$3),'Unit List'!$A$23:$H$3319,2,FALSE)),"X",$AG55)</f>
        <v>X</v>
      </c>
      <c r="AJ55" s="114" t="str">
        <f>IF(ISTEXT(VLOOKUP(CONCATENATE($A55,"_",AJ$3),'Unit List'!$A$23:$H$3319,2,FALSE)),"X",$AG55)</f>
        <v>+</v>
      </c>
      <c r="AK55" s="97" t="str">
        <f>IF(ISTEXT(VLOOKUP(CONCATENATE($A55,"_",AK$3),'Unit List'!$A$23:$H$3319,2,FALSE)),"+","")</f>
        <v/>
      </c>
      <c r="AL55" s="100" t="str">
        <f>IF(ISTEXT(VLOOKUP(CONCATENATE($A55,"_",AL$3),'Unit List'!$A$23:$H$3319,2,FALSE)),"X",$AK55)</f>
        <v/>
      </c>
      <c r="AM55" s="96" t="str">
        <f>IF(ISTEXT(VLOOKUP(CONCATENATE($A55,"_",AM$3),'Unit List'!$A$23:$H$3319,2,FALSE)),"X",$AK55)</f>
        <v/>
      </c>
      <c r="AN55" s="103" t="str">
        <f>IF(ISTEXT(VLOOKUP(CONCATENATE($A55,"_",AN$3),'Unit List'!$A$23:$H$3319,2,FALSE)),"+","")</f>
        <v/>
      </c>
      <c r="AO55" s="96" t="str">
        <f>IF(ISTEXT(VLOOKUP(CONCATENATE($A55,"_",AO$3),'Unit List'!$A$23:$H$3319,2,FALSE)),"X",$AN55)</f>
        <v/>
      </c>
      <c r="AP55" s="97" t="str">
        <f>IF(ISTEXT(VLOOKUP(CONCATENATE($A55,"_",AP$3),'Unit List'!$A$23:$H$3319,2,FALSE)),"+","")</f>
        <v/>
      </c>
      <c r="AQ55" s="94" t="str">
        <f>IF(ISTEXT(VLOOKUP(CONCATENATE($A55,"_",AQ$3),'Unit List'!$A$23:$H$3319,2,FALSE)),"X",$AP55)</f>
        <v/>
      </c>
      <c r="AR55" s="94" t="str">
        <f>IF(ISTEXT(VLOOKUP(CONCATENATE($A55,"_",AR$3),'Unit List'!$A$23:$H$3319,2,FALSE)),"X",$AP55)</f>
        <v/>
      </c>
      <c r="AS55" s="94" t="str">
        <f>IF(ISTEXT(VLOOKUP(CONCATENATE($A55,"_",AS$3),'Unit List'!$A$23:$H$3319,2,FALSE)),"X",$AP55)</f>
        <v/>
      </c>
      <c r="AT55" s="96" t="str">
        <f>IF(ISTEXT(VLOOKUP(CONCATENATE($A55,"_",AT$3),'Unit List'!$A$23:$H$3319,2,FALSE)),"X",$AP55)</f>
        <v/>
      </c>
      <c r="AU55" s="104" t="str">
        <f>IF(ISTEXT(VLOOKUP(CONCATENATE($A55,"_",AU$3),'Unit List'!$A$23:$H$3319,2,FALSE)),"+","")</f>
        <v/>
      </c>
      <c r="AV55" s="94" t="str">
        <f>IF(ISTEXT(VLOOKUP(CONCATENATE($A55,"_",AV$3),'Unit List'!$A$23:$H$3319,2,FALSE)),"X",$AU55)</f>
        <v/>
      </c>
      <c r="AW55" s="96" t="str">
        <f>IF(ISTEXT(VLOOKUP(CONCATENATE($A55,"_",AW$3),'Unit List'!$A$23:$H$3319,2,FALSE)),"X",$AU55)</f>
        <v/>
      </c>
      <c r="AX55" s="115" t="str">
        <f>IF(ISTEXT(VLOOKUP(CONCATENATE($A55,"_",AX$3),'Unit List'!$A$23:$H$3319,2,FALSE)),"+","")</f>
        <v>+</v>
      </c>
      <c r="AY55" s="95" t="str">
        <f>IF(ISTEXT(VLOOKUP(CONCATENATE($A55,"_",AY$3),'Unit List'!$A$23:$H$3319,2,FALSE)),"X",$AX55)</f>
        <v>+</v>
      </c>
      <c r="AZ55" s="114" t="str">
        <f>IF(ISTEXT(VLOOKUP(CONCATENATE($A55,"_",AZ$3),'Unit List'!$A$23:$H$3319,2,FALSE)),"X",$AX55)</f>
        <v>+</v>
      </c>
      <c r="BA55" s="115" t="str">
        <f>IF(ISTEXT(VLOOKUP(CONCATENATE($A55,"_",BA$3),'Unit List'!$A$23:$H$3319,2,FALSE)),"+","")</f>
        <v>+</v>
      </c>
      <c r="BB55" s="138" t="s">
        <v>0</v>
      </c>
      <c r="BC55" s="94" t="str">
        <f>IF(ISTEXT(VLOOKUP(CONCATENATE($A55,"_",BC$3),'Unit List'!$A$23:$H$3319,2,FALSE)),"X",$BA55)</f>
        <v>X</v>
      </c>
      <c r="BD55" s="114" t="str">
        <f>IF(ISTEXT(VLOOKUP(CONCATENATE($A55,"_",BD$3),'Unit List'!$A$23:$H$3319,2,FALSE)),"X",$BA55)</f>
        <v>X</v>
      </c>
      <c r="BE55" s="103" t="str">
        <f>IF(ISTEXT(VLOOKUP(CONCATENATE($A55,"_",BE$3),'Unit List'!$A$23:$H$3319,2,FALSE)),"+","")</f>
        <v>+</v>
      </c>
      <c r="BF55" s="150" t="s">
        <v>0</v>
      </c>
      <c r="BG55" s="124"/>
      <c r="BH55" s="125" t="s">
        <v>0</v>
      </c>
      <c r="BI55" s="228" t="s">
        <v>2802</v>
      </c>
      <c r="BJ55" s="229"/>
      <c r="BK55" s="229"/>
      <c r="BL55" s="229"/>
      <c r="BM55" s="230"/>
      <c r="BN55" s="108"/>
      <c r="BO55" s="108"/>
      <c r="BP55" s="108"/>
      <c r="BQ55" s="108"/>
      <c r="BR55" s="108"/>
      <c r="BS55" s="108"/>
      <c r="DZ55" s="109"/>
      <c r="EA55" s="109"/>
    </row>
    <row r="56" spans="1:131" ht="12.75" customHeight="1" x14ac:dyDescent="0.2">
      <c r="A56" s="90" t="s">
        <v>1160</v>
      </c>
      <c r="B56" s="91" t="str">
        <f>IF(ISTEXT(VLOOKUP(CONCATENATE($A56,"_",B$3),'Unit List'!$A$23:$H$3319,2,FALSE)),"+","")</f>
        <v/>
      </c>
      <c r="C56" s="92" t="str">
        <f>IF(ISTEXT(VLOOKUP(CONCATENATE($A56,"_",C$3),'Unit List'!$A$23:$H$3319,2,FALSE)),"X",$B56)</f>
        <v/>
      </c>
      <c r="D56" s="94" t="str">
        <f>IF(ISTEXT(VLOOKUP(CONCATENATE($A56,"_",D$3),'Unit List'!$A$23:$H$3319,2,FALSE)),"X",$B56)</f>
        <v/>
      </c>
      <c r="E56" s="94" t="str">
        <f>IF(ISTEXT(VLOOKUP(CONCATENATE($A56,"_",E$3),'Unit List'!$A$23:$H$3319,2,FALSE)),"X",$B56)</f>
        <v>X</v>
      </c>
      <c r="F56" s="94" t="str">
        <f>IF(ISTEXT(VLOOKUP(CONCATENATE($A56,"_",F$3),'Unit List'!$A$23:$H$3319,2,FALSE)),"X",$B56)</f>
        <v>X</v>
      </c>
      <c r="G56" s="94" t="str">
        <f>IF(ISTEXT(VLOOKUP(CONCATENATE($A56,"_",G$3),'Unit List'!$A$23:$H$3319,2,FALSE)),"X",$B56)</f>
        <v/>
      </c>
      <c r="H56" s="94" t="str">
        <f>IF(ISTEXT(VLOOKUP(CONCATENATE($A56,"_",H$3),'Unit List'!$A$23:$H$3319,2,FALSE)),"X",$B56)</f>
        <v/>
      </c>
      <c r="I56" s="96" t="str">
        <f>IF(ISTEXT(VLOOKUP(CONCATENATE($A56,"_",I$3),'Unit List'!$A$23:$H$3319,2,FALSE)),"X",$B56)</f>
        <v/>
      </c>
      <c r="J56" s="97" t="str">
        <f>IF(ISTEXT(VLOOKUP(CONCATENATE($A56,"_",J$3),'Unit List'!$A$23:$H$3319,2,FALSE)),"+","")</f>
        <v/>
      </c>
      <c r="K56" s="94" t="str">
        <f>IF(ISTEXT(VLOOKUP(CONCATENATE($A56,"_",K$3),'Unit List'!$A$23:$H$3319,2,FALSE)),"X",$J56)</f>
        <v/>
      </c>
      <c r="L56" s="101" t="str">
        <f>IF(ISTEXT(VLOOKUP(CONCATENATE($A56,"_",L$3),'Unit List'!$A$23:$H$3319,2,FALSE)),"X",$J56)</f>
        <v/>
      </c>
      <c r="M56" s="97" t="str">
        <f>IF(ISTEXT(VLOOKUP(CONCATENATE($A56,"_",M$3),'Unit List'!$A$23:$H$3319,2,FALSE)),"+","")</f>
        <v/>
      </c>
      <c r="N56" s="94" t="str">
        <f>IF(ISTEXT(VLOOKUP(CONCATENATE($A56,"_",N$3),'Unit List'!$A$23:$H$3319,2,FALSE)),"X",$M56)</f>
        <v/>
      </c>
      <c r="O56" s="96" t="str">
        <f>IF(ISTEXT(VLOOKUP(CONCATENATE($A56,"_",O$3),'Unit List'!$A$23:$H$3319,2,FALSE)),"X",$M56)</f>
        <v/>
      </c>
      <c r="P56" s="97" t="str">
        <f>IF(ISTEXT(VLOOKUP(CONCATENATE($A56,"_",P$3),'Unit List'!$A$23:$H$3319,2,FALSE)),"+","")</f>
        <v/>
      </c>
      <c r="Q56" s="94" t="str">
        <f>IF(ISTEXT(VLOOKUP(CONCATENATE($A56,"_",Q$3),'Unit List'!$A$23:$H$3319,2,FALSE)),"X",$P56)</f>
        <v/>
      </c>
      <c r="R56" s="94" t="str">
        <f>IF(ISTEXT(VLOOKUP(CONCATENATE($A56,"_",R$3),'Unit List'!$A$23:$H$3319,2,FALSE)),"X",$P56)</f>
        <v/>
      </c>
      <c r="S56" s="94" t="str">
        <f>IF(ISTEXT(VLOOKUP(CONCATENATE($A56,"_",S$3),'Unit List'!$A$23:$H$3319,2,FALSE)),"X",$P56)</f>
        <v/>
      </c>
      <c r="T56" s="100" t="str">
        <f>IF(ISTEXT(VLOOKUP(CONCATENATE($A56,"_",T$3),'Unit List'!$A$23:$H$3319,2,FALSE)),"X",$P56)</f>
        <v/>
      </c>
      <c r="U56" s="94" t="str">
        <f>IF(ISTEXT(VLOOKUP(CONCATENATE($A56,"_",U$3),'Unit List'!$A$23:$H$3319,2,FALSE)),"X",$P56)</f>
        <v/>
      </c>
      <c r="V56" s="94" t="str">
        <f>IF(ISTEXT(VLOOKUP(CONCATENATE($A56,"_",V$3),'Unit List'!$A$23:$H$3319,2,FALSE)),"X",$P56)</f>
        <v/>
      </c>
      <c r="W56" s="96" t="str">
        <f>IF(ISTEXT(VLOOKUP(CONCATENATE($A56,"_",W$3),'Unit List'!$A$23:$H$3319,2,FALSE)),"X",$P56)</f>
        <v/>
      </c>
      <c r="X56" s="97" t="str">
        <f>IF(ISTEXT(VLOOKUP(CONCATENATE($A56,"_",X$3),'Unit List'!$A$23:$H$3319,2,FALSE)),"+","")</f>
        <v/>
      </c>
      <c r="Y56" s="94" t="str">
        <f>IF(ISTEXT(VLOOKUP(CONCATENATE($A56,"_",Y$3),'Unit List'!$A$23:$H$3319,2,FALSE)),"X",$X56)</f>
        <v/>
      </c>
      <c r="Z56" s="94" t="str">
        <f>IF(ISTEXT(VLOOKUP(CONCATENATE($A56,"_",Z$3),'Unit List'!$A$23:$H$3319,2,FALSE)),"X",$X56)</f>
        <v/>
      </c>
      <c r="AA56" s="94" t="str">
        <f>IF(ISTEXT(VLOOKUP(CONCATENATE($A56,"_",AA$3),'Unit List'!$A$23:$H$3319,2,FALSE)),"X",$X56)</f>
        <v/>
      </c>
      <c r="AB56" s="94" t="str">
        <f>IF(ISTEXT(VLOOKUP(CONCATENATE($A56,"_",AB$3),'Unit List'!$A$23:$H$3319,2,FALSE)),"X",$X56)</f>
        <v/>
      </c>
      <c r="AC56" s="101" t="str">
        <f>IF(ISTEXT(VLOOKUP(CONCATENATE($A56,"_",AC$3),'Unit List'!$A$23:$H$3319,2,FALSE)),"X",$X56)</f>
        <v/>
      </c>
      <c r="AD56" s="97" t="str">
        <f>IF(ISTEXT(VLOOKUP(CONCATENATE($A56,"_",AD$3),'Unit List'!$A$23:$H$3319,2,FALSE)),"+","")</f>
        <v/>
      </c>
      <c r="AE56" s="94" t="str">
        <f>IF(ISTEXT(VLOOKUP(CONCATENATE($A56,"_",AE$3),'Unit List'!$A$23:$H$3319,2,FALSE)),"X",$AD56)</f>
        <v/>
      </c>
      <c r="AF56" s="94" t="str">
        <f>IF(ISTEXT(VLOOKUP(CONCATENATE($A56,"_",AF$3),'Unit List'!$A$23:$H$3319,2,FALSE)),"X",$AD56)</f>
        <v/>
      </c>
      <c r="AG56" s="97" t="str">
        <f>IF(ISTEXT(VLOOKUP(CONCATENATE($A56,"_",AG$3),'Unit List'!$A$23:$H$3319,2,FALSE)),"+","")</f>
        <v/>
      </c>
      <c r="AH56" s="94" t="str">
        <f>IF(ISTEXT(VLOOKUP(CONCATENATE($A56,"_",AH$3),'Unit List'!$A$23:$H$3319,2,FALSE)),"X",$AG56)</f>
        <v/>
      </c>
      <c r="AI56" s="94" t="str">
        <f>IF(ISTEXT(VLOOKUP(CONCATENATE($A56,"_",AI$3),'Unit List'!$A$23:$H$3319,2,FALSE)),"X",$AG56)</f>
        <v/>
      </c>
      <c r="AJ56" s="96" t="str">
        <f>IF(ISTEXT(VLOOKUP(CONCATENATE($A56,"_",AJ$3),'Unit List'!$A$23:$H$3319,2,FALSE)),"X",$AG56)</f>
        <v>X</v>
      </c>
      <c r="AK56" s="97" t="str">
        <f>IF(ISTEXT(VLOOKUP(CONCATENATE($A56,"_",AK$3),'Unit List'!$A$23:$H$3319,2,FALSE)),"+","")</f>
        <v/>
      </c>
      <c r="AL56" s="100" t="str">
        <f>IF(ISTEXT(VLOOKUP(CONCATENATE($A56,"_",AL$3),'Unit List'!$A$23:$H$3319,2,FALSE)),"X",$AK56)</f>
        <v/>
      </c>
      <c r="AM56" s="96" t="str">
        <f>IF(ISTEXT(VLOOKUP(CONCATENATE($A56,"_",AM$3),'Unit List'!$A$23:$H$3319,2,FALSE)),"X",$AK56)</f>
        <v/>
      </c>
      <c r="AN56" s="103" t="str">
        <f>IF(ISTEXT(VLOOKUP(CONCATENATE($A56,"_",AN$3),'Unit List'!$A$23:$H$3319,2,FALSE)),"+","")</f>
        <v>+</v>
      </c>
      <c r="AO56" s="96" t="str">
        <f>IF(ISTEXT(VLOOKUP(CONCATENATE($A56,"_",AO$3),'Unit List'!$A$23:$H$3319,2,FALSE)),"X",$AN56)</f>
        <v>+</v>
      </c>
      <c r="AP56" s="97" t="str">
        <f>IF(ISTEXT(VLOOKUP(CONCATENATE($A56,"_",AP$3),'Unit List'!$A$23:$H$3319,2,FALSE)),"+","")</f>
        <v/>
      </c>
      <c r="AQ56" s="94" t="str">
        <f>IF(ISTEXT(VLOOKUP(CONCATENATE($A56,"_",AQ$3),'Unit List'!$A$23:$H$3319,2,FALSE)),"X",$AP56)</f>
        <v/>
      </c>
      <c r="AR56" s="94" t="str">
        <f>IF(ISTEXT(VLOOKUP(CONCATENATE($A56,"_",AR$3),'Unit List'!$A$23:$H$3319,2,FALSE)),"X",$AP56)</f>
        <v/>
      </c>
      <c r="AS56" s="94" t="str">
        <f>IF(ISTEXT(VLOOKUP(CONCATENATE($A56,"_",AS$3),'Unit List'!$A$23:$H$3319,2,FALSE)),"X",$AP56)</f>
        <v/>
      </c>
      <c r="AT56" s="96" t="str">
        <f>IF(ISTEXT(VLOOKUP(CONCATENATE($A56,"_",AT$3),'Unit List'!$A$23:$H$3319,2,FALSE)),"X",$AP56)</f>
        <v/>
      </c>
      <c r="AU56" s="104" t="str">
        <f>IF(ISTEXT(VLOOKUP(CONCATENATE($A56,"_",AU$3),'Unit List'!$A$23:$H$3319,2,FALSE)),"+","")</f>
        <v/>
      </c>
      <c r="AV56" s="94" t="str">
        <f>IF(ISTEXT(VLOOKUP(CONCATENATE($A56,"_",AV$3),'Unit List'!$A$23:$H$3319,2,FALSE)),"X",$AU56)</f>
        <v/>
      </c>
      <c r="AW56" s="96" t="str">
        <f>IF(ISTEXT(VLOOKUP(CONCATENATE($A56,"_",AW$3),'Unit List'!$A$23:$H$3319,2,FALSE)),"X",$AU56)</f>
        <v/>
      </c>
      <c r="AX56" s="97" t="str">
        <f>IF(ISTEXT(VLOOKUP(CONCATENATE($A56,"_",AX$3),'Unit List'!$A$23:$H$3319,2,FALSE)),"+","")</f>
        <v/>
      </c>
      <c r="AY56" s="94" t="str">
        <f>IF(ISTEXT(VLOOKUP(CONCATENATE($A56,"_",AY$3),'Unit List'!$A$23:$H$3319,2,FALSE)),"X",$AX56)</f>
        <v/>
      </c>
      <c r="AZ56" s="96" t="str">
        <f>IF(ISTEXT(VLOOKUP(CONCATENATE($A56,"_",AZ$3),'Unit List'!$A$23:$H$3319,2,FALSE)),"X",$AX56)</f>
        <v/>
      </c>
      <c r="BA56" s="105" t="str">
        <f>IF(ISTEXT(VLOOKUP(CONCATENATE($A56,"_",BA$3),'Unit List'!$A$23:$H$3319,2,FALSE)),"+","")</f>
        <v/>
      </c>
      <c r="BB56" s="94" t="str">
        <f>IF(ISTEXT(VLOOKUP(CONCATENATE($A56,"_",BB$3),'Unit List'!$A$23:$H$3319,2,FALSE)),"X",$BA56)</f>
        <v/>
      </c>
      <c r="BC56" s="94" t="str">
        <f>IF(ISTEXT(VLOOKUP(CONCATENATE($A56,"_",BC$3),'Unit List'!$A$23:$H$3319,2,FALSE)),"X",$BA56)</f>
        <v/>
      </c>
      <c r="BD56" s="96" t="str">
        <f>IF(ISTEXT(VLOOKUP(CONCATENATE($A56,"_",BD$3),'Unit List'!$A$23:$H$3319,2,FALSE)),"X",$BA56)</f>
        <v/>
      </c>
      <c r="BE56" s="103" t="str">
        <f>IF(ISTEXT(VLOOKUP(CONCATENATE($A56,"_",BE$3),'Unit List'!$A$23:$H$3319,2,FALSE)),"+","")</f>
        <v/>
      </c>
      <c r="BF56" s="101" t="str">
        <f>IF(ISTEXT(VLOOKUP(CONCATENATE($A56,"_",BF$3),'Unit List'!$A$23:$H$3319,2,FALSE)),"X",$BE56)</f>
        <v/>
      </c>
      <c r="BG56" s="124"/>
      <c r="BH56" s="133"/>
      <c r="BI56" s="228"/>
      <c r="BJ56" s="229"/>
      <c r="BK56" s="229"/>
      <c r="BL56" s="229"/>
      <c r="BM56" s="230"/>
      <c r="BN56" s="108"/>
      <c r="BO56" s="108"/>
      <c r="BP56" s="108"/>
      <c r="BQ56" s="108"/>
      <c r="BR56" s="108"/>
      <c r="BS56" s="108"/>
      <c r="DZ56" s="109"/>
      <c r="EA56" s="109"/>
    </row>
    <row r="57" spans="1:131" ht="12.75" customHeight="1" x14ac:dyDescent="0.2">
      <c r="A57" s="90" t="s">
        <v>1159</v>
      </c>
      <c r="B57" s="91" t="str">
        <f>IF(ISTEXT(VLOOKUP(CONCATENATE($A57,"_",B$3),'Unit List'!$A$23:$H$3319,2,FALSE)),"+","")</f>
        <v/>
      </c>
      <c r="C57" s="131" t="str">
        <f>IF(ISTEXT(VLOOKUP(CONCATENATE($A57,"_",C$3),'Unit List'!$A$23:$H$3319,2,FALSE)),"X",$B57)</f>
        <v>X</v>
      </c>
      <c r="D57" s="95" t="str">
        <f>IF(ISTEXT(VLOOKUP(CONCATENATE($A57,"_",D$3),'Unit List'!$A$23:$H$3319,2,FALSE)),"X",$B57)</f>
        <v>X</v>
      </c>
      <c r="E57" s="94" t="str">
        <f>IF(ISTEXT(VLOOKUP(CONCATENATE($A57,"_",E$3),'Unit List'!$A$23:$H$3319,2,FALSE)),"X",$B57)</f>
        <v>X</v>
      </c>
      <c r="F57" s="95" t="str">
        <f>IF(ISTEXT(VLOOKUP(CONCATENATE($A57,"_",F$3),'Unit List'!$A$23:$H$3319,2,FALSE)),"X",$B57)</f>
        <v>X</v>
      </c>
      <c r="G57" s="95" t="str">
        <f>IF(ISTEXT(VLOOKUP(CONCATENATE($A57,"_",G$3),'Unit List'!$A$23:$H$3319,2,FALSE)),"X",$B57)</f>
        <v>X</v>
      </c>
      <c r="H57" s="95" t="str">
        <f>IF(ISTEXT(VLOOKUP(CONCATENATE($A57,"_",H$3),'Unit List'!$A$23:$H$3319,2,FALSE)),"X",$B57)</f>
        <v>X</v>
      </c>
      <c r="I57" s="96" t="str">
        <f>IF(ISTEXT(VLOOKUP(CONCATENATE($A57,"_",I$3),'Unit List'!$A$23:$H$3319,2,FALSE)),"X",$B57)</f>
        <v/>
      </c>
      <c r="J57" s="97" t="str">
        <f>IF(ISTEXT(VLOOKUP(CONCATENATE($A57,"_",J$3),'Unit List'!$A$23:$H$3319,2,FALSE)),"+","")</f>
        <v/>
      </c>
      <c r="K57" s="94" t="str">
        <f>IF(ISTEXT(VLOOKUP(CONCATENATE($A57,"_",K$3),'Unit List'!$A$23:$H$3319,2,FALSE)),"X",$J57)</f>
        <v/>
      </c>
      <c r="L57" s="101" t="str">
        <f>IF(ISTEXT(VLOOKUP(CONCATENATE($A57,"_",L$3),'Unit List'!$A$23:$H$3319,2,FALSE)),"X",$J57)</f>
        <v/>
      </c>
      <c r="M57" s="97" t="str">
        <f>IF(ISTEXT(VLOOKUP(CONCATENATE($A57,"_",M$3),'Unit List'!$A$23:$H$3319,2,FALSE)),"+","")</f>
        <v>+</v>
      </c>
      <c r="N57" s="95" t="str">
        <f>IF(ISTEXT(VLOOKUP(CONCATENATE($A57,"_",N$3),'Unit List'!$A$23:$H$3319,2,FALSE)),"X",$M57)</f>
        <v>+</v>
      </c>
      <c r="O57" s="114" t="str">
        <f>IF(ISTEXT(VLOOKUP(CONCATENATE($A57,"_",O$3),'Unit List'!$A$23:$H$3319,2,FALSE)),"X",$M57)</f>
        <v>X</v>
      </c>
      <c r="P57" s="97" t="str">
        <f>IF(ISTEXT(VLOOKUP(CONCATENATE($A57,"_",P$3),'Unit List'!$A$23:$H$3319,2,FALSE)),"+","")</f>
        <v>+</v>
      </c>
      <c r="Q57" s="94" t="str">
        <f>IF(ISTEXT(VLOOKUP(CONCATENATE($A57,"_",Q$3),'Unit List'!$A$23:$H$3319,2,FALSE)),"X",$P57)</f>
        <v>+</v>
      </c>
      <c r="R57" s="94" t="str">
        <f>IF(ISTEXT(VLOOKUP(CONCATENATE($A57,"_",R$3),'Unit List'!$A$23:$H$3319,2,FALSE)),"X",$P57)</f>
        <v>+</v>
      </c>
      <c r="S57" s="94" t="str">
        <f>IF(ISTEXT(VLOOKUP(CONCATENATE($A57,"_",S$3),'Unit List'!$A$23:$H$3319,2,FALSE)),"X",$P57)</f>
        <v>+</v>
      </c>
      <c r="T57" s="100" t="str">
        <f>IF(ISTEXT(VLOOKUP(CONCATENATE($A57,"_",T$3),'Unit List'!$A$23:$H$3319,2,FALSE)),"X",$P57)</f>
        <v>+</v>
      </c>
      <c r="U57" s="95" t="str">
        <f>IF(ISTEXT(VLOOKUP(CONCATENATE($A57,"_",U$3),'Unit List'!$A$23:$H$3319,2,FALSE)),"X",$P57)</f>
        <v>X</v>
      </c>
      <c r="V57" s="94" t="str">
        <f>IF(ISTEXT(VLOOKUP(CONCATENATE($A57,"_",V$3),'Unit List'!$A$23:$H$3319,2,FALSE)),"X",$P57)</f>
        <v>+</v>
      </c>
      <c r="W57" s="96" t="str">
        <f>IF(ISTEXT(VLOOKUP(CONCATENATE($A57,"_",W$3),'Unit List'!$A$23:$H$3319,2,FALSE)),"X",$P57)</f>
        <v>+</v>
      </c>
      <c r="X57" s="97" t="str">
        <f>IF(ISTEXT(VLOOKUP(CONCATENATE($A57,"_",X$3),'Unit List'!$A$23:$H$3319,2,FALSE)),"+","")</f>
        <v/>
      </c>
      <c r="Y57" s="94" t="str">
        <f>IF(ISTEXT(VLOOKUP(CONCATENATE($A57,"_",Y$3),'Unit List'!$A$23:$H$3319,2,FALSE)),"X",$X57)</f>
        <v/>
      </c>
      <c r="Z57" s="94" t="str">
        <f>IF(ISTEXT(VLOOKUP(CONCATENATE($A57,"_",Z$3),'Unit List'!$A$23:$H$3319,2,FALSE)),"X",$X57)</f>
        <v/>
      </c>
      <c r="AA57" s="94" t="str">
        <f>IF(ISTEXT(VLOOKUP(CONCATENATE($A57,"_",AA$3),'Unit List'!$A$23:$H$3319,2,FALSE)),"X",$X57)</f>
        <v/>
      </c>
      <c r="AB57" s="94" t="str">
        <f>IF(ISTEXT(VLOOKUP(CONCATENATE($A57,"_",AB$3),'Unit List'!$A$23:$H$3319,2,FALSE)),"X",$X57)</f>
        <v/>
      </c>
      <c r="AC57" s="101" t="str">
        <f>IF(ISTEXT(VLOOKUP(CONCATENATE($A57,"_",AC$3),'Unit List'!$A$23:$H$3319,2,FALSE)),"X",$X57)</f>
        <v/>
      </c>
      <c r="AD57" s="97" t="str">
        <f>IF(ISTEXT(VLOOKUP(CONCATENATE($A57,"_",AD$3),'Unit List'!$A$23:$H$3319,2,FALSE)),"+","")</f>
        <v>+</v>
      </c>
      <c r="AE57" s="94" t="str">
        <f>IF(ISTEXT(VLOOKUP(CONCATENATE($A57,"_",AE$3),'Unit List'!$A$23:$H$3319,2,FALSE)),"X",$AD57)</f>
        <v>+</v>
      </c>
      <c r="AF57" s="94" t="str">
        <f>IF(ISTEXT(VLOOKUP(CONCATENATE($A57,"_",AF$3),'Unit List'!$A$23:$H$3319,2,FALSE)),"X",$AD57)</f>
        <v>+</v>
      </c>
      <c r="AG57" s="97" t="str">
        <f>IF(ISTEXT(VLOOKUP(CONCATENATE($A57,"_",AG$3),'Unit List'!$A$23:$H$3319,2,FALSE)),"+","")</f>
        <v/>
      </c>
      <c r="AH57" s="94" t="str">
        <f>IF(ISTEXT(VLOOKUP(CONCATENATE($A57,"_",AH$3),'Unit List'!$A$23:$H$3319,2,FALSE)),"X",$AG57)</f>
        <v/>
      </c>
      <c r="AI57" s="94" t="str">
        <f>IF(ISTEXT(VLOOKUP(CONCATENATE($A57,"_",AI$3),'Unit List'!$A$23:$H$3319,2,FALSE)),"X",$AG57)</f>
        <v/>
      </c>
      <c r="AJ57" s="96" t="str">
        <f>IF(ISTEXT(VLOOKUP(CONCATENATE($A57,"_",AJ$3),'Unit List'!$A$23:$H$3319,2,FALSE)),"X",$AG57)</f>
        <v>X</v>
      </c>
      <c r="AK57" s="97" t="str">
        <f>IF(ISTEXT(VLOOKUP(CONCATENATE($A57,"_",AK$3),'Unit List'!$A$23:$H$3319,2,FALSE)),"+","")</f>
        <v>+</v>
      </c>
      <c r="AL57" s="136" t="str">
        <f>IF(ISTEXT(VLOOKUP(CONCATENATE($A57,"_",AL$3),'Unit List'!$A$23:$H$3319,2,FALSE)),"X",$AK57)</f>
        <v>X</v>
      </c>
      <c r="AM57" s="96" t="str">
        <f>IF(ISTEXT(VLOOKUP(CONCATENATE($A57,"_",AM$3),'Unit List'!$A$23:$H$3319,2,FALSE)),"X",$AK57)</f>
        <v>X</v>
      </c>
      <c r="AN57" s="103" t="str">
        <f>IF(ISTEXT(VLOOKUP(CONCATENATE($A57,"_",AN$3),'Unit List'!$A$23:$H$3319,2,FALSE)),"+","")</f>
        <v>+</v>
      </c>
      <c r="AO57" s="96" t="str">
        <f>IF(ISTEXT(VLOOKUP(CONCATENATE($A57,"_",AO$3),'Unit List'!$A$23:$H$3319,2,FALSE)),"X",$AN57)</f>
        <v>+</v>
      </c>
      <c r="AP57" s="97" t="str">
        <f>IF(ISTEXT(VLOOKUP(CONCATENATE($A57,"_",AP$3),'Unit List'!$A$23:$H$3319,2,FALSE)),"+","")</f>
        <v>+</v>
      </c>
      <c r="AQ57" s="95" t="str">
        <f>IF(ISTEXT(VLOOKUP(CONCATENATE($A57,"_",AQ$3),'Unit List'!$A$23:$H$3319,2,FALSE)),"X",$AP57)</f>
        <v>X</v>
      </c>
      <c r="AR57" s="95" t="str">
        <f>IF(ISTEXT(VLOOKUP(CONCATENATE($A57,"_",AR$3),'Unit List'!$A$23:$H$3319,2,FALSE)),"X",$AP57)</f>
        <v>X</v>
      </c>
      <c r="AS57" s="94" t="str">
        <f>IF(ISTEXT(VLOOKUP(CONCATENATE($A57,"_",AS$3),'Unit List'!$A$23:$H$3319,2,FALSE)),"X",$AP57)</f>
        <v>+</v>
      </c>
      <c r="AT57" s="96" t="str">
        <f>IF(ISTEXT(VLOOKUP(CONCATENATE($A57,"_",AT$3),'Unit List'!$A$23:$H$3319,2,FALSE)),"X",$AP57)</f>
        <v>+</v>
      </c>
      <c r="AU57" s="104" t="str">
        <f>IF(ISTEXT(VLOOKUP(CONCATENATE($A57,"_",AU$3),'Unit List'!$A$23:$H$3319,2,FALSE)),"+","")</f>
        <v>+</v>
      </c>
      <c r="AV57" s="94" t="str">
        <f>IF(ISTEXT(VLOOKUP(CONCATENATE($A57,"_",AV$3),'Unit List'!$A$23:$H$3319,2,FALSE)),"X",$AU57)</f>
        <v>+</v>
      </c>
      <c r="AW57" s="96" t="str">
        <f>IF(ISTEXT(VLOOKUP(CONCATENATE($A57,"_",AW$3),'Unit List'!$A$23:$H$3319,2,FALSE)),"X",$AU57)</f>
        <v>+</v>
      </c>
      <c r="AX57" s="97" t="str">
        <f>IF(ISTEXT(VLOOKUP(CONCATENATE($A57,"_",AX$3),'Unit List'!$A$23:$H$3319,2,FALSE)),"+","")</f>
        <v>+</v>
      </c>
      <c r="AY57" s="94" t="str">
        <f>IF(ISTEXT(VLOOKUP(CONCATENATE($A57,"_",AY$3),'Unit List'!$A$23:$H$3319,2,FALSE)),"X",$AX57)</f>
        <v>+</v>
      </c>
      <c r="AZ57" s="96" t="str">
        <f>IF(ISTEXT(VLOOKUP(CONCATENATE($A57,"_",AZ$3),'Unit List'!$A$23:$H$3319,2,FALSE)),"X",$AX57)</f>
        <v>+</v>
      </c>
      <c r="BA57" s="105" t="str">
        <f>IF(ISTEXT(VLOOKUP(CONCATENATE($A57,"_",BA$3),'Unit List'!$A$23:$H$3319,2,FALSE)),"+","")</f>
        <v>+</v>
      </c>
      <c r="BB57" s="94" t="str">
        <f>IF(ISTEXT(VLOOKUP(CONCATENATE($A57,"_",BB$3),'Unit List'!$A$23:$H$3319,2,FALSE)),"X",$BA57)</f>
        <v>+</v>
      </c>
      <c r="BC57" s="94" t="str">
        <f>IF(ISTEXT(VLOOKUP(CONCATENATE($A57,"_",BC$3),'Unit List'!$A$23:$H$3319,2,FALSE)),"X",$BA57)</f>
        <v>+</v>
      </c>
      <c r="BD57" s="96" t="str">
        <f>IF(ISTEXT(VLOOKUP(CONCATENATE($A57,"_",BD$3),'Unit List'!$A$23:$H$3319,2,FALSE)),"X",$BA57)</f>
        <v>+</v>
      </c>
      <c r="BE57" s="103" t="str">
        <f>IF(ISTEXT(VLOOKUP(CONCATENATE($A57,"_",BE$3),'Unit List'!$A$23:$H$3319,2,FALSE)),"+","")</f>
        <v/>
      </c>
      <c r="BF57" s="101" t="str">
        <f>IF(ISTEXT(VLOOKUP(CONCATENATE($A57,"_",BF$3),'Unit List'!$A$23:$H$3319,2,FALSE)),"X",$BE57)</f>
        <v/>
      </c>
      <c r="BG57" s="124"/>
      <c r="BH57" s="133"/>
      <c r="BI57" s="228"/>
      <c r="BJ57" s="229"/>
      <c r="BK57" s="229"/>
      <c r="BL57" s="229"/>
      <c r="BM57" s="230"/>
      <c r="BN57" s="108"/>
      <c r="BO57" s="108"/>
      <c r="BP57" s="108"/>
      <c r="BQ57" s="108"/>
      <c r="BR57" s="108"/>
      <c r="BS57" s="108"/>
      <c r="DZ57" s="109"/>
      <c r="EA57" s="109"/>
    </row>
    <row r="58" spans="1:131" ht="12.75" customHeight="1" x14ac:dyDescent="0.2">
      <c r="A58" s="90" t="s">
        <v>1158</v>
      </c>
      <c r="B58" s="91" t="str">
        <f>IF(ISTEXT(VLOOKUP(CONCATENATE($A58,"_",B$3),'Unit List'!$A$23:$H$3319,2,FALSE)),"+","")</f>
        <v/>
      </c>
      <c r="C58" s="131" t="str">
        <f>IF(ISTEXT(VLOOKUP(CONCATENATE($A58,"_",C$3),'Unit List'!$A$23:$H$3319,2,FALSE)),"X",$B58)</f>
        <v>X</v>
      </c>
      <c r="D58" s="95" t="str">
        <f>IF(ISTEXT(VLOOKUP(CONCATENATE($A58,"_",D$3),'Unit List'!$A$23:$H$3319,2,FALSE)),"X",$B58)</f>
        <v>X</v>
      </c>
      <c r="E58" s="94" t="str">
        <f>IF(ISTEXT(VLOOKUP(CONCATENATE($A58,"_",E$3),'Unit List'!$A$23:$H$3319,2,FALSE)),"X",$B58)</f>
        <v>X</v>
      </c>
      <c r="F58" s="95" t="str">
        <f>IF(ISTEXT(VLOOKUP(CONCATENATE($A58,"_",F$3),'Unit List'!$A$23:$H$3319,2,FALSE)),"X",$B58)</f>
        <v>X</v>
      </c>
      <c r="G58" s="95" t="str">
        <f>IF(ISTEXT(VLOOKUP(CONCATENATE($A58,"_",G$3),'Unit List'!$A$23:$H$3319,2,FALSE)),"X",$B58)</f>
        <v>X</v>
      </c>
      <c r="H58" s="95" t="str">
        <f>IF(ISTEXT(VLOOKUP(CONCATENATE($A58,"_",H$3),'Unit List'!$A$23:$H$3319,2,FALSE)),"X",$B58)</f>
        <v>X</v>
      </c>
      <c r="I58" s="96" t="str">
        <f>IF(ISTEXT(VLOOKUP(CONCATENATE($A58,"_",I$3),'Unit List'!$A$23:$H$3319,2,FALSE)),"X",$B58)</f>
        <v/>
      </c>
      <c r="J58" s="97" t="str">
        <f>IF(ISTEXT(VLOOKUP(CONCATENATE($A58,"_",J$3),'Unit List'!$A$23:$H$3319,2,FALSE)),"+","")</f>
        <v/>
      </c>
      <c r="K58" s="94" t="str">
        <f>IF(ISTEXT(VLOOKUP(CONCATENATE($A58,"_",K$3),'Unit List'!$A$23:$H$3319,2,FALSE)),"X",$J58)</f>
        <v/>
      </c>
      <c r="L58" s="101" t="str">
        <f>IF(ISTEXT(VLOOKUP(CONCATENATE($A58,"_",L$3),'Unit List'!$A$23:$H$3319,2,FALSE)),"X",$J58)</f>
        <v/>
      </c>
      <c r="M58" s="97" t="str">
        <f>IF(ISTEXT(VLOOKUP(CONCATENATE($A58,"_",M$3),'Unit List'!$A$23:$H$3319,2,FALSE)),"+","")</f>
        <v>+</v>
      </c>
      <c r="N58" s="94" t="str">
        <f>IF(ISTEXT(VLOOKUP(CONCATENATE($A58,"_",N$3),'Unit List'!$A$23:$H$3319,2,FALSE)),"X",$M58)</f>
        <v>+</v>
      </c>
      <c r="O58" s="114" t="str">
        <f>IF(ISTEXT(VLOOKUP(CONCATENATE($A58,"_",O$3),'Unit List'!$A$23:$H$3319,2,FALSE)),"X",$M58)</f>
        <v>+</v>
      </c>
      <c r="P58" s="97" t="str">
        <f>IF(ISTEXT(VLOOKUP(CONCATENATE($A58,"_",P$3),'Unit List'!$A$23:$H$3319,2,FALSE)),"+","")</f>
        <v>+</v>
      </c>
      <c r="Q58" s="94" t="str">
        <f>IF(ISTEXT(VLOOKUP(CONCATENATE($A58,"_",Q$3),'Unit List'!$A$23:$H$3319,2,FALSE)),"X",$P58)</f>
        <v>+</v>
      </c>
      <c r="R58" s="94" t="str">
        <f>IF(ISTEXT(VLOOKUP(CONCATENATE($A58,"_",R$3),'Unit List'!$A$23:$H$3319,2,FALSE)),"X",$P58)</f>
        <v>+</v>
      </c>
      <c r="S58" s="95" t="str">
        <f>IF(ISTEXT(VLOOKUP(CONCATENATE($A58,"_",S$3),'Unit List'!$A$23:$H$3319,2,FALSE)),"X",$P58)</f>
        <v>+</v>
      </c>
      <c r="T58" s="100" t="str">
        <f>IF(ISTEXT(VLOOKUP(CONCATENATE($A58,"_",T$3),'Unit List'!$A$23:$H$3319,2,FALSE)),"X",$P58)</f>
        <v>+</v>
      </c>
      <c r="U58" s="95" t="str">
        <f>IF(ISTEXT(VLOOKUP(CONCATENATE($A58,"_",U$3),'Unit List'!$A$23:$H$3319,2,FALSE)),"X",$P58)</f>
        <v>X</v>
      </c>
      <c r="V58" s="94" t="str">
        <f>IF(ISTEXT(VLOOKUP(CONCATENATE($A58,"_",V$3),'Unit List'!$A$23:$H$3319,2,FALSE)),"X",$P58)</f>
        <v>+</v>
      </c>
      <c r="W58" s="96" t="str">
        <f>IF(ISTEXT(VLOOKUP(CONCATENATE($A58,"_",W$3),'Unit List'!$A$23:$H$3319,2,FALSE)),"X",$P58)</f>
        <v>+</v>
      </c>
      <c r="X58" s="97" t="str">
        <f>IF(ISTEXT(VLOOKUP(CONCATENATE($A58,"_",X$3),'Unit List'!$A$23:$H$3319,2,FALSE)),"+","")</f>
        <v>+</v>
      </c>
      <c r="Y58" s="95" t="str">
        <f>IF(ISTEXT(VLOOKUP(CONCATENATE($A58,"_",Y$3),'Unit List'!$A$23:$H$3319,2,FALSE)),"X",$X58)</f>
        <v>+</v>
      </c>
      <c r="Z58" s="94" t="str">
        <f>IF(ISTEXT(VLOOKUP(CONCATENATE($A58,"_",Z$3),'Unit List'!$A$23:$H$3319,2,FALSE)),"X",$X58)</f>
        <v>+</v>
      </c>
      <c r="AA58" s="94" t="str">
        <f>IF(ISTEXT(VLOOKUP(CONCATENATE($A58,"_",AA$3),'Unit List'!$A$23:$H$3319,2,FALSE)),"X",$X58)</f>
        <v>+</v>
      </c>
      <c r="AB58" s="94" t="str">
        <f>IF(ISTEXT(VLOOKUP(CONCATENATE($A58,"_",AB$3),'Unit List'!$A$23:$H$3319,2,FALSE)),"X",$X58)</f>
        <v>+</v>
      </c>
      <c r="AC58" s="101" t="str">
        <f>IF(ISTEXT(VLOOKUP(CONCATENATE($A58,"_",AC$3),'Unit List'!$A$23:$H$3319,2,FALSE)),"X",$X58)</f>
        <v>+</v>
      </c>
      <c r="AD58" s="97" t="str">
        <f>IF(ISTEXT(VLOOKUP(CONCATENATE($A58,"_",AD$3),'Unit List'!$A$23:$H$3319,2,FALSE)),"+","")</f>
        <v/>
      </c>
      <c r="AE58" s="94" t="str">
        <f>IF(ISTEXT(VLOOKUP(CONCATENATE($A58,"_",AE$3),'Unit List'!$A$23:$H$3319,2,FALSE)),"X",$AD58)</f>
        <v/>
      </c>
      <c r="AF58" s="94" t="str">
        <f>IF(ISTEXT(VLOOKUP(CONCATENATE($A58,"_",AF$3),'Unit List'!$A$23:$H$3319,2,FALSE)),"X",$AD58)</f>
        <v/>
      </c>
      <c r="AG58" s="97" t="str">
        <f>IF(ISTEXT(VLOOKUP(CONCATENATE($A58,"_",AG$3),'Unit List'!$A$23:$H$3319,2,FALSE)),"+","")</f>
        <v/>
      </c>
      <c r="AH58" s="94" t="str">
        <f>IF(ISTEXT(VLOOKUP(CONCATENATE($A58,"_",AH$3),'Unit List'!$A$23:$H$3319,2,FALSE)),"X",$AG58)</f>
        <v/>
      </c>
      <c r="AI58" s="94" t="str">
        <f>IF(ISTEXT(VLOOKUP(CONCATENATE($A58,"_",AI$3),'Unit List'!$A$23:$H$3319,2,FALSE)),"X",$AG58)</f>
        <v/>
      </c>
      <c r="AJ58" s="96" t="str">
        <f>IF(ISTEXT(VLOOKUP(CONCATENATE($A58,"_",AJ$3),'Unit List'!$A$23:$H$3319,2,FALSE)),"X",$AG58)</f>
        <v/>
      </c>
      <c r="AK58" s="97" t="str">
        <f>IF(ISTEXT(VLOOKUP(CONCATENATE($A58,"_",AK$3),'Unit List'!$A$23:$H$3319,2,FALSE)),"+","")</f>
        <v>+</v>
      </c>
      <c r="AL58" s="100" t="str">
        <f>IF(ISTEXT(VLOOKUP(CONCATENATE($A58,"_",AL$3),'Unit List'!$A$23:$H$3319,2,FALSE)),"X",$AK58)</f>
        <v>X</v>
      </c>
      <c r="AM58" s="114" t="str">
        <f>IF(ISTEXT(VLOOKUP(CONCATENATE($A58,"_",AM$3),'Unit List'!$A$23:$H$3319,2,FALSE)),"X",$AK58)</f>
        <v>+</v>
      </c>
      <c r="AN58" s="103" t="str">
        <f>IF(ISTEXT(VLOOKUP(CONCATENATE($A58,"_",AN$3),'Unit List'!$A$23:$H$3319,2,FALSE)),"+","")</f>
        <v>+</v>
      </c>
      <c r="AO58" s="114" t="str">
        <f>IF(ISTEXT(VLOOKUP(CONCATENATE($A58,"_",AO$3),'Unit List'!$A$23:$H$3319,2,FALSE)),"X",$AN58)</f>
        <v>+</v>
      </c>
      <c r="AP58" s="97" t="str">
        <f>IF(ISTEXT(VLOOKUP(CONCATENATE($A58,"_",AP$3),'Unit List'!$A$23:$H$3319,2,FALSE)),"+","")</f>
        <v/>
      </c>
      <c r="AQ58" s="94" t="str">
        <f>IF(ISTEXT(VLOOKUP(CONCATENATE($A58,"_",AQ$3),'Unit List'!$A$23:$H$3319,2,FALSE)),"X",$AP58)</f>
        <v/>
      </c>
      <c r="AR58" s="95" t="str">
        <f>IF(ISTEXT(VLOOKUP(CONCATENATE($A58,"_",AR$3),'Unit List'!$A$23:$H$3319,2,FALSE)),"X",$AP58)</f>
        <v>X</v>
      </c>
      <c r="AS58" s="94" t="str">
        <f>IF(ISTEXT(VLOOKUP(CONCATENATE($A58,"_",AS$3),'Unit List'!$A$23:$H$3319,2,FALSE)),"X",$AP58)</f>
        <v/>
      </c>
      <c r="AT58" s="96" t="str">
        <f>IF(ISTEXT(VLOOKUP(CONCATENATE($A58,"_",AT$3),'Unit List'!$A$23:$H$3319,2,FALSE)),"X",$AP58)</f>
        <v/>
      </c>
      <c r="AU58" s="104" t="str">
        <f>IF(ISTEXT(VLOOKUP(CONCATENATE($A58,"_",AU$3),'Unit List'!$A$23:$H$3319,2,FALSE)),"+","")</f>
        <v/>
      </c>
      <c r="AV58" s="94" t="str">
        <f>IF(ISTEXT(VLOOKUP(CONCATENATE($A58,"_",AV$3),'Unit List'!$A$23:$H$3319,2,FALSE)),"X",$AU58)</f>
        <v/>
      </c>
      <c r="AW58" s="96" t="str">
        <f>IF(ISTEXT(VLOOKUP(CONCATENATE($A58,"_",AW$3),'Unit List'!$A$23:$H$3319,2,FALSE)),"X",$AU58)</f>
        <v/>
      </c>
      <c r="AX58" s="115" t="str">
        <f>IF(ISTEXT(VLOOKUP(CONCATENATE($A58,"_",AX$3),'Unit List'!$A$23:$H$3319,2,FALSE)),"+","")</f>
        <v>+</v>
      </c>
      <c r="AY58" s="95" t="str">
        <f>IF(ISTEXT(VLOOKUP(CONCATENATE($A58,"_",AY$3),'Unit List'!$A$23:$H$3319,2,FALSE)),"X",$AX58)</f>
        <v>+</v>
      </c>
      <c r="AZ58" s="114" t="str">
        <f>IF(ISTEXT(VLOOKUP(CONCATENATE($A58,"_",AZ$3),'Unit List'!$A$23:$H$3319,2,FALSE)),"X",$AX58)</f>
        <v>+</v>
      </c>
      <c r="BA58" s="105" t="str">
        <f>IF(ISTEXT(VLOOKUP(CONCATENATE($A58,"_",BA$3),'Unit List'!$A$23:$H$3319,2,FALSE)),"+","")</f>
        <v/>
      </c>
      <c r="BB58" s="94" t="str">
        <f>IF(ISTEXT(VLOOKUP(CONCATENATE($A58,"_",BB$3),'Unit List'!$A$23:$H$3319,2,FALSE)),"X",$BA58)</f>
        <v/>
      </c>
      <c r="BC58" s="94" t="str">
        <f>IF(ISTEXT(VLOOKUP(CONCATENATE($A58,"_",BC$3),'Unit List'!$A$23:$H$3319,2,FALSE)),"X",$BA58)</f>
        <v/>
      </c>
      <c r="BD58" s="96" t="str">
        <f>IF(ISTEXT(VLOOKUP(CONCATENATE($A58,"_",BD$3),'Unit List'!$A$23:$H$3319,2,FALSE)),"X",$BA58)</f>
        <v/>
      </c>
      <c r="BE58" s="103" t="str">
        <f>IF(ISTEXT(VLOOKUP(CONCATENATE($A58,"_",BE$3),'Unit List'!$A$23:$H$3319,2,FALSE)),"+","")</f>
        <v/>
      </c>
      <c r="BF58" s="101" t="str">
        <f>IF(ISTEXT(VLOOKUP(CONCATENATE($A58,"_",BF$3),'Unit List'!$A$23:$H$3319,2,FALSE)),"X",$BE58)</f>
        <v/>
      </c>
      <c r="BG58" s="124"/>
      <c r="BH58" s="133"/>
      <c r="BI58" s="228" t="s">
        <v>10</v>
      </c>
      <c r="BJ58" s="229"/>
      <c r="BK58" s="229"/>
      <c r="BL58" s="229"/>
      <c r="BM58" s="230"/>
      <c r="BN58" s="108"/>
      <c r="BO58" s="108"/>
      <c r="BP58" s="108"/>
      <c r="BQ58" s="108"/>
      <c r="BR58" s="108"/>
      <c r="BS58" s="108"/>
      <c r="DZ58" s="109"/>
      <c r="EA58" s="109"/>
    </row>
    <row r="59" spans="1:131" ht="12.75" customHeight="1" x14ac:dyDescent="0.2">
      <c r="A59" s="90" t="s">
        <v>1157</v>
      </c>
      <c r="B59" s="91" t="str">
        <f>IF(ISTEXT(VLOOKUP(CONCATENATE($A59,"_",B$3),'Unit List'!$A$23:$H$3319,2,FALSE)),"+","")</f>
        <v/>
      </c>
      <c r="C59" s="131" t="str">
        <f>IF(ISTEXT(VLOOKUP(CONCATENATE($A59,"_",C$3),'Unit List'!$A$23:$H$3319,2,FALSE)),"X",$B59)</f>
        <v>X</v>
      </c>
      <c r="D59" s="95" t="str">
        <f>IF(ISTEXT(VLOOKUP(CONCATENATE($A59,"_",D$3),'Unit List'!$A$23:$H$3319,2,FALSE)),"X",$B59)</f>
        <v>X</v>
      </c>
      <c r="E59" s="94" t="str">
        <f>IF(ISTEXT(VLOOKUP(CONCATENATE($A59,"_",E$3),'Unit List'!$A$23:$H$3319,2,FALSE)),"X",$B59)</f>
        <v>X</v>
      </c>
      <c r="F59" s="95" t="str">
        <f>IF(ISTEXT(VLOOKUP(CONCATENATE($A59,"_",F$3),'Unit List'!$A$23:$H$3319,2,FALSE)),"X",$B59)</f>
        <v>X</v>
      </c>
      <c r="G59" s="95" t="str">
        <f>IF(ISTEXT(VLOOKUP(CONCATENATE($A59,"_",G$3),'Unit List'!$A$23:$H$3319,2,FALSE)),"X",$B59)</f>
        <v>X</v>
      </c>
      <c r="H59" s="95" t="str">
        <f>IF(ISTEXT(VLOOKUP(CONCATENATE($A59,"_",H$3),'Unit List'!$A$23:$H$3319,2,FALSE)),"X",$B59)</f>
        <v>X</v>
      </c>
      <c r="I59" s="96" t="str">
        <f>IF(ISTEXT(VLOOKUP(CONCATENATE($A59,"_",I$3),'Unit List'!$A$23:$H$3319,2,FALSE)),"X",$B59)</f>
        <v/>
      </c>
      <c r="J59" s="115" t="str">
        <f>IF(ISTEXT(VLOOKUP(CONCATENATE($A59,"_",J$3),'Unit List'!$A$23:$H$3319,2,FALSE)),"+","")</f>
        <v/>
      </c>
      <c r="K59" s="94" t="str">
        <f>IF(ISTEXT(VLOOKUP(CONCATENATE($A59,"_",K$3),'Unit List'!$A$23:$H$3319,2,FALSE)),"X",$J59)</f>
        <v/>
      </c>
      <c r="L59" s="135" t="str">
        <f>IF(ISTEXT(VLOOKUP(CONCATENATE($A59,"_",L$3),'Unit List'!$A$23:$H$3319,2,FALSE)),"X",$J59)</f>
        <v>X</v>
      </c>
      <c r="M59" s="115" t="str">
        <f>IF(ISTEXT(VLOOKUP(CONCATENATE($A59,"_",M$3),'Unit List'!$A$23:$H$3319,2,FALSE)),"+","")</f>
        <v>+</v>
      </c>
      <c r="N59" s="95" t="str">
        <f>IF(ISTEXT(VLOOKUP(CONCATENATE($A59,"_",N$3),'Unit List'!$A$23:$H$3319,2,FALSE)),"X",$M59)</f>
        <v>X</v>
      </c>
      <c r="O59" s="114" t="str">
        <f>IF(ISTEXT(VLOOKUP(CONCATENATE($A59,"_",O$3),'Unit List'!$A$23:$H$3319,2,FALSE)),"X",$M59)</f>
        <v>X</v>
      </c>
      <c r="P59" s="97" t="str">
        <f>IF(ISTEXT(VLOOKUP(CONCATENATE($A59,"_",P$3),'Unit List'!$A$23:$H$3319,2,FALSE)),"+","")</f>
        <v/>
      </c>
      <c r="Q59" s="94" t="str">
        <f>IF(ISTEXT(VLOOKUP(CONCATENATE($A59,"_",Q$3),'Unit List'!$A$23:$H$3319,2,FALSE)),"X",$P59)</f>
        <v>X</v>
      </c>
      <c r="R59" s="94" t="str">
        <f>IF(ISTEXT(VLOOKUP(CONCATENATE($A59,"_",R$3),'Unit List'!$A$23:$H$3319,2,FALSE)),"X",$P59)</f>
        <v/>
      </c>
      <c r="S59" s="95" t="str">
        <f>IF(ISTEXT(VLOOKUP(CONCATENATE($A59,"_",S$3),'Unit List'!$A$23:$H$3319,2,FALSE)),"X",$P59)</f>
        <v>X</v>
      </c>
      <c r="T59" s="100" t="str">
        <f>IF(ISTEXT(VLOOKUP(CONCATENATE($A59,"_",T$3),'Unit List'!$A$23:$H$3319,2,FALSE)),"X",$P59)</f>
        <v/>
      </c>
      <c r="U59" s="95" t="str">
        <f>IF(ISTEXT(VLOOKUP(CONCATENATE($A59,"_",U$3),'Unit List'!$A$23:$H$3319,2,FALSE)),"X",$P59)</f>
        <v>X</v>
      </c>
      <c r="V59" s="94" t="str">
        <f>IF(ISTEXT(VLOOKUP(CONCATENATE($A59,"_",V$3),'Unit List'!$A$23:$H$3319,2,FALSE)),"X",$P59)</f>
        <v>X</v>
      </c>
      <c r="W59" s="96" t="str">
        <f>IF(ISTEXT(VLOOKUP(CONCATENATE($A59,"_",W$3),'Unit List'!$A$23:$H$3319,2,FALSE)),"X",$P59)</f>
        <v/>
      </c>
      <c r="X59" s="97" t="str">
        <f>IF(ISTEXT(VLOOKUP(CONCATENATE($A59,"_",X$3),'Unit List'!$A$23:$H$3319,2,FALSE)),"+","")</f>
        <v/>
      </c>
      <c r="Y59" s="94" t="str">
        <f>IF(ISTEXT(VLOOKUP(CONCATENATE($A59,"_",Y$3),'Unit List'!$A$23:$H$3319,2,FALSE)),"X",$X59)</f>
        <v/>
      </c>
      <c r="Z59" s="94" t="str">
        <f>IF(ISTEXT(VLOOKUP(CONCATENATE($A59,"_",Z$3),'Unit List'!$A$23:$H$3319,2,FALSE)),"X",$X59)</f>
        <v/>
      </c>
      <c r="AA59" s="94" t="str">
        <f>IF(ISTEXT(VLOOKUP(CONCATENATE($A59,"_",AA$3),'Unit List'!$A$23:$H$3319,2,FALSE)),"X",$X59)</f>
        <v/>
      </c>
      <c r="AB59" s="94" t="str">
        <f>IF(ISTEXT(VLOOKUP(CONCATENATE($A59,"_",AB$3),'Unit List'!$A$23:$H$3319,2,FALSE)),"X",$X59)</f>
        <v/>
      </c>
      <c r="AC59" s="101" t="str">
        <f>IF(ISTEXT(VLOOKUP(CONCATENATE($A59,"_",AC$3),'Unit List'!$A$23:$H$3319,2,FALSE)),"X",$X59)</f>
        <v/>
      </c>
      <c r="AD59" s="97" t="str">
        <f>IF(ISTEXT(VLOOKUP(CONCATENATE($A59,"_",AD$3),'Unit List'!$A$23:$H$3319,2,FALSE)),"+","")</f>
        <v>+</v>
      </c>
      <c r="AE59" s="94" t="str">
        <f>IF(ISTEXT(VLOOKUP(CONCATENATE($A59,"_",AE$3),'Unit List'!$A$23:$H$3319,2,FALSE)),"X",$AD59)</f>
        <v>+</v>
      </c>
      <c r="AF59" s="94" t="str">
        <f>IF(ISTEXT(VLOOKUP(CONCATENATE($A59,"_",AF$3),'Unit List'!$A$23:$H$3319,2,FALSE)),"X",$AD59)</f>
        <v>+</v>
      </c>
      <c r="AG59" s="97" t="str">
        <f>IF(ISTEXT(VLOOKUP(CONCATENATE($A59,"_",AG$3),'Unit List'!$A$23:$H$3319,2,FALSE)),"+","")</f>
        <v/>
      </c>
      <c r="AH59" s="94" t="str">
        <f>IF(ISTEXT(VLOOKUP(CONCATENATE($A59,"_",AH$3),'Unit List'!$A$23:$H$3319,2,FALSE)),"X",$AG59)</f>
        <v/>
      </c>
      <c r="AI59" s="94" t="str">
        <f>IF(ISTEXT(VLOOKUP(CONCATENATE($A59,"_",AI$3),'Unit List'!$A$23:$H$3319,2,FALSE)),"X",$AG59)</f>
        <v/>
      </c>
      <c r="AJ59" s="96" t="str">
        <f>IF(ISTEXT(VLOOKUP(CONCATENATE($A59,"_",AJ$3),'Unit List'!$A$23:$H$3319,2,FALSE)),"X",$AG59)</f>
        <v>X</v>
      </c>
      <c r="AK59" s="97" t="str">
        <f>IF(ISTEXT(VLOOKUP(CONCATENATE($A59,"_",AK$3),'Unit List'!$A$23:$H$3319,2,FALSE)),"+","")</f>
        <v/>
      </c>
      <c r="AL59" s="136" t="str">
        <f>IF(ISTEXT(VLOOKUP(CONCATENATE($A59,"_",AL$3),'Unit List'!$A$23:$H$3319,2,FALSE)),"X",$AK59)</f>
        <v>X</v>
      </c>
      <c r="AM59" s="96" t="str">
        <f>IF(ISTEXT(VLOOKUP(CONCATENATE($A59,"_",AM$3),'Unit List'!$A$23:$H$3319,2,FALSE)),"X",$AK59)</f>
        <v/>
      </c>
      <c r="AN59" s="103" t="str">
        <f>IF(ISTEXT(VLOOKUP(CONCATENATE($A59,"_",AN$3),'Unit List'!$A$23:$H$3319,2,FALSE)),"+","")</f>
        <v>+</v>
      </c>
      <c r="AO59" s="96" t="str">
        <f>IF(ISTEXT(VLOOKUP(CONCATENATE($A59,"_",AO$3),'Unit List'!$A$23:$H$3319,2,FALSE)),"X",$AN59)</f>
        <v>+</v>
      </c>
      <c r="AP59" s="97" t="str">
        <f>IF(ISTEXT(VLOOKUP(CONCATENATE($A59,"_",AP$3),'Unit List'!$A$23:$H$3319,2,FALSE)),"+","")</f>
        <v/>
      </c>
      <c r="AQ59" s="94" t="str">
        <f>IF(ISTEXT(VLOOKUP(CONCATENATE($A59,"_",AQ$3),'Unit List'!$A$23:$H$3319,2,FALSE)),"X",$AP59)</f>
        <v>X</v>
      </c>
      <c r="AR59" s="95" t="str">
        <f>IF(ISTEXT(VLOOKUP(CONCATENATE($A59,"_",AR$3),'Unit List'!$A$23:$H$3319,2,FALSE)),"X",$AP59)</f>
        <v>X</v>
      </c>
      <c r="AS59" s="94" t="str">
        <f>IF(ISTEXT(VLOOKUP(CONCATENATE($A59,"_",AS$3),'Unit List'!$A$23:$H$3319,2,FALSE)),"X",$AP59)</f>
        <v>X</v>
      </c>
      <c r="AT59" s="96" t="str">
        <f>IF(ISTEXT(VLOOKUP(CONCATENATE($A59,"_",AT$3),'Unit List'!$A$23:$H$3319,2,FALSE)),"X",$AP59)</f>
        <v/>
      </c>
      <c r="AU59" s="104" t="str">
        <f>IF(ISTEXT(VLOOKUP(CONCATENATE($A59,"_",AU$3),'Unit List'!$A$23:$H$3319,2,FALSE)),"+","")</f>
        <v>+</v>
      </c>
      <c r="AV59" s="94" t="str">
        <f>IF(ISTEXT(VLOOKUP(CONCATENATE($A59,"_",AV$3),'Unit List'!$A$23:$H$3319,2,FALSE)),"X",$AU59)</f>
        <v>+</v>
      </c>
      <c r="AW59" s="96" t="str">
        <f>IF(ISTEXT(VLOOKUP(CONCATENATE($A59,"_",AW$3),'Unit List'!$A$23:$H$3319,2,FALSE)),"X",$AU59)</f>
        <v>+</v>
      </c>
      <c r="AX59" s="97" t="str">
        <f>IF(ISTEXT(VLOOKUP(CONCATENATE($A59,"_",AX$3),'Unit List'!$A$23:$H$3319,2,FALSE)),"+","")</f>
        <v>+</v>
      </c>
      <c r="AY59" s="94" t="str">
        <f>IF(ISTEXT(VLOOKUP(CONCATENATE($A59,"_",AY$3),'Unit List'!$A$23:$H$3319,2,FALSE)),"X",$AX59)</f>
        <v>+</v>
      </c>
      <c r="AZ59" s="96" t="str">
        <f>IF(ISTEXT(VLOOKUP(CONCATENATE($A59,"_",AZ$3),'Unit List'!$A$23:$H$3319,2,FALSE)),"X",$AX59)</f>
        <v>+</v>
      </c>
      <c r="BA59" s="105" t="str">
        <f>IF(ISTEXT(VLOOKUP(CONCATENATE($A59,"_",BA$3),'Unit List'!$A$23:$H$3319,2,FALSE)),"+","")</f>
        <v/>
      </c>
      <c r="BB59" s="94" t="str">
        <f>IF(ISTEXT(VLOOKUP(CONCATENATE($A59,"_",BB$3),'Unit List'!$A$23:$H$3319,2,FALSE)),"X",$BA59)</f>
        <v/>
      </c>
      <c r="BC59" s="94" t="str">
        <f>IF(ISTEXT(VLOOKUP(CONCATENATE($A59,"_",BC$3),'Unit List'!$A$23:$H$3319,2,FALSE)),"X",$BA59)</f>
        <v/>
      </c>
      <c r="BD59" s="96" t="str">
        <f>IF(ISTEXT(VLOOKUP(CONCATENATE($A59,"_",BD$3),'Unit List'!$A$23:$H$3319,2,FALSE)),"X",$BA59)</f>
        <v/>
      </c>
      <c r="BE59" s="103" t="str">
        <f>IF(ISTEXT(VLOOKUP(CONCATENATE($A59,"_",BE$3),'Unit List'!$A$23:$H$3319,2,FALSE)),"+","")</f>
        <v/>
      </c>
      <c r="BF59" s="101" t="str">
        <f>IF(ISTEXT(VLOOKUP(CONCATENATE($A59,"_",BF$3),'Unit List'!$A$23:$H$3319,2,FALSE)),"X",$BE59)</f>
        <v/>
      </c>
      <c r="BG59" s="124"/>
      <c r="BH59" s="133"/>
      <c r="BI59" s="228" t="s">
        <v>9</v>
      </c>
      <c r="BJ59" s="231"/>
      <c r="BK59" s="231"/>
      <c r="BL59" s="231"/>
      <c r="BM59" s="232"/>
      <c r="BN59" s="108"/>
      <c r="BO59" s="108"/>
      <c r="BP59" s="108"/>
      <c r="BQ59" s="108"/>
      <c r="BR59" s="108"/>
      <c r="BS59" s="108"/>
      <c r="DZ59" s="109"/>
      <c r="EA59" s="109"/>
    </row>
    <row r="60" spans="1:131" ht="12.75" customHeight="1" x14ac:dyDescent="0.2">
      <c r="A60" s="90" t="s">
        <v>2356</v>
      </c>
      <c r="B60" s="91" t="str">
        <f>IF(ISTEXT(VLOOKUP(CONCATENATE($A60,"_",B$3),'Unit List'!$A$23:$H$3319,2,FALSE)),"+","")</f>
        <v/>
      </c>
      <c r="C60" s="131" t="str">
        <f>IF(ISTEXT(VLOOKUP(CONCATENATE($A60,"_",C$3),'Unit List'!$A$23:$H$3319,2,FALSE)),"X",$B60)</f>
        <v>X</v>
      </c>
      <c r="D60" s="95" t="str">
        <f>IF(ISTEXT(VLOOKUP(CONCATENATE($A60,"_",D$3),'Unit List'!$A$23:$H$3319,2,FALSE)),"X",$B60)</f>
        <v>X</v>
      </c>
      <c r="E60" s="94" t="str">
        <f>IF(ISTEXT(VLOOKUP(CONCATENATE($A60,"_",E$3),'Unit List'!$A$23:$H$3319,2,FALSE)),"X",$B60)</f>
        <v>X</v>
      </c>
      <c r="F60" s="95" t="str">
        <f>IF(ISTEXT(VLOOKUP(CONCATENATE($A60,"_",F$3),'Unit List'!$A$23:$H$3319,2,FALSE)),"X",$B60)</f>
        <v>X</v>
      </c>
      <c r="G60" s="158" t="str">
        <f>IF(ISTEXT(VLOOKUP(CONCATENATE($A60,"_",G$3),'Unit List'!$A$23:$H$3319,2,FALSE)),"X",$B60)</f>
        <v>X</v>
      </c>
      <c r="H60" s="95" t="str">
        <f>IF(ISTEXT(VLOOKUP(CONCATENATE($A60,"_",H$3),'Unit List'!$A$23:$H$3319,2,FALSE)),"X",$B60)</f>
        <v>X</v>
      </c>
      <c r="I60" s="114" t="str">
        <f>IF(ISTEXT(VLOOKUP(CONCATENATE($A60,"_",I$3),'Unit List'!$A$23:$H$3319,2,FALSE)),"X",$B60)</f>
        <v>X</v>
      </c>
      <c r="J60" s="115" t="str">
        <f>IF(ISTEXT(VLOOKUP(CONCATENATE($A60,"_",J$3),'Unit List'!$A$23:$H$3319,2,FALSE)),"+","")</f>
        <v/>
      </c>
      <c r="K60" s="94" t="str">
        <f>IF(ISTEXT(VLOOKUP(CONCATENATE($A60,"_",K$3),'Unit List'!$A$23:$H$3319,2,FALSE)),"X",$J60)</f>
        <v/>
      </c>
      <c r="L60" s="135" t="str">
        <f>IF(ISTEXT(VLOOKUP(CONCATENATE($A60,"_",L$3),'Unit List'!$A$23:$H$3319,2,FALSE)),"X",$J60)</f>
        <v>X</v>
      </c>
      <c r="M60" s="115" t="str">
        <f>IF(ISTEXT(VLOOKUP(CONCATENATE($A60,"_",M$3),'Unit List'!$A$23:$H$3319,2,FALSE)),"+","")</f>
        <v>+</v>
      </c>
      <c r="N60" s="95" t="str">
        <f>IF(ISTEXT(VLOOKUP(CONCATENATE($A60,"_",N$3),'Unit List'!$A$23:$H$3319,2,FALSE)),"X",$M60)</f>
        <v>+</v>
      </c>
      <c r="O60" s="114" t="str">
        <f>IF(ISTEXT(VLOOKUP(CONCATENATE($A60,"_",O$3),'Unit List'!$A$23:$H$3319,2,FALSE)),"X",$M60)</f>
        <v>X</v>
      </c>
      <c r="P60" s="97" t="str">
        <f>IF(ISTEXT(VLOOKUP(CONCATENATE($A60,"_",P$3),'Unit List'!$A$23:$H$3319,2,FALSE)),"+","")</f>
        <v/>
      </c>
      <c r="Q60" s="139" t="s">
        <v>0</v>
      </c>
      <c r="R60" s="94" t="str">
        <f>IF(ISTEXT(VLOOKUP(CONCATENATE($A60,"_",R$3),'Unit List'!$A$23:$H$3319,2,FALSE)),"X",$P60)</f>
        <v/>
      </c>
      <c r="S60" s="95" t="str">
        <f>IF(ISTEXT(VLOOKUP(CONCATENATE($A60,"_",S$3),'Unit List'!$A$23:$H$3319,2,FALSE)),"X",$P60)</f>
        <v>X</v>
      </c>
      <c r="T60" s="100" t="str">
        <f>IF(ISTEXT(VLOOKUP(CONCATENATE($A60,"_",T$3),'Unit List'!$A$23:$H$3319,2,FALSE)),"X",$P60)</f>
        <v/>
      </c>
      <c r="U60" s="95" t="str">
        <f>IF(ISTEXT(VLOOKUP(CONCATENATE($A60,"_",U$3),'Unit List'!$A$23:$H$3319,2,FALSE)),"X",$P60)</f>
        <v>X</v>
      </c>
      <c r="V60" s="95" t="str">
        <f>IF(ISTEXT(VLOOKUP(CONCATENATE($A60,"_",V$3),'Unit List'!$A$23:$H$3319,2,FALSE)),"X",$P60)</f>
        <v>X</v>
      </c>
      <c r="W60" s="96" t="str">
        <f>IF(ISTEXT(VLOOKUP(CONCATENATE($A60,"_",W$3),'Unit List'!$A$23:$H$3319,2,FALSE)),"X",$P60)</f>
        <v/>
      </c>
      <c r="X60" s="97" t="str">
        <f>IF(ISTEXT(VLOOKUP(CONCATENATE($A60,"_",X$3),'Unit List'!$A$23:$H$3319,2,FALSE)),"+","")</f>
        <v/>
      </c>
      <c r="Y60" s="94" t="str">
        <f>IF(ISTEXT(VLOOKUP(CONCATENATE($A60,"_",Y$3),'Unit List'!$A$23:$H$3319,2,FALSE)),"X",$X60)</f>
        <v/>
      </c>
      <c r="Z60" s="94" t="str">
        <f>IF(ISTEXT(VLOOKUP(CONCATENATE($A60,"_",Z$3),'Unit List'!$A$23:$H$3319,2,FALSE)),"X",$X60)</f>
        <v/>
      </c>
      <c r="AA60" s="94" t="str">
        <f>IF(ISTEXT(VLOOKUP(CONCATENATE($A60,"_",AA$3),'Unit List'!$A$23:$H$3319,2,FALSE)),"X",$X60)</f>
        <v/>
      </c>
      <c r="AB60" s="94" t="str">
        <f>IF(ISTEXT(VLOOKUP(CONCATENATE($A60,"_",AB$3),'Unit List'!$A$23:$H$3319,2,FALSE)),"X",$X60)</f>
        <v/>
      </c>
      <c r="AC60" s="101" t="str">
        <f>IF(ISTEXT(VLOOKUP(CONCATENATE($A60,"_",AC$3),'Unit List'!$A$23:$H$3319,2,FALSE)),"X",$X60)</f>
        <v/>
      </c>
      <c r="AD60" s="115" t="str">
        <f>IF(ISTEXT(VLOOKUP(CONCATENATE($A60,"_",AD$3),'Unit List'!$A$23:$H$3319,2,FALSE)),"+","")</f>
        <v/>
      </c>
      <c r="AE60" s="94" t="str">
        <f>IF(ISTEXT(VLOOKUP(CONCATENATE($A60,"_",AE$3),'Unit List'!$A$23:$H$3319,2,FALSE)),"X",$AD60)</f>
        <v/>
      </c>
      <c r="AF60" s="94" t="str">
        <f>IF(ISTEXT(VLOOKUP(CONCATENATE($A60,"_",AF$3),'Unit List'!$A$23:$H$3319,2,FALSE)),"X",$AD60)</f>
        <v/>
      </c>
      <c r="AG60" s="115" t="str">
        <f>IF(ISTEXT(VLOOKUP(CONCATENATE($A60,"_",AG$3),'Unit List'!$A$23:$H$3319,2,FALSE)),"+","")</f>
        <v>+</v>
      </c>
      <c r="AH60" s="95" t="str">
        <f>IF(ISTEXT(VLOOKUP(CONCATENATE($A60,"_",AH$3),'Unit List'!$A$23:$H$3319,2,FALSE)),"X",$AG60)</f>
        <v>+</v>
      </c>
      <c r="AI60" s="95" t="str">
        <f>IF(ISTEXT(VLOOKUP(CONCATENATE($A60,"_",AI$3),'Unit List'!$A$23:$H$3319,2,FALSE)),"X",$AG60)</f>
        <v>+</v>
      </c>
      <c r="AJ60" s="114" t="str">
        <f>IF(ISTEXT(VLOOKUP(CONCATENATE($A60,"_",AJ$3),'Unit List'!$A$23:$H$3319,2,FALSE)),"X",$AG60)</f>
        <v>+</v>
      </c>
      <c r="AK60" s="97" t="str">
        <f>IF(ISTEXT(VLOOKUP(CONCATENATE($A60,"_",AK$3),'Unit List'!$A$23:$H$3319,2,FALSE)),"+","")</f>
        <v>+</v>
      </c>
      <c r="AL60" s="136" t="str">
        <f>IF(ISTEXT(VLOOKUP(CONCATENATE($A60,"_",AL$3),'Unit List'!$A$23:$H$3319,2,FALSE)),"X",$AK60)</f>
        <v>+</v>
      </c>
      <c r="AM60" s="96" t="str">
        <f>IF(ISTEXT(VLOOKUP(CONCATENATE($A60,"_",AM$3),'Unit List'!$A$23:$H$3319,2,FALSE)),"X",$AK60)</f>
        <v>+</v>
      </c>
      <c r="AN60" s="103" t="str">
        <f>IF(ISTEXT(VLOOKUP(CONCATENATE($A60,"_",AN$3),'Unit List'!$A$23:$H$3319,2,FALSE)),"+","")</f>
        <v/>
      </c>
      <c r="AO60" s="96" t="str">
        <f>IF(ISTEXT(VLOOKUP(CONCATENATE($A60,"_",AO$3),'Unit List'!$A$23:$H$3319,2,FALSE)),"X",$AN60)</f>
        <v/>
      </c>
      <c r="AP60" s="115" t="str">
        <f>IF(ISTEXT(VLOOKUP(CONCATENATE($A60,"_",AP$3),'Unit List'!$A$23:$H$3319,2,FALSE)),"+","")</f>
        <v>+</v>
      </c>
      <c r="AQ60" s="95" t="str">
        <f>IF(ISTEXT(VLOOKUP(CONCATENATE($A60,"_",AQ$3),'Unit List'!$A$23:$H$3319,2,FALSE)),"X",$AP60)</f>
        <v>X</v>
      </c>
      <c r="AR60" s="95" t="str">
        <f>IF(ISTEXT(VLOOKUP(CONCATENATE($A60,"_",AR$3),'Unit List'!$A$23:$H$3319,2,FALSE)),"X",$AP60)</f>
        <v>X</v>
      </c>
      <c r="AS60" s="143" t="str">
        <f>IF(ISTEXT(VLOOKUP(CONCATENATE($A60,"_",AS$3),'Unit List'!$A$23:$H$3319,2,FALSE)),"X",$AP60)</f>
        <v>+</v>
      </c>
      <c r="AT60" s="96" t="str">
        <f>IF(ISTEXT(VLOOKUP(CONCATENATE($A60,"_",AT$3),'Unit List'!$A$23:$H$3319,2,FALSE)),"X",$AP60)</f>
        <v>+</v>
      </c>
      <c r="AU60" s="104" t="str">
        <f>IF(ISTEXT(VLOOKUP(CONCATENATE($A60,"_",AU$3),'Unit List'!$A$23:$H$3319,2,FALSE)),"+","")</f>
        <v>+</v>
      </c>
      <c r="AV60" s="94" t="str">
        <f>IF(ISTEXT(VLOOKUP(CONCATENATE($A60,"_",AV$3),'Unit List'!$A$23:$H$3319,2,FALSE)),"X",$AU60)</f>
        <v>+</v>
      </c>
      <c r="AW60" s="114" t="str">
        <f>IF(ISTEXT(VLOOKUP(CONCATENATE($A60,"_",AW$3),'Unit List'!$A$23:$H$3319,2,FALSE)),"X",$AU60)</f>
        <v>X</v>
      </c>
      <c r="AX60" s="115" t="str">
        <f>IF(ISTEXT(VLOOKUP(CONCATENATE($A60,"_",AX$3),'Unit List'!$A$23:$H$3319,2,FALSE)),"+","")</f>
        <v>+</v>
      </c>
      <c r="AY60" s="95" t="str">
        <f>IF(ISTEXT(VLOOKUP(CONCATENATE($A60,"_",AY$3),'Unit List'!$A$23:$H$3319,2,FALSE)),"X",$AX60)</f>
        <v>+</v>
      </c>
      <c r="AZ60" s="114" t="str">
        <f>IF(ISTEXT(VLOOKUP(CONCATENATE($A60,"_",AZ$3),'Unit List'!$A$23:$H$3319,2,FALSE)),"X",$AX60)</f>
        <v>+</v>
      </c>
      <c r="BA60" s="105" t="str">
        <f>IF(ISTEXT(VLOOKUP(CONCATENATE($A60,"_",BA$3),'Unit List'!$A$23:$H$3319,2,FALSE)),"+","")</f>
        <v/>
      </c>
      <c r="BB60" s="94" t="str">
        <f>IF(ISTEXT(VLOOKUP(CONCATENATE($A60,"_",BB$3),'Unit List'!$A$23:$H$3319,2,FALSE)),"X",$BA60)</f>
        <v/>
      </c>
      <c r="BC60" s="94" t="str">
        <f>IF(ISTEXT(VLOOKUP(CONCATENATE($A60,"_",BC$3),'Unit List'!$A$23:$H$3319,2,FALSE)),"X",$BA60)</f>
        <v/>
      </c>
      <c r="BD60" s="96" t="str">
        <f>IF(ISTEXT(VLOOKUP(CONCATENATE($A60,"_",BD$3),'Unit List'!$A$23:$H$3319,2,FALSE)),"X",$BA60)</f>
        <v/>
      </c>
      <c r="BE60" s="103" t="str">
        <f>IF(ISTEXT(VLOOKUP(CONCATENATE($A60,"_",BE$3),'Unit List'!$A$23:$H$3319,2,FALSE)),"+","")</f>
        <v/>
      </c>
      <c r="BF60" s="112" t="str">
        <f>IF(ISTEXT(VLOOKUP(CONCATENATE($A60,"_",BF$3),'Unit List'!$A$23:$H$3319,2,FALSE)),"X",$BE60)</f>
        <v/>
      </c>
      <c r="BG60" s="124"/>
      <c r="BH60" s="133"/>
      <c r="BI60" s="228"/>
      <c r="BJ60" s="229"/>
      <c r="BK60" s="229"/>
      <c r="BL60" s="229"/>
      <c r="BM60" s="230"/>
      <c r="BN60" s="108"/>
      <c r="BO60" s="108"/>
      <c r="BP60" s="108"/>
      <c r="BQ60" s="108"/>
      <c r="BR60" s="108"/>
      <c r="BS60" s="108"/>
      <c r="DZ60" s="109"/>
      <c r="EA60" s="109"/>
    </row>
    <row r="61" spans="1:131" ht="12.75" customHeight="1" x14ac:dyDescent="0.2">
      <c r="A61" s="90" t="s">
        <v>1272</v>
      </c>
      <c r="B61" s="91" t="str">
        <f>IF(ISTEXT(VLOOKUP(CONCATENATE($A61,"_",B$3),'Unit List'!$A$23:$H$3319,2,FALSE)),"+","")</f>
        <v/>
      </c>
      <c r="C61" s="92" t="str">
        <f>IF(ISTEXT(VLOOKUP(CONCATENATE($A61,"_",C$3),'Unit List'!$A$23:$H$3319,2,FALSE)),"X",$B61)</f>
        <v/>
      </c>
      <c r="D61" s="94" t="str">
        <f>IF(ISTEXT(VLOOKUP(CONCATENATE($A61,"_",D$3),'Unit List'!$A$23:$H$3319,2,FALSE)),"X",$B61)</f>
        <v/>
      </c>
      <c r="E61" s="94" t="str">
        <f>IF(ISTEXT(VLOOKUP(CONCATENATE($A61,"_",E$3),'Unit List'!$A$23:$H$3319,2,FALSE)),"X",$B61)</f>
        <v/>
      </c>
      <c r="F61" s="110" t="str">
        <f>IF(ISTEXT(VLOOKUP(CONCATENATE($A61,"_",F$3),'Unit List'!$A$23:$H$3319,2,FALSE)),"X",$B61)</f>
        <v/>
      </c>
      <c r="G61" s="94" t="str">
        <f>IF(ISTEXT(VLOOKUP(CONCATENATE($A61,"_",G$3),'Unit List'!$A$23:$H$3319,2,FALSE)),"X",$B61)</f>
        <v/>
      </c>
      <c r="H61" s="94" t="str">
        <f>IF(ISTEXT(VLOOKUP(CONCATENATE($A61,"_",H$3),'Unit List'!$A$23:$H$3319,2,FALSE)),"X",$B61)</f>
        <v/>
      </c>
      <c r="I61" s="96" t="str">
        <f>IF(ISTEXT(VLOOKUP(CONCATENATE($A61,"_",I$3),'Unit List'!$A$23:$H$3319,2,FALSE)),"X",$B61)</f>
        <v/>
      </c>
      <c r="J61" s="97" t="str">
        <f>IF(ISTEXT(VLOOKUP(CONCATENATE($A61,"_",J$3),'Unit List'!$A$23:$H$3319,2,FALSE)),"+","")</f>
        <v/>
      </c>
      <c r="K61" s="94" t="str">
        <f>IF(ISTEXT(VLOOKUP(CONCATENATE($A61,"_",K$3),'Unit List'!$A$23:$H$3319,2,FALSE)),"X",$J61)</f>
        <v/>
      </c>
      <c r="L61" s="101" t="str">
        <f>IF(ISTEXT(VLOOKUP(CONCATENATE($A61,"_",L$3),'Unit List'!$A$23:$H$3319,2,FALSE)),"X",$J61)</f>
        <v/>
      </c>
      <c r="M61" s="97" t="str">
        <f>IF(ISTEXT(VLOOKUP(CONCATENATE($A61,"_",M$3),'Unit List'!$A$23:$H$3319,2,FALSE)),"+","")</f>
        <v/>
      </c>
      <c r="N61" s="94" t="str">
        <f>IF(ISTEXT(VLOOKUP(CONCATENATE($A61,"_",N$3),'Unit List'!$A$23:$H$3319,2,FALSE)),"X",$M61)</f>
        <v/>
      </c>
      <c r="O61" s="96" t="str">
        <f>IF(ISTEXT(VLOOKUP(CONCATENATE($A61,"_",O$3),'Unit List'!$A$23:$H$3319,2,FALSE)),"X",$M61)</f>
        <v/>
      </c>
      <c r="P61" s="97" t="str">
        <f>IF(ISTEXT(VLOOKUP(CONCATENATE($A61,"_",P$3),'Unit List'!$A$23:$H$3319,2,FALSE)),"+","")</f>
        <v/>
      </c>
      <c r="Q61" s="94" t="str">
        <f>IF(ISTEXT(VLOOKUP(CONCATENATE($A61,"_",Q$3),'Unit List'!$A$23:$H$3319,2,FALSE)),"X",$P61)</f>
        <v/>
      </c>
      <c r="R61" s="94" t="str">
        <f>IF(ISTEXT(VLOOKUP(CONCATENATE($A61,"_",R$3),'Unit List'!$A$23:$H$3319,2,FALSE)),"X",$P61)</f>
        <v/>
      </c>
      <c r="S61" s="94" t="str">
        <f>IF(ISTEXT(VLOOKUP(CONCATENATE($A61,"_",S$3),'Unit List'!$A$23:$H$3319,2,FALSE)),"X",$P61)</f>
        <v/>
      </c>
      <c r="T61" s="100" t="str">
        <f>IF(ISTEXT(VLOOKUP(CONCATENATE($A61,"_",T$3),'Unit List'!$A$23:$H$3319,2,FALSE)),"X",$P61)</f>
        <v/>
      </c>
      <c r="U61" s="94" t="str">
        <f>IF(ISTEXT(VLOOKUP(CONCATENATE($A61,"_",U$3),'Unit List'!$A$23:$H$3319,2,FALSE)),"X",$P61)</f>
        <v/>
      </c>
      <c r="V61" s="110" t="str">
        <f>IF(ISTEXT(VLOOKUP(CONCATENATE($A61,"_",V$3),'Unit List'!$A$23:$H$3319,2,FALSE)),"X",$P61)</f>
        <v/>
      </c>
      <c r="W61" s="96" t="str">
        <f>IF(ISTEXT(VLOOKUP(CONCATENATE($A61,"_",W$3),'Unit List'!$A$23:$H$3319,2,FALSE)),"X",$P61)</f>
        <v/>
      </c>
      <c r="X61" s="97" t="str">
        <f>IF(ISTEXT(VLOOKUP(CONCATENATE($A61,"_",X$3),'Unit List'!$A$23:$H$3319,2,FALSE)),"+","")</f>
        <v/>
      </c>
      <c r="Y61" s="94" t="str">
        <f>IF(ISTEXT(VLOOKUP(CONCATENATE($A61,"_",Y$3),'Unit List'!$A$23:$H$3319,2,FALSE)),"X",$X61)</f>
        <v/>
      </c>
      <c r="Z61" s="94" t="str">
        <f>IF(ISTEXT(VLOOKUP(CONCATENATE($A61,"_",Z$3),'Unit List'!$A$23:$H$3319,2,FALSE)),"X",$X61)</f>
        <v/>
      </c>
      <c r="AA61" s="94" t="str">
        <f>IF(ISTEXT(VLOOKUP(CONCATENATE($A61,"_",AA$3),'Unit List'!$A$23:$H$3319,2,FALSE)),"X",$X61)</f>
        <v/>
      </c>
      <c r="AB61" s="94" t="str">
        <f>IF(ISTEXT(VLOOKUP(CONCATENATE($A61,"_",AB$3),'Unit List'!$A$23:$H$3319,2,FALSE)),"X",$X61)</f>
        <v/>
      </c>
      <c r="AC61" s="101" t="str">
        <f>IF(ISTEXT(VLOOKUP(CONCATENATE($A61,"_",AC$3),'Unit List'!$A$23:$H$3319,2,FALSE)),"X",$X61)</f>
        <v/>
      </c>
      <c r="AD61" s="97" t="str">
        <f>IF(ISTEXT(VLOOKUP(CONCATENATE($A61,"_",AD$3),'Unit List'!$A$23:$H$3319,2,FALSE)),"+","")</f>
        <v/>
      </c>
      <c r="AE61" s="94" t="str">
        <f>IF(ISTEXT(VLOOKUP(CONCATENATE($A61,"_",AE$3),'Unit List'!$A$23:$H$3319,2,FALSE)),"X",$AD61)</f>
        <v/>
      </c>
      <c r="AF61" s="94" t="str">
        <f>IF(ISTEXT(VLOOKUP(CONCATENATE($A61,"_",AF$3),'Unit List'!$A$23:$H$3319,2,FALSE)),"X",$AD61)</f>
        <v/>
      </c>
      <c r="AG61" s="97" t="str">
        <f>IF(ISTEXT(VLOOKUP(CONCATENATE($A61,"_",AG$3),'Unit List'!$A$23:$H$3319,2,FALSE)),"+","")</f>
        <v/>
      </c>
      <c r="AH61" s="94" t="str">
        <f>IF(ISTEXT(VLOOKUP(CONCATENATE($A61,"_",AH$3),'Unit List'!$A$23:$H$3319,2,FALSE)),"X",$AG61)</f>
        <v/>
      </c>
      <c r="AI61" s="94" t="str">
        <f>IF(ISTEXT(VLOOKUP(CONCATENATE($A61,"_",AI$3),'Unit List'!$A$23:$H$3319,2,FALSE)),"X",$AG61)</f>
        <v/>
      </c>
      <c r="AJ61" s="96" t="str">
        <f>IF(ISTEXT(VLOOKUP(CONCATENATE($A61,"_",AJ$3),'Unit List'!$A$23:$H$3319,2,FALSE)),"X",$AG61)</f>
        <v/>
      </c>
      <c r="AK61" s="97" t="str">
        <f>IF(ISTEXT(VLOOKUP(CONCATENATE($A61,"_",AK$3),'Unit List'!$A$23:$H$3319,2,FALSE)),"+","")</f>
        <v/>
      </c>
      <c r="AL61" s="100" t="str">
        <f>IF(ISTEXT(VLOOKUP(CONCATENATE($A61,"_",AL$3),'Unit List'!$A$23:$H$3319,2,FALSE)),"X",$AK61)</f>
        <v/>
      </c>
      <c r="AM61" s="96" t="str">
        <f>IF(ISTEXT(VLOOKUP(CONCATENATE($A61,"_",AM$3),'Unit List'!$A$23:$H$3319,2,FALSE)),"X",$AK61)</f>
        <v/>
      </c>
      <c r="AN61" s="103" t="str">
        <f>IF(ISTEXT(VLOOKUP(CONCATENATE($A61,"_",AN$3),'Unit List'!$A$23:$H$3319,2,FALSE)),"+","")</f>
        <v/>
      </c>
      <c r="AO61" s="96" t="str">
        <f>IF(ISTEXT(VLOOKUP(CONCATENATE($A61,"_",AO$3),'Unit List'!$A$23:$H$3319,2,FALSE)),"X",$AN61)</f>
        <v/>
      </c>
      <c r="AP61" s="97" t="str">
        <f>IF(ISTEXT(VLOOKUP(CONCATENATE($A61,"_",AP$3),'Unit List'!$A$23:$H$3319,2,FALSE)),"+","")</f>
        <v/>
      </c>
      <c r="AQ61" s="94" t="str">
        <f>IF(ISTEXT(VLOOKUP(CONCATENATE($A61,"_",AQ$3),'Unit List'!$A$23:$H$3319,2,FALSE)),"X",$AP61)</f>
        <v/>
      </c>
      <c r="AR61" s="94" t="str">
        <f>IF(ISTEXT(VLOOKUP(CONCATENATE($A61,"_",AR$3),'Unit List'!$A$23:$H$3319,2,FALSE)),"X",$AP61)</f>
        <v/>
      </c>
      <c r="AS61" s="94" t="str">
        <f>IF(ISTEXT(VLOOKUP(CONCATENATE($A61,"_",AS$3),'Unit List'!$A$23:$H$3319,2,FALSE)),"X",$AP61)</f>
        <v/>
      </c>
      <c r="AT61" s="96" t="str">
        <f>IF(ISTEXT(VLOOKUP(CONCATENATE($A61,"_",AT$3),'Unit List'!$A$23:$H$3319,2,FALSE)),"X",$AP61)</f>
        <v/>
      </c>
      <c r="AU61" s="104" t="str">
        <f>IF(ISTEXT(VLOOKUP(CONCATENATE($A61,"_",AU$3),'Unit List'!$A$23:$H$3319,2,FALSE)),"+","")</f>
        <v/>
      </c>
      <c r="AV61" s="94" t="str">
        <f>IF(ISTEXT(VLOOKUP(CONCATENATE($A61,"_",AV$3),'Unit List'!$A$23:$H$3319,2,FALSE)),"X",$AU61)</f>
        <v/>
      </c>
      <c r="AW61" s="96" t="str">
        <f>IF(ISTEXT(VLOOKUP(CONCATENATE($A61,"_",AW$3),'Unit List'!$A$23:$H$3319,2,FALSE)),"X",$AU61)</f>
        <v/>
      </c>
      <c r="AX61" s="97" t="str">
        <f>IF(ISTEXT(VLOOKUP(CONCATENATE($A61,"_",AX$3),'Unit List'!$A$23:$H$3319,2,FALSE)),"+","")</f>
        <v/>
      </c>
      <c r="AY61" s="94" t="str">
        <f>IF(ISTEXT(VLOOKUP(CONCATENATE($A61,"_",AY$3),'Unit List'!$A$23:$H$3319,2,FALSE)),"X",$AX61)</f>
        <v/>
      </c>
      <c r="AZ61" s="96" t="str">
        <f>IF(ISTEXT(VLOOKUP(CONCATENATE($A61,"_",AZ$3),'Unit List'!$A$23:$H$3319,2,FALSE)),"X",$AX61)</f>
        <v/>
      </c>
      <c r="BA61" s="105" t="str">
        <f>IF(ISTEXT(VLOOKUP(CONCATENATE($A61,"_",BA$3),'Unit List'!$A$23:$H$3319,2,FALSE)),"+","")</f>
        <v/>
      </c>
      <c r="BB61" s="94" t="str">
        <f>IF(ISTEXT(VLOOKUP(CONCATENATE($A61,"_",BB$3),'Unit List'!$A$23:$H$3319,2,FALSE)),"X",$BA61)</f>
        <v/>
      </c>
      <c r="BC61" s="94" t="str">
        <f>IF(ISTEXT(VLOOKUP(CONCATENATE($A61,"_",BC$3),'Unit List'!$A$23:$H$3319,2,FALSE)),"X",$BA61)</f>
        <v/>
      </c>
      <c r="BD61" s="96" t="str">
        <f>IF(ISTEXT(VLOOKUP(CONCATENATE($A61,"_",BD$3),'Unit List'!$A$23:$H$3319,2,FALSE)),"X",$BA61)</f>
        <v/>
      </c>
      <c r="BE61" s="103" t="str">
        <f>IF(ISTEXT(VLOOKUP(CONCATENATE($A61,"_",BE$3),'Unit List'!$A$23:$H$3319,2,FALSE)),"+","")</f>
        <v/>
      </c>
      <c r="BF61" s="101" t="str">
        <f>IF(ISTEXT(VLOOKUP(CONCATENATE($A61,"_",BF$3),'Unit List'!$A$23:$H$3319,2,FALSE)),"X",$BE61)</f>
        <v/>
      </c>
      <c r="BG61" s="124"/>
      <c r="BH61" s="133"/>
      <c r="BI61" s="228"/>
      <c r="BJ61" s="229"/>
      <c r="BK61" s="229"/>
      <c r="BL61" s="229"/>
      <c r="BM61" s="230"/>
      <c r="BN61" s="108"/>
      <c r="BO61" s="108"/>
      <c r="BP61" s="108"/>
      <c r="BQ61" s="108"/>
      <c r="BR61" s="108"/>
      <c r="BS61" s="108"/>
      <c r="DZ61" s="109"/>
      <c r="EA61" s="109"/>
    </row>
    <row r="62" spans="1:131" ht="12.75" customHeight="1" x14ac:dyDescent="0.2">
      <c r="A62" s="159" t="s">
        <v>1161</v>
      </c>
      <c r="B62" s="160" t="str">
        <f>IF(ISTEXT(VLOOKUP(CONCATENATE($A62,"_",B$3),'Unit List'!$A$23:$H$3319,2,FALSE)),"+","")</f>
        <v/>
      </c>
      <c r="C62" s="161" t="str">
        <f>IF(ISTEXT(VLOOKUP(CONCATENATE($A62,"_",C$3),'Unit List'!$A$23:$H$3319,2,FALSE)),"X",$B62)</f>
        <v/>
      </c>
      <c r="D62" s="162" t="str">
        <f>IF(ISTEXT(VLOOKUP(CONCATENATE($A62,"_",D$3),'Unit List'!$A$23:$H$3319,2,FALSE)),"X",$B62)</f>
        <v/>
      </c>
      <c r="E62" s="162" t="str">
        <f>IF(ISTEXT(VLOOKUP(CONCATENATE($A62,"_",E$3),'Unit List'!$A$23:$H$3319,2,FALSE)),"X",$B62)</f>
        <v/>
      </c>
      <c r="F62" s="162" t="str">
        <f>IF(ISTEXT(VLOOKUP(CONCATENATE($A62,"_",F$3),'Unit List'!$A$23:$H$3319,2,FALSE)),"X",$B62)</f>
        <v/>
      </c>
      <c r="G62" s="162" t="str">
        <f>IF(ISTEXT(VLOOKUP(CONCATENATE($A62,"_",G$3),'Unit List'!$A$23:$H$3319,2,FALSE)),"X",$B62)</f>
        <v/>
      </c>
      <c r="H62" s="162" t="str">
        <f>IF(ISTEXT(VLOOKUP(CONCATENATE($A62,"_",H$3),'Unit List'!$A$23:$H$3319,2,FALSE)),"X",$B62)</f>
        <v/>
      </c>
      <c r="I62" s="163" t="s">
        <v>0</v>
      </c>
      <c r="J62" s="164" t="str">
        <f>IF(ISTEXT(VLOOKUP(CONCATENATE($A62,"_",J$3),'Unit List'!$A$23:$H$3319,2,FALSE)),"+","")</f>
        <v/>
      </c>
      <c r="K62" s="162" t="str">
        <f>IF(ISTEXT(VLOOKUP(CONCATENATE($A62,"_",K$3),'Unit List'!$A$23:$H$3319,2,FALSE)),"X",$J62)</f>
        <v/>
      </c>
      <c r="L62" s="165" t="str">
        <f>IF(ISTEXT(VLOOKUP(CONCATENATE($A62,"_",L$3),'Unit List'!$A$23:$H$3319,2,FALSE)),"X",$J62)</f>
        <v/>
      </c>
      <c r="M62" s="164" t="str">
        <f>IF(ISTEXT(VLOOKUP(CONCATENATE($A62,"_",M$3),'Unit List'!$A$23:$H$3319,2,FALSE)),"+","")</f>
        <v/>
      </c>
      <c r="N62" s="162" t="str">
        <f>IF(ISTEXT(VLOOKUP(CONCATENATE($A62,"_",N$3),'Unit List'!$A$23:$H$3319,2,FALSE)),"X",$M62)</f>
        <v/>
      </c>
      <c r="O62" s="166" t="str">
        <f>IF(ISTEXT(VLOOKUP(CONCATENATE($A62,"_",O$3),'Unit List'!$A$23:$H$3319,2,FALSE)),"X",$M62)</f>
        <v/>
      </c>
      <c r="P62" s="164" t="str">
        <f>IF(ISTEXT(VLOOKUP(CONCATENATE($A62,"_",P$3),'Unit List'!$A$23:$H$3319,2,FALSE)),"+","")</f>
        <v/>
      </c>
      <c r="Q62" s="162" t="str">
        <f>IF(ISTEXT(VLOOKUP(CONCATENATE($A62,"_",Q$3),'Unit List'!$A$23:$H$3319,2,FALSE)),"X",$P62)</f>
        <v/>
      </c>
      <c r="R62" s="162" t="str">
        <f>IF(ISTEXT(VLOOKUP(CONCATENATE($A62,"_",R$3),'Unit List'!$A$23:$H$3319,2,FALSE)),"X",$P62)</f>
        <v/>
      </c>
      <c r="S62" s="162" t="str">
        <f>IF(ISTEXT(VLOOKUP(CONCATENATE($A62,"_",S$3),'Unit List'!$A$23:$H$3319,2,FALSE)),"X",$P62)</f>
        <v/>
      </c>
      <c r="T62" s="167" t="str">
        <f>IF(ISTEXT(VLOOKUP(CONCATENATE($A62,"_",T$3),'Unit List'!$A$23:$H$3319,2,FALSE)),"X",$P62)</f>
        <v/>
      </c>
      <c r="U62" s="162" t="str">
        <f>IF(ISTEXT(VLOOKUP(CONCATENATE($A62,"_",U$3),'Unit List'!$A$23:$H$3319,2,FALSE)),"X",$P62)</f>
        <v/>
      </c>
      <c r="V62" s="162" t="str">
        <f>IF(ISTEXT(VLOOKUP(CONCATENATE($A62,"_",V$3),'Unit List'!$A$23:$H$3319,2,FALSE)),"X",$P62)</f>
        <v/>
      </c>
      <c r="W62" s="166" t="str">
        <f>IF(ISTEXT(VLOOKUP(CONCATENATE($A62,"_",W$3),'Unit List'!$A$23:$H$3319,2,FALSE)),"X",$P62)</f>
        <v/>
      </c>
      <c r="X62" s="164" t="str">
        <f>IF(ISTEXT(VLOOKUP(CONCATENATE($A62,"_",X$3),'Unit List'!$A$23:$H$3319,2,FALSE)),"+","")</f>
        <v/>
      </c>
      <c r="Y62" s="162" t="str">
        <f>IF(ISTEXT(VLOOKUP(CONCATENATE($A62,"_",Y$3),'Unit List'!$A$23:$H$3319,2,FALSE)),"X",$X62)</f>
        <v/>
      </c>
      <c r="Z62" s="162" t="str">
        <f>IF(ISTEXT(VLOOKUP(CONCATENATE($A62,"_",Z$3),'Unit List'!$A$23:$H$3319,2,FALSE)),"X",$X62)</f>
        <v/>
      </c>
      <c r="AA62" s="162" t="str">
        <f>IF(ISTEXT(VLOOKUP(CONCATENATE($A62,"_",AA$3),'Unit List'!$A$23:$H$3319,2,FALSE)),"X",$X62)</f>
        <v/>
      </c>
      <c r="AB62" s="162" t="str">
        <f>IF(ISTEXT(VLOOKUP(CONCATENATE($A62,"_",AB$3),'Unit List'!$A$23:$H$3319,2,FALSE)),"X",$X62)</f>
        <v/>
      </c>
      <c r="AC62" s="165" t="str">
        <f>IF(ISTEXT(VLOOKUP(CONCATENATE($A62,"_",AC$3),'Unit List'!$A$23:$H$3319,2,FALSE)),"X",$X62)</f>
        <v/>
      </c>
      <c r="AD62" s="164" t="str">
        <f>IF(ISTEXT(VLOOKUP(CONCATENATE($A62,"_",AD$3),'Unit List'!$A$23:$H$3319,2,FALSE)),"+","")</f>
        <v/>
      </c>
      <c r="AE62" s="162" t="str">
        <f>IF(ISTEXT(VLOOKUP(CONCATENATE($A62,"_",AE$3),'Unit List'!$A$23:$H$3319,2,FALSE)),"X",$AD62)</f>
        <v/>
      </c>
      <c r="AF62" s="166" t="str">
        <f>IF(ISTEXT(VLOOKUP(CONCATENATE($A62,"_",AF$3),'Unit List'!$A$23:$H$3319,2,FALSE)),"X",$AD62)</f>
        <v/>
      </c>
      <c r="AG62" s="164" t="str">
        <f>IF(ISTEXT(VLOOKUP(CONCATENATE($A62,"_",AG$3),'Unit List'!$A$23:$H$3319,2,FALSE)),"+","")</f>
        <v/>
      </c>
      <c r="AH62" s="162" t="str">
        <f>IF(ISTEXT(VLOOKUP(CONCATENATE($A62,"_",AH$3),'Unit List'!$A$23:$H$3319,2,FALSE)),"X",$AG62)</f>
        <v/>
      </c>
      <c r="AI62" s="162" t="str">
        <f>IF(ISTEXT(VLOOKUP(CONCATENATE($A62,"_",AI$3),'Unit List'!$A$23:$H$3319,2,FALSE)),"X",$AG62)</f>
        <v/>
      </c>
      <c r="AJ62" s="166" t="str">
        <f>IF(ISTEXT(VLOOKUP(CONCATENATE($A62,"_",AJ$3),'Unit List'!$A$23:$H$3319,2,FALSE)),"X",$AG62)</f>
        <v/>
      </c>
      <c r="AK62" s="164" t="str">
        <f>IF(ISTEXT(VLOOKUP(CONCATENATE($A62,"_",AK$3),'Unit List'!$A$23:$H$3319,2,FALSE)),"+","")</f>
        <v/>
      </c>
      <c r="AL62" s="167" t="str">
        <f>IF(ISTEXT(VLOOKUP(CONCATENATE($A62,"_",AL$3),'Unit List'!$A$23:$H$3319,2,FALSE)),"X",$AK62)</f>
        <v/>
      </c>
      <c r="AM62" s="166" t="str">
        <f>IF(ISTEXT(VLOOKUP(CONCATENATE($A62,"_",AM$3),'Unit List'!$A$23:$H$3319,2,FALSE)),"X",$AK62)</f>
        <v/>
      </c>
      <c r="AN62" s="168" t="str">
        <f>IF(ISTEXT(VLOOKUP(CONCATENATE($A62,"_",AN$3),'Unit List'!$A$23:$H$3319,2,FALSE)),"+","")</f>
        <v/>
      </c>
      <c r="AO62" s="166" t="str">
        <f>IF(ISTEXT(VLOOKUP(CONCATENATE($A62,"_",AO$3),'Unit List'!$A$23:$H$3319,2,FALSE)),"X",$AN62)</f>
        <v/>
      </c>
      <c r="AP62" s="164" t="str">
        <f>IF(ISTEXT(VLOOKUP(CONCATENATE($A62,"_",AP$3),'Unit List'!$A$23:$H$3319,2,FALSE)),"+","")</f>
        <v/>
      </c>
      <c r="AQ62" s="162" t="str">
        <f>IF(ISTEXT(VLOOKUP(CONCATENATE($A62,"_",AQ$3),'Unit List'!$A$23:$H$3319,2,FALSE)),"X",$AP62)</f>
        <v/>
      </c>
      <c r="AR62" s="162" t="str">
        <f>IF(ISTEXT(VLOOKUP(CONCATENATE($A62,"_",AR$3),'Unit List'!$A$23:$H$3319,2,FALSE)),"X",$AP62)</f>
        <v/>
      </c>
      <c r="AS62" s="162" t="str">
        <f>IF(ISTEXT(VLOOKUP(CONCATENATE($A62,"_",AS$3),'Unit List'!$A$23:$H$3319,2,FALSE)),"X",$AP62)</f>
        <v/>
      </c>
      <c r="AT62" s="166" t="str">
        <f>IF(ISTEXT(VLOOKUP(CONCATENATE($A62,"_",AT$3),'Unit List'!$A$23:$H$3319,2,FALSE)),"X",$AP62)</f>
        <v/>
      </c>
      <c r="AU62" s="169" t="str">
        <f>IF(ISTEXT(VLOOKUP(CONCATENATE($A62,"_",AU$3),'Unit List'!$A$23:$H$3319,2,FALSE)),"+","")</f>
        <v/>
      </c>
      <c r="AV62" s="162" t="str">
        <f>IF(ISTEXT(VLOOKUP(CONCATENATE($A62,"_",AV$3),'Unit List'!$A$23:$H$3319,2,FALSE)),"X",$AU62)</f>
        <v/>
      </c>
      <c r="AW62" s="166" t="str">
        <f>IF(ISTEXT(VLOOKUP(CONCATENATE($A62,"_",AW$3),'Unit List'!$A$23:$H$3319,2,FALSE)),"X",$AU62)</f>
        <v/>
      </c>
      <c r="AX62" s="164" t="str">
        <f>IF(ISTEXT(VLOOKUP(CONCATENATE($A62,"_",AX$3),'Unit List'!$A$23:$H$3319,2,FALSE)),"+","")</f>
        <v/>
      </c>
      <c r="AY62" s="162" t="str">
        <f>IF(ISTEXT(VLOOKUP(CONCATENATE($A62,"_",AY$3),'Unit List'!$A$23:$H$3319,2,FALSE)),"X",$AX62)</f>
        <v/>
      </c>
      <c r="AZ62" s="166" t="str">
        <f>IF(ISTEXT(VLOOKUP(CONCATENATE($A62,"_",AZ$3),'Unit List'!$A$23:$H$3319,2,FALSE)),"X",$AX62)</f>
        <v/>
      </c>
      <c r="BA62" s="170" t="str">
        <f>IF(ISTEXT(VLOOKUP(CONCATENATE($A62,"_",BA$3),'Unit List'!$A$23:$H$3319,2,FALSE)),"+","")</f>
        <v/>
      </c>
      <c r="BB62" s="162" t="str">
        <f>IF(ISTEXT(VLOOKUP(CONCATENATE($A62,"_",BB$3),'Unit List'!$A$23:$H$3319,2,FALSE)),"X",$BA62)</f>
        <v/>
      </c>
      <c r="BC62" s="162" t="str">
        <f>IF(ISTEXT(VLOOKUP(CONCATENATE($A62,"_",BC$3),'Unit List'!$A$23:$H$3319,2,FALSE)),"X",$BA62)</f>
        <v/>
      </c>
      <c r="BD62" s="166" t="str">
        <f>IF(ISTEXT(VLOOKUP(CONCATENATE($A62,"_",BD$3),'Unit List'!$A$23:$H$3319,2,FALSE)),"X",$BA62)</f>
        <v/>
      </c>
      <c r="BE62" s="168" t="str">
        <f>IF(ISTEXT(VLOOKUP(CONCATENATE($A62,"_",BE$3),'Unit List'!$A$23:$H$3319,2,FALSE)),"+","")</f>
        <v/>
      </c>
      <c r="BF62" s="165" t="str">
        <f>IF(ISTEXT(VLOOKUP(CONCATENATE($A62,"_",BF$3),'Unit List'!$A$23:$H$3319,2,FALSE)),"X",$BE62)</f>
        <v/>
      </c>
      <c r="BG62" s="171"/>
      <c r="BH62" s="172"/>
      <c r="BI62" s="238"/>
      <c r="BJ62" s="241"/>
      <c r="BK62" s="241"/>
      <c r="BL62" s="241"/>
      <c r="BM62" s="242"/>
      <c r="BN62" s="108"/>
      <c r="BO62" s="108"/>
      <c r="BP62" s="108"/>
      <c r="BQ62" s="108"/>
      <c r="BR62" s="108"/>
      <c r="BS62" s="108"/>
      <c r="DZ62" s="109"/>
      <c r="EA62" s="109"/>
    </row>
    <row r="63" spans="1:131" ht="12.75" customHeight="1" x14ac:dyDescent="0.2">
      <c r="A63" s="173" t="s">
        <v>1908</v>
      </c>
      <c r="B63" s="91"/>
      <c r="C63" s="174"/>
      <c r="D63" s="175"/>
      <c r="E63" s="175"/>
      <c r="F63" s="175"/>
      <c r="G63" s="175"/>
      <c r="H63" s="175"/>
      <c r="I63" s="124"/>
      <c r="J63" s="97"/>
      <c r="K63" s="176"/>
      <c r="L63" s="177"/>
      <c r="M63" s="105" t="str">
        <f>IF(ISTEXT(VLOOKUP(CONCATENATE($A63,"_",M$3),'Unit List'!$A$23:$H$3319,2,FALSE)),"+","")</f>
        <v/>
      </c>
      <c r="N63" s="175"/>
      <c r="O63" s="124"/>
      <c r="P63" s="105"/>
      <c r="Q63" s="175"/>
      <c r="R63" s="175"/>
      <c r="S63" s="176"/>
      <c r="T63" s="176"/>
      <c r="U63" s="175"/>
      <c r="V63" s="175"/>
      <c r="W63" s="124"/>
      <c r="X63" s="105"/>
      <c r="Y63" s="175"/>
      <c r="Z63" s="178"/>
      <c r="AA63" s="178"/>
      <c r="AB63" s="175"/>
      <c r="AC63" s="124"/>
      <c r="AD63" s="105"/>
      <c r="AE63" s="175"/>
      <c r="AF63" s="179"/>
      <c r="AG63" s="105"/>
      <c r="AH63" s="175"/>
      <c r="AI63" s="175"/>
      <c r="AJ63" s="124"/>
      <c r="AK63" s="180"/>
      <c r="AL63" s="178"/>
      <c r="AM63" s="124"/>
      <c r="AN63" s="180"/>
      <c r="AO63" s="181"/>
      <c r="AP63" s="105"/>
      <c r="AQ63" s="175"/>
      <c r="AR63" s="175"/>
      <c r="AS63" s="175"/>
      <c r="AT63" s="124"/>
      <c r="AU63" s="104"/>
      <c r="AV63" s="175"/>
      <c r="AW63" s="177"/>
      <c r="AX63" s="105"/>
      <c r="AY63" s="175"/>
      <c r="AZ63" s="124"/>
      <c r="BA63" s="105"/>
      <c r="BB63" s="175"/>
      <c r="BC63" s="175"/>
      <c r="BD63" s="177"/>
      <c r="BE63" s="103"/>
      <c r="BF63" s="177"/>
      <c r="BG63" s="124"/>
      <c r="BH63" s="107"/>
      <c r="BI63" s="243"/>
      <c r="BJ63" s="244"/>
      <c r="BK63" s="244"/>
      <c r="BL63" s="244"/>
      <c r="BM63" s="245"/>
      <c r="BN63" s="108"/>
      <c r="BO63" s="108"/>
      <c r="BP63" s="108"/>
      <c r="BQ63" s="108"/>
      <c r="BR63" s="108"/>
      <c r="BS63" s="108"/>
      <c r="DZ63" s="109"/>
      <c r="EA63" s="109"/>
    </row>
    <row r="64" spans="1:131" ht="12.75" customHeight="1" x14ac:dyDescent="0.2">
      <c r="A64" s="182" t="s">
        <v>6</v>
      </c>
      <c r="B64" s="91" t="str">
        <f>IF(ISTEXT(VLOOKUP(CONCATENATE($A64,"_",B$3),'Unit List'!$A$23:$H$3319,2,FALSE)),"+","")</f>
        <v/>
      </c>
      <c r="C64" s="174" t="str">
        <f>IF(ISTEXT(VLOOKUP(CONCATENATE($A64,"_",C$3),'Unit List'!$A$23:$H$3319,2,FALSE)),"X",$B64)</f>
        <v/>
      </c>
      <c r="D64" s="175" t="str">
        <f>IF(ISTEXT(VLOOKUP(CONCATENATE($A64,"_",D$3),'Unit List'!$A$23:$H$3319,2,FALSE)),"X",$B64)</f>
        <v/>
      </c>
      <c r="E64" s="175" t="str">
        <f>IF(ISTEXT(VLOOKUP(CONCATENATE($A64,"_",E$3),'Unit List'!$A$23:$H$3319,2,FALSE)),"X",$B64)</f>
        <v/>
      </c>
      <c r="F64" s="175" t="str">
        <f>IF(ISTEXT(VLOOKUP(CONCATENATE($A64,"_",F$3),'Unit List'!$A$23:$H$3319,2,FALSE)),"X",$B64)</f>
        <v/>
      </c>
      <c r="G64" s="175" t="str">
        <f>IF(ISTEXT(VLOOKUP(CONCATENATE($A64,"_",G$3),'Unit List'!$A$23:$H$3319,2,FALSE)),"X",$B64)</f>
        <v/>
      </c>
      <c r="H64" s="175" t="str">
        <f>IF(ISTEXT(VLOOKUP(CONCATENATE($A64,"_",H$3),'Unit List'!$A$23:$H$3319,2,FALSE)),"X",$B64)</f>
        <v/>
      </c>
      <c r="I64" s="177" t="str">
        <f>IF(ISTEXT(VLOOKUP(CONCATENATE($A64,"_",I$3),'Unit List'!$A$23:$H$3319,2,FALSE)),"X",$B64)</f>
        <v/>
      </c>
      <c r="J64" s="97" t="str">
        <f>IF(ISTEXT(VLOOKUP(CONCATENATE($A64,"_",J$3),'Unit List'!$A$23:$H$3319,2,FALSE)),"+","")</f>
        <v/>
      </c>
      <c r="K64" s="175" t="str">
        <f>IF(ISTEXT(VLOOKUP(CONCATENATE($A64,"_",K$3),'Unit List'!$A$23:$H$3319,2,FALSE)),"X",$J64)</f>
        <v/>
      </c>
      <c r="L64" s="124" t="str">
        <f>IF(ISTEXT(VLOOKUP(CONCATENATE($A64,"_",L$3),'Unit List'!$A$23:$H$3319,2,FALSE)),"X",$J64)</f>
        <v/>
      </c>
      <c r="M64" s="97" t="str">
        <f>IF(ISTEXT(VLOOKUP(CONCATENATE($A64,"_",M$3),'Unit List'!$A$23:$H$3319,2,FALSE)),"+","")</f>
        <v/>
      </c>
      <c r="N64" s="175" t="str">
        <f>IF(ISTEXT(VLOOKUP(CONCATENATE($A64,"_",N$3),'Unit List'!$A$23:$H$3319,2,FALSE)),"X",$M64)</f>
        <v/>
      </c>
      <c r="O64" s="177" t="str">
        <f>IF(ISTEXT(VLOOKUP(CONCATENATE($A64,"_",O$3),'Unit List'!$A$23:$H$3319,2,FALSE)),"X",$M64)</f>
        <v/>
      </c>
      <c r="P64" s="97" t="str">
        <f>IF(ISTEXT(VLOOKUP(CONCATENATE($A64,"_",P$3),'Unit List'!$A$23:$H$3319,2,FALSE)),"+","")</f>
        <v/>
      </c>
      <c r="Q64" s="175" t="str">
        <f>IF(ISTEXT(VLOOKUP(CONCATENATE($A64,"_",Q$3),'Unit List'!$A$23:$H$3319,2,FALSE)),"X",$P64)</f>
        <v/>
      </c>
      <c r="R64" s="175" t="str">
        <f>IF(ISTEXT(VLOOKUP(CONCATENATE($A64,"_",R$3),'Unit List'!$A$23:$H$3319,2,FALSE)),"X",$P64)</f>
        <v/>
      </c>
      <c r="S64" s="175" t="str">
        <f>IF(ISTEXT(VLOOKUP(CONCATENATE($A64,"_",S$3),'Unit List'!$A$23:$H$3319,2,FALSE)),"X",$P64)</f>
        <v/>
      </c>
      <c r="T64" s="176" t="str">
        <f>IF(ISTEXT(VLOOKUP(CONCATENATE($A64,"_",T$3),'Unit List'!$A$23:$H$3319,2,FALSE)),"X",$P64)</f>
        <v/>
      </c>
      <c r="U64" s="175" t="str">
        <f>IF(ISTEXT(VLOOKUP(CONCATENATE($A64,"_",U$3),'Unit List'!$A$23:$H$3319,2,FALSE)),"X",$P64)</f>
        <v/>
      </c>
      <c r="V64" s="175" t="str">
        <f>IF(ISTEXT(VLOOKUP(CONCATENATE($A64,"_",V$3),'Unit List'!$A$23:$H$3319,2,FALSE)),"X",$P64)</f>
        <v/>
      </c>
      <c r="W64" s="177" t="str">
        <f>IF(ISTEXT(VLOOKUP(CONCATENATE($A64,"_",W$3),'Unit List'!$A$23:$H$3319,2,FALSE)),"X",$P64)</f>
        <v/>
      </c>
      <c r="X64" s="97" t="str">
        <f>IF(ISTEXT(VLOOKUP(CONCATENATE($A64,"_",X$3),'Unit List'!$A$23:$H$3319,2,FALSE)),"+","")</f>
        <v/>
      </c>
      <c r="Y64" s="175" t="str">
        <f>IF(ISTEXT(VLOOKUP(CONCATENATE($A64,"_",Y$3),'Unit List'!$A$23:$H$3319,2,FALSE)),"X",$X64)</f>
        <v/>
      </c>
      <c r="Z64" s="175" t="str">
        <f>IF(ISTEXT(VLOOKUP(CONCATENATE($A64,"_",Z$3),'Unit List'!$A$23:$H$3319,2,FALSE)),"X",$X64)</f>
        <v/>
      </c>
      <c r="AA64" s="175" t="str">
        <f>IF(ISTEXT(VLOOKUP(CONCATENATE($A64,"_",AA$3),'Unit List'!$A$23:$H$3319,2,FALSE)),"X",$X64)</f>
        <v/>
      </c>
      <c r="AB64" s="175" t="str">
        <f>IF(ISTEXT(VLOOKUP(CONCATENATE($A64,"_",AB$3),'Unit List'!$A$23:$H$3319,2,FALSE)),"X",$X64)</f>
        <v/>
      </c>
      <c r="AC64" s="124" t="str">
        <f>IF(ISTEXT(VLOOKUP(CONCATENATE($A64,"_",AC$3),'Unit List'!$A$23:$H$3319,2,FALSE)),"X",$X64)</f>
        <v/>
      </c>
      <c r="AD64" s="97" t="str">
        <f>IF(ISTEXT(VLOOKUP(CONCATENATE($A64,"_",AD$3),'Unit List'!$A$23:$H$3319,2,FALSE)),"+","")</f>
        <v/>
      </c>
      <c r="AE64" s="175" t="str">
        <f>IF(ISTEXT(VLOOKUP(CONCATENATE($A64,"_",AE$3),'Unit List'!$A$23:$H$3319,2,FALSE)),"X",$AD64)</f>
        <v/>
      </c>
      <c r="AF64" s="175" t="str">
        <f>IF(ISTEXT(VLOOKUP(CONCATENATE($A64,"_",AF$3),'Unit List'!$A$23:$H$3319,2,FALSE)),"X",$AD64)</f>
        <v/>
      </c>
      <c r="AG64" s="97" t="str">
        <f>IF(ISTEXT(VLOOKUP(CONCATENATE($A64,"_",AG$3),'Unit List'!$A$23:$H$3319,2,FALSE)),"+","")</f>
        <v/>
      </c>
      <c r="AH64" s="175" t="str">
        <f>IF(ISTEXT(VLOOKUP(CONCATENATE($A64,"_",AH$3),'Unit List'!$A$23:$H$3319,2,FALSE)),"X",$AG64)</f>
        <v/>
      </c>
      <c r="AI64" s="175" t="str">
        <f>IF(ISTEXT(VLOOKUP(CONCATENATE($A64,"_",AI$3),'Unit List'!$A$23:$H$3319,2,FALSE)),"X",$AG64)</f>
        <v/>
      </c>
      <c r="AJ64" s="177" t="str">
        <f>IF(ISTEXT(VLOOKUP(CONCATENATE($A64,"_",AJ$3),'Unit List'!$A$23:$H$3319,2,FALSE)),"X",$AG64)</f>
        <v/>
      </c>
      <c r="AK64" s="97" t="str">
        <f>IF(ISTEXT(VLOOKUP(CONCATENATE($A64,"_",AK$3),'Unit List'!$A$23:$H$3319,2,FALSE)),"+","")</f>
        <v/>
      </c>
      <c r="AL64" s="176" t="str">
        <f>IF(ISTEXT(VLOOKUP(CONCATENATE($A64,"_",AL$3),'Unit List'!$A$23:$H$3319,2,FALSE)),"X",$AK64)</f>
        <v/>
      </c>
      <c r="AM64" s="177" t="str">
        <f>IF(ISTEXT(VLOOKUP(CONCATENATE($A64,"_",AM$3),'Unit List'!$A$23:$H$3319,2,FALSE)),"X",$AK64)</f>
        <v/>
      </c>
      <c r="AN64" s="103" t="str">
        <f>IF(ISTEXT(VLOOKUP(CONCATENATE($A64,"_",AN$3),'Unit List'!$A$23:$H$3319,2,FALSE)),"+","")</f>
        <v/>
      </c>
      <c r="AO64" s="177" t="str">
        <f>IF(ISTEXT(VLOOKUP(CONCATENATE($A64,"_",AO$3),'Unit List'!$A$23:$H$3319,2,FALSE)),"X",$AN64)</f>
        <v/>
      </c>
      <c r="AP64" s="97" t="str">
        <f>IF(ISTEXT(VLOOKUP(CONCATENATE($A64,"_",AP$3),'Unit List'!$A$23:$H$3319,2,FALSE)),"+","")</f>
        <v/>
      </c>
      <c r="AQ64" s="175" t="str">
        <f>IF(ISTEXT(VLOOKUP(CONCATENATE($A64,"_",AQ$3),'Unit List'!$A$23:$H$3319,2,FALSE)),"X",$AP64)</f>
        <v/>
      </c>
      <c r="AR64" s="175" t="str">
        <f>IF(ISTEXT(VLOOKUP(CONCATENATE($A64,"_",AR$3),'Unit List'!$A$23:$H$3319,2,FALSE)),"X",$AP64)</f>
        <v/>
      </c>
      <c r="AS64" s="175" t="str">
        <f>IF(ISTEXT(VLOOKUP(CONCATENATE($A64,"_",AS$3),'Unit List'!$A$23:$H$3319,2,FALSE)),"X",$AP64)</f>
        <v/>
      </c>
      <c r="AT64" s="177" t="str">
        <f>IF(ISTEXT(VLOOKUP(CONCATENATE($A64,"_",AT$3),'Unit List'!$A$23:$H$3319,2,FALSE)),"X",$AP64)</f>
        <v/>
      </c>
      <c r="AU64" s="104" t="str">
        <f>IF(ISTEXT(VLOOKUP(CONCATENATE($A64,"_",AU$3),'Unit List'!$A$23:$H$3319,2,FALSE)),"+","")</f>
        <v/>
      </c>
      <c r="AV64" s="175" t="str">
        <f>IF(ISTEXT(VLOOKUP(CONCATENATE($A64,"_",AV$3),'Unit List'!$A$23:$H$3319,2,FALSE)),"X",$AU64)</f>
        <v/>
      </c>
      <c r="AW64" s="177" t="str">
        <f>IF(ISTEXT(VLOOKUP(CONCATENATE($A64,"_",AW$3),'Unit List'!$A$23:$H$3319,2,FALSE)),"X",$AU64)</f>
        <v/>
      </c>
      <c r="AX64" s="97" t="str">
        <f>IF(ISTEXT(VLOOKUP(CONCATENATE($A64,"_",AX$3),'Unit List'!$A$23:$H$3319,2,FALSE)),"+","")</f>
        <v/>
      </c>
      <c r="AY64" s="175" t="str">
        <f>IF(ISTEXT(VLOOKUP(CONCATENATE($A64,"_",AY$3),'Unit List'!$A$23:$H$3319,2,FALSE)),"X",$AX64)</f>
        <v/>
      </c>
      <c r="AZ64" s="177" t="str">
        <f>IF(ISTEXT(VLOOKUP(CONCATENATE($A64,"_",AZ$3),'Unit List'!$A$23:$H$3319,2,FALSE)),"X",$AX64)</f>
        <v/>
      </c>
      <c r="BA64" s="97" t="str">
        <f>IF(ISTEXT(VLOOKUP(CONCATENATE($A64,"_",BA$3),'Unit List'!$A$23:$H$3319,2,FALSE)),"+","")</f>
        <v/>
      </c>
      <c r="BB64" s="175" t="str">
        <f>IF(ISTEXT(VLOOKUP(CONCATENATE($A64,"_",BB$3),'Unit List'!$A$23:$H$3319,2,FALSE)),"X",$BA64)</f>
        <v/>
      </c>
      <c r="BC64" s="175" t="str">
        <f>IF(ISTEXT(VLOOKUP(CONCATENATE($A64,"_",BC$3),'Unit List'!$A$23:$H$3319,2,FALSE)),"X",$BA64)</f>
        <v/>
      </c>
      <c r="BD64" s="177" t="str">
        <f>IF(ISTEXT(VLOOKUP(CONCATENATE($A64,"_",BD$3),'Unit List'!$A$23:$H$3319,2,FALSE)),"X",$BA64)</f>
        <v/>
      </c>
      <c r="BE64" s="103" t="str">
        <f>IF(ISTEXT(VLOOKUP(CONCATENATE($A64,"_",BE$3),'Unit List'!$A$23:$H$3319,2,FALSE)),"+","")</f>
        <v/>
      </c>
      <c r="BF64" s="124" t="str">
        <f>IF(ISTEXT(VLOOKUP(CONCATENATE($A64,"_",BF$3),'Unit List'!$A$23:$H$3319,2,FALSE)),"X",$BE64)</f>
        <v/>
      </c>
      <c r="BG64" s="106" t="s">
        <v>0</v>
      </c>
      <c r="BH64" s="107" t="s">
        <v>0</v>
      </c>
      <c r="BI64" s="228"/>
      <c r="BJ64" s="229"/>
      <c r="BK64" s="229"/>
      <c r="BL64" s="229"/>
      <c r="BM64" s="230"/>
      <c r="BN64" s="183"/>
      <c r="BO64" s="183"/>
      <c r="BP64" s="108"/>
      <c r="BQ64" s="108"/>
      <c r="BR64" s="108"/>
      <c r="BS64" s="108"/>
      <c r="BT64" s="108"/>
      <c r="BU64" s="108"/>
      <c r="DZ64" s="109"/>
      <c r="EA64" s="109"/>
    </row>
    <row r="65" spans="1:131" ht="12.75" customHeight="1" x14ac:dyDescent="0.2">
      <c r="A65" s="184" t="s">
        <v>1113</v>
      </c>
      <c r="B65" s="91" t="str">
        <f>IF(ISTEXT(VLOOKUP(CONCATENATE($A65,"_",B$3),'Unit List'!$A$23:$H$3319,2,FALSE)),"+","")</f>
        <v/>
      </c>
      <c r="C65" s="174" t="str">
        <f>IF(ISTEXT(VLOOKUP(CONCATENATE($A65,"_",C$3),'Unit List'!$A$23:$H$3319,2,FALSE)),"X",$B65)</f>
        <v/>
      </c>
      <c r="D65" s="175" t="str">
        <f>IF(ISTEXT(VLOOKUP(CONCATENATE($A65,"_",D$3),'Unit List'!$A$23:$H$3319,2,FALSE)),"X",$B65)</f>
        <v/>
      </c>
      <c r="E65" s="175" t="str">
        <f>IF(ISTEXT(VLOOKUP(CONCATENATE($A65,"_",E$3),'Unit List'!$A$23:$H$3319,2,FALSE)),"X",$B65)</f>
        <v/>
      </c>
      <c r="F65" s="175" t="str">
        <f>IF(ISTEXT(VLOOKUP(CONCATENATE($A65,"_",F$3),'Unit List'!$A$23:$H$3319,2,FALSE)),"X",$B65)</f>
        <v/>
      </c>
      <c r="G65" s="175" t="str">
        <f>IF(ISTEXT(VLOOKUP(CONCATENATE($A65,"_",G$3),'Unit List'!$A$23:$H$3319,2,FALSE)),"X",$B65)</f>
        <v/>
      </c>
      <c r="H65" s="175" t="str">
        <f>IF(ISTEXT(VLOOKUP(CONCATENATE($A65,"_",H$3),'Unit List'!$A$23:$H$3319,2,FALSE)),"X",$B65)</f>
        <v/>
      </c>
      <c r="I65" s="177" t="str">
        <f>IF(ISTEXT(VLOOKUP(CONCATENATE($A65,"_",I$3),'Unit List'!$A$23:$H$3319,2,FALSE)),"X",$B65)</f>
        <v/>
      </c>
      <c r="J65" s="97" t="str">
        <f>IF(ISTEXT(VLOOKUP(CONCATENATE($A65,"_",J$3),'Unit List'!$A$23:$H$3319,2,FALSE)),"+","")</f>
        <v/>
      </c>
      <c r="K65" s="175" t="str">
        <f>IF(ISTEXT(VLOOKUP(CONCATENATE($A65,"_",K$3),'Unit List'!$A$23:$H$3319,2,FALSE)),"X",$J65)</f>
        <v/>
      </c>
      <c r="L65" s="124" t="str">
        <f>IF(ISTEXT(VLOOKUP(CONCATENATE($A65,"_",L$3),'Unit List'!$A$23:$H$3319,2,FALSE)),"X",$J65)</f>
        <v/>
      </c>
      <c r="M65" s="97" t="str">
        <f>IF(ISTEXT(VLOOKUP(CONCATENATE($A65,"_",M$3),'Unit List'!$A$23:$H$3319,2,FALSE)),"+","")</f>
        <v/>
      </c>
      <c r="N65" s="175" t="str">
        <f>IF(ISTEXT(VLOOKUP(CONCATENATE($A65,"_",N$3),'Unit List'!$A$23:$H$3319,2,FALSE)),"X",$M65)</f>
        <v/>
      </c>
      <c r="O65" s="177" t="str">
        <f>IF(ISTEXT(VLOOKUP(CONCATENATE($A65,"_",O$3),'Unit List'!$A$23:$H$3319,2,FALSE)),"X",$M65)</f>
        <v/>
      </c>
      <c r="P65" s="97" t="str">
        <f>IF(ISTEXT(VLOOKUP(CONCATENATE($A65,"_",P$3),'Unit List'!$A$23:$H$3319,2,FALSE)),"+","")</f>
        <v/>
      </c>
      <c r="Q65" s="175" t="str">
        <f>IF(ISTEXT(VLOOKUP(CONCATENATE($A65,"_",Q$3),'Unit List'!$A$23:$H$3319,2,FALSE)),"X",$P65)</f>
        <v/>
      </c>
      <c r="R65" s="175" t="str">
        <f>IF(ISTEXT(VLOOKUP(CONCATENATE($A65,"_",R$3),'Unit List'!$A$23:$H$3319,2,FALSE)),"X",$P65)</f>
        <v/>
      </c>
      <c r="S65" s="175" t="str">
        <f>IF(ISTEXT(VLOOKUP(CONCATENATE($A65,"_",S$3),'Unit List'!$A$23:$H$3319,2,FALSE)),"X",$P65)</f>
        <v/>
      </c>
      <c r="T65" s="176" t="str">
        <f>IF(ISTEXT(VLOOKUP(CONCATENATE($A65,"_",T$3),'Unit List'!$A$23:$H$3319,2,FALSE)),"X",$P65)</f>
        <v/>
      </c>
      <c r="U65" s="175" t="str">
        <f>IF(ISTEXT(VLOOKUP(CONCATENATE($A65,"_",U$3),'Unit List'!$A$23:$H$3319,2,FALSE)),"X",$P65)</f>
        <v/>
      </c>
      <c r="V65" s="175" t="str">
        <f>IF(ISTEXT(VLOOKUP(CONCATENATE($A65,"_",V$3),'Unit List'!$A$23:$H$3319,2,FALSE)),"X",$P65)</f>
        <v/>
      </c>
      <c r="W65" s="177" t="str">
        <f>IF(ISTEXT(VLOOKUP(CONCATENATE($A65,"_",W$3),'Unit List'!$A$23:$H$3319,2,FALSE)),"X",$P65)</f>
        <v/>
      </c>
      <c r="X65" s="97" t="str">
        <f>IF(ISTEXT(VLOOKUP(CONCATENATE($A65,"_",X$3),'Unit List'!$A$23:$H$3319,2,FALSE)),"+","")</f>
        <v/>
      </c>
      <c r="Y65" s="175" t="str">
        <f>IF(ISTEXT(VLOOKUP(CONCATENATE($A65,"_",Y$3),'Unit List'!$A$23:$H$3319,2,FALSE)),"X",$X65)</f>
        <v/>
      </c>
      <c r="Z65" s="175" t="str">
        <f>IF(ISTEXT(VLOOKUP(CONCATENATE($A65,"_",Z$3),'Unit List'!$A$23:$H$3319,2,FALSE)),"X",$X65)</f>
        <v/>
      </c>
      <c r="AA65" s="175" t="str">
        <f>IF(ISTEXT(VLOOKUP(CONCATENATE($A65,"_",AA$3),'Unit List'!$A$23:$H$3319,2,FALSE)),"X",$X65)</f>
        <v/>
      </c>
      <c r="AB65" s="175" t="str">
        <f>IF(ISTEXT(VLOOKUP(CONCATENATE($A65,"_",AB$3),'Unit List'!$A$23:$H$3319,2,FALSE)),"X",$X65)</f>
        <v/>
      </c>
      <c r="AC65" s="124" t="str">
        <f>IF(ISTEXT(VLOOKUP(CONCATENATE($A65,"_",AC$3),'Unit List'!$A$23:$H$3319,2,FALSE)),"X",$X65)</f>
        <v/>
      </c>
      <c r="AD65" s="97" t="str">
        <f>IF(ISTEXT(VLOOKUP(CONCATENATE($A65,"_",AD$3),'Unit List'!$A$23:$H$3319,2,FALSE)),"+","")</f>
        <v/>
      </c>
      <c r="AE65" s="175" t="str">
        <f>IF(ISTEXT(VLOOKUP(CONCATENATE($A65,"_",AE$3),'Unit List'!$A$23:$H$3319,2,FALSE)),"X",$AD65)</f>
        <v/>
      </c>
      <c r="AF65" s="175" t="str">
        <f>IF(ISTEXT(VLOOKUP(CONCATENATE($A65,"_",AF$3),'Unit List'!$A$23:$H$3319,2,FALSE)),"X",$AD65)</f>
        <v/>
      </c>
      <c r="AG65" s="97" t="str">
        <f>IF(ISTEXT(VLOOKUP(CONCATENATE($A65,"_",AG$3),'Unit List'!$A$23:$H$3319,2,FALSE)),"+","")</f>
        <v/>
      </c>
      <c r="AH65" s="175" t="str">
        <f>IF(ISTEXT(VLOOKUP(CONCATENATE($A65,"_",AH$3),'Unit List'!$A$23:$H$3319,2,FALSE)),"X",$AG65)</f>
        <v/>
      </c>
      <c r="AI65" s="175" t="str">
        <f>IF(ISTEXT(VLOOKUP(CONCATENATE($A65,"_",AI$3),'Unit List'!$A$23:$H$3319,2,FALSE)),"X",$AG65)</f>
        <v/>
      </c>
      <c r="AJ65" s="177" t="str">
        <f>IF(ISTEXT(VLOOKUP(CONCATENATE($A65,"_",AJ$3),'Unit List'!$A$23:$H$3319,2,FALSE)),"X",$AG65)</f>
        <v/>
      </c>
      <c r="AK65" s="97" t="str">
        <f>IF(ISTEXT(VLOOKUP(CONCATENATE($A65,"_",AK$3),'Unit List'!$A$23:$H$3319,2,FALSE)),"+","")</f>
        <v/>
      </c>
      <c r="AL65" s="176" t="str">
        <f>IF(ISTEXT(VLOOKUP(CONCATENATE($A65,"_",AL$3),'Unit List'!$A$23:$H$3319,2,FALSE)),"X",$AK65)</f>
        <v/>
      </c>
      <c r="AM65" s="177" t="str">
        <f>IF(ISTEXT(VLOOKUP(CONCATENATE($A65,"_",AM$3),'Unit List'!$A$23:$H$3319,2,FALSE)),"X",$AK65)</f>
        <v/>
      </c>
      <c r="AN65" s="103" t="str">
        <f>IF(ISTEXT(VLOOKUP(CONCATENATE($A65,"_",AN$3),'Unit List'!$A$23:$H$3319,2,FALSE)),"+","")</f>
        <v/>
      </c>
      <c r="AO65" s="177" t="str">
        <f>IF(ISTEXT(VLOOKUP(CONCATENATE($A65,"_",AO$3),'Unit List'!$A$23:$H$3319,2,FALSE)),"X",$AN65)</f>
        <v/>
      </c>
      <c r="AP65" s="97" t="str">
        <f>IF(ISTEXT(VLOOKUP(CONCATENATE($A65,"_",AP$3),'Unit List'!$A$23:$H$3319,2,FALSE)),"+","")</f>
        <v/>
      </c>
      <c r="AQ65" s="175" t="str">
        <f>IF(ISTEXT(VLOOKUP(CONCATENATE($A65,"_",AQ$3),'Unit List'!$A$23:$H$3319,2,FALSE)),"X",$AP65)</f>
        <v/>
      </c>
      <c r="AR65" s="175" t="str">
        <f>IF(ISTEXT(VLOOKUP(CONCATENATE($A65,"_",AR$3),'Unit List'!$A$23:$H$3319,2,FALSE)),"X",$AP65)</f>
        <v/>
      </c>
      <c r="AS65" s="175" t="str">
        <f>IF(ISTEXT(VLOOKUP(CONCATENATE($A65,"_",AS$3),'Unit List'!$A$23:$H$3319,2,FALSE)),"X",$AP65)</f>
        <v/>
      </c>
      <c r="AT65" s="177" t="str">
        <f>IF(ISTEXT(VLOOKUP(CONCATENATE($A65,"_",AT$3),'Unit List'!$A$23:$H$3319,2,FALSE)),"X",$AP65)</f>
        <v/>
      </c>
      <c r="AU65" s="104" t="str">
        <f>IF(ISTEXT(VLOOKUP(CONCATENATE($A65,"_",AU$3),'Unit List'!$A$23:$H$3319,2,FALSE)),"+","")</f>
        <v/>
      </c>
      <c r="AV65" s="175" t="str">
        <f>IF(ISTEXT(VLOOKUP(CONCATENATE($A65,"_",AV$3),'Unit List'!$A$23:$H$3319,2,FALSE)),"X",$AU65)</f>
        <v/>
      </c>
      <c r="AW65" s="177" t="str">
        <f>IF(ISTEXT(VLOOKUP(CONCATENATE($A65,"_",AW$3),'Unit List'!$A$23:$H$3319,2,FALSE)),"X",$AU65)</f>
        <v/>
      </c>
      <c r="AX65" s="97" t="str">
        <f>IF(ISTEXT(VLOOKUP(CONCATENATE($A65,"_",AX$3),'Unit List'!$A$23:$H$3319,2,FALSE)),"+","")</f>
        <v/>
      </c>
      <c r="AY65" s="175" t="str">
        <f>IF(ISTEXT(VLOOKUP(CONCATENATE($A65,"_",AY$3),'Unit List'!$A$23:$H$3319,2,FALSE)),"X",$AX65)</f>
        <v/>
      </c>
      <c r="AZ65" s="177" t="str">
        <f>IF(ISTEXT(VLOOKUP(CONCATENATE($A65,"_",AZ$3),'Unit List'!$A$23:$H$3319,2,FALSE)),"X",$AX65)</f>
        <v/>
      </c>
      <c r="BA65" s="105" t="str">
        <f>IF(ISTEXT(VLOOKUP(CONCATENATE($A65,"_",BA$3),'Unit List'!$A$23:$H$3319,2,FALSE)),"+","")</f>
        <v/>
      </c>
      <c r="BB65" s="175" t="str">
        <f>IF(ISTEXT(VLOOKUP(CONCATENATE($A65,"_",BB$3),'Unit List'!$A$23:$H$3319,2,FALSE)),"X",$BA65)</f>
        <v/>
      </c>
      <c r="BC65" s="175" t="str">
        <f>IF(ISTEXT(VLOOKUP(CONCATENATE($A65,"_",BC$3),'Unit List'!$A$23:$H$3319,2,FALSE)),"X",$BA65)</f>
        <v/>
      </c>
      <c r="BD65" s="177" t="str">
        <f>IF(ISTEXT(VLOOKUP(CONCATENATE($A65,"_",BD$3),'Unit List'!$A$23:$H$3319,2,FALSE)),"X",$BA65)</f>
        <v/>
      </c>
      <c r="BE65" s="103" t="str">
        <f>IF(ISTEXT(VLOOKUP(CONCATENATE($A65,"_",BE$3),'Unit List'!$A$23:$H$3319,2,FALSE)),"+","")</f>
        <v/>
      </c>
      <c r="BF65" s="124" t="str">
        <f>IF(ISTEXT(VLOOKUP(CONCATENATE($A65,"_",BF$3),'Unit List'!$A$23:$H$3319,2,FALSE)),"X",$BE65)</f>
        <v/>
      </c>
      <c r="BG65" s="124"/>
      <c r="BH65" s="133"/>
      <c r="BI65" s="228"/>
      <c r="BJ65" s="229"/>
      <c r="BK65" s="229"/>
      <c r="BL65" s="229"/>
      <c r="BM65" s="230"/>
      <c r="BN65" s="108"/>
      <c r="BO65" s="108"/>
      <c r="BP65" s="108"/>
      <c r="BQ65" s="108"/>
      <c r="BR65" s="108"/>
      <c r="BS65" s="108"/>
      <c r="DZ65" s="109"/>
      <c r="EA65" s="109"/>
    </row>
    <row r="66" spans="1:131" ht="12.75" customHeight="1" x14ac:dyDescent="0.2">
      <c r="A66" s="182" t="s">
        <v>7</v>
      </c>
      <c r="B66" s="91" t="str">
        <f>IF(ISTEXT(VLOOKUP(CONCATENATE($A66,"_",B$3),'Unit List'!$A$23:$H$3319,2,FALSE)),"+","")</f>
        <v/>
      </c>
      <c r="C66" s="174" t="str">
        <f>IF(ISTEXT(VLOOKUP(CONCATENATE($A66,"_",C$3),'Unit List'!$A$23:$H$3319,2,FALSE)),"X",$B66)</f>
        <v/>
      </c>
      <c r="D66" s="175" t="str">
        <f>IF(ISTEXT(VLOOKUP(CONCATENATE($A66,"_",D$3),'Unit List'!$A$23:$H$3319,2,FALSE)),"X",$B66)</f>
        <v/>
      </c>
      <c r="E66" s="175" t="str">
        <f>IF(ISTEXT(VLOOKUP(CONCATENATE($A66,"_",E$3),'Unit List'!$A$23:$H$3319,2,FALSE)),"X",$B66)</f>
        <v>X</v>
      </c>
      <c r="F66" s="175" t="str">
        <f>IF(ISTEXT(VLOOKUP(CONCATENATE($A66,"_",F$3),'Unit List'!$A$23:$H$3319,2,FALSE)),"X",$B66)</f>
        <v/>
      </c>
      <c r="G66" s="175" t="str">
        <f>IF(ISTEXT(VLOOKUP(CONCATENATE($A66,"_",G$3),'Unit List'!$A$23:$H$3319,2,FALSE)),"X",$B66)</f>
        <v/>
      </c>
      <c r="H66" s="175" t="str">
        <f>IF(ISTEXT(VLOOKUP(CONCATENATE($A66,"_",H$3),'Unit List'!$A$23:$H$3319,2,FALSE)),"X",$B66)</f>
        <v/>
      </c>
      <c r="I66" s="177" t="str">
        <f>IF(ISTEXT(VLOOKUP(CONCATENATE($A66,"_",I$3),'Unit List'!$A$23:$H$3319,2,FALSE)),"X",$B66)</f>
        <v/>
      </c>
      <c r="J66" s="97" t="str">
        <f>IF(ISTEXT(VLOOKUP(CONCATENATE($A66,"_",J$3),'Unit List'!$A$23:$H$3319,2,FALSE)),"+","")</f>
        <v/>
      </c>
      <c r="K66" s="175" t="str">
        <f>IF(ISTEXT(VLOOKUP(CONCATENATE($A66,"_",K$3),'Unit List'!$A$23:$H$3319,2,FALSE)),"X",$J66)</f>
        <v/>
      </c>
      <c r="L66" s="124" t="str">
        <f>IF(ISTEXT(VLOOKUP(CONCATENATE($A66,"_",L$3),'Unit List'!$A$23:$H$3319,2,FALSE)),"X",$J66)</f>
        <v/>
      </c>
      <c r="M66" s="97" t="str">
        <f>IF(ISTEXT(VLOOKUP(CONCATENATE($A66,"_",M$3),'Unit List'!$A$23:$H$3319,2,FALSE)),"+","")</f>
        <v/>
      </c>
      <c r="N66" s="175" t="str">
        <f>IF(ISTEXT(VLOOKUP(CONCATENATE($A66,"_",N$3),'Unit List'!$A$23:$H$3319,2,FALSE)),"X",$M66)</f>
        <v/>
      </c>
      <c r="O66" s="177" t="str">
        <f>IF(ISTEXT(VLOOKUP(CONCATENATE($A66,"_",O$3),'Unit List'!$A$23:$H$3319,2,FALSE)),"X",$M66)</f>
        <v/>
      </c>
      <c r="P66" s="97" t="str">
        <f>IF(ISTEXT(VLOOKUP(CONCATENATE($A66,"_",P$3),'Unit List'!$A$23:$H$3319,2,FALSE)),"+","")</f>
        <v/>
      </c>
      <c r="Q66" s="175" t="str">
        <f>IF(ISTEXT(VLOOKUP(CONCATENATE($A66,"_",Q$3),'Unit List'!$A$23:$H$3319,2,FALSE)),"X",$P66)</f>
        <v/>
      </c>
      <c r="R66" s="175" t="str">
        <f>IF(ISTEXT(VLOOKUP(CONCATENATE($A66,"_",R$3),'Unit List'!$A$23:$H$3319,2,FALSE)),"X",$P66)</f>
        <v/>
      </c>
      <c r="S66" s="175" t="str">
        <f>IF(ISTEXT(VLOOKUP(CONCATENATE($A66,"_",S$3),'Unit List'!$A$23:$H$3319,2,FALSE)),"X",$P66)</f>
        <v/>
      </c>
      <c r="T66" s="176" t="str">
        <f>IF(ISTEXT(VLOOKUP(CONCATENATE($A66,"_",T$3),'Unit List'!$A$23:$H$3319,2,FALSE)),"X",$P66)</f>
        <v/>
      </c>
      <c r="U66" s="175" t="str">
        <f>IF(ISTEXT(VLOOKUP(CONCATENATE($A66,"_",U$3),'Unit List'!$A$23:$H$3319,2,FALSE)),"X",$P66)</f>
        <v/>
      </c>
      <c r="V66" s="175" t="str">
        <f>IF(ISTEXT(VLOOKUP(CONCATENATE($A66,"_",V$3),'Unit List'!$A$23:$H$3319,2,FALSE)),"X",$P66)</f>
        <v/>
      </c>
      <c r="W66" s="177" t="str">
        <f>IF(ISTEXT(VLOOKUP(CONCATENATE($A66,"_",W$3),'Unit List'!$A$23:$H$3319,2,FALSE)),"X",$P66)</f>
        <v/>
      </c>
      <c r="X66" s="97" t="str">
        <f>IF(ISTEXT(VLOOKUP(CONCATENATE($A66,"_",X$3),'Unit List'!$A$23:$H$3319,2,FALSE)),"+","")</f>
        <v>+</v>
      </c>
      <c r="Y66" s="175" t="str">
        <f>IF(ISTEXT(VLOOKUP(CONCATENATE($A66,"_",Y$3),'Unit List'!$A$23:$H$3319,2,FALSE)),"X",$X66)</f>
        <v>+</v>
      </c>
      <c r="Z66" s="175" t="str">
        <f>IF(ISTEXT(VLOOKUP(CONCATENATE($A66,"_",Z$3),'Unit List'!$A$23:$H$3319,2,FALSE)),"X",$X66)</f>
        <v>+</v>
      </c>
      <c r="AA66" s="175" t="str">
        <f>IF(ISTEXT(VLOOKUP(CONCATENATE($A66,"_",AA$3),'Unit List'!$A$23:$H$3319,2,FALSE)),"X",$X66)</f>
        <v>+</v>
      </c>
      <c r="AB66" s="175" t="str">
        <f>IF(ISTEXT(VLOOKUP(CONCATENATE($A66,"_",AB$3),'Unit List'!$A$23:$H$3319,2,FALSE)),"X",$X66)</f>
        <v>+</v>
      </c>
      <c r="AC66" s="124" t="str">
        <f>IF(ISTEXT(VLOOKUP(CONCATENATE($A66,"_",AC$3),'Unit List'!$A$23:$H$3319,2,FALSE)),"X",$X66)</f>
        <v>+</v>
      </c>
      <c r="AD66" s="97" t="s">
        <v>2268</v>
      </c>
      <c r="AE66" s="175" t="str">
        <f>IF(ISTEXT(VLOOKUP(CONCATENATE($A66,"_",AE$3),'Unit List'!$A$23:$H$3319,2,FALSE)),"X",$AD66)</f>
        <v>*</v>
      </c>
      <c r="AF66" s="175" t="str">
        <f>IF(ISTEXT(VLOOKUP(CONCATENATE($A66,"_",AF$3),'Unit List'!$A$23:$H$3319,2,FALSE)),"X",$AD66)</f>
        <v>*</v>
      </c>
      <c r="AG66" s="97" t="str">
        <f>IF(ISTEXT(VLOOKUP(CONCATENATE($A66,"_",AG$3),'Unit List'!$A$23:$H$3319,2,FALSE)),"+","")</f>
        <v>+</v>
      </c>
      <c r="AH66" s="175" t="str">
        <f>IF(ISTEXT(VLOOKUP(CONCATENATE($A66,"_",AH$3),'Unit List'!$A$23:$H$3319,2,FALSE)),"X",$AG66)</f>
        <v>+</v>
      </c>
      <c r="AI66" s="175" t="str">
        <f>IF(ISTEXT(VLOOKUP(CONCATENATE($A66,"_",AI$3),'Unit List'!$A$23:$H$3319,2,FALSE)),"X",$AG66)</f>
        <v>+</v>
      </c>
      <c r="AJ66" s="177" t="str">
        <f>IF(ISTEXT(VLOOKUP(CONCATENATE($A66,"_",AJ$3),'Unit List'!$A$23:$H$3319,2,FALSE)),"X",$AG66)</f>
        <v>+</v>
      </c>
      <c r="AK66" s="97" t="str">
        <f>IF(ISTEXT(VLOOKUP(CONCATENATE($A66,"_",AK$3),'Unit List'!$A$23:$H$3319,2,FALSE)),"+","")</f>
        <v>+</v>
      </c>
      <c r="AL66" s="176" t="str">
        <f>IF(ISTEXT(VLOOKUP(CONCATENATE($A66,"_",AL$3),'Unit List'!$A$23:$H$3319,2,FALSE)),"X",$AK66)</f>
        <v>+</v>
      </c>
      <c r="AM66" s="177" t="str">
        <f>IF(ISTEXT(VLOOKUP(CONCATENATE($A66,"_",AM$3),'Unit List'!$A$23:$H$3319,2,FALSE)),"X",$AK66)</f>
        <v>+</v>
      </c>
      <c r="AN66" s="103" t="str">
        <f>IF(ISTEXT(VLOOKUP(CONCATENATE($A66,"_",AN$3),'Unit List'!$A$23:$H$3319,2,FALSE)),"+","")</f>
        <v>+</v>
      </c>
      <c r="AO66" s="177" t="str">
        <f>IF(ISTEXT(VLOOKUP(CONCATENATE($A66,"_",AO$3),'Unit List'!$A$23:$H$3319,2,FALSE)),"X",$AN66)</f>
        <v>+</v>
      </c>
      <c r="AP66" s="97" t="str">
        <f>IF(ISTEXT(VLOOKUP(CONCATENATE($A66,"_",AP$3),'Unit List'!$A$23:$H$3319,2,FALSE)),"+","")</f>
        <v>+</v>
      </c>
      <c r="AQ66" s="175" t="str">
        <f>IF(ISTEXT(VLOOKUP(CONCATENATE($A66,"_",AQ$3),'Unit List'!$A$23:$H$3319,2,FALSE)),"X",$AP66)</f>
        <v>+</v>
      </c>
      <c r="AR66" s="175" t="str">
        <f>IF(ISTEXT(VLOOKUP(CONCATENATE($A66,"_",AR$3),'Unit List'!$A$23:$H$3319,2,FALSE)),"X",$AP66)</f>
        <v>+</v>
      </c>
      <c r="AS66" s="175" t="str">
        <f>IF(ISTEXT(VLOOKUP(CONCATENATE($A66,"_",AS$3),'Unit List'!$A$23:$H$3319,2,FALSE)),"X",$AP66)</f>
        <v>+</v>
      </c>
      <c r="AT66" s="177" t="str">
        <f>IF(ISTEXT(VLOOKUP(CONCATENATE($A66,"_",AT$3),'Unit List'!$A$23:$H$3319,2,FALSE)),"X",$AP66)</f>
        <v>+</v>
      </c>
      <c r="AU66" s="104" t="str">
        <f>IF(ISTEXT(VLOOKUP(CONCATENATE($A66,"_",AU$3),'Unit List'!$A$23:$H$3319,2,FALSE)),"+","")</f>
        <v>+</v>
      </c>
      <c r="AV66" s="175" t="str">
        <f>IF(ISTEXT(VLOOKUP(CONCATENATE($A66,"_",AV$3),'Unit List'!$A$23:$H$3319,2,FALSE)),"X",$AU66)</f>
        <v>+</v>
      </c>
      <c r="AW66" s="177" t="str">
        <f>IF(ISTEXT(VLOOKUP(CONCATENATE($A66,"_",AW$3),'Unit List'!$A$23:$H$3319,2,FALSE)),"X",$AU66)</f>
        <v>+</v>
      </c>
      <c r="AX66" s="115" t="str">
        <f>IF(ISTEXT(VLOOKUP(CONCATENATE($A66,"_",AX$3),'Unit List'!$A$23:$H$3319,2,FALSE)),"+","")</f>
        <v>+</v>
      </c>
      <c r="AY66" s="175" t="str">
        <f>IF(ISTEXT(VLOOKUP(CONCATENATE($A66,"_",AY$3),'Unit List'!$A$23:$H$3319,2,FALSE)),"X",$AX66)</f>
        <v>+</v>
      </c>
      <c r="AZ66" s="177" t="str">
        <f>IF(ISTEXT(VLOOKUP(CONCATENATE($A66,"_",AZ$3),'Unit List'!$A$23:$H$3319,2,FALSE)),"X",$AX66)</f>
        <v>+</v>
      </c>
      <c r="BA66" s="121" t="str">
        <f>IF(ISTEXT(VLOOKUP(CONCATENATE($A66,"_",BA$3),'Unit List'!$A$23:$H$3319,2,FALSE)),"+","")</f>
        <v>+</v>
      </c>
      <c r="BB66" s="175" t="str">
        <f>IF(ISTEXT(VLOOKUP(CONCATENATE($A66,"_",BB$3),'Unit List'!$A$23:$H$3319,2,FALSE)),"X",$BA66)</f>
        <v>+</v>
      </c>
      <c r="BC66" s="175" t="str">
        <f>IF(ISTEXT(VLOOKUP(CONCATENATE($A66,"_",BC$3),'Unit List'!$A$23:$H$3319,2,FALSE)),"X",$BA66)</f>
        <v>+</v>
      </c>
      <c r="BD66" s="177" t="str">
        <f>IF(ISTEXT(VLOOKUP(CONCATENATE($A66,"_",BD$3),'Unit List'!$A$23:$H$3319,2,FALSE)),"X",$BA66)</f>
        <v>+</v>
      </c>
      <c r="BE66" s="144" t="str">
        <f>IF(ISTEXT(VLOOKUP(CONCATENATE($A66,"_",BE$3),'Unit List'!$A$23:$H$3319,2,FALSE)),"+","")</f>
        <v>+</v>
      </c>
      <c r="BF66" s="124" t="str">
        <f>IF(ISTEXT(VLOOKUP(CONCATENATE($A66,"_",BF$3),'Unit List'!$A$23:$H$3319,2,FALSE)),"X",$BE66)</f>
        <v>+</v>
      </c>
      <c r="BG66" s="124"/>
      <c r="BH66" s="133"/>
      <c r="BI66" s="228"/>
      <c r="BJ66" s="229"/>
      <c r="BK66" s="229"/>
      <c r="BL66" s="229"/>
      <c r="BM66" s="230"/>
      <c r="BN66" s="108"/>
      <c r="BO66" s="108"/>
      <c r="BP66" s="108"/>
      <c r="BQ66" s="108"/>
      <c r="BR66" s="108"/>
      <c r="BS66" s="108"/>
      <c r="DZ66" s="109"/>
      <c r="EA66" s="109"/>
    </row>
    <row r="67" spans="1:131" ht="12.75" customHeight="1" x14ac:dyDescent="0.2">
      <c r="A67" s="184" t="s">
        <v>8</v>
      </c>
      <c r="B67" s="91" t="str">
        <f>IF(ISTEXT(VLOOKUP(CONCATENATE($A67,"_",B$3),'Unit List'!$A$23:$H$3319,2,FALSE)),"+","")</f>
        <v/>
      </c>
      <c r="C67" s="174" t="str">
        <f>IF(ISTEXT(VLOOKUP(CONCATENATE($A67,"_",C$3),'Unit List'!$A$23:$H$3319,2,FALSE)),"X",$B67)</f>
        <v/>
      </c>
      <c r="D67" s="175" t="str">
        <f>IF(ISTEXT(VLOOKUP(CONCATENATE($A67,"_",D$3),'Unit List'!$A$23:$H$3319,2,FALSE)),"X",$B67)</f>
        <v/>
      </c>
      <c r="E67" s="175" t="str">
        <f>IF(ISTEXT(VLOOKUP(CONCATENATE($A67,"_",E$3),'Unit List'!$A$23:$H$3319,2,FALSE)),"X",$B67)</f>
        <v>X</v>
      </c>
      <c r="F67" s="175" t="str">
        <f>IF(ISTEXT(VLOOKUP(CONCATENATE($A67,"_",F$3),'Unit List'!$A$23:$H$3319,2,FALSE)),"X",$B67)</f>
        <v/>
      </c>
      <c r="G67" s="175" t="str">
        <f>IF(ISTEXT(VLOOKUP(CONCATENATE($A67,"_",G$3),'Unit List'!$A$23:$H$3319,2,FALSE)),"X",$B67)</f>
        <v/>
      </c>
      <c r="H67" s="175" t="str">
        <f>IF(ISTEXT(VLOOKUP(CONCATENATE($A67,"_",H$3),'Unit List'!$A$23:$H$3319,2,FALSE)),"X",$B67)</f>
        <v/>
      </c>
      <c r="I67" s="177" t="str">
        <f>IF(ISTEXT(VLOOKUP(CONCATENATE($A67,"_",I$3),'Unit List'!$A$23:$H$3319,2,FALSE)),"X",$B67)</f>
        <v/>
      </c>
      <c r="J67" s="97" t="str">
        <f>IF(ISTEXT(VLOOKUP(CONCATENATE($A67,"_",J$3),'Unit List'!$A$23:$H$3319,2,FALSE)),"+","")</f>
        <v/>
      </c>
      <c r="K67" s="175" t="str">
        <f>IF(ISTEXT(VLOOKUP(CONCATENATE($A67,"_",K$3),'Unit List'!$A$23:$H$3319,2,FALSE)),"X",$J67)</f>
        <v/>
      </c>
      <c r="L67" s="124" t="str">
        <f>IF(ISTEXT(VLOOKUP(CONCATENATE($A67,"_",L$3),'Unit List'!$A$23:$H$3319,2,FALSE)),"X",$J67)</f>
        <v/>
      </c>
      <c r="M67" s="97" t="str">
        <f>IF(ISTEXT(VLOOKUP(CONCATENATE($A67,"_",M$3),'Unit List'!$A$23:$H$3319,2,FALSE)),"+","")</f>
        <v/>
      </c>
      <c r="N67" s="175" t="str">
        <f>IF(ISTEXT(VLOOKUP(CONCATENATE($A67,"_",N$3),'Unit List'!$A$23:$H$3319,2,FALSE)),"X",$M67)</f>
        <v/>
      </c>
      <c r="O67" s="177" t="str">
        <f>IF(ISTEXT(VLOOKUP(CONCATENATE($A67,"_",O$3),'Unit List'!$A$23:$H$3319,2,FALSE)),"X",$M67)</f>
        <v/>
      </c>
      <c r="P67" s="97" t="str">
        <f>IF(ISTEXT(VLOOKUP(CONCATENATE($A67,"_",P$3),'Unit List'!$A$23:$H$3319,2,FALSE)),"+","")</f>
        <v/>
      </c>
      <c r="Q67" s="175" t="str">
        <f>IF(ISTEXT(VLOOKUP(CONCATENATE($A67,"_",Q$3),'Unit List'!$A$23:$H$3319,2,FALSE)),"X",$P67)</f>
        <v/>
      </c>
      <c r="R67" s="175" t="str">
        <f>IF(ISTEXT(VLOOKUP(CONCATENATE($A67,"_",R$3),'Unit List'!$A$23:$H$3319,2,FALSE)),"X",$P67)</f>
        <v/>
      </c>
      <c r="S67" s="175" t="str">
        <f>IF(ISTEXT(VLOOKUP(CONCATENATE($A67,"_",S$3),'Unit List'!$A$23:$H$3319,2,FALSE)),"X",$P67)</f>
        <v/>
      </c>
      <c r="T67" s="176" t="str">
        <f>IF(ISTEXT(VLOOKUP(CONCATENATE($A67,"_",T$3),'Unit List'!$A$23:$H$3319,2,FALSE)),"X",$P67)</f>
        <v/>
      </c>
      <c r="U67" s="175" t="str">
        <f>IF(ISTEXT(VLOOKUP(CONCATENATE($A67,"_",U$3),'Unit List'!$A$23:$H$3319,2,FALSE)),"X",$P67)</f>
        <v/>
      </c>
      <c r="V67" s="175" t="str">
        <f>IF(ISTEXT(VLOOKUP(CONCATENATE($A67,"_",V$3),'Unit List'!$A$23:$H$3319,2,FALSE)),"X",$P67)</f>
        <v/>
      </c>
      <c r="W67" s="177" t="str">
        <f>IF(ISTEXT(VLOOKUP(CONCATENATE($A67,"_",W$3),'Unit List'!$A$23:$H$3319,2,FALSE)),"X",$P67)</f>
        <v/>
      </c>
      <c r="X67" s="97" t="str">
        <f>IF(ISTEXT(VLOOKUP(CONCATENATE($A67,"_",X$3),'Unit List'!$A$23:$H$3319,2,FALSE)),"+","")</f>
        <v>+</v>
      </c>
      <c r="Y67" s="175" t="str">
        <f>IF(ISTEXT(VLOOKUP(CONCATENATE($A67,"_",Y$3),'Unit List'!$A$23:$H$3319,2,FALSE)),"X",$X67)</f>
        <v>+</v>
      </c>
      <c r="Z67" s="175" t="str">
        <f>IF(ISTEXT(VLOOKUP(CONCATENATE($A67,"_",Z$3),'Unit List'!$A$23:$H$3319,2,FALSE)),"X",$X67)</f>
        <v>+</v>
      </c>
      <c r="AA67" s="175" t="str">
        <f>IF(ISTEXT(VLOOKUP(CONCATENATE($A67,"_",AA$3),'Unit List'!$A$23:$H$3319,2,FALSE)),"X",$X67)</f>
        <v>+</v>
      </c>
      <c r="AB67" s="175" t="str">
        <f>IF(ISTEXT(VLOOKUP(CONCATENATE($A67,"_",AB$3),'Unit List'!$A$23:$H$3319,2,FALSE)),"X",$X67)</f>
        <v>+</v>
      </c>
      <c r="AC67" s="124" t="str">
        <f>IF(ISTEXT(VLOOKUP(CONCATENATE($A67,"_",AC$3),'Unit List'!$A$23:$H$3319,2,FALSE)),"X",$X67)</f>
        <v>+</v>
      </c>
      <c r="AD67" s="97" t="str">
        <f>IF(ISTEXT(VLOOKUP(CONCATENATE($A67,"_",AD$3),'Unit List'!$A$23:$H$3319,2,FALSE)),"+","")</f>
        <v>+</v>
      </c>
      <c r="AE67" s="175" t="str">
        <f>IF(ISTEXT(VLOOKUP(CONCATENATE($A67,"_",AE$3),'Unit List'!$A$23:$H$3319,2,FALSE)),"X",$AD67)</f>
        <v>+</v>
      </c>
      <c r="AF67" s="175" t="str">
        <f>IF(ISTEXT(VLOOKUP(CONCATENATE($A67,"_",AF$3),'Unit List'!$A$23:$H$3319,2,FALSE)),"X",$AD67)</f>
        <v>+</v>
      </c>
      <c r="AG67" s="97" t="str">
        <f>IF(ISTEXT(VLOOKUP(CONCATENATE($A67,"_",AG$3),'Unit List'!$A$23:$H$3319,2,FALSE)),"+","")</f>
        <v>+</v>
      </c>
      <c r="AH67" s="175" t="str">
        <f>IF(ISTEXT(VLOOKUP(CONCATENATE($A67,"_",AH$3),'Unit List'!$A$23:$H$3319,2,FALSE)),"X",$AG67)</f>
        <v>+</v>
      </c>
      <c r="AI67" s="175" t="str">
        <f>IF(ISTEXT(VLOOKUP(CONCATENATE($A67,"_",AI$3),'Unit List'!$A$23:$H$3319,2,FALSE)),"X",$AG67)</f>
        <v>+</v>
      </c>
      <c r="AJ67" s="177" t="str">
        <f>IF(ISTEXT(VLOOKUP(CONCATENATE($A67,"_",AJ$3),'Unit List'!$A$23:$H$3319,2,FALSE)),"X",$AG67)</f>
        <v>+</v>
      </c>
      <c r="AK67" s="97" t="str">
        <f>IF(ISTEXT(VLOOKUP(CONCATENATE($A67,"_",AK$3),'Unit List'!$A$23:$H$3319,2,FALSE)),"+","")</f>
        <v>+</v>
      </c>
      <c r="AL67" s="185" t="str">
        <f>IF(ISTEXT(VLOOKUP(CONCATENATE($A67,"_",AL$3),'Unit List'!$A$23:$H$3319,2,FALSE)),"X",$AK67)</f>
        <v>+</v>
      </c>
      <c r="AM67" s="177" t="str">
        <f>IF(ISTEXT(VLOOKUP(CONCATENATE($A67,"_",AM$3),'Unit List'!$A$23:$H$3319,2,FALSE)),"X",$AK67)</f>
        <v>+</v>
      </c>
      <c r="AN67" s="103" t="str">
        <f>IF(ISTEXT(VLOOKUP(CONCATENATE($A67,"_",AN$3),'Unit List'!$A$23:$H$3319,2,FALSE)),"+","")</f>
        <v>+</v>
      </c>
      <c r="AO67" s="186" t="str">
        <f>IF(ISTEXT(VLOOKUP(CONCATENATE($A67,"_",AO$3),'Unit List'!$A$23:$H$3319,2,FALSE)),"X",$AN67)</f>
        <v>+</v>
      </c>
      <c r="AP67" s="115" t="str">
        <f>IF(ISTEXT(VLOOKUP(CONCATENATE($A67,"_",AP$3),'Unit List'!$A$23:$H$3319,2,FALSE)),"+","")</f>
        <v>+</v>
      </c>
      <c r="AQ67" s="187" t="str">
        <f>IF(ISTEXT(VLOOKUP(CONCATENATE($A67,"_",AQ$3),'Unit List'!$A$23:$H$3319,2,FALSE)),"X",$AP67)</f>
        <v>+</v>
      </c>
      <c r="AR67" s="187" t="str">
        <f>IF(ISTEXT(VLOOKUP(CONCATENATE($A67,"_",AR$3),'Unit List'!$A$23:$H$3319,2,FALSE)),"X",$AP67)</f>
        <v>+</v>
      </c>
      <c r="AS67" s="187" t="str">
        <f>IF(ISTEXT(VLOOKUP(CONCATENATE($A67,"_",AS$3),'Unit List'!$A$23:$H$3319,2,FALSE)),"X",$AP67)</f>
        <v>+</v>
      </c>
      <c r="AT67" s="186" t="str">
        <f>IF(ISTEXT(VLOOKUP(CONCATENATE($A67,"_",AT$3),'Unit List'!$A$23:$H$3319,2,FALSE)),"X",$AP67)</f>
        <v>+</v>
      </c>
      <c r="AU67" s="120" t="str">
        <f>IF(ISTEXT(VLOOKUP(CONCATENATE($A67,"_",AU$3),'Unit List'!$A$23:$H$3319,2,FALSE)),"+","")</f>
        <v>+</v>
      </c>
      <c r="AV67" s="187" t="str">
        <f>IF(ISTEXT(VLOOKUP(CONCATENATE($A67,"_",AV$3),'Unit List'!$A$23:$H$3319,2,FALSE)),"X",$AU67)</f>
        <v>+</v>
      </c>
      <c r="AW67" s="186" t="str">
        <f>IF(ISTEXT(VLOOKUP(CONCATENATE($A67,"_",AW$3),'Unit List'!$A$23:$H$3319,2,FALSE)),"X",$AU67)</f>
        <v>+</v>
      </c>
      <c r="AX67" s="115" t="str">
        <f>IF(ISTEXT(VLOOKUP(CONCATENATE($A67,"_",AX$3),'Unit List'!$A$23:$H$3319,2,FALSE)),"+","")</f>
        <v>+</v>
      </c>
      <c r="AY67" s="175" t="str">
        <f>IF(ISTEXT(VLOOKUP(CONCATENATE($A67,"_",AY$3),'Unit List'!$A$23:$H$3319,2,FALSE)),"X",$AX67)</f>
        <v>+</v>
      </c>
      <c r="AZ67" s="177" t="str">
        <f>IF(ISTEXT(VLOOKUP(CONCATENATE($A67,"_",AZ$3),'Unit List'!$A$23:$H$3319,2,FALSE)),"X",$AX67)</f>
        <v>+</v>
      </c>
      <c r="BA67" s="121" t="str">
        <f>IF(ISTEXT(VLOOKUP(CONCATENATE($A67,"_",BA$3),'Unit List'!$A$23:$H$3319,2,FALSE)),"+","")</f>
        <v>+</v>
      </c>
      <c r="BB67" s="175" t="str">
        <f>IF(ISTEXT(VLOOKUP(CONCATENATE($A67,"_",BB$3),'Unit List'!$A$23:$H$3319,2,FALSE)),"X",$BA67)</f>
        <v>+</v>
      </c>
      <c r="BC67" s="175" t="str">
        <f>IF(ISTEXT(VLOOKUP(CONCATENATE($A67,"_",BC$3),'Unit List'!$A$23:$H$3319,2,FALSE)),"X",$BA67)</f>
        <v>+</v>
      </c>
      <c r="BD67" s="177" t="str">
        <f>IF(ISTEXT(VLOOKUP(CONCATENATE($A67,"_",BD$3),'Unit List'!$A$23:$H$3319,2,FALSE)),"X",$BA67)</f>
        <v>+</v>
      </c>
      <c r="BE67" s="144" t="str">
        <f>IF(ISTEXT(VLOOKUP(CONCATENATE($A67,"_",BE$3),'Unit List'!$A$23:$H$3319,2,FALSE)),"+","")</f>
        <v>+</v>
      </c>
      <c r="BF67" s="124" t="str">
        <f>IF(ISTEXT(VLOOKUP(CONCATENATE($A67,"_",BF$3),'Unit List'!$A$23:$H$3319,2,FALSE)),"X",$BE67)</f>
        <v>+</v>
      </c>
      <c r="BG67" s="124"/>
      <c r="BH67" s="133"/>
      <c r="BI67" s="228"/>
      <c r="BJ67" s="229"/>
      <c r="BK67" s="229"/>
      <c r="BL67" s="229"/>
      <c r="BM67" s="230"/>
      <c r="BN67" s="108"/>
      <c r="BO67" s="108"/>
      <c r="BP67" s="108"/>
      <c r="BQ67" s="108"/>
      <c r="BR67" s="108"/>
      <c r="BS67" s="108"/>
      <c r="DZ67" s="109"/>
      <c r="EA67" s="109"/>
    </row>
    <row r="68" spans="1:131" ht="12.75" customHeight="1" x14ac:dyDescent="0.2">
      <c r="A68" s="184" t="s">
        <v>1153</v>
      </c>
      <c r="B68" s="188" t="str">
        <f>IF(ISTEXT(VLOOKUP(CONCATENATE($A68,"_",B$3),'Unit List'!$A$23:$H$3319,2,FALSE)),"+","")</f>
        <v/>
      </c>
      <c r="C68" s="189" t="str">
        <f>IF(ISTEXT(VLOOKUP(CONCATENATE($A68,"_",C$3),'Unit List'!$A$23:$H$3319,2,FALSE)),"X",$B68)</f>
        <v/>
      </c>
      <c r="D68" s="187" t="str">
        <f>IF(ISTEXT(VLOOKUP(CONCATENATE($A68,"_",D$3),'Unit List'!$A$23:$H$3319,2,FALSE)),"X",$B68)</f>
        <v/>
      </c>
      <c r="E68" s="187" t="str">
        <f>IF(ISTEXT(VLOOKUP(CONCATENATE($A68,"_",E$3),'Unit List'!$A$23:$H$3319,2,FALSE)),"X",$B68)</f>
        <v/>
      </c>
      <c r="F68" s="187" t="str">
        <f>IF(ISTEXT(VLOOKUP(CONCATENATE($A68,"_",F$3),'Unit List'!$A$23:$H$3319,2,FALSE)),"X",$B68)</f>
        <v/>
      </c>
      <c r="G68" s="187" t="str">
        <f>IF(ISTEXT(VLOOKUP(CONCATENATE($A68,"_",G$3),'Unit List'!$A$23:$H$3319,2,FALSE)),"X",$B68)</f>
        <v/>
      </c>
      <c r="H68" s="187" t="str">
        <f>IF(ISTEXT(VLOOKUP(CONCATENATE($A68,"_",H$3),'Unit List'!$A$23:$H$3319,2,FALSE)),"X",$B68)</f>
        <v/>
      </c>
      <c r="I68" s="186" t="str">
        <f>IF(ISTEXT(VLOOKUP(CONCATENATE($A68,"_",I$3),'Unit List'!$A$23:$H$3319,2,FALSE)),"X",$B68)</f>
        <v/>
      </c>
      <c r="J68" s="115" t="str">
        <f>IF(ISTEXT(VLOOKUP(CONCATENATE($A68,"_",J$3),'Unit List'!$A$23:$H$3319,2,FALSE)),"+","")</f>
        <v/>
      </c>
      <c r="K68" s="187" t="str">
        <f>IF(ISTEXT(VLOOKUP(CONCATENATE($A68,"_",K$3),'Unit List'!$A$23:$H$3319,2,FALSE)),"X",$J68)</f>
        <v/>
      </c>
      <c r="L68" s="145" t="str">
        <f>IF(ISTEXT(VLOOKUP(CONCATENATE($A68,"_",L$3),'Unit List'!$A$23:$H$3319,2,FALSE)),"X",$J68)</f>
        <v/>
      </c>
      <c r="M68" s="115" t="str">
        <f>IF(ISTEXT(VLOOKUP(CONCATENATE($A68,"_",M$3),'Unit List'!$A$23:$H$3319,2,FALSE)),"+","")</f>
        <v/>
      </c>
      <c r="N68" s="187" t="str">
        <f>IF(ISTEXT(VLOOKUP(CONCATENATE($A68,"_",N$3),'Unit List'!$A$23:$H$3319,2,FALSE)),"X",$M68)</f>
        <v/>
      </c>
      <c r="O68" s="186" t="str">
        <f>IF(ISTEXT(VLOOKUP(CONCATENATE($A68,"_",O$3),'Unit List'!$A$23:$H$3319,2,FALSE)),"X",$M68)</f>
        <v/>
      </c>
      <c r="P68" s="115" t="str">
        <f>IF(ISTEXT(VLOOKUP(CONCATENATE($A68,"_",P$3),'Unit List'!$A$23:$H$3319,2,FALSE)),"+","")</f>
        <v/>
      </c>
      <c r="Q68" s="187" t="str">
        <f>IF(ISTEXT(VLOOKUP(CONCATENATE($A68,"_",Q$3),'Unit List'!$A$23:$H$3319,2,FALSE)),"X",$P68)</f>
        <v/>
      </c>
      <c r="R68" s="187" t="str">
        <f>IF(ISTEXT(VLOOKUP(CONCATENATE($A68,"_",R$3),'Unit List'!$A$23:$H$3319,2,FALSE)),"X",$P68)</f>
        <v/>
      </c>
      <c r="S68" s="187" t="str">
        <f>IF(ISTEXT(VLOOKUP(CONCATENATE($A68,"_",S$3),'Unit List'!$A$23:$H$3319,2,FALSE)),"X",$P68)</f>
        <v/>
      </c>
      <c r="T68" s="185" t="str">
        <f>IF(ISTEXT(VLOOKUP(CONCATENATE($A68,"_",T$3),'Unit List'!$A$23:$H$3319,2,FALSE)),"X",$P68)</f>
        <v/>
      </c>
      <c r="U68" s="187" t="str">
        <f>IF(ISTEXT(VLOOKUP(CONCATENATE($A68,"_",U$3),'Unit List'!$A$23:$H$3319,2,FALSE)),"X",$P68)</f>
        <v/>
      </c>
      <c r="V68" s="187" t="str">
        <f>IF(ISTEXT(VLOOKUP(CONCATENATE($A68,"_",V$3),'Unit List'!$A$23:$H$3319,2,FALSE)),"X",$P68)</f>
        <v/>
      </c>
      <c r="W68" s="186" t="str">
        <f>IF(ISTEXT(VLOOKUP(CONCATENATE($A68,"_",W$3),'Unit List'!$A$23:$H$3319,2,FALSE)),"X",$P68)</f>
        <v/>
      </c>
      <c r="X68" s="115" t="str">
        <f>IF(ISTEXT(VLOOKUP(CONCATENATE($A68,"_",X$3),'Unit List'!$A$23:$H$3319,2,FALSE)),"+","")</f>
        <v>+</v>
      </c>
      <c r="Y68" s="187" t="str">
        <f>IF(ISTEXT(VLOOKUP(CONCATENATE($A68,"_",Y$3),'Unit List'!$A$23:$H$3319,2,FALSE)),"X",$X68)</f>
        <v>+</v>
      </c>
      <c r="Z68" s="187" t="str">
        <f>IF(ISTEXT(VLOOKUP(CONCATENATE($A68,"_",Z$3),'Unit List'!$A$23:$H$3319,2,FALSE)),"X",$X68)</f>
        <v>+</v>
      </c>
      <c r="AA68" s="187" t="str">
        <f>IF(ISTEXT(VLOOKUP(CONCATENATE($A68,"_",AA$3),'Unit List'!$A$23:$H$3319,2,FALSE)),"X",$X68)</f>
        <v>+</v>
      </c>
      <c r="AB68" s="187" t="str">
        <f>IF(ISTEXT(VLOOKUP(CONCATENATE($A68,"_",AB$3),'Unit List'!$A$23:$H$3319,2,FALSE)),"X",$X68)</f>
        <v>+</v>
      </c>
      <c r="AC68" s="145" t="str">
        <f>IF(ISTEXT(VLOOKUP(CONCATENATE($A68,"_",AC$3),'Unit List'!$A$23:$H$3319,2,FALSE)),"X",$X68)</f>
        <v>+</v>
      </c>
      <c r="AD68" s="115" t="str">
        <f>IF(ISTEXT(VLOOKUP(CONCATENATE($A68,"_",AD$3),'Unit List'!$A$23:$H$3319,2,FALSE)),"+","")</f>
        <v>+</v>
      </c>
      <c r="AE68" s="175" t="str">
        <f>IF(ISTEXT(VLOOKUP(CONCATENATE($A68,"_",AE$3),'Unit List'!$A$23:$H$3319,2,FALSE)),"X",$AD68)</f>
        <v>+</v>
      </c>
      <c r="AF68" s="175" t="str">
        <f>IF(ISTEXT(VLOOKUP(CONCATENATE($A68,"_",AF$3),'Unit List'!$A$23:$H$3319,2,FALSE)),"X",$AD68)</f>
        <v>+</v>
      </c>
      <c r="AG68" s="115" t="str">
        <f>IF(ISTEXT(VLOOKUP(CONCATENATE($A68,"_",AG$3),'Unit List'!$A$23:$H$3319,2,FALSE)),"+","")</f>
        <v/>
      </c>
      <c r="AH68" s="187" t="str">
        <f>IF(ISTEXT(VLOOKUP(CONCATENATE($A68,"_",AH$3),'Unit List'!$A$23:$H$3319,2,FALSE)),"X",$AG68)</f>
        <v/>
      </c>
      <c r="AI68" s="187" t="str">
        <f>IF(ISTEXT(VLOOKUP(CONCATENATE($A68,"_",AI$3),'Unit List'!$A$23:$H$3319,2,FALSE)),"X",$AG68)</f>
        <v/>
      </c>
      <c r="AJ68" s="186" t="str">
        <f>IF(ISTEXT(VLOOKUP(CONCATENATE($A68,"_",AJ$3),'Unit List'!$A$23:$H$3319,2,FALSE)),"X",$AG68)</f>
        <v/>
      </c>
      <c r="AK68" s="115" t="str">
        <f>IF(ISTEXT(VLOOKUP(CONCATENATE($A68,"_",AK$3),'Unit List'!$A$23:$H$3319,2,FALSE)),"+","")</f>
        <v>+</v>
      </c>
      <c r="AL68" s="185" t="str">
        <f>IF(ISTEXT(VLOOKUP(CONCATENATE($A68,"_",AL$3),'Unit List'!$A$23:$H$3319,2,FALSE)),"X",$AK68)</f>
        <v>+</v>
      </c>
      <c r="AM68" s="186" t="str">
        <f>IF(ISTEXT(VLOOKUP(CONCATENATE($A68,"_",AM$3),'Unit List'!$A$23:$H$3319,2,FALSE)),"X",$AK68)</f>
        <v>+</v>
      </c>
      <c r="AN68" s="144" t="str">
        <f>IF(ISTEXT(VLOOKUP(CONCATENATE($A68,"_",AN$3),'Unit List'!$A$23:$H$3319,2,FALSE)),"+","")</f>
        <v>+</v>
      </c>
      <c r="AO68" s="186" t="str">
        <f>IF(ISTEXT(VLOOKUP(CONCATENATE($A68,"_",AO$3),'Unit List'!$A$23:$H$3319,2,FALSE)),"X",$AN68)</f>
        <v>+</v>
      </c>
      <c r="AP68" s="115" t="str">
        <f>IF(ISTEXT(VLOOKUP(CONCATENATE($A68,"_",AP$3),'Unit List'!$A$23:$H$3319,2,FALSE)),"+","")</f>
        <v/>
      </c>
      <c r="AQ68" s="187" t="str">
        <f>IF(ISTEXT(VLOOKUP(CONCATENATE($A68,"_",AQ$3),'Unit List'!$A$23:$H$3319,2,FALSE)),"X",$AP68)</f>
        <v/>
      </c>
      <c r="AR68" s="187" t="str">
        <f>IF(ISTEXT(VLOOKUP(CONCATENATE($A68,"_",AR$3),'Unit List'!$A$23:$H$3319,2,FALSE)),"X",$AP68)</f>
        <v/>
      </c>
      <c r="AS68" s="187" t="str">
        <f>IF(ISTEXT(VLOOKUP(CONCATENATE($A68,"_",AS$3),'Unit List'!$A$23:$H$3319,2,FALSE)),"X",$AP68)</f>
        <v/>
      </c>
      <c r="AT68" s="186" t="str">
        <f>IF(ISTEXT(VLOOKUP(CONCATENATE($A68,"_",AT$3),'Unit List'!$A$23:$H$3319,2,FALSE)),"X",$AP68)</f>
        <v/>
      </c>
      <c r="AU68" s="120" t="str">
        <f>IF(ISTEXT(VLOOKUP(CONCATENATE($A68,"_",AU$3),'Unit List'!$A$23:$H$3319,2,FALSE)),"+","")</f>
        <v>+</v>
      </c>
      <c r="AV68" s="187" t="str">
        <f>IF(ISTEXT(VLOOKUP(CONCATENATE($A68,"_",AV$3),'Unit List'!$A$23:$H$3319,2,FALSE)),"X",$AU68)</f>
        <v>+</v>
      </c>
      <c r="AW68" s="186" t="str">
        <f>IF(ISTEXT(VLOOKUP(CONCATENATE($A68,"_",AW$3),'Unit List'!$A$23:$H$3319,2,FALSE)),"X",$AU68)</f>
        <v>+</v>
      </c>
      <c r="AX68" s="115" t="str">
        <f>IF(ISTEXT(VLOOKUP(CONCATENATE($A68,"_",AX$3),'Unit List'!$A$23:$H$3319,2,FALSE)),"+","")</f>
        <v/>
      </c>
      <c r="AY68" s="187" t="str">
        <f>IF(ISTEXT(VLOOKUP(CONCATENATE($A68,"_",AY$3),'Unit List'!$A$23:$H$3319,2,FALSE)),"X",$AX68)</f>
        <v/>
      </c>
      <c r="AZ68" s="186" t="str">
        <f>IF(ISTEXT(VLOOKUP(CONCATENATE($A68,"_",AZ$3),'Unit List'!$A$23:$H$3319,2,FALSE)),"X",$AX68)</f>
        <v/>
      </c>
      <c r="BA68" s="115" t="str">
        <f>IF(ISTEXT(VLOOKUP(CONCATENATE($A68,"_",BA$3),'Unit List'!$A$23:$H$3319,2,FALSE)),"+","")</f>
        <v>+</v>
      </c>
      <c r="BB68" s="187" t="str">
        <f>IF(ISTEXT(VLOOKUP(CONCATENATE($A68,"_",BB$3),'Unit List'!$A$23:$H$3319,2,FALSE)),"X",$BA68)</f>
        <v>+</v>
      </c>
      <c r="BC68" s="187" t="str">
        <f>IF(ISTEXT(VLOOKUP(CONCATENATE($A68,"_",BC$3),'Unit List'!$A$23:$H$3319,2,FALSE)),"X",$BA68)</f>
        <v>+</v>
      </c>
      <c r="BD68" s="186" t="str">
        <f>IF(ISTEXT(VLOOKUP(CONCATENATE($A68,"_",BD$3),'Unit List'!$A$23:$H$3319,2,FALSE)),"X",$BA68)</f>
        <v>+</v>
      </c>
      <c r="BE68" s="144" t="str">
        <f>IF(ISTEXT(VLOOKUP(CONCATENATE($A68,"_",BE$3),'Unit List'!$A$23:$H$3319,2,FALSE)),"+","")</f>
        <v>+</v>
      </c>
      <c r="BF68" s="145" t="str">
        <f>IF(ISTEXT(VLOOKUP(CONCATENATE($A68,"_",BF$3),'Unit List'!$A$23:$H$3319,2,FALSE)),"X",$BE68)</f>
        <v>+</v>
      </c>
      <c r="BG68" s="147"/>
      <c r="BH68" s="148" t="s">
        <v>0</v>
      </c>
      <c r="BI68" s="228" t="s">
        <v>1162</v>
      </c>
      <c r="BJ68" s="231"/>
      <c r="BK68" s="231"/>
      <c r="BL68" s="231"/>
      <c r="BM68" s="232"/>
      <c r="BN68" s="108"/>
      <c r="BO68" s="108"/>
      <c r="BP68" s="108"/>
      <c r="BQ68" s="108"/>
      <c r="BR68" s="108"/>
      <c r="BS68" s="108"/>
      <c r="DZ68" s="109"/>
      <c r="EA68" s="109"/>
    </row>
    <row r="69" spans="1:131" ht="12.75" customHeight="1" x14ac:dyDescent="0.2">
      <c r="A69" s="184" t="s">
        <v>1114</v>
      </c>
      <c r="B69" s="91" t="str">
        <f>IF(ISTEXT(VLOOKUP(CONCATENATE($A69,"_",B$3),'Unit List'!$A$23:$H$3319,2,FALSE)),"+","")</f>
        <v/>
      </c>
      <c r="C69" s="174" t="str">
        <f>IF(ISTEXT(VLOOKUP(CONCATENATE($A69,"_",C$3),'Unit List'!$A$23:$H$3319,2,FALSE)),"X",$B69)</f>
        <v/>
      </c>
      <c r="D69" s="175" t="str">
        <f>IF(ISTEXT(VLOOKUP(CONCATENATE($A69,"_",D$3),'Unit List'!$A$23:$H$3319,2,FALSE)),"X",$B69)</f>
        <v/>
      </c>
      <c r="E69" s="175" t="str">
        <f>IF(ISTEXT(VLOOKUP(CONCATENATE($A69,"_",E$3),'Unit List'!$A$23:$H$3319,2,FALSE)),"X",$B69)</f>
        <v/>
      </c>
      <c r="F69" s="175" t="str">
        <f>IF(ISTEXT(VLOOKUP(CONCATENATE($A69,"_",F$3),'Unit List'!$A$23:$H$3319,2,FALSE)),"X",$B69)</f>
        <v/>
      </c>
      <c r="G69" s="175" t="str">
        <f>IF(ISTEXT(VLOOKUP(CONCATENATE($A69,"_",G$3),'Unit List'!$A$23:$H$3319,2,FALSE)),"X",$B69)</f>
        <v/>
      </c>
      <c r="H69" s="175" t="str">
        <f>IF(ISTEXT(VLOOKUP(CONCATENATE($A69,"_",H$3),'Unit List'!$A$23:$H$3319,2,FALSE)),"X",$B69)</f>
        <v/>
      </c>
      <c r="I69" s="177" t="str">
        <f>IF(ISTEXT(VLOOKUP(CONCATENATE($A69,"_",I$3),'Unit List'!$A$23:$H$3319,2,FALSE)),"X",$B69)</f>
        <v/>
      </c>
      <c r="J69" s="97" t="str">
        <f>IF(ISTEXT(VLOOKUP(CONCATENATE($A69,"_",J$3),'Unit List'!$A$23:$H$3319,2,FALSE)),"+","")</f>
        <v/>
      </c>
      <c r="K69" s="175" t="str">
        <f>IF(ISTEXT(VLOOKUP(CONCATENATE($A69,"_",K$3),'Unit List'!$A$23:$H$3319,2,FALSE)),"X",$J69)</f>
        <v/>
      </c>
      <c r="L69" s="124" t="str">
        <f>IF(ISTEXT(VLOOKUP(CONCATENATE($A69,"_",L$3),'Unit List'!$A$23:$H$3319,2,FALSE)),"X",$J69)</f>
        <v/>
      </c>
      <c r="M69" s="97" t="str">
        <f>IF(ISTEXT(VLOOKUP(CONCATENATE($A69,"_",M$3),'Unit List'!$A$23:$H$3319,2,FALSE)),"+","")</f>
        <v/>
      </c>
      <c r="N69" s="175" t="str">
        <f>IF(ISTEXT(VLOOKUP(CONCATENATE($A69,"_",N$3),'Unit List'!$A$23:$H$3319,2,FALSE)),"X",$M69)</f>
        <v/>
      </c>
      <c r="O69" s="177" t="str">
        <f>IF(ISTEXT(VLOOKUP(CONCATENATE($A69,"_",O$3),'Unit List'!$A$23:$H$3319,2,FALSE)),"X",$M69)</f>
        <v/>
      </c>
      <c r="P69" s="97" t="str">
        <f>IF(ISTEXT(VLOOKUP(CONCATENATE($A69,"_",P$3),'Unit List'!$A$23:$H$3319,2,FALSE)),"+","")</f>
        <v/>
      </c>
      <c r="Q69" s="175" t="str">
        <f>IF(ISTEXT(VLOOKUP(CONCATENATE($A69,"_",Q$3),'Unit List'!$A$23:$H$3319,2,FALSE)),"X",$P69)</f>
        <v/>
      </c>
      <c r="R69" s="175" t="str">
        <f>IF(ISTEXT(VLOOKUP(CONCATENATE($A69,"_",R$3),'Unit List'!$A$23:$H$3319,2,FALSE)),"X",$P69)</f>
        <v/>
      </c>
      <c r="S69" s="175" t="str">
        <f>IF(ISTEXT(VLOOKUP(CONCATENATE($A69,"_",S$3),'Unit List'!$A$23:$H$3319,2,FALSE)),"X",$P69)</f>
        <v/>
      </c>
      <c r="T69" s="176" t="str">
        <f>IF(ISTEXT(VLOOKUP(CONCATENATE($A69,"_",T$3),'Unit List'!$A$23:$H$3319,2,FALSE)),"X",$P69)</f>
        <v/>
      </c>
      <c r="U69" s="175" t="str">
        <f>IF(ISTEXT(VLOOKUP(CONCATENATE($A69,"_",U$3),'Unit List'!$A$23:$H$3319,2,FALSE)),"X",$P69)</f>
        <v/>
      </c>
      <c r="V69" s="175" t="str">
        <f>IF(ISTEXT(VLOOKUP(CONCATENATE($A69,"_",V$3),'Unit List'!$A$23:$H$3319,2,FALSE)),"X",$P69)</f>
        <v/>
      </c>
      <c r="W69" s="177" t="str">
        <f>IF(ISTEXT(VLOOKUP(CONCATENATE($A69,"_",W$3),'Unit List'!$A$23:$H$3319,2,FALSE)),"X",$P69)</f>
        <v/>
      </c>
      <c r="X69" s="97" t="str">
        <f>IF(ISTEXT(VLOOKUP(CONCATENATE($A69,"_",X$3),'Unit List'!$A$23:$H$3319,2,FALSE)),"+","")</f>
        <v/>
      </c>
      <c r="Y69" s="175" t="str">
        <f>IF(ISTEXT(VLOOKUP(CONCATENATE($A69,"_",Y$3),'Unit List'!$A$23:$H$3319,2,FALSE)),"X",$X69)</f>
        <v/>
      </c>
      <c r="Z69" s="175" t="str">
        <f>IF(ISTEXT(VLOOKUP(CONCATENATE($A69,"_",Z$3),'Unit List'!$A$23:$H$3319,2,FALSE)),"X",$X69)</f>
        <v/>
      </c>
      <c r="AA69" s="175" t="str">
        <f>IF(ISTEXT(VLOOKUP(CONCATENATE($A69,"_",AA$3),'Unit List'!$A$23:$H$3319,2,FALSE)),"X",$X69)</f>
        <v/>
      </c>
      <c r="AB69" s="175" t="str">
        <f>IF(ISTEXT(VLOOKUP(CONCATENATE($A69,"_",AB$3),'Unit List'!$A$23:$H$3319,2,FALSE)),"X",$X69)</f>
        <v/>
      </c>
      <c r="AC69" s="124" t="str">
        <f>IF(ISTEXT(VLOOKUP(CONCATENATE($A69,"_",AC$3),'Unit List'!$A$23:$H$3319,2,FALSE)),"X",$X69)</f>
        <v/>
      </c>
      <c r="AD69" s="97" t="str">
        <f>IF(ISTEXT(VLOOKUP(CONCATENATE($A69,"_",AD$3),'Unit List'!$A$23:$H$3319,2,FALSE)),"+","")</f>
        <v/>
      </c>
      <c r="AE69" s="175" t="str">
        <f>IF(ISTEXT(VLOOKUP(CONCATENATE($A69,"_",AE$3),'Unit List'!$A$23:$H$3319,2,FALSE)),"X",$AD69)</f>
        <v/>
      </c>
      <c r="AF69" s="175" t="str">
        <f>IF(ISTEXT(VLOOKUP(CONCATENATE($A69,"_",AF$3),'Unit List'!$A$23:$H$3319,2,FALSE)),"X",$AD69)</f>
        <v/>
      </c>
      <c r="AG69" s="97" t="str">
        <f>IF(ISTEXT(VLOOKUP(CONCATENATE($A69,"_",AG$3),'Unit List'!$A$23:$H$3319,2,FALSE)),"+","")</f>
        <v/>
      </c>
      <c r="AH69" s="175" t="str">
        <f>IF(ISTEXT(VLOOKUP(CONCATENATE($A69,"_",AH$3),'Unit List'!$A$23:$H$3319,2,FALSE)),"X",$AG69)</f>
        <v/>
      </c>
      <c r="AI69" s="175" t="str">
        <f>IF(ISTEXT(VLOOKUP(CONCATENATE($A69,"_",AI$3),'Unit List'!$A$23:$H$3319,2,FALSE)),"X",$AG69)</f>
        <v/>
      </c>
      <c r="AJ69" s="177" t="str">
        <f>IF(ISTEXT(VLOOKUP(CONCATENATE($A69,"_",AJ$3),'Unit List'!$A$23:$H$3319,2,FALSE)),"X",$AG69)</f>
        <v/>
      </c>
      <c r="AK69" s="97" t="str">
        <f>IF(ISTEXT(VLOOKUP(CONCATENATE($A69,"_",AK$3),'Unit List'!$A$23:$H$3319,2,FALSE)),"+","")</f>
        <v/>
      </c>
      <c r="AL69" s="176" t="str">
        <f>IF(ISTEXT(VLOOKUP(CONCATENATE($A69,"_",AL$3),'Unit List'!$A$23:$H$3319,2,FALSE)),"X",$AK69)</f>
        <v/>
      </c>
      <c r="AM69" s="177" t="str">
        <f>IF(ISTEXT(VLOOKUP(CONCATENATE($A69,"_",AM$3),'Unit List'!$A$23:$H$3319,2,FALSE)),"X",$AK69)</f>
        <v/>
      </c>
      <c r="AN69" s="103" t="str">
        <f>IF(ISTEXT(VLOOKUP(CONCATENATE($A69,"_",AN$3),'Unit List'!$A$23:$H$3319,2,FALSE)),"+","")</f>
        <v/>
      </c>
      <c r="AO69" s="177" t="str">
        <f>IF(ISTEXT(VLOOKUP(CONCATENATE($A69,"_",AO$3),'Unit List'!$A$23:$H$3319,2,FALSE)),"X",$AN69)</f>
        <v/>
      </c>
      <c r="AP69" s="97" t="str">
        <f>IF(ISTEXT(VLOOKUP(CONCATENATE($A69,"_",AP$3),'Unit List'!$A$23:$H$3319,2,FALSE)),"+","")</f>
        <v/>
      </c>
      <c r="AQ69" s="175" t="str">
        <f>IF(ISTEXT(VLOOKUP(CONCATENATE($A69,"_",AQ$3),'Unit List'!$A$23:$H$3319,2,FALSE)),"X",$AP69)</f>
        <v/>
      </c>
      <c r="AR69" s="175" t="str">
        <f>IF(ISTEXT(VLOOKUP(CONCATENATE($A69,"_",AR$3),'Unit List'!$A$23:$H$3319,2,FALSE)),"X",$AP69)</f>
        <v/>
      </c>
      <c r="AS69" s="175" t="str">
        <f>IF(ISTEXT(VLOOKUP(CONCATENATE($A69,"_",AS$3),'Unit List'!$A$23:$H$3319,2,FALSE)),"X",$AP69)</f>
        <v/>
      </c>
      <c r="AT69" s="177" t="str">
        <f>IF(ISTEXT(VLOOKUP(CONCATENATE($A69,"_",AT$3),'Unit List'!$A$23:$H$3319,2,FALSE)),"X",$AP69)</f>
        <v/>
      </c>
      <c r="AU69" s="104" t="str">
        <f>IF(ISTEXT(VLOOKUP(CONCATENATE($A69,"_",AU$3),'Unit List'!$A$23:$H$3319,2,FALSE)),"+","")</f>
        <v/>
      </c>
      <c r="AV69" s="175" t="str">
        <f>IF(ISTEXT(VLOOKUP(CONCATENATE($A69,"_",AV$3),'Unit List'!$A$23:$H$3319,2,FALSE)),"X",$AU69)</f>
        <v/>
      </c>
      <c r="AW69" s="177" t="str">
        <f>IF(ISTEXT(VLOOKUP(CONCATENATE($A69,"_",AW$3),'Unit List'!$A$23:$H$3319,2,FALSE)),"X",$AU69)</f>
        <v/>
      </c>
      <c r="AX69" s="97" t="str">
        <f>IF(ISTEXT(VLOOKUP(CONCATENATE($A69,"_",AX$3),'Unit List'!$A$23:$H$3319,2,FALSE)),"+","")</f>
        <v/>
      </c>
      <c r="AY69" s="175" t="str">
        <f>IF(ISTEXT(VLOOKUP(CONCATENATE($A69,"_",AY$3),'Unit List'!$A$23:$H$3319,2,FALSE)),"X",$AX69)</f>
        <v/>
      </c>
      <c r="AZ69" s="177" t="str">
        <f>IF(ISTEXT(VLOOKUP(CONCATENATE($A69,"_",AZ$3),'Unit List'!$A$23:$H$3319,2,FALSE)),"X",$AX69)</f>
        <v/>
      </c>
      <c r="BA69" s="105" t="str">
        <f>IF(ISTEXT(VLOOKUP(CONCATENATE($A69,"_",BA$3),'Unit List'!$A$23:$H$3319,2,FALSE)),"+","")</f>
        <v/>
      </c>
      <c r="BB69" s="175" t="str">
        <f>IF(ISTEXT(VLOOKUP(CONCATENATE($A69,"_",BB$3),'Unit List'!$A$23:$H$3319,2,FALSE)),"X",$BA69)</f>
        <v/>
      </c>
      <c r="BC69" s="175" t="str">
        <f>IF(ISTEXT(VLOOKUP(CONCATENATE($A69,"_",BC$3),'Unit List'!$A$23:$H$3319,2,FALSE)),"X",$BA69)</f>
        <v/>
      </c>
      <c r="BD69" s="177" t="str">
        <f>IF(ISTEXT(VLOOKUP(CONCATENATE($A69,"_",BD$3),'Unit List'!$A$23:$H$3319,2,FALSE)),"X",$BA69)</f>
        <v/>
      </c>
      <c r="BE69" s="103" t="str">
        <f>IF(ISTEXT(VLOOKUP(CONCATENATE($A69,"_",BE$3),'Unit List'!$A$23:$H$3319,2,FALSE)),"+","")</f>
        <v/>
      </c>
      <c r="BF69" s="124" t="str">
        <f>IF(ISTEXT(VLOOKUP(CONCATENATE($A69,"_",BF$3),'Unit List'!$A$23:$H$3319,2,FALSE)),"X",$BE69)</f>
        <v/>
      </c>
      <c r="BG69" s="124"/>
      <c r="BH69" s="133"/>
      <c r="BI69" s="228"/>
      <c r="BJ69" s="229"/>
      <c r="BK69" s="229"/>
      <c r="BL69" s="229"/>
      <c r="BM69" s="230"/>
      <c r="BN69" s="108"/>
      <c r="BO69" s="108"/>
      <c r="BP69" s="108"/>
      <c r="BQ69" s="108"/>
      <c r="BR69" s="108"/>
      <c r="BS69" s="108"/>
      <c r="DZ69" s="109"/>
      <c r="EA69" s="109"/>
    </row>
    <row r="70" spans="1:131" ht="12.75" customHeight="1" x14ac:dyDescent="0.2">
      <c r="A70" s="184" t="s">
        <v>1115</v>
      </c>
      <c r="B70" s="91" t="str">
        <f>IF(ISTEXT(VLOOKUP(CONCATENATE($A70,"_",B$3),'Unit List'!$A$23:$H$3319,2,FALSE)),"+","")</f>
        <v/>
      </c>
      <c r="C70" s="174" t="str">
        <f>IF(ISTEXT(VLOOKUP(CONCATENATE($A70,"_",C$3),'Unit List'!$A$23:$H$3319,2,FALSE)),"X",$B70)</f>
        <v/>
      </c>
      <c r="D70" s="175" t="str">
        <f>IF(ISTEXT(VLOOKUP(CONCATENATE($A70,"_",D$3),'Unit List'!$A$23:$H$3319,2,FALSE)),"X",$B70)</f>
        <v/>
      </c>
      <c r="E70" s="175" t="str">
        <f>IF(ISTEXT(VLOOKUP(CONCATENATE($A70,"_",E$3),'Unit List'!$A$23:$H$3319,2,FALSE)),"X",$B70)</f>
        <v/>
      </c>
      <c r="F70" s="175" t="str">
        <f>IF(ISTEXT(VLOOKUP(CONCATENATE($A70,"_",F$3),'Unit List'!$A$23:$H$3319,2,FALSE)),"X",$B70)</f>
        <v/>
      </c>
      <c r="G70" s="175" t="str">
        <f>IF(ISTEXT(VLOOKUP(CONCATENATE($A70,"_",G$3),'Unit List'!$A$23:$H$3319,2,FALSE)),"X",$B70)</f>
        <v/>
      </c>
      <c r="H70" s="175" t="str">
        <f>IF(ISTEXT(VLOOKUP(CONCATENATE($A70,"_",H$3),'Unit List'!$A$23:$H$3319,2,FALSE)),"X",$B70)</f>
        <v/>
      </c>
      <c r="I70" s="177" t="str">
        <f>IF(ISTEXT(VLOOKUP(CONCATENATE($A70,"_",I$3),'Unit List'!$A$23:$H$3319,2,FALSE)),"X",$B70)</f>
        <v/>
      </c>
      <c r="J70" s="97" t="str">
        <f>IF(ISTEXT(VLOOKUP(CONCATENATE($A70,"_",J$3),'Unit List'!$A$23:$H$3319,2,FALSE)),"+","")</f>
        <v/>
      </c>
      <c r="K70" s="175" t="str">
        <f>IF(ISTEXT(VLOOKUP(CONCATENATE($A70,"_",K$3),'Unit List'!$A$23:$H$3319,2,FALSE)),"X",$J70)</f>
        <v/>
      </c>
      <c r="L70" s="124" t="str">
        <f>IF(ISTEXT(VLOOKUP(CONCATENATE($A70,"_",L$3),'Unit List'!$A$23:$H$3319,2,FALSE)),"X",$J70)</f>
        <v/>
      </c>
      <c r="M70" s="97" t="str">
        <f>IF(ISTEXT(VLOOKUP(CONCATENATE($A70,"_",M$3),'Unit List'!$A$23:$H$3319,2,FALSE)),"+","")</f>
        <v/>
      </c>
      <c r="N70" s="175" t="str">
        <f>IF(ISTEXT(VLOOKUP(CONCATENATE($A70,"_",N$3),'Unit List'!$A$23:$H$3319,2,FALSE)),"X",$M70)</f>
        <v/>
      </c>
      <c r="O70" s="177" t="str">
        <f>IF(ISTEXT(VLOOKUP(CONCATENATE($A70,"_",O$3),'Unit List'!$A$23:$H$3319,2,FALSE)),"X",$M70)</f>
        <v/>
      </c>
      <c r="P70" s="97" t="str">
        <f>IF(ISTEXT(VLOOKUP(CONCATENATE($A70,"_",P$3),'Unit List'!$A$23:$H$3319,2,FALSE)),"+","")</f>
        <v/>
      </c>
      <c r="Q70" s="175" t="str">
        <f>IF(ISTEXT(VLOOKUP(CONCATENATE($A70,"_",Q$3),'Unit List'!$A$23:$H$3319,2,FALSE)),"X",$P70)</f>
        <v/>
      </c>
      <c r="R70" s="175" t="str">
        <f>IF(ISTEXT(VLOOKUP(CONCATENATE($A70,"_",R$3),'Unit List'!$A$23:$H$3319,2,FALSE)),"X",$P70)</f>
        <v/>
      </c>
      <c r="S70" s="175" t="str">
        <f>IF(ISTEXT(VLOOKUP(CONCATENATE($A70,"_",S$3),'Unit List'!$A$23:$H$3319,2,FALSE)),"X",$P70)</f>
        <v/>
      </c>
      <c r="T70" s="176" t="str">
        <f>IF(ISTEXT(VLOOKUP(CONCATENATE($A70,"_",T$3),'Unit List'!$A$23:$H$3319,2,FALSE)),"X",$P70)</f>
        <v/>
      </c>
      <c r="U70" s="175" t="str">
        <f>IF(ISTEXT(VLOOKUP(CONCATENATE($A70,"_",U$3),'Unit List'!$A$23:$H$3319,2,FALSE)),"X",$P70)</f>
        <v/>
      </c>
      <c r="V70" s="175" t="str">
        <f>IF(ISTEXT(VLOOKUP(CONCATENATE($A70,"_",V$3),'Unit List'!$A$23:$H$3319,2,FALSE)),"X",$P70)</f>
        <v/>
      </c>
      <c r="W70" s="177" t="str">
        <f>IF(ISTEXT(VLOOKUP(CONCATENATE($A70,"_",W$3),'Unit List'!$A$23:$H$3319,2,FALSE)),"X",$P70)</f>
        <v/>
      </c>
      <c r="X70" s="97" t="str">
        <f>IF(ISTEXT(VLOOKUP(CONCATENATE($A70,"_",X$3),'Unit List'!$A$23:$H$3319,2,FALSE)),"+","")</f>
        <v/>
      </c>
      <c r="Y70" s="175" t="str">
        <f>IF(ISTEXT(VLOOKUP(CONCATENATE($A70,"_",Y$3),'Unit List'!$A$23:$H$3319,2,FALSE)),"X",$X70)</f>
        <v/>
      </c>
      <c r="Z70" s="175" t="str">
        <f>IF(ISTEXT(VLOOKUP(CONCATENATE($A70,"_",Z$3),'Unit List'!$A$23:$H$3319,2,FALSE)),"X",$X70)</f>
        <v/>
      </c>
      <c r="AA70" s="175" t="str">
        <f>IF(ISTEXT(VLOOKUP(CONCATENATE($A70,"_",AA$3),'Unit List'!$A$23:$H$3319,2,FALSE)),"X",$X70)</f>
        <v/>
      </c>
      <c r="AB70" s="175" t="str">
        <f>IF(ISTEXT(VLOOKUP(CONCATENATE($A70,"_",AB$3),'Unit List'!$A$23:$H$3319,2,FALSE)),"X",$X70)</f>
        <v/>
      </c>
      <c r="AC70" s="124" t="str">
        <f>IF(ISTEXT(VLOOKUP(CONCATENATE($A70,"_",AC$3),'Unit List'!$A$23:$H$3319,2,FALSE)),"X",$X70)</f>
        <v/>
      </c>
      <c r="AD70" s="97" t="str">
        <f>IF(ISTEXT(VLOOKUP(CONCATENATE($A70,"_",AD$3),'Unit List'!$A$23:$H$3319,2,FALSE)),"+","")</f>
        <v/>
      </c>
      <c r="AE70" s="175" t="str">
        <f>IF(ISTEXT(VLOOKUP(CONCATENATE($A70,"_",AE$3),'Unit List'!$A$23:$H$3319,2,FALSE)),"X",$AD70)</f>
        <v/>
      </c>
      <c r="AF70" s="175" t="str">
        <f>IF(ISTEXT(VLOOKUP(CONCATENATE($A70,"_",AF$3),'Unit List'!$A$23:$H$3319,2,FALSE)),"X",$AD70)</f>
        <v/>
      </c>
      <c r="AG70" s="97" t="str">
        <f>IF(ISTEXT(VLOOKUP(CONCATENATE($A70,"_",AG$3),'Unit List'!$A$23:$H$3319,2,FALSE)),"+","")</f>
        <v/>
      </c>
      <c r="AH70" s="175" t="str">
        <f>IF(ISTEXT(VLOOKUP(CONCATENATE($A70,"_",AH$3),'Unit List'!$A$23:$H$3319,2,FALSE)),"X",$AG70)</f>
        <v/>
      </c>
      <c r="AI70" s="175" t="str">
        <f>IF(ISTEXT(VLOOKUP(CONCATENATE($A70,"_",AI$3),'Unit List'!$A$23:$H$3319,2,FALSE)),"X",$AG70)</f>
        <v/>
      </c>
      <c r="AJ70" s="177" t="str">
        <f>IF(ISTEXT(VLOOKUP(CONCATENATE($A70,"_",AJ$3),'Unit List'!$A$23:$H$3319,2,FALSE)),"X",$AG70)</f>
        <v/>
      </c>
      <c r="AK70" s="97" t="str">
        <f>IF(ISTEXT(VLOOKUP(CONCATENATE($A70,"_",AK$3),'Unit List'!$A$23:$H$3319,2,FALSE)),"+","")</f>
        <v/>
      </c>
      <c r="AL70" s="176" t="str">
        <f>IF(ISTEXT(VLOOKUP(CONCATENATE($A70,"_",AL$3),'Unit List'!$A$23:$H$3319,2,FALSE)),"X",$AK70)</f>
        <v/>
      </c>
      <c r="AM70" s="177" t="str">
        <f>IF(ISTEXT(VLOOKUP(CONCATENATE($A70,"_",AM$3),'Unit List'!$A$23:$H$3319,2,FALSE)),"X",$AK70)</f>
        <v/>
      </c>
      <c r="AN70" s="103" t="str">
        <f>IF(ISTEXT(VLOOKUP(CONCATENATE($A70,"_",AN$3),'Unit List'!$A$23:$H$3319,2,FALSE)),"+","")</f>
        <v/>
      </c>
      <c r="AO70" s="177" t="str">
        <f>IF(ISTEXT(VLOOKUP(CONCATENATE($A70,"_",AO$3),'Unit List'!$A$23:$H$3319,2,FALSE)),"X",$AN70)</f>
        <v/>
      </c>
      <c r="AP70" s="97" t="str">
        <f>IF(ISTEXT(VLOOKUP(CONCATENATE($A70,"_",AP$3),'Unit List'!$A$23:$H$3319,2,FALSE)),"+","")</f>
        <v/>
      </c>
      <c r="AQ70" s="175" t="str">
        <f>IF(ISTEXT(VLOOKUP(CONCATENATE($A70,"_",AQ$3),'Unit List'!$A$23:$H$3319,2,FALSE)),"X",$AP70)</f>
        <v/>
      </c>
      <c r="AR70" s="175" t="str">
        <f>IF(ISTEXT(VLOOKUP(CONCATENATE($A70,"_",AR$3),'Unit List'!$A$23:$H$3319,2,FALSE)),"X",$AP70)</f>
        <v/>
      </c>
      <c r="AS70" s="175" t="str">
        <f>IF(ISTEXT(VLOOKUP(CONCATENATE($A70,"_",AS$3),'Unit List'!$A$23:$H$3319,2,FALSE)),"X",$AP70)</f>
        <v/>
      </c>
      <c r="AT70" s="177" t="str">
        <f>IF(ISTEXT(VLOOKUP(CONCATENATE($A70,"_",AT$3),'Unit List'!$A$23:$H$3319,2,FALSE)),"X",$AP70)</f>
        <v/>
      </c>
      <c r="AU70" s="104" t="str">
        <f>IF(ISTEXT(VLOOKUP(CONCATENATE($A70,"_",AU$3),'Unit List'!$A$23:$H$3319,2,FALSE)),"+","")</f>
        <v/>
      </c>
      <c r="AV70" s="175" t="str">
        <f>IF(ISTEXT(VLOOKUP(CONCATENATE($A70,"_",AV$3),'Unit List'!$A$23:$H$3319,2,FALSE)),"X",$AU70)</f>
        <v/>
      </c>
      <c r="AW70" s="177" t="str">
        <f>IF(ISTEXT(VLOOKUP(CONCATENATE($A70,"_",AW$3),'Unit List'!$A$23:$H$3319,2,FALSE)),"X",$AU70)</f>
        <v/>
      </c>
      <c r="AX70" s="97" t="str">
        <f>IF(ISTEXT(VLOOKUP(CONCATENATE($A70,"_",AX$3),'Unit List'!$A$23:$H$3319,2,FALSE)),"+","")</f>
        <v/>
      </c>
      <c r="AY70" s="175" t="str">
        <f>IF(ISTEXT(VLOOKUP(CONCATENATE($A70,"_",AY$3),'Unit List'!$A$23:$H$3319,2,FALSE)),"X",$AX70)</f>
        <v/>
      </c>
      <c r="AZ70" s="177" t="str">
        <f>IF(ISTEXT(VLOOKUP(CONCATENATE($A70,"_",AZ$3),'Unit List'!$A$23:$H$3319,2,FALSE)),"X",$AX70)</f>
        <v/>
      </c>
      <c r="BA70" s="105" t="str">
        <f>IF(ISTEXT(VLOOKUP(CONCATENATE($A70,"_",BA$3),'Unit List'!$A$23:$H$3319,2,FALSE)),"+","")</f>
        <v/>
      </c>
      <c r="BB70" s="175" t="str">
        <f>IF(ISTEXT(VLOOKUP(CONCATENATE($A70,"_",BB$3),'Unit List'!$A$23:$H$3319,2,FALSE)),"X",$BA70)</f>
        <v/>
      </c>
      <c r="BC70" s="175" t="str">
        <f>IF(ISTEXT(VLOOKUP(CONCATENATE($A70,"_",BC$3),'Unit List'!$A$23:$H$3319,2,FALSE)),"X",$BA70)</f>
        <v/>
      </c>
      <c r="BD70" s="177" t="str">
        <f>IF(ISTEXT(VLOOKUP(CONCATENATE($A70,"_",BD$3),'Unit List'!$A$23:$H$3319,2,FALSE)),"X",$BA70)</f>
        <v/>
      </c>
      <c r="BE70" s="103" t="str">
        <f>IF(ISTEXT(VLOOKUP(CONCATENATE($A70,"_",BE$3),'Unit List'!$A$23:$H$3319,2,FALSE)),"+","")</f>
        <v/>
      </c>
      <c r="BF70" s="124" t="str">
        <f>IF(ISTEXT(VLOOKUP(CONCATENATE($A70,"_",BF$3),'Unit List'!$A$23:$H$3319,2,FALSE)),"X",$BE70)</f>
        <v/>
      </c>
      <c r="BG70" s="124"/>
      <c r="BH70" s="133"/>
      <c r="BI70" s="228"/>
      <c r="BJ70" s="229"/>
      <c r="BK70" s="229"/>
      <c r="BL70" s="229"/>
      <c r="BM70" s="230"/>
      <c r="BN70" s="108"/>
      <c r="BO70" s="108"/>
      <c r="BP70" s="108"/>
      <c r="BQ70" s="108"/>
      <c r="BR70" s="108"/>
      <c r="BS70" s="108"/>
      <c r="DZ70" s="109"/>
      <c r="EA70" s="109"/>
    </row>
    <row r="71" spans="1:131" ht="12.75" customHeight="1" x14ac:dyDescent="0.2">
      <c r="A71" s="184" t="s">
        <v>1116</v>
      </c>
      <c r="B71" s="91" t="str">
        <f>IF(ISTEXT(VLOOKUP(CONCATENATE($A71,"_",B$3),'Unit List'!$A$23:$H$3319,2,FALSE)),"+","")</f>
        <v/>
      </c>
      <c r="C71" s="174" t="str">
        <f>IF(ISTEXT(VLOOKUP(CONCATENATE($A71,"_",C$3),'Unit List'!$A$23:$H$3319,2,FALSE)),"X",$B71)</f>
        <v/>
      </c>
      <c r="D71" s="175" t="str">
        <f>IF(ISTEXT(VLOOKUP(CONCATENATE($A71,"_",D$3),'Unit List'!$A$23:$H$3319,2,FALSE)),"X",$B71)</f>
        <v/>
      </c>
      <c r="E71" s="175" t="str">
        <f>IF(ISTEXT(VLOOKUP(CONCATENATE($A71,"_",E$3),'Unit List'!$A$23:$H$3319,2,FALSE)),"X",$B71)</f>
        <v/>
      </c>
      <c r="F71" s="175" t="str">
        <f>IF(ISTEXT(VLOOKUP(CONCATENATE($A71,"_",F$3),'Unit List'!$A$23:$H$3319,2,FALSE)),"X",$B71)</f>
        <v/>
      </c>
      <c r="G71" s="175" t="str">
        <f>IF(ISTEXT(VLOOKUP(CONCATENATE($A71,"_",G$3),'Unit List'!$A$23:$H$3319,2,FALSE)),"X",$B71)</f>
        <v/>
      </c>
      <c r="H71" s="175" t="str">
        <f>IF(ISTEXT(VLOOKUP(CONCATENATE($A71,"_",H$3),'Unit List'!$A$23:$H$3319,2,FALSE)),"X",$B71)</f>
        <v/>
      </c>
      <c r="I71" s="177" t="str">
        <f>IF(ISTEXT(VLOOKUP(CONCATENATE($A71,"_",I$3),'Unit List'!$A$23:$H$3319,2,FALSE)),"X",$B71)</f>
        <v/>
      </c>
      <c r="J71" s="97" t="str">
        <f>IF(ISTEXT(VLOOKUP(CONCATENATE($A71,"_",J$3),'Unit List'!$A$23:$H$3319,2,FALSE)),"+","")</f>
        <v/>
      </c>
      <c r="K71" s="175" t="str">
        <f>IF(ISTEXT(VLOOKUP(CONCATENATE($A71,"_",K$3),'Unit List'!$A$23:$H$3319,2,FALSE)),"X",$J71)</f>
        <v/>
      </c>
      <c r="L71" s="124" t="str">
        <f>IF(ISTEXT(VLOOKUP(CONCATENATE($A71,"_",L$3),'Unit List'!$A$23:$H$3319,2,FALSE)),"X",$J71)</f>
        <v/>
      </c>
      <c r="M71" s="97" t="str">
        <f>IF(ISTEXT(VLOOKUP(CONCATENATE($A71,"_",M$3),'Unit List'!$A$23:$H$3319,2,FALSE)),"+","")</f>
        <v/>
      </c>
      <c r="N71" s="175" t="str">
        <f>IF(ISTEXT(VLOOKUP(CONCATENATE($A71,"_",N$3),'Unit List'!$A$23:$H$3319,2,FALSE)),"X",$M71)</f>
        <v/>
      </c>
      <c r="O71" s="177" t="str">
        <f>IF(ISTEXT(VLOOKUP(CONCATENATE($A71,"_",O$3),'Unit List'!$A$23:$H$3319,2,FALSE)),"X",$M71)</f>
        <v/>
      </c>
      <c r="P71" s="97" t="str">
        <f>IF(ISTEXT(VLOOKUP(CONCATENATE($A71,"_",P$3),'Unit List'!$A$23:$H$3319,2,FALSE)),"+","")</f>
        <v/>
      </c>
      <c r="Q71" s="175" t="str">
        <f>IF(ISTEXT(VLOOKUP(CONCATENATE($A71,"_",Q$3),'Unit List'!$A$23:$H$3319,2,FALSE)),"X",$P71)</f>
        <v/>
      </c>
      <c r="R71" s="175" t="str">
        <f>IF(ISTEXT(VLOOKUP(CONCATENATE($A71,"_",R$3),'Unit List'!$A$23:$H$3319,2,FALSE)),"X",$P71)</f>
        <v/>
      </c>
      <c r="S71" s="175" t="str">
        <f>IF(ISTEXT(VLOOKUP(CONCATENATE($A71,"_",S$3),'Unit List'!$A$23:$H$3319,2,FALSE)),"X",$P71)</f>
        <v/>
      </c>
      <c r="T71" s="176" t="str">
        <f>IF(ISTEXT(VLOOKUP(CONCATENATE($A71,"_",T$3),'Unit List'!$A$23:$H$3319,2,FALSE)),"X",$P71)</f>
        <v/>
      </c>
      <c r="U71" s="175" t="str">
        <f>IF(ISTEXT(VLOOKUP(CONCATENATE($A71,"_",U$3),'Unit List'!$A$23:$H$3319,2,FALSE)),"X",$P71)</f>
        <v/>
      </c>
      <c r="V71" s="175" t="str">
        <f>IF(ISTEXT(VLOOKUP(CONCATENATE($A71,"_",V$3),'Unit List'!$A$23:$H$3319,2,FALSE)),"X",$P71)</f>
        <v/>
      </c>
      <c r="W71" s="177" t="str">
        <f>IF(ISTEXT(VLOOKUP(CONCATENATE($A71,"_",W$3),'Unit List'!$A$23:$H$3319,2,FALSE)),"X",$P71)</f>
        <v/>
      </c>
      <c r="X71" s="97" t="str">
        <f>IF(ISTEXT(VLOOKUP(CONCATENATE($A71,"_",X$3),'Unit List'!$A$23:$H$3319,2,FALSE)),"+","")</f>
        <v/>
      </c>
      <c r="Y71" s="175" t="str">
        <f>IF(ISTEXT(VLOOKUP(CONCATENATE($A71,"_",Y$3),'Unit List'!$A$23:$H$3319,2,FALSE)),"X",$X71)</f>
        <v/>
      </c>
      <c r="Z71" s="175" t="str">
        <f>IF(ISTEXT(VLOOKUP(CONCATENATE($A71,"_",Z$3),'Unit List'!$A$23:$H$3319,2,FALSE)),"X",$X71)</f>
        <v/>
      </c>
      <c r="AA71" s="175" t="str">
        <f>IF(ISTEXT(VLOOKUP(CONCATENATE($A71,"_",AA$3),'Unit List'!$A$23:$H$3319,2,FALSE)),"X",$X71)</f>
        <v/>
      </c>
      <c r="AB71" s="175" t="str">
        <f>IF(ISTEXT(VLOOKUP(CONCATENATE($A71,"_",AB$3),'Unit List'!$A$23:$H$3319,2,FALSE)),"X",$X71)</f>
        <v/>
      </c>
      <c r="AC71" s="124" t="str">
        <f>IF(ISTEXT(VLOOKUP(CONCATENATE($A71,"_",AC$3),'Unit List'!$A$23:$H$3319,2,FALSE)),"X",$X71)</f>
        <v/>
      </c>
      <c r="AD71" s="97" t="str">
        <f>IF(ISTEXT(VLOOKUP(CONCATENATE($A71,"_",AD$3),'Unit List'!$A$23:$H$3319,2,FALSE)),"+","")</f>
        <v/>
      </c>
      <c r="AE71" s="175" t="str">
        <f>IF(ISTEXT(VLOOKUP(CONCATENATE($A71,"_",AE$3),'Unit List'!$A$23:$H$3319,2,FALSE)),"X",$AD71)</f>
        <v/>
      </c>
      <c r="AF71" s="175" t="str">
        <f>IF(ISTEXT(VLOOKUP(CONCATENATE($A71,"_",AF$3),'Unit List'!$A$23:$H$3319,2,FALSE)),"X",$AD71)</f>
        <v/>
      </c>
      <c r="AG71" s="97" t="str">
        <f>IF(ISTEXT(VLOOKUP(CONCATENATE($A71,"_",AG$3),'Unit List'!$A$23:$H$3319,2,FALSE)),"+","")</f>
        <v/>
      </c>
      <c r="AH71" s="175" t="str">
        <f>IF(ISTEXT(VLOOKUP(CONCATENATE($A71,"_",AH$3),'Unit List'!$A$23:$H$3319,2,FALSE)),"X",$AG71)</f>
        <v/>
      </c>
      <c r="AI71" s="175" t="str">
        <f>IF(ISTEXT(VLOOKUP(CONCATENATE($A71,"_",AI$3),'Unit List'!$A$23:$H$3319,2,FALSE)),"X",$AG71)</f>
        <v/>
      </c>
      <c r="AJ71" s="177" t="str">
        <f>IF(ISTEXT(VLOOKUP(CONCATENATE($A71,"_",AJ$3),'Unit List'!$A$23:$H$3319,2,FALSE)),"X",$AG71)</f>
        <v/>
      </c>
      <c r="AK71" s="97" t="str">
        <f>IF(ISTEXT(VLOOKUP(CONCATENATE($A71,"_",AK$3),'Unit List'!$A$23:$H$3319,2,FALSE)),"+","")</f>
        <v/>
      </c>
      <c r="AL71" s="176" t="str">
        <f>IF(ISTEXT(VLOOKUP(CONCATENATE($A71,"_",AL$3),'Unit List'!$A$23:$H$3319,2,FALSE)),"X",$AK71)</f>
        <v/>
      </c>
      <c r="AM71" s="177" t="str">
        <f>IF(ISTEXT(VLOOKUP(CONCATENATE($A71,"_",AM$3),'Unit List'!$A$23:$H$3319,2,FALSE)),"X",$AK71)</f>
        <v/>
      </c>
      <c r="AN71" s="103" t="str">
        <f>IF(ISTEXT(VLOOKUP(CONCATENATE($A71,"_",AN$3),'Unit List'!$A$23:$H$3319,2,FALSE)),"+","")</f>
        <v/>
      </c>
      <c r="AO71" s="177" t="str">
        <f>IF(ISTEXT(VLOOKUP(CONCATENATE($A71,"_",AO$3),'Unit List'!$A$23:$H$3319,2,FALSE)),"X",$AN71)</f>
        <v/>
      </c>
      <c r="AP71" s="97" t="str">
        <f>IF(ISTEXT(VLOOKUP(CONCATENATE($A71,"_",AP$3),'Unit List'!$A$23:$H$3319,2,FALSE)),"+","")</f>
        <v/>
      </c>
      <c r="AQ71" s="175" t="str">
        <f>IF(ISTEXT(VLOOKUP(CONCATENATE($A71,"_",AQ$3),'Unit List'!$A$23:$H$3319,2,FALSE)),"X",$AP71)</f>
        <v/>
      </c>
      <c r="AR71" s="175" t="str">
        <f>IF(ISTEXT(VLOOKUP(CONCATENATE($A71,"_",AR$3),'Unit List'!$A$23:$H$3319,2,FALSE)),"X",$AP71)</f>
        <v/>
      </c>
      <c r="AS71" s="175" t="str">
        <f>IF(ISTEXT(VLOOKUP(CONCATENATE($A71,"_",AS$3),'Unit List'!$A$23:$H$3319,2,FALSE)),"X",$AP71)</f>
        <v/>
      </c>
      <c r="AT71" s="177" t="str">
        <f>IF(ISTEXT(VLOOKUP(CONCATENATE($A71,"_",AT$3),'Unit List'!$A$23:$H$3319,2,FALSE)),"X",$AP71)</f>
        <v/>
      </c>
      <c r="AU71" s="104" t="str">
        <f>IF(ISTEXT(VLOOKUP(CONCATENATE($A71,"_",AU$3),'Unit List'!$A$23:$H$3319,2,FALSE)),"+","")</f>
        <v/>
      </c>
      <c r="AV71" s="175" t="str">
        <f>IF(ISTEXT(VLOOKUP(CONCATENATE($A71,"_",AV$3),'Unit List'!$A$23:$H$3319,2,FALSE)),"X",$AU71)</f>
        <v/>
      </c>
      <c r="AW71" s="177" t="str">
        <f>IF(ISTEXT(VLOOKUP(CONCATENATE($A71,"_",AW$3),'Unit List'!$A$23:$H$3319,2,FALSE)),"X",$AU71)</f>
        <v/>
      </c>
      <c r="AX71" s="97" t="str">
        <f>IF(ISTEXT(VLOOKUP(CONCATENATE($A71,"_",AX$3),'Unit List'!$A$23:$H$3319,2,FALSE)),"+","")</f>
        <v/>
      </c>
      <c r="AY71" s="175" t="str">
        <f>IF(ISTEXT(VLOOKUP(CONCATENATE($A71,"_",AY$3),'Unit List'!$A$23:$H$3319,2,FALSE)),"X",$AX71)</f>
        <v/>
      </c>
      <c r="AZ71" s="177" t="str">
        <f>IF(ISTEXT(VLOOKUP(CONCATENATE($A71,"_",AZ$3),'Unit List'!$A$23:$H$3319,2,FALSE)),"X",$AX71)</f>
        <v/>
      </c>
      <c r="BA71" s="105" t="str">
        <f>IF(ISTEXT(VLOOKUP(CONCATENATE($A71,"_",BA$3),'Unit List'!$A$23:$H$3319,2,FALSE)),"+","")</f>
        <v/>
      </c>
      <c r="BB71" s="175" t="str">
        <f>IF(ISTEXT(VLOOKUP(CONCATENATE($A71,"_",BB$3),'Unit List'!$A$23:$H$3319,2,FALSE)),"X",$BA71)</f>
        <v/>
      </c>
      <c r="BC71" s="175" t="str">
        <f>IF(ISTEXT(VLOOKUP(CONCATENATE($A71,"_",BC$3),'Unit List'!$A$23:$H$3319,2,FALSE)),"X",$BA71)</f>
        <v/>
      </c>
      <c r="BD71" s="177" t="str">
        <f>IF(ISTEXT(VLOOKUP(CONCATENATE($A71,"_",BD$3),'Unit List'!$A$23:$H$3319,2,FALSE)),"X",$BA71)</f>
        <v/>
      </c>
      <c r="BE71" s="103" t="str">
        <f>IF(ISTEXT(VLOOKUP(CONCATENATE($A71,"_",BE$3),'Unit List'!$A$23:$H$3319,2,FALSE)),"+","")</f>
        <v/>
      </c>
      <c r="BF71" s="124" t="str">
        <f>IF(ISTEXT(VLOOKUP(CONCATENATE($A71,"_",BF$3),'Unit List'!$A$23:$H$3319,2,FALSE)),"X",$BE71)</f>
        <v/>
      </c>
      <c r="BG71" s="124"/>
      <c r="BH71" s="133"/>
      <c r="BI71" s="228"/>
      <c r="BJ71" s="229"/>
      <c r="BK71" s="229"/>
      <c r="BL71" s="229"/>
      <c r="BM71" s="230"/>
      <c r="BN71" s="108"/>
      <c r="BO71" s="108"/>
      <c r="BP71" s="108"/>
      <c r="BQ71" s="108"/>
      <c r="BR71" s="108"/>
      <c r="BS71" s="108"/>
      <c r="DZ71" s="109"/>
      <c r="EA71" s="109"/>
    </row>
    <row r="72" spans="1:131" ht="12.75" customHeight="1" x14ac:dyDescent="0.2">
      <c r="A72" s="190" t="s">
        <v>1117</v>
      </c>
      <c r="B72" s="160" t="str">
        <f>IF(ISTEXT(VLOOKUP(CONCATENATE($A72,"_",B$3),'Unit List'!$A$23:$H$3319,2,FALSE)),"+","")</f>
        <v/>
      </c>
      <c r="C72" s="191" t="str">
        <f>IF(ISTEXT(VLOOKUP(CONCATENATE($A72,"_",C$3),'Unit List'!$A$23:$H$3319,2,FALSE)),"X",$B72)</f>
        <v/>
      </c>
      <c r="D72" s="192" t="str">
        <f>IF(ISTEXT(VLOOKUP(CONCATENATE($A72,"_",D$3),'Unit List'!$A$23:$H$3319,2,FALSE)),"X",$B72)</f>
        <v/>
      </c>
      <c r="E72" s="192" t="str">
        <f>IF(ISTEXT(VLOOKUP(CONCATENATE($A72,"_",E$3),'Unit List'!$A$23:$H$3319,2,FALSE)),"X",$B72)</f>
        <v/>
      </c>
      <c r="F72" s="192" t="str">
        <f>IF(ISTEXT(VLOOKUP(CONCATENATE($A72,"_",F$3),'Unit List'!$A$23:$H$3319,2,FALSE)),"X",$B72)</f>
        <v/>
      </c>
      <c r="G72" s="192" t="str">
        <f>IF(ISTEXT(VLOOKUP(CONCATENATE($A72,"_",G$3),'Unit List'!$A$23:$H$3319,2,FALSE)),"X",$B72)</f>
        <v/>
      </c>
      <c r="H72" s="192" t="str">
        <f>IF(ISTEXT(VLOOKUP(CONCATENATE($A72,"_",H$3),'Unit List'!$A$23:$H$3319,2,FALSE)),"X",$B72)</f>
        <v/>
      </c>
      <c r="I72" s="193" t="str">
        <f>IF(ISTEXT(VLOOKUP(CONCATENATE($A72,"_",I$3),'Unit List'!$A$23:$H$3319,2,FALSE)),"X",$B72)</f>
        <v/>
      </c>
      <c r="J72" s="164" t="str">
        <f>IF(ISTEXT(VLOOKUP(CONCATENATE($A72,"_",J$3),'Unit List'!$A$23:$H$3319,2,FALSE)),"+","")</f>
        <v/>
      </c>
      <c r="K72" s="192" t="str">
        <f>IF(ISTEXT(VLOOKUP(CONCATENATE($A72,"_",K$3),'Unit List'!$A$23:$H$3319,2,FALSE)),"X",$J72)</f>
        <v/>
      </c>
      <c r="L72" s="171" t="str">
        <f>IF(ISTEXT(VLOOKUP(CONCATENATE($A72,"_",L$3),'Unit List'!$A$23:$H$3319,2,FALSE)),"X",$J72)</f>
        <v/>
      </c>
      <c r="M72" s="164" t="str">
        <f>IF(ISTEXT(VLOOKUP(CONCATENATE($A72,"_",M$3),'Unit List'!$A$23:$H$3319,2,FALSE)),"+","")</f>
        <v/>
      </c>
      <c r="N72" s="192" t="str">
        <f>IF(ISTEXT(VLOOKUP(CONCATENATE($A72,"_",N$3),'Unit List'!$A$23:$H$3319,2,FALSE)),"X",$M72)</f>
        <v/>
      </c>
      <c r="O72" s="193" t="str">
        <f>IF(ISTEXT(VLOOKUP(CONCATENATE($A72,"_",O$3),'Unit List'!$A$23:$H$3319,2,FALSE)),"X",$M72)</f>
        <v/>
      </c>
      <c r="P72" s="164" t="str">
        <f>IF(ISTEXT(VLOOKUP(CONCATENATE($A72,"_",P$3),'Unit List'!$A$23:$H$3319,2,FALSE)),"+","")</f>
        <v/>
      </c>
      <c r="Q72" s="192" t="str">
        <f>IF(ISTEXT(VLOOKUP(CONCATENATE($A72,"_",Q$3),'Unit List'!$A$23:$H$3319,2,FALSE)),"X",$P72)</f>
        <v/>
      </c>
      <c r="R72" s="192" t="str">
        <f>IF(ISTEXT(VLOOKUP(CONCATENATE($A72,"_",R$3),'Unit List'!$A$23:$H$3319,2,FALSE)),"X",$P72)</f>
        <v/>
      </c>
      <c r="S72" s="192" t="str">
        <f>IF(ISTEXT(VLOOKUP(CONCATENATE($A72,"_",S$3),'Unit List'!$A$23:$H$3319,2,FALSE)),"X",$P72)</f>
        <v/>
      </c>
      <c r="T72" s="194" t="str">
        <f>IF(ISTEXT(VLOOKUP(CONCATENATE($A72,"_",T$3),'Unit List'!$A$23:$H$3319,2,FALSE)),"X",$P72)</f>
        <v/>
      </c>
      <c r="U72" s="192" t="str">
        <f>IF(ISTEXT(VLOOKUP(CONCATENATE($A72,"_",U$3),'Unit List'!$A$23:$H$3319,2,FALSE)),"X",$P72)</f>
        <v/>
      </c>
      <c r="V72" s="192" t="str">
        <f>IF(ISTEXT(VLOOKUP(CONCATENATE($A72,"_",V$3),'Unit List'!$A$23:$H$3319,2,FALSE)),"X",$P72)</f>
        <v/>
      </c>
      <c r="W72" s="193" t="str">
        <f>IF(ISTEXT(VLOOKUP(CONCATENATE($A72,"_",W$3),'Unit List'!$A$23:$H$3319,2,FALSE)),"X",$P72)</f>
        <v/>
      </c>
      <c r="X72" s="164" t="str">
        <f>IF(ISTEXT(VLOOKUP(CONCATENATE($A72,"_",X$3),'Unit List'!$A$23:$H$3319,2,FALSE)),"+","")</f>
        <v/>
      </c>
      <c r="Y72" s="192" t="str">
        <f>IF(ISTEXT(VLOOKUP(CONCATENATE($A72,"_",Y$3),'Unit List'!$A$23:$H$3319,2,FALSE)),"X",$X72)</f>
        <v/>
      </c>
      <c r="Z72" s="192" t="str">
        <f>IF(ISTEXT(VLOOKUP(CONCATENATE($A72,"_",Z$3),'Unit List'!$A$23:$H$3319,2,FALSE)),"X",$X72)</f>
        <v/>
      </c>
      <c r="AA72" s="192" t="str">
        <f>IF(ISTEXT(VLOOKUP(CONCATENATE($A72,"_",AA$3),'Unit List'!$A$23:$H$3319,2,FALSE)),"X",$X72)</f>
        <v/>
      </c>
      <c r="AB72" s="192" t="str">
        <f>IF(ISTEXT(VLOOKUP(CONCATENATE($A72,"_",AB$3),'Unit List'!$A$23:$H$3319,2,FALSE)),"X",$X72)</f>
        <v/>
      </c>
      <c r="AC72" s="171" t="str">
        <f>IF(ISTEXT(VLOOKUP(CONCATENATE($A72,"_",AC$3),'Unit List'!$A$23:$H$3319,2,FALSE)),"X",$X72)</f>
        <v/>
      </c>
      <c r="AD72" s="164" t="str">
        <f>IF(ISTEXT(VLOOKUP(CONCATENATE($A72,"_",AD$3),'Unit List'!$A$23:$H$3319,2,FALSE)),"+","")</f>
        <v/>
      </c>
      <c r="AE72" s="192" t="str">
        <f>IF(ISTEXT(VLOOKUP(CONCATENATE($A72,"_",AE$3),'Unit List'!$A$23:$H$3319,2,FALSE)),"X",$AD72)</f>
        <v/>
      </c>
      <c r="AF72" s="193" t="str">
        <f>IF(ISTEXT(VLOOKUP(CONCATENATE($A72,"_",AF$3),'Unit List'!$A$23:$H$3319,2,FALSE)),"X",$AD72)</f>
        <v/>
      </c>
      <c r="AG72" s="164" t="str">
        <f>IF(ISTEXT(VLOOKUP(CONCATENATE($A72,"_",AG$3),'Unit List'!$A$23:$H$3319,2,FALSE)),"+","")</f>
        <v/>
      </c>
      <c r="AH72" s="192" t="str">
        <f>IF(ISTEXT(VLOOKUP(CONCATENATE($A72,"_",AH$3),'Unit List'!$A$23:$H$3319,2,FALSE)),"X",$AG72)</f>
        <v/>
      </c>
      <c r="AI72" s="192" t="str">
        <f>IF(ISTEXT(VLOOKUP(CONCATENATE($A72,"_",AI$3),'Unit List'!$A$23:$H$3319,2,FALSE)),"X",$AG72)</f>
        <v/>
      </c>
      <c r="AJ72" s="193" t="str">
        <f>IF(ISTEXT(VLOOKUP(CONCATENATE($A72,"_",AJ$3),'Unit List'!$A$23:$H$3319,2,FALSE)),"X",$AG72)</f>
        <v/>
      </c>
      <c r="AK72" s="164" t="str">
        <f>IF(ISTEXT(VLOOKUP(CONCATENATE($A72,"_",AK$3),'Unit List'!$A$23:$H$3319,2,FALSE)),"+","")</f>
        <v/>
      </c>
      <c r="AL72" s="194" t="str">
        <f>IF(ISTEXT(VLOOKUP(CONCATENATE($A72,"_",AL$3),'Unit List'!$A$23:$H$3319,2,FALSE)),"X",$AK72)</f>
        <v/>
      </c>
      <c r="AM72" s="193" t="str">
        <f>IF(ISTEXT(VLOOKUP(CONCATENATE($A72,"_",AM$3),'Unit List'!$A$23:$H$3319,2,FALSE)),"X",$AK72)</f>
        <v/>
      </c>
      <c r="AN72" s="168" t="str">
        <f>IF(ISTEXT(VLOOKUP(CONCATENATE($A72,"_",AN$3),'Unit List'!$A$23:$H$3319,2,FALSE)),"+","")</f>
        <v/>
      </c>
      <c r="AO72" s="193" t="str">
        <f>IF(ISTEXT(VLOOKUP(CONCATENATE($A72,"_",AO$3),'Unit List'!$A$23:$H$3319,2,FALSE)),"X",$AN72)</f>
        <v/>
      </c>
      <c r="AP72" s="164" t="str">
        <f>IF(ISTEXT(VLOOKUP(CONCATENATE($A72,"_",AP$3),'Unit List'!$A$23:$H$3319,2,FALSE)),"+","")</f>
        <v/>
      </c>
      <c r="AQ72" s="192" t="str">
        <f>IF(ISTEXT(VLOOKUP(CONCATENATE($A72,"_",AQ$3),'Unit List'!$A$23:$H$3319,2,FALSE)),"X",$AP72)</f>
        <v/>
      </c>
      <c r="AR72" s="192" t="str">
        <f>IF(ISTEXT(VLOOKUP(CONCATENATE($A72,"_",AR$3),'Unit List'!$A$23:$H$3319,2,FALSE)),"X",$AP72)</f>
        <v/>
      </c>
      <c r="AS72" s="192" t="str">
        <f>IF(ISTEXT(VLOOKUP(CONCATENATE($A72,"_",AS$3),'Unit List'!$A$23:$H$3319,2,FALSE)),"X",$AP72)</f>
        <v/>
      </c>
      <c r="AT72" s="193" t="str">
        <f>IF(ISTEXT(VLOOKUP(CONCATENATE($A72,"_",AT$3),'Unit List'!$A$23:$H$3319,2,FALSE)),"X",$AP72)</f>
        <v/>
      </c>
      <c r="AU72" s="169" t="str">
        <f>IF(ISTEXT(VLOOKUP(CONCATENATE($A72,"_",AU$3),'Unit List'!$A$23:$H$3319,2,FALSE)),"+","")</f>
        <v/>
      </c>
      <c r="AV72" s="192" t="str">
        <f>IF(ISTEXT(VLOOKUP(CONCATENATE($A72,"_",AV$3),'Unit List'!$A$23:$H$3319,2,FALSE)),"X",$AU72)</f>
        <v/>
      </c>
      <c r="AW72" s="193" t="str">
        <f>IF(ISTEXT(VLOOKUP(CONCATENATE($A72,"_",AW$3),'Unit List'!$A$23:$H$3319,2,FALSE)),"X",$AU72)</f>
        <v/>
      </c>
      <c r="AX72" s="164" t="str">
        <f>IF(ISTEXT(VLOOKUP(CONCATENATE($A72,"_",AX$3),'Unit List'!$A$23:$H$3319,2,FALSE)),"+","")</f>
        <v/>
      </c>
      <c r="AY72" s="192" t="str">
        <f>IF(ISTEXT(VLOOKUP(CONCATENATE($A72,"_",AY$3),'Unit List'!$A$23:$H$3319,2,FALSE)),"X",$AX72)</f>
        <v/>
      </c>
      <c r="AZ72" s="193" t="str">
        <f>IF(ISTEXT(VLOOKUP(CONCATENATE($A72,"_",AZ$3),'Unit List'!$A$23:$H$3319,2,FALSE)),"X",$AX72)</f>
        <v/>
      </c>
      <c r="BA72" s="170" t="str">
        <f>IF(ISTEXT(VLOOKUP(CONCATENATE($A72,"_",BA$3),'Unit List'!$A$23:$H$3319,2,FALSE)),"+","")</f>
        <v/>
      </c>
      <c r="BB72" s="192" t="str">
        <f>IF(ISTEXT(VLOOKUP(CONCATENATE($A72,"_",BB$3),'Unit List'!$A$23:$H$3319,2,FALSE)),"X",$BA72)</f>
        <v/>
      </c>
      <c r="BC72" s="192" t="str">
        <f>IF(ISTEXT(VLOOKUP(CONCATENATE($A72,"_",BC$3),'Unit List'!$A$23:$H$3319,2,FALSE)),"X",$BA72)</f>
        <v/>
      </c>
      <c r="BD72" s="193" t="str">
        <f>IF(ISTEXT(VLOOKUP(CONCATENATE($A72,"_",BD$3),'Unit List'!$A$23:$H$3319,2,FALSE)),"X",$BA72)</f>
        <v/>
      </c>
      <c r="BE72" s="168" t="str">
        <f>IF(ISTEXT(VLOOKUP(CONCATENATE($A72,"_",BE$3),'Unit List'!$A$23:$H$3319,2,FALSE)),"+","")</f>
        <v/>
      </c>
      <c r="BF72" s="171" t="str">
        <f>IF(ISTEXT(VLOOKUP(CONCATENATE($A72,"_",BF$3),'Unit List'!$A$23:$H$3319,2,FALSE)),"X",$BE72)</f>
        <v/>
      </c>
      <c r="BG72" s="171"/>
      <c r="BH72" s="172"/>
      <c r="BI72" s="238"/>
      <c r="BJ72" s="241"/>
      <c r="BK72" s="241"/>
      <c r="BL72" s="241"/>
      <c r="BM72" s="242"/>
      <c r="BN72" s="108"/>
      <c r="BO72" s="108"/>
      <c r="BP72" s="108"/>
      <c r="BQ72" s="108"/>
      <c r="BR72" s="108"/>
      <c r="BS72" s="108"/>
      <c r="DZ72" s="109"/>
      <c r="EA72" s="109"/>
    </row>
    <row r="73" spans="1:131" ht="12.75" customHeight="1" x14ac:dyDescent="0.2">
      <c r="A73" s="173" t="s">
        <v>1907</v>
      </c>
      <c r="B73" s="91"/>
      <c r="C73" s="174"/>
      <c r="D73" s="175"/>
      <c r="E73" s="175"/>
      <c r="F73" s="175"/>
      <c r="G73" s="175"/>
      <c r="H73" s="175"/>
      <c r="I73" s="124"/>
      <c r="J73" s="97"/>
      <c r="K73" s="176"/>
      <c r="L73" s="177"/>
      <c r="M73" s="105" t="str">
        <f>IF(ISTEXT(VLOOKUP(CONCATENATE($A73,"_",M$3),'Unit List'!$A$23:$H$3319,2,FALSE)),"+","")</f>
        <v/>
      </c>
      <c r="N73" s="175"/>
      <c r="O73" s="124"/>
      <c r="P73" s="105"/>
      <c r="Q73" s="175"/>
      <c r="R73" s="175"/>
      <c r="S73" s="176"/>
      <c r="T73" s="176"/>
      <c r="U73" s="175"/>
      <c r="V73" s="175"/>
      <c r="W73" s="124"/>
      <c r="X73" s="105"/>
      <c r="Y73" s="175"/>
      <c r="Z73" s="178"/>
      <c r="AA73" s="178"/>
      <c r="AB73" s="175"/>
      <c r="AC73" s="124"/>
      <c r="AD73" s="105"/>
      <c r="AE73" s="175"/>
      <c r="AF73" s="179"/>
      <c r="AG73" s="105"/>
      <c r="AH73" s="175"/>
      <c r="AI73" s="175"/>
      <c r="AJ73" s="124"/>
      <c r="AK73" s="180"/>
      <c r="AL73" s="178"/>
      <c r="AM73" s="124"/>
      <c r="AN73" s="180"/>
      <c r="AO73" s="181"/>
      <c r="AP73" s="105"/>
      <c r="AQ73" s="175"/>
      <c r="AR73" s="175"/>
      <c r="AS73" s="175"/>
      <c r="AT73" s="124"/>
      <c r="AU73" s="104"/>
      <c r="AV73" s="175"/>
      <c r="AW73" s="177"/>
      <c r="AX73" s="105"/>
      <c r="AY73" s="175"/>
      <c r="AZ73" s="124"/>
      <c r="BA73" s="105"/>
      <c r="BB73" s="175"/>
      <c r="BC73" s="175"/>
      <c r="BD73" s="177"/>
      <c r="BE73" s="103"/>
      <c r="BF73" s="177"/>
      <c r="BG73" s="124"/>
      <c r="BH73" s="107"/>
      <c r="BI73" s="243"/>
      <c r="BJ73" s="244"/>
      <c r="BK73" s="244"/>
      <c r="BL73" s="244"/>
      <c r="BM73" s="245"/>
      <c r="BN73" s="108"/>
      <c r="BO73" s="108"/>
      <c r="BP73" s="108"/>
      <c r="BQ73" s="108"/>
      <c r="BR73" s="108"/>
      <c r="BS73" s="108"/>
      <c r="DZ73" s="109"/>
      <c r="EA73" s="109"/>
    </row>
    <row r="74" spans="1:131" ht="12.75" customHeight="1" x14ac:dyDescent="0.2">
      <c r="A74" s="184" t="s">
        <v>1118</v>
      </c>
      <c r="B74" s="91" t="str">
        <f>IF(ISTEXT(VLOOKUP(CONCATENATE($A74,"_",B$3),'Unit List'!$A$23:$H$3319,2,FALSE)),"+","")</f>
        <v/>
      </c>
      <c r="C74" s="174" t="str">
        <f>IF(ISTEXT(VLOOKUP(CONCATENATE($A74,"_",C$3),'Unit List'!$A$23:$H$3319,2,FALSE)),"X",$B74)</f>
        <v/>
      </c>
      <c r="D74" s="175" t="str">
        <f>IF(ISTEXT(VLOOKUP(CONCATENATE($A74,"_",D$3),'Unit List'!$A$23:$H$3319,2,FALSE)),"X",$B74)</f>
        <v/>
      </c>
      <c r="E74" s="175" t="str">
        <f>IF(ISTEXT(VLOOKUP(CONCATENATE($A74,"_",E$3),'Unit List'!$A$23:$H$3319,2,FALSE)),"X",$B74)</f>
        <v/>
      </c>
      <c r="F74" s="175" t="str">
        <f>IF(ISTEXT(VLOOKUP(CONCATENATE($A74,"_",F$3),'Unit List'!$A$23:$H$3319,2,FALSE)),"X",$B74)</f>
        <v/>
      </c>
      <c r="G74" s="175" t="str">
        <f>IF(ISTEXT(VLOOKUP(CONCATENATE($A74,"_",G$3),'Unit List'!$A$23:$H$3319,2,FALSE)),"X",$B74)</f>
        <v/>
      </c>
      <c r="H74" s="175" t="str">
        <f>IF(ISTEXT(VLOOKUP(CONCATENATE($A74,"_",H$3),'Unit List'!$A$23:$H$3319,2,FALSE)),"X",$B74)</f>
        <v/>
      </c>
      <c r="I74" s="177" t="str">
        <f>IF(ISTEXT(VLOOKUP(CONCATENATE($A74,"_",I$3),'Unit List'!$A$23:$H$3319,2,FALSE)),"X",$B74)</f>
        <v/>
      </c>
      <c r="J74" s="115" t="str">
        <f>IF(ISTEXT(VLOOKUP(CONCATENATE($A74,"_",J$3),'Unit List'!$A$23:$H$3319,2,FALSE)),"+","")</f>
        <v/>
      </c>
      <c r="K74" s="195" t="s">
        <v>0</v>
      </c>
      <c r="L74" s="124" t="str">
        <f>IF(ISTEXT(VLOOKUP(CONCATENATE($A74,"_",L$3),'Unit List'!$A$23:$H$3319,2,FALSE)),"X",$J74)</f>
        <v/>
      </c>
      <c r="M74" s="115" t="str">
        <f>IF(ISTEXT(VLOOKUP(CONCATENATE($A74,"_",M$3),'Unit List'!$A$23:$H$3319,2,FALSE)),"+","")</f>
        <v/>
      </c>
      <c r="N74" s="175" t="str">
        <f>IF(ISTEXT(VLOOKUP(CONCATENATE($A74,"_",N$3),'Unit List'!$A$23:$H$3319,2,FALSE)),"X",$M74)</f>
        <v/>
      </c>
      <c r="O74" s="177" t="str">
        <f>IF(ISTEXT(VLOOKUP(CONCATENATE($A74,"_",O$3),'Unit List'!$A$23:$H$3319,2,FALSE)),"X",$M74)</f>
        <v/>
      </c>
      <c r="P74" s="97" t="str">
        <f>IF(ISTEXT(VLOOKUP(CONCATENATE($A74,"_",P$3),'Unit List'!$A$23:$H$3319,2,FALSE)),"+","")</f>
        <v/>
      </c>
      <c r="Q74" s="175" t="str">
        <f>IF(ISTEXT(VLOOKUP(CONCATENATE($A74,"_",Q$3),'Unit List'!$A$23:$H$3319,2,FALSE)),"X",$P74)</f>
        <v/>
      </c>
      <c r="R74" s="175" t="str">
        <f>IF(ISTEXT(VLOOKUP(CONCATENATE($A74,"_",R$3),'Unit List'!$A$23:$H$3319,2,FALSE)),"X",$P74)</f>
        <v/>
      </c>
      <c r="S74" s="175" t="str">
        <f>IF(ISTEXT(VLOOKUP(CONCATENATE($A74,"_",S$3),'Unit List'!$A$23:$H$3319,2,FALSE)),"X",$P74)</f>
        <v/>
      </c>
      <c r="T74" s="176" t="str">
        <f>IF(ISTEXT(VLOOKUP(CONCATENATE($A74,"_",T$3),'Unit List'!$A$23:$H$3319,2,FALSE)),"X",$P74)</f>
        <v/>
      </c>
      <c r="U74" s="175" t="str">
        <f>IF(ISTEXT(VLOOKUP(CONCATENATE($A74,"_",U$3),'Unit List'!$A$23:$H$3319,2,FALSE)),"X",$P74)</f>
        <v/>
      </c>
      <c r="V74" s="175" t="str">
        <f>IF(ISTEXT(VLOOKUP(CONCATENATE($A74,"_",V$3),'Unit List'!$A$23:$H$3319,2,FALSE)),"X",$P74)</f>
        <v/>
      </c>
      <c r="W74" s="177" t="str">
        <f>IF(ISTEXT(VLOOKUP(CONCATENATE($A74,"_",W$3),'Unit List'!$A$23:$H$3319,2,FALSE)),"X",$P74)</f>
        <v/>
      </c>
      <c r="X74" s="97" t="str">
        <f>IF(ISTEXT(VLOOKUP(CONCATENATE($A74,"_",X$3),'Unit List'!$A$23:$H$3319,2,FALSE)),"+","")</f>
        <v/>
      </c>
      <c r="Y74" s="175" t="str">
        <f>IF(ISTEXT(VLOOKUP(CONCATENATE($A74,"_",Y$3),'Unit List'!$A$23:$H$3319,2,FALSE)),"X",$X74)</f>
        <v/>
      </c>
      <c r="Z74" s="175" t="str">
        <f>IF(ISTEXT(VLOOKUP(CONCATENATE($A74,"_",Z$3),'Unit List'!$A$23:$H$3319,2,FALSE)),"X",$X74)</f>
        <v/>
      </c>
      <c r="AA74" s="175" t="str">
        <f>IF(ISTEXT(VLOOKUP(CONCATENATE($A74,"_",AA$3),'Unit List'!$A$23:$H$3319,2,FALSE)),"X",$X74)</f>
        <v/>
      </c>
      <c r="AB74" s="175" t="str">
        <f>IF(ISTEXT(VLOOKUP(CONCATENATE($A74,"_",AB$3),'Unit List'!$A$23:$H$3319,2,FALSE)),"X",$X74)</f>
        <v/>
      </c>
      <c r="AC74" s="124" t="str">
        <f>IF(ISTEXT(VLOOKUP(CONCATENATE($A74,"_",AC$3),'Unit List'!$A$23:$H$3319,2,FALSE)),"X",$X74)</f>
        <v/>
      </c>
      <c r="AD74" s="115" t="str">
        <f>IF(ISTEXT(VLOOKUP(CONCATENATE($A74,"_",AD$3),'Unit List'!$A$23:$H$3319,2,FALSE)),"+","")</f>
        <v/>
      </c>
      <c r="AE74" s="175" t="str">
        <f>IF(ISTEXT(VLOOKUP(CONCATENATE($A74,"_",AE$3),'Unit List'!$A$23:$H$3319,2,FALSE)),"X",$AD74)</f>
        <v/>
      </c>
      <c r="AF74" s="175" t="str">
        <f>IF(ISTEXT(VLOOKUP(CONCATENATE($A74,"_",AF$3),'Unit List'!$A$23:$H$3319,2,FALSE)),"X",$AD74)</f>
        <v/>
      </c>
      <c r="AG74" s="115" t="str">
        <f>IF(ISTEXT(VLOOKUP(CONCATENATE($A74,"_",AG$3),'Unit List'!$A$23:$H$3319,2,FALSE)),"+","")</f>
        <v/>
      </c>
      <c r="AH74" s="175" t="str">
        <f>IF(ISTEXT(VLOOKUP(CONCATENATE($A74,"_",AH$3),'Unit List'!$A$23:$H$3319,2,FALSE)),"X",$AG74)</f>
        <v/>
      </c>
      <c r="AI74" s="175" t="str">
        <f>IF(ISTEXT(VLOOKUP(CONCATENATE($A74,"_",AI$3),'Unit List'!$A$23:$H$3319,2,FALSE)),"X",$AG74)</f>
        <v/>
      </c>
      <c r="AJ74" s="177" t="str">
        <f>IF(ISTEXT(VLOOKUP(CONCATENATE($A74,"_",AJ$3),'Unit List'!$A$23:$H$3319,2,FALSE)),"X",$AG74)</f>
        <v/>
      </c>
      <c r="AK74" s="97" t="str">
        <f>IF(ISTEXT(VLOOKUP(CONCATENATE($A74,"_",AK$3),'Unit List'!$A$23:$H$3319,2,FALSE)),"+","")</f>
        <v/>
      </c>
      <c r="AL74" s="176" t="str">
        <f>IF(ISTEXT(VLOOKUP(CONCATENATE($A74,"_",AL$3),'Unit List'!$A$23:$H$3319,2,FALSE)),"X",$AK74)</f>
        <v/>
      </c>
      <c r="AM74" s="177" t="str">
        <f>IF(ISTEXT(VLOOKUP(CONCATENATE($A74,"_",AM$3),'Unit List'!$A$23:$H$3319,2,FALSE)),"X",$AK74)</f>
        <v/>
      </c>
      <c r="AN74" s="103" t="str">
        <f>IF(ISTEXT(VLOOKUP(CONCATENATE($A74,"_",AN$3),'Unit List'!$A$23:$H$3319,2,FALSE)),"+","")</f>
        <v/>
      </c>
      <c r="AO74" s="177" t="str">
        <f>IF(ISTEXT(VLOOKUP(CONCATENATE($A74,"_",AO$3),'Unit List'!$A$23:$H$3319,2,FALSE)),"X",$AN74)</f>
        <v/>
      </c>
      <c r="AP74" s="115" t="str">
        <f>IF(ISTEXT(VLOOKUP(CONCATENATE($A74,"_",AP$3),'Unit List'!$A$23:$H$3319,2,FALSE)),"+","")</f>
        <v/>
      </c>
      <c r="AQ74" s="175" t="str">
        <f>IF(ISTEXT(VLOOKUP(CONCATENATE($A74,"_",AQ$3),'Unit List'!$A$23:$H$3319,2,FALSE)),"X",$AP74)</f>
        <v/>
      </c>
      <c r="AR74" s="175" t="str">
        <f>IF(ISTEXT(VLOOKUP(CONCATENATE($A74,"_",AR$3),'Unit List'!$A$23:$H$3319,2,FALSE)),"X",$AP74)</f>
        <v/>
      </c>
      <c r="AS74" s="175" t="str">
        <f>IF(ISTEXT(VLOOKUP(CONCATENATE($A74,"_",AS$3),'Unit List'!$A$23:$H$3319,2,FALSE)),"X",$AP74)</f>
        <v/>
      </c>
      <c r="AT74" s="177" t="str">
        <f>IF(ISTEXT(VLOOKUP(CONCATENATE($A74,"_",AT$3),'Unit List'!$A$23:$H$3319,2,FALSE)),"X",$AP74)</f>
        <v/>
      </c>
      <c r="AU74" s="104" t="str">
        <f>IF(ISTEXT(VLOOKUP(CONCATENATE($A74,"_",AU$3),'Unit List'!$A$23:$H$3319,2,FALSE)),"+","")</f>
        <v/>
      </c>
      <c r="AV74" s="175" t="str">
        <f>IF(ISTEXT(VLOOKUP(CONCATENATE($A74,"_",AV$3),'Unit List'!$A$23:$H$3319,2,FALSE)),"X",$AU74)</f>
        <v/>
      </c>
      <c r="AW74" s="177" t="str">
        <f>IF(ISTEXT(VLOOKUP(CONCATENATE($A74,"_",AW$3),'Unit List'!$A$23:$H$3319,2,FALSE)),"X",$AU74)</f>
        <v/>
      </c>
      <c r="AX74" s="115" t="str">
        <f>IF(ISTEXT(VLOOKUP(CONCATENATE($A74,"_",AX$3),'Unit List'!$A$23:$H$3319,2,FALSE)),"+","")</f>
        <v/>
      </c>
      <c r="AY74" s="175" t="str">
        <f>IF(ISTEXT(VLOOKUP(CONCATENATE($A74,"_",AY$3),'Unit List'!$A$23:$H$3319,2,FALSE)),"X",$AX74)</f>
        <v/>
      </c>
      <c r="AZ74" s="177" t="str">
        <f>IF(ISTEXT(VLOOKUP(CONCATENATE($A74,"_",AZ$3),'Unit List'!$A$23:$H$3319,2,FALSE)),"X",$AX74)</f>
        <v/>
      </c>
      <c r="BA74" s="105" t="str">
        <f>IF(ISTEXT(VLOOKUP(CONCATENATE($A74,"_",BA$3),'Unit List'!$A$23:$H$3319,2,FALSE)),"+","")</f>
        <v/>
      </c>
      <c r="BB74" s="187" t="str">
        <f>IF(ISTEXT(VLOOKUP(CONCATENATE($A74,"_",BB$3),'Unit List'!$A$23:$H$3319,2,FALSE)),"X",$BA74)</f>
        <v/>
      </c>
      <c r="BC74" s="187" t="str">
        <f>IF(ISTEXT(VLOOKUP(CONCATENATE($A74,"_",BC$3),'Unit List'!$A$23:$H$3319,2,FALSE)),"X",$BA74)</f>
        <v/>
      </c>
      <c r="BD74" s="177" t="str">
        <f>IF(ISTEXT(VLOOKUP(CONCATENATE($A74,"_",BD$3),'Unit List'!$A$23:$H$3319,2,FALSE)),"X",$BA74)</f>
        <v/>
      </c>
      <c r="BE74" s="103" t="str">
        <f>IF(ISTEXT(VLOOKUP(CONCATENATE($A74,"_",BE$3),'Unit List'!$A$23:$H$3319,2,FALSE)),"+","")</f>
        <v/>
      </c>
      <c r="BF74" s="196" t="s">
        <v>0</v>
      </c>
      <c r="BG74" s="124"/>
      <c r="BH74" s="107" t="s">
        <v>0</v>
      </c>
      <c r="BI74" s="228"/>
      <c r="BJ74" s="229"/>
      <c r="BK74" s="229"/>
      <c r="BL74" s="229"/>
      <c r="BM74" s="230"/>
      <c r="BN74" s="108"/>
      <c r="BO74" s="108"/>
      <c r="BP74" s="108"/>
      <c r="BQ74" s="108"/>
      <c r="BR74" s="108"/>
      <c r="BS74" s="108"/>
      <c r="DZ74" s="109"/>
      <c r="EA74" s="109"/>
    </row>
    <row r="75" spans="1:131" ht="12.75" customHeight="1" x14ac:dyDescent="0.2">
      <c r="A75" s="184" t="s">
        <v>1119</v>
      </c>
      <c r="B75" s="188" t="str">
        <f>IF(ISTEXT(VLOOKUP(CONCATENATE($A75,"_",B$3),'Unit List'!$A$23:$H$3319,2,FALSE)),"+","")</f>
        <v/>
      </c>
      <c r="C75" s="189" t="str">
        <f>IF(ISTEXT(VLOOKUP(CONCATENATE($A75,"_",C$3),'Unit List'!$A$23:$H$3319,2,FALSE)),"X",$B75)</f>
        <v/>
      </c>
      <c r="D75" s="175" t="str">
        <f>IF(ISTEXT(VLOOKUP(CONCATENATE($A75,"_",D$3),'Unit List'!$A$23:$H$3319,2,FALSE)),"X",$B75)</f>
        <v/>
      </c>
      <c r="E75" s="175" t="str">
        <f>IF(ISTEXT(VLOOKUP(CONCATENATE($A75,"_",E$3),'Unit List'!$A$23:$H$3319,2,FALSE)),"X",$B75)</f>
        <v/>
      </c>
      <c r="F75" s="175" t="str">
        <f>IF(ISTEXT(VLOOKUP(CONCATENATE($A75,"_",F$3),'Unit List'!$A$23:$H$3319,2,FALSE)),"X",$B75)</f>
        <v/>
      </c>
      <c r="G75" s="175" t="str">
        <f>IF(ISTEXT(VLOOKUP(CONCATENATE($A75,"_",G$3),'Unit List'!$A$23:$H$3319,2,FALSE)),"X",$B75)</f>
        <v/>
      </c>
      <c r="H75" s="175" t="str">
        <f>IF(ISTEXT(VLOOKUP(CONCATENATE($A75,"_",H$3),'Unit List'!$A$23:$H$3319,2,FALSE)),"X",$B75)</f>
        <v/>
      </c>
      <c r="I75" s="177" t="str">
        <f>IF(ISTEXT(VLOOKUP(CONCATENATE($A75,"_",I$3),'Unit List'!$A$23:$H$3319,2,FALSE)),"X",$B75)</f>
        <v/>
      </c>
      <c r="J75" s="97" t="str">
        <f>IF(ISTEXT(VLOOKUP(CONCATENATE($A75,"_",J$3),'Unit List'!$A$23:$H$3319,2,FALSE)),"+","")</f>
        <v/>
      </c>
      <c r="K75" s="175" t="str">
        <f>IF(ISTEXT(VLOOKUP(CONCATENATE($A75,"_",K$3),'Unit List'!$A$23:$H$3319,2,FALSE)),"X",$J75)</f>
        <v/>
      </c>
      <c r="L75" s="124" t="str">
        <f>IF(ISTEXT(VLOOKUP(CONCATENATE($A75,"_",L$3),'Unit List'!$A$23:$H$3319,2,FALSE)),"X",$J75)</f>
        <v/>
      </c>
      <c r="M75" s="97" t="str">
        <f>IF(ISTEXT(VLOOKUP(CONCATENATE($A75,"_",M$3),'Unit List'!$A$23:$H$3319,2,FALSE)),"+","")</f>
        <v/>
      </c>
      <c r="N75" s="175" t="str">
        <f>IF(ISTEXT(VLOOKUP(CONCATENATE($A75,"_",N$3),'Unit List'!$A$23:$H$3319,2,FALSE)),"X",$M75)</f>
        <v/>
      </c>
      <c r="O75" s="177" t="str">
        <f>IF(ISTEXT(VLOOKUP(CONCATENATE($A75,"_",O$3),'Unit List'!$A$23:$H$3319,2,FALSE)),"X",$M75)</f>
        <v/>
      </c>
      <c r="P75" s="97" t="str">
        <f>IF(ISTEXT(VLOOKUP(CONCATENATE($A75,"_",P$3),'Unit List'!$A$23:$H$3319,2,FALSE)),"+","")</f>
        <v/>
      </c>
      <c r="Q75" s="175" t="str">
        <f>IF(ISTEXT(VLOOKUP(CONCATENATE($A75,"_",Q$3),'Unit List'!$A$23:$H$3319,2,FALSE)),"X",$P75)</f>
        <v/>
      </c>
      <c r="R75" s="175" t="str">
        <f>IF(ISTEXT(VLOOKUP(CONCATENATE($A75,"_",R$3),'Unit List'!$A$23:$H$3319,2,FALSE)),"X",$P75)</f>
        <v/>
      </c>
      <c r="S75" s="175" t="str">
        <f>IF(ISTEXT(VLOOKUP(CONCATENATE($A75,"_",S$3),'Unit List'!$A$23:$H$3319,2,FALSE)),"X",$P75)</f>
        <v/>
      </c>
      <c r="T75" s="176" t="str">
        <f>IF(ISTEXT(VLOOKUP(CONCATENATE($A75,"_",T$3),'Unit List'!$A$23:$H$3319,2,FALSE)),"X",$P75)</f>
        <v/>
      </c>
      <c r="U75" s="175" t="str">
        <f>IF(ISTEXT(VLOOKUP(CONCATENATE($A75,"_",U$3),'Unit List'!$A$23:$H$3319,2,FALSE)),"X",$P75)</f>
        <v/>
      </c>
      <c r="V75" s="175" t="str">
        <f>IF(ISTEXT(VLOOKUP(CONCATENATE($A75,"_",V$3),'Unit List'!$A$23:$H$3319,2,FALSE)),"X",$P75)</f>
        <v/>
      </c>
      <c r="W75" s="177" t="str">
        <f>IF(ISTEXT(VLOOKUP(CONCATENATE($A75,"_",W$3),'Unit List'!$A$23:$H$3319,2,FALSE)),"X",$P75)</f>
        <v/>
      </c>
      <c r="X75" s="97" t="str">
        <f>IF(ISTEXT(VLOOKUP(CONCATENATE($A75,"_",X$3),'Unit List'!$A$23:$H$3319,2,FALSE)),"+","")</f>
        <v/>
      </c>
      <c r="Y75" s="175" t="str">
        <f>IF(ISTEXT(VLOOKUP(CONCATENATE($A75,"_",Y$3),'Unit List'!$A$23:$H$3319,2,FALSE)),"X",$X75)</f>
        <v/>
      </c>
      <c r="Z75" s="175" t="str">
        <f>IF(ISTEXT(VLOOKUP(CONCATENATE($A75,"_",Z$3),'Unit List'!$A$23:$H$3319,2,FALSE)),"X",$X75)</f>
        <v/>
      </c>
      <c r="AA75" s="175" t="str">
        <f>IF(ISTEXT(VLOOKUP(CONCATENATE($A75,"_",AA$3),'Unit List'!$A$23:$H$3319,2,FALSE)),"X",$X75)</f>
        <v/>
      </c>
      <c r="AB75" s="175" t="str">
        <f>IF(ISTEXT(VLOOKUP(CONCATENATE($A75,"_",AB$3),'Unit List'!$A$23:$H$3319,2,FALSE)),"X",$X75)</f>
        <v/>
      </c>
      <c r="AC75" s="124" t="str">
        <f>IF(ISTEXT(VLOOKUP(CONCATENATE($A75,"_",AC$3),'Unit List'!$A$23:$H$3319,2,FALSE)),"X",$X75)</f>
        <v/>
      </c>
      <c r="AD75" s="97" t="str">
        <f>IF(ISTEXT(VLOOKUP(CONCATENATE($A75,"_",AD$3),'Unit List'!$A$23:$H$3319,2,FALSE)),"+","")</f>
        <v/>
      </c>
      <c r="AE75" s="175" t="str">
        <f>IF(ISTEXT(VLOOKUP(CONCATENATE($A75,"_",AE$3),'Unit List'!$A$23:$H$3319,2,FALSE)),"X",$AD75)</f>
        <v/>
      </c>
      <c r="AF75" s="175" t="str">
        <f>IF(ISTEXT(VLOOKUP(CONCATENATE($A75,"_",AF$3),'Unit List'!$A$23:$H$3319,2,FALSE)),"X",$AD75)</f>
        <v/>
      </c>
      <c r="AG75" s="97" t="str">
        <f>IF(ISTEXT(VLOOKUP(CONCATENATE($A75,"_",AG$3),'Unit List'!$A$23:$H$3319,2,FALSE)),"+","")</f>
        <v/>
      </c>
      <c r="AH75" s="175" t="str">
        <f>IF(ISTEXT(VLOOKUP(CONCATENATE($A75,"_",AH$3),'Unit List'!$A$23:$H$3319,2,FALSE)),"X",$AG75)</f>
        <v/>
      </c>
      <c r="AI75" s="175" t="str">
        <f>IF(ISTEXT(VLOOKUP(CONCATENATE($A75,"_",AI$3),'Unit List'!$A$23:$H$3319,2,FALSE)),"X",$AG75)</f>
        <v/>
      </c>
      <c r="AJ75" s="177" t="str">
        <f>IF(ISTEXT(VLOOKUP(CONCATENATE($A75,"_",AJ$3),'Unit List'!$A$23:$H$3319,2,FALSE)),"X",$AG75)</f>
        <v/>
      </c>
      <c r="AK75" s="97" t="str">
        <f>IF(ISTEXT(VLOOKUP(CONCATENATE($A75,"_",AK$3),'Unit List'!$A$23:$H$3319,2,FALSE)),"+","")</f>
        <v/>
      </c>
      <c r="AL75" s="176" t="str">
        <f>IF(ISTEXT(VLOOKUP(CONCATENATE($A75,"_",AL$3),'Unit List'!$A$23:$H$3319,2,FALSE)),"X",$AK75)</f>
        <v/>
      </c>
      <c r="AM75" s="177" t="str">
        <f>IF(ISTEXT(VLOOKUP(CONCATENATE($A75,"_",AM$3),'Unit List'!$A$23:$H$3319,2,FALSE)),"X",$AK75)</f>
        <v/>
      </c>
      <c r="AN75" s="103" t="str">
        <f>IF(ISTEXT(VLOOKUP(CONCATENATE($A75,"_",AN$3),'Unit List'!$A$23:$H$3319,2,FALSE)),"+","")</f>
        <v/>
      </c>
      <c r="AO75" s="177" t="str">
        <f>IF(ISTEXT(VLOOKUP(CONCATENATE($A75,"_",AO$3),'Unit List'!$A$23:$H$3319,2,FALSE)),"X",$AN75)</f>
        <v/>
      </c>
      <c r="AP75" s="97" t="str">
        <f>IF(ISTEXT(VLOOKUP(CONCATENATE($A75,"_",AP$3),'Unit List'!$A$23:$H$3319,2,FALSE)),"+","")</f>
        <v/>
      </c>
      <c r="AQ75" s="175" t="str">
        <f>IF(ISTEXT(VLOOKUP(CONCATENATE($A75,"_",AQ$3),'Unit List'!$A$23:$H$3319,2,FALSE)),"X",$AP75)</f>
        <v/>
      </c>
      <c r="AR75" s="175" t="str">
        <f>IF(ISTEXT(VLOOKUP(CONCATENATE($A75,"_",AR$3),'Unit List'!$A$23:$H$3319,2,FALSE)),"X",$AP75)</f>
        <v/>
      </c>
      <c r="AS75" s="175" t="str">
        <f>IF(ISTEXT(VLOOKUP(CONCATENATE($A75,"_",AS$3),'Unit List'!$A$23:$H$3319,2,FALSE)),"X",$AP75)</f>
        <v/>
      </c>
      <c r="AT75" s="177" t="str">
        <f>IF(ISTEXT(VLOOKUP(CONCATENATE($A75,"_",AT$3),'Unit List'!$A$23:$H$3319,2,FALSE)),"X",$AP75)</f>
        <v/>
      </c>
      <c r="AU75" s="104" t="str">
        <f>IF(ISTEXT(VLOOKUP(CONCATENATE($A75,"_",AU$3),'Unit List'!$A$23:$H$3319,2,FALSE)),"+","")</f>
        <v/>
      </c>
      <c r="AV75" s="175" t="str">
        <f>IF(ISTEXT(VLOOKUP(CONCATENATE($A75,"_",AV$3),'Unit List'!$A$23:$H$3319,2,FALSE)),"X",$AU75)</f>
        <v/>
      </c>
      <c r="AW75" s="177" t="str">
        <f>IF(ISTEXT(VLOOKUP(CONCATENATE($A75,"_",AW$3),'Unit List'!$A$23:$H$3319,2,FALSE)),"X",$AU75)</f>
        <v/>
      </c>
      <c r="AX75" s="97" t="str">
        <f>IF(ISTEXT(VLOOKUP(CONCATENATE($A75,"_",AX$3),'Unit List'!$A$23:$H$3319,2,FALSE)),"+","")</f>
        <v/>
      </c>
      <c r="AY75" s="175" t="str">
        <f>IF(ISTEXT(VLOOKUP(CONCATENATE($A75,"_",AY$3),'Unit List'!$A$23:$H$3319,2,FALSE)),"X",$AX75)</f>
        <v/>
      </c>
      <c r="AZ75" s="177" t="str">
        <f>IF(ISTEXT(VLOOKUP(CONCATENATE($A75,"_",AZ$3),'Unit List'!$A$23:$H$3319,2,FALSE)),"X",$AX75)</f>
        <v/>
      </c>
      <c r="BA75" s="105" t="str">
        <f>IF(ISTEXT(VLOOKUP(CONCATENATE($A75,"_",BA$3),'Unit List'!$A$23:$H$3319,2,FALSE)),"+","")</f>
        <v/>
      </c>
      <c r="BB75" s="175" t="str">
        <f>IF(ISTEXT(VLOOKUP(CONCATENATE($A75,"_",BB$3),'Unit List'!$A$23:$H$3319,2,FALSE)),"X",$BA75)</f>
        <v/>
      </c>
      <c r="BC75" s="175" t="str">
        <f>IF(ISTEXT(VLOOKUP(CONCATENATE($A75,"_",BC$3),'Unit List'!$A$23:$H$3319,2,FALSE)),"X",$BA75)</f>
        <v/>
      </c>
      <c r="BD75" s="177" t="str">
        <f>IF(ISTEXT(VLOOKUP(CONCATENATE($A75,"_",BD$3),'Unit List'!$A$23:$H$3319,2,FALSE)),"X",$BA75)</f>
        <v/>
      </c>
      <c r="BE75" s="103" t="str">
        <f>IF(ISTEXT(VLOOKUP(CONCATENATE($A75,"_",BE$3),'Unit List'!$A$23:$H$3319,2,FALSE)),"+","")</f>
        <v/>
      </c>
      <c r="BF75" s="124" t="str">
        <f>IF(ISTEXT(VLOOKUP(CONCATENATE($A75,"_",BF$3),'Unit List'!$A$23:$H$3319,2,FALSE)),"X",$BE75)</f>
        <v/>
      </c>
      <c r="BG75" s="106"/>
      <c r="BH75" s="107" t="s">
        <v>0</v>
      </c>
      <c r="BI75" s="228" t="s">
        <v>5</v>
      </c>
      <c r="BJ75" s="231"/>
      <c r="BK75" s="231"/>
      <c r="BL75" s="231"/>
      <c r="BM75" s="232"/>
      <c r="BN75" s="108"/>
      <c r="BO75" s="108"/>
      <c r="BP75" s="108"/>
      <c r="BQ75" s="108"/>
      <c r="BR75" s="108"/>
      <c r="BS75" s="108"/>
      <c r="DZ75" s="109"/>
      <c r="EA75" s="109"/>
    </row>
    <row r="76" spans="1:131" ht="12.75" customHeight="1" x14ac:dyDescent="0.2">
      <c r="A76" s="190" t="s">
        <v>1120</v>
      </c>
      <c r="B76" s="160" t="str">
        <f>IF(ISTEXT(VLOOKUP(CONCATENATE($A76,"_",B$3),'Unit List'!$A$23:$H$3319,2,FALSE)),"+","")</f>
        <v/>
      </c>
      <c r="C76" s="191" t="str">
        <f>IF(ISTEXT(VLOOKUP(CONCATENATE($A76,"_",C$3),'Unit List'!$A$23:$H$3319,2,FALSE)),"X",$B76)</f>
        <v/>
      </c>
      <c r="D76" s="192" t="str">
        <f>IF(ISTEXT(VLOOKUP(CONCATENATE($A76,"_",D$3),'Unit List'!$A$23:$H$3319,2,FALSE)),"X",$B76)</f>
        <v/>
      </c>
      <c r="E76" s="192" t="str">
        <f>IF(ISTEXT(VLOOKUP(CONCATENATE($A76,"_",E$3),'Unit List'!$A$23:$H$3319,2,FALSE)),"X",$B76)</f>
        <v/>
      </c>
      <c r="F76" s="192" t="str">
        <f>IF(ISTEXT(VLOOKUP(CONCATENATE($A76,"_",F$3),'Unit List'!$A$23:$H$3319,2,FALSE)),"X",$B76)</f>
        <v/>
      </c>
      <c r="G76" s="192" t="str">
        <f>IF(ISTEXT(VLOOKUP(CONCATENATE($A76,"_",G$3),'Unit List'!$A$23:$H$3319,2,FALSE)),"X",$B76)</f>
        <v/>
      </c>
      <c r="H76" s="192" t="str">
        <f>IF(ISTEXT(VLOOKUP(CONCATENATE($A76,"_",H$3),'Unit List'!$A$23:$H$3319,2,FALSE)),"X",$B76)</f>
        <v/>
      </c>
      <c r="I76" s="193" t="str">
        <f>IF(ISTEXT(VLOOKUP(CONCATENATE($A76,"_",I$3),'Unit List'!$A$23:$H$3319,2,FALSE)),"X",$B76)</f>
        <v/>
      </c>
      <c r="J76" s="164" t="str">
        <f>IF(ISTEXT(VLOOKUP(CONCATENATE($A76,"_",J$3),'Unit List'!$A$23:$H$3319,2,FALSE)),"+","")</f>
        <v/>
      </c>
      <c r="K76" s="192" t="str">
        <f>IF(ISTEXT(VLOOKUP(CONCATENATE($A76,"_",K$3),'Unit List'!$A$23:$H$3319,2,FALSE)),"X",$J76)</f>
        <v/>
      </c>
      <c r="L76" s="171" t="str">
        <f>IF(ISTEXT(VLOOKUP(CONCATENATE($A76,"_",L$3),'Unit List'!$A$23:$H$3319,2,FALSE)),"X",$J76)</f>
        <v/>
      </c>
      <c r="M76" s="164" t="str">
        <f>IF(ISTEXT(VLOOKUP(CONCATENATE($A76,"_",M$3),'Unit List'!$A$23:$H$3319,2,FALSE)),"+","")</f>
        <v/>
      </c>
      <c r="N76" s="192" t="str">
        <f>IF(ISTEXT(VLOOKUP(CONCATENATE($A76,"_",N$3),'Unit List'!$A$23:$H$3319,2,FALSE)),"X",$M76)</f>
        <v/>
      </c>
      <c r="O76" s="193" t="str">
        <f>IF(ISTEXT(VLOOKUP(CONCATENATE($A76,"_",O$3),'Unit List'!$A$23:$H$3319,2,FALSE)),"X",$M76)</f>
        <v/>
      </c>
      <c r="P76" s="164" t="str">
        <f>IF(ISTEXT(VLOOKUP(CONCATENATE($A76,"_",P$3),'Unit List'!$A$23:$H$3319,2,FALSE)),"+","")</f>
        <v/>
      </c>
      <c r="Q76" s="192" t="str">
        <f>IF(ISTEXT(VLOOKUP(CONCATENATE($A76,"_",Q$3),'Unit List'!$A$23:$H$3319,2,FALSE)),"X",$P76)</f>
        <v/>
      </c>
      <c r="R76" s="192" t="str">
        <f>IF(ISTEXT(VLOOKUP(CONCATENATE($A76,"_",R$3),'Unit List'!$A$23:$H$3319,2,FALSE)),"X",$P76)</f>
        <v/>
      </c>
      <c r="S76" s="192" t="str">
        <f>IF(ISTEXT(VLOOKUP(CONCATENATE($A76,"_",S$3),'Unit List'!$A$23:$H$3319,2,FALSE)),"X",$P76)</f>
        <v/>
      </c>
      <c r="T76" s="194" t="str">
        <f>IF(ISTEXT(VLOOKUP(CONCATENATE($A76,"_",T$3),'Unit List'!$A$23:$H$3319,2,FALSE)),"X",$P76)</f>
        <v/>
      </c>
      <c r="U76" s="192" t="str">
        <f>IF(ISTEXT(VLOOKUP(CONCATENATE($A76,"_",U$3),'Unit List'!$A$23:$H$3319,2,FALSE)),"X",$P76)</f>
        <v/>
      </c>
      <c r="V76" s="192" t="str">
        <f>IF(ISTEXT(VLOOKUP(CONCATENATE($A76,"_",V$3),'Unit List'!$A$23:$H$3319,2,FALSE)),"X",$P76)</f>
        <v/>
      </c>
      <c r="W76" s="193" t="str">
        <f>IF(ISTEXT(VLOOKUP(CONCATENATE($A76,"_",W$3),'Unit List'!$A$23:$H$3319,2,FALSE)),"X",$P76)</f>
        <v/>
      </c>
      <c r="X76" s="164" t="str">
        <f>IF(ISTEXT(VLOOKUP(CONCATENATE($A76,"_",X$3),'Unit List'!$A$23:$H$3319,2,FALSE)),"+","")</f>
        <v/>
      </c>
      <c r="Y76" s="192" t="str">
        <f>IF(ISTEXT(VLOOKUP(CONCATENATE($A76,"_",Y$3),'Unit List'!$A$23:$H$3319,2,FALSE)),"X",$X76)</f>
        <v/>
      </c>
      <c r="Z76" s="192" t="str">
        <f>IF(ISTEXT(VLOOKUP(CONCATENATE($A76,"_",Z$3),'Unit List'!$A$23:$H$3319,2,FALSE)),"X",$X76)</f>
        <v/>
      </c>
      <c r="AA76" s="192" t="str">
        <f>IF(ISTEXT(VLOOKUP(CONCATENATE($A76,"_",AA$3),'Unit List'!$A$23:$H$3319,2,FALSE)),"X",$X76)</f>
        <v/>
      </c>
      <c r="AB76" s="192" t="str">
        <f>IF(ISTEXT(VLOOKUP(CONCATENATE($A76,"_",AB$3),'Unit List'!$A$23:$H$3319,2,FALSE)),"X",$X76)</f>
        <v/>
      </c>
      <c r="AC76" s="171" t="str">
        <f>IF(ISTEXT(VLOOKUP(CONCATENATE($A76,"_",AC$3),'Unit List'!$A$23:$H$3319,2,FALSE)),"X",$X76)</f>
        <v/>
      </c>
      <c r="AD76" s="164" t="str">
        <f>IF(ISTEXT(VLOOKUP(CONCATENATE($A76,"_",AD$3),'Unit List'!$A$23:$H$3319,2,FALSE)),"+","")</f>
        <v/>
      </c>
      <c r="AE76" s="192" t="str">
        <f>IF(ISTEXT(VLOOKUP(CONCATENATE($A76,"_",AE$3),'Unit List'!$A$23:$H$3319,2,FALSE)),"X",$AD76)</f>
        <v/>
      </c>
      <c r="AF76" s="192" t="str">
        <f>IF(ISTEXT(VLOOKUP(CONCATENATE($A76,"_",AF$3),'Unit List'!$A$23:$H$3319,2,FALSE)),"X",$AD76)</f>
        <v/>
      </c>
      <c r="AG76" s="164" t="str">
        <f>IF(ISTEXT(VLOOKUP(CONCATENATE($A76,"_",AG$3),'Unit List'!$A$23:$H$3319,2,FALSE)),"+","")</f>
        <v/>
      </c>
      <c r="AH76" s="192" t="str">
        <f>IF(ISTEXT(VLOOKUP(CONCATENATE($A76,"_",AH$3),'Unit List'!$A$23:$H$3319,2,FALSE)),"X",$AG76)</f>
        <v/>
      </c>
      <c r="AI76" s="192" t="str">
        <f>IF(ISTEXT(VLOOKUP(CONCATENATE($A76,"_",AI$3),'Unit List'!$A$23:$H$3319,2,FALSE)),"X",$AG76)</f>
        <v/>
      </c>
      <c r="AJ76" s="193" t="str">
        <f>IF(ISTEXT(VLOOKUP(CONCATENATE($A76,"_",AJ$3),'Unit List'!$A$23:$H$3319,2,FALSE)),"X",$AG76)</f>
        <v/>
      </c>
      <c r="AK76" s="164" t="str">
        <f>IF(ISTEXT(VLOOKUP(CONCATENATE($A76,"_",AK$3),'Unit List'!$A$23:$H$3319,2,FALSE)),"+","")</f>
        <v/>
      </c>
      <c r="AL76" s="194" t="str">
        <f>IF(ISTEXT(VLOOKUP(CONCATENATE($A76,"_",AL$3),'Unit List'!$A$23:$H$3319,2,FALSE)),"X",$AK76)</f>
        <v/>
      </c>
      <c r="AM76" s="193" t="str">
        <f>IF(ISTEXT(VLOOKUP(CONCATENATE($A76,"_",AM$3),'Unit List'!$A$23:$H$3319,2,FALSE)),"X",$AK76)</f>
        <v/>
      </c>
      <c r="AN76" s="168" t="str">
        <f>IF(ISTEXT(VLOOKUP(CONCATENATE($A76,"_",AN$3),'Unit List'!$A$23:$H$3319,2,FALSE)),"+","")</f>
        <v/>
      </c>
      <c r="AO76" s="193" t="str">
        <f>IF(ISTEXT(VLOOKUP(CONCATENATE($A76,"_",AO$3),'Unit List'!$A$23:$H$3319,2,FALSE)),"X",$AN76)</f>
        <v/>
      </c>
      <c r="AP76" s="164" t="str">
        <f>IF(ISTEXT(VLOOKUP(CONCATENATE($A76,"_",AP$3),'Unit List'!$A$23:$H$3319,2,FALSE)),"+","")</f>
        <v/>
      </c>
      <c r="AQ76" s="192" t="str">
        <f>IF(ISTEXT(VLOOKUP(CONCATENATE($A76,"_",AQ$3),'Unit List'!$A$23:$H$3319,2,FALSE)),"X",$AP76)</f>
        <v/>
      </c>
      <c r="AR76" s="192" t="str">
        <f>IF(ISTEXT(VLOOKUP(CONCATENATE($A76,"_",AR$3),'Unit List'!$A$23:$H$3319,2,FALSE)),"X",$AP76)</f>
        <v/>
      </c>
      <c r="AS76" s="192" t="str">
        <f>IF(ISTEXT(VLOOKUP(CONCATENATE($A76,"_",AS$3),'Unit List'!$A$23:$H$3319,2,FALSE)),"X",$AP76)</f>
        <v/>
      </c>
      <c r="AT76" s="193" t="str">
        <f>IF(ISTEXT(VLOOKUP(CONCATENATE($A76,"_",AT$3),'Unit List'!$A$23:$H$3319,2,FALSE)),"X",$AP76)</f>
        <v/>
      </c>
      <c r="AU76" s="169" t="str">
        <f>IF(ISTEXT(VLOOKUP(CONCATENATE($A76,"_",AU$3),'Unit List'!$A$23:$H$3319,2,FALSE)),"+","")</f>
        <v/>
      </c>
      <c r="AV76" s="192" t="str">
        <f>IF(ISTEXT(VLOOKUP(CONCATENATE($A76,"_",AV$3),'Unit List'!$A$23:$H$3319,2,FALSE)),"X",$AU76)</f>
        <v/>
      </c>
      <c r="AW76" s="193" t="str">
        <f>IF(ISTEXT(VLOOKUP(CONCATENATE($A76,"_",AW$3),'Unit List'!$A$23:$H$3319,2,FALSE)),"X",$AU76)</f>
        <v/>
      </c>
      <c r="AX76" s="164" t="str">
        <f>IF(ISTEXT(VLOOKUP(CONCATENATE($A76,"_",AX$3),'Unit List'!$A$23:$H$3319,2,FALSE)),"+","")</f>
        <v/>
      </c>
      <c r="AY76" s="192" t="str">
        <f>IF(ISTEXT(VLOOKUP(CONCATENATE($A76,"_",AY$3),'Unit List'!$A$23:$H$3319,2,FALSE)),"X",$AX76)</f>
        <v/>
      </c>
      <c r="AZ76" s="193" t="str">
        <f>IF(ISTEXT(VLOOKUP(CONCATENATE($A76,"_",AZ$3),'Unit List'!$A$23:$H$3319,2,FALSE)),"X",$AX76)</f>
        <v/>
      </c>
      <c r="BA76" s="170" t="str">
        <f>IF(ISTEXT(VLOOKUP(CONCATENATE($A76,"_",BA$3),'Unit List'!$A$23:$H$3319,2,FALSE)),"+","")</f>
        <v/>
      </c>
      <c r="BB76" s="192" t="str">
        <f>IF(ISTEXT(VLOOKUP(CONCATENATE($A76,"_",BB$3),'Unit List'!$A$23:$H$3319,2,FALSE)),"X",$BA76)</f>
        <v/>
      </c>
      <c r="BC76" s="192" t="str">
        <f>IF(ISTEXT(VLOOKUP(CONCATENATE($A76,"_",BC$3),'Unit List'!$A$23:$H$3319,2,FALSE)),"X",$BA76)</f>
        <v/>
      </c>
      <c r="BD76" s="193" t="str">
        <f>IF(ISTEXT(VLOOKUP(CONCATENATE($A76,"_",BD$3),'Unit List'!$A$23:$H$3319,2,FALSE)),"X",$BA76)</f>
        <v/>
      </c>
      <c r="BE76" s="168" t="str">
        <f>IF(ISTEXT(VLOOKUP(CONCATENATE($A76,"_",BE$3),'Unit List'!$A$23:$H$3319,2,FALSE)),"+","")</f>
        <v/>
      </c>
      <c r="BF76" s="171" t="str">
        <f>IF(ISTEXT(VLOOKUP(CONCATENATE($A76,"_",BF$3),'Unit List'!$A$23:$H$3319,2,FALSE)),"X",$BE76)</f>
        <v/>
      </c>
      <c r="BG76" s="197"/>
      <c r="BH76" s="198" t="s">
        <v>0</v>
      </c>
      <c r="BI76" s="238"/>
      <c r="BJ76" s="239"/>
      <c r="BK76" s="239"/>
      <c r="BL76" s="239"/>
      <c r="BM76" s="240"/>
      <c r="BN76" s="108"/>
      <c r="BO76" s="108"/>
      <c r="BP76" s="108"/>
      <c r="BQ76" s="108"/>
      <c r="BR76" s="108"/>
      <c r="BS76" s="108"/>
      <c r="DZ76" s="109"/>
      <c r="EA76" s="109"/>
    </row>
    <row r="77" spans="1:131" ht="12.75" customHeight="1" x14ac:dyDescent="0.2">
      <c r="A77" s="173" t="s">
        <v>1909</v>
      </c>
      <c r="B77" s="91"/>
      <c r="C77" s="174"/>
      <c r="D77" s="175"/>
      <c r="E77" s="175"/>
      <c r="F77" s="175"/>
      <c r="G77" s="175"/>
      <c r="H77" s="175"/>
      <c r="I77" s="124"/>
      <c r="J77" s="97"/>
      <c r="K77" s="176"/>
      <c r="L77" s="177"/>
      <c r="M77" s="105"/>
      <c r="N77" s="175"/>
      <c r="O77" s="124"/>
      <c r="P77" s="105"/>
      <c r="Q77" s="175"/>
      <c r="R77" s="175"/>
      <c r="S77" s="176"/>
      <c r="T77" s="176"/>
      <c r="U77" s="175"/>
      <c r="V77" s="175"/>
      <c r="W77" s="124"/>
      <c r="X77" s="105"/>
      <c r="Y77" s="175"/>
      <c r="Z77" s="178"/>
      <c r="AA77" s="178"/>
      <c r="AB77" s="175"/>
      <c r="AC77" s="124"/>
      <c r="AD77" s="105"/>
      <c r="AE77" s="175"/>
      <c r="AF77" s="179"/>
      <c r="AG77" s="105"/>
      <c r="AH77" s="175"/>
      <c r="AI77" s="175"/>
      <c r="AJ77" s="124"/>
      <c r="AK77" s="180"/>
      <c r="AL77" s="178"/>
      <c r="AM77" s="124"/>
      <c r="AN77" s="180"/>
      <c r="AO77" s="181"/>
      <c r="AP77" s="105"/>
      <c r="AQ77" s="175"/>
      <c r="AR77" s="175"/>
      <c r="AS77" s="175"/>
      <c r="AT77" s="124"/>
      <c r="AU77" s="104"/>
      <c r="AV77" s="175"/>
      <c r="AW77" s="177"/>
      <c r="AX77" s="105"/>
      <c r="AY77" s="175"/>
      <c r="AZ77" s="124"/>
      <c r="BA77" s="105"/>
      <c r="BB77" s="175"/>
      <c r="BC77" s="175"/>
      <c r="BD77" s="177"/>
      <c r="BE77" s="103"/>
      <c r="BF77" s="177"/>
      <c r="BG77" s="124"/>
      <c r="BH77" s="107"/>
      <c r="BI77" s="199"/>
      <c r="BJ77" s="200"/>
      <c r="BK77" s="200"/>
      <c r="BL77" s="200"/>
      <c r="BM77" s="200"/>
      <c r="BN77" s="108"/>
      <c r="BO77" s="108"/>
      <c r="BP77" s="108"/>
      <c r="BQ77" s="108"/>
      <c r="BR77" s="108"/>
      <c r="BS77" s="108"/>
      <c r="DZ77" s="109"/>
      <c r="EA77" s="109"/>
    </row>
    <row r="78" spans="1:131" ht="12.75" customHeight="1" x14ac:dyDescent="0.2">
      <c r="A78" s="201" t="s">
        <v>1124</v>
      </c>
      <c r="B78" s="91" t="str">
        <f>IF(ISTEXT(VLOOKUP(CONCATENATE($A78,"_",B$3),'Unit List'!$A$23:$H$3319,2,FALSE)),"+","")</f>
        <v/>
      </c>
      <c r="C78" s="174" t="str">
        <f>IF(ISTEXT(VLOOKUP(CONCATENATE($A78,"_",C$3),'Unit List'!$A$23:$H$3319,2,FALSE)),"X",$B78)</f>
        <v/>
      </c>
      <c r="D78" s="175" t="str">
        <f>IF(ISTEXT(VLOOKUP(CONCATENATE($A78,"_",D$3),'Unit List'!$A$23:$H$3319,2,FALSE)),"X",$B78)</f>
        <v/>
      </c>
      <c r="E78" s="175" t="str">
        <f>IF(ISTEXT(VLOOKUP(CONCATENATE($A78,"_",E$3),'Unit List'!$A$23:$H$3319,2,FALSE)),"X",$B78)</f>
        <v/>
      </c>
      <c r="F78" s="175" t="str">
        <f>IF(ISTEXT(VLOOKUP(CONCATENATE($A78,"_",F$3),'Unit List'!$A$23:$H$3319,2,FALSE)),"X",$B78)</f>
        <v/>
      </c>
      <c r="G78" s="175" t="str">
        <f>IF(ISTEXT(VLOOKUP(CONCATENATE($A78,"_",G$3),'Unit List'!$A$23:$H$3319,2,FALSE)),"X",$B78)</f>
        <v/>
      </c>
      <c r="H78" s="175" t="str">
        <f>IF(ISTEXT(VLOOKUP(CONCATENATE($A78,"_",H$3),'Unit List'!$A$23:$H$3319,2,FALSE)),"X",$B78)</f>
        <v/>
      </c>
      <c r="I78" s="177" t="str">
        <f>IF(ISTEXT(VLOOKUP(CONCATENATE($A78,"_",I$3),'Unit List'!$A$23:$H$3319,2,FALSE)),"X",$B78)</f>
        <v/>
      </c>
      <c r="J78" s="97" t="str">
        <f>IF(ISTEXT(VLOOKUP(CONCATENATE($A78,"_",J$3),'Unit List'!$A$23:$H$3319,2,FALSE)),"+","")</f>
        <v/>
      </c>
      <c r="K78" s="175" t="str">
        <f>IF(ISTEXT(VLOOKUP(CONCATENATE($A78,"_",K$3),'Unit List'!$A$23:$H$3319,2,FALSE)),"X",$J78)</f>
        <v/>
      </c>
      <c r="L78" s="124" t="str">
        <f>IF(ISTEXT(VLOOKUP(CONCATENATE($A78,"_",L$3),'Unit List'!$A$23:$H$3319,2,FALSE)),"X",$J78)</f>
        <v/>
      </c>
      <c r="M78" s="97" t="str">
        <f>IF(ISTEXT(VLOOKUP(CONCATENATE($A78,"_",M$3),'Unit List'!$A$23:$H$3319,2,FALSE)),"+","")</f>
        <v/>
      </c>
      <c r="N78" s="175" t="str">
        <f>IF(ISTEXT(VLOOKUP(CONCATENATE($A78,"_",N$3),'Unit List'!$A$23:$H$3319,2,FALSE)),"X",$M78)</f>
        <v/>
      </c>
      <c r="O78" s="177" t="str">
        <f>IF(ISTEXT(VLOOKUP(CONCATENATE($A78,"_",O$3),'Unit List'!$A$23:$H$3319,2,FALSE)),"X",$M78)</f>
        <v/>
      </c>
      <c r="P78" s="97" t="str">
        <f>IF(ISTEXT(VLOOKUP(CONCATENATE($A78,"_",P$3),'Unit List'!$A$23:$H$3319,2,FALSE)),"+","")</f>
        <v/>
      </c>
      <c r="Q78" s="175" t="str">
        <f>IF(ISTEXT(VLOOKUP(CONCATENATE($A78,"_",Q$3),'Unit List'!$A$23:$H$3319,2,FALSE)),"X",$P78)</f>
        <v/>
      </c>
      <c r="R78" s="175" t="str">
        <f>IF(ISTEXT(VLOOKUP(CONCATENATE($A78,"_",R$3),'Unit List'!$A$23:$H$3319,2,FALSE)),"X",$P78)</f>
        <v/>
      </c>
      <c r="S78" s="175" t="str">
        <f>IF(ISTEXT(VLOOKUP(CONCATENATE($A78,"_",S$3),'Unit List'!$A$23:$H$3319,2,FALSE)),"X",$P78)</f>
        <v/>
      </c>
      <c r="T78" s="176" t="str">
        <f>IF(ISTEXT(VLOOKUP(CONCATENATE($A78,"_",T$3),'Unit List'!$A$23:$H$3319,2,FALSE)),"X",$P78)</f>
        <v/>
      </c>
      <c r="U78" s="175" t="str">
        <f>IF(ISTEXT(VLOOKUP(CONCATENATE($A78,"_",U$3),'Unit List'!$A$23:$H$3319,2,FALSE)),"X",$P78)</f>
        <v/>
      </c>
      <c r="V78" s="175" t="str">
        <f>IF(ISTEXT(VLOOKUP(CONCATENATE($A78,"_",V$3),'Unit List'!$A$23:$H$3319,2,FALSE)),"X",$P78)</f>
        <v/>
      </c>
      <c r="W78" s="177" t="str">
        <f>IF(ISTEXT(VLOOKUP(CONCATENATE($A78,"_",W$3),'Unit List'!$A$23:$H$3319,2,FALSE)),"X",$P78)</f>
        <v/>
      </c>
      <c r="X78" s="97" t="str">
        <f>IF(ISTEXT(VLOOKUP(CONCATENATE($A78,"_",X$3),'Unit List'!$A$23:$H$3319,2,FALSE)),"+","")</f>
        <v/>
      </c>
      <c r="Y78" s="175" t="str">
        <f>IF(ISTEXT(VLOOKUP(CONCATENATE($A78,"_",Y$3),'Unit List'!$A$23:$H$3319,2,FALSE)),"X",$X78)</f>
        <v/>
      </c>
      <c r="Z78" s="175" t="str">
        <f>IF(ISTEXT(VLOOKUP(CONCATENATE($A78,"_",Z$3),'Unit List'!$A$23:$H$3319,2,FALSE)),"X",$X78)</f>
        <v/>
      </c>
      <c r="AA78" s="175" t="str">
        <f>IF(ISTEXT(VLOOKUP(CONCATENATE($A78,"_",AA$3),'Unit List'!$A$23:$H$3319,2,FALSE)),"X",$X78)</f>
        <v/>
      </c>
      <c r="AB78" s="175" t="str">
        <f>IF(ISTEXT(VLOOKUP(CONCATENATE($A78,"_",AB$3),'Unit List'!$A$23:$H$3319,2,FALSE)),"X",$X78)</f>
        <v/>
      </c>
      <c r="AC78" s="124" t="str">
        <f>IF(ISTEXT(VLOOKUP(CONCATENATE($A78,"_",AC$3),'Unit List'!$A$23:$H$3319,2,FALSE)),"X",$X78)</f>
        <v/>
      </c>
      <c r="AD78" s="97" t="str">
        <f>IF(ISTEXT(VLOOKUP(CONCATENATE($A78,"_",AD$3),'Unit List'!$A$23:$H$3319,2,FALSE)),"+","")</f>
        <v/>
      </c>
      <c r="AE78" s="175" t="str">
        <f>IF(ISTEXT(VLOOKUP(CONCATENATE($A78,"_",AE$3),'Unit List'!$A$23:$H$3319,2,FALSE)),"X",$AD78)</f>
        <v/>
      </c>
      <c r="AF78" s="175" t="str">
        <f>IF(ISTEXT(VLOOKUP(CONCATENATE($A78,"_",AF$3),'Unit List'!$A$23:$H$3319,2,FALSE)),"X",$AD78)</f>
        <v/>
      </c>
      <c r="AG78" s="97" t="str">
        <f>IF(ISTEXT(VLOOKUP(CONCATENATE($A78,"_",AG$3),'Unit List'!$A$23:$H$3319,2,FALSE)),"+","")</f>
        <v/>
      </c>
      <c r="AH78" s="175" t="str">
        <f>IF(ISTEXT(VLOOKUP(CONCATENATE($A78,"_",AH$3),'Unit List'!$A$23:$H$3319,2,FALSE)),"X",$AG78)</f>
        <v/>
      </c>
      <c r="AI78" s="175" t="str">
        <f>IF(ISTEXT(VLOOKUP(CONCATENATE($A78,"_",AI$3),'Unit List'!$A$23:$H$3319,2,FALSE)),"X",$AG78)</f>
        <v/>
      </c>
      <c r="AJ78" s="177" t="str">
        <f>IF(ISTEXT(VLOOKUP(CONCATENATE($A78,"_",AJ$3),'Unit List'!$A$23:$H$3319,2,FALSE)),"X",$AG78)</f>
        <v/>
      </c>
      <c r="AK78" s="97" t="str">
        <f>IF(ISTEXT(VLOOKUP(CONCATENATE($A78,"_",AK$3),'Unit List'!$A$23:$H$3319,2,FALSE)),"+","")</f>
        <v/>
      </c>
      <c r="AL78" s="176" t="str">
        <f>IF(ISTEXT(VLOOKUP(CONCATENATE($A78,"_",AL$3),'Unit List'!$A$23:$H$3319,2,FALSE)),"X",$AK78)</f>
        <v/>
      </c>
      <c r="AM78" s="177" t="str">
        <f>IF(ISTEXT(VLOOKUP(CONCATENATE($A78,"_",AM$3),'Unit List'!$A$23:$H$3319,2,FALSE)),"X",$AK78)</f>
        <v/>
      </c>
      <c r="AN78" s="103" t="str">
        <f>IF(ISTEXT(VLOOKUP(CONCATENATE($A78,"_",AN$3),'Unit List'!$A$23:$H$3319,2,FALSE)),"+","")</f>
        <v/>
      </c>
      <c r="AO78" s="177" t="str">
        <f>IF(ISTEXT(VLOOKUP(CONCATENATE($A78,"_",AO$3),'Unit List'!$A$23:$H$3319,2,FALSE)),"X",$AN78)</f>
        <v/>
      </c>
      <c r="AP78" s="97" t="str">
        <f>IF(ISTEXT(VLOOKUP(CONCATENATE($A78,"_",AP$3),'Unit List'!$A$23:$H$3319,2,FALSE)),"+","")</f>
        <v/>
      </c>
      <c r="AQ78" s="175" t="str">
        <f>IF(ISTEXT(VLOOKUP(CONCATENATE($A78,"_",AQ$3),'Unit List'!$A$23:$H$3319,2,FALSE)),"X",$AP78)</f>
        <v/>
      </c>
      <c r="AR78" s="175" t="str">
        <f>IF(ISTEXT(VLOOKUP(CONCATENATE($A78,"_",AR$3),'Unit List'!$A$23:$H$3319,2,FALSE)),"X",$AP78)</f>
        <v/>
      </c>
      <c r="AS78" s="175" t="str">
        <f>IF(ISTEXT(VLOOKUP(CONCATENATE($A78,"_",AS$3),'Unit List'!$A$23:$H$3319,2,FALSE)),"X",$AP78)</f>
        <v/>
      </c>
      <c r="AT78" s="177" t="str">
        <f>IF(ISTEXT(VLOOKUP(CONCATENATE($A78,"_",AT$3),'Unit List'!$A$23:$H$3319,2,FALSE)),"X",$AP78)</f>
        <v/>
      </c>
      <c r="AU78" s="104" t="str">
        <f>IF(ISTEXT(VLOOKUP(CONCATENATE($A78,"_",AU$3),'Unit List'!$A$23:$H$3319,2,FALSE)),"+","")</f>
        <v/>
      </c>
      <c r="AV78" s="175" t="str">
        <f>IF(ISTEXT(VLOOKUP(CONCATENATE($A78,"_",AV$3),'Unit List'!$A$23:$H$3319,2,FALSE)),"X",$AU78)</f>
        <v/>
      </c>
      <c r="AW78" s="177" t="str">
        <f>IF(ISTEXT(VLOOKUP(CONCATENATE($A78,"_",AW$3),'Unit List'!$A$23:$H$3319,2,FALSE)),"X",$AU78)</f>
        <v/>
      </c>
      <c r="AX78" s="97" t="str">
        <f>IF(ISTEXT(VLOOKUP(CONCATENATE($A78,"_",AX$3),'Unit List'!$A$23:$H$3319,2,FALSE)),"+","")</f>
        <v/>
      </c>
      <c r="AY78" s="175" t="str">
        <f>IF(ISTEXT(VLOOKUP(CONCATENATE($A78,"_",AY$3),'Unit List'!$A$23:$H$3319,2,FALSE)),"X",$AX78)</f>
        <v/>
      </c>
      <c r="AZ78" s="177" t="str">
        <f>IF(ISTEXT(VLOOKUP(CONCATENATE($A78,"_",AZ$3),'Unit List'!$A$23:$H$3319,2,FALSE)),"X",$AX78)</f>
        <v/>
      </c>
      <c r="BA78" s="105" t="str">
        <f>IF(ISTEXT(VLOOKUP(CONCATENATE($A78,"_",BA$3),'Unit List'!$A$23:$H$3319,2,FALSE)),"+","")</f>
        <v/>
      </c>
      <c r="BB78" s="175" t="str">
        <f>IF(ISTEXT(VLOOKUP(CONCATENATE($A78,"_",BB$3),'Unit List'!$A$23:$H$3319,2,FALSE)),"X",$BA78)</f>
        <v/>
      </c>
      <c r="BC78" s="175" t="str">
        <f>IF(ISTEXT(VLOOKUP(CONCATENATE($A78,"_",BC$3),'Unit List'!$A$23:$H$3319,2,FALSE)),"X",$BA78)</f>
        <v/>
      </c>
      <c r="BD78" s="177" t="str">
        <f>IF(ISTEXT(VLOOKUP(CONCATENATE($A78,"_",BD$3),'Unit List'!$A$23:$H$3319,2,FALSE)),"X",$BA78)</f>
        <v/>
      </c>
      <c r="BE78" s="103" t="str">
        <f>IF(ISTEXT(VLOOKUP(CONCATENATE($A78,"_",BE$3),'Unit List'!$A$23:$H$3319,2,FALSE)),"+","")</f>
        <v/>
      </c>
      <c r="BF78" s="124" t="str">
        <f>IF(ISTEXT(VLOOKUP(CONCATENATE($A78,"_",BF$3),'Unit List'!$A$23:$H$3319,2,FALSE)),"X",$BE78)</f>
        <v/>
      </c>
      <c r="BG78" s="177"/>
      <c r="BH78" s="107" t="s">
        <v>0</v>
      </c>
      <c r="BI78" s="202"/>
      <c r="BJ78" s="203"/>
      <c r="BK78" s="203"/>
      <c r="BL78" s="203"/>
      <c r="BM78" s="203"/>
      <c r="BN78" s="108"/>
      <c r="BO78" s="108"/>
      <c r="BP78" s="108"/>
      <c r="BQ78" s="108"/>
      <c r="BR78" s="108"/>
      <c r="BS78" s="108"/>
      <c r="DZ78" s="109"/>
      <c r="EA78" s="109"/>
    </row>
    <row r="79" spans="1:131" ht="12.75" customHeight="1" x14ac:dyDescent="0.2">
      <c r="A79" s="201" t="s">
        <v>1125</v>
      </c>
      <c r="B79" s="204" t="str">
        <f>IF(ISTEXT(VLOOKUP(CONCATENATE($A79,"_",B$3),'Unit List'!$A$23:$H$3319,2,FALSE)),"+","")</f>
        <v/>
      </c>
      <c r="C79" s="174" t="str">
        <f>IF(ISTEXT(VLOOKUP(CONCATENATE($A79,"_",C$3),'Unit List'!$A$23:$H$3319,2,FALSE)),"X",$B79)</f>
        <v/>
      </c>
      <c r="D79" s="175" t="str">
        <f>IF(ISTEXT(VLOOKUP(CONCATENATE($A79,"_",D$3),'Unit List'!$A$23:$H$3319,2,FALSE)),"X",$B79)</f>
        <v/>
      </c>
      <c r="E79" s="175" t="str">
        <f>IF(ISTEXT(VLOOKUP(CONCATENATE($A79,"_",E$3),'Unit List'!$A$23:$H$3319,2,FALSE)),"X",$B79)</f>
        <v/>
      </c>
      <c r="F79" s="175" t="str">
        <f>IF(ISTEXT(VLOOKUP(CONCATENATE($A79,"_",F$3),'Unit List'!$A$23:$H$3319,2,FALSE)),"X",$B79)</f>
        <v/>
      </c>
      <c r="G79" s="175" t="str">
        <f>IF(ISTEXT(VLOOKUP(CONCATENATE($A79,"_",G$3),'Unit List'!$A$23:$H$3319,2,FALSE)),"X",$B79)</f>
        <v/>
      </c>
      <c r="H79" s="175" t="str">
        <f>IF(ISTEXT(VLOOKUP(CONCATENATE($A79,"_",H$3),'Unit List'!$A$23:$H$3319,2,FALSE)),"X",$B79)</f>
        <v/>
      </c>
      <c r="I79" s="177" t="str">
        <f>IF(ISTEXT(VLOOKUP(CONCATENATE($A79,"_",I$3),'Unit List'!$A$23:$H$3319,2,FALSE)),"X",$B79)</f>
        <v/>
      </c>
      <c r="J79" s="97" t="str">
        <f>IF(ISTEXT(VLOOKUP(CONCATENATE($A79,"_",J$3),'Unit List'!$A$23:$H$3319,2,FALSE)),"+","")</f>
        <v/>
      </c>
      <c r="K79" s="175" t="str">
        <f>IF(ISTEXT(VLOOKUP(CONCATENATE($A79,"_",K$3),'Unit List'!$A$23:$H$3319,2,FALSE)),"X",$J79)</f>
        <v/>
      </c>
      <c r="L79" s="124" t="str">
        <f>IF(ISTEXT(VLOOKUP(CONCATENATE($A79,"_",L$3),'Unit List'!$A$23:$H$3319,2,FALSE)),"X",$J79)</f>
        <v/>
      </c>
      <c r="M79" s="97" t="str">
        <f>IF(ISTEXT(VLOOKUP(CONCATENATE($A79,"_",M$3),'Unit List'!$A$23:$H$3319,2,FALSE)),"+","")</f>
        <v/>
      </c>
      <c r="N79" s="175" t="str">
        <f>IF(ISTEXT(VLOOKUP(CONCATENATE($A79,"_",N$3),'Unit List'!$A$23:$H$3319,2,FALSE)),"X",$M79)</f>
        <v/>
      </c>
      <c r="O79" s="177" t="str">
        <f>IF(ISTEXT(VLOOKUP(CONCATENATE($A79,"_",O$3),'Unit List'!$A$23:$H$3319,2,FALSE)),"X",$M79)</f>
        <v/>
      </c>
      <c r="P79" s="97" t="str">
        <f>IF(ISTEXT(VLOOKUP(CONCATENATE($A79,"_",P$3),'Unit List'!$A$23:$H$3319,2,FALSE)),"+","")</f>
        <v/>
      </c>
      <c r="Q79" s="175" t="str">
        <f>IF(ISTEXT(VLOOKUP(CONCATENATE($A79,"_",Q$3),'Unit List'!$A$23:$H$3319,2,FALSE)),"X",$P79)</f>
        <v/>
      </c>
      <c r="R79" s="175" t="str">
        <f>IF(ISTEXT(VLOOKUP(CONCATENATE($A79,"_",R$3),'Unit List'!$A$23:$H$3319,2,FALSE)),"X",$P79)</f>
        <v/>
      </c>
      <c r="S79" s="175" t="str">
        <f>IF(ISTEXT(VLOOKUP(CONCATENATE($A79,"_",S$3),'Unit List'!$A$23:$H$3319,2,FALSE)),"X",$P79)</f>
        <v/>
      </c>
      <c r="T79" s="176" t="str">
        <f>IF(ISTEXT(VLOOKUP(CONCATENATE($A79,"_",T$3),'Unit List'!$A$23:$H$3319,2,FALSE)),"X",$P79)</f>
        <v/>
      </c>
      <c r="U79" s="175" t="str">
        <f>IF(ISTEXT(VLOOKUP(CONCATENATE($A79,"_",U$3),'Unit List'!$A$23:$H$3319,2,FALSE)),"X",$P79)</f>
        <v/>
      </c>
      <c r="V79" s="175" t="str">
        <f>IF(ISTEXT(VLOOKUP(CONCATENATE($A79,"_",V$3),'Unit List'!$A$23:$H$3319,2,FALSE)),"X",$P79)</f>
        <v/>
      </c>
      <c r="W79" s="177" t="str">
        <f>IF(ISTEXT(VLOOKUP(CONCATENATE($A79,"_",W$3),'Unit List'!$A$23:$H$3319,2,FALSE)),"X",$P79)</f>
        <v/>
      </c>
      <c r="X79" s="97" t="str">
        <f>IF(ISTEXT(VLOOKUP(CONCATENATE($A79,"_",X$3),'Unit List'!$A$23:$H$3319,2,FALSE)),"+","")</f>
        <v/>
      </c>
      <c r="Y79" s="175" t="str">
        <f>IF(ISTEXT(VLOOKUP(CONCATENATE($A79,"_",Y$3),'Unit List'!$A$23:$H$3319,2,FALSE)),"X",$X79)</f>
        <v/>
      </c>
      <c r="Z79" s="175" t="str">
        <f>IF(ISTEXT(VLOOKUP(CONCATENATE($A79,"_",Z$3),'Unit List'!$A$23:$H$3319,2,FALSE)),"X",$X79)</f>
        <v/>
      </c>
      <c r="AA79" s="175" t="str">
        <f>IF(ISTEXT(VLOOKUP(CONCATENATE($A79,"_",AA$3),'Unit List'!$A$23:$H$3319,2,FALSE)),"X",$X79)</f>
        <v/>
      </c>
      <c r="AB79" s="175" t="str">
        <f>IF(ISTEXT(VLOOKUP(CONCATENATE($A79,"_",AB$3),'Unit List'!$A$23:$H$3319,2,FALSE)),"X",$X79)</f>
        <v/>
      </c>
      <c r="AC79" s="124" t="str">
        <f>IF(ISTEXT(VLOOKUP(CONCATENATE($A79,"_",AC$3),'Unit List'!$A$23:$H$3319,2,FALSE)),"X",$X79)</f>
        <v/>
      </c>
      <c r="AD79" s="97" t="str">
        <f>IF(ISTEXT(VLOOKUP(CONCATENATE($A79,"_",AD$3),'Unit List'!$A$23:$H$3319,2,FALSE)),"+","")</f>
        <v/>
      </c>
      <c r="AE79" s="175" t="str">
        <f>IF(ISTEXT(VLOOKUP(CONCATENATE($A79,"_",AE$3),'Unit List'!$A$23:$H$3319,2,FALSE)),"X",$AD79)</f>
        <v/>
      </c>
      <c r="AF79" s="175" t="str">
        <f>IF(ISTEXT(VLOOKUP(CONCATENATE($A79,"_",AF$3),'Unit List'!$A$23:$H$3319,2,FALSE)),"X",$AD79)</f>
        <v/>
      </c>
      <c r="AG79" s="97" t="str">
        <f>IF(ISTEXT(VLOOKUP(CONCATENATE($A79,"_",AG$3),'Unit List'!$A$23:$H$3319,2,FALSE)),"+","")</f>
        <v/>
      </c>
      <c r="AH79" s="175" t="str">
        <f>IF(ISTEXT(VLOOKUP(CONCATENATE($A79,"_",AH$3),'Unit List'!$A$23:$H$3319,2,FALSE)),"X",$AG79)</f>
        <v/>
      </c>
      <c r="AI79" s="175" t="str">
        <f>IF(ISTEXT(VLOOKUP(CONCATENATE($A79,"_",AI$3),'Unit List'!$A$23:$H$3319,2,FALSE)),"X",$AG79)</f>
        <v/>
      </c>
      <c r="AJ79" s="177" t="str">
        <f>IF(ISTEXT(VLOOKUP(CONCATENATE($A79,"_",AJ$3),'Unit List'!$A$23:$H$3319,2,FALSE)),"X",$AG79)</f>
        <v/>
      </c>
      <c r="AK79" s="97" t="str">
        <f>IF(ISTEXT(VLOOKUP(CONCATENATE($A79,"_",AK$3),'Unit List'!$A$23:$H$3319,2,FALSE)),"+","")</f>
        <v/>
      </c>
      <c r="AL79" s="176" t="str">
        <f>IF(ISTEXT(VLOOKUP(CONCATENATE($A79,"_",AL$3),'Unit List'!$A$23:$H$3319,2,FALSE)),"X",$AK79)</f>
        <v/>
      </c>
      <c r="AM79" s="177" t="str">
        <f>IF(ISTEXT(VLOOKUP(CONCATENATE($A79,"_",AM$3),'Unit List'!$A$23:$H$3319,2,FALSE)),"X",$AK79)</f>
        <v/>
      </c>
      <c r="AN79" s="103" t="str">
        <f>IF(ISTEXT(VLOOKUP(CONCATENATE($A79,"_",AN$3),'Unit List'!$A$23:$H$3319,2,FALSE)),"+","")</f>
        <v/>
      </c>
      <c r="AO79" s="177" t="str">
        <f>IF(ISTEXT(VLOOKUP(CONCATENATE($A79,"_",AO$3),'Unit List'!$A$23:$H$3319,2,FALSE)),"X",$AN79)</f>
        <v/>
      </c>
      <c r="AP79" s="97" t="str">
        <f>IF(ISTEXT(VLOOKUP(CONCATENATE($A79,"_",AP$3),'Unit List'!$A$23:$H$3319,2,FALSE)),"+","")</f>
        <v/>
      </c>
      <c r="AQ79" s="175" t="str">
        <f>IF(ISTEXT(VLOOKUP(CONCATENATE($A79,"_",AQ$3),'Unit List'!$A$23:$H$3319,2,FALSE)),"X",$AP79)</f>
        <v/>
      </c>
      <c r="AR79" s="175" t="str">
        <f>IF(ISTEXT(VLOOKUP(CONCATENATE($A79,"_",AR$3),'Unit List'!$A$23:$H$3319,2,FALSE)),"X",$AP79)</f>
        <v/>
      </c>
      <c r="AS79" s="175" t="str">
        <f>IF(ISTEXT(VLOOKUP(CONCATENATE($A79,"_",AS$3),'Unit List'!$A$23:$H$3319,2,FALSE)),"X",$AP79)</f>
        <v/>
      </c>
      <c r="AT79" s="177" t="str">
        <f>IF(ISTEXT(VLOOKUP(CONCATENATE($A79,"_",AT$3),'Unit List'!$A$23:$H$3319,2,FALSE)),"X",$AP79)</f>
        <v/>
      </c>
      <c r="AU79" s="104" t="str">
        <f>IF(ISTEXT(VLOOKUP(CONCATENATE($A79,"_",AU$3),'Unit List'!$A$23:$H$3319,2,FALSE)),"+","")</f>
        <v/>
      </c>
      <c r="AV79" s="175" t="str">
        <f>IF(ISTEXT(VLOOKUP(CONCATENATE($A79,"_",AV$3),'Unit List'!$A$23:$H$3319,2,FALSE)),"X",$AU79)</f>
        <v/>
      </c>
      <c r="AW79" s="177" t="str">
        <f>IF(ISTEXT(VLOOKUP(CONCATENATE($A79,"_",AW$3),'Unit List'!$A$23:$H$3319,2,FALSE)),"X",$AU79)</f>
        <v/>
      </c>
      <c r="AX79" s="97" t="str">
        <f>IF(ISTEXT(VLOOKUP(CONCATENATE($A79,"_",AX$3),'Unit List'!$A$23:$H$3319,2,FALSE)),"+","")</f>
        <v/>
      </c>
      <c r="AY79" s="175" t="str">
        <f>IF(ISTEXT(VLOOKUP(CONCATENATE($A79,"_",AY$3),'Unit List'!$A$23:$H$3319,2,FALSE)),"X",$AX79)</f>
        <v/>
      </c>
      <c r="AZ79" s="177" t="str">
        <f>IF(ISTEXT(VLOOKUP(CONCATENATE($A79,"_",AZ$3),'Unit List'!$A$23:$H$3319,2,FALSE)),"X",$AX79)</f>
        <v/>
      </c>
      <c r="BA79" s="105" t="str">
        <f>IF(ISTEXT(VLOOKUP(CONCATENATE($A79,"_",BA$3),'Unit List'!$A$23:$H$3319,2,FALSE)),"+","")</f>
        <v/>
      </c>
      <c r="BB79" s="175" t="str">
        <f>IF(ISTEXT(VLOOKUP(CONCATENATE($A79,"_",BB$3),'Unit List'!$A$23:$H$3319,2,FALSE)),"X",$BA79)</f>
        <v/>
      </c>
      <c r="BC79" s="175" t="str">
        <f>IF(ISTEXT(VLOOKUP(CONCATENATE($A79,"_",BC$3),'Unit List'!$A$23:$H$3319,2,FALSE)),"X",$BA79)</f>
        <v/>
      </c>
      <c r="BD79" s="177" t="str">
        <f>IF(ISTEXT(VLOOKUP(CONCATENATE($A79,"_",BD$3),'Unit List'!$A$23:$H$3319,2,FALSE)),"X",$BA79)</f>
        <v/>
      </c>
      <c r="BE79" s="103" t="str">
        <f>IF(ISTEXT(VLOOKUP(CONCATENATE($A79,"_",BE$3),'Unit List'!$A$23:$H$3319,2,FALSE)),"+","")</f>
        <v/>
      </c>
      <c r="BF79" s="124" t="str">
        <f>IF(ISTEXT(VLOOKUP(CONCATENATE($A79,"_",BF$3),'Unit List'!$A$23:$H$3319,2,FALSE)),"X",$BE79)</f>
        <v/>
      </c>
      <c r="BG79" s="177"/>
      <c r="BH79" s="107" t="s">
        <v>0</v>
      </c>
      <c r="BI79" s="202"/>
      <c r="BJ79" s="203"/>
      <c r="BK79" s="203"/>
      <c r="BL79" s="203"/>
      <c r="BM79" s="203"/>
      <c r="BN79" s="108"/>
      <c r="BO79" s="108"/>
      <c r="BP79" s="108"/>
      <c r="BQ79" s="108"/>
      <c r="BR79" s="108"/>
      <c r="BS79" s="108"/>
      <c r="DZ79" s="109"/>
      <c r="EA79" s="109"/>
    </row>
    <row r="80" spans="1:131" ht="12.75" customHeight="1" x14ac:dyDescent="0.2">
      <c r="A80" s="205" t="s">
        <v>2</v>
      </c>
      <c r="B80" s="91" t="str">
        <f>IF(ISTEXT(VLOOKUP(CONCATENATE($A80,"_",B$3),'Unit List'!$A$23:$H$3319,2,FALSE)),"+","")</f>
        <v>+</v>
      </c>
      <c r="C80" s="174" t="str">
        <f>IF(ISTEXT(VLOOKUP(CONCATENATE($A80,"_",C$3),'Unit List'!$A$23:$H$3319,2,FALSE)),"X",$B80)</f>
        <v>+</v>
      </c>
      <c r="D80" s="175" t="str">
        <f>IF(ISTEXT(VLOOKUP(CONCATENATE($A80,"_",D$3),'Unit List'!$A$23:$H$3319,2,FALSE)),"X",$B80)</f>
        <v>+</v>
      </c>
      <c r="E80" s="175" t="str">
        <f>IF(ISTEXT(VLOOKUP(CONCATENATE($A80,"_",E$3),'Unit List'!$A$23:$H$3319,2,FALSE)),"X",$B80)</f>
        <v>+</v>
      </c>
      <c r="F80" s="175" t="str">
        <f>IF(ISTEXT(VLOOKUP(CONCATENATE($A80,"_",F$3),'Unit List'!$A$23:$H$3319,2,FALSE)),"X",$B80)</f>
        <v>+</v>
      </c>
      <c r="G80" s="175" t="str">
        <f>IF(ISTEXT(VLOOKUP(CONCATENATE($A80,"_",G$3),'Unit List'!$A$23:$H$3319,2,FALSE)),"X",$B80)</f>
        <v>+</v>
      </c>
      <c r="H80" s="175" t="str">
        <f>IF(ISTEXT(VLOOKUP(CONCATENATE($A80,"_",H$3),'Unit List'!$A$23:$H$3319,2,FALSE)),"X",$B80)</f>
        <v>+</v>
      </c>
      <c r="I80" s="177" t="str">
        <f>IF(ISTEXT(VLOOKUP(CONCATENATE($A80,"_",I$3),'Unit List'!$A$23:$H$3319,2,FALSE)),"X",$B80)</f>
        <v>+</v>
      </c>
      <c r="J80" s="97" t="str">
        <f>IF(ISTEXT(VLOOKUP(CONCATENATE($A80,"_",J$3),'Unit List'!$A$23:$H$3319,2,FALSE)),"+","")</f>
        <v>+</v>
      </c>
      <c r="K80" s="175" t="str">
        <f>IF(ISTEXT(VLOOKUP(CONCATENATE($A80,"_",K$3),'Unit List'!$A$23:$H$3319,2,FALSE)),"X",$J80)</f>
        <v>+</v>
      </c>
      <c r="L80" s="124" t="str">
        <f>IF(ISTEXT(VLOOKUP(CONCATENATE($A80,"_",L$3),'Unit List'!$A$23:$H$3319,2,FALSE)),"X",$J80)</f>
        <v>+</v>
      </c>
      <c r="M80" s="97" t="str">
        <f>IF(ISTEXT(VLOOKUP(CONCATENATE($A80,"_",M$3),'Unit List'!$A$23:$H$3319,2,FALSE)),"+","")</f>
        <v>+</v>
      </c>
      <c r="N80" s="175" t="str">
        <f>IF(ISTEXT(VLOOKUP(CONCATENATE($A80,"_",N$3),'Unit List'!$A$23:$H$3319,2,FALSE)),"X",$M80)</f>
        <v>+</v>
      </c>
      <c r="O80" s="177" t="str">
        <f>IF(ISTEXT(VLOOKUP(CONCATENATE($A80,"_",O$3),'Unit List'!$A$23:$H$3319,2,FALSE)),"X",$M80)</f>
        <v>+</v>
      </c>
      <c r="P80" s="97" t="str">
        <f>IF(ISTEXT(VLOOKUP(CONCATENATE($A80,"_",P$3),'Unit List'!$A$23:$H$3319,2,FALSE)),"+","")</f>
        <v/>
      </c>
      <c r="Q80" s="175" t="str">
        <f>IF(ISTEXT(VLOOKUP(CONCATENATE($A80,"_",Q$3),'Unit List'!$A$23:$H$3319,2,FALSE)),"X",$P80)</f>
        <v/>
      </c>
      <c r="R80" s="175" t="str">
        <f>IF(ISTEXT(VLOOKUP(CONCATENATE($A80,"_",R$3),'Unit List'!$A$23:$H$3319,2,FALSE)),"X",$P80)</f>
        <v/>
      </c>
      <c r="S80" s="175" t="str">
        <f>IF(ISTEXT(VLOOKUP(CONCATENATE($A80,"_",S$3),'Unit List'!$A$23:$H$3319,2,FALSE)),"X",$P80)</f>
        <v/>
      </c>
      <c r="T80" s="176" t="str">
        <f>IF(ISTEXT(VLOOKUP(CONCATENATE($A80,"_",T$3),'Unit List'!$A$23:$H$3319,2,FALSE)),"X",$P80)</f>
        <v/>
      </c>
      <c r="U80" s="175" t="str">
        <f>IF(ISTEXT(VLOOKUP(CONCATENATE($A80,"_",U$3),'Unit List'!$A$23:$H$3319,2,FALSE)),"X",$P80)</f>
        <v/>
      </c>
      <c r="V80" s="175" t="str">
        <f>IF(ISTEXT(VLOOKUP(CONCATENATE($A80,"_",V$3),'Unit List'!$A$23:$H$3319,2,FALSE)),"X",$P80)</f>
        <v/>
      </c>
      <c r="W80" s="177" t="str">
        <f>IF(ISTEXT(VLOOKUP(CONCATENATE($A80,"_",W$3),'Unit List'!$A$23:$H$3319,2,FALSE)),"X",$P80)</f>
        <v/>
      </c>
      <c r="X80" s="97" t="str">
        <f>IF(ISTEXT(VLOOKUP(CONCATENATE($A80,"_",X$3),'Unit List'!$A$23:$H$3319,2,FALSE)),"+","")</f>
        <v/>
      </c>
      <c r="Y80" s="175" t="str">
        <f>IF(ISTEXT(VLOOKUP(CONCATENATE($A80,"_",Y$3),'Unit List'!$A$23:$H$3319,2,FALSE)),"X",$X80)</f>
        <v/>
      </c>
      <c r="Z80" s="175" t="str">
        <f>IF(ISTEXT(VLOOKUP(CONCATENATE($A80,"_",Z$3),'Unit List'!$A$23:$H$3319,2,FALSE)),"X",$X80)</f>
        <v/>
      </c>
      <c r="AA80" s="175" t="str">
        <f>IF(ISTEXT(VLOOKUP(CONCATENATE($A80,"_",AA$3),'Unit List'!$A$23:$H$3319,2,FALSE)),"X",$X80)</f>
        <v/>
      </c>
      <c r="AB80" s="175" t="str">
        <f>IF(ISTEXT(VLOOKUP(CONCATENATE($A80,"_",AB$3),'Unit List'!$A$23:$H$3319,2,FALSE)),"X",$X80)</f>
        <v/>
      </c>
      <c r="AC80" s="124" t="str">
        <f>IF(ISTEXT(VLOOKUP(CONCATENATE($A80,"_",AC$3),'Unit List'!$A$23:$H$3319,2,FALSE)),"X",$X80)</f>
        <v/>
      </c>
      <c r="AD80" s="97" t="str">
        <f>IF(ISTEXT(VLOOKUP(CONCATENATE($A80,"_",AD$3),'Unit List'!$A$23:$H$3319,2,FALSE)),"+","")</f>
        <v/>
      </c>
      <c r="AE80" s="175" t="str">
        <f>IF(ISTEXT(VLOOKUP(CONCATENATE($A80,"_",AE$3),'Unit List'!$A$23:$H$3319,2,FALSE)),"X",$AD80)</f>
        <v/>
      </c>
      <c r="AF80" s="175" t="str">
        <f>IF(ISTEXT(VLOOKUP(CONCATENATE($A80,"_",AF$3),'Unit List'!$A$23:$H$3319,2,FALSE)),"X",$AD80)</f>
        <v/>
      </c>
      <c r="AG80" s="97" t="str">
        <f>IF(ISTEXT(VLOOKUP(CONCATENATE($A80,"_",AG$3),'Unit List'!$A$23:$H$3319,2,FALSE)),"+","")</f>
        <v/>
      </c>
      <c r="AH80" s="175" t="str">
        <f>IF(ISTEXT(VLOOKUP(CONCATENATE($A80,"_",AH$3),'Unit List'!$A$23:$H$3319,2,FALSE)),"X",$AG80)</f>
        <v/>
      </c>
      <c r="AI80" s="175" t="str">
        <f>IF(ISTEXT(VLOOKUP(CONCATENATE($A80,"_",AI$3),'Unit List'!$A$23:$H$3319,2,FALSE)),"X",$AG80)</f>
        <v/>
      </c>
      <c r="AJ80" s="177" t="str">
        <f>IF(ISTEXT(VLOOKUP(CONCATENATE($A80,"_",AJ$3),'Unit List'!$A$23:$H$3319,2,FALSE)),"X",$AG80)</f>
        <v/>
      </c>
      <c r="AK80" s="97" t="str">
        <f>IF(ISTEXT(VLOOKUP(CONCATENATE($A80,"_",AK$3),'Unit List'!$A$23:$H$3319,2,FALSE)),"+","")</f>
        <v>+</v>
      </c>
      <c r="AL80" s="176" t="str">
        <f>IF(ISTEXT(VLOOKUP(CONCATENATE($A80,"_",AL$3),'Unit List'!$A$23:$H$3319,2,FALSE)),"X",$AK80)</f>
        <v>+</v>
      </c>
      <c r="AM80" s="177" t="str">
        <f>IF(ISTEXT(VLOOKUP(CONCATENATE($A80,"_",AM$3),'Unit List'!$A$23:$H$3319,2,FALSE)),"X",$AK80)</f>
        <v>+</v>
      </c>
      <c r="AN80" s="103" t="str">
        <f>IF(ISTEXT(VLOOKUP(CONCATENATE($A80,"_",AN$3),'Unit List'!$A$23:$H$3319,2,FALSE)),"+","")</f>
        <v/>
      </c>
      <c r="AO80" s="177" t="str">
        <f>IF(ISTEXT(VLOOKUP(CONCATENATE($A80,"_",AO$3),'Unit List'!$A$23:$H$3319,2,FALSE)),"X",$AN80)</f>
        <v/>
      </c>
      <c r="AP80" s="97" t="str">
        <f>IF(ISTEXT(VLOOKUP(CONCATENATE($A80,"_",AP$3),'Unit List'!$A$23:$H$3319,2,FALSE)),"+","")</f>
        <v/>
      </c>
      <c r="AQ80" s="175" t="str">
        <f>IF(ISTEXT(VLOOKUP(CONCATENATE($A80,"_",AQ$3),'Unit List'!$A$23:$H$3319,2,FALSE)),"X",$AP80)</f>
        <v/>
      </c>
      <c r="AR80" s="175" t="str">
        <f>IF(ISTEXT(VLOOKUP(CONCATENATE($A80,"_",AR$3),'Unit List'!$A$23:$H$3319,2,FALSE)),"X",$AP80)</f>
        <v/>
      </c>
      <c r="AS80" s="175" t="str">
        <f>IF(ISTEXT(VLOOKUP(CONCATENATE($A80,"_",AS$3),'Unit List'!$A$23:$H$3319,2,FALSE)),"X",$AP80)</f>
        <v/>
      </c>
      <c r="AT80" s="177" t="str">
        <f>IF(ISTEXT(VLOOKUP(CONCATENATE($A80,"_",AT$3),'Unit List'!$A$23:$H$3319,2,FALSE)),"X",$AP80)</f>
        <v/>
      </c>
      <c r="AU80" s="104" t="str">
        <f>IF(ISTEXT(VLOOKUP(CONCATENATE($A80,"_",AU$3),'Unit List'!$A$23:$H$3319,2,FALSE)),"+","")</f>
        <v/>
      </c>
      <c r="AV80" s="175" t="str">
        <f>IF(ISTEXT(VLOOKUP(CONCATENATE($A80,"_",AV$3),'Unit List'!$A$23:$H$3319,2,FALSE)),"X",$AU80)</f>
        <v/>
      </c>
      <c r="AW80" s="177" t="str">
        <f>IF(ISTEXT(VLOOKUP(CONCATENATE($A80,"_",AW$3),'Unit List'!$A$23:$H$3319,2,FALSE)),"X",$AU80)</f>
        <v/>
      </c>
      <c r="AX80" s="97" t="str">
        <f>IF(ISTEXT(VLOOKUP(CONCATENATE($A80,"_",AX$3),'Unit List'!$A$23:$H$3319,2,FALSE)),"+","")</f>
        <v/>
      </c>
      <c r="AY80" s="175" t="str">
        <f>IF(ISTEXT(VLOOKUP(CONCATENATE($A80,"_",AY$3),'Unit List'!$A$23:$H$3319,2,FALSE)),"X",$AX80)</f>
        <v/>
      </c>
      <c r="AZ80" s="177" t="str">
        <f>IF(ISTEXT(VLOOKUP(CONCATENATE($A80,"_",AZ$3),'Unit List'!$A$23:$H$3319,2,FALSE)),"X",$AX80)</f>
        <v/>
      </c>
      <c r="BA80" s="105" t="str">
        <f>IF(ISTEXT(VLOOKUP(CONCATENATE($A80,"_",BA$3),'Unit List'!$A$23:$H$3319,2,FALSE)),"+","")</f>
        <v/>
      </c>
      <c r="BB80" s="175" t="str">
        <f>IF(ISTEXT(VLOOKUP(CONCATENATE($A80,"_",BB$3),'Unit List'!$A$23:$H$3319,2,FALSE)),"X",$BA80)</f>
        <v/>
      </c>
      <c r="BC80" s="175" t="str">
        <f>IF(ISTEXT(VLOOKUP(CONCATENATE($A80,"_",BC$3),'Unit List'!$A$23:$H$3319,2,FALSE)),"X",$BA80)</f>
        <v/>
      </c>
      <c r="BD80" s="177" t="str">
        <f>IF(ISTEXT(VLOOKUP(CONCATENATE($A80,"_",BD$3),'Unit List'!$A$23:$H$3319,2,FALSE)),"X",$BA80)</f>
        <v/>
      </c>
      <c r="BE80" s="103" t="str">
        <f>IF(ISTEXT(VLOOKUP(CONCATENATE($A80,"_",BE$3),'Unit List'!$A$23:$H$3319,2,FALSE)),"+","")</f>
        <v/>
      </c>
      <c r="BF80" s="124" t="str">
        <f>IF(ISTEXT(VLOOKUP(CONCATENATE($A80,"_",BF$3),'Unit List'!$A$23:$H$3319,2,FALSE)),"X",$BE80)</f>
        <v/>
      </c>
      <c r="BG80" s="206" t="s">
        <v>0</v>
      </c>
      <c r="BH80" s="133"/>
      <c r="BI80" s="207"/>
      <c r="BJ80" s="208"/>
      <c r="BK80" s="208"/>
      <c r="BL80" s="209"/>
      <c r="BM80" s="209"/>
      <c r="BN80" s="108"/>
      <c r="BO80" s="108"/>
      <c r="BP80" s="108"/>
      <c r="BQ80" s="108"/>
      <c r="BR80" s="108"/>
      <c r="BS80" s="108"/>
      <c r="DZ80" s="109"/>
      <c r="EA80" s="109"/>
    </row>
    <row r="81" spans="1:131" ht="12.75" customHeight="1" x14ac:dyDescent="0.2">
      <c r="A81" s="201" t="s">
        <v>1126</v>
      </c>
      <c r="B81" s="91" t="str">
        <f>IF(ISTEXT(VLOOKUP(CONCATENATE($A81,"_",B$3),'Unit List'!$A$23:$H$3319,2,FALSE)),"+","")</f>
        <v/>
      </c>
      <c r="C81" s="174" t="str">
        <f>IF(ISTEXT(VLOOKUP(CONCATENATE($A81,"_",C$3),'Unit List'!$A$23:$H$3319,2,FALSE)),"X",$B81)</f>
        <v/>
      </c>
      <c r="D81" s="175" t="str">
        <f>IF(ISTEXT(VLOOKUP(CONCATENATE($A81,"_",D$3),'Unit List'!$A$23:$H$3319,2,FALSE)),"X",$B81)</f>
        <v/>
      </c>
      <c r="E81" s="175" t="str">
        <f>IF(ISTEXT(VLOOKUP(CONCATENATE($A81,"_",E$3),'Unit List'!$A$23:$H$3319,2,FALSE)),"X",$B81)</f>
        <v/>
      </c>
      <c r="F81" s="175" t="str">
        <f>IF(ISTEXT(VLOOKUP(CONCATENATE($A81,"_",F$3),'Unit List'!$A$23:$H$3319,2,FALSE)),"X",$B81)</f>
        <v/>
      </c>
      <c r="G81" s="175" t="str">
        <f>IF(ISTEXT(VLOOKUP(CONCATENATE($A81,"_",G$3),'Unit List'!$A$23:$H$3319,2,FALSE)),"X",$B81)</f>
        <v/>
      </c>
      <c r="H81" s="175" t="str">
        <f>IF(ISTEXT(VLOOKUP(CONCATENATE($A81,"_",H$3),'Unit List'!$A$23:$H$3319,2,FALSE)),"X",$B81)</f>
        <v/>
      </c>
      <c r="I81" s="177" t="str">
        <f>IF(ISTEXT(VLOOKUP(CONCATENATE($A81,"_",I$3),'Unit List'!$A$23:$H$3319,2,FALSE)),"X",$B81)</f>
        <v/>
      </c>
      <c r="J81" s="97" t="str">
        <f>IF(ISTEXT(VLOOKUP(CONCATENATE($A81,"_",J$3),'Unit List'!$A$23:$H$3319,2,FALSE)),"+","")</f>
        <v/>
      </c>
      <c r="K81" s="175" t="str">
        <f>IF(ISTEXT(VLOOKUP(CONCATENATE($A81,"_",K$3),'Unit List'!$A$23:$H$3319,2,FALSE)),"X",$J81)</f>
        <v/>
      </c>
      <c r="L81" s="124" t="str">
        <f>IF(ISTEXT(VLOOKUP(CONCATENATE($A81,"_",L$3),'Unit List'!$A$23:$H$3319,2,FALSE)),"X",$J81)</f>
        <v/>
      </c>
      <c r="M81" s="97" t="str">
        <f>IF(ISTEXT(VLOOKUP(CONCATENATE($A81,"_",M$3),'Unit List'!$A$23:$H$3319,2,FALSE)),"+","")</f>
        <v/>
      </c>
      <c r="N81" s="175" t="str">
        <f>IF(ISTEXT(VLOOKUP(CONCATENATE($A81,"_",N$3),'Unit List'!$A$23:$H$3319,2,FALSE)),"X",$M81)</f>
        <v/>
      </c>
      <c r="O81" s="177" t="str">
        <f>IF(ISTEXT(VLOOKUP(CONCATENATE($A81,"_",O$3),'Unit List'!$A$23:$H$3319,2,FALSE)),"X",$M81)</f>
        <v/>
      </c>
      <c r="P81" s="97" t="str">
        <f>IF(ISTEXT(VLOOKUP(CONCATENATE($A81,"_",P$3),'Unit List'!$A$23:$H$3319,2,FALSE)),"+","")</f>
        <v/>
      </c>
      <c r="Q81" s="175" t="str">
        <f>IF(ISTEXT(VLOOKUP(CONCATENATE($A81,"_",Q$3),'Unit List'!$A$23:$H$3319,2,FALSE)),"X",$P81)</f>
        <v/>
      </c>
      <c r="R81" s="175" t="str">
        <f>IF(ISTEXT(VLOOKUP(CONCATENATE($A81,"_",R$3),'Unit List'!$A$23:$H$3319,2,FALSE)),"X",$P81)</f>
        <v/>
      </c>
      <c r="S81" s="175" t="str">
        <f>IF(ISTEXT(VLOOKUP(CONCATENATE($A81,"_",S$3),'Unit List'!$A$23:$H$3319,2,FALSE)),"X",$P81)</f>
        <v/>
      </c>
      <c r="T81" s="176" t="str">
        <f>IF(ISTEXT(VLOOKUP(CONCATENATE($A81,"_",T$3),'Unit List'!$A$23:$H$3319,2,FALSE)),"X",$P81)</f>
        <v/>
      </c>
      <c r="U81" s="175" t="str">
        <f>IF(ISTEXT(VLOOKUP(CONCATENATE($A81,"_",U$3),'Unit List'!$A$23:$H$3319,2,FALSE)),"X",$P81)</f>
        <v/>
      </c>
      <c r="V81" s="175" t="str">
        <f>IF(ISTEXT(VLOOKUP(CONCATENATE($A81,"_",V$3),'Unit List'!$A$23:$H$3319,2,FALSE)),"X",$P81)</f>
        <v/>
      </c>
      <c r="W81" s="177" t="str">
        <f>IF(ISTEXT(VLOOKUP(CONCATENATE($A81,"_",W$3),'Unit List'!$A$23:$H$3319,2,FALSE)),"X",$P81)</f>
        <v/>
      </c>
      <c r="X81" s="97" t="str">
        <f>IF(ISTEXT(VLOOKUP(CONCATENATE($A81,"_",X$3),'Unit List'!$A$23:$H$3319,2,FALSE)),"+","")</f>
        <v/>
      </c>
      <c r="Y81" s="175" t="str">
        <f>IF(ISTEXT(VLOOKUP(CONCATENATE($A81,"_",Y$3),'Unit List'!$A$23:$H$3319,2,FALSE)),"X",$X81)</f>
        <v/>
      </c>
      <c r="Z81" s="175" t="str">
        <f>IF(ISTEXT(VLOOKUP(CONCATENATE($A81,"_",Z$3),'Unit List'!$A$23:$H$3319,2,FALSE)),"X",$X81)</f>
        <v/>
      </c>
      <c r="AA81" s="175" t="str">
        <f>IF(ISTEXT(VLOOKUP(CONCATENATE($A81,"_",AA$3),'Unit List'!$A$23:$H$3319,2,FALSE)),"X",$X81)</f>
        <v/>
      </c>
      <c r="AB81" s="175" t="str">
        <f>IF(ISTEXT(VLOOKUP(CONCATENATE($A81,"_",AB$3),'Unit List'!$A$23:$H$3319,2,FALSE)),"X",$X81)</f>
        <v/>
      </c>
      <c r="AC81" s="124" t="str">
        <f>IF(ISTEXT(VLOOKUP(CONCATENATE($A81,"_",AC$3),'Unit List'!$A$23:$H$3319,2,FALSE)),"X",$X81)</f>
        <v/>
      </c>
      <c r="AD81" s="97" t="str">
        <f>IF(ISTEXT(VLOOKUP(CONCATENATE($A81,"_",AD$3),'Unit List'!$A$23:$H$3319,2,FALSE)),"+","")</f>
        <v/>
      </c>
      <c r="AE81" s="175" t="str">
        <f>IF(ISTEXT(VLOOKUP(CONCATENATE($A81,"_",AE$3),'Unit List'!$A$23:$H$3319,2,FALSE)),"X",$AD81)</f>
        <v/>
      </c>
      <c r="AF81" s="175" t="str">
        <f>IF(ISTEXT(VLOOKUP(CONCATENATE($A81,"_",AF$3),'Unit List'!$A$23:$H$3319,2,FALSE)),"X",$AD81)</f>
        <v/>
      </c>
      <c r="AG81" s="97" t="str">
        <f>IF(ISTEXT(VLOOKUP(CONCATENATE($A81,"_",AG$3),'Unit List'!$A$23:$H$3319,2,FALSE)),"+","")</f>
        <v/>
      </c>
      <c r="AH81" s="175" t="str">
        <f>IF(ISTEXT(VLOOKUP(CONCATENATE($A81,"_",AH$3),'Unit List'!$A$23:$H$3319,2,FALSE)),"X",$AG81)</f>
        <v/>
      </c>
      <c r="AI81" s="175" t="str">
        <f>IF(ISTEXT(VLOOKUP(CONCATENATE($A81,"_",AI$3),'Unit List'!$A$23:$H$3319,2,FALSE)),"X",$AG81)</f>
        <v/>
      </c>
      <c r="AJ81" s="177" t="str">
        <f>IF(ISTEXT(VLOOKUP(CONCATENATE($A81,"_",AJ$3),'Unit List'!$A$23:$H$3319,2,FALSE)),"X",$AG81)</f>
        <v/>
      </c>
      <c r="AK81" s="97" t="str">
        <f>IF(ISTEXT(VLOOKUP(CONCATENATE($A81,"_",AK$3),'Unit List'!$A$23:$H$3319,2,FALSE)),"+","")</f>
        <v/>
      </c>
      <c r="AL81" s="176" t="str">
        <f>IF(ISTEXT(VLOOKUP(CONCATENATE($A81,"_",AL$3),'Unit List'!$A$23:$H$3319,2,FALSE)),"X",$AK81)</f>
        <v/>
      </c>
      <c r="AM81" s="177" t="str">
        <f>IF(ISTEXT(VLOOKUP(CONCATENATE($A81,"_",AM$3),'Unit List'!$A$23:$H$3319,2,FALSE)),"X",$AK81)</f>
        <v/>
      </c>
      <c r="AN81" s="103" t="str">
        <f>IF(ISTEXT(VLOOKUP(CONCATENATE($A81,"_",AN$3),'Unit List'!$A$23:$H$3319,2,FALSE)),"+","")</f>
        <v/>
      </c>
      <c r="AO81" s="177" t="str">
        <f>IF(ISTEXT(VLOOKUP(CONCATENATE($A81,"_",AO$3),'Unit List'!$A$23:$H$3319,2,FALSE)),"X",$AN81)</f>
        <v/>
      </c>
      <c r="AP81" s="97" t="str">
        <f>IF(ISTEXT(VLOOKUP(CONCATENATE($A81,"_",AP$3),'Unit List'!$A$23:$H$3319,2,FALSE)),"+","")</f>
        <v/>
      </c>
      <c r="AQ81" s="175" t="str">
        <f>IF(ISTEXT(VLOOKUP(CONCATENATE($A81,"_",AQ$3),'Unit List'!$A$23:$H$3319,2,FALSE)),"X",$AP81)</f>
        <v/>
      </c>
      <c r="AR81" s="175" t="str">
        <f>IF(ISTEXT(VLOOKUP(CONCATENATE($A81,"_",AR$3),'Unit List'!$A$23:$H$3319,2,FALSE)),"X",$AP81)</f>
        <v/>
      </c>
      <c r="AS81" s="175" t="str">
        <f>IF(ISTEXT(VLOOKUP(CONCATENATE($A81,"_",AS$3),'Unit List'!$A$23:$H$3319,2,FALSE)),"X",$AP81)</f>
        <v/>
      </c>
      <c r="AT81" s="177" t="str">
        <f>IF(ISTEXT(VLOOKUP(CONCATENATE($A81,"_",AT$3),'Unit List'!$A$23:$H$3319,2,FALSE)),"X",$AP81)</f>
        <v/>
      </c>
      <c r="AU81" s="104" t="str">
        <f>IF(ISTEXT(VLOOKUP(CONCATENATE($A81,"_",AU$3),'Unit List'!$A$23:$H$3319,2,FALSE)),"+","")</f>
        <v/>
      </c>
      <c r="AV81" s="175" t="str">
        <f>IF(ISTEXT(VLOOKUP(CONCATENATE($A81,"_",AV$3),'Unit List'!$A$23:$H$3319,2,FALSE)),"X",$AU81)</f>
        <v/>
      </c>
      <c r="AW81" s="177" t="str">
        <f>IF(ISTEXT(VLOOKUP(CONCATENATE($A81,"_",AW$3),'Unit List'!$A$23:$H$3319,2,FALSE)),"X",$AU81)</f>
        <v/>
      </c>
      <c r="AX81" s="97" t="str">
        <f>IF(ISTEXT(VLOOKUP(CONCATENATE($A81,"_",AX$3),'Unit List'!$A$23:$H$3319,2,FALSE)),"+","")</f>
        <v/>
      </c>
      <c r="AY81" s="175" t="str">
        <f>IF(ISTEXT(VLOOKUP(CONCATENATE($A81,"_",AY$3),'Unit List'!$A$23:$H$3319,2,FALSE)),"X",$AX81)</f>
        <v/>
      </c>
      <c r="AZ81" s="177" t="str">
        <f>IF(ISTEXT(VLOOKUP(CONCATENATE($A81,"_",AZ$3),'Unit List'!$A$23:$H$3319,2,FALSE)),"X",$AX81)</f>
        <v/>
      </c>
      <c r="BA81" s="105" t="str">
        <f>IF(ISTEXT(VLOOKUP(CONCATENATE($A81,"_",BA$3),'Unit List'!$A$23:$H$3319,2,FALSE)),"+","")</f>
        <v/>
      </c>
      <c r="BB81" s="175" t="str">
        <f>IF(ISTEXT(VLOOKUP(CONCATENATE($A81,"_",BB$3),'Unit List'!$A$23:$H$3319,2,FALSE)),"X",$BA81)</f>
        <v/>
      </c>
      <c r="BC81" s="175" t="str">
        <f>IF(ISTEXT(VLOOKUP(CONCATENATE($A81,"_",BC$3),'Unit List'!$A$23:$H$3319,2,FALSE)),"X",$BA81)</f>
        <v/>
      </c>
      <c r="BD81" s="177" t="str">
        <f>IF(ISTEXT(VLOOKUP(CONCATENATE($A81,"_",BD$3),'Unit List'!$A$23:$H$3319,2,FALSE)),"X",$BA81)</f>
        <v/>
      </c>
      <c r="BE81" s="103" t="str">
        <f>IF(ISTEXT(VLOOKUP(CONCATENATE($A81,"_",BE$3),'Unit List'!$A$23:$H$3319,2,FALSE)),"+","")</f>
        <v/>
      </c>
      <c r="BF81" s="124" t="str">
        <f>IF(ISTEXT(VLOOKUP(CONCATENATE($A81,"_",BF$3),'Unit List'!$A$23:$H$3319,2,FALSE)),"X",$BE81)</f>
        <v/>
      </c>
      <c r="BG81" s="206" t="s">
        <v>0</v>
      </c>
      <c r="BH81" s="133"/>
      <c r="BI81" s="207"/>
      <c r="BJ81" s="208"/>
      <c r="BK81" s="208"/>
      <c r="BL81" s="209"/>
      <c r="BM81" s="209"/>
      <c r="BN81" s="108"/>
      <c r="BO81" s="108"/>
      <c r="BP81" s="108"/>
      <c r="BQ81" s="108"/>
      <c r="BR81" s="108"/>
      <c r="BS81" s="108"/>
      <c r="DZ81" s="109"/>
      <c r="EA81" s="109"/>
    </row>
    <row r="82" spans="1:131" ht="12.75" customHeight="1" x14ac:dyDescent="0.2">
      <c r="A82" s="201" t="s">
        <v>1127</v>
      </c>
      <c r="B82" s="91" t="str">
        <f>IF(ISTEXT(VLOOKUP(CONCATENATE($A82,"_",B$3),'Unit List'!$A$23:$H$3319,2,FALSE)),"+","")</f>
        <v/>
      </c>
      <c r="C82" s="174" t="str">
        <f>IF(ISTEXT(VLOOKUP(CONCATENATE($A82,"_",C$3),'Unit List'!$A$23:$H$3319,2,FALSE)),"X",$B82)</f>
        <v/>
      </c>
      <c r="D82" s="175" t="str">
        <f>IF(ISTEXT(VLOOKUP(CONCATENATE($A82,"_",D$3),'Unit List'!$A$23:$H$3319,2,FALSE)),"X",$B82)</f>
        <v/>
      </c>
      <c r="E82" s="175" t="str">
        <f>IF(ISTEXT(VLOOKUP(CONCATENATE($A82,"_",E$3),'Unit List'!$A$23:$H$3319,2,FALSE)),"X",$B82)</f>
        <v/>
      </c>
      <c r="F82" s="175" t="str">
        <f>IF(ISTEXT(VLOOKUP(CONCATENATE($A82,"_",F$3),'Unit List'!$A$23:$H$3319,2,FALSE)),"X",$B82)</f>
        <v/>
      </c>
      <c r="G82" s="175" t="str">
        <f>IF(ISTEXT(VLOOKUP(CONCATENATE($A82,"_",G$3),'Unit List'!$A$23:$H$3319,2,FALSE)),"X",$B82)</f>
        <v/>
      </c>
      <c r="H82" s="175" t="str">
        <f>IF(ISTEXT(VLOOKUP(CONCATENATE($A82,"_",H$3),'Unit List'!$A$23:$H$3319,2,FALSE)),"X",$B82)</f>
        <v/>
      </c>
      <c r="I82" s="177" t="str">
        <f>IF(ISTEXT(VLOOKUP(CONCATENATE($A82,"_",I$3),'Unit List'!$A$23:$H$3319,2,FALSE)),"X",$B82)</f>
        <v/>
      </c>
      <c r="J82" s="97" t="str">
        <f>IF(ISTEXT(VLOOKUP(CONCATENATE($A82,"_",J$3),'Unit List'!$A$23:$H$3319,2,FALSE)),"+","")</f>
        <v/>
      </c>
      <c r="K82" s="175" t="str">
        <f>IF(ISTEXT(VLOOKUP(CONCATENATE($A82,"_",K$3),'Unit List'!$A$23:$H$3319,2,FALSE)),"X",$J82)</f>
        <v/>
      </c>
      <c r="L82" s="124" t="str">
        <f>IF(ISTEXT(VLOOKUP(CONCATENATE($A82,"_",L$3),'Unit List'!$A$23:$H$3319,2,FALSE)),"X",$J82)</f>
        <v/>
      </c>
      <c r="M82" s="97" t="str">
        <f>IF(ISTEXT(VLOOKUP(CONCATENATE($A82,"_",M$3),'Unit List'!$A$23:$H$3319,2,FALSE)),"+","")</f>
        <v/>
      </c>
      <c r="N82" s="175" t="str">
        <f>IF(ISTEXT(VLOOKUP(CONCATENATE($A82,"_",N$3),'Unit List'!$A$23:$H$3319,2,FALSE)),"X",$M82)</f>
        <v/>
      </c>
      <c r="O82" s="177" t="str">
        <f>IF(ISTEXT(VLOOKUP(CONCATENATE($A82,"_",O$3),'Unit List'!$A$23:$H$3319,2,FALSE)),"X",$M82)</f>
        <v/>
      </c>
      <c r="P82" s="97" t="str">
        <f>IF(ISTEXT(VLOOKUP(CONCATENATE($A82,"_",P$3),'Unit List'!$A$23:$H$3319,2,FALSE)),"+","")</f>
        <v/>
      </c>
      <c r="Q82" s="175" t="str">
        <f>IF(ISTEXT(VLOOKUP(CONCATENATE($A82,"_",Q$3),'Unit List'!$A$23:$H$3319,2,FALSE)),"X",$P82)</f>
        <v/>
      </c>
      <c r="R82" s="175" t="str">
        <f>IF(ISTEXT(VLOOKUP(CONCATENATE($A82,"_",R$3),'Unit List'!$A$23:$H$3319,2,FALSE)),"X",$P82)</f>
        <v/>
      </c>
      <c r="S82" s="175" t="str">
        <f>IF(ISTEXT(VLOOKUP(CONCATENATE($A82,"_",S$3),'Unit List'!$A$23:$H$3319,2,FALSE)),"X",$P82)</f>
        <v/>
      </c>
      <c r="T82" s="176" t="str">
        <f>IF(ISTEXT(VLOOKUP(CONCATENATE($A82,"_",T$3),'Unit List'!$A$23:$H$3319,2,FALSE)),"X",$P82)</f>
        <v/>
      </c>
      <c r="U82" s="175" t="str">
        <f>IF(ISTEXT(VLOOKUP(CONCATENATE($A82,"_",U$3),'Unit List'!$A$23:$H$3319,2,FALSE)),"X",$P82)</f>
        <v/>
      </c>
      <c r="V82" s="175" t="str">
        <f>IF(ISTEXT(VLOOKUP(CONCATENATE($A82,"_",V$3),'Unit List'!$A$23:$H$3319,2,FALSE)),"X",$P82)</f>
        <v/>
      </c>
      <c r="W82" s="177" t="str">
        <f>IF(ISTEXT(VLOOKUP(CONCATENATE($A82,"_",W$3),'Unit List'!$A$23:$H$3319,2,FALSE)),"X",$P82)</f>
        <v/>
      </c>
      <c r="X82" s="97" t="str">
        <f>IF(ISTEXT(VLOOKUP(CONCATENATE($A82,"_",X$3),'Unit List'!$A$23:$H$3319,2,FALSE)),"+","")</f>
        <v/>
      </c>
      <c r="Y82" s="175" t="str">
        <f>IF(ISTEXT(VLOOKUP(CONCATENATE($A82,"_",Y$3),'Unit List'!$A$23:$H$3319,2,FALSE)),"X",$X82)</f>
        <v/>
      </c>
      <c r="Z82" s="175" t="str">
        <f>IF(ISTEXT(VLOOKUP(CONCATENATE($A82,"_",Z$3),'Unit List'!$A$23:$H$3319,2,FALSE)),"X",$X82)</f>
        <v/>
      </c>
      <c r="AA82" s="175" t="str">
        <f>IF(ISTEXT(VLOOKUP(CONCATENATE($A82,"_",AA$3),'Unit List'!$A$23:$H$3319,2,FALSE)),"X",$X82)</f>
        <v/>
      </c>
      <c r="AB82" s="175" t="str">
        <f>IF(ISTEXT(VLOOKUP(CONCATENATE($A82,"_",AB$3),'Unit List'!$A$23:$H$3319,2,FALSE)),"X",$X82)</f>
        <v/>
      </c>
      <c r="AC82" s="124" t="str">
        <f>IF(ISTEXT(VLOOKUP(CONCATENATE($A82,"_",AC$3),'Unit List'!$A$23:$H$3319,2,FALSE)),"X",$X82)</f>
        <v/>
      </c>
      <c r="AD82" s="97" t="str">
        <f>IF(ISTEXT(VLOOKUP(CONCATENATE($A82,"_",AD$3),'Unit List'!$A$23:$H$3319,2,FALSE)),"+","")</f>
        <v/>
      </c>
      <c r="AE82" s="175" t="str">
        <f>IF(ISTEXT(VLOOKUP(CONCATENATE($A82,"_",AE$3),'Unit List'!$A$23:$H$3319,2,FALSE)),"X",$AD82)</f>
        <v/>
      </c>
      <c r="AF82" s="175" t="str">
        <f>IF(ISTEXT(VLOOKUP(CONCATENATE($A82,"_",AF$3),'Unit List'!$A$23:$H$3319,2,FALSE)),"X",$AD82)</f>
        <v/>
      </c>
      <c r="AG82" s="97" t="str">
        <f>IF(ISTEXT(VLOOKUP(CONCATENATE($A82,"_",AG$3),'Unit List'!$A$23:$H$3319,2,FALSE)),"+","")</f>
        <v/>
      </c>
      <c r="AH82" s="175" t="str">
        <f>IF(ISTEXT(VLOOKUP(CONCATENATE($A82,"_",AH$3),'Unit List'!$A$23:$H$3319,2,FALSE)),"X",$AG82)</f>
        <v/>
      </c>
      <c r="AI82" s="175" t="str">
        <f>IF(ISTEXT(VLOOKUP(CONCATENATE($A82,"_",AI$3),'Unit List'!$A$23:$H$3319,2,FALSE)),"X",$AG82)</f>
        <v/>
      </c>
      <c r="AJ82" s="177" t="str">
        <f>IF(ISTEXT(VLOOKUP(CONCATENATE($A82,"_",AJ$3),'Unit List'!$A$23:$H$3319,2,FALSE)),"X",$AG82)</f>
        <v/>
      </c>
      <c r="AK82" s="97" t="str">
        <f>IF(ISTEXT(VLOOKUP(CONCATENATE($A82,"_",AK$3),'Unit List'!$A$23:$H$3319,2,FALSE)),"+","")</f>
        <v/>
      </c>
      <c r="AL82" s="176" t="str">
        <f>IF(ISTEXT(VLOOKUP(CONCATENATE($A82,"_",AL$3),'Unit List'!$A$23:$H$3319,2,FALSE)),"X",$AK82)</f>
        <v/>
      </c>
      <c r="AM82" s="177" t="str">
        <f>IF(ISTEXT(VLOOKUP(CONCATENATE($A82,"_",AM$3),'Unit List'!$A$23:$H$3319,2,FALSE)),"X",$AK82)</f>
        <v/>
      </c>
      <c r="AN82" s="103" t="str">
        <f>IF(ISTEXT(VLOOKUP(CONCATENATE($A82,"_",AN$3),'Unit List'!$A$23:$H$3319,2,FALSE)),"+","")</f>
        <v/>
      </c>
      <c r="AO82" s="177" t="str">
        <f>IF(ISTEXT(VLOOKUP(CONCATENATE($A82,"_",AO$3),'Unit List'!$A$23:$H$3319,2,FALSE)),"X",$AN82)</f>
        <v/>
      </c>
      <c r="AP82" s="97" t="str">
        <f>IF(ISTEXT(VLOOKUP(CONCATENATE($A82,"_",AP$3),'Unit List'!$A$23:$H$3319,2,FALSE)),"+","")</f>
        <v/>
      </c>
      <c r="AQ82" s="175" t="str">
        <f>IF(ISTEXT(VLOOKUP(CONCATENATE($A82,"_",AQ$3),'Unit List'!$A$23:$H$3319,2,FALSE)),"X",$AP82)</f>
        <v/>
      </c>
      <c r="AR82" s="175" t="str">
        <f>IF(ISTEXT(VLOOKUP(CONCATENATE($A82,"_",AR$3),'Unit List'!$A$23:$H$3319,2,FALSE)),"X",$AP82)</f>
        <v/>
      </c>
      <c r="AS82" s="175" t="str">
        <f>IF(ISTEXT(VLOOKUP(CONCATENATE($A82,"_",AS$3),'Unit List'!$A$23:$H$3319,2,FALSE)),"X",$AP82)</f>
        <v/>
      </c>
      <c r="AT82" s="177" t="str">
        <f>IF(ISTEXT(VLOOKUP(CONCATENATE($A82,"_",AT$3),'Unit List'!$A$23:$H$3319,2,FALSE)),"X",$AP82)</f>
        <v/>
      </c>
      <c r="AU82" s="104" t="str">
        <f>IF(ISTEXT(VLOOKUP(CONCATENATE($A82,"_",AU$3),'Unit List'!$A$23:$H$3319,2,FALSE)),"+","")</f>
        <v/>
      </c>
      <c r="AV82" s="175" t="str">
        <f>IF(ISTEXT(VLOOKUP(CONCATENATE($A82,"_",AV$3),'Unit List'!$A$23:$H$3319,2,FALSE)),"X",$AU82)</f>
        <v/>
      </c>
      <c r="AW82" s="177" t="str">
        <f>IF(ISTEXT(VLOOKUP(CONCATENATE($A82,"_",AW$3),'Unit List'!$A$23:$H$3319,2,FALSE)),"X",$AU82)</f>
        <v/>
      </c>
      <c r="AX82" s="97" t="str">
        <f>IF(ISTEXT(VLOOKUP(CONCATENATE($A82,"_",AX$3),'Unit List'!$A$23:$H$3319,2,FALSE)),"+","")</f>
        <v/>
      </c>
      <c r="AY82" s="175" t="str">
        <f>IF(ISTEXT(VLOOKUP(CONCATENATE($A82,"_",AY$3),'Unit List'!$A$23:$H$3319,2,FALSE)),"X",$AX82)</f>
        <v/>
      </c>
      <c r="AZ82" s="177" t="str">
        <f>IF(ISTEXT(VLOOKUP(CONCATENATE($A82,"_",AZ$3),'Unit List'!$A$23:$H$3319,2,FALSE)),"X",$AX82)</f>
        <v/>
      </c>
      <c r="BA82" s="105" t="str">
        <f>IF(ISTEXT(VLOOKUP(CONCATENATE($A82,"_",BA$3),'Unit List'!$A$23:$H$3319,2,FALSE)),"+","")</f>
        <v/>
      </c>
      <c r="BB82" s="175" t="str">
        <f>IF(ISTEXT(VLOOKUP(CONCATENATE($A82,"_",BB$3),'Unit List'!$A$23:$H$3319,2,FALSE)),"X",$BA82)</f>
        <v/>
      </c>
      <c r="BC82" s="175" t="str">
        <f>IF(ISTEXT(VLOOKUP(CONCATENATE($A82,"_",BC$3),'Unit List'!$A$23:$H$3319,2,FALSE)),"X",$BA82)</f>
        <v/>
      </c>
      <c r="BD82" s="177" t="str">
        <f>IF(ISTEXT(VLOOKUP(CONCATENATE($A82,"_",BD$3),'Unit List'!$A$23:$H$3319,2,FALSE)),"X",$BA82)</f>
        <v/>
      </c>
      <c r="BE82" s="103" t="str">
        <f>IF(ISTEXT(VLOOKUP(CONCATENATE($A82,"_",BE$3),'Unit List'!$A$23:$H$3319,2,FALSE)),"+","")</f>
        <v/>
      </c>
      <c r="BF82" s="124" t="str">
        <f>IF(ISTEXT(VLOOKUP(CONCATENATE($A82,"_",BF$3),'Unit List'!$A$23:$H$3319,2,FALSE)),"X",$BE82)</f>
        <v/>
      </c>
      <c r="BG82" s="206" t="s">
        <v>0</v>
      </c>
      <c r="BH82" s="133"/>
      <c r="BI82" s="207"/>
      <c r="BJ82" s="208"/>
      <c r="BK82" s="208"/>
      <c r="BL82" s="209"/>
      <c r="BM82" s="209"/>
      <c r="BN82" s="108"/>
      <c r="BO82" s="108"/>
      <c r="BP82" s="108"/>
      <c r="BQ82" s="108"/>
      <c r="BR82" s="108"/>
      <c r="BS82" s="108"/>
      <c r="DZ82" s="109"/>
      <c r="EA82" s="109"/>
    </row>
    <row r="83" spans="1:131" ht="12.75" customHeight="1" x14ac:dyDescent="0.2">
      <c r="A83" s="201" t="s">
        <v>1128</v>
      </c>
      <c r="B83" s="91" t="str">
        <f>IF(ISTEXT(VLOOKUP(CONCATENATE($A83,"_",B$3),'Unit List'!$A$23:$H$3319,2,FALSE)),"+","")</f>
        <v/>
      </c>
      <c r="C83" s="174" t="str">
        <f>IF(ISTEXT(VLOOKUP(CONCATENATE($A83,"_",C$3),'Unit List'!$A$23:$H$3319,2,FALSE)),"X",$B83)</f>
        <v/>
      </c>
      <c r="D83" s="175" t="str">
        <f>IF(ISTEXT(VLOOKUP(CONCATENATE($A83,"_",D$3),'Unit List'!$A$23:$H$3319,2,FALSE)),"X",$B83)</f>
        <v/>
      </c>
      <c r="E83" s="175" t="str">
        <f>IF(ISTEXT(VLOOKUP(CONCATENATE($A83,"_",E$3),'Unit List'!$A$23:$H$3319,2,FALSE)),"X",$B83)</f>
        <v/>
      </c>
      <c r="F83" s="175" t="str">
        <f>IF(ISTEXT(VLOOKUP(CONCATENATE($A83,"_",F$3),'Unit List'!$A$23:$H$3319,2,FALSE)),"X",$B83)</f>
        <v>X</v>
      </c>
      <c r="G83" s="175" t="str">
        <f>IF(ISTEXT(VLOOKUP(CONCATENATE($A83,"_",G$3),'Unit List'!$A$23:$H$3319,2,FALSE)),"X",$B83)</f>
        <v>X</v>
      </c>
      <c r="H83" s="175" t="str">
        <f>IF(ISTEXT(VLOOKUP(CONCATENATE($A83,"_",H$3),'Unit List'!$A$23:$H$3319,2,FALSE)),"X",$B83)</f>
        <v>X</v>
      </c>
      <c r="I83" s="177" t="str">
        <f>IF(ISTEXT(VLOOKUP(CONCATENATE($A83,"_",I$3),'Unit List'!$A$23:$H$3319,2,FALSE)),"X",$B83)</f>
        <v>X</v>
      </c>
      <c r="J83" s="97" t="str">
        <f>IF(ISTEXT(VLOOKUP(CONCATENATE($A83,"_",J$3),'Unit List'!$A$23:$H$3319,2,FALSE)),"+","")</f>
        <v/>
      </c>
      <c r="K83" s="175" t="str">
        <f>IF(ISTEXT(VLOOKUP(CONCATENATE($A83,"_",K$3),'Unit List'!$A$23:$H$3319,2,FALSE)),"X",$J83)</f>
        <v/>
      </c>
      <c r="L83" s="124" t="str">
        <f>IF(ISTEXT(VLOOKUP(CONCATENATE($A83,"_",L$3),'Unit List'!$A$23:$H$3319,2,FALSE)),"X",$J83)</f>
        <v>X</v>
      </c>
      <c r="M83" s="97" t="str">
        <f>IF(ISTEXT(VLOOKUP(CONCATENATE($A83,"_",M$3),'Unit List'!$A$23:$H$3319,2,FALSE)),"+","")</f>
        <v/>
      </c>
      <c r="N83" s="175" t="str">
        <f>IF(ISTEXT(VLOOKUP(CONCATENATE($A83,"_",N$3),'Unit List'!$A$23:$H$3319,2,FALSE)),"X",$M83)</f>
        <v>X</v>
      </c>
      <c r="O83" s="177" t="str">
        <f>IF(ISTEXT(VLOOKUP(CONCATENATE($A83,"_",O$3),'Unit List'!$A$23:$H$3319,2,FALSE)),"X",$M83)</f>
        <v>X</v>
      </c>
      <c r="P83" s="97" t="str">
        <f>IF(ISTEXT(VLOOKUP(CONCATENATE($A83,"_",P$3),'Unit List'!$A$23:$H$3319,2,FALSE)),"+","")</f>
        <v>+</v>
      </c>
      <c r="Q83" s="175" t="str">
        <f>IF(ISTEXT(VLOOKUP(CONCATENATE($A83,"_",Q$3),'Unit List'!$A$23:$H$3319,2,FALSE)),"X",$P83)</f>
        <v>+</v>
      </c>
      <c r="R83" s="175" t="str">
        <f>IF(ISTEXT(VLOOKUP(CONCATENATE($A83,"_",R$3),'Unit List'!$A$23:$H$3319,2,FALSE)),"X",$P83)</f>
        <v>+</v>
      </c>
      <c r="S83" s="175" t="str">
        <f>IF(ISTEXT(VLOOKUP(CONCATENATE($A83,"_",S$3),'Unit List'!$A$23:$H$3319,2,FALSE)),"X",$P83)</f>
        <v>+</v>
      </c>
      <c r="T83" s="176" t="str">
        <f>IF(ISTEXT(VLOOKUP(CONCATENATE($A83,"_",T$3),'Unit List'!$A$23:$H$3319,2,FALSE)),"X",$P83)</f>
        <v>+</v>
      </c>
      <c r="U83" s="175" t="str">
        <f>IF(ISTEXT(VLOOKUP(CONCATENATE($A83,"_",U$3),'Unit List'!$A$23:$H$3319,2,FALSE)),"X",$P83)</f>
        <v>X</v>
      </c>
      <c r="V83" s="175" t="str">
        <f>IF(ISTEXT(VLOOKUP(CONCATENATE($A83,"_",V$3),'Unit List'!$A$23:$H$3319,2,FALSE)),"X",$P83)</f>
        <v>X</v>
      </c>
      <c r="W83" s="177" t="str">
        <f>IF(ISTEXT(VLOOKUP(CONCATENATE($A83,"_",W$3),'Unit List'!$A$23:$H$3319,2,FALSE)),"X",$P83)</f>
        <v>+</v>
      </c>
      <c r="X83" s="97" t="str">
        <f>IF(ISTEXT(VLOOKUP(CONCATENATE($A83,"_",X$3),'Unit List'!$A$23:$H$3319,2,FALSE)),"+","")</f>
        <v/>
      </c>
      <c r="Y83" s="175" t="str">
        <f>IF(ISTEXT(VLOOKUP(CONCATENATE($A83,"_",Y$3),'Unit List'!$A$23:$H$3319,2,FALSE)),"X",$X83)</f>
        <v/>
      </c>
      <c r="Z83" s="175" t="str">
        <f>IF(ISTEXT(VLOOKUP(CONCATENATE($A83,"_",Z$3),'Unit List'!$A$23:$H$3319,2,FALSE)),"X",$X83)</f>
        <v/>
      </c>
      <c r="AA83" s="175" t="str">
        <f>IF(ISTEXT(VLOOKUP(CONCATENATE($A83,"_",AA$3),'Unit List'!$A$23:$H$3319,2,FALSE)),"X",$X83)</f>
        <v/>
      </c>
      <c r="AB83" s="175" t="str">
        <f>IF(ISTEXT(VLOOKUP(CONCATENATE($A83,"_",AB$3),'Unit List'!$A$23:$H$3319,2,FALSE)),"X",$X83)</f>
        <v/>
      </c>
      <c r="AC83" s="124" t="str">
        <f>IF(ISTEXT(VLOOKUP(CONCATENATE($A83,"_",AC$3),'Unit List'!$A$23:$H$3319,2,FALSE)),"X",$X83)</f>
        <v/>
      </c>
      <c r="AD83" s="97" t="str">
        <f>IF(ISTEXT(VLOOKUP(CONCATENATE($A83,"_",AD$3),'Unit List'!$A$23:$H$3319,2,FALSE)),"+","")</f>
        <v>+</v>
      </c>
      <c r="AE83" s="175" t="str">
        <f>IF(ISTEXT(VLOOKUP(CONCATENATE($A83,"_",AE$3),'Unit List'!$A$23:$H$3319,2,FALSE)),"X",$AD83)</f>
        <v>+</v>
      </c>
      <c r="AF83" s="175" t="str">
        <f>IF(ISTEXT(VLOOKUP(CONCATENATE($A83,"_",AF$3),'Unit List'!$A$23:$H$3319,2,FALSE)),"X",$AD83)</f>
        <v>+</v>
      </c>
      <c r="AG83" s="97" t="str">
        <f>IF(ISTEXT(VLOOKUP(CONCATENATE($A83,"_",AG$3),'Unit List'!$A$23:$H$3319,2,FALSE)),"+","")</f>
        <v/>
      </c>
      <c r="AH83" s="175" t="str">
        <f>IF(ISTEXT(VLOOKUP(CONCATENATE($A83,"_",AH$3),'Unit List'!$A$23:$H$3319,2,FALSE)),"X",$AG83)</f>
        <v/>
      </c>
      <c r="AI83" s="175" t="str">
        <f>IF(ISTEXT(VLOOKUP(CONCATENATE($A83,"_",AI$3),'Unit List'!$A$23:$H$3319,2,FALSE)),"X",$AG83)</f>
        <v/>
      </c>
      <c r="AJ83" s="177" t="str">
        <f>IF(ISTEXT(VLOOKUP(CONCATENATE($A83,"_",AJ$3),'Unit List'!$A$23:$H$3319,2,FALSE)),"X",$AG83)</f>
        <v/>
      </c>
      <c r="AK83" s="97" t="str">
        <f>IF(ISTEXT(VLOOKUP(CONCATENATE($A83,"_",AK$3),'Unit List'!$A$23:$H$3319,2,FALSE)),"+","")</f>
        <v/>
      </c>
      <c r="AL83" s="176" t="str">
        <f>IF(ISTEXT(VLOOKUP(CONCATENATE($A83,"_",AL$3),'Unit List'!$A$23:$H$3319,2,FALSE)),"X",$AK83)</f>
        <v/>
      </c>
      <c r="AM83" s="177" t="str">
        <f>IF(ISTEXT(VLOOKUP(CONCATENATE($A83,"_",AM$3),'Unit List'!$A$23:$H$3319,2,FALSE)),"X",$AK83)</f>
        <v>X</v>
      </c>
      <c r="AN83" s="103" t="str">
        <f>IF(ISTEXT(VLOOKUP(CONCATENATE($A83,"_",AN$3),'Unit List'!$A$23:$H$3319,2,FALSE)),"+","")</f>
        <v/>
      </c>
      <c r="AO83" s="177" t="str">
        <f>IF(ISTEXT(VLOOKUP(CONCATENATE($A83,"_",AO$3),'Unit List'!$A$23:$H$3319,2,FALSE)),"X",$AN83)</f>
        <v/>
      </c>
      <c r="AP83" s="97" t="str">
        <f>IF(ISTEXT(VLOOKUP(CONCATENATE($A83,"_",AP$3),'Unit List'!$A$23:$H$3319,2,FALSE)),"+","")</f>
        <v/>
      </c>
      <c r="AQ83" s="175" t="str">
        <f>IF(ISTEXT(VLOOKUP(CONCATENATE($A83,"_",AQ$3),'Unit List'!$A$23:$H$3319,2,FALSE)),"X",$AP83)</f>
        <v/>
      </c>
      <c r="AR83" s="175" t="str">
        <f>IF(ISTEXT(VLOOKUP(CONCATENATE($A83,"_",AR$3),'Unit List'!$A$23:$H$3319,2,FALSE)),"X",$AP83)</f>
        <v/>
      </c>
      <c r="AS83" s="175" t="str">
        <f>IF(ISTEXT(VLOOKUP(CONCATENATE($A83,"_",AS$3),'Unit List'!$A$23:$H$3319,2,FALSE)),"X",$AP83)</f>
        <v/>
      </c>
      <c r="AT83" s="177" t="str">
        <f>IF(ISTEXT(VLOOKUP(CONCATENATE($A83,"_",AT$3),'Unit List'!$A$23:$H$3319,2,FALSE)),"X",$AP83)</f>
        <v/>
      </c>
      <c r="AU83" s="104" t="str">
        <f>IF(ISTEXT(VLOOKUP(CONCATENATE($A83,"_",AU$3),'Unit List'!$A$23:$H$3319,2,FALSE)),"+","")</f>
        <v/>
      </c>
      <c r="AV83" s="175" t="str">
        <f>IF(ISTEXT(VLOOKUP(CONCATENATE($A83,"_",AV$3),'Unit List'!$A$23:$H$3319,2,FALSE)),"X",$AU83)</f>
        <v/>
      </c>
      <c r="AW83" s="177" t="str">
        <f>IF(ISTEXT(VLOOKUP(CONCATENATE($A83,"_",AW$3),'Unit List'!$A$23:$H$3319,2,FALSE)),"X",$AU83)</f>
        <v/>
      </c>
      <c r="AX83" s="97" t="str">
        <f>IF(ISTEXT(VLOOKUP(CONCATENATE($A83,"_",AX$3),'Unit List'!$A$23:$H$3319,2,FALSE)),"+","")</f>
        <v/>
      </c>
      <c r="AY83" s="175" t="str">
        <f>IF(ISTEXT(VLOOKUP(CONCATENATE($A83,"_",AY$3),'Unit List'!$A$23:$H$3319,2,FALSE)),"X",$AX83)</f>
        <v/>
      </c>
      <c r="AZ83" s="177" t="str">
        <f>IF(ISTEXT(VLOOKUP(CONCATENATE($A83,"_",AZ$3),'Unit List'!$A$23:$H$3319,2,FALSE)),"X",$AX83)</f>
        <v/>
      </c>
      <c r="BA83" s="105" t="str">
        <f>IF(ISTEXT(VLOOKUP(CONCATENATE($A83,"_",BA$3),'Unit List'!$A$23:$H$3319,2,FALSE)),"+","")</f>
        <v/>
      </c>
      <c r="BB83" s="175" t="str">
        <f>IF(ISTEXT(VLOOKUP(CONCATENATE($A83,"_",BB$3),'Unit List'!$A$23:$H$3319,2,FALSE)),"X",$BA83)</f>
        <v/>
      </c>
      <c r="BC83" s="175" t="str">
        <f>IF(ISTEXT(VLOOKUP(CONCATENATE($A83,"_",BC$3),'Unit List'!$A$23:$H$3319,2,FALSE)),"X",$BA83)</f>
        <v/>
      </c>
      <c r="BD83" s="177" t="str">
        <f>IF(ISTEXT(VLOOKUP(CONCATENATE($A83,"_",BD$3),'Unit List'!$A$23:$H$3319,2,FALSE)),"X",$BA83)</f>
        <v/>
      </c>
      <c r="BE83" s="103" t="str">
        <f>IF(ISTEXT(VLOOKUP(CONCATENATE($A83,"_",BE$3),'Unit List'!$A$23:$H$3319,2,FALSE)),"+","")</f>
        <v/>
      </c>
      <c r="BF83" s="124" t="str">
        <f>IF(ISTEXT(VLOOKUP(CONCATENATE($A83,"_",BF$3),'Unit List'!$A$23:$H$3319,2,FALSE)),"X",$BE83)</f>
        <v/>
      </c>
      <c r="BG83" s="206" t="s">
        <v>0</v>
      </c>
      <c r="BH83" s="133"/>
      <c r="BI83" s="207"/>
      <c r="BJ83" s="208"/>
      <c r="BK83" s="208"/>
      <c r="BL83" s="209"/>
      <c r="BM83" s="209"/>
      <c r="BN83" s="108"/>
      <c r="BO83" s="108"/>
      <c r="BP83" s="108"/>
      <c r="BQ83" s="108"/>
      <c r="BR83" s="108"/>
      <c r="BS83" s="108"/>
      <c r="DZ83" s="109"/>
      <c r="EA83" s="109"/>
    </row>
    <row r="84" spans="1:131" ht="12.75" customHeight="1" x14ac:dyDescent="0.2">
      <c r="A84" s="201" t="s">
        <v>1129</v>
      </c>
      <c r="B84" s="91" t="str">
        <f>IF(ISTEXT(VLOOKUP(CONCATENATE($A84,"_",B$3),'Unit List'!$A$23:$H$3319,2,FALSE)),"+","")</f>
        <v/>
      </c>
      <c r="C84" s="174" t="str">
        <f>IF(ISTEXT(VLOOKUP(CONCATENATE($A84,"_",C$3),'Unit List'!$A$23:$H$3319,2,FALSE)),"X",$B84)</f>
        <v/>
      </c>
      <c r="D84" s="175" t="str">
        <f>IF(ISTEXT(VLOOKUP(CONCATENATE($A84,"_",D$3),'Unit List'!$A$23:$H$3319,2,FALSE)),"X",$B84)</f>
        <v/>
      </c>
      <c r="E84" s="175" t="str">
        <f>IF(ISTEXT(VLOOKUP(CONCATENATE($A84,"_",E$3),'Unit List'!$A$23:$H$3319,2,FALSE)),"X",$B84)</f>
        <v/>
      </c>
      <c r="F84" s="175" t="str">
        <f>IF(ISTEXT(VLOOKUP(CONCATENATE($A84,"_",F$3),'Unit List'!$A$23:$H$3319,2,FALSE)),"X",$B84)</f>
        <v/>
      </c>
      <c r="G84" s="175" t="str">
        <f>IF(ISTEXT(VLOOKUP(CONCATENATE($A84,"_",G$3),'Unit List'!$A$23:$H$3319,2,FALSE)),"X",$B84)</f>
        <v/>
      </c>
      <c r="H84" s="175" t="str">
        <f>IF(ISTEXT(VLOOKUP(CONCATENATE($A84,"_",H$3),'Unit List'!$A$23:$H$3319,2,FALSE)),"X",$B84)</f>
        <v/>
      </c>
      <c r="I84" s="177" t="str">
        <f>IF(ISTEXT(VLOOKUP(CONCATENATE($A84,"_",I$3),'Unit List'!$A$23:$H$3319,2,FALSE)),"X",$B84)</f>
        <v/>
      </c>
      <c r="J84" s="97" t="str">
        <f>IF(ISTEXT(VLOOKUP(CONCATENATE($A84,"_",J$3),'Unit List'!$A$23:$H$3319,2,FALSE)),"+","")</f>
        <v/>
      </c>
      <c r="K84" s="175" t="str">
        <f>IF(ISTEXT(VLOOKUP(CONCATENATE($A84,"_",K$3),'Unit List'!$A$23:$H$3319,2,FALSE)),"X",$J84)</f>
        <v/>
      </c>
      <c r="L84" s="124" t="str">
        <f>IF(ISTEXT(VLOOKUP(CONCATENATE($A84,"_",L$3),'Unit List'!$A$23:$H$3319,2,FALSE)),"X",$J84)</f>
        <v/>
      </c>
      <c r="M84" s="97" t="str">
        <f>IF(ISTEXT(VLOOKUP(CONCATENATE($A84,"_",M$3),'Unit List'!$A$23:$H$3319,2,FALSE)),"+","")</f>
        <v/>
      </c>
      <c r="N84" s="175" t="str">
        <f>IF(ISTEXT(VLOOKUP(CONCATENATE($A84,"_",N$3),'Unit List'!$A$23:$H$3319,2,FALSE)),"X",$M84)</f>
        <v/>
      </c>
      <c r="O84" s="177" t="str">
        <f>IF(ISTEXT(VLOOKUP(CONCATENATE($A84,"_",O$3),'Unit List'!$A$23:$H$3319,2,FALSE)),"X",$M84)</f>
        <v/>
      </c>
      <c r="P84" s="97" t="str">
        <f>IF(ISTEXT(VLOOKUP(CONCATENATE($A84,"_",P$3),'Unit List'!$A$23:$H$3319,2,FALSE)),"+","")</f>
        <v/>
      </c>
      <c r="Q84" s="175" t="str">
        <f>IF(ISTEXT(VLOOKUP(CONCATENATE($A84,"_",Q$3),'Unit List'!$A$23:$H$3319,2,FALSE)),"X",$P84)</f>
        <v/>
      </c>
      <c r="R84" s="175" t="str">
        <f>IF(ISTEXT(VLOOKUP(CONCATENATE($A84,"_",R$3),'Unit List'!$A$23:$H$3319,2,FALSE)),"X",$P84)</f>
        <v/>
      </c>
      <c r="S84" s="175" t="str">
        <f>IF(ISTEXT(VLOOKUP(CONCATENATE($A84,"_",S$3),'Unit List'!$A$23:$H$3319,2,FALSE)),"X",$P84)</f>
        <v/>
      </c>
      <c r="T84" s="176" t="str">
        <f>IF(ISTEXT(VLOOKUP(CONCATENATE($A84,"_",T$3),'Unit List'!$A$23:$H$3319,2,FALSE)),"X",$P84)</f>
        <v/>
      </c>
      <c r="U84" s="175" t="str">
        <f>IF(ISTEXT(VLOOKUP(CONCATENATE($A84,"_",U$3),'Unit List'!$A$23:$H$3319,2,FALSE)),"X",$P84)</f>
        <v/>
      </c>
      <c r="V84" s="175" t="str">
        <f>IF(ISTEXT(VLOOKUP(CONCATENATE($A84,"_",V$3),'Unit List'!$A$23:$H$3319,2,FALSE)),"X",$P84)</f>
        <v/>
      </c>
      <c r="W84" s="177" t="str">
        <f>IF(ISTEXT(VLOOKUP(CONCATENATE($A84,"_",W$3),'Unit List'!$A$23:$H$3319,2,FALSE)),"X",$P84)</f>
        <v/>
      </c>
      <c r="X84" s="97" t="str">
        <f>IF(ISTEXT(VLOOKUP(CONCATENATE($A84,"_",X$3),'Unit List'!$A$23:$H$3319,2,FALSE)),"+","")</f>
        <v/>
      </c>
      <c r="Y84" s="175" t="str">
        <f>IF(ISTEXT(VLOOKUP(CONCATENATE($A84,"_",Y$3),'Unit List'!$A$23:$H$3319,2,FALSE)),"X",$X84)</f>
        <v/>
      </c>
      <c r="Z84" s="175" t="str">
        <f>IF(ISTEXT(VLOOKUP(CONCATENATE($A84,"_",Z$3),'Unit List'!$A$23:$H$3319,2,FALSE)),"X",$X84)</f>
        <v/>
      </c>
      <c r="AA84" s="175" t="str">
        <f>IF(ISTEXT(VLOOKUP(CONCATENATE($A84,"_",AA$3),'Unit List'!$A$23:$H$3319,2,FALSE)),"X",$X84)</f>
        <v/>
      </c>
      <c r="AB84" s="175" t="str">
        <f>IF(ISTEXT(VLOOKUP(CONCATENATE($A84,"_",AB$3),'Unit List'!$A$23:$H$3319,2,FALSE)),"X",$X84)</f>
        <v/>
      </c>
      <c r="AC84" s="124" t="str">
        <f>IF(ISTEXT(VLOOKUP(CONCATENATE($A84,"_",AC$3),'Unit List'!$A$23:$H$3319,2,FALSE)),"X",$X84)</f>
        <v/>
      </c>
      <c r="AD84" s="97" t="str">
        <f>IF(ISTEXT(VLOOKUP(CONCATENATE($A84,"_",AD$3),'Unit List'!$A$23:$H$3319,2,FALSE)),"+","")</f>
        <v/>
      </c>
      <c r="AE84" s="175" t="str">
        <f>IF(ISTEXT(VLOOKUP(CONCATENATE($A84,"_",AE$3),'Unit List'!$A$23:$H$3319,2,FALSE)),"X",$AD84)</f>
        <v/>
      </c>
      <c r="AF84" s="175" t="str">
        <f>IF(ISTEXT(VLOOKUP(CONCATENATE($A84,"_",AF$3),'Unit List'!$A$23:$H$3319,2,FALSE)),"X",$AD84)</f>
        <v/>
      </c>
      <c r="AG84" s="97" t="str">
        <f>IF(ISTEXT(VLOOKUP(CONCATENATE($A84,"_",AG$3),'Unit List'!$A$23:$H$3319,2,FALSE)),"+","")</f>
        <v/>
      </c>
      <c r="AH84" s="175" t="str">
        <f>IF(ISTEXT(VLOOKUP(CONCATENATE($A84,"_",AH$3),'Unit List'!$A$23:$H$3319,2,FALSE)),"X",$AG84)</f>
        <v/>
      </c>
      <c r="AI84" s="175" t="str">
        <f>IF(ISTEXT(VLOOKUP(CONCATENATE($A84,"_",AI$3),'Unit List'!$A$23:$H$3319,2,FALSE)),"X",$AG84)</f>
        <v/>
      </c>
      <c r="AJ84" s="177" t="str">
        <f>IF(ISTEXT(VLOOKUP(CONCATENATE($A84,"_",AJ$3),'Unit List'!$A$23:$H$3319,2,FALSE)),"X",$AG84)</f>
        <v/>
      </c>
      <c r="AK84" s="97" t="str">
        <f>IF(ISTEXT(VLOOKUP(CONCATENATE($A84,"_",AK$3),'Unit List'!$A$23:$H$3319,2,FALSE)),"+","")</f>
        <v/>
      </c>
      <c r="AL84" s="176" t="str">
        <f>IF(ISTEXT(VLOOKUP(CONCATENATE($A84,"_",AL$3),'Unit List'!$A$23:$H$3319,2,FALSE)),"X",$AK84)</f>
        <v/>
      </c>
      <c r="AM84" s="177" t="str">
        <f>IF(ISTEXT(VLOOKUP(CONCATENATE($A84,"_",AM$3),'Unit List'!$A$23:$H$3319,2,FALSE)),"X",$AK84)</f>
        <v/>
      </c>
      <c r="AN84" s="103" t="str">
        <f>IF(ISTEXT(VLOOKUP(CONCATENATE($A84,"_",AN$3),'Unit List'!$A$23:$H$3319,2,FALSE)),"+","")</f>
        <v/>
      </c>
      <c r="AO84" s="177" t="str">
        <f>IF(ISTEXT(VLOOKUP(CONCATENATE($A84,"_",AO$3),'Unit List'!$A$23:$H$3319,2,FALSE)),"X",$AN84)</f>
        <v/>
      </c>
      <c r="AP84" s="97" t="str">
        <f>IF(ISTEXT(VLOOKUP(CONCATENATE($A84,"_",AP$3),'Unit List'!$A$23:$H$3319,2,FALSE)),"+","")</f>
        <v/>
      </c>
      <c r="AQ84" s="175" t="str">
        <f>IF(ISTEXT(VLOOKUP(CONCATENATE($A84,"_",AQ$3),'Unit List'!$A$23:$H$3319,2,FALSE)),"X",$AP84)</f>
        <v/>
      </c>
      <c r="AR84" s="175" t="str">
        <f>IF(ISTEXT(VLOOKUP(CONCATENATE($A84,"_",AR$3),'Unit List'!$A$23:$H$3319,2,FALSE)),"X",$AP84)</f>
        <v/>
      </c>
      <c r="AS84" s="175" t="str">
        <f>IF(ISTEXT(VLOOKUP(CONCATENATE($A84,"_",AS$3),'Unit List'!$A$23:$H$3319,2,FALSE)),"X",$AP84)</f>
        <v/>
      </c>
      <c r="AT84" s="177" t="str">
        <f>IF(ISTEXT(VLOOKUP(CONCATENATE($A84,"_",AT$3),'Unit List'!$A$23:$H$3319,2,FALSE)),"X",$AP84)</f>
        <v/>
      </c>
      <c r="AU84" s="104" t="str">
        <f>IF(ISTEXT(VLOOKUP(CONCATENATE($A84,"_",AU$3),'Unit List'!$A$23:$H$3319,2,FALSE)),"+","")</f>
        <v/>
      </c>
      <c r="AV84" s="175" t="str">
        <f>IF(ISTEXT(VLOOKUP(CONCATENATE($A84,"_",AV$3),'Unit List'!$A$23:$H$3319,2,FALSE)),"X",$AU84)</f>
        <v/>
      </c>
      <c r="AW84" s="177" t="str">
        <f>IF(ISTEXT(VLOOKUP(CONCATENATE($A84,"_",AW$3),'Unit List'!$A$23:$H$3319,2,FALSE)),"X",$AU84)</f>
        <v/>
      </c>
      <c r="AX84" s="97" t="str">
        <f>IF(ISTEXT(VLOOKUP(CONCATENATE($A84,"_",AX$3),'Unit List'!$A$23:$H$3319,2,FALSE)),"+","")</f>
        <v/>
      </c>
      <c r="AY84" s="175" t="str">
        <f>IF(ISTEXT(VLOOKUP(CONCATENATE($A84,"_",AY$3),'Unit List'!$A$23:$H$3319,2,FALSE)),"X",$AX84)</f>
        <v/>
      </c>
      <c r="AZ84" s="177" t="str">
        <f>IF(ISTEXT(VLOOKUP(CONCATENATE($A84,"_",AZ$3),'Unit List'!$A$23:$H$3319,2,FALSE)),"X",$AX84)</f>
        <v/>
      </c>
      <c r="BA84" s="105" t="str">
        <f>IF(ISTEXT(VLOOKUP(CONCATENATE($A84,"_",BA$3),'Unit List'!$A$23:$H$3319,2,FALSE)),"+","")</f>
        <v/>
      </c>
      <c r="BB84" s="175" t="str">
        <f>IF(ISTEXT(VLOOKUP(CONCATENATE($A84,"_",BB$3),'Unit List'!$A$23:$H$3319,2,FALSE)),"X",$BA84)</f>
        <v/>
      </c>
      <c r="BC84" s="175" t="str">
        <f>IF(ISTEXT(VLOOKUP(CONCATENATE($A84,"_",BC$3),'Unit List'!$A$23:$H$3319,2,FALSE)),"X",$BA84)</f>
        <v/>
      </c>
      <c r="BD84" s="177" t="str">
        <f>IF(ISTEXT(VLOOKUP(CONCATENATE($A84,"_",BD$3),'Unit List'!$A$23:$H$3319,2,FALSE)),"X",$BA84)</f>
        <v/>
      </c>
      <c r="BE84" s="103" t="str">
        <f>IF(ISTEXT(VLOOKUP(CONCATENATE($A84,"_",BE$3),'Unit List'!$A$23:$H$3319,2,FALSE)),"+","")</f>
        <v/>
      </c>
      <c r="BF84" s="124" t="str">
        <f>IF(ISTEXT(VLOOKUP(CONCATENATE($A84,"_",BF$3),'Unit List'!$A$23:$H$3319,2,FALSE)),"X",$BE84)</f>
        <v/>
      </c>
      <c r="BG84" s="206" t="s">
        <v>0</v>
      </c>
      <c r="BH84" s="133"/>
      <c r="BI84" s="207"/>
      <c r="BJ84" s="208"/>
      <c r="BK84" s="208"/>
      <c r="BL84" s="209"/>
      <c r="BM84" s="209"/>
      <c r="BN84" s="108"/>
      <c r="BO84" s="108"/>
      <c r="BP84" s="108"/>
      <c r="BQ84" s="108"/>
      <c r="BR84" s="108"/>
      <c r="BS84" s="108"/>
      <c r="DZ84" s="109"/>
      <c r="EA84" s="109"/>
    </row>
    <row r="85" spans="1:131" ht="12.75" customHeight="1" x14ac:dyDescent="0.2">
      <c r="A85" s="201" t="s">
        <v>1133</v>
      </c>
      <c r="B85" s="91" t="str">
        <f>IF(ISTEXT(VLOOKUP(CONCATENATE($A85,"_",B$3),'Unit List'!$A$23:$H$3319,2,FALSE)),"+","")</f>
        <v/>
      </c>
      <c r="C85" s="174" t="str">
        <f>IF(ISTEXT(VLOOKUP(CONCATENATE($A85,"_",C$3),'Unit List'!$A$23:$H$3319,2,FALSE)),"X",$B85)</f>
        <v/>
      </c>
      <c r="D85" s="175" t="str">
        <f>IF(ISTEXT(VLOOKUP(CONCATENATE($A85,"_",D$3),'Unit List'!$A$23:$H$3319,2,FALSE)),"X",$B85)</f>
        <v/>
      </c>
      <c r="E85" s="175" t="str">
        <f>IF(ISTEXT(VLOOKUP(CONCATENATE($A85,"_",E$3),'Unit List'!$A$23:$H$3319,2,FALSE)),"X",$B85)</f>
        <v/>
      </c>
      <c r="F85" s="175" t="str">
        <f>IF(ISTEXT(VLOOKUP(CONCATENATE($A85,"_",F$3),'Unit List'!$A$23:$H$3319,2,FALSE)),"X",$B85)</f>
        <v/>
      </c>
      <c r="G85" s="175" t="str">
        <f>IF(ISTEXT(VLOOKUP(CONCATENATE($A85,"_",G$3),'Unit List'!$A$23:$H$3319,2,FALSE)),"X",$B85)</f>
        <v/>
      </c>
      <c r="H85" s="175" t="str">
        <f>IF(ISTEXT(VLOOKUP(CONCATENATE($A85,"_",H$3),'Unit List'!$A$23:$H$3319,2,FALSE)),"X",$B85)</f>
        <v/>
      </c>
      <c r="I85" s="177" t="str">
        <f>IF(ISTEXT(VLOOKUP(CONCATENATE($A85,"_",I$3),'Unit List'!$A$23:$H$3319,2,FALSE)),"X",$B85)</f>
        <v/>
      </c>
      <c r="J85" s="97" t="str">
        <f>IF(ISTEXT(VLOOKUP(CONCATENATE($A85,"_",J$3),'Unit List'!$A$23:$H$3319,2,FALSE)),"+","")</f>
        <v/>
      </c>
      <c r="K85" s="175" t="str">
        <f>IF(ISTEXT(VLOOKUP(CONCATENATE($A85,"_",K$3),'Unit List'!$A$23:$H$3319,2,FALSE)),"X",$J85)</f>
        <v/>
      </c>
      <c r="L85" s="124" t="str">
        <f>IF(ISTEXT(VLOOKUP(CONCATENATE($A85,"_",L$3),'Unit List'!$A$23:$H$3319,2,FALSE)),"X",$J85)</f>
        <v/>
      </c>
      <c r="M85" s="97" t="str">
        <f>IF(ISTEXT(VLOOKUP(CONCATENATE($A85,"_",M$3),'Unit List'!$A$23:$H$3319,2,FALSE)),"+","")</f>
        <v/>
      </c>
      <c r="N85" s="175" t="str">
        <f>IF(ISTEXT(VLOOKUP(CONCATENATE($A85,"_",N$3),'Unit List'!$A$23:$H$3319,2,FALSE)),"X",$M85)</f>
        <v/>
      </c>
      <c r="O85" s="177" t="str">
        <f>IF(ISTEXT(VLOOKUP(CONCATENATE($A85,"_",O$3),'Unit List'!$A$23:$H$3319,2,FALSE)),"X",$M85)</f>
        <v/>
      </c>
      <c r="P85" s="97" t="str">
        <f>IF(ISTEXT(VLOOKUP(CONCATENATE($A85,"_",P$3),'Unit List'!$A$23:$H$3319,2,FALSE)),"+","")</f>
        <v/>
      </c>
      <c r="Q85" s="175" t="str">
        <f>IF(ISTEXT(VLOOKUP(CONCATENATE($A85,"_",Q$3),'Unit List'!$A$23:$H$3319,2,FALSE)),"X",$P85)</f>
        <v/>
      </c>
      <c r="R85" s="175" t="str">
        <f>IF(ISTEXT(VLOOKUP(CONCATENATE($A85,"_",R$3),'Unit List'!$A$23:$H$3319,2,FALSE)),"X",$P85)</f>
        <v/>
      </c>
      <c r="S85" s="175" t="str">
        <f>IF(ISTEXT(VLOOKUP(CONCATENATE($A85,"_",S$3),'Unit List'!$A$23:$H$3319,2,FALSE)),"X",$P85)</f>
        <v/>
      </c>
      <c r="T85" s="176" t="str">
        <f>IF(ISTEXT(VLOOKUP(CONCATENATE($A85,"_",T$3),'Unit List'!$A$23:$H$3319,2,FALSE)),"X",$P85)</f>
        <v/>
      </c>
      <c r="U85" s="175" t="str">
        <f>IF(ISTEXT(VLOOKUP(CONCATENATE($A85,"_",U$3),'Unit List'!$A$23:$H$3319,2,FALSE)),"X",$P85)</f>
        <v/>
      </c>
      <c r="V85" s="175" t="str">
        <f>IF(ISTEXT(VLOOKUP(CONCATENATE($A85,"_",V$3),'Unit List'!$A$23:$H$3319,2,FALSE)),"X",$P85)</f>
        <v/>
      </c>
      <c r="W85" s="177" t="str">
        <f>IF(ISTEXT(VLOOKUP(CONCATENATE($A85,"_",W$3),'Unit List'!$A$23:$H$3319,2,FALSE)),"X",$P85)</f>
        <v/>
      </c>
      <c r="X85" s="97" t="str">
        <f>IF(ISTEXT(VLOOKUP(CONCATENATE($A85,"_",X$3),'Unit List'!$A$23:$H$3319,2,FALSE)),"+","")</f>
        <v/>
      </c>
      <c r="Y85" s="175" t="str">
        <f>IF(ISTEXT(VLOOKUP(CONCATENATE($A85,"_",Y$3),'Unit List'!$A$23:$H$3319,2,FALSE)),"X",$X85)</f>
        <v/>
      </c>
      <c r="Z85" s="175" t="str">
        <f>IF(ISTEXT(VLOOKUP(CONCATENATE($A85,"_",Z$3),'Unit List'!$A$23:$H$3319,2,FALSE)),"X",$X85)</f>
        <v/>
      </c>
      <c r="AA85" s="175" t="str">
        <f>IF(ISTEXT(VLOOKUP(CONCATENATE($A85,"_",AA$3),'Unit List'!$A$23:$H$3319,2,FALSE)),"X",$X85)</f>
        <v/>
      </c>
      <c r="AB85" s="175" t="str">
        <f>IF(ISTEXT(VLOOKUP(CONCATENATE($A85,"_",AB$3),'Unit List'!$A$23:$H$3319,2,FALSE)),"X",$X85)</f>
        <v/>
      </c>
      <c r="AC85" s="124" t="str">
        <f>IF(ISTEXT(VLOOKUP(CONCATENATE($A85,"_",AC$3),'Unit List'!$A$23:$H$3319,2,FALSE)),"X",$X85)</f>
        <v/>
      </c>
      <c r="AD85" s="97" t="str">
        <f>IF(ISTEXT(VLOOKUP(CONCATENATE($A85,"_",AD$3),'Unit List'!$A$23:$H$3319,2,FALSE)),"+","")</f>
        <v/>
      </c>
      <c r="AE85" s="175" t="str">
        <f>IF(ISTEXT(VLOOKUP(CONCATENATE($A85,"_",AE$3),'Unit List'!$A$23:$H$3319,2,FALSE)),"X",$AD85)</f>
        <v/>
      </c>
      <c r="AF85" s="175" t="str">
        <f>IF(ISTEXT(VLOOKUP(CONCATENATE($A85,"_",AF$3),'Unit List'!$A$23:$H$3319,2,FALSE)),"X",$AD85)</f>
        <v/>
      </c>
      <c r="AG85" s="97" t="str">
        <f>IF(ISTEXT(VLOOKUP(CONCATENATE($A85,"_",AG$3),'Unit List'!$A$23:$H$3319,2,FALSE)),"+","")</f>
        <v/>
      </c>
      <c r="AH85" s="175" t="str">
        <f>IF(ISTEXT(VLOOKUP(CONCATENATE($A85,"_",AH$3),'Unit List'!$A$23:$H$3319,2,FALSE)),"X",$AG85)</f>
        <v/>
      </c>
      <c r="AI85" s="175" t="str">
        <f>IF(ISTEXT(VLOOKUP(CONCATENATE($A85,"_",AI$3),'Unit List'!$A$23:$H$3319,2,FALSE)),"X",$AG85)</f>
        <v/>
      </c>
      <c r="AJ85" s="177" t="str">
        <f>IF(ISTEXT(VLOOKUP(CONCATENATE($A85,"_",AJ$3),'Unit List'!$A$23:$H$3319,2,FALSE)),"X",$AG85)</f>
        <v/>
      </c>
      <c r="AK85" s="97" t="str">
        <f>IF(ISTEXT(VLOOKUP(CONCATENATE($A85,"_",AK$3),'Unit List'!$A$23:$H$3319,2,FALSE)),"+","")</f>
        <v/>
      </c>
      <c r="AL85" s="176" t="str">
        <f>IF(ISTEXT(VLOOKUP(CONCATENATE($A85,"_",AL$3),'Unit List'!$A$23:$H$3319,2,FALSE)),"X",$AK85)</f>
        <v/>
      </c>
      <c r="AM85" s="177" t="str">
        <f>IF(ISTEXT(VLOOKUP(CONCATENATE($A85,"_",AM$3),'Unit List'!$A$23:$H$3319,2,FALSE)),"X",$AK85)</f>
        <v/>
      </c>
      <c r="AN85" s="103" t="str">
        <f>IF(ISTEXT(VLOOKUP(CONCATENATE($A85,"_",AN$3),'Unit List'!$A$23:$H$3319,2,FALSE)),"+","")</f>
        <v/>
      </c>
      <c r="AO85" s="177" t="str">
        <f>IF(ISTEXT(VLOOKUP(CONCATENATE($A85,"_",AO$3),'Unit List'!$A$23:$H$3319,2,FALSE)),"X",$AN85)</f>
        <v/>
      </c>
      <c r="AP85" s="97" t="str">
        <f>IF(ISTEXT(VLOOKUP(CONCATENATE($A85,"_",AP$3),'Unit List'!$A$23:$H$3319,2,FALSE)),"+","")</f>
        <v/>
      </c>
      <c r="AQ85" s="175" t="str">
        <f>IF(ISTEXT(VLOOKUP(CONCATENATE($A85,"_",AQ$3),'Unit List'!$A$23:$H$3319,2,FALSE)),"X",$AP85)</f>
        <v/>
      </c>
      <c r="AR85" s="175" t="str">
        <f>IF(ISTEXT(VLOOKUP(CONCATENATE($A85,"_",AR$3),'Unit List'!$A$23:$H$3319,2,FALSE)),"X",$AP85)</f>
        <v/>
      </c>
      <c r="AS85" s="175" t="str">
        <f>IF(ISTEXT(VLOOKUP(CONCATENATE($A85,"_",AS$3),'Unit List'!$A$23:$H$3319,2,FALSE)),"X",$AP85)</f>
        <v/>
      </c>
      <c r="AT85" s="177" t="str">
        <f>IF(ISTEXT(VLOOKUP(CONCATENATE($A85,"_",AT$3),'Unit List'!$A$23:$H$3319,2,FALSE)),"X",$AP85)</f>
        <v/>
      </c>
      <c r="AU85" s="104" t="str">
        <f>IF(ISTEXT(VLOOKUP(CONCATENATE($A85,"_",AU$3),'Unit List'!$A$23:$H$3319,2,FALSE)),"+","")</f>
        <v/>
      </c>
      <c r="AV85" s="175" t="str">
        <f>IF(ISTEXT(VLOOKUP(CONCATENATE($A85,"_",AV$3),'Unit List'!$A$23:$H$3319,2,FALSE)),"X",$AU85)</f>
        <v/>
      </c>
      <c r="AW85" s="177" t="str">
        <f>IF(ISTEXT(VLOOKUP(CONCATENATE($A85,"_",AW$3),'Unit List'!$A$23:$H$3319,2,FALSE)),"X",$AU85)</f>
        <v/>
      </c>
      <c r="AX85" s="97" t="str">
        <f>IF(ISTEXT(VLOOKUP(CONCATENATE($A85,"_",AX$3),'Unit List'!$A$23:$H$3319,2,FALSE)),"+","")</f>
        <v/>
      </c>
      <c r="AY85" s="175" t="str">
        <f>IF(ISTEXT(VLOOKUP(CONCATENATE($A85,"_",AY$3),'Unit List'!$A$23:$H$3319,2,FALSE)),"X",$AX85)</f>
        <v/>
      </c>
      <c r="AZ85" s="177" t="str">
        <f>IF(ISTEXT(VLOOKUP(CONCATENATE($A85,"_",AZ$3),'Unit List'!$A$23:$H$3319,2,FALSE)),"X",$AX85)</f>
        <v/>
      </c>
      <c r="BA85" s="105" t="str">
        <f>IF(ISTEXT(VLOOKUP(CONCATENATE($A85,"_",BA$3),'Unit List'!$A$23:$H$3319,2,FALSE)),"+","")</f>
        <v/>
      </c>
      <c r="BB85" s="175" t="str">
        <f>IF(ISTEXT(VLOOKUP(CONCATENATE($A85,"_",BB$3),'Unit List'!$A$23:$H$3319,2,FALSE)),"X",$BA85)</f>
        <v/>
      </c>
      <c r="BC85" s="175" t="str">
        <f>IF(ISTEXT(VLOOKUP(CONCATENATE($A85,"_",BC$3),'Unit List'!$A$23:$H$3319,2,FALSE)),"X",$BA85)</f>
        <v/>
      </c>
      <c r="BD85" s="177" t="str">
        <f>IF(ISTEXT(VLOOKUP(CONCATENATE($A85,"_",BD$3),'Unit List'!$A$23:$H$3319,2,FALSE)),"X",$BA85)</f>
        <v/>
      </c>
      <c r="BE85" s="103" t="str">
        <f>IF(ISTEXT(VLOOKUP(CONCATENATE($A85,"_",BE$3),'Unit List'!$A$23:$H$3319,2,FALSE)),"+","")</f>
        <v/>
      </c>
      <c r="BF85" s="124" t="str">
        <f>IF(ISTEXT(VLOOKUP(CONCATENATE($A85,"_",BF$3),'Unit List'!$A$23:$H$3319,2,FALSE)),"X",$BE85)</f>
        <v/>
      </c>
      <c r="BG85" s="177"/>
      <c r="BH85" s="107" t="s">
        <v>0</v>
      </c>
      <c r="BI85" s="207"/>
      <c r="BJ85" s="208"/>
      <c r="BK85" s="208"/>
      <c r="BL85" s="209"/>
      <c r="BM85" s="209"/>
      <c r="BN85" s="108"/>
      <c r="BO85" s="108"/>
      <c r="BP85" s="108"/>
      <c r="BQ85" s="108"/>
      <c r="BR85" s="108"/>
      <c r="BS85" s="108"/>
      <c r="DZ85" s="109"/>
      <c r="EA85" s="109"/>
    </row>
    <row r="86" spans="1:131" ht="12.75" customHeight="1" x14ac:dyDescent="0.2">
      <c r="A86" s="201" t="s">
        <v>1134</v>
      </c>
      <c r="B86" s="204" t="str">
        <f>IF(ISTEXT(VLOOKUP(CONCATENATE($A86,"_",B$3),'Unit List'!$A$23:$H$3319,2,FALSE)),"+","")</f>
        <v/>
      </c>
      <c r="C86" s="174" t="str">
        <f>IF(ISTEXT(VLOOKUP(CONCATENATE($A86,"_",C$3),'Unit List'!$A$23:$H$3319,2,FALSE)),"X",$B86)</f>
        <v/>
      </c>
      <c r="D86" s="175" t="str">
        <f>IF(ISTEXT(VLOOKUP(CONCATENATE($A86,"_",D$3),'Unit List'!$A$23:$H$3319,2,FALSE)),"X",$B86)</f>
        <v/>
      </c>
      <c r="E86" s="175" t="str">
        <f>IF(ISTEXT(VLOOKUP(CONCATENATE($A86,"_",E$3),'Unit List'!$A$23:$H$3319,2,FALSE)),"X",$B86)</f>
        <v/>
      </c>
      <c r="F86" s="175" t="str">
        <f>IF(ISTEXT(VLOOKUP(CONCATENATE($A86,"_",F$3),'Unit List'!$A$23:$H$3319,2,FALSE)),"X",$B86)</f>
        <v/>
      </c>
      <c r="G86" s="175" t="str">
        <f>IF(ISTEXT(VLOOKUP(CONCATENATE($A86,"_",G$3),'Unit List'!$A$23:$H$3319,2,FALSE)),"X",$B86)</f>
        <v/>
      </c>
      <c r="H86" s="175" t="str">
        <f>IF(ISTEXT(VLOOKUP(CONCATENATE($A86,"_",H$3),'Unit List'!$A$23:$H$3319,2,FALSE)),"X",$B86)</f>
        <v/>
      </c>
      <c r="I86" s="177" t="str">
        <f>IF(ISTEXT(VLOOKUP(CONCATENATE($A86,"_",I$3),'Unit List'!$A$23:$H$3319,2,FALSE)),"X",$B86)</f>
        <v/>
      </c>
      <c r="J86" s="97" t="str">
        <f>IF(ISTEXT(VLOOKUP(CONCATENATE($A86,"_",J$3),'Unit List'!$A$23:$H$3319,2,FALSE)),"+","")</f>
        <v/>
      </c>
      <c r="K86" s="175" t="str">
        <f>IF(ISTEXT(VLOOKUP(CONCATENATE($A86,"_",K$3),'Unit List'!$A$23:$H$3319,2,FALSE)),"X",$J86)</f>
        <v/>
      </c>
      <c r="L86" s="124" t="str">
        <f>IF(ISTEXT(VLOOKUP(CONCATENATE($A86,"_",L$3),'Unit List'!$A$23:$H$3319,2,FALSE)),"X",$J86)</f>
        <v/>
      </c>
      <c r="M86" s="97" t="str">
        <f>IF(ISTEXT(VLOOKUP(CONCATENATE($A86,"_",M$3),'Unit List'!$A$23:$H$3319,2,FALSE)),"+","")</f>
        <v/>
      </c>
      <c r="N86" s="175" t="str">
        <f>IF(ISTEXT(VLOOKUP(CONCATENATE($A86,"_",N$3),'Unit List'!$A$23:$H$3319,2,FALSE)),"X",$M86)</f>
        <v/>
      </c>
      <c r="O86" s="177" t="str">
        <f>IF(ISTEXT(VLOOKUP(CONCATENATE($A86,"_",O$3),'Unit List'!$A$23:$H$3319,2,FALSE)),"X",$M86)</f>
        <v/>
      </c>
      <c r="P86" s="97" t="str">
        <f>IF(ISTEXT(VLOOKUP(CONCATENATE($A86,"_",P$3),'Unit List'!$A$23:$H$3319,2,FALSE)),"+","")</f>
        <v/>
      </c>
      <c r="Q86" s="175" t="str">
        <f>IF(ISTEXT(VLOOKUP(CONCATENATE($A86,"_",Q$3),'Unit List'!$A$23:$H$3319,2,FALSE)),"X",$P86)</f>
        <v/>
      </c>
      <c r="R86" s="175" t="str">
        <f>IF(ISTEXT(VLOOKUP(CONCATENATE($A86,"_",R$3),'Unit List'!$A$23:$H$3319,2,FALSE)),"X",$P86)</f>
        <v/>
      </c>
      <c r="S86" s="175" t="str">
        <f>IF(ISTEXT(VLOOKUP(CONCATENATE($A86,"_",S$3),'Unit List'!$A$23:$H$3319,2,FALSE)),"X",$P86)</f>
        <v/>
      </c>
      <c r="T86" s="176" t="str">
        <f>IF(ISTEXT(VLOOKUP(CONCATENATE($A86,"_",T$3),'Unit List'!$A$23:$H$3319,2,FALSE)),"X",$P86)</f>
        <v/>
      </c>
      <c r="U86" s="175" t="str">
        <f>IF(ISTEXT(VLOOKUP(CONCATENATE($A86,"_",U$3),'Unit List'!$A$23:$H$3319,2,FALSE)),"X",$P86)</f>
        <v/>
      </c>
      <c r="V86" s="175" t="str">
        <f>IF(ISTEXT(VLOOKUP(CONCATENATE($A86,"_",V$3),'Unit List'!$A$23:$H$3319,2,FALSE)),"X",$P86)</f>
        <v/>
      </c>
      <c r="W86" s="177" t="str">
        <f>IF(ISTEXT(VLOOKUP(CONCATENATE($A86,"_",W$3),'Unit List'!$A$23:$H$3319,2,FALSE)),"X",$P86)</f>
        <v/>
      </c>
      <c r="X86" s="97" t="str">
        <f>IF(ISTEXT(VLOOKUP(CONCATENATE($A86,"_",X$3),'Unit List'!$A$23:$H$3319,2,FALSE)),"+","")</f>
        <v/>
      </c>
      <c r="Y86" s="175" t="str">
        <f>IF(ISTEXT(VLOOKUP(CONCATENATE($A86,"_",Y$3),'Unit List'!$A$23:$H$3319,2,FALSE)),"X",$X86)</f>
        <v/>
      </c>
      <c r="Z86" s="175" t="str">
        <f>IF(ISTEXT(VLOOKUP(CONCATENATE($A86,"_",Z$3),'Unit List'!$A$23:$H$3319,2,FALSE)),"X",$X86)</f>
        <v/>
      </c>
      <c r="AA86" s="175" t="str">
        <f>IF(ISTEXT(VLOOKUP(CONCATENATE($A86,"_",AA$3),'Unit List'!$A$23:$H$3319,2,FALSE)),"X",$X86)</f>
        <v/>
      </c>
      <c r="AB86" s="175" t="str">
        <f>IF(ISTEXT(VLOOKUP(CONCATENATE($A86,"_",AB$3),'Unit List'!$A$23:$H$3319,2,FALSE)),"X",$X86)</f>
        <v/>
      </c>
      <c r="AC86" s="124" t="str">
        <f>IF(ISTEXT(VLOOKUP(CONCATENATE($A86,"_",AC$3),'Unit List'!$A$23:$H$3319,2,FALSE)),"X",$X86)</f>
        <v/>
      </c>
      <c r="AD86" s="97" t="str">
        <f>IF(ISTEXT(VLOOKUP(CONCATENATE($A86,"_",AD$3),'Unit List'!$A$23:$H$3319,2,FALSE)),"+","")</f>
        <v/>
      </c>
      <c r="AE86" s="175" t="str">
        <f>IF(ISTEXT(VLOOKUP(CONCATENATE($A86,"_",AE$3),'Unit List'!$A$23:$H$3319,2,FALSE)),"X",$AD86)</f>
        <v/>
      </c>
      <c r="AF86" s="175" t="str">
        <f>IF(ISTEXT(VLOOKUP(CONCATENATE($A86,"_",AF$3),'Unit List'!$A$23:$H$3319,2,FALSE)),"X",$AD86)</f>
        <v/>
      </c>
      <c r="AG86" s="97" t="str">
        <f>IF(ISTEXT(VLOOKUP(CONCATENATE($A86,"_",AG$3),'Unit List'!$A$23:$H$3319,2,FALSE)),"+","")</f>
        <v/>
      </c>
      <c r="AH86" s="175" t="str">
        <f>IF(ISTEXT(VLOOKUP(CONCATENATE($A86,"_",AH$3),'Unit List'!$A$23:$H$3319,2,FALSE)),"X",$AG86)</f>
        <v/>
      </c>
      <c r="AI86" s="175" t="str">
        <f>IF(ISTEXT(VLOOKUP(CONCATENATE($A86,"_",AI$3),'Unit List'!$A$23:$H$3319,2,FALSE)),"X",$AG86)</f>
        <v/>
      </c>
      <c r="AJ86" s="177" t="str">
        <f>IF(ISTEXT(VLOOKUP(CONCATENATE($A86,"_",AJ$3),'Unit List'!$A$23:$H$3319,2,FALSE)),"X",$AG86)</f>
        <v/>
      </c>
      <c r="AK86" s="97" t="str">
        <f>IF(ISTEXT(VLOOKUP(CONCATENATE($A86,"_",AK$3),'Unit List'!$A$23:$H$3319,2,FALSE)),"+","")</f>
        <v/>
      </c>
      <c r="AL86" s="176" t="str">
        <f>IF(ISTEXT(VLOOKUP(CONCATENATE($A86,"_",AL$3),'Unit List'!$A$23:$H$3319,2,FALSE)),"X",$AK86)</f>
        <v/>
      </c>
      <c r="AM86" s="177" t="str">
        <f>IF(ISTEXT(VLOOKUP(CONCATENATE($A86,"_",AM$3),'Unit List'!$A$23:$H$3319,2,FALSE)),"X",$AK86)</f>
        <v/>
      </c>
      <c r="AN86" s="103" t="str">
        <f>IF(ISTEXT(VLOOKUP(CONCATENATE($A86,"_",AN$3),'Unit List'!$A$23:$H$3319,2,FALSE)),"+","")</f>
        <v/>
      </c>
      <c r="AO86" s="177" t="str">
        <f>IF(ISTEXT(VLOOKUP(CONCATENATE($A86,"_",AO$3),'Unit List'!$A$23:$H$3319,2,FALSE)),"X",$AN86)</f>
        <v/>
      </c>
      <c r="AP86" s="97" t="str">
        <f>IF(ISTEXT(VLOOKUP(CONCATENATE($A86,"_",AP$3),'Unit List'!$A$23:$H$3319,2,FALSE)),"+","")</f>
        <v/>
      </c>
      <c r="AQ86" s="175" t="str">
        <f>IF(ISTEXT(VLOOKUP(CONCATENATE($A86,"_",AQ$3),'Unit List'!$A$23:$H$3319,2,FALSE)),"X",$AP86)</f>
        <v/>
      </c>
      <c r="AR86" s="175" t="str">
        <f>IF(ISTEXT(VLOOKUP(CONCATENATE($A86,"_",AR$3),'Unit List'!$A$23:$H$3319,2,FALSE)),"X",$AP86)</f>
        <v/>
      </c>
      <c r="AS86" s="175" t="str">
        <f>IF(ISTEXT(VLOOKUP(CONCATENATE($A86,"_",AS$3),'Unit List'!$A$23:$H$3319,2,FALSE)),"X",$AP86)</f>
        <v/>
      </c>
      <c r="AT86" s="177" t="str">
        <f>IF(ISTEXT(VLOOKUP(CONCATENATE($A86,"_",AT$3),'Unit List'!$A$23:$H$3319,2,FALSE)),"X",$AP86)</f>
        <v/>
      </c>
      <c r="AU86" s="104" t="str">
        <f>IF(ISTEXT(VLOOKUP(CONCATENATE($A86,"_",AU$3),'Unit List'!$A$23:$H$3319,2,FALSE)),"+","")</f>
        <v/>
      </c>
      <c r="AV86" s="175" t="str">
        <f>IF(ISTEXT(VLOOKUP(CONCATENATE($A86,"_",AV$3),'Unit List'!$A$23:$H$3319,2,FALSE)),"X",$AU86)</f>
        <v/>
      </c>
      <c r="AW86" s="177" t="str">
        <f>IF(ISTEXT(VLOOKUP(CONCATENATE($A86,"_",AW$3),'Unit List'!$A$23:$H$3319,2,FALSE)),"X",$AU86)</f>
        <v/>
      </c>
      <c r="AX86" s="97" t="str">
        <f>IF(ISTEXT(VLOOKUP(CONCATENATE($A86,"_",AX$3),'Unit List'!$A$23:$H$3319,2,FALSE)),"+","")</f>
        <v/>
      </c>
      <c r="AY86" s="175" t="str">
        <f>IF(ISTEXT(VLOOKUP(CONCATENATE($A86,"_",AY$3),'Unit List'!$A$23:$H$3319,2,FALSE)),"X",$AX86)</f>
        <v/>
      </c>
      <c r="AZ86" s="177" t="str">
        <f>IF(ISTEXT(VLOOKUP(CONCATENATE($A86,"_",AZ$3),'Unit List'!$A$23:$H$3319,2,FALSE)),"X",$AX86)</f>
        <v/>
      </c>
      <c r="BA86" s="105" t="str">
        <f>IF(ISTEXT(VLOOKUP(CONCATENATE($A86,"_",BA$3),'Unit List'!$A$23:$H$3319,2,FALSE)),"+","")</f>
        <v/>
      </c>
      <c r="BB86" s="175" t="str">
        <f>IF(ISTEXT(VLOOKUP(CONCATENATE($A86,"_",BB$3),'Unit List'!$A$23:$H$3319,2,FALSE)),"X",$BA86)</f>
        <v/>
      </c>
      <c r="BC86" s="175" t="str">
        <f>IF(ISTEXT(VLOOKUP(CONCATENATE($A86,"_",BC$3),'Unit List'!$A$23:$H$3319,2,FALSE)),"X",$BA86)</f>
        <v/>
      </c>
      <c r="BD86" s="177" t="str">
        <f>IF(ISTEXT(VLOOKUP(CONCATENATE($A86,"_",BD$3),'Unit List'!$A$23:$H$3319,2,FALSE)),"X",$BA86)</f>
        <v/>
      </c>
      <c r="BE86" s="103" t="str">
        <f>IF(ISTEXT(VLOOKUP(CONCATENATE($A86,"_",BE$3),'Unit List'!$A$23:$H$3319,2,FALSE)),"+","")</f>
        <v/>
      </c>
      <c r="BF86" s="124" t="str">
        <f>IF(ISTEXT(VLOOKUP(CONCATENATE($A86,"_",BF$3),'Unit List'!$A$23:$H$3319,2,FALSE)),"X",$BE86)</f>
        <v/>
      </c>
      <c r="BG86" s="177"/>
      <c r="BH86" s="107" t="s">
        <v>0</v>
      </c>
      <c r="BI86" s="207"/>
      <c r="BJ86" s="208"/>
      <c r="BK86" s="208"/>
      <c r="BL86" s="209"/>
      <c r="BM86" s="209"/>
      <c r="BN86" s="108"/>
      <c r="BO86" s="108"/>
      <c r="BP86" s="108"/>
      <c r="BQ86" s="108"/>
      <c r="BR86" s="108"/>
      <c r="BS86" s="108"/>
      <c r="DZ86" s="109"/>
      <c r="EA86" s="109"/>
    </row>
    <row r="87" spans="1:131" ht="12.75" customHeight="1" x14ac:dyDescent="0.2">
      <c r="A87" s="201" t="s">
        <v>1135</v>
      </c>
      <c r="B87" s="204" t="str">
        <f>IF(ISTEXT(VLOOKUP(CONCATENATE($A87,"_",B$3),'Unit List'!$A$23:$H$3319,2,FALSE)),"+","")</f>
        <v/>
      </c>
      <c r="C87" s="174" t="str">
        <f>IF(ISTEXT(VLOOKUP(CONCATENATE($A87,"_",C$3),'Unit List'!$A$23:$H$3319,2,FALSE)),"X",$B87)</f>
        <v/>
      </c>
      <c r="D87" s="175" t="str">
        <f>IF(ISTEXT(VLOOKUP(CONCATENATE($A87,"_",D$3),'Unit List'!$A$23:$H$3319,2,FALSE)),"X",$B87)</f>
        <v/>
      </c>
      <c r="E87" s="175" t="str">
        <f>IF(ISTEXT(VLOOKUP(CONCATENATE($A87,"_",E$3),'Unit List'!$A$23:$H$3319,2,FALSE)),"X",$B87)</f>
        <v/>
      </c>
      <c r="F87" s="175" t="str">
        <f>IF(ISTEXT(VLOOKUP(CONCATENATE($A87,"_",F$3),'Unit List'!$A$23:$H$3319,2,FALSE)),"X",$B87)</f>
        <v/>
      </c>
      <c r="G87" s="175" t="str">
        <f>IF(ISTEXT(VLOOKUP(CONCATENATE($A87,"_",G$3),'Unit List'!$A$23:$H$3319,2,FALSE)),"X",$B87)</f>
        <v/>
      </c>
      <c r="H87" s="175" t="str">
        <f>IF(ISTEXT(VLOOKUP(CONCATENATE($A87,"_",H$3),'Unit List'!$A$23:$H$3319,2,FALSE)),"X",$B87)</f>
        <v/>
      </c>
      <c r="I87" s="177" t="str">
        <f>IF(ISTEXT(VLOOKUP(CONCATENATE($A87,"_",I$3),'Unit List'!$A$23:$H$3319,2,FALSE)),"X",$B87)</f>
        <v/>
      </c>
      <c r="J87" s="97" t="str">
        <f>IF(ISTEXT(VLOOKUP(CONCATENATE($A87,"_",J$3),'Unit List'!$A$23:$H$3319,2,FALSE)),"+","")</f>
        <v/>
      </c>
      <c r="K87" s="175" t="str">
        <f>IF(ISTEXT(VLOOKUP(CONCATENATE($A87,"_",K$3),'Unit List'!$A$23:$H$3319,2,FALSE)),"X",$J87)</f>
        <v/>
      </c>
      <c r="L87" s="124" t="str">
        <f>IF(ISTEXT(VLOOKUP(CONCATENATE($A87,"_",L$3),'Unit List'!$A$23:$H$3319,2,FALSE)),"X",$J87)</f>
        <v/>
      </c>
      <c r="M87" s="97" t="str">
        <f>IF(ISTEXT(VLOOKUP(CONCATENATE($A87,"_",M$3),'Unit List'!$A$23:$H$3319,2,FALSE)),"+","")</f>
        <v/>
      </c>
      <c r="N87" s="175" t="str">
        <f>IF(ISTEXT(VLOOKUP(CONCATENATE($A87,"_",N$3),'Unit List'!$A$23:$H$3319,2,FALSE)),"X",$M87)</f>
        <v/>
      </c>
      <c r="O87" s="177" t="str">
        <f>IF(ISTEXT(VLOOKUP(CONCATENATE($A87,"_",O$3),'Unit List'!$A$23:$H$3319,2,FALSE)),"X",$M87)</f>
        <v/>
      </c>
      <c r="P87" s="97" t="str">
        <f>IF(ISTEXT(VLOOKUP(CONCATENATE($A87,"_",P$3),'Unit List'!$A$23:$H$3319,2,FALSE)),"+","")</f>
        <v/>
      </c>
      <c r="Q87" s="175" t="str">
        <f>IF(ISTEXT(VLOOKUP(CONCATENATE($A87,"_",Q$3),'Unit List'!$A$23:$H$3319,2,FALSE)),"X",$P87)</f>
        <v/>
      </c>
      <c r="R87" s="175" t="str">
        <f>IF(ISTEXT(VLOOKUP(CONCATENATE($A87,"_",R$3),'Unit List'!$A$23:$H$3319,2,FALSE)),"X",$P87)</f>
        <v/>
      </c>
      <c r="S87" s="175" t="str">
        <f>IF(ISTEXT(VLOOKUP(CONCATENATE($A87,"_",S$3),'Unit List'!$A$23:$H$3319,2,FALSE)),"X",$P87)</f>
        <v/>
      </c>
      <c r="T87" s="176" t="str">
        <f>IF(ISTEXT(VLOOKUP(CONCATENATE($A87,"_",T$3),'Unit List'!$A$23:$H$3319,2,FALSE)),"X",$P87)</f>
        <v/>
      </c>
      <c r="U87" s="175" t="str">
        <f>IF(ISTEXT(VLOOKUP(CONCATENATE($A87,"_",U$3),'Unit List'!$A$23:$H$3319,2,FALSE)),"X",$P87)</f>
        <v>X</v>
      </c>
      <c r="V87" s="175" t="str">
        <f>IF(ISTEXT(VLOOKUP(CONCATENATE($A87,"_",V$3),'Unit List'!$A$23:$H$3319,2,FALSE)),"X",$P87)</f>
        <v/>
      </c>
      <c r="W87" s="177" t="str">
        <f>IF(ISTEXT(VLOOKUP(CONCATENATE($A87,"_",W$3),'Unit List'!$A$23:$H$3319,2,FALSE)),"X",$P87)</f>
        <v/>
      </c>
      <c r="X87" s="97" t="str">
        <f>IF(ISTEXT(VLOOKUP(CONCATENATE($A87,"_",X$3),'Unit List'!$A$23:$H$3319,2,FALSE)),"+","")</f>
        <v/>
      </c>
      <c r="Y87" s="175" t="str">
        <f>IF(ISTEXT(VLOOKUP(CONCATENATE($A87,"_",Y$3),'Unit List'!$A$23:$H$3319,2,FALSE)),"X",$X87)</f>
        <v/>
      </c>
      <c r="Z87" s="175" t="str">
        <f>IF(ISTEXT(VLOOKUP(CONCATENATE($A87,"_",Z$3),'Unit List'!$A$23:$H$3319,2,FALSE)),"X",$X87)</f>
        <v/>
      </c>
      <c r="AA87" s="175" t="str">
        <f>IF(ISTEXT(VLOOKUP(CONCATENATE($A87,"_",AA$3),'Unit List'!$A$23:$H$3319,2,FALSE)),"X",$X87)</f>
        <v/>
      </c>
      <c r="AB87" s="175" t="str">
        <f>IF(ISTEXT(VLOOKUP(CONCATENATE($A87,"_",AB$3),'Unit List'!$A$23:$H$3319,2,FALSE)),"X",$X87)</f>
        <v/>
      </c>
      <c r="AC87" s="124" t="str">
        <f>IF(ISTEXT(VLOOKUP(CONCATENATE($A87,"_",AC$3),'Unit List'!$A$23:$H$3319,2,FALSE)),"X",$X87)</f>
        <v/>
      </c>
      <c r="AD87" s="97" t="str">
        <f>IF(ISTEXT(VLOOKUP(CONCATENATE($A87,"_",AD$3),'Unit List'!$A$23:$H$3319,2,FALSE)),"+","")</f>
        <v/>
      </c>
      <c r="AE87" s="175" t="str">
        <f>IF(ISTEXT(VLOOKUP(CONCATENATE($A87,"_",AE$3),'Unit List'!$A$23:$H$3319,2,FALSE)),"X",$AD87)</f>
        <v/>
      </c>
      <c r="AF87" s="175" t="str">
        <f>IF(ISTEXT(VLOOKUP(CONCATENATE($A87,"_",AF$3),'Unit List'!$A$23:$H$3319,2,FALSE)),"X",$AD87)</f>
        <v/>
      </c>
      <c r="AG87" s="97" t="str">
        <f>IF(ISTEXT(VLOOKUP(CONCATENATE($A87,"_",AG$3),'Unit List'!$A$23:$H$3319,2,FALSE)),"+","")</f>
        <v/>
      </c>
      <c r="AH87" s="175" t="str">
        <f>IF(ISTEXT(VLOOKUP(CONCATENATE($A87,"_",AH$3),'Unit List'!$A$23:$H$3319,2,FALSE)),"X",$AG87)</f>
        <v/>
      </c>
      <c r="AI87" s="175" t="str">
        <f>IF(ISTEXT(VLOOKUP(CONCATENATE($A87,"_",AI$3),'Unit List'!$A$23:$H$3319,2,FALSE)),"X",$AG87)</f>
        <v/>
      </c>
      <c r="AJ87" s="177" t="str">
        <f>IF(ISTEXT(VLOOKUP(CONCATENATE($A87,"_",AJ$3),'Unit List'!$A$23:$H$3319,2,FALSE)),"X",$AG87)</f>
        <v/>
      </c>
      <c r="AK87" s="97" t="str">
        <f>IF(ISTEXT(VLOOKUP(CONCATENATE($A87,"_",AK$3),'Unit List'!$A$23:$H$3319,2,FALSE)),"+","")</f>
        <v/>
      </c>
      <c r="AL87" s="176" t="str">
        <f>IF(ISTEXT(VLOOKUP(CONCATENATE($A87,"_",AL$3),'Unit List'!$A$23:$H$3319,2,FALSE)),"X",$AK87)</f>
        <v/>
      </c>
      <c r="AM87" s="177" t="str">
        <f>IF(ISTEXT(VLOOKUP(CONCATENATE($A87,"_",AM$3),'Unit List'!$A$23:$H$3319,2,FALSE)),"X",$AK87)</f>
        <v/>
      </c>
      <c r="AN87" s="103" t="str">
        <f>IF(ISTEXT(VLOOKUP(CONCATENATE($A87,"_",AN$3),'Unit List'!$A$23:$H$3319,2,FALSE)),"+","")</f>
        <v/>
      </c>
      <c r="AO87" s="177" t="str">
        <f>IF(ISTEXT(VLOOKUP(CONCATENATE($A87,"_",AO$3),'Unit List'!$A$23:$H$3319,2,FALSE)),"X",$AN87)</f>
        <v/>
      </c>
      <c r="AP87" s="97" t="str">
        <f>IF(ISTEXT(VLOOKUP(CONCATENATE($A87,"_",AP$3),'Unit List'!$A$23:$H$3319,2,FALSE)),"+","")</f>
        <v/>
      </c>
      <c r="AQ87" s="175" t="str">
        <f>IF(ISTEXT(VLOOKUP(CONCATENATE($A87,"_",AQ$3),'Unit List'!$A$23:$H$3319,2,FALSE)),"X",$AP87)</f>
        <v/>
      </c>
      <c r="AR87" s="175" t="str">
        <f>IF(ISTEXT(VLOOKUP(CONCATENATE($A87,"_",AR$3),'Unit List'!$A$23:$H$3319,2,FALSE)),"X",$AP87)</f>
        <v/>
      </c>
      <c r="AS87" s="175" t="str">
        <f>IF(ISTEXT(VLOOKUP(CONCATENATE($A87,"_",AS$3),'Unit List'!$A$23:$H$3319,2,FALSE)),"X",$AP87)</f>
        <v/>
      </c>
      <c r="AT87" s="210" t="s">
        <v>0</v>
      </c>
      <c r="AU87" s="104" t="str">
        <f>IF(ISTEXT(VLOOKUP(CONCATENATE($A87,"_",AU$3),'Unit List'!$A$23:$H$3319,2,FALSE)),"+","")</f>
        <v/>
      </c>
      <c r="AV87" s="175" t="str">
        <f>IF(ISTEXT(VLOOKUP(CONCATENATE($A87,"_",AV$3),'Unit List'!$A$23:$H$3319,2,FALSE)),"X",$AU87)</f>
        <v/>
      </c>
      <c r="AW87" s="177" t="str">
        <f>IF(ISTEXT(VLOOKUP(CONCATENATE($A87,"_",AW$3),'Unit List'!$A$23:$H$3319,2,FALSE)),"X",$AU87)</f>
        <v/>
      </c>
      <c r="AX87" s="97" t="str">
        <f>IF(ISTEXT(VLOOKUP(CONCATENATE($A87,"_",AX$3),'Unit List'!$A$23:$H$3319,2,FALSE)),"+","")</f>
        <v/>
      </c>
      <c r="AY87" s="175" t="str">
        <f>IF(ISTEXT(VLOOKUP(CONCATENATE($A87,"_",AY$3),'Unit List'!$A$23:$H$3319,2,FALSE)),"X",$AX87)</f>
        <v/>
      </c>
      <c r="AZ87" s="177" t="str">
        <f>IF(ISTEXT(VLOOKUP(CONCATENATE($A87,"_",AZ$3),'Unit List'!$A$23:$H$3319,2,FALSE)),"X",$AX87)</f>
        <v/>
      </c>
      <c r="BA87" s="105" t="str">
        <f>IF(ISTEXT(VLOOKUP(CONCATENATE($A87,"_",BA$3),'Unit List'!$A$23:$H$3319,2,FALSE)),"+","")</f>
        <v/>
      </c>
      <c r="BB87" s="175" t="str">
        <f>IF(ISTEXT(VLOOKUP(CONCATENATE($A87,"_",BB$3),'Unit List'!$A$23:$H$3319,2,FALSE)),"X",$BA87)</f>
        <v/>
      </c>
      <c r="BC87" s="175" t="str">
        <f>IF(ISTEXT(VLOOKUP(CONCATENATE($A87,"_",BC$3),'Unit List'!$A$23:$H$3319,2,FALSE)),"X",$BA87)</f>
        <v/>
      </c>
      <c r="BD87" s="177" t="str">
        <f>IF(ISTEXT(VLOOKUP(CONCATENATE($A87,"_",BD$3),'Unit List'!$A$23:$H$3319,2,FALSE)),"X",$BA87)</f>
        <v/>
      </c>
      <c r="BE87" s="103" t="str">
        <f>IF(ISTEXT(VLOOKUP(CONCATENATE($A87,"_",BE$3),'Unit List'!$A$23:$H$3319,2,FALSE)),"+","")</f>
        <v/>
      </c>
      <c r="BF87" s="124" t="str">
        <f>IF(ISTEXT(VLOOKUP(CONCATENATE($A87,"_",BF$3),'Unit List'!$A$23:$H$3319,2,FALSE)),"X",$BE87)</f>
        <v/>
      </c>
      <c r="BG87" s="177"/>
      <c r="BH87" s="133"/>
      <c r="BI87" s="207"/>
      <c r="BJ87" s="208"/>
      <c r="BK87" s="208"/>
      <c r="BL87" s="209"/>
      <c r="BM87" s="209"/>
      <c r="BN87" s="108"/>
      <c r="BO87" s="108"/>
      <c r="BP87" s="108"/>
      <c r="BQ87" s="108"/>
      <c r="BR87" s="108"/>
      <c r="BS87" s="108"/>
      <c r="DZ87" s="109"/>
      <c r="EA87" s="109"/>
    </row>
    <row r="88" spans="1:131" ht="12.75" customHeight="1" x14ac:dyDescent="0.2">
      <c r="A88" s="201" t="s">
        <v>1136</v>
      </c>
      <c r="B88" s="204" t="str">
        <f>IF(ISTEXT(VLOOKUP(CONCATENATE($A88,"_",B$3),'Unit List'!$A$23:$H$3319,2,FALSE)),"+","")</f>
        <v/>
      </c>
      <c r="C88" s="174" t="str">
        <f>IF(ISTEXT(VLOOKUP(CONCATENATE($A88,"_",C$3),'Unit List'!$A$23:$H$3319,2,FALSE)),"X",$B88)</f>
        <v/>
      </c>
      <c r="D88" s="175" t="str">
        <f>IF(ISTEXT(VLOOKUP(CONCATENATE($A88,"_",D$3),'Unit List'!$A$23:$H$3319,2,FALSE)),"X",$B88)</f>
        <v/>
      </c>
      <c r="E88" s="175" t="str">
        <f>IF(ISTEXT(VLOOKUP(CONCATENATE($A88,"_",E$3),'Unit List'!$A$23:$H$3319,2,FALSE)),"X",$B88)</f>
        <v/>
      </c>
      <c r="F88" s="175" t="str">
        <f>IF(ISTEXT(VLOOKUP(CONCATENATE($A88,"_",F$3),'Unit List'!$A$23:$H$3319,2,FALSE)),"X",$B88)</f>
        <v/>
      </c>
      <c r="G88" s="175" t="str">
        <f>IF(ISTEXT(VLOOKUP(CONCATENATE($A88,"_",G$3),'Unit List'!$A$23:$H$3319,2,FALSE)),"X",$B88)</f>
        <v/>
      </c>
      <c r="H88" s="175" t="str">
        <f>IF(ISTEXT(VLOOKUP(CONCATENATE($A88,"_",H$3),'Unit List'!$A$23:$H$3319,2,FALSE)),"X",$B88)</f>
        <v/>
      </c>
      <c r="I88" s="177" t="str">
        <f>IF(ISTEXT(VLOOKUP(CONCATENATE($A88,"_",I$3),'Unit List'!$A$23:$H$3319,2,FALSE)),"X",$B88)</f>
        <v/>
      </c>
      <c r="J88" s="97" t="str">
        <f>IF(ISTEXT(VLOOKUP(CONCATENATE($A88,"_",J$3),'Unit List'!$A$23:$H$3319,2,FALSE)),"+","")</f>
        <v/>
      </c>
      <c r="K88" s="175" t="str">
        <f>IF(ISTEXT(VLOOKUP(CONCATENATE($A88,"_",K$3),'Unit List'!$A$23:$H$3319,2,FALSE)),"X",$J88)</f>
        <v/>
      </c>
      <c r="L88" s="124" t="str">
        <f>IF(ISTEXT(VLOOKUP(CONCATENATE($A88,"_",L$3),'Unit List'!$A$23:$H$3319,2,FALSE)),"X",$J88)</f>
        <v/>
      </c>
      <c r="M88" s="97" t="str">
        <f>IF(ISTEXT(VLOOKUP(CONCATENATE($A88,"_",M$3),'Unit List'!$A$23:$H$3319,2,FALSE)),"+","")</f>
        <v/>
      </c>
      <c r="N88" s="175" t="str">
        <f>IF(ISTEXT(VLOOKUP(CONCATENATE($A88,"_",N$3),'Unit List'!$A$23:$H$3319,2,FALSE)),"X",$M88)</f>
        <v/>
      </c>
      <c r="O88" s="177" t="str">
        <f>IF(ISTEXT(VLOOKUP(CONCATENATE($A88,"_",O$3),'Unit List'!$A$23:$H$3319,2,FALSE)),"X",$M88)</f>
        <v/>
      </c>
      <c r="P88" s="97" t="str">
        <f>IF(ISTEXT(VLOOKUP(CONCATENATE($A88,"_",P$3),'Unit List'!$A$23:$H$3319,2,FALSE)),"+","")</f>
        <v/>
      </c>
      <c r="Q88" s="175" t="str">
        <f>IF(ISTEXT(VLOOKUP(CONCATENATE($A88,"_",Q$3),'Unit List'!$A$23:$H$3319,2,FALSE)),"X",$P88)</f>
        <v/>
      </c>
      <c r="R88" s="175" t="str">
        <f>IF(ISTEXT(VLOOKUP(CONCATENATE($A88,"_",R$3),'Unit List'!$A$23:$H$3319,2,FALSE)),"X",$P88)</f>
        <v/>
      </c>
      <c r="S88" s="175" t="str">
        <f>IF(ISTEXT(VLOOKUP(CONCATENATE($A88,"_",S$3),'Unit List'!$A$23:$H$3319,2,FALSE)),"X",$P88)</f>
        <v/>
      </c>
      <c r="T88" s="176" t="str">
        <f>IF(ISTEXT(VLOOKUP(CONCATENATE($A88,"_",T$3),'Unit List'!$A$23:$H$3319,2,FALSE)),"X",$P88)</f>
        <v/>
      </c>
      <c r="U88" s="175" t="str">
        <f>IF(ISTEXT(VLOOKUP(CONCATENATE($A88,"_",U$3),'Unit List'!$A$23:$H$3319,2,FALSE)),"X",$P88)</f>
        <v/>
      </c>
      <c r="V88" s="175" t="str">
        <f>IF(ISTEXT(VLOOKUP(CONCATENATE($A88,"_",V$3),'Unit List'!$A$23:$H$3319,2,FALSE)),"X",$P88)</f>
        <v/>
      </c>
      <c r="W88" s="177" t="str">
        <f>IF(ISTEXT(VLOOKUP(CONCATENATE($A88,"_",W$3),'Unit List'!$A$23:$H$3319,2,FALSE)),"X",$P88)</f>
        <v/>
      </c>
      <c r="X88" s="97" t="str">
        <f>IF(ISTEXT(VLOOKUP(CONCATENATE($A88,"_",X$3),'Unit List'!$A$23:$H$3319,2,FALSE)),"+","")</f>
        <v/>
      </c>
      <c r="Y88" s="175" t="str">
        <f>IF(ISTEXT(VLOOKUP(CONCATENATE($A88,"_",Y$3),'Unit List'!$A$23:$H$3319,2,FALSE)),"X",$X88)</f>
        <v/>
      </c>
      <c r="Z88" s="175" t="str">
        <f>IF(ISTEXT(VLOOKUP(CONCATENATE($A88,"_",Z$3),'Unit List'!$A$23:$H$3319,2,FALSE)),"X",$X88)</f>
        <v/>
      </c>
      <c r="AA88" s="175" t="str">
        <f>IF(ISTEXT(VLOOKUP(CONCATENATE($A88,"_",AA$3),'Unit List'!$A$23:$H$3319,2,FALSE)),"X",$X88)</f>
        <v/>
      </c>
      <c r="AB88" s="175" t="str">
        <f>IF(ISTEXT(VLOOKUP(CONCATENATE($A88,"_",AB$3),'Unit List'!$A$23:$H$3319,2,FALSE)),"X",$X88)</f>
        <v/>
      </c>
      <c r="AC88" s="124" t="str">
        <f>IF(ISTEXT(VLOOKUP(CONCATENATE($A88,"_",AC$3),'Unit List'!$A$23:$H$3319,2,FALSE)),"X",$X88)</f>
        <v/>
      </c>
      <c r="AD88" s="97" t="str">
        <f>IF(ISTEXT(VLOOKUP(CONCATENATE($A88,"_",AD$3),'Unit List'!$A$23:$H$3319,2,FALSE)),"+","")</f>
        <v/>
      </c>
      <c r="AE88" s="175" t="str">
        <f>IF(ISTEXT(VLOOKUP(CONCATENATE($A88,"_",AE$3),'Unit List'!$A$23:$H$3319,2,FALSE)),"X",$AD88)</f>
        <v/>
      </c>
      <c r="AF88" s="175" t="str">
        <f>IF(ISTEXT(VLOOKUP(CONCATENATE($A88,"_",AF$3),'Unit List'!$A$23:$H$3319,2,FALSE)),"X",$AD88)</f>
        <v/>
      </c>
      <c r="AG88" s="97" t="str">
        <f>IF(ISTEXT(VLOOKUP(CONCATENATE($A88,"_",AG$3),'Unit List'!$A$23:$H$3319,2,FALSE)),"+","")</f>
        <v/>
      </c>
      <c r="AH88" s="175" t="str">
        <f>IF(ISTEXT(VLOOKUP(CONCATENATE($A88,"_",AH$3),'Unit List'!$A$23:$H$3319,2,FALSE)),"X",$AG88)</f>
        <v/>
      </c>
      <c r="AI88" s="175" t="str">
        <f>IF(ISTEXT(VLOOKUP(CONCATENATE($A88,"_",AI$3),'Unit List'!$A$23:$H$3319,2,FALSE)),"X",$AG88)</f>
        <v/>
      </c>
      <c r="AJ88" s="177" t="str">
        <f>IF(ISTEXT(VLOOKUP(CONCATENATE($A88,"_",AJ$3),'Unit List'!$A$23:$H$3319,2,FALSE)),"X",$AG88)</f>
        <v/>
      </c>
      <c r="AK88" s="97" t="str">
        <f>IF(ISTEXT(VLOOKUP(CONCATENATE($A88,"_",AK$3),'Unit List'!$A$23:$H$3319,2,FALSE)),"+","")</f>
        <v/>
      </c>
      <c r="AL88" s="176" t="str">
        <f>IF(ISTEXT(VLOOKUP(CONCATENATE($A88,"_",AL$3),'Unit List'!$A$23:$H$3319,2,FALSE)),"X",$AK88)</f>
        <v/>
      </c>
      <c r="AM88" s="177" t="str">
        <f>IF(ISTEXT(VLOOKUP(CONCATENATE($A88,"_",AM$3),'Unit List'!$A$23:$H$3319,2,FALSE)),"X",$AK88)</f>
        <v/>
      </c>
      <c r="AN88" s="103" t="str">
        <f>IF(ISTEXT(VLOOKUP(CONCATENATE($A88,"_",AN$3),'Unit List'!$A$23:$H$3319,2,FALSE)),"+","")</f>
        <v/>
      </c>
      <c r="AO88" s="177" t="str">
        <f>IF(ISTEXT(VLOOKUP(CONCATENATE($A88,"_",AO$3),'Unit List'!$A$23:$H$3319,2,FALSE)),"X",$AN88)</f>
        <v/>
      </c>
      <c r="AP88" s="97" t="str">
        <f>IF(ISTEXT(VLOOKUP(CONCATENATE($A88,"_",AP$3),'Unit List'!$A$23:$H$3319,2,FALSE)),"+","")</f>
        <v/>
      </c>
      <c r="AQ88" s="175" t="str">
        <f>IF(ISTEXT(VLOOKUP(CONCATENATE($A88,"_",AQ$3),'Unit List'!$A$23:$H$3319,2,FALSE)),"X",$AP88)</f>
        <v/>
      </c>
      <c r="AR88" s="175" t="str">
        <f>IF(ISTEXT(VLOOKUP(CONCATENATE($A88,"_",AR$3),'Unit List'!$A$23:$H$3319,2,FALSE)),"X",$AP88)</f>
        <v/>
      </c>
      <c r="AS88" s="175" t="str">
        <f>IF(ISTEXT(VLOOKUP(CONCATENATE($A88,"_",AS$3),'Unit List'!$A$23:$H$3319,2,FALSE)),"X",$AP88)</f>
        <v/>
      </c>
      <c r="AT88" s="177" t="str">
        <f>IF(ISTEXT(VLOOKUP(CONCATENATE($A88,"_",AT$3),'Unit List'!$A$23:$H$3319,2,FALSE)),"X",$AP88)</f>
        <v/>
      </c>
      <c r="AU88" s="104" t="str">
        <f>IF(ISTEXT(VLOOKUP(CONCATENATE($A88,"_",AU$3),'Unit List'!$A$23:$H$3319,2,FALSE)),"+","")</f>
        <v/>
      </c>
      <c r="AV88" s="175" t="str">
        <f>IF(ISTEXT(VLOOKUP(CONCATENATE($A88,"_",AV$3),'Unit List'!$A$23:$H$3319,2,FALSE)),"X",$AU88)</f>
        <v/>
      </c>
      <c r="AW88" s="177" t="str">
        <f>IF(ISTEXT(VLOOKUP(CONCATENATE($A88,"_",AW$3),'Unit List'!$A$23:$H$3319,2,FALSE)),"X",$AU88)</f>
        <v/>
      </c>
      <c r="AX88" s="97" t="str">
        <f>IF(ISTEXT(VLOOKUP(CONCATENATE($A88,"_",AX$3),'Unit List'!$A$23:$H$3319,2,FALSE)),"+","")</f>
        <v/>
      </c>
      <c r="AY88" s="175" t="str">
        <f>IF(ISTEXT(VLOOKUP(CONCATENATE($A88,"_",AY$3),'Unit List'!$A$23:$H$3319,2,FALSE)),"X",$AX88)</f>
        <v/>
      </c>
      <c r="AZ88" s="177" t="str">
        <f>IF(ISTEXT(VLOOKUP(CONCATENATE($A88,"_",AZ$3),'Unit List'!$A$23:$H$3319,2,FALSE)),"X",$AX88)</f>
        <v/>
      </c>
      <c r="BA88" s="105" t="str">
        <f>IF(ISTEXT(VLOOKUP(CONCATENATE($A88,"_",BA$3),'Unit List'!$A$23:$H$3319,2,FALSE)),"+","")</f>
        <v/>
      </c>
      <c r="BB88" s="175" t="str">
        <f>IF(ISTEXT(VLOOKUP(CONCATENATE($A88,"_",BB$3),'Unit List'!$A$23:$H$3319,2,FALSE)),"X",$BA88)</f>
        <v/>
      </c>
      <c r="BC88" s="175" t="str">
        <f>IF(ISTEXT(VLOOKUP(CONCATENATE($A88,"_",BC$3),'Unit List'!$A$23:$H$3319,2,FALSE)),"X",$BA88)</f>
        <v/>
      </c>
      <c r="BD88" s="177" t="str">
        <f>IF(ISTEXT(VLOOKUP(CONCATENATE($A88,"_",BD$3),'Unit List'!$A$23:$H$3319,2,FALSE)),"X",$BA88)</f>
        <v/>
      </c>
      <c r="BE88" s="103" t="str">
        <f>IF(ISTEXT(VLOOKUP(CONCATENATE($A88,"_",BE$3),'Unit List'!$A$23:$H$3319,2,FALSE)),"+","")</f>
        <v/>
      </c>
      <c r="BF88" s="124" t="str">
        <f>IF(ISTEXT(VLOOKUP(CONCATENATE($A88,"_",BF$3),'Unit List'!$A$23:$H$3319,2,FALSE)),"X",$BE88)</f>
        <v/>
      </c>
      <c r="BG88" s="177"/>
      <c r="BH88" s="133"/>
      <c r="BI88" s="207"/>
      <c r="BJ88" s="208"/>
      <c r="BK88" s="208"/>
      <c r="BL88" s="209"/>
      <c r="BM88" s="209"/>
      <c r="BN88" s="108"/>
      <c r="BO88" s="108"/>
      <c r="BP88" s="108"/>
      <c r="BQ88" s="108"/>
      <c r="BR88" s="108"/>
      <c r="BS88" s="108"/>
      <c r="DZ88" s="109"/>
      <c r="EA88" s="109"/>
    </row>
    <row r="89" spans="1:131" ht="12.75" customHeight="1" x14ac:dyDescent="0.2">
      <c r="A89" s="201" t="s">
        <v>1122</v>
      </c>
      <c r="B89" s="91" t="str">
        <f>IF(ISTEXT(VLOOKUP(CONCATENATE($A89,"_",B$3),'Unit List'!$A$23:$H$3319,2,FALSE)),"+","")</f>
        <v/>
      </c>
      <c r="C89" s="174" t="str">
        <f>IF(ISTEXT(VLOOKUP(CONCATENATE($A89,"_",C$3),'Unit List'!$A$23:$H$3319,2,FALSE)),"X",$B89)</f>
        <v/>
      </c>
      <c r="D89" s="175" t="str">
        <f>IF(ISTEXT(VLOOKUP(CONCATENATE($A89,"_",D$3),'Unit List'!$A$23:$H$3319,2,FALSE)),"X",$B89)</f>
        <v/>
      </c>
      <c r="E89" s="175" t="str">
        <f>IF(ISTEXT(VLOOKUP(CONCATENATE($A89,"_",E$3),'Unit List'!$A$23:$H$3319,2,FALSE)),"X",$B89)</f>
        <v/>
      </c>
      <c r="F89" s="175" t="str">
        <f>IF(ISTEXT(VLOOKUP(CONCATENATE($A89,"_",F$3),'Unit List'!$A$23:$H$3319,2,FALSE)),"X",$B89)</f>
        <v/>
      </c>
      <c r="G89" s="175" t="str">
        <f>IF(ISTEXT(VLOOKUP(CONCATENATE($A89,"_",G$3),'Unit List'!$A$23:$H$3319,2,FALSE)),"X",$B89)</f>
        <v/>
      </c>
      <c r="H89" s="175" t="str">
        <f>IF(ISTEXT(VLOOKUP(CONCATENATE($A89,"_",H$3),'Unit List'!$A$23:$H$3319,2,FALSE)),"X",$B89)</f>
        <v/>
      </c>
      <c r="I89" s="177" t="str">
        <f>IF(ISTEXT(VLOOKUP(CONCATENATE($A89,"_",I$3),'Unit List'!$A$23:$H$3319,2,FALSE)),"X",$B89)</f>
        <v/>
      </c>
      <c r="J89" s="97" t="str">
        <f>IF(ISTEXT(VLOOKUP(CONCATENATE($A89,"_",J$3),'Unit List'!$A$23:$H$3319,2,FALSE)),"+","")</f>
        <v/>
      </c>
      <c r="K89" s="175" t="str">
        <f>IF(ISTEXT(VLOOKUP(CONCATENATE($A89,"_",K$3),'Unit List'!$A$23:$H$3319,2,FALSE)),"X",$J89)</f>
        <v/>
      </c>
      <c r="L89" s="124" t="str">
        <f>IF(ISTEXT(VLOOKUP(CONCATENATE($A89,"_",L$3),'Unit List'!$A$23:$H$3319,2,FALSE)),"X",$J89)</f>
        <v/>
      </c>
      <c r="M89" s="97" t="str">
        <f>IF(ISTEXT(VLOOKUP(CONCATENATE($A89,"_",M$3),'Unit List'!$A$23:$H$3319,2,FALSE)),"+","")</f>
        <v/>
      </c>
      <c r="N89" s="175" t="str">
        <f>IF(ISTEXT(VLOOKUP(CONCATENATE($A89,"_",N$3),'Unit List'!$A$23:$H$3319,2,FALSE)),"X",$M89)</f>
        <v/>
      </c>
      <c r="O89" s="177" t="str">
        <f>IF(ISTEXT(VLOOKUP(CONCATENATE($A89,"_",O$3),'Unit List'!$A$23:$H$3319,2,FALSE)),"X",$M89)</f>
        <v/>
      </c>
      <c r="P89" s="97" t="str">
        <f>IF(ISTEXT(VLOOKUP(CONCATENATE($A89,"_",P$3),'Unit List'!$A$23:$H$3319,2,FALSE)),"+","")</f>
        <v/>
      </c>
      <c r="Q89" s="175" t="str">
        <f>IF(ISTEXT(VLOOKUP(CONCATENATE($A89,"_",Q$3),'Unit List'!$A$23:$H$3319,2,FALSE)),"X",$P89)</f>
        <v/>
      </c>
      <c r="R89" s="175" t="str">
        <f>IF(ISTEXT(VLOOKUP(CONCATENATE($A89,"_",R$3),'Unit List'!$A$23:$H$3319,2,FALSE)),"X",$P89)</f>
        <v/>
      </c>
      <c r="S89" s="175" t="str">
        <f>IF(ISTEXT(VLOOKUP(CONCATENATE($A89,"_",S$3),'Unit List'!$A$23:$H$3319,2,FALSE)),"X",$P89)</f>
        <v/>
      </c>
      <c r="T89" s="176" t="str">
        <f>IF(ISTEXT(VLOOKUP(CONCATENATE($A89,"_",T$3),'Unit List'!$A$23:$H$3319,2,FALSE)),"X",$P89)</f>
        <v/>
      </c>
      <c r="U89" s="175" t="str">
        <f>IF(ISTEXT(VLOOKUP(CONCATENATE($A89,"_",U$3),'Unit List'!$A$23:$H$3319,2,FALSE)),"X",$P89)</f>
        <v/>
      </c>
      <c r="V89" s="175" t="str">
        <f>IF(ISTEXT(VLOOKUP(CONCATENATE($A89,"_",V$3),'Unit List'!$A$23:$H$3319,2,FALSE)),"X",$P89)</f>
        <v/>
      </c>
      <c r="W89" s="177" t="str">
        <f>IF(ISTEXT(VLOOKUP(CONCATENATE($A89,"_",W$3),'Unit List'!$A$23:$H$3319,2,FALSE)),"X",$P89)</f>
        <v/>
      </c>
      <c r="X89" s="97" t="str">
        <f>IF(ISTEXT(VLOOKUP(CONCATENATE($A89,"_",X$3),'Unit List'!$A$23:$H$3319,2,FALSE)),"+","")</f>
        <v/>
      </c>
      <c r="Y89" s="175" t="str">
        <f>IF(ISTEXT(VLOOKUP(CONCATENATE($A89,"_",Y$3),'Unit List'!$A$23:$H$3319,2,FALSE)),"X",$X89)</f>
        <v/>
      </c>
      <c r="Z89" s="175" t="str">
        <f>IF(ISTEXT(VLOOKUP(CONCATENATE($A89,"_",Z$3),'Unit List'!$A$23:$H$3319,2,FALSE)),"X",$X89)</f>
        <v/>
      </c>
      <c r="AA89" s="175" t="str">
        <f>IF(ISTEXT(VLOOKUP(CONCATENATE($A89,"_",AA$3),'Unit List'!$A$23:$H$3319,2,FALSE)),"X",$X89)</f>
        <v/>
      </c>
      <c r="AB89" s="175" t="str">
        <f>IF(ISTEXT(VLOOKUP(CONCATENATE($A89,"_",AB$3),'Unit List'!$A$23:$H$3319,2,FALSE)),"X",$X89)</f>
        <v/>
      </c>
      <c r="AC89" s="124" t="str">
        <f>IF(ISTEXT(VLOOKUP(CONCATENATE($A89,"_",AC$3),'Unit List'!$A$23:$H$3319,2,FALSE)),"X",$X89)</f>
        <v/>
      </c>
      <c r="AD89" s="97" t="str">
        <f>IF(ISTEXT(VLOOKUP(CONCATENATE($A89,"_",AD$3),'Unit List'!$A$23:$H$3319,2,FALSE)),"+","")</f>
        <v/>
      </c>
      <c r="AE89" s="175" t="str">
        <f>IF(ISTEXT(VLOOKUP(CONCATENATE($A89,"_",AE$3),'Unit List'!$A$23:$H$3319,2,FALSE)),"X",$AD89)</f>
        <v/>
      </c>
      <c r="AF89" s="175" t="str">
        <f>IF(ISTEXT(VLOOKUP(CONCATENATE($A89,"_",AF$3),'Unit List'!$A$23:$H$3319,2,FALSE)),"X",$AD89)</f>
        <v/>
      </c>
      <c r="AG89" s="97" t="str">
        <f>IF(ISTEXT(VLOOKUP(CONCATENATE($A89,"_",AG$3),'Unit List'!$A$23:$H$3319,2,FALSE)),"+","")</f>
        <v/>
      </c>
      <c r="AH89" s="175" t="str">
        <f>IF(ISTEXT(VLOOKUP(CONCATENATE($A89,"_",AH$3),'Unit List'!$A$23:$H$3319,2,FALSE)),"X",$AG89)</f>
        <v/>
      </c>
      <c r="AI89" s="175" t="str">
        <f>IF(ISTEXT(VLOOKUP(CONCATENATE($A89,"_",AI$3),'Unit List'!$A$23:$H$3319,2,FALSE)),"X",$AG89)</f>
        <v/>
      </c>
      <c r="AJ89" s="177" t="str">
        <f>IF(ISTEXT(VLOOKUP(CONCATENATE($A89,"_",AJ$3),'Unit List'!$A$23:$H$3319,2,FALSE)),"X",$AG89)</f>
        <v/>
      </c>
      <c r="AK89" s="97" t="str">
        <f>IF(ISTEXT(VLOOKUP(CONCATENATE($A89,"_",AK$3),'Unit List'!$A$23:$H$3319,2,FALSE)),"+","")</f>
        <v/>
      </c>
      <c r="AL89" s="176" t="str">
        <f>IF(ISTEXT(VLOOKUP(CONCATENATE($A89,"_",AL$3),'Unit List'!$A$23:$H$3319,2,FALSE)),"X",$AK89)</f>
        <v/>
      </c>
      <c r="AM89" s="177" t="str">
        <f>IF(ISTEXT(VLOOKUP(CONCATENATE($A89,"_",AM$3),'Unit List'!$A$23:$H$3319,2,FALSE)),"X",$AK89)</f>
        <v/>
      </c>
      <c r="AN89" s="103" t="str">
        <f>IF(ISTEXT(VLOOKUP(CONCATENATE($A89,"_",AN$3),'Unit List'!$A$23:$H$3319,2,FALSE)),"+","")</f>
        <v/>
      </c>
      <c r="AO89" s="177" t="str">
        <f>IF(ISTEXT(VLOOKUP(CONCATENATE($A89,"_",AO$3),'Unit List'!$A$23:$H$3319,2,FALSE)),"X",$AN89)</f>
        <v/>
      </c>
      <c r="AP89" s="97" t="str">
        <f>IF(ISTEXT(VLOOKUP(CONCATENATE($A89,"_",AP$3),'Unit List'!$A$23:$H$3319,2,FALSE)),"+","")</f>
        <v/>
      </c>
      <c r="AQ89" s="175" t="str">
        <f>IF(ISTEXT(VLOOKUP(CONCATENATE($A89,"_",AQ$3),'Unit List'!$A$23:$H$3319,2,FALSE)),"X",$AP89)</f>
        <v/>
      </c>
      <c r="AR89" s="175" t="str">
        <f>IF(ISTEXT(VLOOKUP(CONCATENATE($A89,"_",AR$3),'Unit List'!$A$23:$H$3319,2,FALSE)),"X",$AP89)</f>
        <v/>
      </c>
      <c r="AS89" s="175" t="str">
        <f>IF(ISTEXT(VLOOKUP(CONCATENATE($A89,"_",AS$3),'Unit List'!$A$23:$H$3319,2,FALSE)),"X",$AP89)</f>
        <v/>
      </c>
      <c r="AT89" s="177" t="str">
        <f>IF(ISTEXT(VLOOKUP(CONCATENATE($A89,"_",AT$3),'Unit List'!$A$23:$H$3319,2,FALSE)),"X",$AP89)</f>
        <v/>
      </c>
      <c r="AU89" s="104" t="str">
        <f>IF(ISTEXT(VLOOKUP(CONCATENATE($A89,"_",AU$3),'Unit List'!$A$23:$H$3319,2,FALSE)),"+","")</f>
        <v/>
      </c>
      <c r="AV89" s="175" t="str">
        <f>IF(ISTEXT(VLOOKUP(CONCATENATE($A89,"_",AV$3),'Unit List'!$A$23:$H$3319,2,FALSE)),"X",$AU89)</f>
        <v/>
      </c>
      <c r="AW89" s="177" t="str">
        <f>IF(ISTEXT(VLOOKUP(CONCATENATE($A89,"_",AW$3),'Unit List'!$A$23:$H$3319,2,FALSE)),"X",$AU89)</f>
        <v/>
      </c>
      <c r="AX89" s="97" t="str">
        <f>IF(ISTEXT(VLOOKUP(CONCATENATE($A89,"_",AX$3),'Unit List'!$A$23:$H$3319,2,FALSE)),"+","")</f>
        <v/>
      </c>
      <c r="AY89" s="175" t="str">
        <f>IF(ISTEXT(VLOOKUP(CONCATENATE($A89,"_",AY$3),'Unit List'!$A$23:$H$3319,2,FALSE)),"X",$AX89)</f>
        <v/>
      </c>
      <c r="AZ89" s="177" t="str">
        <f>IF(ISTEXT(VLOOKUP(CONCATENATE($A89,"_",AZ$3),'Unit List'!$A$23:$H$3319,2,FALSE)),"X",$AX89)</f>
        <v/>
      </c>
      <c r="BA89" s="105" t="str">
        <f>IF(ISTEXT(VLOOKUP(CONCATENATE($A89,"_",BA$3),'Unit List'!$A$23:$H$3319,2,FALSE)),"+","")</f>
        <v/>
      </c>
      <c r="BB89" s="175" t="str">
        <f>IF(ISTEXT(VLOOKUP(CONCATENATE($A89,"_",BB$3),'Unit List'!$A$23:$H$3319,2,FALSE)),"X",$BA89)</f>
        <v/>
      </c>
      <c r="BC89" s="175" t="str">
        <f>IF(ISTEXT(VLOOKUP(CONCATENATE($A89,"_",BC$3),'Unit List'!$A$23:$H$3319,2,FALSE)),"X",$BA89)</f>
        <v/>
      </c>
      <c r="BD89" s="177" t="str">
        <f>IF(ISTEXT(VLOOKUP(CONCATENATE($A89,"_",BD$3),'Unit List'!$A$23:$H$3319,2,FALSE)),"X",$BA89)</f>
        <v/>
      </c>
      <c r="BE89" s="103" t="str">
        <f>IF(ISTEXT(VLOOKUP(CONCATENATE($A89,"_",BE$3),'Unit List'!$A$23:$H$3319,2,FALSE)),"+","")</f>
        <v/>
      </c>
      <c r="BF89" s="124" t="str">
        <f>IF(ISTEXT(VLOOKUP(CONCATENATE($A89,"_",BF$3),'Unit List'!$A$23:$H$3319,2,FALSE)),"X",$BE89)</f>
        <v/>
      </c>
      <c r="BG89" s="177"/>
      <c r="BH89" s="133"/>
      <c r="BI89" s="207"/>
      <c r="BJ89" s="208"/>
      <c r="BK89" s="208"/>
      <c r="BL89" s="209"/>
      <c r="BM89" s="209"/>
      <c r="BN89" s="108"/>
      <c r="BO89" s="108"/>
      <c r="BP89" s="108"/>
      <c r="BQ89" s="108"/>
      <c r="BR89" s="108"/>
      <c r="BS89" s="108"/>
      <c r="DZ89" s="109"/>
      <c r="EA89" s="109"/>
    </row>
    <row r="90" spans="1:131" ht="12.75" customHeight="1" x14ac:dyDescent="0.2">
      <c r="A90" s="201" t="s">
        <v>1123</v>
      </c>
      <c r="B90" s="91" t="str">
        <f>IF(ISTEXT(VLOOKUP(CONCATENATE($A90,"_",B$3),'Unit List'!$A$23:$H$3319,2,FALSE)),"+","")</f>
        <v/>
      </c>
      <c r="C90" s="174" t="str">
        <f>IF(ISTEXT(VLOOKUP(CONCATENATE($A90,"_",C$3),'Unit List'!$A$23:$H$3319,2,FALSE)),"X",$B90)</f>
        <v/>
      </c>
      <c r="D90" s="175" t="str">
        <f>IF(ISTEXT(VLOOKUP(CONCATENATE($A90,"_",D$3),'Unit List'!$A$23:$H$3319,2,FALSE)),"X",$B90)</f>
        <v/>
      </c>
      <c r="E90" s="175" t="str">
        <f>IF(ISTEXT(VLOOKUP(CONCATENATE($A90,"_",E$3),'Unit List'!$A$23:$H$3319,2,FALSE)),"X",$B90)</f>
        <v/>
      </c>
      <c r="F90" s="175" t="str">
        <f>IF(ISTEXT(VLOOKUP(CONCATENATE($A90,"_",F$3),'Unit List'!$A$23:$H$3319,2,FALSE)),"X",$B90)</f>
        <v/>
      </c>
      <c r="G90" s="175" t="str">
        <f>IF(ISTEXT(VLOOKUP(CONCATENATE($A90,"_",G$3),'Unit List'!$A$23:$H$3319,2,FALSE)),"X",$B90)</f>
        <v/>
      </c>
      <c r="H90" s="175" t="str">
        <f>IF(ISTEXT(VLOOKUP(CONCATENATE($A90,"_",H$3),'Unit List'!$A$23:$H$3319,2,FALSE)),"X",$B90)</f>
        <v/>
      </c>
      <c r="I90" s="177" t="str">
        <f>IF(ISTEXT(VLOOKUP(CONCATENATE($A90,"_",I$3),'Unit List'!$A$23:$H$3319,2,FALSE)),"X",$B90)</f>
        <v/>
      </c>
      <c r="J90" s="97" t="str">
        <f>IF(ISTEXT(VLOOKUP(CONCATENATE($A90,"_",J$3),'Unit List'!$A$23:$H$3319,2,FALSE)),"+","")</f>
        <v/>
      </c>
      <c r="K90" s="175" t="str">
        <f>IF(ISTEXT(VLOOKUP(CONCATENATE($A90,"_",K$3),'Unit List'!$A$23:$H$3319,2,FALSE)),"X",$J90)</f>
        <v/>
      </c>
      <c r="L90" s="124" t="str">
        <f>IF(ISTEXT(VLOOKUP(CONCATENATE($A90,"_",L$3),'Unit List'!$A$23:$H$3319,2,FALSE)),"X",$J90)</f>
        <v/>
      </c>
      <c r="M90" s="97" t="str">
        <f>IF(ISTEXT(VLOOKUP(CONCATENATE($A90,"_",M$3),'Unit List'!$A$23:$H$3319,2,FALSE)),"+","")</f>
        <v/>
      </c>
      <c r="N90" s="175" t="str">
        <f>IF(ISTEXT(VLOOKUP(CONCATENATE($A90,"_",N$3),'Unit List'!$A$23:$H$3319,2,FALSE)),"X",$M90)</f>
        <v/>
      </c>
      <c r="O90" s="177" t="str">
        <f>IF(ISTEXT(VLOOKUP(CONCATENATE($A90,"_",O$3),'Unit List'!$A$23:$H$3319,2,FALSE)),"X",$M90)</f>
        <v/>
      </c>
      <c r="P90" s="97" t="str">
        <f>IF(ISTEXT(VLOOKUP(CONCATENATE($A90,"_",P$3),'Unit List'!$A$23:$H$3319,2,FALSE)),"+","")</f>
        <v/>
      </c>
      <c r="Q90" s="175" t="str">
        <f>IF(ISTEXT(VLOOKUP(CONCATENATE($A90,"_",Q$3),'Unit List'!$A$23:$H$3319,2,FALSE)),"X",$P90)</f>
        <v/>
      </c>
      <c r="R90" s="175" t="str">
        <f>IF(ISTEXT(VLOOKUP(CONCATENATE($A90,"_",R$3),'Unit List'!$A$23:$H$3319,2,FALSE)),"X",$P90)</f>
        <v/>
      </c>
      <c r="S90" s="175" t="str">
        <f>IF(ISTEXT(VLOOKUP(CONCATENATE($A90,"_",S$3),'Unit List'!$A$23:$H$3319,2,FALSE)),"X",$P90)</f>
        <v/>
      </c>
      <c r="T90" s="176" t="str">
        <f>IF(ISTEXT(VLOOKUP(CONCATENATE($A90,"_",T$3),'Unit List'!$A$23:$H$3319,2,FALSE)),"X",$P90)</f>
        <v/>
      </c>
      <c r="U90" s="175" t="str">
        <f>IF(ISTEXT(VLOOKUP(CONCATENATE($A90,"_",U$3),'Unit List'!$A$23:$H$3319,2,FALSE)),"X",$P90)</f>
        <v/>
      </c>
      <c r="V90" s="175" t="str">
        <f>IF(ISTEXT(VLOOKUP(CONCATENATE($A90,"_",V$3),'Unit List'!$A$23:$H$3319,2,FALSE)),"X",$P90)</f>
        <v/>
      </c>
      <c r="W90" s="177" t="str">
        <f>IF(ISTEXT(VLOOKUP(CONCATENATE($A90,"_",W$3),'Unit List'!$A$23:$H$3319,2,FALSE)),"X",$P90)</f>
        <v/>
      </c>
      <c r="X90" s="97" t="str">
        <f>IF(ISTEXT(VLOOKUP(CONCATENATE($A90,"_",X$3),'Unit List'!$A$23:$H$3319,2,FALSE)),"+","")</f>
        <v/>
      </c>
      <c r="Y90" s="175" t="str">
        <f>IF(ISTEXT(VLOOKUP(CONCATENATE($A90,"_",Y$3),'Unit List'!$A$23:$H$3319,2,FALSE)),"X",$X90)</f>
        <v/>
      </c>
      <c r="Z90" s="175" t="str">
        <f>IF(ISTEXT(VLOOKUP(CONCATENATE($A90,"_",Z$3),'Unit List'!$A$23:$H$3319,2,FALSE)),"X",$X90)</f>
        <v/>
      </c>
      <c r="AA90" s="175" t="str">
        <f>IF(ISTEXT(VLOOKUP(CONCATENATE($A90,"_",AA$3),'Unit List'!$A$23:$H$3319,2,FALSE)),"X",$X90)</f>
        <v/>
      </c>
      <c r="AB90" s="175" t="str">
        <f>IF(ISTEXT(VLOOKUP(CONCATENATE($A90,"_",AB$3),'Unit List'!$A$23:$H$3319,2,FALSE)),"X",$X90)</f>
        <v/>
      </c>
      <c r="AC90" s="124" t="str">
        <f>IF(ISTEXT(VLOOKUP(CONCATENATE($A90,"_",AC$3),'Unit List'!$A$23:$H$3319,2,FALSE)),"X",$X90)</f>
        <v/>
      </c>
      <c r="AD90" s="97" t="str">
        <f>IF(ISTEXT(VLOOKUP(CONCATENATE($A90,"_",AD$3),'Unit List'!$A$23:$H$3319,2,FALSE)),"+","")</f>
        <v/>
      </c>
      <c r="AE90" s="175" t="str">
        <f>IF(ISTEXT(VLOOKUP(CONCATENATE($A90,"_",AE$3),'Unit List'!$A$23:$H$3319,2,FALSE)),"X",$AD90)</f>
        <v/>
      </c>
      <c r="AF90" s="175" t="str">
        <f>IF(ISTEXT(VLOOKUP(CONCATENATE($A90,"_",AF$3),'Unit List'!$A$23:$H$3319,2,FALSE)),"X",$AD90)</f>
        <v/>
      </c>
      <c r="AG90" s="97" t="str">
        <f>IF(ISTEXT(VLOOKUP(CONCATENATE($A90,"_",AG$3),'Unit List'!$A$23:$H$3319,2,FALSE)),"+","")</f>
        <v/>
      </c>
      <c r="AH90" s="175" t="str">
        <f>IF(ISTEXT(VLOOKUP(CONCATENATE($A90,"_",AH$3),'Unit List'!$A$23:$H$3319,2,FALSE)),"X",$AG90)</f>
        <v/>
      </c>
      <c r="AI90" s="175" t="str">
        <f>IF(ISTEXT(VLOOKUP(CONCATENATE($A90,"_",AI$3),'Unit List'!$A$23:$H$3319,2,FALSE)),"X",$AG90)</f>
        <v/>
      </c>
      <c r="AJ90" s="177" t="str">
        <f>IF(ISTEXT(VLOOKUP(CONCATENATE($A90,"_",AJ$3),'Unit List'!$A$23:$H$3319,2,FALSE)),"X",$AG90)</f>
        <v/>
      </c>
      <c r="AK90" s="97" t="str">
        <f>IF(ISTEXT(VLOOKUP(CONCATENATE($A90,"_",AK$3),'Unit List'!$A$23:$H$3319,2,FALSE)),"+","")</f>
        <v/>
      </c>
      <c r="AL90" s="176" t="str">
        <f>IF(ISTEXT(VLOOKUP(CONCATENATE($A90,"_",AL$3),'Unit List'!$A$23:$H$3319,2,FALSE)),"X",$AK90)</f>
        <v/>
      </c>
      <c r="AM90" s="177" t="str">
        <f>IF(ISTEXT(VLOOKUP(CONCATENATE($A90,"_",AM$3),'Unit List'!$A$23:$H$3319,2,FALSE)),"X",$AK90)</f>
        <v/>
      </c>
      <c r="AN90" s="103" t="str">
        <f>IF(ISTEXT(VLOOKUP(CONCATENATE($A90,"_",AN$3),'Unit List'!$A$23:$H$3319,2,FALSE)),"+","")</f>
        <v/>
      </c>
      <c r="AO90" s="177" t="str">
        <f>IF(ISTEXT(VLOOKUP(CONCATENATE($A90,"_",AO$3),'Unit List'!$A$23:$H$3319,2,FALSE)),"X",$AN90)</f>
        <v/>
      </c>
      <c r="AP90" s="97" t="str">
        <f>IF(ISTEXT(VLOOKUP(CONCATENATE($A90,"_",AP$3),'Unit List'!$A$23:$H$3319,2,FALSE)),"+","")</f>
        <v/>
      </c>
      <c r="AQ90" s="175" t="str">
        <f>IF(ISTEXT(VLOOKUP(CONCATENATE($A90,"_",AQ$3),'Unit List'!$A$23:$H$3319,2,FALSE)),"X",$AP90)</f>
        <v/>
      </c>
      <c r="AR90" s="175" t="str">
        <f>IF(ISTEXT(VLOOKUP(CONCATENATE($A90,"_",AR$3),'Unit List'!$A$23:$H$3319,2,FALSE)),"X",$AP90)</f>
        <v/>
      </c>
      <c r="AS90" s="175" t="str">
        <f>IF(ISTEXT(VLOOKUP(CONCATENATE($A90,"_",AS$3),'Unit List'!$A$23:$H$3319,2,FALSE)),"X",$AP90)</f>
        <v/>
      </c>
      <c r="AT90" s="177" t="str">
        <f>IF(ISTEXT(VLOOKUP(CONCATENATE($A90,"_",AT$3),'Unit List'!$A$23:$H$3319,2,FALSE)),"X",$AP90)</f>
        <v/>
      </c>
      <c r="AU90" s="104" t="str">
        <f>IF(ISTEXT(VLOOKUP(CONCATENATE($A90,"_",AU$3),'Unit List'!$A$23:$H$3319,2,FALSE)),"+","")</f>
        <v/>
      </c>
      <c r="AV90" s="175" t="str">
        <f>IF(ISTEXT(VLOOKUP(CONCATENATE($A90,"_",AV$3),'Unit List'!$A$23:$H$3319,2,FALSE)),"X",$AU90)</f>
        <v/>
      </c>
      <c r="AW90" s="177" t="str">
        <f>IF(ISTEXT(VLOOKUP(CONCATENATE($A90,"_",AW$3),'Unit List'!$A$23:$H$3319,2,FALSE)),"X",$AU90)</f>
        <v/>
      </c>
      <c r="AX90" s="97" t="str">
        <f>IF(ISTEXT(VLOOKUP(CONCATENATE($A90,"_",AX$3),'Unit List'!$A$23:$H$3319,2,FALSE)),"+","")</f>
        <v/>
      </c>
      <c r="AY90" s="175" t="str">
        <f>IF(ISTEXT(VLOOKUP(CONCATENATE($A90,"_",AY$3),'Unit List'!$A$23:$H$3319,2,FALSE)),"X",$AX90)</f>
        <v/>
      </c>
      <c r="AZ90" s="177" t="str">
        <f>IF(ISTEXT(VLOOKUP(CONCATENATE($A90,"_",AZ$3),'Unit List'!$A$23:$H$3319,2,FALSE)),"X",$AX90)</f>
        <v/>
      </c>
      <c r="BA90" s="105" t="str">
        <f>IF(ISTEXT(VLOOKUP(CONCATENATE($A90,"_",BA$3),'Unit List'!$A$23:$H$3319,2,FALSE)),"+","")</f>
        <v/>
      </c>
      <c r="BB90" s="175" t="str">
        <f>IF(ISTEXT(VLOOKUP(CONCATENATE($A90,"_",BB$3),'Unit List'!$A$23:$H$3319,2,FALSE)),"X",$BA90)</f>
        <v/>
      </c>
      <c r="BC90" s="175" t="str">
        <f>IF(ISTEXT(VLOOKUP(CONCATENATE($A90,"_",BC$3),'Unit List'!$A$23:$H$3319,2,FALSE)),"X",$BA90)</f>
        <v/>
      </c>
      <c r="BD90" s="177" t="str">
        <f>IF(ISTEXT(VLOOKUP(CONCATENATE($A90,"_",BD$3),'Unit List'!$A$23:$H$3319,2,FALSE)),"X",$BA90)</f>
        <v/>
      </c>
      <c r="BE90" s="103" t="str">
        <f>IF(ISTEXT(VLOOKUP(CONCATENATE($A90,"_",BE$3),'Unit List'!$A$23:$H$3319,2,FALSE)),"+","")</f>
        <v/>
      </c>
      <c r="BF90" s="124" t="str">
        <f>IF(ISTEXT(VLOOKUP(CONCATENATE($A90,"_",BF$3),'Unit List'!$A$23:$H$3319,2,FALSE)),"X",$BE90)</f>
        <v/>
      </c>
      <c r="BG90" s="177"/>
      <c r="BH90" s="133"/>
      <c r="BI90" s="207"/>
      <c r="BJ90" s="208"/>
      <c r="BK90" s="208"/>
      <c r="BL90" s="209"/>
      <c r="BM90" s="209"/>
      <c r="BN90" s="108"/>
      <c r="BO90" s="108"/>
      <c r="BP90" s="108"/>
      <c r="BQ90" s="108"/>
      <c r="BR90" s="108"/>
      <c r="BS90" s="108"/>
      <c r="DZ90" s="109"/>
      <c r="EA90" s="109"/>
    </row>
    <row r="91" spans="1:131" ht="12.75" customHeight="1" x14ac:dyDescent="0.2">
      <c r="A91" s="201" t="s">
        <v>1132</v>
      </c>
      <c r="B91" s="91" t="str">
        <f>IF(ISTEXT(VLOOKUP(CONCATENATE($A91,"_",B$3),'Unit List'!$A$23:$H$3319,2,FALSE)),"+","")</f>
        <v/>
      </c>
      <c r="C91" s="174" t="str">
        <f>IF(ISTEXT(VLOOKUP(CONCATENATE($A91,"_",C$3),'Unit List'!$A$23:$H$3319,2,FALSE)),"X",$B91)</f>
        <v/>
      </c>
      <c r="D91" s="175" t="str">
        <f>IF(ISTEXT(VLOOKUP(CONCATENATE($A91,"_",D$3),'Unit List'!$A$23:$H$3319,2,FALSE)),"X",$B91)</f>
        <v/>
      </c>
      <c r="E91" s="175" t="str">
        <f>IF(ISTEXT(VLOOKUP(CONCATENATE($A91,"_",E$3),'Unit List'!$A$23:$H$3319,2,FALSE)),"X",$B91)</f>
        <v/>
      </c>
      <c r="F91" s="175" t="str">
        <f>IF(ISTEXT(VLOOKUP(CONCATENATE($A91,"_",F$3),'Unit List'!$A$23:$H$3319,2,FALSE)),"X",$B91)</f>
        <v/>
      </c>
      <c r="G91" s="175" t="str">
        <f>IF(ISTEXT(VLOOKUP(CONCATENATE($A91,"_",G$3),'Unit List'!$A$23:$H$3319,2,FALSE)),"X",$B91)</f>
        <v/>
      </c>
      <c r="H91" s="175" t="str">
        <f>IF(ISTEXT(VLOOKUP(CONCATENATE($A91,"_",H$3),'Unit List'!$A$23:$H$3319,2,FALSE)),"X",$B91)</f>
        <v/>
      </c>
      <c r="I91" s="177" t="str">
        <f>IF(ISTEXT(VLOOKUP(CONCATENATE($A91,"_",I$3),'Unit List'!$A$23:$H$3319,2,FALSE)),"X",$B91)</f>
        <v/>
      </c>
      <c r="J91" s="97" t="str">
        <f>IF(ISTEXT(VLOOKUP(CONCATENATE($A91,"_",J$3),'Unit List'!$A$23:$H$3319,2,FALSE)),"+","")</f>
        <v/>
      </c>
      <c r="K91" s="175" t="str">
        <f>IF(ISTEXT(VLOOKUP(CONCATENATE($A91,"_",K$3),'Unit List'!$A$23:$H$3319,2,FALSE)),"X",$J91)</f>
        <v/>
      </c>
      <c r="L91" s="124" t="str">
        <f>IF(ISTEXT(VLOOKUP(CONCATENATE($A91,"_",L$3),'Unit List'!$A$23:$H$3319,2,FALSE)),"X",$J91)</f>
        <v/>
      </c>
      <c r="M91" s="97" t="str">
        <f>IF(ISTEXT(VLOOKUP(CONCATENATE($A91,"_",M$3),'Unit List'!$A$23:$H$3319,2,FALSE)),"+","")</f>
        <v/>
      </c>
      <c r="N91" s="175" t="str">
        <f>IF(ISTEXT(VLOOKUP(CONCATENATE($A91,"_",N$3),'Unit List'!$A$23:$H$3319,2,FALSE)),"X",$M91)</f>
        <v/>
      </c>
      <c r="O91" s="177" t="str">
        <f>IF(ISTEXT(VLOOKUP(CONCATENATE($A91,"_",O$3),'Unit List'!$A$23:$H$3319,2,FALSE)),"X",$M91)</f>
        <v/>
      </c>
      <c r="P91" s="97" t="str">
        <f>IF(ISTEXT(VLOOKUP(CONCATENATE($A91,"_",P$3),'Unit List'!$A$23:$H$3319,2,FALSE)),"+","")</f>
        <v/>
      </c>
      <c r="Q91" s="175" t="str">
        <f>IF(ISTEXT(VLOOKUP(CONCATENATE($A91,"_",Q$3),'Unit List'!$A$23:$H$3319,2,FALSE)),"X",$P91)</f>
        <v/>
      </c>
      <c r="R91" s="175" t="str">
        <f>IF(ISTEXT(VLOOKUP(CONCATENATE($A91,"_",R$3),'Unit List'!$A$23:$H$3319,2,FALSE)),"X",$P91)</f>
        <v/>
      </c>
      <c r="S91" s="175" t="str">
        <f>IF(ISTEXT(VLOOKUP(CONCATENATE($A91,"_",S$3),'Unit List'!$A$23:$H$3319,2,FALSE)),"X",$P91)</f>
        <v/>
      </c>
      <c r="T91" s="176" t="str">
        <f>IF(ISTEXT(VLOOKUP(CONCATENATE($A91,"_",T$3),'Unit List'!$A$23:$H$3319,2,FALSE)),"X",$P91)</f>
        <v/>
      </c>
      <c r="U91" s="175" t="str">
        <f>IF(ISTEXT(VLOOKUP(CONCATENATE($A91,"_",U$3),'Unit List'!$A$23:$H$3319,2,FALSE)),"X",$P91)</f>
        <v/>
      </c>
      <c r="V91" s="175" t="str">
        <f>IF(ISTEXT(VLOOKUP(CONCATENATE($A91,"_",V$3),'Unit List'!$A$23:$H$3319,2,FALSE)),"X",$P91)</f>
        <v/>
      </c>
      <c r="W91" s="177" t="str">
        <f>IF(ISTEXT(VLOOKUP(CONCATENATE($A91,"_",W$3),'Unit List'!$A$23:$H$3319,2,FALSE)),"X",$P91)</f>
        <v/>
      </c>
      <c r="X91" s="97" t="str">
        <f>IF(ISTEXT(VLOOKUP(CONCATENATE($A91,"_",X$3),'Unit List'!$A$23:$H$3319,2,FALSE)),"+","")</f>
        <v/>
      </c>
      <c r="Y91" s="175" t="str">
        <f>IF(ISTEXT(VLOOKUP(CONCATENATE($A91,"_",Y$3),'Unit List'!$A$23:$H$3319,2,FALSE)),"X",$X91)</f>
        <v/>
      </c>
      <c r="Z91" s="175" t="str">
        <f>IF(ISTEXT(VLOOKUP(CONCATENATE($A91,"_",Z$3),'Unit List'!$A$23:$H$3319,2,FALSE)),"X",$X91)</f>
        <v/>
      </c>
      <c r="AA91" s="175" t="str">
        <f>IF(ISTEXT(VLOOKUP(CONCATENATE($A91,"_",AA$3),'Unit List'!$A$23:$H$3319,2,FALSE)),"X",$X91)</f>
        <v/>
      </c>
      <c r="AB91" s="175" t="str">
        <f>IF(ISTEXT(VLOOKUP(CONCATENATE($A91,"_",AB$3),'Unit List'!$A$23:$H$3319,2,FALSE)),"X",$X91)</f>
        <v/>
      </c>
      <c r="AC91" s="124" t="str">
        <f>IF(ISTEXT(VLOOKUP(CONCATENATE($A91,"_",AC$3),'Unit List'!$A$23:$H$3319,2,FALSE)),"X",$X91)</f>
        <v/>
      </c>
      <c r="AD91" s="97" t="str">
        <f>IF(ISTEXT(VLOOKUP(CONCATENATE($A91,"_",AD$3),'Unit List'!$A$23:$H$3319,2,FALSE)),"+","")</f>
        <v/>
      </c>
      <c r="AE91" s="175" t="str">
        <f>IF(ISTEXT(VLOOKUP(CONCATENATE($A91,"_",AE$3),'Unit List'!$A$23:$H$3319,2,FALSE)),"X",$AD91)</f>
        <v/>
      </c>
      <c r="AF91" s="175" t="str">
        <f>IF(ISTEXT(VLOOKUP(CONCATENATE($A91,"_",AF$3),'Unit List'!$A$23:$H$3319,2,FALSE)),"X",$AD91)</f>
        <v/>
      </c>
      <c r="AG91" s="97" t="str">
        <f>IF(ISTEXT(VLOOKUP(CONCATENATE($A91,"_",AG$3),'Unit List'!$A$23:$H$3319,2,FALSE)),"+","")</f>
        <v/>
      </c>
      <c r="AH91" s="175" t="str">
        <f>IF(ISTEXT(VLOOKUP(CONCATENATE($A91,"_",AH$3),'Unit List'!$A$23:$H$3319,2,FALSE)),"X",$AG91)</f>
        <v/>
      </c>
      <c r="AI91" s="175" t="str">
        <f>IF(ISTEXT(VLOOKUP(CONCATENATE($A91,"_",AI$3),'Unit List'!$A$23:$H$3319,2,FALSE)),"X",$AG91)</f>
        <v/>
      </c>
      <c r="AJ91" s="177" t="str">
        <f>IF(ISTEXT(VLOOKUP(CONCATENATE($A91,"_",AJ$3),'Unit List'!$A$23:$H$3319,2,FALSE)),"X",$AG91)</f>
        <v/>
      </c>
      <c r="AK91" s="97" t="str">
        <f>IF(ISTEXT(VLOOKUP(CONCATENATE($A91,"_",AK$3),'Unit List'!$A$23:$H$3319,2,FALSE)),"+","")</f>
        <v/>
      </c>
      <c r="AL91" s="176" t="str">
        <f>IF(ISTEXT(VLOOKUP(CONCATENATE($A91,"_",AL$3),'Unit List'!$A$23:$H$3319,2,FALSE)),"X",$AK91)</f>
        <v/>
      </c>
      <c r="AM91" s="177" t="str">
        <f>IF(ISTEXT(VLOOKUP(CONCATENATE($A91,"_",AM$3),'Unit List'!$A$23:$H$3319,2,FALSE)),"X",$AK91)</f>
        <v/>
      </c>
      <c r="AN91" s="103" t="str">
        <f>IF(ISTEXT(VLOOKUP(CONCATENATE($A91,"_",AN$3),'Unit List'!$A$23:$H$3319,2,FALSE)),"+","")</f>
        <v/>
      </c>
      <c r="AO91" s="177" t="str">
        <f>IF(ISTEXT(VLOOKUP(CONCATENATE($A91,"_",AO$3),'Unit List'!$A$23:$H$3319,2,FALSE)),"X",$AN91)</f>
        <v/>
      </c>
      <c r="AP91" s="97" t="str">
        <f>IF(ISTEXT(VLOOKUP(CONCATENATE($A91,"_",AP$3),'Unit List'!$A$23:$H$3319,2,FALSE)),"+","")</f>
        <v/>
      </c>
      <c r="AQ91" s="175" t="str">
        <f>IF(ISTEXT(VLOOKUP(CONCATENATE($A91,"_",AQ$3),'Unit List'!$A$23:$H$3319,2,FALSE)),"X",$AP91)</f>
        <v/>
      </c>
      <c r="AR91" s="175" t="str">
        <f>IF(ISTEXT(VLOOKUP(CONCATENATE($A91,"_",AR$3),'Unit List'!$A$23:$H$3319,2,FALSE)),"X",$AP91)</f>
        <v/>
      </c>
      <c r="AS91" s="175" t="str">
        <f>IF(ISTEXT(VLOOKUP(CONCATENATE($A91,"_",AS$3),'Unit List'!$A$23:$H$3319,2,FALSE)),"X",$AP91)</f>
        <v/>
      </c>
      <c r="AT91" s="177" t="str">
        <f>IF(ISTEXT(VLOOKUP(CONCATENATE($A91,"_",AT$3),'Unit List'!$A$23:$H$3319,2,FALSE)),"X",$AP91)</f>
        <v/>
      </c>
      <c r="AU91" s="104" t="str">
        <f>IF(ISTEXT(VLOOKUP(CONCATENATE($A91,"_",AU$3),'Unit List'!$A$23:$H$3319,2,FALSE)),"+","")</f>
        <v/>
      </c>
      <c r="AV91" s="175" t="str">
        <f>IF(ISTEXT(VLOOKUP(CONCATENATE($A91,"_",AV$3),'Unit List'!$A$23:$H$3319,2,FALSE)),"X",$AU91)</f>
        <v/>
      </c>
      <c r="AW91" s="177" t="str">
        <f>IF(ISTEXT(VLOOKUP(CONCATENATE($A91,"_",AW$3),'Unit List'!$A$23:$H$3319,2,FALSE)),"X",$AU91)</f>
        <v/>
      </c>
      <c r="AX91" s="97" t="str">
        <f>IF(ISTEXT(VLOOKUP(CONCATENATE($A91,"_",AX$3),'Unit List'!$A$23:$H$3319,2,FALSE)),"+","")</f>
        <v/>
      </c>
      <c r="AY91" s="175" t="str">
        <f>IF(ISTEXT(VLOOKUP(CONCATENATE($A91,"_",AY$3),'Unit List'!$A$23:$H$3319,2,FALSE)),"X",$AX91)</f>
        <v/>
      </c>
      <c r="AZ91" s="177" t="str">
        <f>IF(ISTEXT(VLOOKUP(CONCATENATE($A91,"_",AZ$3),'Unit List'!$A$23:$H$3319,2,FALSE)),"X",$AX91)</f>
        <v/>
      </c>
      <c r="BA91" s="105" t="str">
        <f>IF(ISTEXT(VLOOKUP(CONCATENATE($A91,"_",BA$3),'Unit List'!$A$23:$H$3319,2,FALSE)),"+","")</f>
        <v/>
      </c>
      <c r="BB91" s="175" t="str">
        <f>IF(ISTEXT(VLOOKUP(CONCATENATE($A91,"_",BB$3),'Unit List'!$A$23:$H$3319,2,FALSE)),"X",$BA91)</f>
        <v/>
      </c>
      <c r="BC91" s="175" t="str">
        <f>IF(ISTEXT(VLOOKUP(CONCATENATE($A91,"_",BC$3),'Unit List'!$A$23:$H$3319,2,FALSE)),"X",$BA91)</f>
        <v/>
      </c>
      <c r="BD91" s="177" t="str">
        <f>IF(ISTEXT(VLOOKUP(CONCATENATE($A91,"_",BD$3),'Unit List'!$A$23:$H$3319,2,FALSE)),"X",$BA91)</f>
        <v/>
      </c>
      <c r="BE91" s="103" t="str">
        <f>IF(ISTEXT(VLOOKUP(CONCATENATE($A91,"_",BE$3),'Unit List'!$A$23:$H$3319,2,FALSE)),"+","")</f>
        <v/>
      </c>
      <c r="BF91" s="124" t="str">
        <f>IF(ISTEXT(VLOOKUP(CONCATENATE($A91,"_",BF$3),'Unit List'!$A$23:$H$3319,2,FALSE)),"X",$BE91)</f>
        <v/>
      </c>
      <c r="BG91" s="177"/>
      <c r="BH91" s="107" t="s">
        <v>0</v>
      </c>
      <c r="BI91" s="207"/>
      <c r="BJ91" s="208"/>
      <c r="BK91" s="208"/>
      <c r="BL91" s="209"/>
      <c r="BM91" s="209"/>
      <c r="BN91" s="108"/>
      <c r="BO91" s="108"/>
      <c r="BP91" s="108"/>
      <c r="BQ91" s="108"/>
      <c r="BR91" s="108"/>
      <c r="BS91" s="108"/>
      <c r="DZ91" s="109"/>
      <c r="EA91" s="109"/>
    </row>
    <row r="92" spans="1:131" ht="12.75" customHeight="1" x14ac:dyDescent="0.2">
      <c r="A92" s="201" t="s">
        <v>1137</v>
      </c>
      <c r="B92" s="91" t="str">
        <f>IF(ISTEXT(VLOOKUP(CONCATENATE($A92,"_",B$3),'Unit List'!$A$23:$H$3319,2,FALSE)),"+","")</f>
        <v/>
      </c>
      <c r="C92" s="174" t="str">
        <f>IF(ISTEXT(VLOOKUP(CONCATENATE($A92,"_",C$3),'Unit List'!$A$23:$H$3319,2,FALSE)),"X",$B92)</f>
        <v/>
      </c>
      <c r="D92" s="175" t="str">
        <f>IF(ISTEXT(VLOOKUP(CONCATENATE($A92,"_",D$3),'Unit List'!$A$23:$H$3319,2,FALSE)),"X",$B92)</f>
        <v/>
      </c>
      <c r="E92" s="175" t="str">
        <f>IF(ISTEXT(VLOOKUP(CONCATENATE($A92,"_",E$3),'Unit List'!$A$23:$H$3319,2,FALSE)),"X",$B92)</f>
        <v/>
      </c>
      <c r="F92" s="175" t="str">
        <f>IF(ISTEXT(VLOOKUP(CONCATENATE($A92,"_",F$3),'Unit List'!$A$23:$H$3319,2,FALSE)),"X",$B92)</f>
        <v/>
      </c>
      <c r="G92" s="175" t="str">
        <f>IF(ISTEXT(VLOOKUP(CONCATENATE($A92,"_",G$3),'Unit List'!$A$23:$H$3319,2,FALSE)),"X",$B92)</f>
        <v/>
      </c>
      <c r="H92" s="175" t="str">
        <f>IF(ISTEXT(VLOOKUP(CONCATENATE($A92,"_",H$3),'Unit List'!$A$23:$H$3319,2,FALSE)),"X",$B92)</f>
        <v/>
      </c>
      <c r="I92" s="177" t="str">
        <f>IF(ISTEXT(VLOOKUP(CONCATENATE($A92,"_",I$3),'Unit List'!$A$23:$H$3319,2,FALSE)),"X",$B92)</f>
        <v/>
      </c>
      <c r="J92" s="97" t="str">
        <f>IF(ISTEXT(VLOOKUP(CONCATENATE($A92,"_",J$3),'Unit List'!$A$23:$H$3319,2,FALSE)),"+","")</f>
        <v/>
      </c>
      <c r="K92" s="175" t="str">
        <f>IF(ISTEXT(VLOOKUP(CONCATENATE($A92,"_",K$3),'Unit List'!$A$23:$H$3319,2,FALSE)),"X",$J92)</f>
        <v/>
      </c>
      <c r="L92" s="124" t="str">
        <f>IF(ISTEXT(VLOOKUP(CONCATENATE($A92,"_",L$3),'Unit List'!$A$23:$H$3319,2,FALSE)),"X",$J92)</f>
        <v/>
      </c>
      <c r="M92" s="97" t="str">
        <f>IF(ISTEXT(VLOOKUP(CONCATENATE($A92,"_",M$3),'Unit List'!$A$23:$H$3319,2,FALSE)),"+","")</f>
        <v/>
      </c>
      <c r="N92" s="175" t="str">
        <f>IF(ISTEXT(VLOOKUP(CONCATENATE($A92,"_",N$3),'Unit List'!$A$23:$H$3319,2,FALSE)),"X",$M92)</f>
        <v/>
      </c>
      <c r="O92" s="177" t="str">
        <f>IF(ISTEXT(VLOOKUP(CONCATENATE($A92,"_",O$3),'Unit List'!$A$23:$H$3319,2,FALSE)),"X",$M92)</f>
        <v/>
      </c>
      <c r="P92" s="97" t="str">
        <f>IF(ISTEXT(VLOOKUP(CONCATENATE($A92,"_",P$3),'Unit List'!$A$23:$H$3319,2,FALSE)),"+","")</f>
        <v/>
      </c>
      <c r="Q92" s="175" t="str">
        <f>IF(ISTEXT(VLOOKUP(CONCATENATE($A92,"_",Q$3),'Unit List'!$A$23:$H$3319,2,FALSE)),"X",$P92)</f>
        <v/>
      </c>
      <c r="R92" s="175" t="str">
        <f>IF(ISTEXT(VLOOKUP(CONCATENATE($A92,"_",R$3),'Unit List'!$A$23:$H$3319,2,FALSE)),"X",$P92)</f>
        <v/>
      </c>
      <c r="S92" s="175" t="str">
        <f>IF(ISTEXT(VLOOKUP(CONCATENATE($A92,"_",S$3),'Unit List'!$A$23:$H$3319,2,FALSE)),"X",$P92)</f>
        <v/>
      </c>
      <c r="T92" s="176" t="str">
        <f>IF(ISTEXT(VLOOKUP(CONCATENATE($A92,"_",T$3),'Unit List'!$A$23:$H$3319,2,FALSE)),"X",$P92)</f>
        <v/>
      </c>
      <c r="U92" s="175" t="str">
        <f>IF(ISTEXT(VLOOKUP(CONCATENATE($A92,"_",U$3),'Unit List'!$A$23:$H$3319,2,FALSE)),"X",$P92)</f>
        <v/>
      </c>
      <c r="V92" s="175" t="str">
        <f>IF(ISTEXT(VLOOKUP(CONCATENATE($A92,"_",V$3),'Unit List'!$A$23:$H$3319,2,FALSE)),"X",$P92)</f>
        <v/>
      </c>
      <c r="W92" s="177" t="str">
        <f>IF(ISTEXT(VLOOKUP(CONCATENATE($A92,"_",W$3),'Unit List'!$A$23:$H$3319,2,FALSE)),"X",$P92)</f>
        <v/>
      </c>
      <c r="X92" s="97" t="str">
        <f>IF(ISTEXT(VLOOKUP(CONCATENATE($A92,"_",X$3),'Unit List'!$A$23:$H$3319,2,FALSE)),"+","")</f>
        <v/>
      </c>
      <c r="Y92" s="175" t="str">
        <f>IF(ISTEXT(VLOOKUP(CONCATENATE($A92,"_",Y$3),'Unit List'!$A$23:$H$3319,2,FALSE)),"X",$X92)</f>
        <v/>
      </c>
      <c r="Z92" s="175" t="str">
        <f>IF(ISTEXT(VLOOKUP(CONCATENATE($A92,"_",Z$3),'Unit List'!$A$23:$H$3319,2,FALSE)),"X",$X92)</f>
        <v/>
      </c>
      <c r="AA92" s="175" t="str">
        <f>IF(ISTEXT(VLOOKUP(CONCATENATE($A92,"_",AA$3),'Unit List'!$A$23:$H$3319,2,FALSE)),"X",$X92)</f>
        <v/>
      </c>
      <c r="AB92" s="175" t="str">
        <f>IF(ISTEXT(VLOOKUP(CONCATENATE($A92,"_",AB$3),'Unit List'!$A$23:$H$3319,2,FALSE)),"X",$X92)</f>
        <v/>
      </c>
      <c r="AC92" s="124" t="str">
        <f>IF(ISTEXT(VLOOKUP(CONCATENATE($A92,"_",AC$3),'Unit List'!$A$23:$H$3319,2,FALSE)),"X",$X92)</f>
        <v/>
      </c>
      <c r="AD92" s="97" t="str">
        <f>IF(ISTEXT(VLOOKUP(CONCATENATE($A92,"_",AD$3),'Unit List'!$A$23:$H$3319,2,FALSE)),"+","")</f>
        <v/>
      </c>
      <c r="AE92" s="175" t="str">
        <f>IF(ISTEXT(VLOOKUP(CONCATENATE($A92,"_",AE$3),'Unit List'!$A$23:$H$3319,2,FALSE)),"X",$AD92)</f>
        <v/>
      </c>
      <c r="AF92" s="175" t="str">
        <f>IF(ISTEXT(VLOOKUP(CONCATENATE($A92,"_",AF$3),'Unit List'!$A$23:$H$3319,2,FALSE)),"X",$AD92)</f>
        <v/>
      </c>
      <c r="AG92" s="97" t="str">
        <f>IF(ISTEXT(VLOOKUP(CONCATENATE($A92,"_",AG$3),'Unit List'!$A$23:$H$3319,2,FALSE)),"+","")</f>
        <v/>
      </c>
      <c r="AH92" s="175" t="str">
        <f>IF(ISTEXT(VLOOKUP(CONCATENATE($A92,"_",AH$3),'Unit List'!$A$23:$H$3319,2,FALSE)),"X",$AG92)</f>
        <v/>
      </c>
      <c r="AI92" s="175" t="str">
        <f>IF(ISTEXT(VLOOKUP(CONCATENATE($A92,"_",AI$3),'Unit List'!$A$23:$H$3319,2,FALSE)),"X",$AG92)</f>
        <v/>
      </c>
      <c r="AJ92" s="177" t="str">
        <f>IF(ISTEXT(VLOOKUP(CONCATENATE($A92,"_",AJ$3),'Unit List'!$A$23:$H$3319,2,FALSE)),"X",$AG92)</f>
        <v/>
      </c>
      <c r="AK92" s="97" t="str">
        <f>IF(ISTEXT(VLOOKUP(CONCATENATE($A92,"_",AK$3),'Unit List'!$A$23:$H$3319,2,FALSE)),"+","")</f>
        <v/>
      </c>
      <c r="AL92" s="176" t="str">
        <f>IF(ISTEXT(VLOOKUP(CONCATENATE($A92,"_",AL$3),'Unit List'!$A$23:$H$3319,2,FALSE)),"X",$AK92)</f>
        <v/>
      </c>
      <c r="AM92" s="177" t="str">
        <f>IF(ISTEXT(VLOOKUP(CONCATENATE($A92,"_",AM$3),'Unit List'!$A$23:$H$3319,2,FALSE)),"X",$AK92)</f>
        <v/>
      </c>
      <c r="AN92" s="103" t="str">
        <f>IF(ISTEXT(VLOOKUP(CONCATENATE($A92,"_",AN$3),'Unit List'!$A$23:$H$3319,2,FALSE)),"+","")</f>
        <v/>
      </c>
      <c r="AO92" s="177" t="str">
        <f>IF(ISTEXT(VLOOKUP(CONCATENATE($A92,"_",AO$3),'Unit List'!$A$23:$H$3319,2,FALSE)),"X",$AN92)</f>
        <v/>
      </c>
      <c r="AP92" s="97" t="str">
        <f>IF(ISTEXT(VLOOKUP(CONCATENATE($A92,"_",AP$3),'Unit List'!$A$23:$H$3319,2,FALSE)),"+","")</f>
        <v/>
      </c>
      <c r="AQ92" s="175" t="str">
        <f>IF(ISTEXT(VLOOKUP(CONCATENATE($A92,"_",AQ$3),'Unit List'!$A$23:$H$3319,2,FALSE)),"X",$AP92)</f>
        <v/>
      </c>
      <c r="AR92" s="175" t="str">
        <f>IF(ISTEXT(VLOOKUP(CONCATENATE($A92,"_",AR$3),'Unit List'!$A$23:$H$3319,2,FALSE)),"X",$AP92)</f>
        <v/>
      </c>
      <c r="AS92" s="175" t="str">
        <f>IF(ISTEXT(VLOOKUP(CONCATENATE($A92,"_",AS$3),'Unit List'!$A$23:$H$3319,2,FALSE)),"X",$AP92)</f>
        <v/>
      </c>
      <c r="AT92" s="177" t="str">
        <f>IF(ISTEXT(VLOOKUP(CONCATENATE($A92,"_",AT$3),'Unit List'!$A$23:$H$3319,2,FALSE)),"X",$AP92)</f>
        <v/>
      </c>
      <c r="AU92" s="104" t="str">
        <f>IF(ISTEXT(VLOOKUP(CONCATENATE($A92,"_",AU$3),'Unit List'!$A$23:$H$3319,2,FALSE)),"+","")</f>
        <v/>
      </c>
      <c r="AV92" s="175" t="str">
        <f>IF(ISTEXT(VLOOKUP(CONCATENATE($A92,"_",AV$3),'Unit List'!$A$23:$H$3319,2,FALSE)),"X",$AU92)</f>
        <v/>
      </c>
      <c r="AW92" s="177" t="str">
        <f>IF(ISTEXT(VLOOKUP(CONCATENATE($A92,"_",AW$3),'Unit List'!$A$23:$H$3319,2,FALSE)),"X",$AU92)</f>
        <v/>
      </c>
      <c r="AX92" s="97" t="str">
        <f>IF(ISTEXT(VLOOKUP(CONCATENATE($A92,"_",AX$3),'Unit List'!$A$23:$H$3319,2,FALSE)),"+","")</f>
        <v/>
      </c>
      <c r="AY92" s="175" t="str">
        <f>IF(ISTEXT(VLOOKUP(CONCATENATE($A92,"_",AY$3),'Unit List'!$A$23:$H$3319,2,FALSE)),"X",$AX92)</f>
        <v/>
      </c>
      <c r="AZ92" s="177" t="str">
        <f>IF(ISTEXT(VLOOKUP(CONCATENATE($A92,"_",AZ$3),'Unit List'!$A$23:$H$3319,2,FALSE)),"X",$AX92)</f>
        <v/>
      </c>
      <c r="BA92" s="105" t="str">
        <f>IF(ISTEXT(VLOOKUP(CONCATENATE($A92,"_",BA$3),'Unit List'!$A$23:$H$3319,2,FALSE)),"+","")</f>
        <v/>
      </c>
      <c r="BB92" s="175" t="str">
        <f>IF(ISTEXT(VLOOKUP(CONCATENATE($A92,"_",BB$3),'Unit List'!$A$23:$H$3319,2,FALSE)),"X",$BA92)</f>
        <v/>
      </c>
      <c r="BC92" s="175" t="str">
        <f>IF(ISTEXT(VLOOKUP(CONCATENATE($A92,"_",BC$3),'Unit List'!$A$23:$H$3319,2,FALSE)),"X",$BA92)</f>
        <v/>
      </c>
      <c r="BD92" s="177" t="str">
        <f>IF(ISTEXT(VLOOKUP(CONCATENATE($A92,"_",BD$3),'Unit List'!$A$23:$H$3319,2,FALSE)),"X",$BA92)</f>
        <v/>
      </c>
      <c r="BE92" s="103" t="str">
        <f>IF(ISTEXT(VLOOKUP(CONCATENATE($A92,"_",BE$3),'Unit List'!$A$23:$H$3319,2,FALSE)),"+","")</f>
        <v/>
      </c>
      <c r="BF92" s="124" t="str">
        <f>IF(ISTEXT(VLOOKUP(CONCATENATE($A92,"_",BF$3),'Unit List'!$A$23:$H$3319,2,FALSE)),"X",$BE92)</f>
        <v/>
      </c>
      <c r="BG92" s="177"/>
      <c r="BH92" s="107" t="s">
        <v>0</v>
      </c>
      <c r="BI92" s="207"/>
      <c r="BJ92" s="208"/>
      <c r="BK92" s="208"/>
      <c r="BL92" s="209"/>
      <c r="BM92" s="209"/>
      <c r="BN92" s="108"/>
      <c r="BO92" s="108"/>
      <c r="BP92" s="108"/>
      <c r="BQ92" s="108"/>
      <c r="BR92" s="108"/>
      <c r="BS92" s="108"/>
      <c r="DZ92" s="109"/>
      <c r="EA92" s="109"/>
    </row>
    <row r="93" spans="1:131" ht="12.75" customHeight="1" x14ac:dyDescent="0.2">
      <c r="A93" s="201" t="s">
        <v>1138</v>
      </c>
      <c r="B93" s="91" t="str">
        <f>IF(ISTEXT(VLOOKUP(CONCATENATE($A93,"_",B$3),'Unit List'!$A$23:$H$3319,2,FALSE)),"+","")</f>
        <v/>
      </c>
      <c r="C93" s="174" t="str">
        <f>IF(ISTEXT(VLOOKUP(CONCATENATE($A93,"_",C$3),'Unit List'!$A$23:$H$3319,2,FALSE)),"X",$B93)</f>
        <v/>
      </c>
      <c r="D93" s="175" t="str">
        <f>IF(ISTEXT(VLOOKUP(CONCATENATE($A93,"_",D$3),'Unit List'!$A$23:$H$3319,2,FALSE)),"X",$B93)</f>
        <v/>
      </c>
      <c r="E93" s="175" t="str">
        <f>IF(ISTEXT(VLOOKUP(CONCATENATE($A93,"_",E$3),'Unit List'!$A$23:$H$3319,2,FALSE)),"X",$B93)</f>
        <v/>
      </c>
      <c r="F93" s="175" t="str">
        <f>IF(ISTEXT(VLOOKUP(CONCATENATE($A93,"_",F$3),'Unit List'!$A$23:$H$3319,2,FALSE)),"X",$B93)</f>
        <v/>
      </c>
      <c r="G93" s="175" t="str">
        <f>IF(ISTEXT(VLOOKUP(CONCATENATE($A93,"_",G$3),'Unit List'!$A$23:$H$3319,2,FALSE)),"X",$B93)</f>
        <v/>
      </c>
      <c r="H93" s="175" t="str">
        <f>IF(ISTEXT(VLOOKUP(CONCATENATE($A93,"_",H$3),'Unit List'!$A$23:$H$3319,2,FALSE)),"X",$B93)</f>
        <v/>
      </c>
      <c r="I93" s="177" t="str">
        <f>IF(ISTEXT(VLOOKUP(CONCATENATE($A93,"_",I$3),'Unit List'!$A$23:$H$3319,2,FALSE)),"X",$B93)</f>
        <v/>
      </c>
      <c r="J93" s="97" t="str">
        <f>IF(ISTEXT(VLOOKUP(CONCATENATE($A93,"_",J$3),'Unit List'!$A$23:$H$3319,2,FALSE)),"+","")</f>
        <v/>
      </c>
      <c r="K93" s="175" t="str">
        <f>IF(ISTEXT(VLOOKUP(CONCATENATE($A93,"_",K$3),'Unit List'!$A$23:$H$3319,2,FALSE)),"X",$J93)</f>
        <v/>
      </c>
      <c r="L93" s="124" t="str">
        <f>IF(ISTEXT(VLOOKUP(CONCATENATE($A93,"_",L$3),'Unit List'!$A$23:$H$3319,2,FALSE)),"X",$J93)</f>
        <v/>
      </c>
      <c r="M93" s="97" t="str">
        <f>IF(ISTEXT(VLOOKUP(CONCATENATE($A93,"_",M$3),'Unit List'!$A$23:$H$3319,2,FALSE)),"+","")</f>
        <v/>
      </c>
      <c r="N93" s="175" t="str">
        <f>IF(ISTEXT(VLOOKUP(CONCATENATE($A93,"_",N$3),'Unit List'!$A$23:$H$3319,2,FALSE)),"X",$M93)</f>
        <v/>
      </c>
      <c r="O93" s="177" t="str">
        <f>IF(ISTEXT(VLOOKUP(CONCATENATE($A93,"_",O$3),'Unit List'!$A$23:$H$3319,2,FALSE)),"X",$M93)</f>
        <v/>
      </c>
      <c r="P93" s="97" t="str">
        <f>IF(ISTEXT(VLOOKUP(CONCATENATE($A93,"_",P$3),'Unit List'!$A$23:$H$3319,2,FALSE)),"+","")</f>
        <v/>
      </c>
      <c r="Q93" s="175" t="str">
        <f>IF(ISTEXT(VLOOKUP(CONCATENATE($A93,"_",Q$3),'Unit List'!$A$23:$H$3319,2,FALSE)),"X",$P93)</f>
        <v/>
      </c>
      <c r="R93" s="175" t="str">
        <f>IF(ISTEXT(VLOOKUP(CONCATENATE($A93,"_",R$3),'Unit List'!$A$23:$H$3319,2,FALSE)),"X",$P93)</f>
        <v/>
      </c>
      <c r="S93" s="175" t="str">
        <f>IF(ISTEXT(VLOOKUP(CONCATENATE($A93,"_",S$3),'Unit List'!$A$23:$H$3319,2,FALSE)),"X",$P93)</f>
        <v/>
      </c>
      <c r="T93" s="176" t="str">
        <f>IF(ISTEXT(VLOOKUP(CONCATENATE($A93,"_",T$3),'Unit List'!$A$23:$H$3319,2,FALSE)),"X",$P93)</f>
        <v/>
      </c>
      <c r="U93" s="175" t="str">
        <f>IF(ISTEXT(VLOOKUP(CONCATENATE($A93,"_",U$3),'Unit List'!$A$23:$H$3319,2,FALSE)),"X",$P93)</f>
        <v/>
      </c>
      <c r="V93" s="175" t="str">
        <f>IF(ISTEXT(VLOOKUP(CONCATENATE($A93,"_",V$3),'Unit List'!$A$23:$H$3319,2,FALSE)),"X",$P93)</f>
        <v/>
      </c>
      <c r="W93" s="177" t="str">
        <f>IF(ISTEXT(VLOOKUP(CONCATENATE($A93,"_",W$3),'Unit List'!$A$23:$H$3319,2,FALSE)),"X",$P93)</f>
        <v/>
      </c>
      <c r="X93" s="97" t="str">
        <f>IF(ISTEXT(VLOOKUP(CONCATENATE($A93,"_",X$3),'Unit List'!$A$23:$H$3319,2,FALSE)),"+","")</f>
        <v/>
      </c>
      <c r="Y93" s="175" t="str">
        <f>IF(ISTEXT(VLOOKUP(CONCATENATE($A93,"_",Y$3),'Unit List'!$A$23:$H$3319,2,FALSE)),"X",$X93)</f>
        <v/>
      </c>
      <c r="Z93" s="175" t="str">
        <f>IF(ISTEXT(VLOOKUP(CONCATENATE($A93,"_",Z$3),'Unit List'!$A$23:$H$3319,2,FALSE)),"X",$X93)</f>
        <v/>
      </c>
      <c r="AA93" s="175" t="str">
        <f>IF(ISTEXT(VLOOKUP(CONCATENATE($A93,"_",AA$3),'Unit List'!$A$23:$H$3319,2,FALSE)),"X",$X93)</f>
        <v/>
      </c>
      <c r="AB93" s="175" t="str">
        <f>IF(ISTEXT(VLOOKUP(CONCATENATE($A93,"_",AB$3),'Unit List'!$A$23:$H$3319,2,FALSE)),"X",$X93)</f>
        <v/>
      </c>
      <c r="AC93" s="124" t="str">
        <f>IF(ISTEXT(VLOOKUP(CONCATENATE($A93,"_",AC$3),'Unit List'!$A$23:$H$3319,2,FALSE)),"X",$X93)</f>
        <v/>
      </c>
      <c r="AD93" s="97" t="str">
        <f>IF(ISTEXT(VLOOKUP(CONCATENATE($A93,"_",AD$3),'Unit List'!$A$23:$H$3319,2,FALSE)),"+","")</f>
        <v/>
      </c>
      <c r="AE93" s="175" t="str">
        <f>IF(ISTEXT(VLOOKUP(CONCATENATE($A93,"_",AE$3),'Unit List'!$A$23:$H$3319,2,FALSE)),"X",$AD93)</f>
        <v/>
      </c>
      <c r="AF93" s="175" t="str">
        <f>IF(ISTEXT(VLOOKUP(CONCATENATE($A93,"_",AF$3),'Unit List'!$A$23:$H$3319,2,FALSE)),"X",$AD93)</f>
        <v/>
      </c>
      <c r="AG93" s="97" t="str">
        <f>IF(ISTEXT(VLOOKUP(CONCATENATE($A93,"_",AG$3),'Unit List'!$A$23:$H$3319,2,FALSE)),"+","")</f>
        <v/>
      </c>
      <c r="AH93" s="175" t="str">
        <f>IF(ISTEXT(VLOOKUP(CONCATENATE($A93,"_",AH$3),'Unit List'!$A$23:$H$3319,2,FALSE)),"X",$AG93)</f>
        <v/>
      </c>
      <c r="AI93" s="175" t="str">
        <f>IF(ISTEXT(VLOOKUP(CONCATENATE($A93,"_",AI$3),'Unit List'!$A$23:$H$3319,2,FALSE)),"X",$AG93)</f>
        <v/>
      </c>
      <c r="AJ93" s="177" t="str">
        <f>IF(ISTEXT(VLOOKUP(CONCATENATE($A93,"_",AJ$3),'Unit List'!$A$23:$H$3319,2,FALSE)),"X",$AG93)</f>
        <v/>
      </c>
      <c r="AK93" s="97" t="str">
        <f>IF(ISTEXT(VLOOKUP(CONCATENATE($A93,"_",AK$3),'Unit List'!$A$23:$H$3319,2,FALSE)),"+","")</f>
        <v/>
      </c>
      <c r="AL93" s="176" t="str">
        <f>IF(ISTEXT(VLOOKUP(CONCATENATE($A93,"_",AL$3),'Unit List'!$A$23:$H$3319,2,FALSE)),"X",$AK93)</f>
        <v/>
      </c>
      <c r="AM93" s="177" t="str">
        <f>IF(ISTEXT(VLOOKUP(CONCATENATE($A93,"_",AM$3),'Unit List'!$A$23:$H$3319,2,FALSE)),"X",$AK93)</f>
        <v/>
      </c>
      <c r="AN93" s="103" t="str">
        <f>IF(ISTEXT(VLOOKUP(CONCATENATE($A93,"_",AN$3),'Unit List'!$A$23:$H$3319,2,FALSE)),"+","")</f>
        <v/>
      </c>
      <c r="AO93" s="177" t="str">
        <f>IF(ISTEXT(VLOOKUP(CONCATENATE($A93,"_",AO$3),'Unit List'!$A$23:$H$3319,2,FALSE)),"X",$AN93)</f>
        <v/>
      </c>
      <c r="AP93" s="97" t="str">
        <f>IF(ISTEXT(VLOOKUP(CONCATENATE($A93,"_",AP$3),'Unit List'!$A$23:$H$3319,2,FALSE)),"+","")</f>
        <v/>
      </c>
      <c r="AQ93" s="175" t="str">
        <f>IF(ISTEXT(VLOOKUP(CONCATENATE($A93,"_",AQ$3),'Unit List'!$A$23:$H$3319,2,FALSE)),"X",$AP93)</f>
        <v/>
      </c>
      <c r="AR93" s="175" t="str">
        <f>IF(ISTEXT(VLOOKUP(CONCATENATE($A93,"_",AR$3),'Unit List'!$A$23:$H$3319,2,FALSE)),"X",$AP93)</f>
        <v/>
      </c>
      <c r="AS93" s="175" t="str">
        <f>IF(ISTEXT(VLOOKUP(CONCATENATE($A93,"_",AS$3),'Unit List'!$A$23:$H$3319,2,FALSE)),"X",$AP93)</f>
        <v/>
      </c>
      <c r="AT93" s="177" t="str">
        <f>IF(ISTEXT(VLOOKUP(CONCATENATE($A93,"_",AT$3),'Unit List'!$A$23:$H$3319,2,FALSE)),"X",$AP93)</f>
        <v/>
      </c>
      <c r="AU93" s="104" t="str">
        <f>IF(ISTEXT(VLOOKUP(CONCATENATE($A93,"_",AU$3),'Unit List'!$A$23:$H$3319,2,FALSE)),"+","")</f>
        <v/>
      </c>
      <c r="AV93" s="175" t="str">
        <f>IF(ISTEXT(VLOOKUP(CONCATENATE($A93,"_",AV$3),'Unit List'!$A$23:$H$3319,2,FALSE)),"X",$AU93)</f>
        <v/>
      </c>
      <c r="AW93" s="177" t="str">
        <f>IF(ISTEXT(VLOOKUP(CONCATENATE($A93,"_",AW$3),'Unit List'!$A$23:$H$3319,2,FALSE)),"X",$AU93)</f>
        <v/>
      </c>
      <c r="AX93" s="97" t="str">
        <f>IF(ISTEXT(VLOOKUP(CONCATENATE($A93,"_",AX$3),'Unit List'!$A$23:$H$3319,2,FALSE)),"+","")</f>
        <v/>
      </c>
      <c r="AY93" s="175" t="str">
        <f>IF(ISTEXT(VLOOKUP(CONCATENATE($A93,"_",AY$3),'Unit List'!$A$23:$H$3319,2,FALSE)),"X",$AX93)</f>
        <v/>
      </c>
      <c r="AZ93" s="177" t="str">
        <f>IF(ISTEXT(VLOOKUP(CONCATENATE($A93,"_",AZ$3),'Unit List'!$A$23:$H$3319,2,FALSE)),"X",$AX93)</f>
        <v/>
      </c>
      <c r="BA93" s="105" t="str">
        <f>IF(ISTEXT(VLOOKUP(CONCATENATE($A93,"_",BA$3),'Unit List'!$A$23:$H$3319,2,FALSE)),"+","")</f>
        <v/>
      </c>
      <c r="BB93" s="175" t="str">
        <f>IF(ISTEXT(VLOOKUP(CONCATENATE($A93,"_",BB$3),'Unit List'!$A$23:$H$3319,2,FALSE)),"X",$BA93)</f>
        <v/>
      </c>
      <c r="BC93" s="175" t="str">
        <f>IF(ISTEXT(VLOOKUP(CONCATENATE($A93,"_",BC$3),'Unit List'!$A$23:$H$3319,2,FALSE)),"X",$BA93)</f>
        <v/>
      </c>
      <c r="BD93" s="177" t="str">
        <f>IF(ISTEXT(VLOOKUP(CONCATENATE($A93,"_",BD$3),'Unit List'!$A$23:$H$3319,2,FALSE)),"X",$BA93)</f>
        <v/>
      </c>
      <c r="BE93" s="103" t="str">
        <f>IF(ISTEXT(VLOOKUP(CONCATENATE($A93,"_",BE$3),'Unit List'!$A$23:$H$3319,2,FALSE)),"+","")</f>
        <v/>
      </c>
      <c r="BF93" s="124" t="str">
        <f>IF(ISTEXT(VLOOKUP(CONCATENATE($A93,"_",BF$3),'Unit List'!$A$23:$H$3319,2,FALSE)),"X",$BE93)</f>
        <v/>
      </c>
      <c r="BG93" s="177"/>
      <c r="BH93" s="107" t="s">
        <v>0</v>
      </c>
      <c r="BI93" s="207"/>
      <c r="BJ93" s="208"/>
      <c r="BK93" s="208"/>
      <c r="BL93" s="209"/>
      <c r="BM93" s="209"/>
      <c r="BN93" s="108"/>
      <c r="BO93" s="108"/>
      <c r="BP93" s="108"/>
      <c r="BQ93" s="108"/>
      <c r="BR93" s="108"/>
      <c r="BS93" s="108"/>
      <c r="DZ93" s="109"/>
      <c r="EA93" s="109"/>
    </row>
    <row r="94" spans="1:131" ht="12.75" customHeight="1" x14ac:dyDescent="0.2">
      <c r="A94" s="201" t="s">
        <v>1139</v>
      </c>
      <c r="B94" s="91" t="str">
        <f>IF(ISTEXT(VLOOKUP(CONCATENATE($A94,"_",B$3),'Unit List'!$A$23:$H$3319,2,FALSE)),"+","")</f>
        <v/>
      </c>
      <c r="C94" s="174" t="str">
        <f>IF(ISTEXT(VLOOKUP(CONCATENATE($A94,"_",C$3),'Unit List'!$A$23:$H$3319,2,FALSE)),"X",$B94)</f>
        <v/>
      </c>
      <c r="D94" s="175" t="str">
        <f>IF(ISTEXT(VLOOKUP(CONCATENATE($A94,"_",D$3),'Unit List'!$A$23:$H$3319,2,FALSE)),"X",$B94)</f>
        <v/>
      </c>
      <c r="E94" s="175" t="str">
        <f>IF(ISTEXT(VLOOKUP(CONCATENATE($A94,"_",E$3),'Unit List'!$A$23:$H$3319,2,FALSE)),"X",$B94)</f>
        <v/>
      </c>
      <c r="F94" s="175" t="str">
        <f>IF(ISTEXT(VLOOKUP(CONCATENATE($A94,"_",F$3),'Unit List'!$A$23:$H$3319,2,FALSE)),"X",$B94)</f>
        <v/>
      </c>
      <c r="G94" s="175" t="str">
        <f>IF(ISTEXT(VLOOKUP(CONCATENATE($A94,"_",G$3),'Unit List'!$A$23:$H$3319,2,FALSE)),"X",$B94)</f>
        <v/>
      </c>
      <c r="H94" s="175" t="str">
        <f>IF(ISTEXT(VLOOKUP(CONCATENATE($A94,"_",H$3),'Unit List'!$A$23:$H$3319,2,FALSE)),"X",$B94)</f>
        <v/>
      </c>
      <c r="I94" s="177" t="str">
        <f>IF(ISTEXT(VLOOKUP(CONCATENATE($A94,"_",I$3),'Unit List'!$A$23:$H$3319,2,FALSE)),"X",$B94)</f>
        <v/>
      </c>
      <c r="J94" s="97" t="str">
        <f>IF(ISTEXT(VLOOKUP(CONCATENATE($A94,"_",J$3),'Unit List'!$A$23:$H$3319,2,FALSE)),"+","")</f>
        <v/>
      </c>
      <c r="K94" s="175" t="str">
        <f>IF(ISTEXT(VLOOKUP(CONCATENATE($A94,"_",K$3),'Unit List'!$A$23:$H$3319,2,FALSE)),"X",$J94)</f>
        <v/>
      </c>
      <c r="L94" s="124" t="str">
        <f>IF(ISTEXT(VLOOKUP(CONCATENATE($A94,"_",L$3),'Unit List'!$A$23:$H$3319,2,FALSE)),"X",$J94)</f>
        <v/>
      </c>
      <c r="M94" s="97" t="str">
        <f>IF(ISTEXT(VLOOKUP(CONCATENATE($A94,"_",M$3),'Unit List'!$A$23:$H$3319,2,FALSE)),"+","")</f>
        <v/>
      </c>
      <c r="N94" s="175" t="str">
        <f>IF(ISTEXT(VLOOKUP(CONCATENATE($A94,"_",N$3),'Unit List'!$A$23:$H$3319,2,FALSE)),"X",$M94)</f>
        <v/>
      </c>
      <c r="O94" s="177" t="str">
        <f>IF(ISTEXT(VLOOKUP(CONCATENATE($A94,"_",O$3),'Unit List'!$A$23:$H$3319,2,FALSE)),"X",$M94)</f>
        <v/>
      </c>
      <c r="P94" s="97" t="str">
        <f>IF(ISTEXT(VLOOKUP(CONCATENATE($A94,"_",P$3),'Unit List'!$A$23:$H$3319,2,FALSE)),"+","")</f>
        <v/>
      </c>
      <c r="Q94" s="175" t="str">
        <f>IF(ISTEXT(VLOOKUP(CONCATENATE($A94,"_",Q$3),'Unit List'!$A$23:$H$3319,2,FALSE)),"X",$P94)</f>
        <v/>
      </c>
      <c r="R94" s="175" t="str">
        <f>IF(ISTEXT(VLOOKUP(CONCATENATE($A94,"_",R$3),'Unit List'!$A$23:$H$3319,2,FALSE)),"X",$P94)</f>
        <v/>
      </c>
      <c r="S94" s="175" t="str">
        <f>IF(ISTEXT(VLOOKUP(CONCATENATE($A94,"_",S$3),'Unit List'!$A$23:$H$3319,2,FALSE)),"X",$P94)</f>
        <v/>
      </c>
      <c r="T94" s="176" t="str">
        <f>IF(ISTEXT(VLOOKUP(CONCATENATE($A94,"_",T$3),'Unit List'!$A$23:$H$3319,2,FALSE)),"X",$P94)</f>
        <v/>
      </c>
      <c r="U94" s="175" t="str">
        <f>IF(ISTEXT(VLOOKUP(CONCATENATE($A94,"_",U$3),'Unit List'!$A$23:$H$3319,2,FALSE)),"X",$P94)</f>
        <v/>
      </c>
      <c r="V94" s="175" t="str">
        <f>IF(ISTEXT(VLOOKUP(CONCATENATE($A94,"_",V$3),'Unit List'!$A$23:$H$3319,2,FALSE)),"X",$P94)</f>
        <v/>
      </c>
      <c r="W94" s="177" t="str">
        <f>IF(ISTEXT(VLOOKUP(CONCATENATE($A94,"_",W$3),'Unit List'!$A$23:$H$3319,2,FALSE)),"X",$P94)</f>
        <v/>
      </c>
      <c r="X94" s="97" t="str">
        <f>IF(ISTEXT(VLOOKUP(CONCATENATE($A94,"_",X$3),'Unit List'!$A$23:$H$3319,2,FALSE)),"+","")</f>
        <v/>
      </c>
      <c r="Y94" s="175" t="str">
        <f>IF(ISTEXT(VLOOKUP(CONCATENATE($A94,"_",Y$3),'Unit List'!$A$23:$H$3319,2,FALSE)),"X",$X94)</f>
        <v/>
      </c>
      <c r="Z94" s="175" t="str">
        <f>IF(ISTEXT(VLOOKUP(CONCATENATE($A94,"_",Z$3),'Unit List'!$A$23:$H$3319,2,FALSE)),"X",$X94)</f>
        <v/>
      </c>
      <c r="AA94" s="175" t="str">
        <f>IF(ISTEXT(VLOOKUP(CONCATENATE($A94,"_",AA$3),'Unit List'!$A$23:$H$3319,2,FALSE)),"X",$X94)</f>
        <v/>
      </c>
      <c r="AB94" s="175" t="str">
        <f>IF(ISTEXT(VLOOKUP(CONCATENATE($A94,"_",AB$3),'Unit List'!$A$23:$H$3319,2,FALSE)),"X",$X94)</f>
        <v/>
      </c>
      <c r="AC94" s="124" t="str">
        <f>IF(ISTEXT(VLOOKUP(CONCATENATE($A94,"_",AC$3),'Unit List'!$A$23:$H$3319,2,FALSE)),"X",$X94)</f>
        <v/>
      </c>
      <c r="AD94" s="97" t="str">
        <f>IF(ISTEXT(VLOOKUP(CONCATENATE($A94,"_",AD$3),'Unit List'!$A$23:$H$3319,2,FALSE)),"+","")</f>
        <v/>
      </c>
      <c r="AE94" s="175" t="str">
        <f>IF(ISTEXT(VLOOKUP(CONCATENATE($A94,"_",AE$3),'Unit List'!$A$23:$H$3319,2,FALSE)),"X",$AD94)</f>
        <v/>
      </c>
      <c r="AF94" s="175" t="str">
        <f>IF(ISTEXT(VLOOKUP(CONCATENATE($A94,"_",AF$3),'Unit List'!$A$23:$H$3319,2,FALSE)),"X",$AD94)</f>
        <v/>
      </c>
      <c r="AG94" s="97" t="str">
        <f>IF(ISTEXT(VLOOKUP(CONCATENATE($A94,"_",AG$3),'Unit List'!$A$23:$H$3319,2,FALSE)),"+","")</f>
        <v/>
      </c>
      <c r="AH94" s="175" t="str">
        <f>IF(ISTEXT(VLOOKUP(CONCATENATE($A94,"_",AH$3),'Unit List'!$A$23:$H$3319,2,FALSE)),"X",$AG94)</f>
        <v/>
      </c>
      <c r="AI94" s="175" t="str">
        <f>IF(ISTEXT(VLOOKUP(CONCATENATE($A94,"_",AI$3),'Unit List'!$A$23:$H$3319,2,FALSE)),"X",$AG94)</f>
        <v/>
      </c>
      <c r="AJ94" s="177" t="str">
        <f>IF(ISTEXT(VLOOKUP(CONCATENATE($A94,"_",AJ$3),'Unit List'!$A$23:$H$3319,2,FALSE)),"X",$AG94)</f>
        <v/>
      </c>
      <c r="AK94" s="97" t="str">
        <f>IF(ISTEXT(VLOOKUP(CONCATENATE($A94,"_",AK$3),'Unit List'!$A$23:$H$3319,2,FALSE)),"+","")</f>
        <v/>
      </c>
      <c r="AL94" s="176" t="str">
        <f>IF(ISTEXT(VLOOKUP(CONCATENATE($A94,"_",AL$3),'Unit List'!$A$23:$H$3319,2,FALSE)),"X",$AK94)</f>
        <v/>
      </c>
      <c r="AM94" s="177" t="str">
        <f>IF(ISTEXT(VLOOKUP(CONCATENATE($A94,"_",AM$3),'Unit List'!$A$23:$H$3319,2,FALSE)),"X",$AK94)</f>
        <v/>
      </c>
      <c r="AN94" s="103" t="str">
        <f>IF(ISTEXT(VLOOKUP(CONCATENATE($A94,"_",AN$3),'Unit List'!$A$23:$H$3319,2,FALSE)),"+","")</f>
        <v/>
      </c>
      <c r="AO94" s="177" t="str">
        <f>IF(ISTEXT(VLOOKUP(CONCATENATE($A94,"_",AO$3),'Unit List'!$A$23:$H$3319,2,FALSE)),"X",$AN94)</f>
        <v/>
      </c>
      <c r="AP94" s="97" t="str">
        <f>IF(ISTEXT(VLOOKUP(CONCATENATE($A94,"_",AP$3),'Unit List'!$A$23:$H$3319,2,FALSE)),"+","")</f>
        <v/>
      </c>
      <c r="AQ94" s="175" t="str">
        <f>IF(ISTEXT(VLOOKUP(CONCATENATE($A94,"_",AQ$3),'Unit List'!$A$23:$H$3319,2,FALSE)),"X",$AP94)</f>
        <v/>
      </c>
      <c r="AR94" s="175" t="str">
        <f>IF(ISTEXT(VLOOKUP(CONCATENATE($A94,"_",AR$3),'Unit List'!$A$23:$H$3319,2,FALSE)),"X",$AP94)</f>
        <v/>
      </c>
      <c r="AS94" s="175" t="str">
        <f>IF(ISTEXT(VLOOKUP(CONCATENATE($A94,"_",AS$3),'Unit List'!$A$23:$H$3319,2,FALSE)),"X",$AP94)</f>
        <v/>
      </c>
      <c r="AT94" s="177" t="str">
        <f>IF(ISTEXT(VLOOKUP(CONCATENATE($A94,"_",AT$3),'Unit List'!$A$23:$H$3319,2,FALSE)),"X",$AP94)</f>
        <v/>
      </c>
      <c r="AU94" s="104" t="str">
        <f>IF(ISTEXT(VLOOKUP(CONCATENATE($A94,"_",AU$3),'Unit List'!$A$23:$H$3319,2,FALSE)),"+","")</f>
        <v/>
      </c>
      <c r="AV94" s="175" t="str">
        <f>IF(ISTEXT(VLOOKUP(CONCATENATE($A94,"_",AV$3),'Unit List'!$A$23:$H$3319,2,FALSE)),"X",$AU94)</f>
        <v/>
      </c>
      <c r="AW94" s="177" t="str">
        <f>IF(ISTEXT(VLOOKUP(CONCATENATE($A94,"_",AW$3),'Unit List'!$A$23:$H$3319,2,FALSE)),"X",$AU94)</f>
        <v/>
      </c>
      <c r="AX94" s="97" t="str">
        <f>IF(ISTEXT(VLOOKUP(CONCATENATE($A94,"_",AX$3),'Unit List'!$A$23:$H$3319,2,FALSE)),"+","")</f>
        <v/>
      </c>
      <c r="AY94" s="175" t="str">
        <f>IF(ISTEXT(VLOOKUP(CONCATENATE($A94,"_",AY$3),'Unit List'!$A$23:$H$3319,2,FALSE)),"X",$AX94)</f>
        <v/>
      </c>
      <c r="AZ94" s="177" t="str">
        <f>IF(ISTEXT(VLOOKUP(CONCATENATE($A94,"_",AZ$3),'Unit List'!$A$23:$H$3319,2,FALSE)),"X",$AX94)</f>
        <v/>
      </c>
      <c r="BA94" s="105" t="str">
        <f>IF(ISTEXT(VLOOKUP(CONCATENATE($A94,"_",BA$3),'Unit List'!$A$23:$H$3319,2,FALSE)),"+","")</f>
        <v/>
      </c>
      <c r="BB94" s="175" t="str">
        <f>IF(ISTEXT(VLOOKUP(CONCATENATE($A94,"_",BB$3),'Unit List'!$A$23:$H$3319,2,FALSE)),"X",$BA94)</f>
        <v/>
      </c>
      <c r="BC94" s="175" t="str">
        <f>IF(ISTEXT(VLOOKUP(CONCATENATE($A94,"_",BC$3),'Unit List'!$A$23:$H$3319,2,FALSE)),"X",$BA94)</f>
        <v/>
      </c>
      <c r="BD94" s="177" t="str">
        <f>IF(ISTEXT(VLOOKUP(CONCATENATE($A94,"_",BD$3),'Unit List'!$A$23:$H$3319,2,FALSE)),"X",$BA94)</f>
        <v/>
      </c>
      <c r="BE94" s="103" t="str">
        <f>IF(ISTEXT(VLOOKUP(CONCATENATE($A94,"_",BE$3),'Unit List'!$A$23:$H$3319,2,FALSE)),"+","")</f>
        <v/>
      </c>
      <c r="BF94" s="124" t="str">
        <f>IF(ISTEXT(VLOOKUP(CONCATENATE($A94,"_",BF$3),'Unit List'!$A$23:$H$3319,2,FALSE)),"X",$BE94)</f>
        <v/>
      </c>
      <c r="BG94" s="177"/>
      <c r="BH94" s="107" t="s">
        <v>0</v>
      </c>
      <c r="BI94" s="207"/>
      <c r="BJ94" s="208"/>
      <c r="BK94" s="208"/>
      <c r="BL94" s="209"/>
      <c r="BM94" s="209"/>
      <c r="BN94" s="108"/>
      <c r="BO94" s="108"/>
      <c r="BP94" s="108"/>
      <c r="BQ94" s="108"/>
      <c r="BR94" s="108"/>
      <c r="BS94" s="108"/>
      <c r="DZ94" s="109"/>
      <c r="EA94" s="109"/>
    </row>
    <row r="95" spans="1:131" ht="12.75" customHeight="1" x14ac:dyDescent="0.2">
      <c r="A95" s="201" t="s">
        <v>1130</v>
      </c>
      <c r="B95" s="91" t="str">
        <f>IF(ISTEXT(VLOOKUP(CONCATENATE($A95,"_",B$3),'Unit List'!$A$23:$H$3319,2,FALSE)),"+","")</f>
        <v/>
      </c>
      <c r="C95" s="174" t="str">
        <f>IF(ISTEXT(VLOOKUP(CONCATENATE($A95,"_",C$3),'Unit List'!$A$23:$H$3319,2,FALSE)),"X",$B95)</f>
        <v/>
      </c>
      <c r="D95" s="175" t="str">
        <f>IF(ISTEXT(VLOOKUP(CONCATENATE($A95,"_",D$3),'Unit List'!$A$23:$H$3319,2,FALSE)),"X",$B95)</f>
        <v/>
      </c>
      <c r="E95" s="175" t="str">
        <f>IF(ISTEXT(VLOOKUP(CONCATENATE($A95,"_",E$3),'Unit List'!$A$23:$H$3319,2,FALSE)),"X",$B95)</f>
        <v/>
      </c>
      <c r="F95" s="175" t="str">
        <f>IF(ISTEXT(VLOOKUP(CONCATENATE($A95,"_",F$3),'Unit List'!$A$23:$H$3319,2,FALSE)),"X",$B95)</f>
        <v/>
      </c>
      <c r="G95" s="175" t="str">
        <f>IF(ISTEXT(VLOOKUP(CONCATENATE($A95,"_",G$3),'Unit List'!$A$23:$H$3319,2,FALSE)),"X",$B95)</f>
        <v/>
      </c>
      <c r="H95" s="175" t="str">
        <f>IF(ISTEXT(VLOOKUP(CONCATENATE($A95,"_",H$3),'Unit List'!$A$23:$H$3319,2,FALSE)),"X",$B95)</f>
        <v/>
      </c>
      <c r="I95" s="177" t="str">
        <f>IF(ISTEXT(VLOOKUP(CONCATENATE($A95,"_",I$3),'Unit List'!$A$23:$H$3319,2,FALSE)),"X",$B95)</f>
        <v/>
      </c>
      <c r="J95" s="97" t="str">
        <f>IF(ISTEXT(VLOOKUP(CONCATENATE($A95,"_",J$3),'Unit List'!$A$23:$H$3319,2,FALSE)),"+","")</f>
        <v/>
      </c>
      <c r="K95" s="175" t="str">
        <f>IF(ISTEXT(VLOOKUP(CONCATENATE($A95,"_",K$3),'Unit List'!$A$23:$H$3319,2,FALSE)),"X",$J95)</f>
        <v/>
      </c>
      <c r="L95" s="124" t="str">
        <f>IF(ISTEXT(VLOOKUP(CONCATENATE($A95,"_",L$3),'Unit List'!$A$23:$H$3319,2,FALSE)),"X",$J95)</f>
        <v/>
      </c>
      <c r="M95" s="97" t="str">
        <f>IF(ISTEXT(VLOOKUP(CONCATENATE($A95,"_",M$3),'Unit List'!$A$23:$H$3319,2,FALSE)),"+","")</f>
        <v/>
      </c>
      <c r="N95" s="175" t="str">
        <f>IF(ISTEXT(VLOOKUP(CONCATENATE($A95,"_",N$3),'Unit List'!$A$23:$H$3319,2,FALSE)),"X",$M95)</f>
        <v/>
      </c>
      <c r="O95" s="177" t="str">
        <f>IF(ISTEXT(VLOOKUP(CONCATENATE($A95,"_",O$3),'Unit List'!$A$23:$H$3319,2,FALSE)),"X",$M95)</f>
        <v/>
      </c>
      <c r="P95" s="97" t="str">
        <f>IF(ISTEXT(VLOOKUP(CONCATENATE($A95,"_",P$3),'Unit List'!$A$23:$H$3319,2,FALSE)),"+","")</f>
        <v/>
      </c>
      <c r="Q95" s="175" t="str">
        <f>IF(ISTEXT(VLOOKUP(CONCATENATE($A95,"_",Q$3),'Unit List'!$A$23:$H$3319,2,FALSE)),"X",$P95)</f>
        <v/>
      </c>
      <c r="R95" s="175" t="str">
        <f>IF(ISTEXT(VLOOKUP(CONCATENATE($A95,"_",R$3),'Unit List'!$A$23:$H$3319,2,FALSE)),"X",$P95)</f>
        <v/>
      </c>
      <c r="S95" s="175" t="str">
        <f>IF(ISTEXT(VLOOKUP(CONCATENATE($A95,"_",S$3),'Unit List'!$A$23:$H$3319,2,FALSE)),"X",$P95)</f>
        <v/>
      </c>
      <c r="T95" s="176" t="str">
        <f>IF(ISTEXT(VLOOKUP(CONCATENATE($A95,"_",T$3),'Unit List'!$A$23:$H$3319,2,FALSE)),"X",$P95)</f>
        <v/>
      </c>
      <c r="U95" s="175" t="str">
        <f>IF(ISTEXT(VLOOKUP(CONCATENATE($A95,"_",U$3),'Unit List'!$A$23:$H$3319,2,FALSE)),"X",$P95)</f>
        <v/>
      </c>
      <c r="V95" s="175" t="str">
        <f>IF(ISTEXT(VLOOKUP(CONCATENATE($A95,"_",V$3),'Unit List'!$A$23:$H$3319,2,FALSE)),"X",$P95)</f>
        <v/>
      </c>
      <c r="W95" s="177" t="str">
        <f>IF(ISTEXT(VLOOKUP(CONCATENATE($A95,"_",W$3),'Unit List'!$A$23:$H$3319,2,FALSE)),"X",$P95)</f>
        <v/>
      </c>
      <c r="X95" s="97" t="str">
        <f>IF(ISTEXT(VLOOKUP(CONCATENATE($A95,"_",X$3),'Unit List'!$A$23:$H$3319,2,FALSE)),"+","")</f>
        <v/>
      </c>
      <c r="Y95" s="175" t="str">
        <f>IF(ISTEXT(VLOOKUP(CONCATENATE($A95,"_",Y$3),'Unit List'!$A$23:$H$3319,2,FALSE)),"X",$X95)</f>
        <v/>
      </c>
      <c r="Z95" s="175" t="str">
        <f>IF(ISTEXT(VLOOKUP(CONCATENATE($A95,"_",Z$3),'Unit List'!$A$23:$H$3319,2,FALSE)),"X",$X95)</f>
        <v/>
      </c>
      <c r="AA95" s="175" t="str">
        <f>IF(ISTEXT(VLOOKUP(CONCATENATE($A95,"_",AA$3),'Unit List'!$A$23:$H$3319,2,FALSE)),"X",$X95)</f>
        <v/>
      </c>
      <c r="AB95" s="175" t="str">
        <f>IF(ISTEXT(VLOOKUP(CONCATENATE($A95,"_",AB$3),'Unit List'!$A$23:$H$3319,2,FALSE)),"X",$X95)</f>
        <v/>
      </c>
      <c r="AC95" s="124" t="str">
        <f>IF(ISTEXT(VLOOKUP(CONCATENATE($A95,"_",AC$3),'Unit List'!$A$23:$H$3319,2,FALSE)),"X",$X95)</f>
        <v/>
      </c>
      <c r="AD95" s="97" t="str">
        <f>IF(ISTEXT(VLOOKUP(CONCATENATE($A95,"_",AD$3),'Unit List'!$A$23:$H$3319,2,FALSE)),"+","")</f>
        <v/>
      </c>
      <c r="AE95" s="175" t="str">
        <f>IF(ISTEXT(VLOOKUP(CONCATENATE($A95,"_",AE$3),'Unit List'!$A$23:$H$3319,2,FALSE)),"X",$AD95)</f>
        <v/>
      </c>
      <c r="AF95" s="175" t="str">
        <f>IF(ISTEXT(VLOOKUP(CONCATENATE($A95,"_",AF$3),'Unit List'!$A$23:$H$3319,2,FALSE)),"X",$AD95)</f>
        <v/>
      </c>
      <c r="AG95" s="97" t="str">
        <f>IF(ISTEXT(VLOOKUP(CONCATENATE($A95,"_",AG$3),'Unit List'!$A$23:$H$3319,2,FALSE)),"+","")</f>
        <v/>
      </c>
      <c r="AH95" s="175" t="str">
        <f>IF(ISTEXT(VLOOKUP(CONCATENATE($A95,"_",AH$3),'Unit List'!$A$23:$H$3319,2,FALSE)),"X",$AG95)</f>
        <v/>
      </c>
      <c r="AI95" s="175" t="str">
        <f>IF(ISTEXT(VLOOKUP(CONCATENATE($A95,"_",AI$3),'Unit List'!$A$23:$H$3319,2,FALSE)),"X",$AG95)</f>
        <v/>
      </c>
      <c r="AJ95" s="177" t="str">
        <f>IF(ISTEXT(VLOOKUP(CONCATENATE($A95,"_",AJ$3),'Unit List'!$A$23:$H$3319,2,FALSE)),"X",$AG95)</f>
        <v/>
      </c>
      <c r="AK95" s="97" t="str">
        <f>IF(ISTEXT(VLOOKUP(CONCATENATE($A95,"_",AK$3),'Unit List'!$A$23:$H$3319,2,FALSE)),"+","")</f>
        <v/>
      </c>
      <c r="AL95" s="176" t="str">
        <f>IF(ISTEXT(VLOOKUP(CONCATENATE($A95,"_",AL$3),'Unit List'!$A$23:$H$3319,2,FALSE)),"X",$AK95)</f>
        <v/>
      </c>
      <c r="AM95" s="177" t="str">
        <f>IF(ISTEXT(VLOOKUP(CONCATENATE($A95,"_",AM$3),'Unit List'!$A$23:$H$3319,2,FALSE)),"X",$AK95)</f>
        <v/>
      </c>
      <c r="AN95" s="103" t="str">
        <f>IF(ISTEXT(VLOOKUP(CONCATENATE($A95,"_",AN$3),'Unit List'!$A$23:$H$3319,2,FALSE)),"+","")</f>
        <v/>
      </c>
      <c r="AO95" s="177" t="str">
        <f>IF(ISTEXT(VLOOKUP(CONCATENATE($A95,"_",AO$3),'Unit List'!$A$23:$H$3319,2,FALSE)),"X",$AN95)</f>
        <v/>
      </c>
      <c r="AP95" s="97" t="str">
        <f>IF(ISTEXT(VLOOKUP(CONCATENATE($A95,"_",AP$3),'Unit List'!$A$23:$H$3319,2,FALSE)),"+","")</f>
        <v/>
      </c>
      <c r="AQ95" s="175" t="str">
        <f>IF(ISTEXT(VLOOKUP(CONCATENATE($A95,"_",AQ$3),'Unit List'!$A$23:$H$3319,2,FALSE)),"X",$AP95)</f>
        <v/>
      </c>
      <c r="AR95" s="175" t="str">
        <f>IF(ISTEXT(VLOOKUP(CONCATENATE($A95,"_",AR$3),'Unit List'!$A$23:$H$3319,2,FALSE)),"X",$AP95)</f>
        <v/>
      </c>
      <c r="AS95" s="175" t="str">
        <f>IF(ISTEXT(VLOOKUP(CONCATENATE($A95,"_",AS$3),'Unit List'!$A$23:$H$3319,2,FALSE)),"X",$AP95)</f>
        <v/>
      </c>
      <c r="AT95" s="177" t="str">
        <f>IF(ISTEXT(VLOOKUP(CONCATENATE($A95,"_",AT$3),'Unit List'!$A$23:$H$3319,2,FALSE)),"X",$AP95)</f>
        <v/>
      </c>
      <c r="AU95" s="104" t="str">
        <f>IF(ISTEXT(VLOOKUP(CONCATENATE($A95,"_",AU$3),'Unit List'!$A$23:$H$3319,2,FALSE)),"+","")</f>
        <v/>
      </c>
      <c r="AV95" s="175" t="str">
        <f>IF(ISTEXT(VLOOKUP(CONCATENATE($A95,"_",AV$3),'Unit List'!$A$23:$H$3319,2,FALSE)),"X",$AU95)</f>
        <v/>
      </c>
      <c r="AW95" s="177" t="str">
        <f>IF(ISTEXT(VLOOKUP(CONCATENATE($A95,"_",AW$3),'Unit List'!$A$23:$H$3319,2,FALSE)),"X",$AU95)</f>
        <v/>
      </c>
      <c r="AX95" s="97" t="str">
        <f>IF(ISTEXT(VLOOKUP(CONCATENATE($A95,"_",AX$3),'Unit List'!$A$23:$H$3319,2,FALSE)),"+","")</f>
        <v/>
      </c>
      <c r="AY95" s="175" t="str">
        <f>IF(ISTEXT(VLOOKUP(CONCATENATE($A95,"_",AY$3),'Unit List'!$A$23:$H$3319,2,FALSE)),"X",$AX95)</f>
        <v/>
      </c>
      <c r="AZ95" s="177" t="str">
        <f>IF(ISTEXT(VLOOKUP(CONCATENATE($A95,"_",AZ$3),'Unit List'!$A$23:$H$3319,2,FALSE)),"X",$AX95)</f>
        <v/>
      </c>
      <c r="BA95" s="105" t="str">
        <f>IF(ISTEXT(VLOOKUP(CONCATENATE($A95,"_",BA$3),'Unit List'!$A$23:$H$3319,2,FALSE)),"+","")</f>
        <v/>
      </c>
      <c r="BB95" s="175" t="str">
        <f>IF(ISTEXT(VLOOKUP(CONCATENATE($A95,"_",BB$3),'Unit List'!$A$23:$H$3319,2,FALSE)),"X",$BA95)</f>
        <v/>
      </c>
      <c r="BC95" s="175" t="str">
        <f>IF(ISTEXT(VLOOKUP(CONCATENATE($A95,"_",BC$3),'Unit List'!$A$23:$H$3319,2,FALSE)),"X",$BA95)</f>
        <v/>
      </c>
      <c r="BD95" s="177" t="str">
        <f>IF(ISTEXT(VLOOKUP(CONCATENATE($A95,"_",BD$3),'Unit List'!$A$23:$H$3319,2,FALSE)),"X",$BA95)</f>
        <v/>
      </c>
      <c r="BE95" s="103" t="str">
        <f>IF(ISTEXT(VLOOKUP(CONCATENATE($A95,"_",BE$3),'Unit List'!$A$23:$H$3319,2,FALSE)),"+","")</f>
        <v/>
      </c>
      <c r="BF95" s="124" t="str">
        <f>IF(ISTEXT(VLOOKUP(CONCATENATE($A95,"_",BF$3),'Unit List'!$A$23:$H$3319,2,FALSE)),"X",$BE95)</f>
        <v/>
      </c>
      <c r="BG95" s="177"/>
      <c r="BH95" s="107" t="s">
        <v>0</v>
      </c>
      <c r="BI95" s="207"/>
      <c r="BJ95" s="208"/>
      <c r="BK95" s="208"/>
      <c r="BL95" s="209"/>
      <c r="BM95" s="209"/>
      <c r="BN95" s="108"/>
      <c r="BO95" s="108"/>
      <c r="BP95" s="108"/>
      <c r="BQ95" s="108"/>
      <c r="BR95" s="108"/>
      <c r="BS95" s="108"/>
      <c r="DZ95" s="109"/>
      <c r="EA95" s="109"/>
    </row>
    <row r="96" spans="1:131" ht="12.75" customHeight="1" x14ac:dyDescent="0.2">
      <c r="A96" s="201" t="s">
        <v>1131</v>
      </c>
      <c r="B96" s="91" t="str">
        <f>IF(ISTEXT(VLOOKUP(CONCATENATE($A96,"_",B$3),'Unit List'!$A$23:$H$3319,2,FALSE)),"+","")</f>
        <v/>
      </c>
      <c r="C96" s="174" t="str">
        <f>IF(ISTEXT(VLOOKUP(CONCATENATE($A96,"_",C$3),'Unit List'!$A$23:$H$3319,2,FALSE)),"X",$B96)</f>
        <v/>
      </c>
      <c r="D96" s="175" t="str">
        <f>IF(ISTEXT(VLOOKUP(CONCATENATE($A96,"_",D$3),'Unit List'!$A$23:$H$3319,2,FALSE)),"X",$B96)</f>
        <v/>
      </c>
      <c r="E96" s="175" t="str">
        <f>IF(ISTEXT(VLOOKUP(CONCATENATE($A96,"_",E$3),'Unit List'!$A$23:$H$3319,2,FALSE)),"X",$B96)</f>
        <v/>
      </c>
      <c r="F96" s="175" t="str">
        <f>IF(ISTEXT(VLOOKUP(CONCATENATE($A96,"_",F$3),'Unit List'!$A$23:$H$3319,2,FALSE)),"X",$B96)</f>
        <v/>
      </c>
      <c r="G96" s="175" t="str">
        <f>IF(ISTEXT(VLOOKUP(CONCATENATE($A96,"_",G$3),'Unit List'!$A$23:$H$3319,2,FALSE)),"X",$B96)</f>
        <v/>
      </c>
      <c r="H96" s="175" t="str">
        <f>IF(ISTEXT(VLOOKUP(CONCATENATE($A96,"_",H$3),'Unit List'!$A$23:$H$3319,2,FALSE)),"X",$B96)</f>
        <v/>
      </c>
      <c r="I96" s="177" t="str">
        <f>IF(ISTEXT(VLOOKUP(CONCATENATE($A96,"_",I$3),'Unit List'!$A$23:$H$3319,2,FALSE)),"X",$B96)</f>
        <v/>
      </c>
      <c r="J96" s="97" t="str">
        <f>IF(ISTEXT(VLOOKUP(CONCATENATE($A96,"_",J$3),'Unit List'!$A$23:$H$3319,2,FALSE)),"+","")</f>
        <v/>
      </c>
      <c r="K96" s="175" t="str">
        <f>IF(ISTEXT(VLOOKUP(CONCATENATE($A96,"_",K$3),'Unit List'!$A$23:$H$3319,2,FALSE)),"X",$J96)</f>
        <v/>
      </c>
      <c r="L96" s="124" t="str">
        <f>IF(ISTEXT(VLOOKUP(CONCATENATE($A96,"_",L$3),'Unit List'!$A$23:$H$3319,2,FALSE)),"X",$J96)</f>
        <v/>
      </c>
      <c r="M96" s="97" t="str">
        <f>IF(ISTEXT(VLOOKUP(CONCATENATE($A96,"_",M$3),'Unit List'!$A$23:$H$3319,2,FALSE)),"+","")</f>
        <v/>
      </c>
      <c r="N96" s="175" t="str">
        <f>IF(ISTEXT(VLOOKUP(CONCATENATE($A96,"_",N$3),'Unit List'!$A$23:$H$3319,2,FALSE)),"X",$M96)</f>
        <v/>
      </c>
      <c r="O96" s="177" t="str">
        <f>IF(ISTEXT(VLOOKUP(CONCATENATE($A96,"_",O$3),'Unit List'!$A$23:$H$3319,2,FALSE)),"X",$M96)</f>
        <v/>
      </c>
      <c r="P96" s="97" t="str">
        <f>IF(ISTEXT(VLOOKUP(CONCATENATE($A96,"_",P$3),'Unit List'!$A$23:$H$3319,2,FALSE)),"+","")</f>
        <v/>
      </c>
      <c r="Q96" s="175" t="str">
        <f>IF(ISTEXT(VLOOKUP(CONCATENATE($A96,"_",Q$3),'Unit List'!$A$23:$H$3319,2,FALSE)),"X",$P96)</f>
        <v/>
      </c>
      <c r="R96" s="175" t="str">
        <f>IF(ISTEXT(VLOOKUP(CONCATENATE($A96,"_",R$3),'Unit List'!$A$23:$H$3319,2,FALSE)),"X",$P96)</f>
        <v/>
      </c>
      <c r="S96" s="175" t="str">
        <f>IF(ISTEXT(VLOOKUP(CONCATENATE($A96,"_",S$3),'Unit List'!$A$23:$H$3319,2,FALSE)),"X",$P96)</f>
        <v/>
      </c>
      <c r="T96" s="176" t="str">
        <f>IF(ISTEXT(VLOOKUP(CONCATENATE($A96,"_",T$3),'Unit List'!$A$23:$H$3319,2,FALSE)),"X",$P96)</f>
        <v/>
      </c>
      <c r="U96" s="175" t="str">
        <f>IF(ISTEXT(VLOOKUP(CONCATENATE($A96,"_",U$3),'Unit List'!$A$23:$H$3319,2,FALSE)),"X",$P96)</f>
        <v/>
      </c>
      <c r="V96" s="175" t="str">
        <f>IF(ISTEXT(VLOOKUP(CONCATENATE($A96,"_",V$3),'Unit List'!$A$23:$H$3319,2,FALSE)),"X",$P96)</f>
        <v/>
      </c>
      <c r="W96" s="177" t="str">
        <f>IF(ISTEXT(VLOOKUP(CONCATENATE($A96,"_",W$3),'Unit List'!$A$23:$H$3319,2,FALSE)),"X",$P96)</f>
        <v/>
      </c>
      <c r="X96" s="97" t="str">
        <f>IF(ISTEXT(VLOOKUP(CONCATENATE($A96,"_",X$3),'Unit List'!$A$23:$H$3319,2,FALSE)),"+","")</f>
        <v/>
      </c>
      <c r="Y96" s="175" t="str">
        <f>IF(ISTEXT(VLOOKUP(CONCATENATE($A96,"_",Y$3),'Unit List'!$A$23:$H$3319,2,FALSE)),"X",$X96)</f>
        <v/>
      </c>
      <c r="Z96" s="175" t="str">
        <f>IF(ISTEXT(VLOOKUP(CONCATENATE($A96,"_",Z$3),'Unit List'!$A$23:$H$3319,2,FALSE)),"X",$X96)</f>
        <v/>
      </c>
      <c r="AA96" s="175" t="str">
        <f>IF(ISTEXT(VLOOKUP(CONCATENATE($A96,"_",AA$3),'Unit List'!$A$23:$H$3319,2,FALSE)),"X",$X96)</f>
        <v/>
      </c>
      <c r="AB96" s="175" t="str">
        <f>IF(ISTEXT(VLOOKUP(CONCATENATE($A96,"_",AB$3),'Unit List'!$A$23:$H$3319,2,FALSE)),"X",$X96)</f>
        <v/>
      </c>
      <c r="AC96" s="124" t="str">
        <f>IF(ISTEXT(VLOOKUP(CONCATENATE($A96,"_",AC$3),'Unit List'!$A$23:$H$3319,2,FALSE)),"X",$X96)</f>
        <v/>
      </c>
      <c r="AD96" s="97" t="str">
        <f>IF(ISTEXT(VLOOKUP(CONCATENATE($A96,"_",AD$3),'Unit List'!$A$23:$H$3319,2,FALSE)),"+","")</f>
        <v/>
      </c>
      <c r="AE96" s="175" t="str">
        <f>IF(ISTEXT(VLOOKUP(CONCATENATE($A96,"_",AE$3),'Unit List'!$A$23:$H$3319,2,FALSE)),"X",$AD96)</f>
        <v/>
      </c>
      <c r="AF96" s="175" t="str">
        <f>IF(ISTEXT(VLOOKUP(CONCATENATE($A96,"_",AF$3),'Unit List'!$A$23:$H$3319,2,FALSE)),"X",$AD96)</f>
        <v/>
      </c>
      <c r="AG96" s="97" t="str">
        <f>IF(ISTEXT(VLOOKUP(CONCATENATE($A96,"_",AG$3),'Unit List'!$A$23:$H$3319,2,FALSE)),"+","")</f>
        <v/>
      </c>
      <c r="AH96" s="175" t="str">
        <f>IF(ISTEXT(VLOOKUP(CONCATENATE($A96,"_",AH$3),'Unit List'!$A$23:$H$3319,2,FALSE)),"X",$AG96)</f>
        <v/>
      </c>
      <c r="AI96" s="175" t="str">
        <f>IF(ISTEXT(VLOOKUP(CONCATENATE($A96,"_",AI$3),'Unit List'!$A$23:$H$3319,2,FALSE)),"X",$AG96)</f>
        <v/>
      </c>
      <c r="AJ96" s="177" t="str">
        <f>IF(ISTEXT(VLOOKUP(CONCATENATE($A96,"_",AJ$3),'Unit List'!$A$23:$H$3319,2,FALSE)),"X",$AG96)</f>
        <v/>
      </c>
      <c r="AK96" s="97" t="str">
        <f>IF(ISTEXT(VLOOKUP(CONCATENATE($A96,"_",AK$3),'Unit List'!$A$23:$H$3319,2,FALSE)),"+","")</f>
        <v/>
      </c>
      <c r="AL96" s="176" t="str">
        <f>IF(ISTEXT(VLOOKUP(CONCATENATE($A96,"_",AL$3),'Unit List'!$A$23:$H$3319,2,FALSE)),"X",$AK96)</f>
        <v/>
      </c>
      <c r="AM96" s="177" t="str">
        <f>IF(ISTEXT(VLOOKUP(CONCATENATE($A96,"_",AM$3),'Unit List'!$A$23:$H$3319,2,FALSE)),"X",$AK96)</f>
        <v/>
      </c>
      <c r="AN96" s="103" t="str">
        <f>IF(ISTEXT(VLOOKUP(CONCATENATE($A96,"_",AN$3),'Unit List'!$A$23:$H$3319,2,FALSE)),"+","")</f>
        <v/>
      </c>
      <c r="AO96" s="177" t="str">
        <f>IF(ISTEXT(VLOOKUP(CONCATENATE($A96,"_",AO$3),'Unit List'!$A$23:$H$3319,2,FALSE)),"X",$AN96)</f>
        <v/>
      </c>
      <c r="AP96" s="97" t="str">
        <f>IF(ISTEXT(VLOOKUP(CONCATENATE($A96,"_",AP$3),'Unit List'!$A$23:$H$3319,2,FALSE)),"+","")</f>
        <v/>
      </c>
      <c r="AQ96" s="175" t="str">
        <f>IF(ISTEXT(VLOOKUP(CONCATENATE($A96,"_",AQ$3),'Unit List'!$A$23:$H$3319,2,FALSE)),"X",$AP96)</f>
        <v/>
      </c>
      <c r="AR96" s="175" t="str">
        <f>IF(ISTEXT(VLOOKUP(CONCATENATE($A96,"_",AR$3),'Unit List'!$A$23:$H$3319,2,FALSE)),"X",$AP96)</f>
        <v/>
      </c>
      <c r="AS96" s="175" t="str">
        <f>IF(ISTEXT(VLOOKUP(CONCATENATE($A96,"_",AS$3),'Unit List'!$A$23:$H$3319,2,FALSE)),"X",$AP96)</f>
        <v/>
      </c>
      <c r="AT96" s="177" t="str">
        <f>IF(ISTEXT(VLOOKUP(CONCATENATE($A96,"_",AT$3),'Unit List'!$A$23:$H$3319,2,FALSE)),"X",$AP96)</f>
        <v/>
      </c>
      <c r="AU96" s="104" t="str">
        <f>IF(ISTEXT(VLOOKUP(CONCATENATE($A96,"_",AU$3),'Unit List'!$A$23:$H$3319,2,FALSE)),"+","")</f>
        <v/>
      </c>
      <c r="AV96" s="175" t="str">
        <f>IF(ISTEXT(VLOOKUP(CONCATENATE($A96,"_",AV$3),'Unit List'!$A$23:$H$3319,2,FALSE)),"X",$AU96)</f>
        <v/>
      </c>
      <c r="AW96" s="177" t="str">
        <f>IF(ISTEXT(VLOOKUP(CONCATENATE($A96,"_",AW$3),'Unit List'!$A$23:$H$3319,2,FALSE)),"X",$AU96)</f>
        <v/>
      </c>
      <c r="AX96" s="97" t="str">
        <f>IF(ISTEXT(VLOOKUP(CONCATENATE($A96,"_",AX$3),'Unit List'!$A$23:$H$3319,2,FALSE)),"+","")</f>
        <v/>
      </c>
      <c r="AY96" s="175" t="str">
        <f>IF(ISTEXT(VLOOKUP(CONCATENATE($A96,"_",AY$3),'Unit List'!$A$23:$H$3319,2,FALSE)),"X",$AX96)</f>
        <v/>
      </c>
      <c r="AZ96" s="177" t="str">
        <f>IF(ISTEXT(VLOOKUP(CONCATENATE($A96,"_",AZ$3),'Unit List'!$A$23:$H$3319,2,FALSE)),"X",$AX96)</f>
        <v/>
      </c>
      <c r="BA96" s="105" t="str">
        <f>IF(ISTEXT(VLOOKUP(CONCATENATE($A96,"_",BA$3),'Unit List'!$A$23:$H$3319,2,FALSE)),"+","")</f>
        <v/>
      </c>
      <c r="BB96" s="175" t="str">
        <f>IF(ISTEXT(VLOOKUP(CONCATENATE($A96,"_",BB$3),'Unit List'!$A$23:$H$3319,2,FALSE)),"X",$BA96)</f>
        <v/>
      </c>
      <c r="BC96" s="175" t="str">
        <f>IF(ISTEXT(VLOOKUP(CONCATENATE($A96,"_",BC$3),'Unit List'!$A$23:$H$3319,2,FALSE)),"X",$BA96)</f>
        <v/>
      </c>
      <c r="BD96" s="177" t="str">
        <f>IF(ISTEXT(VLOOKUP(CONCATENATE($A96,"_",BD$3),'Unit List'!$A$23:$H$3319,2,FALSE)),"X",$BA96)</f>
        <v/>
      </c>
      <c r="BE96" s="103" t="str">
        <f>IF(ISTEXT(VLOOKUP(CONCATENATE($A96,"_",BE$3),'Unit List'!$A$23:$H$3319,2,FALSE)),"+","")</f>
        <v/>
      </c>
      <c r="BF96" s="124" t="str">
        <f>IF(ISTEXT(VLOOKUP(CONCATENATE($A96,"_",BF$3),'Unit List'!$A$23:$H$3319,2,FALSE)),"X",$BE96)</f>
        <v/>
      </c>
      <c r="BG96" s="177"/>
      <c r="BH96" s="107" t="s">
        <v>0</v>
      </c>
      <c r="BI96" s="207"/>
      <c r="BJ96" s="208"/>
      <c r="BK96" s="208"/>
      <c r="BL96" s="209"/>
      <c r="BM96" s="209"/>
      <c r="BN96" s="108"/>
      <c r="BO96" s="108"/>
      <c r="BP96" s="108"/>
      <c r="BQ96" s="108"/>
      <c r="BR96" s="108"/>
      <c r="BS96" s="108"/>
      <c r="DZ96" s="109"/>
      <c r="EA96" s="109"/>
    </row>
    <row r="97" spans="1:137" ht="12.75" customHeight="1" x14ac:dyDescent="0.2">
      <c r="A97" s="201" t="s">
        <v>1140</v>
      </c>
      <c r="B97" s="204" t="str">
        <f>IF(ISTEXT(VLOOKUP(CONCATENATE($A97,"_",B$3),'Unit List'!$A$23:$H$3319,2,FALSE)),"+","")</f>
        <v/>
      </c>
      <c r="C97" s="174" t="str">
        <f>IF(ISTEXT(VLOOKUP(CONCATENATE($A97,"_",C$3),'Unit List'!$A$23:$H$3319,2,FALSE)),"X",$B97)</f>
        <v/>
      </c>
      <c r="D97" s="175" t="str">
        <f>IF(ISTEXT(VLOOKUP(CONCATENATE($A97,"_",D$3),'Unit List'!$A$23:$H$3319,2,FALSE)),"X",$B97)</f>
        <v/>
      </c>
      <c r="E97" s="175" t="str">
        <f>IF(ISTEXT(VLOOKUP(CONCATENATE($A97,"_",E$3),'Unit List'!$A$23:$H$3319,2,FALSE)),"X",$B97)</f>
        <v/>
      </c>
      <c r="F97" s="175" t="str">
        <f>IF(ISTEXT(VLOOKUP(CONCATENATE($A97,"_",F$3),'Unit List'!$A$23:$H$3319,2,FALSE)),"X",$B97)</f>
        <v/>
      </c>
      <c r="G97" s="175" t="str">
        <f>IF(ISTEXT(VLOOKUP(CONCATENATE($A97,"_",G$3),'Unit List'!$A$23:$H$3319,2,FALSE)),"X",$B97)</f>
        <v/>
      </c>
      <c r="H97" s="175" t="str">
        <f>IF(ISTEXT(VLOOKUP(CONCATENATE($A97,"_",H$3),'Unit List'!$A$23:$H$3319,2,FALSE)),"X",$B97)</f>
        <v/>
      </c>
      <c r="I97" s="177" t="str">
        <f>IF(ISTEXT(VLOOKUP(CONCATENATE($A97,"_",I$3),'Unit List'!$A$23:$H$3319,2,FALSE)),"X",$B97)</f>
        <v/>
      </c>
      <c r="J97" s="97" t="str">
        <f>IF(ISTEXT(VLOOKUP(CONCATENATE($A97,"_",J$3),'Unit List'!$A$23:$H$3319,2,FALSE)),"+","")</f>
        <v/>
      </c>
      <c r="K97" s="175" t="str">
        <f>IF(ISTEXT(VLOOKUP(CONCATENATE($A97,"_",K$3),'Unit List'!$A$23:$H$3319,2,FALSE)),"X",$J97)</f>
        <v/>
      </c>
      <c r="L97" s="124" t="str">
        <f>IF(ISTEXT(VLOOKUP(CONCATENATE($A97,"_",L$3),'Unit List'!$A$23:$H$3319,2,FALSE)),"X",$J97)</f>
        <v/>
      </c>
      <c r="M97" s="97" t="str">
        <f>IF(ISTEXT(VLOOKUP(CONCATENATE($A97,"_",M$3),'Unit List'!$A$23:$H$3319,2,FALSE)),"+","")</f>
        <v/>
      </c>
      <c r="N97" s="175" t="str">
        <f>IF(ISTEXT(VLOOKUP(CONCATENATE($A97,"_",N$3),'Unit List'!$A$23:$H$3319,2,FALSE)),"X",$M97)</f>
        <v/>
      </c>
      <c r="O97" s="177" t="str">
        <f>IF(ISTEXT(VLOOKUP(CONCATENATE($A97,"_",O$3),'Unit List'!$A$23:$H$3319,2,FALSE)),"X",$M97)</f>
        <v/>
      </c>
      <c r="P97" s="97" t="str">
        <f>IF(ISTEXT(VLOOKUP(CONCATENATE($A97,"_",P$3),'Unit List'!$A$23:$H$3319,2,FALSE)),"+","")</f>
        <v/>
      </c>
      <c r="Q97" s="175" t="str">
        <f>IF(ISTEXT(VLOOKUP(CONCATENATE($A97,"_",Q$3),'Unit List'!$A$23:$H$3319,2,FALSE)),"X",$P97)</f>
        <v/>
      </c>
      <c r="R97" s="175" t="str">
        <f>IF(ISTEXT(VLOOKUP(CONCATENATE($A97,"_",R$3),'Unit List'!$A$23:$H$3319,2,FALSE)),"X",$P97)</f>
        <v/>
      </c>
      <c r="S97" s="175" t="str">
        <f>IF(ISTEXT(VLOOKUP(CONCATENATE($A97,"_",S$3),'Unit List'!$A$23:$H$3319,2,FALSE)),"X",$P97)</f>
        <v/>
      </c>
      <c r="T97" s="176" t="str">
        <f>IF(ISTEXT(VLOOKUP(CONCATENATE($A97,"_",T$3),'Unit List'!$A$23:$H$3319,2,FALSE)),"X",$P97)</f>
        <v/>
      </c>
      <c r="U97" s="175" t="str">
        <f>IF(ISTEXT(VLOOKUP(CONCATENATE($A97,"_",U$3),'Unit List'!$A$23:$H$3319,2,FALSE)),"X",$P97)</f>
        <v/>
      </c>
      <c r="V97" s="175" t="str">
        <f>IF(ISTEXT(VLOOKUP(CONCATENATE($A97,"_",V$3),'Unit List'!$A$23:$H$3319,2,FALSE)),"X",$P97)</f>
        <v/>
      </c>
      <c r="W97" s="210" t="s">
        <v>0</v>
      </c>
      <c r="X97" s="97" t="str">
        <f>IF(ISTEXT(VLOOKUP(CONCATENATE($A97,"_",X$3),'Unit List'!$A$23:$H$3319,2,FALSE)),"+","")</f>
        <v/>
      </c>
      <c r="Y97" s="175" t="str">
        <f>IF(ISTEXT(VLOOKUP(CONCATENATE($A97,"_",Y$3),'Unit List'!$A$23:$H$3319,2,FALSE)),"X",$X97)</f>
        <v/>
      </c>
      <c r="Z97" s="175" t="str">
        <f>IF(ISTEXT(VLOOKUP(CONCATENATE($A97,"_",Z$3),'Unit List'!$A$23:$H$3319,2,FALSE)),"X",$X97)</f>
        <v/>
      </c>
      <c r="AA97" s="175" t="str">
        <f>IF(ISTEXT(VLOOKUP(CONCATENATE($A97,"_",AA$3),'Unit List'!$A$23:$H$3319,2,FALSE)),"X",$X97)</f>
        <v/>
      </c>
      <c r="AB97" s="175" t="str">
        <f>IF(ISTEXT(VLOOKUP(CONCATENATE($A97,"_",AB$3),'Unit List'!$A$23:$H$3319,2,FALSE)),"X",$X97)</f>
        <v/>
      </c>
      <c r="AC97" s="124" t="str">
        <f>IF(ISTEXT(VLOOKUP(CONCATENATE($A97,"_",AC$3),'Unit List'!$A$23:$H$3319,2,FALSE)),"X",$X97)</f>
        <v/>
      </c>
      <c r="AD97" s="97" t="str">
        <f>IF(ISTEXT(VLOOKUP(CONCATENATE($A97,"_",AD$3),'Unit List'!$A$23:$H$3319,2,FALSE)),"+","")</f>
        <v/>
      </c>
      <c r="AE97" s="175" t="str">
        <f>IF(ISTEXT(VLOOKUP(CONCATENATE($A97,"_",AE$3),'Unit List'!$A$23:$H$3319,2,FALSE)),"X",$AD97)</f>
        <v/>
      </c>
      <c r="AF97" s="175" t="str">
        <f>IF(ISTEXT(VLOOKUP(CONCATENATE($A97,"_",AF$3),'Unit List'!$A$23:$H$3319,2,FALSE)),"X",$AD97)</f>
        <v/>
      </c>
      <c r="AG97" s="97" t="str">
        <f>IF(ISTEXT(VLOOKUP(CONCATENATE($A97,"_",AG$3),'Unit List'!$A$23:$H$3319,2,FALSE)),"+","")</f>
        <v/>
      </c>
      <c r="AH97" s="175" t="str">
        <f>IF(ISTEXT(VLOOKUP(CONCATENATE($A97,"_",AH$3),'Unit List'!$A$23:$H$3319,2,FALSE)),"X",$AG97)</f>
        <v/>
      </c>
      <c r="AI97" s="175" t="str">
        <f>IF(ISTEXT(VLOOKUP(CONCATENATE($A97,"_",AI$3),'Unit List'!$A$23:$H$3319,2,FALSE)),"X",$AG97)</f>
        <v/>
      </c>
      <c r="AJ97" s="177" t="str">
        <f>IF(ISTEXT(VLOOKUP(CONCATENATE($A97,"_",AJ$3),'Unit List'!$A$23:$H$3319,2,FALSE)),"X",$AG97)</f>
        <v/>
      </c>
      <c r="AK97" s="97" t="str">
        <f>IF(ISTEXT(VLOOKUP(CONCATENATE($A97,"_",AK$3),'Unit List'!$A$23:$H$3319,2,FALSE)),"+","")</f>
        <v/>
      </c>
      <c r="AL97" s="176" t="str">
        <f>IF(ISTEXT(VLOOKUP(CONCATENATE($A97,"_",AL$3),'Unit List'!$A$23:$H$3319,2,FALSE)),"X",$AK97)</f>
        <v/>
      </c>
      <c r="AM97" s="177" t="str">
        <f>IF(ISTEXT(VLOOKUP(CONCATENATE($A97,"_",AM$3),'Unit List'!$A$23:$H$3319,2,FALSE)),"X",$AK97)</f>
        <v/>
      </c>
      <c r="AN97" s="103" t="str">
        <f>IF(ISTEXT(VLOOKUP(CONCATENATE($A97,"_",AN$3),'Unit List'!$A$23:$H$3319,2,FALSE)),"+","")</f>
        <v/>
      </c>
      <c r="AO97" s="177" t="str">
        <f>IF(ISTEXT(VLOOKUP(CONCATENATE($A97,"_",AO$3),'Unit List'!$A$23:$H$3319,2,FALSE)),"X",$AN97)</f>
        <v/>
      </c>
      <c r="AP97" s="97" t="str">
        <f>IF(ISTEXT(VLOOKUP(CONCATENATE($A97,"_",AP$3),'Unit List'!$A$23:$H$3319,2,FALSE)),"+","")</f>
        <v/>
      </c>
      <c r="AQ97" s="175" t="str">
        <f>IF(ISTEXT(VLOOKUP(CONCATENATE($A97,"_",AQ$3),'Unit List'!$A$23:$H$3319,2,FALSE)),"X",$AP97)</f>
        <v/>
      </c>
      <c r="AR97" s="175" t="str">
        <f>IF(ISTEXT(VLOOKUP(CONCATENATE($A97,"_",AR$3),'Unit List'!$A$23:$H$3319,2,FALSE)),"X",$AP97)</f>
        <v/>
      </c>
      <c r="AS97" s="175" t="str">
        <f>IF(ISTEXT(VLOOKUP(CONCATENATE($A97,"_",AS$3),'Unit List'!$A$23:$H$3319,2,FALSE)),"X",$AP97)</f>
        <v/>
      </c>
      <c r="AT97" s="177" t="str">
        <f>IF(ISTEXT(VLOOKUP(CONCATENATE($A97,"_",AT$3),'Unit List'!$A$23:$H$3319,2,FALSE)),"X",$AP97)</f>
        <v/>
      </c>
      <c r="AU97" s="104" t="str">
        <f>IF(ISTEXT(VLOOKUP(CONCATENATE($A97,"_",AU$3),'Unit List'!$A$23:$H$3319,2,FALSE)),"+","")</f>
        <v/>
      </c>
      <c r="AV97" s="175" t="str">
        <f>IF(ISTEXT(VLOOKUP(CONCATENATE($A97,"_",AV$3),'Unit List'!$A$23:$H$3319,2,FALSE)),"X",$AU97)</f>
        <v/>
      </c>
      <c r="AW97" s="177" t="str">
        <f>IF(ISTEXT(VLOOKUP(CONCATENATE($A97,"_",AW$3),'Unit List'!$A$23:$H$3319,2,FALSE)),"X",$AU97)</f>
        <v/>
      </c>
      <c r="AX97" s="97" t="str">
        <f>IF(ISTEXT(VLOOKUP(CONCATENATE($A97,"_",AX$3),'Unit List'!$A$23:$H$3319,2,FALSE)),"+","")</f>
        <v/>
      </c>
      <c r="AY97" s="175" t="str">
        <f>IF(ISTEXT(VLOOKUP(CONCATENATE($A97,"_",AY$3),'Unit List'!$A$23:$H$3319,2,FALSE)),"X",$AX97)</f>
        <v/>
      </c>
      <c r="AZ97" s="177" t="str">
        <f>IF(ISTEXT(VLOOKUP(CONCATENATE($A97,"_",AZ$3),'Unit List'!$A$23:$H$3319,2,FALSE)),"X",$AX97)</f>
        <v/>
      </c>
      <c r="BA97" s="105" t="str">
        <f>IF(ISTEXT(VLOOKUP(CONCATENATE($A97,"_",BA$3),'Unit List'!$A$23:$H$3319,2,FALSE)),"+","")</f>
        <v/>
      </c>
      <c r="BB97" s="175" t="str">
        <f>IF(ISTEXT(VLOOKUP(CONCATENATE($A97,"_",BB$3),'Unit List'!$A$23:$H$3319,2,FALSE)),"X",$BA97)</f>
        <v/>
      </c>
      <c r="BC97" s="175" t="str">
        <f>IF(ISTEXT(VLOOKUP(CONCATENATE($A97,"_",BC$3),'Unit List'!$A$23:$H$3319,2,FALSE)),"X",$BA97)</f>
        <v/>
      </c>
      <c r="BD97" s="177" t="str">
        <f>IF(ISTEXT(VLOOKUP(CONCATENATE($A97,"_",BD$3),'Unit List'!$A$23:$H$3319,2,FALSE)),"X",$BA97)</f>
        <v/>
      </c>
      <c r="BE97" s="103" t="str">
        <f>IF(ISTEXT(VLOOKUP(CONCATENATE($A97,"_",BE$3),'Unit List'!$A$23:$H$3319,2,FALSE)),"+","")</f>
        <v/>
      </c>
      <c r="BF97" s="124" t="str">
        <f>IF(ISTEXT(VLOOKUP(CONCATENATE($A97,"_",BF$3),'Unit List'!$A$23:$H$3319,2,FALSE)),"X",$BE97)</f>
        <v/>
      </c>
      <c r="BG97" s="177"/>
      <c r="BH97" s="107" t="s">
        <v>0</v>
      </c>
      <c r="BI97" s="207"/>
      <c r="BJ97" s="208"/>
      <c r="BK97" s="208"/>
      <c r="BL97" s="209"/>
      <c r="BM97" s="209"/>
      <c r="BN97" s="108"/>
      <c r="BO97" s="108"/>
      <c r="BP97" s="108"/>
      <c r="BQ97" s="108"/>
      <c r="BR97" s="108"/>
      <c r="BS97" s="108"/>
      <c r="DZ97" s="109"/>
      <c r="EA97" s="109"/>
    </row>
    <row r="98" spans="1:137" ht="12.75" customHeight="1" x14ac:dyDescent="0.2">
      <c r="A98" s="201" t="s">
        <v>1141</v>
      </c>
      <c r="B98" s="204" t="str">
        <f>IF(ISTEXT(VLOOKUP(CONCATENATE($A98,"_",B$3),'Unit List'!$A$23:$H$3319,2,FALSE)),"+","")</f>
        <v/>
      </c>
      <c r="C98" s="174" t="str">
        <f>IF(ISTEXT(VLOOKUP(CONCATENATE($A98,"_",C$3),'Unit List'!$A$23:$H$3319,2,FALSE)),"X",$B98)</f>
        <v/>
      </c>
      <c r="D98" s="175" t="str">
        <f>IF(ISTEXT(VLOOKUP(CONCATENATE($A98,"_",D$3),'Unit List'!$A$23:$H$3319,2,FALSE)),"X",$B98)</f>
        <v/>
      </c>
      <c r="E98" s="175" t="str">
        <f>IF(ISTEXT(VLOOKUP(CONCATENATE($A98,"_",E$3),'Unit List'!$A$23:$H$3319,2,FALSE)),"X",$B98)</f>
        <v/>
      </c>
      <c r="F98" s="175" t="str">
        <f>IF(ISTEXT(VLOOKUP(CONCATENATE($A98,"_",F$3),'Unit List'!$A$23:$H$3319,2,FALSE)),"X",$B98)</f>
        <v/>
      </c>
      <c r="G98" s="175" t="str">
        <f>IF(ISTEXT(VLOOKUP(CONCATENATE($A98,"_",G$3),'Unit List'!$A$23:$H$3319,2,FALSE)),"X",$B98)</f>
        <v/>
      </c>
      <c r="H98" s="175" t="str">
        <f>IF(ISTEXT(VLOOKUP(CONCATENATE($A98,"_",H$3),'Unit List'!$A$23:$H$3319,2,FALSE)),"X",$B98)</f>
        <v/>
      </c>
      <c r="I98" s="177" t="str">
        <f>IF(ISTEXT(VLOOKUP(CONCATENATE($A98,"_",I$3),'Unit List'!$A$23:$H$3319,2,FALSE)),"X",$B98)</f>
        <v/>
      </c>
      <c r="J98" s="97" t="str">
        <f>IF(ISTEXT(VLOOKUP(CONCATENATE($A98,"_",J$3),'Unit List'!$A$23:$H$3319,2,FALSE)),"+","")</f>
        <v/>
      </c>
      <c r="K98" s="175" t="str">
        <f>IF(ISTEXT(VLOOKUP(CONCATENATE($A98,"_",K$3),'Unit List'!$A$23:$H$3319,2,FALSE)),"X",$J98)</f>
        <v/>
      </c>
      <c r="L98" s="124" t="str">
        <f>IF(ISTEXT(VLOOKUP(CONCATENATE($A98,"_",L$3),'Unit List'!$A$23:$H$3319,2,FALSE)),"X",$J98)</f>
        <v/>
      </c>
      <c r="M98" s="97" t="str">
        <f>IF(ISTEXT(VLOOKUP(CONCATENATE($A98,"_",M$3),'Unit List'!$A$23:$H$3319,2,FALSE)),"+","")</f>
        <v/>
      </c>
      <c r="N98" s="175" t="str">
        <f>IF(ISTEXT(VLOOKUP(CONCATENATE($A98,"_",N$3),'Unit List'!$A$23:$H$3319,2,FALSE)),"X",$M98)</f>
        <v/>
      </c>
      <c r="O98" s="177" t="str">
        <f>IF(ISTEXT(VLOOKUP(CONCATENATE($A98,"_",O$3),'Unit List'!$A$23:$H$3319,2,FALSE)),"X",$M98)</f>
        <v/>
      </c>
      <c r="P98" s="97" t="str">
        <f>IF(ISTEXT(VLOOKUP(CONCATENATE($A98,"_",P$3),'Unit List'!$A$23:$H$3319,2,FALSE)),"+","")</f>
        <v/>
      </c>
      <c r="Q98" s="175" t="str">
        <f>IF(ISTEXT(VLOOKUP(CONCATENATE($A98,"_",Q$3),'Unit List'!$A$23:$H$3319,2,FALSE)),"X",$P98)</f>
        <v/>
      </c>
      <c r="R98" s="175" t="str">
        <f>IF(ISTEXT(VLOOKUP(CONCATENATE($A98,"_",R$3),'Unit List'!$A$23:$H$3319,2,FALSE)),"X",$P98)</f>
        <v/>
      </c>
      <c r="S98" s="175" t="str">
        <f>IF(ISTEXT(VLOOKUP(CONCATENATE($A98,"_",S$3),'Unit List'!$A$23:$H$3319,2,FALSE)),"X",$P98)</f>
        <v/>
      </c>
      <c r="T98" s="176" t="str">
        <f>IF(ISTEXT(VLOOKUP(CONCATENATE($A98,"_",T$3),'Unit List'!$A$23:$H$3319,2,FALSE)),"X",$P98)</f>
        <v/>
      </c>
      <c r="U98" s="175" t="str">
        <f>IF(ISTEXT(VLOOKUP(CONCATENATE($A98,"_",U$3),'Unit List'!$A$23:$H$3319,2,FALSE)),"X",$P98)</f>
        <v/>
      </c>
      <c r="V98" s="175" t="str">
        <f>IF(ISTEXT(VLOOKUP(CONCATENATE($A98,"_",V$3),'Unit List'!$A$23:$H$3319,2,FALSE)),"X",$P98)</f>
        <v/>
      </c>
      <c r="W98" s="177" t="str">
        <f>IF(ISTEXT(VLOOKUP(CONCATENATE($A98,"_",W$3),'Unit List'!$A$23:$H$3319,2,FALSE)),"X",$P98)</f>
        <v/>
      </c>
      <c r="X98" s="97" t="str">
        <f>IF(ISTEXT(VLOOKUP(CONCATENATE($A98,"_",X$3),'Unit List'!$A$23:$H$3319,2,FALSE)),"+","")</f>
        <v/>
      </c>
      <c r="Y98" s="175" t="str">
        <f>IF(ISTEXT(VLOOKUP(CONCATENATE($A98,"_",Y$3),'Unit List'!$A$23:$H$3319,2,FALSE)),"X",$X98)</f>
        <v/>
      </c>
      <c r="Z98" s="175" t="str">
        <f>IF(ISTEXT(VLOOKUP(CONCATENATE($A98,"_",Z$3),'Unit List'!$A$23:$H$3319,2,FALSE)),"X",$X98)</f>
        <v/>
      </c>
      <c r="AA98" s="175" t="str">
        <f>IF(ISTEXT(VLOOKUP(CONCATENATE($A98,"_",AA$3),'Unit List'!$A$23:$H$3319,2,FALSE)),"X",$X98)</f>
        <v/>
      </c>
      <c r="AB98" s="175" t="str">
        <f>IF(ISTEXT(VLOOKUP(CONCATENATE($A98,"_",AB$3),'Unit List'!$A$23:$H$3319,2,FALSE)),"X",$X98)</f>
        <v/>
      </c>
      <c r="AC98" s="124" t="str">
        <f>IF(ISTEXT(VLOOKUP(CONCATENATE($A98,"_",AC$3),'Unit List'!$A$23:$H$3319,2,FALSE)),"X",$X98)</f>
        <v/>
      </c>
      <c r="AD98" s="97" t="str">
        <f>IF(ISTEXT(VLOOKUP(CONCATENATE($A98,"_",AD$3),'Unit List'!$A$23:$H$3319,2,FALSE)),"+","")</f>
        <v/>
      </c>
      <c r="AE98" s="175" t="str">
        <f>IF(ISTEXT(VLOOKUP(CONCATENATE($A98,"_",AE$3),'Unit List'!$A$23:$H$3319,2,FALSE)),"X",$AD98)</f>
        <v/>
      </c>
      <c r="AF98" s="175" t="str">
        <f>IF(ISTEXT(VLOOKUP(CONCATENATE($A98,"_",AF$3),'Unit List'!$A$23:$H$3319,2,FALSE)),"X",$AD98)</f>
        <v/>
      </c>
      <c r="AG98" s="97" t="str">
        <f>IF(ISTEXT(VLOOKUP(CONCATENATE($A98,"_",AG$3),'Unit List'!$A$23:$H$3319,2,FALSE)),"+","")</f>
        <v/>
      </c>
      <c r="AH98" s="175" t="str">
        <f>IF(ISTEXT(VLOOKUP(CONCATENATE($A98,"_",AH$3),'Unit List'!$A$23:$H$3319,2,FALSE)),"X",$AG98)</f>
        <v/>
      </c>
      <c r="AI98" s="175" t="str">
        <f>IF(ISTEXT(VLOOKUP(CONCATENATE($A98,"_",AI$3),'Unit List'!$A$23:$H$3319,2,FALSE)),"X",$AG98)</f>
        <v/>
      </c>
      <c r="AJ98" s="177" t="str">
        <f>IF(ISTEXT(VLOOKUP(CONCATENATE($A98,"_",AJ$3),'Unit List'!$A$23:$H$3319,2,FALSE)),"X",$AG98)</f>
        <v/>
      </c>
      <c r="AK98" s="97" t="str">
        <f>IF(ISTEXT(VLOOKUP(CONCATENATE($A98,"_",AK$3),'Unit List'!$A$23:$H$3319,2,FALSE)),"+","")</f>
        <v/>
      </c>
      <c r="AL98" s="176" t="str">
        <f>IF(ISTEXT(VLOOKUP(CONCATENATE($A98,"_",AL$3),'Unit List'!$A$23:$H$3319,2,FALSE)),"X",$AK98)</f>
        <v/>
      </c>
      <c r="AM98" s="177" t="str">
        <f>IF(ISTEXT(VLOOKUP(CONCATENATE($A98,"_",AM$3),'Unit List'!$A$23:$H$3319,2,FALSE)),"X",$AK98)</f>
        <v/>
      </c>
      <c r="AN98" s="103" t="str">
        <f>IF(ISTEXT(VLOOKUP(CONCATENATE($A98,"_",AN$3),'Unit List'!$A$23:$H$3319,2,FALSE)),"+","")</f>
        <v/>
      </c>
      <c r="AO98" s="177" t="str">
        <f>IF(ISTEXT(VLOOKUP(CONCATENATE($A98,"_",AO$3),'Unit List'!$A$23:$H$3319,2,FALSE)),"X",$AN98)</f>
        <v/>
      </c>
      <c r="AP98" s="97" t="str">
        <f>IF(ISTEXT(VLOOKUP(CONCATENATE($A98,"_",AP$3),'Unit List'!$A$23:$H$3319,2,FALSE)),"+","")</f>
        <v/>
      </c>
      <c r="AQ98" s="175" t="str">
        <f>IF(ISTEXT(VLOOKUP(CONCATENATE($A98,"_",AQ$3),'Unit List'!$A$23:$H$3319,2,FALSE)),"X",$AP98)</f>
        <v/>
      </c>
      <c r="AR98" s="175" t="str">
        <f>IF(ISTEXT(VLOOKUP(CONCATENATE($A98,"_",AR$3),'Unit List'!$A$23:$H$3319,2,FALSE)),"X",$AP98)</f>
        <v/>
      </c>
      <c r="AS98" s="175" t="str">
        <f>IF(ISTEXT(VLOOKUP(CONCATENATE($A98,"_",AS$3),'Unit List'!$A$23:$H$3319,2,FALSE)),"X",$AP98)</f>
        <v/>
      </c>
      <c r="AT98" s="177" t="str">
        <f>IF(ISTEXT(VLOOKUP(CONCATENATE($A98,"_",AT$3),'Unit List'!$A$23:$H$3319,2,FALSE)),"X",$AP98)</f>
        <v/>
      </c>
      <c r="AU98" s="104" t="str">
        <f>IF(ISTEXT(VLOOKUP(CONCATENATE($A98,"_",AU$3),'Unit List'!$A$23:$H$3319,2,FALSE)),"+","")</f>
        <v/>
      </c>
      <c r="AV98" s="175" t="str">
        <f>IF(ISTEXT(VLOOKUP(CONCATENATE($A98,"_",AV$3),'Unit List'!$A$23:$H$3319,2,FALSE)),"X",$AU98)</f>
        <v/>
      </c>
      <c r="AW98" s="177" t="str">
        <f>IF(ISTEXT(VLOOKUP(CONCATENATE($A98,"_",AW$3),'Unit List'!$A$23:$H$3319,2,FALSE)),"X",$AU98)</f>
        <v/>
      </c>
      <c r="AX98" s="97" t="str">
        <f>IF(ISTEXT(VLOOKUP(CONCATENATE($A98,"_",AX$3),'Unit List'!$A$23:$H$3319,2,FALSE)),"+","")</f>
        <v/>
      </c>
      <c r="AY98" s="175" t="str">
        <f>IF(ISTEXT(VLOOKUP(CONCATENATE($A98,"_",AY$3),'Unit List'!$A$23:$H$3319,2,FALSE)),"X",$AX98)</f>
        <v/>
      </c>
      <c r="AZ98" s="177" t="str">
        <f>IF(ISTEXT(VLOOKUP(CONCATENATE($A98,"_",AZ$3),'Unit List'!$A$23:$H$3319,2,FALSE)),"X",$AX98)</f>
        <v/>
      </c>
      <c r="BA98" s="105" t="str">
        <f>IF(ISTEXT(VLOOKUP(CONCATENATE($A98,"_",BA$3),'Unit List'!$A$23:$H$3319,2,FALSE)),"+","")</f>
        <v/>
      </c>
      <c r="BB98" s="175" t="str">
        <f>IF(ISTEXT(VLOOKUP(CONCATENATE($A98,"_",BB$3),'Unit List'!$A$23:$H$3319,2,FALSE)),"X",$BA98)</f>
        <v/>
      </c>
      <c r="BC98" s="175" t="str">
        <f>IF(ISTEXT(VLOOKUP(CONCATENATE($A98,"_",BC$3),'Unit List'!$A$23:$H$3319,2,FALSE)),"X",$BA98)</f>
        <v/>
      </c>
      <c r="BD98" s="177" t="str">
        <f>IF(ISTEXT(VLOOKUP(CONCATENATE($A98,"_",BD$3),'Unit List'!$A$23:$H$3319,2,FALSE)),"X",$BA98)</f>
        <v/>
      </c>
      <c r="BE98" s="103" t="str">
        <f>IF(ISTEXT(VLOOKUP(CONCATENATE($A98,"_",BE$3),'Unit List'!$A$23:$H$3319,2,FALSE)),"+","")</f>
        <v/>
      </c>
      <c r="BF98" s="124" t="str">
        <f>IF(ISTEXT(VLOOKUP(CONCATENATE($A98,"_",BF$3),'Unit List'!$A$23:$H$3319,2,FALSE)),"X",$BE98)</f>
        <v/>
      </c>
      <c r="BG98" s="177"/>
      <c r="BH98" s="107" t="s">
        <v>0</v>
      </c>
      <c r="BI98" s="207"/>
      <c r="BJ98" s="208"/>
      <c r="BK98" s="208"/>
      <c r="BL98" s="209"/>
      <c r="BM98" s="209"/>
      <c r="BN98" s="108"/>
      <c r="BO98" s="108"/>
      <c r="BP98" s="108"/>
      <c r="BQ98" s="108"/>
      <c r="BR98" s="108"/>
      <c r="BS98" s="108"/>
      <c r="DZ98" s="109"/>
      <c r="EA98" s="109"/>
    </row>
    <row r="99" spans="1:137" ht="12.75" customHeight="1" x14ac:dyDescent="0.2">
      <c r="A99" s="201" t="s">
        <v>1142</v>
      </c>
      <c r="B99" s="204" t="str">
        <f>IF(ISTEXT(VLOOKUP(CONCATENATE($A99,"_",B$3),'Unit List'!$A$23:$H$3319,2,FALSE)),"+","")</f>
        <v/>
      </c>
      <c r="C99" s="174" t="str">
        <f>IF(ISTEXT(VLOOKUP(CONCATENATE($A99,"_",C$3),'Unit List'!$A$23:$H$3319,2,FALSE)),"X",$B99)</f>
        <v/>
      </c>
      <c r="D99" s="175" t="str">
        <f>IF(ISTEXT(VLOOKUP(CONCATENATE($A99,"_",D$3),'Unit List'!$A$23:$H$3319,2,FALSE)),"X",$B99)</f>
        <v/>
      </c>
      <c r="E99" s="175" t="str">
        <f>IF(ISTEXT(VLOOKUP(CONCATENATE($A99,"_",E$3),'Unit List'!$A$23:$H$3319,2,FALSE)),"X",$B99)</f>
        <v/>
      </c>
      <c r="F99" s="175" t="str">
        <f>IF(ISTEXT(VLOOKUP(CONCATENATE($A99,"_",F$3),'Unit List'!$A$23:$H$3319,2,FALSE)),"X",$B99)</f>
        <v/>
      </c>
      <c r="G99" s="175" t="str">
        <f>IF(ISTEXT(VLOOKUP(CONCATENATE($A99,"_",G$3),'Unit List'!$A$23:$H$3319,2,FALSE)),"X",$B99)</f>
        <v/>
      </c>
      <c r="H99" s="175" t="str">
        <f>IF(ISTEXT(VLOOKUP(CONCATENATE($A99,"_",H$3),'Unit List'!$A$23:$H$3319,2,FALSE)),"X",$B99)</f>
        <v/>
      </c>
      <c r="I99" s="177" t="str">
        <f>IF(ISTEXT(VLOOKUP(CONCATENATE($A99,"_",I$3),'Unit List'!$A$23:$H$3319,2,FALSE)),"X",$B99)</f>
        <v/>
      </c>
      <c r="J99" s="97" t="str">
        <f>IF(ISTEXT(VLOOKUP(CONCATENATE($A99,"_",J$3),'Unit List'!$A$23:$H$3319,2,FALSE)),"+","")</f>
        <v/>
      </c>
      <c r="K99" s="175" t="str">
        <f>IF(ISTEXT(VLOOKUP(CONCATENATE($A99,"_",K$3),'Unit List'!$A$23:$H$3319,2,FALSE)),"X",$J99)</f>
        <v/>
      </c>
      <c r="L99" s="124" t="str">
        <f>IF(ISTEXT(VLOOKUP(CONCATENATE($A99,"_",L$3),'Unit List'!$A$23:$H$3319,2,FALSE)),"X",$J99)</f>
        <v/>
      </c>
      <c r="M99" s="97" t="str">
        <f>IF(ISTEXT(VLOOKUP(CONCATENATE($A99,"_",M$3),'Unit List'!$A$23:$H$3319,2,FALSE)),"+","")</f>
        <v/>
      </c>
      <c r="N99" s="175" t="str">
        <f>IF(ISTEXT(VLOOKUP(CONCATENATE($A99,"_",N$3),'Unit List'!$A$23:$H$3319,2,FALSE)),"X",$M99)</f>
        <v/>
      </c>
      <c r="O99" s="177" t="str">
        <f>IF(ISTEXT(VLOOKUP(CONCATENATE($A99,"_",O$3),'Unit List'!$A$23:$H$3319,2,FALSE)),"X",$M99)</f>
        <v/>
      </c>
      <c r="P99" s="97" t="str">
        <f>IF(ISTEXT(VLOOKUP(CONCATENATE($A99,"_",P$3),'Unit List'!$A$23:$H$3319,2,FALSE)),"+","")</f>
        <v/>
      </c>
      <c r="Q99" s="175" t="str">
        <f>IF(ISTEXT(VLOOKUP(CONCATENATE($A99,"_",Q$3),'Unit List'!$A$23:$H$3319,2,FALSE)),"X",$P99)</f>
        <v/>
      </c>
      <c r="R99" s="175" t="str">
        <f>IF(ISTEXT(VLOOKUP(CONCATENATE($A99,"_",R$3),'Unit List'!$A$23:$H$3319,2,FALSE)),"X",$P99)</f>
        <v/>
      </c>
      <c r="S99" s="175" t="str">
        <f>IF(ISTEXT(VLOOKUP(CONCATENATE($A99,"_",S$3),'Unit List'!$A$23:$H$3319,2,FALSE)),"X",$P99)</f>
        <v/>
      </c>
      <c r="T99" s="176" t="str">
        <f>IF(ISTEXT(VLOOKUP(CONCATENATE($A99,"_",T$3),'Unit List'!$A$23:$H$3319,2,FALSE)),"X",$P99)</f>
        <v/>
      </c>
      <c r="U99" s="175" t="str">
        <f>IF(ISTEXT(VLOOKUP(CONCATENATE($A99,"_",U$3),'Unit List'!$A$23:$H$3319,2,FALSE)),"X",$P99)</f>
        <v/>
      </c>
      <c r="V99" s="175" t="str">
        <f>IF(ISTEXT(VLOOKUP(CONCATENATE($A99,"_",V$3),'Unit List'!$A$23:$H$3319,2,FALSE)),"X",$P99)</f>
        <v/>
      </c>
      <c r="W99" s="177" t="str">
        <f>IF(ISTEXT(VLOOKUP(CONCATENATE($A99,"_",W$3),'Unit List'!$A$23:$H$3319,2,FALSE)),"X",$P99)</f>
        <v/>
      </c>
      <c r="X99" s="97" t="str">
        <f>IF(ISTEXT(VLOOKUP(CONCATENATE($A99,"_",X$3),'Unit List'!$A$23:$H$3319,2,FALSE)),"+","")</f>
        <v/>
      </c>
      <c r="Y99" s="175" t="str">
        <f>IF(ISTEXT(VLOOKUP(CONCATENATE($A99,"_",Y$3),'Unit List'!$A$23:$H$3319,2,FALSE)),"X",$X99)</f>
        <v/>
      </c>
      <c r="Z99" s="175" t="str">
        <f>IF(ISTEXT(VLOOKUP(CONCATENATE($A99,"_",Z$3),'Unit List'!$A$23:$H$3319,2,FALSE)),"X",$X99)</f>
        <v/>
      </c>
      <c r="AA99" s="175" t="str">
        <f>IF(ISTEXT(VLOOKUP(CONCATENATE($A99,"_",AA$3),'Unit List'!$A$23:$H$3319,2,FALSE)),"X",$X99)</f>
        <v/>
      </c>
      <c r="AB99" s="175" t="str">
        <f>IF(ISTEXT(VLOOKUP(CONCATENATE($A99,"_",AB$3),'Unit List'!$A$23:$H$3319,2,FALSE)),"X",$X99)</f>
        <v/>
      </c>
      <c r="AC99" s="124" t="str">
        <f>IF(ISTEXT(VLOOKUP(CONCATENATE($A99,"_",AC$3),'Unit List'!$A$23:$H$3319,2,FALSE)),"X",$X99)</f>
        <v/>
      </c>
      <c r="AD99" s="97" t="str">
        <f>IF(ISTEXT(VLOOKUP(CONCATENATE($A99,"_",AD$3),'Unit List'!$A$23:$H$3319,2,FALSE)),"+","")</f>
        <v/>
      </c>
      <c r="AE99" s="175" t="str">
        <f>IF(ISTEXT(VLOOKUP(CONCATENATE($A99,"_",AE$3),'Unit List'!$A$23:$H$3319,2,FALSE)),"X",$AD99)</f>
        <v/>
      </c>
      <c r="AF99" s="175" t="str">
        <f>IF(ISTEXT(VLOOKUP(CONCATENATE($A99,"_",AF$3),'Unit List'!$A$23:$H$3319,2,FALSE)),"X",$AD99)</f>
        <v/>
      </c>
      <c r="AG99" s="97" t="str">
        <f>IF(ISTEXT(VLOOKUP(CONCATENATE($A99,"_",AG$3),'Unit List'!$A$23:$H$3319,2,FALSE)),"+","")</f>
        <v/>
      </c>
      <c r="AH99" s="175" t="str">
        <f>IF(ISTEXT(VLOOKUP(CONCATENATE($A99,"_",AH$3),'Unit List'!$A$23:$H$3319,2,FALSE)),"X",$AG99)</f>
        <v/>
      </c>
      <c r="AI99" s="175" t="str">
        <f>IF(ISTEXT(VLOOKUP(CONCATENATE($A99,"_",AI$3),'Unit List'!$A$23:$H$3319,2,FALSE)),"X",$AG99)</f>
        <v/>
      </c>
      <c r="AJ99" s="177" t="str">
        <f>IF(ISTEXT(VLOOKUP(CONCATENATE($A99,"_",AJ$3),'Unit List'!$A$23:$H$3319,2,FALSE)),"X",$AG99)</f>
        <v/>
      </c>
      <c r="AK99" s="97" t="str">
        <f>IF(ISTEXT(VLOOKUP(CONCATENATE($A99,"_",AK$3),'Unit List'!$A$23:$H$3319,2,FALSE)),"+","")</f>
        <v/>
      </c>
      <c r="AL99" s="176" t="str">
        <f>IF(ISTEXT(VLOOKUP(CONCATENATE($A99,"_",AL$3),'Unit List'!$A$23:$H$3319,2,FALSE)),"X",$AK99)</f>
        <v/>
      </c>
      <c r="AM99" s="177" t="str">
        <f>IF(ISTEXT(VLOOKUP(CONCATENATE($A99,"_",AM$3),'Unit List'!$A$23:$H$3319,2,FALSE)),"X",$AK99)</f>
        <v/>
      </c>
      <c r="AN99" s="103" t="str">
        <f>IF(ISTEXT(VLOOKUP(CONCATENATE($A99,"_",AN$3),'Unit List'!$A$23:$H$3319,2,FALSE)),"+","")</f>
        <v/>
      </c>
      <c r="AO99" s="177" t="str">
        <f>IF(ISTEXT(VLOOKUP(CONCATENATE($A99,"_",AO$3),'Unit List'!$A$23:$H$3319,2,FALSE)),"X",$AN99)</f>
        <v/>
      </c>
      <c r="AP99" s="97" t="str">
        <f>IF(ISTEXT(VLOOKUP(CONCATENATE($A99,"_",AP$3),'Unit List'!$A$23:$H$3319,2,FALSE)),"+","")</f>
        <v/>
      </c>
      <c r="AQ99" s="175" t="str">
        <f>IF(ISTEXT(VLOOKUP(CONCATENATE($A99,"_",AQ$3),'Unit List'!$A$23:$H$3319,2,FALSE)),"X",$AP99)</f>
        <v/>
      </c>
      <c r="AR99" s="175" t="str">
        <f>IF(ISTEXT(VLOOKUP(CONCATENATE($A99,"_",AR$3),'Unit List'!$A$23:$H$3319,2,FALSE)),"X",$AP99)</f>
        <v/>
      </c>
      <c r="AS99" s="175" t="str">
        <f>IF(ISTEXT(VLOOKUP(CONCATENATE($A99,"_",AS$3),'Unit List'!$A$23:$H$3319,2,FALSE)),"X",$AP99)</f>
        <v/>
      </c>
      <c r="AT99" s="177" t="str">
        <f>IF(ISTEXT(VLOOKUP(CONCATENATE($A99,"_",AT$3),'Unit List'!$A$23:$H$3319,2,FALSE)),"X",$AP99)</f>
        <v/>
      </c>
      <c r="AU99" s="104" t="str">
        <f>IF(ISTEXT(VLOOKUP(CONCATENATE($A99,"_",AU$3),'Unit List'!$A$23:$H$3319,2,FALSE)),"+","")</f>
        <v/>
      </c>
      <c r="AV99" s="175" t="str">
        <f>IF(ISTEXT(VLOOKUP(CONCATENATE($A99,"_",AV$3),'Unit List'!$A$23:$H$3319,2,FALSE)),"X",$AU99)</f>
        <v/>
      </c>
      <c r="AW99" s="177" t="str">
        <f>IF(ISTEXT(VLOOKUP(CONCATENATE($A99,"_",AW$3),'Unit List'!$A$23:$H$3319,2,FALSE)),"X",$AU99)</f>
        <v/>
      </c>
      <c r="AX99" s="97" t="str">
        <f>IF(ISTEXT(VLOOKUP(CONCATENATE($A99,"_",AX$3),'Unit List'!$A$23:$H$3319,2,FALSE)),"+","")</f>
        <v/>
      </c>
      <c r="AY99" s="175" t="str">
        <f>IF(ISTEXT(VLOOKUP(CONCATENATE($A99,"_",AY$3),'Unit List'!$A$23:$H$3319,2,FALSE)),"X",$AX99)</f>
        <v/>
      </c>
      <c r="AZ99" s="177" t="str">
        <f>IF(ISTEXT(VLOOKUP(CONCATENATE($A99,"_",AZ$3),'Unit List'!$A$23:$H$3319,2,FALSE)),"X",$AX99)</f>
        <v/>
      </c>
      <c r="BA99" s="105" t="str">
        <f>IF(ISTEXT(VLOOKUP(CONCATENATE($A99,"_",BA$3),'Unit List'!$A$23:$H$3319,2,FALSE)),"+","")</f>
        <v/>
      </c>
      <c r="BB99" s="175" t="str">
        <f>IF(ISTEXT(VLOOKUP(CONCATENATE($A99,"_",BB$3),'Unit List'!$A$23:$H$3319,2,FALSE)),"X",$BA99)</f>
        <v/>
      </c>
      <c r="BC99" s="175" t="str">
        <f>IF(ISTEXT(VLOOKUP(CONCATENATE($A99,"_",BC$3),'Unit List'!$A$23:$H$3319,2,FALSE)),"X",$BA99)</f>
        <v/>
      </c>
      <c r="BD99" s="177" t="str">
        <f>IF(ISTEXT(VLOOKUP(CONCATENATE($A99,"_",BD$3),'Unit List'!$A$23:$H$3319,2,FALSE)),"X",$BA99)</f>
        <v/>
      </c>
      <c r="BE99" s="103" t="str">
        <f>IF(ISTEXT(VLOOKUP(CONCATENATE($A99,"_",BE$3),'Unit List'!$A$23:$H$3319,2,FALSE)),"+","")</f>
        <v/>
      </c>
      <c r="BF99" s="124" t="str">
        <f>IF(ISTEXT(VLOOKUP(CONCATENATE($A99,"_",BF$3),'Unit List'!$A$23:$H$3319,2,FALSE)),"X",$BE99)</f>
        <v/>
      </c>
      <c r="BG99" s="177"/>
      <c r="BH99" s="107" t="s">
        <v>0</v>
      </c>
      <c r="BI99" s="207"/>
      <c r="BJ99" s="208"/>
      <c r="BK99" s="208"/>
      <c r="BL99" s="209"/>
      <c r="BM99" s="209"/>
      <c r="BN99" s="108"/>
      <c r="BO99" s="108"/>
      <c r="BP99" s="108"/>
      <c r="BQ99" s="108"/>
      <c r="BR99" s="108"/>
      <c r="BS99" s="108"/>
      <c r="DZ99" s="109"/>
      <c r="EA99" s="109"/>
    </row>
    <row r="100" spans="1:137" ht="12.75" customHeight="1" x14ac:dyDescent="0.2">
      <c r="A100" s="201" t="s">
        <v>1143</v>
      </c>
      <c r="B100" s="204" t="str">
        <f>IF(ISTEXT(VLOOKUP(CONCATENATE($A100,"_",B$3),'Unit List'!$A$23:$H$3319,2,FALSE)),"+","")</f>
        <v/>
      </c>
      <c r="C100" s="174" t="str">
        <f>IF(ISTEXT(VLOOKUP(CONCATENATE($A100,"_",C$3),'Unit List'!$A$23:$H$3319,2,FALSE)),"X",$B100)</f>
        <v/>
      </c>
      <c r="D100" s="175" t="str">
        <f>IF(ISTEXT(VLOOKUP(CONCATENATE($A100,"_",D$3),'Unit List'!$A$23:$H$3319,2,FALSE)),"X",$B100)</f>
        <v/>
      </c>
      <c r="E100" s="175" t="str">
        <f>IF(ISTEXT(VLOOKUP(CONCATENATE($A100,"_",E$3),'Unit List'!$A$23:$H$3319,2,FALSE)),"X",$B100)</f>
        <v/>
      </c>
      <c r="F100" s="175" t="str">
        <f>IF(ISTEXT(VLOOKUP(CONCATENATE($A100,"_",F$3),'Unit List'!$A$23:$H$3319,2,FALSE)),"X",$B100)</f>
        <v/>
      </c>
      <c r="G100" s="175" t="str">
        <f>IF(ISTEXT(VLOOKUP(CONCATENATE($A100,"_",G$3),'Unit List'!$A$23:$H$3319,2,FALSE)),"X",$B100)</f>
        <v/>
      </c>
      <c r="H100" s="175" t="str">
        <f>IF(ISTEXT(VLOOKUP(CONCATENATE($A100,"_",H$3),'Unit List'!$A$23:$H$3319,2,FALSE)),"X",$B100)</f>
        <v/>
      </c>
      <c r="I100" s="177" t="str">
        <f>IF(ISTEXT(VLOOKUP(CONCATENATE($A100,"_",I$3),'Unit List'!$A$23:$H$3319,2,FALSE)),"X",$B100)</f>
        <v/>
      </c>
      <c r="J100" s="97" t="str">
        <f>IF(ISTEXT(VLOOKUP(CONCATENATE($A100,"_",J$3),'Unit List'!$A$23:$H$3319,2,FALSE)),"+","")</f>
        <v/>
      </c>
      <c r="K100" s="175" t="str">
        <f>IF(ISTEXT(VLOOKUP(CONCATENATE($A100,"_",K$3),'Unit List'!$A$23:$H$3319,2,FALSE)),"X",$J100)</f>
        <v/>
      </c>
      <c r="L100" s="124" t="str">
        <f>IF(ISTEXT(VLOOKUP(CONCATENATE($A100,"_",L$3),'Unit List'!$A$23:$H$3319,2,FALSE)),"X",$J100)</f>
        <v/>
      </c>
      <c r="M100" s="97" t="str">
        <f>IF(ISTEXT(VLOOKUP(CONCATENATE($A100,"_",M$3),'Unit List'!$A$23:$H$3319,2,FALSE)),"+","")</f>
        <v/>
      </c>
      <c r="N100" s="175" t="str">
        <f>IF(ISTEXT(VLOOKUP(CONCATENATE($A100,"_",N$3),'Unit List'!$A$23:$H$3319,2,FALSE)),"X",$M100)</f>
        <v/>
      </c>
      <c r="O100" s="177" t="str">
        <f>IF(ISTEXT(VLOOKUP(CONCATENATE($A100,"_",O$3),'Unit List'!$A$23:$H$3319,2,FALSE)),"X",$M100)</f>
        <v/>
      </c>
      <c r="P100" s="97" t="str">
        <f>IF(ISTEXT(VLOOKUP(CONCATENATE($A100,"_",P$3),'Unit List'!$A$23:$H$3319,2,FALSE)),"+","")</f>
        <v/>
      </c>
      <c r="Q100" s="175" t="str">
        <f>IF(ISTEXT(VLOOKUP(CONCATENATE($A100,"_",Q$3),'Unit List'!$A$23:$H$3319,2,FALSE)),"X",$P100)</f>
        <v/>
      </c>
      <c r="R100" s="175" t="str">
        <f>IF(ISTEXT(VLOOKUP(CONCATENATE($A100,"_",R$3),'Unit List'!$A$23:$H$3319,2,FALSE)),"X",$P100)</f>
        <v/>
      </c>
      <c r="S100" s="175" t="str">
        <f>IF(ISTEXT(VLOOKUP(CONCATENATE($A100,"_",S$3),'Unit List'!$A$23:$H$3319,2,FALSE)),"X",$P100)</f>
        <v/>
      </c>
      <c r="T100" s="176" t="str">
        <f>IF(ISTEXT(VLOOKUP(CONCATENATE($A100,"_",T$3),'Unit List'!$A$23:$H$3319,2,FALSE)),"X",$P100)</f>
        <v/>
      </c>
      <c r="U100" s="175" t="str">
        <f>IF(ISTEXT(VLOOKUP(CONCATENATE($A100,"_",U$3),'Unit List'!$A$23:$H$3319,2,FALSE)),"X",$P100)</f>
        <v/>
      </c>
      <c r="V100" s="175" t="str">
        <f>IF(ISTEXT(VLOOKUP(CONCATENATE($A100,"_",V$3),'Unit List'!$A$23:$H$3319,2,FALSE)),"X",$P100)</f>
        <v/>
      </c>
      <c r="W100" s="177" t="str">
        <f>IF(ISTEXT(VLOOKUP(CONCATENATE($A100,"_",W$3),'Unit List'!$A$23:$H$3319,2,FALSE)),"X",$P100)</f>
        <v/>
      </c>
      <c r="X100" s="97" t="str">
        <f>IF(ISTEXT(VLOOKUP(CONCATENATE($A100,"_",X$3),'Unit List'!$A$23:$H$3319,2,FALSE)),"+","")</f>
        <v/>
      </c>
      <c r="Y100" s="175" t="str">
        <f>IF(ISTEXT(VLOOKUP(CONCATENATE($A100,"_",Y$3),'Unit List'!$A$23:$H$3319,2,FALSE)),"X",$X100)</f>
        <v/>
      </c>
      <c r="Z100" s="175" t="str">
        <f>IF(ISTEXT(VLOOKUP(CONCATENATE($A100,"_",Z$3),'Unit List'!$A$23:$H$3319,2,FALSE)),"X",$X100)</f>
        <v/>
      </c>
      <c r="AA100" s="175" t="str">
        <f>IF(ISTEXT(VLOOKUP(CONCATENATE($A100,"_",AA$3),'Unit List'!$A$23:$H$3319,2,FALSE)),"X",$X100)</f>
        <v/>
      </c>
      <c r="AB100" s="175" t="str">
        <f>IF(ISTEXT(VLOOKUP(CONCATENATE($A100,"_",AB$3),'Unit List'!$A$23:$H$3319,2,FALSE)),"X",$X100)</f>
        <v/>
      </c>
      <c r="AC100" s="124" t="str">
        <f>IF(ISTEXT(VLOOKUP(CONCATENATE($A100,"_",AC$3),'Unit List'!$A$23:$H$3319,2,FALSE)),"X",$X100)</f>
        <v/>
      </c>
      <c r="AD100" s="97" t="str">
        <f>IF(ISTEXT(VLOOKUP(CONCATENATE($A100,"_",AD$3),'Unit List'!$A$23:$H$3319,2,FALSE)),"+","")</f>
        <v/>
      </c>
      <c r="AE100" s="175" t="str">
        <f>IF(ISTEXT(VLOOKUP(CONCATENATE($A100,"_",AE$3),'Unit List'!$A$23:$H$3319,2,FALSE)),"X",$AD100)</f>
        <v/>
      </c>
      <c r="AF100" s="175" t="str">
        <f>IF(ISTEXT(VLOOKUP(CONCATENATE($A100,"_",AF$3),'Unit List'!$A$23:$H$3319,2,FALSE)),"X",$AD100)</f>
        <v/>
      </c>
      <c r="AG100" s="97" t="str">
        <f>IF(ISTEXT(VLOOKUP(CONCATENATE($A100,"_",AG$3),'Unit List'!$A$23:$H$3319,2,FALSE)),"+","")</f>
        <v/>
      </c>
      <c r="AH100" s="175" t="str">
        <f>IF(ISTEXT(VLOOKUP(CONCATENATE($A100,"_",AH$3),'Unit List'!$A$23:$H$3319,2,FALSE)),"X",$AG100)</f>
        <v/>
      </c>
      <c r="AI100" s="175" t="str">
        <f>IF(ISTEXT(VLOOKUP(CONCATENATE($A100,"_",AI$3),'Unit List'!$A$23:$H$3319,2,FALSE)),"X",$AG100)</f>
        <v/>
      </c>
      <c r="AJ100" s="177" t="str">
        <f>IF(ISTEXT(VLOOKUP(CONCATENATE($A100,"_",AJ$3),'Unit List'!$A$23:$H$3319,2,FALSE)),"X",$AG100)</f>
        <v/>
      </c>
      <c r="AK100" s="97" t="str">
        <f>IF(ISTEXT(VLOOKUP(CONCATENATE($A100,"_",AK$3),'Unit List'!$A$23:$H$3319,2,FALSE)),"+","")</f>
        <v/>
      </c>
      <c r="AL100" s="176" t="str">
        <f>IF(ISTEXT(VLOOKUP(CONCATENATE($A100,"_",AL$3),'Unit List'!$A$23:$H$3319,2,FALSE)),"X",$AK100)</f>
        <v/>
      </c>
      <c r="AM100" s="177" t="str">
        <f>IF(ISTEXT(VLOOKUP(CONCATENATE($A100,"_",AM$3),'Unit List'!$A$23:$H$3319,2,FALSE)),"X",$AK100)</f>
        <v/>
      </c>
      <c r="AN100" s="103" t="str">
        <f>IF(ISTEXT(VLOOKUP(CONCATENATE($A100,"_",AN$3),'Unit List'!$A$23:$H$3319,2,FALSE)),"+","")</f>
        <v/>
      </c>
      <c r="AO100" s="177" t="str">
        <f>IF(ISTEXT(VLOOKUP(CONCATENATE($A100,"_",AO$3),'Unit List'!$A$23:$H$3319,2,FALSE)),"X",$AN100)</f>
        <v/>
      </c>
      <c r="AP100" s="97" t="str">
        <f>IF(ISTEXT(VLOOKUP(CONCATENATE($A100,"_",AP$3),'Unit List'!$A$23:$H$3319,2,FALSE)),"+","")</f>
        <v/>
      </c>
      <c r="AQ100" s="175" t="str">
        <f>IF(ISTEXT(VLOOKUP(CONCATENATE($A100,"_",AQ$3),'Unit List'!$A$23:$H$3319,2,FALSE)),"X",$AP100)</f>
        <v/>
      </c>
      <c r="AR100" s="175" t="str">
        <f>IF(ISTEXT(VLOOKUP(CONCATENATE($A100,"_",AR$3),'Unit List'!$A$23:$H$3319,2,FALSE)),"X",$AP100)</f>
        <v/>
      </c>
      <c r="AS100" s="175" t="str">
        <f>IF(ISTEXT(VLOOKUP(CONCATENATE($A100,"_",AS$3),'Unit List'!$A$23:$H$3319,2,FALSE)),"X",$AP100)</f>
        <v/>
      </c>
      <c r="AT100" s="177" t="str">
        <f>IF(ISTEXT(VLOOKUP(CONCATENATE($A100,"_",AT$3),'Unit List'!$A$23:$H$3319,2,FALSE)),"X",$AP100)</f>
        <v/>
      </c>
      <c r="AU100" s="104" t="str">
        <f>IF(ISTEXT(VLOOKUP(CONCATENATE($A100,"_",AU$3),'Unit List'!$A$23:$H$3319,2,FALSE)),"+","")</f>
        <v/>
      </c>
      <c r="AV100" s="175" t="str">
        <f>IF(ISTEXT(VLOOKUP(CONCATENATE($A100,"_",AV$3),'Unit List'!$A$23:$H$3319,2,FALSE)),"X",$AU100)</f>
        <v/>
      </c>
      <c r="AW100" s="177" t="str">
        <f>IF(ISTEXT(VLOOKUP(CONCATENATE($A100,"_",AW$3),'Unit List'!$A$23:$H$3319,2,FALSE)),"X",$AU100)</f>
        <v/>
      </c>
      <c r="AX100" s="97" t="str">
        <f>IF(ISTEXT(VLOOKUP(CONCATENATE($A100,"_",AX$3),'Unit List'!$A$23:$H$3319,2,FALSE)),"+","")</f>
        <v/>
      </c>
      <c r="AY100" s="175" t="str">
        <f>IF(ISTEXT(VLOOKUP(CONCATENATE($A100,"_",AY$3),'Unit List'!$A$23:$H$3319,2,FALSE)),"X",$AX100)</f>
        <v/>
      </c>
      <c r="AZ100" s="177" t="str">
        <f>IF(ISTEXT(VLOOKUP(CONCATENATE($A100,"_",AZ$3),'Unit List'!$A$23:$H$3319,2,FALSE)),"X",$AX100)</f>
        <v/>
      </c>
      <c r="BA100" s="105" t="str">
        <f>IF(ISTEXT(VLOOKUP(CONCATENATE($A100,"_",BA$3),'Unit List'!$A$23:$H$3319,2,FALSE)),"+","")</f>
        <v/>
      </c>
      <c r="BB100" s="175" t="str">
        <f>IF(ISTEXT(VLOOKUP(CONCATENATE($A100,"_",BB$3),'Unit List'!$A$23:$H$3319,2,FALSE)),"X",$BA100)</f>
        <v/>
      </c>
      <c r="BC100" s="175" t="str">
        <f>IF(ISTEXT(VLOOKUP(CONCATENATE($A100,"_",BC$3),'Unit List'!$A$23:$H$3319,2,FALSE)),"X",$BA100)</f>
        <v/>
      </c>
      <c r="BD100" s="177" t="str">
        <f>IF(ISTEXT(VLOOKUP(CONCATENATE($A100,"_",BD$3),'Unit List'!$A$23:$H$3319,2,FALSE)),"X",$BA100)</f>
        <v/>
      </c>
      <c r="BE100" s="103" t="str">
        <f>IF(ISTEXT(VLOOKUP(CONCATENATE($A100,"_",BE$3),'Unit List'!$A$23:$H$3319,2,FALSE)),"+","")</f>
        <v/>
      </c>
      <c r="BF100" s="124" t="str">
        <f>IF(ISTEXT(VLOOKUP(CONCATENATE($A100,"_",BF$3),'Unit List'!$A$23:$H$3319,2,FALSE)),"X",$BE100)</f>
        <v/>
      </c>
      <c r="BG100" s="177"/>
      <c r="BH100" s="107" t="s">
        <v>0</v>
      </c>
      <c r="BI100" s="207"/>
      <c r="BJ100" s="208"/>
      <c r="BK100" s="208"/>
      <c r="BL100" s="209"/>
      <c r="BM100" s="209"/>
      <c r="BN100" s="108"/>
      <c r="BO100" s="108"/>
      <c r="BP100" s="108"/>
      <c r="BQ100" s="108"/>
      <c r="BR100" s="108"/>
      <c r="BS100" s="108"/>
      <c r="DZ100" s="109"/>
      <c r="EA100" s="109"/>
    </row>
    <row r="101" spans="1:137" ht="12.75" customHeight="1" x14ac:dyDescent="0.2">
      <c r="A101" s="201" t="s">
        <v>4</v>
      </c>
      <c r="B101" s="91" t="str">
        <f>IF(ISTEXT(VLOOKUP(CONCATENATE($A101,"_",B$3),'Unit List'!$A$23:$H$3319,2,FALSE)),"+","")</f>
        <v/>
      </c>
      <c r="C101" s="174" t="str">
        <f>IF(ISTEXT(VLOOKUP(CONCATENATE($A101,"_",C$3),'Unit List'!$A$23:$H$3319,2,FALSE)),"X",$B101)</f>
        <v/>
      </c>
      <c r="D101" s="175" t="str">
        <f>IF(ISTEXT(VLOOKUP(CONCATENATE($A101,"_",D$3),'Unit List'!$A$23:$H$3319,2,FALSE)),"X",$B101)</f>
        <v/>
      </c>
      <c r="E101" s="175" t="str">
        <f>IF(ISTEXT(VLOOKUP(CONCATENATE($A101,"_",E$3),'Unit List'!$A$23:$H$3319,2,FALSE)),"X",$B101)</f>
        <v/>
      </c>
      <c r="F101" s="175" t="str">
        <f>IF(ISTEXT(VLOOKUP(CONCATENATE($A101,"_",F$3),'Unit List'!$A$23:$H$3319,2,FALSE)),"X",$B101)</f>
        <v/>
      </c>
      <c r="G101" s="175" t="str">
        <f>IF(ISTEXT(VLOOKUP(CONCATENATE($A101,"_",G$3),'Unit List'!$A$23:$H$3319,2,FALSE)),"X",$B101)</f>
        <v/>
      </c>
      <c r="H101" s="175" t="str">
        <f>IF(ISTEXT(VLOOKUP(CONCATENATE($A101,"_",H$3),'Unit List'!$A$23:$H$3319,2,FALSE)),"X",$B101)</f>
        <v/>
      </c>
      <c r="I101" s="177" t="str">
        <f>IF(ISTEXT(VLOOKUP(CONCATENATE($A101,"_",I$3),'Unit List'!$A$23:$H$3319,2,FALSE)),"X",$B101)</f>
        <v/>
      </c>
      <c r="J101" s="97" t="str">
        <f>IF(ISTEXT(VLOOKUP(CONCATENATE($A101,"_",J$3),'Unit List'!$A$23:$H$3319,2,FALSE)),"+","")</f>
        <v/>
      </c>
      <c r="K101" s="175" t="str">
        <f>IF(ISTEXT(VLOOKUP(CONCATENATE($A101,"_",K$3),'Unit List'!$A$23:$H$3319,2,FALSE)),"X",$J101)</f>
        <v/>
      </c>
      <c r="L101" s="124" t="str">
        <f>IF(ISTEXT(VLOOKUP(CONCATENATE($A101,"_",L$3),'Unit List'!$A$23:$H$3319,2,FALSE)),"X",$J101)</f>
        <v/>
      </c>
      <c r="M101" s="97" t="str">
        <f>IF(ISTEXT(VLOOKUP(CONCATENATE($A101,"_",M$3),'Unit List'!$A$23:$H$3319,2,FALSE)),"+","")</f>
        <v/>
      </c>
      <c r="N101" s="175" t="str">
        <f>IF(ISTEXT(VLOOKUP(CONCATENATE($A101,"_",N$3),'Unit List'!$A$23:$H$3319,2,FALSE)),"X",$M101)</f>
        <v/>
      </c>
      <c r="O101" s="177" t="str">
        <f>IF(ISTEXT(VLOOKUP(CONCATENATE($A101,"_",O$3),'Unit List'!$A$23:$H$3319,2,FALSE)),"X",$M101)</f>
        <v/>
      </c>
      <c r="P101" s="97" t="str">
        <f>IF(ISTEXT(VLOOKUP(CONCATENATE($A101,"_",P$3),'Unit List'!$A$23:$H$3319,2,FALSE)),"+","")</f>
        <v/>
      </c>
      <c r="Q101" s="175" t="str">
        <f>IF(ISTEXT(VLOOKUP(CONCATENATE($A101,"_",Q$3),'Unit List'!$A$23:$H$3319,2,FALSE)),"X",$P101)</f>
        <v/>
      </c>
      <c r="R101" s="175" t="str">
        <f>IF(ISTEXT(VLOOKUP(CONCATENATE($A101,"_",R$3),'Unit List'!$A$23:$H$3319,2,FALSE)),"X",$P101)</f>
        <v/>
      </c>
      <c r="S101" s="175" t="str">
        <f>IF(ISTEXT(VLOOKUP(CONCATENATE($A101,"_",S$3),'Unit List'!$A$23:$H$3319,2,FALSE)),"X",$P101)</f>
        <v/>
      </c>
      <c r="T101" s="176" t="str">
        <f>IF(ISTEXT(VLOOKUP(CONCATENATE($A101,"_",T$3),'Unit List'!$A$23:$H$3319,2,FALSE)),"X",$P101)</f>
        <v/>
      </c>
      <c r="U101" s="175" t="str">
        <f>IF(ISTEXT(VLOOKUP(CONCATENATE($A101,"_",U$3),'Unit List'!$A$23:$H$3319,2,FALSE)),"X",$P101)</f>
        <v/>
      </c>
      <c r="V101" s="175" t="str">
        <f>IF(ISTEXT(VLOOKUP(CONCATENATE($A101,"_",V$3),'Unit List'!$A$23:$H$3319,2,FALSE)),"X",$P101)</f>
        <v/>
      </c>
      <c r="W101" s="177" t="str">
        <f>IF(ISTEXT(VLOOKUP(CONCATENATE($A101,"_",W$3),'Unit List'!$A$23:$H$3319,2,FALSE)),"X",$P101)</f>
        <v/>
      </c>
      <c r="X101" s="97" t="str">
        <f>IF(ISTEXT(VLOOKUP(CONCATENATE($A101,"_",X$3),'Unit List'!$A$23:$H$3319,2,FALSE)),"+","")</f>
        <v/>
      </c>
      <c r="Y101" s="175" t="str">
        <f>IF(ISTEXT(VLOOKUP(CONCATENATE($A101,"_",Y$3),'Unit List'!$A$23:$H$3319,2,FALSE)),"X",$X101)</f>
        <v/>
      </c>
      <c r="Z101" s="175" t="str">
        <f>IF(ISTEXT(VLOOKUP(CONCATENATE($A101,"_",Z$3),'Unit List'!$A$23:$H$3319,2,FALSE)),"X",$X101)</f>
        <v/>
      </c>
      <c r="AA101" s="175" t="str">
        <f>IF(ISTEXT(VLOOKUP(CONCATENATE($A101,"_",AA$3),'Unit List'!$A$23:$H$3319,2,FALSE)),"X",$X101)</f>
        <v/>
      </c>
      <c r="AB101" s="175" t="str">
        <f>IF(ISTEXT(VLOOKUP(CONCATENATE($A101,"_",AB$3),'Unit List'!$A$23:$H$3319,2,FALSE)),"X",$X101)</f>
        <v/>
      </c>
      <c r="AC101" s="124" t="str">
        <f>IF(ISTEXT(VLOOKUP(CONCATENATE($A101,"_",AC$3),'Unit List'!$A$23:$H$3319,2,FALSE)),"X",$X101)</f>
        <v/>
      </c>
      <c r="AD101" s="97" t="str">
        <f>IF(ISTEXT(VLOOKUP(CONCATENATE($A101,"_",AD$3),'Unit List'!$A$23:$H$3319,2,FALSE)),"+","")</f>
        <v/>
      </c>
      <c r="AE101" s="175" t="str">
        <f>IF(ISTEXT(VLOOKUP(CONCATENATE($A101,"_",AE$3),'Unit List'!$A$23:$H$3319,2,FALSE)),"X",$AD101)</f>
        <v/>
      </c>
      <c r="AF101" s="175" t="str">
        <f>IF(ISTEXT(VLOOKUP(CONCATENATE($A101,"_",AF$3),'Unit List'!$A$23:$H$3319,2,FALSE)),"X",$AD101)</f>
        <v/>
      </c>
      <c r="AG101" s="97" t="str">
        <f>IF(ISTEXT(VLOOKUP(CONCATENATE($A101,"_",AG$3),'Unit List'!$A$23:$H$3319,2,FALSE)),"+","")</f>
        <v/>
      </c>
      <c r="AH101" s="175" t="str">
        <f>IF(ISTEXT(VLOOKUP(CONCATENATE($A101,"_",AH$3),'Unit List'!$A$23:$H$3319,2,FALSE)),"X",$AG101)</f>
        <v/>
      </c>
      <c r="AI101" s="175" t="str">
        <f>IF(ISTEXT(VLOOKUP(CONCATENATE($A101,"_",AI$3),'Unit List'!$A$23:$H$3319,2,FALSE)),"X",$AG101)</f>
        <v/>
      </c>
      <c r="AJ101" s="177" t="str">
        <f>IF(ISTEXT(VLOOKUP(CONCATENATE($A101,"_",AJ$3),'Unit List'!$A$23:$H$3319,2,FALSE)),"X",$AG101)</f>
        <v/>
      </c>
      <c r="AK101" s="97" t="str">
        <f>IF(ISTEXT(VLOOKUP(CONCATENATE($A101,"_",AK$3),'Unit List'!$A$23:$H$3319,2,FALSE)),"+","")</f>
        <v/>
      </c>
      <c r="AL101" s="176" t="str">
        <f>IF(ISTEXT(VLOOKUP(CONCATENATE($A101,"_",AL$3),'Unit List'!$A$23:$H$3319,2,FALSE)),"X",$AK101)</f>
        <v/>
      </c>
      <c r="AM101" s="177" t="str">
        <f>IF(ISTEXT(VLOOKUP(CONCATENATE($A101,"_",AM$3),'Unit List'!$A$23:$H$3319,2,FALSE)),"X",$AK101)</f>
        <v/>
      </c>
      <c r="AN101" s="103" t="str">
        <f>IF(ISTEXT(VLOOKUP(CONCATENATE($A101,"_",AN$3),'Unit List'!$A$23:$H$3319,2,FALSE)),"+","")</f>
        <v/>
      </c>
      <c r="AO101" s="177" t="str">
        <f>IF(ISTEXT(VLOOKUP(CONCATENATE($A101,"_",AO$3),'Unit List'!$A$23:$H$3319,2,FALSE)),"X",$AN101)</f>
        <v/>
      </c>
      <c r="AP101" s="97" t="str">
        <f>IF(ISTEXT(VLOOKUP(CONCATENATE($A101,"_",AP$3),'Unit List'!$A$23:$H$3319,2,FALSE)),"+","")</f>
        <v/>
      </c>
      <c r="AQ101" s="175" t="str">
        <f>IF(ISTEXT(VLOOKUP(CONCATENATE($A101,"_",AQ$3),'Unit List'!$A$23:$H$3319,2,FALSE)),"X",$AP101)</f>
        <v/>
      </c>
      <c r="AR101" s="175" t="str">
        <f>IF(ISTEXT(VLOOKUP(CONCATENATE($A101,"_",AR$3),'Unit List'!$A$23:$H$3319,2,FALSE)),"X",$AP101)</f>
        <v/>
      </c>
      <c r="AS101" s="175" t="str">
        <f>IF(ISTEXT(VLOOKUP(CONCATENATE($A101,"_",AS$3),'Unit List'!$A$23:$H$3319,2,FALSE)),"X",$AP101)</f>
        <v/>
      </c>
      <c r="AT101" s="177" t="str">
        <f>IF(ISTEXT(VLOOKUP(CONCATENATE($A101,"_",AT$3),'Unit List'!$A$23:$H$3319,2,FALSE)),"X",$AP101)</f>
        <v/>
      </c>
      <c r="AU101" s="104" t="str">
        <f>IF(ISTEXT(VLOOKUP(CONCATENATE($A101,"_",AU$3),'Unit List'!$A$23:$H$3319,2,FALSE)),"+","")</f>
        <v/>
      </c>
      <c r="AV101" s="175" t="str">
        <f>IF(ISTEXT(VLOOKUP(CONCATENATE($A101,"_",AV$3),'Unit List'!$A$23:$H$3319,2,FALSE)),"X",$AU101)</f>
        <v/>
      </c>
      <c r="AW101" s="177" t="str">
        <f>IF(ISTEXT(VLOOKUP(CONCATENATE($A101,"_",AW$3),'Unit List'!$A$23:$H$3319,2,FALSE)),"X",$AU101)</f>
        <v/>
      </c>
      <c r="AX101" s="97" t="str">
        <f>IF(ISTEXT(VLOOKUP(CONCATENATE($A101,"_",AX$3),'Unit List'!$A$23:$H$3319,2,FALSE)),"+","")</f>
        <v/>
      </c>
      <c r="AY101" s="175" t="str">
        <f>IF(ISTEXT(VLOOKUP(CONCATENATE($A101,"_",AY$3),'Unit List'!$A$23:$H$3319,2,FALSE)),"X",$AX101)</f>
        <v/>
      </c>
      <c r="AZ101" s="177" t="str">
        <f>IF(ISTEXT(VLOOKUP(CONCATENATE($A101,"_",AZ$3),'Unit List'!$A$23:$H$3319,2,FALSE)),"X",$AX101)</f>
        <v/>
      </c>
      <c r="BA101" s="105" t="str">
        <f>IF(ISTEXT(VLOOKUP(CONCATENATE($A101,"_",BA$3),'Unit List'!$A$23:$H$3319,2,FALSE)),"+","")</f>
        <v/>
      </c>
      <c r="BB101" s="175" t="str">
        <f>IF(ISTEXT(VLOOKUP(CONCATENATE($A101,"_",BB$3),'Unit List'!$A$23:$H$3319,2,FALSE)),"X",$BA101)</f>
        <v/>
      </c>
      <c r="BC101" s="175" t="str">
        <f>IF(ISTEXT(VLOOKUP(CONCATENATE($A101,"_",BC$3),'Unit List'!$A$23:$H$3319,2,FALSE)),"X",$BA101)</f>
        <v/>
      </c>
      <c r="BD101" s="177" t="str">
        <f>IF(ISTEXT(VLOOKUP(CONCATENATE($A101,"_",BD$3),'Unit List'!$A$23:$H$3319,2,FALSE)),"X",$BA101)</f>
        <v/>
      </c>
      <c r="BE101" s="103" t="str">
        <f>IF(ISTEXT(VLOOKUP(CONCATENATE($A101,"_",BE$3),'Unit List'!$A$23:$H$3319,2,FALSE)),"+","")</f>
        <v/>
      </c>
      <c r="BF101" s="124" t="str">
        <f>IF(ISTEXT(VLOOKUP(CONCATENATE($A101,"_",BF$3),'Unit List'!$A$23:$H$3319,2,FALSE)),"X",$BE101)</f>
        <v/>
      </c>
      <c r="BG101" s="177"/>
      <c r="BH101" s="107" t="s">
        <v>0</v>
      </c>
      <c r="BI101" s="202"/>
      <c r="BJ101" s="203"/>
      <c r="BK101" s="203"/>
      <c r="BL101" s="203"/>
      <c r="BM101" s="203"/>
      <c r="BN101" s="108"/>
      <c r="BO101" s="108"/>
      <c r="BP101" s="108"/>
      <c r="BQ101" s="108"/>
      <c r="BR101" s="108"/>
      <c r="BS101" s="108"/>
      <c r="DZ101" s="109"/>
      <c r="EA101" s="109"/>
    </row>
    <row r="102" spans="1:137" ht="12.75" customHeight="1" x14ac:dyDescent="0.2">
      <c r="A102" s="201" t="s">
        <v>1121</v>
      </c>
      <c r="B102" s="204" t="str">
        <f>IF(ISTEXT(VLOOKUP(CONCATENATE($A102,"_",B$3),'Unit List'!$A$23:$H$3319,2,FALSE)),"+","")</f>
        <v/>
      </c>
      <c r="C102" s="174" t="str">
        <f>IF(ISTEXT(VLOOKUP(CONCATENATE($A102,"_",C$3),'Unit List'!$A$23:$H$3319,2,FALSE)),"X",$B102)</f>
        <v/>
      </c>
      <c r="D102" s="175" t="str">
        <f>IF(ISTEXT(VLOOKUP(CONCATENATE($A102,"_",D$3),'Unit List'!$A$23:$H$3319,2,FALSE)),"X",$B102)</f>
        <v/>
      </c>
      <c r="E102" s="175" t="str">
        <f>IF(ISTEXT(VLOOKUP(CONCATENATE($A102,"_",E$3),'Unit List'!$A$23:$H$3319,2,FALSE)),"X",$B102)</f>
        <v/>
      </c>
      <c r="F102" s="175" t="str">
        <f>IF(ISTEXT(VLOOKUP(CONCATENATE($A102,"_",F$3),'Unit List'!$A$23:$H$3319,2,FALSE)),"X",$B102)</f>
        <v/>
      </c>
      <c r="G102" s="175" t="str">
        <f>IF(ISTEXT(VLOOKUP(CONCATENATE($A102,"_",G$3),'Unit List'!$A$23:$H$3319,2,FALSE)),"X",$B102)</f>
        <v/>
      </c>
      <c r="H102" s="175" t="str">
        <f>IF(ISTEXT(VLOOKUP(CONCATENATE($A102,"_",H$3),'Unit List'!$A$23:$H$3319,2,FALSE)),"X",$B102)</f>
        <v/>
      </c>
      <c r="I102" s="177" t="str">
        <f>IF(ISTEXT(VLOOKUP(CONCATENATE($A102,"_",I$3),'Unit List'!$A$23:$H$3319,2,FALSE)),"X",$B102)</f>
        <v/>
      </c>
      <c r="J102" s="97" t="str">
        <f>IF(ISTEXT(VLOOKUP(CONCATENATE($A102,"_",J$3),'Unit List'!$A$23:$H$3319,2,FALSE)),"+","")</f>
        <v/>
      </c>
      <c r="K102" s="175" t="str">
        <f>IF(ISTEXT(VLOOKUP(CONCATENATE($A102,"_",K$3),'Unit List'!$A$23:$H$3319,2,FALSE)),"X",$J102)</f>
        <v/>
      </c>
      <c r="L102" s="124" t="str">
        <f>IF(ISTEXT(VLOOKUP(CONCATENATE($A102,"_",L$3),'Unit List'!$A$23:$H$3319,2,FALSE)),"X",$J102)</f>
        <v/>
      </c>
      <c r="M102" s="97" t="str">
        <f>IF(ISTEXT(VLOOKUP(CONCATENATE($A102,"_",M$3),'Unit List'!$A$23:$H$3319,2,FALSE)),"+","")</f>
        <v/>
      </c>
      <c r="N102" s="175" t="str">
        <f>IF(ISTEXT(VLOOKUP(CONCATENATE($A102,"_",N$3),'Unit List'!$A$23:$H$3319,2,FALSE)),"X",$M102)</f>
        <v/>
      </c>
      <c r="O102" s="177" t="str">
        <f>IF(ISTEXT(VLOOKUP(CONCATENATE($A102,"_",O$3),'Unit List'!$A$23:$H$3319,2,FALSE)),"X",$M102)</f>
        <v/>
      </c>
      <c r="P102" s="97" t="str">
        <f>IF(ISTEXT(VLOOKUP(CONCATENATE($A102,"_",P$3),'Unit List'!$A$23:$H$3319,2,FALSE)),"+","")</f>
        <v/>
      </c>
      <c r="Q102" s="175" t="str">
        <f>IF(ISTEXT(VLOOKUP(CONCATENATE($A102,"_",Q$3),'Unit List'!$A$23:$H$3319,2,FALSE)),"X",$P102)</f>
        <v/>
      </c>
      <c r="R102" s="175" t="str">
        <f>IF(ISTEXT(VLOOKUP(CONCATENATE($A102,"_",R$3),'Unit List'!$A$23:$H$3319,2,FALSE)),"X",$P102)</f>
        <v/>
      </c>
      <c r="S102" s="175" t="str">
        <f>IF(ISTEXT(VLOOKUP(CONCATENATE($A102,"_",S$3),'Unit List'!$A$23:$H$3319,2,FALSE)),"X",$P102)</f>
        <v/>
      </c>
      <c r="T102" s="176" t="str">
        <f>IF(ISTEXT(VLOOKUP(CONCATENATE($A102,"_",T$3),'Unit List'!$A$23:$H$3319,2,FALSE)),"X",$P102)</f>
        <v/>
      </c>
      <c r="U102" s="175" t="str">
        <f>IF(ISTEXT(VLOOKUP(CONCATENATE($A102,"_",U$3),'Unit List'!$A$23:$H$3319,2,FALSE)),"X",$P102)</f>
        <v/>
      </c>
      <c r="V102" s="175" t="str">
        <f>IF(ISTEXT(VLOOKUP(CONCATENATE($A102,"_",V$3),'Unit List'!$A$23:$H$3319,2,FALSE)),"X",$P102)</f>
        <v/>
      </c>
      <c r="W102" s="177" t="str">
        <f>IF(ISTEXT(VLOOKUP(CONCATENATE($A102,"_",W$3),'Unit List'!$A$23:$H$3319,2,FALSE)),"X",$P102)</f>
        <v/>
      </c>
      <c r="X102" s="97" t="str">
        <f>IF(ISTEXT(VLOOKUP(CONCATENATE($A102,"_",X$3),'Unit List'!$A$23:$H$3319,2,FALSE)),"+","")</f>
        <v/>
      </c>
      <c r="Y102" s="175" t="str">
        <f>IF(ISTEXT(VLOOKUP(CONCATENATE($A102,"_",Y$3),'Unit List'!$A$23:$H$3319,2,FALSE)),"X",$X102)</f>
        <v/>
      </c>
      <c r="Z102" s="175" t="str">
        <f>IF(ISTEXT(VLOOKUP(CONCATENATE($A102,"_",Z$3),'Unit List'!$A$23:$H$3319,2,FALSE)),"X",$X102)</f>
        <v/>
      </c>
      <c r="AA102" s="175" t="str">
        <f>IF(ISTEXT(VLOOKUP(CONCATENATE($A102,"_",AA$3),'Unit List'!$A$23:$H$3319,2,FALSE)),"X",$X102)</f>
        <v/>
      </c>
      <c r="AB102" s="175" t="str">
        <f>IF(ISTEXT(VLOOKUP(CONCATENATE($A102,"_",AB$3),'Unit List'!$A$23:$H$3319,2,FALSE)),"X",$X102)</f>
        <v/>
      </c>
      <c r="AC102" s="124" t="str">
        <f>IF(ISTEXT(VLOOKUP(CONCATENATE($A102,"_",AC$3),'Unit List'!$A$23:$H$3319,2,FALSE)),"X",$X102)</f>
        <v/>
      </c>
      <c r="AD102" s="97" t="str">
        <f>IF(ISTEXT(VLOOKUP(CONCATENATE($A102,"_",AD$3),'Unit List'!$A$23:$H$3319,2,FALSE)),"+","")</f>
        <v/>
      </c>
      <c r="AE102" s="175" t="str">
        <f>IF(ISTEXT(VLOOKUP(CONCATENATE($A102,"_",AE$3),'Unit List'!$A$23:$H$3319,2,FALSE)),"X",$AD102)</f>
        <v/>
      </c>
      <c r="AF102" s="175" t="str">
        <f>IF(ISTEXT(VLOOKUP(CONCATENATE($A102,"_",AF$3),'Unit List'!$A$23:$H$3319,2,FALSE)),"X",$AD102)</f>
        <v/>
      </c>
      <c r="AG102" s="97" t="str">
        <f>IF(ISTEXT(VLOOKUP(CONCATENATE($A102,"_",AG$3),'Unit List'!$A$23:$H$3319,2,FALSE)),"+","")</f>
        <v/>
      </c>
      <c r="AH102" s="175" t="str">
        <f>IF(ISTEXT(VLOOKUP(CONCATENATE($A102,"_",AH$3),'Unit List'!$A$23:$H$3319,2,FALSE)),"X",$AG102)</f>
        <v/>
      </c>
      <c r="AI102" s="175" t="str">
        <f>IF(ISTEXT(VLOOKUP(CONCATENATE($A102,"_",AI$3),'Unit List'!$A$23:$H$3319,2,FALSE)),"X",$AG102)</f>
        <v/>
      </c>
      <c r="AJ102" s="177" t="str">
        <f>IF(ISTEXT(VLOOKUP(CONCATENATE($A102,"_",AJ$3),'Unit List'!$A$23:$H$3319,2,FALSE)),"X",$AG102)</f>
        <v/>
      </c>
      <c r="AK102" s="97" t="str">
        <f>IF(ISTEXT(VLOOKUP(CONCATENATE($A102,"_",AK$3),'Unit List'!$A$23:$H$3319,2,FALSE)),"+","")</f>
        <v/>
      </c>
      <c r="AL102" s="176" t="str">
        <f>IF(ISTEXT(VLOOKUP(CONCATENATE($A102,"_",AL$3),'Unit List'!$A$23:$H$3319,2,FALSE)),"X",$AK102)</f>
        <v/>
      </c>
      <c r="AM102" s="177" t="str">
        <f>IF(ISTEXT(VLOOKUP(CONCATENATE($A102,"_",AM$3),'Unit List'!$A$23:$H$3319,2,FALSE)),"X",$AK102)</f>
        <v/>
      </c>
      <c r="AN102" s="103" t="str">
        <f>IF(ISTEXT(VLOOKUP(CONCATENATE($A102,"_",AN$3),'Unit List'!$A$23:$H$3319,2,FALSE)),"+","")</f>
        <v/>
      </c>
      <c r="AO102" s="177" t="str">
        <f>IF(ISTEXT(VLOOKUP(CONCATENATE($A102,"_",AO$3),'Unit List'!$A$23:$H$3319,2,FALSE)),"X",$AN102)</f>
        <v/>
      </c>
      <c r="AP102" s="97" t="str">
        <f>IF(ISTEXT(VLOOKUP(CONCATENATE($A102,"_",AP$3),'Unit List'!$A$23:$H$3319,2,FALSE)),"+","")</f>
        <v/>
      </c>
      <c r="AQ102" s="175" t="str">
        <f>IF(ISTEXT(VLOOKUP(CONCATENATE($A102,"_",AQ$3),'Unit List'!$A$23:$H$3319,2,FALSE)),"X",$AP102)</f>
        <v/>
      </c>
      <c r="AR102" s="175" t="str">
        <f>IF(ISTEXT(VLOOKUP(CONCATENATE($A102,"_",AR$3),'Unit List'!$A$23:$H$3319,2,FALSE)),"X",$AP102)</f>
        <v/>
      </c>
      <c r="AS102" s="175" t="str">
        <f>IF(ISTEXT(VLOOKUP(CONCATENATE($A102,"_",AS$3),'Unit List'!$A$23:$H$3319,2,FALSE)),"X",$AP102)</f>
        <v/>
      </c>
      <c r="AT102" s="177" t="str">
        <f>IF(ISTEXT(VLOOKUP(CONCATENATE($A102,"_",AT$3),'Unit List'!$A$23:$H$3319,2,FALSE)),"X",$AP102)</f>
        <v/>
      </c>
      <c r="AU102" s="104" t="str">
        <f>IF(ISTEXT(VLOOKUP(CONCATENATE($A102,"_",AU$3),'Unit List'!$A$23:$H$3319,2,FALSE)),"+","")</f>
        <v/>
      </c>
      <c r="AV102" s="175" t="str">
        <f>IF(ISTEXT(VLOOKUP(CONCATENATE($A102,"_",AV$3),'Unit List'!$A$23:$H$3319,2,FALSE)),"X",$AU102)</f>
        <v/>
      </c>
      <c r="AW102" s="177" t="str">
        <f>IF(ISTEXT(VLOOKUP(CONCATENATE($A102,"_",AW$3),'Unit List'!$A$23:$H$3319,2,FALSE)),"X",$AU102)</f>
        <v/>
      </c>
      <c r="AX102" s="97" t="str">
        <f>IF(ISTEXT(VLOOKUP(CONCATENATE($A102,"_",AX$3),'Unit List'!$A$23:$H$3319,2,FALSE)),"+","")</f>
        <v/>
      </c>
      <c r="AY102" s="175" t="str">
        <f>IF(ISTEXT(VLOOKUP(CONCATENATE($A102,"_",AY$3),'Unit List'!$A$23:$H$3319,2,FALSE)),"X",$AX102)</f>
        <v/>
      </c>
      <c r="AZ102" s="177" t="str">
        <f>IF(ISTEXT(VLOOKUP(CONCATENATE($A102,"_",AZ$3),'Unit List'!$A$23:$H$3319,2,FALSE)),"X",$AX102)</f>
        <v/>
      </c>
      <c r="BA102" s="105" t="str">
        <f>IF(ISTEXT(VLOOKUP(CONCATENATE($A102,"_",BA$3),'Unit List'!$A$23:$H$3319,2,FALSE)),"+","")</f>
        <v/>
      </c>
      <c r="BB102" s="175" t="str">
        <f>IF(ISTEXT(VLOOKUP(CONCATENATE($A102,"_",BB$3),'Unit List'!$A$23:$H$3319,2,FALSE)),"X",$BA102)</f>
        <v/>
      </c>
      <c r="BC102" s="175" t="str">
        <f>IF(ISTEXT(VLOOKUP(CONCATENATE($A102,"_",BC$3),'Unit List'!$A$23:$H$3319,2,FALSE)),"X",$BA102)</f>
        <v/>
      </c>
      <c r="BD102" s="177" t="str">
        <f>IF(ISTEXT(VLOOKUP(CONCATENATE($A102,"_",BD$3),'Unit List'!$A$23:$H$3319,2,FALSE)),"X",$BA102)</f>
        <v/>
      </c>
      <c r="BE102" s="103" t="str">
        <f>IF(ISTEXT(VLOOKUP(CONCATENATE($A102,"_",BE$3),'Unit List'!$A$23:$H$3319,2,FALSE)),"+","")</f>
        <v/>
      </c>
      <c r="BF102" s="124" t="str">
        <f>IF(ISTEXT(VLOOKUP(CONCATENATE($A102,"_",BF$3),'Unit List'!$A$23:$H$3319,2,FALSE)),"X",$BE102)</f>
        <v/>
      </c>
      <c r="BG102" s="177"/>
      <c r="BH102" s="107" t="s">
        <v>0</v>
      </c>
      <c r="BI102" s="202"/>
      <c r="BJ102" s="203"/>
      <c r="BK102" s="203"/>
      <c r="BL102" s="203"/>
      <c r="BM102" s="203"/>
      <c r="BN102" s="108"/>
      <c r="BO102" s="108"/>
      <c r="BP102" s="108"/>
      <c r="BQ102" s="108"/>
      <c r="BR102" s="108"/>
      <c r="BS102" s="108"/>
      <c r="DZ102" s="109"/>
      <c r="EA102" s="109"/>
    </row>
    <row r="103" spans="1:137" ht="12.75" customHeight="1" x14ac:dyDescent="0.2">
      <c r="A103" s="201" t="s">
        <v>1154</v>
      </c>
      <c r="B103" s="91" t="str">
        <f>IF(ISTEXT(VLOOKUP(CONCATENATE($A103,"_",B$3),'Unit List'!$A$23:$H$3319,2,FALSE)),"+","")</f>
        <v/>
      </c>
      <c r="C103" s="174" t="str">
        <f>IF(ISTEXT(VLOOKUP(CONCATENATE($A103,"_",C$3),'Unit List'!$A$23:$H$3319,2,FALSE)),"X",$B103)</f>
        <v/>
      </c>
      <c r="D103" s="175" t="str">
        <f>IF(ISTEXT(VLOOKUP(CONCATENATE($A103,"_",D$3),'Unit List'!$A$23:$H$3319,2,FALSE)),"X",$B103)</f>
        <v/>
      </c>
      <c r="E103" s="175" t="str">
        <f>IF(ISTEXT(VLOOKUP(CONCATENATE($A103,"_",E$3),'Unit List'!$A$23:$H$3319,2,FALSE)),"X",$B103)</f>
        <v/>
      </c>
      <c r="F103" s="175" t="str">
        <f>IF(ISTEXT(VLOOKUP(CONCATENATE($A103,"_",F$3),'Unit List'!$A$23:$H$3319,2,FALSE)),"X",$B103)</f>
        <v/>
      </c>
      <c r="G103" s="175" t="str">
        <f>IF(ISTEXT(VLOOKUP(CONCATENATE($A103,"_",G$3),'Unit List'!$A$23:$H$3319,2,FALSE)),"X",$B103)</f>
        <v/>
      </c>
      <c r="H103" s="175" t="str">
        <f>IF(ISTEXT(VLOOKUP(CONCATENATE($A103,"_",H$3),'Unit List'!$A$23:$H$3319,2,FALSE)),"X",$B103)</f>
        <v/>
      </c>
      <c r="I103" s="177" t="str">
        <f>IF(ISTEXT(VLOOKUP(CONCATENATE($A103,"_",I$3),'Unit List'!$A$23:$H$3319,2,FALSE)),"X",$B103)</f>
        <v>X</v>
      </c>
      <c r="J103" s="97" t="str">
        <f>IF(ISTEXT(VLOOKUP(CONCATENATE($A103,"_",J$3),'Unit List'!$A$23:$H$3319,2,FALSE)),"+","")</f>
        <v/>
      </c>
      <c r="K103" s="175" t="str">
        <f>IF(ISTEXT(VLOOKUP(CONCATENATE($A103,"_",K$3),'Unit List'!$A$23:$H$3319,2,FALSE)),"X",$J103)</f>
        <v/>
      </c>
      <c r="L103" s="124" t="str">
        <f>IF(ISTEXT(VLOOKUP(CONCATENATE($A103,"_",L$3),'Unit List'!$A$23:$H$3319,2,FALSE)),"X",$J103)</f>
        <v/>
      </c>
      <c r="M103" s="97" t="str">
        <f>IF(ISTEXT(VLOOKUP(CONCATENATE($A103,"_",M$3),'Unit List'!$A$23:$H$3319,2,FALSE)),"+","")</f>
        <v/>
      </c>
      <c r="N103" s="175" t="str">
        <f>IF(ISTEXT(VLOOKUP(CONCATENATE($A103,"_",N$3),'Unit List'!$A$23:$H$3319,2,FALSE)),"X",$M103)</f>
        <v/>
      </c>
      <c r="O103" s="177" t="str">
        <f>IF(ISTEXT(VLOOKUP(CONCATENATE($A103,"_",O$3),'Unit List'!$A$23:$H$3319,2,FALSE)),"X",$M103)</f>
        <v/>
      </c>
      <c r="P103" s="97" t="str">
        <f>IF(ISTEXT(VLOOKUP(CONCATENATE($A103,"_",P$3),'Unit List'!$A$23:$H$3319,2,FALSE)),"+","")</f>
        <v/>
      </c>
      <c r="Q103" s="175" t="str">
        <f>IF(ISTEXT(VLOOKUP(CONCATENATE($A103,"_",Q$3),'Unit List'!$A$23:$H$3319,2,FALSE)),"X",$P103)</f>
        <v/>
      </c>
      <c r="R103" s="175" t="str">
        <f>IF(ISTEXT(VLOOKUP(CONCATENATE($A103,"_",R$3),'Unit List'!$A$23:$H$3319,2,FALSE)),"X",$P103)</f>
        <v/>
      </c>
      <c r="S103" s="175" t="str">
        <f>IF(ISTEXT(VLOOKUP(CONCATENATE($A103,"_",S$3),'Unit List'!$A$23:$H$3319,2,FALSE)),"X",$P103)</f>
        <v/>
      </c>
      <c r="T103" s="176" t="str">
        <f>IF(ISTEXT(VLOOKUP(CONCATENATE($A103,"_",T$3),'Unit List'!$A$23:$H$3319,2,FALSE)),"X",$P103)</f>
        <v/>
      </c>
      <c r="U103" s="175" t="str">
        <f>IF(ISTEXT(VLOOKUP(CONCATENATE($A103,"_",U$3),'Unit List'!$A$23:$H$3319,2,FALSE)),"X",$P103)</f>
        <v/>
      </c>
      <c r="V103" s="175" t="str">
        <f>IF(ISTEXT(VLOOKUP(CONCATENATE($A103,"_",V$3),'Unit List'!$A$23:$H$3319,2,FALSE)),"X",$P103)</f>
        <v/>
      </c>
      <c r="W103" s="177" t="str">
        <f>IF(ISTEXT(VLOOKUP(CONCATENATE($A103,"_",W$3),'Unit List'!$A$23:$H$3319,2,FALSE)),"X",$P103)</f>
        <v/>
      </c>
      <c r="X103" s="97" t="str">
        <f>IF(ISTEXT(VLOOKUP(CONCATENATE($A103,"_",X$3),'Unit List'!$A$23:$H$3319,2,FALSE)),"+","")</f>
        <v/>
      </c>
      <c r="Y103" s="175" t="str">
        <f>IF(ISTEXT(VLOOKUP(CONCATENATE($A103,"_",Y$3),'Unit List'!$A$23:$H$3319,2,FALSE)),"X",$X103)</f>
        <v/>
      </c>
      <c r="Z103" s="175" t="str">
        <f>IF(ISTEXT(VLOOKUP(CONCATENATE($A103,"_",Z$3),'Unit List'!$A$23:$H$3319,2,FALSE)),"X",$X103)</f>
        <v/>
      </c>
      <c r="AA103" s="175" t="str">
        <f>IF(ISTEXT(VLOOKUP(CONCATENATE($A103,"_",AA$3),'Unit List'!$A$23:$H$3319,2,FALSE)),"X",$X103)</f>
        <v/>
      </c>
      <c r="AB103" s="175" t="str">
        <f>IF(ISTEXT(VLOOKUP(CONCATENATE($A103,"_",AB$3),'Unit List'!$A$23:$H$3319,2,FALSE)),"X",$X103)</f>
        <v/>
      </c>
      <c r="AC103" s="124" t="str">
        <f>IF(ISTEXT(VLOOKUP(CONCATENATE($A103,"_",AC$3),'Unit List'!$A$23:$H$3319,2,FALSE)),"X",$X103)</f>
        <v/>
      </c>
      <c r="AD103" s="97" t="str">
        <f>IF(ISTEXT(VLOOKUP(CONCATENATE($A103,"_",AD$3),'Unit List'!$A$23:$H$3319,2,FALSE)),"+","")</f>
        <v/>
      </c>
      <c r="AE103" s="175" t="str">
        <f>IF(ISTEXT(VLOOKUP(CONCATENATE($A103,"_",AE$3),'Unit List'!$A$23:$H$3319,2,FALSE)),"X",$AD103)</f>
        <v/>
      </c>
      <c r="AF103" s="175" t="str">
        <f>IF(ISTEXT(VLOOKUP(CONCATENATE($A103,"_",AF$3),'Unit List'!$A$23:$H$3319,2,FALSE)),"X",$AD103)</f>
        <v/>
      </c>
      <c r="AG103" s="97" t="str">
        <f>IF(ISTEXT(VLOOKUP(CONCATENATE($A103,"_",AG$3),'Unit List'!$A$23:$H$3319,2,FALSE)),"+","")</f>
        <v/>
      </c>
      <c r="AH103" s="175" t="str">
        <f>IF(ISTEXT(VLOOKUP(CONCATENATE($A103,"_",AH$3),'Unit List'!$A$23:$H$3319,2,FALSE)),"X",$AG103)</f>
        <v/>
      </c>
      <c r="AI103" s="175" t="str">
        <f>IF(ISTEXT(VLOOKUP(CONCATENATE($A103,"_",AI$3),'Unit List'!$A$23:$H$3319,2,FALSE)),"X",$AG103)</f>
        <v/>
      </c>
      <c r="AJ103" s="177" t="str">
        <f>IF(ISTEXT(VLOOKUP(CONCATENATE($A103,"_",AJ$3),'Unit List'!$A$23:$H$3319,2,FALSE)),"X",$AG103)</f>
        <v/>
      </c>
      <c r="AK103" s="97" t="str">
        <f>IF(ISTEXT(VLOOKUP(CONCATENATE($A103,"_",AK$3),'Unit List'!$A$23:$H$3319,2,FALSE)),"+","")</f>
        <v/>
      </c>
      <c r="AL103" s="176" t="str">
        <f>IF(ISTEXT(VLOOKUP(CONCATENATE($A103,"_",AL$3),'Unit List'!$A$23:$H$3319,2,FALSE)),"X",$AK103)</f>
        <v/>
      </c>
      <c r="AM103" s="177" t="str">
        <f>IF(ISTEXT(VLOOKUP(CONCATENATE($A103,"_",AM$3),'Unit List'!$A$23:$H$3319,2,FALSE)),"X",$AK103)</f>
        <v/>
      </c>
      <c r="AN103" s="103" t="str">
        <f>IF(ISTEXT(VLOOKUP(CONCATENATE($A103,"_",AN$3),'Unit List'!$A$23:$H$3319,2,FALSE)),"+","")</f>
        <v/>
      </c>
      <c r="AO103" s="177" t="str">
        <f>IF(ISTEXT(VLOOKUP(CONCATENATE($A103,"_",AO$3),'Unit List'!$A$23:$H$3319,2,FALSE)),"X",$AN103)</f>
        <v/>
      </c>
      <c r="AP103" s="97" t="str">
        <f>IF(ISTEXT(VLOOKUP(CONCATENATE($A103,"_",AP$3),'Unit List'!$A$23:$H$3319,2,FALSE)),"+","")</f>
        <v>+</v>
      </c>
      <c r="AQ103" s="175" t="str">
        <f>IF(ISTEXT(VLOOKUP(CONCATENATE($A103,"_",AQ$3),'Unit List'!$A$23:$H$3319,2,FALSE)),"X",$AP103)</f>
        <v>+</v>
      </c>
      <c r="AR103" s="175" t="str">
        <f>IF(ISTEXT(VLOOKUP(CONCATENATE($A103,"_",AR$3),'Unit List'!$A$23:$H$3319,2,FALSE)),"X",$AP103)</f>
        <v>+</v>
      </c>
      <c r="AS103" s="175" t="str">
        <f>IF(ISTEXT(VLOOKUP(CONCATENATE($A103,"_",AS$3),'Unit List'!$A$23:$H$3319,2,FALSE)),"X",$AP103)</f>
        <v>+</v>
      </c>
      <c r="AT103" s="177" t="str">
        <f>IF(ISTEXT(VLOOKUP(CONCATENATE($A103,"_",AT$3),'Unit List'!$A$23:$H$3319,2,FALSE)),"X",$AP103)</f>
        <v>+</v>
      </c>
      <c r="AU103" s="104" t="str">
        <f>IF(ISTEXT(VLOOKUP(CONCATENATE($A103,"_",AU$3),'Unit List'!$A$23:$H$3319,2,FALSE)),"+","")</f>
        <v>+</v>
      </c>
      <c r="AV103" s="175" t="str">
        <f>IF(ISTEXT(VLOOKUP(CONCATENATE($A103,"_",AV$3),'Unit List'!$A$23:$H$3319,2,FALSE)),"X",$AU103)</f>
        <v>+</v>
      </c>
      <c r="AW103" s="177" t="str">
        <f>IF(ISTEXT(VLOOKUP(CONCATENATE($A103,"_",AW$3),'Unit List'!$A$23:$H$3319,2,FALSE)),"X",$AU103)</f>
        <v>+</v>
      </c>
      <c r="AX103" s="97" t="str">
        <f>IF(ISTEXT(VLOOKUP(CONCATENATE($A103,"_",AX$3),'Unit List'!$A$23:$H$3319,2,FALSE)),"+","")</f>
        <v/>
      </c>
      <c r="AY103" s="175" t="str">
        <f>IF(ISTEXT(VLOOKUP(CONCATENATE($A103,"_",AY$3),'Unit List'!$A$23:$H$3319,2,FALSE)),"X",$AX103)</f>
        <v/>
      </c>
      <c r="AZ103" s="177" t="str">
        <f>IF(ISTEXT(VLOOKUP(CONCATENATE($A103,"_",AZ$3),'Unit List'!$A$23:$H$3319,2,FALSE)),"X",$AX103)</f>
        <v/>
      </c>
      <c r="BA103" s="105" t="str">
        <f>IF(ISTEXT(VLOOKUP(CONCATENATE($A103,"_",BA$3),'Unit List'!$A$23:$H$3319,2,FALSE)),"+","")</f>
        <v>+</v>
      </c>
      <c r="BB103" s="175" t="str">
        <f>IF(ISTEXT(VLOOKUP(CONCATENATE($A103,"_",BB$3),'Unit List'!$A$23:$H$3319,2,FALSE)),"X",$BA103)</f>
        <v>+</v>
      </c>
      <c r="BC103" s="175" t="str">
        <f>IF(ISTEXT(VLOOKUP(CONCATENATE($A103,"_",BC$3),'Unit List'!$A$23:$H$3319,2,FALSE)),"X",$BA103)</f>
        <v>+</v>
      </c>
      <c r="BD103" s="177" t="str">
        <f>IF(ISTEXT(VLOOKUP(CONCATENATE($A103,"_",BD$3),'Unit List'!$A$23:$H$3319,2,FALSE)),"X",$BA103)</f>
        <v>+</v>
      </c>
      <c r="BE103" s="103" t="str">
        <f>IF(ISTEXT(VLOOKUP(CONCATENATE($A103,"_",BE$3),'Unit List'!$A$23:$H$3319,2,FALSE)),"+","")</f>
        <v>+</v>
      </c>
      <c r="BF103" s="124" t="str">
        <f>IF(ISTEXT(VLOOKUP(CONCATENATE($A103,"_",BF$3),'Unit List'!$A$23:$H$3319,2,FALSE)),"X",$BE103)</f>
        <v>+</v>
      </c>
      <c r="BG103" s="177"/>
      <c r="BH103" s="133"/>
      <c r="BI103" s="207"/>
      <c r="BJ103" s="208"/>
      <c r="BK103" s="208"/>
      <c r="BL103" s="209"/>
      <c r="BM103" s="209"/>
      <c r="BN103" s="108"/>
      <c r="BO103" s="108"/>
      <c r="BP103" s="108"/>
      <c r="BQ103" s="108"/>
      <c r="BR103" s="108"/>
      <c r="BS103" s="108"/>
      <c r="DZ103" s="109"/>
      <c r="EA103" s="109"/>
    </row>
    <row r="104" spans="1:137" ht="12.75" customHeight="1" x14ac:dyDescent="0.2">
      <c r="A104" s="211" t="s">
        <v>1155</v>
      </c>
      <c r="B104" s="160" t="str">
        <f>IF(ISTEXT(VLOOKUP(CONCATENATE($A104,"_",B$3),'Unit List'!$A$23:$H$3319,2,FALSE)),"+","")</f>
        <v/>
      </c>
      <c r="C104" s="191" t="str">
        <f>IF(ISTEXT(VLOOKUP(CONCATENATE($A104,"_",C$3),'Unit List'!$A$23:$H$3319,2,FALSE)),"X",$B104)</f>
        <v/>
      </c>
      <c r="D104" s="192" t="str">
        <f>IF(ISTEXT(VLOOKUP(CONCATENATE($A104,"_",D$3),'Unit List'!$A$23:$H$3319,2,FALSE)),"X",$B104)</f>
        <v/>
      </c>
      <c r="E104" s="192" t="str">
        <f>IF(ISTEXT(VLOOKUP(CONCATENATE($A104,"_",E$3),'Unit List'!$A$23:$H$3319,2,FALSE)),"X",$B104)</f>
        <v/>
      </c>
      <c r="F104" s="192" t="str">
        <f>IF(ISTEXT(VLOOKUP(CONCATENATE($A104,"_",F$3),'Unit List'!$A$23:$H$3319,2,FALSE)),"X",$B104)</f>
        <v/>
      </c>
      <c r="G104" s="192" t="str">
        <f>IF(ISTEXT(VLOOKUP(CONCATENATE($A104,"_",G$3),'Unit List'!$A$23:$H$3319,2,FALSE)),"X",$B104)</f>
        <v/>
      </c>
      <c r="H104" s="192" t="str">
        <f>IF(ISTEXT(VLOOKUP(CONCATENATE($A104,"_",H$3),'Unit List'!$A$23:$H$3319,2,FALSE)),"X",$B104)</f>
        <v/>
      </c>
      <c r="I104" s="193" t="str">
        <f>IF(ISTEXT(VLOOKUP(CONCATENATE($A104,"_",I$3),'Unit List'!$A$23:$H$3319,2,FALSE)),"X",$B104)</f>
        <v/>
      </c>
      <c r="J104" s="97" t="str">
        <f>IF(ISTEXT(VLOOKUP(CONCATENATE($A104,"_",J$3),'Unit List'!$A$23:$H$3319,2,FALSE)),"+","")</f>
        <v/>
      </c>
      <c r="K104" s="192" t="str">
        <f>IF(ISTEXT(VLOOKUP(CONCATENATE($A104,"_",K$3),'Unit List'!$A$23:$H$3319,2,FALSE)),"X",$J104)</f>
        <v/>
      </c>
      <c r="L104" s="171" t="str">
        <f>IF(ISTEXT(VLOOKUP(CONCATENATE($A104,"_",L$3),'Unit List'!$A$23:$H$3319,2,FALSE)),"X",$J104)</f>
        <v/>
      </c>
      <c r="M104" s="164" t="str">
        <f>IF(ISTEXT(VLOOKUP(CONCATENATE($A104,"_",M$3),'Unit List'!$A$23:$H$3319,2,FALSE)),"+","")</f>
        <v/>
      </c>
      <c r="N104" s="192" t="str">
        <f>IF(ISTEXT(VLOOKUP(CONCATENATE($A104,"_",N$3),'Unit List'!$A$23:$H$3319,2,FALSE)),"X",$M104)</f>
        <v/>
      </c>
      <c r="O104" s="193" t="str">
        <f>IF(ISTEXT(VLOOKUP(CONCATENATE($A104,"_",O$3),'Unit List'!$A$23:$H$3319,2,FALSE)),"X",$M104)</f>
        <v/>
      </c>
      <c r="P104" s="164" t="str">
        <f>IF(ISTEXT(VLOOKUP(CONCATENATE($A104,"_",P$3),'Unit List'!$A$23:$H$3319,2,FALSE)),"+","")</f>
        <v/>
      </c>
      <c r="Q104" s="192" t="str">
        <f>IF(ISTEXT(VLOOKUP(CONCATENATE($A104,"_",Q$3),'Unit List'!$A$23:$H$3319,2,FALSE)),"X",$P104)</f>
        <v/>
      </c>
      <c r="R104" s="192" t="str">
        <f>IF(ISTEXT(VLOOKUP(CONCATENATE($A104,"_",R$3),'Unit List'!$A$23:$H$3319,2,FALSE)),"X",$P104)</f>
        <v/>
      </c>
      <c r="S104" s="192" t="str">
        <f>IF(ISTEXT(VLOOKUP(CONCATENATE($A104,"_",S$3),'Unit List'!$A$23:$H$3319,2,FALSE)),"X",$P104)</f>
        <v/>
      </c>
      <c r="T104" s="194" t="str">
        <f>IF(ISTEXT(VLOOKUP(CONCATENATE($A104,"_",T$3),'Unit List'!$A$23:$H$3319,2,FALSE)),"X",$P104)</f>
        <v/>
      </c>
      <c r="U104" s="192" t="str">
        <f>IF(ISTEXT(VLOOKUP(CONCATENATE($A104,"_",U$3),'Unit List'!$A$23:$H$3319,2,FALSE)),"X",$P104)</f>
        <v/>
      </c>
      <c r="V104" s="192" t="str">
        <f>IF(ISTEXT(VLOOKUP(CONCATENATE($A104,"_",V$3),'Unit List'!$A$23:$H$3319,2,FALSE)),"X",$P104)</f>
        <v/>
      </c>
      <c r="W104" s="193" t="str">
        <f>IF(ISTEXT(VLOOKUP(CONCATENATE($A104,"_",W$3),'Unit List'!$A$23:$H$3319,2,FALSE)),"X",$P104)</f>
        <v/>
      </c>
      <c r="X104" s="164" t="str">
        <f>IF(ISTEXT(VLOOKUP(CONCATENATE($A104,"_",X$3),'Unit List'!$A$23:$H$3319,2,FALSE)),"+","")</f>
        <v/>
      </c>
      <c r="Y104" s="192" t="str">
        <f>IF(ISTEXT(VLOOKUP(CONCATENATE($A104,"_",Y$3),'Unit List'!$A$23:$H$3319,2,FALSE)),"X",$X104)</f>
        <v/>
      </c>
      <c r="Z104" s="192" t="str">
        <f>IF(ISTEXT(VLOOKUP(CONCATENATE($A104,"_",Z$3),'Unit List'!$A$23:$H$3319,2,FALSE)),"X",$X104)</f>
        <v/>
      </c>
      <c r="AA104" s="192" t="str">
        <f>IF(ISTEXT(VLOOKUP(CONCATENATE($A104,"_",AA$3),'Unit List'!$A$23:$H$3319,2,FALSE)),"X",$X104)</f>
        <v/>
      </c>
      <c r="AB104" s="192" t="str">
        <f>IF(ISTEXT(VLOOKUP(CONCATENATE($A104,"_",AB$3),'Unit List'!$A$23:$H$3319,2,FALSE)),"X",$X104)</f>
        <v/>
      </c>
      <c r="AC104" s="171" t="str">
        <f>IF(ISTEXT(VLOOKUP(CONCATENATE($A104,"_",AC$3),'Unit List'!$A$23:$H$3319,2,FALSE)),"X",$X104)</f>
        <v/>
      </c>
      <c r="AD104" s="164" t="str">
        <f>IF(ISTEXT(VLOOKUP(CONCATENATE($A104,"_",AD$3),'Unit List'!$A$23:$H$3319,2,FALSE)),"+","")</f>
        <v/>
      </c>
      <c r="AE104" s="192" t="str">
        <f>IF(ISTEXT(VLOOKUP(CONCATENATE($A104,"_",AE$3),'Unit List'!$A$23:$H$3319,2,FALSE)),"X",$AD104)</f>
        <v/>
      </c>
      <c r="AF104" s="192" t="str">
        <f>IF(ISTEXT(VLOOKUP(CONCATENATE($A104,"_",AF$3),'Unit List'!$A$23:$H$3319,2,FALSE)),"X",$AD104)</f>
        <v/>
      </c>
      <c r="AG104" s="164" t="str">
        <f>IF(ISTEXT(VLOOKUP(CONCATENATE($A104,"_",AG$3),'Unit List'!$A$23:$H$3319,2,FALSE)),"+","")</f>
        <v/>
      </c>
      <c r="AH104" s="192" t="str">
        <f>IF(ISTEXT(VLOOKUP(CONCATENATE($A104,"_",AH$3),'Unit List'!$A$23:$H$3319,2,FALSE)),"X",$AG104)</f>
        <v/>
      </c>
      <c r="AI104" s="192" t="str">
        <f>IF(ISTEXT(VLOOKUP(CONCATENATE($A104,"_",AI$3),'Unit List'!$A$23:$H$3319,2,FALSE)),"X",$AG104)</f>
        <v/>
      </c>
      <c r="AJ104" s="193" t="str">
        <f>IF(ISTEXT(VLOOKUP(CONCATENATE($A104,"_",AJ$3),'Unit List'!$A$23:$H$3319,2,FALSE)),"X",$AG104)</f>
        <v/>
      </c>
      <c r="AK104" s="164" t="str">
        <f>IF(ISTEXT(VLOOKUP(CONCATENATE($A104,"_",AK$3),'Unit List'!$A$23:$H$3319,2,FALSE)),"+","")</f>
        <v/>
      </c>
      <c r="AL104" s="194" t="str">
        <f>IF(ISTEXT(VLOOKUP(CONCATENATE($A104,"_",AL$3),'Unit List'!$A$23:$H$3319,2,FALSE)),"X",$AK104)</f>
        <v/>
      </c>
      <c r="AM104" s="193" t="str">
        <f>IF(ISTEXT(VLOOKUP(CONCATENATE($A104,"_",AM$3),'Unit List'!$A$23:$H$3319,2,FALSE)),"X",$AK104)</f>
        <v/>
      </c>
      <c r="AN104" s="168" t="str">
        <f>IF(ISTEXT(VLOOKUP(CONCATENATE($A104,"_",AN$3),'Unit List'!$A$23:$H$3319,2,FALSE)),"+","")</f>
        <v/>
      </c>
      <c r="AO104" s="193" t="str">
        <f>IF(ISTEXT(VLOOKUP(CONCATENATE($A104,"_",AO$3),'Unit List'!$A$23:$H$3319,2,FALSE)),"X",$AN104)</f>
        <v/>
      </c>
      <c r="AP104" s="164" t="str">
        <f>IF(ISTEXT(VLOOKUP(CONCATENATE($A104,"_",AP$3),'Unit List'!$A$23:$H$3319,2,FALSE)),"+","")</f>
        <v/>
      </c>
      <c r="AQ104" s="192" t="str">
        <f>IF(ISTEXT(VLOOKUP(CONCATENATE($A104,"_",AQ$3),'Unit List'!$A$23:$H$3319,2,FALSE)),"X",$AP104)</f>
        <v/>
      </c>
      <c r="AR104" s="192" t="str">
        <f>IF(ISTEXT(VLOOKUP(CONCATENATE($A104,"_",AR$3),'Unit List'!$A$23:$H$3319,2,FALSE)),"X",$AP104)</f>
        <v/>
      </c>
      <c r="AS104" s="192" t="str">
        <f>IF(ISTEXT(VLOOKUP(CONCATENATE($A104,"_",AS$3),'Unit List'!$A$23:$H$3319,2,FALSE)),"X",$AP104)</f>
        <v/>
      </c>
      <c r="AT104" s="193" t="str">
        <f>IF(ISTEXT(VLOOKUP(CONCATENATE($A104,"_",AT$3),'Unit List'!$A$23:$H$3319,2,FALSE)),"X",$AP104)</f>
        <v/>
      </c>
      <c r="AU104" s="169" t="str">
        <f>IF(ISTEXT(VLOOKUP(CONCATENATE($A104,"_",AU$3),'Unit List'!$A$23:$H$3319,2,FALSE)),"+","")</f>
        <v/>
      </c>
      <c r="AV104" s="192" t="str">
        <f>IF(ISTEXT(VLOOKUP(CONCATENATE($A104,"_",AV$3),'Unit List'!$A$23:$H$3319,2,FALSE)),"X",$AU104)</f>
        <v/>
      </c>
      <c r="AW104" s="193" t="str">
        <f>IF(ISTEXT(VLOOKUP(CONCATENATE($A104,"_",AW$3),'Unit List'!$A$23:$H$3319,2,FALSE)),"X",$AU104)</f>
        <v/>
      </c>
      <c r="AX104" s="164" t="str">
        <f>IF(ISTEXT(VLOOKUP(CONCATENATE($A104,"_",AX$3),'Unit List'!$A$23:$H$3319,2,FALSE)),"+","")</f>
        <v/>
      </c>
      <c r="AY104" s="192" t="str">
        <f>IF(ISTEXT(VLOOKUP(CONCATENATE($A104,"_",AY$3),'Unit List'!$A$23:$H$3319,2,FALSE)),"X",$AX104)</f>
        <v/>
      </c>
      <c r="AZ104" s="193" t="str">
        <f>IF(ISTEXT(VLOOKUP(CONCATENATE($A104,"_",AZ$3),'Unit List'!$A$23:$H$3319,2,FALSE)),"X",$AX104)</f>
        <v/>
      </c>
      <c r="BA104" s="170" t="str">
        <f>IF(ISTEXT(VLOOKUP(CONCATENATE($A104,"_",BA$3),'Unit List'!$A$23:$H$3319,2,FALSE)),"+","")</f>
        <v/>
      </c>
      <c r="BB104" s="192" t="str">
        <f>IF(ISTEXT(VLOOKUP(CONCATENATE($A104,"_",BB$3),'Unit List'!$A$23:$H$3319,2,FALSE)),"X",$BA104)</f>
        <v/>
      </c>
      <c r="BC104" s="192" t="str">
        <f>IF(ISTEXT(VLOOKUP(CONCATENATE($A104,"_",BC$3),'Unit List'!$A$23:$H$3319,2,FALSE)),"X",$BA104)</f>
        <v/>
      </c>
      <c r="BD104" s="193" t="str">
        <f>IF(ISTEXT(VLOOKUP(CONCATENATE($A104,"_",BD$3),'Unit List'!$A$23:$H$3319,2,FALSE)),"X",$BA104)</f>
        <v/>
      </c>
      <c r="BE104" s="168" t="str">
        <f>IF(ISTEXT(VLOOKUP(CONCATENATE($A104,"_",BE$3),'Unit List'!$A$23:$H$3319,2,FALSE)),"+","")</f>
        <v/>
      </c>
      <c r="BF104" s="171" t="str">
        <f>IF(ISTEXT(VLOOKUP(CONCATENATE($A104,"_",BF$3),'Unit List'!$A$23:$H$3319,2,FALSE)),"X",$BE104)</f>
        <v/>
      </c>
      <c r="BG104" s="193"/>
      <c r="BH104" s="172"/>
      <c r="BI104" s="207"/>
      <c r="BJ104" s="208"/>
      <c r="BK104" s="208"/>
      <c r="BL104" s="209"/>
      <c r="BM104" s="209"/>
      <c r="BN104" s="108"/>
      <c r="BO104" s="108"/>
      <c r="BP104" s="108"/>
      <c r="BQ104" s="108"/>
      <c r="BR104" s="108"/>
      <c r="BS104" s="108"/>
      <c r="DZ104" s="109"/>
      <c r="EA104" s="109"/>
    </row>
    <row r="105" spans="1:137" x14ac:dyDescent="0.25">
      <c r="C105" s="212"/>
      <c r="F105" s="108"/>
      <c r="G105" s="108"/>
      <c r="H105" s="108"/>
      <c r="J105" s="108"/>
      <c r="K105" s="108"/>
      <c r="L105" s="108"/>
      <c r="O105" s="108"/>
      <c r="Q105" s="108"/>
      <c r="Z105" s="108"/>
      <c r="AA105" s="108"/>
      <c r="AC105" s="108"/>
      <c r="AD105" s="108"/>
      <c r="AG105" s="108"/>
      <c r="AI105" s="108"/>
      <c r="AJ105" s="108"/>
      <c r="AS105" s="108"/>
      <c r="BC105" s="108"/>
      <c r="BF105" s="108"/>
      <c r="BK105" s="108"/>
      <c r="BY105" s="108"/>
      <c r="BZ105" s="108"/>
      <c r="CG105" s="108"/>
      <c r="CH105" s="108"/>
      <c r="CK105" s="108"/>
      <c r="CN105" s="108"/>
      <c r="CP105" s="108"/>
      <c r="CS105" s="108"/>
      <c r="CU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R105" s="108"/>
      <c r="DS105" s="108"/>
      <c r="DT105" s="108"/>
      <c r="DU105" s="108"/>
      <c r="DV105" s="108"/>
      <c r="DY105" s="108"/>
      <c r="DZ105" s="183"/>
      <c r="EA105" s="183"/>
      <c r="EB105" s="108"/>
      <c r="EC105" s="108"/>
      <c r="ED105" s="108"/>
      <c r="EE105" s="108"/>
      <c r="EF105" s="108"/>
      <c r="EG105" s="108"/>
    </row>
    <row r="106" spans="1:137" x14ac:dyDescent="0.25">
      <c r="C106" s="212"/>
      <c r="F106" s="108"/>
      <c r="G106" s="108"/>
      <c r="H106" s="108"/>
      <c r="J106" s="108"/>
      <c r="K106" s="108"/>
      <c r="L106" s="108"/>
      <c r="O106" s="108"/>
      <c r="Q106" s="108"/>
      <c r="Z106" s="108"/>
      <c r="AA106" s="108"/>
      <c r="AC106" s="108"/>
      <c r="AD106" s="108"/>
      <c r="AG106" s="108"/>
      <c r="AI106" s="108"/>
      <c r="AJ106" s="108"/>
      <c r="AS106" s="108"/>
      <c r="BC106" s="108"/>
      <c r="BF106" s="108"/>
      <c r="BK106" s="108"/>
      <c r="BY106" s="108"/>
      <c r="BZ106" s="108"/>
      <c r="CG106" s="108"/>
      <c r="CH106" s="108"/>
      <c r="CK106" s="108"/>
      <c r="CN106" s="108"/>
      <c r="CP106" s="108"/>
      <c r="CS106" s="108"/>
      <c r="CU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R106" s="108"/>
      <c r="DS106" s="108"/>
      <c r="DT106" s="108"/>
      <c r="DU106" s="108"/>
      <c r="DV106" s="108"/>
      <c r="DY106" s="108"/>
      <c r="DZ106" s="183"/>
      <c r="EA106" s="183"/>
      <c r="EB106" s="108"/>
      <c r="EC106" s="108"/>
      <c r="ED106" s="108"/>
      <c r="EE106" s="108"/>
      <c r="EF106" s="108"/>
      <c r="EG106" s="108"/>
    </row>
    <row r="107" spans="1:137" x14ac:dyDescent="0.25">
      <c r="C107" s="212"/>
      <c r="F107" s="108"/>
      <c r="G107" s="108"/>
      <c r="H107" s="108"/>
      <c r="J107" s="108"/>
      <c r="K107" s="108"/>
      <c r="L107" s="108"/>
      <c r="O107" s="108"/>
      <c r="Q107" s="108"/>
      <c r="Z107" s="108"/>
      <c r="AA107" s="108"/>
      <c r="AC107" s="108"/>
      <c r="AD107" s="108"/>
      <c r="AG107" s="108"/>
      <c r="AI107" s="108"/>
      <c r="AJ107" s="108"/>
      <c r="AS107" s="108"/>
      <c r="BC107" s="108"/>
      <c r="BF107" s="108"/>
      <c r="BK107" s="108"/>
      <c r="BY107" s="108"/>
      <c r="BZ107" s="108"/>
      <c r="CG107" s="108"/>
      <c r="CH107" s="108"/>
      <c r="CK107" s="108"/>
      <c r="CN107" s="108"/>
      <c r="CP107" s="108"/>
      <c r="CS107" s="108"/>
      <c r="CU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R107" s="108"/>
      <c r="DS107" s="108"/>
      <c r="DT107" s="108"/>
      <c r="DU107" s="108"/>
      <c r="DV107" s="108"/>
      <c r="DY107" s="108"/>
      <c r="DZ107" s="183"/>
      <c r="EA107" s="183"/>
      <c r="EB107" s="108"/>
      <c r="EC107" s="108"/>
      <c r="ED107" s="108"/>
      <c r="EE107" s="108"/>
      <c r="EF107" s="108"/>
      <c r="EG107" s="108"/>
    </row>
    <row r="108" spans="1:137" x14ac:dyDescent="0.25">
      <c r="C108" s="212"/>
      <c r="F108" s="108"/>
      <c r="G108" s="108"/>
      <c r="H108" s="108"/>
      <c r="J108" s="108"/>
      <c r="K108" s="108"/>
      <c r="L108" s="108"/>
      <c r="O108" s="108"/>
      <c r="Q108" s="108"/>
      <c r="Z108" s="108"/>
      <c r="AA108" s="108"/>
      <c r="AC108" s="108"/>
      <c r="AD108" s="108"/>
      <c r="AG108" s="108"/>
      <c r="AI108" s="108"/>
      <c r="AJ108" s="108"/>
      <c r="AS108" s="108"/>
      <c r="BC108" s="108"/>
      <c r="BF108" s="108"/>
      <c r="BK108" s="108"/>
      <c r="BY108" s="108"/>
      <c r="BZ108" s="108"/>
      <c r="CG108" s="108"/>
      <c r="CH108" s="108"/>
      <c r="CK108" s="108"/>
      <c r="CN108" s="108"/>
      <c r="CP108" s="108"/>
      <c r="CS108" s="108"/>
      <c r="CU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R108" s="108"/>
      <c r="DS108" s="108"/>
      <c r="DT108" s="108"/>
      <c r="DU108" s="108"/>
      <c r="DV108" s="108"/>
      <c r="DY108" s="108"/>
      <c r="DZ108" s="183"/>
      <c r="EA108" s="183"/>
      <c r="EB108" s="108"/>
      <c r="EC108" s="108"/>
      <c r="ED108" s="108"/>
      <c r="EE108" s="108"/>
      <c r="EF108" s="108"/>
      <c r="EG108" s="108"/>
    </row>
    <row r="109" spans="1:137" x14ac:dyDescent="0.25">
      <c r="C109" s="212"/>
      <c r="F109" s="108"/>
      <c r="G109" s="108"/>
      <c r="H109" s="108"/>
      <c r="J109" s="108"/>
      <c r="K109" s="108"/>
      <c r="L109" s="108"/>
      <c r="O109" s="108"/>
      <c r="Q109" s="108"/>
      <c r="Z109" s="108"/>
      <c r="AA109" s="108"/>
      <c r="AC109" s="108"/>
      <c r="AD109" s="108"/>
      <c r="AG109" s="108"/>
      <c r="AI109" s="108"/>
      <c r="AJ109" s="108"/>
      <c r="AS109" s="108"/>
      <c r="BC109" s="108"/>
      <c r="BF109" s="108"/>
      <c r="BK109" s="108"/>
      <c r="BY109" s="108"/>
      <c r="BZ109" s="108"/>
      <c r="CG109" s="108"/>
      <c r="CH109" s="108"/>
      <c r="CK109" s="108"/>
      <c r="CN109" s="108"/>
      <c r="CP109" s="108"/>
      <c r="CS109" s="108"/>
      <c r="CU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R109" s="108"/>
      <c r="DS109" s="108"/>
      <c r="DT109" s="108"/>
      <c r="DU109" s="108"/>
      <c r="DV109" s="108"/>
      <c r="DY109" s="108"/>
      <c r="DZ109" s="183"/>
      <c r="EA109" s="183"/>
      <c r="EB109" s="108"/>
      <c r="EC109" s="108"/>
      <c r="ED109" s="108"/>
      <c r="EE109" s="108"/>
      <c r="EF109" s="108"/>
      <c r="EG109" s="108"/>
    </row>
    <row r="110" spans="1:137" x14ac:dyDescent="0.25">
      <c r="C110" s="212"/>
      <c r="F110" s="108"/>
      <c r="G110" s="108"/>
      <c r="H110" s="108"/>
      <c r="J110" s="108"/>
      <c r="K110" s="108"/>
      <c r="L110" s="108"/>
      <c r="O110" s="108"/>
      <c r="Q110" s="108"/>
      <c r="Z110" s="108"/>
      <c r="AA110" s="108"/>
      <c r="AC110" s="108"/>
      <c r="AD110" s="108"/>
      <c r="AG110" s="108"/>
      <c r="AI110" s="108"/>
      <c r="AJ110" s="108"/>
      <c r="AS110" s="108"/>
      <c r="BC110" s="108"/>
      <c r="BF110" s="108"/>
      <c r="BK110" s="108"/>
      <c r="BY110" s="108"/>
      <c r="BZ110" s="108"/>
      <c r="CG110" s="108"/>
      <c r="CH110" s="108"/>
      <c r="CK110" s="108"/>
      <c r="CN110" s="108"/>
      <c r="CP110" s="108"/>
      <c r="CS110" s="108"/>
      <c r="CU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R110" s="108"/>
      <c r="DS110" s="108"/>
      <c r="DT110" s="108"/>
      <c r="DU110" s="108"/>
      <c r="DV110" s="108"/>
      <c r="DY110" s="108"/>
      <c r="DZ110" s="183"/>
      <c r="EA110" s="183"/>
      <c r="EB110" s="108"/>
      <c r="EC110" s="108"/>
      <c r="ED110" s="108"/>
      <c r="EE110" s="108"/>
      <c r="EF110" s="108"/>
      <c r="EG110" s="108"/>
    </row>
    <row r="111" spans="1:137" x14ac:dyDescent="0.25">
      <c r="C111" s="212"/>
      <c r="F111" s="108"/>
      <c r="G111" s="108"/>
      <c r="H111" s="108"/>
      <c r="J111" s="108"/>
      <c r="K111" s="108"/>
      <c r="L111" s="108"/>
      <c r="O111" s="108"/>
      <c r="Q111" s="108"/>
      <c r="Z111" s="108"/>
      <c r="AA111" s="108"/>
      <c r="AC111" s="108"/>
      <c r="AD111" s="108"/>
      <c r="AG111" s="108"/>
      <c r="AI111" s="108"/>
      <c r="AJ111" s="108"/>
      <c r="AS111" s="108"/>
      <c r="BC111" s="108"/>
      <c r="BF111" s="108"/>
      <c r="BK111" s="108"/>
      <c r="BY111" s="108"/>
      <c r="BZ111" s="108"/>
      <c r="CG111" s="108"/>
      <c r="CH111" s="108"/>
      <c r="CK111" s="108"/>
      <c r="CN111" s="108"/>
      <c r="CP111" s="108"/>
      <c r="CS111" s="108"/>
      <c r="CU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R111" s="108"/>
      <c r="DS111" s="108"/>
      <c r="DT111" s="108"/>
      <c r="DU111" s="108"/>
      <c r="DV111" s="108"/>
      <c r="DY111" s="108"/>
      <c r="DZ111" s="183"/>
      <c r="EA111" s="183"/>
      <c r="EB111" s="108"/>
      <c r="EC111" s="108"/>
      <c r="ED111" s="108"/>
      <c r="EE111" s="108"/>
      <c r="EF111" s="108"/>
      <c r="EG111" s="108"/>
    </row>
    <row r="112" spans="1:137" x14ac:dyDescent="0.25">
      <c r="C112" s="212"/>
      <c r="F112" s="108"/>
      <c r="G112" s="108"/>
      <c r="H112" s="108"/>
      <c r="J112" s="108"/>
      <c r="K112" s="108"/>
      <c r="L112" s="108"/>
      <c r="O112" s="108"/>
      <c r="Q112" s="108"/>
      <c r="Z112" s="108"/>
      <c r="AA112" s="108"/>
      <c r="AC112" s="108"/>
      <c r="AD112" s="108"/>
      <c r="AG112" s="108"/>
      <c r="AI112" s="108"/>
      <c r="AJ112" s="108"/>
      <c r="AS112" s="108"/>
      <c r="BC112" s="108"/>
      <c r="BF112" s="108"/>
      <c r="BK112" s="108"/>
      <c r="BY112" s="108"/>
      <c r="BZ112" s="108"/>
      <c r="CG112" s="108"/>
      <c r="CH112" s="108"/>
      <c r="CK112" s="108"/>
      <c r="CN112" s="108"/>
      <c r="CP112" s="108"/>
      <c r="CS112" s="108"/>
      <c r="CU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R112" s="108"/>
      <c r="DS112" s="108"/>
      <c r="DT112" s="108"/>
      <c r="DU112" s="108"/>
      <c r="DV112" s="108"/>
      <c r="DY112" s="108"/>
      <c r="DZ112" s="183"/>
      <c r="EA112" s="183"/>
      <c r="EB112" s="108"/>
      <c r="EC112" s="108"/>
      <c r="ED112" s="108"/>
      <c r="EE112" s="108"/>
      <c r="EF112" s="108"/>
      <c r="EG112" s="108"/>
    </row>
    <row r="113" spans="3:137" x14ac:dyDescent="0.25">
      <c r="C113" s="212"/>
      <c r="F113" s="108"/>
      <c r="G113" s="108"/>
      <c r="H113" s="108"/>
      <c r="J113" s="108"/>
      <c r="K113" s="108"/>
      <c r="L113" s="108"/>
      <c r="O113" s="108"/>
      <c r="Q113" s="108"/>
      <c r="Z113" s="108"/>
      <c r="AA113" s="108"/>
      <c r="AC113" s="108"/>
      <c r="AD113" s="108"/>
      <c r="AG113" s="108"/>
      <c r="AI113" s="108"/>
      <c r="AJ113" s="108"/>
      <c r="AS113" s="108"/>
      <c r="BC113" s="108"/>
      <c r="BF113" s="108"/>
      <c r="BK113" s="108"/>
      <c r="BY113" s="108"/>
      <c r="BZ113" s="108"/>
      <c r="CG113" s="108"/>
      <c r="CH113" s="108"/>
      <c r="CK113" s="108"/>
      <c r="CN113" s="108"/>
      <c r="CP113" s="108"/>
      <c r="CS113" s="108"/>
      <c r="CU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R113" s="108"/>
      <c r="DS113" s="108"/>
      <c r="DT113" s="108"/>
      <c r="DU113" s="108"/>
      <c r="DV113" s="108"/>
      <c r="DY113" s="108"/>
      <c r="DZ113" s="183"/>
      <c r="EA113" s="183"/>
      <c r="EB113" s="108"/>
      <c r="EC113" s="108"/>
      <c r="ED113" s="108"/>
      <c r="EE113" s="108"/>
      <c r="EF113" s="108"/>
      <c r="EG113" s="108"/>
    </row>
    <row r="114" spans="3:137" x14ac:dyDescent="0.25">
      <c r="C114" s="212"/>
      <c r="F114" s="108"/>
      <c r="G114" s="108"/>
      <c r="H114" s="108"/>
      <c r="J114" s="108"/>
      <c r="K114" s="108"/>
      <c r="L114" s="108"/>
      <c r="O114" s="108"/>
      <c r="Q114" s="108"/>
      <c r="Z114" s="108"/>
      <c r="AA114" s="108"/>
      <c r="AC114" s="108"/>
      <c r="AD114" s="108"/>
      <c r="AG114" s="108"/>
      <c r="AI114" s="108"/>
      <c r="AJ114" s="108"/>
      <c r="AS114" s="108"/>
      <c r="BC114" s="108"/>
      <c r="BF114" s="108"/>
      <c r="BK114" s="108"/>
      <c r="BY114" s="108"/>
      <c r="BZ114" s="108"/>
      <c r="CG114" s="108"/>
      <c r="CH114" s="108"/>
      <c r="CK114" s="108"/>
      <c r="CN114" s="108"/>
      <c r="CP114" s="108"/>
      <c r="CS114" s="108"/>
      <c r="CU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R114" s="108"/>
      <c r="DS114" s="108"/>
      <c r="DT114" s="108"/>
      <c r="DU114" s="108"/>
      <c r="DV114" s="108"/>
      <c r="DY114" s="108"/>
      <c r="DZ114" s="183"/>
      <c r="EA114" s="183"/>
      <c r="EB114" s="108"/>
      <c r="EC114" s="108"/>
      <c r="ED114" s="108"/>
      <c r="EE114" s="108"/>
      <c r="EF114" s="108"/>
      <c r="EG114" s="108"/>
    </row>
    <row r="115" spans="3:137" x14ac:dyDescent="0.25">
      <c r="C115" s="212"/>
      <c r="F115" s="108"/>
      <c r="G115" s="108"/>
      <c r="H115" s="108"/>
      <c r="J115" s="108"/>
      <c r="K115" s="108"/>
      <c r="L115" s="108"/>
      <c r="O115" s="108"/>
      <c r="Q115" s="108"/>
      <c r="Z115" s="108"/>
      <c r="AA115" s="108"/>
      <c r="AC115" s="108"/>
      <c r="AD115" s="108"/>
      <c r="AG115" s="108"/>
      <c r="AI115" s="108"/>
      <c r="AJ115" s="108"/>
      <c r="AS115" s="108"/>
      <c r="BC115" s="108"/>
      <c r="BF115" s="108"/>
      <c r="BK115" s="108"/>
      <c r="BY115" s="108"/>
      <c r="BZ115" s="108"/>
      <c r="CG115" s="108"/>
      <c r="CH115" s="108"/>
      <c r="CK115" s="108"/>
      <c r="CN115" s="108"/>
      <c r="CP115" s="108"/>
      <c r="CS115" s="108"/>
      <c r="CU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R115" s="108"/>
      <c r="DS115" s="108"/>
      <c r="DT115" s="108"/>
      <c r="DU115" s="108"/>
      <c r="DV115" s="108"/>
      <c r="DY115" s="108"/>
      <c r="DZ115" s="183"/>
      <c r="EA115" s="183"/>
      <c r="EB115" s="108"/>
      <c r="EC115" s="108"/>
      <c r="ED115" s="108"/>
      <c r="EE115" s="108"/>
      <c r="EF115" s="108"/>
      <c r="EG115" s="108"/>
    </row>
    <row r="116" spans="3:137" x14ac:dyDescent="0.25">
      <c r="C116" s="212"/>
      <c r="F116" s="108"/>
      <c r="G116" s="108"/>
      <c r="H116" s="108"/>
      <c r="J116" s="108"/>
      <c r="K116" s="108"/>
      <c r="L116" s="108"/>
      <c r="O116" s="108"/>
      <c r="Q116" s="108"/>
      <c r="Z116" s="108"/>
      <c r="AA116" s="108"/>
      <c r="AC116" s="108"/>
      <c r="AD116" s="108"/>
      <c r="AG116" s="108"/>
      <c r="AI116" s="108"/>
      <c r="AJ116" s="108"/>
      <c r="AS116" s="108"/>
      <c r="BC116" s="108"/>
      <c r="BF116" s="108"/>
      <c r="BK116" s="108"/>
      <c r="BY116" s="108"/>
      <c r="BZ116" s="108"/>
      <c r="CG116" s="108"/>
      <c r="CH116" s="108"/>
      <c r="CK116" s="108"/>
      <c r="CN116" s="108"/>
      <c r="CP116" s="108"/>
      <c r="CS116" s="108"/>
      <c r="CU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R116" s="108"/>
      <c r="DS116" s="108"/>
      <c r="DT116" s="108"/>
      <c r="DU116" s="108"/>
      <c r="DV116" s="108"/>
      <c r="DY116" s="108"/>
      <c r="DZ116" s="183"/>
      <c r="EA116" s="183"/>
      <c r="EB116" s="108"/>
      <c r="EC116" s="108"/>
      <c r="ED116" s="108"/>
      <c r="EE116" s="108"/>
      <c r="EF116" s="108"/>
      <c r="EG116" s="108"/>
    </row>
    <row r="117" spans="3:137" x14ac:dyDescent="0.25">
      <c r="C117" s="212"/>
      <c r="F117" s="108"/>
      <c r="G117" s="108"/>
      <c r="H117" s="108"/>
      <c r="J117" s="108"/>
      <c r="K117" s="108"/>
      <c r="L117" s="108"/>
      <c r="O117" s="108"/>
      <c r="Q117" s="108"/>
      <c r="Z117" s="108"/>
      <c r="AA117" s="108"/>
      <c r="AC117" s="108"/>
      <c r="AD117" s="108"/>
      <c r="AG117" s="108"/>
      <c r="AI117" s="108"/>
      <c r="AJ117" s="108"/>
      <c r="AS117" s="108"/>
      <c r="BC117" s="108"/>
      <c r="BF117" s="108"/>
      <c r="BK117" s="108"/>
      <c r="BY117" s="108"/>
      <c r="BZ117" s="108"/>
      <c r="CG117" s="108"/>
      <c r="CH117" s="108"/>
      <c r="CK117" s="108"/>
      <c r="CN117" s="108"/>
      <c r="CP117" s="108"/>
      <c r="CS117" s="108"/>
      <c r="CU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R117" s="108"/>
      <c r="DS117" s="108"/>
      <c r="DT117" s="108"/>
      <c r="DU117" s="108"/>
      <c r="DV117" s="108"/>
      <c r="DY117" s="108"/>
      <c r="DZ117" s="183"/>
      <c r="EA117" s="183"/>
      <c r="EB117" s="108"/>
      <c r="EC117" s="108"/>
      <c r="ED117" s="108"/>
      <c r="EE117" s="108"/>
      <c r="EF117" s="108"/>
      <c r="EG117" s="108"/>
    </row>
    <row r="118" spans="3:137" x14ac:dyDescent="0.25">
      <c r="C118" s="212"/>
      <c r="F118" s="108"/>
      <c r="G118" s="108"/>
      <c r="H118" s="108"/>
      <c r="J118" s="108"/>
      <c r="K118" s="108"/>
      <c r="L118" s="108"/>
      <c r="O118" s="108"/>
      <c r="Q118" s="108"/>
      <c r="Z118" s="108"/>
      <c r="AA118" s="108"/>
      <c r="AC118" s="108"/>
      <c r="AD118" s="108"/>
      <c r="AG118" s="108"/>
      <c r="AI118" s="108"/>
      <c r="AJ118" s="108"/>
      <c r="AS118" s="108"/>
      <c r="BC118" s="108"/>
      <c r="BF118" s="108"/>
      <c r="BK118" s="108"/>
      <c r="BY118" s="108"/>
      <c r="BZ118" s="108"/>
      <c r="CG118" s="108"/>
      <c r="CH118" s="108"/>
      <c r="CK118" s="108"/>
      <c r="CN118" s="108"/>
      <c r="CP118" s="108"/>
      <c r="CS118" s="108"/>
      <c r="CU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R118" s="108"/>
      <c r="DS118" s="108"/>
      <c r="DT118" s="108"/>
      <c r="DU118" s="108"/>
      <c r="DV118" s="108"/>
      <c r="DY118" s="108"/>
      <c r="DZ118" s="183"/>
      <c r="EA118" s="183"/>
      <c r="EB118" s="108"/>
      <c r="EC118" s="108"/>
      <c r="ED118" s="108"/>
      <c r="EE118" s="108"/>
      <c r="EF118" s="108"/>
      <c r="EG118" s="108"/>
    </row>
    <row r="119" spans="3:137" x14ac:dyDescent="0.25">
      <c r="C119" s="212"/>
      <c r="F119" s="108"/>
      <c r="G119" s="108"/>
      <c r="H119" s="108"/>
      <c r="J119" s="108"/>
      <c r="K119" s="108"/>
      <c r="L119" s="108"/>
      <c r="O119" s="108"/>
      <c r="Q119" s="108"/>
      <c r="Z119" s="108"/>
      <c r="AA119" s="108"/>
      <c r="AC119" s="108"/>
      <c r="AD119" s="108"/>
      <c r="AG119" s="108"/>
      <c r="AI119" s="108"/>
      <c r="AJ119" s="108"/>
      <c r="AS119" s="108"/>
      <c r="BC119" s="108"/>
      <c r="BF119" s="108"/>
      <c r="BK119" s="108"/>
      <c r="BY119" s="108"/>
      <c r="BZ119" s="108"/>
      <c r="CG119" s="108"/>
      <c r="CH119" s="108"/>
      <c r="CK119" s="108"/>
      <c r="CN119" s="108"/>
      <c r="CP119" s="108"/>
      <c r="CS119" s="108"/>
      <c r="CU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R119" s="108"/>
      <c r="DS119" s="108"/>
      <c r="DT119" s="108"/>
      <c r="DU119" s="108"/>
      <c r="DV119" s="108"/>
      <c r="DY119" s="108"/>
      <c r="DZ119" s="183"/>
      <c r="EA119" s="183"/>
      <c r="EB119" s="108"/>
      <c r="EC119" s="108"/>
      <c r="ED119" s="108"/>
      <c r="EE119" s="108"/>
      <c r="EF119" s="108"/>
      <c r="EG119" s="108"/>
    </row>
    <row r="120" spans="3:137" x14ac:dyDescent="0.25">
      <c r="C120" s="212"/>
      <c r="F120" s="108"/>
      <c r="G120" s="108"/>
      <c r="H120" s="108"/>
      <c r="J120" s="108"/>
      <c r="K120" s="108"/>
      <c r="L120" s="108"/>
      <c r="O120" s="108"/>
      <c r="Q120" s="108"/>
      <c r="Z120" s="108"/>
      <c r="AA120" s="108"/>
      <c r="AC120" s="108"/>
      <c r="AD120" s="108"/>
      <c r="AG120" s="108"/>
      <c r="AI120" s="108"/>
      <c r="AJ120" s="108"/>
      <c r="AS120" s="108"/>
      <c r="BC120" s="108"/>
      <c r="BF120" s="108"/>
      <c r="BK120" s="108"/>
      <c r="BY120" s="108"/>
      <c r="BZ120" s="108"/>
      <c r="CG120" s="108"/>
      <c r="CH120" s="108"/>
      <c r="CK120" s="108"/>
      <c r="CN120" s="108"/>
      <c r="CP120" s="108"/>
      <c r="CS120" s="108"/>
      <c r="CU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R120" s="108"/>
      <c r="DS120" s="108"/>
      <c r="DT120" s="108"/>
      <c r="DU120" s="108"/>
      <c r="DV120" s="108"/>
      <c r="DY120" s="108"/>
      <c r="DZ120" s="183"/>
      <c r="EA120" s="183"/>
      <c r="EB120" s="108"/>
      <c r="EC120" s="108"/>
      <c r="ED120" s="108"/>
      <c r="EE120" s="108"/>
      <c r="EF120" s="108"/>
      <c r="EG120" s="108"/>
    </row>
    <row r="121" spans="3:137" x14ac:dyDescent="0.25">
      <c r="C121" s="212"/>
      <c r="F121" s="108"/>
      <c r="G121" s="108"/>
      <c r="H121" s="108"/>
      <c r="J121" s="108"/>
      <c r="K121" s="108"/>
      <c r="L121" s="108"/>
      <c r="O121" s="108"/>
      <c r="Q121" s="108"/>
      <c r="Z121" s="108"/>
      <c r="AA121" s="108"/>
      <c r="AC121" s="108"/>
      <c r="AD121" s="108"/>
      <c r="AG121" s="108"/>
      <c r="AI121" s="108"/>
      <c r="AJ121" s="108"/>
      <c r="AS121" s="108"/>
      <c r="BC121" s="108"/>
      <c r="BF121" s="108"/>
      <c r="BK121" s="108"/>
      <c r="BY121" s="108"/>
      <c r="BZ121" s="108"/>
      <c r="CG121" s="108"/>
      <c r="CH121" s="108"/>
      <c r="CK121" s="108"/>
      <c r="CN121" s="108"/>
      <c r="CP121" s="108"/>
      <c r="CS121" s="108"/>
      <c r="CU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R121" s="108"/>
      <c r="DS121" s="108"/>
      <c r="DT121" s="108"/>
      <c r="DU121" s="108"/>
      <c r="DV121" s="108"/>
      <c r="DY121" s="108"/>
      <c r="DZ121" s="183"/>
      <c r="EA121" s="183"/>
      <c r="EB121" s="108"/>
      <c r="EC121" s="108"/>
      <c r="ED121" s="108"/>
      <c r="EE121" s="108"/>
      <c r="EF121" s="108"/>
      <c r="EG121" s="108"/>
    </row>
    <row r="122" spans="3:137" x14ac:dyDescent="0.25">
      <c r="C122" s="212"/>
      <c r="F122" s="108"/>
      <c r="G122" s="108"/>
      <c r="H122" s="108"/>
      <c r="J122" s="108"/>
      <c r="K122" s="108"/>
      <c r="L122" s="108"/>
      <c r="O122" s="108"/>
      <c r="Q122" s="108"/>
      <c r="Z122" s="108"/>
      <c r="AA122" s="108"/>
      <c r="AC122" s="108"/>
      <c r="AD122" s="108"/>
      <c r="AG122" s="108"/>
      <c r="AI122" s="108"/>
      <c r="AJ122" s="108"/>
      <c r="AS122" s="108"/>
      <c r="BC122" s="108"/>
      <c r="BF122" s="108"/>
      <c r="BK122" s="108"/>
      <c r="BY122" s="108"/>
      <c r="BZ122" s="108"/>
      <c r="CG122" s="108"/>
      <c r="CH122" s="108"/>
      <c r="CK122" s="108"/>
      <c r="CN122" s="108"/>
      <c r="CP122" s="108"/>
      <c r="CS122" s="108"/>
      <c r="CU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R122" s="108"/>
      <c r="DS122" s="108"/>
      <c r="DT122" s="108"/>
      <c r="DU122" s="108"/>
      <c r="DV122" s="108"/>
      <c r="DY122" s="108"/>
      <c r="DZ122" s="183"/>
      <c r="EA122" s="183"/>
      <c r="EB122" s="108"/>
      <c r="EC122" s="108"/>
      <c r="ED122" s="108"/>
      <c r="EE122" s="108"/>
      <c r="EF122" s="108"/>
      <c r="EG122" s="108"/>
    </row>
    <row r="123" spans="3:137" x14ac:dyDescent="0.25">
      <c r="C123" s="212"/>
      <c r="F123" s="108"/>
      <c r="G123" s="108"/>
      <c r="H123" s="108"/>
      <c r="J123" s="108"/>
      <c r="K123" s="108"/>
      <c r="L123" s="108"/>
      <c r="O123" s="108"/>
      <c r="Q123" s="108"/>
      <c r="Z123" s="108"/>
      <c r="AA123" s="108"/>
      <c r="AC123" s="108"/>
      <c r="AD123" s="108"/>
      <c r="AG123" s="108"/>
      <c r="AI123" s="108"/>
      <c r="AJ123" s="108"/>
      <c r="AS123" s="108"/>
      <c r="BC123" s="108"/>
      <c r="BF123" s="108"/>
      <c r="BK123" s="108"/>
      <c r="BY123" s="108"/>
      <c r="BZ123" s="108"/>
      <c r="CG123" s="108"/>
      <c r="CH123" s="108"/>
      <c r="CK123" s="108"/>
      <c r="CN123" s="108"/>
      <c r="CP123" s="108"/>
      <c r="CS123" s="108"/>
      <c r="CU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R123" s="108"/>
      <c r="DS123" s="108"/>
      <c r="DT123" s="108"/>
      <c r="DU123" s="108"/>
      <c r="DV123" s="108"/>
      <c r="DY123" s="108"/>
      <c r="DZ123" s="183"/>
      <c r="EA123" s="183"/>
      <c r="EB123" s="108"/>
      <c r="EC123" s="108"/>
      <c r="ED123" s="108"/>
      <c r="EE123" s="108"/>
      <c r="EF123" s="108"/>
      <c r="EG123" s="108"/>
    </row>
    <row r="124" spans="3:137" x14ac:dyDescent="0.25">
      <c r="C124" s="212"/>
      <c r="F124" s="108"/>
      <c r="G124" s="108"/>
      <c r="H124" s="108"/>
      <c r="J124" s="108"/>
      <c r="K124" s="108"/>
      <c r="L124" s="108"/>
      <c r="O124" s="108"/>
      <c r="Q124" s="108"/>
      <c r="Z124" s="108"/>
      <c r="AA124" s="108"/>
      <c r="AC124" s="108"/>
      <c r="AD124" s="108"/>
      <c r="AG124" s="108"/>
      <c r="AI124" s="108"/>
      <c r="AJ124" s="108"/>
      <c r="AS124" s="108"/>
      <c r="BC124" s="108"/>
      <c r="BF124" s="108"/>
      <c r="BK124" s="108"/>
      <c r="BY124" s="108"/>
      <c r="BZ124" s="108"/>
      <c r="CG124" s="108"/>
      <c r="CH124" s="108"/>
      <c r="CK124" s="108"/>
      <c r="CN124" s="108"/>
      <c r="CP124" s="108"/>
      <c r="CS124" s="108"/>
      <c r="CU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R124" s="108"/>
      <c r="DS124" s="108"/>
      <c r="DT124" s="108"/>
      <c r="DU124" s="108"/>
      <c r="DV124" s="108"/>
      <c r="DY124" s="108"/>
      <c r="DZ124" s="183"/>
      <c r="EA124" s="183"/>
      <c r="EB124" s="108"/>
      <c r="EC124" s="108"/>
      <c r="ED124" s="108"/>
      <c r="EE124" s="108"/>
      <c r="EF124" s="108"/>
      <c r="EG124" s="108"/>
    </row>
    <row r="125" spans="3:137" x14ac:dyDescent="0.25">
      <c r="C125" s="212"/>
      <c r="F125" s="108"/>
      <c r="G125" s="108"/>
      <c r="H125" s="108"/>
      <c r="J125" s="108"/>
      <c r="K125" s="108"/>
      <c r="L125" s="108"/>
      <c r="O125" s="108"/>
      <c r="Q125" s="108"/>
      <c r="Z125" s="108"/>
      <c r="AA125" s="108"/>
      <c r="AC125" s="108"/>
      <c r="AD125" s="108"/>
      <c r="AG125" s="108"/>
      <c r="AI125" s="108"/>
      <c r="AJ125" s="108"/>
      <c r="AS125" s="108"/>
      <c r="BC125" s="108"/>
      <c r="BF125" s="108"/>
      <c r="BK125" s="108"/>
      <c r="BY125" s="108"/>
      <c r="BZ125" s="108"/>
      <c r="CG125" s="108"/>
      <c r="CH125" s="108"/>
      <c r="CK125" s="108"/>
      <c r="CN125" s="108"/>
      <c r="CP125" s="108"/>
      <c r="CS125" s="108"/>
      <c r="CU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R125" s="108"/>
      <c r="DS125" s="108"/>
      <c r="DT125" s="108"/>
      <c r="DU125" s="108"/>
      <c r="DV125" s="108"/>
      <c r="DY125" s="108"/>
      <c r="DZ125" s="183"/>
      <c r="EA125" s="183"/>
      <c r="EB125" s="108"/>
      <c r="EC125" s="108"/>
      <c r="ED125" s="108"/>
      <c r="EE125" s="108"/>
      <c r="EF125" s="108"/>
      <c r="EG125" s="108"/>
    </row>
    <row r="126" spans="3:137" x14ac:dyDescent="0.25">
      <c r="C126" s="212"/>
      <c r="F126" s="108"/>
      <c r="G126" s="108"/>
      <c r="H126" s="108"/>
      <c r="J126" s="108"/>
      <c r="K126" s="108"/>
      <c r="L126" s="108"/>
      <c r="O126" s="108"/>
      <c r="Q126" s="108"/>
      <c r="Z126" s="108"/>
      <c r="AA126" s="108"/>
      <c r="AC126" s="108"/>
      <c r="AD126" s="108"/>
      <c r="AG126" s="108"/>
      <c r="AI126" s="108"/>
      <c r="AJ126" s="108"/>
      <c r="AS126" s="108"/>
      <c r="BC126" s="108"/>
      <c r="BF126" s="108"/>
      <c r="BK126" s="108"/>
      <c r="BY126" s="108"/>
      <c r="BZ126" s="108"/>
      <c r="CG126" s="108"/>
      <c r="CH126" s="108"/>
      <c r="CK126" s="108"/>
      <c r="CN126" s="108"/>
      <c r="CP126" s="108"/>
      <c r="CS126" s="108"/>
      <c r="CU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R126" s="108"/>
      <c r="DS126" s="108"/>
      <c r="DT126" s="108"/>
      <c r="DU126" s="108"/>
      <c r="DV126" s="108"/>
      <c r="DY126" s="108"/>
      <c r="DZ126" s="183"/>
      <c r="EA126" s="183"/>
      <c r="EB126" s="108"/>
      <c r="EC126" s="108"/>
      <c r="ED126" s="108"/>
      <c r="EE126" s="108"/>
      <c r="EF126" s="108"/>
      <c r="EG126" s="108"/>
    </row>
    <row r="127" spans="3:137" x14ac:dyDescent="0.25">
      <c r="C127" s="212"/>
      <c r="F127" s="108"/>
      <c r="G127" s="108"/>
      <c r="H127" s="108"/>
      <c r="J127" s="108"/>
      <c r="K127" s="108"/>
      <c r="L127" s="108"/>
      <c r="O127" s="108"/>
      <c r="Q127" s="108"/>
      <c r="Z127" s="108"/>
      <c r="AA127" s="108"/>
      <c r="AC127" s="108"/>
      <c r="AD127" s="108"/>
      <c r="AG127" s="108"/>
      <c r="AI127" s="108"/>
      <c r="AJ127" s="108"/>
      <c r="AS127" s="108"/>
      <c r="BC127" s="108"/>
      <c r="BF127" s="108"/>
      <c r="BK127" s="108"/>
      <c r="BY127" s="108"/>
      <c r="BZ127" s="108"/>
      <c r="CG127" s="108"/>
      <c r="CH127" s="108"/>
      <c r="CK127" s="108"/>
      <c r="CN127" s="108"/>
      <c r="CP127" s="108"/>
      <c r="CS127" s="108"/>
      <c r="CU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R127" s="108"/>
      <c r="DS127" s="108"/>
      <c r="DT127" s="108"/>
      <c r="DU127" s="108"/>
      <c r="DV127" s="108"/>
      <c r="DY127" s="108"/>
      <c r="DZ127" s="183"/>
      <c r="EA127" s="183"/>
      <c r="EB127" s="108"/>
      <c r="EC127" s="108"/>
      <c r="ED127" s="108"/>
      <c r="EE127" s="108"/>
      <c r="EF127" s="108"/>
      <c r="EG127" s="108"/>
    </row>
    <row r="128" spans="3:137" x14ac:dyDescent="0.25">
      <c r="C128" s="212"/>
      <c r="F128" s="108"/>
      <c r="G128" s="108"/>
      <c r="H128" s="108"/>
      <c r="J128" s="108"/>
      <c r="K128" s="108"/>
      <c r="L128" s="108"/>
      <c r="O128" s="108"/>
      <c r="Q128" s="108"/>
      <c r="Z128" s="108"/>
      <c r="AA128" s="108"/>
      <c r="AC128" s="108"/>
      <c r="AD128" s="108"/>
      <c r="AG128" s="108"/>
      <c r="AI128" s="108"/>
      <c r="AJ128" s="108"/>
      <c r="AS128" s="108"/>
      <c r="BC128" s="108"/>
      <c r="BF128" s="108"/>
      <c r="BK128" s="108"/>
      <c r="BY128" s="108"/>
      <c r="BZ128" s="108"/>
      <c r="CG128" s="108"/>
      <c r="CH128" s="108"/>
      <c r="CK128" s="108"/>
      <c r="CN128" s="108"/>
      <c r="CP128" s="108"/>
      <c r="CS128" s="108"/>
      <c r="CU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R128" s="108"/>
      <c r="DS128" s="108"/>
      <c r="DT128" s="108"/>
      <c r="DU128" s="108"/>
      <c r="DV128" s="108"/>
      <c r="DY128" s="108"/>
      <c r="DZ128" s="183"/>
      <c r="EA128" s="183"/>
      <c r="EB128" s="108"/>
      <c r="EC128" s="108"/>
      <c r="ED128" s="108"/>
      <c r="EE128" s="108"/>
      <c r="EF128" s="108"/>
      <c r="EG128" s="108"/>
    </row>
    <row r="129" spans="3:137" x14ac:dyDescent="0.25">
      <c r="C129" s="212"/>
      <c r="F129" s="108"/>
      <c r="G129" s="108"/>
      <c r="H129" s="108"/>
      <c r="J129" s="108"/>
      <c r="K129" s="108"/>
      <c r="L129" s="108"/>
      <c r="O129" s="108"/>
      <c r="Q129" s="108"/>
      <c r="Z129" s="108"/>
      <c r="AA129" s="108"/>
      <c r="AC129" s="108"/>
      <c r="AD129" s="108"/>
      <c r="AG129" s="108"/>
      <c r="AI129" s="108"/>
      <c r="AJ129" s="108"/>
      <c r="AS129" s="108"/>
      <c r="BC129" s="108"/>
      <c r="BF129" s="108"/>
      <c r="BK129" s="108"/>
      <c r="BY129" s="108"/>
      <c r="BZ129" s="108"/>
      <c r="CG129" s="108"/>
      <c r="CH129" s="108"/>
      <c r="CK129" s="108"/>
      <c r="CN129" s="108"/>
      <c r="CP129" s="108"/>
      <c r="CS129" s="108"/>
      <c r="CU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R129" s="108"/>
      <c r="DS129" s="108"/>
      <c r="DT129" s="108"/>
      <c r="DU129" s="108"/>
      <c r="DV129" s="108"/>
      <c r="DY129" s="108"/>
      <c r="DZ129" s="183"/>
      <c r="EA129" s="183"/>
      <c r="EB129" s="108"/>
      <c r="EC129" s="108"/>
      <c r="ED129" s="108"/>
      <c r="EE129" s="108"/>
      <c r="EF129" s="108"/>
      <c r="EG129" s="108"/>
    </row>
    <row r="130" spans="3:137" x14ac:dyDescent="0.25">
      <c r="C130" s="212"/>
      <c r="F130" s="108"/>
      <c r="G130" s="108"/>
      <c r="H130" s="108"/>
      <c r="J130" s="108"/>
      <c r="K130" s="108"/>
      <c r="L130" s="108"/>
      <c r="O130" s="108"/>
      <c r="Q130" s="108"/>
      <c r="Z130" s="108"/>
      <c r="AA130" s="108"/>
      <c r="AC130" s="108"/>
      <c r="AD130" s="108"/>
      <c r="AG130" s="108"/>
      <c r="AI130" s="108"/>
      <c r="AJ130" s="108"/>
      <c r="AS130" s="108"/>
      <c r="BC130" s="108"/>
      <c r="BF130" s="108"/>
      <c r="BK130" s="108"/>
      <c r="BY130" s="108"/>
      <c r="BZ130" s="108"/>
      <c r="CG130" s="108"/>
      <c r="CH130" s="108"/>
      <c r="CK130" s="108"/>
      <c r="CN130" s="108"/>
      <c r="CP130" s="108"/>
      <c r="CS130" s="108"/>
      <c r="CU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R130" s="108"/>
      <c r="DS130" s="108"/>
      <c r="DT130" s="108"/>
      <c r="DU130" s="108"/>
      <c r="DV130" s="108"/>
      <c r="DY130" s="108"/>
      <c r="DZ130" s="183"/>
      <c r="EA130" s="183"/>
      <c r="EB130" s="108"/>
      <c r="EC130" s="108"/>
      <c r="ED130" s="108"/>
      <c r="EE130" s="108"/>
      <c r="EF130" s="108"/>
      <c r="EG130" s="108"/>
    </row>
    <row r="131" spans="3:137" x14ac:dyDescent="0.25">
      <c r="C131" s="212"/>
      <c r="F131" s="108"/>
      <c r="G131" s="108"/>
      <c r="H131" s="108"/>
      <c r="J131" s="108"/>
      <c r="K131" s="108"/>
      <c r="L131" s="108"/>
      <c r="O131" s="108"/>
      <c r="Q131" s="108"/>
      <c r="Z131" s="108"/>
      <c r="AA131" s="108"/>
      <c r="AC131" s="108"/>
      <c r="AD131" s="108"/>
      <c r="AG131" s="108"/>
      <c r="AI131" s="108"/>
      <c r="AJ131" s="108"/>
      <c r="AS131" s="108"/>
      <c r="BC131" s="108"/>
      <c r="BF131" s="108"/>
      <c r="BK131" s="108"/>
      <c r="BY131" s="108"/>
      <c r="BZ131" s="108"/>
      <c r="CG131" s="108"/>
      <c r="CH131" s="108"/>
      <c r="CK131" s="108"/>
      <c r="CN131" s="108"/>
      <c r="CP131" s="108"/>
      <c r="CS131" s="108"/>
      <c r="CU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R131" s="108"/>
      <c r="DS131" s="108"/>
      <c r="DT131" s="108"/>
      <c r="DU131" s="108"/>
      <c r="DV131" s="108"/>
      <c r="DY131" s="108"/>
      <c r="DZ131" s="183"/>
      <c r="EA131" s="183"/>
      <c r="EB131" s="108"/>
      <c r="EC131" s="108"/>
      <c r="ED131" s="108"/>
      <c r="EE131" s="108"/>
      <c r="EF131" s="108"/>
      <c r="EG131" s="108"/>
    </row>
    <row r="132" spans="3:137" x14ac:dyDescent="0.25">
      <c r="C132" s="212"/>
      <c r="F132" s="108"/>
      <c r="G132" s="108"/>
      <c r="H132" s="108"/>
      <c r="J132" s="108"/>
      <c r="K132" s="108"/>
      <c r="L132" s="108"/>
      <c r="O132" s="108"/>
      <c r="Q132" s="108"/>
      <c r="Z132" s="108"/>
      <c r="AA132" s="108"/>
      <c r="AC132" s="108"/>
      <c r="AD132" s="108"/>
      <c r="AG132" s="108"/>
      <c r="AI132" s="108"/>
      <c r="AJ132" s="108"/>
      <c r="AS132" s="108"/>
      <c r="BC132" s="108"/>
      <c r="BF132" s="108"/>
      <c r="BK132" s="108"/>
      <c r="BY132" s="108"/>
      <c r="BZ132" s="108"/>
      <c r="CG132" s="108"/>
      <c r="CH132" s="108"/>
      <c r="CK132" s="108"/>
      <c r="CN132" s="108"/>
      <c r="CP132" s="108"/>
      <c r="CS132" s="108"/>
      <c r="CU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R132" s="108"/>
      <c r="DS132" s="108"/>
      <c r="DT132" s="108"/>
      <c r="DU132" s="108"/>
      <c r="DV132" s="108"/>
      <c r="DY132" s="108"/>
      <c r="DZ132" s="183"/>
      <c r="EA132" s="183"/>
      <c r="EB132" s="108"/>
      <c r="EC132" s="108"/>
      <c r="ED132" s="108"/>
      <c r="EE132" s="108"/>
      <c r="EF132" s="108"/>
      <c r="EG132" s="108"/>
    </row>
    <row r="133" spans="3:137" x14ac:dyDescent="0.25">
      <c r="C133" s="212"/>
      <c r="F133" s="108"/>
      <c r="G133" s="108"/>
      <c r="H133" s="108"/>
      <c r="J133" s="108"/>
      <c r="K133" s="108"/>
      <c r="L133" s="108"/>
      <c r="O133" s="108"/>
      <c r="Q133" s="108"/>
      <c r="Z133" s="108"/>
      <c r="AA133" s="108"/>
      <c r="AC133" s="108"/>
      <c r="AD133" s="108"/>
      <c r="AG133" s="108"/>
      <c r="AI133" s="108"/>
      <c r="AJ133" s="108"/>
      <c r="AS133" s="108"/>
      <c r="BC133" s="108"/>
      <c r="BF133" s="108"/>
      <c r="BK133" s="108"/>
      <c r="BY133" s="108"/>
      <c r="BZ133" s="108"/>
      <c r="CG133" s="108"/>
      <c r="CH133" s="108"/>
      <c r="CK133" s="108"/>
      <c r="CN133" s="108"/>
      <c r="CP133" s="108"/>
      <c r="CS133" s="108"/>
      <c r="CU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R133" s="108"/>
      <c r="DS133" s="108"/>
      <c r="DT133" s="108"/>
      <c r="DU133" s="108"/>
      <c r="DV133" s="108"/>
      <c r="DY133" s="108"/>
      <c r="DZ133" s="183"/>
      <c r="EA133" s="183"/>
      <c r="EB133" s="108"/>
      <c r="EC133" s="108"/>
      <c r="ED133" s="108"/>
      <c r="EE133" s="108"/>
      <c r="EF133" s="108"/>
      <c r="EG133" s="108"/>
    </row>
    <row r="134" spans="3:137" x14ac:dyDescent="0.25">
      <c r="C134" s="212"/>
      <c r="F134" s="108"/>
      <c r="G134" s="108"/>
      <c r="H134" s="108"/>
      <c r="J134" s="108"/>
      <c r="K134" s="108"/>
      <c r="L134" s="108"/>
      <c r="O134" s="108"/>
      <c r="Q134" s="108"/>
      <c r="Z134" s="108"/>
      <c r="AA134" s="108"/>
      <c r="AC134" s="108"/>
      <c r="AD134" s="108"/>
      <c r="AG134" s="108"/>
      <c r="AI134" s="108"/>
      <c r="AJ134" s="108"/>
      <c r="AS134" s="108"/>
      <c r="BC134" s="108"/>
      <c r="BF134" s="108"/>
      <c r="BK134" s="108"/>
      <c r="BY134" s="108"/>
      <c r="BZ134" s="108"/>
      <c r="CG134" s="108"/>
      <c r="CH134" s="108"/>
      <c r="CK134" s="108"/>
      <c r="CN134" s="108"/>
      <c r="CP134" s="108"/>
      <c r="CS134" s="108"/>
      <c r="CU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R134" s="108"/>
      <c r="DS134" s="108"/>
      <c r="DT134" s="108"/>
      <c r="DU134" s="108"/>
      <c r="DV134" s="108"/>
      <c r="DY134" s="108"/>
      <c r="DZ134" s="183"/>
      <c r="EA134" s="183"/>
      <c r="EB134" s="108"/>
      <c r="EC134" s="108"/>
      <c r="ED134" s="108"/>
      <c r="EE134" s="108"/>
      <c r="EF134" s="108"/>
      <c r="EG134" s="108"/>
    </row>
    <row r="135" spans="3:137" x14ac:dyDescent="0.25">
      <c r="C135" s="212"/>
      <c r="F135" s="108"/>
      <c r="G135" s="108"/>
      <c r="H135" s="108"/>
      <c r="J135" s="108"/>
      <c r="K135" s="108"/>
      <c r="L135" s="108"/>
      <c r="O135" s="108"/>
      <c r="Q135" s="108"/>
      <c r="Z135" s="108"/>
      <c r="AA135" s="108"/>
      <c r="AC135" s="108"/>
      <c r="AD135" s="108"/>
      <c r="AG135" s="108"/>
      <c r="AI135" s="108"/>
      <c r="AJ135" s="108"/>
      <c r="AS135" s="108"/>
      <c r="BC135" s="108"/>
      <c r="BF135" s="108"/>
      <c r="BK135" s="108"/>
      <c r="BY135" s="108"/>
      <c r="BZ135" s="108"/>
      <c r="CG135" s="108"/>
      <c r="CH135" s="108"/>
      <c r="CK135" s="108"/>
      <c r="CN135" s="108"/>
      <c r="CP135" s="108"/>
      <c r="CS135" s="108"/>
      <c r="CU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R135" s="108"/>
      <c r="DS135" s="108"/>
      <c r="DT135" s="108"/>
      <c r="DU135" s="108"/>
      <c r="DV135" s="108"/>
      <c r="DY135" s="108"/>
      <c r="DZ135" s="183"/>
      <c r="EA135" s="183"/>
      <c r="EB135" s="108"/>
      <c r="EC135" s="108"/>
      <c r="ED135" s="108"/>
      <c r="EE135" s="108"/>
      <c r="EF135" s="108"/>
      <c r="EG135" s="108"/>
    </row>
    <row r="136" spans="3:137" x14ac:dyDescent="0.25">
      <c r="C136" s="212"/>
      <c r="F136" s="108"/>
      <c r="G136" s="108"/>
      <c r="H136" s="108"/>
      <c r="J136" s="108"/>
      <c r="K136" s="108"/>
      <c r="L136" s="108"/>
      <c r="O136" s="108"/>
      <c r="Q136" s="108"/>
      <c r="Z136" s="108"/>
      <c r="AA136" s="108"/>
      <c r="AC136" s="108"/>
      <c r="AD136" s="108"/>
      <c r="AG136" s="108"/>
      <c r="AI136" s="108"/>
      <c r="AJ136" s="108"/>
      <c r="AS136" s="108"/>
      <c r="BC136" s="108"/>
      <c r="BF136" s="108"/>
      <c r="BK136" s="108"/>
      <c r="BY136" s="108"/>
      <c r="BZ136" s="108"/>
      <c r="CG136" s="108"/>
      <c r="CH136" s="108"/>
      <c r="CK136" s="108"/>
      <c r="CN136" s="108"/>
      <c r="CP136" s="108"/>
      <c r="CS136" s="108"/>
      <c r="CU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R136" s="108"/>
      <c r="DS136" s="108"/>
      <c r="DT136" s="108"/>
      <c r="DU136" s="108"/>
      <c r="DV136" s="108"/>
      <c r="DY136" s="108"/>
      <c r="DZ136" s="183"/>
      <c r="EA136" s="183"/>
      <c r="EB136" s="108"/>
      <c r="EC136" s="108"/>
      <c r="ED136" s="108"/>
      <c r="EE136" s="108"/>
      <c r="EF136" s="108"/>
      <c r="EG136" s="108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98"/>
  <sheetViews>
    <sheetView tabSelected="1" zoomScale="70" zoomScaleNormal="70" workbookViewId="0">
      <pane xSplit="1" ySplit="1" topLeftCell="B130" activePane="bottomRight" state="frozen"/>
      <selection pane="topRight" activeCell="B1" sqref="B1"/>
      <selection pane="bottomLeft" activeCell="A2" sqref="A2"/>
      <selection pane="bottomRight" activeCell="H161" sqref="H161"/>
    </sheetView>
  </sheetViews>
  <sheetFormatPr defaultRowHeight="15" x14ac:dyDescent="0.25"/>
  <cols>
    <col min="1" max="1" width="46.140625" style="44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1777</v>
      </c>
      <c r="B1" s="24" t="s">
        <v>2014</v>
      </c>
      <c r="C1" s="24" t="s">
        <v>2029</v>
      </c>
      <c r="D1" s="24" t="s">
        <v>2106</v>
      </c>
      <c r="E1" s="24" t="s">
        <v>1729</v>
      </c>
      <c r="F1" s="24" t="s">
        <v>1728</v>
      </c>
      <c r="G1" s="24" t="s">
        <v>1727</v>
      </c>
      <c r="H1" s="24" t="s">
        <v>2030</v>
      </c>
      <c r="I1" s="24" t="s">
        <v>1747</v>
      </c>
      <c r="J1" s="47" t="s">
        <v>1962</v>
      </c>
      <c r="K1" s="47" t="s">
        <v>1913</v>
      </c>
      <c r="L1" s="24" t="s">
        <v>1725</v>
      </c>
      <c r="M1" s="24" t="s">
        <v>1726</v>
      </c>
      <c r="N1" s="24" t="s">
        <v>1721</v>
      </c>
      <c r="O1" s="24"/>
      <c r="P1" s="24"/>
      <c r="Q1" s="24" t="s">
        <v>1749</v>
      </c>
      <c r="R1" s="24" t="s">
        <v>1748</v>
      </c>
      <c r="S1" s="24" t="s">
        <v>1750</v>
      </c>
      <c r="T1" s="24" t="s">
        <v>1752</v>
      </c>
      <c r="U1" s="24" t="s">
        <v>1751</v>
      </c>
      <c r="V1" s="24" t="s">
        <v>1753</v>
      </c>
      <c r="W1" s="24" t="s">
        <v>1755</v>
      </c>
      <c r="X1" s="24" t="s">
        <v>1754</v>
      </c>
      <c r="Y1" s="24" t="s">
        <v>1756</v>
      </c>
      <c r="Z1" s="24" t="s">
        <v>1758</v>
      </c>
      <c r="AA1" s="24" t="s">
        <v>1757</v>
      </c>
      <c r="AB1" s="24" t="s">
        <v>1759</v>
      </c>
      <c r="AC1" s="24" t="s">
        <v>1761</v>
      </c>
      <c r="AD1" s="24" t="s">
        <v>1760</v>
      </c>
      <c r="AE1" s="24" t="s">
        <v>1762</v>
      </c>
      <c r="AF1" s="24" t="s">
        <v>1764</v>
      </c>
      <c r="AG1" s="24" t="s">
        <v>1763</v>
      </c>
      <c r="AH1" s="24" t="s">
        <v>1765</v>
      </c>
      <c r="AI1" s="24" t="s">
        <v>1767</v>
      </c>
      <c r="AJ1" s="24" t="s">
        <v>1766</v>
      </c>
      <c r="AK1" s="24" t="s">
        <v>1768</v>
      </c>
      <c r="AL1" s="24" t="s">
        <v>1770</v>
      </c>
      <c r="AM1" s="24" t="s">
        <v>1769</v>
      </c>
      <c r="AN1" s="24" t="s">
        <v>1771</v>
      </c>
      <c r="AO1" s="24" t="s">
        <v>1773</v>
      </c>
      <c r="AP1" s="24" t="s">
        <v>1772</v>
      </c>
      <c r="AQ1" s="24" t="s">
        <v>1774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49"/>
      <c r="K2" s="48"/>
      <c r="L2" s="16"/>
      <c r="M2" s="31"/>
      <c r="N2" s="31"/>
      <c r="O2" s="19"/>
      <c r="P2" s="19" t="s">
        <v>1781</v>
      </c>
      <c r="Q2" s="7">
        <v>1</v>
      </c>
      <c r="R2" s="13" t="s">
        <v>1735</v>
      </c>
      <c r="S2" s="13"/>
      <c r="T2" s="7">
        <v>2</v>
      </c>
      <c r="U2" s="13" t="s">
        <v>1736</v>
      </c>
      <c r="V2" s="13"/>
      <c r="W2" s="7">
        <v>3</v>
      </c>
      <c r="X2" s="13" t="s">
        <v>1737</v>
      </c>
      <c r="Y2" s="13"/>
      <c r="Z2" s="7">
        <v>4</v>
      </c>
      <c r="AA2" s="13" t="s">
        <v>1740</v>
      </c>
      <c r="AB2" s="13"/>
      <c r="AC2" s="7">
        <v>5</v>
      </c>
      <c r="AD2" s="13" t="s">
        <v>1741</v>
      </c>
      <c r="AE2" s="13"/>
      <c r="AF2" s="7">
        <v>6</v>
      </c>
      <c r="AG2" s="13" t="s">
        <v>1739</v>
      </c>
      <c r="AH2" s="13"/>
      <c r="AI2" s="27">
        <v>7</v>
      </c>
      <c r="AJ2" s="13" t="s">
        <v>1738</v>
      </c>
      <c r="AK2" s="13"/>
      <c r="AL2" s="7">
        <v>8</v>
      </c>
      <c r="AM2" s="13" t="s">
        <v>1775</v>
      </c>
      <c r="AN2" s="13"/>
      <c r="AO2" s="7">
        <v>9</v>
      </c>
      <c r="AP2" s="13" t="s">
        <v>1776</v>
      </c>
      <c r="AQ2" s="13"/>
    </row>
    <row r="3" spans="1:43" s="18" customFormat="1" x14ac:dyDescent="0.25">
      <c r="A3" s="19">
        <v>4</v>
      </c>
      <c r="B3" s="19"/>
      <c r="C3" s="16"/>
      <c r="D3" s="35" t="s">
        <v>1910</v>
      </c>
      <c r="E3" s="34" t="s">
        <v>1915</v>
      </c>
      <c r="F3" s="16"/>
      <c r="G3" s="16"/>
      <c r="H3" s="16"/>
      <c r="I3" s="19"/>
      <c r="J3" s="49"/>
      <c r="K3" s="48"/>
      <c r="L3" s="16"/>
      <c r="M3" s="31"/>
      <c r="N3" s="31"/>
      <c r="O3" s="19"/>
      <c r="P3" s="32" t="s">
        <v>1778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1911</v>
      </c>
      <c r="F4" s="16"/>
      <c r="G4" s="16"/>
      <c r="H4" s="16"/>
      <c r="J4" s="49"/>
      <c r="K4" s="48"/>
      <c r="L4" s="16"/>
      <c r="M4" s="31"/>
      <c r="N4" s="31"/>
      <c r="O4" s="19"/>
      <c r="P4" s="23" t="s">
        <v>1734</v>
      </c>
      <c r="Q4" s="7">
        <v>12</v>
      </c>
      <c r="R4" s="7">
        <v>0.14000000000000001</v>
      </c>
      <c r="S4" s="13" t="s">
        <v>1619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2353</v>
      </c>
      <c r="F5" s="16"/>
      <c r="G5" s="16"/>
      <c r="H5" s="16"/>
      <c r="J5" s="49"/>
      <c r="K5" s="48"/>
      <c r="L5" s="16"/>
      <c r="M5" s="31"/>
      <c r="N5" s="31"/>
      <c r="O5" s="19"/>
      <c r="P5" s="23" t="s">
        <v>1692</v>
      </c>
      <c r="Q5" s="7">
        <v>5</v>
      </c>
      <c r="R5" s="7">
        <v>0.12</v>
      </c>
      <c r="S5" s="13" t="s">
        <v>1609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2012</v>
      </c>
      <c r="F6" s="16"/>
      <c r="G6" s="16"/>
      <c r="H6" s="16"/>
      <c r="J6" s="49"/>
      <c r="K6" s="48"/>
      <c r="L6" s="16"/>
      <c r="M6" s="31"/>
      <c r="N6" s="31"/>
      <c r="O6" s="29" t="s">
        <v>1826</v>
      </c>
      <c r="P6" s="30" t="s">
        <v>1824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2277</v>
      </c>
      <c r="F7" s="16"/>
      <c r="G7" s="16"/>
      <c r="H7" s="16"/>
      <c r="J7" s="49"/>
      <c r="K7" s="48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2278</v>
      </c>
      <c r="F8" s="16"/>
      <c r="G8" s="16"/>
      <c r="H8" s="16"/>
      <c r="I8" s="26"/>
      <c r="J8" s="49"/>
      <c r="K8" s="48"/>
      <c r="L8" s="16"/>
      <c r="M8" s="31"/>
      <c r="N8" s="31"/>
      <c r="O8" s="19"/>
      <c r="P8" s="19" t="s">
        <v>1779</v>
      </c>
      <c r="Q8" s="7"/>
      <c r="R8" s="7"/>
      <c r="S8" s="13"/>
      <c r="T8" s="7"/>
      <c r="U8" s="7" t="s">
        <v>1735</v>
      </c>
      <c r="V8" s="13"/>
      <c r="W8" s="7"/>
      <c r="X8" s="7" t="s">
        <v>1736</v>
      </c>
      <c r="Y8" s="13"/>
      <c r="Z8" s="7"/>
      <c r="AA8" s="7" t="s">
        <v>1735</v>
      </c>
      <c r="AB8" s="13"/>
      <c r="AC8" s="7"/>
      <c r="AD8" s="7" t="s">
        <v>1740</v>
      </c>
      <c r="AE8" s="13"/>
      <c r="AF8" s="7"/>
      <c r="AG8" s="7" t="s">
        <v>1735</v>
      </c>
      <c r="AH8" s="13"/>
      <c r="AI8" s="7"/>
      <c r="AJ8" s="7" t="s">
        <v>1735</v>
      </c>
      <c r="AK8" s="13"/>
      <c r="AL8" s="13"/>
      <c r="AM8" s="13" t="s">
        <v>1735</v>
      </c>
      <c r="AN8" s="13"/>
      <c r="AO8" s="13"/>
      <c r="AP8" s="13" t="s">
        <v>1735</v>
      </c>
      <c r="AQ8" s="13"/>
    </row>
    <row r="9" spans="1:43" s="18" customFormat="1" x14ac:dyDescent="0.25">
      <c r="A9" s="19"/>
      <c r="B9" s="19"/>
      <c r="C9" s="16"/>
      <c r="D9" s="16"/>
      <c r="E9" s="34" t="s">
        <v>2690</v>
      </c>
      <c r="F9" s="16"/>
      <c r="G9" s="16"/>
      <c r="H9" s="16"/>
      <c r="J9" s="49"/>
      <c r="K9" s="48"/>
      <c r="L9" s="16"/>
      <c r="M9" s="31"/>
      <c r="N9" s="31"/>
      <c r="O9" s="19"/>
      <c r="P9" s="33" t="s">
        <v>1822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2702</v>
      </c>
      <c r="F10" s="16"/>
      <c r="G10" s="16"/>
      <c r="H10" s="16"/>
      <c r="J10" s="49"/>
      <c r="K10" s="48"/>
      <c r="L10" s="16"/>
      <c r="M10" s="31"/>
      <c r="N10" s="31"/>
      <c r="O10" s="29" t="s">
        <v>1825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49"/>
      <c r="K11" s="48"/>
      <c r="L11" s="16"/>
      <c r="M11" s="31"/>
      <c r="N11" s="31"/>
      <c r="O11" s="29" t="s">
        <v>1823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49"/>
      <c r="K12" s="48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1777</v>
      </c>
      <c r="B13" s="24" t="s">
        <v>2014</v>
      </c>
      <c r="C13" s="40" t="s">
        <v>1730</v>
      </c>
      <c r="D13" s="40" t="s">
        <v>1731</v>
      </c>
      <c r="E13" s="24" t="s">
        <v>1729</v>
      </c>
      <c r="F13" s="24" t="s">
        <v>1728</v>
      </c>
      <c r="G13" s="24" t="s">
        <v>1727</v>
      </c>
      <c r="H13" s="40" t="s">
        <v>1102</v>
      </c>
      <c r="I13" s="24" t="s">
        <v>1747</v>
      </c>
      <c r="J13" s="47" t="s">
        <v>1962</v>
      </c>
      <c r="K13" s="47" t="s">
        <v>1913</v>
      </c>
      <c r="L13" s="24" t="s">
        <v>1725</v>
      </c>
      <c r="M13" s="24" t="s">
        <v>1726</v>
      </c>
      <c r="N13" s="24" t="s">
        <v>1721</v>
      </c>
      <c r="O13" s="24"/>
      <c r="P13" s="24"/>
      <c r="Q13" s="24" t="s">
        <v>1827</v>
      </c>
      <c r="R13" s="24" t="s">
        <v>1828</v>
      </c>
      <c r="S13" s="24" t="s">
        <v>1829</v>
      </c>
      <c r="T13" s="24" t="s">
        <v>1827</v>
      </c>
      <c r="U13" s="24" t="s">
        <v>1828</v>
      </c>
      <c r="V13" s="24" t="s">
        <v>1829</v>
      </c>
      <c r="W13" s="24" t="s">
        <v>1827</v>
      </c>
      <c r="X13" s="24" t="s">
        <v>1828</v>
      </c>
      <c r="Y13" s="24" t="s">
        <v>1829</v>
      </c>
      <c r="Z13" s="24" t="s">
        <v>1827</v>
      </c>
      <c r="AA13" s="24" t="s">
        <v>1828</v>
      </c>
      <c r="AB13" s="24" t="s">
        <v>1829</v>
      </c>
      <c r="AC13" s="24" t="s">
        <v>1827</v>
      </c>
      <c r="AD13" s="24" t="s">
        <v>1828</v>
      </c>
      <c r="AE13" s="24" t="s">
        <v>1829</v>
      </c>
      <c r="AF13" s="24" t="s">
        <v>1827</v>
      </c>
      <c r="AG13" s="24" t="s">
        <v>1828</v>
      </c>
      <c r="AH13" s="24" t="s">
        <v>1829</v>
      </c>
      <c r="AI13" s="24" t="s">
        <v>1827</v>
      </c>
      <c r="AJ13" s="24" t="s">
        <v>1828</v>
      </c>
      <c r="AK13" s="24" t="s">
        <v>1829</v>
      </c>
      <c r="AL13" s="24" t="s">
        <v>1827</v>
      </c>
      <c r="AM13" s="24" t="s">
        <v>1828</v>
      </c>
      <c r="AN13" s="24" t="s">
        <v>1829</v>
      </c>
      <c r="AO13" s="24" t="s">
        <v>1827</v>
      </c>
      <c r="AP13" s="24" t="s">
        <v>1828</v>
      </c>
      <c r="AQ13" s="24" t="s">
        <v>1829</v>
      </c>
    </row>
    <row r="14" spans="1:43" s="2" customFormat="1" x14ac:dyDescent="0.25">
      <c r="A14" s="44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2496</v>
      </c>
      <c r="G14" s="5"/>
      <c r="H14" s="5" t="s">
        <v>1084</v>
      </c>
      <c r="I14" s="5" t="s">
        <v>128</v>
      </c>
      <c r="J14" s="6"/>
      <c r="K14" s="6"/>
      <c r="L14" s="5" t="s">
        <v>1705</v>
      </c>
      <c r="M14" s="8"/>
      <c r="N14" s="5"/>
      <c r="O14" s="5"/>
      <c r="P14" s="5"/>
      <c r="Q14" s="6">
        <v>0</v>
      </c>
      <c r="R14" s="6" t="s">
        <v>1692</v>
      </c>
      <c r="S14" s="5" t="s">
        <v>1607</v>
      </c>
      <c r="T14" s="6">
        <v>0</v>
      </c>
      <c r="U14" s="6" t="s">
        <v>1692</v>
      </c>
      <c r="V14" s="5"/>
      <c r="W14" s="7">
        <v>0</v>
      </c>
      <c r="X14" s="6" t="s">
        <v>3</v>
      </c>
      <c r="Y14" s="5"/>
      <c r="Z14" s="6">
        <v>0</v>
      </c>
      <c r="AA14" s="6" t="s">
        <v>1734</v>
      </c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44" t="str">
        <f t="shared" si="0"/>
        <v>_SETTLER</v>
      </c>
      <c r="B15" s="9"/>
      <c r="C15" s="5"/>
      <c r="D15" s="5"/>
      <c r="E15" s="4" t="s">
        <v>1078</v>
      </c>
      <c r="F15" s="5" t="s">
        <v>2497</v>
      </c>
      <c r="G15" s="5"/>
      <c r="H15" s="5" t="s">
        <v>1431</v>
      </c>
      <c r="I15" s="5" t="s">
        <v>128</v>
      </c>
      <c r="J15" s="6"/>
      <c r="K15" s="6"/>
      <c r="L15" s="5" t="s">
        <v>1705</v>
      </c>
      <c r="M15" s="8"/>
      <c r="N15" s="5"/>
      <c r="O15" s="5"/>
      <c r="P15" s="5"/>
      <c r="Q15" s="6">
        <v>0</v>
      </c>
      <c r="R15" s="6" t="s">
        <v>1692</v>
      </c>
      <c r="S15" s="5" t="s">
        <v>1607</v>
      </c>
      <c r="T15" s="6">
        <v>0</v>
      </c>
      <c r="U15" s="6" t="s">
        <v>1734</v>
      </c>
      <c r="V15" s="5"/>
      <c r="W15" s="7">
        <v>0</v>
      </c>
      <c r="X15" s="6" t="s">
        <v>3</v>
      </c>
      <c r="Y15" s="5"/>
      <c r="Z15" s="6">
        <v>0</v>
      </c>
      <c r="AA15" s="6" t="s">
        <v>1734</v>
      </c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44" t="str">
        <f t="shared" si="0"/>
        <v>_SETTLER</v>
      </c>
      <c r="B16" s="9"/>
      <c r="C16" s="5"/>
      <c r="D16" s="5"/>
      <c r="E16" s="4" t="s">
        <v>1078</v>
      </c>
      <c r="F16" s="5" t="s">
        <v>2498</v>
      </c>
      <c r="G16" s="5"/>
      <c r="H16" s="5" t="s">
        <v>1436</v>
      </c>
      <c r="I16" s="5" t="s">
        <v>128</v>
      </c>
      <c r="J16" s="6"/>
      <c r="K16" s="6"/>
      <c r="L16" s="5" t="s">
        <v>1705</v>
      </c>
      <c r="M16" s="8"/>
      <c r="N16" s="5"/>
      <c r="O16" s="5"/>
      <c r="P16" s="5"/>
      <c r="Q16" s="6">
        <v>0</v>
      </c>
      <c r="R16" s="6" t="s">
        <v>1692</v>
      </c>
      <c r="S16" s="5" t="s">
        <v>1607</v>
      </c>
      <c r="T16" s="6">
        <v>0</v>
      </c>
      <c r="U16" s="6" t="s">
        <v>1734</v>
      </c>
      <c r="V16" s="5"/>
      <c r="W16" s="7">
        <v>0</v>
      </c>
      <c r="X16" s="6" t="s">
        <v>3</v>
      </c>
      <c r="Y16" s="5"/>
      <c r="Z16" s="6">
        <v>0</v>
      </c>
      <c r="AA16" s="6" t="s">
        <v>1734</v>
      </c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44" t="str">
        <f t="shared" si="0"/>
        <v>_SETTLER</v>
      </c>
      <c r="B17" s="9"/>
      <c r="C17" s="5"/>
      <c r="D17" s="5"/>
      <c r="E17" s="4" t="s">
        <v>1078</v>
      </c>
      <c r="F17" s="5" t="s">
        <v>2499</v>
      </c>
      <c r="G17" s="5"/>
      <c r="H17" s="5" t="s">
        <v>1437</v>
      </c>
      <c r="I17" s="5" t="s">
        <v>128</v>
      </c>
      <c r="J17" s="6"/>
      <c r="K17" s="6"/>
      <c r="L17" s="5" t="s">
        <v>1705</v>
      </c>
      <c r="M17" s="8"/>
      <c r="N17" s="5"/>
      <c r="O17" s="5"/>
      <c r="P17" s="5"/>
      <c r="Q17" s="6">
        <v>0</v>
      </c>
      <c r="R17" s="6" t="s">
        <v>1692</v>
      </c>
      <c r="S17" s="5" t="s">
        <v>1607</v>
      </c>
      <c r="T17" s="6">
        <v>0</v>
      </c>
      <c r="U17" s="6" t="s">
        <v>1734</v>
      </c>
      <c r="V17" s="5"/>
      <c r="W17" s="7">
        <v>0</v>
      </c>
      <c r="X17" s="6" t="s">
        <v>3</v>
      </c>
      <c r="Y17" s="5"/>
      <c r="Z17" s="7">
        <v>0</v>
      </c>
      <c r="AA17" s="6" t="s">
        <v>1734</v>
      </c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44" t="str">
        <f t="shared" si="0"/>
        <v>_SETTLER</v>
      </c>
      <c r="B18" s="9"/>
      <c r="C18" s="5"/>
      <c r="D18" s="5"/>
      <c r="E18" s="4" t="s">
        <v>1078</v>
      </c>
      <c r="F18" s="5" t="s">
        <v>2500</v>
      </c>
      <c r="G18" s="5"/>
      <c r="H18" s="5" t="s">
        <v>1438</v>
      </c>
      <c r="I18" s="5" t="s">
        <v>128</v>
      </c>
      <c r="J18" s="6"/>
      <c r="K18" s="6"/>
      <c r="L18" s="5" t="s">
        <v>1705</v>
      </c>
      <c r="M18" s="8"/>
      <c r="N18" s="5"/>
      <c r="O18" s="5"/>
      <c r="P18" s="5"/>
      <c r="Q18" s="6">
        <v>0</v>
      </c>
      <c r="R18" s="6" t="s">
        <v>1692</v>
      </c>
      <c r="S18" s="5" t="s">
        <v>1607</v>
      </c>
      <c r="T18" s="6">
        <v>0</v>
      </c>
      <c r="U18" s="6" t="s">
        <v>1734</v>
      </c>
      <c r="V18" s="5"/>
      <c r="W18" s="7">
        <v>0</v>
      </c>
      <c r="X18" s="6" t="s">
        <v>3</v>
      </c>
      <c r="Y18" s="5"/>
      <c r="Z18" s="7">
        <v>0</v>
      </c>
      <c r="AA18" s="6" t="s">
        <v>1734</v>
      </c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44" t="str">
        <f t="shared" si="0"/>
        <v>_SETTLER</v>
      </c>
      <c r="B19" s="9"/>
      <c r="C19" s="5"/>
      <c r="D19" s="5"/>
      <c r="E19" s="4" t="s">
        <v>1078</v>
      </c>
      <c r="F19" s="5" t="s">
        <v>2501</v>
      </c>
      <c r="G19" s="5"/>
      <c r="H19" s="5" t="s">
        <v>1432</v>
      </c>
      <c r="I19" s="5" t="s">
        <v>128</v>
      </c>
      <c r="J19" s="6"/>
      <c r="K19" s="6"/>
      <c r="L19" s="5" t="s">
        <v>1705</v>
      </c>
      <c r="M19" s="8"/>
      <c r="N19" s="5"/>
      <c r="O19" s="5"/>
      <c r="P19" s="5"/>
      <c r="Q19" s="6">
        <v>0</v>
      </c>
      <c r="R19" s="6" t="s">
        <v>1692</v>
      </c>
      <c r="S19" s="5" t="s">
        <v>1607</v>
      </c>
      <c r="T19" s="6">
        <v>0</v>
      </c>
      <c r="U19" s="6" t="s">
        <v>1734</v>
      </c>
      <c r="V19" s="5"/>
      <c r="W19" s="7">
        <v>0</v>
      </c>
      <c r="X19" s="6" t="s">
        <v>3</v>
      </c>
      <c r="Y19" s="5"/>
      <c r="Z19" s="7">
        <v>0</v>
      </c>
      <c r="AA19" s="6" t="s">
        <v>1734</v>
      </c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44" t="str">
        <f t="shared" si="0"/>
        <v>_SETTLER</v>
      </c>
      <c r="B20" s="9"/>
      <c r="C20" s="5"/>
      <c r="D20" s="5"/>
      <c r="E20" s="4" t="s">
        <v>1078</v>
      </c>
      <c r="F20" s="5" t="s">
        <v>2502</v>
      </c>
      <c r="G20" s="5"/>
      <c r="H20" s="5" t="s">
        <v>1433</v>
      </c>
      <c r="I20" s="5" t="s">
        <v>128</v>
      </c>
      <c r="J20" s="6"/>
      <c r="K20" s="6"/>
      <c r="L20" s="5" t="s">
        <v>1705</v>
      </c>
      <c r="M20" s="8"/>
      <c r="N20" s="5"/>
      <c r="O20" s="5"/>
      <c r="P20" s="5"/>
      <c r="Q20" s="6">
        <v>0</v>
      </c>
      <c r="R20" s="6" t="s">
        <v>1692</v>
      </c>
      <c r="S20" s="5" t="s">
        <v>1607</v>
      </c>
      <c r="T20" s="6">
        <v>0</v>
      </c>
      <c r="U20" s="6" t="s">
        <v>1734</v>
      </c>
      <c r="V20" s="5"/>
      <c r="W20" s="7">
        <v>0</v>
      </c>
      <c r="X20" s="6" t="s">
        <v>3</v>
      </c>
      <c r="Y20" s="5"/>
      <c r="Z20" s="7">
        <v>0</v>
      </c>
      <c r="AA20" s="6" t="s">
        <v>1734</v>
      </c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44" t="str">
        <f t="shared" si="0"/>
        <v>_SETTLER</v>
      </c>
      <c r="B21" s="9"/>
      <c r="C21" s="5"/>
      <c r="D21" s="5"/>
      <c r="E21" s="4" t="s">
        <v>1078</v>
      </c>
      <c r="F21" s="5" t="s">
        <v>2503</v>
      </c>
      <c r="G21" s="5"/>
      <c r="H21" s="5" t="s">
        <v>1434</v>
      </c>
      <c r="I21" s="5" t="s">
        <v>128</v>
      </c>
      <c r="J21" s="6"/>
      <c r="K21" s="6"/>
      <c r="L21" s="5" t="s">
        <v>1705</v>
      </c>
      <c r="M21" s="8"/>
      <c r="N21" s="5"/>
      <c r="O21" s="5"/>
      <c r="P21" s="5"/>
      <c r="Q21" s="6">
        <v>0</v>
      </c>
      <c r="R21" s="6" t="s">
        <v>1692</v>
      </c>
      <c r="S21" s="5" t="s">
        <v>1607</v>
      </c>
      <c r="T21" s="6">
        <v>0</v>
      </c>
      <c r="U21" s="6" t="s">
        <v>1734</v>
      </c>
      <c r="V21" s="5"/>
      <c r="W21" s="7">
        <v>0</v>
      </c>
      <c r="X21" s="6" t="s">
        <v>3</v>
      </c>
      <c r="Y21" s="5"/>
      <c r="Z21" s="7">
        <v>0</v>
      </c>
      <c r="AA21" s="6" t="s">
        <v>1734</v>
      </c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44" t="str">
        <f t="shared" si="0"/>
        <v>_SETTLER</v>
      </c>
      <c r="B22" s="9"/>
      <c r="C22" s="5"/>
      <c r="D22" s="5"/>
      <c r="E22" s="4" t="s">
        <v>1078</v>
      </c>
      <c r="F22" s="5" t="s">
        <v>2504</v>
      </c>
      <c r="G22" s="5"/>
      <c r="H22" s="5" t="s">
        <v>1435</v>
      </c>
      <c r="I22" s="5" t="s">
        <v>128</v>
      </c>
      <c r="J22" s="6"/>
      <c r="K22" s="6"/>
      <c r="L22" s="5" t="s">
        <v>1705</v>
      </c>
      <c r="M22" s="8"/>
      <c r="N22" s="5"/>
      <c r="O22" s="5"/>
      <c r="P22" s="5"/>
      <c r="Q22" s="6">
        <v>0</v>
      </c>
      <c r="R22" s="6" t="s">
        <v>1692</v>
      </c>
      <c r="S22" s="5" t="s">
        <v>1607</v>
      </c>
      <c r="T22" s="6">
        <v>0</v>
      </c>
      <c r="U22" s="6" t="s">
        <v>1734</v>
      </c>
      <c r="V22" s="5"/>
      <c r="W22" s="7">
        <v>0</v>
      </c>
      <c r="X22" s="6" t="s">
        <v>3</v>
      </c>
      <c r="Y22" s="5"/>
      <c r="Z22" s="7">
        <v>0</v>
      </c>
      <c r="AA22" s="6" t="s">
        <v>1734</v>
      </c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44" t="str">
        <f t="shared" ref="A23:A31" si="1">CONCATENATE(E23,IF(ISBLANK(C23),"",CONCATENATE("_",C23)))</f>
        <v>_SETTLER</v>
      </c>
      <c r="B23" s="9" t="s">
        <v>2216</v>
      </c>
      <c r="C23" s="5"/>
      <c r="D23" s="5"/>
      <c r="E23" s="5" t="s">
        <v>1078</v>
      </c>
      <c r="F23" s="5" t="s">
        <v>2711</v>
      </c>
      <c r="G23" s="5" t="s">
        <v>2011</v>
      </c>
      <c r="H23" s="5" t="s">
        <v>1084</v>
      </c>
      <c r="I23" s="5" t="s">
        <v>128</v>
      </c>
      <c r="J23" s="6"/>
      <c r="K23" s="6"/>
      <c r="L23" s="5" t="s">
        <v>1705</v>
      </c>
      <c r="M23" s="8"/>
      <c r="N23" s="5"/>
      <c r="O23" s="5"/>
      <c r="P23" s="5"/>
      <c r="Q23" s="6">
        <v>1</v>
      </c>
      <c r="R23" s="6" t="s">
        <v>1692</v>
      </c>
      <c r="S23" s="5" t="s">
        <v>1607</v>
      </c>
      <c r="T23" s="6">
        <v>1</v>
      </c>
      <c r="U23" s="6" t="s">
        <v>1692</v>
      </c>
      <c r="V23" s="5"/>
      <c r="W23" s="6"/>
      <c r="X23" s="6" t="s">
        <v>3</v>
      </c>
      <c r="Y23" s="5"/>
      <c r="Z23" s="6">
        <v>1</v>
      </c>
      <c r="AA23" s="6" t="s">
        <v>1734</v>
      </c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44" t="str">
        <f t="shared" si="1"/>
        <v>_SETTLER</v>
      </c>
      <c r="B24" s="9" t="s">
        <v>2216</v>
      </c>
      <c r="C24" s="5"/>
      <c r="D24" s="5"/>
      <c r="E24" s="5" t="s">
        <v>1078</v>
      </c>
      <c r="F24" s="5" t="s">
        <v>2711</v>
      </c>
      <c r="G24" s="5" t="s">
        <v>2032</v>
      </c>
      <c r="H24" s="5" t="s">
        <v>1431</v>
      </c>
      <c r="I24" s="5" t="s">
        <v>128</v>
      </c>
      <c r="J24" s="6"/>
      <c r="K24" s="6"/>
      <c r="L24" s="5" t="s">
        <v>1705</v>
      </c>
      <c r="M24" s="8"/>
      <c r="N24" s="5"/>
      <c r="O24" s="5"/>
      <c r="P24" s="5"/>
      <c r="Q24" s="6">
        <v>1</v>
      </c>
      <c r="R24" s="6" t="s">
        <v>1692</v>
      </c>
      <c r="S24" s="5" t="s">
        <v>1607</v>
      </c>
      <c r="T24" s="6">
        <v>1</v>
      </c>
      <c r="U24" s="6" t="s">
        <v>1734</v>
      </c>
      <c r="V24" s="5"/>
      <c r="W24" s="6"/>
      <c r="X24" s="6" t="s">
        <v>3</v>
      </c>
      <c r="Y24" s="5"/>
      <c r="Z24" s="6">
        <v>0</v>
      </c>
      <c r="AA24" s="6" t="s">
        <v>1734</v>
      </c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44" t="str">
        <f t="shared" si="1"/>
        <v>_SETTLER</v>
      </c>
      <c r="B25" s="9" t="s">
        <v>2216</v>
      </c>
      <c r="C25" s="5"/>
      <c r="D25" s="5"/>
      <c r="E25" s="5" t="s">
        <v>1078</v>
      </c>
      <c r="F25" s="5" t="s">
        <v>2711</v>
      </c>
      <c r="G25" s="5" t="s">
        <v>2033</v>
      </c>
      <c r="H25" s="5" t="s">
        <v>1436</v>
      </c>
      <c r="I25" s="5" t="s">
        <v>128</v>
      </c>
      <c r="J25" s="6"/>
      <c r="K25" s="6"/>
      <c r="L25" s="5" t="s">
        <v>1705</v>
      </c>
      <c r="M25" s="8"/>
      <c r="N25" s="5"/>
      <c r="O25" s="5"/>
      <c r="P25" s="5"/>
      <c r="Q25" s="6">
        <v>1</v>
      </c>
      <c r="R25" s="6" t="s">
        <v>1692</v>
      </c>
      <c r="S25" s="5" t="s">
        <v>1607</v>
      </c>
      <c r="T25" s="6">
        <v>1</v>
      </c>
      <c r="U25" s="6" t="s">
        <v>1734</v>
      </c>
      <c r="V25" s="5"/>
      <c r="W25" s="6"/>
      <c r="X25" s="6" t="s">
        <v>3</v>
      </c>
      <c r="Y25" s="5"/>
      <c r="Z25" s="6">
        <v>0</v>
      </c>
      <c r="AA25" s="6" t="s">
        <v>1734</v>
      </c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44" t="str">
        <f t="shared" si="1"/>
        <v>_SETTLER</v>
      </c>
      <c r="B26" s="9" t="s">
        <v>2216</v>
      </c>
      <c r="C26" s="5"/>
      <c r="D26" s="5"/>
      <c r="E26" s="5" t="s">
        <v>1078</v>
      </c>
      <c r="F26" s="5" t="s">
        <v>2711</v>
      </c>
      <c r="G26" s="5" t="s">
        <v>2034</v>
      </c>
      <c r="H26" s="5" t="s">
        <v>1437</v>
      </c>
      <c r="I26" s="5" t="s">
        <v>128</v>
      </c>
      <c r="J26" s="6"/>
      <c r="K26" s="6"/>
      <c r="L26" s="5" t="s">
        <v>1705</v>
      </c>
      <c r="M26" s="8"/>
      <c r="N26" s="5"/>
      <c r="O26" s="5"/>
      <c r="P26" s="5"/>
      <c r="Q26" s="6">
        <v>1</v>
      </c>
      <c r="R26" s="6" t="s">
        <v>1692</v>
      </c>
      <c r="S26" s="5" t="s">
        <v>1607</v>
      </c>
      <c r="T26" s="6">
        <v>1</v>
      </c>
      <c r="U26" s="6" t="s">
        <v>1734</v>
      </c>
      <c r="V26" s="5"/>
      <c r="W26" s="7"/>
      <c r="X26" s="6" t="s">
        <v>3</v>
      </c>
      <c r="Y26" s="5"/>
      <c r="Z26" s="7">
        <v>0</v>
      </c>
      <c r="AA26" s="6" t="s">
        <v>1734</v>
      </c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44" t="str">
        <f t="shared" si="1"/>
        <v>_SETTLER</v>
      </c>
      <c r="B27" s="9" t="s">
        <v>2216</v>
      </c>
      <c r="C27" s="5"/>
      <c r="D27" s="5"/>
      <c r="E27" s="5" t="s">
        <v>1078</v>
      </c>
      <c r="F27" s="5" t="s">
        <v>2711</v>
      </c>
      <c r="G27" s="5" t="s">
        <v>2035</v>
      </c>
      <c r="H27" s="5" t="s">
        <v>1438</v>
      </c>
      <c r="I27" s="5" t="s">
        <v>128</v>
      </c>
      <c r="J27" s="6"/>
      <c r="K27" s="6"/>
      <c r="L27" s="5" t="s">
        <v>1705</v>
      </c>
      <c r="M27" s="8"/>
      <c r="N27" s="5"/>
      <c r="O27" s="5"/>
      <c r="P27" s="5"/>
      <c r="Q27" s="6">
        <v>1</v>
      </c>
      <c r="R27" s="6" t="s">
        <v>1692</v>
      </c>
      <c r="S27" s="5" t="s">
        <v>1607</v>
      </c>
      <c r="T27" s="6">
        <v>1</v>
      </c>
      <c r="U27" s="6" t="s">
        <v>1734</v>
      </c>
      <c r="V27" s="5"/>
      <c r="W27" s="7"/>
      <c r="X27" s="6" t="s">
        <v>3</v>
      </c>
      <c r="Y27" s="5"/>
      <c r="Z27" s="7">
        <v>0</v>
      </c>
      <c r="AA27" s="6" t="s">
        <v>1734</v>
      </c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44" t="str">
        <f t="shared" si="1"/>
        <v>_SETTLER</v>
      </c>
      <c r="B28" s="9" t="s">
        <v>2216</v>
      </c>
      <c r="C28" s="5"/>
      <c r="D28" s="5"/>
      <c r="E28" s="5" t="s">
        <v>1078</v>
      </c>
      <c r="F28" s="5" t="s">
        <v>2711</v>
      </c>
      <c r="G28" s="5" t="s">
        <v>2036</v>
      </c>
      <c r="H28" s="5" t="s">
        <v>1432</v>
      </c>
      <c r="I28" s="5" t="s">
        <v>128</v>
      </c>
      <c r="J28" s="6"/>
      <c r="K28" s="6"/>
      <c r="L28" s="5" t="s">
        <v>1705</v>
      </c>
      <c r="M28" s="8"/>
      <c r="N28" s="5"/>
      <c r="O28" s="5"/>
      <c r="P28" s="5"/>
      <c r="Q28" s="6">
        <v>1</v>
      </c>
      <c r="R28" s="6" t="s">
        <v>1692</v>
      </c>
      <c r="S28" s="5" t="s">
        <v>1607</v>
      </c>
      <c r="T28" s="6">
        <v>1</v>
      </c>
      <c r="U28" s="6" t="s">
        <v>1734</v>
      </c>
      <c r="V28" s="5"/>
      <c r="W28" s="7"/>
      <c r="X28" s="6" t="s">
        <v>3</v>
      </c>
      <c r="Y28" s="5"/>
      <c r="Z28" s="7">
        <v>0</v>
      </c>
      <c r="AA28" s="6" t="s">
        <v>1734</v>
      </c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44" t="str">
        <f t="shared" si="1"/>
        <v>_SETTLER</v>
      </c>
      <c r="B29" s="9" t="s">
        <v>2216</v>
      </c>
      <c r="C29" s="5"/>
      <c r="D29" s="5"/>
      <c r="E29" s="5" t="s">
        <v>1078</v>
      </c>
      <c r="F29" s="5" t="s">
        <v>2711</v>
      </c>
      <c r="G29" s="5" t="s">
        <v>2037</v>
      </c>
      <c r="H29" s="5" t="s">
        <v>1433</v>
      </c>
      <c r="I29" s="5" t="s">
        <v>128</v>
      </c>
      <c r="J29" s="6"/>
      <c r="K29" s="6"/>
      <c r="L29" s="5" t="s">
        <v>1705</v>
      </c>
      <c r="M29" s="8"/>
      <c r="N29" s="5"/>
      <c r="O29" s="5"/>
      <c r="P29" s="5"/>
      <c r="Q29" s="6">
        <v>1</v>
      </c>
      <c r="R29" s="6" t="s">
        <v>1692</v>
      </c>
      <c r="S29" s="5" t="s">
        <v>1607</v>
      </c>
      <c r="T29" s="6">
        <v>1</v>
      </c>
      <c r="U29" s="6" t="s">
        <v>1734</v>
      </c>
      <c r="V29" s="5"/>
      <c r="W29" s="7"/>
      <c r="X29" s="6" t="s">
        <v>3</v>
      </c>
      <c r="Y29" s="5"/>
      <c r="Z29" s="7">
        <v>0</v>
      </c>
      <c r="AA29" s="6" t="s">
        <v>1734</v>
      </c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44" t="str">
        <f t="shared" si="1"/>
        <v>_SETTLER</v>
      </c>
      <c r="B30" s="9" t="s">
        <v>2216</v>
      </c>
      <c r="C30" s="5"/>
      <c r="D30" s="5"/>
      <c r="E30" s="5" t="s">
        <v>1078</v>
      </c>
      <c r="F30" s="5" t="s">
        <v>2711</v>
      </c>
      <c r="G30" s="5" t="s">
        <v>2038</v>
      </c>
      <c r="H30" s="5" t="s">
        <v>1434</v>
      </c>
      <c r="I30" s="5" t="s">
        <v>128</v>
      </c>
      <c r="J30" s="6"/>
      <c r="K30" s="6"/>
      <c r="L30" s="5" t="s">
        <v>1705</v>
      </c>
      <c r="M30" s="8"/>
      <c r="N30" s="5"/>
      <c r="O30" s="5"/>
      <c r="P30" s="5"/>
      <c r="Q30" s="6">
        <v>1</v>
      </c>
      <c r="R30" s="6" t="s">
        <v>1692</v>
      </c>
      <c r="S30" s="5" t="s">
        <v>1607</v>
      </c>
      <c r="T30" s="6">
        <v>1</v>
      </c>
      <c r="U30" s="6" t="s">
        <v>1734</v>
      </c>
      <c r="V30" s="5"/>
      <c r="W30" s="7"/>
      <c r="X30" s="6" t="s">
        <v>3</v>
      </c>
      <c r="Y30" s="5"/>
      <c r="Z30" s="7">
        <v>0</v>
      </c>
      <c r="AA30" s="6" t="s">
        <v>1734</v>
      </c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44" t="str">
        <f t="shared" si="1"/>
        <v>_SETTLER</v>
      </c>
      <c r="B31" s="9" t="s">
        <v>2216</v>
      </c>
      <c r="C31" s="5"/>
      <c r="D31" s="5"/>
      <c r="E31" s="5" t="s">
        <v>1078</v>
      </c>
      <c r="F31" s="5" t="s">
        <v>2711</v>
      </c>
      <c r="G31" s="5"/>
      <c r="H31" s="5" t="s">
        <v>1435</v>
      </c>
      <c r="I31" s="5" t="s">
        <v>128</v>
      </c>
      <c r="J31" s="6"/>
      <c r="K31" s="6"/>
      <c r="L31" s="5" t="s">
        <v>1705</v>
      </c>
      <c r="M31" s="8"/>
      <c r="N31" s="5"/>
      <c r="O31" s="5"/>
      <c r="P31" s="5"/>
      <c r="Q31" s="6">
        <v>1</v>
      </c>
      <c r="R31" s="6" t="s">
        <v>1692</v>
      </c>
      <c r="S31" s="5" t="s">
        <v>1607</v>
      </c>
      <c r="T31" s="6">
        <v>1</v>
      </c>
      <c r="U31" s="6" t="s">
        <v>1734</v>
      </c>
      <c r="V31" s="5"/>
      <c r="W31" s="7"/>
      <c r="X31" s="6" t="s">
        <v>3</v>
      </c>
      <c r="Y31" s="5"/>
      <c r="Z31" s="7">
        <v>0</v>
      </c>
      <c r="AA31" s="6" t="s">
        <v>1734</v>
      </c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44" t="str">
        <f t="shared" si="0"/>
        <v>_SETTLER_AFRI</v>
      </c>
      <c r="B32" s="9"/>
      <c r="C32" s="5" t="s">
        <v>694</v>
      </c>
      <c r="D32" s="5"/>
      <c r="E32" s="4" t="s">
        <v>1078</v>
      </c>
      <c r="F32" s="5" t="s">
        <v>2495</v>
      </c>
      <c r="G32" s="5"/>
      <c r="H32" s="5" t="s">
        <v>1390</v>
      </c>
      <c r="I32" s="5" t="s">
        <v>128</v>
      </c>
      <c r="J32" s="6"/>
      <c r="K32" s="6"/>
      <c r="L32" s="5" t="s">
        <v>1705</v>
      </c>
      <c r="M32" s="8"/>
      <c r="N32" s="5"/>
      <c r="O32" s="5"/>
      <c r="P32" s="5"/>
      <c r="Q32" s="6">
        <v>0</v>
      </c>
      <c r="R32" s="6" t="s">
        <v>1692</v>
      </c>
      <c r="S32" s="5" t="s">
        <v>1607</v>
      </c>
      <c r="T32" s="6">
        <v>0</v>
      </c>
      <c r="U32" s="6" t="s">
        <v>1734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44" t="str">
        <f t="shared" si="0"/>
        <v>_SETTLER_AFRI</v>
      </c>
      <c r="B33" s="9"/>
      <c r="C33" s="5" t="s">
        <v>694</v>
      </c>
      <c r="D33" s="5"/>
      <c r="E33" s="4" t="s">
        <v>1078</v>
      </c>
      <c r="F33" s="5" t="s">
        <v>2505</v>
      </c>
      <c r="G33" s="5"/>
      <c r="H33" s="5" t="s">
        <v>1085</v>
      </c>
      <c r="I33" s="5" t="s">
        <v>128</v>
      </c>
      <c r="J33" s="6"/>
      <c r="K33" s="6"/>
      <c r="L33" s="5" t="s">
        <v>1705</v>
      </c>
      <c r="M33" s="8"/>
      <c r="N33" s="5"/>
      <c r="O33" s="5"/>
      <c r="P33" s="5"/>
      <c r="Q33" s="6">
        <v>0</v>
      </c>
      <c r="R33" s="6" t="s">
        <v>1692</v>
      </c>
      <c r="S33" s="5" t="s">
        <v>1607</v>
      </c>
      <c r="T33" s="6">
        <v>0</v>
      </c>
      <c r="U33" s="6" t="s">
        <v>1734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44" t="str">
        <f t="shared" si="0"/>
        <v>_SETTLER_AFRI</v>
      </c>
      <c r="B34" s="9"/>
      <c r="C34" s="5" t="s">
        <v>694</v>
      </c>
      <c r="D34" s="5"/>
      <c r="E34" s="4" t="s">
        <v>1078</v>
      </c>
      <c r="F34" s="5" t="s">
        <v>2506</v>
      </c>
      <c r="G34" s="5"/>
      <c r="H34" s="5" t="s">
        <v>1086</v>
      </c>
      <c r="I34" s="5" t="s">
        <v>128</v>
      </c>
      <c r="J34" s="6"/>
      <c r="K34" s="6"/>
      <c r="L34" s="5" t="s">
        <v>1705</v>
      </c>
      <c r="M34" s="8"/>
      <c r="N34" s="5"/>
      <c r="O34" s="5"/>
      <c r="P34" s="5"/>
      <c r="Q34" s="6">
        <v>0</v>
      </c>
      <c r="R34" s="6" t="s">
        <v>1692</v>
      </c>
      <c r="S34" s="5" t="s">
        <v>1607</v>
      </c>
      <c r="T34" s="6">
        <v>0</v>
      </c>
      <c r="U34" s="6" t="s">
        <v>1734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44" t="str">
        <f t="shared" si="0"/>
        <v>_SETTLER_AFRI</v>
      </c>
      <c r="B35" s="9"/>
      <c r="C35" s="5" t="s">
        <v>694</v>
      </c>
      <c r="D35" s="5"/>
      <c r="E35" s="4" t="s">
        <v>1078</v>
      </c>
      <c r="F35" s="5" t="s">
        <v>2507</v>
      </c>
      <c r="G35" s="5"/>
      <c r="H35" s="5" t="s">
        <v>1087</v>
      </c>
      <c r="I35" s="5" t="s">
        <v>128</v>
      </c>
      <c r="J35" s="6"/>
      <c r="K35" s="6"/>
      <c r="L35" s="5" t="s">
        <v>1705</v>
      </c>
      <c r="M35" s="8"/>
      <c r="N35" s="5"/>
      <c r="O35" s="5"/>
      <c r="P35" s="5"/>
      <c r="Q35" s="6">
        <v>0</v>
      </c>
      <c r="R35" s="6" t="s">
        <v>1692</v>
      </c>
      <c r="S35" s="5" t="s">
        <v>1607</v>
      </c>
      <c r="T35" s="6">
        <v>0</v>
      </c>
      <c r="U35" s="6" t="s">
        <v>1734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44" t="str">
        <f t="shared" si="0"/>
        <v>_SETTLER_AFRI</v>
      </c>
      <c r="B36" s="9"/>
      <c r="C36" s="5" t="s">
        <v>694</v>
      </c>
      <c r="D36" s="5"/>
      <c r="E36" s="4" t="s">
        <v>1078</v>
      </c>
      <c r="F36" s="5" t="s">
        <v>2508</v>
      </c>
      <c r="G36" s="5"/>
      <c r="H36" s="5" t="s">
        <v>1088</v>
      </c>
      <c r="I36" s="5" t="s">
        <v>128</v>
      </c>
      <c r="J36" s="6"/>
      <c r="K36" s="6"/>
      <c r="L36" s="5" t="s">
        <v>1705</v>
      </c>
      <c r="M36" s="8"/>
      <c r="N36" s="5"/>
      <c r="O36" s="5"/>
      <c r="P36" s="5"/>
      <c r="Q36" s="6">
        <v>0</v>
      </c>
      <c r="R36" s="6" t="s">
        <v>1692</v>
      </c>
      <c r="S36" s="5" t="s">
        <v>1607</v>
      </c>
      <c r="T36" s="6">
        <v>0</v>
      </c>
      <c r="U36" s="6" t="s">
        <v>1734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44" t="str">
        <f t="shared" si="0"/>
        <v>_SETTLER_AFRI</v>
      </c>
      <c r="B37" s="9"/>
      <c r="C37" s="5" t="s">
        <v>694</v>
      </c>
      <c r="D37" s="5"/>
      <c r="E37" s="4" t="s">
        <v>1078</v>
      </c>
      <c r="F37" s="5" t="s">
        <v>2509</v>
      </c>
      <c r="G37" s="5"/>
      <c r="H37" s="5" t="s">
        <v>1089</v>
      </c>
      <c r="I37" s="5" t="s">
        <v>128</v>
      </c>
      <c r="J37" s="6"/>
      <c r="K37" s="6"/>
      <c r="L37" s="5" t="s">
        <v>1705</v>
      </c>
      <c r="M37" s="8"/>
      <c r="N37" s="5"/>
      <c r="O37" s="5"/>
      <c r="P37" s="5"/>
      <c r="Q37" s="6">
        <v>0</v>
      </c>
      <c r="R37" s="6" t="s">
        <v>1692</v>
      </c>
      <c r="S37" s="5" t="s">
        <v>1607</v>
      </c>
      <c r="T37" s="6">
        <v>0</v>
      </c>
      <c r="U37" s="6" t="s">
        <v>1734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44" t="str">
        <f t="shared" si="0"/>
        <v>_SETTLER_AFRI</v>
      </c>
      <c r="B38" s="9"/>
      <c r="C38" s="5" t="s">
        <v>694</v>
      </c>
      <c r="D38" s="5"/>
      <c r="E38" s="4" t="s">
        <v>1078</v>
      </c>
      <c r="F38" s="5" t="s">
        <v>2510</v>
      </c>
      <c r="G38" s="5"/>
      <c r="H38" s="5" t="s">
        <v>1090</v>
      </c>
      <c r="I38" s="5" t="s">
        <v>128</v>
      </c>
      <c r="J38" s="6"/>
      <c r="K38" s="6"/>
      <c r="L38" s="5" t="s">
        <v>1705</v>
      </c>
      <c r="M38" s="8"/>
      <c r="N38" s="5"/>
      <c r="O38" s="5"/>
      <c r="P38" s="5"/>
      <c r="Q38" s="6">
        <v>0</v>
      </c>
      <c r="R38" s="6" t="s">
        <v>1692</v>
      </c>
      <c r="S38" s="5" t="s">
        <v>1607</v>
      </c>
      <c r="T38" s="6">
        <v>0</v>
      </c>
      <c r="U38" s="6" t="s">
        <v>1734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44" t="str">
        <f t="shared" si="0"/>
        <v>_SETTLER_AFRI</v>
      </c>
      <c r="B39" s="9"/>
      <c r="C39" s="5" t="s">
        <v>694</v>
      </c>
      <c r="D39" s="5"/>
      <c r="E39" s="4" t="s">
        <v>1078</v>
      </c>
      <c r="F39" s="5" t="s">
        <v>2511</v>
      </c>
      <c r="G39" s="5"/>
      <c r="H39" s="5" t="s">
        <v>1091</v>
      </c>
      <c r="I39" s="5" t="s">
        <v>128</v>
      </c>
      <c r="J39" s="6"/>
      <c r="K39" s="6"/>
      <c r="L39" s="5" t="s">
        <v>1705</v>
      </c>
      <c r="M39" s="8"/>
      <c r="N39" s="5"/>
      <c r="O39" s="5"/>
      <c r="P39" s="5"/>
      <c r="Q39" s="6">
        <v>0</v>
      </c>
      <c r="R39" s="6" t="s">
        <v>1692</v>
      </c>
      <c r="S39" s="5" t="s">
        <v>1607</v>
      </c>
      <c r="T39" s="6">
        <v>0</v>
      </c>
      <c r="U39" s="6" t="s">
        <v>1734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44" t="str">
        <f t="shared" si="0"/>
        <v>_SETTLER_AFRI</v>
      </c>
      <c r="B40" s="9"/>
      <c r="C40" s="5" t="s">
        <v>694</v>
      </c>
      <c r="D40" s="5"/>
      <c r="E40" s="4" t="s">
        <v>1078</v>
      </c>
      <c r="F40" s="5" t="s">
        <v>2512</v>
      </c>
      <c r="G40" s="5"/>
      <c r="H40" s="5" t="s">
        <v>1092</v>
      </c>
      <c r="I40" s="5" t="s">
        <v>128</v>
      </c>
      <c r="J40" s="6"/>
      <c r="K40" s="6"/>
      <c r="L40" s="5" t="s">
        <v>1705</v>
      </c>
      <c r="M40" s="8"/>
      <c r="N40" s="5"/>
      <c r="O40" s="5"/>
      <c r="P40" s="5"/>
      <c r="Q40" s="6">
        <v>0</v>
      </c>
      <c r="R40" s="6" t="s">
        <v>1692</v>
      </c>
      <c r="S40" s="5" t="s">
        <v>1607</v>
      </c>
      <c r="T40" s="6">
        <v>0</v>
      </c>
      <c r="U40" s="6" t="s">
        <v>1734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44" t="str">
        <f t="shared" ref="A41:A49" si="2">CONCATENATE(E41,IF(ISBLANK(C41),"",CONCATENATE("_",C41)))</f>
        <v>_SETTLER_AFRI</v>
      </c>
      <c r="B41" s="9" t="s">
        <v>2216</v>
      </c>
      <c r="C41" s="5" t="s">
        <v>694</v>
      </c>
      <c r="D41" s="5"/>
      <c r="E41" s="5" t="s">
        <v>1078</v>
      </c>
      <c r="F41" s="5" t="s">
        <v>2711</v>
      </c>
      <c r="G41" s="5" t="s">
        <v>2009</v>
      </c>
      <c r="H41" s="5" t="s">
        <v>1390</v>
      </c>
      <c r="I41" s="5" t="s">
        <v>128</v>
      </c>
      <c r="J41" s="6"/>
      <c r="K41" s="6"/>
      <c r="L41" s="5" t="s">
        <v>1705</v>
      </c>
      <c r="M41" s="8"/>
      <c r="N41" s="5"/>
      <c r="O41" s="5"/>
      <c r="P41" s="5"/>
      <c r="Q41" s="6">
        <v>1</v>
      </c>
      <c r="R41" s="6" t="s">
        <v>1692</v>
      </c>
      <c r="S41" s="5" t="s">
        <v>1607</v>
      </c>
      <c r="T41" s="6">
        <v>1</v>
      </c>
      <c r="U41" s="6" t="s">
        <v>1734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44" t="str">
        <f t="shared" si="2"/>
        <v>_SETTLER_AFRI</v>
      </c>
      <c r="B42" s="9" t="s">
        <v>2216</v>
      </c>
      <c r="C42" s="5" t="s">
        <v>694</v>
      </c>
      <c r="D42" s="5"/>
      <c r="E42" s="5" t="s">
        <v>1078</v>
      </c>
      <c r="F42" s="5" t="s">
        <v>2711</v>
      </c>
      <c r="G42" s="5" t="s">
        <v>2032</v>
      </c>
      <c r="H42" s="5" t="s">
        <v>1085</v>
      </c>
      <c r="I42" s="5" t="s">
        <v>128</v>
      </c>
      <c r="J42" s="6"/>
      <c r="K42" s="6"/>
      <c r="L42" s="5" t="s">
        <v>1705</v>
      </c>
      <c r="M42" s="8"/>
      <c r="N42" s="5"/>
      <c r="O42" s="5"/>
      <c r="P42" s="5"/>
      <c r="Q42" s="6">
        <v>1</v>
      </c>
      <c r="R42" s="6" t="s">
        <v>1692</v>
      </c>
      <c r="S42" s="5" t="s">
        <v>1607</v>
      </c>
      <c r="T42" s="6">
        <v>1</v>
      </c>
      <c r="U42" s="6" t="s">
        <v>1734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44" t="str">
        <f t="shared" si="2"/>
        <v>_SETTLER_AFRI</v>
      </c>
      <c r="B43" s="9" t="s">
        <v>2216</v>
      </c>
      <c r="C43" s="5" t="s">
        <v>694</v>
      </c>
      <c r="D43" s="5"/>
      <c r="E43" s="5" t="s">
        <v>1078</v>
      </c>
      <c r="F43" s="5" t="s">
        <v>2711</v>
      </c>
      <c r="G43" s="5" t="s">
        <v>2033</v>
      </c>
      <c r="H43" s="5" t="s">
        <v>1086</v>
      </c>
      <c r="I43" s="5" t="s">
        <v>128</v>
      </c>
      <c r="J43" s="6"/>
      <c r="K43" s="6"/>
      <c r="L43" s="5" t="s">
        <v>1705</v>
      </c>
      <c r="M43" s="8"/>
      <c r="N43" s="5"/>
      <c r="O43" s="5"/>
      <c r="P43" s="5"/>
      <c r="Q43" s="6">
        <v>1</v>
      </c>
      <c r="R43" s="6" t="s">
        <v>1692</v>
      </c>
      <c r="S43" s="5" t="s">
        <v>1607</v>
      </c>
      <c r="T43" s="6">
        <v>1</v>
      </c>
      <c r="U43" s="6" t="s">
        <v>1734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44" t="str">
        <f t="shared" si="2"/>
        <v>_SETTLER_AFRI</v>
      </c>
      <c r="B44" s="9" t="s">
        <v>2216</v>
      </c>
      <c r="C44" s="5" t="s">
        <v>694</v>
      </c>
      <c r="D44" s="5"/>
      <c r="E44" s="5" t="s">
        <v>1078</v>
      </c>
      <c r="F44" s="5" t="s">
        <v>2711</v>
      </c>
      <c r="G44" s="5" t="s">
        <v>2034</v>
      </c>
      <c r="H44" s="5" t="s">
        <v>1087</v>
      </c>
      <c r="I44" s="5" t="s">
        <v>128</v>
      </c>
      <c r="J44" s="6"/>
      <c r="K44" s="6"/>
      <c r="L44" s="5" t="s">
        <v>1705</v>
      </c>
      <c r="M44" s="8"/>
      <c r="N44" s="5"/>
      <c r="O44" s="5"/>
      <c r="P44" s="5"/>
      <c r="Q44" s="6">
        <v>1</v>
      </c>
      <c r="R44" s="6" t="s">
        <v>1692</v>
      </c>
      <c r="S44" s="5" t="s">
        <v>1607</v>
      </c>
      <c r="T44" s="6">
        <v>1</v>
      </c>
      <c r="U44" s="6" t="s">
        <v>1734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44" t="str">
        <f t="shared" si="2"/>
        <v>_SETTLER_AFRI</v>
      </c>
      <c r="B45" s="9" t="s">
        <v>2216</v>
      </c>
      <c r="C45" s="5" t="s">
        <v>694</v>
      </c>
      <c r="D45" s="5"/>
      <c r="E45" s="5" t="s">
        <v>1078</v>
      </c>
      <c r="F45" s="5" t="s">
        <v>2711</v>
      </c>
      <c r="G45" s="5" t="s">
        <v>2035</v>
      </c>
      <c r="H45" s="5" t="s">
        <v>1088</v>
      </c>
      <c r="I45" s="5" t="s">
        <v>128</v>
      </c>
      <c r="J45" s="6"/>
      <c r="K45" s="6"/>
      <c r="L45" s="5" t="s">
        <v>1705</v>
      </c>
      <c r="M45" s="8"/>
      <c r="N45" s="5"/>
      <c r="O45" s="5"/>
      <c r="P45" s="5"/>
      <c r="Q45" s="6">
        <v>1</v>
      </c>
      <c r="R45" s="6" t="s">
        <v>1692</v>
      </c>
      <c r="S45" s="5" t="s">
        <v>1607</v>
      </c>
      <c r="T45" s="6">
        <v>1</v>
      </c>
      <c r="U45" s="6" t="s">
        <v>1734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44" t="str">
        <f t="shared" si="2"/>
        <v>_SETTLER_AFRI</v>
      </c>
      <c r="B46" s="9" t="s">
        <v>2216</v>
      </c>
      <c r="C46" s="5" t="s">
        <v>694</v>
      </c>
      <c r="D46" s="5"/>
      <c r="E46" s="5" t="s">
        <v>1078</v>
      </c>
      <c r="F46" s="5" t="s">
        <v>2711</v>
      </c>
      <c r="G46" s="5" t="s">
        <v>2036</v>
      </c>
      <c r="H46" s="5" t="s">
        <v>1089</v>
      </c>
      <c r="I46" s="5" t="s">
        <v>128</v>
      </c>
      <c r="J46" s="6"/>
      <c r="K46" s="6"/>
      <c r="L46" s="5" t="s">
        <v>1705</v>
      </c>
      <c r="M46" s="8"/>
      <c r="N46" s="5"/>
      <c r="O46" s="5"/>
      <c r="P46" s="5"/>
      <c r="Q46" s="6">
        <v>1</v>
      </c>
      <c r="R46" s="6" t="s">
        <v>1692</v>
      </c>
      <c r="S46" s="5" t="s">
        <v>1607</v>
      </c>
      <c r="T46" s="6">
        <v>1</v>
      </c>
      <c r="U46" s="6" t="s">
        <v>1734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44" t="str">
        <f t="shared" si="2"/>
        <v>_SETTLER_AFRI</v>
      </c>
      <c r="B47" s="9" t="s">
        <v>2216</v>
      </c>
      <c r="C47" s="5" t="s">
        <v>694</v>
      </c>
      <c r="D47" s="5"/>
      <c r="E47" s="5" t="s">
        <v>1078</v>
      </c>
      <c r="F47" s="5" t="s">
        <v>2711</v>
      </c>
      <c r="G47" s="5" t="s">
        <v>2037</v>
      </c>
      <c r="H47" s="5" t="s">
        <v>1090</v>
      </c>
      <c r="I47" s="5" t="s">
        <v>128</v>
      </c>
      <c r="J47" s="6"/>
      <c r="K47" s="6"/>
      <c r="L47" s="5" t="s">
        <v>1705</v>
      </c>
      <c r="M47" s="8"/>
      <c r="N47" s="5"/>
      <c r="O47" s="5"/>
      <c r="P47" s="5"/>
      <c r="Q47" s="6">
        <v>1</v>
      </c>
      <c r="R47" s="6" t="s">
        <v>1692</v>
      </c>
      <c r="S47" s="5" t="s">
        <v>1607</v>
      </c>
      <c r="T47" s="6">
        <v>1</v>
      </c>
      <c r="U47" s="6" t="s">
        <v>1734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44" t="str">
        <f t="shared" si="2"/>
        <v>_SETTLER_AFRI</v>
      </c>
      <c r="B48" s="9" t="s">
        <v>2216</v>
      </c>
      <c r="C48" s="5" t="s">
        <v>694</v>
      </c>
      <c r="D48" s="5"/>
      <c r="E48" s="5" t="s">
        <v>1078</v>
      </c>
      <c r="F48" s="5" t="s">
        <v>2711</v>
      </c>
      <c r="G48" s="5" t="s">
        <v>2038</v>
      </c>
      <c r="H48" s="5" t="s">
        <v>1091</v>
      </c>
      <c r="I48" s="5" t="s">
        <v>128</v>
      </c>
      <c r="J48" s="6"/>
      <c r="K48" s="6"/>
      <c r="L48" s="5" t="s">
        <v>1705</v>
      </c>
      <c r="M48" s="8"/>
      <c r="N48" s="5"/>
      <c r="O48" s="5"/>
      <c r="P48" s="5"/>
      <c r="Q48" s="6">
        <v>1</v>
      </c>
      <c r="R48" s="6" t="s">
        <v>1692</v>
      </c>
      <c r="S48" s="5" t="s">
        <v>1607</v>
      </c>
      <c r="T48" s="6">
        <v>1</v>
      </c>
      <c r="U48" s="6" t="s">
        <v>1734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44" t="str">
        <f t="shared" si="2"/>
        <v>_SETTLER_AFRI</v>
      </c>
      <c r="B49" s="9" t="s">
        <v>2216</v>
      </c>
      <c r="C49" s="5" t="s">
        <v>694</v>
      </c>
      <c r="D49" s="5"/>
      <c r="E49" s="5" t="s">
        <v>1078</v>
      </c>
      <c r="F49" s="5" t="s">
        <v>2711</v>
      </c>
      <c r="G49" s="5"/>
      <c r="H49" s="5" t="s">
        <v>1092</v>
      </c>
      <c r="I49" s="5" t="s">
        <v>128</v>
      </c>
      <c r="J49" s="6"/>
      <c r="K49" s="6"/>
      <c r="L49" s="5" t="s">
        <v>1705</v>
      </c>
      <c r="M49" s="8"/>
      <c r="N49" s="5"/>
      <c r="O49" s="5"/>
      <c r="P49" s="5"/>
      <c r="Q49" s="6">
        <v>1</v>
      </c>
      <c r="R49" s="6" t="s">
        <v>1692</v>
      </c>
      <c r="S49" s="5" t="s">
        <v>1607</v>
      </c>
      <c r="T49" s="6">
        <v>1</v>
      </c>
      <c r="U49" s="6" t="s">
        <v>1734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44" t="str">
        <f t="shared" si="0"/>
        <v>_SETTLER_AMER</v>
      </c>
      <c r="B50" s="9"/>
      <c r="C50" s="5" t="s">
        <v>697</v>
      </c>
      <c r="D50" s="5"/>
      <c r="E50" s="4" t="s">
        <v>1078</v>
      </c>
      <c r="F50" s="5" t="s">
        <v>2513</v>
      </c>
      <c r="G50" s="5"/>
      <c r="H50" s="5" t="s">
        <v>1391</v>
      </c>
      <c r="I50" s="5" t="s">
        <v>128</v>
      </c>
      <c r="J50" s="6"/>
      <c r="K50" s="6"/>
      <c r="L50" s="5" t="s">
        <v>1705</v>
      </c>
      <c r="M50" s="8"/>
      <c r="N50" s="5"/>
      <c r="O50" s="5"/>
      <c r="P50" s="5"/>
      <c r="Q50" s="6">
        <v>0</v>
      </c>
      <c r="R50" s="6" t="s">
        <v>1692</v>
      </c>
      <c r="S50" s="5" t="s">
        <v>1607</v>
      </c>
      <c r="T50" s="6">
        <v>0</v>
      </c>
      <c r="U50" s="6" t="s">
        <v>1734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44" t="str">
        <f t="shared" si="0"/>
        <v>_SETTLER_AMER</v>
      </c>
      <c r="B51" s="9"/>
      <c r="C51" s="5" t="s">
        <v>697</v>
      </c>
      <c r="D51" s="5"/>
      <c r="E51" s="4" t="s">
        <v>1078</v>
      </c>
      <c r="F51" s="5" t="s">
        <v>2514</v>
      </c>
      <c r="G51" s="5"/>
      <c r="H51" s="5" t="s">
        <v>1093</v>
      </c>
      <c r="I51" s="5" t="s">
        <v>128</v>
      </c>
      <c r="J51" s="6"/>
      <c r="K51" s="6"/>
      <c r="L51" s="5" t="s">
        <v>1705</v>
      </c>
      <c r="M51" s="8"/>
      <c r="N51" s="5"/>
      <c r="O51" s="5"/>
      <c r="P51" s="5"/>
      <c r="Q51" s="6">
        <v>0</v>
      </c>
      <c r="R51" s="6" t="s">
        <v>1692</v>
      </c>
      <c r="S51" s="5" t="s">
        <v>1607</v>
      </c>
      <c r="T51" s="6">
        <v>0</v>
      </c>
      <c r="U51" s="6" t="s">
        <v>1734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44" t="str">
        <f t="shared" si="0"/>
        <v>_SETTLER_AMER</v>
      </c>
      <c r="B52" s="9"/>
      <c r="C52" s="5" t="s">
        <v>697</v>
      </c>
      <c r="D52" s="5"/>
      <c r="E52" s="4" t="s">
        <v>1078</v>
      </c>
      <c r="F52" s="5" t="s">
        <v>2515</v>
      </c>
      <c r="G52" s="5"/>
      <c r="H52" s="5" t="s">
        <v>1094</v>
      </c>
      <c r="I52" s="5" t="s">
        <v>128</v>
      </c>
      <c r="J52" s="6"/>
      <c r="K52" s="6"/>
      <c r="L52" s="5" t="s">
        <v>1705</v>
      </c>
      <c r="M52" s="8"/>
      <c r="N52" s="5"/>
      <c r="O52" s="5"/>
      <c r="P52" s="5"/>
      <c r="Q52" s="6">
        <v>0</v>
      </c>
      <c r="R52" s="6" t="s">
        <v>1692</v>
      </c>
      <c r="S52" s="5" t="s">
        <v>1607</v>
      </c>
      <c r="T52" s="6">
        <v>0</v>
      </c>
      <c r="U52" s="6" t="s">
        <v>1734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44" t="str">
        <f t="shared" si="0"/>
        <v>_SETTLER_AMER</v>
      </c>
      <c r="B53" s="9"/>
      <c r="C53" s="5" t="s">
        <v>697</v>
      </c>
      <c r="D53" s="5"/>
      <c r="E53" s="4" t="s">
        <v>1078</v>
      </c>
      <c r="F53" s="5" t="s">
        <v>2516</v>
      </c>
      <c r="G53" s="5"/>
      <c r="H53" s="5" t="s">
        <v>1095</v>
      </c>
      <c r="I53" s="5" t="s">
        <v>128</v>
      </c>
      <c r="J53" s="6"/>
      <c r="K53" s="6"/>
      <c r="L53" s="5" t="s">
        <v>1705</v>
      </c>
      <c r="M53" s="8"/>
      <c r="N53" s="5"/>
      <c r="O53" s="5"/>
      <c r="P53" s="5"/>
      <c r="Q53" s="6">
        <v>0</v>
      </c>
      <c r="R53" s="6" t="s">
        <v>1692</v>
      </c>
      <c r="S53" s="5" t="s">
        <v>1607</v>
      </c>
      <c r="T53" s="6">
        <v>0</v>
      </c>
      <c r="U53" s="6" t="s">
        <v>1734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44" t="str">
        <f t="shared" si="0"/>
        <v>_SETTLER_AMER</v>
      </c>
      <c r="B54" s="9"/>
      <c r="C54" s="5" t="s">
        <v>697</v>
      </c>
      <c r="D54" s="5"/>
      <c r="E54" s="4" t="s">
        <v>1078</v>
      </c>
      <c r="F54" s="5" t="s">
        <v>2517</v>
      </c>
      <c r="G54" s="5"/>
      <c r="H54" s="5" t="s">
        <v>1096</v>
      </c>
      <c r="I54" s="5" t="s">
        <v>128</v>
      </c>
      <c r="J54" s="6"/>
      <c r="K54" s="6"/>
      <c r="L54" s="5" t="s">
        <v>1705</v>
      </c>
      <c r="M54" s="8"/>
      <c r="N54" s="5"/>
      <c r="O54" s="5"/>
      <c r="P54" s="5"/>
      <c r="Q54" s="6">
        <v>0</v>
      </c>
      <c r="R54" s="6" t="s">
        <v>1692</v>
      </c>
      <c r="S54" s="5" t="s">
        <v>1607</v>
      </c>
      <c r="T54" s="6">
        <v>0</v>
      </c>
      <c r="U54" s="6" t="s">
        <v>1734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44" t="str">
        <f t="shared" si="0"/>
        <v>_SETTLER_AMER</v>
      </c>
      <c r="B55" s="9"/>
      <c r="C55" s="5" t="s">
        <v>697</v>
      </c>
      <c r="D55" s="5"/>
      <c r="E55" s="4" t="s">
        <v>1078</v>
      </c>
      <c r="F55" s="5" t="s">
        <v>2518</v>
      </c>
      <c r="G55" s="5"/>
      <c r="H55" s="5" t="s">
        <v>1097</v>
      </c>
      <c r="I55" s="5" t="s">
        <v>128</v>
      </c>
      <c r="J55" s="6"/>
      <c r="K55" s="6"/>
      <c r="L55" s="5" t="s">
        <v>1705</v>
      </c>
      <c r="M55" s="8"/>
      <c r="N55" s="5"/>
      <c r="O55" s="5"/>
      <c r="P55" s="5"/>
      <c r="Q55" s="6">
        <v>0</v>
      </c>
      <c r="R55" s="6" t="s">
        <v>1692</v>
      </c>
      <c r="S55" s="5" t="s">
        <v>1607</v>
      </c>
      <c r="T55" s="6">
        <v>0</v>
      </c>
      <c r="U55" s="6" t="s">
        <v>1734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44" t="str">
        <f t="shared" si="0"/>
        <v>_SETTLER_AMER</v>
      </c>
      <c r="B56" s="9"/>
      <c r="C56" s="5" t="s">
        <v>697</v>
      </c>
      <c r="D56" s="5"/>
      <c r="E56" s="4" t="s">
        <v>1078</v>
      </c>
      <c r="F56" s="5" t="s">
        <v>2519</v>
      </c>
      <c r="G56" s="5"/>
      <c r="H56" s="5" t="s">
        <v>1098</v>
      </c>
      <c r="I56" s="5" t="s">
        <v>128</v>
      </c>
      <c r="J56" s="6"/>
      <c r="K56" s="6"/>
      <c r="L56" s="5" t="s">
        <v>1705</v>
      </c>
      <c r="M56" s="8"/>
      <c r="N56" s="5"/>
      <c r="O56" s="5"/>
      <c r="P56" s="5"/>
      <c r="Q56" s="6">
        <v>0</v>
      </c>
      <c r="R56" s="6" t="s">
        <v>1692</v>
      </c>
      <c r="S56" s="5" t="s">
        <v>1607</v>
      </c>
      <c r="T56" s="6">
        <v>0</v>
      </c>
      <c r="U56" s="6" t="s">
        <v>1734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44" t="str">
        <f t="shared" si="0"/>
        <v>_SETTLER_AMER</v>
      </c>
      <c r="B57" s="9"/>
      <c r="C57" s="5" t="s">
        <v>697</v>
      </c>
      <c r="D57" s="5"/>
      <c r="E57" s="4" t="s">
        <v>1078</v>
      </c>
      <c r="F57" s="5" t="s">
        <v>2520</v>
      </c>
      <c r="G57" s="5"/>
      <c r="H57" s="5" t="s">
        <v>1099</v>
      </c>
      <c r="I57" s="5" t="s">
        <v>128</v>
      </c>
      <c r="J57" s="6"/>
      <c r="K57" s="6"/>
      <c r="L57" s="5" t="s">
        <v>1705</v>
      </c>
      <c r="M57" s="8"/>
      <c r="N57" s="5"/>
      <c r="O57" s="5"/>
      <c r="P57" s="5"/>
      <c r="Q57" s="6">
        <v>0</v>
      </c>
      <c r="R57" s="6" t="s">
        <v>1692</v>
      </c>
      <c r="S57" s="5" t="s">
        <v>1607</v>
      </c>
      <c r="T57" s="6">
        <v>0</v>
      </c>
      <c r="U57" s="6" t="s">
        <v>1734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44" t="str">
        <f t="shared" si="0"/>
        <v>_SETTLER_AMER</v>
      </c>
      <c r="B58" s="9"/>
      <c r="C58" s="5" t="s">
        <v>697</v>
      </c>
      <c r="D58" s="5"/>
      <c r="E58" s="4" t="s">
        <v>1078</v>
      </c>
      <c r="F58" s="5" t="s">
        <v>2521</v>
      </c>
      <c r="G58" s="5"/>
      <c r="H58" s="5" t="s">
        <v>1100</v>
      </c>
      <c r="I58" s="5" t="s">
        <v>128</v>
      </c>
      <c r="J58" s="6"/>
      <c r="K58" s="6"/>
      <c r="L58" s="5" t="s">
        <v>1705</v>
      </c>
      <c r="M58" s="8"/>
      <c r="N58" s="5"/>
      <c r="O58" s="5"/>
      <c r="P58" s="5"/>
      <c r="Q58" s="6">
        <v>0</v>
      </c>
      <c r="R58" s="6" t="s">
        <v>1692</v>
      </c>
      <c r="S58" s="5" t="s">
        <v>1607</v>
      </c>
      <c r="T58" s="6">
        <v>0</v>
      </c>
      <c r="U58" s="6" t="s">
        <v>1734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44" t="str">
        <f t="shared" ref="A59:A67" si="3">CONCATENATE(E59,IF(ISBLANK(C59),"",CONCATENATE("_",C59)))</f>
        <v>_SETTLER_AMER</v>
      </c>
      <c r="B59" s="9" t="s">
        <v>2216</v>
      </c>
      <c r="C59" s="5" t="s">
        <v>697</v>
      </c>
      <c r="D59" s="5"/>
      <c r="E59" s="5" t="s">
        <v>1078</v>
      </c>
      <c r="F59" s="5" t="s">
        <v>2711</v>
      </c>
      <c r="G59" s="5" t="s">
        <v>2010</v>
      </c>
      <c r="H59" s="5" t="s">
        <v>1391</v>
      </c>
      <c r="I59" s="5" t="s">
        <v>128</v>
      </c>
      <c r="J59" s="6"/>
      <c r="K59" s="6"/>
      <c r="L59" s="5" t="s">
        <v>1705</v>
      </c>
      <c r="M59" s="8"/>
      <c r="N59" s="5"/>
      <c r="O59" s="5"/>
      <c r="P59" s="5"/>
      <c r="Q59" s="6">
        <v>1</v>
      </c>
      <c r="R59" s="6" t="s">
        <v>1692</v>
      </c>
      <c r="S59" s="5" t="s">
        <v>1607</v>
      </c>
      <c r="T59" s="6">
        <v>1</v>
      </c>
      <c r="U59" s="6" t="s">
        <v>1734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44" t="str">
        <f t="shared" si="3"/>
        <v>_SETTLER_AMER</v>
      </c>
      <c r="B60" s="9" t="s">
        <v>2216</v>
      </c>
      <c r="C60" s="5" t="s">
        <v>697</v>
      </c>
      <c r="D60" s="5"/>
      <c r="E60" s="5" t="s">
        <v>1078</v>
      </c>
      <c r="F60" s="5" t="s">
        <v>2711</v>
      </c>
      <c r="G60" s="5" t="s">
        <v>2032</v>
      </c>
      <c r="H60" s="5" t="s">
        <v>1093</v>
      </c>
      <c r="I60" s="5" t="s">
        <v>128</v>
      </c>
      <c r="J60" s="6"/>
      <c r="K60" s="6"/>
      <c r="L60" s="5" t="s">
        <v>1705</v>
      </c>
      <c r="M60" s="8"/>
      <c r="N60" s="5"/>
      <c r="O60" s="5"/>
      <c r="P60" s="5"/>
      <c r="Q60" s="6">
        <v>1</v>
      </c>
      <c r="R60" s="6" t="s">
        <v>1692</v>
      </c>
      <c r="S60" s="5" t="s">
        <v>1607</v>
      </c>
      <c r="T60" s="6">
        <v>1</v>
      </c>
      <c r="U60" s="6" t="s">
        <v>1734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44" t="str">
        <f t="shared" si="3"/>
        <v>_SETTLER_AMER</v>
      </c>
      <c r="B61" s="9" t="s">
        <v>2216</v>
      </c>
      <c r="C61" s="5" t="s">
        <v>697</v>
      </c>
      <c r="D61" s="5"/>
      <c r="E61" s="5" t="s">
        <v>1078</v>
      </c>
      <c r="F61" s="5" t="s">
        <v>2711</v>
      </c>
      <c r="G61" s="5" t="s">
        <v>2033</v>
      </c>
      <c r="H61" s="5" t="s">
        <v>1094</v>
      </c>
      <c r="I61" s="5" t="s">
        <v>128</v>
      </c>
      <c r="J61" s="6"/>
      <c r="K61" s="6"/>
      <c r="L61" s="5" t="s">
        <v>1705</v>
      </c>
      <c r="M61" s="8"/>
      <c r="N61" s="5"/>
      <c r="O61" s="5"/>
      <c r="P61" s="5"/>
      <c r="Q61" s="6">
        <v>1</v>
      </c>
      <c r="R61" s="6" t="s">
        <v>1692</v>
      </c>
      <c r="S61" s="5" t="s">
        <v>1607</v>
      </c>
      <c r="T61" s="6">
        <v>1</v>
      </c>
      <c r="U61" s="6" t="s">
        <v>1734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44" t="str">
        <f t="shared" si="3"/>
        <v>_SETTLER_AMER</v>
      </c>
      <c r="B62" s="9" t="s">
        <v>2216</v>
      </c>
      <c r="C62" s="5" t="s">
        <v>697</v>
      </c>
      <c r="D62" s="5"/>
      <c r="E62" s="5" t="s">
        <v>1078</v>
      </c>
      <c r="F62" s="5" t="s">
        <v>2711</v>
      </c>
      <c r="G62" s="5" t="s">
        <v>2034</v>
      </c>
      <c r="H62" s="5" t="s">
        <v>1095</v>
      </c>
      <c r="I62" s="5" t="s">
        <v>128</v>
      </c>
      <c r="J62" s="6"/>
      <c r="K62" s="6"/>
      <c r="L62" s="5" t="s">
        <v>1705</v>
      </c>
      <c r="M62" s="8"/>
      <c r="N62" s="5"/>
      <c r="O62" s="5"/>
      <c r="P62" s="5"/>
      <c r="Q62" s="6">
        <v>1</v>
      </c>
      <c r="R62" s="6" t="s">
        <v>1692</v>
      </c>
      <c r="S62" s="5" t="s">
        <v>1607</v>
      </c>
      <c r="T62" s="6">
        <v>1</v>
      </c>
      <c r="U62" s="6" t="s">
        <v>1734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44" t="str">
        <f t="shared" si="3"/>
        <v>_SETTLER_AMER</v>
      </c>
      <c r="B63" s="9" t="s">
        <v>2216</v>
      </c>
      <c r="C63" s="5" t="s">
        <v>697</v>
      </c>
      <c r="D63" s="5"/>
      <c r="E63" s="5" t="s">
        <v>1078</v>
      </c>
      <c r="F63" s="5" t="s">
        <v>2711</v>
      </c>
      <c r="G63" s="5" t="s">
        <v>2035</v>
      </c>
      <c r="H63" s="5" t="s">
        <v>1096</v>
      </c>
      <c r="I63" s="5" t="s">
        <v>128</v>
      </c>
      <c r="J63" s="6"/>
      <c r="K63" s="6"/>
      <c r="L63" s="5" t="s">
        <v>1705</v>
      </c>
      <c r="M63" s="8"/>
      <c r="N63" s="5"/>
      <c r="O63" s="5"/>
      <c r="P63" s="5"/>
      <c r="Q63" s="6">
        <v>1</v>
      </c>
      <c r="R63" s="6" t="s">
        <v>1692</v>
      </c>
      <c r="S63" s="5" t="s">
        <v>1607</v>
      </c>
      <c r="T63" s="6">
        <v>1</v>
      </c>
      <c r="U63" s="6" t="s">
        <v>1734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44" t="str">
        <f t="shared" si="3"/>
        <v>_SETTLER_AMER</v>
      </c>
      <c r="B64" s="9" t="s">
        <v>2216</v>
      </c>
      <c r="C64" s="5" t="s">
        <v>697</v>
      </c>
      <c r="D64" s="5"/>
      <c r="E64" s="5" t="s">
        <v>1078</v>
      </c>
      <c r="F64" s="5" t="s">
        <v>2711</v>
      </c>
      <c r="G64" s="5" t="s">
        <v>2036</v>
      </c>
      <c r="H64" s="5" t="s">
        <v>1097</v>
      </c>
      <c r="I64" s="5" t="s">
        <v>128</v>
      </c>
      <c r="J64" s="6"/>
      <c r="K64" s="6"/>
      <c r="L64" s="5" t="s">
        <v>1705</v>
      </c>
      <c r="M64" s="8"/>
      <c r="N64" s="5"/>
      <c r="O64" s="5"/>
      <c r="P64" s="5"/>
      <c r="Q64" s="6">
        <v>1</v>
      </c>
      <c r="R64" s="6" t="s">
        <v>1692</v>
      </c>
      <c r="S64" s="5" t="s">
        <v>1607</v>
      </c>
      <c r="T64" s="6">
        <v>1</v>
      </c>
      <c r="U64" s="6" t="s">
        <v>1734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44" t="str">
        <f t="shared" si="3"/>
        <v>_SETTLER_AMER</v>
      </c>
      <c r="B65" s="9" t="s">
        <v>2216</v>
      </c>
      <c r="C65" s="5" t="s">
        <v>697</v>
      </c>
      <c r="D65" s="5"/>
      <c r="E65" s="5" t="s">
        <v>1078</v>
      </c>
      <c r="F65" s="5" t="s">
        <v>2711</v>
      </c>
      <c r="G65" s="5" t="s">
        <v>2037</v>
      </c>
      <c r="H65" s="5" t="s">
        <v>1098</v>
      </c>
      <c r="I65" s="5" t="s">
        <v>128</v>
      </c>
      <c r="J65" s="6"/>
      <c r="K65" s="6"/>
      <c r="L65" s="5" t="s">
        <v>1705</v>
      </c>
      <c r="M65" s="8"/>
      <c r="N65" s="5"/>
      <c r="O65" s="5"/>
      <c r="P65" s="5"/>
      <c r="Q65" s="6">
        <v>1</v>
      </c>
      <c r="R65" s="6" t="s">
        <v>1692</v>
      </c>
      <c r="S65" s="5" t="s">
        <v>1607</v>
      </c>
      <c r="T65" s="6">
        <v>1</v>
      </c>
      <c r="U65" s="6" t="s">
        <v>1734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44" t="str">
        <f t="shared" si="3"/>
        <v>_SETTLER_AMER</v>
      </c>
      <c r="B66" s="9" t="s">
        <v>2216</v>
      </c>
      <c r="C66" s="5" t="s">
        <v>697</v>
      </c>
      <c r="D66" s="5"/>
      <c r="E66" s="5" t="s">
        <v>1078</v>
      </c>
      <c r="F66" s="5" t="s">
        <v>2711</v>
      </c>
      <c r="G66" s="5" t="s">
        <v>2038</v>
      </c>
      <c r="H66" s="5" t="s">
        <v>1099</v>
      </c>
      <c r="I66" s="5" t="s">
        <v>128</v>
      </c>
      <c r="J66" s="6"/>
      <c r="K66" s="6"/>
      <c r="L66" s="5" t="s">
        <v>1705</v>
      </c>
      <c r="M66" s="8"/>
      <c r="N66" s="5"/>
      <c r="O66" s="5"/>
      <c r="P66" s="5"/>
      <c r="Q66" s="6">
        <v>1</v>
      </c>
      <c r="R66" s="6" t="s">
        <v>1692</v>
      </c>
      <c r="S66" s="5" t="s">
        <v>1607</v>
      </c>
      <c r="T66" s="6">
        <v>1</v>
      </c>
      <c r="U66" s="6" t="s">
        <v>1734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44" t="str">
        <f t="shared" si="3"/>
        <v>_SETTLER_AMER</v>
      </c>
      <c r="B67" s="9" t="s">
        <v>2216</v>
      </c>
      <c r="C67" s="5" t="s">
        <v>697</v>
      </c>
      <c r="D67" s="5"/>
      <c r="E67" s="5" t="s">
        <v>1078</v>
      </c>
      <c r="F67" s="5" t="s">
        <v>2711</v>
      </c>
      <c r="G67" s="5"/>
      <c r="H67" s="5" t="s">
        <v>1100</v>
      </c>
      <c r="I67" s="5" t="s">
        <v>128</v>
      </c>
      <c r="J67" s="6"/>
      <c r="K67" s="6"/>
      <c r="L67" s="5" t="s">
        <v>1705</v>
      </c>
      <c r="M67" s="8"/>
      <c r="N67" s="5"/>
      <c r="O67" s="5"/>
      <c r="P67" s="5"/>
      <c r="Q67" s="6">
        <v>1</v>
      </c>
      <c r="R67" s="6" t="s">
        <v>1692</v>
      </c>
      <c r="S67" s="5" t="s">
        <v>1607</v>
      </c>
      <c r="T67" s="6">
        <v>1</v>
      </c>
      <c r="U67" s="6" t="s">
        <v>1734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44" t="str">
        <f t="shared" si="0"/>
        <v>_SETTLER_ASIA</v>
      </c>
      <c r="B68" s="9"/>
      <c r="C68" s="5" t="s">
        <v>693</v>
      </c>
      <c r="D68" s="5"/>
      <c r="E68" s="4" t="s">
        <v>1078</v>
      </c>
      <c r="F68" s="5" t="s">
        <v>2522</v>
      </c>
      <c r="G68" s="5"/>
      <c r="H68" s="5" t="s">
        <v>1514</v>
      </c>
      <c r="I68" s="5" t="s">
        <v>128</v>
      </c>
      <c r="J68" s="6"/>
      <c r="K68" s="6"/>
      <c r="L68" s="5" t="s">
        <v>1705</v>
      </c>
      <c r="M68" s="8"/>
      <c r="N68" s="5"/>
      <c r="O68" s="5"/>
      <c r="P68" s="5"/>
      <c r="Q68" s="6">
        <v>0</v>
      </c>
      <c r="R68" s="6" t="s">
        <v>1692</v>
      </c>
      <c r="S68" s="5" t="s">
        <v>1607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44" t="str">
        <f t="shared" si="0"/>
        <v>_SETTLER_ASIA</v>
      </c>
      <c r="B69" s="9"/>
      <c r="C69" s="5" t="s">
        <v>693</v>
      </c>
      <c r="D69" s="5"/>
      <c r="E69" s="4" t="s">
        <v>1078</v>
      </c>
      <c r="F69" s="5" t="s">
        <v>2523</v>
      </c>
      <c r="G69" s="5"/>
      <c r="H69" s="5" t="s">
        <v>1506</v>
      </c>
      <c r="I69" s="5" t="s">
        <v>128</v>
      </c>
      <c r="J69" s="6"/>
      <c r="K69" s="6"/>
      <c r="L69" s="5" t="s">
        <v>1705</v>
      </c>
      <c r="M69" s="8"/>
      <c r="N69" s="5"/>
      <c r="O69" s="5"/>
      <c r="P69" s="5"/>
      <c r="Q69" s="6">
        <v>0</v>
      </c>
      <c r="R69" s="6" t="s">
        <v>1692</v>
      </c>
      <c r="S69" s="5" t="s">
        <v>1607</v>
      </c>
      <c r="T69" s="6">
        <v>0</v>
      </c>
      <c r="U69" s="7" t="s">
        <v>1734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44" t="str">
        <f t="shared" si="0"/>
        <v>_SETTLER_ASIA</v>
      </c>
      <c r="B70" s="9"/>
      <c r="C70" s="5" t="s">
        <v>693</v>
      </c>
      <c r="D70" s="5"/>
      <c r="E70" s="4" t="s">
        <v>1078</v>
      </c>
      <c r="F70" s="5" t="s">
        <v>2524</v>
      </c>
      <c r="G70" s="5"/>
      <c r="H70" s="5" t="s">
        <v>1507</v>
      </c>
      <c r="I70" s="5" t="s">
        <v>128</v>
      </c>
      <c r="J70" s="6"/>
      <c r="K70" s="6"/>
      <c r="L70" s="5" t="s">
        <v>1705</v>
      </c>
      <c r="M70" s="8"/>
      <c r="N70" s="5"/>
      <c r="O70" s="5"/>
      <c r="P70" s="5"/>
      <c r="Q70" s="6">
        <v>0</v>
      </c>
      <c r="R70" s="6" t="s">
        <v>1692</v>
      </c>
      <c r="S70" s="5" t="s">
        <v>1607</v>
      </c>
      <c r="T70" s="6">
        <v>0</v>
      </c>
      <c r="U70" s="7" t="s">
        <v>1734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44" t="str">
        <f t="shared" si="0"/>
        <v>_SETTLER_ASIA</v>
      </c>
      <c r="B71" s="9"/>
      <c r="C71" s="5" t="s">
        <v>693</v>
      </c>
      <c r="D71" s="5"/>
      <c r="E71" s="4" t="s">
        <v>1078</v>
      </c>
      <c r="F71" s="5" t="s">
        <v>2525</v>
      </c>
      <c r="G71" s="5"/>
      <c r="H71" s="5" t="s">
        <v>1508</v>
      </c>
      <c r="I71" s="5" t="s">
        <v>128</v>
      </c>
      <c r="J71" s="6"/>
      <c r="K71" s="6"/>
      <c r="L71" s="5" t="s">
        <v>1705</v>
      </c>
      <c r="M71" s="8"/>
      <c r="N71" s="5"/>
      <c r="O71" s="5"/>
      <c r="P71" s="5"/>
      <c r="Q71" s="6">
        <v>0</v>
      </c>
      <c r="R71" s="6" t="s">
        <v>1692</v>
      </c>
      <c r="S71" s="5" t="s">
        <v>1607</v>
      </c>
      <c r="T71" s="6">
        <v>0</v>
      </c>
      <c r="U71" s="7" t="s">
        <v>1734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44" t="str">
        <f t="shared" si="0"/>
        <v>_SETTLER_ASIA</v>
      </c>
      <c r="B72" s="9"/>
      <c r="C72" s="5" t="s">
        <v>693</v>
      </c>
      <c r="D72" s="5"/>
      <c r="E72" s="4" t="s">
        <v>1078</v>
      </c>
      <c r="F72" s="5" t="s">
        <v>2526</v>
      </c>
      <c r="G72" s="5"/>
      <c r="H72" s="5" t="s">
        <v>1509</v>
      </c>
      <c r="I72" s="5" t="s">
        <v>128</v>
      </c>
      <c r="J72" s="6"/>
      <c r="K72" s="6"/>
      <c r="L72" s="5" t="s">
        <v>1705</v>
      </c>
      <c r="M72" s="8"/>
      <c r="N72" s="5"/>
      <c r="O72" s="5"/>
      <c r="P72" s="5"/>
      <c r="Q72" s="6">
        <v>0</v>
      </c>
      <c r="R72" s="6" t="s">
        <v>1692</v>
      </c>
      <c r="S72" s="5" t="s">
        <v>1607</v>
      </c>
      <c r="T72" s="6">
        <v>0</v>
      </c>
      <c r="U72" s="7" t="s">
        <v>1734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44" t="str">
        <f t="shared" si="0"/>
        <v>_SETTLER_ASIA</v>
      </c>
      <c r="B73" s="9"/>
      <c r="C73" s="5" t="s">
        <v>693</v>
      </c>
      <c r="D73" s="5"/>
      <c r="E73" s="4" t="s">
        <v>1078</v>
      </c>
      <c r="F73" s="5" t="s">
        <v>2527</v>
      </c>
      <c r="G73" s="5"/>
      <c r="H73" s="5" t="s">
        <v>1510</v>
      </c>
      <c r="I73" s="5" t="s">
        <v>128</v>
      </c>
      <c r="J73" s="6"/>
      <c r="K73" s="6"/>
      <c r="L73" s="5" t="s">
        <v>1705</v>
      </c>
      <c r="M73" s="8"/>
      <c r="N73" s="5"/>
      <c r="O73" s="5"/>
      <c r="P73" s="5"/>
      <c r="Q73" s="6">
        <v>0</v>
      </c>
      <c r="R73" s="6" t="s">
        <v>1692</v>
      </c>
      <c r="S73" s="5" t="s">
        <v>1607</v>
      </c>
      <c r="T73" s="6">
        <v>0</v>
      </c>
      <c r="U73" s="7" t="s">
        <v>1734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44" t="str">
        <f t="shared" si="0"/>
        <v>_SETTLER_ASIA</v>
      </c>
      <c r="B74" s="9"/>
      <c r="C74" s="5" t="s">
        <v>693</v>
      </c>
      <c r="D74" s="5"/>
      <c r="E74" s="4" t="s">
        <v>1078</v>
      </c>
      <c r="F74" s="5" t="s">
        <v>2528</v>
      </c>
      <c r="G74" s="5"/>
      <c r="H74" s="5" t="s">
        <v>1511</v>
      </c>
      <c r="I74" s="5" t="s">
        <v>128</v>
      </c>
      <c r="J74" s="6"/>
      <c r="K74" s="6"/>
      <c r="L74" s="5" t="s">
        <v>1705</v>
      </c>
      <c r="M74" s="8"/>
      <c r="N74" s="5"/>
      <c r="O74" s="5"/>
      <c r="P74" s="5"/>
      <c r="Q74" s="6">
        <v>0</v>
      </c>
      <c r="R74" s="6" t="s">
        <v>1692</v>
      </c>
      <c r="S74" s="5" t="s">
        <v>1607</v>
      </c>
      <c r="T74" s="6">
        <v>0</v>
      </c>
      <c r="U74" s="7" t="s">
        <v>1734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44" t="str">
        <f t="shared" si="0"/>
        <v>_SETTLER_ASIA</v>
      </c>
      <c r="B75" s="9"/>
      <c r="C75" s="5" t="s">
        <v>693</v>
      </c>
      <c r="D75" s="5"/>
      <c r="E75" s="4" t="s">
        <v>1078</v>
      </c>
      <c r="F75" s="5" t="s">
        <v>2529</v>
      </c>
      <c r="G75" s="5"/>
      <c r="H75" s="5" t="s">
        <v>1512</v>
      </c>
      <c r="I75" s="5" t="s">
        <v>128</v>
      </c>
      <c r="J75" s="6"/>
      <c r="K75" s="6"/>
      <c r="L75" s="5" t="s">
        <v>1705</v>
      </c>
      <c r="M75" s="8"/>
      <c r="N75" s="5"/>
      <c r="O75" s="5"/>
      <c r="P75" s="5"/>
      <c r="Q75" s="6">
        <v>0</v>
      </c>
      <c r="R75" s="6" t="s">
        <v>1692</v>
      </c>
      <c r="S75" s="5" t="s">
        <v>1607</v>
      </c>
      <c r="T75" s="6">
        <v>0</v>
      </c>
      <c r="U75" s="7" t="s">
        <v>1734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44" t="str">
        <f t="shared" si="0"/>
        <v>_SETTLER_ASIA</v>
      </c>
      <c r="B76" s="9"/>
      <c r="C76" s="5" t="s">
        <v>693</v>
      </c>
      <c r="D76" s="5"/>
      <c r="E76" s="4" t="s">
        <v>1078</v>
      </c>
      <c r="F76" s="5" t="s">
        <v>2530</v>
      </c>
      <c r="G76" s="5"/>
      <c r="H76" s="5" t="s">
        <v>1513</v>
      </c>
      <c r="I76" s="5" t="s">
        <v>128</v>
      </c>
      <c r="J76" s="6"/>
      <c r="K76" s="6"/>
      <c r="L76" s="5" t="s">
        <v>1705</v>
      </c>
      <c r="M76" s="8"/>
      <c r="N76" s="5"/>
      <c r="O76" s="5"/>
      <c r="P76" s="5"/>
      <c r="Q76" s="6">
        <v>0</v>
      </c>
      <c r="R76" s="6" t="s">
        <v>1692</v>
      </c>
      <c r="S76" s="5" t="s">
        <v>1607</v>
      </c>
      <c r="T76" s="6">
        <v>0</v>
      </c>
      <c r="U76" s="7" t="s">
        <v>1734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44" t="str">
        <f t="shared" ref="A77:A98" si="4">CONCATENATE(E77,IF(ISBLANK(C77),"",CONCATENATE("_",C77)))</f>
        <v>_SETTLER_ASIA</v>
      </c>
      <c r="B77" s="9" t="s">
        <v>2216</v>
      </c>
      <c r="C77" s="5" t="s">
        <v>693</v>
      </c>
      <c r="D77" s="5"/>
      <c r="E77" s="5" t="s">
        <v>1078</v>
      </c>
      <c r="F77" s="5" t="s">
        <v>2711</v>
      </c>
      <c r="G77" s="5" t="s">
        <v>2031</v>
      </c>
      <c r="H77" s="5" t="s">
        <v>1514</v>
      </c>
      <c r="I77" s="5" t="s">
        <v>128</v>
      </c>
      <c r="J77" s="6"/>
      <c r="K77" s="6"/>
      <c r="L77" s="5" t="s">
        <v>1705</v>
      </c>
      <c r="M77" s="8"/>
      <c r="N77" s="5"/>
      <c r="O77" s="5"/>
      <c r="P77" s="5"/>
      <c r="Q77" s="6">
        <v>1</v>
      </c>
      <c r="R77" s="6" t="s">
        <v>1692</v>
      </c>
      <c r="S77" s="5" t="s">
        <v>1607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44" t="str">
        <f t="shared" si="4"/>
        <v>_SETTLER_ASIA</v>
      </c>
      <c r="B78" s="9" t="s">
        <v>2216</v>
      </c>
      <c r="C78" s="5" t="s">
        <v>693</v>
      </c>
      <c r="D78" s="5"/>
      <c r="E78" s="5" t="s">
        <v>1078</v>
      </c>
      <c r="F78" s="5" t="s">
        <v>2711</v>
      </c>
      <c r="G78" s="5" t="s">
        <v>2032</v>
      </c>
      <c r="H78" s="5" t="s">
        <v>1506</v>
      </c>
      <c r="I78" s="5" t="s">
        <v>128</v>
      </c>
      <c r="J78" s="6"/>
      <c r="K78" s="6"/>
      <c r="L78" s="5" t="s">
        <v>1705</v>
      </c>
      <c r="M78" s="8"/>
      <c r="N78" s="5"/>
      <c r="O78" s="5"/>
      <c r="P78" s="5"/>
      <c r="Q78" s="6">
        <v>1</v>
      </c>
      <c r="R78" s="6" t="s">
        <v>1692</v>
      </c>
      <c r="S78" s="5" t="s">
        <v>1607</v>
      </c>
      <c r="T78" s="6">
        <v>1</v>
      </c>
      <c r="U78" s="7" t="s">
        <v>1734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44" t="str">
        <f t="shared" si="4"/>
        <v>_SETTLER_ASIA</v>
      </c>
      <c r="B79" s="9" t="s">
        <v>2216</v>
      </c>
      <c r="C79" s="5" t="s">
        <v>693</v>
      </c>
      <c r="D79" s="5"/>
      <c r="E79" s="5" t="s">
        <v>1078</v>
      </c>
      <c r="F79" s="5" t="s">
        <v>2711</v>
      </c>
      <c r="G79" s="5" t="s">
        <v>2033</v>
      </c>
      <c r="H79" s="5" t="s">
        <v>1507</v>
      </c>
      <c r="I79" s="5" t="s">
        <v>128</v>
      </c>
      <c r="J79" s="6"/>
      <c r="K79" s="6"/>
      <c r="L79" s="5" t="s">
        <v>1705</v>
      </c>
      <c r="M79" s="8"/>
      <c r="N79" s="5"/>
      <c r="O79" s="5"/>
      <c r="P79" s="5"/>
      <c r="Q79" s="6">
        <v>1</v>
      </c>
      <c r="R79" s="6" t="s">
        <v>1692</v>
      </c>
      <c r="S79" s="5" t="s">
        <v>1607</v>
      </c>
      <c r="T79" s="6">
        <v>1</v>
      </c>
      <c r="U79" s="7" t="s">
        <v>1734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44" t="str">
        <f t="shared" si="4"/>
        <v>_SETTLER_ASIA</v>
      </c>
      <c r="B80" s="9" t="s">
        <v>2216</v>
      </c>
      <c r="C80" s="5" t="s">
        <v>693</v>
      </c>
      <c r="D80" s="5"/>
      <c r="E80" s="5" t="s">
        <v>1078</v>
      </c>
      <c r="F80" s="5" t="s">
        <v>2711</v>
      </c>
      <c r="G80" s="5" t="s">
        <v>2034</v>
      </c>
      <c r="H80" s="5" t="s">
        <v>1508</v>
      </c>
      <c r="I80" s="5" t="s">
        <v>128</v>
      </c>
      <c r="J80" s="6"/>
      <c r="K80" s="6"/>
      <c r="L80" s="5" t="s">
        <v>1705</v>
      </c>
      <c r="M80" s="8"/>
      <c r="N80" s="5"/>
      <c r="O80" s="5"/>
      <c r="P80" s="5"/>
      <c r="Q80" s="6">
        <v>1</v>
      </c>
      <c r="R80" s="6" t="s">
        <v>1692</v>
      </c>
      <c r="S80" s="5" t="s">
        <v>1607</v>
      </c>
      <c r="T80" s="6">
        <v>1</v>
      </c>
      <c r="U80" s="7" t="s">
        <v>1734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44" t="str">
        <f t="shared" si="4"/>
        <v>_SETTLER_ASIA</v>
      </c>
      <c r="B81" s="9" t="s">
        <v>2216</v>
      </c>
      <c r="C81" s="5" t="s">
        <v>693</v>
      </c>
      <c r="D81" s="5"/>
      <c r="E81" s="5" t="s">
        <v>1078</v>
      </c>
      <c r="F81" s="5" t="s">
        <v>2711</v>
      </c>
      <c r="G81" s="5" t="s">
        <v>2035</v>
      </c>
      <c r="H81" s="5" t="s">
        <v>1509</v>
      </c>
      <c r="I81" s="5" t="s">
        <v>128</v>
      </c>
      <c r="J81" s="6"/>
      <c r="K81" s="6"/>
      <c r="L81" s="5" t="s">
        <v>1705</v>
      </c>
      <c r="M81" s="8"/>
      <c r="N81" s="5"/>
      <c r="O81" s="5"/>
      <c r="P81" s="5"/>
      <c r="Q81" s="6">
        <v>1</v>
      </c>
      <c r="R81" s="6" t="s">
        <v>1692</v>
      </c>
      <c r="S81" s="5" t="s">
        <v>1607</v>
      </c>
      <c r="T81" s="6">
        <v>1</v>
      </c>
      <c r="U81" s="7" t="s">
        <v>1734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44" t="str">
        <f t="shared" si="4"/>
        <v>_SETTLER_ASIA</v>
      </c>
      <c r="B82" s="9" t="s">
        <v>2216</v>
      </c>
      <c r="C82" s="5" t="s">
        <v>693</v>
      </c>
      <c r="D82" s="5"/>
      <c r="E82" s="5" t="s">
        <v>1078</v>
      </c>
      <c r="F82" s="5" t="s">
        <v>2711</v>
      </c>
      <c r="G82" s="5" t="s">
        <v>2036</v>
      </c>
      <c r="H82" s="5" t="s">
        <v>1510</v>
      </c>
      <c r="I82" s="5" t="s">
        <v>128</v>
      </c>
      <c r="J82" s="6"/>
      <c r="K82" s="6"/>
      <c r="L82" s="5" t="s">
        <v>1705</v>
      </c>
      <c r="M82" s="8"/>
      <c r="N82" s="5"/>
      <c r="O82" s="5"/>
      <c r="P82" s="5"/>
      <c r="Q82" s="6">
        <v>1</v>
      </c>
      <c r="R82" s="6" t="s">
        <v>1692</v>
      </c>
      <c r="S82" s="5" t="s">
        <v>1607</v>
      </c>
      <c r="T82" s="6">
        <v>1</v>
      </c>
      <c r="U82" s="7" t="s">
        <v>1734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44" t="str">
        <f t="shared" si="4"/>
        <v>_SETTLER_ASIA</v>
      </c>
      <c r="B83" s="9" t="s">
        <v>2216</v>
      </c>
      <c r="C83" s="5" t="s">
        <v>693</v>
      </c>
      <c r="D83" s="5"/>
      <c r="E83" s="5" t="s">
        <v>1078</v>
      </c>
      <c r="F83" s="5" t="s">
        <v>2711</v>
      </c>
      <c r="G83" s="5" t="s">
        <v>2037</v>
      </c>
      <c r="H83" s="5" t="s">
        <v>1511</v>
      </c>
      <c r="I83" s="5" t="s">
        <v>128</v>
      </c>
      <c r="J83" s="6"/>
      <c r="K83" s="6"/>
      <c r="L83" s="5" t="s">
        <v>1705</v>
      </c>
      <c r="M83" s="8"/>
      <c r="N83" s="5"/>
      <c r="O83" s="5"/>
      <c r="P83" s="5"/>
      <c r="Q83" s="6">
        <v>1</v>
      </c>
      <c r="R83" s="6" t="s">
        <v>1692</v>
      </c>
      <c r="S83" s="5" t="s">
        <v>1607</v>
      </c>
      <c r="T83" s="6">
        <v>1</v>
      </c>
      <c r="U83" s="7" t="s">
        <v>1734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44" t="str">
        <f t="shared" si="4"/>
        <v>_SETTLER_ASIA</v>
      </c>
      <c r="B84" s="9" t="s">
        <v>2216</v>
      </c>
      <c r="C84" s="5" t="s">
        <v>693</v>
      </c>
      <c r="D84" s="5"/>
      <c r="E84" s="5" t="s">
        <v>1078</v>
      </c>
      <c r="F84" s="5" t="s">
        <v>2711</v>
      </c>
      <c r="G84" s="5" t="s">
        <v>2038</v>
      </c>
      <c r="H84" s="5" t="s">
        <v>1512</v>
      </c>
      <c r="I84" s="5" t="s">
        <v>128</v>
      </c>
      <c r="J84" s="6"/>
      <c r="K84" s="6"/>
      <c r="L84" s="5" t="s">
        <v>1705</v>
      </c>
      <c r="M84" s="8"/>
      <c r="N84" s="5"/>
      <c r="O84" s="5"/>
      <c r="P84" s="5"/>
      <c r="Q84" s="6">
        <v>1</v>
      </c>
      <c r="R84" s="6" t="s">
        <v>1692</v>
      </c>
      <c r="S84" s="5" t="s">
        <v>1607</v>
      </c>
      <c r="T84" s="6">
        <v>1</v>
      </c>
      <c r="U84" s="7" t="s">
        <v>1734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44" t="str">
        <f t="shared" si="4"/>
        <v>_SETTLER_ASIA</v>
      </c>
      <c r="B85" s="9" t="s">
        <v>2216</v>
      </c>
      <c r="C85" s="5" t="s">
        <v>693</v>
      </c>
      <c r="D85" s="5"/>
      <c r="E85" s="5" t="s">
        <v>1078</v>
      </c>
      <c r="F85" s="5" t="s">
        <v>2711</v>
      </c>
      <c r="G85" s="5"/>
      <c r="H85" s="5" t="s">
        <v>1513</v>
      </c>
      <c r="I85" s="5" t="s">
        <v>128</v>
      </c>
      <c r="J85" s="6"/>
      <c r="K85" s="6"/>
      <c r="L85" s="5" t="s">
        <v>1705</v>
      </c>
      <c r="M85" s="8"/>
      <c r="N85" s="5"/>
      <c r="O85" s="5"/>
      <c r="P85" s="5"/>
      <c r="Q85" s="6">
        <v>1</v>
      </c>
      <c r="R85" s="6" t="s">
        <v>1692</v>
      </c>
      <c r="S85" s="5" t="s">
        <v>1607</v>
      </c>
      <c r="T85" s="6">
        <v>1</v>
      </c>
      <c r="U85" s="7" t="s">
        <v>1734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44" t="str">
        <f t="shared" si="4"/>
        <v>_SETTLER_CENTAS</v>
      </c>
      <c r="B86" s="9" t="s">
        <v>2216</v>
      </c>
      <c r="C86" s="4" t="s">
        <v>918</v>
      </c>
      <c r="D86" s="4" t="s">
        <v>694</v>
      </c>
      <c r="E86" s="4" t="s">
        <v>1078</v>
      </c>
      <c r="F86" s="5" t="s">
        <v>2711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44" t="str">
        <f t="shared" si="4"/>
        <v>_SETTLER_MIDEAST</v>
      </c>
      <c r="B87" s="9" t="s">
        <v>2216</v>
      </c>
      <c r="C87" s="4" t="s">
        <v>690</v>
      </c>
      <c r="D87" s="4" t="s">
        <v>694</v>
      </c>
      <c r="E87" s="4" t="s">
        <v>1078</v>
      </c>
      <c r="F87" s="5" t="s">
        <v>2711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44" t="str">
        <f t="shared" si="4"/>
        <v>_SETTLER_NORTHAF</v>
      </c>
      <c r="B88" s="9" t="s">
        <v>2216</v>
      </c>
      <c r="C88" s="4" t="s">
        <v>2003</v>
      </c>
      <c r="D88" s="4" t="s">
        <v>694</v>
      </c>
      <c r="E88" s="4" t="s">
        <v>1078</v>
      </c>
      <c r="F88" s="5" t="s">
        <v>2711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44" t="str">
        <f t="shared" si="4"/>
        <v>_SETTLER_OCEAN</v>
      </c>
      <c r="B89" s="9" t="s">
        <v>2216</v>
      </c>
      <c r="C89" s="4" t="s">
        <v>994</v>
      </c>
      <c r="D89" s="4" t="s">
        <v>697</v>
      </c>
      <c r="E89" s="4" t="s">
        <v>1078</v>
      </c>
      <c r="F89" s="5" t="s">
        <v>2711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44" t="str">
        <f t="shared" si="4"/>
        <v>_SETTLER_SOUTHAM</v>
      </c>
      <c r="B90" s="9" t="s">
        <v>2216</v>
      </c>
      <c r="C90" s="4" t="s">
        <v>691</v>
      </c>
      <c r="D90" s="4" t="s">
        <v>697</v>
      </c>
      <c r="E90" s="4" t="s">
        <v>1078</v>
      </c>
      <c r="F90" s="5" t="s">
        <v>2711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44" t="str">
        <f t="shared" si="4"/>
        <v>_SETTLER_SOUTHAS</v>
      </c>
      <c r="B91" s="9" t="s">
        <v>2216</v>
      </c>
      <c r="C91" s="4" t="s">
        <v>695</v>
      </c>
      <c r="D91" s="4" t="s">
        <v>693</v>
      </c>
      <c r="E91" s="4" t="s">
        <v>1078</v>
      </c>
      <c r="F91" s="5" t="s">
        <v>2711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44" t="str">
        <f t="shared" si="4"/>
        <v>_SETTLER_SEASIA</v>
      </c>
      <c r="B92" s="9" t="s">
        <v>2216</v>
      </c>
      <c r="C92" s="4" t="s">
        <v>696</v>
      </c>
      <c r="D92" s="4" t="s">
        <v>693</v>
      </c>
      <c r="E92" s="4" t="s">
        <v>1078</v>
      </c>
      <c r="F92" s="5" t="s">
        <v>2711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44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2039</v>
      </c>
      <c r="H93" s="5" t="s">
        <v>1515</v>
      </c>
      <c r="I93" s="5" t="s">
        <v>128</v>
      </c>
      <c r="J93" s="6"/>
      <c r="K93" s="6"/>
      <c r="L93" s="5" t="s">
        <v>1705</v>
      </c>
      <c r="M93" s="8"/>
      <c r="N93" s="5"/>
      <c r="O93" s="5"/>
      <c r="P93" s="5"/>
      <c r="Q93" s="6">
        <v>0</v>
      </c>
      <c r="R93" s="7" t="s">
        <v>1734</v>
      </c>
      <c r="S93" s="13" t="s">
        <v>1516</v>
      </c>
      <c r="T93" s="6">
        <v>0</v>
      </c>
      <c r="U93" s="7" t="s">
        <v>1734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44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2040</v>
      </c>
      <c r="H94" s="5" t="s">
        <v>1517</v>
      </c>
      <c r="I94" s="5" t="s">
        <v>128</v>
      </c>
      <c r="J94" s="6"/>
      <c r="K94" s="6"/>
      <c r="L94" s="5" t="s">
        <v>1705</v>
      </c>
      <c r="M94" s="8"/>
      <c r="N94" s="5"/>
      <c r="O94" s="5"/>
      <c r="P94" s="5"/>
      <c r="Q94" s="6">
        <v>3</v>
      </c>
      <c r="R94" s="7" t="s">
        <v>1734</v>
      </c>
      <c r="S94" s="13" t="s">
        <v>1516</v>
      </c>
      <c r="T94" s="6">
        <v>3</v>
      </c>
      <c r="U94" s="7" t="s">
        <v>1734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44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1516</v>
      </c>
      <c r="I95" s="5" t="s">
        <v>128</v>
      </c>
      <c r="J95" s="6"/>
      <c r="K95" s="6"/>
      <c r="L95" s="5" t="s">
        <v>1705</v>
      </c>
      <c r="M95" s="8"/>
      <c r="N95" s="5"/>
      <c r="O95" s="5"/>
      <c r="P95" s="5"/>
      <c r="Q95" s="6">
        <v>6</v>
      </c>
      <c r="R95" s="7" t="s">
        <v>1734</v>
      </c>
      <c r="S95" s="13" t="s">
        <v>1516</v>
      </c>
      <c r="T95" s="6">
        <v>8</v>
      </c>
      <c r="U95" s="7" t="s">
        <v>1734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44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2039</v>
      </c>
      <c r="H96" s="5" t="s">
        <v>1515</v>
      </c>
      <c r="I96" s="5" t="s">
        <v>128</v>
      </c>
      <c r="J96" s="6"/>
      <c r="K96" s="6"/>
      <c r="L96" s="5" t="s">
        <v>1705</v>
      </c>
      <c r="M96" s="8"/>
      <c r="N96" s="5"/>
      <c r="O96" s="5"/>
      <c r="P96" s="5"/>
      <c r="Q96" s="6">
        <v>3</v>
      </c>
      <c r="R96" s="7" t="s">
        <v>1734</v>
      </c>
      <c r="S96" s="13" t="s">
        <v>1516</v>
      </c>
      <c r="T96" s="6">
        <v>3</v>
      </c>
      <c r="U96" s="7" t="s">
        <v>1734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44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2040</v>
      </c>
      <c r="H97" s="5" t="s">
        <v>1517</v>
      </c>
      <c r="I97" s="5" t="s">
        <v>128</v>
      </c>
      <c r="J97" s="6"/>
      <c r="K97" s="6"/>
      <c r="L97" s="5" t="s">
        <v>1705</v>
      </c>
      <c r="M97" s="8"/>
      <c r="N97" s="5"/>
      <c r="O97" s="5"/>
      <c r="P97" s="5"/>
      <c r="Q97" s="6">
        <v>0</v>
      </c>
      <c r="R97" s="7" t="s">
        <v>1734</v>
      </c>
      <c r="S97" s="13" t="s">
        <v>1516</v>
      </c>
      <c r="T97" s="6">
        <v>2</v>
      </c>
      <c r="U97" s="7" t="s">
        <v>1734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44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1935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44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2039</v>
      </c>
      <c r="H99" s="4" t="s">
        <v>861</v>
      </c>
      <c r="I99" s="4" t="s">
        <v>1935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44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2041</v>
      </c>
      <c r="H100" s="4" t="s">
        <v>860</v>
      </c>
      <c r="I100" s="4" t="s">
        <v>1935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44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2040</v>
      </c>
      <c r="H101" s="4" t="s">
        <v>682</v>
      </c>
      <c r="I101" s="4" t="s">
        <v>1935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44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1935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44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2039</v>
      </c>
      <c r="H103" s="4" t="s">
        <v>861</v>
      </c>
      <c r="I103" s="4" t="s">
        <v>1935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44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2041</v>
      </c>
      <c r="H104" s="4" t="s">
        <v>860</v>
      </c>
      <c r="I104" s="4" t="s">
        <v>1935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44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2040</v>
      </c>
      <c r="H105" s="4" t="s">
        <v>682</v>
      </c>
      <c r="I105" s="4" t="s">
        <v>1935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44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1793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44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2039</v>
      </c>
      <c r="H107" s="4" t="s">
        <v>318</v>
      </c>
      <c r="I107" s="4" t="s">
        <v>1793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44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1793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44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2039</v>
      </c>
      <c r="H109" s="4" t="s">
        <v>318</v>
      </c>
      <c r="I109" s="4" t="s">
        <v>1793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44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44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2570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1734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44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1734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44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1815</v>
      </c>
      <c r="J113" s="11"/>
      <c r="K113" s="11"/>
      <c r="L113" s="4"/>
      <c r="M113" s="12"/>
      <c r="N113" s="4"/>
      <c r="O113" s="4"/>
      <c r="P113" s="4"/>
      <c r="Q113" s="9" t="s">
        <v>1734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44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1793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44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2039</v>
      </c>
      <c r="H115" s="4" t="s">
        <v>604</v>
      </c>
      <c r="I115" s="4" t="s">
        <v>1793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44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1793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44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2039</v>
      </c>
      <c r="H117" s="4" t="s">
        <v>604</v>
      </c>
      <c r="I117" s="4" t="s">
        <v>1793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44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1793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44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2039</v>
      </c>
      <c r="H119" s="4" t="s">
        <v>176</v>
      </c>
      <c r="I119" s="4" t="s">
        <v>1793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44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1793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44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2039</v>
      </c>
      <c r="H121" s="4" t="s">
        <v>176</v>
      </c>
      <c r="I121" s="4" t="s">
        <v>1793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44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1793</v>
      </c>
      <c r="J122" s="11"/>
      <c r="K122" s="11"/>
      <c r="L122" s="4"/>
      <c r="M122" s="12"/>
      <c r="N122" s="4"/>
      <c r="O122" s="4"/>
      <c r="P122" s="4"/>
      <c r="Q122" s="9" t="s">
        <v>1734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44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1793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44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2039</v>
      </c>
      <c r="H124" s="4" t="s">
        <v>828</v>
      </c>
      <c r="I124" s="4" t="s">
        <v>1793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44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1793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44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2039</v>
      </c>
      <c r="H126" s="4" t="s">
        <v>828</v>
      </c>
      <c r="I126" s="4" t="s">
        <v>1793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44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1793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44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2039</v>
      </c>
      <c r="H128" s="4" t="s">
        <v>828</v>
      </c>
      <c r="I128" s="4" t="s">
        <v>1793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44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1793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44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2039</v>
      </c>
      <c r="H130" s="4" t="s">
        <v>289</v>
      </c>
      <c r="I130" s="4" t="s">
        <v>1793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44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1793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44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2039</v>
      </c>
      <c r="H132" s="4" t="s">
        <v>289</v>
      </c>
      <c r="I132" s="4" t="s">
        <v>1793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44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1793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>
        <v>0.25</v>
      </c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44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2039</v>
      </c>
      <c r="H134" s="4" t="s">
        <v>333</v>
      </c>
      <c r="I134" s="4" t="s">
        <v>1793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>
        <v>0.25</v>
      </c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44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1793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>
        <v>0.25</v>
      </c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44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2039</v>
      </c>
      <c r="H136" s="4" t="s">
        <v>333</v>
      </c>
      <c r="I136" s="4" t="s">
        <v>1793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>
        <v>0.25</v>
      </c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44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1793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44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2039</v>
      </c>
      <c r="H138" s="4" t="s">
        <v>886</v>
      </c>
      <c r="I138" s="4" t="s">
        <v>1793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44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1793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44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2039</v>
      </c>
      <c r="H140" s="4" t="s">
        <v>886</v>
      </c>
      <c r="I140" s="4" t="s">
        <v>1793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44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1793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44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2039</v>
      </c>
      <c r="H142" s="4" t="s">
        <v>219</v>
      </c>
      <c r="I142" s="4" t="s">
        <v>1793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44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1793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44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2039</v>
      </c>
      <c r="H144" s="4" t="s">
        <v>219</v>
      </c>
      <c r="I144" s="4" t="s">
        <v>1793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44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2041</v>
      </c>
      <c r="H145" s="4" t="s">
        <v>817</v>
      </c>
      <c r="I145" s="4" t="s">
        <v>1818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44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1818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44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2039</v>
      </c>
      <c r="H147" s="4" t="s">
        <v>225</v>
      </c>
      <c r="I147" s="4" t="s">
        <v>1818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44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1818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44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2039</v>
      </c>
      <c r="H149" s="4" t="s">
        <v>225</v>
      </c>
      <c r="I149" s="4" t="s">
        <v>1818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44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1819</v>
      </c>
      <c r="J150" s="11"/>
      <c r="K150" s="11"/>
      <c r="L150" s="4"/>
      <c r="M150" s="12"/>
      <c r="N150" s="4"/>
      <c r="O150" s="4"/>
      <c r="P150" s="4"/>
      <c r="Q150" s="9" t="s">
        <v>1734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44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1817</v>
      </c>
      <c r="J151" s="11"/>
      <c r="K151" s="11"/>
      <c r="L151" s="4"/>
      <c r="M151" s="12"/>
      <c r="N151" s="4"/>
      <c r="O151" s="4"/>
      <c r="P151" s="4"/>
      <c r="Q151" s="9" t="s">
        <v>1734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44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1793</v>
      </c>
      <c r="J152" s="11"/>
      <c r="K152" s="11"/>
      <c r="L152" s="4"/>
      <c r="M152" s="12"/>
      <c r="N152" s="4"/>
      <c r="O152" s="4"/>
      <c r="P152" s="4"/>
      <c r="Q152" s="9" t="s">
        <v>1734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44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1793</v>
      </c>
      <c r="J153" s="11"/>
      <c r="K153" s="11"/>
      <c r="L153" s="4"/>
      <c r="M153" s="12"/>
      <c r="N153" s="4"/>
      <c r="O153" s="4"/>
      <c r="P153" s="4"/>
      <c r="Q153" s="9" t="s">
        <v>1734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44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1818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44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2039</v>
      </c>
      <c r="H155" s="4" t="s">
        <v>646</v>
      </c>
      <c r="I155" s="4" t="s">
        <v>1818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44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1818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44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2039</v>
      </c>
      <c r="H157" s="4" t="s">
        <v>646</v>
      </c>
      <c r="I157" s="4" t="s">
        <v>1818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44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1734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44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2173</v>
      </c>
      <c r="I159" s="4" t="s">
        <v>1791</v>
      </c>
      <c r="J159" s="11"/>
      <c r="K159" s="11"/>
      <c r="L159" s="4"/>
      <c r="M159" s="12"/>
      <c r="N159" s="4"/>
      <c r="O159" s="4"/>
      <c r="P159" s="4"/>
      <c r="Q159" s="9" t="s">
        <v>1734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44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1782</v>
      </c>
      <c r="I160" s="4" t="s">
        <v>1792</v>
      </c>
      <c r="J160" s="11"/>
      <c r="K160" s="11"/>
      <c r="L160" s="4"/>
      <c r="M160" s="12"/>
      <c r="N160" s="4"/>
      <c r="O160" s="4"/>
      <c r="P160" s="4"/>
      <c r="Q160" s="9" t="s">
        <v>1734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44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1734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44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1783</v>
      </c>
      <c r="I162" s="4" t="s">
        <v>1791</v>
      </c>
      <c r="J162" s="11"/>
      <c r="K162" s="11"/>
      <c r="L162" s="4"/>
      <c r="M162" s="12"/>
      <c r="N162" s="4"/>
      <c r="O162" s="4"/>
      <c r="P162" s="4"/>
      <c r="Q162" s="9" t="s">
        <v>1734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44" t="str">
        <f>CONCATENATE(E163,IF(ISBLANK(C163),"",CONCATENATE("_",C163)))</f>
        <v>_WARRIOR_NORTHAF</v>
      </c>
      <c r="B163" s="9" t="s">
        <v>787</v>
      </c>
      <c r="C163" s="4" t="s">
        <v>2003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1734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44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>
        <v>0.25</v>
      </c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44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2039</v>
      </c>
      <c r="H165" s="4" t="s">
        <v>263</v>
      </c>
      <c r="I165" s="4" t="s">
        <v>1793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>
        <v>0.25</v>
      </c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44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1793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>
        <v>0.25</v>
      </c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44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2039</v>
      </c>
      <c r="H167" s="4" t="s">
        <v>263</v>
      </c>
      <c r="I167" s="4" t="s">
        <v>1793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>
        <v>0.25</v>
      </c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44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1793</v>
      </c>
      <c r="J168" s="11"/>
      <c r="K168" s="11"/>
      <c r="L168" s="4"/>
      <c r="M168" s="12"/>
      <c r="N168" s="4"/>
      <c r="O168" s="4"/>
      <c r="P168" s="4"/>
      <c r="Q168" s="9" t="s">
        <v>1734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>
        <v>0.23499999999999999</v>
      </c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44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1787</v>
      </c>
      <c r="I169" s="4" t="s">
        <v>1791</v>
      </c>
      <c r="J169" s="11"/>
      <c r="K169" s="11"/>
      <c r="L169" s="4"/>
      <c r="M169" s="12"/>
      <c r="N169" s="4"/>
      <c r="O169" s="4"/>
      <c r="P169" s="4"/>
      <c r="Q169" s="9" t="s">
        <v>1734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44" t="str">
        <f t="shared" si="6"/>
        <v>_WARRIOR_SAHUL</v>
      </c>
      <c r="B170" s="9" t="s">
        <v>787</v>
      </c>
      <c r="C170" s="4" t="s">
        <v>1785</v>
      </c>
      <c r="D170" s="4"/>
      <c r="E170" s="4" t="s">
        <v>743</v>
      </c>
      <c r="F170" s="4" t="s">
        <v>787</v>
      </c>
      <c r="G170" s="4"/>
      <c r="H170" s="4" t="s">
        <v>1788</v>
      </c>
      <c r="I170" s="4" t="s">
        <v>1791</v>
      </c>
      <c r="J170" s="11"/>
      <c r="K170" s="11"/>
      <c r="L170" s="4"/>
      <c r="M170" s="12"/>
      <c r="N170" s="4"/>
      <c r="O170" s="4"/>
      <c r="P170" s="4"/>
      <c r="Q170" s="9" t="s">
        <v>1734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44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1814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1734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44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44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2039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44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2041</v>
      </c>
      <c r="H174" s="4" t="s">
        <v>417</v>
      </c>
      <c r="I174" s="4" t="s">
        <v>2089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44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44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2039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44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2041</v>
      </c>
      <c r="H177" s="4" t="s">
        <v>417</v>
      </c>
      <c r="I177" s="4" t="s">
        <v>2089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44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>
        <v>0.20499999999999999</v>
      </c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44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2039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>
        <v>0.20499999999999999</v>
      </c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44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2041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>
        <v>0.20499999999999999</v>
      </c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44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>
        <v>0.20499999999999999</v>
      </c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44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2039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>
        <v>0.20499999999999999</v>
      </c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44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2041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>
        <v>0.20499999999999999</v>
      </c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44" t="str">
        <f>CONCATENATE(E184,IF(ISBLANK(C184),"",CONCATENATE("_",C184)))</f>
        <v>_WORKER</v>
      </c>
      <c r="B184" s="9"/>
      <c r="C184" s="5"/>
      <c r="D184" s="5"/>
      <c r="E184" s="5" t="s">
        <v>1314</v>
      </c>
      <c r="F184" s="5" t="s">
        <v>2539</v>
      </c>
      <c r="G184" s="5"/>
      <c r="H184" s="5" t="s">
        <v>1537</v>
      </c>
      <c r="I184" s="5" t="s">
        <v>128</v>
      </c>
      <c r="J184" s="6">
        <v>1</v>
      </c>
      <c r="K184" s="6"/>
      <c r="L184" s="5" t="s">
        <v>1705</v>
      </c>
      <c r="M184" s="8"/>
      <c r="N184" s="5"/>
      <c r="O184" s="5"/>
      <c r="P184" s="5"/>
      <c r="Q184" s="7">
        <v>0</v>
      </c>
      <c r="R184" s="7" t="s">
        <v>1734</v>
      </c>
      <c r="S184" s="5" t="s">
        <v>1607</v>
      </c>
      <c r="T184" s="6">
        <v>0</v>
      </c>
      <c r="U184" s="7" t="s">
        <v>1734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44" t="str">
        <f t="shared" si="6"/>
        <v>_WORKER</v>
      </c>
      <c r="B185" s="9" t="s">
        <v>2073</v>
      </c>
      <c r="C185" s="5"/>
      <c r="D185" s="5"/>
      <c r="E185" s="5" t="s">
        <v>1314</v>
      </c>
      <c r="F185" s="5" t="s">
        <v>2713</v>
      </c>
      <c r="G185" s="5"/>
      <c r="H185" s="5" t="s">
        <v>1537</v>
      </c>
      <c r="I185" s="5" t="s">
        <v>128</v>
      </c>
      <c r="J185" s="6">
        <v>1</v>
      </c>
      <c r="K185" s="6"/>
      <c r="L185" s="5" t="s">
        <v>1705</v>
      </c>
      <c r="M185" s="8"/>
      <c r="N185" s="5"/>
      <c r="O185" s="5"/>
      <c r="P185" s="5"/>
      <c r="Q185" s="7">
        <v>8</v>
      </c>
      <c r="R185" s="7" t="s">
        <v>1734</v>
      </c>
      <c r="S185" s="5" t="s">
        <v>1607</v>
      </c>
      <c r="T185" s="6"/>
      <c r="U185" s="7" t="s">
        <v>1734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44" t="str">
        <f>CONCATENATE(E186,IF(ISBLANK(C186),"",CONCATENATE("_",C186)))</f>
        <v>_WORKER_NETHERLANDS</v>
      </c>
      <c r="B186" s="9" t="s">
        <v>2073</v>
      </c>
      <c r="C186" s="5" t="s">
        <v>730</v>
      </c>
      <c r="D186" s="5"/>
      <c r="E186" s="5" t="s">
        <v>1314</v>
      </c>
      <c r="F186" s="5" t="s">
        <v>2713</v>
      </c>
      <c r="G186" s="5"/>
      <c r="H186" s="5" t="s">
        <v>2075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44" t="str">
        <f t="shared" si="6"/>
        <v>_WORKER_ASIA</v>
      </c>
      <c r="B187" s="9" t="s">
        <v>2073</v>
      </c>
      <c r="C187" s="5" t="s">
        <v>693</v>
      </c>
      <c r="D187" s="5"/>
      <c r="E187" s="5" t="s">
        <v>1314</v>
      </c>
      <c r="F187" s="5" t="s">
        <v>2713</v>
      </c>
      <c r="G187" s="5"/>
      <c r="H187" s="5" t="s">
        <v>2088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44" t="str">
        <f t="shared" si="6"/>
        <v>_WORKER_SEASIA</v>
      </c>
      <c r="B188" s="9" t="s">
        <v>2073</v>
      </c>
      <c r="C188" s="5" t="s">
        <v>696</v>
      </c>
      <c r="D188" s="5" t="s">
        <v>693</v>
      </c>
      <c r="E188" s="5" t="s">
        <v>1314</v>
      </c>
      <c r="F188" s="5" t="s">
        <v>2713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44" t="str">
        <f t="shared" si="6"/>
        <v>_WORKER_SOUTHAM</v>
      </c>
      <c r="B189" s="9" t="s">
        <v>2073</v>
      </c>
      <c r="C189" s="5" t="s">
        <v>691</v>
      </c>
      <c r="D189" s="5"/>
      <c r="E189" s="5" t="s">
        <v>1314</v>
      </c>
      <c r="F189" s="5" t="s">
        <v>2713</v>
      </c>
      <c r="G189" s="5"/>
      <c r="H189" s="5" t="s">
        <v>2074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44" t="str">
        <f t="shared" si="6"/>
        <v>_WORKER_OCEAN</v>
      </c>
      <c r="B190" s="9" t="s">
        <v>2073</v>
      </c>
      <c r="C190" s="5" t="s">
        <v>994</v>
      </c>
      <c r="D190" s="5" t="s">
        <v>691</v>
      </c>
      <c r="E190" s="5" t="s">
        <v>1314</v>
      </c>
      <c r="F190" s="5" t="s">
        <v>2713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44" t="str">
        <f>CONCATENATE(E191,IF(ISBLANK(C191),"",CONCATENATE("_",C191)))</f>
        <v>_WORKER_LATE</v>
      </c>
      <c r="B191" s="9"/>
      <c r="C191" s="5"/>
      <c r="D191" s="5"/>
      <c r="E191" s="5" t="s">
        <v>1315</v>
      </c>
      <c r="F191" s="5" t="s">
        <v>2540</v>
      </c>
      <c r="G191" s="5"/>
      <c r="H191" s="5" t="s">
        <v>1538</v>
      </c>
      <c r="I191" s="5" t="s">
        <v>128</v>
      </c>
      <c r="J191" s="6">
        <v>0</v>
      </c>
      <c r="K191" s="6"/>
      <c r="L191" s="5" t="s">
        <v>1705</v>
      </c>
      <c r="M191" s="8"/>
      <c r="N191" s="5"/>
      <c r="O191" s="5"/>
      <c r="P191" s="5"/>
      <c r="Q191" s="7">
        <v>0</v>
      </c>
      <c r="R191" s="7" t="s">
        <v>1734</v>
      </c>
      <c r="S191" s="5" t="s">
        <v>1607</v>
      </c>
      <c r="T191" s="6">
        <v>0</v>
      </c>
      <c r="U191" s="7" t="s">
        <v>1734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44" t="str">
        <f t="shared" si="6"/>
        <v>_WORKER_LATE</v>
      </c>
      <c r="B192" s="9" t="s">
        <v>2073</v>
      </c>
      <c r="C192" s="5"/>
      <c r="D192" s="5"/>
      <c r="E192" s="5" t="s">
        <v>1315</v>
      </c>
      <c r="F192" s="5" t="s">
        <v>2714</v>
      </c>
      <c r="G192" s="5"/>
      <c r="H192" s="5" t="s">
        <v>1538</v>
      </c>
      <c r="I192" s="5" t="s">
        <v>128</v>
      </c>
      <c r="J192" s="6">
        <v>0</v>
      </c>
      <c r="K192" s="6"/>
      <c r="L192" s="5" t="s">
        <v>1705</v>
      </c>
      <c r="M192" s="8"/>
      <c r="N192" s="5"/>
      <c r="O192" s="5"/>
      <c r="P192" s="5"/>
      <c r="Q192" s="7">
        <v>8</v>
      </c>
      <c r="R192" s="7" t="s">
        <v>1734</v>
      </c>
      <c r="S192" s="5" t="s">
        <v>1607</v>
      </c>
      <c r="T192" s="6"/>
      <c r="U192" s="7" t="s">
        <v>1734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44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2617</v>
      </c>
      <c r="I193" s="5" t="s">
        <v>102</v>
      </c>
      <c r="J193" s="6"/>
      <c r="K193" s="6"/>
      <c r="L193" s="13" t="s">
        <v>1706</v>
      </c>
      <c r="M193" s="8"/>
      <c r="N193" s="5"/>
      <c r="O193" s="5"/>
      <c r="P193" s="5"/>
      <c r="Q193" s="7">
        <v>3</v>
      </c>
      <c r="R193" s="6" t="s">
        <v>1692</v>
      </c>
      <c r="S193" s="13" t="s">
        <v>1608</v>
      </c>
      <c r="T193" s="7">
        <v>4</v>
      </c>
      <c r="U193" s="7" t="s">
        <v>1734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44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44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2620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44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44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2618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44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2619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44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2621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44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44" t="str">
        <f t="shared" si="6"/>
        <v>ANTI_AIRCRAFT_GUN_NORTHAF</v>
      </c>
      <c r="B201" s="9" t="s">
        <v>744</v>
      </c>
      <c r="C201" s="5" t="s">
        <v>2003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44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44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44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1392</v>
      </c>
      <c r="I204" s="5" t="s">
        <v>128</v>
      </c>
      <c r="J204" s="6"/>
      <c r="K204" s="6"/>
      <c r="L204" s="13" t="s">
        <v>1706</v>
      </c>
      <c r="M204" s="8"/>
      <c r="N204" s="5"/>
      <c r="O204" s="5"/>
      <c r="P204" s="5"/>
      <c r="Q204" s="7">
        <v>3</v>
      </c>
      <c r="R204" s="6" t="s">
        <v>1692</v>
      </c>
      <c r="S204" s="13" t="s">
        <v>1608</v>
      </c>
      <c r="T204" s="6"/>
      <c r="U204" s="7" t="s">
        <v>1734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44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1393</v>
      </c>
      <c r="I205" s="5" t="s">
        <v>128</v>
      </c>
      <c r="J205" s="6"/>
      <c r="K205" s="6"/>
      <c r="L205" s="13" t="s">
        <v>1705</v>
      </c>
      <c r="M205" s="8"/>
      <c r="N205" s="5"/>
      <c r="O205" s="5"/>
      <c r="P205" s="5"/>
      <c r="Q205" s="6">
        <v>1</v>
      </c>
      <c r="R205" s="6" t="s">
        <v>1692</v>
      </c>
      <c r="S205" s="13" t="s">
        <v>1692</v>
      </c>
      <c r="T205" s="6">
        <v>1</v>
      </c>
      <c r="U205" s="7" t="s">
        <v>1734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44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2032</v>
      </c>
      <c r="H206" s="5" t="s">
        <v>1394</v>
      </c>
      <c r="I206" s="5" t="s">
        <v>128</v>
      </c>
      <c r="J206" s="6"/>
      <c r="K206" s="6"/>
      <c r="L206" s="13" t="s">
        <v>1705</v>
      </c>
      <c r="M206" s="8"/>
      <c r="N206" s="5"/>
      <c r="O206" s="5"/>
      <c r="P206" s="5"/>
      <c r="Q206" s="6">
        <v>1</v>
      </c>
      <c r="R206" s="6" t="s">
        <v>1692</v>
      </c>
      <c r="S206" s="13" t="s">
        <v>1692</v>
      </c>
      <c r="T206" s="6">
        <v>1</v>
      </c>
      <c r="U206" s="7" t="s">
        <v>1734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44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2033</v>
      </c>
      <c r="H207" s="5" t="s">
        <v>1395</v>
      </c>
      <c r="I207" s="5" t="s">
        <v>128</v>
      </c>
      <c r="J207" s="6"/>
      <c r="K207" s="6"/>
      <c r="L207" s="13" t="s">
        <v>1705</v>
      </c>
      <c r="M207" s="8"/>
      <c r="N207" s="5"/>
      <c r="O207" s="5"/>
      <c r="P207" s="5"/>
      <c r="Q207" s="6">
        <v>1</v>
      </c>
      <c r="R207" s="6" t="s">
        <v>1692</v>
      </c>
      <c r="S207" s="13" t="s">
        <v>1692</v>
      </c>
      <c r="T207" s="6">
        <v>1</v>
      </c>
      <c r="U207" s="7" t="s">
        <v>1734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44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2039</v>
      </c>
      <c r="H208" s="5" t="s">
        <v>1396</v>
      </c>
      <c r="I208" s="5" t="s">
        <v>128</v>
      </c>
      <c r="J208" s="6"/>
      <c r="K208" s="6"/>
      <c r="L208" s="13" t="s">
        <v>1705</v>
      </c>
      <c r="M208" s="8"/>
      <c r="N208" s="5"/>
      <c r="O208" s="5"/>
      <c r="P208" s="5"/>
      <c r="Q208" s="6">
        <v>0</v>
      </c>
      <c r="R208" s="6" t="s">
        <v>1734</v>
      </c>
      <c r="S208" s="13" t="s">
        <v>44</v>
      </c>
      <c r="T208" s="6">
        <v>3</v>
      </c>
      <c r="U208" s="7" t="s">
        <v>1734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44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2041</v>
      </c>
      <c r="H209" s="5" t="s">
        <v>1397</v>
      </c>
      <c r="I209" s="5" t="s">
        <v>128</v>
      </c>
      <c r="J209" s="6"/>
      <c r="K209" s="6"/>
      <c r="L209" s="13" t="s">
        <v>1705</v>
      </c>
      <c r="M209" s="8"/>
      <c r="N209" s="5"/>
      <c r="O209" s="5"/>
      <c r="P209" s="5"/>
      <c r="Q209" s="6">
        <v>3</v>
      </c>
      <c r="R209" s="6" t="s">
        <v>1734</v>
      </c>
      <c r="S209" s="13" t="s">
        <v>44</v>
      </c>
      <c r="T209" s="6">
        <v>3</v>
      </c>
      <c r="U209" s="7" t="s">
        <v>1734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44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1705</v>
      </c>
      <c r="M210" s="8"/>
      <c r="N210" s="5"/>
      <c r="O210" s="5"/>
      <c r="P210" s="5"/>
      <c r="Q210" s="6">
        <v>6</v>
      </c>
      <c r="R210" s="6" t="s">
        <v>1734</v>
      </c>
      <c r="S210" s="13" t="s">
        <v>44</v>
      </c>
      <c r="T210" s="6">
        <v>4</v>
      </c>
      <c r="U210" s="7" t="s">
        <v>1734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44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2039</v>
      </c>
      <c r="H211" s="5" t="s">
        <v>1396</v>
      </c>
      <c r="I211" s="5" t="s">
        <v>128</v>
      </c>
      <c r="J211" s="6"/>
      <c r="K211" s="6"/>
      <c r="L211" s="13" t="s">
        <v>1705</v>
      </c>
      <c r="M211" s="8"/>
      <c r="N211" s="5"/>
      <c r="O211" s="5"/>
      <c r="P211" s="5"/>
      <c r="Q211" s="6">
        <v>3</v>
      </c>
      <c r="R211" s="6" t="s">
        <v>1734</v>
      </c>
      <c r="S211" s="13" t="s">
        <v>44</v>
      </c>
      <c r="T211" s="6">
        <v>3</v>
      </c>
      <c r="U211" s="7" t="s">
        <v>1734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44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2041</v>
      </c>
      <c r="H212" s="5" t="s">
        <v>1397</v>
      </c>
      <c r="I212" s="5" t="s">
        <v>128</v>
      </c>
      <c r="J212" s="6"/>
      <c r="K212" s="6"/>
      <c r="L212" s="13" t="s">
        <v>1705</v>
      </c>
      <c r="M212" s="8"/>
      <c r="N212" s="5"/>
      <c r="O212" s="5"/>
      <c r="P212" s="5"/>
      <c r="Q212" s="6">
        <v>0</v>
      </c>
      <c r="R212" s="6" t="s">
        <v>1734</v>
      </c>
      <c r="S212" s="13" t="s">
        <v>44</v>
      </c>
      <c r="T212" s="6">
        <v>3</v>
      </c>
      <c r="U212" s="7" t="s">
        <v>1734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44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1734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44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1734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44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2039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44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1734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44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2039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1734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44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44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2039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1734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44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44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1734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44" t="str">
        <f t="shared" ref="A222:A297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1734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44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1734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44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1734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44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1734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44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2089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44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2039</v>
      </c>
      <c r="H227" s="4" t="s">
        <v>526</v>
      </c>
      <c r="I227" s="4" t="s">
        <v>2089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44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2089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44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2039</v>
      </c>
      <c r="H229" s="4" t="s">
        <v>526</v>
      </c>
      <c r="I229" s="4" t="s">
        <v>2089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44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2089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44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2039</v>
      </c>
      <c r="H231" s="4" t="s">
        <v>526</v>
      </c>
      <c r="I231" s="4" t="s">
        <v>2089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44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2089</v>
      </c>
      <c r="J232" s="11"/>
      <c r="K232" s="11"/>
      <c r="L232" s="4"/>
      <c r="M232" s="12"/>
      <c r="N232" s="4"/>
      <c r="O232" s="4"/>
      <c r="P232" s="4"/>
      <c r="Q232" s="9" t="s">
        <v>1734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44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2089</v>
      </c>
      <c r="J233" s="11"/>
      <c r="K233" s="11"/>
      <c r="L233" s="4"/>
      <c r="M233" s="12"/>
      <c r="N233" s="4"/>
      <c r="O233" s="4"/>
      <c r="P233" s="4"/>
      <c r="Q233" s="9" t="s">
        <v>1734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44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44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1734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44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1734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44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1734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44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2089</v>
      </c>
      <c r="J238" s="11"/>
      <c r="K238" s="11"/>
      <c r="L238" s="4"/>
      <c r="M238" s="12"/>
      <c r="N238" s="4"/>
      <c r="O238" s="4"/>
      <c r="P238" s="4"/>
      <c r="Q238" s="9" t="s">
        <v>1734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44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2627</v>
      </c>
      <c r="I239" s="4" t="s">
        <v>2624</v>
      </c>
      <c r="J239" s="11"/>
      <c r="K239" s="11"/>
      <c r="L239" s="4"/>
      <c r="M239" s="12"/>
      <c r="N239" s="4"/>
      <c r="O239" s="4"/>
      <c r="P239" s="4"/>
      <c r="Q239" s="9" t="s">
        <v>1734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44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1734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44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1734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44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44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1734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44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2089</v>
      </c>
      <c r="J244" s="11"/>
      <c r="K244" s="11"/>
      <c r="L244" s="4"/>
      <c r="M244" s="12"/>
      <c r="N244" s="4"/>
      <c r="O244" s="4"/>
      <c r="P244" s="4"/>
      <c r="Q244" s="9" t="s">
        <v>1734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44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2089</v>
      </c>
      <c r="J245" s="11"/>
      <c r="K245" s="11"/>
      <c r="L245" s="4"/>
      <c r="M245" s="12"/>
      <c r="N245" s="4"/>
      <c r="O245" s="4"/>
      <c r="P245" s="4"/>
      <c r="Q245" s="9" t="s">
        <v>1734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44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1734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44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1734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44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1734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44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44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44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1812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1734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44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1734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44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44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1734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44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1692</v>
      </c>
      <c r="S255" s="13" t="s">
        <v>1610</v>
      </c>
      <c r="T255" s="7">
        <v>3</v>
      </c>
      <c r="U255" s="7" t="s">
        <v>1734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44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2199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44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2200</v>
      </c>
      <c r="I257" s="4" t="s">
        <v>2201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44" t="str">
        <f t="shared" si="7"/>
        <v>ARTILLERY_BABYLON</v>
      </c>
      <c r="B258" s="9" t="s">
        <v>746</v>
      </c>
      <c r="C258" s="4" t="s">
        <v>703</v>
      </c>
      <c r="D258" s="4" t="s">
        <v>698</v>
      </c>
      <c r="E258" s="4" t="s">
        <v>746</v>
      </c>
      <c r="F258" s="4" t="s">
        <v>746</v>
      </c>
      <c r="G258" s="14"/>
      <c r="H258" s="4"/>
      <c r="I258" s="4"/>
      <c r="J258" s="11"/>
      <c r="K258" s="11"/>
      <c r="L258" s="4"/>
      <c r="M258" s="12"/>
      <c r="N258" s="4"/>
      <c r="O258" s="4"/>
      <c r="P258" s="4"/>
      <c r="Q258" s="9"/>
      <c r="R258" s="11"/>
      <c r="S258" s="4"/>
      <c r="T258" s="9"/>
      <c r="U258" s="11"/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11"/>
      <c r="AM258" s="11"/>
      <c r="AN258" s="11"/>
      <c r="AO258" s="11"/>
      <c r="AP258" s="11"/>
      <c r="AQ258" s="11"/>
    </row>
    <row r="259" spans="1:43" s="2" customFormat="1" x14ac:dyDescent="0.25">
      <c r="A259" s="44" t="str">
        <f t="shared" si="7"/>
        <v>ARTILLERY_EGYPT</v>
      </c>
      <c r="B259" s="9" t="s">
        <v>746</v>
      </c>
      <c r="C259" s="4" t="s">
        <v>712</v>
      </c>
      <c r="D259" s="4" t="s">
        <v>698</v>
      </c>
      <c r="E259" s="4" t="s">
        <v>746</v>
      </c>
      <c r="F259" s="4" t="s">
        <v>746</v>
      </c>
      <c r="G259" s="14"/>
      <c r="H259" s="4"/>
      <c r="I259" s="4"/>
      <c r="J259" s="11"/>
      <c r="K259" s="11"/>
      <c r="L259" s="4"/>
      <c r="M259" s="12"/>
      <c r="N259" s="4"/>
      <c r="O259" s="4"/>
      <c r="P259" s="4"/>
      <c r="Q259" s="9"/>
      <c r="R259" s="11"/>
      <c r="S259" s="4"/>
      <c r="T259" s="9"/>
      <c r="U259" s="11"/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11"/>
      <c r="AM259" s="11"/>
      <c r="AN259" s="11"/>
      <c r="AO259" s="11"/>
      <c r="AP259" s="11"/>
      <c r="AQ259" s="11"/>
    </row>
    <row r="260" spans="1:43" s="2" customFormat="1" x14ac:dyDescent="0.25">
      <c r="A260" s="44" t="str">
        <f t="shared" si="7"/>
        <v>ARTILLERY_NORTHAF</v>
      </c>
      <c r="B260" s="9" t="s">
        <v>746</v>
      </c>
      <c r="C260" s="4" t="s">
        <v>2003</v>
      </c>
      <c r="D260" s="4" t="s">
        <v>715</v>
      </c>
      <c r="E260" s="4" t="s">
        <v>746</v>
      </c>
      <c r="F260" s="4" t="s">
        <v>746</v>
      </c>
      <c r="G260" s="14"/>
      <c r="H260" s="4"/>
      <c r="I260" s="4"/>
      <c r="J260" s="11"/>
      <c r="K260" s="11"/>
      <c r="L260" s="4"/>
      <c r="M260" s="12"/>
      <c r="N260" s="4"/>
      <c r="O260" s="4"/>
      <c r="P260" s="4"/>
      <c r="Q260" s="9"/>
      <c r="R260" s="11"/>
      <c r="S260" s="4"/>
      <c r="T260" s="9"/>
      <c r="U260" s="11"/>
      <c r="V260" s="4"/>
      <c r="W260" s="9"/>
      <c r="X260" s="11"/>
      <c r="Y260" s="4"/>
      <c r="Z260" s="11"/>
      <c r="AA260" s="11"/>
      <c r="AB260" s="4"/>
      <c r="AC260" s="11"/>
      <c r="AD260" s="11"/>
      <c r="AE260" s="4"/>
      <c r="AF260" s="9"/>
      <c r="AG260" s="11"/>
      <c r="AH260" s="4"/>
      <c r="AI260" s="9"/>
      <c r="AJ260" s="11"/>
      <c r="AK260" s="4"/>
      <c r="AL260" s="11"/>
      <c r="AM260" s="11"/>
      <c r="AN260" s="11"/>
      <c r="AO260" s="11"/>
      <c r="AP260" s="11"/>
      <c r="AQ260" s="11"/>
    </row>
    <row r="261" spans="1:43" s="2" customFormat="1" x14ac:dyDescent="0.25">
      <c r="A261" s="44" t="str">
        <f t="shared" si="7"/>
        <v>ARTILLERY_SEASIA</v>
      </c>
      <c r="B261" s="9" t="s">
        <v>746</v>
      </c>
      <c r="C261" s="4" t="s">
        <v>696</v>
      </c>
      <c r="D261" s="4" t="s">
        <v>715</v>
      </c>
      <c r="E261" s="4" t="s">
        <v>746</v>
      </c>
      <c r="F261" s="4" t="s">
        <v>746</v>
      </c>
      <c r="G261" s="14"/>
      <c r="H261" s="4"/>
      <c r="I261" s="4"/>
      <c r="J261" s="11"/>
      <c r="K261" s="11"/>
      <c r="L261" s="4"/>
      <c r="M261" s="12"/>
      <c r="N261" s="4"/>
      <c r="O261" s="4"/>
      <c r="P261" s="4"/>
      <c r="Q261" s="9"/>
      <c r="R261" s="11"/>
      <c r="S261" s="4"/>
      <c r="T261" s="9"/>
      <c r="U261" s="11"/>
      <c r="V261" s="4"/>
      <c r="W261" s="9"/>
      <c r="X261" s="11"/>
      <c r="Y261" s="4"/>
      <c r="Z261" s="11"/>
      <c r="AA261" s="11"/>
      <c r="AB261" s="4"/>
      <c r="AC261" s="11"/>
      <c r="AD261" s="11"/>
      <c r="AE261" s="4"/>
      <c r="AF261" s="9"/>
      <c r="AG261" s="11"/>
      <c r="AH261" s="4"/>
      <c r="AI261" s="9"/>
      <c r="AJ261" s="11"/>
      <c r="AK261" s="4"/>
      <c r="AL261" s="11"/>
      <c r="AM261" s="11"/>
      <c r="AN261" s="11"/>
      <c r="AO261" s="11"/>
      <c r="AP261" s="11"/>
      <c r="AQ261" s="11"/>
    </row>
    <row r="262" spans="1:43" s="2" customFormat="1" x14ac:dyDescent="0.25">
      <c r="A262" s="44" t="str">
        <f t="shared" si="7"/>
        <v>ARTIST</v>
      </c>
      <c r="B262" s="9"/>
      <c r="C262" s="5"/>
      <c r="D262" s="5"/>
      <c r="E262" s="5" t="s">
        <v>1310</v>
      </c>
      <c r="F262" s="5" t="s">
        <v>1308</v>
      </c>
      <c r="G262" s="5" t="s">
        <v>2042</v>
      </c>
      <c r="H262" s="5" t="s">
        <v>1469</v>
      </c>
      <c r="I262" s="5" t="s">
        <v>128</v>
      </c>
      <c r="J262" s="6">
        <v>1</v>
      </c>
      <c r="K262" s="6"/>
      <c r="L262" s="13" t="s">
        <v>1707</v>
      </c>
      <c r="M262" s="8"/>
      <c r="N262" s="5"/>
      <c r="O262" s="5"/>
      <c r="P262" s="5"/>
      <c r="Q262" s="6">
        <v>1</v>
      </c>
      <c r="R262" s="7" t="s">
        <v>1692</v>
      </c>
      <c r="S262" s="13" t="s">
        <v>1611</v>
      </c>
      <c r="T262" s="6">
        <v>1</v>
      </c>
      <c r="U262" s="7" t="s">
        <v>1734</v>
      </c>
      <c r="V262" s="5"/>
      <c r="W262" s="7">
        <v>2</v>
      </c>
      <c r="X262" s="6" t="s">
        <v>3</v>
      </c>
      <c r="Y262" s="5"/>
      <c r="Z262" s="7">
        <v>1</v>
      </c>
      <c r="AA262" s="6" t="s">
        <v>1734</v>
      </c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44" t="str">
        <f t="shared" si="7"/>
        <v>ARTIST</v>
      </c>
      <c r="B263" s="9"/>
      <c r="C263" s="5"/>
      <c r="D263" s="5"/>
      <c r="E263" s="5" t="s">
        <v>1310</v>
      </c>
      <c r="F263" s="5" t="s">
        <v>1308</v>
      </c>
      <c r="G263" s="5" t="s">
        <v>2043</v>
      </c>
      <c r="H263" s="5" t="s">
        <v>1470</v>
      </c>
      <c r="I263" s="5" t="s">
        <v>128</v>
      </c>
      <c r="J263" s="6">
        <v>1</v>
      </c>
      <c r="K263" s="6"/>
      <c r="L263" s="13" t="s">
        <v>1707</v>
      </c>
      <c r="M263" s="8"/>
      <c r="N263" s="5"/>
      <c r="O263" s="5"/>
      <c r="P263" s="5"/>
      <c r="Q263" s="6">
        <v>1</v>
      </c>
      <c r="R263" s="7" t="s">
        <v>1692</v>
      </c>
      <c r="S263" s="13" t="s">
        <v>1611</v>
      </c>
      <c r="T263" s="6">
        <v>1</v>
      </c>
      <c r="U263" s="7" t="s">
        <v>1734</v>
      </c>
      <c r="V263" s="5"/>
      <c r="W263" s="7">
        <v>2</v>
      </c>
      <c r="X263" s="6" t="s">
        <v>3</v>
      </c>
      <c r="Y263" s="5"/>
      <c r="Z263" s="7">
        <v>0</v>
      </c>
      <c r="AA263" s="6" t="s">
        <v>1734</v>
      </c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44" t="str">
        <f>CONCATENATE(E264,IF(ISBLANK(C264),"",CONCATENATE("_",C264)))</f>
        <v>ARTIST</v>
      </c>
      <c r="B264" s="9"/>
      <c r="C264" s="5"/>
      <c r="D264" s="5"/>
      <c r="E264" s="5" t="s">
        <v>1310</v>
      </c>
      <c r="F264" s="5" t="s">
        <v>1308</v>
      </c>
      <c r="G264" s="5" t="s">
        <v>2535</v>
      </c>
      <c r="H264" s="5" t="s">
        <v>1468</v>
      </c>
      <c r="I264" s="5" t="s">
        <v>128</v>
      </c>
      <c r="J264" s="6">
        <v>1</v>
      </c>
      <c r="K264" s="6"/>
      <c r="L264" s="13" t="s">
        <v>1707</v>
      </c>
      <c r="M264" s="8"/>
      <c r="N264" s="5"/>
      <c r="O264" s="5"/>
      <c r="P264" s="5"/>
      <c r="Q264" s="6">
        <v>0</v>
      </c>
      <c r="R264" s="7" t="s">
        <v>1692</v>
      </c>
      <c r="S264" s="13" t="s">
        <v>1611</v>
      </c>
      <c r="T264" s="6">
        <v>0</v>
      </c>
      <c r="U264" s="7" t="s">
        <v>1734</v>
      </c>
      <c r="V264" s="5"/>
      <c r="W264" s="7">
        <v>0</v>
      </c>
      <c r="X264" s="6" t="s">
        <v>3</v>
      </c>
      <c r="Y264" s="5"/>
      <c r="Z264" s="7">
        <v>0</v>
      </c>
      <c r="AA264" s="6" t="s">
        <v>1734</v>
      </c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6">
        <v>0</v>
      </c>
      <c r="AM264" s="6"/>
      <c r="AN264" s="6"/>
      <c r="AO264" s="6">
        <v>0</v>
      </c>
      <c r="AP264" s="6"/>
      <c r="AQ264" s="6"/>
    </row>
    <row r="265" spans="1:43" s="2" customFormat="1" x14ac:dyDescent="0.25">
      <c r="A265" s="44" t="str">
        <f t="shared" si="7"/>
        <v>ARTIST</v>
      </c>
      <c r="B265" s="9"/>
      <c r="C265" s="5"/>
      <c r="D265" s="5"/>
      <c r="E265" s="5" t="s">
        <v>1310</v>
      </c>
      <c r="F265" s="5" t="s">
        <v>1308</v>
      </c>
      <c r="G265" s="5"/>
      <c r="H265" s="5" t="s">
        <v>1468</v>
      </c>
      <c r="I265" s="5" t="s">
        <v>128</v>
      </c>
      <c r="J265" s="6">
        <v>1</v>
      </c>
      <c r="K265" s="6"/>
      <c r="L265" s="13" t="s">
        <v>1707</v>
      </c>
      <c r="M265" s="8"/>
      <c r="N265" s="5"/>
      <c r="O265" s="5"/>
      <c r="P265" s="5"/>
      <c r="Q265" s="6">
        <v>1</v>
      </c>
      <c r="R265" s="7" t="s">
        <v>1692</v>
      </c>
      <c r="S265" s="13" t="s">
        <v>1611</v>
      </c>
      <c r="T265" s="6">
        <v>1</v>
      </c>
      <c r="U265" s="7" t="s">
        <v>1734</v>
      </c>
      <c r="V265" s="5"/>
      <c r="W265" s="7">
        <v>2</v>
      </c>
      <c r="X265" s="6" t="s">
        <v>3</v>
      </c>
      <c r="Y265" s="5"/>
      <c r="Z265" s="7">
        <v>0</v>
      </c>
      <c r="AA265" s="6" t="s">
        <v>1734</v>
      </c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44" t="str">
        <f t="shared" si="7"/>
        <v>ARTIST</v>
      </c>
      <c r="B266" s="9"/>
      <c r="C266" s="5"/>
      <c r="D266" s="5"/>
      <c r="E266" s="5" t="s">
        <v>1310</v>
      </c>
      <c r="F266" s="5" t="s">
        <v>1308</v>
      </c>
      <c r="G266" s="5" t="s">
        <v>2044</v>
      </c>
      <c r="H266" s="5" t="s">
        <v>1465</v>
      </c>
      <c r="I266" s="5" t="s">
        <v>128</v>
      </c>
      <c r="J266" s="6">
        <v>1</v>
      </c>
      <c r="K266" s="6"/>
      <c r="L266" s="13" t="s">
        <v>1707</v>
      </c>
      <c r="M266" s="8"/>
      <c r="N266" s="5"/>
      <c r="O266" s="5"/>
      <c r="P266" s="5"/>
      <c r="Q266" s="6">
        <v>1</v>
      </c>
      <c r="R266" s="7" t="s">
        <v>1692</v>
      </c>
      <c r="S266" s="13" t="s">
        <v>1611</v>
      </c>
      <c r="T266" s="6">
        <v>1</v>
      </c>
      <c r="U266" s="7" t="s">
        <v>1734</v>
      </c>
      <c r="V266" s="5"/>
      <c r="W266" s="7">
        <v>2</v>
      </c>
      <c r="X266" s="6" t="s">
        <v>3</v>
      </c>
      <c r="Y266" s="5"/>
      <c r="Z266" s="7">
        <v>0</v>
      </c>
      <c r="AA266" s="6" t="s">
        <v>1734</v>
      </c>
      <c r="AB266" s="5"/>
      <c r="AC266" s="6"/>
      <c r="AD266" s="6" t="s">
        <v>3</v>
      </c>
      <c r="AE266" s="5"/>
      <c r="AF266" s="6">
        <v>0</v>
      </c>
      <c r="AG266" s="6"/>
      <c r="AH266" s="5"/>
      <c r="AI266" s="6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44" t="str">
        <f t="shared" si="7"/>
        <v>ARTIST</v>
      </c>
      <c r="B267" s="9"/>
      <c r="C267" s="5"/>
      <c r="D267" s="5"/>
      <c r="E267" s="5" t="s">
        <v>1310</v>
      </c>
      <c r="F267" s="5" t="s">
        <v>1308</v>
      </c>
      <c r="G267" s="5" t="s">
        <v>2045</v>
      </c>
      <c r="H267" s="5" t="s">
        <v>1466</v>
      </c>
      <c r="I267" s="5" t="s">
        <v>128</v>
      </c>
      <c r="J267" s="6">
        <v>1</v>
      </c>
      <c r="K267" s="6"/>
      <c r="L267" s="13" t="s">
        <v>1707</v>
      </c>
      <c r="M267" s="8"/>
      <c r="N267" s="5"/>
      <c r="O267" s="5"/>
      <c r="P267" s="5"/>
      <c r="Q267" s="6">
        <v>1</v>
      </c>
      <c r="R267" s="7" t="s">
        <v>1692</v>
      </c>
      <c r="S267" s="13" t="s">
        <v>1611</v>
      </c>
      <c r="T267" s="6">
        <v>1</v>
      </c>
      <c r="U267" s="7" t="s">
        <v>1734</v>
      </c>
      <c r="V267" s="5"/>
      <c r="W267" s="7">
        <v>2</v>
      </c>
      <c r="X267" s="6" t="s">
        <v>3</v>
      </c>
      <c r="Y267" s="5"/>
      <c r="Z267" s="7">
        <v>0</v>
      </c>
      <c r="AA267" s="6" t="s">
        <v>1734</v>
      </c>
      <c r="AB267" s="5"/>
      <c r="AC267" s="6"/>
      <c r="AD267" s="6" t="s">
        <v>3</v>
      </c>
      <c r="AE267" s="5"/>
      <c r="AF267" s="6">
        <v>0</v>
      </c>
      <c r="AG267" s="6"/>
      <c r="AH267" s="5"/>
      <c r="AI267" s="6"/>
      <c r="AJ267" s="6"/>
      <c r="AK267" s="5"/>
      <c r="AL267" s="6"/>
      <c r="AM267" s="6"/>
      <c r="AN267" s="6"/>
      <c r="AO267" s="6"/>
      <c r="AP267" s="6"/>
      <c r="AQ267" s="6"/>
    </row>
    <row r="268" spans="1:43" s="2" customFormat="1" x14ac:dyDescent="0.25">
      <c r="A268" s="44" t="str">
        <f t="shared" si="7"/>
        <v>ARTIST</v>
      </c>
      <c r="B268" s="9"/>
      <c r="C268" s="5"/>
      <c r="D268" s="5"/>
      <c r="E268" s="5" t="s">
        <v>1310</v>
      </c>
      <c r="F268" s="5" t="s">
        <v>1308</v>
      </c>
      <c r="G268" s="5" t="s">
        <v>2046</v>
      </c>
      <c r="H268" s="5" t="s">
        <v>1467</v>
      </c>
      <c r="I268" s="5" t="s">
        <v>128</v>
      </c>
      <c r="J268" s="6">
        <v>1</v>
      </c>
      <c r="K268" s="6"/>
      <c r="L268" s="13" t="s">
        <v>1707</v>
      </c>
      <c r="M268" s="8"/>
      <c r="N268" s="5"/>
      <c r="O268" s="5"/>
      <c r="P268" s="5"/>
      <c r="Q268" s="6">
        <v>1</v>
      </c>
      <c r="R268" s="7" t="s">
        <v>1692</v>
      </c>
      <c r="S268" s="13" t="s">
        <v>1611</v>
      </c>
      <c r="T268" s="6">
        <v>1</v>
      </c>
      <c r="U268" s="7" t="s">
        <v>1734</v>
      </c>
      <c r="V268" s="5"/>
      <c r="W268" s="7">
        <v>2</v>
      </c>
      <c r="X268" s="6" t="s">
        <v>3</v>
      </c>
      <c r="Y268" s="5"/>
      <c r="Z268" s="7">
        <v>0</v>
      </c>
      <c r="AA268" s="6" t="s">
        <v>1734</v>
      </c>
      <c r="AB268" s="5"/>
      <c r="AC268" s="6"/>
      <c r="AD268" s="6" t="s">
        <v>3</v>
      </c>
      <c r="AE268" s="5"/>
      <c r="AF268" s="6">
        <v>1</v>
      </c>
      <c r="AG268" s="6"/>
      <c r="AH268" s="5"/>
      <c r="AI268" s="6"/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44" t="str">
        <f t="shared" si="7"/>
        <v>ARTIST_LATE</v>
      </c>
      <c r="B269" s="9"/>
      <c r="C269" s="5"/>
      <c r="D269" s="5"/>
      <c r="E269" s="5" t="s">
        <v>1316</v>
      </c>
      <c r="F269" s="5" t="s">
        <v>1309</v>
      </c>
      <c r="G269" s="5"/>
      <c r="H269" s="5" t="s">
        <v>1471</v>
      </c>
      <c r="I269" s="5" t="s">
        <v>128</v>
      </c>
      <c r="J269" s="6">
        <v>0</v>
      </c>
      <c r="K269" s="6"/>
      <c r="L269" s="13" t="s">
        <v>1707</v>
      </c>
      <c r="M269" s="8"/>
      <c r="N269" s="5"/>
      <c r="O269" s="5"/>
      <c r="P269" s="5"/>
      <c r="Q269" s="7">
        <v>1</v>
      </c>
      <c r="R269" s="7">
        <v>0.1</v>
      </c>
      <c r="S269" s="13"/>
      <c r="T269" s="7"/>
      <c r="U269" s="7">
        <v>0.08</v>
      </c>
      <c r="V269" s="5"/>
      <c r="W269" s="7"/>
      <c r="X269" s="6" t="s">
        <v>3</v>
      </c>
      <c r="Y269" s="5"/>
      <c r="Z269" s="7"/>
      <c r="AA269" s="6"/>
      <c r="AB269" s="5"/>
      <c r="AC269" s="6"/>
      <c r="AD269" s="6" t="s">
        <v>3</v>
      </c>
      <c r="AE269" s="5"/>
      <c r="AF269" s="7"/>
      <c r="AG269" s="6"/>
      <c r="AH269" s="5"/>
      <c r="AI269" s="7"/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44" t="str">
        <f t="shared" si="7"/>
        <v>ATOMIC_BOMB</v>
      </c>
      <c r="B270" s="9" t="s">
        <v>747</v>
      </c>
      <c r="C270" s="5"/>
      <c r="D270" s="5"/>
      <c r="E270" s="5" t="s">
        <v>747</v>
      </c>
      <c r="F270" s="5" t="s">
        <v>790</v>
      </c>
      <c r="G270" s="5"/>
      <c r="H270" s="5" t="s">
        <v>1398</v>
      </c>
      <c r="I270" s="5" t="s">
        <v>128</v>
      </c>
      <c r="J270" s="6"/>
      <c r="K270" s="7"/>
      <c r="L270" s="13" t="s">
        <v>1708</v>
      </c>
      <c r="M270" s="8">
        <v>1.5</v>
      </c>
      <c r="N270" s="13" t="s">
        <v>1722</v>
      </c>
      <c r="O270" s="13"/>
      <c r="P270" s="13"/>
      <c r="Q270" s="7">
        <v>1</v>
      </c>
      <c r="R270" s="6">
        <v>7.0000000000000007E-2</v>
      </c>
      <c r="S270" s="5"/>
      <c r="T270" s="7">
        <v>1</v>
      </c>
      <c r="U270" s="7" t="s">
        <v>1734</v>
      </c>
      <c r="V270" s="5"/>
      <c r="W270" s="7"/>
      <c r="X270" s="6" t="s">
        <v>3</v>
      </c>
      <c r="Y270" s="5"/>
      <c r="Z270" s="7"/>
      <c r="AA270" s="6"/>
      <c r="AB270" s="5"/>
      <c r="AC270" s="6"/>
      <c r="AD270" s="6" t="s">
        <v>3</v>
      </c>
      <c r="AE270" s="5"/>
      <c r="AF270" s="7"/>
      <c r="AG270" s="6"/>
      <c r="AH270" s="5"/>
      <c r="AI270" s="7"/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44" t="str">
        <f>CONCATENATE(E271,IF(ISBLANK(C271),"",CONCATENATE("_",C271)))</f>
        <v>BARBARIAN_ARCHER</v>
      </c>
      <c r="B271" s="9"/>
      <c r="C271" s="5"/>
      <c r="D271" s="5"/>
      <c r="E271" s="5" t="s">
        <v>1304</v>
      </c>
      <c r="F271" s="5" t="s">
        <v>1304</v>
      </c>
      <c r="G271" s="5" t="s">
        <v>2071</v>
      </c>
      <c r="H271" s="5" t="s">
        <v>1399</v>
      </c>
      <c r="I271" s="5" t="s">
        <v>128</v>
      </c>
      <c r="J271" s="6"/>
      <c r="K271" s="6"/>
      <c r="L271" s="13" t="s">
        <v>1705</v>
      </c>
      <c r="M271" s="8"/>
      <c r="N271" s="5"/>
      <c r="O271" s="5"/>
      <c r="P271" s="5"/>
      <c r="Q271" s="6">
        <v>0</v>
      </c>
      <c r="R271" s="6" t="s">
        <v>1734</v>
      </c>
      <c r="S271" s="13" t="s">
        <v>46</v>
      </c>
      <c r="T271" s="6">
        <v>0</v>
      </c>
      <c r="U271" s="6" t="s">
        <v>1734</v>
      </c>
      <c r="V271" s="5"/>
      <c r="W271" s="6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>
        <v>0</v>
      </c>
      <c r="AM271" s="6"/>
      <c r="AN271" s="6"/>
      <c r="AO271" s="6">
        <v>0</v>
      </c>
      <c r="AP271" s="6"/>
      <c r="AQ271" s="6"/>
    </row>
    <row r="272" spans="1:43" s="2" customFormat="1" x14ac:dyDescent="0.25">
      <c r="A272" s="44" t="str">
        <f t="shared" si="7"/>
        <v>BARBARIAN_ARCHER</v>
      </c>
      <c r="B272" s="9" t="s">
        <v>1304</v>
      </c>
      <c r="C272" s="5"/>
      <c r="D272" s="5"/>
      <c r="E272" s="5" t="s">
        <v>1304</v>
      </c>
      <c r="F272" s="5" t="s">
        <v>1304</v>
      </c>
      <c r="G272" s="5"/>
      <c r="H272" s="5" t="s">
        <v>1399</v>
      </c>
      <c r="I272" s="5" t="s">
        <v>128</v>
      </c>
      <c r="J272" s="6"/>
      <c r="K272" s="6"/>
      <c r="L272" s="13" t="s">
        <v>1705</v>
      </c>
      <c r="M272" s="8"/>
      <c r="N272" s="5"/>
      <c r="O272" s="5"/>
      <c r="P272" s="5"/>
      <c r="Q272" s="6">
        <v>3</v>
      </c>
      <c r="R272" s="6" t="s">
        <v>1734</v>
      </c>
      <c r="S272" s="13" t="s">
        <v>46</v>
      </c>
      <c r="T272" s="6">
        <v>5</v>
      </c>
      <c r="U272" s="6" t="s">
        <v>1734</v>
      </c>
      <c r="V272" s="5"/>
      <c r="W272" s="6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44" t="str">
        <f t="shared" si="7"/>
        <v>BARBARIAN_ARCHER</v>
      </c>
      <c r="B273" s="9" t="s">
        <v>1304</v>
      </c>
      <c r="C273" s="5"/>
      <c r="D273" s="5"/>
      <c r="E273" s="5" t="s">
        <v>1304</v>
      </c>
      <c r="F273" s="5" t="s">
        <v>1304</v>
      </c>
      <c r="G273" s="5" t="s">
        <v>2039</v>
      </c>
      <c r="H273" s="5" t="s">
        <v>1400</v>
      </c>
      <c r="I273" s="5" t="s">
        <v>128</v>
      </c>
      <c r="J273" s="6"/>
      <c r="K273" s="6"/>
      <c r="L273" s="13" t="s">
        <v>1705</v>
      </c>
      <c r="M273" s="8"/>
      <c r="N273" s="5"/>
      <c r="O273" s="5"/>
      <c r="P273" s="5"/>
      <c r="Q273" s="6">
        <v>6</v>
      </c>
      <c r="R273" s="6" t="s">
        <v>1734</v>
      </c>
      <c r="S273" s="13" t="s">
        <v>46</v>
      </c>
      <c r="T273" s="6">
        <v>7</v>
      </c>
      <c r="U273" s="6" t="s">
        <v>1734</v>
      </c>
      <c r="V273" s="5"/>
      <c r="W273" s="6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44" t="str">
        <f t="shared" si="7"/>
        <v>BARBARIAN_ARCHER</v>
      </c>
      <c r="B274" s="9" t="s">
        <v>1304</v>
      </c>
      <c r="C274" s="5"/>
      <c r="D274" s="5"/>
      <c r="E274" s="5" t="s">
        <v>1304</v>
      </c>
      <c r="F274" s="5" t="s">
        <v>1304</v>
      </c>
      <c r="G274" s="5" t="s">
        <v>2041</v>
      </c>
      <c r="H274" s="5" t="s">
        <v>1401</v>
      </c>
      <c r="I274" s="5" t="s">
        <v>128</v>
      </c>
      <c r="J274" s="6"/>
      <c r="K274" s="6"/>
      <c r="L274" s="13" t="s">
        <v>1705</v>
      </c>
      <c r="M274" s="8"/>
      <c r="N274" s="5"/>
      <c r="O274" s="5"/>
      <c r="P274" s="5"/>
      <c r="Q274" s="6">
        <v>3</v>
      </c>
      <c r="R274" s="6" t="s">
        <v>1734</v>
      </c>
      <c r="S274" s="13" t="s">
        <v>46</v>
      </c>
      <c r="T274" s="6">
        <v>6</v>
      </c>
      <c r="U274" s="15" t="s">
        <v>1734</v>
      </c>
      <c r="V274" s="5"/>
      <c r="W274" s="6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6"/>
      <c r="AM274" s="6"/>
      <c r="AN274" s="6"/>
      <c r="AO274" s="6"/>
      <c r="AP274" s="6"/>
      <c r="AQ274" s="6"/>
    </row>
    <row r="275" spans="1:43" s="2" customFormat="1" x14ac:dyDescent="0.25">
      <c r="A275" s="44" t="str">
        <f t="shared" si="7"/>
        <v>BARBARIAN_ARCHER</v>
      </c>
      <c r="B275" s="9" t="s">
        <v>1304</v>
      </c>
      <c r="C275" s="5"/>
      <c r="D275" s="5"/>
      <c r="E275" s="5" t="s">
        <v>1304</v>
      </c>
      <c r="F275" s="5" t="s">
        <v>1304</v>
      </c>
      <c r="G275" s="5"/>
      <c r="H275" s="5" t="s">
        <v>1399</v>
      </c>
      <c r="I275" s="5" t="s">
        <v>128</v>
      </c>
      <c r="J275" s="6"/>
      <c r="K275" s="6"/>
      <c r="L275" s="13" t="s">
        <v>1705</v>
      </c>
      <c r="M275" s="8"/>
      <c r="N275" s="5"/>
      <c r="O275" s="5"/>
      <c r="P275" s="5"/>
      <c r="Q275" s="6">
        <v>0</v>
      </c>
      <c r="R275" s="6" t="s">
        <v>1734</v>
      </c>
      <c r="S275" s="13" t="s">
        <v>46</v>
      </c>
      <c r="T275" s="6">
        <v>0</v>
      </c>
      <c r="U275" s="6" t="s">
        <v>1734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/>
      <c r="AM275" s="6"/>
      <c r="AN275" s="6"/>
      <c r="AO275" s="6"/>
      <c r="AP275" s="6"/>
      <c r="AQ275" s="6"/>
    </row>
    <row r="276" spans="1:43" s="2" customFormat="1" x14ac:dyDescent="0.25">
      <c r="A276" s="44" t="str">
        <f t="shared" si="7"/>
        <v>BARBARIAN_ARCHER</v>
      </c>
      <c r="B276" s="9" t="s">
        <v>1304</v>
      </c>
      <c r="C276" s="5"/>
      <c r="D276" s="5"/>
      <c r="E276" s="5" t="s">
        <v>1304</v>
      </c>
      <c r="F276" s="5" t="s">
        <v>1304</v>
      </c>
      <c r="G276" s="5" t="s">
        <v>2039</v>
      </c>
      <c r="H276" s="5" t="s">
        <v>1400</v>
      </c>
      <c r="I276" s="5" t="s">
        <v>128</v>
      </c>
      <c r="J276" s="6"/>
      <c r="K276" s="6"/>
      <c r="L276" s="13" t="s">
        <v>1705</v>
      </c>
      <c r="M276" s="8"/>
      <c r="N276" s="5"/>
      <c r="O276" s="5"/>
      <c r="P276" s="5"/>
      <c r="Q276" s="6">
        <v>0</v>
      </c>
      <c r="R276" s="6" t="s">
        <v>1734</v>
      </c>
      <c r="S276" s="13" t="s">
        <v>46</v>
      </c>
      <c r="T276" s="6">
        <v>0</v>
      </c>
      <c r="U276" s="6" t="s">
        <v>1734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/>
      <c r="AM276" s="6"/>
      <c r="AN276" s="6"/>
      <c r="AO276" s="6"/>
      <c r="AP276" s="6"/>
      <c r="AQ276" s="6"/>
    </row>
    <row r="277" spans="1:43" s="2" customFormat="1" x14ac:dyDescent="0.25">
      <c r="A277" s="44" t="str">
        <f t="shared" si="7"/>
        <v>BARBARIAN_ARCHER</v>
      </c>
      <c r="B277" s="9" t="s">
        <v>1304</v>
      </c>
      <c r="C277" s="5"/>
      <c r="D277" s="5"/>
      <c r="E277" s="5" t="s">
        <v>1304</v>
      </c>
      <c r="F277" s="5" t="s">
        <v>1304</v>
      </c>
      <c r="G277" s="5" t="s">
        <v>2041</v>
      </c>
      <c r="H277" s="5" t="s">
        <v>1401</v>
      </c>
      <c r="I277" s="5" t="s">
        <v>128</v>
      </c>
      <c r="J277" s="6"/>
      <c r="K277" s="6"/>
      <c r="L277" s="13" t="s">
        <v>1705</v>
      </c>
      <c r="M277" s="8"/>
      <c r="N277" s="5"/>
      <c r="O277" s="5"/>
      <c r="P277" s="5"/>
      <c r="Q277" s="6">
        <v>0</v>
      </c>
      <c r="R277" s="6" t="s">
        <v>1734</v>
      </c>
      <c r="S277" s="13" t="s">
        <v>46</v>
      </c>
      <c r="T277" s="6">
        <v>0</v>
      </c>
      <c r="U277" s="15" t="s">
        <v>1734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44" t="str">
        <f>CONCATENATE(E278,IF(ISBLANK(C278),"",CONCATENATE("_",C278)))</f>
        <v>BARBARIAN_EURO</v>
      </c>
      <c r="B278" s="9"/>
      <c r="C278" s="5"/>
      <c r="D278" s="5"/>
      <c r="E278" s="5" t="s">
        <v>2531</v>
      </c>
      <c r="F278" s="5" t="s">
        <v>2531</v>
      </c>
      <c r="G278" s="5" t="s">
        <v>2532</v>
      </c>
      <c r="H278" s="5" t="s">
        <v>1402</v>
      </c>
      <c r="I278" s="5" t="s">
        <v>128</v>
      </c>
      <c r="J278" s="6"/>
      <c r="K278" s="6"/>
      <c r="L278" s="13" t="s">
        <v>1715</v>
      </c>
      <c r="M278" s="8"/>
      <c r="N278" s="5"/>
      <c r="O278" s="5"/>
      <c r="P278" s="5"/>
      <c r="Q278" s="6">
        <v>0</v>
      </c>
      <c r="R278" s="6" t="s">
        <v>1734</v>
      </c>
      <c r="S278" s="13" t="s">
        <v>46</v>
      </c>
      <c r="T278" s="6">
        <v>0</v>
      </c>
      <c r="U278" s="7" t="s">
        <v>1734</v>
      </c>
      <c r="V278" s="5"/>
      <c r="W278" s="7">
        <v>0</v>
      </c>
      <c r="X278" s="6" t="s">
        <v>3</v>
      </c>
      <c r="Y278" s="5"/>
      <c r="Z278" s="7">
        <v>0</v>
      </c>
      <c r="AA278" s="6"/>
      <c r="AB278" s="5"/>
      <c r="AC278" s="6">
        <v>0</v>
      </c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6">
        <v>0</v>
      </c>
      <c r="AM278" s="6"/>
      <c r="AN278" s="6"/>
      <c r="AO278" s="6">
        <v>0</v>
      </c>
      <c r="AP278" s="6"/>
      <c r="AQ278" s="6"/>
    </row>
    <row r="279" spans="1:43" s="2" customFormat="1" x14ac:dyDescent="0.25">
      <c r="A279" s="44" t="str">
        <f>CONCATENATE(E279,IF(ISBLANK(C279),"",CONCATENATE("_",C279)))</f>
        <v>BARBARIAN_EURO</v>
      </c>
      <c r="B279" s="9"/>
      <c r="C279" s="5"/>
      <c r="D279" s="5"/>
      <c r="E279" s="5" t="s">
        <v>2531</v>
      </c>
      <c r="F279" s="5" t="s">
        <v>2531</v>
      </c>
      <c r="G279" s="5" t="s">
        <v>2533</v>
      </c>
      <c r="H279" s="5" t="s">
        <v>1403</v>
      </c>
      <c r="I279" s="5" t="s">
        <v>128</v>
      </c>
      <c r="J279" s="6"/>
      <c r="K279" s="6"/>
      <c r="L279" s="13" t="s">
        <v>1715</v>
      </c>
      <c r="M279" s="8"/>
      <c r="N279" s="5"/>
      <c r="O279" s="5"/>
      <c r="P279" s="5"/>
      <c r="Q279" s="6">
        <v>0</v>
      </c>
      <c r="R279" s="6" t="s">
        <v>1734</v>
      </c>
      <c r="S279" s="13" t="s">
        <v>46</v>
      </c>
      <c r="T279" s="6">
        <v>0</v>
      </c>
      <c r="U279" s="7" t="s">
        <v>1734</v>
      </c>
      <c r="V279" s="5"/>
      <c r="W279" s="7">
        <v>0</v>
      </c>
      <c r="X279" s="6" t="s">
        <v>3</v>
      </c>
      <c r="Y279" s="5"/>
      <c r="Z279" s="7">
        <v>0</v>
      </c>
      <c r="AA279" s="6"/>
      <c r="AB279" s="5"/>
      <c r="AC279" s="6">
        <v>0</v>
      </c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6">
        <v>0</v>
      </c>
      <c r="AM279" s="6"/>
      <c r="AN279" s="6"/>
      <c r="AO279" s="6">
        <v>0</v>
      </c>
      <c r="AP279" s="6"/>
      <c r="AQ279" s="6"/>
    </row>
    <row r="280" spans="1:43" s="2" customFormat="1" x14ac:dyDescent="0.25">
      <c r="A280" s="44" t="str">
        <f>CONCATENATE(E280,IF(ISBLANK(C280),"",CONCATENATE("_",C280)))</f>
        <v>BARBARIAN_EURO</v>
      </c>
      <c r="B280" s="9"/>
      <c r="C280" s="5"/>
      <c r="D280" s="5"/>
      <c r="E280" s="5" t="s">
        <v>2531</v>
      </c>
      <c r="F280" s="5" t="s">
        <v>2531</v>
      </c>
      <c r="G280" s="5" t="s">
        <v>2534</v>
      </c>
      <c r="H280" s="5" t="s">
        <v>1402</v>
      </c>
      <c r="I280" s="5" t="s">
        <v>128</v>
      </c>
      <c r="J280" s="6"/>
      <c r="K280" s="6"/>
      <c r="L280" s="13" t="s">
        <v>1715</v>
      </c>
      <c r="M280" s="8"/>
      <c r="N280" s="5"/>
      <c r="O280" s="5"/>
      <c r="P280" s="5"/>
      <c r="Q280" s="6">
        <v>0</v>
      </c>
      <c r="R280" s="6" t="s">
        <v>1734</v>
      </c>
      <c r="S280" s="13" t="s">
        <v>46</v>
      </c>
      <c r="T280" s="6">
        <v>0</v>
      </c>
      <c r="U280" s="7" t="s">
        <v>1734</v>
      </c>
      <c r="V280" s="5"/>
      <c r="W280" s="7">
        <v>0</v>
      </c>
      <c r="X280" s="6" t="s">
        <v>3</v>
      </c>
      <c r="Y280" s="5"/>
      <c r="Z280" s="7">
        <v>0</v>
      </c>
      <c r="AA280" s="6"/>
      <c r="AB280" s="5"/>
      <c r="AC280" s="6">
        <v>0</v>
      </c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>
        <v>0</v>
      </c>
      <c r="AM280" s="6"/>
      <c r="AN280" s="6"/>
      <c r="AO280" s="6">
        <v>0</v>
      </c>
      <c r="AP280" s="6"/>
      <c r="AQ280" s="6"/>
    </row>
    <row r="281" spans="1:43" s="2" customFormat="1" x14ac:dyDescent="0.25">
      <c r="A281" s="44" t="str">
        <f t="shared" si="7"/>
        <v>BARBARIAN_BRUTE_ED</v>
      </c>
      <c r="B281" s="9" t="s">
        <v>2279</v>
      </c>
      <c r="C281" s="5"/>
      <c r="D281" s="5"/>
      <c r="E281" s="5" t="s">
        <v>2712</v>
      </c>
      <c r="F281" s="5" t="s">
        <v>2712</v>
      </c>
      <c r="G281" s="5"/>
      <c r="H281" s="5" t="s">
        <v>1404</v>
      </c>
      <c r="I281" s="5" t="s">
        <v>128</v>
      </c>
      <c r="J281" s="6"/>
      <c r="K281" s="6"/>
      <c r="L281" s="13" t="s">
        <v>1715</v>
      </c>
      <c r="M281" s="8"/>
      <c r="N281" s="5"/>
      <c r="O281" s="5"/>
      <c r="P281" s="5"/>
      <c r="Q281" s="6">
        <v>2</v>
      </c>
      <c r="R281" s="6" t="s">
        <v>1734</v>
      </c>
      <c r="S281" s="13" t="s">
        <v>46</v>
      </c>
      <c r="T281" s="6">
        <v>5</v>
      </c>
      <c r="U281" s="7" t="s">
        <v>1734</v>
      </c>
      <c r="V281" s="5"/>
      <c r="W281" s="7">
        <v>5</v>
      </c>
      <c r="X281" s="6" t="s">
        <v>3</v>
      </c>
      <c r="Y281" s="5"/>
      <c r="Z281" s="7">
        <v>1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44" t="str">
        <f t="shared" si="7"/>
        <v>BARBARIAN_BRUTE_ED</v>
      </c>
      <c r="B282" s="9" t="s">
        <v>2279</v>
      </c>
      <c r="C282" s="5"/>
      <c r="D282" s="5"/>
      <c r="E282" s="5" t="s">
        <v>2712</v>
      </c>
      <c r="F282" s="5" t="s">
        <v>2712</v>
      </c>
      <c r="G282" s="5" t="s">
        <v>2039</v>
      </c>
      <c r="H282" s="5" t="s">
        <v>1403</v>
      </c>
      <c r="I282" s="5" t="s">
        <v>128</v>
      </c>
      <c r="J282" s="6"/>
      <c r="K282" s="6"/>
      <c r="L282" s="13" t="s">
        <v>1715</v>
      </c>
      <c r="M282" s="8"/>
      <c r="N282" s="5"/>
      <c r="O282" s="5"/>
      <c r="P282" s="5"/>
      <c r="Q282" s="6">
        <v>4</v>
      </c>
      <c r="R282" s="6" t="s">
        <v>1734</v>
      </c>
      <c r="S282" s="13" t="s">
        <v>46</v>
      </c>
      <c r="T282" s="6">
        <v>7</v>
      </c>
      <c r="U282" s="7" t="s">
        <v>1734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3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44" t="str">
        <f t="shared" si="7"/>
        <v>BARBARIAN_BRUTE_ED</v>
      </c>
      <c r="B283" s="9" t="s">
        <v>2279</v>
      </c>
      <c r="C283" s="5"/>
      <c r="D283" s="5"/>
      <c r="E283" s="5" t="s">
        <v>2712</v>
      </c>
      <c r="F283" s="5" t="s">
        <v>2712</v>
      </c>
      <c r="G283" s="5" t="s">
        <v>2041</v>
      </c>
      <c r="H283" s="5" t="s">
        <v>1404</v>
      </c>
      <c r="I283" s="5" t="s">
        <v>128</v>
      </c>
      <c r="J283" s="6"/>
      <c r="K283" s="6"/>
      <c r="L283" s="13" t="s">
        <v>1715</v>
      </c>
      <c r="M283" s="8"/>
      <c r="N283" s="5"/>
      <c r="O283" s="5"/>
      <c r="P283" s="5"/>
      <c r="Q283" s="6">
        <v>4</v>
      </c>
      <c r="R283" s="6" t="s">
        <v>1734</v>
      </c>
      <c r="S283" s="13" t="s">
        <v>46</v>
      </c>
      <c r="T283" s="6">
        <v>6</v>
      </c>
      <c r="U283" s="7" t="s">
        <v>1734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2</v>
      </c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44" t="str">
        <f>CONCATENATE(E284,IF(ISBLANK(C284),"",CONCATENATE("_",C284)))</f>
        <v>BARBARIAN_BRUTE_ED</v>
      </c>
      <c r="B284" s="9" t="s">
        <v>2279</v>
      </c>
      <c r="C284" s="5"/>
      <c r="D284" s="5"/>
      <c r="E284" s="5" t="s">
        <v>2712</v>
      </c>
      <c r="F284" s="5" t="s">
        <v>2712</v>
      </c>
      <c r="G284" s="5"/>
      <c r="H284" s="5" t="s">
        <v>1402</v>
      </c>
      <c r="I284" s="5" t="s">
        <v>128</v>
      </c>
      <c r="J284" s="6"/>
      <c r="K284" s="6"/>
      <c r="L284" s="13" t="s">
        <v>1715</v>
      </c>
      <c r="M284" s="8"/>
      <c r="N284" s="5"/>
      <c r="O284" s="5"/>
      <c r="P284" s="5"/>
      <c r="Q284" s="6">
        <v>0</v>
      </c>
      <c r="R284" s="6" t="s">
        <v>1734</v>
      </c>
      <c r="S284" s="13" t="s">
        <v>46</v>
      </c>
      <c r="T284" s="6">
        <v>0</v>
      </c>
      <c r="U284" s="7" t="s">
        <v>1734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44" t="str">
        <f>CONCATENATE(E285,IF(ISBLANK(C285),"",CONCATENATE("_",C285)))</f>
        <v>BARBARIAN_BRUTE_ED</v>
      </c>
      <c r="B285" s="9" t="s">
        <v>2279</v>
      </c>
      <c r="C285" s="5"/>
      <c r="D285" s="5"/>
      <c r="E285" s="5" t="s">
        <v>2712</v>
      </c>
      <c r="F285" s="5" t="s">
        <v>2712</v>
      </c>
      <c r="G285" s="5" t="s">
        <v>2039</v>
      </c>
      <c r="H285" s="5" t="s">
        <v>1403</v>
      </c>
      <c r="I285" s="5" t="s">
        <v>128</v>
      </c>
      <c r="J285" s="6"/>
      <c r="K285" s="6"/>
      <c r="L285" s="13" t="s">
        <v>1715</v>
      </c>
      <c r="M285" s="8"/>
      <c r="N285" s="5"/>
      <c r="O285" s="5"/>
      <c r="P285" s="5"/>
      <c r="Q285" s="6">
        <v>0</v>
      </c>
      <c r="R285" s="6" t="s">
        <v>1734</v>
      </c>
      <c r="S285" s="13" t="s">
        <v>46</v>
      </c>
      <c r="T285" s="6">
        <v>0</v>
      </c>
      <c r="U285" s="7" t="s">
        <v>1734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44" t="str">
        <f>CONCATENATE(E286,IF(ISBLANK(C286),"",CONCATENATE("_",C286)))</f>
        <v>BARBARIAN_BRUTE_ED</v>
      </c>
      <c r="B286" s="9" t="s">
        <v>2279</v>
      </c>
      <c r="C286" s="5"/>
      <c r="D286" s="5"/>
      <c r="E286" s="5" t="s">
        <v>2712</v>
      </c>
      <c r="F286" s="5" t="s">
        <v>2712</v>
      </c>
      <c r="G286" s="5" t="s">
        <v>2041</v>
      </c>
      <c r="H286" s="5" t="s">
        <v>1404</v>
      </c>
      <c r="I286" s="5" t="s">
        <v>128</v>
      </c>
      <c r="J286" s="6"/>
      <c r="K286" s="6"/>
      <c r="L286" s="13" t="s">
        <v>1715</v>
      </c>
      <c r="M286" s="8"/>
      <c r="N286" s="5"/>
      <c r="O286" s="5"/>
      <c r="P286" s="5"/>
      <c r="Q286" s="6">
        <v>0</v>
      </c>
      <c r="R286" s="6" t="s">
        <v>1734</v>
      </c>
      <c r="S286" s="13" t="s">
        <v>46</v>
      </c>
      <c r="T286" s="6">
        <v>0</v>
      </c>
      <c r="U286" s="7" t="s">
        <v>1734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44" t="str">
        <f t="shared" si="7"/>
        <v>BARBARIAN_GALLEY</v>
      </c>
      <c r="B287" s="9" t="s">
        <v>784</v>
      </c>
      <c r="C287" s="5"/>
      <c r="D287" s="5"/>
      <c r="E287" s="5" t="s">
        <v>1305</v>
      </c>
      <c r="F287" s="5" t="s">
        <v>1305</v>
      </c>
      <c r="G287" s="5"/>
      <c r="H287" s="5" t="s">
        <v>1405</v>
      </c>
      <c r="I287" s="5" t="s">
        <v>128</v>
      </c>
      <c r="J287" s="6"/>
      <c r="K287" s="7"/>
      <c r="L287" s="13" t="s">
        <v>1709</v>
      </c>
      <c r="M287" s="8"/>
      <c r="N287" s="13" t="s">
        <v>1724</v>
      </c>
      <c r="O287" s="13"/>
      <c r="P287" s="13"/>
      <c r="Q287" s="7">
        <v>1</v>
      </c>
      <c r="R287" s="6">
        <v>0.09</v>
      </c>
      <c r="S287" s="13"/>
      <c r="T287" s="7">
        <v>3</v>
      </c>
      <c r="U287" s="6">
        <v>0.06</v>
      </c>
      <c r="V287" s="5" t="s">
        <v>1693</v>
      </c>
      <c r="W287" s="6"/>
      <c r="X287" s="6"/>
      <c r="Y287" s="5"/>
      <c r="Z287" s="6"/>
      <c r="AA287" s="6"/>
      <c r="AB287" s="5"/>
      <c r="AC287" s="6"/>
      <c r="AD287" s="6"/>
      <c r="AE287" s="5"/>
      <c r="AF287" s="6"/>
      <c r="AG287" s="6"/>
      <c r="AH287" s="5"/>
      <c r="AI287" s="6"/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44" t="str">
        <f t="shared" si="7"/>
        <v>BARBARIAN_SPEARMAN</v>
      </c>
      <c r="B288" s="9" t="s">
        <v>1306</v>
      </c>
      <c r="C288" s="5"/>
      <c r="D288" s="5"/>
      <c r="E288" s="5" t="s">
        <v>1306</v>
      </c>
      <c r="F288" s="5" t="s">
        <v>1306</v>
      </c>
      <c r="G288" s="5"/>
      <c r="H288" s="5" t="s">
        <v>1406</v>
      </c>
      <c r="I288" s="5" t="s">
        <v>128</v>
      </c>
      <c r="J288" s="6"/>
      <c r="K288" s="6"/>
      <c r="L288" s="13" t="s">
        <v>1705</v>
      </c>
      <c r="M288" s="8"/>
      <c r="N288" s="5"/>
      <c r="O288" s="5"/>
      <c r="P288" s="5"/>
      <c r="Q288" s="6">
        <v>4</v>
      </c>
      <c r="R288" s="6" t="s">
        <v>1734</v>
      </c>
      <c r="S288" s="13" t="s">
        <v>46</v>
      </c>
      <c r="T288" s="6">
        <v>6</v>
      </c>
      <c r="U288" s="7" t="s">
        <v>1734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44" t="str">
        <f t="shared" si="7"/>
        <v>BARBARIAN_SPEARMAN</v>
      </c>
      <c r="B289" s="9" t="s">
        <v>1306</v>
      </c>
      <c r="C289" s="5"/>
      <c r="D289" s="5"/>
      <c r="E289" s="5" t="s">
        <v>1306</v>
      </c>
      <c r="F289" s="5" t="s">
        <v>1306</v>
      </c>
      <c r="G289" s="5" t="s">
        <v>2039</v>
      </c>
      <c r="H289" s="5" t="s">
        <v>1407</v>
      </c>
      <c r="I289" s="5" t="s">
        <v>128</v>
      </c>
      <c r="J289" s="6"/>
      <c r="K289" s="6"/>
      <c r="L289" s="13" t="s">
        <v>1705</v>
      </c>
      <c r="M289" s="8"/>
      <c r="N289" s="5"/>
      <c r="O289" s="5"/>
      <c r="P289" s="5"/>
      <c r="Q289" s="6">
        <v>5</v>
      </c>
      <c r="R289" s="6" t="s">
        <v>1734</v>
      </c>
      <c r="S289" s="13" t="s">
        <v>46</v>
      </c>
      <c r="T289" s="6">
        <v>7</v>
      </c>
      <c r="U289" s="7" t="s">
        <v>1734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44" t="str">
        <f t="shared" si="7"/>
        <v>BARBARIAN_SPEARMAN</v>
      </c>
      <c r="B290" s="9" t="s">
        <v>1306</v>
      </c>
      <c r="C290" s="5"/>
      <c r="D290" s="5"/>
      <c r="E290" s="5" t="s">
        <v>1306</v>
      </c>
      <c r="F290" s="5" t="s">
        <v>1306</v>
      </c>
      <c r="G290" s="5" t="s">
        <v>2041</v>
      </c>
      <c r="H290" s="5" t="s">
        <v>1408</v>
      </c>
      <c r="I290" s="5" t="s">
        <v>128</v>
      </c>
      <c r="J290" s="6"/>
      <c r="K290" s="6"/>
      <c r="L290" s="13" t="s">
        <v>1705</v>
      </c>
      <c r="M290" s="8"/>
      <c r="N290" s="5"/>
      <c r="O290" s="5"/>
      <c r="P290" s="5"/>
      <c r="Q290" s="6">
        <v>3</v>
      </c>
      <c r="R290" s="6" t="s">
        <v>1734</v>
      </c>
      <c r="S290" s="13" t="s">
        <v>46</v>
      </c>
      <c r="T290" s="6">
        <v>5</v>
      </c>
      <c r="U290" s="7" t="s">
        <v>1734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44" t="str">
        <f t="shared" si="7"/>
        <v>BARBARIAN_SPEARMAN</v>
      </c>
      <c r="B291" s="9" t="s">
        <v>1306</v>
      </c>
      <c r="C291" s="5"/>
      <c r="D291" s="5"/>
      <c r="E291" s="5" t="s">
        <v>1306</v>
      </c>
      <c r="F291" s="5" t="s">
        <v>1306</v>
      </c>
      <c r="G291" s="5"/>
      <c r="H291" s="5" t="s">
        <v>1406</v>
      </c>
      <c r="I291" s="5" t="s">
        <v>128</v>
      </c>
      <c r="J291" s="6"/>
      <c r="K291" s="6"/>
      <c r="L291" s="13" t="s">
        <v>1705</v>
      </c>
      <c r="M291" s="8"/>
      <c r="N291" s="5"/>
      <c r="O291" s="5"/>
      <c r="P291" s="5"/>
      <c r="Q291" s="6">
        <v>0</v>
      </c>
      <c r="R291" s="6" t="s">
        <v>1734</v>
      </c>
      <c r="S291" s="13" t="s">
        <v>46</v>
      </c>
      <c r="T291" s="6">
        <v>0</v>
      </c>
      <c r="U291" s="7" t="s">
        <v>1734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44" t="str">
        <f t="shared" si="7"/>
        <v>BARBARIAN_SPEARMAN</v>
      </c>
      <c r="B292" s="9" t="s">
        <v>1306</v>
      </c>
      <c r="C292" s="5"/>
      <c r="D292" s="5"/>
      <c r="E292" s="5" t="s">
        <v>1306</v>
      </c>
      <c r="F292" s="5" t="s">
        <v>1306</v>
      </c>
      <c r="G292" s="5" t="s">
        <v>2039</v>
      </c>
      <c r="H292" s="5" t="s">
        <v>1407</v>
      </c>
      <c r="I292" s="5" t="s">
        <v>128</v>
      </c>
      <c r="J292" s="6"/>
      <c r="K292" s="6"/>
      <c r="L292" s="13" t="s">
        <v>1705</v>
      </c>
      <c r="M292" s="8"/>
      <c r="N292" s="5"/>
      <c r="O292" s="5"/>
      <c r="P292" s="5"/>
      <c r="Q292" s="6">
        <v>0</v>
      </c>
      <c r="R292" s="6" t="s">
        <v>1734</v>
      </c>
      <c r="S292" s="13" t="s">
        <v>46</v>
      </c>
      <c r="T292" s="6">
        <v>0</v>
      </c>
      <c r="U292" s="7" t="s">
        <v>1734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44" t="str">
        <f t="shared" si="7"/>
        <v>BARBARIAN_SPEARMAN</v>
      </c>
      <c r="B293" s="9" t="s">
        <v>1306</v>
      </c>
      <c r="C293" s="5"/>
      <c r="D293" s="5"/>
      <c r="E293" s="5" t="s">
        <v>1306</v>
      </c>
      <c r="F293" s="5" t="s">
        <v>1306</v>
      </c>
      <c r="G293" s="5" t="s">
        <v>2041</v>
      </c>
      <c r="H293" s="5" t="s">
        <v>1408</v>
      </c>
      <c r="I293" s="5" t="s">
        <v>128</v>
      </c>
      <c r="J293" s="6"/>
      <c r="K293" s="6"/>
      <c r="L293" s="13" t="s">
        <v>1705</v>
      </c>
      <c r="M293" s="8"/>
      <c r="N293" s="5"/>
      <c r="O293" s="5"/>
      <c r="P293" s="5"/>
      <c r="Q293" s="6">
        <v>0</v>
      </c>
      <c r="R293" s="6" t="s">
        <v>1734</v>
      </c>
      <c r="S293" s="13" t="s">
        <v>46</v>
      </c>
      <c r="T293" s="6">
        <v>0</v>
      </c>
      <c r="U293" s="7" t="s">
        <v>1734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44" t="str">
        <f t="shared" si="7"/>
        <v>BARBARIAN_SWORDSMAN</v>
      </c>
      <c r="B294" s="9" t="s">
        <v>1307</v>
      </c>
      <c r="C294" s="5"/>
      <c r="D294" s="5"/>
      <c r="E294" s="5" t="s">
        <v>1307</v>
      </c>
      <c r="F294" s="5" t="s">
        <v>1307</v>
      </c>
      <c r="G294" s="5"/>
      <c r="H294" s="5" t="s">
        <v>1409</v>
      </c>
      <c r="I294" s="5" t="s">
        <v>128</v>
      </c>
      <c r="J294" s="6"/>
      <c r="K294" s="6"/>
      <c r="L294" s="13" t="s">
        <v>1715</v>
      </c>
      <c r="M294" s="8"/>
      <c r="N294" s="5"/>
      <c r="O294" s="5"/>
      <c r="P294" s="5"/>
      <c r="Q294" s="6">
        <v>3</v>
      </c>
      <c r="R294" s="6" t="s">
        <v>1692</v>
      </c>
      <c r="S294" s="13" t="s">
        <v>46</v>
      </c>
      <c r="T294" s="6">
        <v>6</v>
      </c>
      <c r="U294" s="7" t="s">
        <v>1734</v>
      </c>
      <c r="V294" s="5"/>
      <c r="W294" s="7">
        <v>5</v>
      </c>
      <c r="X294" s="6" t="s">
        <v>3</v>
      </c>
      <c r="Y294" s="5"/>
      <c r="Z294" s="7">
        <v>1</v>
      </c>
      <c r="AA294" s="6" t="s">
        <v>1734</v>
      </c>
      <c r="AB294" s="5"/>
      <c r="AC294" s="6"/>
      <c r="AD294" s="6" t="s">
        <v>3</v>
      </c>
      <c r="AE294" s="5"/>
      <c r="AF294" s="6">
        <v>1</v>
      </c>
      <c r="AG294" s="6"/>
      <c r="AH294" s="5"/>
      <c r="AI294" s="6">
        <v>2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44" t="str">
        <f t="shared" si="7"/>
        <v>BARBARIAN_SWORDSMAN</v>
      </c>
      <c r="B295" s="9" t="s">
        <v>1307</v>
      </c>
      <c r="C295" s="5"/>
      <c r="D295" s="5"/>
      <c r="E295" s="5" t="s">
        <v>1307</v>
      </c>
      <c r="F295" s="5" t="s">
        <v>1307</v>
      </c>
      <c r="G295" s="5" t="s">
        <v>2039</v>
      </c>
      <c r="H295" s="5" t="s">
        <v>1410</v>
      </c>
      <c r="I295" s="5" t="s">
        <v>128</v>
      </c>
      <c r="J295" s="6"/>
      <c r="K295" s="6"/>
      <c r="L295" s="13" t="s">
        <v>1715</v>
      </c>
      <c r="M295" s="8"/>
      <c r="N295" s="5"/>
      <c r="O295" s="5"/>
      <c r="P295" s="5"/>
      <c r="Q295" s="6">
        <v>6</v>
      </c>
      <c r="R295" s="6" t="s">
        <v>1692</v>
      </c>
      <c r="S295" s="13" t="s">
        <v>46</v>
      </c>
      <c r="T295" s="6">
        <v>7</v>
      </c>
      <c r="U295" s="7" t="s">
        <v>1734</v>
      </c>
      <c r="V295" s="5"/>
      <c r="W295" s="7">
        <v>5</v>
      </c>
      <c r="X295" s="6" t="s">
        <v>3</v>
      </c>
      <c r="Y295" s="5"/>
      <c r="Z295" s="7">
        <v>0</v>
      </c>
      <c r="AA295" s="6" t="s">
        <v>1734</v>
      </c>
      <c r="AB295" s="5"/>
      <c r="AC295" s="6"/>
      <c r="AD295" s="6" t="s">
        <v>3</v>
      </c>
      <c r="AE295" s="5"/>
      <c r="AF295" s="6">
        <v>1</v>
      </c>
      <c r="AG295" s="6"/>
      <c r="AH295" s="5"/>
      <c r="AI295" s="6">
        <v>3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44" t="str">
        <f t="shared" si="7"/>
        <v>BARBARIAN_SWORDSMAN</v>
      </c>
      <c r="B296" s="9" t="s">
        <v>1307</v>
      </c>
      <c r="C296" s="5"/>
      <c r="D296" s="5"/>
      <c r="E296" s="5" t="s">
        <v>1307</v>
      </c>
      <c r="F296" s="5" t="s">
        <v>1307</v>
      </c>
      <c r="G296" s="5" t="s">
        <v>2041</v>
      </c>
      <c r="H296" s="5" t="s">
        <v>1411</v>
      </c>
      <c r="I296" s="5" t="s">
        <v>128</v>
      </c>
      <c r="J296" s="6"/>
      <c r="K296" s="6"/>
      <c r="L296" s="13" t="s">
        <v>1715</v>
      </c>
      <c r="M296" s="8"/>
      <c r="N296" s="5"/>
      <c r="O296" s="5"/>
      <c r="P296" s="5"/>
      <c r="Q296" s="6">
        <v>3</v>
      </c>
      <c r="R296" s="6" t="s">
        <v>1692</v>
      </c>
      <c r="S296" s="13" t="s">
        <v>46</v>
      </c>
      <c r="T296" s="6">
        <v>5</v>
      </c>
      <c r="U296" s="7" t="s">
        <v>1734</v>
      </c>
      <c r="V296" s="5"/>
      <c r="W296" s="7">
        <v>5</v>
      </c>
      <c r="X296" s="6" t="s">
        <v>3</v>
      </c>
      <c r="Y296" s="5"/>
      <c r="Z296" s="7">
        <v>0</v>
      </c>
      <c r="AA296" s="6" t="s">
        <v>1734</v>
      </c>
      <c r="AB296" s="5"/>
      <c r="AC296" s="6"/>
      <c r="AD296" s="6" t="s">
        <v>3</v>
      </c>
      <c r="AE296" s="5"/>
      <c r="AF296" s="6">
        <v>1</v>
      </c>
      <c r="AG296" s="6"/>
      <c r="AH296" s="5"/>
      <c r="AI296" s="6">
        <v>2</v>
      </c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44" t="str">
        <f t="shared" si="7"/>
        <v>BARBARIAN_SWORDSMAN</v>
      </c>
      <c r="B297" s="9" t="s">
        <v>1307</v>
      </c>
      <c r="C297" s="5"/>
      <c r="D297" s="5"/>
      <c r="E297" s="5" t="s">
        <v>1307</v>
      </c>
      <c r="F297" s="5" t="s">
        <v>1307</v>
      </c>
      <c r="G297" s="5"/>
      <c r="H297" s="5" t="s">
        <v>1409</v>
      </c>
      <c r="I297" s="5" t="s">
        <v>128</v>
      </c>
      <c r="J297" s="6"/>
      <c r="K297" s="6"/>
      <c r="L297" s="13" t="s">
        <v>1715</v>
      </c>
      <c r="M297" s="8"/>
      <c r="N297" s="5"/>
      <c r="O297" s="5"/>
      <c r="P297" s="5"/>
      <c r="Q297" s="6">
        <v>0</v>
      </c>
      <c r="R297" s="6" t="s">
        <v>1692</v>
      </c>
      <c r="S297" s="13" t="s">
        <v>46</v>
      </c>
      <c r="T297" s="6">
        <v>0</v>
      </c>
      <c r="U297" s="7" t="s">
        <v>1734</v>
      </c>
      <c r="V297" s="5"/>
      <c r="W297" s="7">
        <v>5</v>
      </c>
      <c r="X297" s="6" t="s">
        <v>3</v>
      </c>
      <c r="Y297" s="5"/>
      <c r="Z297" s="7">
        <v>0</v>
      </c>
      <c r="AA297" s="6" t="s">
        <v>1734</v>
      </c>
      <c r="AB297" s="5"/>
      <c r="AC297" s="6"/>
      <c r="AD297" s="6" t="s">
        <v>3</v>
      </c>
      <c r="AE297" s="5"/>
      <c r="AF297" s="6">
        <v>0</v>
      </c>
      <c r="AG297" s="6"/>
      <c r="AH297" s="5"/>
      <c r="AI297" s="6">
        <v>0</v>
      </c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44" t="str">
        <f t="shared" ref="A298:A423" si="8">CONCATENATE(E298,IF(ISBLANK(C298),"",CONCATENATE("_",C298)))</f>
        <v>BARBARIAN_SWORDSMAN</v>
      </c>
      <c r="B298" s="9" t="s">
        <v>1307</v>
      </c>
      <c r="C298" s="5"/>
      <c r="D298" s="5"/>
      <c r="E298" s="5" t="s">
        <v>1307</v>
      </c>
      <c r="F298" s="5" t="s">
        <v>1307</v>
      </c>
      <c r="G298" s="5" t="s">
        <v>2039</v>
      </c>
      <c r="H298" s="5" t="s">
        <v>1410</v>
      </c>
      <c r="I298" s="5" t="s">
        <v>128</v>
      </c>
      <c r="J298" s="6"/>
      <c r="K298" s="6"/>
      <c r="L298" s="13" t="s">
        <v>1715</v>
      </c>
      <c r="M298" s="8"/>
      <c r="N298" s="5"/>
      <c r="O298" s="5"/>
      <c r="P298" s="5"/>
      <c r="Q298" s="6">
        <v>0</v>
      </c>
      <c r="R298" s="6" t="s">
        <v>1692</v>
      </c>
      <c r="S298" s="13" t="s">
        <v>46</v>
      </c>
      <c r="T298" s="6">
        <v>0</v>
      </c>
      <c r="U298" s="7" t="s">
        <v>1734</v>
      </c>
      <c r="V298" s="5"/>
      <c r="W298" s="7">
        <v>5</v>
      </c>
      <c r="X298" s="6" t="s">
        <v>3</v>
      </c>
      <c r="Y298" s="5"/>
      <c r="Z298" s="7">
        <v>0</v>
      </c>
      <c r="AA298" s="6" t="s">
        <v>1734</v>
      </c>
      <c r="AB298" s="5"/>
      <c r="AC298" s="6"/>
      <c r="AD298" s="6" t="s">
        <v>3</v>
      </c>
      <c r="AE298" s="5"/>
      <c r="AF298" s="6">
        <v>0</v>
      </c>
      <c r="AG298" s="6"/>
      <c r="AH298" s="5"/>
      <c r="AI298" s="6">
        <v>0</v>
      </c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44" t="str">
        <f t="shared" si="8"/>
        <v>BARBARIAN_SWORDSMAN</v>
      </c>
      <c r="B299" s="9" t="s">
        <v>1307</v>
      </c>
      <c r="C299" s="5"/>
      <c r="D299" s="5"/>
      <c r="E299" s="5" t="s">
        <v>1307</v>
      </c>
      <c r="F299" s="5" t="s">
        <v>1307</v>
      </c>
      <c r="G299" s="5" t="s">
        <v>2041</v>
      </c>
      <c r="H299" s="5" t="s">
        <v>1411</v>
      </c>
      <c r="I299" s="5" t="s">
        <v>128</v>
      </c>
      <c r="J299" s="6"/>
      <c r="K299" s="6"/>
      <c r="L299" s="13" t="s">
        <v>1715</v>
      </c>
      <c r="M299" s="8"/>
      <c r="N299" s="5"/>
      <c r="O299" s="5"/>
      <c r="P299" s="5"/>
      <c r="Q299" s="6">
        <v>0</v>
      </c>
      <c r="R299" s="6" t="s">
        <v>1692</v>
      </c>
      <c r="S299" s="13" t="s">
        <v>46</v>
      </c>
      <c r="T299" s="6">
        <v>0</v>
      </c>
      <c r="U299" s="7" t="s">
        <v>1734</v>
      </c>
      <c r="V299" s="5"/>
      <c r="W299" s="7">
        <v>5</v>
      </c>
      <c r="X299" s="6" t="s">
        <v>3</v>
      </c>
      <c r="Y299" s="5"/>
      <c r="Z299" s="7">
        <v>0</v>
      </c>
      <c r="AA299" s="6" t="s">
        <v>1734</v>
      </c>
      <c r="AB299" s="5"/>
      <c r="AC299" s="6"/>
      <c r="AD299" s="6" t="s">
        <v>3</v>
      </c>
      <c r="AE299" s="5"/>
      <c r="AF299" s="6">
        <v>0</v>
      </c>
      <c r="AG299" s="6"/>
      <c r="AH299" s="5"/>
      <c r="AI299" s="6">
        <v>0</v>
      </c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44" t="str">
        <f t="shared" si="8"/>
        <v>BATTLESHIP</v>
      </c>
      <c r="B300" s="9" t="s">
        <v>126</v>
      </c>
      <c r="C300" s="5"/>
      <c r="D300" s="5"/>
      <c r="E300" s="5" t="s">
        <v>126</v>
      </c>
      <c r="F300" s="5" t="s">
        <v>126</v>
      </c>
      <c r="G300" s="5"/>
      <c r="H300" s="5" t="s">
        <v>1496</v>
      </c>
      <c r="I300" s="5" t="s">
        <v>102</v>
      </c>
      <c r="J300" s="6"/>
      <c r="K300" s="7"/>
      <c r="L300" s="13" t="s">
        <v>1710</v>
      </c>
      <c r="M300" s="8"/>
      <c r="N300" s="13" t="s">
        <v>1724</v>
      </c>
      <c r="O300" s="13"/>
      <c r="P300" s="13"/>
      <c r="Q300" s="7">
        <v>1</v>
      </c>
      <c r="R300" s="6">
        <v>0.09</v>
      </c>
      <c r="S300" s="5"/>
      <c r="T300" s="6"/>
      <c r="U300" s="6">
        <v>0.105</v>
      </c>
      <c r="V300" s="5"/>
      <c r="W300" s="6"/>
      <c r="X300" s="6"/>
      <c r="Y300" s="5"/>
      <c r="Z300" s="6"/>
      <c r="AA300" s="6"/>
      <c r="AB300" s="5"/>
      <c r="AC300" s="6"/>
      <c r="AD300" s="6"/>
      <c r="AE300" s="5"/>
      <c r="AF300" s="6"/>
      <c r="AG300" s="6"/>
      <c r="AH300" s="5"/>
      <c r="AI300" s="6"/>
      <c r="AJ300" s="6"/>
      <c r="AK300" s="5"/>
      <c r="AL300" s="6"/>
      <c r="AM300" s="6"/>
      <c r="AN300" s="6"/>
      <c r="AO300" s="6"/>
      <c r="AP300" s="6"/>
      <c r="AQ300" s="6"/>
    </row>
    <row r="301" spans="1:43" s="2" customFormat="1" x14ac:dyDescent="0.25">
      <c r="A301" s="44" t="str">
        <f t="shared" si="8"/>
        <v>BATTLESHIP_ZULU</v>
      </c>
      <c r="B301" s="9" t="s">
        <v>126</v>
      </c>
      <c r="C301" s="5" t="s">
        <v>742</v>
      </c>
      <c r="D301" s="5" t="s">
        <v>713</v>
      </c>
      <c r="E301" s="5" t="s">
        <v>126</v>
      </c>
      <c r="F301" s="5" t="s">
        <v>126</v>
      </c>
      <c r="G301" s="5"/>
      <c r="H301" s="5"/>
      <c r="I301" s="5"/>
      <c r="J301" s="6"/>
      <c r="K301" s="7"/>
      <c r="L301" s="13"/>
      <c r="M301" s="8"/>
      <c r="N301" s="13"/>
      <c r="O301" s="13"/>
      <c r="P301" s="13"/>
      <c r="Q301" s="7"/>
      <c r="R301" s="6"/>
      <c r="S301" s="5"/>
      <c r="T301" s="6"/>
      <c r="U301" s="6"/>
      <c r="V301" s="5"/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6"/>
      <c r="AM301" s="6"/>
      <c r="AN301" s="6"/>
      <c r="AO301" s="6"/>
      <c r="AP301" s="6"/>
      <c r="AQ301" s="6"/>
    </row>
    <row r="302" spans="1:43" s="2" customFormat="1" x14ac:dyDescent="0.25">
      <c r="A302" s="44" t="str">
        <f t="shared" si="8"/>
        <v>BATTLESHIP_AMER</v>
      </c>
      <c r="B302" s="9" t="s">
        <v>126</v>
      </c>
      <c r="C302" s="5" t="s">
        <v>697</v>
      </c>
      <c r="D302" s="5" t="s">
        <v>699</v>
      </c>
      <c r="E302" s="5" t="s">
        <v>126</v>
      </c>
      <c r="F302" s="5" t="s">
        <v>126</v>
      </c>
      <c r="G302" s="5"/>
      <c r="H302" s="5"/>
      <c r="I302" s="5"/>
      <c r="J302" s="6"/>
      <c r="K302" s="7"/>
      <c r="L302" s="13"/>
      <c r="M302" s="8"/>
      <c r="N302" s="13"/>
      <c r="O302" s="13"/>
      <c r="P302" s="13"/>
      <c r="Q302" s="7"/>
      <c r="R302" s="6"/>
      <c r="S302" s="5"/>
      <c r="T302" s="6"/>
      <c r="U302" s="6"/>
      <c r="V302" s="5"/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6"/>
      <c r="AM302" s="6"/>
      <c r="AN302" s="6"/>
      <c r="AO302" s="6"/>
      <c r="AP302" s="6"/>
      <c r="AQ302" s="6"/>
    </row>
    <row r="303" spans="1:43" s="2" customFormat="1" x14ac:dyDescent="0.25">
      <c r="A303" s="44" t="str">
        <f t="shared" si="8"/>
        <v>BATTLESHIP_ASIA</v>
      </c>
      <c r="B303" s="9" t="s">
        <v>126</v>
      </c>
      <c r="C303" s="5" t="s">
        <v>693</v>
      </c>
      <c r="D303" s="5" t="s">
        <v>698</v>
      </c>
      <c r="E303" s="5" t="s">
        <v>126</v>
      </c>
      <c r="F303" s="5" t="s">
        <v>126</v>
      </c>
      <c r="G303" s="5"/>
      <c r="H303" s="5"/>
      <c r="I303" s="5"/>
      <c r="J303" s="6"/>
      <c r="K303" s="7"/>
      <c r="L303" s="13"/>
      <c r="M303" s="8"/>
      <c r="N303" s="13"/>
      <c r="O303" s="13"/>
      <c r="P303" s="13"/>
      <c r="Q303" s="7"/>
      <c r="R303" s="6"/>
      <c r="S303" s="5"/>
      <c r="T303" s="6"/>
      <c r="U303" s="6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6"/>
      <c r="AM303" s="6"/>
      <c r="AN303" s="6"/>
      <c r="AO303" s="6"/>
      <c r="AP303" s="6"/>
      <c r="AQ303" s="6"/>
    </row>
    <row r="304" spans="1:43" s="2" customFormat="1" x14ac:dyDescent="0.25">
      <c r="A304" s="44" t="str">
        <f t="shared" si="8"/>
        <v>BATTLESHIP_JAPAN</v>
      </c>
      <c r="B304" s="9" t="s">
        <v>126</v>
      </c>
      <c r="C304" s="4" t="s">
        <v>722</v>
      </c>
      <c r="D304" s="4"/>
      <c r="E304" s="4" t="s">
        <v>126</v>
      </c>
      <c r="F304" s="4" t="s">
        <v>126</v>
      </c>
      <c r="G304" s="14" t="s">
        <v>132</v>
      </c>
      <c r="H304" s="4" t="s">
        <v>474</v>
      </c>
      <c r="I304" s="4" t="s">
        <v>1065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44" t="str">
        <f t="shared" si="8"/>
        <v>BATTLESHIP_KOREA</v>
      </c>
      <c r="B305" s="9" t="s">
        <v>126</v>
      </c>
      <c r="C305" s="4" t="s">
        <v>723</v>
      </c>
      <c r="D305" s="4" t="s">
        <v>722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44" t="str">
        <f t="shared" si="8"/>
        <v>BATTLESHIP_EASTEU</v>
      </c>
      <c r="B306" s="9" t="s">
        <v>126</v>
      </c>
      <c r="C306" s="4" t="s">
        <v>698</v>
      </c>
      <c r="D306" s="4"/>
      <c r="E306" s="4" t="s">
        <v>126</v>
      </c>
      <c r="F306" s="4" t="s">
        <v>126</v>
      </c>
      <c r="G306" s="14" t="s">
        <v>132</v>
      </c>
      <c r="H306" s="4" t="s">
        <v>606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44" t="str">
        <f t="shared" si="8"/>
        <v>BATTLESHIP_RUSSIA</v>
      </c>
      <c r="B307" s="9" t="s">
        <v>126</v>
      </c>
      <c r="C307" s="4" t="s">
        <v>735</v>
      </c>
      <c r="D307" s="4" t="s">
        <v>698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44" t="str">
        <f t="shared" si="8"/>
        <v>BATTLESHIP_AMERICA</v>
      </c>
      <c r="B308" s="9" t="s">
        <v>126</v>
      </c>
      <c r="C308" s="4" t="s">
        <v>699</v>
      </c>
      <c r="D308" s="4"/>
      <c r="E308" s="4" t="s">
        <v>126</v>
      </c>
      <c r="F308" s="4" t="s">
        <v>126</v>
      </c>
      <c r="G308" s="14"/>
      <c r="H308" s="4" t="s">
        <v>133</v>
      </c>
      <c r="I308" s="4" t="s">
        <v>1048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44" t="str">
        <f t="shared" si="8"/>
        <v>BATTLESHIP_AUSTRALIA</v>
      </c>
      <c r="B309" s="9" t="s">
        <v>126</v>
      </c>
      <c r="C309" s="4" t="s">
        <v>1300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44" t="str">
        <f t="shared" si="8"/>
        <v>BATTLESHIP_CANADA</v>
      </c>
      <c r="B310" s="9" t="s">
        <v>126</v>
      </c>
      <c r="C310" s="4" t="s">
        <v>2187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44" t="str">
        <f t="shared" si="8"/>
        <v>BATTLESHIP_CELTS</v>
      </c>
      <c r="B311" s="9" t="s">
        <v>126</v>
      </c>
      <c r="C311" s="4" t="s">
        <v>709</v>
      </c>
      <c r="D311" s="4" t="s">
        <v>713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44" t="str">
        <f t="shared" si="8"/>
        <v>BATTLESHIP_ENGLAND</v>
      </c>
      <c r="B312" s="9" t="s">
        <v>126</v>
      </c>
      <c r="C312" s="4" t="s">
        <v>713</v>
      </c>
      <c r="D312" s="4"/>
      <c r="E312" s="4" t="s">
        <v>126</v>
      </c>
      <c r="F312" s="4" t="s">
        <v>126</v>
      </c>
      <c r="G312" s="14" t="s">
        <v>132</v>
      </c>
      <c r="H312" s="4" t="s">
        <v>291</v>
      </c>
      <c r="I312" s="4" t="s">
        <v>102</v>
      </c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44" t="str">
        <f t="shared" si="8"/>
        <v>BATTLESHIP_FRANCE</v>
      </c>
      <c r="B313" s="9" t="s">
        <v>126</v>
      </c>
      <c r="C313" s="4" t="s">
        <v>715</v>
      </c>
      <c r="D313" s="4"/>
      <c r="E313" s="4" t="s">
        <v>126</v>
      </c>
      <c r="F313" s="4" t="s">
        <v>126</v>
      </c>
      <c r="G313" s="14" t="s">
        <v>132</v>
      </c>
      <c r="H313" s="4" t="s">
        <v>335</v>
      </c>
      <c r="I313" s="4" t="s">
        <v>102</v>
      </c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44" t="str">
        <f t="shared" si="8"/>
        <v>BATTLESHIP_GERMANY</v>
      </c>
      <c r="B314" s="9" t="s">
        <v>126</v>
      </c>
      <c r="C314" s="4" t="s">
        <v>717</v>
      </c>
      <c r="D314" s="4"/>
      <c r="E314" s="4" t="s">
        <v>126</v>
      </c>
      <c r="F314" s="4" t="s">
        <v>126</v>
      </c>
      <c r="G314" s="14" t="s">
        <v>132</v>
      </c>
      <c r="H314" s="4" t="s">
        <v>366</v>
      </c>
      <c r="I314" s="4" t="s">
        <v>131</v>
      </c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44" t="str">
        <f t="shared" si="8"/>
        <v>BATTLESHIP_ROME</v>
      </c>
      <c r="B315" s="9" t="s">
        <v>126</v>
      </c>
      <c r="C315" s="4" t="s">
        <v>734</v>
      </c>
      <c r="D315" s="4"/>
      <c r="E315" s="4" t="s">
        <v>126</v>
      </c>
      <c r="F315" s="4" t="s">
        <v>126</v>
      </c>
      <c r="G315" s="14" t="s">
        <v>132</v>
      </c>
      <c r="H315" s="4" t="s">
        <v>582</v>
      </c>
      <c r="I315" s="4" t="s">
        <v>1048</v>
      </c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44" t="str">
        <f t="shared" si="8"/>
        <v>BATTLESHIP_NORTHAF</v>
      </c>
      <c r="B316" s="9" t="s">
        <v>126</v>
      </c>
      <c r="C316" s="4" t="s">
        <v>2003</v>
      </c>
      <c r="D316" s="4" t="s">
        <v>715</v>
      </c>
      <c r="E316" s="4" t="s">
        <v>126</v>
      </c>
      <c r="F316" s="4" t="s">
        <v>126</v>
      </c>
      <c r="G316" s="14"/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11"/>
      <c r="AM316" s="11"/>
      <c r="AN316" s="11"/>
      <c r="AO316" s="11"/>
      <c r="AP316" s="11"/>
      <c r="AQ316" s="11"/>
    </row>
    <row r="317" spans="1:43" s="2" customFormat="1" x14ac:dyDescent="0.25">
      <c r="A317" s="44" t="str">
        <f t="shared" si="8"/>
        <v>BATTLESHIP_OCEAN</v>
      </c>
      <c r="B317" s="9" t="s">
        <v>126</v>
      </c>
      <c r="C317" s="4" t="s">
        <v>994</v>
      </c>
      <c r="D317" s="4" t="s">
        <v>699</v>
      </c>
      <c r="E317" s="4" t="s">
        <v>126</v>
      </c>
      <c r="F317" s="4" t="s">
        <v>126</v>
      </c>
      <c r="G317" s="14"/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11"/>
      <c r="AM317" s="11"/>
      <c r="AN317" s="11"/>
      <c r="AO317" s="11"/>
      <c r="AP317" s="11"/>
      <c r="AQ317" s="11"/>
    </row>
    <row r="318" spans="1:43" s="2" customFormat="1" x14ac:dyDescent="0.25">
      <c r="A318" s="44" t="str">
        <f t="shared" si="8"/>
        <v>BATTLESHIP_SEASIA</v>
      </c>
      <c r="B318" s="9" t="s">
        <v>126</v>
      </c>
      <c r="C318" s="4" t="s">
        <v>696</v>
      </c>
      <c r="D318" s="4" t="s">
        <v>715</v>
      </c>
      <c r="E318" s="4" t="s">
        <v>126</v>
      </c>
      <c r="F318" s="4" t="s">
        <v>126</v>
      </c>
      <c r="G318" s="14"/>
      <c r="H318" s="4"/>
      <c r="I318" s="4"/>
      <c r="J318" s="11"/>
      <c r="K318" s="11"/>
      <c r="L318" s="4"/>
      <c r="M318" s="12"/>
      <c r="N318" s="4"/>
      <c r="O318" s="4"/>
      <c r="P318" s="4"/>
      <c r="Q318" s="11"/>
      <c r="R318" s="11"/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11"/>
      <c r="AM318" s="11"/>
      <c r="AN318" s="11"/>
      <c r="AO318" s="11"/>
      <c r="AP318" s="11"/>
      <c r="AQ318" s="11"/>
    </row>
    <row r="319" spans="1:43" s="2" customFormat="1" x14ac:dyDescent="0.25">
      <c r="A319" s="44" t="str">
        <f t="shared" si="8"/>
        <v>BATTLESHIP_SOUTHAS</v>
      </c>
      <c r="B319" s="9" t="s">
        <v>126</v>
      </c>
      <c r="C319" s="4" t="s">
        <v>695</v>
      </c>
      <c r="D319" s="4" t="s">
        <v>713</v>
      </c>
      <c r="E319" s="4" t="s">
        <v>126</v>
      </c>
      <c r="F319" s="4" t="s">
        <v>126</v>
      </c>
      <c r="G319" s="14"/>
      <c r="H319" s="4"/>
      <c r="I319" s="4"/>
      <c r="J319" s="11"/>
      <c r="K319" s="11"/>
      <c r="L319" s="4"/>
      <c r="M319" s="12"/>
      <c r="N319" s="4"/>
      <c r="O319" s="4"/>
      <c r="P319" s="4"/>
      <c r="Q319" s="11"/>
      <c r="R319" s="11"/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11"/>
      <c r="AM319" s="11"/>
      <c r="AN319" s="11"/>
      <c r="AO319" s="11"/>
      <c r="AP319" s="11"/>
      <c r="AQ319" s="11"/>
    </row>
    <row r="320" spans="1:43" s="2" customFormat="1" x14ac:dyDescent="0.25">
      <c r="A320" s="44" t="str">
        <f t="shared" si="8"/>
        <v>BAZOOKA_INFANTRY</v>
      </c>
      <c r="B320" s="9" t="s">
        <v>2280</v>
      </c>
      <c r="C320" s="5"/>
      <c r="D320" s="5"/>
      <c r="E320" s="5" t="s">
        <v>1110</v>
      </c>
      <c r="F320" s="5" t="s">
        <v>1110</v>
      </c>
      <c r="G320" s="5"/>
      <c r="H320" s="5" t="s">
        <v>1112</v>
      </c>
      <c r="I320" s="5" t="s">
        <v>128</v>
      </c>
      <c r="J320" s="6"/>
      <c r="K320" s="6"/>
      <c r="L320" s="13" t="s">
        <v>1705</v>
      </c>
      <c r="M320" s="8"/>
      <c r="N320" s="5"/>
      <c r="O320" s="5"/>
      <c r="P320" s="5"/>
      <c r="Q320" s="7">
        <v>3</v>
      </c>
      <c r="R320" s="6" t="s">
        <v>1692</v>
      </c>
      <c r="S320" s="13" t="s">
        <v>1608</v>
      </c>
      <c r="T320" s="6"/>
      <c r="U320" s="7" t="s">
        <v>1734</v>
      </c>
      <c r="V320" s="5"/>
      <c r="W320" s="6" t="s">
        <v>3</v>
      </c>
      <c r="X320" s="6" t="s">
        <v>3</v>
      </c>
      <c r="Y320" s="5"/>
      <c r="Z320" s="7">
        <v>1</v>
      </c>
      <c r="AA320" s="6"/>
      <c r="AB320" s="5"/>
      <c r="AC320" s="6"/>
      <c r="AD320" s="6" t="s">
        <v>3</v>
      </c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44" t="str">
        <f t="shared" si="8"/>
        <v>BOMBER</v>
      </c>
      <c r="B321" s="9" t="s">
        <v>118</v>
      </c>
      <c r="C321" s="5"/>
      <c r="D321" s="5"/>
      <c r="E321" s="5" t="s">
        <v>118</v>
      </c>
      <c r="F321" s="5" t="s">
        <v>118</v>
      </c>
      <c r="G321" s="5"/>
      <c r="H321" s="5" t="s">
        <v>40</v>
      </c>
      <c r="I321" s="5" t="s">
        <v>128</v>
      </c>
      <c r="J321" s="6"/>
      <c r="K321" s="7"/>
      <c r="L321" s="13" t="s">
        <v>1708</v>
      </c>
      <c r="M321" s="8">
        <v>1.7</v>
      </c>
      <c r="N321" s="13" t="s">
        <v>1722</v>
      </c>
      <c r="O321" s="13"/>
      <c r="P321" s="13"/>
      <c r="Q321" s="7">
        <v>1</v>
      </c>
      <c r="R321" s="6">
        <v>0.08</v>
      </c>
      <c r="S321" s="13" t="s">
        <v>1612</v>
      </c>
      <c r="T321" s="7">
        <v>3</v>
      </c>
      <c r="U321" s="7" t="s">
        <v>1734</v>
      </c>
      <c r="V321" s="5"/>
      <c r="W321" s="6" t="s">
        <v>3</v>
      </c>
      <c r="X321" s="6" t="s">
        <v>3</v>
      </c>
      <c r="Y321" s="5"/>
      <c r="Z321" s="6"/>
      <c r="AA321" s="6"/>
      <c r="AB321" s="5"/>
      <c r="AC321" s="6"/>
      <c r="AD321" s="6" t="s">
        <v>3</v>
      </c>
      <c r="AE321" s="5"/>
      <c r="AF321" s="6"/>
      <c r="AG321" s="6"/>
      <c r="AH321" s="5"/>
      <c r="AI321" s="6"/>
      <c r="AJ321" s="6"/>
      <c r="AK321" s="5"/>
      <c r="AL321" s="6"/>
      <c r="AM321" s="6"/>
      <c r="AN321" s="6"/>
      <c r="AO321" s="6"/>
      <c r="AP321" s="6"/>
      <c r="AQ321" s="6"/>
    </row>
    <row r="322" spans="1:43" s="2" customFormat="1" x14ac:dyDescent="0.25">
      <c r="A322" s="44" t="str">
        <f t="shared" si="8"/>
        <v>BOMBER_ZULU</v>
      </c>
      <c r="B322" s="9" t="s">
        <v>118</v>
      </c>
      <c r="C322" s="5" t="s">
        <v>742</v>
      </c>
      <c r="D322" s="5" t="s">
        <v>713</v>
      </c>
      <c r="E322" s="5" t="s">
        <v>118</v>
      </c>
      <c r="F322" s="5" t="s">
        <v>118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13"/>
      <c r="T322" s="7"/>
      <c r="U322" s="7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6"/>
      <c r="AM322" s="6"/>
      <c r="AN322" s="6"/>
      <c r="AO322" s="6"/>
      <c r="AP322" s="6"/>
      <c r="AQ322" s="6"/>
    </row>
    <row r="323" spans="1:43" s="2" customFormat="1" x14ac:dyDescent="0.25">
      <c r="A323" s="44" t="str">
        <f t="shared" si="8"/>
        <v>BOMBER_AMER</v>
      </c>
      <c r="B323" s="9" t="s">
        <v>118</v>
      </c>
      <c r="C323" s="5" t="s">
        <v>697</v>
      </c>
      <c r="D323" s="5" t="s">
        <v>699</v>
      </c>
      <c r="E323" s="5" t="s">
        <v>118</v>
      </c>
      <c r="F323" s="5" t="s">
        <v>118</v>
      </c>
      <c r="G323" s="5"/>
      <c r="H323" s="5"/>
      <c r="I323" s="5"/>
      <c r="J323" s="6"/>
      <c r="K323" s="7"/>
      <c r="L323" s="13"/>
      <c r="M323" s="8"/>
      <c r="N323" s="13"/>
      <c r="O323" s="13"/>
      <c r="P323" s="13"/>
      <c r="Q323" s="7"/>
      <c r="R323" s="6"/>
      <c r="S323" s="13"/>
      <c r="T323" s="7"/>
      <c r="U323" s="7"/>
      <c r="V323" s="5"/>
      <c r="W323" s="6"/>
      <c r="X323" s="6"/>
      <c r="Y323" s="5"/>
      <c r="Z323" s="6"/>
      <c r="AA323" s="6"/>
      <c r="AB323" s="5"/>
      <c r="AC323" s="6"/>
      <c r="AD323" s="6"/>
      <c r="AE323" s="5"/>
      <c r="AF323" s="6"/>
      <c r="AG323" s="6"/>
      <c r="AH323" s="5"/>
      <c r="AI323" s="6"/>
      <c r="AJ323" s="6"/>
      <c r="AK323" s="5"/>
      <c r="AL323" s="6"/>
      <c r="AM323" s="6"/>
      <c r="AN323" s="6"/>
      <c r="AO323" s="6"/>
      <c r="AP323" s="6"/>
      <c r="AQ323" s="6"/>
    </row>
    <row r="324" spans="1:43" s="2" customFormat="1" x14ac:dyDescent="0.25">
      <c r="A324" s="44" t="str">
        <f t="shared" si="8"/>
        <v>BOMBER_ASIA</v>
      </c>
      <c r="B324" s="9" t="s">
        <v>118</v>
      </c>
      <c r="C324" s="5" t="s">
        <v>693</v>
      </c>
      <c r="D324" s="5"/>
      <c r="E324" s="5" t="s">
        <v>118</v>
      </c>
      <c r="F324" s="5" t="s">
        <v>118</v>
      </c>
      <c r="G324" s="5"/>
      <c r="H324" s="4" t="s">
        <v>475</v>
      </c>
      <c r="I324" s="5" t="s">
        <v>102</v>
      </c>
      <c r="J324" s="11"/>
      <c r="K324" s="7"/>
      <c r="L324" s="13"/>
      <c r="M324" s="8"/>
      <c r="N324" s="13"/>
      <c r="O324" s="13"/>
      <c r="P324" s="13"/>
      <c r="Q324" s="7"/>
      <c r="R324" s="6">
        <v>8.2000000000000003E-2</v>
      </c>
      <c r="S324" s="13"/>
      <c r="T324" s="7"/>
      <c r="U324" s="7"/>
      <c r="V324" s="5"/>
      <c r="W324" s="6"/>
      <c r="X324" s="6"/>
      <c r="Y324" s="5"/>
      <c r="Z324" s="6"/>
      <c r="AA324" s="6"/>
      <c r="AB324" s="5"/>
      <c r="AC324" s="6"/>
      <c r="AD324" s="6"/>
      <c r="AE324" s="5"/>
      <c r="AF324" s="6"/>
      <c r="AG324" s="6"/>
      <c r="AH324" s="5"/>
      <c r="AI324" s="6"/>
      <c r="AJ324" s="6"/>
      <c r="AK324" s="5"/>
      <c r="AL324" s="6"/>
      <c r="AM324" s="6"/>
      <c r="AN324" s="6"/>
      <c r="AO324" s="6"/>
      <c r="AP324" s="6"/>
      <c r="AQ324" s="6"/>
    </row>
    <row r="325" spans="1:43" s="2" customFormat="1" x14ac:dyDescent="0.25">
      <c r="A325" s="44" t="str">
        <f t="shared" si="8"/>
        <v>BOMBER_CHINA</v>
      </c>
      <c r="B325" s="9" t="s">
        <v>118</v>
      </c>
      <c r="C325" s="4" t="s">
        <v>710</v>
      </c>
      <c r="D325" s="4"/>
      <c r="E325" s="4" t="s">
        <v>118</v>
      </c>
      <c r="F325" s="4" t="s">
        <v>118</v>
      </c>
      <c r="G325" s="14" t="s">
        <v>132</v>
      </c>
      <c r="H325" s="4" t="s">
        <v>243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44" t="str">
        <f t="shared" si="8"/>
        <v>BOMBER_JAPAN</v>
      </c>
      <c r="B326" s="9" t="s">
        <v>118</v>
      </c>
      <c r="C326" s="4" t="s">
        <v>722</v>
      </c>
      <c r="D326" s="4" t="s">
        <v>693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44" t="str">
        <f t="shared" si="8"/>
        <v>BOMBER_EASTEU</v>
      </c>
      <c r="B327" s="9" t="s">
        <v>118</v>
      </c>
      <c r="C327" s="4" t="s">
        <v>698</v>
      </c>
      <c r="D327" s="4"/>
      <c r="E327" s="4" t="s">
        <v>118</v>
      </c>
      <c r="F327" s="4" t="s">
        <v>118</v>
      </c>
      <c r="G327" s="14"/>
      <c r="H327" s="4" t="s">
        <v>607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7.6999999999999999E-2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44" t="str">
        <f t="shared" si="8"/>
        <v>BOMBER_HUNS</v>
      </c>
      <c r="B328" s="9" t="s">
        <v>118</v>
      </c>
      <c r="C328" s="4" t="s">
        <v>904</v>
      </c>
      <c r="D328" s="4"/>
      <c r="E328" s="4" t="s">
        <v>118</v>
      </c>
      <c r="F328" s="4" t="s">
        <v>118</v>
      </c>
      <c r="G328" s="4"/>
      <c r="H328" s="4" t="s">
        <v>905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8.5000000000000006E-2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44" t="str">
        <f t="shared" si="8"/>
        <v>BOMBER_POLAND</v>
      </c>
      <c r="B329" s="9" t="s">
        <v>118</v>
      </c>
      <c r="C329" s="4" t="s">
        <v>732</v>
      </c>
      <c r="D329" s="4"/>
      <c r="E329" s="4" t="s">
        <v>118</v>
      </c>
      <c r="F329" s="4" t="s">
        <v>118</v>
      </c>
      <c r="G329" s="14" t="s">
        <v>132</v>
      </c>
      <c r="H329" s="4" t="s">
        <v>567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44" t="str">
        <f t="shared" si="8"/>
        <v>BOMBER_RUSSIA</v>
      </c>
      <c r="B330" s="9" t="s">
        <v>118</v>
      </c>
      <c r="C330" s="4" t="s">
        <v>735</v>
      </c>
      <c r="D330" s="4" t="s">
        <v>698</v>
      </c>
      <c r="E330" s="4" t="s">
        <v>118</v>
      </c>
      <c r="F330" s="4" t="s">
        <v>118</v>
      </c>
      <c r="G330" s="14" t="s">
        <v>132</v>
      </c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44" t="str">
        <f t="shared" si="8"/>
        <v>BOMBER_AMERICA</v>
      </c>
      <c r="B331" s="9" t="s">
        <v>118</v>
      </c>
      <c r="C331" s="4" t="s">
        <v>699</v>
      </c>
      <c r="D331" s="4"/>
      <c r="E331" s="4" t="s">
        <v>118</v>
      </c>
      <c r="F331" s="4" t="s">
        <v>118</v>
      </c>
      <c r="G331" s="14"/>
      <c r="H331" s="4" t="s">
        <v>134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8.7999999999999995E-2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44" t="str">
        <f t="shared" si="8"/>
        <v>BOMBER_AUSTRALIA</v>
      </c>
      <c r="B332" s="9" t="s">
        <v>118</v>
      </c>
      <c r="C332" s="4" t="s">
        <v>1300</v>
      </c>
      <c r="D332" s="4" t="s">
        <v>713</v>
      </c>
      <c r="E332" s="4" t="s">
        <v>118</v>
      </c>
      <c r="F332" s="4" t="s">
        <v>118</v>
      </c>
      <c r="G332" s="14"/>
      <c r="H332" s="4"/>
      <c r="I332" s="4"/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44" t="str">
        <f t="shared" si="8"/>
        <v>BOMBER_AUSTRIA</v>
      </c>
      <c r="B333" s="9" t="s">
        <v>118</v>
      </c>
      <c r="C333" s="4" t="s">
        <v>701</v>
      </c>
      <c r="D333" s="4"/>
      <c r="E333" s="4" t="s">
        <v>118</v>
      </c>
      <c r="F333" s="4" t="s">
        <v>118</v>
      </c>
      <c r="G333" s="14"/>
      <c r="H333" s="4" t="s">
        <v>177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8.5000000000000006E-2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44" t="str">
        <f t="shared" si="8"/>
        <v>BOMBER_CANADA</v>
      </c>
      <c r="B334" s="9" t="s">
        <v>118</v>
      </c>
      <c r="C334" s="4" t="s">
        <v>2187</v>
      </c>
      <c r="D334" s="4" t="s">
        <v>713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44" t="str">
        <f t="shared" si="8"/>
        <v>BOMBER_CELTS</v>
      </c>
      <c r="B335" s="9" t="s">
        <v>118</v>
      </c>
      <c r="C335" s="4" t="s">
        <v>709</v>
      </c>
      <c r="D335" s="4" t="s">
        <v>713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44" t="str">
        <f t="shared" si="8"/>
        <v>BOMBER_ENGLAND</v>
      </c>
      <c r="B336" s="9" t="s">
        <v>118</v>
      </c>
      <c r="C336" s="4" t="s">
        <v>713</v>
      </c>
      <c r="D336" s="4"/>
      <c r="E336" s="4" t="s">
        <v>118</v>
      </c>
      <c r="F336" s="4" t="s">
        <v>118</v>
      </c>
      <c r="G336" s="14" t="s">
        <v>132</v>
      </c>
      <c r="H336" s="4" t="s">
        <v>292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44" t="str">
        <f t="shared" si="8"/>
        <v>BOMBER_FRANCE</v>
      </c>
      <c r="B337" s="9" t="s">
        <v>118</v>
      </c>
      <c r="C337" s="4" t="s">
        <v>715</v>
      </c>
      <c r="D337" s="4"/>
      <c r="E337" s="4" t="s">
        <v>118</v>
      </c>
      <c r="F337" s="4" t="s">
        <v>118</v>
      </c>
      <c r="G337" s="14" t="s">
        <v>132</v>
      </c>
      <c r="H337" s="4" t="s">
        <v>336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44" t="str">
        <f t="shared" si="8"/>
        <v>BOMBER_GERMANY</v>
      </c>
      <c r="B338" s="9" t="s">
        <v>118</v>
      </c>
      <c r="C338" s="4" t="s">
        <v>717</v>
      </c>
      <c r="D338" s="4"/>
      <c r="E338" s="4" t="s">
        <v>118</v>
      </c>
      <c r="F338" s="4" t="s">
        <v>118</v>
      </c>
      <c r="G338" s="14" t="s">
        <v>132</v>
      </c>
      <c r="H338" s="4" t="s">
        <v>367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44" t="str">
        <f t="shared" si="8"/>
        <v>BOMBER_NETHERLANDS</v>
      </c>
      <c r="B339" s="9" t="s">
        <v>118</v>
      </c>
      <c r="C339" s="4" t="s">
        <v>730</v>
      </c>
      <c r="D339" s="4"/>
      <c r="E339" s="4" t="s">
        <v>118</v>
      </c>
      <c r="F339" s="4" t="s">
        <v>118</v>
      </c>
      <c r="G339" s="14" t="s">
        <v>132</v>
      </c>
      <c r="H339" s="4" t="s">
        <v>538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44" t="str">
        <f t="shared" si="8"/>
        <v>BOMBER_GREECE</v>
      </c>
      <c r="B340" s="9" t="s">
        <v>118</v>
      </c>
      <c r="C340" s="4" t="s">
        <v>718</v>
      </c>
      <c r="D340" s="4"/>
      <c r="E340" s="4" t="s">
        <v>118</v>
      </c>
      <c r="F340" s="4" t="s">
        <v>118</v>
      </c>
      <c r="G340" s="14" t="s">
        <v>132</v>
      </c>
      <c r="H340" s="4" t="s">
        <v>398</v>
      </c>
      <c r="I340" s="4" t="s">
        <v>102</v>
      </c>
      <c r="J340" s="11"/>
      <c r="K340" s="11"/>
      <c r="L340" s="4"/>
      <c r="M340" s="12"/>
      <c r="N340" s="4"/>
      <c r="O340" s="4"/>
      <c r="P340" s="4"/>
      <c r="Q340" s="11"/>
      <c r="R340" s="11">
        <v>8.5000000000000006E-2</v>
      </c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44" t="str">
        <f t="shared" si="8"/>
        <v>BOMBER_ROME</v>
      </c>
      <c r="B341" s="9" t="s">
        <v>118</v>
      </c>
      <c r="C341" s="4" t="s">
        <v>734</v>
      </c>
      <c r="D341" s="4"/>
      <c r="E341" s="4" t="s">
        <v>118</v>
      </c>
      <c r="F341" s="4" t="s">
        <v>118</v>
      </c>
      <c r="G341" s="14" t="s">
        <v>132</v>
      </c>
      <c r="H341" s="4" t="s">
        <v>1073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44" t="str">
        <f t="shared" si="8"/>
        <v>BOMBER_SPAIN</v>
      </c>
      <c r="B342" s="9" t="s">
        <v>118</v>
      </c>
      <c r="C342" s="4" t="s">
        <v>738</v>
      </c>
      <c r="D342" s="4"/>
      <c r="E342" s="4" t="s">
        <v>118</v>
      </c>
      <c r="F342" s="4" t="s">
        <v>118</v>
      </c>
      <c r="G342" s="14" t="s">
        <v>132</v>
      </c>
      <c r="H342" s="4" t="s">
        <v>648</v>
      </c>
      <c r="I342" s="4" t="s">
        <v>102</v>
      </c>
      <c r="J342" s="11"/>
      <c r="K342" s="11"/>
      <c r="L342" s="4"/>
      <c r="M342" s="12"/>
      <c r="N342" s="4"/>
      <c r="O342" s="4"/>
      <c r="P342" s="4"/>
      <c r="Q342" s="11"/>
      <c r="R342" s="11">
        <v>8.3000000000000004E-2</v>
      </c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44" t="str">
        <f t="shared" si="8"/>
        <v>BOMBER_EGYPT</v>
      </c>
      <c r="B343" s="9" t="s">
        <v>118</v>
      </c>
      <c r="C343" s="4" t="s">
        <v>712</v>
      </c>
      <c r="D343" s="4"/>
      <c r="E343" s="4" t="s">
        <v>118</v>
      </c>
      <c r="F343" s="4" t="s">
        <v>118</v>
      </c>
      <c r="G343" s="14" t="s">
        <v>132</v>
      </c>
      <c r="H343" s="4" t="s">
        <v>275</v>
      </c>
      <c r="I343" s="4" t="s">
        <v>102</v>
      </c>
      <c r="J343" s="11"/>
      <c r="K343" s="11"/>
      <c r="L343" s="4"/>
      <c r="M343" s="12"/>
      <c r="N343" s="4"/>
      <c r="O343" s="4"/>
      <c r="P343" s="4"/>
      <c r="Q343" s="11"/>
      <c r="R343" s="11">
        <v>8.2000000000000003E-2</v>
      </c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44" t="str">
        <f>CONCATENATE(E344,IF(ISBLANK(C344),"",CONCATENATE("_",C344)))</f>
        <v>BOMBER_NORTHAF</v>
      </c>
      <c r="B344" s="9" t="s">
        <v>118</v>
      </c>
      <c r="C344" s="4" t="s">
        <v>2003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44" t="str">
        <f t="shared" si="8"/>
        <v>BOMBER_SWEDEN</v>
      </c>
      <c r="B345" s="9" t="s">
        <v>118</v>
      </c>
      <c r="C345" s="4" t="s">
        <v>739</v>
      </c>
      <c r="D345" s="4"/>
      <c r="E345" s="4" t="s">
        <v>118</v>
      </c>
      <c r="F345" s="4" t="s">
        <v>118</v>
      </c>
      <c r="G345" s="14" t="s">
        <v>132</v>
      </c>
      <c r="H345" s="4" t="s">
        <v>667</v>
      </c>
      <c r="I345" s="4" t="s">
        <v>102</v>
      </c>
      <c r="J345" s="11"/>
      <c r="K345" s="11"/>
      <c r="L345" s="4"/>
      <c r="M345" s="12"/>
      <c r="N345" s="4"/>
      <c r="O345" s="4"/>
      <c r="P345" s="4"/>
      <c r="Q345" s="11"/>
      <c r="R345" s="11">
        <v>8.2000000000000003E-2</v>
      </c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44" t="str">
        <f t="shared" si="8"/>
        <v>BOMBER_OCEAN</v>
      </c>
      <c r="B346" s="9" t="s">
        <v>118</v>
      </c>
      <c r="C346" s="4" t="s">
        <v>994</v>
      </c>
      <c r="D346" s="4" t="s">
        <v>699</v>
      </c>
      <c r="E346" s="4" t="s">
        <v>118</v>
      </c>
      <c r="F346" s="4" t="s">
        <v>118</v>
      </c>
      <c r="G346" s="14"/>
      <c r="H346" s="4"/>
      <c r="I346" s="4"/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11"/>
      <c r="AM346" s="11"/>
      <c r="AN346" s="11"/>
      <c r="AO346" s="11"/>
      <c r="AP346" s="11"/>
      <c r="AQ346" s="11"/>
    </row>
    <row r="347" spans="1:43" s="2" customFormat="1" x14ac:dyDescent="0.25">
      <c r="A347" s="44" t="str">
        <f t="shared" si="8"/>
        <v>BOMBER_SAHUL</v>
      </c>
      <c r="B347" s="9" t="s">
        <v>118</v>
      </c>
      <c r="C347" s="4" t="s">
        <v>1785</v>
      </c>
      <c r="D347" s="4" t="s">
        <v>730</v>
      </c>
      <c r="E347" s="4" t="s">
        <v>118</v>
      </c>
      <c r="F347" s="4" t="s">
        <v>118</v>
      </c>
      <c r="G347" s="14"/>
      <c r="H347" s="4"/>
      <c r="I347" s="4"/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44" t="str">
        <f t="shared" si="8"/>
        <v>BOMBER_SEASIA</v>
      </c>
      <c r="B348" s="9" t="s">
        <v>118</v>
      </c>
      <c r="C348" s="4" t="s">
        <v>696</v>
      </c>
      <c r="D348" s="4" t="s">
        <v>715</v>
      </c>
      <c r="E348" s="4" t="s">
        <v>118</v>
      </c>
      <c r="F348" s="4" t="s">
        <v>118</v>
      </c>
      <c r="G348" s="14"/>
      <c r="H348" s="4"/>
      <c r="I348" s="4"/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44" t="str">
        <f t="shared" si="8"/>
        <v>BOMBER_SOUTHAS</v>
      </c>
      <c r="B349" s="9" t="s">
        <v>118</v>
      </c>
      <c r="C349" s="4" t="s">
        <v>695</v>
      </c>
      <c r="D349" s="4" t="s">
        <v>713</v>
      </c>
      <c r="E349" s="4" t="s">
        <v>118</v>
      </c>
      <c r="F349" s="4" t="s">
        <v>118</v>
      </c>
      <c r="G349" s="14"/>
      <c r="H349" s="4"/>
      <c r="I349" s="4"/>
      <c r="J349" s="11"/>
      <c r="K349" s="11"/>
      <c r="L349" s="4"/>
      <c r="M349" s="12"/>
      <c r="N349" s="4"/>
      <c r="O349" s="4"/>
      <c r="P349" s="4"/>
      <c r="Q349" s="11"/>
      <c r="R349" s="11"/>
      <c r="S349" s="4"/>
      <c r="T349" s="11"/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/>
      <c r="AG349" s="11"/>
      <c r="AH349" s="4"/>
      <c r="AI349" s="11"/>
      <c r="AJ349" s="11"/>
      <c r="AK349" s="4"/>
      <c r="AL349" s="11"/>
      <c r="AM349" s="11"/>
      <c r="AN349" s="11"/>
      <c r="AO349" s="11"/>
      <c r="AP349" s="11"/>
      <c r="AQ349" s="11"/>
    </row>
    <row r="350" spans="1:43" s="2" customFormat="1" x14ac:dyDescent="0.25">
      <c r="A350" s="44" t="str">
        <f t="shared" si="8"/>
        <v>CANNON</v>
      </c>
      <c r="B350" s="9" t="s">
        <v>748</v>
      </c>
      <c r="C350" s="5"/>
      <c r="D350" s="5"/>
      <c r="E350" s="5" t="s">
        <v>748</v>
      </c>
      <c r="F350" s="5" t="s">
        <v>748</v>
      </c>
      <c r="G350" s="5"/>
      <c r="H350" s="5" t="s">
        <v>39</v>
      </c>
      <c r="I350" s="5" t="s">
        <v>128</v>
      </c>
      <c r="J350" s="6"/>
      <c r="K350" s="6"/>
      <c r="L350" s="13" t="s">
        <v>746</v>
      </c>
      <c r="M350" s="8"/>
      <c r="N350" s="5"/>
      <c r="O350" s="5"/>
      <c r="P350" s="5"/>
      <c r="Q350" s="7">
        <v>3</v>
      </c>
      <c r="R350" s="6" t="s">
        <v>1692</v>
      </c>
      <c r="S350" s="13" t="s">
        <v>1608</v>
      </c>
      <c r="T350" s="6"/>
      <c r="U350" s="7" t="s">
        <v>1734</v>
      </c>
      <c r="V350" s="5" t="s">
        <v>1694</v>
      </c>
      <c r="W350" s="6" t="s">
        <v>3</v>
      </c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/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44" t="str">
        <f t="shared" si="8"/>
        <v>CANNON_ENGLAND</v>
      </c>
      <c r="B351" s="9" t="s">
        <v>748</v>
      </c>
      <c r="C351" s="4" t="s">
        <v>713</v>
      </c>
      <c r="D351" s="4"/>
      <c r="E351" s="4" t="s">
        <v>748</v>
      </c>
      <c r="F351" s="4" t="s">
        <v>748</v>
      </c>
      <c r="G351" s="14" t="s">
        <v>132</v>
      </c>
      <c r="H351" s="4" t="s">
        <v>293</v>
      </c>
      <c r="I351" s="4" t="s">
        <v>966</v>
      </c>
      <c r="J351" s="11"/>
      <c r="K351" s="11"/>
      <c r="L351" s="4"/>
      <c r="M351" s="12"/>
      <c r="N351" s="4"/>
      <c r="O351" s="4"/>
      <c r="P351" s="4"/>
      <c r="Q351" s="11"/>
      <c r="R351" s="11"/>
      <c r="S351" s="4"/>
      <c r="T351" s="11"/>
      <c r="U351" s="11"/>
      <c r="V351" s="4"/>
      <c r="W351" s="11"/>
      <c r="X351" s="11"/>
      <c r="Y351" s="4"/>
      <c r="Z351" s="11"/>
      <c r="AA351" s="11"/>
      <c r="AB351" s="4"/>
      <c r="AC351" s="11"/>
      <c r="AD351" s="11"/>
      <c r="AE351" s="4"/>
      <c r="AF351" s="11"/>
      <c r="AG351" s="11"/>
      <c r="AH351" s="4"/>
      <c r="AI351" s="11"/>
      <c r="AJ351" s="11"/>
      <c r="AK351" s="4"/>
      <c r="AL351" s="11"/>
      <c r="AM351" s="11"/>
      <c r="AN351" s="11"/>
      <c r="AO351" s="11"/>
      <c r="AP351" s="11"/>
      <c r="AQ351" s="11"/>
    </row>
    <row r="352" spans="1:43" s="2" customFormat="1" x14ac:dyDescent="0.25">
      <c r="A352" s="44" t="str">
        <f t="shared" si="8"/>
        <v>CANNON_FRANCE</v>
      </c>
      <c r="B352" s="9" t="s">
        <v>748</v>
      </c>
      <c r="C352" s="4" t="s">
        <v>715</v>
      </c>
      <c r="D352" s="4"/>
      <c r="E352" s="4" t="s">
        <v>748</v>
      </c>
      <c r="F352" s="4" t="s">
        <v>748</v>
      </c>
      <c r="G352" s="14" t="s">
        <v>132</v>
      </c>
      <c r="H352" s="4" t="s">
        <v>337</v>
      </c>
      <c r="I352" s="4" t="s">
        <v>1059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11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11"/>
      <c r="AM352" s="11"/>
      <c r="AN352" s="11"/>
      <c r="AO352" s="11"/>
      <c r="AP352" s="11"/>
      <c r="AQ352" s="11"/>
    </row>
    <row r="353" spans="1:43" s="2" customFormat="1" x14ac:dyDescent="0.25">
      <c r="A353" s="44" t="str">
        <f t="shared" si="8"/>
        <v>CARAVAN</v>
      </c>
      <c r="B353" s="9" t="s">
        <v>1317</v>
      </c>
      <c r="C353" s="5"/>
      <c r="D353" s="5"/>
      <c r="E353" s="5" t="s">
        <v>1317</v>
      </c>
      <c r="F353" s="5" t="s">
        <v>1317</v>
      </c>
      <c r="G353" s="5"/>
      <c r="H353" s="5" t="s">
        <v>1412</v>
      </c>
      <c r="I353" s="5" t="s">
        <v>128</v>
      </c>
      <c r="J353" s="6">
        <v>1</v>
      </c>
      <c r="K353" s="6"/>
      <c r="L353" s="13" t="s">
        <v>1705</v>
      </c>
      <c r="M353" s="8"/>
      <c r="N353" s="5"/>
      <c r="O353" s="5"/>
      <c r="P353" s="5"/>
      <c r="Q353" s="6">
        <v>1</v>
      </c>
      <c r="R353" s="6">
        <v>0.11799999999999999</v>
      </c>
      <c r="S353" s="13" t="s">
        <v>1613</v>
      </c>
      <c r="T353" s="6"/>
      <c r="U353" s="7" t="s">
        <v>1692</v>
      </c>
      <c r="V353" s="5"/>
      <c r="W353" s="6"/>
      <c r="X353" s="6" t="s">
        <v>3</v>
      </c>
      <c r="Y353" s="5"/>
      <c r="Z353" s="7">
        <v>1</v>
      </c>
      <c r="AA353" s="6"/>
      <c r="AB353" s="5"/>
      <c r="AC353" s="6"/>
      <c r="AD353" s="6" t="s">
        <v>3</v>
      </c>
      <c r="AE353" s="5"/>
      <c r="AF353" s="6">
        <v>1</v>
      </c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44" t="str">
        <f t="shared" si="8"/>
        <v>CARAVAN</v>
      </c>
      <c r="B354" s="9" t="s">
        <v>1317</v>
      </c>
      <c r="C354" s="5"/>
      <c r="D354" s="5"/>
      <c r="E354" s="5" t="s">
        <v>1317</v>
      </c>
      <c r="F354" s="5" t="s">
        <v>1317</v>
      </c>
      <c r="G354" s="5" t="s">
        <v>2032</v>
      </c>
      <c r="H354" s="5" t="s">
        <v>1413</v>
      </c>
      <c r="I354" s="5" t="s">
        <v>128</v>
      </c>
      <c r="J354" s="6">
        <v>1</v>
      </c>
      <c r="K354" s="6"/>
      <c r="L354" s="13" t="s">
        <v>1705</v>
      </c>
      <c r="M354" s="8"/>
      <c r="N354" s="5"/>
      <c r="O354" s="5"/>
      <c r="P354" s="5"/>
      <c r="Q354" s="6">
        <v>1</v>
      </c>
      <c r="R354" s="6">
        <v>0.11799999999999999</v>
      </c>
      <c r="S354" s="13" t="s">
        <v>1613</v>
      </c>
      <c r="T354" s="6"/>
      <c r="U354" s="7" t="s">
        <v>1692</v>
      </c>
      <c r="V354" s="5"/>
      <c r="W354" s="6"/>
      <c r="X354" s="6" t="s">
        <v>3</v>
      </c>
      <c r="Y354" s="5"/>
      <c r="Z354" s="7">
        <v>0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44" t="str">
        <f t="shared" si="8"/>
        <v>CARAVAN</v>
      </c>
      <c r="B355" s="9" t="s">
        <v>1317</v>
      </c>
      <c r="C355" s="5"/>
      <c r="D355" s="5"/>
      <c r="E355" s="5" t="s">
        <v>1317</v>
      </c>
      <c r="F355" s="5" t="s">
        <v>1317</v>
      </c>
      <c r="G355" s="5" t="s">
        <v>2033</v>
      </c>
      <c r="H355" s="5" t="s">
        <v>1414</v>
      </c>
      <c r="I355" s="5" t="s">
        <v>128</v>
      </c>
      <c r="J355" s="6">
        <v>1</v>
      </c>
      <c r="K355" s="6"/>
      <c r="L355" s="13" t="s">
        <v>1705</v>
      </c>
      <c r="M355" s="8"/>
      <c r="N355" s="5"/>
      <c r="O355" s="5"/>
      <c r="P355" s="5"/>
      <c r="Q355" s="6">
        <v>1</v>
      </c>
      <c r="R355" s="6">
        <v>0.11799999999999999</v>
      </c>
      <c r="S355" s="13" t="s">
        <v>1613</v>
      </c>
      <c r="T355" s="6"/>
      <c r="U355" s="7" t="s">
        <v>1692</v>
      </c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0</v>
      </c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44" t="str">
        <f t="shared" si="8"/>
        <v>CARAVAN_CENTAS</v>
      </c>
      <c r="B356" s="9" t="s">
        <v>1317</v>
      </c>
      <c r="C356" s="5" t="s">
        <v>918</v>
      </c>
      <c r="D356" s="5" t="s">
        <v>689</v>
      </c>
      <c r="E356" s="5" t="s">
        <v>1317</v>
      </c>
      <c r="F356" s="5" t="s">
        <v>1317</v>
      </c>
      <c r="G356" s="5"/>
      <c r="H356" s="5"/>
      <c r="I356" s="5"/>
      <c r="J356" s="6">
        <v>1</v>
      </c>
      <c r="K356" s="6"/>
      <c r="L356" s="13"/>
      <c r="M356" s="8"/>
      <c r="N356" s="5"/>
      <c r="O356" s="5"/>
      <c r="P356" s="5"/>
      <c r="Q356" s="6"/>
      <c r="R356" s="6"/>
      <c r="S356" s="13"/>
      <c r="T356" s="6"/>
      <c r="U356" s="7"/>
      <c r="V356" s="5"/>
      <c r="W356" s="6"/>
      <c r="X356" s="6"/>
      <c r="Y356" s="5"/>
      <c r="Z356" s="7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44" t="str">
        <f>CONCATENATE(E357,IF(ISBLANK(C357),"",CONCATENATE("_",C357)))</f>
        <v>CARAVAN_EASTEU</v>
      </c>
      <c r="B357" s="9" t="s">
        <v>1317</v>
      </c>
      <c r="C357" s="5" t="s">
        <v>698</v>
      </c>
      <c r="D357" s="5" t="s">
        <v>689</v>
      </c>
      <c r="E357" s="5" t="s">
        <v>1317</v>
      </c>
      <c r="F357" s="5" t="s">
        <v>1317</v>
      </c>
      <c r="G357" s="5"/>
      <c r="H357" s="5"/>
      <c r="I357" s="5"/>
      <c r="J357" s="6">
        <v>1</v>
      </c>
      <c r="K357" s="6"/>
      <c r="L357" s="13"/>
      <c r="M357" s="8"/>
      <c r="N357" s="5"/>
      <c r="O357" s="5"/>
      <c r="P357" s="5"/>
      <c r="Q357" s="6"/>
      <c r="R357" s="6"/>
      <c r="S357" s="13"/>
      <c r="T357" s="6"/>
      <c r="U357" s="7"/>
      <c r="V357" s="5"/>
      <c r="W357" s="6"/>
      <c r="X357" s="6"/>
      <c r="Y357" s="5"/>
      <c r="Z357" s="7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44" t="str">
        <f>CONCATENATE(E358,IF(ISBLANK(C358),"",CONCATENATE("_",C358)))</f>
        <v>CARAVAN_EURO</v>
      </c>
      <c r="B358" s="9" t="s">
        <v>1317</v>
      </c>
      <c r="C358" s="5" t="s">
        <v>689</v>
      </c>
      <c r="D358" s="5"/>
      <c r="E358" s="5" t="s">
        <v>1317</v>
      </c>
      <c r="F358" s="5" t="s">
        <v>1317</v>
      </c>
      <c r="G358" s="5"/>
      <c r="H358" s="5" t="s">
        <v>2105</v>
      </c>
      <c r="I358" s="5" t="s">
        <v>966</v>
      </c>
      <c r="J358" s="6">
        <v>1</v>
      </c>
      <c r="K358" s="6"/>
      <c r="L358" s="13"/>
      <c r="M358" s="8"/>
      <c r="N358" s="5"/>
      <c r="O358" s="5"/>
      <c r="P358" s="5"/>
      <c r="Q358" s="6">
        <v>1</v>
      </c>
      <c r="R358" s="6">
        <v>0.09</v>
      </c>
      <c r="S358" s="13" t="s">
        <v>1613</v>
      </c>
      <c r="T358" s="6">
        <v>2</v>
      </c>
      <c r="U358" s="7">
        <v>0.06</v>
      </c>
      <c r="V358" s="5"/>
      <c r="W358" s="6"/>
      <c r="X358" s="6" t="s">
        <v>3</v>
      </c>
      <c r="Y358" s="5"/>
      <c r="Z358" s="7">
        <v>1</v>
      </c>
      <c r="AA358" s="6">
        <v>8.5000000000000006E-2</v>
      </c>
      <c r="AB358" s="5"/>
      <c r="AC358" s="6"/>
      <c r="AD358" s="6" t="s">
        <v>3</v>
      </c>
      <c r="AE358" s="5"/>
      <c r="AF358" s="6">
        <v>2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44" t="str">
        <f>CONCATENATE(E359,IF(ISBLANK(C359),"",CONCATENATE("_",C359)))</f>
        <v>CARAVAN_NORTHEU</v>
      </c>
      <c r="B359" s="9" t="s">
        <v>1317</v>
      </c>
      <c r="C359" s="5" t="s">
        <v>962</v>
      </c>
      <c r="D359" s="5" t="s">
        <v>689</v>
      </c>
      <c r="E359" s="5" t="s">
        <v>1317</v>
      </c>
      <c r="F359" s="5" t="s">
        <v>1317</v>
      </c>
      <c r="G359" s="5"/>
      <c r="H359" s="5"/>
      <c r="I359" s="5"/>
      <c r="J359" s="6">
        <v>1</v>
      </c>
      <c r="K359" s="6"/>
      <c r="L359" s="13"/>
      <c r="M359" s="8"/>
      <c r="N359" s="5"/>
      <c r="O359" s="5"/>
      <c r="P359" s="5"/>
      <c r="Q359" s="6"/>
      <c r="R359" s="6"/>
      <c r="S359" s="13"/>
      <c r="T359" s="6"/>
      <c r="U359" s="7"/>
      <c r="V359" s="5"/>
      <c r="W359" s="6"/>
      <c r="X359" s="6"/>
      <c r="Y359" s="5"/>
      <c r="Z359" s="7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44" t="str">
        <f t="shared" si="8"/>
        <v>CARAVAN_POSTMODERN</v>
      </c>
      <c r="B360" s="9" t="s">
        <v>1317</v>
      </c>
      <c r="C360" s="5"/>
      <c r="D360" s="5"/>
      <c r="E360" s="5" t="s">
        <v>1318</v>
      </c>
      <c r="F360" s="5" t="s">
        <v>1319</v>
      </c>
      <c r="G360" s="5"/>
      <c r="H360" s="5" t="s">
        <v>1415</v>
      </c>
      <c r="I360" s="5" t="s">
        <v>128</v>
      </c>
      <c r="J360" s="6">
        <v>0</v>
      </c>
      <c r="K360" s="6"/>
      <c r="L360" s="13" t="s">
        <v>1705</v>
      </c>
      <c r="M360" s="8"/>
      <c r="N360" s="5"/>
      <c r="O360" s="5"/>
      <c r="P360" s="5"/>
      <c r="Q360" s="6">
        <v>1</v>
      </c>
      <c r="R360" s="6">
        <v>0.04</v>
      </c>
      <c r="S360" s="13" t="s">
        <v>1614</v>
      </c>
      <c r="T360" s="6"/>
      <c r="U360" s="7"/>
      <c r="V360" s="5"/>
      <c r="W360" s="6"/>
      <c r="X360" s="6" t="s">
        <v>3</v>
      </c>
      <c r="Y360" s="5"/>
      <c r="Z360" s="7">
        <v>1</v>
      </c>
      <c r="AA360" s="6"/>
      <c r="AB360" s="5"/>
      <c r="AC360" s="6"/>
      <c r="AD360" s="6" t="s">
        <v>3</v>
      </c>
      <c r="AE360" s="5"/>
      <c r="AF360" s="6">
        <v>1</v>
      </c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44" t="str">
        <f t="shared" si="8"/>
        <v>CARAVAN_POSTMODERN</v>
      </c>
      <c r="B361" s="9" t="s">
        <v>1317</v>
      </c>
      <c r="C361" s="5"/>
      <c r="D361" s="5"/>
      <c r="E361" s="5" t="s">
        <v>1318</v>
      </c>
      <c r="F361" s="5" t="s">
        <v>1319</v>
      </c>
      <c r="G361" s="5" t="s">
        <v>2032</v>
      </c>
      <c r="H361" s="5" t="s">
        <v>1416</v>
      </c>
      <c r="I361" s="5" t="s">
        <v>128</v>
      </c>
      <c r="J361" s="6">
        <v>0</v>
      </c>
      <c r="K361" s="6"/>
      <c r="L361" s="13" t="s">
        <v>1705</v>
      </c>
      <c r="M361" s="8"/>
      <c r="N361" s="5"/>
      <c r="O361" s="5"/>
      <c r="P361" s="5"/>
      <c r="Q361" s="6">
        <v>1</v>
      </c>
      <c r="R361" s="6">
        <v>0.04</v>
      </c>
      <c r="S361" s="13" t="s">
        <v>1614</v>
      </c>
      <c r="T361" s="6"/>
      <c r="U361" s="7"/>
      <c r="V361" s="5"/>
      <c r="W361" s="6"/>
      <c r="X361" s="6" t="s">
        <v>3</v>
      </c>
      <c r="Y361" s="5"/>
      <c r="Z361" s="7">
        <v>0</v>
      </c>
      <c r="AA361" s="6"/>
      <c r="AB361" s="5"/>
      <c r="AC361" s="6"/>
      <c r="AD361" s="6" t="s">
        <v>3</v>
      </c>
      <c r="AE361" s="5"/>
      <c r="AF361" s="6">
        <v>1</v>
      </c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44" t="str">
        <f t="shared" si="8"/>
        <v>CARAVAN_POSTMODERN</v>
      </c>
      <c r="B362" s="9" t="s">
        <v>1317</v>
      </c>
      <c r="C362" s="5"/>
      <c r="D362" s="5"/>
      <c r="E362" s="5" t="s">
        <v>1318</v>
      </c>
      <c r="F362" s="5" t="s">
        <v>1319</v>
      </c>
      <c r="G362" s="5" t="s">
        <v>2033</v>
      </c>
      <c r="H362" s="5" t="s">
        <v>1417</v>
      </c>
      <c r="I362" s="5" t="s">
        <v>128</v>
      </c>
      <c r="J362" s="6">
        <v>0</v>
      </c>
      <c r="K362" s="6"/>
      <c r="L362" s="13" t="s">
        <v>1705</v>
      </c>
      <c r="M362" s="8"/>
      <c r="N362" s="5"/>
      <c r="O362" s="5"/>
      <c r="P362" s="5"/>
      <c r="Q362" s="6">
        <v>1</v>
      </c>
      <c r="R362" s="6">
        <v>0.04</v>
      </c>
      <c r="S362" s="13" t="s">
        <v>1614</v>
      </c>
      <c r="T362" s="6"/>
      <c r="U362" s="7"/>
      <c r="V362" s="5"/>
      <c r="W362" s="6"/>
      <c r="X362" s="6" t="s">
        <v>3</v>
      </c>
      <c r="Y362" s="5"/>
      <c r="Z362" s="7">
        <v>0</v>
      </c>
      <c r="AA362" s="6"/>
      <c r="AB362" s="5"/>
      <c r="AC362" s="6"/>
      <c r="AD362" s="6" t="s">
        <v>3</v>
      </c>
      <c r="AE362" s="5"/>
      <c r="AF362" s="6">
        <v>0</v>
      </c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44" t="str">
        <f t="shared" si="8"/>
        <v>CARAVEL</v>
      </c>
      <c r="B363" s="9" t="s">
        <v>749</v>
      </c>
      <c r="C363" s="5"/>
      <c r="D363" s="5"/>
      <c r="E363" s="5" t="s">
        <v>749</v>
      </c>
      <c r="F363" s="5" t="s">
        <v>749</v>
      </c>
      <c r="G363" s="5"/>
      <c r="H363" s="5" t="s">
        <v>38</v>
      </c>
      <c r="I363" s="5" t="s">
        <v>128</v>
      </c>
      <c r="J363" s="6"/>
      <c r="K363" s="7"/>
      <c r="L363" s="13" t="s">
        <v>1710</v>
      </c>
      <c r="M363" s="8"/>
      <c r="N363" s="13" t="s">
        <v>1724</v>
      </c>
      <c r="O363" s="13"/>
      <c r="P363" s="13"/>
      <c r="Q363" s="7">
        <v>1</v>
      </c>
      <c r="R363" s="6" t="s">
        <v>1734</v>
      </c>
      <c r="S363" s="5"/>
      <c r="T363" s="7">
        <v>3</v>
      </c>
      <c r="U363" s="6">
        <v>0.1</v>
      </c>
      <c r="V363" s="5" t="s">
        <v>1695</v>
      </c>
      <c r="W363" s="6"/>
      <c r="X363" s="6"/>
      <c r="Y363" s="5"/>
      <c r="Z363" s="6"/>
      <c r="AA363" s="6">
        <v>0.14000000000000001</v>
      </c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s="2" customFormat="1" x14ac:dyDescent="0.25">
      <c r="A364" s="44" t="str">
        <f t="shared" si="8"/>
        <v>CARGO_SHIP</v>
      </c>
      <c r="B364" s="9" t="s">
        <v>1320</v>
      </c>
      <c r="C364" s="5"/>
      <c r="D364" s="5"/>
      <c r="E364" s="5" t="s">
        <v>1320</v>
      </c>
      <c r="F364" s="5" t="s">
        <v>1320</v>
      </c>
      <c r="G364" s="5"/>
      <c r="H364" s="5" t="s">
        <v>1418</v>
      </c>
      <c r="I364" s="5" t="s">
        <v>128</v>
      </c>
      <c r="J364" s="6">
        <v>1</v>
      </c>
      <c r="K364" s="7"/>
      <c r="L364" s="13" t="s">
        <v>1705</v>
      </c>
      <c r="M364" s="8"/>
      <c r="N364" s="13" t="s">
        <v>1724</v>
      </c>
      <c r="O364" s="13"/>
      <c r="P364" s="13"/>
      <c r="Q364" s="7">
        <v>1</v>
      </c>
      <c r="R364" s="6">
        <v>0.15</v>
      </c>
      <c r="S364" s="13" t="s">
        <v>1692</v>
      </c>
      <c r="T364" s="7">
        <v>3</v>
      </c>
      <c r="U364" s="7" t="s">
        <v>1692</v>
      </c>
      <c r="V364" s="5" t="s">
        <v>1693</v>
      </c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s="2" customFormat="1" x14ac:dyDescent="0.25">
      <c r="A365" s="44" t="str">
        <f t="shared" si="8"/>
        <v>CARGO_SHIP_POSTMODERN</v>
      </c>
      <c r="B365" s="9" t="s">
        <v>1320</v>
      </c>
      <c r="C365" s="5"/>
      <c r="D365" s="5"/>
      <c r="E365" s="5" t="s">
        <v>1321</v>
      </c>
      <c r="F365" s="5" t="s">
        <v>1323</v>
      </c>
      <c r="G365" s="5"/>
      <c r="H365" s="5" t="s">
        <v>1419</v>
      </c>
      <c r="I365" s="5" t="s">
        <v>128</v>
      </c>
      <c r="J365" s="6">
        <v>0</v>
      </c>
      <c r="K365" s="7"/>
      <c r="L365" s="13" t="s">
        <v>1705</v>
      </c>
      <c r="M365" s="8"/>
      <c r="N365" s="13" t="s">
        <v>1724</v>
      </c>
      <c r="O365" s="13"/>
      <c r="P365" s="13"/>
      <c r="Q365" s="7">
        <v>1</v>
      </c>
      <c r="R365" s="6">
        <v>7.0000000000000007E-2</v>
      </c>
      <c r="S365" s="13" t="s">
        <v>1692</v>
      </c>
      <c r="T365" s="6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s="2" customFormat="1" x14ac:dyDescent="0.25">
      <c r="A366" s="44" t="str">
        <f>CONCATENATE(E366,IF(ISBLANK(C366),"",CONCATENATE("_",C366)))</f>
        <v>CARGO_SHIP_RENAISSANCE_POSTMODERN</v>
      </c>
      <c r="B366" s="9" t="s">
        <v>1320</v>
      </c>
      <c r="C366" s="5"/>
      <c r="D366" s="5"/>
      <c r="E366" s="5" t="s">
        <v>2355</v>
      </c>
      <c r="F366" s="5" t="s">
        <v>1323</v>
      </c>
      <c r="G366" s="5"/>
      <c r="H366" s="5" t="s">
        <v>1419</v>
      </c>
      <c r="I366" s="5" t="s">
        <v>128</v>
      </c>
      <c r="J366" s="6">
        <v>0</v>
      </c>
      <c r="K366" s="7"/>
      <c r="L366" s="13"/>
      <c r="M366" s="8"/>
      <c r="N366" s="13"/>
      <c r="O366" s="13"/>
      <c r="P366" s="13"/>
      <c r="Q366" s="7">
        <v>1</v>
      </c>
      <c r="R366" s="6">
        <v>7.0000000000000007E-2</v>
      </c>
      <c r="S366" s="13" t="s">
        <v>1692</v>
      </c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s="2" customFormat="1" x14ac:dyDescent="0.25">
      <c r="A367" s="44" t="str">
        <f t="shared" si="8"/>
        <v>CARGO_SHIP_RENAISSANCE</v>
      </c>
      <c r="B367" s="9" t="s">
        <v>1320</v>
      </c>
      <c r="C367" s="5"/>
      <c r="D367" s="5"/>
      <c r="E367" s="5" t="s">
        <v>1322</v>
      </c>
      <c r="F367" s="5" t="s">
        <v>1324</v>
      </c>
      <c r="G367" s="5"/>
      <c r="H367" s="5" t="s">
        <v>1420</v>
      </c>
      <c r="I367" s="5" t="s">
        <v>128</v>
      </c>
      <c r="J367" s="6">
        <v>1</v>
      </c>
      <c r="K367" s="7"/>
      <c r="L367" s="13" t="s">
        <v>1705</v>
      </c>
      <c r="M367" s="8"/>
      <c r="N367" s="13" t="s">
        <v>1724</v>
      </c>
      <c r="O367" s="13"/>
      <c r="P367" s="13"/>
      <c r="Q367" s="7">
        <v>1</v>
      </c>
      <c r="R367" s="6">
        <v>0.125</v>
      </c>
      <c r="S367" s="13" t="s">
        <v>1692</v>
      </c>
      <c r="T367" s="7">
        <v>3</v>
      </c>
      <c r="U367" s="7" t="s">
        <v>1692</v>
      </c>
      <c r="V367" s="5" t="s">
        <v>1693</v>
      </c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44" t="str">
        <f t="shared" ref="A368:A381" si="9">CONCATENATE(E368,IF(ISBLANK(C368),"",CONCATENATE("_",C368)))</f>
        <v>CARGO_SHIP_RENAISSANCE_OTTOMAN</v>
      </c>
      <c r="B368" s="9" t="s">
        <v>1320</v>
      </c>
      <c r="C368" s="5" t="s">
        <v>1037</v>
      </c>
      <c r="D368" s="5"/>
      <c r="E368" s="5" t="s">
        <v>1322</v>
      </c>
      <c r="F368" s="5" t="s">
        <v>1324</v>
      </c>
      <c r="G368" s="5"/>
      <c r="H368" s="5" t="s">
        <v>1973</v>
      </c>
      <c r="I368" s="5" t="s">
        <v>1976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44" t="str">
        <f t="shared" si="9"/>
        <v>CARGO_SHIP_RENAISSANCE_POLAND</v>
      </c>
      <c r="B369" s="9" t="s">
        <v>1320</v>
      </c>
      <c r="C369" s="5" t="s">
        <v>732</v>
      </c>
      <c r="D369" s="5" t="s">
        <v>717</v>
      </c>
      <c r="E369" s="5" t="s">
        <v>1322</v>
      </c>
      <c r="F369" s="5" t="s">
        <v>1324</v>
      </c>
      <c r="G369" s="5"/>
      <c r="H369" s="5"/>
      <c r="I369" s="5"/>
      <c r="J369" s="6">
        <v>1</v>
      </c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44" t="str">
        <f t="shared" si="9"/>
        <v>CARGO_SHIP_RENAISSANCE_RUSSIA</v>
      </c>
      <c r="B370" s="9" t="s">
        <v>1320</v>
      </c>
      <c r="C370" s="5" t="s">
        <v>735</v>
      </c>
      <c r="D370" s="5"/>
      <c r="E370" s="5" t="s">
        <v>1322</v>
      </c>
      <c r="F370" s="5" t="s">
        <v>1324</v>
      </c>
      <c r="G370" s="5"/>
      <c r="H370" s="5" t="s">
        <v>1969</v>
      </c>
      <c r="I370" s="5" t="s">
        <v>1976</v>
      </c>
      <c r="J370" s="6">
        <v>1</v>
      </c>
      <c r="K370" s="7"/>
      <c r="L370" s="13"/>
      <c r="M370" s="8"/>
      <c r="N370" s="13"/>
      <c r="O370" s="13"/>
      <c r="P370" s="13"/>
      <c r="Q370" s="7"/>
      <c r="R370" s="6">
        <v>0.11</v>
      </c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44" t="str">
        <f t="shared" si="9"/>
        <v>CARGO_SHIP_RENAISSANCE_ENGLAND</v>
      </c>
      <c r="B371" s="9" t="s">
        <v>1320</v>
      </c>
      <c r="C371" s="5" t="s">
        <v>713</v>
      </c>
      <c r="D371" s="5"/>
      <c r="E371" s="5" t="s">
        <v>1322</v>
      </c>
      <c r="F371" s="5" t="s">
        <v>1324</v>
      </c>
      <c r="G371" s="5"/>
      <c r="H371" s="5" t="s">
        <v>1970</v>
      </c>
      <c r="I371" s="5" t="s">
        <v>1976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44" t="str">
        <f t="shared" si="9"/>
        <v>CARGO_SHIP_RENAISSANCE_FRANCE</v>
      </c>
      <c r="B372" s="9" t="s">
        <v>1320</v>
      </c>
      <c r="C372" s="5" t="s">
        <v>715</v>
      </c>
      <c r="D372" s="5"/>
      <c r="E372" s="5" t="s">
        <v>1322</v>
      </c>
      <c r="F372" s="5" t="s">
        <v>1324</v>
      </c>
      <c r="G372" s="5"/>
      <c r="H372" s="5" t="s">
        <v>1971</v>
      </c>
      <c r="I372" s="5" t="s">
        <v>1976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44" t="str">
        <f t="shared" si="9"/>
        <v>CARGO_SHIP_RENAISSANCE_GERMANY</v>
      </c>
      <c r="B373" s="9" t="s">
        <v>1320</v>
      </c>
      <c r="C373" s="5" t="s">
        <v>717</v>
      </c>
      <c r="D373" s="5"/>
      <c r="E373" s="5" t="s">
        <v>1322</v>
      </c>
      <c r="F373" s="5" t="s">
        <v>1324</v>
      </c>
      <c r="G373" s="5"/>
      <c r="H373" s="5" t="s">
        <v>1949</v>
      </c>
      <c r="I373" s="5" t="s">
        <v>1950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0.17499999999999999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44" t="str">
        <f t="shared" si="9"/>
        <v>CARGO_SHIP_RENAISSANCE_NETHERLANDS</v>
      </c>
      <c r="B374" s="9" t="s">
        <v>1320</v>
      </c>
      <c r="C374" s="5" t="s">
        <v>730</v>
      </c>
      <c r="D374" s="5" t="s">
        <v>717</v>
      </c>
      <c r="E374" s="5" t="s">
        <v>1322</v>
      </c>
      <c r="F374" s="5" t="s">
        <v>1324</v>
      </c>
      <c r="G374" s="5"/>
      <c r="H374" s="5"/>
      <c r="I374" s="5"/>
      <c r="J374" s="6">
        <v>1</v>
      </c>
      <c r="K374" s="7"/>
      <c r="L374" s="13"/>
      <c r="M374" s="8"/>
      <c r="N374" s="13"/>
      <c r="O374" s="13"/>
      <c r="P374" s="13"/>
      <c r="Q374" s="7"/>
      <c r="R374" s="6"/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44" t="str">
        <f t="shared" si="9"/>
        <v>CARGO_SHIP_RENAISSANCE_RIGA</v>
      </c>
      <c r="B375" s="9" t="s">
        <v>1320</v>
      </c>
      <c r="C375" s="5" t="s">
        <v>1203</v>
      </c>
      <c r="D375" s="5" t="s">
        <v>717</v>
      </c>
      <c r="E375" s="5" t="s">
        <v>1322</v>
      </c>
      <c r="F375" s="5" t="s">
        <v>1324</v>
      </c>
      <c r="G375" s="5"/>
      <c r="H375" s="5"/>
      <c r="I375" s="5"/>
      <c r="J375" s="6">
        <v>1</v>
      </c>
      <c r="K375" s="7"/>
      <c r="L375" s="13"/>
      <c r="M375" s="8"/>
      <c r="N375" s="13"/>
      <c r="O375" s="13"/>
      <c r="P375" s="13"/>
      <c r="Q375" s="7"/>
      <c r="R375" s="6"/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44" t="str">
        <f t="shared" si="9"/>
        <v>CARGO_SHIP_RENAISSANCE_WITTENBERG</v>
      </c>
      <c r="B376" s="9" t="s">
        <v>1320</v>
      </c>
      <c r="C376" s="5" t="s">
        <v>1215</v>
      </c>
      <c r="D376" s="5" t="s">
        <v>717</v>
      </c>
      <c r="E376" s="5" t="s">
        <v>1322</v>
      </c>
      <c r="F376" s="5" t="s">
        <v>1324</v>
      </c>
      <c r="G376" s="5"/>
      <c r="H376" s="5"/>
      <c r="I376" s="5"/>
      <c r="J376" s="6">
        <v>1</v>
      </c>
      <c r="K376" s="7"/>
      <c r="L376" s="13"/>
      <c r="M376" s="8"/>
      <c r="N376" s="13"/>
      <c r="O376" s="13"/>
      <c r="P376" s="13"/>
      <c r="Q376" s="7"/>
      <c r="R376" s="6"/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44" t="str">
        <f t="shared" si="9"/>
        <v>CARGO_SHIP_RENAISSANCE_MED</v>
      </c>
      <c r="B377" s="9" t="s">
        <v>1320</v>
      </c>
      <c r="C377" s="5" t="s">
        <v>692</v>
      </c>
      <c r="D377" s="5"/>
      <c r="E377" s="5" t="s">
        <v>1322</v>
      </c>
      <c r="F377" s="5" t="s">
        <v>1324</v>
      </c>
      <c r="G377" s="5"/>
      <c r="H377" s="5" t="s">
        <v>2056</v>
      </c>
      <c r="I377" s="5" t="s">
        <v>1976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x14ac:dyDescent="0.25">
      <c r="A378" s="44" t="str">
        <f t="shared" si="9"/>
        <v>CARGO_SHIP_RENAISSANCE_ROME</v>
      </c>
      <c r="B378" s="9" t="s">
        <v>1320</v>
      </c>
      <c r="C378" s="5" t="s">
        <v>734</v>
      </c>
      <c r="D378" s="5"/>
      <c r="E378" s="5" t="s">
        <v>1322</v>
      </c>
      <c r="F378" s="5" t="s">
        <v>1324</v>
      </c>
      <c r="G378" s="5"/>
      <c r="H378" s="5" t="s">
        <v>1975</v>
      </c>
      <c r="I378" s="5" t="s">
        <v>1976</v>
      </c>
      <c r="J378" s="6">
        <v>1</v>
      </c>
      <c r="K378" s="7"/>
      <c r="L378" s="13"/>
      <c r="M378" s="8"/>
      <c r="N378" s="13"/>
      <c r="O378" s="13"/>
      <c r="P378" s="13"/>
      <c r="Q378" s="7"/>
      <c r="R378" s="6">
        <v>0.11</v>
      </c>
      <c r="S378" s="5"/>
      <c r="T378" s="7"/>
      <c r="U378" s="7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x14ac:dyDescent="0.25">
      <c r="A379" s="44" t="str">
        <f t="shared" si="9"/>
        <v>CARGO_SHIP_RENAISSANCE_SPAIN</v>
      </c>
      <c r="B379" s="9" t="s">
        <v>1320</v>
      </c>
      <c r="C379" s="5" t="s">
        <v>738</v>
      </c>
      <c r="D379" s="5"/>
      <c r="E379" s="5" t="s">
        <v>1322</v>
      </c>
      <c r="F379" s="5" t="s">
        <v>1324</v>
      </c>
      <c r="G379" s="5"/>
      <c r="H379" s="5" t="s">
        <v>1655</v>
      </c>
      <c r="I379" s="5" t="s">
        <v>128</v>
      </c>
      <c r="J379" s="6">
        <v>1</v>
      </c>
      <c r="K379" s="7"/>
      <c r="L379" s="13" t="s">
        <v>1709</v>
      </c>
      <c r="M379" s="8"/>
      <c r="N379" s="13" t="s">
        <v>1724</v>
      </c>
      <c r="O379" s="13"/>
      <c r="P379" s="13"/>
      <c r="Q379" s="7">
        <v>1</v>
      </c>
      <c r="R379" s="6">
        <v>0.15</v>
      </c>
      <c r="S379" s="13"/>
      <c r="T379" s="6">
        <v>3</v>
      </c>
      <c r="U379" s="6" t="s">
        <v>1692</v>
      </c>
      <c r="V379" s="5" t="s">
        <v>1693</v>
      </c>
      <c r="W379" s="6"/>
      <c r="X379" s="6"/>
      <c r="Y379" s="5"/>
      <c r="Z379" s="7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x14ac:dyDescent="0.25">
      <c r="A380" s="44" t="str">
        <f t="shared" si="9"/>
        <v>CARGO_SHIP_RENAISSANCE_NORTHAF</v>
      </c>
      <c r="B380" s="9" t="s">
        <v>1320</v>
      </c>
      <c r="C380" s="5" t="s">
        <v>2003</v>
      </c>
      <c r="D380" s="5"/>
      <c r="E380" s="5" t="s">
        <v>1322</v>
      </c>
      <c r="F380" s="5" t="s">
        <v>1324</v>
      </c>
      <c r="G380" s="5"/>
      <c r="H380" s="5" t="s">
        <v>1972</v>
      </c>
      <c r="I380" s="5" t="s">
        <v>1976</v>
      </c>
      <c r="J380" s="6">
        <v>1</v>
      </c>
      <c r="K380" s="7"/>
      <c r="L380" s="13"/>
      <c r="M380" s="8"/>
      <c r="N380" s="13"/>
      <c r="O380" s="13"/>
      <c r="P380" s="13"/>
      <c r="Q380" s="7"/>
      <c r="R380" s="6">
        <v>0.11</v>
      </c>
      <c r="S380" s="5"/>
      <c r="T380" s="7"/>
      <c r="U380" s="7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x14ac:dyDescent="0.25">
      <c r="A381" s="44" t="str">
        <f t="shared" si="9"/>
        <v>CARGO_SHIP_RENAISSANCE_SWEDEN</v>
      </c>
      <c r="B381" s="9" t="s">
        <v>1320</v>
      </c>
      <c r="C381" s="5" t="s">
        <v>739</v>
      </c>
      <c r="D381" s="5"/>
      <c r="E381" s="5" t="s">
        <v>1322</v>
      </c>
      <c r="F381" s="5" t="s">
        <v>1324</v>
      </c>
      <c r="G381" s="5"/>
      <c r="H381" s="5" t="s">
        <v>1974</v>
      </c>
      <c r="I381" s="5" t="s">
        <v>1976</v>
      </c>
      <c r="J381" s="6">
        <v>1</v>
      </c>
      <c r="K381" s="7"/>
      <c r="L381" s="13"/>
      <c r="M381" s="8"/>
      <c r="N381" s="13"/>
      <c r="O381" s="13"/>
      <c r="P381" s="13"/>
      <c r="Q381" s="7"/>
      <c r="R381" s="6">
        <v>0.11</v>
      </c>
      <c r="S381" s="5"/>
      <c r="T381" s="7"/>
      <c r="U381" s="7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44" t="str">
        <f t="shared" si="8"/>
        <v>CARRIER</v>
      </c>
      <c r="B382" s="9" t="s">
        <v>117</v>
      </c>
      <c r="C382" s="5"/>
      <c r="D382" s="5"/>
      <c r="E382" s="5" t="s">
        <v>117</v>
      </c>
      <c r="F382" s="5" t="s">
        <v>117</v>
      </c>
      <c r="G382" s="5"/>
      <c r="H382" s="5" t="s">
        <v>1497</v>
      </c>
      <c r="I382" s="5" t="s">
        <v>102</v>
      </c>
      <c r="J382" s="6"/>
      <c r="K382" s="7"/>
      <c r="L382" s="13" t="s">
        <v>1710</v>
      </c>
      <c r="M382" s="8"/>
      <c r="N382" s="13" t="s">
        <v>1724</v>
      </c>
      <c r="O382" s="13"/>
      <c r="P382" s="13"/>
      <c r="Q382" s="7">
        <v>1</v>
      </c>
      <c r="R382" s="6">
        <v>0.09</v>
      </c>
      <c r="S382" s="5"/>
      <c r="T382" s="6"/>
      <c r="U382" s="6">
        <v>0.105</v>
      </c>
      <c r="V382" s="5"/>
      <c r="W382" s="6"/>
      <c r="X382" s="6"/>
      <c r="Y382" s="5"/>
      <c r="Z382" s="6"/>
      <c r="AA382" s="6"/>
      <c r="AB382" s="5"/>
      <c r="AC382" s="6"/>
      <c r="AD382" s="6"/>
      <c r="AE382" s="5"/>
      <c r="AF382" s="6"/>
      <c r="AG382" s="6"/>
      <c r="AH382" s="5"/>
      <c r="AI382" s="6"/>
      <c r="AJ382" s="6"/>
      <c r="AK382" s="5"/>
      <c r="AL382" s="6"/>
      <c r="AM382" s="6"/>
      <c r="AN382" s="6"/>
      <c r="AO382" s="6"/>
      <c r="AP382" s="6"/>
      <c r="AQ382" s="6"/>
    </row>
    <row r="383" spans="1:43" s="2" customFormat="1" x14ac:dyDescent="0.25">
      <c r="A383" s="44" t="str">
        <f t="shared" si="8"/>
        <v>CARRIER_ZULU</v>
      </c>
      <c r="B383" s="9" t="s">
        <v>117</v>
      </c>
      <c r="C383" s="5" t="s">
        <v>742</v>
      </c>
      <c r="D383" s="5" t="s">
        <v>713</v>
      </c>
      <c r="E383" s="5" t="s">
        <v>117</v>
      </c>
      <c r="F383" s="5" t="s">
        <v>117</v>
      </c>
      <c r="G383" s="5"/>
      <c r="H383" s="5"/>
      <c r="I383" s="5"/>
      <c r="J383" s="6"/>
      <c r="K383" s="7"/>
      <c r="L383" s="13"/>
      <c r="M383" s="8"/>
      <c r="N383" s="13"/>
      <c r="O383" s="13"/>
      <c r="P383" s="13"/>
      <c r="Q383" s="7"/>
      <c r="R383" s="6"/>
      <c r="S383" s="5"/>
      <c r="T383" s="6"/>
      <c r="U383" s="6"/>
      <c r="V383" s="5"/>
      <c r="W383" s="6"/>
      <c r="X383" s="6"/>
      <c r="Y383" s="5"/>
      <c r="Z383" s="6"/>
      <c r="AA383" s="6"/>
      <c r="AB383" s="5"/>
      <c r="AC383" s="6"/>
      <c r="AD383" s="6"/>
      <c r="AE383" s="5"/>
      <c r="AF383" s="6"/>
      <c r="AG383" s="6"/>
      <c r="AH383" s="5"/>
      <c r="AI383" s="6"/>
      <c r="AJ383" s="6"/>
      <c r="AK383" s="5"/>
      <c r="AL383" s="6"/>
      <c r="AM383" s="6"/>
      <c r="AN383" s="6"/>
      <c r="AO383" s="6"/>
      <c r="AP383" s="6"/>
      <c r="AQ383" s="6"/>
    </row>
    <row r="384" spans="1:43" s="2" customFormat="1" x14ac:dyDescent="0.25">
      <c r="A384" s="44" t="str">
        <f t="shared" si="8"/>
        <v>CARRIER_AMER</v>
      </c>
      <c r="B384" s="9" t="s">
        <v>117</v>
      </c>
      <c r="C384" s="5" t="s">
        <v>697</v>
      </c>
      <c r="D384" s="5" t="s">
        <v>699</v>
      </c>
      <c r="E384" s="5" t="s">
        <v>117</v>
      </c>
      <c r="F384" s="5" t="s">
        <v>117</v>
      </c>
      <c r="G384" s="5"/>
      <c r="H384" s="5"/>
      <c r="I384" s="5"/>
      <c r="J384" s="6"/>
      <c r="K384" s="7"/>
      <c r="L384" s="13"/>
      <c r="M384" s="8"/>
      <c r="N384" s="13"/>
      <c r="O384" s="13"/>
      <c r="P384" s="13"/>
      <c r="Q384" s="7"/>
      <c r="R384" s="6"/>
      <c r="S384" s="5"/>
      <c r="T384" s="6"/>
      <c r="U384" s="6"/>
      <c r="V384" s="5"/>
      <c r="W384" s="6"/>
      <c r="X384" s="6"/>
      <c r="Y384" s="5"/>
      <c r="Z384" s="6"/>
      <c r="AA384" s="6"/>
      <c r="AB384" s="5"/>
      <c r="AC384" s="6"/>
      <c r="AD384" s="6"/>
      <c r="AE384" s="5"/>
      <c r="AF384" s="6"/>
      <c r="AG384" s="6"/>
      <c r="AH384" s="5"/>
      <c r="AI384" s="6"/>
      <c r="AJ384" s="6"/>
      <c r="AK384" s="5"/>
      <c r="AL384" s="6"/>
      <c r="AM384" s="6"/>
      <c r="AN384" s="6"/>
      <c r="AO384" s="6"/>
      <c r="AP384" s="6"/>
      <c r="AQ384" s="6"/>
    </row>
    <row r="385" spans="1:43" s="2" customFormat="1" x14ac:dyDescent="0.25">
      <c r="A385" s="44" t="str">
        <f t="shared" si="8"/>
        <v>CARRIER_ASIA</v>
      </c>
      <c r="B385" s="9" t="s">
        <v>117</v>
      </c>
      <c r="C385" s="5" t="s">
        <v>693</v>
      </c>
      <c r="D385" s="5" t="s">
        <v>698</v>
      </c>
      <c r="E385" s="5" t="s">
        <v>117</v>
      </c>
      <c r="F385" s="5" t="s">
        <v>117</v>
      </c>
      <c r="G385" s="5"/>
      <c r="H385" s="5"/>
      <c r="I385" s="5"/>
      <c r="J385" s="6"/>
      <c r="K385" s="7"/>
      <c r="L385" s="13"/>
      <c r="M385" s="8"/>
      <c r="N385" s="13"/>
      <c r="O385" s="13"/>
      <c r="P385" s="13"/>
      <c r="Q385" s="7"/>
      <c r="R385" s="6"/>
      <c r="S385" s="5"/>
      <c r="T385" s="6"/>
      <c r="U385" s="6"/>
      <c r="V385" s="5"/>
      <c r="W385" s="6"/>
      <c r="X385" s="6"/>
      <c r="Y385" s="5"/>
      <c r="Z385" s="6"/>
      <c r="AA385" s="6"/>
      <c r="AB385" s="5"/>
      <c r="AC385" s="6"/>
      <c r="AD385" s="6"/>
      <c r="AE385" s="5"/>
      <c r="AF385" s="6"/>
      <c r="AG385" s="6"/>
      <c r="AH385" s="5"/>
      <c r="AI385" s="6"/>
      <c r="AJ385" s="6"/>
      <c r="AK385" s="5"/>
      <c r="AL385" s="6"/>
      <c r="AM385" s="6"/>
      <c r="AN385" s="6"/>
      <c r="AO385" s="6"/>
      <c r="AP385" s="6"/>
      <c r="AQ385" s="6"/>
    </row>
    <row r="386" spans="1:43" s="2" customFormat="1" x14ac:dyDescent="0.25">
      <c r="A386" s="44" t="str">
        <f t="shared" si="8"/>
        <v>CARRIER_JAPAN</v>
      </c>
      <c r="B386" s="9" t="s">
        <v>117</v>
      </c>
      <c r="C386" s="4" t="s">
        <v>722</v>
      </c>
      <c r="D386" s="4"/>
      <c r="E386" s="4" t="s">
        <v>117</v>
      </c>
      <c r="F386" s="4" t="s">
        <v>117</v>
      </c>
      <c r="G386" s="14" t="s">
        <v>132</v>
      </c>
      <c r="H386" s="4" t="s">
        <v>1929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44" t="str">
        <f t="shared" si="8"/>
        <v>CARRIER_KOREA</v>
      </c>
      <c r="B387" s="9" t="s">
        <v>117</v>
      </c>
      <c r="C387" s="4" t="s">
        <v>723</v>
      </c>
      <c r="D387" s="4" t="s">
        <v>722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44" t="str">
        <f t="shared" si="8"/>
        <v>CARRIER_EASTEU</v>
      </c>
      <c r="B388" s="9" t="s">
        <v>117</v>
      </c>
      <c r="C388" s="4" t="s">
        <v>698</v>
      </c>
      <c r="D388" s="4"/>
      <c r="E388" s="4" t="s">
        <v>117</v>
      </c>
      <c r="F388" s="4" t="s">
        <v>117</v>
      </c>
      <c r="G388" s="14"/>
      <c r="H388" s="4" t="s">
        <v>608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44" t="str">
        <f t="shared" si="8"/>
        <v>CARRIER_RUSSIA</v>
      </c>
      <c r="B389" s="9" t="s">
        <v>117</v>
      </c>
      <c r="C389" s="4" t="s">
        <v>735</v>
      </c>
      <c r="D389" s="4" t="s">
        <v>698</v>
      </c>
      <c r="E389" s="4" t="s">
        <v>117</v>
      </c>
      <c r="F389" s="4" t="s">
        <v>117</v>
      </c>
      <c r="G389" s="14" t="s">
        <v>132</v>
      </c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44" t="str">
        <f t="shared" si="8"/>
        <v>CARRIER_AMERICA</v>
      </c>
      <c r="B390" s="9" t="s">
        <v>117</v>
      </c>
      <c r="C390" s="4" t="s">
        <v>699</v>
      </c>
      <c r="D390" s="4"/>
      <c r="E390" s="4" t="s">
        <v>117</v>
      </c>
      <c r="F390" s="4" t="s">
        <v>117</v>
      </c>
      <c r="G390" s="14"/>
      <c r="H390" s="4" t="s">
        <v>135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44" t="str">
        <f t="shared" si="8"/>
        <v>CARRIER_AUSTRALIA</v>
      </c>
      <c r="B391" s="9" t="s">
        <v>117</v>
      </c>
      <c r="C391" s="4" t="s">
        <v>1300</v>
      </c>
      <c r="D391" s="4" t="s">
        <v>713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44" t="str">
        <f t="shared" si="8"/>
        <v>CARRIER_AUSTRIA</v>
      </c>
      <c r="B392" s="9" t="s">
        <v>117</v>
      </c>
      <c r="C392" s="4" t="s">
        <v>701</v>
      </c>
      <c r="D392" s="4" t="s">
        <v>717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44" t="str">
        <f t="shared" si="8"/>
        <v>CARRIER_CANADA</v>
      </c>
      <c r="B393" s="9" t="s">
        <v>117</v>
      </c>
      <c r="C393" s="4" t="s">
        <v>2187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44" t="str">
        <f t="shared" si="8"/>
        <v>CARRIER_CELTS</v>
      </c>
      <c r="B394" s="9" t="s">
        <v>117</v>
      </c>
      <c r="C394" s="4" t="s">
        <v>709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44" t="str">
        <f t="shared" si="8"/>
        <v>CARRIER_ENGLAND</v>
      </c>
      <c r="B395" s="9" t="s">
        <v>117</v>
      </c>
      <c r="C395" s="4" t="s">
        <v>713</v>
      </c>
      <c r="D395" s="4"/>
      <c r="E395" s="4" t="s">
        <v>117</v>
      </c>
      <c r="F395" s="4" t="s">
        <v>117</v>
      </c>
      <c r="G395" s="14" t="s">
        <v>132</v>
      </c>
      <c r="H395" s="4" t="s">
        <v>294</v>
      </c>
      <c r="I395" s="4" t="s">
        <v>102</v>
      </c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44" t="str">
        <f t="shared" si="8"/>
        <v>CARRIER_FRANCE</v>
      </c>
      <c r="B396" s="9" t="s">
        <v>117</v>
      </c>
      <c r="C396" s="4" t="s">
        <v>715</v>
      </c>
      <c r="D396" s="4"/>
      <c r="E396" s="4" t="s">
        <v>117</v>
      </c>
      <c r="F396" s="4" t="s">
        <v>117</v>
      </c>
      <c r="G396" s="14" t="s">
        <v>132</v>
      </c>
      <c r="H396" s="4" t="s">
        <v>338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44" t="str">
        <f t="shared" si="8"/>
        <v>CARRIER_GERMANY</v>
      </c>
      <c r="B397" s="9" t="s">
        <v>117</v>
      </c>
      <c r="C397" s="4" t="s">
        <v>717</v>
      </c>
      <c r="D397" s="4"/>
      <c r="E397" s="4" t="s">
        <v>117</v>
      </c>
      <c r="F397" s="4" t="s">
        <v>117</v>
      </c>
      <c r="G397" s="14" t="s">
        <v>132</v>
      </c>
      <c r="H397" s="4" t="s">
        <v>368</v>
      </c>
      <c r="I397" s="4" t="s">
        <v>102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44" t="str">
        <f t="shared" si="8"/>
        <v>CARRIER_ROME</v>
      </c>
      <c r="B398" s="9" t="s">
        <v>117</v>
      </c>
      <c r="C398" s="4" t="s">
        <v>734</v>
      </c>
      <c r="D398" s="4"/>
      <c r="E398" s="4" t="s">
        <v>117</v>
      </c>
      <c r="F398" s="4" t="s">
        <v>117</v>
      </c>
      <c r="G398" s="14" t="s">
        <v>132</v>
      </c>
      <c r="H398" s="4" t="s">
        <v>583</v>
      </c>
      <c r="I398" s="4" t="s">
        <v>102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44" t="str">
        <f t="shared" si="8"/>
        <v>CARRIER_NORTHAF</v>
      </c>
      <c r="B399" s="9" t="s">
        <v>117</v>
      </c>
      <c r="C399" s="4" t="s">
        <v>2003</v>
      </c>
      <c r="D399" s="4" t="s">
        <v>715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44" t="str">
        <f t="shared" si="8"/>
        <v>CARRIER_SWEDEN</v>
      </c>
      <c r="B400" s="9" t="s">
        <v>117</v>
      </c>
      <c r="C400" s="4" t="s">
        <v>739</v>
      </c>
      <c r="D400" s="4"/>
      <c r="E400" s="4" t="s">
        <v>117</v>
      </c>
      <c r="F400" s="4" t="s">
        <v>117</v>
      </c>
      <c r="G400" s="14" t="s">
        <v>132</v>
      </c>
      <c r="H400" s="4" t="s">
        <v>668</v>
      </c>
      <c r="I400" s="4" t="s">
        <v>102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11"/>
      <c r="AM400" s="11"/>
      <c r="AN400" s="11"/>
      <c r="AO400" s="11"/>
      <c r="AP400" s="11"/>
      <c r="AQ400" s="11"/>
    </row>
    <row r="401" spans="1:43" s="2" customFormat="1" x14ac:dyDescent="0.25">
      <c r="A401" s="44" t="str">
        <f t="shared" si="8"/>
        <v>CARRIER_OCEAN</v>
      </c>
      <c r="B401" s="9" t="s">
        <v>117</v>
      </c>
      <c r="C401" s="4" t="s">
        <v>994</v>
      </c>
      <c r="D401" s="4" t="s">
        <v>699</v>
      </c>
      <c r="E401" s="4" t="s">
        <v>117</v>
      </c>
      <c r="F401" s="4" t="s">
        <v>117</v>
      </c>
      <c r="G401" s="14"/>
      <c r="H401" s="4"/>
      <c r="I401" s="4"/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11"/>
      <c r="AM401" s="11"/>
      <c r="AN401" s="11"/>
      <c r="AO401" s="11"/>
      <c r="AP401" s="11"/>
      <c r="AQ401" s="11"/>
    </row>
    <row r="402" spans="1:43" s="2" customFormat="1" x14ac:dyDescent="0.25">
      <c r="A402" s="44" t="str">
        <f t="shared" si="8"/>
        <v>CARRIER_SEASIA</v>
      </c>
      <c r="B402" s="9" t="s">
        <v>117</v>
      </c>
      <c r="C402" s="4" t="s">
        <v>696</v>
      </c>
      <c r="D402" s="4" t="s">
        <v>715</v>
      </c>
      <c r="E402" s="4" t="s">
        <v>117</v>
      </c>
      <c r="F402" s="4" t="s">
        <v>117</v>
      </c>
      <c r="G402" s="14"/>
      <c r="H402" s="4"/>
      <c r="I402" s="4"/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44" t="str">
        <f t="shared" si="8"/>
        <v>CARRIER_SOUTHAS</v>
      </c>
      <c r="B403" s="9" t="s">
        <v>117</v>
      </c>
      <c r="C403" s="4" t="s">
        <v>695</v>
      </c>
      <c r="D403" s="4" t="s">
        <v>713</v>
      </c>
      <c r="E403" s="4" t="s">
        <v>117</v>
      </c>
      <c r="F403" s="4" t="s">
        <v>117</v>
      </c>
      <c r="G403" s="14"/>
      <c r="H403" s="4"/>
      <c r="I403" s="4"/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44" t="str">
        <f t="shared" si="8"/>
        <v>CATAPULT</v>
      </c>
      <c r="B404" s="9" t="s">
        <v>750</v>
      </c>
      <c r="C404" s="5"/>
      <c r="D404" s="5"/>
      <c r="E404" s="5" t="s">
        <v>750</v>
      </c>
      <c r="F404" s="5" t="s">
        <v>750</v>
      </c>
      <c r="G404" s="5"/>
      <c r="H404" s="5" t="s">
        <v>36</v>
      </c>
      <c r="I404" s="5" t="s">
        <v>128</v>
      </c>
      <c r="J404" s="6"/>
      <c r="K404" s="6"/>
      <c r="L404" s="13" t="s">
        <v>746</v>
      </c>
      <c r="M404" s="8"/>
      <c r="N404" s="5"/>
      <c r="O404" s="5"/>
      <c r="P404" s="5"/>
      <c r="Q404" s="7">
        <v>2</v>
      </c>
      <c r="R404" s="6" t="s">
        <v>1692</v>
      </c>
      <c r="S404" s="13" t="s">
        <v>1610</v>
      </c>
      <c r="T404" s="6">
        <v>4</v>
      </c>
      <c r="U404" s="6"/>
      <c r="V404" s="5" t="s">
        <v>1608</v>
      </c>
      <c r="W404" s="6">
        <v>7</v>
      </c>
      <c r="X404" s="6" t="s">
        <v>3</v>
      </c>
      <c r="Y404" s="5"/>
      <c r="Z404" s="6">
        <v>1</v>
      </c>
      <c r="AA404" s="6"/>
      <c r="AB404" s="5"/>
      <c r="AC404" s="6"/>
      <c r="AD404" s="6" t="s">
        <v>3</v>
      </c>
      <c r="AE404" s="5"/>
      <c r="AF404" s="6"/>
      <c r="AG404" s="6"/>
      <c r="AH404" s="5"/>
      <c r="AI404" s="6"/>
      <c r="AJ404" s="6"/>
      <c r="AK404" s="5"/>
      <c r="AL404" s="6"/>
      <c r="AM404" s="6"/>
      <c r="AN404" s="6"/>
      <c r="AO404" s="6"/>
      <c r="AP404" s="6"/>
      <c r="AQ404" s="6"/>
    </row>
    <row r="405" spans="1:43" s="2" customFormat="1" x14ac:dyDescent="0.25">
      <c r="A405" s="44" t="str">
        <f t="shared" si="8"/>
        <v>CAVALRY</v>
      </c>
      <c r="B405" s="9" t="s">
        <v>751</v>
      </c>
      <c r="C405" s="5"/>
      <c r="D405" s="5"/>
      <c r="E405" s="5" t="s">
        <v>751</v>
      </c>
      <c r="F405" s="5" t="s">
        <v>751</v>
      </c>
      <c r="G405" s="5"/>
      <c r="H405" s="5" t="s">
        <v>35</v>
      </c>
      <c r="I405" s="5" t="s">
        <v>128</v>
      </c>
      <c r="J405" s="6"/>
      <c r="K405" s="6"/>
      <c r="L405" s="13" t="s">
        <v>1711</v>
      </c>
      <c r="M405" s="8"/>
      <c r="N405" s="5"/>
      <c r="O405" s="5"/>
      <c r="P405" s="5"/>
      <c r="Q405" s="7" t="s">
        <v>1692</v>
      </c>
      <c r="R405" s="6" t="s">
        <v>1692</v>
      </c>
      <c r="S405" s="13" t="s">
        <v>1692</v>
      </c>
      <c r="T405" s="7" t="s">
        <v>1692</v>
      </c>
      <c r="U405" s="6" t="s">
        <v>1692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 t="s">
        <v>1692</v>
      </c>
      <c r="AG405" s="6"/>
      <c r="AH405" s="5"/>
      <c r="AI405" s="6"/>
      <c r="AJ405" s="6"/>
      <c r="AK405" s="5"/>
      <c r="AL405" s="6"/>
      <c r="AM405" s="6"/>
      <c r="AN405" s="6"/>
      <c r="AO405" s="6"/>
      <c r="AP405" s="6"/>
      <c r="AQ405" s="6"/>
    </row>
    <row r="406" spans="1:43" s="2" customFormat="1" x14ac:dyDescent="0.25">
      <c r="A406" s="44" t="str">
        <f t="shared" si="8"/>
        <v>CAVALRY_HUNS</v>
      </c>
      <c r="B406" s="9" t="s">
        <v>751</v>
      </c>
      <c r="C406" s="4" t="s">
        <v>904</v>
      </c>
      <c r="D406" s="4"/>
      <c r="E406" s="4" t="s">
        <v>751</v>
      </c>
      <c r="F406" s="4" t="s">
        <v>762</v>
      </c>
      <c r="G406" s="4"/>
      <c r="H406" s="4" t="s">
        <v>906</v>
      </c>
      <c r="I406" s="4" t="s">
        <v>122</v>
      </c>
      <c r="J406" s="11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44" t="str">
        <f t="shared" si="8"/>
        <v>CAVALRY_FRANCE</v>
      </c>
      <c r="B407" s="9" t="s">
        <v>751</v>
      </c>
      <c r="C407" s="4" t="s">
        <v>715</v>
      </c>
      <c r="D407" s="4"/>
      <c r="E407" s="4" t="s">
        <v>751</v>
      </c>
      <c r="F407" s="4" t="s">
        <v>751</v>
      </c>
      <c r="G407" s="14" t="s">
        <v>132</v>
      </c>
      <c r="H407" s="4" t="s">
        <v>339</v>
      </c>
      <c r="I407" s="4" t="s">
        <v>122</v>
      </c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11"/>
      <c r="AM407" s="11"/>
      <c r="AN407" s="11"/>
      <c r="AO407" s="11"/>
      <c r="AP407" s="11"/>
      <c r="AQ407" s="11"/>
    </row>
    <row r="408" spans="1:43" s="2" customFormat="1" x14ac:dyDescent="0.25">
      <c r="A408" s="44" t="str">
        <f t="shared" si="8"/>
        <v>CAVALRY_GERMANY</v>
      </c>
      <c r="B408" s="9" t="s">
        <v>751</v>
      </c>
      <c r="C408" s="4" t="s">
        <v>717</v>
      </c>
      <c r="D408" s="4"/>
      <c r="E408" s="4" t="s">
        <v>751</v>
      </c>
      <c r="F408" s="4" t="s">
        <v>751</v>
      </c>
      <c r="G408" s="14" t="s">
        <v>132</v>
      </c>
      <c r="H408" s="4" t="s">
        <v>369</v>
      </c>
      <c r="I408" s="4" t="s">
        <v>122</v>
      </c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11"/>
      <c r="AM408" s="11"/>
      <c r="AN408" s="11"/>
      <c r="AO408" s="11"/>
      <c r="AP408" s="11"/>
      <c r="AQ408" s="11"/>
    </row>
    <row r="409" spans="1:43" s="2" customFormat="1" x14ac:dyDescent="0.25">
      <c r="A409" s="44" t="str">
        <f t="shared" si="8"/>
        <v>CAVALRY_MIDEAST</v>
      </c>
      <c r="B409" s="9" t="s">
        <v>751</v>
      </c>
      <c r="C409" s="4" t="s">
        <v>690</v>
      </c>
      <c r="D409" s="4"/>
      <c r="E409" s="4" t="s">
        <v>751</v>
      </c>
      <c r="F409" s="4" t="s">
        <v>751</v>
      </c>
      <c r="G409" s="4"/>
      <c r="H409" s="14" t="s">
        <v>958</v>
      </c>
      <c r="I409" s="4" t="s">
        <v>957</v>
      </c>
      <c r="J409" s="50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11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44" t="str">
        <f t="shared" si="8"/>
        <v>CAVALRY_NORTHAF</v>
      </c>
      <c r="B410" s="9" t="s">
        <v>751</v>
      </c>
      <c r="C410" s="4" t="s">
        <v>2003</v>
      </c>
      <c r="D410" s="4" t="s">
        <v>690</v>
      </c>
      <c r="E410" s="4" t="s">
        <v>751</v>
      </c>
      <c r="F410" s="4" t="s">
        <v>751</v>
      </c>
      <c r="G410" s="4"/>
      <c r="H410" s="14"/>
      <c r="I410" s="4"/>
      <c r="J410" s="50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44" t="str">
        <f t="shared" si="8"/>
        <v>CHARIOT_ARCHER</v>
      </c>
      <c r="B411" s="9" t="s">
        <v>752</v>
      </c>
      <c r="C411" s="5"/>
      <c r="D411" s="5"/>
      <c r="E411" s="5" t="s">
        <v>752</v>
      </c>
      <c r="F411" s="5" t="s">
        <v>791</v>
      </c>
      <c r="G411" s="5"/>
      <c r="H411" s="5" t="s">
        <v>1421</v>
      </c>
      <c r="I411" s="5" t="s">
        <v>128</v>
      </c>
      <c r="J411" s="6"/>
      <c r="K411" s="6"/>
      <c r="L411" s="13" t="s">
        <v>1706</v>
      </c>
      <c r="M411" s="8"/>
      <c r="N411" s="5"/>
      <c r="O411" s="5"/>
      <c r="P411" s="5"/>
      <c r="Q411" s="7">
        <v>2</v>
      </c>
      <c r="R411" s="6">
        <v>0.13</v>
      </c>
      <c r="S411" s="13" t="s">
        <v>1615</v>
      </c>
      <c r="T411" s="7">
        <v>3</v>
      </c>
      <c r="U411" s="6" t="s">
        <v>1692</v>
      </c>
      <c r="V411" s="5"/>
      <c r="W411" s="6" t="s">
        <v>3</v>
      </c>
      <c r="X411" s="6" t="s">
        <v>3</v>
      </c>
      <c r="Y411" s="5"/>
      <c r="Z411" s="6">
        <v>1</v>
      </c>
      <c r="AA411" s="6"/>
      <c r="AB411" s="5"/>
      <c r="AC411" s="6"/>
      <c r="AD411" s="6" t="s">
        <v>3</v>
      </c>
      <c r="AE411" s="5"/>
      <c r="AF411" s="6"/>
      <c r="AG411" s="6"/>
      <c r="AH411" s="5"/>
      <c r="AI411" s="6"/>
      <c r="AJ411" s="6"/>
      <c r="AK411" s="5"/>
      <c r="AL411" s="6"/>
      <c r="AM411" s="6"/>
      <c r="AN411" s="6"/>
      <c r="AO411" s="6"/>
      <c r="AP411" s="6"/>
      <c r="AQ411" s="6"/>
    </row>
    <row r="412" spans="1:43" s="2" customFormat="1" x14ac:dyDescent="0.25">
      <c r="A412" s="44" t="str">
        <f t="shared" si="8"/>
        <v>CHARIOT_ARCHER_AFRI</v>
      </c>
      <c r="B412" s="9" t="s">
        <v>752</v>
      </c>
      <c r="C412" s="5" t="s">
        <v>694</v>
      </c>
      <c r="D412" s="5"/>
      <c r="E412" s="5" t="s">
        <v>752</v>
      </c>
      <c r="F412" s="5" t="s">
        <v>791</v>
      </c>
      <c r="G412" s="5"/>
      <c r="H412" s="5" t="s">
        <v>1956</v>
      </c>
      <c r="I412" s="5" t="s">
        <v>1025</v>
      </c>
      <c r="J412" s="6"/>
      <c r="K412" s="6"/>
      <c r="L412" s="13"/>
      <c r="M412" s="8"/>
      <c r="N412" s="5"/>
      <c r="O412" s="5"/>
      <c r="P412" s="5"/>
      <c r="Q412" s="7"/>
      <c r="R412" s="6"/>
      <c r="S412" s="13"/>
      <c r="T412" s="7"/>
      <c r="U412" s="6"/>
      <c r="V412" s="5"/>
      <c r="W412" s="6"/>
      <c r="X412" s="6"/>
      <c r="Y412" s="5"/>
      <c r="Z412" s="6"/>
      <c r="AA412" s="6"/>
      <c r="AB412" s="5"/>
      <c r="AC412" s="6"/>
      <c r="AD412" s="6"/>
      <c r="AE412" s="5"/>
      <c r="AF412" s="6"/>
      <c r="AG412" s="6"/>
      <c r="AH412" s="5"/>
      <c r="AI412" s="6"/>
      <c r="AJ412" s="6"/>
      <c r="AK412" s="5"/>
      <c r="AL412" s="6"/>
      <c r="AM412" s="6"/>
      <c r="AN412" s="6"/>
      <c r="AO412" s="6"/>
      <c r="AP412" s="6"/>
      <c r="AQ412" s="6"/>
    </row>
    <row r="413" spans="1:43" s="2" customFormat="1" x14ac:dyDescent="0.25">
      <c r="A413" s="44" t="str">
        <f t="shared" si="8"/>
        <v>CHARIOT_ARCHER_AMER</v>
      </c>
      <c r="B413" s="9" t="s">
        <v>752</v>
      </c>
      <c r="C413" s="4" t="s">
        <v>697</v>
      </c>
      <c r="D413" s="4"/>
      <c r="E413" s="4" t="s">
        <v>752</v>
      </c>
      <c r="F413" s="4" t="s">
        <v>791</v>
      </c>
      <c r="G413" s="4"/>
      <c r="H413" s="4" t="s">
        <v>459</v>
      </c>
      <c r="I413" s="4" t="s">
        <v>835</v>
      </c>
      <c r="J413" s="11"/>
      <c r="K413" s="11"/>
      <c r="L413" s="4"/>
      <c r="M413" s="12"/>
      <c r="N413" s="4"/>
      <c r="O413" s="4"/>
      <c r="P413" s="4"/>
      <c r="Q413" s="11">
        <v>1</v>
      </c>
      <c r="R413" s="11" t="s">
        <v>1692</v>
      </c>
      <c r="S413" s="4" t="s">
        <v>1692</v>
      </c>
      <c r="T413" s="11">
        <v>1</v>
      </c>
      <c r="U413" s="11"/>
      <c r="V413" s="4"/>
      <c r="W413" s="11"/>
      <c r="X413" s="11"/>
      <c r="Y413" s="4"/>
      <c r="Z413" s="11">
        <v>1</v>
      </c>
      <c r="AA413" s="11"/>
      <c r="AB413" s="4"/>
      <c r="AC413" s="11"/>
      <c r="AD413" s="11"/>
      <c r="AE413" s="4"/>
      <c r="AF413" s="11">
        <v>1</v>
      </c>
      <c r="AG413" s="11"/>
      <c r="AH413" s="4"/>
      <c r="AI413" s="11">
        <v>1</v>
      </c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44" t="str">
        <f t="shared" si="8"/>
        <v>CHARIOT_ARCHER_AMER</v>
      </c>
      <c r="B414" s="9" t="s">
        <v>752</v>
      </c>
      <c r="C414" s="4" t="s">
        <v>697</v>
      </c>
      <c r="D414" s="4"/>
      <c r="E414" s="4" t="s">
        <v>752</v>
      </c>
      <c r="F414" s="4" t="s">
        <v>791</v>
      </c>
      <c r="G414" s="4" t="s">
        <v>2039</v>
      </c>
      <c r="H414" s="4" t="s">
        <v>632</v>
      </c>
      <c r="I414" s="4" t="s">
        <v>835</v>
      </c>
      <c r="J414" s="11"/>
      <c r="K414" s="11"/>
      <c r="L414" s="4"/>
      <c r="M414" s="12"/>
      <c r="N414" s="4"/>
      <c r="O414" s="4"/>
      <c r="P414" s="4"/>
      <c r="Q414" s="11">
        <v>2</v>
      </c>
      <c r="R414" s="11" t="s">
        <v>1692</v>
      </c>
      <c r="S414" s="4" t="s">
        <v>1692</v>
      </c>
      <c r="T414" s="11">
        <v>1</v>
      </c>
      <c r="U414" s="11"/>
      <c r="V414" s="4"/>
      <c r="W414" s="11"/>
      <c r="X414" s="11"/>
      <c r="Y414" s="4"/>
      <c r="Z414" s="11">
        <v>0</v>
      </c>
      <c r="AA414" s="11"/>
      <c r="AB414" s="4"/>
      <c r="AC414" s="11"/>
      <c r="AD414" s="11"/>
      <c r="AE414" s="4"/>
      <c r="AF414" s="11">
        <v>1</v>
      </c>
      <c r="AG414" s="11"/>
      <c r="AH414" s="4"/>
      <c r="AI414" s="11">
        <v>1</v>
      </c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44" t="str">
        <f t="shared" si="8"/>
        <v>CHARIOT_ARCHER_AMER</v>
      </c>
      <c r="B415" s="9" t="s">
        <v>752</v>
      </c>
      <c r="C415" s="4" t="s">
        <v>697</v>
      </c>
      <c r="D415" s="4"/>
      <c r="E415" s="4" t="s">
        <v>752</v>
      </c>
      <c r="F415" s="4" t="s">
        <v>791</v>
      </c>
      <c r="G415" s="4"/>
      <c r="H415" s="4" t="s">
        <v>459</v>
      </c>
      <c r="I415" s="4" t="s">
        <v>835</v>
      </c>
      <c r="J415" s="11"/>
      <c r="K415" s="11"/>
      <c r="L415" s="4"/>
      <c r="M415" s="12"/>
      <c r="N415" s="4"/>
      <c r="O415" s="4"/>
      <c r="P415" s="4"/>
      <c r="Q415" s="11">
        <v>2</v>
      </c>
      <c r="R415" s="11" t="s">
        <v>1692</v>
      </c>
      <c r="S415" s="4" t="s">
        <v>1692</v>
      </c>
      <c r="T415" s="11">
        <v>1</v>
      </c>
      <c r="U415" s="11"/>
      <c r="V415" s="4"/>
      <c r="W415" s="11"/>
      <c r="X415" s="11"/>
      <c r="Y415" s="4"/>
      <c r="Z415" s="11">
        <v>0</v>
      </c>
      <c r="AA415" s="11"/>
      <c r="AB415" s="4"/>
      <c r="AC415" s="11"/>
      <c r="AD415" s="11"/>
      <c r="AE415" s="4"/>
      <c r="AF415" s="11">
        <v>0</v>
      </c>
      <c r="AG415" s="11"/>
      <c r="AH415" s="4"/>
      <c r="AI415" s="11">
        <v>0</v>
      </c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44" t="str">
        <f t="shared" si="8"/>
        <v>CHARIOT_ARCHER_ASIA</v>
      </c>
      <c r="B416" s="9" t="s">
        <v>752</v>
      </c>
      <c r="C416" s="4" t="s">
        <v>693</v>
      </c>
      <c r="D416" s="4"/>
      <c r="E416" s="4" t="s">
        <v>752</v>
      </c>
      <c r="F416" s="4" t="s">
        <v>791</v>
      </c>
      <c r="G416" s="4"/>
      <c r="H416" s="4" t="s">
        <v>2110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>
        <v>5</v>
      </c>
      <c r="R416" s="11" t="s">
        <v>1692</v>
      </c>
      <c r="S416" s="4" t="s">
        <v>1692</v>
      </c>
      <c r="T416" s="11">
        <v>3</v>
      </c>
      <c r="U416" s="11"/>
      <c r="V416" s="4"/>
      <c r="W416" s="11"/>
      <c r="X416" s="11"/>
      <c r="Y416" s="4"/>
      <c r="Z416" s="11"/>
      <c r="AA416" s="11"/>
      <c r="AB416" s="4"/>
      <c r="AC416" s="11"/>
      <c r="AD416" s="11"/>
      <c r="AE416" s="4"/>
      <c r="AF416" s="11">
        <v>2</v>
      </c>
      <c r="AG416" s="11"/>
      <c r="AH416" s="4"/>
      <c r="AI416" s="11">
        <v>2</v>
      </c>
      <c r="AJ416" s="11"/>
      <c r="AK416" s="4"/>
      <c r="AL416" s="11"/>
      <c r="AM416" s="11"/>
      <c r="AN416" s="11"/>
      <c r="AO416" s="11"/>
      <c r="AP416" s="11"/>
      <c r="AQ416" s="11"/>
    </row>
    <row r="417" spans="1:43" s="2" customFormat="1" x14ac:dyDescent="0.25">
      <c r="A417" s="44" t="str">
        <f t="shared" si="8"/>
        <v>CHARIOT_ARCHER_MED</v>
      </c>
      <c r="B417" s="9" t="s">
        <v>752</v>
      </c>
      <c r="C417" s="4" t="s">
        <v>692</v>
      </c>
      <c r="D417" s="4"/>
      <c r="E417" s="4" t="s">
        <v>752</v>
      </c>
      <c r="F417" s="4" t="s">
        <v>791</v>
      </c>
      <c r="G417" s="4"/>
      <c r="H417" s="4" t="s">
        <v>2631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11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44" t="str">
        <f t="shared" si="8"/>
        <v>CHARIOT_ARCHER_CARTHAGE</v>
      </c>
      <c r="B418" s="9" t="s">
        <v>752</v>
      </c>
      <c r="C418" s="4" t="s">
        <v>708</v>
      </c>
      <c r="D418" s="4" t="s">
        <v>692</v>
      </c>
      <c r="E418" s="4" t="s">
        <v>752</v>
      </c>
      <c r="F418" s="4" t="s">
        <v>791</v>
      </c>
      <c r="G418" s="4"/>
      <c r="H418" s="4"/>
      <c r="I418" s="4"/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11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44" t="str">
        <f t="shared" si="8"/>
        <v>CHARIOT_ARCHER_NORTHAF</v>
      </c>
      <c r="B419" s="9" t="s">
        <v>752</v>
      </c>
      <c r="C419" s="4" t="s">
        <v>2003</v>
      </c>
      <c r="D419" s="4" t="s">
        <v>694</v>
      </c>
      <c r="E419" s="4" t="s">
        <v>752</v>
      </c>
      <c r="F419" s="4" t="s">
        <v>791</v>
      </c>
      <c r="G419" s="4"/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11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44" t="str">
        <f t="shared" si="8"/>
        <v>COMPOSITE_BOWMAN</v>
      </c>
      <c r="B420" s="9" t="s">
        <v>116</v>
      </c>
      <c r="C420" s="5"/>
      <c r="D420" s="5"/>
      <c r="E420" s="5" t="s">
        <v>116</v>
      </c>
      <c r="F420" s="5" t="s">
        <v>116</v>
      </c>
      <c r="G420" s="5"/>
      <c r="H420" s="5" t="s">
        <v>1271</v>
      </c>
      <c r="I420" s="5" t="s">
        <v>128</v>
      </c>
      <c r="J420" s="6"/>
      <c r="K420" s="6"/>
      <c r="L420" s="13" t="s">
        <v>1705</v>
      </c>
      <c r="M420" s="8"/>
      <c r="N420" s="5"/>
      <c r="O420" s="5"/>
      <c r="P420" s="5"/>
      <c r="Q420" s="7" t="s">
        <v>1734</v>
      </c>
      <c r="R420" s="6" t="s">
        <v>1734</v>
      </c>
      <c r="S420" s="13" t="s">
        <v>44</v>
      </c>
      <c r="T420" s="7">
        <v>18</v>
      </c>
      <c r="U420" s="7" t="s">
        <v>1734</v>
      </c>
      <c r="V420" s="5"/>
      <c r="W420" s="6" t="s">
        <v>3</v>
      </c>
      <c r="X420" s="6" t="s">
        <v>3</v>
      </c>
      <c r="Y420" s="5"/>
      <c r="Z420" s="7">
        <v>1</v>
      </c>
      <c r="AA420" s="6"/>
      <c r="AB420" s="5"/>
      <c r="AC420" s="6"/>
      <c r="AD420" s="6" t="s">
        <v>3</v>
      </c>
      <c r="AE420" s="5"/>
      <c r="AF420" s="6" t="s">
        <v>1734</v>
      </c>
      <c r="AG420" s="6"/>
      <c r="AH420" s="5"/>
      <c r="AI420" s="6" t="s">
        <v>1734</v>
      </c>
      <c r="AJ420" s="6"/>
      <c r="AK420" s="5"/>
      <c r="AL420" s="6"/>
      <c r="AM420" s="6"/>
      <c r="AN420" s="6"/>
      <c r="AO420" s="6"/>
      <c r="AP420" s="6"/>
      <c r="AQ420" s="6"/>
    </row>
    <row r="421" spans="1:43" s="2" customFormat="1" x14ac:dyDescent="0.25">
      <c r="A421" s="44" t="str">
        <f t="shared" si="8"/>
        <v>COMPOSITE_BOWMAN_AFRI</v>
      </c>
      <c r="B421" s="9" t="s">
        <v>116</v>
      </c>
      <c r="C421" s="4" t="s">
        <v>694</v>
      </c>
      <c r="D421" s="4"/>
      <c r="E421" s="4" t="s">
        <v>116</v>
      </c>
      <c r="F421" s="4" t="s">
        <v>116</v>
      </c>
      <c r="G421" s="4"/>
      <c r="H421" s="4" t="s">
        <v>320</v>
      </c>
      <c r="I421" s="4" t="s">
        <v>1025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44" t="str">
        <f t="shared" si="8"/>
        <v>COMPOSITE_BOWMAN_SONGHAI</v>
      </c>
      <c r="B422" s="9" t="s">
        <v>116</v>
      </c>
      <c r="C422" s="4" t="s">
        <v>737</v>
      </c>
      <c r="D422" s="4"/>
      <c r="E422" s="4" t="s">
        <v>116</v>
      </c>
      <c r="F422" s="4" t="s">
        <v>116</v>
      </c>
      <c r="G422" s="4"/>
      <c r="H422" s="4" t="s">
        <v>1959</v>
      </c>
      <c r="I422" s="4" t="s">
        <v>1025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44" t="str">
        <f t="shared" si="8"/>
        <v>COMPOSITE_BOWMAN_AMER</v>
      </c>
      <c r="B423" s="9" t="s">
        <v>116</v>
      </c>
      <c r="C423" s="4" t="s">
        <v>697</v>
      </c>
      <c r="D423" s="4"/>
      <c r="E423" s="4" t="s">
        <v>116</v>
      </c>
      <c r="F423" s="4" t="s">
        <v>116</v>
      </c>
      <c r="G423" s="4"/>
      <c r="H423" s="4" t="s">
        <v>460</v>
      </c>
      <c r="I423" s="4" t="s">
        <v>835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44" t="str">
        <f t="shared" ref="A424:A488" si="10">CONCATENATE(E424,IF(ISBLANK(C424),"",CONCATENATE("_",C424)))</f>
        <v>COMPOSITE_BOWMAN_ASIA</v>
      </c>
      <c r="B424" s="9" t="s">
        <v>116</v>
      </c>
      <c r="C424" s="4" t="s">
        <v>693</v>
      </c>
      <c r="D424" s="4"/>
      <c r="E424" s="4" t="s">
        <v>116</v>
      </c>
      <c r="F424" s="4" t="s">
        <v>116</v>
      </c>
      <c r="G424" s="4"/>
      <c r="H424" s="4" t="s">
        <v>447</v>
      </c>
      <c r="I424" s="4" t="s">
        <v>102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44" t="str">
        <f t="shared" si="10"/>
        <v>COMPOSITE_BOWMAN_CHINA</v>
      </c>
      <c r="B425" s="9" t="s">
        <v>116</v>
      </c>
      <c r="C425" s="4" t="s">
        <v>710</v>
      </c>
      <c r="D425" s="4"/>
      <c r="E425" s="4" t="s">
        <v>116</v>
      </c>
      <c r="F425" s="4" t="s">
        <v>116</v>
      </c>
      <c r="G425" s="14" t="s">
        <v>132</v>
      </c>
      <c r="H425" s="4" t="s">
        <v>244</v>
      </c>
      <c r="I425" s="4" t="s">
        <v>102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44" t="str">
        <f t="shared" si="10"/>
        <v>COMPOSITE_BOWMAN_JAPAN</v>
      </c>
      <c r="B426" s="9" t="s">
        <v>116</v>
      </c>
      <c r="C426" s="4" t="s">
        <v>722</v>
      </c>
      <c r="D426" s="4"/>
      <c r="E426" s="4" t="s">
        <v>116</v>
      </c>
      <c r="F426" s="4" t="s">
        <v>116</v>
      </c>
      <c r="G426" s="14" t="s">
        <v>132</v>
      </c>
      <c r="H426" s="4" t="s">
        <v>476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44" t="str">
        <f t="shared" si="10"/>
        <v>COMPOSITE_BOWMAN_KOREA</v>
      </c>
      <c r="B427" s="9" t="s">
        <v>116</v>
      </c>
      <c r="C427" s="4" t="s">
        <v>723</v>
      </c>
      <c r="D427" s="4"/>
      <c r="E427" s="4" t="s">
        <v>116</v>
      </c>
      <c r="F427" s="4" t="s">
        <v>116</v>
      </c>
      <c r="G427" s="14" t="s">
        <v>132</v>
      </c>
      <c r="H427" s="4" t="s">
        <v>497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44" t="str">
        <f t="shared" si="10"/>
        <v>COMPOSITE_BOWMAN_MONGOL</v>
      </c>
      <c r="B428" s="9" t="s">
        <v>116</v>
      </c>
      <c r="C428" s="4" t="s">
        <v>728</v>
      </c>
      <c r="D428" s="4"/>
      <c r="E428" s="4" t="s">
        <v>116</v>
      </c>
      <c r="F428" s="4" t="s">
        <v>116</v>
      </c>
      <c r="G428" s="14" t="s">
        <v>132</v>
      </c>
      <c r="H428" s="4" t="s">
        <v>527</v>
      </c>
      <c r="I428" s="4" t="s">
        <v>2089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44" t="str">
        <f t="shared" si="10"/>
        <v>COMPOSITE_BOWMAN_CENTAS</v>
      </c>
      <c r="B429" s="9" t="s">
        <v>116</v>
      </c>
      <c r="C429" s="4" t="s">
        <v>918</v>
      </c>
      <c r="D429" s="4"/>
      <c r="E429" s="4" t="s">
        <v>116</v>
      </c>
      <c r="F429" s="4" t="s">
        <v>116</v>
      </c>
      <c r="G429" s="14" t="s">
        <v>132</v>
      </c>
      <c r="H429" s="4" t="s">
        <v>1029</v>
      </c>
      <c r="I429" s="4" t="s">
        <v>2089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44" t="str">
        <f t="shared" si="10"/>
        <v>COMPOSITE_BOWMAN_EASTEU</v>
      </c>
      <c r="B430" s="9" t="s">
        <v>116</v>
      </c>
      <c r="C430" s="4" t="s">
        <v>698</v>
      </c>
      <c r="D430" s="4"/>
      <c r="E430" s="4" t="s">
        <v>116</v>
      </c>
      <c r="F430" s="4" t="s">
        <v>116</v>
      </c>
      <c r="G430" s="4"/>
      <c r="H430" s="4" t="s">
        <v>609</v>
      </c>
      <c r="I430" s="4" t="s">
        <v>2089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s="2" customFormat="1" x14ac:dyDescent="0.25">
      <c r="A431" s="44" t="str">
        <f t="shared" si="10"/>
        <v>COMPOSITE_BOWMAN_RUSSIA</v>
      </c>
      <c r="B431" s="9" t="s">
        <v>116</v>
      </c>
      <c r="C431" s="4" t="s">
        <v>735</v>
      </c>
      <c r="D431" s="4" t="s">
        <v>698</v>
      </c>
      <c r="E431" s="4" t="s">
        <v>116</v>
      </c>
      <c r="F431" s="4" t="s">
        <v>116</v>
      </c>
      <c r="G431" s="14" t="s">
        <v>132</v>
      </c>
      <c r="H431" s="4"/>
      <c r="I431" s="4"/>
      <c r="J431" s="11"/>
      <c r="K431" s="11"/>
      <c r="L431" s="4"/>
      <c r="M431" s="12"/>
      <c r="N431" s="4"/>
      <c r="O431" s="4"/>
      <c r="P431" s="4"/>
      <c r="Q431" s="11"/>
      <c r="R431" s="11"/>
      <c r="S431" s="4"/>
      <c r="T431" s="11"/>
      <c r="U431" s="11"/>
      <c r="V431" s="4"/>
      <c r="W431" s="11"/>
      <c r="X431" s="11"/>
      <c r="Y431" s="4"/>
      <c r="Z431" s="9"/>
      <c r="AA431" s="11"/>
      <c r="AB431" s="4"/>
      <c r="AC431" s="11"/>
      <c r="AD431" s="11"/>
      <c r="AE431" s="4"/>
      <c r="AF431" s="11"/>
      <c r="AG431" s="11"/>
      <c r="AH431" s="4"/>
      <c r="AI431" s="11"/>
      <c r="AJ431" s="11"/>
      <c r="AK431" s="4"/>
      <c r="AL431" s="11"/>
      <c r="AM431" s="11"/>
      <c r="AN431" s="11"/>
      <c r="AO431" s="11"/>
      <c r="AP431" s="11"/>
      <c r="AQ431" s="11"/>
    </row>
    <row r="432" spans="1:43" s="2" customFormat="1" x14ac:dyDescent="0.25">
      <c r="A432" s="44" t="str">
        <f t="shared" si="10"/>
        <v>COMPOSITE_BOWMAN_ENGLAND</v>
      </c>
      <c r="B432" s="9" t="s">
        <v>116</v>
      </c>
      <c r="C432" s="4" t="s">
        <v>713</v>
      </c>
      <c r="D432" s="4"/>
      <c r="E432" s="4" t="s">
        <v>116</v>
      </c>
      <c r="F432" s="4" t="s">
        <v>116</v>
      </c>
      <c r="G432" s="14" t="s">
        <v>132</v>
      </c>
      <c r="H432" s="4" t="s">
        <v>295</v>
      </c>
      <c r="I432" s="4" t="s">
        <v>102</v>
      </c>
      <c r="J432" s="11"/>
      <c r="K432" s="11"/>
      <c r="L432" s="4"/>
      <c r="M432" s="12"/>
      <c r="N432" s="4"/>
      <c r="O432" s="4"/>
      <c r="P432" s="4"/>
      <c r="Q432" s="11"/>
      <c r="R432" s="11"/>
      <c r="S432" s="4"/>
      <c r="T432" s="11"/>
      <c r="U432" s="11"/>
      <c r="V432" s="4"/>
      <c r="W432" s="11"/>
      <c r="X432" s="11"/>
      <c r="Y432" s="4"/>
      <c r="Z432" s="9"/>
      <c r="AA432" s="11"/>
      <c r="AB432" s="4"/>
      <c r="AC432" s="11"/>
      <c r="AD432" s="11"/>
      <c r="AE432" s="4"/>
      <c r="AF432" s="11"/>
      <c r="AG432" s="11"/>
      <c r="AH432" s="4"/>
      <c r="AI432" s="11"/>
      <c r="AJ432" s="11"/>
      <c r="AK432" s="4"/>
      <c r="AL432" s="11"/>
      <c r="AM432" s="11"/>
      <c r="AN432" s="11"/>
      <c r="AO432" s="11"/>
      <c r="AP432" s="11"/>
      <c r="AQ432" s="11"/>
    </row>
    <row r="433" spans="1:43" s="2" customFormat="1" x14ac:dyDescent="0.25">
      <c r="A433" s="44" t="str">
        <f t="shared" si="10"/>
        <v>COMPOSITE_BOWMAN_FRANCE</v>
      </c>
      <c r="B433" s="9" t="s">
        <v>116</v>
      </c>
      <c r="C433" s="4" t="s">
        <v>715</v>
      </c>
      <c r="D433" s="4"/>
      <c r="E433" s="4" t="s">
        <v>116</v>
      </c>
      <c r="F433" s="4" t="s">
        <v>116</v>
      </c>
      <c r="G433" s="14" t="s">
        <v>132</v>
      </c>
      <c r="H433" s="4" t="s">
        <v>340</v>
      </c>
      <c r="I433" s="4" t="s">
        <v>102</v>
      </c>
      <c r="J433" s="11"/>
      <c r="K433" s="11"/>
      <c r="L433" s="4"/>
      <c r="M433" s="12"/>
      <c r="N433" s="4"/>
      <c r="O433" s="4"/>
      <c r="P433" s="4"/>
      <c r="Q433" s="11"/>
      <c r="R433" s="11">
        <v>0.15</v>
      </c>
      <c r="S433" s="4"/>
      <c r="T433" s="11"/>
      <c r="U433" s="11">
        <v>9.5000000000000001E-2</v>
      </c>
      <c r="V433" s="4"/>
      <c r="W433" s="11"/>
      <c r="X433" s="11"/>
      <c r="Y433" s="4"/>
      <c r="Z433" s="9"/>
      <c r="AA433" s="11">
        <v>0.25</v>
      </c>
      <c r="AB433" s="4"/>
      <c r="AC433" s="11"/>
      <c r="AD433" s="11"/>
      <c r="AE433" s="4"/>
      <c r="AF433" s="11"/>
      <c r="AG433" s="11"/>
      <c r="AH433" s="4"/>
      <c r="AI433" s="11"/>
      <c r="AJ433" s="11"/>
      <c r="AK433" s="4"/>
      <c r="AL433" s="11"/>
      <c r="AM433" s="11"/>
      <c r="AN433" s="11"/>
      <c r="AO433" s="11"/>
      <c r="AP433" s="11"/>
      <c r="AQ433" s="11"/>
    </row>
    <row r="434" spans="1:43" s="2" customFormat="1" x14ac:dyDescent="0.25">
      <c r="A434" s="44" t="str">
        <f t="shared" si="10"/>
        <v>COMPOSITE_BOWMAN_GERMANY</v>
      </c>
      <c r="B434" s="9" t="s">
        <v>116</v>
      </c>
      <c r="C434" s="4" t="s">
        <v>717</v>
      </c>
      <c r="D434" s="4"/>
      <c r="E434" s="4" t="s">
        <v>116</v>
      </c>
      <c r="F434" s="4" t="s">
        <v>116</v>
      </c>
      <c r="G434" s="14" t="s">
        <v>132</v>
      </c>
      <c r="H434" s="4" t="s">
        <v>370</v>
      </c>
      <c r="I434" s="4" t="s">
        <v>102</v>
      </c>
      <c r="J434" s="11"/>
      <c r="K434" s="11"/>
      <c r="L434" s="4"/>
      <c r="M434" s="12"/>
      <c r="N434" s="4"/>
      <c r="O434" s="4"/>
      <c r="P434" s="4"/>
      <c r="Q434" s="11"/>
      <c r="R434" s="11"/>
      <c r="S434" s="4"/>
      <c r="T434" s="11"/>
      <c r="U434" s="11"/>
      <c r="V434" s="4"/>
      <c r="W434" s="11"/>
      <c r="X434" s="11"/>
      <c r="Y434" s="4"/>
      <c r="Z434" s="9"/>
      <c r="AA434" s="11"/>
      <c r="AB434" s="4"/>
      <c r="AC434" s="11"/>
      <c r="AD434" s="11"/>
      <c r="AE434" s="4"/>
      <c r="AF434" s="11"/>
      <c r="AG434" s="11"/>
      <c r="AH434" s="4"/>
      <c r="AI434" s="11"/>
      <c r="AJ434" s="11"/>
      <c r="AK434" s="4"/>
      <c r="AL434" s="11"/>
      <c r="AM434" s="11"/>
      <c r="AN434" s="11"/>
      <c r="AO434" s="11"/>
      <c r="AP434" s="11"/>
      <c r="AQ434" s="11"/>
    </row>
    <row r="435" spans="1:43" x14ac:dyDescent="0.25">
      <c r="A435" s="44" t="str">
        <f t="shared" si="10"/>
        <v>COMPOSITE_BOWMAN_NETHERLANDS</v>
      </c>
      <c r="B435" s="9" t="s">
        <v>116</v>
      </c>
      <c r="C435" s="4" t="s">
        <v>730</v>
      </c>
      <c r="E435" s="4" t="s">
        <v>116</v>
      </c>
      <c r="F435" s="4" t="s">
        <v>116</v>
      </c>
      <c r="G435" s="14" t="s">
        <v>132</v>
      </c>
      <c r="H435" s="4" t="s">
        <v>539</v>
      </c>
      <c r="I435" s="4" t="s">
        <v>1928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44" t="str">
        <f t="shared" si="10"/>
        <v>COMPOSITE_BOWMAN_CARTHAGE</v>
      </c>
      <c r="B436" s="9" t="s">
        <v>116</v>
      </c>
      <c r="C436" s="4" t="s">
        <v>708</v>
      </c>
      <c r="E436" s="4" t="s">
        <v>116</v>
      </c>
      <c r="F436" s="4" t="s">
        <v>116</v>
      </c>
      <c r="G436" s="14"/>
      <c r="H436" s="4" t="s">
        <v>2653</v>
      </c>
      <c r="I436" s="4" t="s">
        <v>1025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44" t="str">
        <f t="shared" si="10"/>
        <v>COMPOSITE_BOWMAN_MED</v>
      </c>
      <c r="B437" s="9" t="s">
        <v>116</v>
      </c>
      <c r="C437" s="4" t="s">
        <v>692</v>
      </c>
      <c r="E437" s="4" t="s">
        <v>116</v>
      </c>
      <c r="F437" s="4" t="s">
        <v>116</v>
      </c>
      <c r="H437" s="4" t="s">
        <v>649</v>
      </c>
      <c r="I437" s="4" t="s">
        <v>2089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44" t="str">
        <f t="shared" si="10"/>
        <v>COMPOSITE_BOWMAN_GREECE</v>
      </c>
      <c r="B438" s="9" t="s">
        <v>116</v>
      </c>
      <c r="C438" s="4" t="s">
        <v>718</v>
      </c>
      <c r="E438" s="4" t="s">
        <v>116</v>
      </c>
      <c r="F438" s="4" t="s">
        <v>116</v>
      </c>
      <c r="G438" s="14" t="s">
        <v>132</v>
      </c>
      <c r="H438" s="4" t="s">
        <v>399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44" t="str">
        <f t="shared" si="10"/>
        <v>COMPOSITE_BOWMAN_ROME</v>
      </c>
      <c r="B439" s="9" t="s">
        <v>116</v>
      </c>
      <c r="C439" s="4" t="s">
        <v>734</v>
      </c>
      <c r="E439" s="4" t="s">
        <v>116</v>
      </c>
      <c r="F439" s="4" t="s">
        <v>116</v>
      </c>
      <c r="G439" s="14" t="s">
        <v>132</v>
      </c>
      <c r="H439" s="4" t="s">
        <v>584</v>
      </c>
      <c r="I439" s="4" t="s">
        <v>102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44" t="str">
        <f t="shared" si="10"/>
        <v>COMPOSITE_BOWMAN_SPAIN</v>
      </c>
      <c r="B440" s="9" t="s">
        <v>116</v>
      </c>
      <c r="C440" s="4" t="s">
        <v>738</v>
      </c>
      <c r="D440" s="4" t="s">
        <v>692</v>
      </c>
      <c r="E440" s="4" t="s">
        <v>116</v>
      </c>
      <c r="F440" s="4" t="s">
        <v>116</v>
      </c>
      <c r="G440" s="14" t="s">
        <v>132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44" t="str">
        <f t="shared" si="10"/>
        <v>COMPOSITE_BOWMAN_MIDEAST</v>
      </c>
      <c r="B441" s="9" t="s">
        <v>116</v>
      </c>
      <c r="C441" s="4" t="s">
        <v>690</v>
      </c>
      <c r="E441" s="4" t="s">
        <v>116</v>
      </c>
      <c r="F441" s="4" t="s">
        <v>116</v>
      </c>
      <c r="H441" s="4" t="s">
        <v>158</v>
      </c>
      <c r="I441" s="4" t="s">
        <v>2089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44" t="str">
        <f t="shared" si="10"/>
        <v>COMPOSITE_BOWMAN_BABYLON</v>
      </c>
      <c r="B442" s="9" t="s">
        <v>116</v>
      </c>
      <c r="C442" s="4" t="s">
        <v>703</v>
      </c>
      <c r="E442" s="4" t="s">
        <v>116</v>
      </c>
      <c r="F442" s="4" t="s">
        <v>116</v>
      </c>
      <c r="G442" s="14"/>
      <c r="H442" s="4" t="s">
        <v>206</v>
      </c>
      <c r="I442" s="4" t="s">
        <v>102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44" t="str">
        <f t="shared" si="10"/>
        <v>COMPOSITE_BOWMAN_EGYPT</v>
      </c>
      <c r="B443" s="9" t="s">
        <v>116</v>
      </c>
      <c r="C443" s="4" t="s">
        <v>712</v>
      </c>
      <c r="E443" s="4" t="s">
        <v>116</v>
      </c>
      <c r="F443" s="4" t="s">
        <v>116</v>
      </c>
      <c r="G443" s="14" t="s">
        <v>132</v>
      </c>
      <c r="H443" s="4" t="s">
        <v>276</v>
      </c>
      <c r="I443" s="4" t="s">
        <v>2089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44" t="str">
        <f t="shared" si="10"/>
        <v>COMPOSITE_BOWMAN_LEVANT</v>
      </c>
      <c r="B444" s="9" t="s">
        <v>116</v>
      </c>
      <c r="C444" s="4" t="s">
        <v>724</v>
      </c>
      <c r="E444" s="4" t="s">
        <v>116</v>
      </c>
      <c r="F444" s="4" t="s">
        <v>116</v>
      </c>
      <c r="G444" s="14" t="s">
        <v>132</v>
      </c>
      <c r="H444" s="4" t="s">
        <v>507</v>
      </c>
      <c r="I444" s="4" t="s">
        <v>1063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44" t="str">
        <f t="shared" si="10"/>
        <v>COMPOSITE_BOWMAN_PERSIA</v>
      </c>
      <c r="B445" s="9" t="s">
        <v>116</v>
      </c>
      <c r="C445" s="4" t="s">
        <v>731</v>
      </c>
      <c r="E445" s="4" t="s">
        <v>116</v>
      </c>
      <c r="F445" s="4" t="s">
        <v>116</v>
      </c>
      <c r="G445" s="14" t="s">
        <v>132</v>
      </c>
      <c r="H445" s="4" t="s">
        <v>552</v>
      </c>
      <c r="I445" s="4" t="s">
        <v>102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44" t="str">
        <f t="shared" si="10"/>
        <v>COMPOSITE_BOWMAN_NORTHEU</v>
      </c>
      <c r="B446" s="9" t="s">
        <v>116</v>
      </c>
      <c r="C446" s="4" t="s">
        <v>962</v>
      </c>
      <c r="E446" s="4" t="s">
        <v>116</v>
      </c>
      <c r="F446" s="4" t="s">
        <v>116</v>
      </c>
      <c r="G446" s="14" t="s">
        <v>132</v>
      </c>
      <c r="H446" s="4" t="s">
        <v>265</v>
      </c>
      <c r="I446" s="4" t="s">
        <v>102</v>
      </c>
      <c r="R446" s="11">
        <v>0.15</v>
      </c>
      <c r="U446" s="11">
        <v>9.5000000000000001E-2</v>
      </c>
      <c r="Z446" s="9"/>
      <c r="AA446" s="11">
        <v>0.25</v>
      </c>
      <c r="AL446" s="11"/>
      <c r="AM446" s="11"/>
      <c r="AN446" s="11"/>
      <c r="AO446" s="11"/>
      <c r="AP446" s="11"/>
      <c r="AQ446" s="11"/>
    </row>
    <row r="447" spans="1:43" x14ac:dyDescent="0.25">
      <c r="A447" s="44" t="str">
        <f t="shared" si="10"/>
        <v>COMPOSITE_BOWMAN_OCEAN</v>
      </c>
      <c r="B447" s="9" t="s">
        <v>116</v>
      </c>
      <c r="C447" s="4" t="s">
        <v>994</v>
      </c>
      <c r="D447" s="4" t="s">
        <v>691</v>
      </c>
      <c r="E447" s="4" t="s">
        <v>116</v>
      </c>
      <c r="F447" s="4" t="s">
        <v>116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44" t="str">
        <f t="shared" si="10"/>
        <v>COMPOSITE_BOWMAN_SEASIA</v>
      </c>
      <c r="B448" s="9" t="s">
        <v>116</v>
      </c>
      <c r="C448" s="4" t="s">
        <v>696</v>
      </c>
      <c r="D448" s="4" t="s">
        <v>693</v>
      </c>
      <c r="E448" s="4" t="s">
        <v>116</v>
      </c>
      <c r="F448" s="4" t="s">
        <v>116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44" t="str">
        <f t="shared" si="10"/>
        <v>COMPOSITE_BOWMAN_SOUTHAM</v>
      </c>
      <c r="B449" s="9" t="s">
        <v>116</v>
      </c>
      <c r="C449" s="4" t="s">
        <v>691</v>
      </c>
      <c r="E449" s="4" t="s">
        <v>116</v>
      </c>
      <c r="F449" s="4" t="s">
        <v>116</v>
      </c>
      <c r="H449" s="4" t="s">
        <v>192</v>
      </c>
      <c r="I449" s="4" t="s">
        <v>2089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44" t="str">
        <f t="shared" si="10"/>
        <v>COMPOSITE_BOWMAN_AZTEC</v>
      </c>
      <c r="B450" s="9" t="s">
        <v>116</v>
      </c>
      <c r="C450" s="4" t="s">
        <v>702</v>
      </c>
      <c r="D450" s="4" t="s">
        <v>691</v>
      </c>
      <c r="E450" s="4" t="s">
        <v>116</v>
      </c>
      <c r="F450" s="4" t="s">
        <v>116</v>
      </c>
      <c r="G450" s="14"/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44" t="str">
        <f t="shared" si="10"/>
        <v>COMPOSITE_BOWMAN_INCA</v>
      </c>
      <c r="B451" s="9" t="s">
        <v>116</v>
      </c>
      <c r="C451" s="4" t="s">
        <v>719</v>
      </c>
      <c r="E451" s="4" t="s">
        <v>116</v>
      </c>
      <c r="F451" s="4" t="s">
        <v>116</v>
      </c>
      <c r="G451" s="14" t="s">
        <v>132</v>
      </c>
      <c r="H451" s="4" t="s">
        <v>418</v>
      </c>
      <c r="I451" s="4" t="s">
        <v>2089</v>
      </c>
      <c r="Z451" s="9"/>
      <c r="AL451" s="11"/>
      <c r="AM451" s="11"/>
      <c r="AN451" s="11"/>
      <c r="AO451" s="11"/>
      <c r="AP451" s="11"/>
      <c r="AQ451" s="11"/>
    </row>
    <row r="452" spans="1:43" x14ac:dyDescent="0.25">
      <c r="A452" s="44" t="str">
        <f t="shared" si="10"/>
        <v>COMPOSITE_BOWMAN_MAYA</v>
      </c>
      <c r="B452" s="9" t="s">
        <v>116</v>
      </c>
      <c r="C452" s="4" t="s">
        <v>725</v>
      </c>
      <c r="E452" s="4" t="s">
        <v>116</v>
      </c>
      <c r="F452" s="4" t="s">
        <v>116</v>
      </c>
      <c r="G452" s="14" t="s">
        <v>132</v>
      </c>
      <c r="H452" s="4" t="s">
        <v>515</v>
      </c>
      <c r="I452" s="4" t="s">
        <v>2089</v>
      </c>
      <c r="Z452" s="9"/>
      <c r="AL452" s="11"/>
      <c r="AM452" s="11"/>
      <c r="AN452" s="11"/>
      <c r="AO452" s="11"/>
      <c r="AP452" s="11"/>
      <c r="AQ452" s="11"/>
    </row>
    <row r="453" spans="1:43" x14ac:dyDescent="0.25">
      <c r="A453" s="44" t="str">
        <f t="shared" si="10"/>
        <v>COMPOSITE_BOWMAN_SOUTHAS</v>
      </c>
      <c r="B453" s="9" t="s">
        <v>116</v>
      </c>
      <c r="C453" s="4" t="s">
        <v>695</v>
      </c>
      <c r="D453" s="4" t="s">
        <v>693</v>
      </c>
      <c r="E453" s="4" t="s">
        <v>116</v>
      </c>
      <c r="F453" s="4" t="s">
        <v>116</v>
      </c>
      <c r="Z453" s="9"/>
      <c r="AL453" s="11"/>
      <c r="AM453" s="11"/>
      <c r="AN453" s="11"/>
      <c r="AO453" s="11"/>
      <c r="AP453" s="11"/>
      <c r="AQ453" s="11"/>
    </row>
    <row r="454" spans="1:43" x14ac:dyDescent="0.25">
      <c r="A454" s="44" t="str">
        <f t="shared" si="10"/>
        <v>COMPOSITE_BOWMAN_INDIA</v>
      </c>
      <c r="B454" s="9" t="s">
        <v>116</v>
      </c>
      <c r="C454" s="4" t="s">
        <v>720</v>
      </c>
      <c r="E454" s="4" t="s">
        <v>116</v>
      </c>
      <c r="F454" s="4" t="s">
        <v>116</v>
      </c>
      <c r="G454" s="14" t="s">
        <v>132</v>
      </c>
      <c r="H454" s="4" t="s">
        <v>431</v>
      </c>
      <c r="I454" s="4" t="s">
        <v>102</v>
      </c>
      <c r="Z454" s="9"/>
      <c r="AL454" s="11"/>
      <c r="AM454" s="11"/>
      <c r="AN454" s="11"/>
      <c r="AO454" s="11"/>
      <c r="AP454" s="11"/>
      <c r="AQ454" s="11"/>
    </row>
    <row r="455" spans="1:43" x14ac:dyDescent="0.25">
      <c r="A455" s="44" t="str">
        <f t="shared" si="10"/>
        <v>CONFEDERATE_ARTILLERY_NAPOLEON</v>
      </c>
      <c r="C455" s="5"/>
      <c r="D455" s="5"/>
      <c r="E455" s="5" t="s">
        <v>1325</v>
      </c>
      <c r="F455" s="5" t="s">
        <v>1325</v>
      </c>
      <c r="G455" s="5"/>
      <c r="H455" s="5" t="s">
        <v>1422</v>
      </c>
      <c r="I455" s="5" t="s">
        <v>128</v>
      </c>
      <c r="J455" s="6"/>
      <c r="K455" s="6"/>
      <c r="L455" s="13" t="s">
        <v>746</v>
      </c>
      <c r="M455" s="8"/>
      <c r="N455" s="5"/>
      <c r="O455" s="5"/>
      <c r="P455" s="5"/>
      <c r="Q455" s="7">
        <v>2</v>
      </c>
      <c r="R455" s="6" t="s">
        <v>1692</v>
      </c>
      <c r="S455" s="13" t="s">
        <v>1610</v>
      </c>
      <c r="T455" s="6"/>
      <c r="U455" s="6" t="s">
        <v>1692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/>
      <c r="AG455" s="6"/>
      <c r="AH455" s="5"/>
      <c r="AI455" s="6"/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44" t="str">
        <f t="shared" si="10"/>
        <v>CONFEDERATE_ARTILLERY_PARROTT</v>
      </c>
      <c r="C456" s="5"/>
      <c r="D456" s="5"/>
      <c r="E456" s="5" t="s">
        <v>1326</v>
      </c>
      <c r="F456" s="5" t="s">
        <v>1326</v>
      </c>
      <c r="G456" s="5"/>
      <c r="H456" s="5" t="s">
        <v>1423</v>
      </c>
      <c r="I456" s="5" t="s">
        <v>128</v>
      </c>
      <c r="J456" s="6"/>
      <c r="K456" s="6"/>
      <c r="L456" s="13" t="s">
        <v>746</v>
      </c>
      <c r="M456" s="8"/>
      <c r="N456" s="5"/>
      <c r="O456" s="5"/>
      <c r="P456" s="5"/>
      <c r="Q456" s="7">
        <v>2</v>
      </c>
      <c r="R456" s="6" t="s">
        <v>1692</v>
      </c>
      <c r="S456" s="13" t="s">
        <v>1610</v>
      </c>
      <c r="T456" s="6"/>
      <c r="U456" s="7" t="s">
        <v>1692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/>
      <c r="AG456" s="6"/>
      <c r="AH456" s="5"/>
      <c r="AI456" s="6"/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44" t="str">
        <f t="shared" si="10"/>
        <v>CONFEDERATE_CAVALRY_CARBINE</v>
      </c>
      <c r="C457" s="5"/>
      <c r="D457" s="5"/>
      <c r="E457" s="5" t="s">
        <v>1327</v>
      </c>
      <c r="F457" s="5" t="s">
        <v>1327</v>
      </c>
      <c r="G457" s="5"/>
      <c r="H457" s="5" t="s">
        <v>1424</v>
      </c>
      <c r="I457" s="5" t="s">
        <v>128</v>
      </c>
      <c r="J457" s="6"/>
      <c r="K457" s="6"/>
      <c r="L457" s="13" t="s">
        <v>1711</v>
      </c>
      <c r="M457" s="8"/>
      <c r="N457" s="5"/>
      <c r="O457" s="5"/>
      <c r="P457" s="5"/>
      <c r="Q457" s="7" t="s">
        <v>1692</v>
      </c>
      <c r="R457" s="6" t="s">
        <v>1692</v>
      </c>
      <c r="S457" s="13" t="s">
        <v>1692</v>
      </c>
      <c r="T457" s="6"/>
      <c r="U457" s="7" t="s">
        <v>1692</v>
      </c>
      <c r="V457" s="5"/>
      <c r="W457" s="7" t="s">
        <v>3</v>
      </c>
      <c r="X457" s="6" t="s">
        <v>3</v>
      </c>
      <c r="Y457" s="5"/>
      <c r="Z457" s="7">
        <v>1</v>
      </c>
      <c r="AA457" s="6"/>
      <c r="AB457" s="5"/>
      <c r="AC457" s="6"/>
      <c r="AD457" s="6" t="s">
        <v>3</v>
      </c>
      <c r="AE457" s="5"/>
      <c r="AF457" s="6" t="s">
        <v>1734</v>
      </c>
      <c r="AG457" s="6"/>
      <c r="AH457" s="5"/>
      <c r="AI457" s="6"/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44" t="str">
        <f t="shared" si="10"/>
        <v>CONFEDERATE_CAVALRY_PISTOL</v>
      </c>
      <c r="C458" s="5"/>
      <c r="D458" s="5"/>
      <c r="E458" s="5" t="s">
        <v>1328</v>
      </c>
      <c r="F458" s="5" t="s">
        <v>1328</v>
      </c>
      <c r="G458" s="5"/>
      <c r="H458" s="5" t="s">
        <v>1425</v>
      </c>
      <c r="I458" s="5" t="s">
        <v>128</v>
      </c>
      <c r="J458" s="6"/>
      <c r="K458" s="6"/>
      <c r="L458" s="13" t="s">
        <v>1711</v>
      </c>
      <c r="M458" s="8"/>
      <c r="N458" s="5"/>
      <c r="O458" s="5"/>
      <c r="P458" s="5"/>
      <c r="Q458" s="7" t="s">
        <v>1692</v>
      </c>
      <c r="R458" s="6" t="s">
        <v>1692</v>
      </c>
      <c r="S458" s="13" t="s">
        <v>1692</v>
      </c>
      <c r="T458" s="6"/>
      <c r="U458" s="7" t="s">
        <v>1692</v>
      </c>
      <c r="V458" s="5"/>
      <c r="W458" s="7" t="s">
        <v>3</v>
      </c>
      <c r="X458" s="6" t="s">
        <v>3</v>
      </c>
      <c r="Y458" s="5"/>
      <c r="Z458" s="7">
        <v>1</v>
      </c>
      <c r="AA458" s="6"/>
      <c r="AB458" s="5"/>
      <c r="AC458" s="6"/>
      <c r="AD458" s="6" t="s">
        <v>3</v>
      </c>
      <c r="AE458" s="5"/>
      <c r="AF458" s="6" t="s">
        <v>1734</v>
      </c>
      <c r="AG458" s="6"/>
      <c r="AH458" s="5"/>
      <c r="AI458" s="6"/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44" t="str">
        <f t="shared" si="10"/>
        <v>CONFEDERATE_CORPS</v>
      </c>
      <c r="C459" s="5"/>
      <c r="D459" s="5"/>
      <c r="E459" s="5" t="s">
        <v>1329</v>
      </c>
      <c r="F459" s="5" t="s">
        <v>1331</v>
      </c>
      <c r="G459" s="5"/>
      <c r="H459" s="5" t="s">
        <v>1428</v>
      </c>
      <c r="I459" s="5" t="s">
        <v>128</v>
      </c>
      <c r="J459" s="6"/>
      <c r="K459" s="6"/>
      <c r="L459" s="13" t="s">
        <v>1705</v>
      </c>
      <c r="M459" s="8"/>
      <c r="N459" s="5"/>
      <c r="O459" s="5"/>
      <c r="P459" s="5"/>
      <c r="Q459" s="6">
        <v>2</v>
      </c>
      <c r="R459" s="6" t="s">
        <v>1734</v>
      </c>
      <c r="S459" s="13" t="s">
        <v>1616</v>
      </c>
      <c r="T459" s="6">
        <v>2</v>
      </c>
      <c r="U459" s="7" t="s">
        <v>1734</v>
      </c>
      <c r="V459" s="5"/>
      <c r="W459" s="7" t="s">
        <v>3</v>
      </c>
      <c r="X459" s="6" t="s">
        <v>3</v>
      </c>
      <c r="Y459" s="5"/>
      <c r="Z459" s="7">
        <v>1</v>
      </c>
      <c r="AA459" s="6"/>
      <c r="AB459" s="5"/>
      <c r="AC459" s="6"/>
      <c r="AD459" s="6" t="s">
        <v>3</v>
      </c>
      <c r="AE459" s="5"/>
      <c r="AF459" s="6">
        <v>1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44" t="str">
        <f t="shared" si="10"/>
        <v>CONFEDERATE_CORPS</v>
      </c>
      <c r="C460" s="5"/>
      <c r="D460" s="5"/>
      <c r="E460" s="5" t="s">
        <v>1329</v>
      </c>
      <c r="F460" s="5" t="s">
        <v>1331</v>
      </c>
      <c r="G460" s="5" t="s">
        <v>2047</v>
      </c>
      <c r="H460" s="5" t="s">
        <v>1429</v>
      </c>
      <c r="I460" s="5" t="s">
        <v>128</v>
      </c>
      <c r="J460" s="6"/>
      <c r="K460" s="6"/>
      <c r="L460" s="13" t="s">
        <v>1705</v>
      </c>
      <c r="M460" s="8"/>
      <c r="N460" s="5"/>
      <c r="O460" s="5"/>
      <c r="P460" s="5"/>
      <c r="Q460" s="6">
        <v>1</v>
      </c>
      <c r="R460" s="6" t="s">
        <v>1734</v>
      </c>
      <c r="S460" s="13" t="s">
        <v>1616</v>
      </c>
      <c r="T460" s="6">
        <v>1</v>
      </c>
      <c r="U460" s="7" t="s">
        <v>1734</v>
      </c>
      <c r="V460" s="5"/>
      <c r="W460" s="7" t="s">
        <v>3</v>
      </c>
      <c r="X460" s="6" t="s">
        <v>3</v>
      </c>
      <c r="Y460" s="5"/>
      <c r="Z460" s="7">
        <v>1</v>
      </c>
      <c r="AA460" s="6"/>
      <c r="AB460" s="5"/>
      <c r="AC460" s="6"/>
      <c r="AD460" s="6" t="s">
        <v>3</v>
      </c>
      <c r="AE460" s="5"/>
      <c r="AF460" s="6">
        <v>1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44" t="str">
        <f t="shared" si="10"/>
        <v>CONFEDERATE_CORPS</v>
      </c>
      <c r="C461" s="5"/>
      <c r="D461" s="5"/>
      <c r="E461" s="5" t="s">
        <v>1329</v>
      </c>
      <c r="F461" s="5" t="s">
        <v>1331</v>
      </c>
      <c r="G461" s="5" t="s">
        <v>2039</v>
      </c>
      <c r="H461" s="5" t="s">
        <v>1430</v>
      </c>
      <c r="I461" s="5" t="s">
        <v>128</v>
      </c>
      <c r="J461" s="6"/>
      <c r="K461" s="6"/>
      <c r="L461" s="13" t="s">
        <v>1705</v>
      </c>
      <c r="M461" s="8"/>
      <c r="N461" s="5"/>
      <c r="O461" s="5"/>
      <c r="P461" s="5"/>
      <c r="Q461" s="6">
        <v>2</v>
      </c>
      <c r="R461" s="6" t="s">
        <v>1734</v>
      </c>
      <c r="S461" s="13" t="s">
        <v>1616</v>
      </c>
      <c r="T461" s="6">
        <v>2</v>
      </c>
      <c r="U461" s="7" t="s">
        <v>1734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44" t="str">
        <f t="shared" si="10"/>
        <v>CONFEDERATE_CORPS</v>
      </c>
      <c r="C462" s="5"/>
      <c r="D462" s="5"/>
      <c r="E462" s="5" t="s">
        <v>1329</v>
      </c>
      <c r="F462" s="5" t="s">
        <v>1331</v>
      </c>
      <c r="G462" s="5"/>
      <c r="H462" s="5" t="s">
        <v>1428</v>
      </c>
      <c r="I462" s="5" t="s">
        <v>128</v>
      </c>
      <c r="J462" s="6"/>
      <c r="K462" s="6"/>
      <c r="L462" s="13" t="s">
        <v>1705</v>
      </c>
      <c r="M462" s="8"/>
      <c r="N462" s="5"/>
      <c r="O462" s="5"/>
      <c r="P462" s="5"/>
      <c r="Q462" s="6">
        <v>1</v>
      </c>
      <c r="R462" s="6" t="s">
        <v>1734</v>
      </c>
      <c r="S462" s="13" t="s">
        <v>1616</v>
      </c>
      <c r="T462" s="6">
        <v>1</v>
      </c>
      <c r="U462" s="7" t="s">
        <v>1734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44" t="str">
        <f t="shared" si="10"/>
        <v>CONFEDERATE_CORPS</v>
      </c>
      <c r="C463" s="5"/>
      <c r="D463" s="5"/>
      <c r="E463" s="5" t="s">
        <v>1329</v>
      </c>
      <c r="F463" s="5" t="s">
        <v>1331</v>
      </c>
      <c r="G463" s="5" t="s">
        <v>2047</v>
      </c>
      <c r="H463" s="5" t="s">
        <v>1429</v>
      </c>
      <c r="I463" s="5" t="s">
        <v>128</v>
      </c>
      <c r="J463" s="6"/>
      <c r="K463" s="6"/>
      <c r="L463" s="13" t="s">
        <v>1705</v>
      </c>
      <c r="M463" s="8"/>
      <c r="N463" s="5"/>
      <c r="O463" s="5"/>
      <c r="P463" s="5"/>
      <c r="Q463" s="6">
        <v>1</v>
      </c>
      <c r="R463" s="6" t="s">
        <v>1734</v>
      </c>
      <c r="S463" s="13" t="s">
        <v>1616</v>
      </c>
      <c r="T463" s="6">
        <v>1</v>
      </c>
      <c r="U463" s="7" t="s">
        <v>1734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44" t="str">
        <f t="shared" si="10"/>
        <v>CONFEDERATE_CORPS</v>
      </c>
      <c r="C464" s="5"/>
      <c r="D464" s="5"/>
      <c r="E464" s="5" t="s">
        <v>1329</v>
      </c>
      <c r="F464" s="5" t="s">
        <v>1331</v>
      </c>
      <c r="G464" s="5"/>
      <c r="H464" s="5" t="s">
        <v>1428</v>
      </c>
      <c r="I464" s="5" t="s">
        <v>128</v>
      </c>
      <c r="J464" s="6"/>
      <c r="K464" s="6"/>
      <c r="L464" s="13" t="s">
        <v>1705</v>
      </c>
      <c r="M464" s="8"/>
      <c r="N464" s="5"/>
      <c r="O464" s="5"/>
      <c r="P464" s="5"/>
      <c r="Q464" s="6">
        <v>2</v>
      </c>
      <c r="R464" s="6" t="s">
        <v>1734</v>
      </c>
      <c r="S464" s="13" t="s">
        <v>1616</v>
      </c>
      <c r="T464" s="6">
        <v>2</v>
      </c>
      <c r="U464" s="7" t="s">
        <v>1734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44" t="str">
        <f t="shared" si="10"/>
        <v>CONFEDERATE_CORPS</v>
      </c>
      <c r="C465" s="5"/>
      <c r="D465" s="5"/>
      <c r="E465" s="5" t="s">
        <v>1329</v>
      </c>
      <c r="F465" s="5" t="s">
        <v>1331</v>
      </c>
      <c r="G465" s="5" t="s">
        <v>2039</v>
      </c>
      <c r="H465" s="5" t="s">
        <v>1430</v>
      </c>
      <c r="I465" s="5" t="s">
        <v>128</v>
      </c>
      <c r="J465" s="6"/>
      <c r="K465" s="6"/>
      <c r="L465" s="13" t="s">
        <v>1705</v>
      </c>
      <c r="M465" s="8"/>
      <c r="N465" s="5"/>
      <c r="O465" s="5"/>
      <c r="P465" s="5"/>
      <c r="Q465" s="6">
        <v>4</v>
      </c>
      <c r="R465" s="6" t="s">
        <v>1734</v>
      </c>
      <c r="S465" s="13" t="s">
        <v>1616</v>
      </c>
      <c r="T465" s="6">
        <v>4</v>
      </c>
      <c r="U465" s="7" t="s">
        <v>1734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44" t="str">
        <f t="shared" si="10"/>
        <v>CONFEDERATE_CORPS</v>
      </c>
      <c r="C466" s="5"/>
      <c r="D466" s="5"/>
      <c r="E466" s="5" t="s">
        <v>1329</v>
      </c>
      <c r="F466" s="5" t="s">
        <v>1331</v>
      </c>
      <c r="G466" s="5" t="s">
        <v>2047</v>
      </c>
      <c r="H466" s="5" t="s">
        <v>1429</v>
      </c>
      <c r="I466" s="5" t="s">
        <v>128</v>
      </c>
      <c r="J466" s="6"/>
      <c r="K466" s="6"/>
      <c r="L466" s="13" t="s">
        <v>1705</v>
      </c>
      <c r="M466" s="8"/>
      <c r="N466" s="5"/>
      <c r="O466" s="5"/>
      <c r="P466" s="5"/>
      <c r="Q466" s="6">
        <v>1</v>
      </c>
      <c r="R466" s="6" t="s">
        <v>1734</v>
      </c>
      <c r="S466" s="13" t="s">
        <v>1616</v>
      </c>
      <c r="T466" s="6">
        <v>1</v>
      </c>
      <c r="U466" s="7" t="s">
        <v>1734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44" t="str">
        <f t="shared" si="10"/>
        <v>CONFEDERATE_DIVISION</v>
      </c>
      <c r="C467" s="5"/>
      <c r="D467" s="5"/>
      <c r="E467" s="5" t="s">
        <v>1330</v>
      </c>
      <c r="F467" s="5" t="s">
        <v>1331</v>
      </c>
      <c r="G467" s="5"/>
      <c r="H467" s="5" t="s">
        <v>1428</v>
      </c>
      <c r="I467" s="5" t="s">
        <v>128</v>
      </c>
      <c r="J467" s="6"/>
      <c r="K467" s="6"/>
      <c r="L467" s="13" t="s">
        <v>1705</v>
      </c>
      <c r="M467" s="8"/>
      <c r="N467" s="5"/>
      <c r="O467" s="5"/>
      <c r="P467" s="5"/>
      <c r="Q467" s="6">
        <v>2</v>
      </c>
      <c r="R467" s="6" t="s">
        <v>1734</v>
      </c>
      <c r="S467" s="13" t="s">
        <v>1616</v>
      </c>
      <c r="T467" s="6">
        <v>2</v>
      </c>
      <c r="U467" s="7" t="s">
        <v>1734</v>
      </c>
      <c r="V467" s="5"/>
      <c r="W467" s="7" t="s">
        <v>3</v>
      </c>
      <c r="X467" s="6" t="s">
        <v>3</v>
      </c>
      <c r="Y467" s="5"/>
      <c r="Z467" s="7">
        <v>1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44" t="str">
        <f t="shared" si="10"/>
        <v>CONFEDERATE_DIVISION</v>
      </c>
      <c r="C468" s="5"/>
      <c r="D468" s="5"/>
      <c r="E468" s="5" t="s">
        <v>1330</v>
      </c>
      <c r="F468" s="5" t="s">
        <v>1331</v>
      </c>
      <c r="G468" s="5" t="s">
        <v>2047</v>
      </c>
      <c r="H468" s="5" t="s">
        <v>1429</v>
      </c>
      <c r="I468" s="5" t="s">
        <v>128</v>
      </c>
      <c r="J468" s="6"/>
      <c r="K468" s="6"/>
      <c r="L468" s="13" t="s">
        <v>1705</v>
      </c>
      <c r="M468" s="8"/>
      <c r="N468" s="5"/>
      <c r="O468" s="5"/>
      <c r="P468" s="5"/>
      <c r="Q468" s="6">
        <v>1</v>
      </c>
      <c r="R468" s="6" t="s">
        <v>1734</v>
      </c>
      <c r="S468" s="13" t="s">
        <v>1616</v>
      </c>
      <c r="T468" s="6">
        <v>1</v>
      </c>
      <c r="U468" s="7" t="s">
        <v>1734</v>
      </c>
      <c r="V468" s="5"/>
      <c r="W468" s="7" t="s">
        <v>3</v>
      </c>
      <c r="X468" s="6" t="s">
        <v>3</v>
      </c>
      <c r="Y468" s="5"/>
      <c r="Z468" s="7">
        <v>0</v>
      </c>
      <c r="AA468" s="6"/>
      <c r="AB468" s="5"/>
      <c r="AC468" s="6"/>
      <c r="AD468" s="6" t="s">
        <v>3</v>
      </c>
      <c r="AE468" s="5"/>
      <c r="AF468" s="6">
        <v>1</v>
      </c>
      <c r="AG468" s="6"/>
      <c r="AH468" s="5"/>
      <c r="AI468" s="6">
        <v>1</v>
      </c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44" t="str">
        <f t="shared" si="10"/>
        <v>CONFEDERATE_DIVISION</v>
      </c>
      <c r="C469" s="5"/>
      <c r="D469" s="5"/>
      <c r="E469" s="5" t="s">
        <v>1330</v>
      </c>
      <c r="F469" s="5" t="s">
        <v>1331</v>
      </c>
      <c r="G469" s="5" t="s">
        <v>2039</v>
      </c>
      <c r="H469" s="5" t="s">
        <v>1430</v>
      </c>
      <c r="I469" s="5" t="s">
        <v>128</v>
      </c>
      <c r="J469" s="6"/>
      <c r="K469" s="6"/>
      <c r="L469" s="13" t="s">
        <v>1705</v>
      </c>
      <c r="M469" s="8"/>
      <c r="N469" s="5"/>
      <c r="O469" s="5"/>
      <c r="P469" s="5"/>
      <c r="Q469" s="6">
        <v>2</v>
      </c>
      <c r="R469" s="6" t="s">
        <v>1734</v>
      </c>
      <c r="S469" s="13" t="s">
        <v>1616</v>
      </c>
      <c r="T469" s="6">
        <v>2</v>
      </c>
      <c r="U469" s="7" t="s">
        <v>1734</v>
      </c>
      <c r="V469" s="5"/>
      <c r="W469" s="7" t="s">
        <v>3</v>
      </c>
      <c r="X469" s="6" t="s">
        <v>3</v>
      </c>
      <c r="Y469" s="5"/>
      <c r="Z469" s="7">
        <v>0</v>
      </c>
      <c r="AA469" s="6"/>
      <c r="AB469" s="5"/>
      <c r="AC469" s="6"/>
      <c r="AD469" s="6" t="s">
        <v>3</v>
      </c>
      <c r="AE469" s="5"/>
      <c r="AF469" s="6">
        <v>0</v>
      </c>
      <c r="AG469" s="6"/>
      <c r="AH469" s="5"/>
      <c r="AI469" s="6">
        <v>1</v>
      </c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44" t="str">
        <f t="shared" si="10"/>
        <v>CONFEDERATE_DIVISION</v>
      </c>
      <c r="C470" s="5"/>
      <c r="D470" s="5"/>
      <c r="E470" s="5" t="s">
        <v>1330</v>
      </c>
      <c r="F470" s="5" t="s">
        <v>1331</v>
      </c>
      <c r="G470" s="5"/>
      <c r="H470" s="5" t="s">
        <v>1428</v>
      </c>
      <c r="I470" s="5" t="s">
        <v>128</v>
      </c>
      <c r="J470" s="6"/>
      <c r="K470" s="6"/>
      <c r="L470" s="13" t="s">
        <v>1705</v>
      </c>
      <c r="M470" s="8"/>
      <c r="N470" s="5"/>
      <c r="O470" s="5"/>
      <c r="P470" s="5"/>
      <c r="Q470" s="6">
        <v>1</v>
      </c>
      <c r="R470" s="6" t="s">
        <v>1734</v>
      </c>
      <c r="S470" s="13" t="s">
        <v>1616</v>
      </c>
      <c r="T470" s="6">
        <v>1</v>
      </c>
      <c r="U470" s="7" t="s">
        <v>1734</v>
      </c>
      <c r="V470" s="5"/>
      <c r="W470" s="7" t="s">
        <v>3</v>
      </c>
      <c r="X470" s="6" t="s">
        <v>3</v>
      </c>
      <c r="Y470" s="5"/>
      <c r="Z470" s="7">
        <v>0</v>
      </c>
      <c r="AA470" s="6"/>
      <c r="AB470" s="5"/>
      <c r="AC470" s="6"/>
      <c r="AD470" s="6" t="s">
        <v>3</v>
      </c>
      <c r="AE470" s="5"/>
      <c r="AF470" s="6">
        <v>0</v>
      </c>
      <c r="AG470" s="6"/>
      <c r="AH470" s="5"/>
      <c r="AI470" s="6">
        <v>1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44" t="str">
        <f t="shared" si="10"/>
        <v>CONFEDERATE_DIVISION</v>
      </c>
      <c r="C471" s="5"/>
      <c r="D471" s="5"/>
      <c r="E471" s="5" t="s">
        <v>1330</v>
      </c>
      <c r="F471" s="5" t="s">
        <v>1331</v>
      </c>
      <c r="G471" s="5" t="s">
        <v>2047</v>
      </c>
      <c r="H471" s="5" t="s">
        <v>1429</v>
      </c>
      <c r="I471" s="5" t="s">
        <v>128</v>
      </c>
      <c r="J471" s="6"/>
      <c r="K471" s="6"/>
      <c r="L471" s="13" t="s">
        <v>1705</v>
      </c>
      <c r="M471" s="8"/>
      <c r="N471" s="5"/>
      <c r="O471" s="5"/>
      <c r="P471" s="5"/>
      <c r="Q471" s="6">
        <v>1</v>
      </c>
      <c r="R471" s="7" t="s">
        <v>1734</v>
      </c>
      <c r="S471" s="13" t="s">
        <v>1616</v>
      </c>
      <c r="T471" s="6">
        <v>1</v>
      </c>
      <c r="U471" s="7" t="s">
        <v>1734</v>
      </c>
      <c r="V471" s="5"/>
      <c r="W471" s="7" t="s">
        <v>3</v>
      </c>
      <c r="X471" s="6" t="s">
        <v>3</v>
      </c>
      <c r="Y471" s="5"/>
      <c r="Z471" s="7">
        <v>0</v>
      </c>
      <c r="AA471" s="6"/>
      <c r="AB471" s="5"/>
      <c r="AC471" s="6"/>
      <c r="AD471" s="6" t="s">
        <v>3</v>
      </c>
      <c r="AE471" s="5"/>
      <c r="AF471" s="6">
        <v>0</v>
      </c>
      <c r="AG471" s="6"/>
      <c r="AH471" s="5"/>
      <c r="AI471" s="6">
        <v>1</v>
      </c>
      <c r="AJ471" s="6"/>
      <c r="AK471" s="5"/>
      <c r="AL471" s="6"/>
      <c r="AM471" s="6"/>
      <c r="AN471" s="6"/>
      <c r="AO471" s="6"/>
      <c r="AP471" s="6"/>
      <c r="AQ471" s="6"/>
    </row>
    <row r="472" spans="1:43" x14ac:dyDescent="0.25">
      <c r="A472" s="44" t="str">
        <f t="shared" si="10"/>
        <v>CONFEDERATE_GENERAL</v>
      </c>
      <c r="C472" s="5"/>
      <c r="D472" s="5"/>
      <c r="E472" s="5" t="s">
        <v>1332</v>
      </c>
      <c r="F472" s="5" t="s">
        <v>1333</v>
      </c>
      <c r="G472" s="5"/>
      <c r="H472" s="5" t="s">
        <v>1426</v>
      </c>
      <c r="I472" s="5" t="s">
        <v>128</v>
      </c>
      <c r="J472" s="6"/>
      <c r="K472" s="6"/>
      <c r="L472" s="13" t="s">
        <v>1707</v>
      </c>
      <c r="M472" s="8"/>
      <c r="N472" s="5"/>
      <c r="O472" s="5"/>
      <c r="P472" s="5"/>
      <c r="Q472" s="7">
        <v>1</v>
      </c>
      <c r="R472" s="6" t="s">
        <v>1692</v>
      </c>
      <c r="S472" s="13" t="s">
        <v>1617</v>
      </c>
      <c r="T472" s="6"/>
      <c r="U472" s="7" t="s">
        <v>1734</v>
      </c>
      <c r="V472" s="5"/>
      <c r="W472" s="6"/>
      <c r="X472" s="6" t="s">
        <v>3</v>
      </c>
      <c r="Y472" s="5"/>
      <c r="Z472" s="6"/>
      <c r="AA472" s="6"/>
      <c r="AB472" s="5"/>
      <c r="AC472" s="6"/>
      <c r="AD472" s="6" t="s">
        <v>3</v>
      </c>
      <c r="AE472" s="5"/>
      <c r="AF472" s="6"/>
      <c r="AG472" s="6"/>
      <c r="AH472" s="5"/>
      <c r="AI472" s="6"/>
      <c r="AJ472" s="6"/>
      <c r="AK472" s="5"/>
      <c r="AL472" s="6"/>
      <c r="AM472" s="6"/>
      <c r="AN472" s="6"/>
      <c r="AO472" s="6"/>
      <c r="AP472" s="6"/>
      <c r="AQ472" s="6"/>
    </row>
    <row r="473" spans="1:43" x14ac:dyDescent="0.25">
      <c r="A473" s="44" t="str">
        <f t="shared" si="10"/>
        <v>CONFEDERATE_IRONCLAD</v>
      </c>
      <c r="C473" s="5"/>
      <c r="D473" s="5"/>
      <c r="E473" s="5" t="s">
        <v>1334</v>
      </c>
      <c r="F473" s="5" t="s">
        <v>1334</v>
      </c>
      <c r="G473" s="5"/>
      <c r="H473" s="5" t="s">
        <v>1427</v>
      </c>
      <c r="I473" s="5" t="s">
        <v>128</v>
      </c>
      <c r="J473" s="6"/>
      <c r="K473" s="7"/>
      <c r="L473" s="13" t="s">
        <v>1710</v>
      </c>
      <c r="M473" s="8"/>
      <c r="N473" s="13" t="s">
        <v>1724</v>
      </c>
      <c r="O473" s="13"/>
      <c r="P473" s="13"/>
      <c r="Q473" s="7">
        <v>1</v>
      </c>
      <c r="R473" s="6" t="s">
        <v>1734</v>
      </c>
      <c r="S473" s="5"/>
      <c r="T473" s="6"/>
      <c r="U473" s="6"/>
      <c r="V473" s="5"/>
      <c r="W473" s="6" t="s">
        <v>3</v>
      </c>
      <c r="X473" s="6"/>
      <c r="Y473" s="5"/>
      <c r="Z473" s="6"/>
      <c r="AA473" s="6"/>
      <c r="AB473" s="5"/>
      <c r="AC473" s="6"/>
      <c r="AD473" s="6"/>
      <c r="AE473" s="5"/>
      <c r="AF473" s="6"/>
      <c r="AG473" s="6"/>
      <c r="AH473" s="5"/>
      <c r="AI473" s="6"/>
      <c r="AJ473" s="6"/>
      <c r="AK473" s="5"/>
      <c r="AL473" s="6"/>
      <c r="AM473" s="6"/>
      <c r="AN473" s="6"/>
      <c r="AO473" s="6"/>
      <c r="AP473" s="6"/>
      <c r="AQ473" s="6"/>
    </row>
    <row r="474" spans="1:43" x14ac:dyDescent="0.25">
      <c r="A474" s="44" t="str">
        <f t="shared" si="10"/>
        <v>CROSSBOWMAN</v>
      </c>
      <c r="B474" s="9" t="s">
        <v>115</v>
      </c>
      <c r="C474" s="5"/>
      <c r="D474" s="5"/>
      <c r="E474" s="5" t="s">
        <v>115</v>
      </c>
      <c r="F474" s="5" t="s">
        <v>115</v>
      </c>
      <c r="G474" s="5"/>
      <c r="H474" s="5" t="s">
        <v>34</v>
      </c>
      <c r="I474" s="5" t="s">
        <v>128</v>
      </c>
      <c r="J474" s="6"/>
      <c r="K474" s="6"/>
      <c r="L474" s="13" t="s">
        <v>1705</v>
      </c>
      <c r="M474" s="8"/>
      <c r="N474" s="5"/>
      <c r="O474" s="5"/>
      <c r="P474" s="5"/>
      <c r="Q474" s="7" t="s">
        <v>1734</v>
      </c>
      <c r="R474" s="6" t="s">
        <v>1734</v>
      </c>
      <c r="S474" s="13" t="s">
        <v>44</v>
      </c>
      <c r="T474" s="7">
        <v>15</v>
      </c>
      <c r="U474" s="7" t="s">
        <v>1734</v>
      </c>
      <c r="V474" s="5" t="s">
        <v>34</v>
      </c>
      <c r="W474" s="6" t="s">
        <v>3</v>
      </c>
      <c r="X474" s="6" t="s">
        <v>3</v>
      </c>
      <c r="Y474" s="5"/>
      <c r="Z474" s="7">
        <v>1</v>
      </c>
      <c r="AA474" s="6"/>
      <c r="AB474" s="5"/>
      <c r="AC474" s="6"/>
      <c r="AD474" s="6" t="s">
        <v>3</v>
      </c>
      <c r="AE474" s="5"/>
      <c r="AF474" s="7" t="s">
        <v>1734</v>
      </c>
      <c r="AG474" s="6"/>
      <c r="AH474" s="5"/>
      <c r="AI474" s="7" t="s">
        <v>1734</v>
      </c>
      <c r="AJ474" s="6"/>
      <c r="AK474" s="5"/>
      <c r="AL474" s="6"/>
      <c r="AM474" s="6"/>
      <c r="AN474" s="6"/>
      <c r="AO474" s="6"/>
      <c r="AP474" s="6"/>
      <c r="AQ474" s="6"/>
    </row>
    <row r="475" spans="1:43" x14ac:dyDescent="0.25">
      <c r="A475" s="44" t="str">
        <f t="shared" si="10"/>
        <v>CROSSBOWMAN_AFRI</v>
      </c>
      <c r="B475" s="9" t="s">
        <v>115</v>
      </c>
      <c r="C475" s="4" t="s">
        <v>694</v>
      </c>
      <c r="E475" s="4" t="s">
        <v>115</v>
      </c>
      <c r="F475" s="4" t="s">
        <v>115</v>
      </c>
      <c r="H475" s="4" t="s">
        <v>321</v>
      </c>
      <c r="I475" s="4" t="s">
        <v>1025</v>
      </c>
      <c r="Z475" s="9"/>
      <c r="AL475" s="11"/>
      <c r="AM475" s="11"/>
      <c r="AN475" s="11"/>
      <c r="AO475" s="11"/>
      <c r="AP475" s="11"/>
      <c r="AQ475" s="11"/>
    </row>
    <row r="476" spans="1:43" x14ac:dyDescent="0.25">
      <c r="A476" s="44" t="str">
        <f t="shared" si="10"/>
        <v>CROSSBOWMAN_SONGHAI</v>
      </c>
      <c r="B476" s="9" t="s">
        <v>115</v>
      </c>
      <c r="C476" s="4" t="s">
        <v>737</v>
      </c>
      <c r="E476" s="4" t="s">
        <v>115</v>
      </c>
      <c r="F476" s="4" t="s">
        <v>115</v>
      </c>
      <c r="H476" s="4" t="s">
        <v>1955</v>
      </c>
      <c r="I476" s="4" t="s">
        <v>1025</v>
      </c>
      <c r="Z476" s="9"/>
      <c r="AL476" s="11"/>
      <c r="AM476" s="11"/>
      <c r="AN476" s="11"/>
      <c r="AO476" s="11"/>
      <c r="AP476" s="11"/>
      <c r="AQ476" s="11"/>
    </row>
    <row r="477" spans="1:43" x14ac:dyDescent="0.25">
      <c r="A477" s="44" t="str">
        <f t="shared" si="10"/>
        <v>CROSSBOWMAN_AMER</v>
      </c>
      <c r="B477" s="9" t="s">
        <v>115</v>
      </c>
      <c r="C477" s="4" t="s">
        <v>697</v>
      </c>
      <c r="E477" s="4" t="s">
        <v>115</v>
      </c>
      <c r="F477" s="4" t="s">
        <v>115</v>
      </c>
      <c r="H477" s="4" t="s">
        <v>461</v>
      </c>
      <c r="I477" s="4" t="s">
        <v>835</v>
      </c>
      <c r="Z477" s="9"/>
      <c r="AF477" s="9"/>
      <c r="AI477" s="9"/>
      <c r="AL477" s="11"/>
      <c r="AM477" s="11"/>
      <c r="AN477" s="11"/>
      <c r="AO477" s="11"/>
      <c r="AP477" s="11"/>
      <c r="AQ477" s="11"/>
    </row>
    <row r="478" spans="1:43" x14ac:dyDescent="0.25">
      <c r="A478" s="44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11">
        <v>2</v>
      </c>
      <c r="T478" s="11">
        <v>1</v>
      </c>
      <c r="Z478" s="9">
        <v>1</v>
      </c>
      <c r="AF478" s="11">
        <v>1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44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2039</v>
      </c>
      <c r="H479" s="4" t="s">
        <v>932</v>
      </c>
      <c r="I479" s="4" t="s">
        <v>835</v>
      </c>
      <c r="Q479" s="11">
        <v>1</v>
      </c>
      <c r="T479" s="11">
        <v>3</v>
      </c>
      <c r="Z479" s="9">
        <v>0</v>
      </c>
      <c r="AF479" s="11">
        <v>1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44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2041</v>
      </c>
      <c r="H480" s="4" t="s">
        <v>933</v>
      </c>
      <c r="I480" s="4" t="s">
        <v>835</v>
      </c>
      <c r="Q480" s="11">
        <v>2</v>
      </c>
      <c r="T480" s="11">
        <v>1</v>
      </c>
      <c r="Z480" s="9">
        <v>0</v>
      </c>
      <c r="AF480" s="11">
        <v>1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44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2040</v>
      </c>
      <c r="H481" s="4" t="s">
        <v>461</v>
      </c>
      <c r="I481" s="4" t="s">
        <v>835</v>
      </c>
      <c r="Q481" s="9">
        <v>3</v>
      </c>
      <c r="T481" s="11">
        <v>2</v>
      </c>
      <c r="Z481" s="9">
        <v>0</v>
      </c>
      <c r="AF481" s="11">
        <v>0</v>
      </c>
      <c r="AI481" s="11">
        <v>1</v>
      </c>
      <c r="AL481" s="11"/>
      <c r="AM481" s="11"/>
      <c r="AN481" s="11"/>
      <c r="AO481" s="11"/>
      <c r="AP481" s="11"/>
      <c r="AQ481" s="11"/>
    </row>
    <row r="482" spans="1:43" x14ac:dyDescent="0.25">
      <c r="A482" s="44" t="str">
        <f t="shared" si="10"/>
        <v>CROSSBOWMAN_IROQUOIS</v>
      </c>
      <c r="B482" s="9" t="s">
        <v>115</v>
      </c>
      <c r="C482" s="4" t="s">
        <v>721</v>
      </c>
      <c r="E482" s="4" t="s">
        <v>115</v>
      </c>
      <c r="F482" s="4" t="s">
        <v>115</v>
      </c>
      <c r="H482" s="4" t="s">
        <v>931</v>
      </c>
      <c r="I482" s="4" t="s">
        <v>835</v>
      </c>
      <c r="Q482" s="9">
        <v>1</v>
      </c>
      <c r="T482" s="11">
        <v>3</v>
      </c>
      <c r="Z482" s="9">
        <v>0</v>
      </c>
      <c r="AF482" s="11">
        <v>0</v>
      </c>
      <c r="AI482" s="11">
        <v>1</v>
      </c>
      <c r="AL482" s="11"/>
      <c r="AM482" s="11"/>
      <c r="AN482" s="11"/>
      <c r="AO482" s="11"/>
      <c r="AP482" s="11"/>
      <c r="AQ482" s="11"/>
    </row>
    <row r="483" spans="1:43" x14ac:dyDescent="0.25">
      <c r="A483" s="44" t="str">
        <f t="shared" si="10"/>
        <v>CROSSBOWMAN_IROQUOIS</v>
      </c>
      <c r="B483" s="9" t="s">
        <v>115</v>
      </c>
      <c r="C483" s="4" t="s">
        <v>721</v>
      </c>
      <c r="E483" s="4" t="s">
        <v>115</v>
      </c>
      <c r="F483" s="4" t="s">
        <v>115</v>
      </c>
      <c r="G483" s="4" t="s">
        <v>2039</v>
      </c>
      <c r="H483" s="4" t="s">
        <v>932</v>
      </c>
      <c r="I483" s="4" t="s">
        <v>835</v>
      </c>
      <c r="Q483" s="9">
        <v>2</v>
      </c>
      <c r="T483" s="11">
        <v>1</v>
      </c>
      <c r="Z483" s="9">
        <v>0</v>
      </c>
      <c r="AF483" s="11">
        <v>0</v>
      </c>
      <c r="AI483" s="11">
        <v>1</v>
      </c>
      <c r="AL483" s="11"/>
      <c r="AM483" s="11"/>
      <c r="AN483" s="11"/>
      <c r="AO483" s="11"/>
      <c r="AP483" s="11"/>
      <c r="AQ483" s="11"/>
    </row>
    <row r="484" spans="1:43" x14ac:dyDescent="0.25">
      <c r="A484" s="44" t="str">
        <f t="shared" si="10"/>
        <v>CROSSBOWMAN_IROQUOIS</v>
      </c>
      <c r="B484" s="9" t="s">
        <v>115</v>
      </c>
      <c r="C484" s="4" t="s">
        <v>721</v>
      </c>
      <c r="E484" s="4" t="s">
        <v>115</v>
      </c>
      <c r="F484" s="4" t="s">
        <v>115</v>
      </c>
      <c r="G484" s="4" t="s">
        <v>2041</v>
      </c>
      <c r="H484" s="4" t="s">
        <v>933</v>
      </c>
      <c r="I484" s="4" t="s">
        <v>835</v>
      </c>
      <c r="Q484" s="9">
        <v>1</v>
      </c>
      <c r="T484" s="11">
        <v>3</v>
      </c>
      <c r="Z484" s="9">
        <v>0</v>
      </c>
      <c r="AF484" s="11">
        <v>0</v>
      </c>
      <c r="AI484" s="11">
        <v>1</v>
      </c>
      <c r="AL484" s="11"/>
      <c r="AM484" s="11"/>
      <c r="AN484" s="11"/>
      <c r="AO484" s="11"/>
      <c r="AP484" s="11"/>
      <c r="AQ484" s="11"/>
    </row>
    <row r="485" spans="1:43" x14ac:dyDescent="0.25">
      <c r="A485" s="44" t="str">
        <f t="shared" si="10"/>
        <v>CROSSBOWMAN_IROQUOIS</v>
      </c>
      <c r="B485" s="9" t="s">
        <v>115</v>
      </c>
      <c r="C485" s="4" t="s">
        <v>721</v>
      </c>
      <c r="E485" s="4" t="s">
        <v>115</v>
      </c>
      <c r="F485" s="4" t="s">
        <v>115</v>
      </c>
      <c r="G485" s="4" t="s">
        <v>2040</v>
      </c>
      <c r="H485" s="4" t="s">
        <v>461</v>
      </c>
      <c r="I485" s="4" t="s">
        <v>835</v>
      </c>
      <c r="Q485" s="9">
        <v>0</v>
      </c>
      <c r="T485" s="11">
        <v>1</v>
      </c>
      <c r="Z485" s="9">
        <v>0</v>
      </c>
      <c r="AF485" s="11">
        <v>0</v>
      </c>
      <c r="AI485" s="11">
        <v>0</v>
      </c>
      <c r="AL485" s="11"/>
      <c r="AM485" s="11"/>
      <c r="AN485" s="11"/>
      <c r="AO485" s="11"/>
      <c r="AP485" s="11"/>
      <c r="AQ485" s="11"/>
    </row>
    <row r="486" spans="1:43" x14ac:dyDescent="0.25">
      <c r="A486" s="44" t="str">
        <f t="shared" si="10"/>
        <v>CROSSBOWMAN_ASIA</v>
      </c>
      <c r="B486" s="9" t="s">
        <v>115</v>
      </c>
      <c r="C486" s="4" t="s">
        <v>693</v>
      </c>
      <c r="E486" s="4" t="s">
        <v>115</v>
      </c>
      <c r="F486" s="4" t="s">
        <v>115</v>
      </c>
      <c r="H486" s="4" t="s">
        <v>245</v>
      </c>
      <c r="I486" s="4" t="s">
        <v>102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44" t="str">
        <f t="shared" si="10"/>
        <v>CROSSBOWMAN_JAPAN</v>
      </c>
      <c r="B487" s="9" t="s">
        <v>115</v>
      </c>
      <c r="C487" s="4" t="s">
        <v>722</v>
      </c>
      <c r="E487" s="4" t="s">
        <v>115</v>
      </c>
      <c r="F487" s="4" t="s">
        <v>115</v>
      </c>
      <c r="G487" s="14" t="s">
        <v>132</v>
      </c>
      <c r="H487" s="4" t="s">
        <v>477</v>
      </c>
      <c r="I487" s="4" t="s">
        <v>102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44" t="str">
        <f t="shared" si="10"/>
        <v>CROSSBOWMAN_MONGOL</v>
      </c>
      <c r="B488" s="9" t="s">
        <v>115</v>
      </c>
      <c r="C488" s="4" t="s">
        <v>728</v>
      </c>
      <c r="E488" s="4" t="s">
        <v>115</v>
      </c>
      <c r="F488" s="4" t="s">
        <v>115</v>
      </c>
      <c r="G488" s="14" t="s">
        <v>132</v>
      </c>
      <c r="H488" s="4" t="s">
        <v>528</v>
      </c>
      <c r="I488" s="4" t="s">
        <v>2089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44" t="str">
        <f t="shared" ref="A489:A575" si="11">CONCATENATE(E489,IF(ISBLANK(C489),"",CONCATENATE("_",C489)))</f>
        <v>CROSSBOWMAN_CENTAS</v>
      </c>
      <c r="B489" s="9" t="s">
        <v>115</v>
      </c>
      <c r="C489" s="4" t="s">
        <v>918</v>
      </c>
      <c r="E489" s="4" t="s">
        <v>115</v>
      </c>
      <c r="F489" s="4" t="s">
        <v>115</v>
      </c>
      <c r="G489" s="14" t="s">
        <v>132</v>
      </c>
      <c r="H489" s="4" t="s">
        <v>1027</v>
      </c>
      <c r="I489" s="4" t="s">
        <v>2089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44" t="str">
        <f t="shared" si="11"/>
        <v>CROSSBOWMAN_RUSSIA</v>
      </c>
      <c r="B490" s="9" t="s">
        <v>115</v>
      </c>
      <c r="C490" s="4" t="s">
        <v>735</v>
      </c>
      <c r="E490" s="4" t="s">
        <v>115</v>
      </c>
      <c r="F490" s="4" t="s">
        <v>115</v>
      </c>
      <c r="G490" s="14" t="s">
        <v>132</v>
      </c>
      <c r="H490" s="4" t="s">
        <v>610</v>
      </c>
      <c r="I490" s="4" t="s">
        <v>2089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44" t="str">
        <f t="shared" si="11"/>
        <v>CROSSBOWMAN_AMERICA</v>
      </c>
      <c r="B491" s="9" t="s">
        <v>115</v>
      </c>
      <c r="C491" s="4" t="s">
        <v>699</v>
      </c>
      <c r="E491" s="4" t="s">
        <v>115</v>
      </c>
      <c r="F491" s="4" t="s">
        <v>115</v>
      </c>
      <c r="G491" s="14"/>
      <c r="H491" s="4" t="s">
        <v>136</v>
      </c>
      <c r="I491" s="4" t="s">
        <v>1934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44" t="str">
        <f t="shared" si="11"/>
        <v>CROSSBOWMAN_FRANCE</v>
      </c>
      <c r="B492" s="9" t="s">
        <v>115</v>
      </c>
      <c r="C492" s="4" t="s">
        <v>715</v>
      </c>
      <c r="E492" s="4" t="s">
        <v>115</v>
      </c>
      <c r="F492" s="4" t="s">
        <v>115</v>
      </c>
      <c r="G492" s="14" t="s">
        <v>132</v>
      </c>
      <c r="H492" s="4" t="s">
        <v>341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44" t="str">
        <f t="shared" si="11"/>
        <v>CROSSBOWMAN_GERMANY</v>
      </c>
      <c r="B493" s="9" t="s">
        <v>115</v>
      </c>
      <c r="C493" s="4" t="s">
        <v>717</v>
      </c>
      <c r="E493" s="4" t="s">
        <v>115</v>
      </c>
      <c r="F493" s="4" t="s">
        <v>115</v>
      </c>
      <c r="G493" s="14" t="s">
        <v>132</v>
      </c>
      <c r="H493" s="4" t="s">
        <v>371</v>
      </c>
      <c r="I493" s="4" t="s">
        <v>102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44" t="str">
        <f t="shared" si="11"/>
        <v>CROSSBOWMAN_MED</v>
      </c>
      <c r="B494" s="9" t="s">
        <v>115</v>
      </c>
      <c r="C494" s="4" t="s">
        <v>692</v>
      </c>
      <c r="E494" s="4" t="s">
        <v>115</v>
      </c>
      <c r="F494" s="4" t="s">
        <v>115</v>
      </c>
      <c r="H494" s="4" t="s">
        <v>650</v>
      </c>
      <c r="I494" s="4" t="s">
        <v>2089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44" t="str">
        <f t="shared" si="11"/>
        <v>CROSSBOWMAN_GREECE</v>
      </c>
      <c r="B495" s="9" t="s">
        <v>115</v>
      </c>
      <c r="C495" s="4" t="s">
        <v>718</v>
      </c>
      <c r="E495" s="4" t="s">
        <v>115</v>
      </c>
      <c r="F495" s="4" t="s">
        <v>115</v>
      </c>
      <c r="G495" s="14" t="s">
        <v>132</v>
      </c>
      <c r="H495" s="4" t="s">
        <v>400</v>
      </c>
      <c r="I495" s="4" t="s">
        <v>102</v>
      </c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44" t="str">
        <f t="shared" si="11"/>
        <v>CROSSBOWMAN_ROME</v>
      </c>
      <c r="B496" s="9" t="s">
        <v>115</v>
      </c>
      <c r="C496" s="4" t="s">
        <v>734</v>
      </c>
      <c r="E496" s="4" t="s">
        <v>115</v>
      </c>
      <c r="F496" s="4" t="s">
        <v>115</v>
      </c>
      <c r="G496" s="14" t="s">
        <v>132</v>
      </c>
      <c r="H496" s="4" t="s">
        <v>585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44" t="str">
        <f t="shared" si="11"/>
        <v>CROSSBOWMAN_SPAIN</v>
      </c>
      <c r="B497" s="9" t="s">
        <v>115</v>
      </c>
      <c r="C497" s="4" t="s">
        <v>738</v>
      </c>
      <c r="D497" s="4" t="s">
        <v>692</v>
      </c>
      <c r="E497" s="4" t="s">
        <v>115</v>
      </c>
      <c r="F497" s="4" t="s">
        <v>115</v>
      </c>
      <c r="G497" s="14" t="s">
        <v>132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44" t="str">
        <f t="shared" si="11"/>
        <v>CROSSBOWMAN_MIDEAST</v>
      </c>
      <c r="B498" s="9" t="s">
        <v>115</v>
      </c>
      <c r="C498" s="4" t="s">
        <v>690</v>
      </c>
      <c r="E498" s="4" t="s">
        <v>115</v>
      </c>
      <c r="F498" s="4" t="s">
        <v>115</v>
      </c>
      <c r="H498" s="4" t="s">
        <v>159</v>
      </c>
      <c r="I498" s="4" t="s">
        <v>2089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44" t="str">
        <f t="shared" si="11"/>
        <v>CROSSBOWMAN_ARABIA</v>
      </c>
      <c r="B499" s="9" t="s">
        <v>115</v>
      </c>
      <c r="C499" s="4" t="s">
        <v>700</v>
      </c>
      <c r="D499" s="14" t="s">
        <v>690</v>
      </c>
      <c r="E499" s="4" t="s">
        <v>115</v>
      </c>
      <c r="F499" s="4" t="s">
        <v>115</v>
      </c>
      <c r="G499" s="14"/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44" t="str">
        <f t="shared" si="11"/>
        <v>CROSSBOWMAN_BABYLON</v>
      </c>
      <c r="B500" s="9" t="s">
        <v>115</v>
      </c>
      <c r="C500" s="4" t="s">
        <v>703</v>
      </c>
      <c r="E500" s="4" t="s">
        <v>115</v>
      </c>
      <c r="F500" s="4" t="s">
        <v>115</v>
      </c>
      <c r="G500" s="14"/>
      <c r="H500" s="4" t="s">
        <v>207</v>
      </c>
      <c r="I500" s="4" t="s">
        <v>102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44" t="str">
        <f t="shared" si="11"/>
        <v>CROSSBOWMAN_EGYPT</v>
      </c>
      <c r="B501" s="9" t="s">
        <v>115</v>
      </c>
      <c r="C501" s="4" t="s">
        <v>712</v>
      </c>
      <c r="E501" s="4" t="s">
        <v>115</v>
      </c>
      <c r="F501" s="4" t="s">
        <v>115</v>
      </c>
      <c r="G501" s="14" t="s">
        <v>132</v>
      </c>
      <c r="H501" s="4" t="s">
        <v>277</v>
      </c>
      <c r="I501" s="4" t="s">
        <v>2089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44" t="str">
        <f t="shared" si="11"/>
        <v>CROSSBOWMAN_LEVANT</v>
      </c>
      <c r="B502" s="9" t="s">
        <v>115</v>
      </c>
      <c r="C502" s="4" t="s">
        <v>724</v>
      </c>
      <c r="E502" s="4" t="s">
        <v>115</v>
      </c>
      <c r="F502" s="4" t="s">
        <v>115</v>
      </c>
      <c r="G502" s="14" t="s">
        <v>132</v>
      </c>
      <c r="H502" s="4" t="s">
        <v>508</v>
      </c>
      <c r="I502" s="4" t="s">
        <v>102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44" t="str">
        <f t="shared" si="11"/>
        <v>CROSSBOWMAN_PERSIA</v>
      </c>
      <c r="B503" s="9" t="s">
        <v>115</v>
      </c>
      <c r="C503" s="4" t="s">
        <v>731</v>
      </c>
      <c r="E503" s="4" t="s">
        <v>115</v>
      </c>
      <c r="F503" s="4" t="s">
        <v>115</v>
      </c>
      <c r="G503" s="14" t="s">
        <v>132</v>
      </c>
      <c r="H503" s="4" t="s">
        <v>553</v>
      </c>
      <c r="I503" s="4" t="s">
        <v>102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44" t="str">
        <f>CONCATENATE(E504,IF(ISBLANK(C504),"",CONCATENATE("_",C504)))</f>
        <v>CROSSBOWMAN_NORTHAF</v>
      </c>
      <c r="B504" s="9" t="s">
        <v>115</v>
      </c>
      <c r="C504" s="4" t="s">
        <v>2003</v>
      </c>
      <c r="E504" s="4" t="s">
        <v>115</v>
      </c>
      <c r="F504" s="4" t="s">
        <v>115</v>
      </c>
      <c r="G504" s="14" t="s">
        <v>132</v>
      </c>
      <c r="H504" s="4" t="s">
        <v>536</v>
      </c>
      <c r="I504" s="4" t="s">
        <v>1066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44" t="str">
        <f t="shared" si="11"/>
        <v>CROSSBOWMAN_NORTHEU</v>
      </c>
      <c r="B505" s="9" t="s">
        <v>115</v>
      </c>
      <c r="C505" s="4" t="s">
        <v>962</v>
      </c>
      <c r="E505" s="4" t="s">
        <v>115</v>
      </c>
      <c r="F505" s="4" t="s">
        <v>115</v>
      </c>
      <c r="G505" s="14" t="s">
        <v>132</v>
      </c>
      <c r="H505" s="4" t="s">
        <v>266</v>
      </c>
      <c r="I505" s="4" t="s">
        <v>102</v>
      </c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44" t="str">
        <f t="shared" si="11"/>
        <v>CROSSBOWMAN_OCEAN</v>
      </c>
      <c r="B506" s="9" t="s">
        <v>115</v>
      </c>
      <c r="C506" s="4" t="s">
        <v>994</v>
      </c>
      <c r="D506" s="4" t="s">
        <v>691</v>
      </c>
      <c r="E506" s="4" t="s">
        <v>115</v>
      </c>
      <c r="F506" s="4" t="s">
        <v>115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44" t="str">
        <f t="shared" si="11"/>
        <v>CROSSBOWMAN_SEASIA</v>
      </c>
      <c r="B507" s="9" t="s">
        <v>115</v>
      </c>
      <c r="C507" s="4" t="s">
        <v>696</v>
      </c>
      <c r="D507" s="4" t="s">
        <v>693</v>
      </c>
      <c r="E507" s="4" t="s">
        <v>115</v>
      </c>
      <c r="F507" s="4" t="s">
        <v>115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44" t="str">
        <f t="shared" si="11"/>
        <v>CROSSBOWMAN_SOUTHAM</v>
      </c>
      <c r="B508" s="9" t="s">
        <v>115</v>
      </c>
      <c r="C508" s="4" t="s">
        <v>691</v>
      </c>
      <c r="E508" s="4" t="s">
        <v>115</v>
      </c>
      <c r="F508" s="4" t="s">
        <v>115</v>
      </c>
      <c r="H508" s="4" t="s">
        <v>193</v>
      </c>
      <c r="I508" s="4" t="s">
        <v>2089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44" t="str">
        <f t="shared" si="11"/>
        <v>CROSSBOWMAN_AZTEC</v>
      </c>
      <c r="B509" s="9" t="s">
        <v>115</v>
      </c>
      <c r="C509" s="4" t="s">
        <v>702</v>
      </c>
      <c r="D509" s="4" t="s">
        <v>691</v>
      </c>
      <c r="E509" s="4" t="s">
        <v>115</v>
      </c>
      <c r="F509" s="4" t="s">
        <v>115</v>
      </c>
      <c r="G509" s="14"/>
      <c r="Z509" s="9"/>
      <c r="AF509" s="9"/>
      <c r="AI509" s="9"/>
      <c r="AL509" s="11"/>
      <c r="AM509" s="11"/>
      <c r="AN509" s="11"/>
      <c r="AO509" s="11"/>
      <c r="AP509" s="11"/>
      <c r="AQ509" s="11"/>
    </row>
    <row r="510" spans="1:43" x14ac:dyDescent="0.25">
      <c r="A510" s="44" t="str">
        <f t="shared" si="11"/>
        <v>CROSSBOWMAN_INCA</v>
      </c>
      <c r="B510" s="9" t="s">
        <v>115</v>
      </c>
      <c r="C510" s="4" t="s">
        <v>719</v>
      </c>
      <c r="E510" s="4" t="s">
        <v>115</v>
      </c>
      <c r="F510" s="4" t="s">
        <v>115</v>
      </c>
      <c r="G510" s="14" t="s">
        <v>132</v>
      </c>
      <c r="H510" s="4" t="s">
        <v>419</v>
      </c>
      <c r="I510" s="4" t="s">
        <v>2089</v>
      </c>
      <c r="Z510" s="9"/>
      <c r="AF510" s="9"/>
      <c r="AI510" s="9"/>
      <c r="AL510" s="11"/>
      <c r="AM510" s="11"/>
      <c r="AN510" s="11"/>
      <c r="AO510" s="11"/>
      <c r="AP510" s="11"/>
      <c r="AQ510" s="11"/>
    </row>
    <row r="511" spans="1:43" x14ac:dyDescent="0.25">
      <c r="A511" s="44" t="str">
        <f t="shared" si="11"/>
        <v>CROSSBOWMAN_MAYA</v>
      </c>
      <c r="B511" s="9" t="s">
        <v>115</v>
      </c>
      <c r="C511" s="4" t="s">
        <v>725</v>
      </c>
      <c r="E511" s="4" t="s">
        <v>115</v>
      </c>
      <c r="F511" s="4" t="s">
        <v>115</v>
      </c>
      <c r="G511" s="14" t="s">
        <v>132</v>
      </c>
      <c r="H511" s="4" t="s">
        <v>516</v>
      </c>
      <c r="I511" s="4" t="s">
        <v>2089</v>
      </c>
      <c r="Z511" s="9"/>
      <c r="AF511" s="9"/>
      <c r="AI511" s="9"/>
      <c r="AL511" s="11"/>
      <c r="AM511" s="11"/>
      <c r="AN511" s="11"/>
      <c r="AO511" s="11"/>
      <c r="AP511" s="11"/>
      <c r="AQ511" s="11"/>
    </row>
    <row r="512" spans="1:43" x14ac:dyDescent="0.25">
      <c r="A512" s="44" t="str">
        <f t="shared" si="11"/>
        <v>CROSSBOWMAN_SOUTHAS</v>
      </c>
      <c r="B512" s="9" t="s">
        <v>115</v>
      </c>
      <c r="C512" s="4" t="s">
        <v>695</v>
      </c>
      <c r="E512" s="4" t="s">
        <v>115</v>
      </c>
      <c r="F512" s="4" t="s">
        <v>115</v>
      </c>
      <c r="H512" s="4" t="s">
        <v>432</v>
      </c>
      <c r="I512" s="4" t="s">
        <v>102</v>
      </c>
      <c r="Z512" s="9"/>
      <c r="AF512" s="9"/>
      <c r="AI512" s="9"/>
      <c r="AL512" s="11"/>
      <c r="AM512" s="11"/>
      <c r="AN512" s="11"/>
      <c r="AO512" s="11"/>
      <c r="AP512" s="11"/>
      <c r="AQ512" s="11"/>
    </row>
    <row r="513" spans="1:43" x14ac:dyDescent="0.25">
      <c r="A513" s="44" t="str">
        <f t="shared" si="11"/>
        <v>DESTROYER</v>
      </c>
      <c r="B513" s="9" t="s">
        <v>114</v>
      </c>
      <c r="C513" s="5"/>
      <c r="D513" s="5"/>
      <c r="E513" s="5" t="s">
        <v>114</v>
      </c>
      <c r="F513" s="5" t="s">
        <v>114</v>
      </c>
      <c r="G513" s="5"/>
      <c r="H513" s="5" t="s">
        <v>1498</v>
      </c>
      <c r="I513" s="5" t="s">
        <v>102</v>
      </c>
      <c r="J513" s="6"/>
      <c r="K513" s="7"/>
      <c r="L513" s="13" t="s">
        <v>1710</v>
      </c>
      <c r="M513" s="8"/>
      <c r="N513" s="13" t="s">
        <v>1724</v>
      </c>
      <c r="O513" s="13"/>
      <c r="P513" s="13"/>
      <c r="Q513" s="7">
        <v>1</v>
      </c>
      <c r="R513" s="6" t="s">
        <v>1692</v>
      </c>
      <c r="S513" s="5"/>
      <c r="T513" s="6"/>
      <c r="U513" s="6"/>
      <c r="V513" s="5"/>
      <c r="W513" s="6" t="s">
        <v>3</v>
      </c>
      <c r="X513" s="6"/>
      <c r="Y513" s="5" t="s">
        <v>1697</v>
      </c>
      <c r="Z513" s="6"/>
      <c r="AA513" s="6">
        <v>0.12</v>
      </c>
      <c r="AB513" s="5"/>
      <c r="AC513" s="6"/>
      <c r="AD513" s="6"/>
      <c r="AE513" s="5"/>
      <c r="AF513" s="6"/>
      <c r="AG513" s="6"/>
      <c r="AH513" s="5"/>
      <c r="AI513" s="6"/>
      <c r="AJ513" s="6"/>
      <c r="AK513" s="5"/>
      <c r="AL513" s="6"/>
      <c r="AM513" s="6"/>
      <c r="AN513" s="6"/>
      <c r="AO513" s="6"/>
      <c r="AP513" s="6"/>
      <c r="AQ513" s="6"/>
    </row>
    <row r="514" spans="1:43" x14ac:dyDescent="0.25">
      <c r="A514" s="44" t="str">
        <f t="shared" si="11"/>
        <v>DESTROYER_ZULU</v>
      </c>
      <c r="B514" s="9" t="s">
        <v>114</v>
      </c>
      <c r="C514" s="5" t="s">
        <v>742</v>
      </c>
      <c r="D514" s="5" t="s">
        <v>713</v>
      </c>
      <c r="E514" s="5" t="s">
        <v>114</v>
      </c>
      <c r="F514" s="5" t="s">
        <v>114</v>
      </c>
      <c r="G514" s="5"/>
      <c r="H514" s="5"/>
      <c r="I514" s="5"/>
      <c r="J514" s="6"/>
      <c r="K514" s="7"/>
      <c r="L514" s="13"/>
      <c r="M514" s="8"/>
      <c r="N514" s="13"/>
      <c r="O514" s="13"/>
      <c r="P514" s="13"/>
      <c r="Q514" s="7"/>
      <c r="R514" s="6"/>
      <c r="S514" s="5"/>
      <c r="T514" s="6"/>
      <c r="U514" s="6"/>
      <c r="V514" s="5"/>
      <c r="W514" s="6"/>
      <c r="X514" s="6"/>
      <c r="Y514" s="5"/>
      <c r="Z514" s="6"/>
      <c r="AA514" s="6"/>
      <c r="AB514" s="5"/>
      <c r="AC514" s="6"/>
      <c r="AD514" s="6"/>
      <c r="AE514" s="5"/>
      <c r="AF514" s="6"/>
      <c r="AG514" s="6"/>
      <c r="AH514" s="5"/>
      <c r="AI514" s="6"/>
      <c r="AJ514" s="6"/>
      <c r="AK514" s="5"/>
      <c r="AL514" s="6"/>
      <c r="AM514" s="6"/>
      <c r="AN514" s="6"/>
      <c r="AO514" s="6"/>
      <c r="AP514" s="6"/>
      <c r="AQ514" s="6"/>
    </row>
    <row r="515" spans="1:43" x14ac:dyDescent="0.25">
      <c r="A515" s="44" t="str">
        <f t="shared" si="11"/>
        <v>DESTROYER_AMER</v>
      </c>
      <c r="B515" s="9" t="s">
        <v>114</v>
      </c>
      <c r="C515" s="5" t="s">
        <v>697</v>
      </c>
      <c r="D515" s="5" t="s">
        <v>699</v>
      </c>
      <c r="E515" s="5" t="s">
        <v>114</v>
      </c>
      <c r="F515" s="5" t="s">
        <v>114</v>
      </c>
      <c r="G515" s="5"/>
      <c r="H515" s="5"/>
      <c r="I515" s="5"/>
      <c r="J515" s="6"/>
      <c r="K515" s="7"/>
      <c r="L515" s="13"/>
      <c r="M515" s="8"/>
      <c r="N515" s="13"/>
      <c r="O515" s="13"/>
      <c r="P515" s="13"/>
      <c r="Q515" s="7"/>
      <c r="R515" s="6"/>
      <c r="S515" s="5"/>
      <c r="T515" s="6"/>
      <c r="U515" s="6"/>
      <c r="V515" s="5"/>
      <c r="W515" s="6"/>
      <c r="X515" s="6"/>
      <c r="Y515" s="5"/>
      <c r="Z515" s="6"/>
      <c r="AA515" s="6"/>
      <c r="AB515" s="5"/>
      <c r="AC515" s="6"/>
      <c r="AD515" s="6"/>
      <c r="AE515" s="5"/>
      <c r="AF515" s="6"/>
      <c r="AG515" s="6"/>
      <c r="AH515" s="5"/>
      <c r="AI515" s="6"/>
      <c r="AJ515" s="6"/>
      <c r="AK515" s="5"/>
      <c r="AL515" s="6"/>
      <c r="AM515" s="6"/>
      <c r="AN515" s="6"/>
      <c r="AO515" s="6"/>
      <c r="AP515" s="6"/>
      <c r="AQ515" s="6"/>
    </row>
    <row r="516" spans="1:43" x14ac:dyDescent="0.25">
      <c r="A516" s="44" t="str">
        <f t="shared" si="11"/>
        <v>DESTROYER_ASIA</v>
      </c>
      <c r="B516" s="9" t="s">
        <v>114</v>
      </c>
      <c r="C516" s="5" t="s">
        <v>693</v>
      </c>
      <c r="D516" s="5" t="s">
        <v>698</v>
      </c>
      <c r="E516" s="5" t="s">
        <v>114</v>
      </c>
      <c r="F516" s="5" t="s">
        <v>114</v>
      </c>
      <c r="G516" s="5"/>
      <c r="H516" s="5"/>
      <c r="I516" s="5"/>
      <c r="J516" s="6"/>
      <c r="K516" s="7"/>
      <c r="L516" s="13"/>
      <c r="M516" s="8"/>
      <c r="N516" s="13"/>
      <c r="O516" s="13"/>
      <c r="P516" s="13"/>
      <c r="Q516" s="7"/>
      <c r="R516" s="6"/>
      <c r="S516" s="5"/>
      <c r="T516" s="6"/>
      <c r="U516" s="6"/>
      <c r="V516" s="5"/>
      <c r="W516" s="6"/>
      <c r="X516" s="6"/>
      <c r="Y516" s="5"/>
      <c r="Z516" s="6"/>
      <c r="AA516" s="6"/>
      <c r="AB516" s="5"/>
      <c r="AC516" s="6"/>
      <c r="AD516" s="6"/>
      <c r="AE516" s="5"/>
      <c r="AF516" s="6"/>
      <c r="AG516" s="6"/>
      <c r="AH516" s="5"/>
      <c r="AI516" s="6"/>
      <c r="AJ516" s="6"/>
      <c r="AK516" s="5"/>
      <c r="AL516" s="6"/>
      <c r="AM516" s="6"/>
      <c r="AN516" s="6"/>
      <c r="AO516" s="6"/>
      <c r="AP516" s="6"/>
      <c r="AQ516" s="6"/>
    </row>
    <row r="517" spans="1:43" x14ac:dyDescent="0.25">
      <c r="A517" s="44" t="str">
        <f t="shared" si="11"/>
        <v>DESTROYER_JAPAN</v>
      </c>
      <c r="B517" s="9" t="s">
        <v>114</v>
      </c>
      <c r="C517" s="4" t="s">
        <v>722</v>
      </c>
      <c r="E517" s="4" t="s">
        <v>114</v>
      </c>
      <c r="F517" s="4" t="s">
        <v>114</v>
      </c>
      <c r="G517" s="14" t="s">
        <v>132</v>
      </c>
      <c r="H517" s="4" t="s">
        <v>478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44" t="str">
        <f t="shared" si="11"/>
        <v>DESTROYER_KOREA</v>
      </c>
      <c r="B518" s="9" t="s">
        <v>114</v>
      </c>
      <c r="C518" s="4" t="s">
        <v>723</v>
      </c>
      <c r="D518" s="4" t="s">
        <v>722</v>
      </c>
      <c r="E518" s="4" t="s">
        <v>114</v>
      </c>
      <c r="F518" s="4" t="s">
        <v>114</v>
      </c>
      <c r="G518" s="14"/>
      <c r="AL518" s="11"/>
      <c r="AM518" s="11"/>
      <c r="AN518" s="11"/>
      <c r="AO518" s="11"/>
      <c r="AP518" s="11"/>
      <c r="AQ518" s="11"/>
    </row>
    <row r="519" spans="1:43" x14ac:dyDescent="0.25">
      <c r="A519" s="44" t="str">
        <f t="shared" si="11"/>
        <v>DESTROYER_EASTEU</v>
      </c>
      <c r="B519" s="9" t="s">
        <v>114</v>
      </c>
      <c r="C519" s="4" t="s">
        <v>698</v>
      </c>
      <c r="E519" s="4" t="s">
        <v>114</v>
      </c>
      <c r="F519" s="4" t="s">
        <v>114</v>
      </c>
      <c r="G519" s="14"/>
      <c r="H519" s="4" t="s">
        <v>611</v>
      </c>
      <c r="I519" s="4" t="s">
        <v>102</v>
      </c>
      <c r="AL519" s="11"/>
      <c r="AM519" s="11"/>
      <c r="AN519" s="11"/>
      <c r="AO519" s="11"/>
      <c r="AP519" s="11"/>
      <c r="AQ519" s="11"/>
    </row>
    <row r="520" spans="1:43" x14ac:dyDescent="0.25">
      <c r="A520" s="44" t="str">
        <f t="shared" si="11"/>
        <v>DESTROYER_POLAND</v>
      </c>
      <c r="B520" s="9" t="s">
        <v>114</v>
      </c>
      <c r="C520" s="4" t="s">
        <v>732</v>
      </c>
      <c r="E520" s="4" t="s">
        <v>114</v>
      </c>
      <c r="F520" s="4" t="s">
        <v>114</v>
      </c>
      <c r="G520" s="14" t="s">
        <v>132</v>
      </c>
      <c r="H520" s="4" t="s">
        <v>568</v>
      </c>
      <c r="I520" s="4" t="s">
        <v>102</v>
      </c>
      <c r="AL520" s="11"/>
      <c r="AM520" s="11"/>
      <c r="AN520" s="11"/>
      <c r="AO520" s="11"/>
      <c r="AP520" s="11"/>
      <c r="AQ520" s="11"/>
    </row>
    <row r="521" spans="1:43" x14ac:dyDescent="0.25">
      <c r="A521" s="44" t="str">
        <f t="shared" si="11"/>
        <v>DESTROYER_RUSSIA</v>
      </c>
      <c r="B521" s="9" t="s">
        <v>114</v>
      </c>
      <c r="C521" s="4" t="s">
        <v>735</v>
      </c>
      <c r="D521" s="4" t="s">
        <v>698</v>
      </c>
      <c r="E521" s="4" t="s">
        <v>114</v>
      </c>
      <c r="F521" s="4" t="s">
        <v>114</v>
      </c>
      <c r="G521" s="14" t="s">
        <v>132</v>
      </c>
      <c r="I521" s="4" t="s">
        <v>102</v>
      </c>
      <c r="AL521" s="11"/>
      <c r="AM521" s="11"/>
      <c r="AN521" s="11"/>
      <c r="AO521" s="11"/>
      <c r="AP521" s="11"/>
      <c r="AQ521" s="11"/>
    </row>
    <row r="522" spans="1:43" x14ac:dyDescent="0.25">
      <c r="A522" s="44" t="str">
        <f t="shared" si="11"/>
        <v>DESTROYER_AMERICA</v>
      </c>
      <c r="B522" s="9" t="s">
        <v>114</v>
      </c>
      <c r="C522" s="4" t="s">
        <v>699</v>
      </c>
      <c r="E522" s="4" t="s">
        <v>114</v>
      </c>
      <c r="F522" s="4" t="s">
        <v>114</v>
      </c>
      <c r="G522" s="14"/>
      <c r="H522" s="4" t="s">
        <v>137</v>
      </c>
      <c r="I522" s="4" t="s">
        <v>102</v>
      </c>
      <c r="AL522" s="11"/>
      <c r="AM522" s="11"/>
      <c r="AN522" s="11"/>
      <c r="AO522" s="11"/>
      <c r="AP522" s="11"/>
      <c r="AQ522" s="11"/>
    </row>
    <row r="523" spans="1:43" x14ac:dyDescent="0.25">
      <c r="A523" s="44" t="str">
        <f t="shared" si="11"/>
        <v>DESTROYER_AUSTRALIA</v>
      </c>
      <c r="B523" s="9" t="s">
        <v>114</v>
      </c>
      <c r="C523" s="4" t="s">
        <v>1300</v>
      </c>
      <c r="D523" s="4" t="s">
        <v>713</v>
      </c>
      <c r="E523" s="4" t="s">
        <v>114</v>
      </c>
      <c r="F523" s="4" t="s">
        <v>114</v>
      </c>
      <c r="G523" s="14"/>
      <c r="AL523" s="11"/>
      <c r="AM523" s="11"/>
      <c r="AN523" s="11"/>
      <c r="AO523" s="11"/>
      <c r="AP523" s="11"/>
      <c r="AQ523" s="11"/>
    </row>
    <row r="524" spans="1:43" x14ac:dyDescent="0.25">
      <c r="A524" s="44" t="str">
        <f t="shared" si="11"/>
        <v>DESTROYER_AUSTRIA</v>
      </c>
      <c r="B524" s="9" t="s">
        <v>114</v>
      </c>
      <c r="C524" s="4" t="s">
        <v>701</v>
      </c>
      <c r="D524" s="4" t="s">
        <v>717</v>
      </c>
      <c r="E524" s="4" t="s">
        <v>114</v>
      </c>
      <c r="F524" s="4" t="s">
        <v>114</v>
      </c>
      <c r="G524" s="14"/>
      <c r="AL524" s="11"/>
      <c r="AM524" s="11"/>
      <c r="AN524" s="11"/>
      <c r="AO524" s="11"/>
      <c r="AP524" s="11"/>
      <c r="AQ524" s="11"/>
    </row>
    <row r="525" spans="1:43" x14ac:dyDescent="0.25">
      <c r="A525" s="44" t="str">
        <f t="shared" si="11"/>
        <v>DESTROYER_CANADA</v>
      </c>
      <c r="B525" s="9" t="s">
        <v>114</v>
      </c>
      <c r="C525" s="4" t="s">
        <v>2187</v>
      </c>
      <c r="D525" s="4" t="s">
        <v>713</v>
      </c>
      <c r="E525" s="4" t="s">
        <v>114</v>
      </c>
      <c r="F525" s="4" t="s">
        <v>114</v>
      </c>
      <c r="G525" s="14"/>
      <c r="AL525" s="11"/>
      <c r="AM525" s="11"/>
      <c r="AN525" s="11"/>
      <c r="AO525" s="11"/>
      <c r="AP525" s="11"/>
      <c r="AQ525" s="11"/>
    </row>
    <row r="526" spans="1:43" x14ac:dyDescent="0.25">
      <c r="A526" s="44" t="str">
        <f t="shared" si="11"/>
        <v>DESTROYER_CELTS</v>
      </c>
      <c r="B526" s="9" t="s">
        <v>114</v>
      </c>
      <c r="C526" s="4" t="s">
        <v>709</v>
      </c>
      <c r="D526" s="4" t="s">
        <v>713</v>
      </c>
      <c r="E526" s="4" t="s">
        <v>114</v>
      </c>
      <c r="F526" s="4" t="s">
        <v>114</v>
      </c>
      <c r="G526" s="14"/>
      <c r="AL526" s="11"/>
      <c r="AM526" s="11"/>
      <c r="AN526" s="11"/>
      <c r="AO526" s="11"/>
      <c r="AP526" s="11"/>
      <c r="AQ526" s="11"/>
    </row>
    <row r="527" spans="1:43" x14ac:dyDescent="0.25">
      <c r="A527" s="44" t="str">
        <f t="shared" si="11"/>
        <v>DESTROYER_ENGLAND</v>
      </c>
      <c r="B527" s="9" t="s">
        <v>114</v>
      </c>
      <c r="C527" s="4" t="s">
        <v>713</v>
      </c>
      <c r="E527" s="4" t="s">
        <v>114</v>
      </c>
      <c r="F527" s="4" t="s">
        <v>114</v>
      </c>
      <c r="G527" s="14" t="s">
        <v>132</v>
      </c>
      <c r="H527" s="4" t="s">
        <v>296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44" t="str">
        <f t="shared" si="11"/>
        <v>DESTROYER_FRANCE</v>
      </c>
      <c r="B528" s="9" t="s">
        <v>114</v>
      </c>
      <c r="C528" s="4" t="s">
        <v>715</v>
      </c>
      <c r="E528" s="4" t="s">
        <v>114</v>
      </c>
      <c r="F528" s="4" t="s">
        <v>114</v>
      </c>
      <c r="G528" s="14" t="s">
        <v>132</v>
      </c>
      <c r="H528" s="4" t="s">
        <v>342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44" t="str">
        <f t="shared" si="11"/>
        <v>DESTROYER_GERMANY</v>
      </c>
      <c r="B529" s="9" t="s">
        <v>114</v>
      </c>
      <c r="C529" s="4" t="s">
        <v>717</v>
      </c>
      <c r="E529" s="4" t="s">
        <v>114</v>
      </c>
      <c r="F529" s="4" t="s">
        <v>114</v>
      </c>
      <c r="G529" s="14" t="s">
        <v>132</v>
      </c>
      <c r="H529" s="4" t="s">
        <v>372</v>
      </c>
      <c r="I529" s="4" t="s">
        <v>102</v>
      </c>
      <c r="AL529" s="11"/>
      <c r="AM529" s="11"/>
      <c r="AN529" s="11"/>
      <c r="AO529" s="11"/>
      <c r="AP529" s="11"/>
      <c r="AQ529" s="11"/>
    </row>
    <row r="530" spans="1:43" x14ac:dyDescent="0.25">
      <c r="A530" s="44" t="str">
        <f t="shared" si="11"/>
        <v>DESTROYER_NETHERLANDS</v>
      </c>
      <c r="B530" s="9" t="s">
        <v>114</v>
      </c>
      <c r="C530" s="4" t="s">
        <v>730</v>
      </c>
      <c r="E530" s="4" t="s">
        <v>114</v>
      </c>
      <c r="F530" s="4" t="s">
        <v>114</v>
      </c>
      <c r="G530" s="14" t="s">
        <v>132</v>
      </c>
      <c r="H530" s="4" t="s">
        <v>540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44" t="str">
        <f t="shared" si="11"/>
        <v>DESTROYER_GREECE</v>
      </c>
      <c r="B531" s="9" t="s">
        <v>114</v>
      </c>
      <c r="C531" s="4" t="s">
        <v>718</v>
      </c>
      <c r="E531" s="4" t="s">
        <v>114</v>
      </c>
      <c r="F531" s="4" t="s">
        <v>114</v>
      </c>
      <c r="G531" s="14" t="s">
        <v>132</v>
      </c>
      <c r="H531" s="4" t="s">
        <v>401</v>
      </c>
      <c r="I531" s="4" t="s">
        <v>102</v>
      </c>
      <c r="AL531" s="11"/>
      <c r="AM531" s="11"/>
      <c r="AN531" s="11"/>
      <c r="AO531" s="11"/>
      <c r="AP531" s="11"/>
      <c r="AQ531" s="11"/>
    </row>
    <row r="532" spans="1:43" x14ac:dyDescent="0.25">
      <c r="A532" s="44" t="str">
        <f t="shared" si="11"/>
        <v>DESTROYER_ROME</v>
      </c>
      <c r="B532" s="9" t="s">
        <v>114</v>
      </c>
      <c r="C532" s="4" t="s">
        <v>734</v>
      </c>
      <c r="E532" s="4" t="s">
        <v>114</v>
      </c>
      <c r="F532" s="4" t="s">
        <v>114</v>
      </c>
      <c r="G532" s="14" t="s">
        <v>132</v>
      </c>
      <c r="H532" s="4" t="s">
        <v>586</v>
      </c>
      <c r="I532" s="4" t="s">
        <v>102</v>
      </c>
      <c r="AL532" s="11"/>
      <c r="AM532" s="11"/>
      <c r="AN532" s="11"/>
      <c r="AO532" s="11"/>
      <c r="AP532" s="11"/>
      <c r="AQ532" s="11"/>
    </row>
    <row r="533" spans="1:43" x14ac:dyDescent="0.25">
      <c r="A533" s="44" t="str">
        <f t="shared" si="11"/>
        <v>DESTROYER_NORTHAF</v>
      </c>
      <c r="B533" s="9" t="s">
        <v>114</v>
      </c>
      <c r="C533" s="4" t="s">
        <v>2003</v>
      </c>
      <c r="D533" s="4" t="s">
        <v>715</v>
      </c>
      <c r="E533" s="4" t="s">
        <v>114</v>
      </c>
      <c r="F533" s="4" t="s">
        <v>114</v>
      </c>
      <c r="G533" s="14"/>
      <c r="AL533" s="11"/>
      <c r="AM533" s="11"/>
      <c r="AN533" s="11"/>
      <c r="AO533" s="11"/>
      <c r="AP533" s="11"/>
      <c r="AQ533" s="11"/>
    </row>
    <row r="534" spans="1:43" x14ac:dyDescent="0.25">
      <c r="A534" s="44" t="str">
        <f t="shared" si="11"/>
        <v>DESTROYER_SWEDEN</v>
      </c>
      <c r="B534" s="9" t="s">
        <v>114</v>
      </c>
      <c r="C534" s="4" t="s">
        <v>739</v>
      </c>
      <c r="E534" s="4" t="s">
        <v>114</v>
      </c>
      <c r="F534" s="4" t="s">
        <v>114</v>
      </c>
      <c r="G534" s="14" t="s">
        <v>132</v>
      </c>
      <c r="H534" s="4" t="s">
        <v>669</v>
      </c>
      <c r="I534" s="4" t="s">
        <v>102</v>
      </c>
      <c r="AL534" s="11"/>
      <c r="AM534" s="11"/>
      <c r="AN534" s="11"/>
      <c r="AO534" s="11"/>
      <c r="AP534" s="11"/>
      <c r="AQ534" s="11"/>
    </row>
    <row r="535" spans="1:43" x14ac:dyDescent="0.25">
      <c r="A535" s="44" t="str">
        <f t="shared" si="11"/>
        <v>DESTROYER_SAHUL</v>
      </c>
      <c r="B535" s="9" t="s">
        <v>114</v>
      </c>
      <c r="C535" s="4" t="s">
        <v>1785</v>
      </c>
      <c r="D535" s="4" t="s">
        <v>730</v>
      </c>
      <c r="E535" s="4" t="s">
        <v>114</v>
      </c>
      <c r="F535" s="4" t="s">
        <v>114</v>
      </c>
      <c r="G535" s="14"/>
      <c r="AL535" s="11"/>
      <c r="AM535" s="11"/>
      <c r="AN535" s="11"/>
      <c r="AO535" s="11"/>
      <c r="AP535" s="11"/>
      <c r="AQ535" s="11"/>
    </row>
    <row r="536" spans="1:43" x14ac:dyDescent="0.25">
      <c r="A536" s="44" t="str">
        <f t="shared" si="11"/>
        <v>DESTROYER_OCEAN</v>
      </c>
      <c r="B536" s="9" t="s">
        <v>114</v>
      </c>
      <c r="C536" s="4" t="s">
        <v>994</v>
      </c>
      <c r="D536" s="4" t="s">
        <v>699</v>
      </c>
      <c r="E536" s="4" t="s">
        <v>114</v>
      </c>
      <c r="F536" s="4" t="s">
        <v>114</v>
      </c>
      <c r="G536" s="14"/>
      <c r="H536" s="1"/>
      <c r="AL536" s="11"/>
      <c r="AM536" s="11"/>
      <c r="AN536" s="11"/>
      <c r="AO536" s="11"/>
      <c r="AP536" s="11"/>
      <c r="AQ536" s="11"/>
    </row>
    <row r="537" spans="1:43" x14ac:dyDescent="0.25">
      <c r="A537" s="44" t="str">
        <f t="shared" si="11"/>
        <v>DESTROYER_SEASIA</v>
      </c>
      <c r="B537" s="9" t="s">
        <v>114</v>
      </c>
      <c r="C537" s="4" t="s">
        <v>696</v>
      </c>
      <c r="D537" s="4" t="s">
        <v>715</v>
      </c>
      <c r="E537" s="4" t="s">
        <v>114</v>
      </c>
      <c r="F537" s="4" t="s">
        <v>114</v>
      </c>
      <c r="G537" s="14"/>
      <c r="H537" s="1"/>
      <c r="AL537" s="11"/>
      <c r="AM537" s="11"/>
      <c r="AN537" s="11"/>
      <c r="AO537" s="11"/>
      <c r="AP537" s="11"/>
      <c r="AQ537" s="11"/>
    </row>
    <row r="538" spans="1:43" x14ac:dyDescent="0.25">
      <c r="A538" s="44" t="str">
        <f t="shared" si="11"/>
        <v>DESTROYER_SOUTHAS</v>
      </c>
      <c r="B538" s="9" t="s">
        <v>114</v>
      </c>
      <c r="C538" s="4" t="s">
        <v>695</v>
      </c>
      <c r="D538" s="4" t="s">
        <v>713</v>
      </c>
      <c r="E538" s="4" t="s">
        <v>114</v>
      </c>
      <c r="F538" s="4" t="s">
        <v>114</v>
      </c>
      <c r="G538" s="14"/>
      <c r="H538" s="1"/>
      <c r="AL538" s="11"/>
      <c r="AM538" s="11"/>
      <c r="AN538" s="11"/>
      <c r="AO538" s="11"/>
      <c r="AP538" s="11"/>
      <c r="AQ538" s="11"/>
    </row>
    <row r="539" spans="1:43" x14ac:dyDescent="0.25">
      <c r="A539" s="44" t="str">
        <f t="shared" si="11"/>
        <v>ENGINEER</v>
      </c>
      <c r="B539" s="9" t="s">
        <v>1313</v>
      </c>
      <c r="C539" s="5"/>
      <c r="D539" s="5"/>
      <c r="E539" s="5" t="s">
        <v>1313</v>
      </c>
      <c r="F539" s="5" t="s">
        <v>1311</v>
      </c>
      <c r="G539" s="5"/>
      <c r="H539" s="5" t="s">
        <v>1716</v>
      </c>
      <c r="I539" s="5" t="s">
        <v>128</v>
      </c>
      <c r="J539" s="6">
        <v>1</v>
      </c>
      <c r="K539" s="6"/>
      <c r="L539" s="13" t="s">
        <v>1707</v>
      </c>
      <c r="M539" s="8"/>
      <c r="N539" s="5"/>
      <c r="O539" s="5"/>
      <c r="P539" s="5"/>
      <c r="Q539" s="7">
        <v>1</v>
      </c>
      <c r="R539" s="7" t="s">
        <v>1692</v>
      </c>
      <c r="S539" s="5"/>
      <c r="T539" s="6"/>
      <c r="U539" s="7" t="s">
        <v>1734</v>
      </c>
      <c r="V539" s="5"/>
      <c r="W539" s="6"/>
      <c r="X539" s="6" t="s">
        <v>3</v>
      </c>
      <c r="Y539" s="5"/>
      <c r="Z539" s="6"/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44" t="str">
        <f t="shared" si="11"/>
        <v>ENGINEER_LATE</v>
      </c>
      <c r="B540" s="9" t="s">
        <v>1313</v>
      </c>
      <c r="C540" s="5"/>
      <c r="D540" s="5"/>
      <c r="E540" s="5" t="s">
        <v>1335</v>
      </c>
      <c r="F540" s="5" t="s">
        <v>1312</v>
      </c>
      <c r="G540" s="5"/>
      <c r="H540" s="5" t="s">
        <v>1717</v>
      </c>
      <c r="I540" s="5" t="s">
        <v>128</v>
      </c>
      <c r="J540" s="6">
        <v>0</v>
      </c>
      <c r="K540" s="6"/>
      <c r="L540" s="13" t="s">
        <v>1707</v>
      </c>
      <c r="M540" s="8"/>
      <c r="N540" s="5"/>
      <c r="O540" s="5"/>
      <c r="P540" s="5"/>
      <c r="Q540" s="7">
        <v>1</v>
      </c>
      <c r="R540" s="7">
        <v>0.09</v>
      </c>
      <c r="S540" s="5"/>
      <c r="T540" s="6"/>
      <c r="U540" s="7">
        <v>0.08</v>
      </c>
      <c r="V540" s="5"/>
      <c r="W540" s="6"/>
      <c r="X540" s="6" t="s">
        <v>3</v>
      </c>
      <c r="Y540" s="5"/>
      <c r="Z540" s="6"/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44" t="str">
        <f t="shared" si="11"/>
        <v>EXPLORER</v>
      </c>
      <c r="C541" s="5"/>
      <c r="D541" s="5"/>
      <c r="E541" s="5" t="s">
        <v>1336</v>
      </c>
      <c r="F541" s="5" t="s">
        <v>1337</v>
      </c>
      <c r="G541" s="5"/>
      <c r="H541" s="5" t="s">
        <v>1449</v>
      </c>
      <c r="I541" s="5" t="s">
        <v>128</v>
      </c>
      <c r="J541" s="6"/>
      <c r="K541" s="6"/>
      <c r="L541" s="13" t="s">
        <v>1705</v>
      </c>
      <c r="M541" s="8"/>
      <c r="N541" s="5"/>
      <c r="O541" s="5"/>
      <c r="P541" s="5"/>
      <c r="Q541" s="6">
        <v>1</v>
      </c>
      <c r="R541" s="7" t="s">
        <v>1692</v>
      </c>
      <c r="S541" s="13" t="s">
        <v>1611</v>
      </c>
      <c r="T541" s="6">
        <v>1</v>
      </c>
      <c r="U541" s="7" t="s">
        <v>1734</v>
      </c>
      <c r="V541" s="5"/>
      <c r="W541" s="6"/>
      <c r="X541" s="6" t="s">
        <v>3</v>
      </c>
      <c r="Y541" s="5"/>
      <c r="Z541" s="6">
        <v>1</v>
      </c>
      <c r="AA541" s="6" t="s">
        <v>1734</v>
      </c>
      <c r="AB541" s="5"/>
      <c r="AC541" s="6"/>
      <c r="AD541" s="6" t="s">
        <v>3</v>
      </c>
      <c r="AE541" s="5"/>
      <c r="AF541" s="6">
        <v>1</v>
      </c>
      <c r="AG541" s="6"/>
      <c r="AH541" s="5"/>
      <c r="AI541" s="6">
        <v>1</v>
      </c>
      <c r="AJ541" s="6"/>
      <c r="AK541" s="5"/>
      <c r="AL541" s="6"/>
      <c r="AM541" s="6"/>
      <c r="AN541" s="6"/>
      <c r="AO541" s="6"/>
      <c r="AP541" s="6"/>
      <c r="AQ541" s="6"/>
    </row>
    <row r="542" spans="1:43" x14ac:dyDescent="0.25">
      <c r="A542" s="44" t="str">
        <f t="shared" si="11"/>
        <v>EXPLORER</v>
      </c>
      <c r="C542" s="5"/>
      <c r="D542" s="5"/>
      <c r="E542" s="5" t="s">
        <v>1336</v>
      </c>
      <c r="F542" s="5" t="s">
        <v>1337</v>
      </c>
      <c r="G542" s="5" t="s">
        <v>2032</v>
      </c>
      <c r="H542" s="5" t="s">
        <v>1448</v>
      </c>
      <c r="I542" s="5" t="s">
        <v>128</v>
      </c>
      <c r="J542" s="6"/>
      <c r="K542" s="6"/>
      <c r="L542" s="13" t="s">
        <v>1705</v>
      </c>
      <c r="M542" s="8"/>
      <c r="N542" s="5"/>
      <c r="O542" s="5"/>
      <c r="P542" s="5"/>
      <c r="Q542" s="6">
        <v>6</v>
      </c>
      <c r="R542" s="7" t="s">
        <v>1692</v>
      </c>
      <c r="S542" s="13" t="s">
        <v>1611</v>
      </c>
      <c r="T542" s="6">
        <v>6</v>
      </c>
      <c r="U542" s="7" t="s">
        <v>1734</v>
      </c>
      <c r="V542" s="5"/>
      <c r="W542" s="6"/>
      <c r="X542" s="6" t="s">
        <v>3</v>
      </c>
      <c r="Y542" s="5"/>
      <c r="Z542" s="6">
        <v>0</v>
      </c>
      <c r="AA542" s="6" t="s">
        <v>1734</v>
      </c>
      <c r="AB542" s="5"/>
      <c r="AC542" s="6"/>
      <c r="AD542" s="6" t="s">
        <v>3</v>
      </c>
      <c r="AE542" s="5"/>
      <c r="AF542" s="6">
        <v>1</v>
      </c>
      <c r="AG542" s="6"/>
      <c r="AH542" s="5"/>
      <c r="AI542" s="6">
        <v>3</v>
      </c>
      <c r="AJ542" s="6"/>
      <c r="AK542" s="5"/>
      <c r="AL542" s="6"/>
      <c r="AM542" s="6"/>
      <c r="AN542" s="6"/>
      <c r="AO542" s="6"/>
      <c r="AP542" s="6"/>
      <c r="AQ542" s="6"/>
    </row>
    <row r="543" spans="1:43" x14ac:dyDescent="0.25">
      <c r="A543" s="44" t="str">
        <f t="shared" si="11"/>
        <v>EXPLORER</v>
      </c>
      <c r="C543" s="5"/>
      <c r="D543" s="5"/>
      <c r="E543" s="5" t="s">
        <v>1336</v>
      </c>
      <c r="F543" s="5" t="s">
        <v>1337</v>
      </c>
      <c r="G543" s="5" t="s">
        <v>2033</v>
      </c>
      <c r="H543" s="5" t="s">
        <v>1450</v>
      </c>
      <c r="I543" s="5" t="s">
        <v>128</v>
      </c>
      <c r="J543" s="6"/>
      <c r="K543" s="6"/>
      <c r="L543" s="13" t="s">
        <v>1705</v>
      </c>
      <c r="M543" s="8"/>
      <c r="N543" s="5"/>
      <c r="O543" s="5"/>
      <c r="P543" s="5"/>
      <c r="Q543" s="6">
        <v>1</v>
      </c>
      <c r="R543" s="7" t="s">
        <v>1692</v>
      </c>
      <c r="S543" s="13" t="s">
        <v>1611</v>
      </c>
      <c r="T543" s="6">
        <v>1</v>
      </c>
      <c r="U543" s="7" t="s">
        <v>1734</v>
      </c>
      <c r="V543" s="5"/>
      <c r="W543" s="6"/>
      <c r="X543" s="6" t="s">
        <v>3</v>
      </c>
      <c r="Y543" s="5"/>
      <c r="Z543" s="6">
        <v>0</v>
      </c>
      <c r="AA543" s="6" t="s">
        <v>1734</v>
      </c>
      <c r="AB543" s="5"/>
      <c r="AC543" s="6"/>
      <c r="AD543" s="6" t="s">
        <v>3</v>
      </c>
      <c r="AE543" s="5"/>
      <c r="AF543" s="6">
        <v>0</v>
      </c>
      <c r="AG543" s="6"/>
      <c r="AH543" s="5"/>
      <c r="AI543" s="6">
        <v>1</v>
      </c>
      <c r="AJ543" s="6"/>
      <c r="AK543" s="5"/>
      <c r="AL543" s="6"/>
      <c r="AM543" s="6"/>
      <c r="AN543" s="6"/>
      <c r="AO543" s="6"/>
      <c r="AP543" s="6"/>
      <c r="AQ543" s="6"/>
    </row>
    <row r="544" spans="1:43" x14ac:dyDescent="0.25">
      <c r="A544" s="44" t="str">
        <f t="shared" si="11"/>
        <v>FIGHTER</v>
      </c>
      <c r="B544" s="9" t="s">
        <v>113</v>
      </c>
      <c r="C544" s="5"/>
      <c r="D544" s="5"/>
      <c r="E544" s="5" t="s">
        <v>113</v>
      </c>
      <c r="F544" s="5" t="s">
        <v>113</v>
      </c>
      <c r="G544" s="5"/>
      <c r="H544" s="5" t="s">
        <v>32</v>
      </c>
      <c r="I544" s="5" t="s">
        <v>128</v>
      </c>
      <c r="J544" s="6"/>
      <c r="K544" s="7"/>
      <c r="L544" s="13" t="s">
        <v>1708</v>
      </c>
      <c r="M544" s="8">
        <v>2</v>
      </c>
      <c r="N544" s="13" t="s">
        <v>1722</v>
      </c>
      <c r="O544" s="13"/>
      <c r="P544" s="13"/>
      <c r="Q544" s="7">
        <v>3</v>
      </c>
      <c r="R544" s="6">
        <v>7.4999999999999997E-2</v>
      </c>
      <c r="S544" s="13" t="s">
        <v>1618</v>
      </c>
      <c r="T544" s="7">
        <v>4</v>
      </c>
      <c r="U544" s="6">
        <v>7.0000000000000007E-2</v>
      </c>
      <c r="V544" s="5" t="s">
        <v>1696</v>
      </c>
      <c r="W544" s="6" t="s">
        <v>3</v>
      </c>
      <c r="X544" s="6" t="s">
        <v>3</v>
      </c>
      <c r="Y544" s="5"/>
      <c r="Z544" s="6">
        <v>1</v>
      </c>
      <c r="AA544" s="6"/>
      <c r="AB544" s="5"/>
      <c r="AC544" s="6"/>
      <c r="AD544" s="6" t="s">
        <v>3</v>
      </c>
      <c r="AE544" s="5"/>
      <c r="AF544" s="6"/>
      <c r="AG544" s="6"/>
      <c r="AH544" s="5"/>
      <c r="AI544" s="6"/>
      <c r="AJ544" s="6"/>
      <c r="AK544" s="5"/>
      <c r="AL544" s="6"/>
      <c r="AM544" s="6"/>
      <c r="AN544" s="6"/>
      <c r="AO544" s="6"/>
      <c r="AP544" s="6"/>
      <c r="AQ544" s="6"/>
    </row>
    <row r="545" spans="1:43" x14ac:dyDescent="0.25">
      <c r="A545" s="44" t="str">
        <f t="shared" si="11"/>
        <v>FIGHTER_AFRI</v>
      </c>
      <c r="B545" s="9" t="s">
        <v>113</v>
      </c>
      <c r="C545" s="4" t="s">
        <v>694</v>
      </c>
      <c r="D545" s="4" t="s">
        <v>690</v>
      </c>
      <c r="E545" s="4" t="s">
        <v>113</v>
      </c>
      <c r="F545" s="4" t="s">
        <v>113</v>
      </c>
      <c r="AL545" s="11"/>
      <c r="AM545" s="11"/>
      <c r="AN545" s="11"/>
      <c r="AO545" s="11"/>
      <c r="AP545" s="11"/>
      <c r="AQ545" s="11"/>
    </row>
    <row r="546" spans="1:43" x14ac:dyDescent="0.25">
      <c r="A546" s="44" t="str">
        <f t="shared" si="11"/>
        <v>FIGHTER_ZULU</v>
      </c>
      <c r="B546" s="9" t="s">
        <v>113</v>
      </c>
      <c r="C546" s="4" t="s">
        <v>742</v>
      </c>
      <c r="D546" s="4" t="s">
        <v>713</v>
      </c>
      <c r="E546" s="4" t="s">
        <v>113</v>
      </c>
      <c r="F546" s="4" t="s">
        <v>113</v>
      </c>
      <c r="AL546" s="11"/>
      <c r="AM546" s="11"/>
      <c r="AN546" s="11"/>
      <c r="AO546" s="11"/>
      <c r="AP546" s="11"/>
      <c r="AQ546" s="11"/>
    </row>
    <row r="547" spans="1:43" x14ac:dyDescent="0.25">
      <c r="A547" s="44" t="str">
        <f t="shared" si="11"/>
        <v>FIGHTER_AMER</v>
      </c>
      <c r="B547" s="9" t="s">
        <v>113</v>
      </c>
      <c r="C547" s="4" t="s">
        <v>697</v>
      </c>
      <c r="D547" s="4" t="s">
        <v>690</v>
      </c>
      <c r="E547" s="4" t="s">
        <v>113</v>
      </c>
      <c r="F547" s="4" t="s">
        <v>113</v>
      </c>
      <c r="AL547" s="11"/>
      <c r="AM547" s="11"/>
      <c r="AN547" s="11"/>
      <c r="AO547" s="11"/>
      <c r="AP547" s="11"/>
      <c r="AQ547" s="11"/>
    </row>
    <row r="548" spans="1:43" x14ac:dyDescent="0.25">
      <c r="A548" s="44" t="str">
        <f t="shared" si="11"/>
        <v>FIGHTER_CHINA</v>
      </c>
      <c r="B548" s="9" t="s">
        <v>113</v>
      </c>
      <c r="C548" s="4" t="s">
        <v>710</v>
      </c>
      <c r="E548" s="4" t="s">
        <v>113</v>
      </c>
      <c r="F548" s="4" t="s">
        <v>113</v>
      </c>
      <c r="G548" s="14" t="s">
        <v>132</v>
      </c>
      <c r="H548" s="4" t="s">
        <v>246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44" t="str">
        <f t="shared" si="11"/>
        <v>FIGHTER_OTTOMAN</v>
      </c>
      <c r="B549" s="9" t="s">
        <v>113</v>
      </c>
      <c r="C549" s="4" t="s">
        <v>1037</v>
      </c>
      <c r="E549" s="4" t="s">
        <v>113</v>
      </c>
      <c r="F549" s="4" t="s">
        <v>113</v>
      </c>
      <c r="G549" s="14" t="s">
        <v>132</v>
      </c>
      <c r="H549" s="14" t="s">
        <v>1038</v>
      </c>
      <c r="I549" s="4" t="s">
        <v>120</v>
      </c>
      <c r="J549" s="50"/>
      <c r="AL549" s="11"/>
      <c r="AM549" s="11"/>
      <c r="AN549" s="11"/>
      <c r="AO549" s="11"/>
      <c r="AP549" s="11"/>
      <c r="AQ549" s="11"/>
    </row>
    <row r="550" spans="1:43" x14ac:dyDescent="0.25">
      <c r="A550" s="44" t="str">
        <f t="shared" si="11"/>
        <v>FIGHTER_EASTEU</v>
      </c>
      <c r="B550" s="9" t="s">
        <v>113</v>
      </c>
      <c r="C550" s="4" t="s">
        <v>698</v>
      </c>
      <c r="E550" s="4" t="s">
        <v>113</v>
      </c>
      <c r="F550" s="4" t="s">
        <v>113</v>
      </c>
      <c r="G550" s="14"/>
      <c r="H550" s="4" t="s">
        <v>612</v>
      </c>
      <c r="I550" s="4" t="s">
        <v>102</v>
      </c>
      <c r="AL550" s="11"/>
      <c r="AM550" s="11"/>
      <c r="AN550" s="11"/>
      <c r="AO550" s="11"/>
      <c r="AP550" s="11"/>
      <c r="AQ550" s="11"/>
    </row>
    <row r="551" spans="1:43" x14ac:dyDescent="0.25">
      <c r="A551" s="44" t="str">
        <f t="shared" si="11"/>
        <v>FIGHTER_HUNS</v>
      </c>
      <c r="B551" s="9" t="s">
        <v>113</v>
      </c>
      <c r="C551" s="4" t="s">
        <v>904</v>
      </c>
      <c r="E551" s="4" t="s">
        <v>113</v>
      </c>
      <c r="F551" s="4" t="s">
        <v>113</v>
      </c>
      <c r="H551" s="4" t="s">
        <v>1101</v>
      </c>
      <c r="I551" s="4" t="s">
        <v>102</v>
      </c>
      <c r="AL551" s="11"/>
      <c r="AM551" s="11"/>
      <c r="AN551" s="11"/>
      <c r="AO551" s="11"/>
      <c r="AP551" s="11"/>
      <c r="AQ551" s="11"/>
    </row>
    <row r="552" spans="1:43" x14ac:dyDescent="0.25">
      <c r="A552" s="44" t="str">
        <f t="shared" si="11"/>
        <v>FIGHTER_POLAND</v>
      </c>
      <c r="B552" s="9" t="s">
        <v>113</v>
      </c>
      <c r="C552" s="4" t="s">
        <v>732</v>
      </c>
      <c r="E552" s="4" t="s">
        <v>113</v>
      </c>
      <c r="F552" s="4" t="s">
        <v>113</v>
      </c>
      <c r="G552" s="14" t="s">
        <v>132</v>
      </c>
      <c r="H552" s="4" t="s">
        <v>569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44" t="str">
        <f t="shared" si="11"/>
        <v>FIGHTER_RUSSIA</v>
      </c>
      <c r="B553" s="9" t="s">
        <v>113</v>
      </c>
      <c r="C553" s="4" t="s">
        <v>735</v>
      </c>
      <c r="D553" s="4" t="s">
        <v>698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44" t="str">
        <f t="shared" si="11"/>
        <v>FIGHTER_AMERICA</v>
      </c>
      <c r="B554" s="9" t="s">
        <v>113</v>
      </c>
      <c r="C554" s="4" t="s">
        <v>699</v>
      </c>
      <c r="E554" s="4" t="s">
        <v>113</v>
      </c>
      <c r="F554" s="4" t="s">
        <v>113</v>
      </c>
      <c r="G554" s="14"/>
      <c r="H554" s="4" t="s">
        <v>138</v>
      </c>
      <c r="I554" s="4" t="s">
        <v>130</v>
      </c>
      <c r="AL554" s="11"/>
      <c r="AM554" s="11"/>
      <c r="AN554" s="11"/>
      <c r="AO554" s="11"/>
      <c r="AP554" s="11"/>
      <c r="AQ554" s="11"/>
    </row>
    <row r="555" spans="1:43" x14ac:dyDescent="0.25">
      <c r="A555" s="44" t="str">
        <f t="shared" si="11"/>
        <v>FIGHTER_AUSTRALIA</v>
      </c>
      <c r="B555" s="9" t="s">
        <v>113</v>
      </c>
      <c r="C555" s="4" t="s">
        <v>1300</v>
      </c>
      <c r="E555" s="4" t="s">
        <v>113</v>
      </c>
      <c r="F555" s="4" t="s">
        <v>113</v>
      </c>
      <c r="G555" s="14"/>
      <c r="H555" s="4" t="s">
        <v>2218</v>
      </c>
      <c r="I555" s="4" t="s">
        <v>120</v>
      </c>
      <c r="AL555" s="11"/>
      <c r="AM555" s="11"/>
      <c r="AN555" s="11"/>
      <c r="AO555" s="11"/>
      <c r="AP555" s="11"/>
      <c r="AQ555" s="11"/>
    </row>
    <row r="556" spans="1:43" x14ac:dyDescent="0.25">
      <c r="A556" s="44" t="str">
        <f t="shared" si="11"/>
        <v>FIGHTER_AUSTRIA</v>
      </c>
      <c r="B556" s="9" t="s">
        <v>113</v>
      </c>
      <c r="C556" s="4" t="s">
        <v>701</v>
      </c>
      <c r="E556" s="4" t="s">
        <v>113</v>
      </c>
      <c r="F556" s="4" t="s">
        <v>113</v>
      </c>
      <c r="G556" s="14"/>
      <c r="H556" s="4" t="s">
        <v>178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44" t="str">
        <f t="shared" si="11"/>
        <v>FIGHTER_CANADA</v>
      </c>
      <c r="B557" s="9" t="s">
        <v>113</v>
      </c>
      <c r="C557" s="4" t="s">
        <v>2187</v>
      </c>
      <c r="D557" s="4" t="s">
        <v>713</v>
      </c>
      <c r="E557" s="4" t="s">
        <v>113</v>
      </c>
      <c r="F557" s="4" t="s">
        <v>113</v>
      </c>
      <c r="G557" s="14"/>
      <c r="AL557" s="11"/>
      <c r="AM557" s="11"/>
      <c r="AN557" s="11"/>
      <c r="AO557" s="11"/>
      <c r="AP557" s="11"/>
      <c r="AQ557" s="11"/>
    </row>
    <row r="558" spans="1:43" x14ac:dyDescent="0.25">
      <c r="A558" s="44" t="str">
        <f t="shared" si="11"/>
        <v>FIGHTER_CELTS</v>
      </c>
      <c r="B558" s="9" t="s">
        <v>113</v>
      </c>
      <c r="C558" s="4" t="s">
        <v>709</v>
      </c>
      <c r="D558" s="4" t="s">
        <v>713</v>
      </c>
      <c r="E558" s="4" t="s">
        <v>113</v>
      </c>
      <c r="F558" s="4" t="s">
        <v>113</v>
      </c>
      <c r="G558" s="14"/>
      <c r="AL558" s="11"/>
      <c r="AM558" s="11"/>
      <c r="AN558" s="11"/>
      <c r="AO558" s="11"/>
      <c r="AP558" s="11"/>
      <c r="AQ558" s="11"/>
    </row>
    <row r="559" spans="1:43" x14ac:dyDescent="0.25">
      <c r="A559" s="44" t="str">
        <f t="shared" si="11"/>
        <v>FIGHTER_ENGLAND</v>
      </c>
      <c r="B559" s="9" t="s">
        <v>113</v>
      </c>
      <c r="C559" s="4" t="s">
        <v>713</v>
      </c>
      <c r="E559" s="4" t="s">
        <v>113</v>
      </c>
      <c r="F559" s="4" t="s">
        <v>113</v>
      </c>
      <c r="G559" s="14" t="s">
        <v>132</v>
      </c>
      <c r="H559" s="4" t="s">
        <v>297</v>
      </c>
      <c r="I559" s="4" t="s">
        <v>1056</v>
      </c>
      <c r="AL559" s="11"/>
      <c r="AM559" s="11"/>
      <c r="AN559" s="11"/>
      <c r="AO559" s="11"/>
      <c r="AP559" s="11"/>
      <c r="AQ559" s="11"/>
    </row>
    <row r="560" spans="1:43" x14ac:dyDescent="0.25">
      <c r="A560" s="44" t="str">
        <f t="shared" si="11"/>
        <v>FIGHTER_FRANCE</v>
      </c>
      <c r="B560" s="9" t="s">
        <v>113</v>
      </c>
      <c r="C560" s="4" t="s">
        <v>715</v>
      </c>
      <c r="E560" s="4" t="s">
        <v>113</v>
      </c>
      <c r="F560" s="4" t="s">
        <v>113</v>
      </c>
      <c r="G560" s="14" t="s">
        <v>132</v>
      </c>
      <c r="H560" s="4" t="s">
        <v>343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44" t="str">
        <f t="shared" si="11"/>
        <v>FIGHTER_GERMANY</v>
      </c>
      <c r="B561" s="9" t="s">
        <v>113</v>
      </c>
      <c r="C561" s="4" t="s">
        <v>717</v>
      </c>
      <c r="E561" s="4" t="s">
        <v>113</v>
      </c>
      <c r="F561" s="4" t="s">
        <v>113</v>
      </c>
      <c r="G561" s="14" t="s">
        <v>132</v>
      </c>
      <c r="H561" s="4" t="s">
        <v>373</v>
      </c>
      <c r="I561" s="4" t="s">
        <v>102</v>
      </c>
      <c r="AL561" s="11"/>
      <c r="AM561" s="11"/>
      <c r="AN561" s="11"/>
      <c r="AO561" s="11"/>
      <c r="AP561" s="11"/>
      <c r="AQ561" s="11"/>
    </row>
    <row r="562" spans="1:43" x14ac:dyDescent="0.25">
      <c r="A562" s="44" t="str">
        <f t="shared" si="11"/>
        <v>FIGHTER_NETHERLANDS</v>
      </c>
      <c r="B562" s="9" t="s">
        <v>113</v>
      </c>
      <c r="C562" s="4" t="s">
        <v>730</v>
      </c>
      <c r="E562" s="4" t="s">
        <v>113</v>
      </c>
      <c r="F562" s="4" t="s">
        <v>113</v>
      </c>
      <c r="G562" s="14" t="s">
        <v>132</v>
      </c>
      <c r="H562" s="4" t="s">
        <v>541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44" t="str">
        <f t="shared" si="11"/>
        <v>FIGHTER_BRAZIL</v>
      </c>
      <c r="B563" s="9" t="s">
        <v>113</v>
      </c>
      <c r="C563" s="4" t="s">
        <v>706</v>
      </c>
      <c r="E563" s="4" t="s">
        <v>113</v>
      </c>
      <c r="F563" s="4" t="s">
        <v>113</v>
      </c>
      <c r="G563" s="14" t="s">
        <v>132</v>
      </c>
      <c r="H563" s="4" t="s">
        <v>222</v>
      </c>
      <c r="I563" s="4" t="s">
        <v>120</v>
      </c>
      <c r="AL563" s="11"/>
      <c r="AM563" s="11"/>
      <c r="AN563" s="11"/>
      <c r="AO563" s="11"/>
      <c r="AP563" s="11"/>
      <c r="AQ563" s="11"/>
    </row>
    <row r="564" spans="1:43" x14ac:dyDescent="0.25">
      <c r="A564" s="44" t="str">
        <f t="shared" si="11"/>
        <v>FIGHTER_GREECE</v>
      </c>
      <c r="B564" s="9" t="s">
        <v>113</v>
      </c>
      <c r="C564" s="4" t="s">
        <v>718</v>
      </c>
      <c r="E564" s="4" t="s">
        <v>113</v>
      </c>
      <c r="F564" s="4" t="s">
        <v>113</v>
      </c>
      <c r="G564" s="14" t="s">
        <v>132</v>
      </c>
      <c r="H564" s="4" t="s">
        <v>402</v>
      </c>
      <c r="I564" s="4" t="s">
        <v>102</v>
      </c>
      <c r="AL564" s="11"/>
      <c r="AM564" s="11"/>
      <c r="AN564" s="11"/>
      <c r="AO564" s="11"/>
      <c r="AP564" s="11"/>
      <c r="AQ564" s="11"/>
    </row>
    <row r="565" spans="1:43" x14ac:dyDescent="0.25">
      <c r="A565" s="44" t="str">
        <f t="shared" si="11"/>
        <v>FIGHTER_ROME</v>
      </c>
      <c r="B565" s="9" t="s">
        <v>113</v>
      </c>
      <c r="C565" s="4" t="s">
        <v>734</v>
      </c>
      <c r="E565" s="4" t="s">
        <v>113</v>
      </c>
      <c r="F565" s="4" t="s">
        <v>113</v>
      </c>
      <c r="G565" s="14" t="s">
        <v>132</v>
      </c>
      <c r="H565" s="4" t="s">
        <v>587</v>
      </c>
      <c r="I565" s="4" t="s">
        <v>1067</v>
      </c>
      <c r="AL565" s="11"/>
      <c r="AM565" s="11"/>
      <c r="AN565" s="11"/>
      <c r="AO565" s="11"/>
      <c r="AP565" s="11"/>
      <c r="AQ565" s="11"/>
    </row>
    <row r="566" spans="1:43" x14ac:dyDescent="0.25">
      <c r="A566" s="44" t="str">
        <f t="shared" si="11"/>
        <v>FIGHTER_SPAIN</v>
      </c>
      <c r="B566" s="9" t="s">
        <v>113</v>
      </c>
      <c r="C566" s="4" t="s">
        <v>738</v>
      </c>
      <c r="E566" s="4" t="s">
        <v>113</v>
      </c>
      <c r="F566" s="4" t="s">
        <v>113</v>
      </c>
      <c r="G566" s="14" t="s">
        <v>132</v>
      </c>
      <c r="H566" s="4" t="s">
        <v>651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44" t="str">
        <f t="shared" si="11"/>
        <v>FIGHTER_MIDEAST</v>
      </c>
      <c r="B567" s="9" t="s">
        <v>113</v>
      </c>
      <c r="C567" s="4" t="s">
        <v>690</v>
      </c>
      <c r="E567" s="4" t="s">
        <v>113</v>
      </c>
      <c r="F567" s="4" t="s">
        <v>113</v>
      </c>
      <c r="H567" s="4" t="s">
        <v>160</v>
      </c>
      <c r="I567" s="4" t="s">
        <v>102</v>
      </c>
      <c r="AL567" s="11"/>
      <c r="AM567" s="11"/>
      <c r="AN567" s="11"/>
      <c r="AO567" s="11"/>
      <c r="AP567" s="11"/>
      <c r="AQ567" s="11"/>
    </row>
    <row r="568" spans="1:43" x14ac:dyDescent="0.25">
      <c r="A568" s="44" t="str">
        <f t="shared" si="11"/>
        <v>FIGHTER_EGYPT</v>
      </c>
      <c r="B568" s="9" t="s">
        <v>113</v>
      </c>
      <c r="C568" s="4" t="s">
        <v>712</v>
      </c>
      <c r="E568" s="4" t="s">
        <v>113</v>
      </c>
      <c r="F568" s="4" t="s">
        <v>113</v>
      </c>
      <c r="G568" s="14" t="s">
        <v>132</v>
      </c>
      <c r="H568" s="4" t="s">
        <v>278</v>
      </c>
      <c r="I568" s="4" t="s">
        <v>120</v>
      </c>
      <c r="AL568" s="11"/>
      <c r="AM568" s="11"/>
      <c r="AN568" s="11"/>
      <c r="AO568" s="11"/>
      <c r="AP568" s="11"/>
      <c r="AQ568" s="11"/>
    </row>
    <row r="569" spans="1:43" x14ac:dyDescent="0.25">
      <c r="A569" s="44" t="str">
        <f t="shared" si="11"/>
        <v>FIGHTER_NORTHAF</v>
      </c>
      <c r="B569" s="9" t="s">
        <v>113</v>
      </c>
      <c r="C569" s="4" t="s">
        <v>2003</v>
      </c>
      <c r="D569" s="4" t="s">
        <v>715</v>
      </c>
      <c r="E569" s="4" t="s">
        <v>113</v>
      </c>
      <c r="F569" s="4" t="s">
        <v>113</v>
      </c>
      <c r="G569" s="14"/>
      <c r="AL569" s="11"/>
      <c r="AM569" s="11"/>
      <c r="AN569" s="11"/>
      <c r="AO569" s="11"/>
      <c r="AP569" s="11"/>
      <c r="AQ569" s="11"/>
    </row>
    <row r="570" spans="1:43" x14ac:dyDescent="0.25">
      <c r="A570" s="44" t="str">
        <f t="shared" si="11"/>
        <v>FIGHTER_SWEDEN</v>
      </c>
      <c r="B570" s="9" t="s">
        <v>113</v>
      </c>
      <c r="C570" s="4" t="s">
        <v>739</v>
      </c>
      <c r="E570" s="4" t="s">
        <v>113</v>
      </c>
      <c r="F570" s="4" t="s">
        <v>113</v>
      </c>
      <c r="G570" s="14" t="s">
        <v>132</v>
      </c>
      <c r="H570" s="4" t="s">
        <v>670</v>
      </c>
      <c r="I570" s="4" t="s">
        <v>102</v>
      </c>
      <c r="AL570" s="11"/>
      <c r="AM570" s="11"/>
      <c r="AN570" s="11"/>
      <c r="AO570" s="11"/>
      <c r="AP570" s="11"/>
      <c r="AQ570" s="11"/>
    </row>
    <row r="571" spans="1:43" x14ac:dyDescent="0.25">
      <c r="A571" s="44" t="str">
        <f t="shared" si="11"/>
        <v>FIGHTER_OCEAN</v>
      </c>
      <c r="B571" s="9" t="s">
        <v>113</v>
      </c>
      <c r="C571" s="4" t="s">
        <v>994</v>
      </c>
      <c r="D571" s="4" t="s">
        <v>690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44" t="str">
        <f t="shared" si="11"/>
        <v>FIGHTER_SAHUL</v>
      </c>
      <c r="B572" s="9" t="s">
        <v>113</v>
      </c>
      <c r="C572" s="4" t="s">
        <v>1785</v>
      </c>
      <c r="D572" s="4" t="s">
        <v>1300</v>
      </c>
      <c r="E572" s="4" t="s">
        <v>113</v>
      </c>
      <c r="F572" s="4" t="s">
        <v>113</v>
      </c>
      <c r="AL572" s="11"/>
      <c r="AM572" s="11"/>
      <c r="AN572" s="11"/>
      <c r="AO572" s="11"/>
      <c r="AP572" s="11"/>
      <c r="AQ572" s="11"/>
    </row>
    <row r="573" spans="1:43" x14ac:dyDescent="0.25">
      <c r="A573" s="44" t="str">
        <f t="shared" si="11"/>
        <v>FIGHTER_SEASIA</v>
      </c>
      <c r="B573" s="9" t="s">
        <v>113</v>
      </c>
      <c r="C573" s="4" t="s">
        <v>696</v>
      </c>
      <c r="D573" s="4" t="s">
        <v>715</v>
      </c>
      <c r="E573" s="4" t="s">
        <v>113</v>
      </c>
      <c r="F573" s="4" t="s">
        <v>113</v>
      </c>
      <c r="AL573" s="11"/>
      <c r="AM573" s="11"/>
      <c r="AN573" s="11"/>
      <c r="AO573" s="11"/>
      <c r="AP573" s="11"/>
      <c r="AQ573" s="11"/>
    </row>
    <row r="574" spans="1:43" x14ac:dyDescent="0.25">
      <c r="A574" s="44" t="str">
        <f t="shared" si="11"/>
        <v>FIGHTER_SOUTHAM</v>
      </c>
      <c r="B574" s="9" t="s">
        <v>113</v>
      </c>
      <c r="C574" s="4" t="s">
        <v>691</v>
      </c>
      <c r="D574" s="4" t="s">
        <v>690</v>
      </c>
      <c r="E574" s="4" t="s">
        <v>113</v>
      </c>
      <c r="F574" s="4" t="s">
        <v>113</v>
      </c>
      <c r="AL574" s="11"/>
      <c r="AM574" s="11"/>
      <c r="AN574" s="11"/>
      <c r="AO574" s="11"/>
      <c r="AP574" s="11"/>
      <c r="AQ574" s="11"/>
    </row>
    <row r="575" spans="1:43" x14ac:dyDescent="0.25">
      <c r="A575" s="44" t="str">
        <f t="shared" si="11"/>
        <v>FIGHTER_SOUTHAS</v>
      </c>
      <c r="B575" s="9" t="s">
        <v>113</v>
      </c>
      <c r="C575" s="4" t="s">
        <v>695</v>
      </c>
      <c r="D575" s="4" t="s">
        <v>713</v>
      </c>
      <c r="E575" s="4" t="s">
        <v>113</v>
      </c>
      <c r="F575" s="4" t="s">
        <v>113</v>
      </c>
      <c r="AL575" s="11"/>
      <c r="AM575" s="11"/>
      <c r="AN575" s="11"/>
      <c r="AO575" s="11"/>
      <c r="AP575" s="11"/>
      <c r="AQ575" s="11"/>
    </row>
    <row r="576" spans="1:43" x14ac:dyDescent="0.25">
      <c r="A576" s="44" t="str">
        <f t="shared" ref="A576:A642" si="12">CONCATENATE(E576,IF(ISBLANK(C576),"",CONCATENATE("_",C576)))</f>
        <v>FRIGATE</v>
      </c>
      <c r="B576" s="9" t="s">
        <v>753</v>
      </c>
      <c r="C576" s="5"/>
      <c r="D576" s="5"/>
      <c r="E576" s="5" t="s">
        <v>753</v>
      </c>
      <c r="F576" s="5" t="s">
        <v>753</v>
      </c>
      <c r="G576" s="5"/>
      <c r="H576" s="5" t="s">
        <v>31</v>
      </c>
      <c r="I576" s="5" t="s">
        <v>128</v>
      </c>
      <c r="J576" s="6"/>
      <c r="K576" s="7"/>
      <c r="L576" s="13" t="s">
        <v>1709</v>
      </c>
      <c r="M576" s="8"/>
      <c r="N576" s="13" t="s">
        <v>1724</v>
      </c>
      <c r="O576" s="13"/>
      <c r="P576" s="13"/>
      <c r="Q576" s="7">
        <v>1</v>
      </c>
      <c r="R576" s="6" t="s">
        <v>1734</v>
      </c>
      <c r="S576" s="13"/>
      <c r="T576" s="7">
        <v>2</v>
      </c>
      <c r="U576" s="6">
        <v>0.115</v>
      </c>
      <c r="V576" s="5" t="s">
        <v>1697</v>
      </c>
      <c r="W576" s="6"/>
      <c r="X576" s="6"/>
      <c r="Y576" s="5"/>
      <c r="Z576" s="6"/>
      <c r="AA576" s="6"/>
      <c r="AB576" s="5"/>
      <c r="AC576" s="6"/>
      <c r="AD576" s="6"/>
      <c r="AE576" s="5"/>
      <c r="AF576" s="6"/>
      <c r="AG576" s="6"/>
      <c r="AH576" s="5"/>
      <c r="AI576" s="6"/>
      <c r="AJ576" s="6"/>
      <c r="AK576" s="5"/>
      <c r="AL576" s="6"/>
      <c r="AM576" s="6"/>
      <c r="AN576" s="6"/>
      <c r="AO576" s="6"/>
      <c r="AP576" s="6"/>
      <c r="AQ576" s="6"/>
    </row>
    <row r="577" spans="1:43" x14ac:dyDescent="0.25">
      <c r="A577" s="44" t="str">
        <f t="shared" si="12"/>
        <v>GADRAUHTS_SWORDSMAN</v>
      </c>
      <c r="C577" s="5"/>
      <c r="D577" s="5"/>
      <c r="E577" s="5" t="s">
        <v>1338</v>
      </c>
      <c r="F577" s="5" t="s">
        <v>1338</v>
      </c>
      <c r="G577" s="5"/>
      <c r="H577" s="5" t="s">
        <v>1439</v>
      </c>
      <c r="I577" s="5" t="s">
        <v>128</v>
      </c>
      <c r="J577" s="6"/>
      <c r="K577" s="6"/>
      <c r="L577" s="13" t="s">
        <v>1705</v>
      </c>
      <c r="M577" s="8"/>
      <c r="N577" s="5"/>
      <c r="O577" s="5"/>
      <c r="P577" s="5"/>
      <c r="Q577" s="7">
        <v>10</v>
      </c>
      <c r="R577" s="6" t="s">
        <v>1734</v>
      </c>
      <c r="S577" s="13" t="s">
        <v>1617</v>
      </c>
      <c r="T577" s="7" t="s">
        <v>1734</v>
      </c>
      <c r="U577" s="7" t="s">
        <v>1734</v>
      </c>
      <c r="V577" s="5"/>
      <c r="W577" s="6" t="s">
        <v>3</v>
      </c>
      <c r="X577" s="6" t="s">
        <v>3</v>
      </c>
      <c r="Y577" s="5"/>
      <c r="Z577" s="6">
        <v>1</v>
      </c>
      <c r="AA577" s="6"/>
      <c r="AB577" s="5"/>
      <c r="AC577" s="6"/>
      <c r="AD577" s="6" t="s">
        <v>3</v>
      </c>
      <c r="AE577" s="5"/>
      <c r="AF577" s="7" t="s">
        <v>1734</v>
      </c>
      <c r="AG577" s="6"/>
      <c r="AH577" s="5"/>
      <c r="AI577" s="7">
        <v>6</v>
      </c>
      <c r="AJ577" s="6"/>
      <c r="AK577" s="5"/>
      <c r="AL577" s="6"/>
      <c r="AM577" s="6"/>
      <c r="AN577" s="6"/>
      <c r="AO577" s="6"/>
      <c r="AP577" s="6"/>
      <c r="AQ577" s="6"/>
    </row>
    <row r="578" spans="1:43" x14ac:dyDescent="0.25">
      <c r="A578" s="44" t="str">
        <f t="shared" si="12"/>
        <v>GALLEASS</v>
      </c>
      <c r="B578" s="9" t="s">
        <v>754</v>
      </c>
      <c r="C578" s="5"/>
      <c r="D578" s="5"/>
      <c r="E578" s="5" t="s">
        <v>754</v>
      </c>
      <c r="F578" s="5" t="s">
        <v>754</v>
      </c>
      <c r="G578" s="5"/>
      <c r="H578" s="5" t="s">
        <v>1276</v>
      </c>
      <c r="I578" s="5" t="s">
        <v>128</v>
      </c>
      <c r="J578" s="6"/>
      <c r="K578" s="7"/>
      <c r="L578" s="13" t="s">
        <v>1709</v>
      </c>
      <c r="M578" s="8"/>
      <c r="N578" s="13" t="s">
        <v>1724</v>
      </c>
      <c r="O578" s="13"/>
      <c r="P578" s="13"/>
      <c r="Q578" s="7">
        <v>1</v>
      </c>
      <c r="R578" s="6" t="s">
        <v>1734</v>
      </c>
      <c r="S578" s="5"/>
      <c r="T578" s="7">
        <v>3</v>
      </c>
      <c r="U578" s="7" t="s">
        <v>1734</v>
      </c>
      <c r="V578" s="5" t="s">
        <v>1695</v>
      </c>
      <c r="W578" s="6"/>
      <c r="X578" s="6"/>
      <c r="Y578" s="5"/>
      <c r="Z578" s="6"/>
      <c r="AA578" s="6"/>
      <c r="AB578" s="5"/>
      <c r="AC578" s="6"/>
      <c r="AD578" s="6"/>
      <c r="AE578" s="5"/>
      <c r="AF578" s="6"/>
      <c r="AG578" s="6"/>
      <c r="AH578" s="5"/>
      <c r="AI578" s="6"/>
      <c r="AJ578" s="6"/>
      <c r="AK578" s="5"/>
      <c r="AL578" s="6"/>
      <c r="AM578" s="6"/>
      <c r="AN578" s="6"/>
      <c r="AO578" s="6"/>
      <c r="AP578" s="6"/>
      <c r="AQ578" s="6"/>
    </row>
    <row r="579" spans="1:43" x14ac:dyDescent="0.25">
      <c r="A579" s="44" t="str">
        <f t="shared" si="12"/>
        <v>GALLEON</v>
      </c>
      <c r="C579" s="5"/>
      <c r="D579" s="5"/>
      <c r="E579" s="5" t="s">
        <v>844</v>
      </c>
      <c r="F579" s="5" t="s">
        <v>844</v>
      </c>
      <c r="G579" s="5"/>
      <c r="H579" s="5" t="s">
        <v>850</v>
      </c>
      <c r="I579" s="5" t="s">
        <v>964</v>
      </c>
      <c r="J579" s="6"/>
      <c r="K579" s="7"/>
      <c r="L579" s="13" t="s">
        <v>1709</v>
      </c>
      <c r="M579" s="8"/>
      <c r="N579" s="13" t="s">
        <v>1724</v>
      </c>
      <c r="O579" s="13"/>
      <c r="P579" s="13"/>
      <c r="Q579" s="7">
        <v>2</v>
      </c>
      <c r="R579" s="6" t="s">
        <v>1692</v>
      </c>
      <c r="S579" s="13" t="s">
        <v>1610</v>
      </c>
      <c r="T579" s="7">
        <v>3</v>
      </c>
      <c r="U579" s="6">
        <v>0.115</v>
      </c>
      <c r="V579" s="5" t="s">
        <v>1693</v>
      </c>
      <c r="W579" s="6"/>
      <c r="X579" s="6"/>
      <c r="Y579" s="5"/>
      <c r="Z579" s="6">
        <v>1</v>
      </c>
      <c r="AA579" s="6"/>
      <c r="AB579" s="5"/>
      <c r="AC579" s="6"/>
      <c r="AD579" s="6"/>
      <c r="AE579" s="5"/>
      <c r="AF579" s="6"/>
      <c r="AG579" s="6"/>
      <c r="AH579" s="5"/>
      <c r="AI579" s="6"/>
      <c r="AJ579" s="6"/>
      <c r="AK579" s="5"/>
      <c r="AL579" s="6"/>
      <c r="AM579" s="6"/>
      <c r="AN579" s="6"/>
      <c r="AO579" s="6"/>
      <c r="AP579" s="6"/>
      <c r="AQ579" s="6"/>
    </row>
    <row r="580" spans="1:43" x14ac:dyDescent="0.25">
      <c r="A580" s="44" t="str">
        <f t="shared" si="12"/>
        <v>GALLEON_AFRI</v>
      </c>
      <c r="C580" s="4" t="s">
        <v>694</v>
      </c>
      <c r="D580" s="4" t="s">
        <v>692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44" t="str">
        <f t="shared" si="12"/>
        <v>GALLEON_AMER</v>
      </c>
      <c r="C581" s="4" t="s">
        <v>697</v>
      </c>
      <c r="D581" s="4" t="s">
        <v>689</v>
      </c>
      <c r="E581" s="4" t="s">
        <v>844</v>
      </c>
      <c r="F581" s="4" t="s">
        <v>844</v>
      </c>
      <c r="AL581" s="11"/>
      <c r="AM581" s="11"/>
      <c r="AN581" s="11"/>
      <c r="AO581" s="11"/>
      <c r="AP581" s="11"/>
      <c r="AQ581" s="11"/>
    </row>
    <row r="582" spans="1:43" x14ac:dyDescent="0.25">
      <c r="A582" s="44" t="str">
        <f t="shared" si="12"/>
        <v>GALLEON_ASIA</v>
      </c>
      <c r="C582" s="4" t="s">
        <v>693</v>
      </c>
      <c r="E582" s="4" t="s">
        <v>844</v>
      </c>
      <c r="F582" s="4" t="s">
        <v>844</v>
      </c>
      <c r="H582" s="4" t="s">
        <v>852</v>
      </c>
      <c r="I582" s="4" t="s">
        <v>1052</v>
      </c>
      <c r="R582" s="11">
        <v>0.11</v>
      </c>
      <c r="U582" s="11">
        <v>9.5000000000000001E-2</v>
      </c>
      <c r="AL582" s="11"/>
      <c r="AM582" s="11"/>
      <c r="AN582" s="11"/>
      <c r="AO582" s="11"/>
      <c r="AP582" s="11"/>
      <c r="AQ582" s="11"/>
    </row>
    <row r="583" spans="1:43" x14ac:dyDescent="0.25">
      <c r="A583" s="44" t="str">
        <f t="shared" si="12"/>
        <v>GALLEON_CENTAS</v>
      </c>
      <c r="C583" s="4" t="s">
        <v>918</v>
      </c>
      <c r="D583" s="4" t="s">
        <v>692</v>
      </c>
      <c r="E583" s="4" t="s">
        <v>844</v>
      </c>
      <c r="F583" s="4" t="s">
        <v>844</v>
      </c>
      <c r="G583" s="14"/>
      <c r="H583" s="14"/>
      <c r="J583" s="50"/>
      <c r="AL583" s="11"/>
      <c r="AM583" s="11"/>
      <c r="AN583" s="11"/>
      <c r="AO583" s="11"/>
      <c r="AP583" s="11"/>
      <c r="AQ583" s="11"/>
    </row>
    <row r="584" spans="1:43" x14ac:dyDescent="0.25">
      <c r="A584" s="44" t="str">
        <f t="shared" si="12"/>
        <v>GALLEON_EASTEU</v>
      </c>
      <c r="C584" s="4" t="s">
        <v>698</v>
      </c>
      <c r="D584" s="4" t="s">
        <v>689</v>
      </c>
      <c r="E584" s="4" t="s">
        <v>844</v>
      </c>
      <c r="F584" s="4" t="s">
        <v>844</v>
      </c>
      <c r="AL584" s="11"/>
      <c r="AM584" s="11"/>
      <c r="AN584" s="11"/>
      <c r="AO584" s="11"/>
      <c r="AP584" s="11"/>
      <c r="AQ584" s="11"/>
    </row>
    <row r="585" spans="1:43" x14ac:dyDescent="0.25">
      <c r="A585" s="44" t="str">
        <f t="shared" si="12"/>
        <v>GALLEON_RUSSIA</v>
      </c>
      <c r="C585" s="4" t="s">
        <v>735</v>
      </c>
      <c r="E585" s="4" t="s">
        <v>844</v>
      </c>
      <c r="F585" s="4" t="s">
        <v>844</v>
      </c>
      <c r="H585" s="4" t="s">
        <v>983</v>
      </c>
      <c r="I585" s="4" t="s">
        <v>991</v>
      </c>
      <c r="AL585" s="11"/>
      <c r="AM585" s="11"/>
      <c r="AN585" s="11"/>
      <c r="AO585" s="11"/>
      <c r="AP585" s="11"/>
      <c r="AQ585" s="11"/>
    </row>
    <row r="586" spans="1:43" x14ac:dyDescent="0.25">
      <c r="A586" s="44" t="str">
        <f t="shared" si="12"/>
        <v>GALLEON_ENGLAND</v>
      </c>
      <c r="C586" s="4" t="s">
        <v>713</v>
      </c>
      <c r="E586" s="4" t="s">
        <v>844</v>
      </c>
      <c r="F586" s="4" t="s">
        <v>844</v>
      </c>
      <c r="H586" s="4" t="s">
        <v>987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44" t="str">
        <f t="shared" si="12"/>
        <v>GALLEON_FRANCE</v>
      </c>
      <c r="C587" s="4" t="s">
        <v>715</v>
      </c>
      <c r="E587" s="4" t="s">
        <v>844</v>
      </c>
      <c r="F587" s="4" t="s">
        <v>844</v>
      </c>
      <c r="H587" s="4" t="s">
        <v>988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44" t="str">
        <f t="shared" si="12"/>
        <v>GALLEON_GERMANY</v>
      </c>
      <c r="C588" s="4" t="s">
        <v>717</v>
      </c>
      <c r="E588" s="4" t="s">
        <v>844</v>
      </c>
      <c r="F588" s="4" t="s">
        <v>844</v>
      </c>
      <c r="H588" s="4" t="s">
        <v>989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44" t="str">
        <f t="shared" si="12"/>
        <v>GALLEON_MED</v>
      </c>
      <c r="C589" s="4" t="s">
        <v>692</v>
      </c>
      <c r="E589" s="4" t="s">
        <v>844</v>
      </c>
      <c r="F589" s="4" t="s">
        <v>844</v>
      </c>
      <c r="H589" s="4" t="s">
        <v>843</v>
      </c>
      <c r="I589" s="4" t="s">
        <v>964</v>
      </c>
      <c r="AL589" s="11"/>
      <c r="AM589" s="11"/>
      <c r="AN589" s="11"/>
      <c r="AO589" s="11"/>
      <c r="AP589" s="11"/>
      <c r="AQ589" s="11"/>
    </row>
    <row r="590" spans="1:43" x14ac:dyDescent="0.25">
      <c r="A590" s="44" t="str">
        <f t="shared" si="12"/>
        <v>GALLEON_GREECE</v>
      </c>
      <c r="C590" s="4" t="s">
        <v>718</v>
      </c>
      <c r="E590" s="4" t="s">
        <v>844</v>
      </c>
      <c r="F590" s="4" t="s">
        <v>844</v>
      </c>
      <c r="H590" s="4" t="s">
        <v>990</v>
      </c>
      <c r="I590" s="4" t="s">
        <v>991</v>
      </c>
      <c r="AL590" s="11"/>
      <c r="AM590" s="11"/>
      <c r="AN590" s="11"/>
      <c r="AO590" s="11"/>
      <c r="AP590" s="11"/>
      <c r="AQ590" s="11"/>
    </row>
    <row r="591" spans="1:43" x14ac:dyDescent="0.25">
      <c r="A591" s="44" t="str">
        <f t="shared" si="12"/>
        <v>GALLEON_PORTUGAL</v>
      </c>
      <c r="C591" s="4" t="s">
        <v>733</v>
      </c>
      <c r="E591" s="4" t="s">
        <v>844</v>
      </c>
      <c r="F591" s="4" t="s">
        <v>844</v>
      </c>
      <c r="H591" s="4" t="s">
        <v>981</v>
      </c>
      <c r="I591" s="4" t="s">
        <v>991</v>
      </c>
      <c r="AL591" s="11"/>
      <c r="AM591" s="11"/>
      <c r="AN591" s="11"/>
      <c r="AO591" s="11"/>
      <c r="AP591" s="11"/>
      <c r="AQ591" s="11"/>
    </row>
    <row r="592" spans="1:43" x14ac:dyDescent="0.25">
      <c r="A592" s="44" t="str">
        <f t="shared" si="12"/>
        <v>GALLEON_ROME</v>
      </c>
      <c r="C592" s="4" t="s">
        <v>734</v>
      </c>
      <c r="E592" s="4" t="s">
        <v>844</v>
      </c>
      <c r="F592" s="4" t="s">
        <v>844</v>
      </c>
      <c r="H592" s="4" t="s">
        <v>982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44" t="str">
        <f t="shared" si="12"/>
        <v>GALLEON_SPAIN</v>
      </c>
      <c r="C593" s="4" t="s">
        <v>738</v>
      </c>
      <c r="E593" s="4" t="s">
        <v>844</v>
      </c>
      <c r="F593" s="4" t="s">
        <v>844</v>
      </c>
      <c r="H593" s="4" t="s">
        <v>984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44" t="str">
        <f t="shared" si="12"/>
        <v>GALLEON_MIDEAST</v>
      </c>
      <c r="C594" s="4" t="s">
        <v>690</v>
      </c>
      <c r="D594" s="4" t="s">
        <v>692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44" t="str">
        <f t="shared" si="12"/>
        <v>GALLEON_NORTHEU</v>
      </c>
      <c r="C595" s="4" t="s">
        <v>962</v>
      </c>
      <c r="D595" s="4" t="s">
        <v>689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44" t="str">
        <f t="shared" si="12"/>
        <v>GALLEON_DENMARK</v>
      </c>
      <c r="C596" s="4" t="s">
        <v>711</v>
      </c>
      <c r="E596" s="4" t="s">
        <v>844</v>
      </c>
      <c r="F596" s="4" t="s">
        <v>844</v>
      </c>
      <c r="H596" s="4" t="s">
        <v>986</v>
      </c>
      <c r="I596" s="4" t="s">
        <v>991</v>
      </c>
      <c r="AL596" s="11"/>
      <c r="AM596" s="11"/>
      <c r="AN596" s="11"/>
      <c r="AO596" s="11"/>
      <c r="AP596" s="11"/>
      <c r="AQ596" s="11"/>
    </row>
    <row r="597" spans="1:43" x14ac:dyDescent="0.25">
      <c r="A597" s="44" t="str">
        <f t="shared" si="12"/>
        <v>GALLEON_SWEDEN</v>
      </c>
      <c r="C597" s="4" t="s">
        <v>739</v>
      </c>
      <c r="E597" s="4" t="s">
        <v>844</v>
      </c>
      <c r="F597" s="4" t="s">
        <v>844</v>
      </c>
      <c r="H597" s="4" t="s">
        <v>985</v>
      </c>
      <c r="I597" s="4" t="s">
        <v>991</v>
      </c>
      <c r="AL597" s="11"/>
      <c r="AM597" s="11"/>
      <c r="AN597" s="11"/>
      <c r="AO597" s="11"/>
      <c r="AP597" s="11"/>
      <c r="AQ597" s="11"/>
    </row>
    <row r="598" spans="1:43" x14ac:dyDescent="0.25">
      <c r="A598" s="44" t="str">
        <f t="shared" si="12"/>
        <v>GALLEON_OCEAN</v>
      </c>
      <c r="C598" s="4" t="s">
        <v>994</v>
      </c>
      <c r="D598" s="4" t="s">
        <v>689</v>
      </c>
      <c r="E598" s="4" t="s">
        <v>844</v>
      </c>
      <c r="F598" s="4" t="s">
        <v>844</v>
      </c>
      <c r="AL598" s="11"/>
      <c r="AM598" s="11"/>
      <c r="AN598" s="11"/>
      <c r="AO598" s="11"/>
      <c r="AP598" s="11"/>
      <c r="AQ598" s="11"/>
    </row>
    <row r="599" spans="1:43" x14ac:dyDescent="0.25">
      <c r="A599" s="44" t="str">
        <f t="shared" si="12"/>
        <v>GALLEON_SEASIA</v>
      </c>
      <c r="C599" s="4" t="s">
        <v>696</v>
      </c>
      <c r="D599" s="4" t="s">
        <v>693</v>
      </c>
      <c r="E599" s="4" t="s">
        <v>844</v>
      </c>
      <c r="F599" s="4" t="s">
        <v>844</v>
      </c>
      <c r="AL599" s="11"/>
      <c r="AM599" s="11"/>
      <c r="AN599" s="11"/>
      <c r="AO599" s="11"/>
      <c r="AP599" s="11"/>
      <c r="AQ599" s="11"/>
    </row>
    <row r="600" spans="1:43" x14ac:dyDescent="0.25">
      <c r="A600" s="44" t="str">
        <f t="shared" si="12"/>
        <v>GALLEON_SOUTHAM</v>
      </c>
      <c r="C600" s="4" t="s">
        <v>691</v>
      </c>
      <c r="D600" s="4" t="s">
        <v>689</v>
      </c>
      <c r="E600" s="4" t="s">
        <v>844</v>
      </c>
      <c r="F600" s="4" t="s">
        <v>844</v>
      </c>
      <c r="AL600" s="11"/>
      <c r="AM600" s="11"/>
      <c r="AN600" s="11"/>
      <c r="AO600" s="11"/>
      <c r="AP600" s="11"/>
      <c r="AQ600" s="11"/>
    </row>
    <row r="601" spans="1:43" x14ac:dyDescent="0.25">
      <c r="A601" s="44" t="str">
        <f t="shared" si="12"/>
        <v>GALLEON_SOUTHAS</v>
      </c>
      <c r="C601" s="4" t="s">
        <v>695</v>
      </c>
      <c r="D601" s="4" t="s">
        <v>692</v>
      </c>
      <c r="E601" s="4" t="s">
        <v>844</v>
      </c>
      <c r="F601" s="4" t="s">
        <v>844</v>
      </c>
      <c r="AL601" s="11"/>
      <c r="AM601" s="11"/>
      <c r="AN601" s="11"/>
      <c r="AO601" s="11"/>
      <c r="AP601" s="11"/>
      <c r="AQ601" s="11"/>
    </row>
    <row r="602" spans="1:43" x14ac:dyDescent="0.25">
      <c r="A602" s="44" t="str">
        <f t="shared" si="12"/>
        <v>GALLEY</v>
      </c>
      <c r="C602" s="5"/>
      <c r="D602" s="5"/>
      <c r="E602" s="5" t="s">
        <v>784</v>
      </c>
      <c r="F602" s="5" t="s">
        <v>784</v>
      </c>
      <c r="G602" s="5"/>
      <c r="H602" s="5" t="s">
        <v>1118</v>
      </c>
      <c r="I602" s="5" t="s">
        <v>128</v>
      </c>
      <c r="J602" s="6"/>
      <c r="K602" s="7"/>
      <c r="L602" s="13" t="s">
        <v>1709</v>
      </c>
      <c r="M602" s="8"/>
      <c r="N602" s="13" t="s">
        <v>1724</v>
      </c>
      <c r="O602" s="13"/>
      <c r="P602" s="13"/>
      <c r="Q602" s="7">
        <v>2</v>
      </c>
      <c r="R602" s="6" t="s">
        <v>1734</v>
      </c>
      <c r="S602" s="13" t="s">
        <v>1610</v>
      </c>
      <c r="T602" s="7">
        <v>5</v>
      </c>
      <c r="U602" s="7">
        <v>0.1</v>
      </c>
      <c r="V602" s="5" t="s">
        <v>1693</v>
      </c>
      <c r="W602" s="6"/>
      <c r="X602" s="6"/>
      <c r="Y602" s="5"/>
      <c r="Z602" s="6">
        <v>1</v>
      </c>
      <c r="AA602" s="6"/>
      <c r="AB602" s="5"/>
      <c r="AC602" s="6"/>
      <c r="AD602" s="6"/>
      <c r="AE602" s="5"/>
      <c r="AF602" s="6"/>
      <c r="AG602" s="6"/>
      <c r="AH602" s="5"/>
      <c r="AI602" s="6"/>
      <c r="AJ602" s="6"/>
      <c r="AK602" s="5"/>
      <c r="AL602" s="6"/>
      <c r="AM602" s="6"/>
      <c r="AN602" s="6"/>
      <c r="AO602" s="6"/>
      <c r="AP602" s="6"/>
      <c r="AQ602" s="6"/>
    </row>
    <row r="603" spans="1:43" x14ac:dyDescent="0.25">
      <c r="A603" s="44" t="str">
        <f t="shared" si="12"/>
        <v>GALLEY_AFRI</v>
      </c>
      <c r="C603" s="4" t="s">
        <v>694</v>
      </c>
      <c r="D603" s="4" t="s">
        <v>690</v>
      </c>
      <c r="E603" s="4" t="s">
        <v>784</v>
      </c>
      <c r="F603" s="4" t="s">
        <v>784</v>
      </c>
      <c r="AL603" s="11"/>
      <c r="AM603" s="11"/>
      <c r="AN603" s="11"/>
      <c r="AO603" s="11"/>
      <c r="AP603" s="11"/>
      <c r="AQ603" s="11"/>
    </row>
    <row r="604" spans="1:43" x14ac:dyDescent="0.25">
      <c r="A604" s="44" t="str">
        <f t="shared" si="12"/>
        <v>GALLEY_AMER</v>
      </c>
      <c r="C604" s="4" t="s">
        <v>697</v>
      </c>
      <c r="E604" s="4" t="s">
        <v>784</v>
      </c>
      <c r="F604" s="4" t="s">
        <v>784</v>
      </c>
      <c r="H604" s="4" t="s">
        <v>858</v>
      </c>
      <c r="I604" s="4" t="s">
        <v>965</v>
      </c>
      <c r="R604" s="11">
        <v>0.1</v>
      </c>
      <c r="U604" s="11">
        <v>0.1</v>
      </c>
      <c r="AL604" s="11"/>
      <c r="AM604" s="11"/>
      <c r="AN604" s="11"/>
      <c r="AO604" s="11"/>
      <c r="AP604" s="11"/>
      <c r="AQ604" s="11"/>
    </row>
    <row r="605" spans="1:43" x14ac:dyDescent="0.25">
      <c r="A605" s="44" t="str">
        <f t="shared" si="12"/>
        <v>GALLEY_CENTAS</v>
      </c>
      <c r="C605" s="4" t="s">
        <v>918</v>
      </c>
      <c r="D605" s="4" t="s">
        <v>690</v>
      </c>
      <c r="E605" s="4" t="s">
        <v>784</v>
      </c>
      <c r="F605" s="4" t="s">
        <v>784</v>
      </c>
      <c r="AL605" s="11"/>
      <c r="AM605" s="11"/>
      <c r="AN605" s="11"/>
      <c r="AO605" s="11"/>
      <c r="AP605" s="11"/>
      <c r="AQ605" s="11"/>
    </row>
    <row r="606" spans="1:43" x14ac:dyDescent="0.25">
      <c r="A606" s="44" t="str">
        <f t="shared" si="12"/>
        <v>GALLEY_MIDEAST</v>
      </c>
      <c r="C606" s="4" t="s">
        <v>690</v>
      </c>
      <c r="E606" s="4" t="s">
        <v>784</v>
      </c>
      <c r="F606" s="4" t="s">
        <v>784</v>
      </c>
      <c r="H606" s="4" t="s">
        <v>960</v>
      </c>
      <c r="I606" s="4" t="s">
        <v>966</v>
      </c>
      <c r="R606" s="11">
        <v>0.14499999999999999</v>
      </c>
      <c r="U606" s="11">
        <v>0.1</v>
      </c>
      <c r="AL606" s="11"/>
      <c r="AM606" s="11"/>
      <c r="AN606" s="11"/>
      <c r="AO606" s="11"/>
      <c r="AP606" s="11"/>
      <c r="AQ606" s="11"/>
    </row>
    <row r="607" spans="1:43" x14ac:dyDescent="0.25">
      <c r="A607" s="44" t="str">
        <f t="shared" si="12"/>
        <v>GALLEY_NORTHEU</v>
      </c>
      <c r="C607" s="4" t="s">
        <v>962</v>
      </c>
      <c r="E607" s="4" t="s">
        <v>784</v>
      </c>
      <c r="F607" s="4" t="s">
        <v>784</v>
      </c>
      <c r="G607" s="14" t="s">
        <v>132</v>
      </c>
      <c r="H607" s="14" t="s">
        <v>992</v>
      </c>
      <c r="I607" s="4" t="s">
        <v>128</v>
      </c>
      <c r="J607" s="50"/>
      <c r="R607" s="11">
        <v>0.06</v>
      </c>
      <c r="U607" s="11">
        <v>5.5E-2</v>
      </c>
      <c r="AL607" s="11"/>
      <c r="AM607" s="11"/>
      <c r="AN607" s="11"/>
      <c r="AO607" s="11"/>
      <c r="AP607" s="11"/>
      <c r="AQ607" s="11"/>
    </row>
    <row r="608" spans="1:43" x14ac:dyDescent="0.25">
      <c r="A608" s="44" t="str">
        <f t="shared" si="12"/>
        <v>GALLEY_OCEAN</v>
      </c>
      <c r="C608" s="4" t="s">
        <v>994</v>
      </c>
      <c r="E608" s="4" t="s">
        <v>784</v>
      </c>
      <c r="F608" s="4" t="s">
        <v>784</v>
      </c>
      <c r="G608" s="14"/>
      <c r="H608" s="14" t="s">
        <v>995</v>
      </c>
      <c r="I608" s="4" t="s">
        <v>128</v>
      </c>
      <c r="J608" s="50"/>
      <c r="R608" s="11">
        <v>0.05</v>
      </c>
      <c r="U608" s="11">
        <v>0.04</v>
      </c>
      <c r="AL608" s="11"/>
      <c r="AM608" s="11"/>
      <c r="AN608" s="11"/>
      <c r="AO608" s="11"/>
      <c r="AP608" s="11"/>
      <c r="AQ608" s="11"/>
    </row>
    <row r="609" spans="1:43" x14ac:dyDescent="0.25">
      <c r="A609" s="44" t="str">
        <f t="shared" si="12"/>
        <v>GALLEY_SOUTHAM</v>
      </c>
      <c r="C609" s="4" t="s">
        <v>691</v>
      </c>
      <c r="E609" s="4" t="s">
        <v>784</v>
      </c>
      <c r="F609" s="4" t="s">
        <v>784</v>
      </c>
      <c r="H609" s="4" t="s">
        <v>194</v>
      </c>
      <c r="I609" s="4" t="s">
        <v>1054</v>
      </c>
      <c r="R609" s="11">
        <v>0.14499999999999999</v>
      </c>
      <c r="U609" s="11">
        <v>0.1</v>
      </c>
      <c r="AL609" s="11"/>
      <c r="AM609" s="11"/>
      <c r="AN609" s="11"/>
      <c r="AO609" s="11"/>
      <c r="AP609" s="11"/>
      <c r="AQ609" s="11"/>
    </row>
    <row r="610" spans="1:43" x14ac:dyDescent="0.25">
      <c r="A610" s="44" t="str">
        <f t="shared" si="12"/>
        <v>GATLINGGUN</v>
      </c>
      <c r="B610" s="9" t="s">
        <v>755</v>
      </c>
      <c r="C610" s="5"/>
      <c r="D610" s="5"/>
      <c r="E610" s="5" t="s">
        <v>755</v>
      </c>
      <c r="F610" s="5" t="s">
        <v>755</v>
      </c>
      <c r="G610" s="5"/>
      <c r="H610" s="5" t="s">
        <v>1440</v>
      </c>
      <c r="I610" s="5" t="s">
        <v>128</v>
      </c>
      <c r="J610" s="6"/>
      <c r="K610" s="6"/>
      <c r="L610" s="13" t="s">
        <v>1705</v>
      </c>
      <c r="M610" s="8"/>
      <c r="N610" s="5"/>
      <c r="O610" s="5"/>
      <c r="P610" s="5"/>
      <c r="Q610" s="7">
        <v>3</v>
      </c>
      <c r="R610" s="6" t="s">
        <v>1692</v>
      </c>
      <c r="S610" s="13" t="s">
        <v>1608</v>
      </c>
      <c r="T610" s="6"/>
      <c r="U610" s="7" t="s">
        <v>1692</v>
      </c>
      <c r="V610" s="5"/>
      <c r="W610" s="6">
        <v>7</v>
      </c>
      <c r="X610" s="6" t="s">
        <v>3</v>
      </c>
      <c r="Y610" s="5"/>
      <c r="Z610" s="6">
        <v>1</v>
      </c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44" t="str">
        <f t="shared" si="12"/>
        <v>GENERAL</v>
      </c>
      <c r="B611" s="9" t="s">
        <v>2281</v>
      </c>
      <c r="C611" s="5"/>
      <c r="D611" s="5"/>
      <c r="E611" s="5" t="s">
        <v>1339</v>
      </c>
      <c r="F611" s="5" t="s">
        <v>1342</v>
      </c>
      <c r="G611" s="5"/>
      <c r="H611" s="5" t="s">
        <v>1473</v>
      </c>
      <c r="I611" s="5" t="s">
        <v>128</v>
      </c>
      <c r="J611" s="6">
        <v>1</v>
      </c>
      <c r="K611" s="6"/>
      <c r="L611" s="13" t="s">
        <v>1707</v>
      </c>
      <c r="M611" s="8"/>
      <c r="N611" s="5"/>
      <c r="O611" s="5"/>
      <c r="P611" s="5"/>
      <c r="Q611" s="7">
        <v>1</v>
      </c>
      <c r="R611" s="7" t="s">
        <v>1692</v>
      </c>
      <c r="S611" s="5"/>
      <c r="T611" s="6"/>
      <c r="U611" s="7" t="s">
        <v>1734</v>
      </c>
      <c r="V611" s="5"/>
      <c r="W611" s="6"/>
      <c r="X611" s="6" t="s">
        <v>3</v>
      </c>
      <c r="Y611" s="5"/>
      <c r="Z611" s="6"/>
      <c r="AA611" s="6"/>
      <c r="AB611" s="5"/>
      <c r="AC611" s="6"/>
      <c r="AD611" s="6" t="s">
        <v>3</v>
      </c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44" t="str">
        <f t="shared" si="12"/>
        <v>GENERAL_ROME</v>
      </c>
      <c r="B612" s="9" t="s">
        <v>2281</v>
      </c>
      <c r="C612" s="5" t="s">
        <v>734</v>
      </c>
      <c r="D612" s="5"/>
      <c r="E612" s="5" t="s">
        <v>1339</v>
      </c>
      <c r="F612" s="5" t="s">
        <v>1342</v>
      </c>
      <c r="G612" s="5"/>
      <c r="H612" s="5" t="s">
        <v>2008</v>
      </c>
      <c r="I612" s="5" t="s">
        <v>1964</v>
      </c>
      <c r="J612" s="6">
        <v>1</v>
      </c>
      <c r="K612" s="6"/>
      <c r="L612" s="13"/>
      <c r="M612" s="8"/>
      <c r="N612" s="5"/>
      <c r="O612" s="5"/>
      <c r="P612" s="5"/>
      <c r="Q612" s="7"/>
      <c r="R612" s="7"/>
      <c r="S612" s="5"/>
      <c r="T612" s="6"/>
      <c r="U612" s="7"/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44" t="str">
        <f t="shared" si="12"/>
        <v>GENERAL_KHAN</v>
      </c>
      <c r="B613" s="9" t="s">
        <v>2345</v>
      </c>
      <c r="C613" s="5"/>
      <c r="D613" s="5"/>
      <c r="E613" s="5" t="s">
        <v>1340</v>
      </c>
      <c r="F613" s="5" t="s">
        <v>1343</v>
      </c>
      <c r="G613" s="5"/>
      <c r="H613" s="5" t="s">
        <v>1472</v>
      </c>
      <c r="I613" s="5" t="s">
        <v>128</v>
      </c>
      <c r="J613" s="6">
        <v>1</v>
      </c>
      <c r="K613" s="6"/>
      <c r="L613" s="13" t="s">
        <v>1707</v>
      </c>
      <c r="M613" s="8"/>
      <c r="N613" s="5"/>
      <c r="O613" s="5"/>
      <c r="P613" s="5"/>
      <c r="Q613" s="7">
        <v>1</v>
      </c>
      <c r="R613" s="7" t="s">
        <v>1692</v>
      </c>
      <c r="S613" s="5"/>
      <c r="T613" s="6"/>
      <c r="U613" s="7" t="s">
        <v>1692</v>
      </c>
      <c r="V613" s="5"/>
      <c r="W613" s="6"/>
      <c r="X613" s="6" t="s">
        <v>3</v>
      </c>
      <c r="Y613" s="5"/>
      <c r="Z613" s="6"/>
      <c r="AA613" s="6"/>
      <c r="AB613" s="5"/>
      <c r="AC613" s="6"/>
      <c r="AD613" s="6" t="s">
        <v>3</v>
      </c>
      <c r="AE613" s="5"/>
      <c r="AF613" s="6"/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44" t="str">
        <f t="shared" si="12"/>
        <v>GENERAL_LATE</v>
      </c>
      <c r="B614" s="9" t="s">
        <v>2281</v>
      </c>
      <c r="C614" s="5"/>
      <c r="D614" s="5"/>
      <c r="E614" s="5" t="s">
        <v>1341</v>
      </c>
      <c r="F614" s="5" t="s">
        <v>1344</v>
      </c>
      <c r="G614" s="5"/>
      <c r="H614" s="5" t="s">
        <v>1474</v>
      </c>
      <c r="I614" s="5" t="s">
        <v>128</v>
      </c>
      <c r="J614" s="6">
        <v>0</v>
      </c>
      <c r="K614" s="6"/>
      <c r="L614" s="13" t="s">
        <v>1707</v>
      </c>
      <c r="M614" s="8"/>
      <c r="N614" s="5"/>
      <c r="O614" s="5"/>
      <c r="P614" s="5"/>
      <c r="Q614" s="7">
        <v>1</v>
      </c>
      <c r="R614" s="7" t="s">
        <v>1692</v>
      </c>
      <c r="S614" s="5"/>
      <c r="T614" s="6"/>
      <c r="U614" s="7" t="s">
        <v>1734</v>
      </c>
      <c r="V614" s="5"/>
      <c r="W614" s="6"/>
      <c r="X614" s="6" t="s">
        <v>3</v>
      </c>
      <c r="Y614" s="5"/>
      <c r="Z614" s="6"/>
      <c r="AA614" s="6"/>
      <c r="AB614" s="5"/>
      <c r="AC614" s="6"/>
      <c r="AD614" s="6" t="s">
        <v>3</v>
      </c>
      <c r="AE614" s="5"/>
      <c r="AF614" s="6"/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44" t="str">
        <f t="shared" si="12"/>
        <v>GREAT_ADMIRAL</v>
      </c>
      <c r="B615" s="9" t="s">
        <v>1345</v>
      </c>
      <c r="C615" s="5"/>
      <c r="D615" s="5"/>
      <c r="E615" s="5" t="s">
        <v>1345</v>
      </c>
      <c r="F615" s="5" t="s">
        <v>1345</v>
      </c>
      <c r="G615" s="5"/>
      <c r="H615" s="5" t="s">
        <v>1441</v>
      </c>
      <c r="I615" s="5" t="s">
        <v>128</v>
      </c>
      <c r="J615" s="6">
        <v>1</v>
      </c>
      <c r="K615" s="7"/>
      <c r="L615" s="13" t="s">
        <v>1709</v>
      </c>
      <c r="M615" s="8"/>
      <c r="N615" s="13" t="s">
        <v>1724</v>
      </c>
      <c r="O615" s="13"/>
      <c r="P615" s="13"/>
      <c r="Q615" s="7">
        <v>1</v>
      </c>
      <c r="R615" s="6">
        <v>0.125</v>
      </c>
      <c r="S615" s="13" t="s">
        <v>1692</v>
      </c>
      <c r="T615" s="6"/>
      <c r="U615" s="6">
        <v>0.1</v>
      </c>
      <c r="V615" s="5"/>
      <c r="W615" s="6"/>
      <c r="X615" s="6"/>
      <c r="Y615" s="5"/>
      <c r="Z615" s="6"/>
      <c r="AA615" s="6"/>
      <c r="AB615" s="5"/>
      <c r="AC615" s="6"/>
      <c r="AD615" s="6"/>
      <c r="AE615" s="5"/>
      <c r="AF615" s="6"/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44" t="str">
        <f t="shared" si="12"/>
        <v>GREAT_ADMIRAL_LATE</v>
      </c>
      <c r="B616" s="9" t="s">
        <v>1345</v>
      </c>
      <c r="C616" s="5"/>
      <c r="D616" s="5"/>
      <c r="E616" s="5" t="s">
        <v>1346</v>
      </c>
      <c r="F616" s="5" t="s">
        <v>1346</v>
      </c>
      <c r="G616" s="5"/>
      <c r="H616" s="5" t="s">
        <v>1123</v>
      </c>
      <c r="I616" s="5" t="s">
        <v>128</v>
      </c>
      <c r="J616" s="6">
        <v>0</v>
      </c>
      <c r="K616" s="7"/>
      <c r="L616" s="13" t="s">
        <v>1709</v>
      </c>
      <c r="M616" s="8"/>
      <c r="N616" s="13" t="s">
        <v>1724</v>
      </c>
      <c r="O616" s="13"/>
      <c r="P616" s="13"/>
      <c r="Q616" s="7">
        <v>1</v>
      </c>
      <c r="R616" s="6" t="s">
        <v>1692</v>
      </c>
      <c r="S616" s="13" t="s">
        <v>1692</v>
      </c>
      <c r="T616" s="6"/>
      <c r="U616" s="6">
        <v>0.1</v>
      </c>
      <c r="V616" s="5"/>
      <c r="W616" s="6"/>
      <c r="X616" s="6"/>
      <c r="Y616" s="5"/>
      <c r="Z616" s="6"/>
      <c r="AA616" s="6"/>
      <c r="AB616" s="5"/>
      <c r="AC616" s="6"/>
      <c r="AD616" s="6"/>
      <c r="AE616" s="5"/>
      <c r="AF616" s="6"/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44" t="str">
        <f t="shared" si="12"/>
        <v>GREAT_ARTIST</v>
      </c>
      <c r="B617" s="9" t="s">
        <v>1310</v>
      </c>
      <c r="C617" s="5"/>
      <c r="D617" s="5"/>
      <c r="E617" s="5" t="s">
        <v>1347</v>
      </c>
      <c r="F617" s="5" t="s">
        <v>1347</v>
      </c>
      <c r="G617" s="5"/>
      <c r="H617" s="5" t="s">
        <v>1442</v>
      </c>
      <c r="I617" s="5" t="s">
        <v>128</v>
      </c>
      <c r="J617" s="6">
        <v>1</v>
      </c>
      <c r="K617" s="6"/>
      <c r="L617" s="13" t="s">
        <v>1707</v>
      </c>
      <c r="M617" s="8"/>
      <c r="N617" s="5"/>
      <c r="O617" s="5"/>
      <c r="P617" s="5"/>
      <c r="Q617" s="6">
        <v>1</v>
      </c>
      <c r="R617" s="6" t="s">
        <v>1692</v>
      </c>
      <c r="S617" s="13" t="s">
        <v>1692</v>
      </c>
      <c r="T617" s="6">
        <v>1</v>
      </c>
      <c r="U617" s="7" t="s">
        <v>1734</v>
      </c>
      <c r="V617" s="5"/>
      <c r="W617" s="6"/>
      <c r="X617" s="6" t="s">
        <v>3</v>
      </c>
      <c r="Y617" s="5"/>
      <c r="Z617" s="6">
        <v>1</v>
      </c>
      <c r="AA617" s="6" t="s">
        <v>1734</v>
      </c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44" t="str">
        <f t="shared" si="12"/>
        <v>GREAT_ARTIST</v>
      </c>
      <c r="B618" s="9" t="s">
        <v>1310</v>
      </c>
      <c r="C618" s="5"/>
      <c r="D618" s="5"/>
      <c r="E618" s="5" t="s">
        <v>1347</v>
      </c>
      <c r="F618" s="5" t="s">
        <v>1347</v>
      </c>
      <c r="G618" s="5" t="s">
        <v>2032</v>
      </c>
      <c r="H618" s="5" t="s">
        <v>1443</v>
      </c>
      <c r="I618" s="5" t="s">
        <v>128</v>
      </c>
      <c r="J618" s="6">
        <v>1</v>
      </c>
      <c r="K618" s="6"/>
      <c r="L618" s="13" t="s">
        <v>1707</v>
      </c>
      <c r="M618" s="8"/>
      <c r="N618" s="5"/>
      <c r="O618" s="5"/>
      <c r="P618" s="5"/>
      <c r="Q618" s="6">
        <v>1</v>
      </c>
      <c r="R618" s="6" t="s">
        <v>1692</v>
      </c>
      <c r="S618" s="13" t="s">
        <v>1692</v>
      </c>
      <c r="T618" s="6">
        <v>1</v>
      </c>
      <c r="U618" s="7" t="s">
        <v>1734</v>
      </c>
      <c r="V618" s="5"/>
      <c r="W618" s="6"/>
      <c r="X618" s="6" t="s">
        <v>3</v>
      </c>
      <c r="Y618" s="5"/>
      <c r="Z618" s="6">
        <v>0</v>
      </c>
      <c r="AA618" s="6" t="s">
        <v>1734</v>
      </c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44" t="str">
        <f t="shared" si="12"/>
        <v>GREAT_ARTIST</v>
      </c>
      <c r="B619" s="9" t="s">
        <v>1310</v>
      </c>
      <c r="C619" s="5"/>
      <c r="D619" s="5"/>
      <c r="E619" s="5" t="s">
        <v>1347</v>
      </c>
      <c r="F619" s="5" t="s">
        <v>1347</v>
      </c>
      <c r="G619" s="5" t="s">
        <v>2033</v>
      </c>
      <c r="H619" s="5" t="s">
        <v>1444</v>
      </c>
      <c r="I619" s="5" t="s">
        <v>128</v>
      </c>
      <c r="J619" s="6">
        <v>1</v>
      </c>
      <c r="K619" s="6"/>
      <c r="L619" s="13" t="s">
        <v>1707</v>
      </c>
      <c r="M619" s="8"/>
      <c r="N619" s="5"/>
      <c r="O619" s="5"/>
      <c r="P619" s="5"/>
      <c r="Q619" s="6">
        <v>1</v>
      </c>
      <c r="R619" s="6" t="s">
        <v>1692</v>
      </c>
      <c r="S619" s="13" t="s">
        <v>1692</v>
      </c>
      <c r="T619" s="6">
        <v>1</v>
      </c>
      <c r="U619" s="7" t="s">
        <v>1734</v>
      </c>
      <c r="V619" s="5"/>
      <c r="W619" s="6"/>
      <c r="X619" s="6" t="s">
        <v>3</v>
      </c>
      <c r="Y619" s="5"/>
      <c r="Z619" s="6">
        <v>0</v>
      </c>
      <c r="AA619" s="6" t="s">
        <v>1734</v>
      </c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44" t="str">
        <f t="shared" si="12"/>
        <v>GREAT_ARTIST_POSTMODERN</v>
      </c>
      <c r="B620" s="9" t="s">
        <v>1310</v>
      </c>
      <c r="C620" s="5"/>
      <c r="D620" s="5"/>
      <c r="E620" s="5" t="s">
        <v>1348</v>
      </c>
      <c r="F620" s="5" t="s">
        <v>1353</v>
      </c>
      <c r="G620" s="5"/>
      <c r="H620" s="5" t="s">
        <v>1447</v>
      </c>
      <c r="I620" s="5" t="s">
        <v>128</v>
      </c>
      <c r="J620" s="6">
        <v>0</v>
      </c>
      <c r="K620" s="6"/>
      <c r="L620" s="13" t="s">
        <v>1707</v>
      </c>
      <c r="M620" s="8"/>
      <c r="N620" s="5"/>
      <c r="O620" s="5"/>
      <c r="P620" s="5"/>
      <c r="Q620" s="6">
        <v>1</v>
      </c>
      <c r="R620" s="6" t="s">
        <v>1692</v>
      </c>
      <c r="S620" s="13" t="s">
        <v>1692</v>
      </c>
      <c r="T620" s="6">
        <v>1</v>
      </c>
      <c r="U620" s="7" t="s">
        <v>1734</v>
      </c>
      <c r="V620" s="5"/>
      <c r="W620" s="6"/>
      <c r="X620" s="6" t="s">
        <v>3</v>
      </c>
      <c r="Y620" s="5"/>
      <c r="Z620" s="7">
        <v>1</v>
      </c>
      <c r="AA620" s="6" t="s">
        <v>1734</v>
      </c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44" t="str">
        <f t="shared" si="12"/>
        <v>GREAT_ARTIST_POSTMODERN</v>
      </c>
      <c r="B621" s="9" t="s">
        <v>1310</v>
      </c>
      <c r="C621" s="5"/>
      <c r="D621" s="5"/>
      <c r="E621" s="5" t="s">
        <v>1348</v>
      </c>
      <c r="F621" s="5" t="s">
        <v>1353</v>
      </c>
      <c r="G621" s="5" t="s">
        <v>2032</v>
      </c>
      <c r="H621" s="5" t="s">
        <v>1445</v>
      </c>
      <c r="I621" s="5" t="s">
        <v>128</v>
      </c>
      <c r="J621" s="6">
        <v>0</v>
      </c>
      <c r="K621" s="6"/>
      <c r="L621" s="13" t="s">
        <v>1707</v>
      </c>
      <c r="M621" s="8"/>
      <c r="N621" s="5"/>
      <c r="O621" s="5"/>
      <c r="P621" s="5"/>
      <c r="Q621" s="6">
        <v>1</v>
      </c>
      <c r="R621" s="6" t="s">
        <v>1692</v>
      </c>
      <c r="S621" s="13" t="s">
        <v>1692</v>
      </c>
      <c r="T621" s="6">
        <v>1</v>
      </c>
      <c r="U621" s="7" t="s">
        <v>1734</v>
      </c>
      <c r="V621" s="5"/>
      <c r="W621" s="6"/>
      <c r="X621" s="6" t="s">
        <v>3</v>
      </c>
      <c r="Y621" s="5"/>
      <c r="Z621" s="7">
        <v>0</v>
      </c>
      <c r="AA621" s="6" t="s">
        <v>1734</v>
      </c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44" t="str">
        <f t="shared" si="12"/>
        <v>GREAT_ARTIST_POSTMODERN</v>
      </c>
      <c r="B622" s="9" t="s">
        <v>1310</v>
      </c>
      <c r="C622" s="5"/>
      <c r="D622" s="5"/>
      <c r="E622" s="5" t="s">
        <v>1348</v>
      </c>
      <c r="F622" s="5" t="s">
        <v>1353</v>
      </c>
      <c r="G622" s="5" t="s">
        <v>2033</v>
      </c>
      <c r="H622" s="5" t="s">
        <v>1446</v>
      </c>
      <c r="I622" s="5" t="s">
        <v>128</v>
      </c>
      <c r="J622" s="6">
        <v>0</v>
      </c>
      <c r="K622" s="6"/>
      <c r="L622" s="13" t="s">
        <v>1707</v>
      </c>
      <c r="M622" s="8"/>
      <c r="N622" s="5"/>
      <c r="O622" s="5"/>
      <c r="P622" s="5"/>
      <c r="Q622" s="6">
        <v>1</v>
      </c>
      <c r="R622" s="6" t="s">
        <v>1692</v>
      </c>
      <c r="S622" s="13" t="s">
        <v>1692</v>
      </c>
      <c r="T622" s="6">
        <v>1</v>
      </c>
      <c r="U622" s="7" t="s">
        <v>1734</v>
      </c>
      <c r="V622" s="5"/>
      <c r="W622" s="6"/>
      <c r="X622" s="6" t="s">
        <v>3</v>
      </c>
      <c r="Y622" s="5"/>
      <c r="Z622" s="7">
        <v>0</v>
      </c>
      <c r="AA622" s="6" t="s">
        <v>1734</v>
      </c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44" t="str">
        <f t="shared" si="12"/>
        <v>GREAT_MUSICIAN</v>
      </c>
      <c r="B623" s="9" t="s">
        <v>2282</v>
      </c>
      <c r="C623" s="5"/>
      <c r="D623" s="5"/>
      <c r="E623" s="5" t="s">
        <v>1349</v>
      </c>
      <c r="F623" s="5" t="s">
        <v>1349</v>
      </c>
      <c r="G623" s="5"/>
      <c r="H623" s="5" t="s">
        <v>1453</v>
      </c>
      <c r="I623" s="5" t="s">
        <v>128</v>
      </c>
      <c r="J623" s="6">
        <v>1</v>
      </c>
      <c r="K623" s="6"/>
      <c r="L623" s="13" t="s">
        <v>1707</v>
      </c>
      <c r="M623" s="8"/>
      <c r="N623" s="5"/>
      <c r="O623" s="5"/>
      <c r="P623" s="5"/>
      <c r="Q623" s="6">
        <v>1</v>
      </c>
      <c r="R623" s="6" t="s">
        <v>1692</v>
      </c>
      <c r="S623" s="13" t="s">
        <v>1611</v>
      </c>
      <c r="T623" s="6">
        <v>1</v>
      </c>
      <c r="U623" s="7" t="s">
        <v>1734</v>
      </c>
      <c r="V623" s="5"/>
      <c r="W623" s="6"/>
      <c r="X623" s="6" t="s">
        <v>3</v>
      </c>
      <c r="Y623" s="5"/>
      <c r="Z623" s="7">
        <v>1</v>
      </c>
      <c r="AA623" s="6" t="s">
        <v>1734</v>
      </c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44" t="str">
        <f t="shared" si="12"/>
        <v>GREAT_MUSICIAN</v>
      </c>
      <c r="B624" s="9" t="s">
        <v>2282</v>
      </c>
      <c r="C624" s="5"/>
      <c r="D624" s="5"/>
      <c r="E624" s="5" t="s">
        <v>1349</v>
      </c>
      <c r="F624" s="5" t="s">
        <v>1349</v>
      </c>
      <c r="G624" s="5" t="s">
        <v>2032</v>
      </c>
      <c r="H624" s="5" t="s">
        <v>1454</v>
      </c>
      <c r="I624" s="5" t="s">
        <v>128</v>
      </c>
      <c r="J624" s="6">
        <v>1</v>
      </c>
      <c r="K624" s="6"/>
      <c r="L624" s="13" t="s">
        <v>1707</v>
      </c>
      <c r="M624" s="8"/>
      <c r="N624" s="5"/>
      <c r="O624" s="5"/>
      <c r="P624" s="5"/>
      <c r="Q624" s="6">
        <v>1</v>
      </c>
      <c r="R624" s="6" t="s">
        <v>1692</v>
      </c>
      <c r="S624" s="13" t="s">
        <v>1611</v>
      </c>
      <c r="T624" s="6">
        <v>1</v>
      </c>
      <c r="U624" s="7" t="s">
        <v>1734</v>
      </c>
      <c r="V624" s="5"/>
      <c r="W624" s="6"/>
      <c r="X624" s="6" t="s">
        <v>3</v>
      </c>
      <c r="Y624" s="5"/>
      <c r="Z624" s="7">
        <v>0</v>
      </c>
      <c r="AA624" s="6" t="s">
        <v>1734</v>
      </c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44" t="str">
        <f t="shared" si="12"/>
        <v>GREAT_MUSICIAN</v>
      </c>
      <c r="B625" s="9" t="s">
        <v>2282</v>
      </c>
      <c r="C625" s="5"/>
      <c r="D625" s="5"/>
      <c r="E625" s="5" t="s">
        <v>1349</v>
      </c>
      <c r="F625" s="5" t="s">
        <v>1349</v>
      </c>
      <c r="G625" s="5" t="s">
        <v>2033</v>
      </c>
      <c r="H625" s="5" t="s">
        <v>1451</v>
      </c>
      <c r="I625" s="5" t="s">
        <v>128</v>
      </c>
      <c r="J625" s="6">
        <v>1</v>
      </c>
      <c r="K625" s="6"/>
      <c r="L625" s="13" t="s">
        <v>1707</v>
      </c>
      <c r="M625" s="8"/>
      <c r="N625" s="5"/>
      <c r="O625" s="5"/>
      <c r="P625" s="5"/>
      <c r="Q625" s="6">
        <v>1</v>
      </c>
      <c r="R625" s="6" t="s">
        <v>1692</v>
      </c>
      <c r="S625" s="13" t="s">
        <v>1611</v>
      </c>
      <c r="T625" s="6">
        <v>1</v>
      </c>
      <c r="U625" s="7" t="s">
        <v>1734</v>
      </c>
      <c r="V625" s="5"/>
      <c r="W625" s="6"/>
      <c r="X625" s="6" t="s">
        <v>3</v>
      </c>
      <c r="Y625" s="5"/>
      <c r="Z625" s="7">
        <v>0</v>
      </c>
      <c r="AA625" s="6" t="s">
        <v>1734</v>
      </c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44" t="str">
        <f t="shared" si="12"/>
        <v>GREAT_MUSICIAN_POSTMODERN</v>
      </c>
      <c r="B626" s="9" t="s">
        <v>2282</v>
      </c>
      <c r="C626" s="5"/>
      <c r="D626" s="5"/>
      <c r="E626" s="5" t="s">
        <v>1350</v>
      </c>
      <c r="F626" s="5" t="s">
        <v>1354</v>
      </c>
      <c r="G626" s="5"/>
      <c r="H626" s="5" t="s">
        <v>1455</v>
      </c>
      <c r="I626" s="5" t="s">
        <v>128</v>
      </c>
      <c r="J626" s="6">
        <v>0</v>
      </c>
      <c r="K626" s="6"/>
      <c r="L626" s="13" t="s">
        <v>1707</v>
      </c>
      <c r="M626" s="8"/>
      <c r="N626" s="5"/>
      <c r="O626" s="5"/>
      <c r="P626" s="5"/>
      <c r="Q626" s="6">
        <v>1</v>
      </c>
      <c r="R626" s="6">
        <v>0.125</v>
      </c>
      <c r="S626" s="13" t="s">
        <v>1611</v>
      </c>
      <c r="T626" s="6">
        <v>1</v>
      </c>
      <c r="U626" s="7" t="s">
        <v>1734</v>
      </c>
      <c r="V626" s="5"/>
      <c r="W626" s="6"/>
      <c r="X626" s="6" t="s">
        <v>3</v>
      </c>
      <c r="Y626" s="5"/>
      <c r="Z626" s="7">
        <v>1</v>
      </c>
      <c r="AA626" s="6" t="s">
        <v>1734</v>
      </c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44" t="str">
        <f t="shared" si="12"/>
        <v>GREAT_MUSICIAN_POSTMODERN</v>
      </c>
      <c r="B627" s="9" t="s">
        <v>2282</v>
      </c>
      <c r="C627" s="5"/>
      <c r="D627" s="5"/>
      <c r="E627" s="5" t="s">
        <v>1350</v>
      </c>
      <c r="F627" s="5" t="s">
        <v>1354</v>
      </c>
      <c r="G627" s="5" t="s">
        <v>2032</v>
      </c>
      <c r="H627" s="5" t="s">
        <v>1456</v>
      </c>
      <c r="I627" s="5" t="s">
        <v>128</v>
      </c>
      <c r="J627" s="6">
        <v>0</v>
      </c>
      <c r="K627" s="6"/>
      <c r="L627" s="13" t="s">
        <v>1707</v>
      </c>
      <c r="M627" s="8"/>
      <c r="N627" s="5"/>
      <c r="O627" s="5"/>
      <c r="P627" s="5"/>
      <c r="Q627" s="6">
        <v>1</v>
      </c>
      <c r="R627" s="6">
        <v>0.125</v>
      </c>
      <c r="S627" s="13" t="s">
        <v>1611</v>
      </c>
      <c r="T627" s="6">
        <v>1</v>
      </c>
      <c r="U627" s="7" t="s">
        <v>1734</v>
      </c>
      <c r="V627" s="5"/>
      <c r="W627" s="6"/>
      <c r="X627" s="6" t="s">
        <v>3</v>
      </c>
      <c r="Y627" s="5"/>
      <c r="Z627" s="7">
        <v>0</v>
      </c>
      <c r="AA627" s="6" t="s">
        <v>1734</v>
      </c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44" t="str">
        <f t="shared" si="12"/>
        <v>GREAT_MUSICIAN_POSTMODERN</v>
      </c>
      <c r="B628" s="9" t="s">
        <v>2282</v>
      </c>
      <c r="C628" s="5"/>
      <c r="D628" s="5"/>
      <c r="E628" s="5" t="s">
        <v>1350</v>
      </c>
      <c r="F628" s="5" t="s">
        <v>1354</v>
      </c>
      <c r="G628" s="5" t="s">
        <v>2033</v>
      </c>
      <c r="H628" s="5" t="s">
        <v>1452</v>
      </c>
      <c r="I628" s="5" t="s">
        <v>128</v>
      </c>
      <c r="J628" s="6">
        <v>0</v>
      </c>
      <c r="K628" s="6"/>
      <c r="L628" s="13" t="s">
        <v>1707</v>
      </c>
      <c r="M628" s="8"/>
      <c r="N628" s="5"/>
      <c r="O628" s="5"/>
      <c r="P628" s="5"/>
      <c r="Q628" s="6">
        <v>1</v>
      </c>
      <c r="R628" s="6">
        <v>0.125</v>
      </c>
      <c r="S628" s="13" t="s">
        <v>1611</v>
      </c>
      <c r="T628" s="6">
        <v>1</v>
      </c>
      <c r="U628" s="7" t="s">
        <v>1734</v>
      </c>
      <c r="V628" s="5"/>
      <c r="W628" s="6"/>
      <c r="X628" s="6" t="s">
        <v>3</v>
      </c>
      <c r="Y628" s="5"/>
      <c r="Z628" s="7">
        <v>0</v>
      </c>
      <c r="AA628" s="6" t="s">
        <v>1734</v>
      </c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44" t="str">
        <f t="shared" si="12"/>
        <v>GREAT_PROPHET</v>
      </c>
      <c r="B629" s="9" t="s">
        <v>2283</v>
      </c>
      <c r="C629" s="5"/>
      <c r="D629" s="5"/>
      <c r="E629" s="5" t="s">
        <v>756</v>
      </c>
      <c r="F629" s="5" t="s">
        <v>756</v>
      </c>
      <c r="G629" s="5"/>
      <c r="H629" s="5" t="s">
        <v>1113</v>
      </c>
      <c r="I629" s="5" t="s">
        <v>128</v>
      </c>
      <c r="J629" s="6">
        <v>1</v>
      </c>
      <c r="K629" s="6"/>
      <c r="L629" s="13" t="s">
        <v>1707</v>
      </c>
      <c r="M629" s="8"/>
      <c r="N629" s="5"/>
      <c r="O629" s="5"/>
      <c r="P629" s="5"/>
      <c r="Q629" s="6">
        <v>1</v>
      </c>
      <c r="R629" s="6" t="s">
        <v>1692</v>
      </c>
      <c r="S629" s="13" t="s">
        <v>1611</v>
      </c>
      <c r="T629" s="6">
        <v>1</v>
      </c>
      <c r="U629" s="7" t="s">
        <v>1734</v>
      </c>
      <c r="V629" s="5"/>
      <c r="W629" s="6"/>
      <c r="X629" s="6" t="s">
        <v>3</v>
      </c>
      <c r="Y629" s="5"/>
      <c r="Z629" s="7">
        <v>1</v>
      </c>
      <c r="AA629" s="6" t="s">
        <v>1734</v>
      </c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44" t="str">
        <f t="shared" si="12"/>
        <v>GREAT_PROPHET</v>
      </c>
      <c r="B630" s="9" t="s">
        <v>2283</v>
      </c>
      <c r="C630" s="5"/>
      <c r="D630" s="5"/>
      <c r="E630" s="5" t="s">
        <v>756</v>
      </c>
      <c r="F630" s="5" t="s">
        <v>756</v>
      </c>
      <c r="G630" s="5" t="s">
        <v>2048</v>
      </c>
      <c r="H630" s="5" t="s">
        <v>1457</v>
      </c>
      <c r="I630" s="5" t="s">
        <v>128</v>
      </c>
      <c r="J630" s="6">
        <v>1</v>
      </c>
      <c r="K630" s="6"/>
      <c r="L630" s="13" t="s">
        <v>1707</v>
      </c>
      <c r="M630" s="8"/>
      <c r="N630" s="5"/>
      <c r="O630" s="5"/>
      <c r="P630" s="5"/>
      <c r="Q630" s="6">
        <v>1</v>
      </c>
      <c r="R630" s="6" t="s">
        <v>1692</v>
      </c>
      <c r="S630" s="13" t="s">
        <v>1611</v>
      </c>
      <c r="T630" s="6">
        <v>1</v>
      </c>
      <c r="U630" s="7" t="s">
        <v>1692</v>
      </c>
      <c r="V630" s="5"/>
      <c r="W630" s="6"/>
      <c r="X630" s="6" t="s">
        <v>3</v>
      </c>
      <c r="Y630" s="5"/>
      <c r="Z630" s="7">
        <v>0</v>
      </c>
      <c r="AA630" s="6" t="s">
        <v>1692</v>
      </c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44" t="str">
        <f t="shared" si="12"/>
        <v>GREAT_PROPHET</v>
      </c>
      <c r="B631" s="9" t="s">
        <v>2283</v>
      </c>
      <c r="C631" s="5"/>
      <c r="D631" s="5"/>
      <c r="E631" s="5" t="s">
        <v>756</v>
      </c>
      <c r="F631" s="5" t="s">
        <v>756</v>
      </c>
      <c r="G631" s="5" t="s">
        <v>2049</v>
      </c>
      <c r="H631" s="5" t="s">
        <v>1458</v>
      </c>
      <c r="I631" s="5" t="s">
        <v>128</v>
      </c>
      <c r="J631" s="6">
        <v>1</v>
      </c>
      <c r="K631" s="6"/>
      <c r="L631" s="13" t="s">
        <v>1707</v>
      </c>
      <c r="M631" s="8"/>
      <c r="N631" s="5"/>
      <c r="O631" s="5"/>
      <c r="P631" s="5"/>
      <c r="Q631" s="6">
        <v>1</v>
      </c>
      <c r="R631" s="6" t="s">
        <v>1692</v>
      </c>
      <c r="S631" s="13" t="s">
        <v>1611</v>
      </c>
      <c r="T631" s="6">
        <v>1</v>
      </c>
      <c r="U631" s="7" t="s">
        <v>1734</v>
      </c>
      <c r="V631" s="5"/>
      <c r="W631" s="6"/>
      <c r="X631" s="6" t="s">
        <v>3</v>
      </c>
      <c r="Y631" s="5"/>
      <c r="Z631" s="7">
        <v>0</v>
      </c>
      <c r="AA631" s="6" t="s">
        <v>1734</v>
      </c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44" t="str">
        <f>CONCATENATE(E632,IF(ISBLANK(C632),"",CONCATENATE("_",C632)))</f>
        <v>GREAT_PROPHET_RENAISSANCE</v>
      </c>
      <c r="B632" s="9" t="s">
        <v>2283</v>
      </c>
      <c r="C632" s="5"/>
      <c r="D632" s="5"/>
      <c r="E632" s="5" t="s">
        <v>2118</v>
      </c>
      <c r="F632" s="5" t="s">
        <v>756</v>
      </c>
      <c r="G632" s="5"/>
      <c r="H632" s="5" t="s">
        <v>1113</v>
      </c>
      <c r="I632" s="5" t="s">
        <v>128</v>
      </c>
      <c r="J632" s="6">
        <v>0</v>
      </c>
      <c r="K632" s="6"/>
      <c r="L632" s="13" t="s">
        <v>1707</v>
      </c>
      <c r="M632" s="8"/>
      <c r="N632" s="5"/>
      <c r="O632" s="5"/>
      <c r="P632" s="5"/>
      <c r="Q632" s="6">
        <v>1</v>
      </c>
      <c r="R632" s="6" t="s">
        <v>1692</v>
      </c>
      <c r="S632" s="13" t="s">
        <v>1611</v>
      </c>
      <c r="T632" s="6">
        <v>1</v>
      </c>
      <c r="U632" s="7" t="s">
        <v>1734</v>
      </c>
      <c r="V632" s="5"/>
      <c r="W632" s="6"/>
      <c r="X632" s="6" t="s">
        <v>3</v>
      </c>
      <c r="Y632" s="5"/>
      <c r="Z632" s="7">
        <v>1</v>
      </c>
      <c r="AA632" s="6" t="s">
        <v>1734</v>
      </c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44" t="str">
        <f>CONCATENATE(E633,IF(ISBLANK(C633),"",CONCATENATE("_",C633)))</f>
        <v>GREAT_PROPHET_RENAISSANCE</v>
      </c>
      <c r="B633" s="9" t="s">
        <v>2283</v>
      </c>
      <c r="C633" s="5"/>
      <c r="D633" s="5"/>
      <c r="E633" s="5" t="s">
        <v>2118</v>
      </c>
      <c r="F633" s="5" t="s">
        <v>756</v>
      </c>
      <c r="G633" s="5" t="s">
        <v>2048</v>
      </c>
      <c r="H633" s="5" t="s">
        <v>1457</v>
      </c>
      <c r="I633" s="5" t="s">
        <v>128</v>
      </c>
      <c r="J633" s="6">
        <v>0</v>
      </c>
      <c r="K633" s="6"/>
      <c r="L633" s="13" t="s">
        <v>1707</v>
      </c>
      <c r="M633" s="8"/>
      <c r="N633" s="5"/>
      <c r="O633" s="5"/>
      <c r="P633" s="5"/>
      <c r="Q633" s="6">
        <v>1</v>
      </c>
      <c r="R633" s="6" t="s">
        <v>1692</v>
      </c>
      <c r="S633" s="13" t="s">
        <v>1611</v>
      </c>
      <c r="T633" s="6">
        <v>1</v>
      </c>
      <c r="U633" s="7" t="s">
        <v>1692</v>
      </c>
      <c r="V633" s="5"/>
      <c r="W633" s="6"/>
      <c r="X633" s="6" t="s">
        <v>3</v>
      </c>
      <c r="Y633" s="5"/>
      <c r="Z633" s="7">
        <v>0</v>
      </c>
      <c r="AA633" s="6" t="s">
        <v>1692</v>
      </c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44" t="str">
        <f>CONCATENATE(E634,IF(ISBLANK(C634),"",CONCATENATE("_",C634)))</f>
        <v>GREAT_PROPHET_RENAISSANCE</v>
      </c>
      <c r="B634" s="9" t="s">
        <v>2283</v>
      </c>
      <c r="C634" s="5"/>
      <c r="D634" s="5"/>
      <c r="E634" s="5" t="s">
        <v>2118</v>
      </c>
      <c r="F634" s="5" t="s">
        <v>756</v>
      </c>
      <c r="G634" s="5" t="s">
        <v>2049</v>
      </c>
      <c r="H634" s="5" t="s">
        <v>1458</v>
      </c>
      <c r="I634" s="5" t="s">
        <v>128</v>
      </c>
      <c r="J634" s="6">
        <v>0</v>
      </c>
      <c r="K634" s="6"/>
      <c r="L634" s="13" t="s">
        <v>1707</v>
      </c>
      <c r="M634" s="8"/>
      <c r="N634" s="5"/>
      <c r="O634" s="5"/>
      <c r="P634" s="5"/>
      <c r="Q634" s="6">
        <v>1</v>
      </c>
      <c r="R634" s="6" t="s">
        <v>1692</v>
      </c>
      <c r="S634" s="13" t="s">
        <v>1611</v>
      </c>
      <c r="T634" s="6">
        <v>1</v>
      </c>
      <c r="U634" s="7" t="s">
        <v>1734</v>
      </c>
      <c r="V634" s="5"/>
      <c r="W634" s="6"/>
      <c r="X634" s="6" t="s">
        <v>3</v>
      </c>
      <c r="Y634" s="5"/>
      <c r="Z634" s="7">
        <v>0</v>
      </c>
      <c r="AA634" s="6" t="s">
        <v>1734</v>
      </c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44" t="str">
        <f t="shared" si="12"/>
        <v>GREAT_WRITER</v>
      </c>
      <c r="B635" s="9" t="s">
        <v>2284</v>
      </c>
      <c r="C635" s="5"/>
      <c r="D635" s="5"/>
      <c r="E635" s="5" t="s">
        <v>1351</v>
      </c>
      <c r="F635" s="5" t="s">
        <v>1351</v>
      </c>
      <c r="G635" s="5"/>
      <c r="H635" s="5" t="s">
        <v>1459</v>
      </c>
      <c r="I635" s="5" t="s">
        <v>128</v>
      </c>
      <c r="J635" s="6">
        <v>1</v>
      </c>
      <c r="K635" s="6"/>
      <c r="L635" s="13" t="s">
        <v>1707</v>
      </c>
      <c r="M635" s="8"/>
      <c r="N635" s="5"/>
      <c r="O635" s="5"/>
      <c r="P635" s="5"/>
      <c r="Q635" s="6">
        <v>1</v>
      </c>
      <c r="R635" s="6" t="s">
        <v>1692</v>
      </c>
      <c r="S635" s="13" t="s">
        <v>1692</v>
      </c>
      <c r="T635" s="6">
        <v>1</v>
      </c>
      <c r="U635" s="7" t="s">
        <v>1734</v>
      </c>
      <c r="V635" s="5"/>
      <c r="W635" s="6"/>
      <c r="X635" s="6" t="s">
        <v>3</v>
      </c>
      <c r="Y635" s="5"/>
      <c r="Z635" s="7">
        <v>1</v>
      </c>
      <c r="AA635" s="6" t="s">
        <v>1734</v>
      </c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44" t="str">
        <f t="shared" si="12"/>
        <v>GREAT_WRITER</v>
      </c>
      <c r="B636" s="9" t="s">
        <v>2284</v>
      </c>
      <c r="C636" s="5"/>
      <c r="D636" s="5"/>
      <c r="E636" s="5" t="s">
        <v>1351</v>
      </c>
      <c r="F636" s="5" t="s">
        <v>1351</v>
      </c>
      <c r="G636" s="5" t="s">
        <v>2032</v>
      </c>
      <c r="H636" s="5" t="s">
        <v>1460</v>
      </c>
      <c r="I636" s="5" t="s">
        <v>128</v>
      </c>
      <c r="J636" s="6">
        <v>1</v>
      </c>
      <c r="K636" s="6"/>
      <c r="L636" s="13" t="s">
        <v>1707</v>
      </c>
      <c r="M636" s="8"/>
      <c r="N636" s="5"/>
      <c r="O636" s="5"/>
      <c r="P636" s="5"/>
      <c r="Q636" s="6">
        <v>1</v>
      </c>
      <c r="R636" s="6" t="s">
        <v>1692</v>
      </c>
      <c r="S636" s="13" t="s">
        <v>1692</v>
      </c>
      <c r="T636" s="6">
        <v>1</v>
      </c>
      <c r="U636" s="7" t="s">
        <v>1734</v>
      </c>
      <c r="V636" s="5"/>
      <c r="W636" s="6"/>
      <c r="X636" s="6" t="s">
        <v>3</v>
      </c>
      <c r="Y636" s="5"/>
      <c r="Z636" s="7">
        <v>0</v>
      </c>
      <c r="AA636" s="6" t="s">
        <v>1734</v>
      </c>
      <c r="AB636" s="5"/>
      <c r="AC636" s="6"/>
      <c r="AD636" s="6" t="s">
        <v>3</v>
      </c>
      <c r="AE636" s="5"/>
      <c r="AF636" s="6">
        <v>1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44" t="str">
        <f t="shared" si="12"/>
        <v>GREAT_WRITER</v>
      </c>
      <c r="B637" s="9" t="s">
        <v>2284</v>
      </c>
      <c r="C637" s="5"/>
      <c r="D637" s="5"/>
      <c r="E637" s="5" t="s">
        <v>1351</v>
      </c>
      <c r="F637" s="5" t="s">
        <v>1351</v>
      </c>
      <c r="G637" s="5" t="s">
        <v>2033</v>
      </c>
      <c r="H637" s="5" t="s">
        <v>1461</v>
      </c>
      <c r="I637" s="5" t="s">
        <v>128</v>
      </c>
      <c r="J637" s="6">
        <v>1</v>
      </c>
      <c r="K637" s="6"/>
      <c r="L637" s="13" t="s">
        <v>1707</v>
      </c>
      <c r="M637" s="8"/>
      <c r="N637" s="5"/>
      <c r="O637" s="5"/>
      <c r="P637" s="5"/>
      <c r="Q637" s="6">
        <v>1</v>
      </c>
      <c r="R637" s="6" t="s">
        <v>1692</v>
      </c>
      <c r="S637" s="13" t="s">
        <v>1692</v>
      </c>
      <c r="T637" s="6">
        <v>1</v>
      </c>
      <c r="U637" s="7" t="s">
        <v>1734</v>
      </c>
      <c r="V637" s="5"/>
      <c r="W637" s="6"/>
      <c r="X637" s="6" t="s">
        <v>3</v>
      </c>
      <c r="Y637" s="5"/>
      <c r="Z637" s="7">
        <v>0</v>
      </c>
      <c r="AA637" s="6" t="s">
        <v>1734</v>
      </c>
      <c r="AB637" s="5"/>
      <c r="AC637" s="6"/>
      <c r="AD637" s="6" t="s">
        <v>3</v>
      </c>
      <c r="AE637" s="5"/>
      <c r="AF637" s="6">
        <v>0</v>
      </c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44" t="str">
        <f t="shared" si="12"/>
        <v>GREAT_WRITER_POSTMODERN</v>
      </c>
      <c r="B638" s="9" t="s">
        <v>2284</v>
      </c>
      <c r="C638" s="5"/>
      <c r="D638" s="5"/>
      <c r="E638" s="5" t="s">
        <v>1352</v>
      </c>
      <c r="F638" s="5" t="s">
        <v>1355</v>
      </c>
      <c r="G638" s="5"/>
      <c r="H638" s="5" t="s">
        <v>1463</v>
      </c>
      <c r="I638" s="5" t="s">
        <v>128</v>
      </c>
      <c r="J638" s="6">
        <v>0</v>
      </c>
      <c r="K638" s="6"/>
      <c r="L638" s="13" t="s">
        <v>1707</v>
      </c>
      <c r="M638" s="8"/>
      <c r="N638" s="5"/>
      <c r="O638" s="5"/>
      <c r="P638" s="5"/>
      <c r="Q638" s="6">
        <v>1</v>
      </c>
      <c r="R638" s="6">
        <v>0.125</v>
      </c>
      <c r="S638" s="13" t="s">
        <v>1692</v>
      </c>
      <c r="T638" s="6">
        <v>1</v>
      </c>
      <c r="U638" s="7" t="s">
        <v>1734</v>
      </c>
      <c r="V638" s="5"/>
      <c r="W638" s="6"/>
      <c r="X638" s="6" t="s">
        <v>3</v>
      </c>
      <c r="Y638" s="5"/>
      <c r="Z638" s="7">
        <v>1</v>
      </c>
      <c r="AA638" s="6" t="s">
        <v>1734</v>
      </c>
      <c r="AB638" s="5"/>
      <c r="AC638" s="6"/>
      <c r="AD638" s="6" t="s">
        <v>3</v>
      </c>
      <c r="AE638" s="5"/>
      <c r="AF638" s="6">
        <v>1</v>
      </c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44" t="str">
        <f t="shared" si="12"/>
        <v>GREAT_WRITER_POSTMODERN</v>
      </c>
      <c r="B639" s="9" t="s">
        <v>2284</v>
      </c>
      <c r="C639" s="5"/>
      <c r="D639" s="5"/>
      <c r="E639" s="5" t="s">
        <v>1352</v>
      </c>
      <c r="F639" s="5" t="s">
        <v>1355</v>
      </c>
      <c r="G639" s="5" t="s">
        <v>2032</v>
      </c>
      <c r="H639" s="5" t="s">
        <v>1464</v>
      </c>
      <c r="I639" s="5" t="s">
        <v>128</v>
      </c>
      <c r="J639" s="6">
        <v>0</v>
      </c>
      <c r="K639" s="6"/>
      <c r="L639" s="13" t="s">
        <v>1707</v>
      </c>
      <c r="M639" s="8"/>
      <c r="N639" s="5"/>
      <c r="O639" s="5"/>
      <c r="P639" s="5"/>
      <c r="Q639" s="6">
        <v>1</v>
      </c>
      <c r="R639" s="6">
        <v>0.125</v>
      </c>
      <c r="S639" s="13" t="s">
        <v>1692</v>
      </c>
      <c r="T639" s="6">
        <v>1</v>
      </c>
      <c r="U639" s="7" t="s">
        <v>1734</v>
      </c>
      <c r="V639" s="5"/>
      <c r="W639" s="6"/>
      <c r="X639" s="6" t="s">
        <v>3</v>
      </c>
      <c r="Y639" s="5"/>
      <c r="Z639" s="7">
        <v>0</v>
      </c>
      <c r="AA639" s="6" t="s">
        <v>1734</v>
      </c>
      <c r="AB639" s="5"/>
      <c r="AC639" s="6"/>
      <c r="AD639" s="6" t="s">
        <v>3</v>
      </c>
      <c r="AE639" s="5"/>
      <c r="AF639" s="6">
        <v>1</v>
      </c>
      <c r="AG639" s="6"/>
      <c r="AH639" s="5"/>
      <c r="AI639" s="6"/>
      <c r="AJ639" s="6"/>
      <c r="AK639" s="5"/>
      <c r="AL639" s="6"/>
      <c r="AM639" s="6"/>
      <c r="AN639" s="6"/>
      <c r="AO639" s="6"/>
      <c r="AP639" s="6"/>
      <c r="AQ639" s="6"/>
    </row>
    <row r="640" spans="1:43" x14ac:dyDescent="0.25">
      <c r="A640" s="44" t="str">
        <f t="shared" si="12"/>
        <v>GREAT_WRITER_POSTMODERN</v>
      </c>
      <c r="B640" s="9" t="s">
        <v>2284</v>
      </c>
      <c r="C640" s="5"/>
      <c r="D640" s="5"/>
      <c r="E640" s="5" t="s">
        <v>1352</v>
      </c>
      <c r="F640" s="5" t="s">
        <v>1355</v>
      </c>
      <c r="G640" s="5" t="s">
        <v>2033</v>
      </c>
      <c r="H640" s="5" t="s">
        <v>1462</v>
      </c>
      <c r="I640" s="5" t="s">
        <v>128</v>
      </c>
      <c r="J640" s="6">
        <v>0</v>
      </c>
      <c r="K640" s="6"/>
      <c r="L640" s="13" t="s">
        <v>1707</v>
      </c>
      <c r="M640" s="8"/>
      <c r="N640" s="5"/>
      <c r="O640" s="5"/>
      <c r="P640" s="5"/>
      <c r="Q640" s="6">
        <v>1</v>
      </c>
      <c r="R640" s="6">
        <v>0.125</v>
      </c>
      <c r="S640" s="13" t="s">
        <v>1692</v>
      </c>
      <c r="T640" s="6">
        <v>1</v>
      </c>
      <c r="U640" s="7" t="s">
        <v>1734</v>
      </c>
      <c r="V640" s="5"/>
      <c r="W640" s="6"/>
      <c r="X640" s="6" t="s">
        <v>3</v>
      </c>
      <c r="Y640" s="5"/>
      <c r="Z640" s="7">
        <v>0</v>
      </c>
      <c r="AA640" s="6" t="s">
        <v>1734</v>
      </c>
      <c r="AB640" s="5"/>
      <c r="AC640" s="6"/>
      <c r="AD640" s="6" t="s">
        <v>3</v>
      </c>
      <c r="AE640" s="5"/>
      <c r="AF640" s="6">
        <v>0</v>
      </c>
      <c r="AG640" s="6"/>
      <c r="AH640" s="5"/>
      <c r="AI640" s="6"/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44" t="str">
        <f t="shared" si="12"/>
        <v>GUIDED_MISSILE</v>
      </c>
      <c r="B641" s="9" t="s">
        <v>757</v>
      </c>
      <c r="C641" s="5"/>
      <c r="D641" s="5"/>
      <c r="E641" s="5" t="s">
        <v>757</v>
      </c>
      <c r="F641" s="5" t="s">
        <v>792</v>
      </c>
      <c r="G641" s="5"/>
      <c r="H641" s="5" t="s">
        <v>1480</v>
      </c>
      <c r="I641" s="5" t="s">
        <v>128</v>
      </c>
      <c r="J641" s="6"/>
      <c r="K641" s="7"/>
      <c r="L641" s="13" t="s">
        <v>1708</v>
      </c>
      <c r="M641" s="8"/>
      <c r="N641" s="13" t="s">
        <v>1722</v>
      </c>
      <c r="O641" s="13"/>
      <c r="P641" s="13"/>
      <c r="Q641" s="7">
        <v>1</v>
      </c>
      <c r="R641" s="6" t="s">
        <v>1734</v>
      </c>
      <c r="S641" s="5"/>
      <c r="T641" s="6"/>
      <c r="U641" s="6"/>
      <c r="V641" s="5"/>
      <c r="W641" s="6"/>
      <c r="X641" s="6" t="s">
        <v>3</v>
      </c>
      <c r="Y641" s="5"/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44" t="str">
        <f t="shared" si="12"/>
        <v>GUIDED_MISSILE_AUSTRIA</v>
      </c>
      <c r="B642" s="9" t="s">
        <v>757</v>
      </c>
      <c r="C642" s="5" t="s">
        <v>701</v>
      </c>
      <c r="D642" s="5" t="s">
        <v>717</v>
      </c>
      <c r="E642" s="5" t="s">
        <v>757</v>
      </c>
      <c r="F642" s="5" t="s">
        <v>792</v>
      </c>
      <c r="G642" s="5"/>
      <c r="H642" s="5"/>
      <c r="I642" s="5"/>
      <c r="J642" s="6"/>
      <c r="K642" s="7"/>
      <c r="L642" s="13"/>
      <c r="M642" s="8"/>
      <c r="N642" s="13"/>
      <c r="O642" s="13"/>
      <c r="P642" s="13"/>
      <c r="Q642" s="7"/>
      <c r="R642" s="6"/>
      <c r="S642" s="5"/>
      <c r="T642" s="6"/>
      <c r="U642" s="6"/>
      <c r="V642" s="5"/>
      <c r="W642" s="6"/>
      <c r="X642" s="6"/>
      <c r="Y642" s="5"/>
      <c r="Z642" s="6"/>
      <c r="AA642" s="6"/>
      <c r="AB642" s="5"/>
      <c r="AC642" s="6"/>
      <c r="AD642" s="6"/>
      <c r="AE642" s="5"/>
      <c r="AF642" s="6"/>
      <c r="AG642" s="6"/>
      <c r="AH642" s="5"/>
      <c r="AI642" s="6"/>
      <c r="AJ642" s="6"/>
      <c r="AK642" s="5"/>
      <c r="AL642" s="6"/>
      <c r="AM642" s="6"/>
      <c r="AN642" s="6"/>
      <c r="AO642" s="6"/>
      <c r="AP642" s="6"/>
      <c r="AQ642" s="6"/>
    </row>
    <row r="643" spans="1:43" x14ac:dyDescent="0.25">
      <c r="A643" s="44" t="str">
        <f t="shared" ref="A643:A726" si="13">CONCATENATE(E643,IF(ISBLANK(C643),"",CONCATENATE("_",C643)))</f>
        <v>GUIDED_MISSILE_GERMANY</v>
      </c>
      <c r="B643" s="9" t="s">
        <v>757</v>
      </c>
      <c r="C643" s="4" t="s">
        <v>717</v>
      </c>
      <c r="E643" s="4" t="s">
        <v>757</v>
      </c>
      <c r="F643" s="4" t="s">
        <v>792</v>
      </c>
      <c r="G643" s="14" t="s">
        <v>132</v>
      </c>
      <c r="H643" s="4" t="s">
        <v>374</v>
      </c>
      <c r="I643" s="4" t="s">
        <v>966</v>
      </c>
      <c r="AL643" s="11"/>
      <c r="AM643" s="11"/>
      <c r="AN643" s="11"/>
      <c r="AO643" s="11"/>
      <c r="AP643" s="11"/>
      <c r="AQ643" s="11"/>
    </row>
    <row r="644" spans="1:43" x14ac:dyDescent="0.25">
      <c r="A644" s="44" t="str">
        <f t="shared" si="13"/>
        <v>HAND_AXE_BARBARIAN</v>
      </c>
      <c r="B644" s="9" t="s">
        <v>2286</v>
      </c>
      <c r="C644" s="5"/>
      <c r="D644" s="5"/>
      <c r="E644" s="5" t="s">
        <v>1356</v>
      </c>
      <c r="F644" s="5" t="s">
        <v>1356</v>
      </c>
      <c r="G644" s="5"/>
      <c r="H644" s="5" t="s">
        <v>1481</v>
      </c>
      <c r="I644" s="5" t="s">
        <v>128</v>
      </c>
      <c r="J644" s="6"/>
      <c r="K644" s="6"/>
      <c r="L644" s="13" t="s">
        <v>1705</v>
      </c>
      <c r="M644" s="8"/>
      <c r="N644" s="5"/>
      <c r="O644" s="5"/>
      <c r="P644" s="5"/>
      <c r="Q644" s="7">
        <v>10</v>
      </c>
      <c r="R644" s="6" t="s">
        <v>1734</v>
      </c>
      <c r="S644" s="13" t="s">
        <v>44</v>
      </c>
      <c r="T644" s="6"/>
      <c r="U644" s="7" t="s">
        <v>1692</v>
      </c>
      <c r="V644" s="5"/>
      <c r="W644" s="6" t="s">
        <v>3</v>
      </c>
      <c r="X644" s="6" t="s">
        <v>3</v>
      </c>
      <c r="Y644" s="5"/>
      <c r="Z644" s="7">
        <v>1</v>
      </c>
      <c r="AA644" s="6"/>
      <c r="AB644" s="5"/>
      <c r="AC644" s="6"/>
      <c r="AD644" s="6" t="s">
        <v>3</v>
      </c>
      <c r="AE644" s="5"/>
      <c r="AF644" s="7" t="s">
        <v>1734</v>
      </c>
      <c r="AG644" s="6"/>
      <c r="AH644" s="5"/>
      <c r="AI644" s="7">
        <v>6</v>
      </c>
      <c r="AJ644" s="6"/>
      <c r="AK644" s="5"/>
      <c r="AL644" s="6"/>
      <c r="AM644" s="6"/>
      <c r="AN644" s="6"/>
      <c r="AO644" s="6"/>
      <c r="AP644" s="6"/>
      <c r="AQ644" s="6"/>
    </row>
    <row r="645" spans="1:43" x14ac:dyDescent="0.25">
      <c r="A645" s="44" t="str">
        <f t="shared" si="13"/>
        <v>HELICOPTER_GUNSHIP</v>
      </c>
      <c r="B645" s="9" t="s">
        <v>758</v>
      </c>
      <c r="C645" s="5"/>
      <c r="D645" s="5"/>
      <c r="E645" s="5" t="s">
        <v>758</v>
      </c>
      <c r="F645" s="5" t="s">
        <v>793</v>
      </c>
      <c r="G645" s="5"/>
      <c r="H645" s="5" t="s">
        <v>1482</v>
      </c>
      <c r="I645" s="5" t="s">
        <v>128</v>
      </c>
      <c r="J645" s="6"/>
      <c r="K645" s="7"/>
      <c r="L645" s="13" t="s">
        <v>1706</v>
      </c>
      <c r="M645" s="8"/>
      <c r="N645" s="13" t="s">
        <v>1723</v>
      </c>
      <c r="O645" s="13"/>
      <c r="P645" s="13"/>
      <c r="Q645" s="7">
        <v>1</v>
      </c>
      <c r="R645" s="6">
        <v>0.1</v>
      </c>
      <c r="S645" s="5"/>
      <c r="T645" s="6"/>
      <c r="U645" s="6">
        <v>0.1</v>
      </c>
      <c r="V645" s="5"/>
      <c r="W645" s="6" t="s">
        <v>3</v>
      </c>
      <c r="X645" s="6" t="s">
        <v>3</v>
      </c>
      <c r="Y645" s="5" t="s">
        <v>1720</v>
      </c>
      <c r="Z645" s="6"/>
      <c r="AA645" s="6"/>
      <c r="AB645" s="5"/>
      <c r="AC645" s="6"/>
      <c r="AD645" s="6" t="s">
        <v>3</v>
      </c>
      <c r="AE645" s="5"/>
      <c r="AF645" s="6"/>
      <c r="AG645" s="6"/>
      <c r="AH645" s="5"/>
      <c r="AI645" s="6"/>
      <c r="AJ645" s="6"/>
      <c r="AK645" s="5"/>
      <c r="AL645" s="6"/>
      <c r="AM645" s="6"/>
      <c r="AN645" s="6"/>
      <c r="AO645" s="6"/>
      <c r="AP645" s="6"/>
      <c r="AQ645" s="6"/>
    </row>
    <row r="646" spans="1:43" x14ac:dyDescent="0.25">
      <c r="A646" s="44" t="str">
        <f t="shared" si="13"/>
        <v>HELICOPTER_GUNSHIP_AFRI</v>
      </c>
      <c r="B646" s="9" t="s">
        <v>758</v>
      </c>
      <c r="C646" s="4" t="s">
        <v>694</v>
      </c>
      <c r="D646" s="4" t="s">
        <v>690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44" t="str">
        <f t="shared" si="13"/>
        <v>HELICOPTER_GUNSHIP_ETHIOPIA</v>
      </c>
      <c r="B647" s="9" t="s">
        <v>758</v>
      </c>
      <c r="C647" s="4" t="s">
        <v>714</v>
      </c>
      <c r="E647" s="4" t="s">
        <v>758</v>
      </c>
      <c r="F647" s="4" t="s">
        <v>793</v>
      </c>
      <c r="G647" s="14" t="s">
        <v>132</v>
      </c>
      <c r="H647" s="4" t="s">
        <v>322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44" t="str">
        <f t="shared" si="13"/>
        <v>HELICOPTER_GUNSHIP_ZULU</v>
      </c>
      <c r="B648" s="9" t="s">
        <v>758</v>
      </c>
      <c r="C648" s="4" t="s">
        <v>742</v>
      </c>
      <c r="D648" s="4" t="s">
        <v>713</v>
      </c>
      <c r="E648" s="4" t="s">
        <v>758</v>
      </c>
      <c r="F648" s="4" t="s">
        <v>793</v>
      </c>
      <c r="G648" s="14"/>
      <c r="AL648" s="11"/>
      <c r="AM648" s="11"/>
      <c r="AN648" s="11"/>
      <c r="AO648" s="11"/>
      <c r="AP648" s="11"/>
      <c r="AQ648" s="11"/>
    </row>
    <row r="649" spans="1:43" x14ac:dyDescent="0.25">
      <c r="A649" s="44" t="str">
        <f t="shared" si="13"/>
        <v>HELICOPTER_GUNSHIP_AMER</v>
      </c>
      <c r="B649" s="9" t="s">
        <v>758</v>
      </c>
      <c r="C649" s="4" t="s">
        <v>697</v>
      </c>
      <c r="D649" s="4" t="s">
        <v>699</v>
      </c>
      <c r="E649" s="4" t="s">
        <v>758</v>
      </c>
      <c r="F649" s="4" t="s">
        <v>793</v>
      </c>
      <c r="G649" s="14"/>
      <c r="AL649" s="11"/>
      <c r="AM649" s="11"/>
      <c r="AN649" s="11"/>
      <c r="AO649" s="11"/>
      <c r="AP649" s="11"/>
      <c r="AQ649" s="11"/>
    </row>
    <row r="650" spans="1:43" x14ac:dyDescent="0.25">
      <c r="A650" s="44" t="str">
        <f t="shared" si="13"/>
        <v>HELICOPTER_GUNSHIP_ASIA</v>
      </c>
      <c r="B650" s="9" t="s">
        <v>758</v>
      </c>
      <c r="C650" s="4" t="s">
        <v>693</v>
      </c>
      <c r="D650" s="4" t="s">
        <v>698</v>
      </c>
      <c r="E650" s="4" t="s">
        <v>758</v>
      </c>
      <c r="F650" s="4" t="s">
        <v>793</v>
      </c>
      <c r="AL650" s="11"/>
      <c r="AM650" s="11"/>
      <c r="AN650" s="11"/>
      <c r="AO650" s="11"/>
      <c r="AP650" s="11"/>
      <c r="AQ650" s="11"/>
    </row>
    <row r="651" spans="1:43" x14ac:dyDescent="0.25">
      <c r="A651" s="44" t="str">
        <f t="shared" si="13"/>
        <v>HELICOPTER_GUNSHIP_JAPAN</v>
      </c>
      <c r="B651" s="9" t="s">
        <v>758</v>
      </c>
      <c r="C651" s="4" t="s">
        <v>722</v>
      </c>
      <c r="E651" s="4" t="s">
        <v>758</v>
      </c>
      <c r="F651" s="4" t="s">
        <v>793</v>
      </c>
      <c r="G651" s="14" t="s">
        <v>132</v>
      </c>
      <c r="H651" s="4" t="s">
        <v>479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44" t="str">
        <f t="shared" si="13"/>
        <v>HELICOPTER_GUNSHIP_EASTEU</v>
      </c>
      <c r="B652" s="9" t="s">
        <v>758</v>
      </c>
      <c r="C652" s="4" t="s">
        <v>698</v>
      </c>
      <c r="E652" s="4" t="s">
        <v>758</v>
      </c>
      <c r="F652" s="4" t="s">
        <v>793</v>
      </c>
      <c r="G652" s="14"/>
      <c r="H652" s="4" t="s">
        <v>247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44" t="str">
        <f t="shared" si="13"/>
        <v>HELICOPTER_GUNSHIP_KIEV</v>
      </c>
      <c r="B653" s="9" t="s">
        <v>758</v>
      </c>
      <c r="C653" s="4" t="s">
        <v>1187</v>
      </c>
      <c r="E653" s="4" t="s">
        <v>758</v>
      </c>
      <c r="F653" s="4" t="s">
        <v>793</v>
      </c>
      <c r="G653" s="14"/>
      <c r="H653" s="4" t="s">
        <v>1938</v>
      </c>
      <c r="I653" s="4" t="s">
        <v>120</v>
      </c>
      <c r="AL653" s="11"/>
      <c r="AM653" s="11"/>
      <c r="AN653" s="11"/>
      <c r="AO653" s="11"/>
      <c r="AP653" s="11"/>
      <c r="AQ653" s="11"/>
    </row>
    <row r="654" spans="1:43" x14ac:dyDescent="0.25">
      <c r="A654" s="44" t="str">
        <f t="shared" si="13"/>
        <v>HELICOPTER_GUNSHIP_POLAND</v>
      </c>
      <c r="B654" s="9" t="s">
        <v>758</v>
      </c>
      <c r="C654" s="4" t="s">
        <v>732</v>
      </c>
      <c r="E654" s="4" t="s">
        <v>758</v>
      </c>
      <c r="F654" s="4" t="s">
        <v>793</v>
      </c>
      <c r="G654" s="14" t="s">
        <v>132</v>
      </c>
      <c r="H654" s="4" t="s">
        <v>570</v>
      </c>
      <c r="I654" s="4" t="s">
        <v>120</v>
      </c>
      <c r="AL654" s="11"/>
      <c r="AM654" s="11"/>
      <c r="AN654" s="11"/>
      <c r="AO654" s="11"/>
      <c r="AP654" s="11"/>
      <c r="AQ654" s="11"/>
    </row>
    <row r="655" spans="1:43" x14ac:dyDescent="0.25">
      <c r="A655" s="44" t="str">
        <f t="shared" si="13"/>
        <v>HELICOPTER_GUNSHIP_RUSSIA</v>
      </c>
      <c r="B655" s="9" t="s">
        <v>758</v>
      </c>
      <c r="C655" s="4" t="s">
        <v>735</v>
      </c>
      <c r="E655" s="4" t="s">
        <v>758</v>
      </c>
      <c r="F655" s="4" t="s">
        <v>793</v>
      </c>
      <c r="G655" s="14"/>
      <c r="H655" s="4" t="s">
        <v>1939</v>
      </c>
      <c r="I655" s="4" t="s">
        <v>120</v>
      </c>
      <c r="AL655" s="11"/>
      <c r="AM655" s="11"/>
      <c r="AN655" s="11"/>
      <c r="AO655" s="11"/>
      <c r="AP655" s="11"/>
      <c r="AQ655" s="11"/>
    </row>
    <row r="656" spans="1:43" x14ac:dyDescent="0.25">
      <c r="A656" s="44" t="str">
        <f t="shared" si="13"/>
        <v>HELICOPTER_GUNSHIP_AMERICA</v>
      </c>
      <c r="B656" s="9" t="s">
        <v>758</v>
      </c>
      <c r="C656" s="4" t="s">
        <v>699</v>
      </c>
      <c r="E656" s="4" t="s">
        <v>758</v>
      </c>
      <c r="F656" s="4" t="s">
        <v>793</v>
      </c>
      <c r="G656" s="14"/>
      <c r="H656" s="4" t="s">
        <v>139</v>
      </c>
      <c r="I656" s="4" t="s">
        <v>120</v>
      </c>
      <c r="AL656" s="11"/>
      <c r="AM656" s="11"/>
      <c r="AN656" s="11"/>
      <c r="AO656" s="11"/>
      <c r="AP656" s="11"/>
      <c r="AQ656" s="11"/>
    </row>
    <row r="657" spans="1:43" x14ac:dyDescent="0.25">
      <c r="A657" s="44" t="str">
        <f t="shared" si="13"/>
        <v>HELICOPTER_GUNSHIP_AUSTRALIA</v>
      </c>
      <c r="B657" s="9" t="s">
        <v>758</v>
      </c>
      <c r="C657" s="4" t="s">
        <v>1300</v>
      </c>
      <c r="E657" s="4" t="s">
        <v>758</v>
      </c>
      <c r="F657" s="4" t="s">
        <v>793</v>
      </c>
      <c r="G657" s="14"/>
      <c r="H657" s="4" t="s">
        <v>1301</v>
      </c>
      <c r="I657" s="4" t="s">
        <v>1050</v>
      </c>
      <c r="AL657" s="11"/>
      <c r="AM657" s="11"/>
      <c r="AN657" s="11"/>
      <c r="AO657" s="11"/>
      <c r="AP657" s="11"/>
      <c r="AQ657" s="11"/>
    </row>
    <row r="658" spans="1:43" x14ac:dyDescent="0.25">
      <c r="A658" s="44" t="str">
        <f t="shared" si="13"/>
        <v>HELICOPTER_GUNSHIP_AUSTRIA</v>
      </c>
      <c r="B658" s="9" t="s">
        <v>758</v>
      </c>
      <c r="C658" s="4" t="s">
        <v>701</v>
      </c>
      <c r="E658" s="4" t="s">
        <v>758</v>
      </c>
      <c r="F658" s="4" t="s">
        <v>793</v>
      </c>
      <c r="G658" s="14"/>
      <c r="H658" s="4" t="s">
        <v>179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44" t="str">
        <f t="shared" si="13"/>
        <v>HELICOPTER_GUNSHIP_CANADA</v>
      </c>
      <c r="B659" s="9" t="s">
        <v>758</v>
      </c>
      <c r="C659" s="4" t="s">
        <v>2187</v>
      </c>
      <c r="D659" s="4" t="s">
        <v>713</v>
      </c>
      <c r="E659" s="4" t="s">
        <v>758</v>
      </c>
      <c r="F659" s="4" t="s">
        <v>793</v>
      </c>
      <c r="G659" s="14"/>
      <c r="AL659" s="11"/>
      <c r="AM659" s="11"/>
      <c r="AN659" s="11"/>
      <c r="AO659" s="11"/>
      <c r="AP659" s="11"/>
      <c r="AQ659" s="11"/>
    </row>
    <row r="660" spans="1:43" x14ac:dyDescent="0.25">
      <c r="A660" s="44" t="str">
        <f t="shared" si="13"/>
        <v>HELICOPTER_GUNSHIP_CELTS</v>
      </c>
      <c r="B660" s="9" t="s">
        <v>758</v>
      </c>
      <c r="C660" s="4" t="s">
        <v>709</v>
      </c>
      <c r="D660" s="4" t="s">
        <v>713</v>
      </c>
      <c r="E660" s="4" t="s">
        <v>758</v>
      </c>
      <c r="F660" s="4" t="s">
        <v>793</v>
      </c>
      <c r="G660" s="14"/>
      <c r="AL660" s="11"/>
      <c r="AM660" s="11"/>
      <c r="AN660" s="11"/>
      <c r="AO660" s="11"/>
      <c r="AP660" s="11"/>
      <c r="AQ660" s="11"/>
    </row>
    <row r="661" spans="1:43" x14ac:dyDescent="0.25">
      <c r="A661" s="44" t="str">
        <f t="shared" si="13"/>
        <v>HELICOPTER_GUNSHIP_ENGLAND</v>
      </c>
      <c r="B661" s="9" t="s">
        <v>758</v>
      </c>
      <c r="C661" s="4" t="s">
        <v>713</v>
      </c>
      <c r="E661" s="4" t="s">
        <v>758</v>
      </c>
      <c r="F661" s="4" t="s">
        <v>793</v>
      </c>
      <c r="G661" s="14" t="s">
        <v>132</v>
      </c>
      <c r="H661" s="4" t="s">
        <v>298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44" t="str">
        <f t="shared" si="13"/>
        <v>HELICOPTER_GUNSHIP_FRANCE</v>
      </c>
      <c r="B662" s="9" t="s">
        <v>758</v>
      </c>
      <c r="C662" s="4" t="s">
        <v>715</v>
      </c>
      <c r="E662" s="4" t="s">
        <v>758</v>
      </c>
      <c r="F662" s="4" t="s">
        <v>793</v>
      </c>
      <c r="G662" s="14" t="s">
        <v>132</v>
      </c>
      <c r="H662" s="4" t="s">
        <v>344</v>
      </c>
      <c r="I662" s="4" t="s">
        <v>1050</v>
      </c>
      <c r="AL662" s="11"/>
      <c r="AM662" s="11"/>
      <c r="AN662" s="11"/>
      <c r="AO662" s="11"/>
      <c r="AP662" s="11"/>
      <c r="AQ662" s="11"/>
    </row>
    <row r="663" spans="1:43" x14ac:dyDescent="0.25">
      <c r="A663" s="44" t="str">
        <f t="shared" si="13"/>
        <v>HELICOPTER_GUNSHIP_GERMANY</v>
      </c>
      <c r="B663" s="9" t="s">
        <v>758</v>
      </c>
      <c r="C663" s="4" t="s">
        <v>717</v>
      </c>
      <c r="E663" s="4" t="s">
        <v>758</v>
      </c>
      <c r="F663" s="4" t="s">
        <v>793</v>
      </c>
      <c r="G663" s="14" t="s">
        <v>132</v>
      </c>
      <c r="H663" s="4" t="s">
        <v>375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44" t="str">
        <f t="shared" si="13"/>
        <v>HELICOPTER_GUNSHIP_NETHERLANDS</v>
      </c>
      <c r="B664" s="9" t="s">
        <v>758</v>
      </c>
      <c r="C664" s="4" t="s">
        <v>730</v>
      </c>
      <c r="E664" s="4" t="s">
        <v>758</v>
      </c>
      <c r="F664" s="4" t="s">
        <v>793</v>
      </c>
      <c r="G664" s="14" t="s">
        <v>132</v>
      </c>
      <c r="H664" s="4" t="s">
        <v>542</v>
      </c>
      <c r="I664" s="4" t="s">
        <v>1050</v>
      </c>
      <c r="AL664" s="11"/>
      <c r="AM664" s="11"/>
      <c r="AN664" s="11"/>
      <c r="AO664" s="11"/>
      <c r="AP664" s="11"/>
      <c r="AQ664" s="11"/>
    </row>
    <row r="665" spans="1:43" x14ac:dyDescent="0.25">
      <c r="A665" s="44" t="str">
        <f t="shared" si="13"/>
        <v>HELICOPTER_GUNSHIP_GREECE</v>
      </c>
      <c r="B665" s="9" t="s">
        <v>758</v>
      </c>
      <c r="C665" s="4" t="s">
        <v>718</v>
      </c>
      <c r="E665" s="4" t="s">
        <v>758</v>
      </c>
      <c r="F665" s="4" t="s">
        <v>793</v>
      </c>
      <c r="G665" s="14" t="s">
        <v>132</v>
      </c>
      <c r="H665" s="4" t="s">
        <v>403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44" t="str">
        <f t="shared" si="13"/>
        <v>HELICOPTER_GUNSHIP_ROME</v>
      </c>
      <c r="B666" s="9" t="s">
        <v>758</v>
      </c>
      <c r="C666" s="4" t="s">
        <v>734</v>
      </c>
      <c r="E666" s="4" t="s">
        <v>758</v>
      </c>
      <c r="F666" s="4" t="s">
        <v>793</v>
      </c>
      <c r="G666" s="14" t="s">
        <v>132</v>
      </c>
      <c r="H666" s="4" t="s">
        <v>588</v>
      </c>
      <c r="I666" s="4" t="s">
        <v>1068</v>
      </c>
      <c r="AL666" s="11"/>
      <c r="AM666" s="11"/>
      <c r="AN666" s="11"/>
      <c r="AO666" s="11"/>
      <c r="AP666" s="11"/>
      <c r="AQ666" s="11"/>
    </row>
    <row r="667" spans="1:43" x14ac:dyDescent="0.25">
      <c r="A667" s="44" t="str">
        <f t="shared" si="13"/>
        <v>HELICOPTER_GUNSHIP_SPAIN</v>
      </c>
      <c r="B667" s="9" t="s">
        <v>758</v>
      </c>
      <c r="C667" s="4" t="s">
        <v>738</v>
      </c>
      <c r="E667" s="4" t="s">
        <v>758</v>
      </c>
      <c r="F667" s="4" t="s">
        <v>793</v>
      </c>
      <c r="G667" s="14" t="s">
        <v>132</v>
      </c>
      <c r="H667" s="4" t="s">
        <v>652</v>
      </c>
      <c r="I667" s="4" t="s">
        <v>1050</v>
      </c>
      <c r="AL667" s="11"/>
      <c r="AM667" s="11"/>
      <c r="AN667" s="11"/>
      <c r="AO667" s="11"/>
      <c r="AP667" s="11"/>
      <c r="AQ667" s="11"/>
    </row>
    <row r="668" spans="1:43" x14ac:dyDescent="0.25">
      <c r="A668" s="44" t="str">
        <f t="shared" si="13"/>
        <v>HELICOPTER_GUNSHIP_MIDEAST</v>
      </c>
      <c r="B668" s="9" t="s">
        <v>758</v>
      </c>
      <c r="C668" s="4" t="s">
        <v>690</v>
      </c>
      <c r="E668" s="4" t="s">
        <v>758</v>
      </c>
      <c r="F668" s="4" t="s">
        <v>793</v>
      </c>
      <c r="G668" s="14" t="s">
        <v>132</v>
      </c>
      <c r="H668" s="4" t="s">
        <v>228</v>
      </c>
      <c r="I668" s="4" t="s">
        <v>120</v>
      </c>
      <c r="AL668" s="11"/>
      <c r="AM668" s="11"/>
      <c r="AN668" s="11"/>
      <c r="AO668" s="11"/>
      <c r="AP668" s="11"/>
      <c r="AQ668" s="11"/>
    </row>
    <row r="669" spans="1:43" x14ac:dyDescent="0.25">
      <c r="A669" s="44" t="str">
        <f t="shared" si="13"/>
        <v>HELICOPTER_GUNSHIP_ARABIA</v>
      </c>
      <c r="B669" s="9" t="s">
        <v>758</v>
      </c>
      <c r="C669" s="4" t="s">
        <v>700</v>
      </c>
      <c r="D669" s="14"/>
      <c r="E669" s="4" t="s">
        <v>758</v>
      </c>
      <c r="F669" s="4" t="s">
        <v>793</v>
      </c>
      <c r="G669" s="14"/>
      <c r="H669" s="4" t="s">
        <v>161</v>
      </c>
      <c r="I669" s="4" t="s">
        <v>120</v>
      </c>
      <c r="AL669" s="11"/>
      <c r="AM669" s="11"/>
      <c r="AN669" s="11"/>
      <c r="AO669" s="11"/>
      <c r="AP669" s="11"/>
      <c r="AQ669" s="11"/>
    </row>
    <row r="670" spans="1:43" x14ac:dyDescent="0.25">
      <c r="A670" s="44" t="str">
        <f t="shared" si="13"/>
        <v>HELICOPTER_GUNSHIP_BABYLON</v>
      </c>
      <c r="B670" s="9" t="s">
        <v>758</v>
      </c>
      <c r="C670" s="4" t="s">
        <v>703</v>
      </c>
      <c r="E670" s="4" t="s">
        <v>758</v>
      </c>
      <c r="F670" s="4" t="s">
        <v>793</v>
      </c>
      <c r="G670" s="14"/>
      <c r="H670" s="4" t="s">
        <v>208</v>
      </c>
      <c r="I670" s="4" t="s">
        <v>120</v>
      </c>
      <c r="AL670" s="11"/>
      <c r="AM670" s="11"/>
      <c r="AN670" s="11"/>
      <c r="AO670" s="11"/>
      <c r="AP670" s="11"/>
      <c r="AQ670" s="11"/>
    </row>
    <row r="671" spans="1:43" x14ac:dyDescent="0.25">
      <c r="A671" s="44" t="str">
        <f t="shared" si="13"/>
        <v>HELICOPTER_GUNSHIP_EGYPT</v>
      </c>
      <c r="B671" s="9" t="s">
        <v>758</v>
      </c>
      <c r="C671" s="4" t="s">
        <v>712</v>
      </c>
      <c r="E671" s="4" t="s">
        <v>758</v>
      </c>
      <c r="F671" s="4" t="s">
        <v>793</v>
      </c>
      <c r="G671" s="14" t="s">
        <v>132</v>
      </c>
      <c r="H671" s="4" t="s">
        <v>279</v>
      </c>
      <c r="I671" s="4" t="s">
        <v>120</v>
      </c>
      <c r="AL671" s="11"/>
      <c r="AM671" s="11"/>
      <c r="AN671" s="11"/>
      <c r="AO671" s="11"/>
      <c r="AP671" s="11"/>
      <c r="AQ671" s="11"/>
    </row>
    <row r="672" spans="1:43" x14ac:dyDescent="0.25">
      <c r="A672" s="44" t="str">
        <f t="shared" si="13"/>
        <v>HELICOPTER_GUNSHIP_LEVANT</v>
      </c>
      <c r="B672" s="9" t="s">
        <v>758</v>
      </c>
      <c r="C672" s="4" t="s">
        <v>724</v>
      </c>
      <c r="D672" s="4" t="s">
        <v>699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44" t="str">
        <f>CONCATENATE(E673,IF(ISBLANK(C673),"",CONCATENATE("_",C673)))</f>
        <v>HELICOPTER_GUNSHIP_NORTHAF</v>
      </c>
      <c r="B673" s="9" t="s">
        <v>758</v>
      </c>
      <c r="C673" s="4" t="s">
        <v>2003</v>
      </c>
      <c r="D673" s="4" t="s">
        <v>690</v>
      </c>
      <c r="E673" s="4" t="s">
        <v>758</v>
      </c>
      <c r="F673" s="4" t="s">
        <v>793</v>
      </c>
      <c r="G673" s="14" t="s">
        <v>132</v>
      </c>
      <c r="AL673" s="11"/>
      <c r="AM673" s="11"/>
      <c r="AN673" s="11"/>
      <c r="AO673" s="11"/>
      <c r="AP673" s="11"/>
      <c r="AQ673" s="11"/>
    </row>
    <row r="674" spans="1:43" x14ac:dyDescent="0.25">
      <c r="A674" s="44" t="str">
        <f t="shared" si="13"/>
        <v>HELICOPTER_GUNSHIP_SWEDEN</v>
      </c>
      <c r="B674" s="9" t="s">
        <v>758</v>
      </c>
      <c r="C674" s="4" t="s">
        <v>739</v>
      </c>
      <c r="E674" s="4" t="s">
        <v>758</v>
      </c>
      <c r="F674" s="4" t="s">
        <v>793</v>
      </c>
      <c r="G674" s="14" t="s">
        <v>132</v>
      </c>
      <c r="H674" s="4" t="s">
        <v>671</v>
      </c>
      <c r="I674" s="4" t="s">
        <v>1050</v>
      </c>
      <c r="AL674" s="11"/>
      <c r="AM674" s="11"/>
      <c r="AN674" s="11"/>
      <c r="AO674" s="11"/>
      <c r="AP674" s="11"/>
      <c r="AQ674" s="11"/>
    </row>
    <row r="675" spans="1:43" x14ac:dyDescent="0.25">
      <c r="A675" s="44" t="str">
        <f t="shared" si="13"/>
        <v>HELICOPTER_GUNSHIP_OCEAN</v>
      </c>
      <c r="B675" s="9" t="s">
        <v>758</v>
      </c>
      <c r="C675" s="4" t="s">
        <v>994</v>
      </c>
      <c r="D675" s="4" t="s">
        <v>699</v>
      </c>
      <c r="E675" s="4" t="s">
        <v>758</v>
      </c>
      <c r="F675" s="4" t="s">
        <v>793</v>
      </c>
      <c r="G675" s="14"/>
      <c r="AL675" s="11"/>
      <c r="AM675" s="11"/>
      <c r="AN675" s="11"/>
      <c r="AO675" s="11"/>
      <c r="AP675" s="11"/>
      <c r="AQ675" s="11"/>
    </row>
    <row r="676" spans="1:43" x14ac:dyDescent="0.25">
      <c r="A676" s="44" t="str">
        <f t="shared" si="13"/>
        <v>HELICOPTER_GUNSHIP_SAHUL</v>
      </c>
      <c r="B676" s="9" t="s">
        <v>758</v>
      </c>
      <c r="C676" s="4" t="s">
        <v>1785</v>
      </c>
      <c r="D676" s="4" t="s">
        <v>1300</v>
      </c>
      <c r="E676" s="4" t="s">
        <v>758</v>
      </c>
      <c r="F676" s="4" t="s">
        <v>793</v>
      </c>
      <c r="G676" s="14"/>
      <c r="AL676" s="11"/>
      <c r="AM676" s="11"/>
      <c r="AN676" s="11"/>
      <c r="AO676" s="11"/>
      <c r="AP676" s="11"/>
      <c r="AQ676" s="11"/>
    </row>
    <row r="677" spans="1:43" x14ac:dyDescent="0.25">
      <c r="A677" s="44" t="str">
        <f t="shared" si="13"/>
        <v>HELICOPTER_GUNSHIP_SEASIA</v>
      </c>
      <c r="B677" s="9" t="s">
        <v>758</v>
      </c>
      <c r="C677" s="4" t="s">
        <v>696</v>
      </c>
      <c r="D677" s="4" t="s">
        <v>715</v>
      </c>
      <c r="E677" s="4" t="s">
        <v>758</v>
      </c>
      <c r="F677" s="4" t="s">
        <v>793</v>
      </c>
      <c r="G677" s="14"/>
      <c r="AL677" s="11"/>
      <c r="AM677" s="11"/>
      <c r="AN677" s="11"/>
      <c r="AO677" s="11"/>
      <c r="AP677" s="11"/>
      <c r="AQ677" s="11"/>
    </row>
    <row r="678" spans="1:43" x14ac:dyDescent="0.25">
      <c r="A678" s="44" t="str">
        <f t="shared" si="13"/>
        <v>HELICOPTER_GUNSHIP_SOUTHAM</v>
      </c>
      <c r="B678" s="9" t="s">
        <v>758</v>
      </c>
      <c r="C678" s="4" t="s">
        <v>691</v>
      </c>
      <c r="D678" s="4" t="s">
        <v>693</v>
      </c>
      <c r="E678" s="4" t="s">
        <v>758</v>
      </c>
      <c r="F678" s="4" t="s">
        <v>793</v>
      </c>
      <c r="AL678" s="11"/>
      <c r="AM678" s="11"/>
      <c r="AN678" s="11"/>
      <c r="AO678" s="11"/>
      <c r="AP678" s="11"/>
      <c r="AQ678" s="11"/>
    </row>
    <row r="679" spans="1:43" x14ac:dyDescent="0.25">
      <c r="A679" s="44" t="str">
        <f t="shared" si="13"/>
        <v>HELICOPTER_GUNSHIP_AZTEC</v>
      </c>
      <c r="B679" s="9" t="s">
        <v>758</v>
      </c>
      <c r="C679" s="4" t="s">
        <v>702</v>
      </c>
      <c r="E679" s="4" t="s">
        <v>758</v>
      </c>
      <c r="F679" s="4" t="s">
        <v>793</v>
      </c>
      <c r="G679" s="14"/>
      <c r="H679" s="4" t="s">
        <v>195</v>
      </c>
      <c r="I679" s="4" t="s">
        <v>120</v>
      </c>
      <c r="AL679" s="11"/>
      <c r="AM679" s="11"/>
      <c r="AN679" s="11"/>
      <c r="AO679" s="11"/>
      <c r="AP679" s="11"/>
      <c r="AQ679" s="11"/>
    </row>
    <row r="680" spans="1:43" x14ac:dyDescent="0.25">
      <c r="A680" s="44" t="str">
        <f t="shared" si="13"/>
        <v>HELICOPTER_GUNSHIP_SOUTHAS</v>
      </c>
      <c r="B680" s="9" t="s">
        <v>758</v>
      </c>
      <c r="C680" s="4" t="s">
        <v>695</v>
      </c>
      <c r="D680" s="4" t="s">
        <v>698</v>
      </c>
      <c r="E680" s="4" t="s">
        <v>758</v>
      </c>
      <c r="F680" s="4" t="s">
        <v>793</v>
      </c>
      <c r="AL680" s="11"/>
      <c r="AM680" s="11"/>
      <c r="AN680" s="11"/>
      <c r="AO680" s="11"/>
      <c r="AP680" s="11"/>
      <c r="AQ680" s="11"/>
    </row>
    <row r="681" spans="1:43" x14ac:dyDescent="0.25">
      <c r="A681" s="44" t="str">
        <f t="shared" si="13"/>
        <v>HELICOPTER_GUNSHIP_INDIA</v>
      </c>
      <c r="B681" s="9" t="s">
        <v>758</v>
      </c>
      <c r="C681" s="4" t="s">
        <v>720</v>
      </c>
      <c r="E681" s="4" t="s">
        <v>758</v>
      </c>
      <c r="F681" s="4" t="s">
        <v>793</v>
      </c>
      <c r="H681" s="4" t="s">
        <v>433</v>
      </c>
      <c r="I681" s="4" t="s">
        <v>120</v>
      </c>
      <c r="AL681" s="11"/>
      <c r="AM681" s="11"/>
      <c r="AN681" s="11"/>
      <c r="AO681" s="11"/>
      <c r="AP681" s="11"/>
      <c r="AQ681" s="11"/>
    </row>
    <row r="682" spans="1:43" x14ac:dyDescent="0.25">
      <c r="A682" s="44" t="str">
        <f t="shared" si="13"/>
        <v>HORSEMAN</v>
      </c>
      <c r="B682" s="9" t="s">
        <v>112</v>
      </c>
      <c r="C682" s="5"/>
      <c r="D682" s="5"/>
      <c r="E682" s="5" t="s">
        <v>112</v>
      </c>
      <c r="F682" s="5" t="s">
        <v>112</v>
      </c>
      <c r="G682" s="5"/>
      <c r="H682" s="5" t="s">
        <v>30</v>
      </c>
      <c r="I682" s="5" t="s">
        <v>128</v>
      </c>
      <c r="J682" s="6"/>
      <c r="K682" s="6"/>
      <c r="L682" s="13" t="s">
        <v>1711</v>
      </c>
      <c r="M682" s="8"/>
      <c r="N682" s="5"/>
      <c r="O682" s="5"/>
      <c r="P682" s="5"/>
      <c r="Q682" s="7" t="s">
        <v>1692</v>
      </c>
      <c r="R682" s="6" t="s">
        <v>1692</v>
      </c>
      <c r="S682" s="13" t="s">
        <v>1692</v>
      </c>
      <c r="T682" s="6"/>
      <c r="U682" s="6" t="s">
        <v>1692</v>
      </c>
      <c r="V682" s="5"/>
      <c r="W682" s="6" t="s">
        <v>3</v>
      </c>
      <c r="X682" s="6" t="s">
        <v>3</v>
      </c>
      <c r="Y682" s="5"/>
      <c r="Z682" s="7">
        <v>1</v>
      </c>
      <c r="AA682" s="6"/>
      <c r="AB682" s="5"/>
      <c r="AC682" s="6"/>
      <c r="AD682" s="6" t="s">
        <v>3</v>
      </c>
      <c r="AE682" s="5"/>
      <c r="AF682" s="7" t="s">
        <v>1692</v>
      </c>
      <c r="AG682" s="6"/>
      <c r="AH682" s="5"/>
      <c r="AI682" s="6"/>
      <c r="AJ682" s="6"/>
      <c r="AK682" s="5"/>
      <c r="AL682" s="6"/>
      <c r="AM682" s="6"/>
      <c r="AN682" s="6"/>
      <c r="AO682" s="6"/>
      <c r="AP682" s="6"/>
      <c r="AQ682" s="6"/>
    </row>
    <row r="683" spans="1:43" x14ac:dyDescent="0.25">
      <c r="A683" s="44" t="str">
        <f t="shared" si="13"/>
        <v>HORSEMAN_AFRI</v>
      </c>
      <c r="B683" s="9" t="s">
        <v>112</v>
      </c>
      <c r="C683" s="4" t="s">
        <v>694</v>
      </c>
      <c r="E683" s="4" t="s">
        <v>112</v>
      </c>
      <c r="F683" s="4" t="s">
        <v>112</v>
      </c>
      <c r="H683" s="4" t="s">
        <v>683</v>
      </c>
      <c r="I683" s="4" t="s">
        <v>1793</v>
      </c>
      <c r="Q683" s="11">
        <v>1</v>
      </c>
      <c r="T683" s="11">
        <v>1</v>
      </c>
      <c r="Z683" s="11">
        <v>1</v>
      </c>
      <c r="AF683" s="11">
        <v>1</v>
      </c>
      <c r="AL683" s="11"/>
      <c r="AM683" s="11"/>
      <c r="AN683" s="11"/>
      <c r="AO683" s="11"/>
      <c r="AP683" s="11"/>
      <c r="AQ683" s="11"/>
    </row>
    <row r="684" spans="1:43" x14ac:dyDescent="0.25">
      <c r="A684" s="44" t="str">
        <f>CONCATENATE(E684,IF(ISBLANK(C684),"",CONCATENATE("_",C684)))</f>
        <v>HORSEMAN_AFRI</v>
      </c>
      <c r="B684" s="9" t="s">
        <v>112</v>
      </c>
      <c r="C684" s="4" t="s">
        <v>694</v>
      </c>
      <c r="E684" s="4" t="s">
        <v>112</v>
      </c>
      <c r="F684" s="4" t="s">
        <v>112</v>
      </c>
      <c r="G684" s="4" t="s">
        <v>2039</v>
      </c>
      <c r="H684" s="4" t="s">
        <v>1794</v>
      </c>
      <c r="I684" s="4" t="s">
        <v>1793</v>
      </c>
      <c r="Q684" s="11">
        <v>2</v>
      </c>
      <c r="T684" s="11">
        <v>2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44" t="str">
        <f>CONCATENATE(E685,IF(ISBLANK(C685),"",CONCATENATE("_",C685)))</f>
        <v>HORSEMAN_AFRI</v>
      </c>
      <c r="B685" s="9" t="s">
        <v>112</v>
      </c>
      <c r="C685" s="4" t="s">
        <v>694</v>
      </c>
      <c r="E685" s="4" t="s">
        <v>112</v>
      </c>
      <c r="F685" s="4" t="s">
        <v>112</v>
      </c>
      <c r="H685" s="4" t="s">
        <v>683</v>
      </c>
      <c r="I685" s="4" t="s">
        <v>1793</v>
      </c>
      <c r="Q685" s="11">
        <v>1</v>
      </c>
      <c r="T685" s="11">
        <v>2</v>
      </c>
      <c r="Z685" s="11">
        <v>0</v>
      </c>
      <c r="AF685" s="11">
        <v>1</v>
      </c>
      <c r="AL685" s="11"/>
      <c r="AM685" s="11"/>
      <c r="AN685" s="11"/>
      <c r="AO685" s="11"/>
      <c r="AP685" s="11"/>
      <c r="AQ685" s="11"/>
    </row>
    <row r="686" spans="1:43" x14ac:dyDescent="0.25">
      <c r="A686" s="44" t="str">
        <f>CONCATENATE(E686,IF(ISBLANK(C686),"",CONCATENATE("_",C686)))</f>
        <v>HORSEMAN_AFRI</v>
      </c>
      <c r="B686" s="9" t="s">
        <v>112</v>
      </c>
      <c r="C686" s="4" t="s">
        <v>694</v>
      </c>
      <c r="E686" s="4" t="s">
        <v>112</v>
      </c>
      <c r="F686" s="4" t="s">
        <v>112</v>
      </c>
      <c r="G686" s="4" t="s">
        <v>2039</v>
      </c>
      <c r="H686" s="4" t="s">
        <v>1794</v>
      </c>
      <c r="I686" s="4" t="s">
        <v>1793</v>
      </c>
      <c r="Q686" s="11">
        <v>1</v>
      </c>
      <c r="T686" s="11">
        <v>2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44" t="str">
        <f t="shared" si="13"/>
        <v>HORSEMAN_ETHIOPIA</v>
      </c>
      <c r="B687" s="9" t="s">
        <v>112</v>
      </c>
      <c r="C687" s="4" t="s">
        <v>714</v>
      </c>
      <c r="E687" s="4" t="s">
        <v>112</v>
      </c>
      <c r="F687" s="4" t="s">
        <v>112</v>
      </c>
      <c r="G687" s="14" t="s">
        <v>132</v>
      </c>
      <c r="H687" s="4" t="s">
        <v>323</v>
      </c>
      <c r="I687" s="4" t="s">
        <v>1025</v>
      </c>
      <c r="Q687" s="11" t="s">
        <v>1692</v>
      </c>
      <c r="T687" s="11" t="s">
        <v>1692</v>
      </c>
      <c r="W687" s="11" t="s">
        <v>3</v>
      </c>
      <c r="Z687" s="11">
        <v>1</v>
      </c>
      <c r="AD687" s="11" t="s">
        <v>3</v>
      </c>
      <c r="AF687" s="11" t="s">
        <v>1692</v>
      </c>
      <c r="AL687" s="11"/>
      <c r="AM687" s="11"/>
      <c r="AN687" s="11"/>
      <c r="AO687" s="11"/>
      <c r="AP687" s="11"/>
      <c r="AQ687" s="11"/>
    </row>
    <row r="688" spans="1:43" x14ac:dyDescent="0.25">
      <c r="A688" s="44" t="str">
        <f t="shared" si="13"/>
        <v>HORSEMAN_SONGHAI</v>
      </c>
      <c r="B688" s="9" t="s">
        <v>112</v>
      </c>
      <c r="C688" s="4" t="s">
        <v>737</v>
      </c>
      <c r="E688" s="4" t="s">
        <v>112</v>
      </c>
      <c r="F688" s="4" t="s">
        <v>112</v>
      </c>
      <c r="G688" s="14"/>
      <c r="H688" s="4" t="s">
        <v>1961</v>
      </c>
      <c r="I688" s="4" t="s">
        <v>1025</v>
      </c>
      <c r="Q688" s="11">
        <v>1</v>
      </c>
      <c r="T688" s="11">
        <v>1</v>
      </c>
      <c r="Z688" s="11">
        <v>0</v>
      </c>
      <c r="AF688" s="11">
        <v>1</v>
      </c>
      <c r="AL688" s="11"/>
      <c r="AM688" s="11"/>
      <c r="AN688" s="11"/>
      <c r="AO688" s="11"/>
      <c r="AP688" s="11"/>
      <c r="AQ688" s="11"/>
    </row>
    <row r="689" spans="1:43" x14ac:dyDescent="0.25">
      <c r="A689" s="44" t="str">
        <f>CONCATENATE(E689,IF(ISBLANK(C689),"",CONCATENATE("_",C689)))</f>
        <v>HORSEMAN_SONGHAI</v>
      </c>
      <c r="B689" s="9" t="s">
        <v>112</v>
      </c>
      <c r="C689" s="4" t="s">
        <v>737</v>
      </c>
      <c r="E689" s="4" t="s">
        <v>112</v>
      </c>
      <c r="F689" s="4" t="s">
        <v>112</v>
      </c>
      <c r="G689" s="14" t="s">
        <v>2039</v>
      </c>
      <c r="H689" s="4" t="s">
        <v>1978</v>
      </c>
      <c r="I689" s="4" t="s">
        <v>1025</v>
      </c>
      <c r="Q689" s="11">
        <v>3</v>
      </c>
      <c r="T689" s="11">
        <v>2</v>
      </c>
      <c r="Z689" s="11">
        <v>1</v>
      </c>
      <c r="AF689" s="11">
        <v>2</v>
      </c>
      <c r="AL689" s="11"/>
      <c r="AM689" s="11"/>
      <c r="AN689" s="11"/>
      <c r="AO689" s="11"/>
      <c r="AP689" s="11"/>
      <c r="AQ689" s="11"/>
    </row>
    <row r="690" spans="1:43" x14ac:dyDescent="0.25">
      <c r="A690" s="44" t="str">
        <f>CONCATENATE(E690,IF(ISBLANK(C690),"",CONCATENATE("_",C690)))</f>
        <v>HORSEMAN_SONGHAI</v>
      </c>
      <c r="B690" s="9" t="s">
        <v>112</v>
      </c>
      <c r="C690" s="4" t="s">
        <v>737</v>
      </c>
      <c r="E690" s="4" t="s">
        <v>112</v>
      </c>
      <c r="F690" s="4" t="s">
        <v>112</v>
      </c>
      <c r="G690" s="14"/>
      <c r="H690" s="4" t="s">
        <v>1961</v>
      </c>
      <c r="I690" s="4" t="s">
        <v>1025</v>
      </c>
      <c r="Q690" s="11">
        <v>1</v>
      </c>
      <c r="T690" s="11">
        <v>1</v>
      </c>
      <c r="Z690" s="11">
        <v>0</v>
      </c>
      <c r="AF690" s="11">
        <v>0</v>
      </c>
      <c r="AL690" s="11"/>
      <c r="AM690" s="11"/>
      <c r="AN690" s="11"/>
      <c r="AO690" s="11"/>
      <c r="AP690" s="11"/>
      <c r="AQ690" s="11"/>
    </row>
    <row r="691" spans="1:43" x14ac:dyDescent="0.25">
      <c r="A691" s="44" t="str">
        <f>CONCATENATE(E691,IF(ISBLANK(C691),"",CONCATENATE("_",C691)))</f>
        <v>HORSEMAN_SONGHAI</v>
      </c>
      <c r="B691" s="9" t="s">
        <v>112</v>
      </c>
      <c r="C691" s="4" t="s">
        <v>737</v>
      </c>
      <c r="E691" s="4" t="s">
        <v>112</v>
      </c>
      <c r="F691" s="4" t="s">
        <v>112</v>
      </c>
      <c r="G691" s="14" t="s">
        <v>2039</v>
      </c>
      <c r="H691" s="4" t="s">
        <v>1978</v>
      </c>
      <c r="I691" s="4" t="s">
        <v>1025</v>
      </c>
      <c r="Q691" s="11">
        <v>0</v>
      </c>
      <c r="T691" s="11">
        <v>3</v>
      </c>
      <c r="Z691" s="11">
        <v>0</v>
      </c>
      <c r="AF691" s="11">
        <v>0</v>
      </c>
      <c r="AL691" s="11"/>
      <c r="AM691" s="11"/>
      <c r="AN691" s="11"/>
      <c r="AO691" s="11"/>
      <c r="AP691" s="11"/>
      <c r="AQ691" s="11"/>
    </row>
    <row r="692" spans="1:43" x14ac:dyDescent="0.25">
      <c r="A692" s="44" t="str">
        <f t="shared" si="13"/>
        <v>HORSEMAN_AMER</v>
      </c>
      <c r="B692" s="9" t="s">
        <v>112</v>
      </c>
      <c r="C692" s="4" t="s">
        <v>697</v>
      </c>
      <c r="E692" s="4" t="s">
        <v>112</v>
      </c>
      <c r="F692" s="4" t="s">
        <v>112</v>
      </c>
      <c r="H692" s="4" t="s">
        <v>462</v>
      </c>
      <c r="I692" s="4" t="s">
        <v>835</v>
      </c>
      <c r="AL692" s="11"/>
      <c r="AM692" s="11"/>
      <c r="AN692" s="11"/>
      <c r="AO692" s="11"/>
      <c r="AP692" s="11"/>
      <c r="AQ692" s="11"/>
    </row>
    <row r="693" spans="1:43" x14ac:dyDescent="0.25">
      <c r="A693" s="44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H693" s="4" t="s">
        <v>934</v>
      </c>
      <c r="I693" s="4" t="s">
        <v>835</v>
      </c>
      <c r="Q693" s="11">
        <v>1</v>
      </c>
      <c r="T693" s="11">
        <v>1</v>
      </c>
      <c r="Z693" s="11">
        <v>0</v>
      </c>
      <c r="AF693" s="11">
        <v>1</v>
      </c>
      <c r="AL693" s="11"/>
      <c r="AM693" s="11"/>
      <c r="AN693" s="11"/>
      <c r="AO693" s="11"/>
      <c r="AP693" s="11"/>
      <c r="AQ693" s="11"/>
    </row>
    <row r="694" spans="1:43" x14ac:dyDescent="0.25">
      <c r="A694" s="44" t="str">
        <f t="shared" si="13"/>
        <v>HORSEMAN_IROQUOIS</v>
      </c>
      <c r="B694" s="9" t="s">
        <v>112</v>
      </c>
      <c r="C694" s="4" t="s">
        <v>721</v>
      </c>
      <c r="E694" s="4" t="s">
        <v>112</v>
      </c>
      <c r="F694" s="4" t="s">
        <v>112</v>
      </c>
      <c r="G694" s="4" t="s">
        <v>2039</v>
      </c>
      <c r="H694" s="4" t="s">
        <v>935</v>
      </c>
      <c r="I694" s="4" t="s">
        <v>835</v>
      </c>
      <c r="Q694" s="11">
        <v>1</v>
      </c>
      <c r="T694" s="11">
        <v>2</v>
      </c>
      <c r="Z694" s="11">
        <v>1</v>
      </c>
      <c r="AF694" s="11">
        <v>1</v>
      </c>
      <c r="AL694" s="11"/>
      <c r="AM694" s="11"/>
      <c r="AN694" s="11"/>
      <c r="AO694" s="11"/>
      <c r="AP694" s="11"/>
      <c r="AQ694" s="11"/>
    </row>
    <row r="695" spans="1:43" x14ac:dyDescent="0.25">
      <c r="A695" s="44" t="str">
        <f t="shared" si="13"/>
        <v>HORSEMAN_IROQUOIS</v>
      </c>
      <c r="B695" s="9" t="s">
        <v>112</v>
      </c>
      <c r="C695" s="4" t="s">
        <v>721</v>
      </c>
      <c r="E695" s="4" t="s">
        <v>112</v>
      </c>
      <c r="F695" s="4" t="s">
        <v>112</v>
      </c>
      <c r="G695" s="4" t="s">
        <v>2041</v>
      </c>
      <c r="H695" s="4" t="s">
        <v>936</v>
      </c>
      <c r="I695" s="4" t="s">
        <v>835</v>
      </c>
      <c r="Q695" s="11">
        <v>1</v>
      </c>
      <c r="T695" s="11">
        <v>1</v>
      </c>
      <c r="Z695" s="11">
        <v>0</v>
      </c>
      <c r="AF695" s="11">
        <v>1</v>
      </c>
      <c r="AL695" s="11"/>
      <c r="AM695" s="11"/>
      <c r="AN695" s="11"/>
      <c r="AO695" s="11"/>
      <c r="AP695" s="11"/>
      <c r="AQ695" s="11"/>
    </row>
    <row r="696" spans="1:43" x14ac:dyDescent="0.25">
      <c r="A696" s="44" t="str">
        <f t="shared" si="13"/>
        <v>HORSEMAN_IROQUOIS</v>
      </c>
      <c r="B696" s="9" t="s">
        <v>112</v>
      </c>
      <c r="C696" s="4" t="s">
        <v>721</v>
      </c>
      <c r="E696" s="4" t="s">
        <v>112</v>
      </c>
      <c r="F696" s="4" t="s">
        <v>112</v>
      </c>
      <c r="G696" s="4" t="s">
        <v>2040</v>
      </c>
      <c r="H696" s="4" t="s">
        <v>937</v>
      </c>
      <c r="I696" s="4" t="s">
        <v>835</v>
      </c>
      <c r="Q696" s="9">
        <v>1</v>
      </c>
      <c r="T696" s="11">
        <v>1</v>
      </c>
      <c r="Z696" s="9">
        <v>0</v>
      </c>
      <c r="AF696" s="11">
        <v>0</v>
      </c>
      <c r="AL696" s="11"/>
      <c r="AM696" s="11"/>
      <c r="AN696" s="11"/>
      <c r="AO696" s="11"/>
      <c r="AP696" s="11"/>
      <c r="AQ696" s="11"/>
    </row>
    <row r="697" spans="1:43" x14ac:dyDescent="0.25">
      <c r="A697" s="44" t="str">
        <f t="shared" si="13"/>
        <v>HORSEMAN_IROQUOIS</v>
      </c>
      <c r="B697" s="9" t="s">
        <v>112</v>
      </c>
      <c r="C697" s="4" t="s">
        <v>721</v>
      </c>
      <c r="E697" s="4" t="s">
        <v>112</v>
      </c>
      <c r="F697" s="4" t="s">
        <v>112</v>
      </c>
      <c r="G697" s="4" t="s">
        <v>2050</v>
      </c>
      <c r="H697" s="4" t="s">
        <v>462</v>
      </c>
      <c r="I697" s="4" t="s">
        <v>835</v>
      </c>
      <c r="Q697" s="9">
        <v>1</v>
      </c>
      <c r="T697" s="11">
        <v>2</v>
      </c>
      <c r="Z697" s="9">
        <v>0</v>
      </c>
      <c r="AF697" s="11">
        <v>0</v>
      </c>
      <c r="AL697" s="11"/>
      <c r="AM697" s="11"/>
      <c r="AN697" s="11"/>
      <c r="AO697" s="11"/>
      <c r="AP697" s="11"/>
      <c r="AQ697" s="11"/>
    </row>
    <row r="698" spans="1:43" x14ac:dyDescent="0.25">
      <c r="A698" s="44" t="str">
        <f t="shared" si="13"/>
        <v>HORSEMAN_ASIA</v>
      </c>
      <c r="B698" s="9" t="s">
        <v>112</v>
      </c>
      <c r="C698" s="4" t="s">
        <v>693</v>
      </c>
      <c r="E698" s="4" t="s">
        <v>112</v>
      </c>
      <c r="F698" s="4" t="s">
        <v>112</v>
      </c>
      <c r="H698" s="4" t="s">
        <v>448</v>
      </c>
      <c r="I698" s="4" t="s">
        <v>102</v>
      </c>
      <c r="AL698" s="11"/>
      <c r="AM698" s="11"/>
      <c r="AN698" s="11"/>
      <c r="AO698" s="11"/>
      <c r="AP698" s="11"/>
      <c r="AQ698" s="11"/>
    </row>
    <row r="699" spans="1:43" x14ac:dyDescent="0.25">
      <c r="A699" s="44" t="str">
        <f t="shared" si="13"/>
        <v>HORSEMAN_CHINA</v>
      </c>
      <c r="B699" s="9" t="s">
        <v>112</v>
      </c>
      <c r="C699" s="4" t="s">
        <v>710</v>
      </c>
      <c r="E699" s="4" t="s">
        <v>112</v>
      </c>
      <c r="F699" s="4" t="s">
        <v>112</v>
      </c>
      <c r="G699" s="14" t="s">
        <v>132</v>
      </c>
      <c r="H699" s="4" t="s">
        <v>248</v>
      </c>
      <c r="I699" s="4" t="s">
        <v>102</v>
      </c>
      <c r="AL699" s="11"/>
      <c r="AM699" s="11"/>
      <c r="AN699" s="11"/>
      <c r="AO699" s="11"/>
      <c r="AP699" s="11"/>
      <c r="AQ699" s="11"/>
    </row>
    <row r="700" spans="1:43" x14ac:dyDescent="0.25">
      <c r="A700" s="44" t="str">
        <f t="shared" si="13"/>
        <v>HORSEMAN_JAPAN</v>
      </c>
      <c r="B700" s="9" t="s">
        <v>112</v>
      </c>
      <c r="C700" s="4" t="s">
        <v>722</v>
      </c>
      <c r="E700" s="4" t="s">
        <v>112</v>
      </c>
      <c r="F700" s="4" t="s">
        <v>112</v>
      </c>
      <c r="G700" s="14" t="s">
        <v>132</v>
      </c>
      <c r="H700" s="4" t="s">
        <v>480</v>
      </c>
      <c r="I700" s="4" t="s">
        <v>102</v>
      </c>
      <c r="AL700" s="11"/>
      <c r="AM700" s="11"/>
      <c r="AN700" s="11"/>
      <c r="AO700" s="11"/>
      <c r="AP700" s="11"/>
      <c r="AQ700" s="11"/>
    </row>
    <row r="701" spans="1:43" x14ac:dyDescent="0.25">
      <c r="A701" s="44" t="str">
        <f t="shared" si="13"/>
        <v>HORSEMAN_KOREA</v>
      </c>
      <c r="B701" s="9" t="s">
        <v>112</v>
      </c>
      <c r="C701" s="4" t="s">
        <v>723</v>
      </c>
      <c r="E701" s="4" t="s">
        <v>112</v>
      </c>
      <c r="F701" s="4" t="s">
        <v>112</v>
      </c>
      <c r="G701" s="14" t="s">
        <v>132</v>
      </c>
      <c r="H701" s="4" t="s">
        <v>498</v>
      </c>
      <c r="I701" s="4" t="s">
        <v>102</v>
      </c>
      <c r="AL701" s="11"/>
      <c r="AM701" s="11"/>
      <c r="AN701" s="11"/>
      <c r="AO701" s="11"/>
      <c r="AP701" s="11"/>
      <c r="AQ701" s="11"/>
    </row>
    <row r="702" spans="1:43" x14ac:dyDescent="0.25">
      <c r="A702" s="44" t="str">
        <f t="shared" si="13"/>
        <v>HORSEMAN_MONGOL</v>
      </c>
      <c r="B702" s="9" t="s">
        <v>112</v>
      </c>
      <c r="C702" s="4" t="s">
        <v>728</v>
      </c>
      <c r="E702" s="4" t="s">
        <v>112</v>
      </c>
      <c r="F702" s="4" t="s">
        <v>112</v>
      </c>
      <c r="G702" s="14" t="s">
        <v>132</v>
      </c>
      <c r="H702" s="4" t="s">
        <v>529</v>
      </c>
      <c r="I702" s="4" t="s">
        <v>2089</v>
      </c>
      <c r="AL702" s="11"/>
      <c r="AM702" s="11"/>
      <c r="AN702" s="11"/>
      <c r="AO702" s="11"/>
      <c r="AP702" s="11"/>
      <c r="AQ702" s="11"/>
    </row>
    <row r="703" spans="1:43" x14ac:dyDescent="0.25">
      <c r="A703" s="44" t="str">
        <f t="shared" si="13"/>
        <v>HORSEMAN_CENTAS</v>
      </c>
      <c r="B703" s="9" t="s">
        <v>112</v>
      </c>
      <c r="C703" s="4" t="s">
        <v>918</v>
      </c>
      <c r="E703" s="4" t="s">
        <v>112</v>
      </c>
      <c r="F703" s="4" t="s">
        <v>112</v>
      </c>
      <c r="G703" s="14" t="s">
        <v>132</v>
      </c>
      <c r="H703" s="4" t="s">
        <v>907</v>
      </c>
      <c r="I703" s="4" t="s">
        <v>1063</v>
      </c>
      <c r="AL703" s="11"/>
      <c r="AM703" s="11"/>
      <c r="AN703" s="11"/>
      <c r="AO703" s="11"/>
      <c r="AP703" s="11"/>
      <c r="AQ703" s="11"/>
    </row>
    <row r="704" spans="1:43" x14ac:dyDescent="0.25">
      <c r="A704" s="44" t="str">
        <f t="shared" si="13"/>
        <v>HORSEMAN_OTTOMAN</v>
      </c>
      <c r="B704" s="9" t="s">
        <v>112</v>
      </c>
      <c r="C704" s="4" t="s">
        <v>1037</v>
      </c>
      <c r="E704" s="4" t="s">
        <v>112</v>
      </c>
      <c r="F704" s="4" t="s">
        <v>112</v>
      </c>
      <c r="G704" s="14" t="s">
        <v>132</v>
      </c>
      <c r="H704" s="4" t="s">
        <v>1028</v>
      </c>
      <c r="I704" s="4" t="s">
        <v>2089</v>
      </c>
      <c r="AL704" s="11"/>
      <c r="AM704" s="11"/>
      <c r="AN704" s="11"/>
      <c r="AO704" s="11"/>
      <c r="AP704" s="11"/>
      <c r="AQ704" s="11"/>
    </row>
    <row r="705" spans="1:43" x14ac:dyDescent="0.25">
      <c r="A705" s="44" t="str">
        <f t="shared" si="13"/>
        <v>HORSEMAN_EASTEU</v>
      </c>
      <c r="B705" s="9" t="s">
        <v>112</v>
      </c>
      <c r="C705" s="4" t="s">
        <v>698</v>
      </c>
      <c r="E705" s="4" t="s">
        <v>112</v>
      </c>
      <c r="F705" s="4" t="s">
        <v>112</v>
      </c>
      <c r="G705" s="14" t="s">
        <v>132</v>
      </c>
      <c r="H705" s="4" t="s">
        <v>1002</v>
      </c>
      <c r="I705" s="4" t="s">
        <v>2089</v>
      </c>
      <c r="AL705" s="11"/>
      <c r="AM705" s="11"/>
      <c r="AN705" s="11"/>
      <c r="AO705" s="11"/>
      <c r="AP705" s="11"/>
      <c r="AQ705" s="11"/>
    </row>
    <row r="706" spans="1:43" x14ac:dyDescent="0.25">
      <c r="A706" s="44" t="str">
        <f t="shared" si="13"/>
        <v>HORSEMAN_RUSSIA</v>
      </c>
      <c r="B706" s="9" t="s">
        <v>112</v>
      </c>
      <c r="C706" s="4" t="s">
        <v>735</v>
      </c>
      <c r="E706" s="4" t="s">
        <v>112</v>
      </c>
      <c r="F706" s="4" t="s">
        <v>112</v>
      </c>
      <c r="H706" s="4" t="s">
        <v>1002</v>
      </c>
      <c r="I706" s="4" t="s">
        <v>2089</v>
      </c>
      <c r="Q706" s="11">
        <v>1</v>
      </c>
      <c r="T706" s="11">
        <v>1</v>
      </c>
      <c r="Z706" s="11">
        <v>0</v>
      </c>
      <c r="AF706" s="11">
        <v>0</v>
      </c>
      <c r="AL706" s="11"/>
      <c r="AM706" s="11"/>
      <c r="AN706" s="11"/>
      <c r="AO706" s="11"/>
      <c r="AP706" s="11"/>
      <c r="AQ706" s="11"/>
    </row>
    <row r="707" spans="1:43" x14ac:dyDescent="0.25">
      <c r="A707" s="44" t="str">
        <f t="shared" si="13"/>
        <v>HORSEMAN_RUSSIA</v>
      </c>
      <c r="B707" s="9" t="s">
        <v>112</v>
      </c>
      <c r="C707" s="4" t="s">
        <v>735</v>
      </c>
      <c r="E707" s="4" t="s">
        <v>112</v>
      </c>
      <c r="F707" s="4" t="s">
        <v>112</v>
      </c>
      <c r="G707" s="4" t="s">
        <v>2039</v>
      </c>
      <c r="H707" s="4" t="s">
        <v>613</v>
      </c>
      <c r="I707" s="4" t="s">
        <v>2089</v>
      </c>
      <c r="Q707" s="11">
        <v>2</v>
      </c>
      <c r="T707" s="11">
        <v>2</v>
      </c>
      <c r="Z707" s="11">
        <v>1</v>
      </c>
      <c r="AF707" s="11">
        <v>1</v>
      </c>
      <c r="AL707" s="11"/>
      <c r="AM707" s="11"/>
      <c r="AN707" s="11"/>
      <c r="AO707" s="11"/>
      <c r="AP707" s="11"/>
      <c r="AQ707" s="11"/>
    </row>
    <row r="708" spans="1:43" x14ac:dyDescent="0.25">
      <c r="A708" s="44" t="str">
        <f t="shared" si="13"/>
        <v>HORSEMAN_RUSSIA</v>
      </c>
      <c r="B708" s="9" t="s">
        <v>112</v>
      </c>
      <c r="C708" s="4" t="s">
        <v>735</v>
      </c>
      <c r="E708" s="4" t="s">
        <v>112</v>
      </c>
      <c r="F708" s="4" t="s">
        <v>112</v>
      </c>
      <c r="H708" s="4" t="s">
        <v>1002</v>
      </c>
      <c r="I708" s="4" t="s">
        <v>2089</v>
      </c>
      <c r="Q708" s="11">
        <v>1</v>
      </c>
      <c r="T708" s="11">
        <v>2</v>
      </c>
      <c r="Z708" s="11">
        <v>0</v>
      </c>
      <c r="AF708" s="11">
        <v>1</v>
      </c>
      <c r="AL708" s="11"/>
      <c r="AM708" s="11"/>
      <c r="AN708" s="11"/>
      <c r="AO708" s="11"/>
      <c r="AP708" s="11"/>
      <c r="AQ708" s="11"/>
    </row>
    <row r="709" spans="1:43" x14ac:dyDescent="0.25">
      <c r="A709" s="44" t="str">
        <f t="shared" si="13"/>
        <v>HORSEMAN_RUSSIA</v>
      </c>
      <c r="B709" s="9" t="s">
        <v>112</v>
      </c>
      <c r="C709" s="4" t="s">
        <v>735</v>
      </c>
      <c r="E709" s="4" t="s">
        <v>112</v>
      </c>
      <c r="F709" s="4" t="s">
        <v>112</v>
      </c>
      <c r="G709" s="4" t="s">
        <v>2039</v>
      </c>
      <c r="H709" s="4" t="s">
        <v>613</v>
      </c>
      <c r="I709" s="4" t="s">
        <v>2089</v>
      </c>
      <c r="Q709" s="9">
        <v>1</v>
      </c>
      <c r="T709" s="11">
        <v>2</v>
      </c>
      <c r="Z709" s="9">
        <v>0</v>
      </c>
      <c r="AF709" s="11">
        <v>1</v>
      </c>
      <c r="AL709" s="11"/>
      <c r="AM709" s="11"/>
      <c r="AN709" s="11"/>
      <c r="AO709" s="11"/>
      <c r="AP709" s="11"/>
      <c r="AQ709" s="11"/>
    </row>
    <row r="710" spans="1:43" x14ac:dyDescent="0.25">
      <c r="A710" s="44" t="str">
        <f t="shared" si="13"/>
        <v>HORSEMAN_ENGLAND</v>
      </c>
      <c r="B710" s="9" t="s">
        <v>112</v>
      </c>
      <c r="C710" s="4" t="s">
        <v>713</v>
      </c>
      <c r="E710" s="4" t="s">
        <v>112</v>
      </c>
      <c r="F710" s="4" t="s">
        <v>112</v>
      </c>
      <c r="G710" s="14" t="s">
        <v>132</v>
      </c>
      <c r="H710" s="4" t="s">
        <v>299</v>
      </c>
      <c r="I710" s="4" t="s">
        <v>102</v>
      </c>
      <c r="AL710" s="11"/>
      <c r="AM710" s="11"/>
      <c r="AN710" s="11"/>
      <c r="AO710" s="11"/>
      <c r="AP710" s="11"/>
      <c r="AQ710" s="11"/>
    </row>
    <row r="711" spans="1:43" x14ac:dyDescent="0.25">
      <c r="A711" s="44" t="str">
        <f t="shared" si="13"/>
        <v>HORSEMAN_FRANCE</v>
      </c>
      <c r="B711" s="9" t="s">
        <v>112</v>
      </c>
      <c r="C711" s="4" t="s">
        <v>715</v>
      </c>
      <c r="E711" s="4" t="s">
        <v>112</v>
      </c>
      <c r="F711" s="4" t="s">
        <v>112</v>
      </c>
      <c r="G711" s="14" t="s">
        <v>132</v>
      </c>
      <c r="H711" s="4" t="s">
        <v>345</v>
      </c>
      <c r="I711" s="4" t="s">
        <v>102</v>
      </c>
      <c r="AL711" s="11"/>
      <c r="AM711" s="11"/>
      <c r="AN711" s="11"/>
      <c r="AO711" s="11"/>
      <c r="AP711" s="11"/>
      <c r="AQ711" s="11"/>
    </row>
    <row r="712" spans="1:43" x14ac:dyDescent="0.25">
      <c r="A712" s="44" t="str">
        <f t="shared" si="13"/>
        <v>HORSEMAN_GERMANY</v>
      </c>
      <c r="B712" s="9" t="s">
        <v>112</v>
      </c>
      <c r="C712" s="4" t="s">
        <v>717</v>
      </c>
      <c r="E712" s="4" t="s">
        <v>112</v>
      </c>
      <c r="F712" s="4" t="s">
        <v>112</v>
      </c>
      <c r="G712" s="14" t="s">
        <v>132</v>
      </c>
      <c r="H712" s="4" t="s">
        <v>376</v>
      </c>
      <c r="I712" s="4" t="s">
        <v>102</v>
      </c>
      <c r="AL712" s="11"/>
      <c r="AM712" s="11"/>
      <c r="AN712" s="11"/>
      <c r="AO712" s="11"/>
      <c r="AP712" s="11"/>
      <c r="AQ712" s="11"/>
    </row>
    <row r="713" spans="1:43" x14ac:dyDescent="0.25">
      <c r="A713" s="44" t="str">
        <f t="shared" si="13"/>
        <v>HORSEMAN_MED</v>
      </c>
      <c r="B713" s="9" t="s">
        <v>112</v>
      </c>
      <c r="C713" s="4" t="s">
        <v>692</v>
      </c>
      <c r="E713" s="4" t="s">
        <v>112</v>
      </c>
      <c r="F713" s="4" t="s">
        <v>112</v>
      </c>
      <c r="H713" s="4" t="s">
        <v>925</v>
      </c>
      <c r="I713" s="4" t="s">
        <v>128</v>
      </c>
      <c r="U713" s="11" t="s">
        <v>1692</v>
      </c>
      <c r="AL713" s="11"/>
      <c r="AM713" s="11"/>
      <c r="AN713" s="11"/>
      <c r="AO713" s="11"/>
      <c r="AP713" s="11"/>
      <c r="AQ713" s="11"/>
    </row>
    <row r="714" spans="1:43" x14ac:dyDescent="0.25">
      <c r="A714" s="44" t="str">
        <f t="shared" si="13"/>
        <v>HORSEMAN_CARTHAGE</v>
      </c>
      <c r="B714" s="9" t="s">
        <v>112</v>
      </c>
      <c r="C714" s="4" t="s">
        <v>708</v>
      </c>
      <c r="E714" s="4" t="s">
        <v>112</v>
      </c>
      <c r="F714" s="4" t="s">
        <v>112</v>
      </c>
      <c r="H714" s="4" t="s">
        <v>2625</v>
      </c>
      <c r="I714" s="4" t="s">
        <v>2624</v>
      </c>
      <c r="AL714" s="11"/>
      <c r="AM714" s="11"/>
      <c r="AN714" s="11"/>
      <c r="AO714" s="11"/>
      <c r="AP714" s="11"/>
      <c r="AQ714" s="11"/>
    </row>
    <row r="715" spans="1:43" x14ac:dyDescent="0.25">
      <c r="A715" s="44" t="str">
        <f t="shared" si="13"/>
        <v>HORSEMAN_ROME</v>
      </c>
      <c r="B715" s="9" t="s">
        <v>112</v>
      </c>
      <c r="C715" s="4" t="s">
        <v>734</v>
      </c>
      <c r="E715" s="4" t="s">
        <v>112</v>
      </c>
      <c r="F715" s="4" t="s">
        <v>112</v>
      </c>
      <c r="H715" s="4" t="s">
        <v>1000</v>
      </c>
      <c r="I715" s="4" t="s">
        <v>102</v>
      </c>
      <c r="Q715" s="11">
        <v>1</v>
      </c>
      <c r="T715" s="11">
        <v>1</v>
      </c>
      <c r="Z715" s="11">
        <v>0</v>
      </c>
      <c r="AF715" s="11">
        <v>0</v>
      </c>
      <c r="AL715" s="11"/>
      <c r="AM715" s="11"/>
      <c r="AN715" s="11"/>
      <c r="AO715" s="11"/>
      <c r="AP715" s="11"/>
      <c r="AQ715" s="11"/>
    </row>
    <row r="716" spans="1:43" x14ac:dyDescent="0.25">
      <c r="A716" s="44" t="str">
        <f t="shared" si="13"/>
        <v>HORSEMAN_ROME</v>
      </c>
      <c r="B716" s="9" t="s">
        <v>112</v>
      </c>
      <c r="C716" s="4" t="s">
        <v>734</v>
      </c>
      <c r="E716" s="4" t="s">
        <v>112</v>
      </c>
      <c r="F716" s="4" t="s">
        <v>112</v>
      </c>
      <c r="G716" s="4" t="s">
        <v>2039</v>
      </c>
      <c r="H716" s="4" t="s">
        <v>589</v>
      </c>
      <c r="I716" s="4" t="s">
        <v>102</v>
      </c>
      <c r="Q716" s="11">
        <v>2</v>
      </c>
      <c r="T716" s="11">
        <v>2</v>
      </c>
      <c r="Z716" s="11">
        <v>1</v>
      </c>
      <c r="AF716" s="11">
        <v>1</v>
      </c>
      <c r="AL716" s="11"/>
      <c r="AM716" s="11"/>
      <c r="AN716" s="11"/>
      <c r="AO716" s="11"/>
      <c r="AP716" s="11"/>
      <c r="AQ716" s="11"/>
    </row>
    <row r="717" spans="1:43" x14ac:dyDescent="0.25">
      <c r="A717" s="44" t="str">
        <f t="shared" si="13"/>
        <v>HORSEMAN_ROME</v>
      </c>
      <c r="B717" s="9" t="s">
        <v>112</v>
      </c>
      <c r="C717" s="4" t="s">
        <v>734</v>
      </c>
      <c r="E717" s="4" t="s">
        <v>112</v>
      </c>
      <c r="F717" s="4" t="s">
        <v>112</v>
      </c>
      <c r="H717" s="4" t="s">
        <v>1000</v>
      </c>
      <c r="I717" s="4" t="s">
        <v>102</v>
      </c>
      <c r="Q717" s="11">
        <v>1</v>
      </c>
      <c r="T717" s="11">
        <v>1</v>
      </c>
      <c r="Z717" s="11">
        <v>0</v>
      </c>
      <c r="AF717" s="11">
        <v>1</v>
      </c>
      <c r="AL717" s="11"/>
      <c r="AM717" s="11"/>
      <c r="AN717" s="11"/>
      <c r="AO717" s="11"/>
      <c r="AP717" s="11"/>
      <c r="AQ717" s="11"/>
    </row>
    <row r="718" spans="1:43" x14ac:dyDescent="0.25">
      <c r="A718" s="44" t="str">
        <f t="shared" si="13"/>
        <v>HORSEMAN_ROME</v>
      </c>
      <c r="B718" s="9" t="s">
        <v>112</v>
      </c>
      <c r="C718" s="4" t="s">
        <v>734</v>
      </c>
      <c r="E718" s="4" t="s">
        <v>112</v>
      </c>
      <c r="F718" s="4" t="s">
        <v>112</v>
      </c>
      <c r="G718" s="4" t="s">
        <v>2039</v>
      </c>
      <c r="H718" s="4" t="s">
        <v>589</v>
      </c>
      <c r="I718" s="4" t="s">
        <v>102</v>
      </c>
      <c r="Q718" s="9">
        <v>1</v>
      </c>
      <c r="T718" s="11">
        <v>3</v>
      </c>
      <c r="Z718" s="9">
        <v>0</v>
      </c>
      <c r="AF718" s="11">
        <v>1</v>
      </c>
      <c r="AL718" s="11"/>
      <c r="AM718" s="11"/>
      <c r="AN718" s="11"/>
      <c r="AO718" s="11"/>
      <c r="AP718" s="11"/>
      <c r="AQ718" s="11"/>
    </row>
    <row r="719" spans="1:43" x14ac:dyDescent="0.25">
      <c r="A719" s="44" t="str">
        <f t="shared" si="13"/>
        <v>HORSEMAN_SPAIN</v>
      </c>
      <c r="B719" s="9" t="s">
        <v>112</v>
      </c>
      <c r="C719" s="4" t="s">
        <v>738</v>
      </c>
      <c r="E719" s="4" t="s">
        <v>112</v>
      </c>
      <c r="F719" s="4" t="s">
        <v>112</v>
      </c>
      <c r="G719" s="14" t="s">
        <v>132</v>
      </c>
      <c r="H719" s="4" t="s">
        <v>653</v>
      </c>
      <c r="I719" s="4" t="s">
        <v>2089</v>
      </c>
      <c r="AL719" s="11"/>
      <c r="AM719" s="11"/>
      <c r="AN719" s="11"/>
      <c r="AO719" s="11"/>
      <c r="AP719" s="11"/>
      <c r="AQ719" s="11"/>
    </row>
    <row r="720" spans="1:43" x14ac:dyDescent="0.25">
      <c r="A720" s="44" t="str">
        <f t="shared" si="13"/>
        <v>HORSEMAN_MIDEAST</v>
      </c>
      <c r="B720" s="9" t="s">
        <v>112</v>
      </c>
      <c r="C720" s="4" t="s">
        <v>690</v>
      </c>
      <c r="E720" s="4" t="s">
        <v>112</v>
      </c>
      <c r="F720" s="4" t="s">
        <v>112</v>
      </c>
      <c r="H720" s="4" t="s">
        <v>162</v>
      </c>
      <c r="I720" s="4" t="s">
        <v>2089</v>
      </c>
      <c r="AL720" s="11"/>
      <c r="AM720" s="11"/>
      <c r="AN720" s="11"/>
      <c r="AO720" s="11"/>
      <c r="AP720" s="11"/>
      <c r="AQ720" s="11"/>
    </row>
    <row r="721" spans="1:43" x14ac:dyDescent="0.25">
      <c r="A721" s="44" t="str">
        <f t="shared" si="13"/>
        <v>HORSEMAN_ARABIA</v>
      </c>
      <c r="B721" s="9" t="s">
        <v>112</v>
      </c>
      <c r="C721" s="4" t="s">
        <v>700</v>
      </c>
      <c r="D721" s="14" t="s">
        <v>690</v>
      </c>
      <c r="E721" s="4" t="s">
        <v>112</v>
      </c>
      <c r="F721" s="4" t="s">
        <v>112</v>
      </c>
      <c r="G721" s="14"/>
      <c r="AL721" s="11"/>
      <c r="AM721" s="11"/>
      <c r="AN721" s="11"/>
      <c r="AO721" s="11"/>
      <c r="AP721" s="11"/>
      <c r="AQ721" s="11"/>
    </row>
    <row r="722" spans="1:43" x14ac:dyDescent="0.25">
      <c r="A722" s="44" t="str">
        <f t="shared" si="13"/>
        <v>HORSEMAN_BABYLON</v>
      </c>
      <c r="B722" s="9" t="s">
        <v>112</v>
      </c>
      <c r="C722" s="4" t="s">
        <v>703</v>
      </c>
      <c r="E722" s="4" t="s">
        <v>112</v>
      </c>
      <c r="F722" s="4" t="s">
        <v>112</v>
      </c>
      <c r="G722" s="14"/>
      <c r="H722" s="4" t="s">
        <v>209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44" t="str">
        <f t="shared" si="13"/>
        <v>HORSEMAN_EGYPT</v>
      </c>
      <c r="B723" s="9" t="s">
        <v>112</v>
      </c>
      <c r="C723" s="4" t="s">
        <v>712</v>
      </c>
      <c r="E723" s="4" t="s">
        <v>112</v>
      </c>
      <c r="F723" s="4" t="s">
        <v>112</v>
      </c>
      <c r="G723" s="14" t="s">
        <v>132</v>
      </c>
      <c r="H723" s="4" t="s">
        <v>280</v>
      </c>
      <c r="I723" s="4" t="s">
        <v>2089</v>
      </c>
      <c r="AL723" s="11"/>
      <c r="AM723" s="11"/>
      <c r="AN723" s="11"/>
      <c r="AO723" s="11"/>
      <c r="AP723" s="11"/>
      <c r="AQ723" s="11"/>
    </row>
    <row r="724" spans="1:43" x14ac:dyDescent="0.25">
      <c r="A724" s="44" t="str">
        <f t="shared" si="13"/>
        <v>HORSEMAN_LEVANT</v>
      </c>
      <c r="B724" s="9" t="s">
        <v>112</v>
      </c>
      <c r="C724" s="4" t="s">
        <v>724</v>
      </c>
      <c r="E724" s="4" t="s">
        <v>112</v>
      </c>
      <c r="F724" s="4" t="s">
        <v>112</v>
      </c>
      <c r="G724" s="14" t="s">
        <v>132</v>
      </c>
      <c r="H724" s="4" t="s">
        <v>509</v>
      </c>
      <c r="I724" s="4" t="s">
        <v>1063</v>
      </c>
      <c r="AL724" s="11"/>
      <c r="AM724" s="11"/>
      <c r="AN724" s="11"/>
      <c r="AO724" s="11"/>
      <c r="AP724" s="11"/>
      <c r="AQ724" s="11"/>
    </row>
    <row r="725" spans="1:43" x14ac:dyDescent="0.25">
      <c r="A725" s="44" t="str">
        <f t="shared" si="13"/>
        <v>HORSEMAN_PERSIA</v>
      </c>
      <c r="B725" s="9" t="s">
        <v>112</v>
      </c>
      <c r="C725" s="4" t="s">
        <v>731</v>
      </c>
      <c r="E725" s="4" t="s">
        <v>112</v>
      </c>
      <c r="F725" s="4" t="s">
        <v>112</v>
      </c>
      <c r="G725" s="14" t="s">
        <v>132</v>
      </c>
      <c r="H725" s="4" t="s">
        <v>554</v>
      </c>
      <c r="I725" s="4" t="s">
        <v>102</v>
      </c>
      <c r="AL725" s="11"/>
      <c r="AM725" s="11"/>
      <c r="AN725" s="11"/>
      <c r="AO725" s="11"/>
      <c r="AP725" s="11"/>
      <c r="AQ725" s="11"/>
    </row>
    <row r="726" spans="1:43" x14ac:dyDescent="0.25">
      <c r="A726" s="44" t="str">
        <f t="shared" si="13"/>
        <v>HORSEMAN_NORTHEU</v>
      </c>
      <c r="B726" s="9" t="s">
        <v>112</v>
      </c>
      <c r="C726" s="4" t="s">
        <v>962</v>
      </c>
      <c r="E726" s="4" t="s">
        <v>112</v>
      </c>
      <c r="F726" s="4" t="s">
        <v>112</v>
      </c>
      <c r="G726" s="14" t="s">
        <v>132</v>
      </c>
      <c r="H726" s="4" t="s">
        <v>267</v>
      </c>
      <c r="I726" s="4" t="s">
        <v>102</v>
      </c>
      <c r="AL726" s="11"/>
      <c r="AM726" s="11"/>
      <c r="AN726" s="11"/>
      <c r="AO726" s="11"/>
      <c r="AP726" s="11"/>
      <c r="AQ726" s="11"/>
    </row>
    <row r="727" spans="1:43" x14ac:dyDescent="0.25">
      <c r="A727" s="44" t="str">
        <f t="shared" ref="A727:A822" si="14">CONCATENATE(E727,IF(ISBLANK(C727),"",CONCATENATE("_",C727)))</f>
        <v>HORSEMAN_OCEAN</v>
      </c>
      <c r="B727" s="9" t="s">
        <v>112</v>
      </c>
      <c r="C727" s="4" t="s">
        <v>994</v>
      </c>
      <c r="D727" s="4" t="s">
        <v>691</v>
      </c>
      <c r="E727" s="4" t="s">
        <v>112</v>
      </c>
      <c r="F727" s="4" t="s">
        <v>112</v>
      </c>
      <c r="AL727" s="11"/>
      <c r="AM727" s="11"/>
      <c r="AN727" s="11"/>
      <c r="AO727" s="11"/>
      <c r="AP727" s="11"/>
      <c r="AQ727" s="11"/>
    </row>
    <row r="728" spans="1:43" x14ac:dyDescent="0.25">
      <c r="A728" s="44" t="str">
        <f t="shared" si="14"/>
        <v>HORSEMAN_SEASIA</v>
      </c>
      <c r="B728" s="9" t="s">
        <v>112</v>
      </c>
      <c r="C728" s="4" t="s">
        <v>696</v>
      </c>
      <c r="D728" s="4" t="s">
        <v>693</v>
      </c>
      <c r="E728" s="4" t="s">
        <v>112</v>
      </c>
      <c r="F728" s="4" t="s">
        <v>112</v>
      </c>
      <c r="AL728" s="11"/>
      <c r="AM728" s="11"/>
      <c r="AN728" s="11"/>
      <c r="AO728" s="11"/>
      <c r="AP728" s="11"/>
      <c r="AQ728" s="11"/>
    </row>
    <row r="729" spans="1:43" x14ac:dyDescent="0.25">
      <c r="A729" s="44" t="str">
        <f t="shared" si="14"/>
        <v>HORSEMAN_SOUTHAM</v>
      </c>
      <c r="B729" s="9" t="s">
        <v>112</v>
      </c>
      <c r="C729" s="4" t="s">
        <v>691</v>
      </c>
      <c r="E729" s="4" t="s">
        <v>112</v>
      </c>
      <c r="F729" s="4" t="s">
        <v>112</v>
      </c>
      <c r="H729" s="4" t="s">
        <v>517</v>
      </c>
      <c r="I729" s="4" t="s">
        <v>2089</v>
      </c>
      <c r="AL729" s="11"/>
      <c r="AM729" s="11"/>
      <c r="AN729" s="11"/>
      <c r="AO729" s="11"/>
      <c r="AP729" s="11"/>
      <c r="AQ729" s="11"/>
    </row>
    <row r="730" spans="1:43" x14ac:dyDescent="0.25">
      <c r="A730" s="44" t="str">
        <f t="shared" si="14"/>
        <v>HORSEMAN_AZTEC</v>
      </c>
      <c r="B730" s="9" t="s">
        <v>112</v>
      </c>
      <c r="C730" s="4" t="s">
        <v>702</v>
      </c>
      <c r="E730" s="4" t="s">
        <v>112</v>
      </c>
      <c r="F730" s="4" t="s">
        <v>112</v>
      </c>
      <c r="G730" s="14"/>
      <c r="H730" s="4" t="s">
        <v>196</v>
      </c>
      <c r="I730" s="4" t="s">
        <v>2089</v>
      </c>
      <c r="AL730" s="11"/>
      <c r="AM730" s="11"/>
      <c r="AN730" s="11"/>
      <c r="AO730" s="11"/>
      <c r="AP730" s="11"/>
      <c r="AQ730" s="11"/>
    </row>
    <row r="731" spans="1:43" x14ac:dyDescent="0.25">
      <c r="A731" s="44" t="str">
        <f t="shared" si="14"/>
        <v>HORSEMAN_INCA</v>
      </c>
      <c r="B731" s="9" t="s">
        <v>112</v>
      </c>
      <c r="C731" s="4" t="s">
        <v>719</v>
      </c>
      <c r="E731" s="4" t="s">
        <v>112</v>
      </c>
      <c r="F731" s="4" t="s">
        <v>112</v>
      </c>
      <c r="G731" s="14" t="s">
        <v>132</v>
      </c>
      <c r="H731" s="4" t="s">
        <v>420</v>
      </c>
      <c r="I731" s="4" t="s">
        <v>2089</v>
      </c>
      <c r="AL731" s="11"/>
      <c r="AM731" s="11"/>
      <c r="AN731" s="11"/>
      <c r="AO731" s="11"/>
      <c r="AP731" s="11"/>
      <c r="AQ731" s="11"/>
    </row>
    <row r="732" spans="1:43" x14ac:dyDescent="0.25">
      <c r="A732" s="44" t="str">
        <f t="shared" si="14"/>
        <v>HORSEMAN_MAYA</v>
      </c>
      <c r="B732" s="9" t="s">
        <v>112</v>
      </c>
      <c r="C732" s="4" t="s">
        <v>725</v>
      </c>
      <c r="D732" s="4" t="s">
        <v>691</v>
      </c>
      <c r="E732" s="4" t="s">
        <v>112</v>
      </c>
      <c r="F732" s="4" t="s">
        <v>112</v>
      </c>
      <c r="G732" s="14" t="s">
        <v>132</v>
      </c>
      <c r="AL732" s="11"/>
      <c r="AM732" s="11"/>
      <c r="AN732" s="11"/>
      <c r="AO732" s="11"/>
      <c r="AP732" s="11"/>
      <c r="AQ732" s="11"/>
    </row>
    <row r="733" spans="1:43" x14ac:dyDescent="0.25">
      <c r="A733" s="44" t="str">
        <f t="shared" si="14"/>
        <v>HORSEMAN_SOUTHAS</v>
      </c>
      <c r="B733" s="9" t="s">
        <v>112</v>
      </c>
      <c r="C733" s="4" t="s">
        <v>695</v>
      </c>
      <c r="E733" s="4" t="s">
        <v>112</v>
      </c>
      <c r="F733" s="4" t="s">
        <v>112</v>
      </c>
      <c r="H733" s="4" t="s">
        <v>434</v>
      </c>
      <c r="I733" s="4" t="s">
        <v>102</v>
      </c>
      <c r="AL733" s="11"/>
      <c r="AM733" s="11"/>
      <c r="AN733" s="11"/>
      <c r="AO733" s="11"/>
      <c r="AP733" s="11"/>
      <c r="AQ733" s="11"/>
    </row>
    <row r="734" spans="1:43" x14ac:dyDescent="0.25">
      <c r="A734" s="44" t="str">
        <f t="shared" si="14"/>
        <v>INFANTRY</v>
      </c>
      <c r="C734" s="5"/>
      <c r="D734" s="5"/>
      <c r="E734" s="5" t="s">
        <v>111</v>
      </c>
      <c r="F734" s="5" t="s">
        <v>111</v>
      </c>
      <c r="G734" s="5"/>
      <c r="H734" s="5" t="s">
        <v>1499</v>
      </c>
      <c r="I734" s="5" t="s">
        <v>102</v>
      </c>
      <c r="J734" s="6"/>
      <c r="K734" s="6"/>
      <c r="L734" s="13" t="s">
        <v>1705</v>
      </c>
      <c r="M734" s="8"/>
      <c r="N734" s="5"/>
      <c r="O734" s="5"/>
      <c r="P734" s="5"/>
      <c r="Q734" s="7" t="s">
        <v>1734</v>
      </c>
      <c r="R734" s="6" t="s">
        <v>1734</v>
      </c>
      <c r="S734" s="13" t="s">
        <v>1617</v>
      </c>
      <c r="T734" s="6">
        <v>18</v>
      </c>
      <c r="U734" s="7" t="s">
        <v>1734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1734</v>
      </c>
      <c r="AG734" s="6"/>
      <c r="AH734" s="5"/>
      <c r="AI734" s="6" t="s">
        <v>1734</v>
      </c>
      <c r="AJ734" s="6"/>
      <c r="AK734" s="5"/>
      <c r="AL734" s="6"/>
      <c r="AM734" s="6"/>
      <c r="AN734" s="6"/>
      <c r="AO734" s="6"/>
      <c r="AP734" s="6"/>
      <c r="AQ734" s="6"/>
    </row>
    <row r="735" spans="1:43" x14ac:dyDescent="0.25">
      <c r="A735" s="44" t="str">
        <f t="shared" si="14"/>
        <v>INQUISITOR</v>
      </c>
      <c r="B735" s="9" t="s">
        <v>759</v>
      </c>
      <c r="C735" s="5"/>
      <c r="D735" s="5"/>
      <c r="E735" s="5" t="s">
        <v>759</v>
      </c>
      <c r="F735" s="5" t="s">
        <v>759</v>
      </c>
      <c r="G735" s="5"/>
      <c r="H735" s="5" t="s">
        <v>7</v>
      </c>
      <c r="I735" s="5" t="s">
        <v>128</v>
      </c>
      <c r="J735" s="11">
        <v>1</v>
      </c>
      <c r="K735" s="6"/>
      <c r="L735" s="13" t="s">
        <v>1705</v>
      </c>
      <c r="M735" s="8"/>
      <c r="N735" s="5"/>
      <c r="O735" s="5"/>
      <c r="P735" s="5"/>
      <c r="Q735" s="6">
        <v>1</v>
      </c>
      <c r="R735" s="6" t="s">
        <v>1734</v>
      </c>
      <c r="S735" s="13" t="s">
        <v>1611</v>
      </c>
      <c r="T735" s="6">
        <v>1</v>
      </c>
      <c r="U735" s="7" t="s">
        <v>1734</v>
      </c>
      <c r="V735" s="5"/>
      <c r="W735" s="6"/>
      <c r="X735" s="6" t="s">
        <v>3</v>
      </c>
      <c r="Y735" s="5"/>
      <c r="Z735" s="7">
        <v>1</v>
      </c>
      <c r="AA735" s="6"/>
      <c r="AB735" s="5"/>
      <c r="AC735" s="6"/>
      <c r="AD735" s="6" t="s">
        <v>3</v>
      </c>
      <c r="AE735" s="5"/>
      <c r="AF735" s="6">
        <v>1</v>
      </c>
      <c r="AG735" s="6"/>
      <c r="AH735" s="5"/>
      <c r="AI735" s="6"/>
      <c r="AJ735" s="6"/>
      <c r="AK735" s="5"/>
      <c r="AL735" s="6"/>
      <c r="AM735" s="6"/>
      <c r="AN735" s="6"/>
      <c r="AO735" s="6"/>
      <c r="AP735" s="6"/>
      <c r="AQ735" s="6"/>
    </row>
    <row r="736" spans="1:43" x14ac:dyDescent="0.25">
      <c r="A736" s="44" t="str">
        <f t="shared" si="14"/>
        <v>INQUISITOR</v>
      </c>
      <c r="B736" s="9" t="s">
        <v>759</v>
      </c>
      <c r="C736" s="5"/>
      <c r="D736" s="5"/>
      <c r="E736" s="5" t="s">
        <v>759</v>
      </c>
      <c r="F736" s="5" t="s">
        <v>759</v>
      </c>
      <c r="G736" s="5" t="s">
        <v>2071</v>
      </c>
      <c r="H736" s="5" t="s">
        <v>1483</v>
      </c>
      <c r="I736" s="5" t="s">
        <v>128</v>
      </c>
      <c r="J736" s="11">
        <v>1</v>
      </c>
      <c r="K736" s="6"/>
      <c r="L736" s="13" t="s">
        <v>1705</v>
      </c>
      <c r="M736" s="8"/>
      <c r="N736" s="5"/>
      <c r="O736" s="5"/>
      <c r="P736" s="5"/>
      <c r="Q736" s="6">
        <v>1</v>
      </c>
      <c r="R736" s="6">
        <v>0.125</v>
      </c>
      <c r="S736" s="13" t="s">
        <v>1611</v>
      </c>
      <c r="T736" s="6">
        <v>1</v>
      </c>
      <c r="U736" s="7" t="s">
        <v>1734</v>
      </c>
      <c r="V736" s="5"/>
      <c r="W736" s="6"/>
      <c r="X736" s="6" t="s">
        <v>3</v>
      </c>
      <c r="Y736" s="5"/>
      <c r="Z736" s="7">
        <v>0</v>
      </c>
      <c r="AA736" s="6">
        <v>0.17499999999999999</v>
      </c>
      <c r="AB736" s="5"/>
      <c r="AC736" s="6"/>
      <c r="AD736" s="6" t="s">
        <v>3</v>
      </c>
      <c r="AE736" s="5"/>
      <c r="AF736" s="6">
        <v>1</v>
      </c>
      <c r="AG736" s="6"/>
      <c r="AH736" s="5"/>
      <c r="AI736" s="6"/>
      <c r="AJ736" s="6"/>
      <c r="AK736" s="5"/>
      <c r="AL736" s="6"/>
      <c r="AM736" s="6"/>
      <c r="AN736" s="6"/>
      <c r="AO736" s="6"/>
      <c r="AP736" s="6"/>
      <c r="AQ736" s="6"/>
    </row>
    <row r="737" spans="1:43" x14ac:dyDescent="0.25">
      <c r="A737" s="44" t="str">
        <f t="shared" si="14"/>
        <v>INQUISITOR</v>
      </c>
      <c r="B737" s="9" t="s">
        <v>759</v>
      </c>
      <c r="C737" s="5"/>
      <c r="D737" s="5"/>
      <c r="E737" s="5" t="s">
        <v>759</v>
      </c>
      <c r="F737" s="5" t="s">
        <v>759</v>
      </c>
      <c r="G737" s="5" t="s">
        <v>2072</v>
      </c>
      <c r="H737" s="5" t="s">
        <v>1484</v>
      </c>
      <c r="I737" s="5" t="s">
        <v>128</v>
      </c>
      <c r="J737" s="11">
        <v>1</v>
      </c>
      <c r="K737" s="6"/>
      <c r="L737" s="13" t="s">
        <v>1705</v>
      </c>
      <c r="M737" s="8"/>
      <c r="N737" s="5"/>
      <c r="O737" s="5"/>
      <c r="P737" s="5"/>
      <c r="Q737" s="6">
        <v>1</v>
      </c>
      <c r="R737" s="6">
        <v>0.13</v>
      </c>
      <c r="S737" s="13" t="s">
        <v>1611</v>
      </c>
      <c r="T737" s="6">
        <v>1</v>
      </c>
      <c r="U737" s="7" t="s">
        <v>1734</v>
      </c>
      <c r="V737" s="5"/>
      <c r="W737" s="6"/>
      <c r="X737" s="6" t="s">
        <v>3</v>
      </c>
      <c r="Y737" s="5"/>
      <c r="Z737" s="7">
        <v>0</v>
      </c>
      <c r="AA737" s="6">
        <v>0.19</v>
      </c>
      <c r="AB737" s="5"/>
      <c r="AC737" s="6"/>
      <c r="AD737" s="6" t="s">
        <v>3</v>
      </c>
      <c r="AE737" s="5"/>
      <c r="AF737" s="6">
        <v>0</v>
      </c>
      <c r="AG737" s="6"/>
      <c r="AH737" s="5"/>
      <c r="AI737" s="6"/>
      <c r="AJ737" s="6"/>
      <c r="AK737" s="5"/>
      <c r="AL737" s="6"/>
      <c r="AM737" s="6"/>
      <c r="AN737" s="6"/>
      <c r="AO737" s="6"/>
      <c r="AP737" s="6"/>
      <c r="AQ737" s="6"/>
    </row>
    <row r="738" spans="1:43" x14ac:dyDescent="0.25">
      <c r="A738" s="44" t="str">
        <f t="shared" si="14"/>
        <v>INQUISITOR_AFRI</v>
      </c>
      <c r="B738" s="9" t="s">
        <v>759</v>
      </c>
      <c r="C738" s="4" t="s">
        <v>694</v>
      </c>
      <c r="D738" s="4" t="s">
        <v>690</v>
      </c>
      <c r="E738" s="4" t="s">
        <v>759</v>
      </c>
      <c r="F738" s="4" t="s">
        <v>759</v>
      </c>
      <c r="J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44" t="str">
        <f>CONCATENATE(E739,IF(ISBLANK(C739),"",CONCATENATE("_",C739)))</f>
        <v>INQUISITOR_AMER</v>
      </c>
      <c r="B739" s="9" t="s">
        <v>759</v>
      </c>
      <c r="C739" s="4" t="s">
        <v>697</v>
      </c>
      <c r="E739" s="4" t="s">
        <v>759</v>
      </c>
      <c r="F739" s="4" t="s">
        <v>759</v>
      </c>
      <c r="H739" s="4" t="s">
        <v>1795</v>
      </c>
      <c r="I739" s="4" t="s">
        <v>963</v>
      </c>
      <c r="J739" s="11">
        <v>1</v>
      </c>
      <c r="Q739" s="11">
        <v>1</v>
      </c>
      <c r="R739" s="11" t="s">
        <v>1734</v>
      </c>
      <c r="Z739" s="11">
        <v>1</v>
      </c>
      <c r="AF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44" t="str">
        <f>CONCATENATE(E740,IF(ISBLANK(C740),"",CONCATENATE("_",C740)))</f>
        <v>INQUISITOR_AMER</v>
      </c>
      <c r="B740" s="9" t="s">
        <v>759</v>
      </c>
      <c r="C740" s="4" t="s">
        <v>697</v>
      </c>
      <c r="E740" s="4" t="s">
        <v>759</v>
      </c>
      <c r="F740" s="4" t="s">
        <v>759</v>
      </c>
      <c r="G740" s="4" t="s">
        <v>2032</v>
      </c>
      <c r="H740" s="4" t="s">
        <v>1798</v>
      </c>
      <c r="I740" s="4" t="s">
        <v>963</v>
      </c>
      <c r="J740" s="11">
        <v>1</v>
      </c>
      <c r="Q740" s="11">
        <v>2</v>
      </c>
      <c r="R740" s="11" t="s">
        <v>1734</v>
      </c>
      <c r="Z740" s="11">
        <v>0</v>
      </c>
      <c r="AF740" s="11">
        <v>1</v>
      </c>
      <c r="AL740" s="11"/>
      <c r="AM740" s="11"/>
      <c r="AN740" s="11"/>
      <c r="AO740" s="11"/>
      <c r="AP740" s="11"/>
      <c r="AQ740" s="11"/>
    </row>
    <row r="741" spans="1:43" x14ac:dyDescent="0.25">
      <c r="A741" s="44" t="str">
        <f t="shared" si="14"/>
        <v>INQUISITOR_ASIA</v>
      </c>
      <c r="B741" s="9" t="s">
        <v>759</v>
      </c>
      <c r="C741" s="4" t="s">
        <v>693</v>
      </c>
      <c r="E741" s="4" t="s">
        <v>759</v>
      </c>
      <c r="F741" s="4" t="s">
        <v>759</v>
      </c>
      <c r="H741" s="4" t="s">
        <v>842</v>
      </c>
      <c r="I741" s="4" t="s">
        <v>102</v>
      </c>
      <c r="J741" s="11">
        <v>1</v>
      </c>
      <c r="Q741" s="11">
        <v>1</v>
      </c>
      <c r="R741" s="11" t="s">
        <v>1734</v>
      </c>
      <c r="U741" s="11" t="s">
        <v>1734</v>
      </c>
      <c r="Z741" s="11">
        <v>1</v>
      </c>
      <c r="AF741" s="11">
        <v>1</v>
      </c>
      <c r="AL741" s="11"/>
      <c r="AM741" s="11"/>
      <c r="AN741" s="11"/>
      <c r="AO741" s="11"/>
      <c r="AP741" s="11"/>
      <c r="AQ741" s="11"/>
    </row>
    <row r="742" spans="1:43" x14ac:dyDescent="0.25">
      <c r="A742" s="44" t="str">
        <f>CONCATENATE(E742,IF(ISBLANK(C742),"",CONCATENATE("_",C742)))</f>
        <v>INQUISITOR_ASIA</v>
      </c>
      <c r="B742" s="9" t="s">
        <v>759</v>
      </c>
      <c r="C742" s="4" t="s">
        <v>693</v>
      </c>
      <c r="E742" s="4" t="s">
        <v>759</v>
      </c>
      <c r="F742" s="4" t="s">
        <v>759</v>
      </c>
      <c r="G742" s="4" t="s">
        <v>2032</v>
      </c>
      <c r="H742" s="4" t="s">
        <v>1790</v>
      </c>
      <c r="I742" s="4" t="s">
        <v>102</v>
      </c>
      <c r="J742" s="11">
        <v>1</v>
      </c>
      <c r="Q742" s="11">
        <v>2</v>
      </c>
      <c r="R742" s="11">
        <v>0.13500000000000001</v>
      </c>
      <c r="U742" s="11" t="s">
        <v>1734</v>
      </c>
      <c r="Z742" s="11">
        <v>0</v>
      </c>
      <c r="AA742" s="11">
        <v>0.20499999999999999</v>
      </c>
      <c r="AF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44" t="str">
        <f t="shared" si="14"/>
        <v>INQUISITOR_CENTAS</v>
      </c>
      <c r="B743" s="9" t="s">
        <v>759</v>
      </c>
      <c r="C743" s="4" t="s">
        <v>918</v>
      </c>
      <c r="D743" s="4" t="s">
        <v>690</v>
      </c>
      <c r="E743" s="4" t="s">
        <v>759</v>
      </c>
      <c r="F743" s="4" t="s">
        <v>759</v>
      </c>
      <c r="G743" s="14" t="s">
        <v>132</v>
      </c>
      <c r="H743" s="14"/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44" t="str">
        <f t="shared" si="14"/>
        <v>INQUISITOR_CELTS</v>
      </c>
      <c r="B744" s="9" t="s">
        <v>759</v>
      </c>
      <c r="C744" s="4" t="s">
        <v>709</v>
      </c>
      <c r="E744" s="4" t="s">
        <v>759</v>
      </c>
      <c r="F744" s="4" t="s">
        <v>759</v>
      </c>
      <c r="G744" s="14" t="s">
        <v>132</v>
      </c>
      <c r="H744" s="4" t="s">
        <v>237</v>
      </c>
      <c r="I744" s="4" t="s">
        <v>957</v>
      </c>
      <c r="J744" s="11">
        <v>1</v>
      </c>
      <c r="Q744" s="11">
        <v>3</v>
      </c>
      <c r="R744" s="11">
        <v>0.11</v>
      </c>
      <c r="Z744" s="11">
        <v>1</v>
      </c>
      <c r="AA744" s="11">
        <v>0.16</v>
      </c>
      <c r="AF744" s="11">
        <v>2</v>
      </c>
      <c r="AL744" s="11"/>
      <c r="AM744" s="11"/>
      <c r="AN744" s="11"/>
      <c r="AO744" s="11"/>
      <c r="AP744" s="11"/>
      <c r="AQ744" s="11"/>
    </row>
    <row r="745" spans="1:43" x14ac:dyDescent="0.25">
      <c r="A745" s="44" t="str">
        <f t="shared" si="14"/>
        <v>INQUISITOR_MIDEAST</v>
      </c>
      <c r="B745" s="9" t="s">
        <v>759</v>
      </c>
      <c r="C745" s="4" t="s">
        <v>690</v>
      </c>
      <c r="E745" s="4" t="s">
        <v>759</v>
      </c>
      <c r="F745" s="4" t="s">
        <v>759</v>
      </c>
      <c r="H745" s="4" t="s">
        <v>859</v>
      </c>
      <c r="I745" s="4" t="s">
        <v>951</v>
      </c>
      <c r="J745" s="11">
        <v>1</v>
      </c>
      <c r="Q745" s="11">
        <v>3</v>
      </c>
      <c r="R745" s="11">
        <v>1.335</v>
      </c>
      <c r="U745" s="11">
        <v>1.2</v>
      </c>
      <c r="Z745" s="9">
        <v>1</v>
      </c>
      <c r="AA745" s="11">
        <v>1.5</v>
      </c>
      <c r="AF745" s="11">
        <v>2</v>
      </c>
      <c r="AL745" s="11"/>
      <c r="AM745" s="11"/>
      <c r="AN745" s="11"/>
      <c r="AO745" s="11"/>
      <c r="AP745" s="11"/>
      <c r="AQ745" s="11"/>
    </row>
    <row r="746" spans="1:43" x14ac:dyDescent="0.25">
      <c r="A746" s="44" t="str">
        <f t="shared" si="14"/>
        <v>INQUISITOR_OCEAN</v>
      </c>
      <c r="B746" s="9" t="s">
        <v>759</v>
      </c>
      <c r="C746" s="4" t="s">
        <v>994</v>
      </c>
      <c r="D746" s="4" t="s">
        <v>691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44" t="str">
        <f t="shared" si="14"/>
        <v>INQUISITOR_SEASIA</v>
      </c>
      <c r="B747" s="9" t="s">
        <v>759</v>
      </c>
      <c r="C747" s="4" t="s">
        <v>696</v>
      </c>
      <c r="D747" s="4" t="s">
        <v>693</v>
      </c>
      <c r="E747" s="4" t="s">
        <v>759</v>
      </c>
      <c r="F747" s="4" t="s">
        <v>759</v>
      </c>
      <c r="J747" s="11">
        <v>1</v>
      </c>
      <c r="AL747" s="11"/>
      <c r="AM747" s="11"/>
      <c r="AN747" s="11"/>
      <c r="AO747" s="11"/>
      <c r="AP747" s="11"/>
      <c r="AQ747" s="11"/>
    </row>
    <row r="748" spans="1:43" x14ac:dyDescent="0.25">
      <c r="A748" s="44" t="str">
        <f>CONCATENATE(E748,IF(ISBLANK(C748),"",CONCATENATE("_",C748)))</f>
        <v>INQUISITOR_SOUTHAM</v>
      </c>
      <c r="B748" s="9" t="s">
        <v>759</v>
      </c>
      <c r="C748" s="4" t="s">
        <v>691</v>
      </c>
      <c r="E748" s="4" t="s">
        <v>759</v>
      </c>
      <c r="F748" s="4" t="s">
        <v>759</v>
      </c>
      <c r="H748" s="4" t="s">
        <v>2169</v>
      </c>
      <c r="I748" s="4" t="s">
        <v>1046</v>
      </c>
      <c r="J748" s="11">
        <v>1</v>
      </c>
      <c r="Q748" s="11">
        <v>1</v>
      </c>
      <c r="R748" s="11" t="s">
        <v>1734</v>
      </c>
      <c r="Z748" s="11">
        <v>1</v>
      </c>
      <c r="AF748" s="11">
        <v>1</v>
      </c>
      <c r="AL748" s="11"/>
      <c r="AM748" s="11"/>
      <c r="AN748" s="11"/>
      <c r="AO748" s="11"/>
      <c r="AP748" s="11"/>
      <c r="AQ748" s="11"/>
    </row>
    <row r="749" spans="1:43" x14ac:dyDescent="0.25">
      <c r="A749" s="44" t="str">
        <f>CONCATENATE(E749,IF(ISBLANK(C749),"",CONCATENATE("_",C749)))</f>
        <v>INQUISITOR_SOUTHAM</v>
      </c>
      <c r="B749" s="9" t="s">
        <v>759</v>
      </c>
      <c r="C749" s="4" t="s">
        <v>691</v>
      </c>
      <c r="E749" s="4" t="s">
        <v>759</v>
      </c>
      <c r="F749" s="4" t="s">
        <v>759</v>
      </c>
      <c r="G749" s="4" t="s">
        <v>2032</v>
      </c>
      <c r="H749" s="4" t="s">
        <v>1796</v>
      </c>
      <c r="I749" s="4" t="s">
        <v>963</v>
      </c>
      <c r="J749" s="11">
        <v>1</v>
      </c>
      <c r="Q749" s="11">
        <v>2</v>
      </c>
      <c r="R749" s="11" t="s">
        <v>1734</v>
      </c>
      <c r="Z749" s="11">
        <v>0</v>
      </c>
      <c r="AF749" s="11">
        <v>1</v>
      </c>
      <c r="AL749" s="11"/>
      <c r="AM749" s="11"/>
      <c r="AN749" s="11"/>
      <c r="AO749" s="11"/>
      <c r="AP749" s="11"/>
      <c r="AQ749" s="11"/>
    </row>
    <row r="750" spans="1:43" x14ac:dyDescent="0.25">
      <c r="A750" s="44" t="str">
        <f t="shared" si="14"/>
        <v>INQUISITOR_SOUTHAS</v>
      </c>
      <c r="B750" s="9" t="s">
        <v>759</v>
      </c>
      <c r="C750" s="4" t="s">
        <v>695</v>
      </c>
      <c r="D750" s="4" t="s">
        <v>693</v>
      </c>
      <c r="E750" s="4" t="s">
        <v>759</v>
      </c>
      <c r="F750" s="4" t="s">
        <v>759</v>
      </c>
      <c r="J750" s="11">
        <v>1</v>
      </c>
      <c r="AL750" s="11"/>
      <c r="AM750" s="11"/>
      <c r="AN750" s="11"/>
      <c r="AO750" s="11"/>
      <c r="AP750" s="11"/>
      <c r="AQ750" s="11"/>
    </row>
    <row r="751" spans="1:43" x14ac:dyDescent="0.25">
      <c r="A751" s="44" t="str">
        <f t="shared" ref="A751:A766" si="15">CONCATENATE(E751,IF(ISBLANK(C751),"",CONCATENATE("_",C751)))</f>
        <v>INQUISITOR_RENAISSANCE</v>
      </c>
      <c r="B751" s="9" t="s">
        <v>759</v>
      </c>
      <c r="C751" s="5"/>
      <c r="D751" s="5"/>
      <c r="E751" s="5" t="s">
        <v>2117</v>
      </c>
      <c r="F751" s="5" t="s">
        <v>759</v>
      </c>
      <c r="G751" s="5"/>
      <c r="H751" s="5" t="s">
        <v>7</v>
      </c>
      <c r="I751" s="5" t="s">
        <v>128</v>
      </c>
      <c r="J751" s="11">
        <v>0</v>
      </c>
      <c r="K751" s="6"/>
      <c r="L751" s="13" t="s">
        <v>1705</v>
      </c>
      <c r="M751" s="8"/>
      <c r="N751" s="5"/>
      <c r="O751" s="5"/>
      <c r="P751" s="5"/>
      <c r="Q751" s="6">
        <v>1</v>
      </c>
      <c r="R751" s="6" t="s">
        <v>1734</v>
      </c>
      <c r="S751" s="13" t="s">
        <v>1611</v>
      </c>
      <c r="T751" s="6">
        <v>1</v>
      </c>
      <c r="U751" s="7" t="s">
        <v>1734</v>
      </c>
      <c r="V751" s="5"/>
      <c r="W751" s="6"/>
      <c r="X751" s="6" t="s">
        <v>3</v>
      </c>
      <c r="Y751" s="5"/>
      <c r="Z751" s="7">
        <v>1</v>
      </c>
      <c r="AA751" s="6"/>
      <c r="AB751" s="5"/>
      <c r="AC751" s="6"/>
      <c r="AD751" s="6" t="s">
        <v>3</v>
      </c>
      <c r="AE751" s="5"/>
      <c r="AF751" s="6">
        <v>1</v>
      </c>
      <c r="AG751" s="6"/>
      <c r="AH751" s="5"/>
      <c r="AI751" s="6"/>
      <c r="AJ751" s="6"/>
      <c r="AK751" s="5"/>
      <c r="AL751" s="6"/>
      <c r="AM751" s="6"/>
      <c r="AN751" s="6"/>
      <c r="AO751" s="6"/>
      <c r="AP751" s="6"/>
      <c r="AQ751" s="6"/>
    </row>
    <row r="752" spans="1:43" x14ac:dyDescent="0.25">
      <c r="A752" s="44" t="str">
        <f t="shared" si="15"/>
        <v>INQUISITOR_RENAISSANCE</v>
      </c>
      <c r="B752" s="9" t="s">
        <v>759</v>
      </c>
      <c r="C752" s="5"/>
      <c r="D752" s="5"/>
      <c r="E752" s="5" t="s">
        <v>2117</v>
      </c>
      <c r="F752" s="5" t="s">
        <v>759</v>
      </c>
      <c r="G752" s="5" t="s">
        <v>2071</v>
      </c>
      <c r="H752" s="5" t="s">
        <v>1483</v>
      </c>
      <c r="I752" s="5" t="s">
        <v>128</v>
      </c>
      <c r="J752" s="11">
        <v>0</v>
      </c>
      <c r="K752" s="6"/>
      <c r="L752" s="13" t="s">
        <v>1705</v>
      </c>
      <c r="M752" s="8"/>
      <c r="N752" s="5"/>
      <c r="O752" s="5"/>
      <c r="P752" s="5"/>
      <c r="Q752" s="6">
        <v>1</v>
      </c>
      <c r="R752" s="6">
        <v>0.125</v>
      </c>
      <c r="S752" s="13" t="s">
        <v>1611</v>
      </c>
      <c r="T752" s="6">
        <v>1</v>
      </c>
      <c r="U752" s="7" t="s">
        <v>1734</v>
      </c>
      <c r="V752" s="5"/>
      <c r="W752" s="6"/>
      <c r="X752" s="6" t="s">
        <v>3</v>
      </c>
      <c r="Y752" s="5"/>
      <c r="Z752" s="7">
        <v>0</v>
      </c>
      <c r="AA752" s="6"/>
      <c r="AB752" s="5"/>
      <c r="AC752" s="6"/>
      <c r="AD752" s="6" t="s">
        <v>3</v>
      </c>
      <c r="AE752" s="5"/>
      <c r="AF752" s="6">
        <v>1</v>
      </c>
      <c r="AG752" s="6"/>
      <c r="AH752" s="5"/>
      <c r="AI752" s="6"/>
      <c r="AJ752" s="6"/>
      <c r="AK752" s="5"/>
      <c r="AL752" s="6"/>
      <c r="AM752" s="6"/>
      <c r="AN752" s="6"/>
      <c r="AO752" s="6"/>
      <c r="AP752" s="6"/>
      <c r="AQ752" s="6"/>
    </row>
    <row r="753" spans="1:43" x14ac:dyDescent="0.25">
      <c r="A753" s="44" t="str">
        <f t="shared" si="15"/>
        <v>INQUISITOR_RENAISSANCE</v>
      </c>
      <c r="B753" s="9" t="s">
        <v>759</v>
      </c>
      <c r="C753" s="5"/>
      <c r="D753" s="5"/>
      <c r="E753" s="5" t="s">
        <v>2117</v>
      </c>
      <c r="F753" s="5" t="s">
        <v>759</v>
      </c>
      <c r="G753" s="5" t="s">
        <v>2072</v>
      </c>
      <c r="H753" s="5" t="s">
        <v>1484</v>
      </c>
      <c r="I753" s="5" t="s">
        <v>128</v>
      </c>
      <c r="J753" s="11">
        <v>0</v>
      </c>
      <c r="K753" s="6"/>
      <c r="L753" s="13" t="s">
        <v>1705</v>
      </c>
      <c r="M753" s="8"/>
      <c r="N753" s="5"/>
      <c r="O753" s="5"/>
      <c r="P753" s="5"/>
      <c r="Q753" s="6">
        <v>1</v>
      </c>
      <c r="R753" s="6">
        <v>0.13</v>
      </c>
      <c r="S753" s="13" t="s">
        <v>1611</v>
      </c>
      <c r="T753" s="6">
        <v>1</v>
      </c>
      <c r="U753" s="7" t="s">
        <v>1734</v>
      </c>
      <c r="V753" s="5"/>
      <c r="W753" s="6"/>
      <c r="X753" s="6" t="s">
        <v>3</v>
      </c>
      <c r="Y753" s="5"/>
      <c r="Z753" s="7">
        <v>0</v>
      </c>
      <c r="AA753" s="6"/>
      <c r="AB753" s="5"/>
      <c r="AC753" s="6"/>
      <c r="AD753" s="6" t="s">
        <v>3</v>
      </c>
      <c r="AE753" s="5"/>
      <c r="AF753" s="6">
        <v>0</v>
      </c>
      <c r="AG753" s="6"/>
      <c r="AH753" s="5"/>
      <c r="AI753" s="6"/>
      <c r="AJ753" s="6"/>
      <c r="AK753" s="5"/>
      <c r="AL753" s="6"/>
      <c r="AM753" s="6"/>
      <c r="AN753" s="6"/>
      <c r="AO753" s="6"/>
      <c r="AP753" s="6"/>
      <c r="AQ753" s="6"/>
    </row>
    <row r="754" spans="1:43" x14ac:dyDescent="0.25">
      <c r="A754" s="44" t="str">
        <f t="shared" si="15"/>
        <v>INQUISITOR_RENAISSANCE_AFRI</v>
      </c>
      <c r="B754" s="9" t="s">
        <v>759</v>
      </c>
      <c r="C754" s="4" t="s">
        <v>694</v>
      </c>
      <c r="D754" s="4" t="s">
        <v>690</v>
      </c>
      <c r="E754" s="4" t="s">
        <v>2117</v>
      </c>
      <c r="F754" s="4" t="s">
        <v>759</v>
      </c>
      <c r="J754" s="11">
        <v>0</v>
      </c>
      <c r="AL754" s="11"/>
      <c r="AM754" s="11"/>
      <c r="AN754" s="11"/>
      <c r="AO754" s="11"/>
      <c r="AP754" s="11"/>
      <c r="AQ754" s="11"/>
    </row>
    <row r="755" spans="1:43" x14ac:dyDescent="0.25">
      <c r="A755" s="44" t="str">
        <f t="shared" si="15"/>
        <v>INQUISITOR_RENAISSANCE_AMER</v>
      </c>
      <c r="B755" s="9" t="s">
        <v>759</v>
      </c>
      <c r="C755" s="4" t="s">
        <v>697</v>
      </c>
      <c r="E755" s="4" t="s">
        <v>2117</v>
      </c>
      <c r="F755" s="4" t="s">
        <v>759</v>
      </c>
      <c r="H755" s="4" t="s">
        <v>1795</v>
      </c>
      <c r="I755" s="4" t="s">
        <v>963</v>
      </c>
      <c r="J755" s="11">
        <v>0</v>
      </c>
      <c r="Q755" s="11">
        <v>1</v>
      </c>
      <c r="R755" s="11" t="s">
        <v>1734</v>
      </c>
      <c r="Z755" s="11">
        <v>1</v>
      </c>
      <c r="AF755" s="11">
        <v>1</v>
      </c>
      <c r="AL755" s="11"/>
      <c r="AM755" s="11"/>
      <c r="AN755" s="11"/>
      <c r="AO755" s="11"/>
      <c r="AP755" s="11"/>
      <c r="AQ755" s="11"/>
    </row>
    <row r="756" spans="1:43" x14ac:dyDescent="0.25">
      <c r="A756" s="44" t="str">
        <f t="shared" si="15"/>
        <v>INQUISITOR_RENAISSANCE_AMER</v>
      </c>
      <c r="B756" s="9" t="s">
        <v>759</v>
      </c>
      <c r="C756" s="4" t="s">
        <v>697</v>
      </c>
      <c r="E756" s="4" t="s">
        <v>2117</v>
      </c>
      <c r="F756" s="4" t="s">
        <v>759</v>
      </c>
      <c r="G756" s="4" t="s">
        <v>2032</v>
      </c>
      <c r="H756" s="4" t="s">
        <v>1798</v>
      </c>
      <c r="I756" s="4" t="s">
        <v>963</v>
      </c>
      <c r="J756" s="11">
        <v>0</v>
      </c>
      <c r="Q756" s="11">
        <v>2</v>
      </c>
      <c r="R756" s="11" t="s">
        <v>1734</v>
      </c>
      <c r="Z756" s="11">
        <v>0</v>
      </c>
      <c r="AF756" s="11">
        <v>1</v>
      </c>
      <c r="AL756" s="11"/>
      <c r="AM756" s="11"/>
      <c r="AN756" s="11"/>
      <c r="AO756" s="11"/>
      <c r="AP756" s="11"/>
      <c r="AQ756" s="11"/>
    </row>
    <row r="757" spans="1:43" x14ac:dyDescent="0.25">
      <c r="A757" s="44" t="str">
        <f t="shared" si="15"/>
        <v>INQUISITOR_RENAISSANCE_ASIA</v>
      </c>
      <c r="B757" s="9" t="s">
        <v>759</v>
      </c>
      <c r="C757" s="4" t="s">
        <v>693</v>
      </c>
      <c r="E757" s="4" t="s">
        <v>2117</v>
      </c>
      <c r="F757" s="4" t="s">
        <v>759</v>
      </c>
      <c r="H757" s="4" t="s">
        <v>842</v>
      </c>
      <c r="I757" s="4" t="s">
        <v>102</v>
      </c>
      <c r="J757" s="11">
        <v>0</v>
      </c>
      <c r="Q757" s="11">
        <v>1</v>
      </c>
      <c r="R757" s="11" t="s">
        <v>1734</v>
      </c>
      <c r="U757" s="11" t="s">
        <v>1734</v>
      </c>
      <c r="Z757" s="11">
        <v>1</v>
      </c>
      <c r="AF757" s="11">
        <v>1</v>
      </c>
      <c r="AL757" s="11"/>
      <c r="AM757" s="11"/>
      <c r="AN757" s="11"/>
      <c r="AO757" s="11"/>
      <c r="AP757" s="11"/>
      <c r="AQ757" s="11"/>
    </row>
    <row r="758" spans="1:43" x14ac:dyDescent="0.25">
      <c r="A758" s="44" t="str">
        <f t="shared" si="15"/>
        <v>INQUISITOR_RENAISSANCE_ASIA</v>
      </c>
      <c r="B758" s="9" t="s">
        <v>759</v>
      </c>
      <c r="C758" s="4" t="s">
        <v>693</v>
      </c>
      <c r="E758" s="4" t="s">
        <v>2117</v>
      </c>
      <c r="F758" s="4" t="s">
        <v>759</v>
      </c>
      <c r="G758" s="4" t="s">
        <v>2032</v>
      </c>
      <c r="H758" s="4" t="s">
        <v>1790</v>
      </c>
      <c r="I758" s="4" t="s">
        <v>102</v>
      </c>
      <c r="J758" s="11">
        <v>0</v>
      </c>
      <c r="Q758" s="11">
        <v>2</v>
      </c>
      <c r="R758" s="11">
        <v>0.13500000000000001</v>
      </c>
      <c r="U758" s="11" t="s">
        <v>1734</v>
      </c>
      <c r="Z758" s="11">
        <v>0</v>
      </c>
      <c r="AA758" s="11">
        <v>0.20499999999999999</v>
      </c>
      <c r="AF758" s="11">
        <v>1</v>
      </c>
      <c r="AL758" s="11"/>
      <c r="AM758" s="11"/>
      <c r="AN758" s="11"/>
      <c r="AO758" s="11"/>
      <c r="AP758" s="11"/>
      <c r="AQ758" s="11"/>
    </row>
    <row r="759" spans="1:43" x14ac:dyDescent="0.25">
      <c r="A759" s="44" t="str">
        <f t="shared" si="15"/>
        <v>INQUISITOR_RENAISSANCE_CENTAS</v>
      </c>
      <c r="B759" s="9" t="s">
        <v>759</v>
      </c>
      <c r="C759" s="4" t="s">
        <v>918</v>
      </c>
      <c r="D759" s="4" t="s">
        <v>690</v>
      </c>
      <c r="E759" s="4" t="s">
        <v>2117</v>
      </c>
      <c r="F759" s="4" t="s">
        <v>759</v>
      </c>
      <c r="G759" s="14" t="s">
        <v>132</v>
      </c>
      <c r="H759" s="14"/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44" t="str">
        <f t="shared" si="15"/>
        <v>INQUISITOR_RENAISSANCE_CELTS</v>
      </c>
      <c r="B760" s="9" t="s">
        <v>759</v>
      </c>
      <c r="C760" s="4" t="s">
        <v>709</v>
      </c>
      <c r="E760" s="4" t="s">
        <v>2117</v>
      </c>
      <c r="F760" s="4" t="s">
        <v>759</v>
      </c>
      <c r="G760" s="14" t="s">
        <v>132</v>
      </c>
      <c r="H760" s="4" t="s">
        <v>237</v>
      </c>
      <c r="I760" s="4" t="s">
        <v>957</v>
      </c>
      <c r="J760" s="11">
        <v>0</v>
      </c>
      <c r="Q760" s="11">
        <v>3</v>
      </c>
      <c r="R760" s="11">
        <v>0.11</v>
      </c>
      <c r="Z760" s="11">
        <v>1</v>
      </c>
      <c r="AA760" s="11">
        <v>0.16</v>
      </c>
      <c r="AF760" s="11">
        <v>2</v>
      </c>
      <c r="AL760" s="11"/>
      <c r="AM760" s="11"/>
      <c r="AN760" s="11"/>
      <c r="AO760" s="11"/>
      <c r="AP760" s="11"/>
      <c r="AQ760" s="11"/>
    </row>
    <row r="761" spans="1:43" x14ac:dyDescent="0.25">
      <c r="A761" s="44" t="str">
        <f t="shared" si="15"/>
        <v>INQUISITOR_RENAISSANCE_MIDEAST</v>
      </c>
      <c r="B761" s="9" t="s">
        <v>759</v>
      </c>
      <c r="C761" s="4" t="s">
        <v>690</v>
      </c>
      <c r="E761" s="4" t="s">
        <v>2117</v>
      </c>
      <c r="F761" s="4" t="s">
        <v>759</v>
      </c>
      <c r="H761" s="4" t="s">
        <v>859</v>
      </c>
      <c r="I761" s="4" t="s">
        <v>951</v>
      </c>
      <c r="J761" s="11">
        <v>0</v>
      </c>
      <c r="Q761" s="11">
        <v>3</v>
      </c>
      <c r="R761" s="11">
        <v>1.335</v>
      </c>
      <c r="U761" s="11">
        <v>1.1000000000000001</v>
      </c>
      <c r="Z761" s="9">
        <v>1</v>
      </c>
      <c r="AA761" s="11">
        <v>1.5</v>
      </c>
      <c r="AF761" s="11">
        <v>2</v>
      </c>
      <c r="AL761" s="11"/>
      <c r="AM761" s="11"/>
      <c r="AN761" s="11"/>
      <c r="AO761" s="11"/>
      <c r="AP761" s="11"/>
      <c r="AQ761" s="11"/>
    </row>
    <row r="762" spans="1:43" x14ac:dyDescent="0.25">
      <c r="A762" s="44" t="str">
        <f t="shared" si="15"/>
        <v>INQUISITOR_RENAISSANCE_OCEAN</v>
      </c>
      <c r="B762" s="9" t="s">
        <v>759</v>
      </c>
      <c r="C762" s="4" t="s">
        <v>994</v>
      </c>
      <c r="D762" s="4" t="s">
        <v>691</v>
      </c>
      <c r="E762" s="4" t="s">
        <v>2117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44" t="str">
        <f t="shared" si="15"/>
        <v>INQUISITOR_RENAISSANCE_SEASIA</v>
      </c>
      <c r="B763" s="9" t="s">
        <v>759</v>
      </c>
      <c r="C763" s="4" t="s">
        <v>696</v>
      </c>
      <c r="D763" s="4" t="s">
        <v>693</v>
      </c>
      <c r="E763" s="4" t="s">
        <v>2117</v>
      </c>
      <c r="F763" s="4" t="s">
        <v>759</v>
      </c>
      <c r="J763" s="11">
        <v>0</v>
      </c>
      <c r="AL763" s="11"/>
      <c r="AM763" s="11"/>
      <c r="AN763" s="11"/>
      <c r="AO763" s="11"/>
      <c r="AP763" s="11"/>
      <c r="AQ763" s="11"/>
    </row>
    <row r="764" spans="1:43" x14ac:dyDescent="0.25">
      <c r="A764" s="44" t="str">
        <f t="shared" si="15"/>
        <v>INQUISITOR_RENAISSANCE_SOUTHAM</v>
      </c>
      <c r="B764" s="9" t="s">
        <v>759</v>
      </c>
      <c r="C764" s="4" t="s">
        <v>691</v>
      </c>
      <c r="E764" s="4" t="s">
        <v>2117</v>
      </c>
      <c r="F764" s="4" t="s">
        <v>759</v>
      </c>
      <c r="H764" s="4" t="s">
        <v>2169</v>
      </c>
      <c r="I764" s="4" t="s">
        <v>957</v>
      </c>
      <c r="J764" s="11">
        <v>0</v>
      </c>
      <c r="Q764" s="11">
        <v>1</v>
      </c>
      <c r="R764" s="11" t="s">
        <v>1734</v>
      </c>
      <c r="Z764" s="11">
        <v>1</v>
      </c>
      <c r="AF764" s="11">
        <v>1</v>
      </c>
      <c r="AL764" s="11"/>
      <c r="AM764" s="11"/>
      <c r="AN764" s="11"/>
      <c r="AO764" s="11"/>
      <c r="AP764" s="11"/>
      <c r="AQ764" s="11"/>
    </row>
    <row r="765" spans="1:43" x14ac:dyDescent="0.25">
      <c r="A765" s="44" t="str">
        <f t="shared" si="15"/>
        <v>INQUISITOR_RENAISSANCE_SOUTHAM</v>
      </c>
      <c r="B765" s="9" t="s">
        <v>759</v>
      </c>
      <c r="C765" s="4" t="s">
        <v>691</v>
      </c>
      <c r="E765" s="4" t="s">
        <v>2117</v>
      </c>
      <c r="F765" s="4" t="s">
        <v>759</v>
      </c>
      <c r="G765" s="4" t="s">
        <v>2032</v>
      </c>
      <c r="H765" s="4" t="s">
        <v>1796</v>
      </c>
      <c r="I765" s="4" t="s">
        <v>963</v>
      </c>
      <c r="J765" s="11">
        <v>0</v>
      </c>
      <c r="Q765" s="11">
        <v>2</v>
      </c>
      <c r="R765" s="11" t="s">
        <v>1734</v>
      </c>
      <c r="Z765" s="11">
        <v>0</v>
      </c>
      <c r="AF765" s="11">
        <v>1</v>
      </c>
      <c r="AL765" s="11"/>
      <c r="AM765" s="11"/>
      <c r="AN765" s="11"/>
      <c r="AO765" s="11"/>
      <c r="AP765" s="11"/>
      <c r="AQ765" s="11"/>
    </row>
    <row r="766" spans="1:43" x14ac:dyDescent="0.25">
      <c r="A766" s="44" t="str">
        <f t="shared" si="15"/>
        <v>INQUISITOR_RENAISSANCE_SOUTHAS</v>
      </c>
      <c r="B766" s="9" t="s">
        <v>759</v>
      </c>
      <c r="C766" s="4" t="s">
        <v>695</v>
      </c>
      <c r="D766" s="4" t="s">
        <v>693</v>
      </c>
      <c r="E766" s="4" t="s">
        <v>2117</v>
      </c>
      <c r="F766" s="4" t="s">
        <v>759</v>
      </c>
      <c r="J766" s="11">
        <v>0</v>
      </c>
      <c r="AL766" s="11"/>
      <c r="AM766" s="11"/>
      <c r="AN766" s="11"/>
      <c r="AO766" s="11"/>
      <c r="AP766" s="11"/>
      <c r="AQ766" s="11"/>
    </row>
    <row r="767" spans="1:43" x14ac:dyDescent="0.25">
      <c r="A767" s="44" t="str">
        <f t="shared" si="14"/>
        <v>IRONCLAD</v>
      </c>
      <c r="B767" s="9" t="s">
        <v>760</v>
      </c>
      <c r="C767" s="5"/>
      <c r="D767" s="5"/>
      <c r="E767" s="5" t="s">
        <v>760</v>
      </c>
      <c r="F767" s="5" t="s">
        <v>760</v>
      </c>
      <c r="G767" s="5"/>
      <c r="H767" s="5" t="s">
        <v>29</v>
      </c>
      <c r="I767" s="5" t="s">
        <v>128</v>
      </c>
      <c r="J767" s="6"/>
      <c r="K767" s="7"/>
      <c r="L767" s="13" t="s">
        <v>1710</v>
      </c>
      <c r="M767" s="8"/>
      <c r="N767" s="13" t="s">
        <v>1724</v>
      </c>
      <c r="O767" s="13"/>
      <c r="P767" s="13"/>
      <c r="Q767" s="7">
        <v>1</v>
      </c>
      <c r="R767" s="6" t="s">
        <v>1692</v>
      </c>
      <c r="S767" s="5"/>
      <c r="T767" s="6"/>
      <c r="U767" s="6">
        <v>0.1</v>
      </c>
      <c r="V767" s="5"/>
      <c r="W767" s="6"/>
      <c r="X767" s="6"/>
      <c r="Y767" s="5"/>
      <c r="Z767" s="6"/>
      <c r="AA767" s="6">
        <v>0.12</v>
      </c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44" t="str">
        <f t="shared" si="14"/>
        <v>IRONCLAD_AMER</v>
      </c>
      <c r="B768" s="9" t="s">
        <v>760</v>
      </c>
      <c r="C768" s="5" t="s">
        <v>697</v>
      </c>
      <c r="D768" s="5" t="s">
        <v>699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6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44" t="str">
        <f t="shared" si="14"/>
        <v>IRONCLAD_ASIA</v>
      </c>
      <c r="B769" s="9" t="s">
        <v>760</v>
      </c>
      <c r="C769" s="5" t="s">
        <v>693</v>
      </c>
      <c r="D769" s="5"/>
      <c r="E769" s="5" t="s">
        <v>760</v>
      </c>
      <c r="F769" s="5" t="s">
        <v>760</v>
      </c>
      <c r="G769" s="5"/>
      <c r="H769" s="5" t="s">
        <v>1927</v>
      </c>
      <c r="I769" s="5" t="s">
        <v>1936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>
        <v>0.08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44" t="str">
        <f t="shared" si="14"/>
        <v>IRONCLAD_JAPAN</v>
      </c>
      <c r="B770" s="9" t="s">
        <v>760</v>
      </c>
      <c r="C770" s="5" t="s">
        <v>722</v>
      </c>
      <c r="D770" s="5" t="s">
        <v>693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44" t="str">
        <f t="shared" si="14"/>
        <v>IRONCLAD_CENTAS</v>
      </c>
      <c r="B771" s="9" t="s">
        <v>760</v>
      </c>
      <c r="C771" s="5" t="s">
        <v>918</v>
      </c>
      <c r="D771" s="5" t="s">
        <v>701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44" t="str">
        <f t="shared" si="14"/>
        <v>IRONCLAD_EASTEU</v>
      </c>
      <c r="B772" s="9" t="s">
        <v>760</v>
      </c>
      <c r="C772" s="5" t="s">
        <v>698</v>
      </c>
      <c r="D772" s="5"/>
      <c r="E772" s="5" t="s">
        <v>760</v>
      </c>
      <c r="F772" s="5" t="s">
        <v>760</v>
      </c>
      <c r="G772" s="5"/>
      <c r="H772" s="5" t="s">
        <v>1920</v>
      </c>
      <c r="I772" s="5" t="s">
        <v>1936</v>
      </c>
      <c r="J772" s="6"/>
      <c r="K772" s="7"/>
      <c r="L772" s="13"/>
      <c r="M772" s="8"/>
      <c r="N772" s="13"/>
      <c r="O772" s="13"/>
      <c r="P772" s="13"/>
      <c r="Q772" s="7"/>
      <c r="R772" s="6">
        <v>8.2000000000000003E-2</v>
      </c>
      <c r="S772" s="5"/>
      <c r="T772" s="1"/>
      <c r="U772" s="6">
        <v>7.4999999999999997E-2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44" t="str">
        <f>CONCATENATE(E773,IF(ISBLANK(C773),"",CONCATENATE("_",C773)))</f>
        <v>IRONCLAD_RUSSIA</v>
      </c>
      <c r="B773" s="9" t="s">
        <v>760</v>
      </c>
      <c r="C773" s="5" t="s">
        <v>735</v>
      </c>
      <c r="D773" s="5" t="s">
        <v>698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44" t="str">
        <f>CONCATENATE(E774,IF(ISBLANK(C774),"",CONCATENATE("_",C774)))</f>
        <v>IRONCLAD_EURO</v>
      </c>
      <c r="B774" s="9" t="s">
        <v>760</v>
      </c>
      <c r="C774" s="5" t="s">
        <v>689</v>
      </c>
      <c r="D774" s="5"/>
      <c r="E774" s="5" t="s">
        <v>760</v>
      </c>
      <c r="F774" s="5" t="s">
        <v>760</v>
      </c>
      <c r="G774" s="5"/>
      <c r="H774" s="5" t="s">
        <v>1924</v>
      </c>
      <c r="I774" s="5" t="s">
        <v>1936</v>
      </c>
      <c r="J774" s="6"/>
      <c r="K774" s="7"/>
      <c r="L774" s="13"/>
      <c r="M774" s="8"/>
      <c r="N774" s="13"/>
      <c r="O774" s="13"/>
      <c r="P774" s="13"/>
      <c r="Q774" s="7"/>
      <c r="R774" s="6">
        <v>7.4999999999999997E-2</v>
      </c>
      <c r="S774" s="5"/>
      <c r="T774" s="1"/>
      <c r="U774" s="6">
        <v>7.0000000000000007E-2</v>
      </c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44" t="str">
        <f t="shared" si="14"/>
        <v>IRONCLAD_AMERICA</v>
      </c>
      <c r="B775" s="9" t="s">
        <v>760</v>
      </c>
      <c r="C775" s="5" t="s">
        <v>699</v>
      </c>
      <c r="D775" s="5"/>
      <c r="E775" s="5" t="s">
        <v>760</v>
      </c>
      <c r="F775" s="5" t="s">
        <v>760</v>
      </c>
      <c r="G775" s="5"/>
      <c r="H775" s="5" t="s">
        <v>1926</v>
      </c>
      <c r="I775" s="5" t="s">
        <v>1936</v>
      </c>
      <c r="J775" s="6"/>
      <c r="K775" s="7"/>
      <c r="L775" s="13"/>
      <c r="M775" s="8"/>
      <c r="N775" s="13"/>
      <c r="O775" s="13"/>
      <c r="P775" s="13"/>
      <c r="Q775" s="7"/>
      <c r="R775" s="6">
        <v>7.0000000000000007E-2</v>
      </c>
      <c r="S775" s="5"/>
      <c r="T775" s="1"/>
      <c r="U775" s="6">
        <v>6.5000000000000002E-2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44" t="str">
        <f t="shared" si="14"/>
        <v>IRONCLAD_AUSTRALIA</v>
      </c>
      <c r="B776" s="9" t="s">
        <v>760</v>
      </c>
      <c r="C776" s="5" t="s">
        <v>1300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44" t="str">
        <f t="shared" si="14"/>
        <v>IRONCLAD_AUSTRIA</v>
      </c>
      <c r="B777" s="9" t="s">
        <v>760</v>
      </c>
      <c r="C777" s="5" t="s">
        <v>701</v>
      </c>
      <c r="D777" s="5"/>
      <c r="E777" s="5" t="s">
        <v>760</v>
      </c>
      <c r="F777" s="5" t="s">
        <v>760</v>
      </c>
      <c r="G777" s="5"/>
      <c r="H777" s="5" t="s">
        <v>1925</v>
      </c>
      <c r="I777" s="5" t="s">
        <v>1936</v>
      </c>
      <c r="J777" s="6"/>
      <c r="K777" s="7"/>
      <c r="L777" s="13"/>
      <c r="M777" s="8"/>
      <c r="N777" s="13"/>
      <c r="O777" s="13"/>
      <c r="P777" s="13"/>
      <c r="Q777" s="7"/>
      <c r="R777" s="6">
        <v>8.6999999999999994E-2</v>
      </c>
      <c r="S777" s="5"/>
      <c r="T777" s="1"/>
      <c r="U777" s="6">
        <v>0.08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44" t="str">
        <f t="shared" si="14"/>
        <v>IRONCLAD_CANADA</v>
      </c>
      <c r="B778" s="9" t="s">
        <v>760</v>
      </c>
      <c r="C778" s="5" t="s">
        <v>2187</v>
      </c>
      <c r="D778" s="5" t="s">
        <v>713</v>
      </c>
      <c r="E778" s="5" t="s">
        <v>760</v>
      </c>
      <c r="F778" s="5" t="s">
        <v>760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5"/>
      <c r="T778" s="1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44" t="str">
        <f t="shared" si="14"/>
        <v>IRONCLAD_CELTS</v>
      </c>
      <c r="B779" s="9" t="s">
        <v>760</v>
      </c>
      <c r="C779" s="5" t="s">
        <v>709</v>
      </c>
      <c r="D779" s="5" t="s">
        <v>713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1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44" t="str">
        <f t="shared" si="14"/>
        <v>IRONCLAD_ENGLAND</v>
      </c>
      <c r="B780" s="9" t="s">
        <v>760</v>
      </c>
      <c r="C780" s="5" t="s">
        <v>713</v>
      </c>
      <c r="D780" s="5" t="s">
        <v>689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1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44" t="str">
        <f t="shared" si="14"/>
        <v>IRONCLAD_FRANCE</v>
      </c>
      <c r="B781" s="9" t="s">
        <v>760</v>
      </c>
      <c r="C781" s="5" t="s">
        <v>715</v>
      </c>
      <c r="D781" s="5"/>
      <c r="E781" s="5" t="s">
        <v>760</v>
      </c>
      <c r="F781" s="5" t="s">
        <v>760</v>
      </c>
      <c r="G781" s="5"/>
      <c r="H781" s="5" t="s">
        <v>1923</v>
      </c>
      <c r="I781" s="5" t="s">
        <v>1936</v>
      </c>
      <c r="J781" s="6"/>
      <c r="K781" s="7"/>
      <c r="L781" s="13"/>
      <c r="M781" s="8"/>
      <c r="N781" s="13"/>
      <c r="O781" s="13"/>
      <c r="P781" s="13"/>
      <c r="Q781" s="7"/>
      <c r="R781" s="6">
        <v>0.09</v>
      </c>
      <c r="S781" s="5"/>
      <c r="T781" s="1"/>
      <c r="U781" s="6" t="s">
        <v>1692</v>
      </c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44" t="str">
        <f t="shared" si="14"/>
        <v>IRONCLAD_GERMANY</v>
      </c>
      <c r="B782" s="9" t="s">
        <v>760</v>
      </c>
      <c r="C782" s="5" t="s">
        <v>717</v>
      </c>
      <c r="D782" s="5"/>
      <c r="E782" s="5" t="s">
        <v>760</v>
      </c>
      <c r="F782" s="5" t="s">
        <v>760</v>
      </c>
      <c r="G782" s="5"/>
      <c r="H782" s="5" t="s">
        <v>1922</v>
      </c>
      <c r="I782" s="5" t="s">
        <v>1936</v>
      </c>
      <c r="J782" s="6"/>
      <c r="K782" s="7"/>
      <c r="L782" s="13"/>
      <c r="M782" s="8"/>
      <c r="N782" s="13"/>
      <c r="O782" s="13"/>
      <c r="P782" s="13"/>
      <c r="Q782" s="7"/>
      <c r="R782" s="6">
        <v>0.08</v>
      </c>
      <c r="S782" s="5"/>
      <c r="T782" s="1"/>
      <c r="U782" s="6">
        <v>7.4999999999999997E-2</v>
      </c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44" t="str">
        <f t="shared" si="14"/>
        <v>IRONCLAD_MED</v>
      </c>
      <c r="B783" s="9" t="s">
        <v>760</v>
      </c>
      <c r="C783" s="5" t="s">
        <v>692</v>
      </c>
      <c r="D783" s="5"/>
      <c r="E783" s="5" t="s">
        <v>760</v>
      </c>
      <c r="F783" s="5" t="s">
        <v>760</v>
      </c>
      <c r="G783" s="5"/>
      <c r="H783" s="5" t="s">
        <v>1919</v>
      </c>
      <c r="I783" s="5" t="s">
        <v>1936</v>
      </c>
      <c r="J783" s="6"/>
      <c r="K783" s="7"/>
      <c r="L783" s="13"/>
      <c r="M783" s="8"/>
      <c r="N783" s="13"/>
      <c r="O783" s="13"/>
      <c r="P783" s="13"/>
      <c r="Q783" s="7"/>
      <c r="R783" s="6">
        <v>9.1999999999999998E-2</v>
      </c>
      <c r="S783" s="5"/>
      <c r="T783" s="1"/>
      <c r="U783" s="6" t="s">
        <v>1692</v>
      </c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44" t="str">
        <f t="shared" si="14"/>
        <v>IRONCLAD_ROME</v>
      </c>
      <c r="B784" s="9" t="s">
        <v>760</v>
      </c>
      <c r="C784" s="5" t="s">
        <v>734</v>
      </c>
      <c r="D784" s="5"/>
      <c r="E784" s="5" t="s">
        <v>760</v>
      </c>
      <c r="F784" s="5" t="s">
        <v>760</v>
      </c>
      <c r="G784" s="5"/>
      <c r="H784" s="5" t="s">
        <v>1921</v>
      </c>
      <c r="I784" s="5" t="s">
        <v>1936</v>
      </c>
      <c r="J784" s="6"/>
      <c r="K784" s="7"/>
      <c r="L784" s="13"/>
      <c r="M784" s="8"/>
      <c r="N784" s="13"/>
      <c r="O784" s="13"/>
      <c r="P784" s="13"/>
      <c r="Q784" s="7"/>
      <c r="R784" s="6">
        <v>8.5000000000000006E-2</v>
      </c>
      <c r="S784" s="5"/>
      <c r="T784" s="1"/>
      <c r="U784" s="6">
        <v>0.08</v>
      </c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44" t="str">
        <f t="shared" si="14"/>
        <v>IRONCLAD_SPAIN</v>
      </c>
      <c r="B785" s="9" t="s">
        <v>760</v>
      </c>
      <c r="C785" s="5" t="s">
        <v>738</v>
      </c>
      <c r="D785" s="5" t="s">
        <v>692</v>
      </c>
      <c r="E785" s="5" t="s">
        <v>760</v>
      </c>
      <c r="F785" s="5" t="s">
        <v>760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5"/>
      <c r="T785" s="6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44" t="str">
        <f t="shared" si="14"/>
        <v>IRONCLAD_NORTHAF</v>
      </c>
      <c r="B786" s="9" t="s">
        <v>760</v>
      </c>
      <c r="C786" s="5" t="s">
        <v>2003</v>
      </c>
      <c r="D786" s="5" t="s">
        <v>715</v>
      </c>
      <c r="E786" s="5" t="s">
        <v>760</v>
      </c>
      <c r="F786" s="5" t="s">
        <v>760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5"/>
      <c r="T786" s="6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44" t="str">
        <f t="shared" si="14"/>
        <v>IRONCLAD_SEASIA</v>
      </c>
      <c r="B787" s="9" t="s">
        <v>760</v>
      </c>
      <c r="C787" s="5" t="s">
        <v>696</v>
      </c>
      <c r="D787" s="5" t="s">
        <v>715</v>
      </c>
      <c r="E787" s="5" t="s">
        <v>760</v>
      </c>
      <c r="F787" s="5" t="s">
        <v>760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5"/>
      <c r="T787" s="6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44" t="str">
        <f t="shared" si="14"/>
        <v>IRONCLAD_SOUTHAS</v>
      </c>
      <c r="B788" s="9" t="s">
        <v>760</v>
      </c>
      <c r="C788" s="5" t="s">
        <v>695</v>
      </c>
      <c r="D788" s="5" t="s">
        <v>713</v>
      </c>
      <c r="E788" s="5" t="s">
        <v>760</v>
      </c>
      <c r="F788" s="5" t="s">
        <v>760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5"/>
      <c r="T788" s="6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44" t="str">
        <f t="shared" si="14"/>
        <v>JET_FIGHTER</v>
      </c>
      <c r="B789" s="9" t="s">
        <v>761</v>
      </c>
      <c r="C789" s="5"/>
      <c r="D789" s="5"/>
      <c r="E789" s="5" t="s">
        <v>761</v>
      </c>
      <c r="F789" s="5" t="s">
        <v>794</v>
      </c>
      <c r="G789" s="5"/>
      <c r="H789" s="5" t="s">
        <v>1500</v>
      </c>
      <c r="I789" s="5" t="s">
        <v>102</v>
      </c>
      <c r="J789" s="6"/>
      <c r="K789" s="7"/>
      <c r="L789" s="13" t="s">
        <v>1708</v>
      </c>
      <c r="M789" s="8">
        <v>2.5</v>
      </c>
      <c r="N789" s="13" t="s">
        <v>1722</v>
      </c>
      <c r="O789" s="13"/>
      <c r="P789" s="13"/>
      <c r="Q789" s="7">
        <v>1</v>
      </c>
      <c r="R789" s="6">
        <v>0.11</v>
      </c>
      <c r="S789" s="13" t="s">
        <v>1618</v>
      </c>
      <c r="T789" s="7">
        <v>2</v>
      </c>
      <c r="U789" s="6">
        <v>0.105</v>
      </c>
      <c r="V789" s="5" t="s">
        <v>1618</v>
      </c>
      <c r="W789" s="6" t="s">
        <v>3</v>
      </c>
      <c r="X789" s="6" t="s">
        <v>3</v>
      </c>
      <c r="Y789" s="5"/>
      <c r="Z789" s="6"/>
      <c r="AA789" s="6"/>
      <c r="AB789" s="5"/>
      <c r="AC789" s="6"/>
      <c r="AD789" s="6" t="s">
        <v>3</v>
      </c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44" t="str">
        <f t="shared" si="14"/>
        <v>JET_FIGHTER_ZULU</v>
      </c>
      <c r="B790" s="9" t="s">
        <v>761</v>
      </c>
      <c r="C790" s="5" t="s">
        <v>742</v>
      </c>
      <c r="D790" s="5" t="s">
        <v>713</v>
      </c>
      <c r="E790" s="5" t="s">
        <v>761</v>
      </c>
      <c r="F790" s="5" t="s">
        <v>794</v>
      </c>
      <c r="G790" s="5"/>
      <c r="H790" s="5"/>
      <c r="I790" s="5"/>
      <c r="J790" s="6"/>
      <c r="K790" s="7"/>
      <c r="L790" s="13"/>
      <c r="M790" s="8"/>
      <c r="N790" s="13"/>
      <c r="O790" s="13"/>
      <c r="P790" s="13"/>
      <c r="Q790" s="7"/>
      <c r="R790" s="6"/>
      <c r="S790" s="13"/>
      <c r="T790" s="7"/>
      <c r="U790" s="6"/>
      <c r="V790" s="5"/>
      <c r="W790" s="6"/>
      <c r="X790" s="6"/>
      <c r="Y790" s="5"/>
      <c r="Z790" s="6"/>
      <c r="AA790" s="6"/>
      <c r="AB790" s="5"/>
      <c r="AC790" s="6"/>
      <c r="AD790" s="6"/>
      <c r="AE790" s="5"/>
      <c r="AF790" s="6"/>
      <c r="AG790" s="6"/>
      <c r="AH790" s="5"/>
      <c r="AI790" s="6"/>
      <c r="AJ790" s="6"/>
      <c r="AK790" s="5"/>
      <c r="AL790" s="6"/>
      <c r="AM790" s="6"/>
      <c r="AN790" s="6"/>
      <c r="AO790" s="6"/>
      <c r="AP790" s="6"/>
      <c r="AQ790" s="6"/>
    </row>
    <row r="791" spans="1:43" x14ac:dyDescent="0.25">
      <c r="A791" s="44" t="str">
        <f t="shared" si="14"/>
        <v>JET_FIGHTER_AMER</v>
      </c>
      <c r="B791" s="9" t="s">
        <v>761</v>
      </c>
      <c r="C791" s="5" t="s">
        <v>697</v>
      </c>
      <c r="D791" s="5" t="s">
        <v>699</v>
      </c>
      <c r="E791" s="5" t="s">
        <v>761</v>
      </c>
      <c r="F791" s="5" t="s">
        <v>794</v>
      </c>
      <c r="G791" s="5"/>
      <c r="H791" s="5"/>
      <c r="I791" s="5"/>
      <c r="J791" s="6"/>
      <c r="K791" s="7"/>
      <c r="L791" s="13"/>
      <c r="M791" s="8"/>
      <c r="N791" s="13"/>
      <c r="O791" s="13"/>
      <c r="P791" s="13"/>
      <c r="Q791" s="7"/>
      <c r="R791" s="6"/>
      <c r="S791" s="13"/>
      <c r="T791" s="7"/>
      <c r="U791" s="6"/>
      <c r="V791" s="5"/>
      <c r="W791" s="6"/>
      <c r="X791" s="6"/>
      <c r="Y791" s="5"/>
      <c r="Z791" s="6"/>
      <c r="AA791" s="6"/>
      <c r="AB791" s="5"/>
      <c r="AC791" s="6"/>
      <c r="AD791" s="6"/>
      <c r="AE791" s="5"/>
      <c r="AF791" s="6"/>
      <c r="AG791" s="6"/>
      <c r="AH791" s="5"/>
      <c r="AI791" s="6"/>
      <c r="AJ791" s="6"/>
      <c r="AK791" s="5"/>
      <c r="AL791" s="6"/>
      <c r="AM791" s="6"/>
      <c r="AN791" s="6"/>
      <c r="AO791" s="6"/>
      <c r="AP791" s="6"/>
      <c r="AQ791" s="6"/>
    </row>
    <row r="792" spans="1:43" x14ac:dyDescent="0.25">
      <c r="A792" s="44" t="str">
        <f t="shared" si="14"/>
        <v>JET_FIGHTER_IROQUOIS</v>
      </c>
      <c r="B792" s="9" t="s">
        <v>761</v>
      </c>
      <c r="C792" s="5" t="s">
        <v>721</v>
      </c>
      <c r="D792" s="5" t="s">
        <v>2187</v>
      </c>
      <c r="E792" s="5" t="s">
        <v>761</v>
      </c>
      <c r="F792" s="5" t="s">
        <v>794</v>
      </c>
      <c r="G792" s="5"/>
      <c r="H792" s="5"/>
      <c r="I792" s="5"/>
      <c r="J792" s="6"/>
      <c r="K792" s="7"/>
      <c r="L792" s="13"/>
      <c r="M792" s="8"/>
      <c r="N792" s="13"/>
      <c r="O792" s="13"/>
      <c r="P792" s="13"/>
      <c r="Q792" s="7"/>
      <c r="R792" s="6"/>
      <c r="S792" s="13"/>
      <c r="T792" s="7"/>
      <c r="U792" s="6"/>
      <c r="V792" s="5"/>
      <c r="W792" s="6"/>
      <c r="X792" s="6"/>
      <c r="Y792" s="5"/>
      <c r="Z792" s="6"/>
      <c r="AA792" s="6"/>
      <c r="AB792" s="5"/>
      <c r="AC792" s="6"/>
      <c r="AD792" s="6"/>
      <c r="AE792" s="5"/>
      <c r="AF792" s="6"/>
      <c r="AG792" s="6"/>
      <c r="AH792" s="5"/>
      <c r="AI792" s="6"/>
      <c r="AJ792" s="6"/>
      <c r="AK792" s="5"/>
      <c r="AL792" s="6"/>
      <c r="AM792" s="6"/>
      <c r="AN792" s="6"/>
      <c r="AO792" s="6"/>
      <c r="AP792" s="6"/>
      <c r="AQ792" s="6"/>
    </row>
    <row r="793" spans="1:43" x14ac:dyDescent="0.25">
      <c r="A793" s="44" t="str">
        <f t="shared" si="14"/>
        <v>JET_FIGHTER_ASIA</v>
      </c>
      <c r="B793" s="9" t="s">
        <v>761</v>
      </c>
      <c r="C793" s="5" t="s">
        <v>693</v>
      </c>
      <c r="D793" s="5" t="s">
        <v>698</v>
      </c>
      <c r="E793" s="5" t="s">
        <v>761</v>
      </c>
      <c r="F793" s="5" t="s">
        <v>794</v>
      </c>
      <c r="G793" s="5"/>
      <c r="H793" s="5"/>
      <c r="I793" s="5"/>
      <c r="J793" s="6"/>
      <c r="K793" s="7"/>
      <c r="L793" s="13"/>
      <c r="M793" s="8"/>
      <c r="N793" s="13"/>
      <c r="O793" s="13"/>
      <c r="P793" s="13"/>
      <c r="Q793" s="7"/>
      <c r="R793" s="6"/>
      <c r="S793" s="13"/>
      <c r="T793" s="7"/>
      <c r="U793" s="6"/>
      <c r="V793" s="5"/>
      <c r="W793" s="6"/>
      <c r="X793" s="6"/>
      <c r="Y793" s="5"/>
      <c r="Z793" s="6"/>
      <c r="AA793" s="6"/>
      <c r="AB793" s="5"/>
      <c r="AC793" s="6"/>
      <c r="AD793" s="6"/>
      <c r="AE793" s="5"/>
      <c r="AF793" s="6"/>
      <c r="AG793" s="6"/>
      <c r="AH793" s="5"/>
      <c r="AI793" s="6"/>
      <c r="AJ793" s="6"/>
      <c r="AK793" s="5"/>
      <c r="AL793" s="6"/>
      <c r="AM793" s="6"/>
      <c r="AN793" s="6"/>
      <c r="AO793" s="6"/>
      <c r="AP793" s="6"/>
      <c r="AQ793" s="6"/>
    </row>
    <row r="794" spans="1:43" x14ac:dyDescent="0.25">
      <c r="A794" s="44" t="str">
        <f t="shared" si="14"/>
        <v>JET_FIGHTER_JAPAN</v>
      </c>
      <c r="B794" s="9" t="s">
        <v>761</v>
      </c>
      <c r="C794" s="4" t="s">
        <v>722</v>
      </c>
      <c r="E794" s="4" t="s">
        <v>761</v>
      </c>
      <c r="F794" s="4" t="s">
        <v>794</v>
      </c>
      <c r="G794" s="14" t="s">
        <v>132</v>
      </c>
      <c r="H794" s="4" t="s">
        <v>482</v>
      </c>
      <c r="I794" s="4" t="s">
        <v>120</v>
      </c>
      <c r="AL794" s="11"/>
      <c r="AM794" s="11"/>
      <c r="AN794" s="11"/>
      <c r="AO794" s="11"/>
      <c r="AP794" s="11"/>
      <c r="AQ794" s="11"/>
    </row>
    <row r="795" spans="1:43" x14ac:dyDescent="0.25">
      <c r="A795" s="44" t="str">
        <f t="shared" si="14"/>
        <v>JET_FIGHTER_KOREA</v>
      </c>
      <c r="B795" s="9" t="s">
        <v>761</v>
      </c>
      <c r="C795" s="4" t="s">
        <v>723</v>
      </c>
      <c r="E795" s="4" t="s">
        <v>761</v>
      </c>
      <c r="F795" s="4" t="s">
        <v>794</v>
      </c>
      <c r="G795" s="14" t="s">
        <v>132</v>
      </c>
      <c r="H795" s="4" t="s">
        <v>499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44" t="str">
        <f t="shared" si="14"/>
        <v>JET_FIGHTER_OTTOMAN</v>
      </c>
      <c r="B796" s="9" t="s">
        <v>761</v>
      </c>
      <c r="C796" s="4" t="s">
        <v>1037</v>
      </c>
      <c r="E796" s="4" t="s">
        <v>761</v>
      </c>
      <c r="F796" s="4" t="s">
        <v>794</v>
      </c>
      <c r="G796" s="14" t="s">
        <v>132</v>
      </c>
      <c r="H796" s="4" t="s">
        <v>1039</v>
      </c>
      <c r="I796" s="4" t="s">
        <v>120</v>
      </c>
      <c r="AL796" s="11"/>
      <c r="AM796" s="11"/>
      <c r="AN796" s="11"/>
      <c r="AO796" s="11"/>
      <c r="AP796" s="11"/>
      <c r="AQ796" s="11"/>
    </row>
    <row r="797" spans="1:43" x14ac:dyDescent="0.25">
      <c r="A797" s="44" t="str">
        <f t="shared" si="14"/>
        <v>JET_FIGHTER_EASTEU</v>
      </c>
      <c r="B797" s="9" t="s">
        <v>761</v>
      </c>
      <c r="C797" s="4" t="s">
        <v>698</v>
      </c>
      <c r="E797" s="4" t="s">
        <v>761</v>
      </c>
      <c r="F797" s="4" t="s">
        <v>794</v>
      </c>
      <c r="G797" s="14"/>
      <c r="H797" s="5" t="s">
        <v>1932</v>
      </c>
      <c r="I797" s="4" t="s">
        <v>120</v>
      </c>
      <c r="J797" s="6"/>
      <c r="AL797" s="11"/>
      <c r="AM797" s="11"/>
      <c r="AN797" s="11"/>
      <c r="AO797" s="11"/>
      <c r="AP797" s="11"/>
      <c r="AQ797" s="11"/>
    </row>
    <row r="798" spans="1:43" x14ac:dyDescent="0.25">
      <c r="A798" s="44" t="str">
        <f t="shared" si="14"/>
        <v>JET_FIGHTER_KIEV</v>
      </c>
      <c r="B798" s="9" t="s">
        <v>761</v>
      </c>
      <c r="C798" s="4" t="s">
        <v>1187</v>
      </c>
      <c r="E798" s="4" t="s">
        <v>761</v>
      </c>
      <c r="F798" s="4" t="s">
        <v>794</v>
      </c>
      <c r="G798" s="14"/>
      <c r="H798" s="5" t="s">
        <v>1933</v>
      </c>
      <c r="I798" s="4" t="s">
        <v>120</v>
      </c>
      <c r="J798" s="6"/>
      <c r="AL798" s="11"/>
      <c r="AM798" s="11"/>
      <c r="AN798" s="11"/>
      <c r="AO798" s="11"/>
      <c r="AP798" s="11"/>
      <c r="AQ798" s="11"/>
    </row>
    <row r="799" spans="1:43" x14ac:dyDescent="0.25">
      <c r="A799" s="44" t="str">
        <f t="shared" si="14"/>
        <v>JET_FIGHTER_RUSSIA</v>
      </c>
      <c r="B799" s="9" t="s">
        <v>761</v>
      </c>
      <c r="C799" s="4" t="s">
        <v>735</v>
      </c>
      <c r="E799" s="4" t="s">
        <v>761</v>
      </c>
      <c r="F799" s="4" t="s">
        <v>794</v>
      </c>
      <c r="G799" s="14" t="s">
        <v>132</v>
      </c>
      <c r="H799" s="4" t="s">
        <v>615</v>
      </c>
      <c r="I799" s="4" t="s">
        <v>120</v>
      </c>
      <c r="AL799" s="11"/>
      <c r="AM799" s="11"/>
      <c r="AN799" s="11"/>
      <c r="AO799" s="11"/>
      <c r="AP799" s="11"/>
      <c r="AQ799" s="11"/>
    </row>
    <row r="800" spans="1:43" x14ac:dyDescent="0.25">
      <c r="A800" s="44" t="str">
        <f t="shared" si="14"/>
        <v>JET_FIGHTER_AMERICA</v>
      </c>
      <c r="B800" s="9" t="s">
        <v>761</v>
      </c>
      <c r="C800" s="4" t="s">
        <v>699</v>
      </c>
      <c r="E800" s="4" t="s">
        <v>761</v>
      </c>
      <c r="F800" s="4" t="s">
        <v>794</v>
      </c>
      <c r="G800" s="14"/>
      <c r="H800" s="4" t="s">
        <v>141</v>
      </c>
      <c r="I800" s="4" t="s">
        <v>1928</v>
      </c>
      <c r="R800" s="11">
        <v>0.115</v>
      </c>
      <c r="U800" s="11">
        <v>0.11</v>
      </c>
      <c r="AL800" s="11"/>
      <c r="AM800" s="11"/>
      <c r="AN800" s="11"/>
      <c r="AO800" s="11"/>
      <c r="AP800" s="11"/>
      <c r="AQ800" s="11"/>
    </row>
    <row r="801" spans="1:43" x14ac:dyDescent="0.25">
      <c r="A801" s="44" t="str">
        <f t="shared" si="14"/>
        <v>JET_FIGHTER_AUSTRALIA</v>
      </c>
      <c r="B801" s="9" t="s">
        <v>761</v>
      </c>
      <c r="C801" s="4" t="s">
        <v>1300</v>
      </c>
      <c r="D801" s="4" t="s">
        <v>713</v>
      </c>
      <c r="E801" s="4" t="s">
        <v>761</v>
      </c>
      <c r="F801" s="4" t="s">
        <v>794</v>
      </c>
      <c r="G801" s="14"/>
      <c r="AL801" s="11"/>
      <c r="AM801" s="11"/>
      <c r="AN801" s="11"/>
      <c r="AO801" s="11"/>
      <c r="AP801" s="11"/>
      <c r="AQ801" s="11"/>
    </row>
    <row r="802" spans="1:43" x14ac:dyDescent="0.25">
      <c r="A802" s="44" t="str">
        <f t="shared" si="14"/>
        <v>JET_FIGHTER_AUSTRIA</v>
      </c>
      <c r="B802" s="9" t="s">
        <v>761</v>
      </c>
      <c r="C802" s="4" t="s">
        <v>701</v>
      </c>
      <c r="E802" s="4" t="s">
        <v>761</v>
      </c>
      <c r="F802" s="4" t="s">
        <v>794</v>
      </c>
      <c r="G802" s="14"/>
      <c r="H802" s="4" t="s">
        <v>181</v>
      </c>
      <c r="I802" s="4" t="s">
        <v>120</v>
      </c>
      <c r="R802" s="11">
        <v>0.12</v>
      </c>
      <c r="AL802" s="11"/>
      <c r="AM802" s="11"/>
      <c r="AN802" s="11"/>
      <c r="AO802" s="11"/>
      <c r="AP802" s="11"/>
      <c r="AQ802" s="11"/>
    </row>
    <row r="803" spans="1:43" x14ac:dyDescent="0.25">
      <c r="A803" s="44" t="str">
        <f t="shared" si="14"/>
        <v>JET_FIGHTER_CANADA</v>
      </c>
      <c r="B803" s="9" t="s">
        <v>761</v>
      </c>
      <c r="C803" s="4" t="s">
        <v>2187</v>
      </c>
      <c r="E803" s="4" t="s">
        <v>761</v>
      </c>
      <c r="F803" s="4" t="s">
        <v>794</v>
      </c>
      <c r="G803" s="14"/>
      <c r="H803" s="4" t="s">
        <v>2190</v>
      </c>
      <c r="I803" s="4" t="s">
        <v>2191</v>
      </c>
      <c r="AL803" s="11"/>
      <c r="AM803" s="11"/>
      <c r="AN803" s="11"/>
      <c r="AO803" s="11"/>
      <c r="AP803" s="11"/>
      <c r="AQ803" s="11"/>
    </row>
    <row r="804" spans="1:43" x14ac:dyDescent="0.25">
      <c r="A804" s="44" t="str">
        <f t="shared" si="14"/>
        <v>JET_FIGHTER_CELTS</v>
      </c>
      <c r="B804" s="9" t="s">
        <v>761</v>
      </c>
      <c r="C804" s="4" t="s">
        <v>709</v>
      </c>
      <c r="D804" s="4" t="s">
        <v>713</v>
      </c>
      <c r="E804" s="4" t="s">
        <v>761</v>
      </c>
      <c r="F804" s="4" t="s">
        <v>794</v>
      </c>
      <c r="G804" s="14"/>
      <c r="AL804" s="11"/>
      <c r="AM804" s="11"/>
      <c r="AN804" s="11"/>
      <c r="AO804" s="11"/>
      <c r="AP804" s="11"/>
      <c r="AQ804" s="11"/>
    </row>
    <row r="805" spans="1:43" x14ac:dyDescent="0.25">
      <c r="A805" s="44" t="str">
        <f t="shared" si="14"/>
        <v>JET_FIGHTER_ENGLAND</v>
      </c>
      <c r="B805" s="9" t="s">
        <v>761</v>
      </c>
      <c r="C805" s="4" t="s">
        <v>713</v>
      </c>
      <c r="E805" s="4" t="s">
        <v>761</v>
      </c>
      <c r="F805" s="4" t="s">
        <v>794</v>
      </c>
      <c r="G805" s="14" t="s">
        <v>132</v>
      </c>
      <c r="H805" s="4" t="s">
        <v>301</v>
      </c>
      <c r="I805" s="4" t="s">
        <v>120</v>
      </c>
      <c r="R805" s="11">
        <v>0.12</v>
      </c>
      <c r="AL805" s="11"/>
      <c r="AM805" s="11"/>
      <c r="AN805" s="11"/>
      <c r="AO805" s="11"/>
      <c r="AP805" s="11"/>
      <c r="AQ805" s="11"/>
    </row>
    <row r="806" spans="1:43" x14ac:dyDescent="0.25">
      <c r="A806" s="44" t="str">
        <f t="shared" si="14"/>
        <v>JET_FIGHTER_FRANCE</v>
      </c>
      <c r="B806" s="9" t="s">
        <v>761</v>
      </c>
      <c r="C806" s="4" t="s">
        <v>715</v>
      </c>
      <c r="E806" s="4" t="s">
        <v>761</v>
      </c>
      <c r="F806" s="4" t="s">
        <v>794</v>
      </c>
      <c r="G806" s="14" t="s">
        <v>132</v>
      </c>
      <c r="H806" s="4" t="s">
        <v>347</v>
      </c>
      <c r="I806" s="4" t="s">
        <v>966</v>
      </c>
      <c r="R806" s="11">
        <v>0.105</v>
      </c>
      <c r="U806" s="11">
        <v>0.1</v>
      </c>
      <c r="AL806" s="11"/>
      <c r="AM806" s="11"/>
      <c r="AN806" s="11"/>
      <c r="AO806" s="11"/>
      <c r="AP806" s="11"/>
      <c r="AQ806" s="11"/>
    </row>
    <row r="807" spans="1:43" x14ac:dyDescent="0.25">
      <c r="A807" s="44" t="str">
        <f t="shared" si="14"/>
        <v>JET_FIGHTER_GERMANY</v>
      </c>
      <c r="B807" s="9" t="s">
        <v>761</v>
      </c>
      <c r="C807" s="4" t="s">
        <v>717</v>
      </c>
      <c r="E807" s="4" t="s">
        <v>761</v>
      </c>
      <c r="F807" s="4" t="s">
        <v>794</v>
      </c>
      <c r="G807" s="14" t="s">
        <v>132</v>
      </c>
      <c r="H807" s="4" t="s">
        <v>378</v>
      </c>
      <c r="I807" s="4" t="s">
        <v>120</v>
      </c>
      <c r="AL807" s="11"/>
      <c r="AM807" s="11"/>
      <c r="AN807" s="11"/>
      <c r="AO807" s="11"/>
      <c r="AP807" s="11"/>
      <c r="AQ807" s="11"/>
    </row>
    <row r="808" spans="1:43" x14ac:dyDescent="0.25">
      <c r="A808" s="44" t="str">
        <f t="shared" si="14"/>
        <v>JET_FIGHTER_GREECE</v>
      </c>
      <c r="B808" s="9" t="s">
        <v>761</v>
      </c>
      <c r="C808" s="4" t="s">
        <v>718</v>
      </c>
      <c r="E808" s="4" t="s">
        <v>761</v>
      </c>
      <c r="F808" s="4" t="s">
        <v>794</v>
      </c>
      <c r="G808" s="14" t="s">
        <v>132</v>
      </c>
      <c r="H808" s="4" t="s">
        <v>405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44" t="str">
        <f t="shared" si="14"/>
        <v>JET_FIGHTER_PORTUGAL</v>
      </c>
      <c r="B809" s="9" t="s">
        <v>761</v>
      </c>
      <c r="C809" s="4" t="s">
        <v>733</v>
      </c>
      <c r="E809" s="4" t="s">
        <v>761</v>
      </c>
      <c r="F809" s="4" t="s">
        <v>794</v>
      </c>
      <c r="G809" s="14" t="s">
        <v>132</v>
      </c>
      <c r="H809" s="4" t="s">
        <v>578</v>
      </c>
      <c r="I809" s="4" t="s">
        <v>1062</v>
      </c>
      <c r="R809" s="11">
        <v>0.105</v>
      </c>
      <c r="U809" s="11">
        <v>0.1</v>
      </c>
      <c r="AL809" s="11"/>
      <c r="AM809" s="11"/>
      <c r="AN809" s="11"/>
      <c r="AO809" s="11"/>
      <c r="AP809" s="11"/>
      <c r="AQ809" s="11"/>
    </row>
    <row r="810" spans="1:43" x14ac:dyDescent="0.25">
      <c r="A810" s="44" t="str">
        <f t="shared" si="14"/>
        <v>JET_FIGHTER_ROME</v>
      </c>
      <c r="B810" s="9" t="s">
        <v>761</v>
      </c>
      <c r="C810" s="4" t="s">
        <v>734</v>
      </c>
      <c r="E810" s="4" t="s">
        <v>761</v>
      </c>
      <c r="F810" s="4" t="s">
        <v>794</v>
      </c>
      <c r="G810" s="14" t="s">
        <v>132</v>
      </c>
      <c r="H810" s="4" t="s">
        <v>591</v>
      </c>
      <c r="I810" s="4" t="s">
        <v>120</v>
      </c>
      <c r="R810" s="11">
        <v>0.12</v>
      </c>
      <c r="AL810" s="11"/>
      <c r="AM810" s="11"/>
      <c r="AN810" s="11"/>
      <c r="AO810" s="11"/>
      <c r="AP810" s="11"/>
      <c r="AQ810" s="11"/>
    </row>
    <row r="811" spans="1:43" x14ac:dyDescent="0.25">
      <c r="A811" s="44" t="str">
        <f t="shared" si="14"/>
        <v>JET_FIGHTER_SPAIN</v>
      </c>
      <c r="B811" s="9" t="s">
        <v>761</v>
      </c>
      <c r="C811" s="4" t="s">
        <v>738</v>
      </c>
      <c r="E811" s="4" t="s">
        <v>761</v>
      </c>
      <c r="F811" s="4" t="s">
        <v>794</v>
      </c>
      <c r="G811" s="14" t="s">
        <v>132</v>
      </c>
      <c r="H811" s="4" t="s">
        <v>655</v>
      </c>
      <c r="I811" s="4" t="s">
        <v>120</v>
      </c>
      <c r="R811" s="11">
        <v>0.12</v>
      </c>
      <c r="AL811" s="11"/>
      <c r="AM811" s="11"/>
      <c r="AN811" s="11"/>
      <c r="AO811" s="11"/>
      <c r="AP811" s="11"/>
      <c r="AQ811" s="11"/>
    </row>
    <row r="812" spans="1:43" x14ac:dyDescent="0.25">
      <c r="A812" s="44" t="str">
        <f t="shared" si="14"/>
        <v>JET_FIGHTER_BABYLON</v>
      </c>
      <c r="B812" s="9" t="s">
        <v>761</v>
      </c>
      <c r="C812" s="4" t="s">
        <v>703</v>
      </c>
      <c r="E812" s="4" t="s">
        <v>761</v>
      </c>
      <c r="F812" s="4" t="s">
        <v>794</v>
      </c>
      <c r="G812" s="14"/>
      <c r="H812" s="4" t="s">
        <v>210</v>
      </c>
      <c r="I812" s="4" t="s">
        <v>120</v>
      </c>
      <c r="AL812" s="11"/>
      <c r="AM812" s="11"/>
      <c r="AN812" s="11"/>
      <c r="AO812" s="11"/>
      <c r="AP812" s="11"/>
      <c r="AQ812" s="11"/>
    </row>
    <row r="813" spans="1:43" x14ac:dyDescent="0.25">
      <c r="A813" s="44" t="str">
        <f t="shared" si="14"/>
        <v>JET_FIGHTER_EGYPT</v>
      </c>
      <c r="B813" s="9" t="s">
        <v>761</v>
      </c>
      <c r="C813" s="4" t="s">
        <v>712</v>
      </c>
      <c r="E813" s="4" t="s">
        <v>761</v>
      </c>
      <c r="F813" s="4" t="s">
        <v>794</v>
      </c>
      <c r="G813" s="14" t="s">
        <v>132</v>
      </c>
      <c r="H813" s="4" t="s">
        <v>281</v>
      </c>
      <c r="I813" s="4" t="s">
        <v>120</v>
      </c>
      <c r="AL813" s="11"/>
      <c r="AM813" s="11"/>
      <c r="AN813" s="11"/>
      <c r="AO813" s="11"/>
      <c r="AP813" s="11"/>
      <c r="AQ813" s="11"/>
    </row>
    <row r="814" spans="1:43" x14ac:dyDescent="0.25">
      <c r="A814" s="44" t="str">
        <f t="shared" si="14"/>
        <v>JET_FIGHTER_LEVANT</v>
      </c>
      <c r="B814" s="9" t="s">
        <v>761</v>
      </c>
      <c r="C814" s="4" t="s">
        <v>724</v>
      </c>
      <c r="E814" s="4" t="s">
        <v>761</v>
      </c>
      <c r="F814" s="4" t="s">
        <v>794</v>
      </c>
      <c r="G814" s="14" t="s">
        <v>132</v>
      </c>
      <c r="H814" s="4" t="s">
        <v>510</v>
      </c>
      <c r="I814" s="4" t="s">
        <v>120</v>
      </c>
      <c r="AL814" s="11"/>
      <c r="AM814" s="11"/>
      <c r="AN814" s="11"/>
      <c r="AO814" s="11"/>
      <c r="AP814" s="11"/>
      <c r="AQ814" s="11"/>
    </row>
    <row r="815" spans="1:43" x14ac:dyDescent="0.25">
      <c r="A815" s="44" t="str">
        <f t="shared" si="14"/>
        <v>JET_FIGHTER_PERSIA</v>
      </c>
      <c r="B815" s="9" t="s">
        <v>761</v>
      </c>
      <c r="C815" s="4" t="s">
        <v>731</v>
      </c>
      <c r="E815" s="4" t="s">
        <v>761</v>
      </c>
      <c r="F815" s="4" t="s">
        <v>794</v>
      </c>
      <c r="G815" s="14" t="s">
        <v>132</v>
      </c>
      <c r="H815" s="4" t="s">
        <v>555</v>
      </c>
      <c r="I815" s="4" t="s">
        <v>120</v>
      </c>
      <c r="AL815" s="11"/>
      <c r="AM815" s="11"/>
      <c r="AN815" s="11"/>
      <c r="AO815" s="11"/>
      <c r="AP815" s="11"/>
      <c r="AQ815" s="11"/>
    </row>
    <row r="816" spans="1:43" x14ac:dyDescent="0.25">
      <c r="A816" s="44" t="str">
        <f t="shared" si="14"/>
        <v>JET_FIGHTER_NORTHAF</v>
      </c>
      <c r="B816" s="9" t="s">
        <v>761</v>
      </c>
      <c r="C816" s="4" t="s">
        <v>2003</v>
      </c>
      <c r="D816" s="4" t="s">
        <v>715</v>
      </c>
      <c r="E816" s="4" t="s">
        <v>761</v>
      </c>
      <c r="F816" s="4" t="s">
        <v>794</v>
      </c>
      <c r="G816" s="14"/>
      <c r="AL816" s="11"/>
      <c r="AM816" s="11"/>
      <c r="AN816" s="11"/>
      <c r="AO816" s="11"/>
      <c r="AP816" s="11"/>
      <c r="AQ816" s="11"/>
    </row>
    <row r="817" spans="1:43" x14ac:dyDescent="0.25">
      <c r="A817" s="44" t="str">
        <f t="shared" si="14"/>
        <v>JET_FIGHTER_NORTHEU</v>
      </c>
      <c r="B817" s="9" t="s">
        <v>761</v>
      </c>
      <c r="C817" s="4" t="s">
        <v>962</v>
      </c>
      <c r="E817" s="4" t="s">
        <v>761</v>
      </c>
      <c r="F817" s="4" t="s">
        <v>794</v>
      </c>
      <c r="G817" s="14"/>
      <c r="H817" s="4" t="s">
        <v>2198</v>
      </c>
      <c r="I817" s="4" t="s">
        <v>1062</v>
      </c>
      <c r="AL817" s="11"/>
      <c r="AM817" s="11"/>
      <c r="AN817" s="11"/>
      <c r="AO817" s="11"/>
      <c r="AP817" s="11"/>
      <c r="AQ817" s="11"/>
    </row>
    <row r="818" spans="1:43" x14ac:dyDescent="0.25">
      <c r="A818" s="44" t="str">
        <f t="shared" si="14"/>
        <v>JET_FIGHTER_OCEAN</v>
      </c>
      <c r="B818" s="9" t="s">
        <v>761</v>
      </c>
      <c r="C818" s="4" t="s">
        <v>994</v>
      </c>
      <c r="D818" s="4" t="s">
        <v>699</v>
      </c>
      <c r="E818" s="4" t="s">
        <v>761</v>
      </c>
      <c r="F818" s="4" t="s">
        <v>794</v>
      </c>
      <c r="G818" s="14"/>
      <c r="AL818" s="11"/>
      <c r="AM818" s="11"/>
      <c r="AN818" s="11"/>
      <c r="AO818" s="11"/>
      <c r="AP818" s="11"/>
      <c r="AQ818" s="11"/>
    </row>
    <row r="819" spans="1:43" x14ac:dyDescent="0.25">
      <c r="A819" s="44" t="str">
        <f t="shared" si="14"/>
        <v>JET_FIGHTER_SIAM</v>
      </c>
      <c r="B819" s="9" t="s">
        <v>761</v>
      </c>
      <c r="C819" s="4" t="s">
        <v>736</v>
      </c>
      <c r="E819" s="4" t="s">
        <v>761</v>
      </c>
      <c r="F819" s="4" t="s">
        <v>794</v>
      </c>
      <c r="G819" s="14" t="s">
        <v>132</v>
      </c>
      <c r="H819" s="4" t="s">
        <v>637</v>
      </c>
      <c r="I819" s="4" t="s">
        <v>1062</v>
      </c>
      <c r="R819" s="11">
        <v>0.105</v>
      </c>
      <c r="U819" s="11">
        <v>0.1</v>
      </c>
      <c r="AL819" s="11"/>
      <c r="AM819" s="11"/>
      <c r="AN819" s="11"/>
      <c r="AO819" s="11"/>
      <c r="AP819" s="11"/>
      <c r="AQ819" s="11"/>
    </row>
    <row r="820" spans="1:43" x14ac:dyDescent="0.25">
      <c r="A820" s="44" t="str">
        <f t="shared" si="14"/>
        <v>JET_FIGHTER_SOUTHAM</v>
      </c>
      <c r="B820" s="9" t="s">
        <v>761</v>
      </c>
      <c r="C820" s="4" t="s">
        <v>691</v>
      </c>
      <c r="E820" s="4" t="s">
        <v>761</v>
      </c>
      <c r="F820" s="4" t="s">
        <v>794</v>
      </c>
      <c r="G820" s="14" t="s">
        <v>132</v>
      </c>
      <c r="H820" s="4" t="s">
        <v>421</v>
      </c>
      <c r="I820" s="4" t="s">
        <v>120</v>
      </c>
      <c r="AL820" s="11"/>
      <c r="AM820" s="11"/>
      <c r="AN820" s="11"/>
      <c r="AO820" s="11"/>
      <c r="AP820" s="11"/>
      <c r="AQ820" s="11"/>
    </row>
    <row r="821" spans="1:43" x14ac:dyDescent="0.25">
      <c r="A821" s="44" t="str">
        <f t="shared" si="14"/>
        <v>JET_FIGHTER_SOUTHAS</v>
      </c>
      <c r="B821" s="9" t="s">
        <v>761</v>
      </c>
      <c r="C821" s="4" t="s">
        <v>695</v>
      </c>
      <c r="D821" s="4" t="s">
        <v>698</v>
      </c>
      <c r="E821" s="4" t="s">
        <v>761</v>
      </c>
      <c r="F821" s="4" t="s">
        <v>794</v>
      </c>
      <c r="AL821" s="11"/>
      <c r="AM821" s="11"/>
      <c r="AN821" s="11"/>
      <c r="AO821" s="11"/>
      <c r="AP821" s="11"/>
      <c r="AQ821" s="11"/>
    </row>
    <row r="822" spans="1:43" x14ac:dyDescent="0.25">
      <c r="A822" s="44" t="str">
        <f t="shared" si="14"/>
        <v>JET_FIGHTER_INDIA</v>
      </c>
      <c r="B822" s="9" t="s">
        <v>761</v>
      </c>
      <c r="C822" s="4" t="s">
        <v>720</v>
      </c>
      <c r="E822" s="4" t="s">
        <v>761</v>
      </c>
      <c r="F822" s="4" t="s">
        <v>794</v>
      </c>
      <c r="H822" s="4" t="s">
        <v>435</v>
      </c>
      <c r="I822" s="4" t="s">
        <v>120</v>
      </c>
      <c r="R822" s="11">
        <v>0.115</v>
      </c>
      <c r="AL822" s="11"/>
      <c r="AM822" s="11"/>
      <c r="AN822" s="11"/>
      <c r="AO822" s="11"/>
      <c r="AP822" s="11"/>
      <c r="AQ822" s="11"/>
    </row>
    <row r="823" spans="1:43" x14ac:dyDescent="0.25">
      <c r="A823" s="44" t="str">
        <f t="shared" ref="A823:A891" si="16">CONCATENATE(E823,IF(ISBLANK(C823),"",CONCATENATE("_",C823)))</f>
        <v>KNIGHT</v>
      </c>
      <c r="B823" s="9" t="s">
        <v>110</v>
      </c>
      <c r="C823" s="5"/>
      <c r="D823" s="5"/>
      <c r="E823" s="5" t="s">
        <v>110</v>
      </c>
      <c r="F823" s="5" t="s">
        <v>110</v>
      </c>
      <c r="G823" s="5"/>
      <c r="H823" s="5" t="s">
        <v>28</v>
      </c>
      <c r="I823" s="5" t="s">
        <v>128</v>
      </c>
      <c r="J823" s="6"/>
      <c r="K823" s="6"/>
      <c r="L823" s="13" t="s">
        <v>1711</v>
      </c>
      <c r="M823" s="8"/>
      <c r="N823" s="5"/>
      <c r="O823" s="5"/>
      <c r="P823" s="5"/>
      <c r="Q823" s="7" t="s">
        <v>1692</v>
      </c>
      <c r="R823" s="6" t="s">
        <v>1692</v>
      </c>
      <c r="S823" s="13" t="s">
        <v>1692</v>
      </c>
      <c r="T823" s="7" t="s">
        <v>1692</v>
      </c>
      <c r="U823" s="7" t="s">
        <v>1692</v>
      </c>
      <c r="V823" s="5"/>
      <c r="W823" s="6" t="s">
        <v>3</v>
      </c>
      <c r="X823" s="6" t="s">
        <v>3</v>
      </c>
      <c r="Y823" s="5"/>
      <c r="Z823" s="7">
        <v>1</v>
      </c>
      <c r="AA823" s="6"/>
      <c r="AB823" s="5"/>
      <c r="AC823" s="6"/>
      <c r="AD823" s="6" t="s">
        <v>3</v>
      </c>
      <c r="AE823" s="5"/>
      <c r="AF823" s="7" t="s">
        <v>1692</v>
      </c>
      <c r="AG823" s="6"/>
      <c r="AH823" s="5"/>
      <c r="AI823" s="6"/>
      <c r="AJ823" s="6"/>
      <c r="AK823" s="5"/>
      <c r="AL823" s="6"/>
      <c r="AM823" s="6"/>
      <c r="AN823" s="6"/>
      <c r="AO823" s="6"/>
      <c r="AP823" s="6"/>
      <c r="AQ823" s="6"/>
    </row>
    <row r="824" spans="1:43" x14ac:dyDescent="0.25">
      <c r="A824" s="44" t="str">
        <f t="shared" si="16"/>
        <v>KNIGHT_AFRI</v>
      </c>
      <c r="B824" s="9" t="s">
        <v>110</v>
      </c>
      <c r="C824" s="4" t="s">
        <v>694</v>
      </c>
      <c r="E824" s="4" t="s">
        <v>110</v>
      </c>
      <c r="F824" s="4" t="s">
        <v>110</v>
      </c>
      <c r="H824" s="4" t="s">
        <v>325</v>
      </c>
      <c r="I824" s="4" t="s">
        <v>1025</v>
      </c>
      <c r="AL824" s="11"/>
      <c r="AM824" s="11"/>
      <c r="AN824" s="11"/>
      <c r="AO824" s="11"/>
      <c r="AP824" s="11"/>
      <c r="AQ824" s="11"/>
    </row>
    <row r="825" spans="1:43" x14ac:dyDescent="0.25">
      <c r="A825" s="44" t="str">
        <f t="shared" si="16"/>
        <v>KNIGHT_AMER</v>
      </c>
      <c r="B825" s="9" t="s">
        <v>110</v>
      </c>
      <c r="C825" s="4" t="s">
        <v>697</v>
      </c>
      <c r="E825" s="4" t="s">
        <v>110</v>
      </c>
      <c r="F825" s="4" t="s">
        <v>110</v>
      </c>
      <c r="H825" s="4" t="s">
        <v>633</v>
      </c>
      <c r="I825" s="4" t="s">
        <v>1013</v>
      </c>
      <c r="AL825" s="11"/>
      <c r="AM825" s="11"/>
      <c r="AN825" s="11"/>
      <c r="AO825" s="11"/>
      <c r="AP825" s="11"/>
      <c r="AQ825" s="11"/>
    </row>
    <row r="826" spans="1:43" x14ac:dyDescent="0.25">
      <c r="A826" s="44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H826" s="4" t="s">
        <v>938</v>
      </c>
      <c r="I826" s="4" t="s">
        <v>835</v>
      </c>
      <c r="Q826" s="11">
        <v>1</v>
      </c>
      <c r="T826" s="11">
        <v>1</v>
      </c>
      <c r="Z826" s="11">
        <v>0</v>
      </c>
      <c r="AF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44" t="str">
        <f t="shared" si="16"/>
        <v>KNIGHT_IROQUOIS</v>
      </c>
      <c r="B827" s="9" t="s">
        <v>110</v>
      </c>
      <c r="C827" s="4" t="s">
        <v>721</v>
      </c>
      <c r="E827" s="4" t="s">
        <v>110</v>
      </c>
      <c r="F827" s="4" t="s">
        <v>110</v>
      </c>
      <c r="G827" s="4" t="s">
        <v>2039</v>
      </c>
      <c r="H827" s="4" t="s">
        <v>939</v>
      </c>
      <c r="I827" s="4" t="s">
        <v>835</v>
      </c>
      <c r="Q827" s="11">
        <v>1</v>
      </c>
      <c r="T827" s="11">
        <v>2</v>
      </c>
      <c r="Z827" s="11">
        <v>1</v>
      </c>
      <c r="AF827" s="11">
        <v>1</v>
      </c>
      <c r="AL827" s="11"/>
      <c r="AM827" s="11"/>
      <c r="AN827" s="11"/>
      <c r="AO827" s="11"/>
      <c r="AP827" s="11"/>
      <c r="AQ827" s="11"/>
    </row>
    <row r="828" spans="1:43" x14ac:dyDescent="0.25">
      <c r="A828" s="44" t="str">
        <f t="shared" si="16"/>
        <v>KNIGHT_IROQUOIS</v>
      </c>
      <c r="B828" s="9" t="s">
        <v>110</v>
      </c>
      <c r="C828" s="4" t="s">
        <v>721</v>
      </c>
      <c r="E828" s="4" t="s">
        <v>110</v>
      </c>
      <c r="F828" s="4" t="s">
        <v>110</v>
      </c>
      <c r="G828" s="4" t="s">
        <v>2041</v>
      </c>
      <c r="H828" s="4" t="s">
        <v>940</v>
      </c>
      <c r="I828" s="4" t="s">
        <v>835</v>
      </c>
      <c r="Q828" s="11">
        <v>1</v>
      </c>
      <c r="T828" s="11">
        <v>1</v>
      </c>
      <c r="Z828" s="11">
        <v>0</v>
      </c>
      <c r="AF828" s="11">
        <v>0</v>
      </c>
      <c r="AL828" s="11"/>
      <c r="AM828" s="11"/>
      <c r="AN828" s="11"/>
      <c r="AO828" s="11"/>
      <c r="AP828" s="11"/>
      <c r="AQ828" s="11"/>
    </row>
    <row r="829" spans="1:43" x14ac:dyDescent="0.25">
      <c r="A829" s="44" t="str">
        <f t="shared" si="16"/>
        <v>KNIGHT_IROQUOIS</v>
      </c>
      <c r="B829" s="9" t="s">
        <v>110</v>
      </c>
      <c r="C829" s="4" t="s">
        <v>721</v>
      </c>
      <c r="E829" s="4" t="s">
        <v>110</v>
      </c>
      <c r="F829" s="4" t="s">
        <v>110</v>
      </c>
      <c r="G829" s="4" t="s">
        <v>2040</v>
      </c>
      <c r="H829" s="4" t="s">
        <v>941</v>
      </c>
      <c r="I829" s="4" t="s">
        <v>835</v>
      </c>
      <c r="Q829" s="9">
        <v>1</v>
      </c>
      <c r="T829" s="11">
        <v>1</v>
      </c>
      <c r="Z829" s="9">
        <v>0</v>
      </c>
      <c r="AF829" s="11">
        <v>0</v>
      </c>
      <c r="AL829" s="11"/>
      <c r="AM829" s="11"/>
      <c r="AN829" s="11"/>
      <c r="AO829" s="11"/>
      <c r="AP829" s="11"/>
      <c r="AQ829" s="11"/>
    </row>
    <row r="830" spans="1:43" x14ac:dyDescent="0.25">
      <c r="A830" s="44" t="str">
        <f t="shared" si="16"/>
        <v>KNIGHT_IROQUOIS</v>
      </c>
      <c r="B830" s="9" t="s">
        <v>110</v>
      </c>
      <c r="C830" s="4" t="s">
        <v>721</v>
      </c>
      <c r="E830" s="4" t="s">
        <v>110</v>
      </c>
      <c r="F830" s="4" t="s">
        <v>110</v>
      </c>
      <c r="G830" s="4" t="s">
        <v>2050</v>
      </c>
      <c r="H830" s="4" t="s">
        <v>464</v>
      </c>
      <c r="I830" s="4" t="s">
        <v>835</v>
      </c>
      <c r="Q830" s="9">
        <v>1</v>
      </c>
      <c r="T830" s="11">
        <v>2</v>
      </c>
      <c r="Z830" s="9">
        <v>0</v>
      </c>
      <c r="AF830" s="11">
        <v>1</v>
      </c>
      <c r="AL830" s="11"/>
      <c r="AM830" s="11"/>
      <c r="AN830" s="11"/>
      <c r="AO830" s="11"/>
      <c r="AP830" s="11"/>
      <c r="AQ830" s="11"/>
    </row>
    <row r="831" spans="1:43" x14ac:dyDescent="0.25">
      <c r="A831" s="44" t="str">
        <f t="shared" si="16"/>
        <v>KNIGHT_ASIA</v>
      </c>
      <c r="B831" s="9" t="s">
        <v>110</v>
      </c>
      <c r="C831" s="4" t="s">
        <v>693</v>
      </c>
      <c r="E831" s="4" t="s">
        <v>110</v>
      </c>
      <c r="F831" s="4" t="s">
        <v>110</v>
      </c>
      <c r="H831" s="4" t="s">
        <v>530</v>
      </c>
      <c r="I831" s="4" t="s">
        <v>2089</v>
      </c>
      <c r="AL831" s="11"/>
      <c r="AM831" s="11"/>
      <c r="AN831" s="11"/>
      <c r="AO831" s="11"/>
      <c r="AP831" s="11"/>
      <c r="AQ831" s="11"/>
    </row>
    <row r="832" spans="1:43" x14ac:dyDescent="0.25">
      <c r="A832" s="44" t="str">
        <f t="shared" si="16"/>
        <v>KNIGHT_CHINA</v>
      </c>
      <c r="B832" s="9" t="s">
        <v>110</v>
      </c>
      <c r="C832" s="4" t="s">
        <v>710</v>
      </c>
      <c r="E832" s="4" t="s">
        <v>110</v>
      </c>
      <c r="F832" s="4" t="s">
        <v>110</v>
      </c>
      <c r="G832" s="14" t="s">
        <v>132</v>
      </c>
      <c r="H832" s="4" t="s">
        <v>250</v>
      </c>
      <c r="I832" s="4" t="s">
        <v>102</v>
      </c>
      <c r="AL832" s="11"/>
      <c r="AM832" s="11"/>
      <c r="AN832" s="11"/>
      <c r="AO832" s="11"/>
      <c r="AP832" s="11"/>
      <c r="AQ832" s="11"/>
    </row>
    <row r="833" spans="1:43" x14ac:dyDescent="0.25">
      <c r="A833" s="44" t="str">
        <f t="shared" si="16"/>
        <v>KNIGHT_JAPAN</v>
      </c>
      <c r="B833" s="9" t="s">
        <v>110</v>
      </c>
      <c r="C833" s="4" t="s">
        <v>722</v>
      </c>
      <c r="E833" s="4" t="s">
        <v>110</v>
      </c>
      <c r="F833" s="4" t="s">
        <v>110</v>
      </c>
      <c r="G833" s="14" t="s">
        <v>132</v>
      </c>
      <c r="H833" s="4" t="s">
        <v>483</v>
      </c>
      <c r="I833" s="10" t="s">
        <v>102</v>
      </c>
      <c r="AL833" s="11"/>
      <c r="AM833" s="11"/>
      <c r="AN833" s="11"/>
      <c r="AO833" s="11"/>
      <c r="AP833" s="11"/>
      <c r="AQ833" s="11"/>
    </row>
    <row r="834" spans="1:43" x14ac:dyDescent="0.25">
      <c r="A834" s="44" t="str">
        <f t="shared" si="16"/>
        <v>KNIGHT_KOREA</v>
      </c>
      <c r="B834" s="9" t="s">
        <v>110</v>
      </c>
      <c r="C834" s="4" t="s">
        <v>723</v>
      </c>
      <c r="E834" s="4" t="s">
        <v>110</v>
      </c>
      <c r="F834" s="4" t="s">
        <v>110</v>
      </c>
      <c r="G834" s="14" t="s">
        <v>132</v>
      </c>
      <c r="H834" s="4" t="s">
        <v>500</v>
      </c>
      <c r="I834" s="4" t="s">
        <v>102</v>
      </c>
      <c r="AL834" s="11"/>
      <c r="AM834" s="11"/>
      <c r="AN834" s="11"/>
      <c r="AO834" s="11"/>
      <c r="AP834" s="11"/>
      <c r="AQ834" s="11"/>
    </row>
    <row r="835" spans="1:43" x14ac:dyDescent="0.25">
      <c r="A835" s="44" t="str">
        <f t="shared" si="16"/>
        <v>KNIGHT_CENTAS</v>
      </c>
      <c r="B835" s="9" t="s">
        <v>110</v>
      </c>
      <c r="C835" s="4" t="s">
        <v>918</v>
      </c>
      <c r="E835" s="4" t="s">
        <v>110</v>
      </c>
      <c r="F835" s="4" t="s">
        <v>110</v>
      </c>
      <c r="H835" s="4" t="s">
        <v>909</v>
      </c>
      <c r="I835" s="4" t="s">
        <v>1063</v>
      </c>
      <c r="AL835" s="11"/>
      <c r="AM835" s="11"/>
      <c r="AN835" s="11"/>
      <c r="AO835" s="11"/>
      <c r="AP835" s="11"/>
      <c r="AQ835" s="11"/>
    </row>
    <row r="836" spans="1:43" x14ac:dyDescent="0.25">
      <c r="A836" s="44" t="str">
        <f t="shared" si="16"/>
        <v>KNIGHT_OTTOMAN</v>
      </c>
      <c r="B836" s="9" t="s">
        <v>110</v>
      </c>
      <c r="C836" s="4" t="s">
        <v>1037</v>
      </c>
      <c r="E836" s="4" t="s">
        <v>110</v>
      </c>
      <c r="F836" s="4" t="s">
        <v>110</v>
      </c>
      <c r="H836" s="4" t="s">
        <v>1033</v>
      </c>
      <c r="I836" s="4" t="s">
        <v>2089</v>
      </c>
      <c r="AL836" s="11"/>
      <c r="AM836" s="11"/>
      <c r="AN836" s="11"/>
      <c r="AO836" s="11"/>
      <c r="AP836" s="11"/>
      <c r="AQ836" s="11"/>
    </row>
    <row r="837" spans="1:43" x14ac:dyDescent="0.25">
      <c r="A837" s="44" t="str">
        <f t="shared" si="16"/>
        <v>KNIGHT_EASTEU</v>
      </c>
      <c r="B837" s="9" t="s">
        <v>110</v>
      </c>
      <c r="C837" s="4" t="s">
        <v>698</v>
      </c>
      <c r="E837" s="4" t="s">
        <v>110</v>
      </c>
      <c r="F837" s="4" t="s">
        <v>110</v>
      </c>
      <c r="H837" s="4" t="s">
        <v>2090</v>
      </c>
      <c r="I837" s="4" t="s">
        <v>1024</v>
      </c>
      <c r="Q837" s="11">
        <v>1</v>
      </c>
      <c r="T837" s="11">
        <v>1</v>
      </c>
      <c r="Z837" s="11">
        <v>0</v>
      </c>
      <c r="AF837" s="11">
        <v>0</v>
      </c>
      <c r="AL837" s="11"/>
      <c r="AM837" s="11"/>
      <c r="AN837" s="11"/>
      <c r="AO837" s="11"/>
      <c r="AP837" s="11"/>
      <c r="AQ837" s="11"/>
    </row>
    <row r="838" spans="1:43" x14ac:dyDescent="0.25">
      <c r="A838" s="44" t="str">
        <f t="shared" si="16"/>
        <v>KNIGHT_EASTEU</v>
      </c>
      <c r="B838" s="9" t="s">
        <v>110</v>
      </c>
      <c r="C838" s="4" t="s">
        <v>698</v>
      </c>
      <c r="E838" s="4" t="s">
        <v>110</v>
      </c>
      <c r="F838" s="4" t="s">
        <v>110</v>
      </c>
      <c r="H838" s="4" t="s">
        <v>2815</v>
      </c>
      <c r="I838" s="4" t="s">
        <v>2813</v>
      </c>
      <c r="Q838" s="11">
        <v>2</v>
      </c>
      <c r="T838" s="11">
        <v>2</v>
      </c>
      <c r="Z838" s="11">
        <v>1</v>
      </c>
      <c r="AF838" s="11">
        <v>1</v>
      </c>
      <c r="AL838" s="11"/>
      <c r="AM838" s="11"/>
      <c r="AN838" s="11"/>
      <c r="AO838" s="11"/>
      <c r="AP838" s="11"/>
      <c r="AQ838" s="11"/>
    </row>
    <row r="839" spans="1:43" x14ac:dyDescent="0.25">
      <c r="A839" s="44" t="str">
        <f t="shared" si="16"/>
        <v>KNIGHT_EASTEU</v>
      </c>
      <c r="B839" s="9" t="s">
        <v>110</v>
      </c>
      <c r="C839" s="4" t="s">
        <v>698</v>
      </c>
      <c r="E839" s="4" t="s">
        <v>110</v>
      </c>
      <c r="F839" s="4" t="s">
        <v>110</v>
      </c>
      <c r="H839" s="4" t="s">
        <v>2090</v>
      </c>
      <c r="I839" s="4" t="s">
        <v>1024</v>
      </c>
      <c r="Q839" s="11">
        <v>1</v>
      </c>
      <c r="T839" s="11">
        <v>2</v>
      </c>
      <c r="Z839" s="11">
        <v>0</v>
      </c>
      <c r="AF839" s="11">
        <v>1</v>
      </c>
      <c r="AL839" s="11"/>
      <c r="AM839" s="11"/>
      <c r="AN839" s="11"/>
      <c r="AO839" s="11"/>
      <c r="AP839" s="11"/>
      <c r="AQ839" s="11"/>
    </row>
    <row r="840" spans="1:43" x14ac:dyDescent="0.25">
      <c r="A840" s="44" t="str">
        <f t="shared" si="16"/>
        <v>KNIGHT_EASTEU</v>
      </c>
      <c r="B840" s="9" t="s">
        <v>110</v>
      </c>
      <c r="C840" s="4" t="s">
        <v>698</v>
      </c>
      <c r="E840" s="4" t="s">
        <v>110</v>
      </c>
      <c r="F840" s="4" t="s">
        <v>110</v>
      </c>
      <c r="H840" s="4" t="s">
        <v>2815</v>
      </c>
      <c r="I840" s="4" t="s">
        <v>2813</v>
      </c>
      <c r="Q840" s="11">
        <v>1</v>
      </c>
      <c r="T840" s="11">
        <v>2</v>
      </c>
      <c r="Z840" s="11">
        <v>0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44" t="str">
        <f t="shared" si="16"/>
        <v>KNIGHT_POLAND</v>
      </c>
      <c r="B841" s="9" t="s">
        <v>110</v>
      </c>
      <c r="C841" s="4" t="s">
        <v>732</v>
      </c>
      <c r="E841" s="4" t="s">
        <v>110</v>
      </c>
      <c r="F841" s="4" t="s">
        <v>110</v>
      </c>
      <c r="H841" s="4" t="s">
        <v>2172</v>
      </c>
      <c r="I841" s="4" t="s">
        <v>1024</v>
      </c>
      <c r="AL841" s="11"/>
      <c r="AM841" s="11"/>
      <c r="AN841" s="11"/>
      <c r="AO841" s="11"/>
      <c r="AP841" s="11"/>
      <c r="AQ841" s="11"/>
    </row>
    <row r="842" spans="1:43" x14ac:dyDescent="0.25">
      <c r="A842" s="44" t="str">
        <f t="shared" si="16"/>
        <v>KNIGHT_RUSSIA</v>
      </c>
      <c r="B842" s="9" t="s">
        <v>110</v>
      </c>
      <c r="C842" s="4" t="s">
        <v>735</v>
      </c>
      <c r="E842" s="4" t="s">
        <v>110</v>
      </c>
      <c r="F842" s="4" t="s">
        <v>110</v>
      </c>
      <c r="H842" s="4" t="s">
        <v>616</v>
      </c>
      <c r="I842" s="4" t="s">
        <v>2089</v>
      </c>
      <c r="Q842" s="11">
        <v>1</v>
      </c>
      <c r="T842" s="11">
        <v>1</v>
      </c>
      <c r="Z842" s="11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44" t="str">
        <f t="shared" si="16"/>
        <v>KNIGHT_RUSSIA</v>
      </c>
      <c r="B843" s="9" t="s">
        <v>110</v>
      </c>
      <c r="C843" s="4" t="s">
        <v>735</v>
      </c>
      <c r="E843" s="4" t="s">
        <v>110</v>
      </c>
      <c r="F843" s="4" t="s">
        <v>110</v>
      </c>
      <c r="G843" s="4" t="s">
        <v>2039</v>
      </c>
      <c r="H843" s="4" t="s">
        <v>1003</v>
      </c>
      <c r="I843" s="4" t="s">
        <v>2089</v>
      </c>
      <c r="Q843" s="11">
        <v>2</v>
      </c>
      <c r="T843" s="11">
        <v>2</v>
      </c>
      <c r="Z843" s="11">
        <v>1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44" t="str">
        <f t="shared" si="16"/>
        <v>KNIGHT_RUSSIA</v>
      </c>
      <c r="B844" s="9" t="s">
        <v>110</v>
      </c>
      <c r="C844" s="4" t="s">
        <v>735</v>
      </c>
      <c r="E844" s="4" t="s">
        <v>110</v>
      </c>
      <c r="F844" s="4" t="s">
        <v>110</v>
      </c>
      <c r="G844" s="4" t="s">
        <v>2041</v>
      </c>
      <c r="H844" s="4" t="s">
        <v>1004</v>
      </c>
      <c r="I844" s="4" t="s">
        <v>2089</v>
      </c>
      <c r="Q844" s="11">
        <v>1</v>
      </c>
      <c r="T844" s="11">
        <v>2</v>
      </c>
      <c r="Z844" s="11">
        <v>0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44" t="str">
        <f t="shared" si="16"/>
        <v>KNIGHT_RUSSIA</v>
      </c>
      <c r="B845" s="9" t="s">
        <v>110</v>
      </c>
      <c r="C845" s="4" t="s">
        <v>735</v>
      </c>
      <c r="E845" s="4" t="s">
        <v>110</v>
      </c>
      <c r="F845" s="4" t="s">
        <v>110</v>
      </c>
      <c r="G845" s="14" t="s">
        <v>132</v>
      </c>
      <c r="H845" s="4" t="s">
        <v>616</v>
      </c>
      <c r="I845" s="4" t="s">
        <v>2089</v>
      </c>
      <c r="Q845" s="9">
        <v>1</v>
      </c>
      <c r="T845" s="11">
        <v>2</v>
      </c>
      <c r="Z845" s="11">
        <v>0</v>
      </c>
      <c r="AF845" s="11">
        <v>0</v>
      </c>
      <c r="AL845" s="11"/>
      <c r="AM845" s="11"/>
      <c r="AN845" s="11"/>
      <c r="AO845" s="11"/>
      <c r="AP845" s="11"/>
      <c r="AQ845" s="11"/>
    </row>
    <row r="846" spans="1:43" x14ac:dyDescent="0.25">
      <c r="A846" s="44" t="str">
        <f t="shared" si="16"/>
        <v>KNIGHT_ENGLAND</v>
      </c>
      <c r="B846" s="9" t="s">
        <v>110</v>
      </c>
      <c r="C846" s="4" t="s">
        <v>713</v>
      </c>
      <c r="E846" s="4" t="s">
        <v>110</v>
      </c>
      <c r="F846" s="4" t="s">
        <v>110</v>
      </c>
      <c r="H846" s="4" t="s">
        <v>863</v>
      </c>
      <c r="I846" s="4" t="s">
        <v>102</v>
      </c>
      <c r="Q846" s="9">
        <v>5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44" t="str">
        <f t="shared" si="16"/>
        <v>KNIGHT_ENGLAND</v>
      </c>
      <c r="B847" s="9" t="s">
        <v>110</v>
      </c>
      <c r="C847" s="4" t="s">
        <v>713</v>
      </c>
      <c r="E847" s="4" t="s">
        <v>110</v>
      </c>
      <c r="F847" s="4" t="s">
        <v>110</v>
      </c>
      <c r="G847" s="4" t="s">
        <v>2039</v>
      </c>
      <c r="H847" s="4" t="s">
        <v>302</v>
      </c>
      <c r="I847" s="4" t="s">
        <v>125</v>
      </c>
      <c r="Q847" s="9">
        <v>0</v>
      </c>
      <c r="T847" s="11">
        <v>1</v>
      </c>
      <c r="Z847" s="9">
        <v>1</v>
      </c>
      <c r="AF847" s="11">
        <v>1</v>
      </c>
      <c r="AL847" s="11"/>
      <c r="AM847" s="11"/>
      <c r="AN847" s="11"/>
      <c r="AO847" s="11"/>
      <c r="AP847" s="11"/>
      <c r="AQ847" s="11"/>
    </row>
    <row r="848" spans="1:43" x14ac:dyDescent="0.25">
      <c r="A848" s="44" t="str">
        <f t="shared" si="16"/>
        <v>KNIGHT_ENGLAND</v>
      </c>
      <c r="B848" s="9" t="s">
        <v>110</v>
      </c>
      <c r="C848" s="4" t="s">
        <v>713</v>
      </c>
      <c r="E848" s="4" t="s">
        <v>110</v>
      </c>
      <c r="F848" s="4" t="s">
        <v>110</v>
      </c>
      <c r="H848" s="4" t="s">
        <v>863</v>
      </c>
      <c r="I848" s="4" t="s">
        <v>102</v>
      </c>
      <c r="Q848" s="9">
        <v>0</v>
      </c>
      <c r="T848" s="11">
        <v>2</v>
      </c>
      <c r="Z848" s="9">
        <v>0</v>
      </c>
      <c r="AF848" s="11">
        <v>1</v>
      </c>
      <c r="AL848" s="11"/>
      <c r="AM848" s="11"/>
      <c r="AN848" s="11"/>
      <c r="AO848" s="11"/>
      <c r="AP848" s="11"/>
      <c r="AQ848" s="11"/>
    </row>
    <row r="849" spans="1:43" x14ac:dyDescent="0.25">
      <c r="A849" s="44" t="str">
        <f t="shared" si="16"/>
        <v>KNIGHT_ENGLAND</v>
      </c>
      <c r="B849" s="9" t="s">
        <v>110</v>
      </c>
      <c r="C849" s="4" t="s">
        <v>713</v>
      </c>
      <c r="E849" s="4" t="s">
        <v>110</v>
      </c>
      <c r="F849" s="4" t="s">
        <v>110</v>
      </c>
      <c r="G849" s="4" t="s">
        <v>2039</v>
      </c>
      <c r="H849" s="4" t="s">
        <v>302</v>
      </c>
      <c r="I849" s="4" t="s">
        <v>125</v>
      </c>
      <c r="Q849" s="9">
        <v>0</v>
      </c>
      <c r="T849" s="11">
        <v>3</v>
      </c>
      <c r="Z849" s="9">
        <v>0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44" t="str">
        <f t="shared" si="16"/>
        <v>KNIGHT_FRANCE</v>
      </c>
      <c r="B850" s="9" t="s">
        <v>110</v>
      </c>
      <c r="C850" s="4" t="s">
        <v>715</v>
      </c>
      <c r="E850" s="4" t="s">
        <v>110</v>
      </c>
      <c r="F850" s="4" t="s">
        <v>110</v>
      </c>
      <c r="H850" s="4" t="s">
        <v>874</v>
      </c>
      <c r="I850" s="4" t="s">
        <v>125</v>
      </c>
      <c r="Q850" s="9">
        <v>0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44" t="str">
        <f t="shared" si="16"/>
        <v>KNIGHT_FRANCE</v>
      </c>
      <c r="B851" s="9" t="s">
        <v>110</v>
      </c>
      <c r="C851" s="4" t="s">
        <v>715</v>
      </c>
      <c r="E851" s="4" t="s">
        <v>110</v>
      </c>
      <c r="F851" s="4" t="s">
        <v>110</v>
      </c>
      <c r="G851" s="4" t="s">
        <v>2039</v>
      </c>
      <c r="H851" s="4" t="s">
        <v>875</v>
      </c>
      <c r="I851" s="4" t="s">
        <v>102</v>
      </c>
      <c r="Q851" s="9">
        <v>1</v>
      </c>
      <c r="T851" s="11">
        <v>1</v>
      </c>
      <c r="Z851" s="9">
        <v>1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44" t="str">
        <f t="shared" si="16"/>
        <v>KNIGHT_FRANCE</v>
      </c>
      <c r="B852" s="9" t="s">
        <v>110</v>
      </c>
      <c r="C852" s="4" t="s">
        <v>715</v>
      </c>
      <c r="E852" s="4" t="s">
        <v>110</v>
      </c>
      <c r="F852" s="4" t="s">
        <v>110</v>
      </c>
      <c r="G852" s="4" t="s">
        <v>2041</v>
      </c>
      <c r="H852" s="4" t="s">
        <v>348</v>
      </c>
      <c r="I852" s="4" t="s">
        <v>102</v>
      </c>
      <c r="Q852" s="9">
        <v>2</v>
      </c>
      <c r="T852" s="11">
        <v>1</v>
      </c>
      <c r="Z852" s="9">
        <v>0</v>
      </c>
      <c r="AF852" s="11">
        <v>1</v>
      </c>
      <c r="AL852" s="11"/>
      <c r="AM852" s="11"/>
      <c r="AN852" s="11"/>
      <c r="AO852" s="11"/>
      <c r="AP852" s="11"/>
      <c r="AQ852" s="11"/>
    </row>
    <row r="853" spans="1:43" x14ac:dyDescent="0.25">
      <c r="A853" s="44" t="str">
        <f t="shared" si="16"/>
        <v>KNIGHT_FRANCE</v>
      </c>
      <c r="B853" s="9" t="s">
        <v>110</v>
      </c>
      <c r="C853" s="4" t="s">
        <v>715</v>
      </c>
      <c r="E853" s="4" t="s">
        <v>110</v>
      </c>
      <c r="F853" s="4" t="s">
        <v>110</v>
      </c>
      <c r="H853" s="4" t="s">
        <v>874</v>
      </c>
      <c r="I853" s="4" t="s">
        <v>125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44" t="str">
        <f t="shared" si="16"/>
        <v>KNIGHT_FRANCE</v>
      </c>
      <c r="B854" s="9" t="s">
        <v>110</v>
      </c>
      <c r="C854" s="4" t="s">
        <v>715</v>
      </c>
      <c r="E854" s="4" t="s">
        <v>110</v>
      </c>
      <c r="F854" s="4" t="s">
        <v>110</v>
      </c>
      <c r="G854" s="4" t="s">
        <v>2039</v>
      </c>
      <c r="H854" s="4" t="s">
        <v>875</v>
      </c>
      <c r="I854" s="4" t="s">
        <v>102</v>
      </c>
      <c r="Q854" s="9">
        <v>1</v>
      </c>
      <c r="T854" s="11">
        <v>1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44" t="str">
        <f t="shared" si="16"/>
        <v>KNIGHT_FRANCE</v>
      </c>
      <c r="B855" s="9" t="s">
        <v>110</v>
      </c>
      <c r="C855" s="4" t="s">
        <v>715</v>
      </c>
      <c r="E855" s="4" t="s">
        <v>110</v>
      </c>
      <c r="F855" s="4" t="s">
        <v>110</v>
      </c>
      <c r="G855" s="4" t="s">
        <v>2041</v>
      </c>
      <c r="H855" s="4" t="s">
        <v>348</v>
      </c>
      <c r="I855" s="4" t="s">
        <v>102</v>
      </c>
      <c r="Q855" s="9">
        <v>1</v>
      </c>
      <c r="T855" s="11">
        <v>2</v>
      </c>
      <c r="Z855" s="9">
        <v>0</v>
      </c>
      <c r="AF855" s="11">
        <v>0</v>
      </c>
      <c r="AL855" s="11"/>
      <c r="AM855" s="11"/>
      <c r="AN855" s="11"/>
      <c r="AO855" s="11"/>
      <c r="AP855" s="11"/>
      <c r="AQ855" s="11"/>
    </row>
    <row r="856" spans="1:43" x14ac:dyDescent="0.25">
      <c r="A856" s="44" t="str">
        <f t="shared" si="16"/>
        <v>KNIGHT_GERMANY</v>
      </c>
      <c r="B856" s="9" t="s">
        <v>110</v>
      </c>
      <c r="C856" s="4" t="s">
        <v>717</v>
      </c>
      <c r="E856" s="4" t="s">
        <v>110</v>
      </c>
      <c r="F856" s="4" t="s">
        <v>110</v>
      </c>
      <c r="H856" s="4" t="s">
        <v>888</v>
      </c>
      <c r="I856" s="4" t="s">
        <v>102</v>
      </c>
      <c r="Q856" s="9">
        <v>1</v>
      </c>
      <c r="T856" s="11">
        <v>1</v>
      </c>
      <c r="Z856" s="9">
        <v>1</v>
      </c>
      <c r="AF856" s="11">
        <v>1</v>
      </c>
      <c r="AL856" s="11"/>
      <c r="AM856" s="11"/>
      <c r="AN856" s="11"/>
      <c r="AO856" s="11"/>
      <c r="AP856" s="11"/>
      <c r="AQ856" s="11"/>
    </row>
    <row r="857" spans="1:43" x14ac:dyDescent="0.25">
      <c r="A857" s="44" t="str">
        <f t="shared" si="16"/>
        <v>KNIGHT_GERMANY</v>
      </c>
      <c r="B857" s="9" t="s">
        <v>110</v>
      </c>
      <c r="C857" s="4" t="s">
        <v>717</v>
      </c>
      <c r="E857" s="4" t="s">
        <v>110</v>
      </c>
      <c r="F857" s="4" t="s">
        <v>110</v>
      </c>
      <c r="G857" s="4" t="s">
        <v>2039</v>
      </c>
      <c r="H857" s="4" t="s">
        <v>889</v>
      </c>
      <c r="I857" s="4" t="s">
        <v>122</v>
      </c>
      <c r="Q857" s="9">
        <v>1</v>
      </c>
      <c r="T857" s="11">
        <v>1</v>
      </c>
      <c r="Z857" s="9">
        <v>0</v>
      </c>
      <c r="AF857" s="11">
        <v>1</v>
      </c>
      <c r="AL857" s="11"/>
      <c r="AM857" s="11"/>
      <c r="AN857" s="11"/>
      <c r="AO857" s="11"/>
      <c r="AP857" s="11"/>
      <c r="AQ857" s="11"/>
    </row>
    <row r="858" spans="1:43" x14ac:dyDescent="0.25">
      <c r="A858" s="44" t="str">
        <f t="shared" si="16"/>
        <v>KNIGHT_GERMANY</v>
      </c>
      <c r="B858" s="9" t="s">
        <v>110</v>
      </c>
      <c r="C858" s="4" t="s">
        <v>717</v>
      </c>
      <c r="E858" s="4" t="s">
        <v>110</v>
      </c>
      <c r="F858" s="4" t="s">
        <v>110</v>
      </c>
      <c r="G858" s="4" t="s">
        <v>2041</v>
      </c>
      <c r="H858" s="4" t="s">
        <v>890</v>
      </c>
      <c r="I858" s="4" t="s">
        <v>122</v>
      </c>
      <c r="Q858" s="9">
        <v>1</v>
      </c>
      <c r="T858" s="11">
        <v>1</v>
      </c>
      <c r="Z858" s="9">
        <v>0</v>
      </c>
      <c r="AF858" s="11">
        <v>1</v>
      </c>
      <c r="AL858" s="11"/>
      <c r="AM858" s="11"/>
      <c r="AN858" s="11"/>
      <c r="AO858" s="11"/>
      <c r="AP858" s="11"/>
      <c r="AQ858" s="11"/>
    </row>
    <row r="859" spans="1:43" x14ac:dyDescent="0.25">
      <c r="A859" s="44" t="str">
        <f t="shared" si="16"/>
        <v>KNIGHT_GERMANY</v>
      </c>
      <c r="B859" s="9" t="s">
        <v>110</v>
      </c>
      <c r="C859" s="4" t="s">
        <v>717</v>
      </c>
      <c r="E859" s="4" t="s">
        <v>110</v>
      </c>
      <c r="F859" s="4" t="s">
        <v>110</v>
      </c>
      <c r="G859" s="4" t="s">
        <v>2040</v>
      </c>
      <c r="H859" s="4" t="s">
        <v>891</v>
      </c>
      <c r="I859" s="4" t="s">
        <v>122</v>
      </c>
      <c r="Q859" s="9">
        <v>1</v>
      </c>
      <c r="T859" s="11">
        <v>1</v>
      </c>
      <c r="Z859" s="9">
        <v>0</v>
      </c>
      <c r="AF859" s="11">
        <v>0</v>
      </c>
      <c r="AL859" s="11"/>
      <c r="AM859" s="11"/>
      <c r="AN859" s="11"/>
      <c r="AO859" s="11"/>
      <c r="AP859" s="11"/>
      <c r="AQ859" s="11"/>
    </row>
    <row r="860" spans="1:43" x14ac:dyDescent="0.25">
      <c r="A860" s="44" t="str">
        <f t="shared" si="16"/>
        <v>KNIGHT_GERMANY</v>
      </c>
      <c r="B860" s="9" t="s">
        <v>110</v>
      </c>
      <c r="C860" s="4" t="s">
        <v>717</v>
      </c>
      <c r="E860" s="4" t="s">
        <v>110</v>
      </c>
      <c r="F860" s="4" t="s">
        <v>110</v>
      </c>
      <c r="G860" s="4" t="s">
        <v>2050</v>
      </c>
      <c r="H860" s="4" t="s">
        <v>892</v>
      </c>
      <c r="I860" s="4" t="s">
        <v>122</v>
      </c>
      <c r="Q860" s="9">
        <v>0</v>
      </c>
      <c r="T860" s="11">
        <v>1</v>
      </c>
      <c r="Z860" s="9">
        <v>0</v>
      </c>
      <c r="AF860" s="11">
        <v>0</v>
      </c>
      <c r="AL860" s="11"/>
      <c r="AM860" s="11"/>
      <c r="AN860" s="11"/>
      <c r="AO860" s="11"/>
      <c r="AP860" s="11"/>
      <c r="AQ860" s="11"/>
    </row>
    <row r="861" spans="1:43" x14ac:dyDescent="0.25">
      <c r="A861" s="44" t="str">
        <f t="shared" si="16"/>
        <v>KNIGHT_GERMANY</v>
      </c>
      <c r="B861" s="9" t="s">
        <v>110</v>
      </c>
      <c r="C861" s="4" t="s">
        <v>717</v>
      </c>
      <c r="E861" s="4" t="s">
        <v>110</v>
      </c>
      <c r="F861" s="4" t="s">
        <v>110</v>
      </c>
      <c r="G861" s="4" t="s">
        <v>2051</v>
      </c>
      <c r="H861" s="4" t="s">
        <v>379</v>
      </c>
      <c r="I861" s="4" t="s">
        <v>122</v>
      </c>
      <c r="Q861" s="9">
        <v>1</v>
      </c>
      <c r="T861" s="11">
        <v>2</v>
      </c>
      <c r="Z861" s="9">
        <v>0</v>
      </c>
      <c r="AF861" s="11">
        <v>0</v>
      </c>
      <c r="AL861" s="11"/>
      <c r="AM861" s="11"/>
      <c r="AN861" s="11"/>
      <c r="AO861" s="11"/>
      <c r="AP861" s="11"/>
      <c r="AQ861" s="11"/>
    </row>
    <row r="862" spans="1:43" x14ac:dyDescent="0.25">
      <c r="A862" s="44" t="str">
        <f t="shared" si="16"/>
        <v>KNIGHT_WITTENBERG</v>
      </c>
      <c r="B862" s="9" t="s">
        <v>110</v>
      </c>
      <c r="C862" s="4" t="s">
        <v>1215</v>
      </c>
      <c r="E862" s="4" t="s">
        <v>110</v>
      </c>
      <c r="F862" s="4" t="s">
        <v>110</v>
      </c>
      <c r="H862" s="4" t="s">
        <v>1951</v>
      </c>
      <c r="I862" s="4" t="s">
        <v>1952</v>
      </c>
      <c r="Q862" s="9"/>
      <c r="Z862" s="9"/>
      <c r="AL862" s="11"/>
      <c r="AM862" s="11"/>
      <c r="AN862" s="11"/>
      <c r="AO862" s="11"/>
      <c r="AP862" s="11"/>
      <c r="AQ862" s="11"/>
    </row>
    <row r="863" spans="1:43" x14ac:dyDescent="0.25">
      <c r="A863" s="44" t="str">
        <f t="shared" si="16"/>
        <v>KNIGHT_CARTHAGE</v>
      </c>
      <c r="B863" s="9" t="s">
        <v>110</v>
      </c>
      <c r="C863" s="4" t="s">
        <v>708</v>
      </c>
      <c r="E863" s="4" t="s">
        <v>110</v>
      </c>
      <c r="F863" s="4" t="s">
        <v>110</v>
      </c>
      <c r="H863" s="4" t="s">
        <v>2654</v>
      </c>
      <c r="I863" s="4" t="s">
        <v>1025</v>
      </c>
      <c r="Q863" s="9"/>
      <c r="Z863" s="9"/>
      <c r="AL863" s="11"/>
      <c r="AM863" s="11"/>
      <c r="AN863" s="11"/>
      <c r="AO863" s="11"/>
      <c r="AP863" s="11"/>
      <c r="AQ863" s="11"/>
    </row>
    <row r="864" spans="1:43" x14ac:dyDescent="0.25">
      <c r="A864" s="44" t="str">
        <f t="shared" si="16"/>
        <v>KNIGHT_GREECE</v>
      </c>
      <c r="B864" s="9" t="s">
        <v>110</v>
      </c>
      <c r="C864" s="4" t="s">
        <v>718</v>
      </c>
      <c r="E864" s="4" t="s">
        <v>110</v>
      </c>
      <c r="F864" s="4" t="s">
        <v>110</v>
      </c>
      <c r="G864" s="14" t="s">
        <v>132</v>
      </c>
      <c r="H864" s="4" t="s">
        <v>406</v>
      </c>
      <c r="I864" s="4" t="s">
        <v>102</v>
      </c>
      <c r="Q864" s="9">
        <v>1</v>
      </c>
      <c r="T864" s="9">
        <v>2</v>
      </c>
      <c r="W864" s="9"/>
      <c r="Z864" s="9">
        <v>1</v>
      </c>
      <c r="AF864" s="9">
        <v>1</v>
      </c>
      <c r="AI864" s="9"/>
      <c r="AL864" s="11"/>
      <c r="AM864" s="11"/>
      <c r="AN864" s="11"/>
      <c r="AO864" s="11"/>
      <c r="AP864" s="11"/>
      <c r="AQ864" s="11"/>
    </row>
    <row r="865" spans="1:43" x14ac:dyDescent="0.25">
      <c r="A865" s="44" t="str">
        <f t="shared" si="16"/>
        <v>KNIGHT_GREECE</v>
      </c>
      <c r="B865" s="9" t="s">
        <v>110</v>
      </c>
      <c r="C865" s="4" t="s">
        <v>718</v>
      </c>
      <c r="E865" s="4" t="s">
        <v>110</v>
      </c>
      <c r="F865" s="4" t="s">
        <v>110</v>
      </c>
      <c r="G865" s="14" t="s">
        <v>132</v>
      </c>
      <c r="H865" s="4" t="s">
        <v>1072</v>
      </c>
      <c r="I865" s="4" t="s">
        <v>102</v>
      </c>
      <c r="Q865" s="9">
        <v>1</v>
      </c>
      <c r="T865" s="9">
        <v>1</v>
      </c>
      <c r="W865" s="9"/>
      <c r="Z865" s="9">
        <v>0</v>
      </c>
      <c r="AF865" s="9">
        <v>1</v>
      </c>
      <c r="AI865" s="9"/>
      <c r="AL865" s="11"/>
      <c r="AM865" s="11"/>
      <c r="AN865" s="11"/>
      <c r="AO865" s="11"/>
      <c r="AP865" s="11"/>
      <c r="AQ865" s="11"/>
    </row>
    <row r="866" spans="1:43" x14ac:dyDescent="0.25">
      <c r="A866" s="44" t="str">
        <f t="shared" si="16"/>
        <v>KNIGHT_GREECE</v>
      </c>
      <c r="B866" s="9" t="s">
        <v>110</v>
      </c>
      <c r="C866" s="4" t="s">
        <v>718</v>
      </c>
      <c r="E866" s="4" t="s">
        <v>110</v>
      </c>
      <c r="F866" s="4" t="s">
        <v>110</v>
      </c>
      <c r="G866" s="14" t="s">
        <v>132</v>
      </c>
      <c r="H866" s="4" t="s">
        <v>406</v>
      </c>
      <c r="I866" s="4" t="s">
        <v>102</v>
      </c>
      <c r="Q866" s="9">
        <v>2</v>
      </c>
      <c r="T866" s="9">
        <v>3</v>
      </c>
      <c r="W866" s="9"/>
      <c r="Z866" s="9">
        <v>0</v>
      </c>
      <c r="AF866" s="9">
        <v>1</v>
      </c>
      <c r="AI866" s="9"/>
      <c r="AL866" s="11"/>
      <c r="AM866" s="11"/>
      <c r="AN866" s="11"/>
      <c r="AO866" s="11"/>
      <c r="AP866" s="11"/>
      <c r="AQ866" s="11"/>
    </row>
    <row r="867" spans="1:43" x14ac:dyDescent="0.25">
      <c r="A867" s="44" t="str">
        <f t="shared" si="16"/>
        <v>KNIGHT_GREECE</v>
      </c>
      <c r="B867" s="9" t="s">
        <v>110</v>
      </c>
      <c r="C867" s="4" t="s">
        <v>718</v>
      </c>
      <c r="E867" s="4" t="s">
        <v>110</v>
      </c>
      <c r="F867" s="4" t="s">
        <v>110</v>
      </c>
      <c r="G867" s="14" t="s">
        <v>132</v>
      </c>
      <c r="H867" s="4" t="s">
        <v>1072</v>
      </c>
      <c r="I867" s="4" t="s">
        <v>102</v>
      </c>
      <c r="Q867" s="9">
        <v>1</v>
      </c>
      <c r="T867" s="9">
        <v>1</v>
      </c>
      <c r="W867" s="9"/>
      <c r="Z867" s="9">
        <v>0</v>
      </c>
      <c r="AF867" s="9">
        <v>0</v>
      </c>
      <c r="AI867" s="9"/>
      <c r="AL867" s="11"/>
      <c r="AM867" s="11"/>
      <c r="AN867" s="11"/>
      <c r="AO867" s="11"/>
      <c r="AP867" s="11"/>
      <c r="AQ867" s="11"/>
    </row>
    <row r="868" spans="1:43" x14ac:dyDescent="0.25">
      <c r="A868" s="44" t="str">
        <f t="shared" si="16"/>
        <v>KNIGHT_ROME</v>
      </c>
      <c r="B868" s="9" t="s">
        <v>110</v>
      </c>
      <c r="C868" s="4" t="s">
        <v>734</v>
      </c>
      <c r="E868" s="4" t="s">
        <v>110</v>
      </c>
      <c r="F868" s="4" t="s">
        <v>110</v>
      </c>
      <c r="H868" s="4" t="s">
        <v>1001</v>
      </c>
      <c r="I868" s="4" t="s">
        <v>1024</v>
      </c>
      <c r="Q868" s="9">
        <v>1</v>
      </c>
      <c r="T868" s="11">
        <v>1</v>
      </c>
      <c r="Z868" s="9">
        <v>1</v>
      </c>
      <c r="AF868" s="11">
        <v>1</v>
      </c>
      <c r="AL868" s="11"/>
      <c r="AM868" s="11"/>
      <c r="AN868" s="11"/>
      <c r="AO868" s="11"/>
      <c r="AP868" s="11"/>
      <c r="AQ868" s="11"/>
    </row>
    <row r="869" spans="1:43" x14ac:dyDescent="0.25">
      <c r="A869" s="44" t="str">
        <f t="shared" si="16"/>
        <v>KNIGHT_ROME</v>
      </c>
      <c r="B869" s="9" t="s">
        <v>110</v>
      </c>
      <c r="C869" s="4" t="s">
        <v>734</v>
      </c>
      <c r="E869" s="4" t="s">
        <v>110</v>
      </c>
      <c r="F869" s="4" t="s">
        <v>110</v>
      </c>
      <c r="G869" s="4" t="s">
        <v>2039</v>
      </c>
      <c r="H869" s="4" t="s">
        <v>592</v>
      </c>
      <c r="I869" s="4" t="s">
        <v>1024</v>
      </c>
      <c r="Q869" s="9">
        <v>2</v>
      </c>
      <c r="T869" s="11">
        <v>2</v>
      </c>
      <c r="Z869" s="9">
        <v>0</v>
      </c>
      <c r="AF869" s="11">
        <v>1</v>
      </c>
      <c r="AL869" s="11"/>
      <c r="AM869" s="11"/>
      <c r="AN869" s="11"/>
      <c r="AO869" s="11"/>
      <c r="AP869" s="11"/>
      <c r="AQ869" s="11"/>
    </row>
    <row r="870" spans="1:43" x14ac:dyDescent="0.25">
      <c r="A870" s="44" t="str">
        <f t="shared" si="16"/>
        <v>KNIGHT_ROME</v>
      </c>
      <c r="B870" s="9" t="s">
        <v>110</v>
      </c>
      <c r="C870" s="4" t="s">
        <v>734</v>
      </c>
      <c r="E870" s="4" t="s">
        <v>110</v>
      </c>
      <c r="F870" s="4" t="s">
        <v>110</v>
      </c>
      <c r="H870" s="4" t="s">
        <v>1001</v>
      </c>
      <c r="I870" s="4" t="s">
        <v>1024</v>
      </c>
      <c r="Q870" s="9">
        <v>1</v>
      </c>
      <c r="T870" s="11">
        <v>2</v>
      </c>
      <c r="Z870" s="9">
        <v>0</v>
      </c>
      <c r="AF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44" t="str">
        <f t="shared" si="16"/>
        <v>KNIGHT_ROME</v>
      </c>
      <c r="B871" s="9" t="s">
        <v>110</v>
      </c>
      <c r="C871" s="4" t="s">
        <v>734</v>
      </c>
      <c r="E871" s="4" t="s">
        <v>110</v>
      </c>
      <c r="F871" s="4" t="s">
        <v>110</v>
      </c>
      <c r="G871" s="4" t="s">
        <v>2039</v>
      </c>
      <c r="H871" s="4" t="s">
        <v>592</v>
      </c>
      <c r="I871" s="4" t="s">
        <v>1024</v>
      </c>
      <c r="Q871" s="9">
        <v>1</v>
      </c>
      <c r="T871" s="11">
        <v>2</v>
      </c>
      <c r="Z871" s="9">
        <v>0</v>
      </c>
      <c r="AF871" s="11">
        <v>0</v>
      </c>
      <c r="AL871" s="11"/>
      <c r="AM871" s="11"/>
      <c r="AN871" s="11"/>
      <c r="AO871" s="11"/>
      <c r="AP871" s="11"/>
      <c r="AQ871" s="11"/>
    </row>
    <row r="872" spans="1:43" x14ac:dyDescent="0.25">
      <c r="A872" s="44" t="str">
        <f t="shared" si="16"/>
        <v>KNIGHT_SPAIN</v>
      </c>
      <c r="B872" s="9" t="s">
        <v>110</v>
      </c>
      <c r="C872" s="4" t="s">
        <v>738</v>
      </c>
      <c r="E872" s="4" t="s">
        <v>110</v>
      </c>
      <c r="F872" s="4" t="s">
        <v>110</v>
      </c>
      <c r="G872" s="14" t="s">
        <v>132</v>
      </c>
      <c r="H872" s="4" t="s">
        <v>656</v>
      </c>
      <c r="I872" s="4" t="s">
        <v>2089</v>
      </c>
      <c r="AL872" s="11"/>
      <c r="AM872" s="11"/>
      <c r="AN872" s="11"/>
      <c r="AO872" s="11"/>
      <c r="AP872" s="11"/>
      <c r="AQ872" s="11"/>
    </row>
    <row r="873" spans="1:43" x14ac:dyDescent="0.25">
      <c r="A873" s="44" t="str">
        <f t="shared" si="16"/>
        <v>KNIGHT_MIDEAST</v>
      </c>
      <c r="B873" s="9" t="s">
        <v>110</v>
      </c>
      <c r="C873" s="4" t="s">
        <v>690</v>
      </c>
      <c r="E873" s="4" t="s">
        <v>110</v>
      </c>
      <c r="F873" s="4" t="s">
        <v>110</v>
      </c>
      <c r="H873" s="4" t="s">
        <v>163</v>
      </c>
      <c r="I873" s="4" t="s">
        <v>2089</v>
      </c>
      <c r="AL873" s="11"/>
      <c r="AM873" s="11"/>
      <c r="AN873" s="11"/>
      <c r="AO873" s="11"/>
      <c r="AP873" s="11"/>
      <c r="AQ873" s="11"/>
    </row>
    <row r="874" spans="1:43" x14ac:dyDescent="0.25">
      <c r="A874" s="44" t="str">
        <f t="shared" si="16"/>
        <v>KNIGHT_BABYLON</v>
      </c>
      <c r="B874" s="9" t="s">
        <v>110</v>
      </c>
      <c r="C874" s="4" t="s">
        <v>703</v>
      </c>
      <c r="E874" s="4" t="s">
        <v>110</v>
      </c>
      <c r="F874" s="4" t="s">
        <v>110</v>
      </c>
      <c r="G874" s="14"/>
      <c r="H874" s="4" t="s">
        <v>211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44" t="str">
        <f t="shared" si="16"/>
        <v>KNIGHT_EGYPT</v>
      </c>
      <c r="B875" s="9" t="s">
        <v>110</v>
      </c>
      <c r="C875" s="4" t="s">
        <v>712</v>
      </c>
      <c r="E875" s="4" t="s">
        <v>110</v>
      </c>
      <c r="F875" s="4" t="s">
        <v>110</v>
      </c>
      <c r="G875" s="14" t="s">
        <v>132</v>
      </c>
      <c r="H875" s="4" t="s">
        <v>282</v>
      </c>
      <c r="I875" s="4" t="s">
        <v>2089</v>
      </c>
      <c r="AL875" s="11"/>
      <c r="AM875" s="11"/>
      <c r="AN875" s="11"/>
      <c r="AO875" s="11"/>
      <c r="AP875" s="11"/>
      <c r="AQ875" s="11"/>
    </row>
    <row r="876" spans="1:43" x14ac:dyDescent="0.25">
      <c r="A876" s="44" t="str">
        <f t="shared" si="16"/>
        <v>KNIGHT_LEVANT</v>
      </c>
      <c r="B876" s="9" t="s">
        <v>110</v>
      </c>
      <c r="C876" s="4" t="s">
        <v>724</v>
      </c>
      <c r="E876" s="4" t="s">
        <v>110</v>
      </c>
      <c r="F876" s="4" t="s">
        <v>110</v>
      </c>
      <c r="G876" s="14" t="s">
        <v>132</v>
      </c>
      <c r="H876" s="4" t="s">
        <v>511</v>
      </c>
      <c r="I876" s="4" t="s">
        <v>102</v>
      </c>
      <c r="AL876" s="11"/>
      <c r="AM876" s="11"/>
      <c r="AN876" s="11"/>
      <c r="AO876" s="11"/>
      <c r="AP876" s="11"/>
      <c r="AQ876" s="11"/>
    </row>
    <row r="877" spans="1:43" x14ac:dyDescent="0.25">
      <c r="A877" s="44" t="str">
        <f t="shared" si="16"/>
        <v>KNIGHT_PERSIA</v>
      </c>
      <c r="B877" s="9" t="s">
        <v>110</v>
      </c>
      <c r="C877" s="4" t="s">
        <v>731</v>
      </c>
      <c r="E877" s="4" t="s">
        <v>110</v>
      </c>
      <c r="F877" s="4" t="s">
        <v>110</v>
      </c>
      <c r="H877" s="4" t="s">
        <v>978</v>
      </c>
      <c r="I877" s="4" t="s">
        <v>102</v>
      </c>
      <c r="Q877" s="11">
        <v>1</v>
      </c>
      <c r="T877" s="11">
        <v>1</v>
      </c>
      <c r="Z877" s="11">
        <v>0</v>
      </c>
      <c r="AF877" s="11">
        <v>1</v>
      </c>
      <c r="AL877" s="11"/>
      <c r="AM877" s="11"/>
      <c r="AN877" s="11"/>
      <c r="AO877" s="11"/>
      <c r="AP877" s="11"/>
      <c r="AQ877" s="11"/>
    </row>
    <row r="878" spans="1:43" x14ac:dyDescent="0.25">
      <c r="A878" s="44" t="str">
        <f t="shared" si="16"/>
        <v>KNIGHT_PERSIA</v>
      </c>
      <c r="B878" s="9" t="s">
        <v>110</v>
      </c>
      <c r="C878" s="4" t="s">
        <v>731</v>
      </c>
      <c r="E878" s="4" t="s">
        <v>110</v>
      </c>
      <c r="F878" s="4" t="s">
        <v>110</v>
      </c>
      <c r="G878" s="4" t="s">
        <v>2039</v>
      </c>
      <c r="H878" s="4" t="s">
        <v>556</v>
      </c>
      <c r="I878" s="4" t="s">
        <v>102</v>
      </c>
      <c r="Q878" s="11">
        <v>2</v>
      </c>
      <c r="T878" s="11">
        <v>2</v>
      </c>
      <c r="Z878" s="11">
        <v>1</v>
      </c>
      <c r="AF878" s="11">
        <v>1</v>
      </c>
      <c r="AL878" s="11"/>
      <c r="AM878" s="11"/>
      <c r="AN878" s="11"/>
      <c r="AO878" s="11"/>
      <c r="AP878" s="11"/>
      <c r="AQ878" s="11"/>
    </row>
    <row r="879" spans="1:43" x14ac:dyDescent="0.25">
      <c r="A879" s="44" t="str">
        <f t="shared" si="16"/>
        <v>KNIGHT_PERSIA</v>
      </c>
      <c r="B879" s="9" t="s">
        <v>110</v>
      </c>
      <c r="C879" s="4" t="s">
        <v>731</v>
      </c>
      <c r="E879" s="4" t="s">
        <v>110</v>
      </c>
      <c r="F879" s="4" t="s">
        <v>110</v>
      </c>
      <c r="H879" s="4" t="s">
        <v>978</v>
      </c>
      <c r="I879" s="4" t="s">
        <v>102</v>
      </c>
      <c r="Q879" s="11">
        <v>1</v>
      </c>
      <c r="T879" s="11">
        <v>2</v>
      </c>
      <c r="Z879" s="11">
        <v>0</v>
      </c>
      <c r="AF879" s="11">
        <v>1</v>
      </c>
      <c r="AL879" s="11"/>
      <c r="AM879" s="11"/>
      <c r="AN879" s="11"/>
      <c r="AO879" s="11"/>
      <c r="AP879" s="11"/>
      <c r="AQ879" s="11"/>
    </row>
    <row r="880" spans="1:43" x14ac:dyDescent="0.25">
      <c r="A880" s="44" t="str">
        <f t="shared" si="16"/>
        <v>KNIGHT_PERSIA</v>
      </c>
      <c r="B880" s="9" t="s">
        <v>110</v>
      </c>
      <c r="C880" s="4" t="s">
        <v>731</v>
      </c>
      <c r="E880" s="4" t="s">
        <v>110</v>
      </c>
      <c r="F880" s="4" t="s">
        <v>110</v>
      </c>
      <c r="G880" s="4" t="s">
        <v>2039</v>
      </c>
      <c r="H880" s="4" t="s">
        <v>556</v>
      </c>
      <c r="I880" s="4" t="s">
        <v>102</v>
      </c>
      <c r="Q880" s="9">
        <v>1</v>
      </c>
      <c r="T880" s="11">
        <v>2</v>
      </c>
      <c r="Z880" s="9">
        <v>0</v>
      </c>
      <c r="AF880" s="11">
        <v>0</v>
      </c>
      <c r="AL880" s="11"/>
      <c r="AM880" s="11"/>
      <c r="AN880" s="11"/>
      <c r="AO880" s="11"/>
      <c r="AP880" s="11"/>
      <c r="AQ880" s="11"/>
    </row>
    <row r="881" spans="1:43" x14ac:dyDescent="0.25">
      <c r="A881" s="44" t="str">
        <f t="shared" si="16"/>
        <v>KNIGHT_NORTHEU</v>
      </c>
      <c r="B881" s="9" t="s">
        <v>110</v>
      </c>
      <c r="C881" s="4" t="s">
        <v>962</v>
      </c>
      <c r="E881" s="4" t="s">
        <v>110</v>
      </c>
      <c r="F881" s="4" t="s">
        <v>110</v>
      </c>
      <c r="G881" s="14" t="s">
        <v>132</v>
      </c>
      <c r="H881" s="4" t="s">
        <v>268</v>
      </c>
      <c r="I881" s="4" t="s">
        <v>102</v>
      </c>
      <c r="AL881" s="11"/>
      <c r="AM881" s="11"/>
      <c r="AN881" s="11"/>
      <c r="AO881" s="11"/>
      <c r="AP881" s="11"/>
      <c r="AQ881" s="11"/>
    </row>
    <row r="882" spans="1:43" x14ac:dyDescent="0.25">
      <c r="A882" s="44" t="str">
        <f t="shared" si="16"/>
        <v>KNIGHT_OCEAN</v>
      </c>
      <c r="B882" s="9" t="s">
        <v>110</v>
      </c>
      <c r="C882" s="4" t="s">
        <v>994</v>
      </c>
      <c r="D882" s="4" t="s">
        <v>691</v>
      </c>
      <c r="E882" s="4" t="s">
        <v>110</v>
      </c>
      <c r="F882" s="4" t="s">
        <v>110</v>
      </c>
      <c r="AL882" s="11"/>
      <c r="AM882" s="11"/>
      <c r="AN882" s="11"/>
      <c r="AO882" s="11"/>
      <c r="AP882" s="11"/>
      <c r="AQ882" s="11"/>
    </row>
    <row r="883" spans="1:43" x14ac:dyDescent="0.25">
      <c r="A883" s="44" t="str">
        <f t="shared" si="16"/>
        <v>KNIGHT_SEASIA</v>
      </c>
      <c r="B883" s="9" t="s">
        <v>110</v>
      </c>
      <c r="C883" s="4" t="s">
        <v>696</v>
      </c>
      <c r="E883" s="4" t="s">
        <v>110</v>
      </c>
      <c r="F883" s="4" t="s">
        <v>110</v>
      </c>
      <c r="H883" s="4" t="s">
        <v>1780</v>
      </c>
      <c r="I883" s="4" t="s">
        <v>1810</v>
      </c>
      <c r="AL883" s="11"/>
      <c r="AM883" s="11"/>
      <c r="AN883" s="11"/>
      <c r="AO883" s="11"/>
      <c r="AP883" s="11"/>
      <c r="AQ883" s="11"/>
    </row>
    <row r="884" spans="1:43" x14ac:dyDescent="0.25">
      <c r="A884" s="44" t="str">
        <f t="shared" si="16"/>
        <v>KNIGHT_SOUTHAM</v>
      </c>
      <c r="B884" s="9" t="s">
        <v>110</v>
      </c>
      <c r="C884" s="4" t="s">
        <v>691</v>
      </c>
      <c r="E884" s="4" t="s">
        <v>110</v>
      </c>
      <c r="F884" s="4" t="s">
        <v>110</v>
      </c>
      <c r="H884" s="4" t="s">
        <v>518</v>
      </c>
      <c r="I884" s="4" t="s">
        <v>2089</v>
      </c>
      <c r="AL884" s="11"/>
      <c r="AM884" s="11"/>
      <c r="AN884" s="11"/>
      <c r="AO884" s="11"/>
      <c r="AP884" s="11"/>
      <c r="AQ884" s="11"/>
    </row>
    <row r="885" spans="1:43" x14ac:dyDescent="0.25">
      <c r="A885" s="44" t="str">
        <f t="shared" si="16"/>
        <v>KNIGHT_AZTEC</v>
      </c>
      <c r="B885" s="9" t="s">
        <v>110</v>
      </c>
      <c r="C885" s="4" t="s">
        <v>702</v>
      </c>
      <c r="E885" s="4" t="s">
        <v>110</v>
      </c>
      <c r="F885" s="4" t="s">
        <v>110</v>
      </c>
      <c r="G885" s="14"/>
      <c r="H885" s="4" t="s">
        <v>197</v>
      </c>
      <c r="I885" s="4" t="s">
        <v>2089</v>
      </c>
      <c r="AL885" s="11"/>
      <c r="AM885" s="11"/>
      <c r="AN885" s="11"/>
      <c r="AO885" s="11"/>
      <c r="AP885" s="11"/>
      <c r="AQ885" s="11"/>
    </row>
    <row r="886" spans="1:43" x14ac:dyDescent="0.25">
      <c r="A886" s="44" t="str">
        <f t="shared" si="16"/>
        <v>KNIGHT_INCA</v>
      </c>
      <c r="B886" s="9" t="s">
        <v>110</v>
      </c>
      <c r="C886" s="4" t="s">
        <v>719</v>
      </c>
      <c r="E886" s="4" t="s">
        <v>110</v>
      </c>
      <c r="F886" s="4" t="s">
        <v>110</v>
      </c>
      <c r="G886" s="14" t="s">
        <v>132</v>
      </c>
      <c r="H886" s="4" t="s">
        <v>422</v>
      </c>
      <c r="I886" s="4" t="s">
        <v>2089</v>
      </c>
      <c r="AL886" s="11"/>
      <c r="AM886" s="11"/>
      <c r="AN886" s="11"/>
      <c r="AO886" s="11"/>
      <c r="AP886" s="11"/>
      <c r="AQ886" s="11"/>
    </row>
    <row r="887" spans="1:43" x14ac:dyDescent="0.25">
      <c r="A887" s="44" t="str">
        <f t="shared" si="16"/>
        <v>KNIGHT_MAYA</v>
      </c>
      <c r="B887" s="9" t="s">
        <v>110</v>
      </c>
      <c r="C887" s="4" t="s">
        <v>725</v>
      </c>
      <c r="D887" s="4" t="s">
        <v>691</v>
      </c>
      <c r="E887" s="4" t="s">
        <v>110</v>
      </c>
      <c r="F887" s="4" t="s">
        <v>110</v>
      </c>
      <c r="G887" s="14" t="s">
        <v>132</v>
      </c>
      <c r="AL887" s="11"/>
      <c r="AM887" s="11"/>
      <c r="AN887" s="11"/>
      <c r="AO887" s="11"/>
      <c r="AP887" s="11"/>
      <c r="AQ887" s="11"/>
    </row>
    <row r="888" spans="1:43" x14ac:dyDescent="0.25">
      <c r="A888" s="44" t="str">
        <f t="shared" si="16"/>
        <v>KNIGHT_SOUTHAS</v>
      </c>
      <c r="B888" s="9" t="s">
        <v>110</v>
      </c>
      <c r="C888" s="4" t="s">
        <v>695</v>
      </c>
      <c r="E888" s="4" t="s">
        <v>110</v>
      </c>
      <c r="F888" s="4" t="s">
        <v>110</v>
      </c>
      <c r="H888" s="4" t="s">
        <v>849</v>
      </c>
      <c r="I888" s="4" t="s">
        <v>102</v>
      </c>
      <c r="Q888" s="11">
        <v>1</v>
      </c>
      <c r="T888" s="11">
        <v>1</v>
      </c>
      <c r="Z888" s="11">
        <v>0</v>
      </c>
      <c r="AF888" s="11">
        <v>1</v>
      </c>
      <c r="AL888" s="11"/>
      <c r="AM888" s="11"/>
      <c r="AN888" s="11"/>
      <c r="AO888" s="11"/>
      <c r="AP888" s="11"/>
      <c r="AQ888" s="11"/>
    </row>
    <row r="889" spans="1:43" x14ac:dyDescent="0.25">
      <c r="A889" s="44" t="str">
        <f t="shared" si="16"/>
        <v>KNIGHT_SOUTHAS</v>
      </c>
      <c r="B889" s="9" t="s">
        <v>110</v>
      </c>
      <c r="C889" s="4" t="s">
        <v>695</v>
      </c>
      <c r="E889" s="4" t="s">
        <v>110</v>
      </c>
      <c r="F889" s="4" t="s">
        <v>110</v>
      </c>
      <c r="G889" s="4" t="s">
        <v>2039</v>
      </c>
      <c r="H889" s="4" t="s">
        <v>848</v>
      </c>
      <c r="I889" s="4" t="s">
        <v>102</v>
      </c>
      <c r="Q889" s="11">
        <v>1</v>
      </c>
      <c r="T889" s="11">
        <v>1</v>
      </c>
      <c r="Z889" s="11">
        <v>0</v>
      </c>
      <c r="AF889" s="11">
        <v>0</v>
      </c>
      <c r="AL889" s="11"/>
      <c r="AM889" s="11"/>
      <c r="AN889" s="11"/>
      <c r="AO889" s="11"/>
      <c r="AP889" s="11"/>
      <c r="AQ889" s="11"/>
    </row>
    <row r="890" spans="1:43" x14ac:dyDescent="0.25">
      <c r="A890" s="44" t="str">
        <f t="shared" si="16"/>
        <v>KNIGHT_SOUTHAS</v>
      </c>
      <c r="B890" s="9" t="s">
        <v>110</v>
      </c>
      <c r="C890" s="4" t="s">
        <v>695</v>
      </c>
      <c r="E890" s="4" t="s">
        <v>110</v>
      </c>
      <c r="F890" s="4" t="s">
        <v>110</v>
      </c>
      <c r="G890" s="4" t="s">
        <v>2041</v>
      </c>
      <c r="H890" s="4" t="s">
        <v>847</v>
      </c>
      <c r="I890" s="4" t="s">
        <v>102</v>
      </c>
      <c r="Q890" s="11">
        <v>1</v>
      </c>
      <c r="T890" s="11">
        <v>2</v>
      </c>
      <c r="Z890" s="11">
        <v>1</v>
      </c>
      <c r="AF890" s="11">
        <v>1</v>
      </c>
      <c r="AL890" s="11"/>
      <c r="AM890" s="11"/>
      <c r="AN890" s="11"/>
      <c r="AO890" s="11"/>
      <c r="AP890" s="11"/>
      <c r="AQ890" s="11"/>
    </row>
    <row r="891" spans="1:43" x14ac:dyDescent="0.25">
      <c r="A891" s="44" t="str">
        <f t="shared" si="16"/>
        <v>KNIGHT_SOUTHAS</v>
      </c>
      <c r="B891" s="9" t="s">
        <v>110</v>
      </c>
      <c r="C891" s="4" t="s">
        <v>695</v>
      </c>
      <c r="E891" s="4" t="s">
        <v>110</v>
      </c>
      <c r="F891" s="4" t="s">
        <v>110</v>
      </c>
      <c r="G891" s="4" t="s">
        <v>2040</v>
      </c>
      <c r="H891" s="4" t="s">
        <v>846</v>
      </c>
      <c r="I891" s="4" t="s">
        <v>102</v>
      </c>
      <c r="Q891" s="9">
        <v>1</v>
      </c>
      <c r="T891" s="11">
        <v>1</v>
      </c>
      <c r="Z891" s="9">
        <v>0</v>
      </c>
      <c r="AF891" s="11">
        <v>0</v>
      </c>
      <c r="AL891" s="11"/>
      <c r="AM891" s="11"/>
      <c r="AN891" s="11"/>
      <c r="AO891" s="11"/>
      <c r="AP891" s="11"/>
      <c r="AQ891" s="11"/>
    </row>
    <row r="892" spans="1:43" x14ac:dyDescent="0.25">
      <c r="A892" s="44" t="str">
        <f t="shared" ref="A892:A963" si="17">CONCATENATE(E892,IF(ISBLANK(C892),"",CONCATENATE("_",C892)))</f>
        <v>KNIGHT_SOUTHAS</v>
      </c>
      <c r="B892" s="9" t="s">
        <v>110</v>
      </c>
      <c r="C892" s="4" t="s">
        <v>695</v>
      </c>
      <c r="E892" s="4" t="s">
        <v>110</v>
      </c>
      <c r="F892" s="4" t="s">
        <v>110</v>
      </c>
      <c r="G892" s="4" t="s">
        <v>2050</v>
      </c>
      <c r="H892" s="4" t="s">
        <v>436</v>
      </c>
      <c r="I892" s="4" t="s">
        <v>102</v>
      </c>
      <c r="Q892" s="9">
        <v>1</v>
      </c>
      <c r="T892" s="11">
        <v>2</v>
      </c>
      <c r="Z892" s="9">
        <v>0</v>
      </c>
      <c r="AF892" s="11">
        <v>1</v>
      </c>
      <c r="AL892" s="11"/>
      <c r="AM892" s="11"/>
      <c r="AN892" s="11"/>
      <c r="AO892" s="11"/>
      <c r="AP892" s="11"/>
      <c r="AQ892" s="11"/>
    </row>
    <row r="893" spans="1:43" x14ac:dyDescent="0.25">
      <c r="A893" s="44" t="str">
        <f t="shared" si="17"/>
        <v>LANCER</v>
      </c>
      <c r="B893" s="9" t="s">
        <v>762</v>
      </c>
      <c r="C893" s="5"/>
      <c r="D893" s="5"/>
      <c r="E893" s="5" t="s">
        <v>762</v>
      </c>
      <c r="F893" s="5" t="s">
        <v>762</v>
      </c>
      <c r="G893" s="5"/>
      <c r="H893" s="5" t="s">
        <v>27</v>
      </c>
      <c r="I893" s="5" t="s">
        <v>128</v>
      </c>
      <c r="J893" s="6"/>
      <c r="K893" s="6"/>
      <c r="L893" s="13" t="s">
        <v>1711</v>
      </c>
      <c r="M893" s="8"/>
      <c r="N893" s="5"/>
      <c r="O893" s="5"/>
      <c r="P893" s="5"/>
      <c r="Q893" s="7" t="s">
        <v>1692</v>
      </c>
      <c r="R893" s="6" t="s">
        <v>1692</v>
      </c>
      <c r="S893" s="13" t="s">
        <v>1692</v>
      </c>
      <c r="T893" s="6" t="s">
        <v>1692</v>
      </c>
      <c r="U893" s="7" t="s">
        <v>1692</v>
      </c>
      <c r="V893" s="5" t="s">
        <v>1698</v>
      </c>
      <c r="W893" s="6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1692</v>
      </c>
      <c r="AG893" s="6"/>
      <c r="AH893" s="5"/>
      <c r="AI893" s="6"/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44" t="str">
        <f t="shared" si="17"/>
        <v>LANCER_JAPAN</v>
      </c>
      <c r="B894" s="9" t="s">
        <v>762</v>
      </c>
      <c r="C894" s="4" t="s">
        <v>722</v>
      </c>
      <c r="E894" s="4" t="s">
        <v>762</v>
      </c>
      <c r="F894" s="4" t="s">
        <v>762</v>
      </c>
      <c r="G894" s="14" t="s">
        <v>132</v>
      </c>
      <c r="H894" s="4" t="s">
        <v>484</v>
      </c>
      <c r="I894" s="4" t="s">
        <v>102</v>
      </c>
      <c r="AL894" s="11"/>
      <c r="AM894" s="11"/>
      <c r="AN894" s="11"/>
      <c r="AO894" s="11"/>
      <c r="AP894" s="11"/>
      <c r="AQ894" s="11"/>
    </row>
    <row r="895" spans="1:43" x14ac:dyDescent="0.25">
      <c r="A895" s="44" t="str">
        <f t="shared" si="17"/>
        <v>LANCER_CENTAS</v>
      </c>
      <c r="B895" s="9" t="s">
        <v>762</v>
      </c>
      <c r="C895" s="4" t="s">
        <v>918</v>
      </c>
      <c r="D895" s="4" t="s">
        <v>690</v>
      </c>
      <c r="E895" s="4" t="s">
        <v>762</v>
      </c>
      <c r="F895" s="4" t="s">
        <v>762</v>
      </c>
      <c r="G895" s="14" t="s">
        <v>132</v>
      </c>
      <c r="AL895" s="11"/>
      <c r="AM895" s="11"/>
      <c r="AN895" s="11"/>
      <c r="AO895" s="11"/>
      <c r="AP895" s="11"/>
      <c r="AQ895" s="11"/>
    </row>
    <row r="896" spans="1:43" x14ac:dyDescent="0.25">
      <c r="A896" s="44" t="str">
        <f t="shared" si="17"/>
        <v>LANCER_FRANCE</v>
      </c>
      <c r="B896" s="9" t="s">
        <v>762</v>
      </c>
      <c r="C896" s="4" t="s">
        <v>715</v>
      </c>
      <c r="E896" s="4" t="s">
        <v>762</v>
      </c>
      <c r="F896" s="4" t="s">
        <v>762</v>
      </c>
      <c r="G896" s="14" t="s">
        <v>132</v>
      </c>
      <c r="H896" s="4" t="s">
        <v>349</v>
      </c>
      <c r="I896" s="4" t="s">
        <v>122</v>
      </c>
      <c r="AL896" s="11"/>
      <c r="AM896" s="11"/>
      <c r="AN896" s="11"/>
      <c r="AO896" s="11"/>
      <c r="AP896" s="11"/>
      <c r="AQ896" s="11"/>
    </row>
    <row r="897" spans="1:43" x14ac:dyDescent="0.25">
      <c r="A897" s="44" t="str">
        <f t="shared" si="17"/>
        <v>LANCER_GERMANY</v>
      </c>
      <c r="B897" s="9" t="s">
        <v>762</v>
      </c>
      <c r="C897" s="4" t="s">
        <v>717</v>
      </c>
      <c r="E897" s="4" t="s">
        <v>762</v>
      </c>
      <c r="F897" s="4" t="s">
        <v>762</v>
      </c>
      <c r="G897" s="14" t="s">
        <v>132</v>
      </c>
      <c r="H897" s="4" t="s">
        <v>380</v>
      </c>
      <c r="I897" s="4" t="s">
        <v>122</v>
      </c>
      <c r="AL897" s="11"/>
      <c r="AM897" s="11"/>
      <c r="AN897" s="11"/>
      <c r="AO897" s="11"/>
      <c r="AP897" s="11"/>
      <c r="AQ897" s="11"/>
    </row>
    <row r="898" spans="1:43" x14ac:dyDescent="0.25">
      <c r="A898" s="44" t="str">
        <f t="shared" si="17"/>
        <v>LANCER_NETHERLANDS</v>
      </c>
      <c r="B898" s="9" t="s">
        <v>762</v>
      </c>
      <c r="C898" s="4" t="s">
        <v>730</v>
      </c>
      <c r="E898" s="4" t="s">
        <v>762</v>
      </c>
      <c r="F898" s="4" t="s">
        <v>762</v>
      </c>
      <c r="G898" s="14" t="s">
        <v>132</v>
      </c>
      <c r="H898" s="4" t="s">
        <v>544</v>
      </c>
      <c r="I898" s="4" t="s">
        <v>122</v>
      </c>
      <c r="AL898" s="11"/>
      <c r="AM898" s="11"/>
      <c r="AN898" s="11"/>
      <c r="AO898" s="11"/>
      <c r="AP898" s="11"/>
      <c r="AQ898" s="11"/>
    </row>
    <row r="899" spans="1:43" x14ac:dyDescent="0.25">
      <c r="A899" s="44" t="str">
        <f t="shared" si="17"/>
        <v>LANCER_MIDEAST</v>
      </c>
      <c r="B899" s="9" t="s">
        <v>762</v>
      </c>
      <c r="C899" s="4" t="s">
        <v>690</v>
      </c>
      <c r="E899" s="4" t="s">
        <v>762</v>
      </c>
      <c r="F899" s="4" t="s">
        <v>762</v>
      </c>
      <c r="H899" s="4" t="s">
        <v>557</v>
      </c>
      <c r="I899" s="4" t="s">
        <v>966</v>
      </c>
      <c r="AL899" s="11"/>
      <c r="AM899" s="11"/>
      <c r="AN899" s="11"/>
      <c r="AO899" s="11"/>
      <c r="AP899" s="11"/>
      <c r="AQ899" s="11"/>
    </row>
    <row r="900" spans="1:43" x14ac:dyDescent="0.25">
      <c r="A900" s="44" t="str">
        <f t="shared" si="17"/>
        <v>LONGSWORDSMAN</v>
      </c>
      <c r="B900" s="9" t="s">
        <v>109</v>
      </c>
      <c r="C900" s="5"/>
      <c r="D900" s="5"/>
      <c r="E900" s="5" t="s">
        <v>109</v>
      </c>
      <c r="F900" s="5" t="s">
        <v>109</v>
      </c>
      <c r="G900" s="5"/>
      <c r="H900" s="5" t="s">
        <v>26</v>
      </c>
      <c r="I900" s="5" t="s">
        <v>128</v>
      </c>
      <c r="J900" s="6"/>
      <c r="K900" s="6"/>
      <c r="L900" s="13" t="s">
        <v>1705</v>
      </c>
      <c r="M900" s="8"/>
      <c r="N900" s="5"/>
      <c r="O900" s="5"/>
      <c r="P900" s="5"/>
      <c r="Q900" s="7" t="s">
        <v>1734</v>
      </c>
      <c r="R900" s="6" t="s">
        <v>1734</v>
      </c>
      <c r="S900" s="13" t="s">
        <v>1734</v>
      </c>
      <c r="T900" s="6" t="s">
        <v>1734</v>
      </c>
      <c r="U900" s="7" t="s">
        <v>1734</v>
      </c>
      <c r="V900" s="5"/>
      <c r="W900" s="7" t="s">
        <v>3</v>
      </c>
      <c r="X900" s="6" t="s">
        <v>3</v>
      </c>
      <c r="Y900" s="5"/>
      <c r="Z900" s="7">
        <v>1</v>
      </c>
      <c r="AA900" s="6"/>
      <c r="AB900" s="5"/>
      <c r="AC900" s="6"/>
      <c r="AD900" s="6" t="s">
        <v>3</v>
      </c>
      <c r="AE900" s="5"/>
      <c r="AF900" s="7" t="s">
        <v>1734</v>
      </c>
      <c r="AG900" s="6"/>
      <c r="AH900" s="5"/>
      <c r="AI900" s="6" t="s">
        <v>1734</v>
      </c>
      <c r="AJ900" s="6"/>
      <c r="AK900" s="5"/>
      <c r="AL900" s="6"/>
      <c r="AM900" s="6"/>
      <c r="AN900" s="6"/>
      <c r="AO900" s="6"/>
      <c r="AP900" s="6"/>
      <c r="AQ900" s="6"/>
    </row>
    <row r="901" spans="1:43" x14ac:dyDescent="0.25">
      <c r="A901" s="44" t="str">
        <f t="shared" si="17"/>
        <v>LONGSWORDSMAN_AFRI</v>
      </c>
      <c r="B901" s="9" t="s">
        <v>109</v>
      </c>
      <c r="C901" s="5" t="s">
        <v>694</v>
      </c>
      <c r="D901" s="5"/>
      <c r="E901" s="5" t="s">
        <v>109</v>
      </c>
      <c r="F901" s="5" t="s">
        <v>109</v>
      </c>
      <c r="G901" s="5"/>
      <c r="H901" s="5" t="s">
        <v>2107</v>
      </c>
      <c r="I901" s="5" t="s">
        <v>1025</v>
      </c>
      <c r="J901" s="6"/>
      <c r="K901" s="6"/>
      <c r="L901" s="13"/>
      <c r="M901" s="8"/>
      <c r="N901" s="5"/>
      <c r="O901" s="5"/>
      <c r="P901" s="5"/>
      <c r="Q901" s="7">
        <v>1</v>
      </c>
      <c r="R901" s="6"/>
      <c r="S901" s="13"/>
      <c r="T901" s="6">
        <v>2</v>
      </c>
      <c r="U901" s="7"/>
      <c r="V901" s="5"/>
      <c r="W901" s="7"/>
      <c r="X901" s="6"/>
      <c r="Y901" s="5"/>
      <c r="Z901" s="7">
        <v>1</v>
      </c>
      <c r="AA901" s="6"/>
      <c r="AB901" s="5"/>
      <c r="AC901" s="6"/>
      <c r="AD901" s="6"/>
      <c r="AE901" s="5"/>
      <c r="AF901" s="7">
        <v>1</v>
      </c>
      <c r="AG901" s="6"/>
      <c r="AH901" s="5"/>
      <c r="AI901" s="6">
        <v>1</v>
      </c>
      <c r="AJ901" s="6"/>
      <c r="AK901" s="5"/>
      <c r="AL901" s="6"/>
      <c r="AM901" s="6"/>
      <c r="AN901" s="6"/>
      <c r="AO901" s="6"/>
      <c r="AP901" s="6"/>
      <c r="AQ901" s="6"/>
    </row>
    <row r="902" spans="1:43" x14ac:dyDescent="0.25">
      <c r="A902" s="44" t="str">
        <f t="shared" si="17"/>
        <v>LONGSWORDSMAN_AFRI</v>
      </c>
      <c r="B902" s="9" t="s">
        <v>109</v>
      </c>
      <c r="C902" s="5" t="s">
        <v>694</v>
      </c>
      <c r="D902" s="5"/>
      <c r="E902" s="5" t="s">
        <v>109</v>
      </c>
      <c r="F902" s="5" t="s">
        <v>109</v>
      </c>
      <c r="G902" s="5" t="s">
        <v>2039</v>
      </c>
      <c r="H902" s="5" t="s">
        <v>2108</v>
      </c>
      <c r="I902" s="5" t="s">
        <v>1025</v>
      </c>
      <c r="J902" s="6"/>
      <c r="K902" s="6"/>
      <c r="L902" s="13"/>
      <c r="M902" s="8"/>
      <c r="N902" s="5"/>
      <c r="O902" s="5"/>
      <c r="P902" s="5"/>
      <c r="Q902" s="7">
        <v>2</v>
      </c>
      <c r="R902" s="6"/>
      <c r="S902" s="13"/>
      <c r="T902" s="6">
        <v>2</v>
      </c>
      <c r="U902" s="7"/>
      <c r="V902" s="5"/>
      <c r="W902" s="7"/>
      <c r="X902" s="6"/>
      <c r="Y902" s="5"/>
      <c r="Z902" s="7">
        <v>0</v>
      </c>
      <c r="AA902" s="6"/>
      <c r="AB902" s="5"/>
      <c r="AC902" s="6"/>
      <c r="AD902" s="6"/>
      <c r="AE902" s="5"/>
      <c r="AF902" s="7">
        <v>1</v>
      </c>
      <c r="AG902" s="6"/>
      <c r="AH902" s="5"/>
      <c r="AI902" s="6">
        <v>1</v>
      </c>
      <c r="AJ902" s="6"/>
      <c r="AK902" s="5"/>
      <c r="AL902" s="6"/>
      <c r="AM902" s="6"/>
      <c r="AN902" s="6"/>
      <c r="AO902" s="6"/>
      <c r="AP902" s="6"/>
      <c r="AQ902" s="6"/>
    </row>
    <row r="903" spans="1:43" x14ac:dyDescent="0.25">
      <c r="A903" s="44" t="s">
        <v>2109</v>
      </c>
      <c r="B903" s="9" t="s">
        <v>109</v>
      </c>
      <c r="C903" s="4" t="s">
        <v>694</v>
      </c>
      <c r="E903" s="4" t="s">
        <v>109</v>
      </c>
      <c r="F903" s="4" t="s">
        <v>109</v>
      </c>
      <c r="H903" s="4" t="s">
        <v>2107</v>
      </c>
      <c r="I903" s="4" t="s">
        <v>1025</v>
      </c>
      <c r="Q903" s="11">
        <v>3</v>
      </c>
      <c r="T903" s="11">
        <v>4</v>
      </c>
      <c r="Z903" s="11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44" t="s">
        <v>2109</v>
      </c>
      <c r="B904" s="9" t="s">
        <v>109</v>
      </c>
      <c r="C904" s="4" t="s">
        <v>694</v>
      </c>
      <c r="E904" s="4" t="s">
        <v>109</v>
      </c>
      <c r="F904" s="4" t="s">
        <v>109</v>
      </c>
      <c r="G904" s="4" t="s">
        <v>2039</v>
      </c>
      <c r="H904" s="4" t="s">
        <v>2108</v>
      </c>
      <c r="I904" s="4" t="s">
        <v>1025</v>
      </c>
      <c r="Q904" s="11">
        <v>3</v>
      </c>
      <c r="T904" s="11">
        <v>4</v>
      </c>
      <c r="Z904" s="11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44" t="s">
        <v>2109</v>
      </c>
      <c r="B905" s="9" t="s">
        <v>109</v>
      </c>
      <c r="C905" s="4" t="s">
        <v>694</v>
      </c>
      <c r="E905" s="4" t="s">
        <v>109</v>
      </c>
      <c r="F905" s="4" t="s">
        <v>109</v>
      </c>
      <c r="H905" s="4" t="s">
        <v>2107</v>
      </c>
      <c r="I905" s="4" t="s">
        <v>1025</v>
      </c>
      <c r="Q905" s="11">
        <v>2</v>
      </c>
      <c r="T905" s="11">
        <v>2</v>
      </c>
      <c r="Z905" s="11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44" t="s">
        <v>2109</v>
      </c>
      <c r="B906" s="9" t="s">
        <v>109</v>
      </c>
      <c r="C906" s="4" t="s">
        <v>694</v>
      </c>
      <c r="E906" s="4" t="s">
        <v>109</v>
      </c>
      <c r="F906" s="4" t="s">
        <v>109</v>
      </c>
      <c r="G906" s="4" t="s">
        <v>2039</v>
      </c>
      <c r="H906" s="4" t="s">
        <v>2108</v>
      </c>
      <c r="I906" s="4" t="s">
        <v>1025</v>
      </c>
      <c r="Q906" s="9">
        <v>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44" t="str">
        <f t="shared" si="17"/>
        <v>LONGSWORDSMAN_ETHIOPIA</v>
      </c>
      <c r="B907" s="9" t="s">
        <v>109</v>
      </c>
      <c r="C907" s="4" t="s">
        <v>714</v>
      </c>
      <c r="E907" s="4" t="s">
        <v>109</v>
      </c>
      <c r="F907" s="4" t="s">
        <v>109</v>
      </c>
      <c r="G907" s="14" t="s">
        <v>132</v>
      </c>
      <c r="H907" s="4" t="s">
        <v>332</v>
      </c>
      <c r="I907" s="4" t="s">
        <v>1025</v>
      </c>
      <c r="Q907" s="9" t="s">
        <v>1734</v>
      </c>
      <c r="Z907" s="9"/>
      <c r="AL907" s="11"/>
      <c r="AM907" s="11"/>
      <c r="AN907" s="11"/>
      <c r="AO907" s="11"/>
      <c r="AP907" s="11"/>
      <c r="AQ907" s="11"/>
    </row>
    <row r="908" spans="1:43" x14ac:dyDescent="0.25">
      <c r="A908" s="44" t="str">
        <f t="shared" si="17"/>
        <v>LONGSWORDSMAN_SONGHAI</v>
      </c>
      <c r="B908" s="9" t="s">
        <v>109</v>
      </c>
      <c r="C908" s="4" t="s">
        <v>737</v>
      </c>
      <c r="E908" s="4" t="s">
        <v>109</v>
      </c>
      <c r="F908" s="4" t="s">
        <v>109</v>
      </c>
      <c r="G908" s="14"/>
      <c r="H908" s="4" t="s">
        <v>1957</v>
      </c>
      <c r="I908" s="4" t="s">
        <v>1025</v>
      </c>
      <c r="Q908" s="9">
        <v>1</v>
      </c>
      <c r="R908" s="11">
        <v>0.13500000000000001</v>
      </c>
      <c r="T908" s="11">
        <v>2</v>
      </c>
      <c r="Z908" s="9">
        <v>1</v>
      </c>
      <c r="AA908" s="11">
        <v>0.20499999999999999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44" t="str">
        <f>CONCATENATE(E909,IF(ISBLANK(C909),"",CONCATENATE("_",C909)))</f>
        <v>LONGSWORDSMAN_SONGHAI</v>
      </c>
      <c r="B909" s="9" t="s">
        <v>109</v>
      </c>
      <c r="C909" s="4" t="s">
        <v>737</v>
      </c>
      <c r="E909" s="4" t="s">
        <v>109</v>
      </c>
      <c r="F909" s="4" t="s">
        <v>109</v>
      </c>
      <c r="G909" s="14" t="s">
        <v>2039</v>
      </c>
      <c r="H909" s="4" t="s">
        <v>1958</v>
      </c>
      <c r="I909" s="4" t="s">
        <v>1025</v>
      </c>
      <c r="Q909" s="9">
        <v>2</v>
      </c>
      <c r="R909" s="11">
        <v>0.13500000000000001</v>
      </c>
      <c r="T909" s="11">
        <v>2</v>
      </c>
      <c r="Z909" s="9">
        <v>0</v>
      </c>
      <c r="AA909" s="11">
        <v>0.20499999999999999</v>
      </c>
      <c r="AF909" s="11">
        <v>1</v>
      </c>
      <c r="AI909" s="11">
        <v>1</v>
      </c>
      <c r="AL909" s="11"/>
      <c r="AM909" s="11"/>
      <c r="AN909" s="11"/>
      <c r="AO909" s="11"/>
      <c r="AP909" s="11"/>
      <c r="AQ909" s="11"/>
    </row>
    <row r="910" spans="1:43" x14ac:dyDescent="0.25">
      <c r="A910" s="44" t="str">
        <f>CONCATENATE(E910,IF(ISBLANK(C910),"",CONCATENATE("_",C910)))</f>
        <v>LONGSWORDSMAN_SONGHAI</v>
      </c>
      <c r="B910" s="9" t="s">
        <v>109</v>
      </c>
      <c r="C910" s="4" t="s">
        <v>737</v>
      </c>
      <c r="E910" s="4" t="s">
        <v>109</v>
      </c>
      <c r="F910" s="4" t="s">
        <v>109</v>
      </c>
      <c r="G910" s="14"/>
      <c r="H910" s="4" t="s">
        <v>1957</v>
      </c>
      <c r="I910" s="4" t="s">
        <v>1025</v>
      </c>
      <c r="Q910" s="9">
        <v>3</v>
      </c>
      <c r="R910" s="11">
        <v>0.13500000000000001</v>
      </c>
      <c r="T910" s="11">
        <v>4</v>
      </c>
      <c r="Z910" s="9">
        <v>0</v>
      </c>
      <c r="AA910" s="11">
        <v>0.20499999999999999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44" t="str">
        <f>CONCATENATE(E911,IF(ISBLANK(C911),"",CONCATENATE("_",C911)))</f>
        <v>LONGSWORDSMAN_SONGHAI</v>
      </c>
      <c r="B911" s="9" t="s">
        <v>109</v>
      </c>
      <c r="C911" s="4" t="s">
        <v>737</v>
      </c>
      <c r="E911" s="4" t="s">
        <v>109</v>
      </c>
      <c r="F911" s="4" t="s">
        <v>109</v>
      </c>
      <c r="G911" s="14" t="s">
        <v>2039</v>
      </c>
      <c r="H911" s="4" t="s">
        <v>1958</v>
      </c>
      <c r="I911" s="4" t="s">
        <v>1025</v>
      </c>
      <c r="Q911" s="9">
        <v>3</v>
      </c>
      <c r="R911" s="11">
        <v>0.13500000000000001</v>
      </c>
      <c r="T911" s="11">
        <v>4</v>
      </c>
      <c r="Z911" s="9">
        <v>0</v>
      </c>
      <c r="AA911" s="11">
        <v>0.20499999999999999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44" t="str">
        <f>CONCATENATE(E912,IF(ISBLANK(C912),"",CONCATENATE("_",C912)))</f>
        <v>LONGSWORDSMAN_SONGHAI</v>
      </c>
      <c r="B912" s="9" t="s">
        <v>109</v>
      </c>
      <c r="C912" s="4" t="s">
        <v>737</v>
      </c>
      <c r="E912" s="4" t="s">
        <v>109</v>
      </c>
      <c r="F912" s="4" t="s">
        <v>109</v>
      </c>
      <c r="G912" s="14"/>
      <c r="H912" s="4" t="s">
        <v>1957</v>
      </c>
      <c r="I912" s="4" t="s">
        <v>1025</v>
      </c>
      <c r="Q912" s="9">
        <v>2</v>
      </c>
      <c r="R912" s="11">
        <v>0.13500000000000001</v>
      </c>
      <c r="T912" s="11">
        <v>2</v>
      </c>
      <c r="Z912" s="9">
        <v>0</v>
      </c>
      <c r="AA912" s="11">
        <v>0.20499999999999999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44" t="str">
        <f>CONCATENATE(E913,IF(ISBLANK(C913),"",CONCATENATE("_",C913)))</f>
        <v>LONGSWORDSMAN_SONGHAI</v>
      </c>
      <c r="B913" s="9" t="s">
        <v>109</v>
      </c>
      <c r="C913" s="4" t="s">
        <v>737</v>
      </c>
      <c r="E913" s="4" t="s">
        <v>109</v>
      </c>
      <c r="F913" s="4" t="s">
        <v>109</v>
      </c>
      <c r="G913" s="14" t="s">
        <v>2039</v>
      </c>
      <c r="H913" s="4" t="s">
        <v>1958</v>
      </c>
      <c r="I913" s="4" t="s">
        <v>1025</v>
      </c>
      <c r="Q913" s="9">
        <v>1</v>
      </c>
      <c r="R913" s="11">
        <v>0.13500000000000001</v>
      </c>
      <c r="T913" s="11">
        <v>2</v>
      </c>
      <c r="Z913" s="9">
        <v>0</v>
      </c>
      <c r="AA913" s="11">
        <v>0.20499999999999999</v>
      </c>
      <c r="AF913" s="11">
        <v>0</v>
      </c>
      <c r="AI913" s="11">
        <v>1</v>
      </c>
      <c r="AL913" s="11"/>
      <c r="AM913" s="11"/>
      <c r="AN913" s="11"/>
      <c r="AO913" s="11"/>
      <c r="AP913" s="11"/>
      <c r="AQ913" s="11"/>
    </row>
    <row r="914" spans="1:43" x14ac:dyDescent="0.25">
      <c r="A914" s="44" t="str">
        <f t="shared" si="17"/>
        <v>LONGSWORDSMAN_AMER</v>
      </c>
      <c r="B914" s="9" t="s">
        <v>109</v>
      </c>
      <c r="C914" s="4" t="s">
        <v>697</v>
      </c>
      <c r="E914" s="4" t="s">
        <v>109</v>
      </c>
      <c r="F914" s="4" t="s">
        <v>109</v>
      </c>
      <c r="H914" s="4" t="s">
        <v>634</v>
      </c>
      <c r="I914" s="4" t="s">
        <v>835</v>
      </c>
      <c r="AL914" s="11"/>
      <c r="AM914" s="11"/>
      <c r="AN914" s="11"/>
      <c r="AO914" s="11"/>
      <c r="AP914" s="11"/>
      <c r="AQ914" s="11"/>
    </row>
    <row r="915" spans="1:43" x14ac:dyDescent="0.25">
      <c r="A915" s="44" t="str">
        <f t="shared" si="17"/>
        <v>LONGSWORDSMAN_IROQUOIS</v>
      </c>
      <c r="B915" s="9" t="s">
        <v>109</v>
      </c>
      <c r="C915" s="4" t="s">
        <v>721</v>
      </c>
      <c r="E915" s="4" t="s">
        <v>109</v>
      </c>
      <c r="F915" s="4" t="s">
        <v>109</v>
      </c>
      <c r="H915" s="4" t="s">
        <v>465</v>
      </c>
      <c r="I915" s="4" t="s">
        <v>835</v>
      </c>
      <c r="Q915" s="11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44" t="str">
        <f t="shared" si="17"/>
        <v>LONGSWORDSMAN_IROQUOIS</v>
      </c>
      <c r="B916" s="9" t="s">
        <v>109</v>
      </c>
      <c r="C916" s="4" t="s">
        <v>721</v>
      </c>
      <c r="E916" s="4" t="s">
        <v>109</v>
      </c>
      <c r="F916" s="4" t="s">
        <v>109</v>
      </c>
      <c r="G916" s="4" t="s">
        <v>2039</v>
      </c>
      <c r="H916" s="4" t="s">
        <v>942</v>
      </c>
      <c r="I916" s="4" t="s">
        <v>835</v>
      </c>
      <c r="Q916" s="11">
        <v>3</v>
      </c>
      <c r="T916" s="11">
        <v>4</v>
      </c>
      <c r="Z916" s="9">
        <v>0</v>
      </c>
      <c r="AF916" s="11">
        <v>1</v>
      </c>
      <c r="AI916" s="11">
        <v>2</v>
      </c>
      <c r="AL916" s="11"/>
      <c r="AM916" s="11"/>
      <c r="AN916" s="11"/>
      <c r="AO916" s="11"/>
      <c r="AP916" s="11"/>
      <c r="AQ916" s="11"/>
    </row>
    <row r="917" spans="1:43" x14ac:dyDescent="0.25">
      <c r="A917" s="44" t="str">
        <f t="shared" si="17"/>
        <v>LONGSWORDSMAN_IROQUOIS</v>
      </c>
      <c r="B917" s="9" t="s">
        <v>109</v>
      </c>
      <c r="C917" s="4" t="s">
        <v>721</v>
      </c>
      <c r="E917" s="4" t="s">
        <v>109</v>
      </c>
      <c r="F917" s="4" t="s">
        <v>109</v>
      </c>
      <c r="G917" s="4" t="s">
        <v>2041</v>
      </c>
      <c r="H917" s="4" t="s">
        <v>943</v>
      </c>
      <c r="I917" s="4" t="s">
        <v>835</v>
      </c>
      <c r="Q917" s="11">
        <v>2</v>
      </c>
      <c r="T917" s="11">
        <v>4</v>
      </c>
      <c r="Z917" s="9">
        <v>0</v>
      </c>
      <c r="AF917" s="11">
        <v>1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44" t="str">
        <f t="shared" si="17"/>
        <v>LONGSWORDSMAN_IROQUOIS</v>
      </c>
      <c r="B918" s="9" t="s">
        <v>109</v>
      </c>
      <c r="C918" s="4" t="s">
        <v>721</v>
      </c>
      <c r="E918" s="4" t="s">
        <v>109</v>
      </c>
      <c r="F918" s="4" t="s">
        <v>109</v>
      </c>
      <c r="G918" s="4" t="s">
        <v>2040</v>
      </c>
      <c r="H918" s="4" t="s">
        <v>634</v>
      </c>
      <c r="I918" s="4" t="s">
        <v>835</v>
      </c>
      <c r="Q918" s="9">
        <v>3</v>
      </c>
      <c r="T918" s="11">
        <v>4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44" t="str">
        <f t="shared" si="17"/>
        <v>LONGSWORDSMAN_IROQUOIS</v>
      </c>
      <c r="B919" s="9" t="s">
        <v>109</v>
      </c>
      <c r="C919" s="4" t="s">
        <v>721</v>
      </c>
      <c r="E919" s="4" t="s">
        <v>109</v>
      </c>
      <c r="F919" s="4" t="s">
        <v>109</v>
      </c>
      <c r="G919" s="14" t="s">
        <v>132</v>
      </c>
      <c r="H919" s="4" t="s">
        <v>465</v>
      </c>
      <c r="I919" s="4" t="s">
        <v>835</v>
      </c>
      <c r="Q919" s="9">
        <v>2</v>
      </c>
      <c r="T919" s="11">
        <v>2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44" t="str">
        <f t="shared" si="17"/>
        <v>LONGSWORDSMAN_ASIA</v>
      </c>
      <c r="B920" s="9" t="s">
        <v>109</v>
      </c>
      <c r="C920" s="4" t="s">
        <v>693</v>
      </c>
      <c r="E920" s="4" t="s">
        <v>109</v>
      </c>
      <c r="F920" s="4" t="s">
        <v>109</v>
      </c>
      <c r="H920" s="4" t="s">
        <v>450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44" t="str">
        <f t="shared" si="17"/>
        <v>LONGSWORDSMAN_CHINA</v>
      </c>
      <c r="B921" s="9" t="s">
        <v>109</v>
      </c>
      <c r="C921" s="4" t="s">
        <v>710</v>
      </c>
      <c r="E921" s="4" t="s">
        <v>109</v>
      </c>
      <c r="F921" s="4" t="s">
        <v>109</v>
      </c>
      <c r="H921" s="4" t="s">
        <v>450</v>
      </c>
      <c r="I921" s="4" t="s">
        <v>102</v>
      </c>
      <c r="Q921" s="9">
        <v>2</v>
      </c>
      <c r="T921" s="11">
        <v>3</v>
      </c>
      <c r="Z921" s="9">
        <v>0</v>
      </c>
      <c r="AF921" s="11">
        <v>1</v>
      </c>
      <c r="AI921" s="11">
        <v>1</v>
      </c>
      <c r="AL921" s="11"/>
      <c r="AM921" s="11"/>
      <c r="AN921" s="11"/>
      <c r="AO921" s="11"/>
      <c r="AP921" s="11"/>
      <c r="AQ921" s="11"/>
    </row>
    <row r="922" spans="1:43" x14ac:dyDescent="0.25">
      <c r="A922" s="44" t="str">
        <f t="shared" si="17"/>
        <v>LONGSWORDSMAN_CHINA</v>
      </c>
      <c r="B922" s="9" t="s">
        <v>109</v>
      </c>
      <c r="C922" s="4" t="s">
        <v>710</v>
      </c>
      <c r="E922" s="4" t="s">
        <v>109</v>
      </c>
      <c r="F922" s="4" t="s">
        <v>109</v>
      </c>
      <c r="G922" s="4" t="s">
        <v>2039</v>
      </c>
      <c r="H922" s="4" t="s">
        <v>834</v>
      </c>
      <c r="I922" s="4" t="s">
        <v>102</v>
      </c>
      <c r="Q922" s="9">
        <v>2</v>
      </c>
      <c r="T922" s="11">
        <v>2</v>
      </c>
      <c r="Z922" s="9">
        <v>1</v>
      </c>
      <c r="AF922" s="11">
        <v>1</v>
      </c>
      <c r="AI922" s="11">
        <v>1</v>
      </c>
      <c r="AL922" s="11"/>
      <c r="AM922" s="11"/>
      <c r="AN922" s="11"/>
      <c r="AO922" s="11"/>
      <c r="AP922" s="11"/>
      <c r="AQ922" s="11"/>
    </row>
    <row r="923" spans="1:43" x14ac:dyDescent="0.25">
      <c r="A923" s="44" t="str">
        <f t="shared" si="17"/>
        <v>LONGSWORDSMAN_CHINA</v>
      </c>
      <c r="B923" s="9" t="s">
        <v>109</v>
      </c>
      <c r="C923" s="4" t="s">
        <v>710</v>
      </c>
      <c r="E923" s="4" t="s">
        <v>109</v>
      </c>
      <c r="F923" s="4" t="s">
        <v>109</v>
      </c>
      <c r="G923" s="4" t="s">
        <v>2041</v>
      </c>
      <c r="H923" s="4" t="s">
        <v>251</v>
      </c>
      <c r="I923" s="4" t="s">
        <v>102</v>
      </c>
      <c r="Q923" s="9">
        <v>2</v>
      </c>
      <c r="T923" s="11">
        <v>3</v>
      </c>
      <c r="Z923" s="9">
        <v>0</v>
      </c>
      <c r="AF923" s="11">
        <v>1</v>
      </c>
      <c r="AI923" s="11">
        <v>1</v>
      </c>
      <c r="AL923" s="11"/>
      <c r="AM923" s="11"/>
      <c r="AN923" s="11"/>
      <c r="AO923" s="11"/>
      <c r="AP923" s="11"/>
      <c r="AQ923" s="11"/>
    </row>
    <row r="924" spans="1:43" x14ac:dyDescent="0.25">
      <c r="A924" s="44" t="str">
        <f t="shared" si="17"/>
        <v>LONGSWORDSMAN_CHINA</v>
      </c>
      <c r="B924" s="9" t="s">
        <v>109</v>
      </c>
      <c r="C924" s="4" t="s">
        <v>710</v>
      </c>
      <c r="E924" s="4" t="s">
        <v>109</v>
      </c>
      <c r="F924" s="4" t="s">
        <v>109</v>
      </c>
      <c r="H924" s="4" t="s">
        <v>450</v>
      </c>
      <c r="I924" s="4" t="s">
        <v>102</v>
      </c>
      <c r="Q924" s="9">
        <v>2</v>
      </c>
      <c r="T924" s="11">
        <v>2</v>
      </c>
      <c r="Z924" s="9">
        <v>0</v>
      </c>
      <c r="AF924" s="11">
        <v>0</v>
      </c>
      <c r="AI924" s="11">
        <v>2</v>
      </c>
      <c r="AL924" s="11"/>
      <c r="AM924" s="11"/>
      <c r="AN924" s="11"/>
      <c r="AO924" s="11"/>
      <c r="AP924" s="11"/>
      <c r="AQ924" s="11"/>
    </row>
    <row r="925" spans="1:43" x14ac:dyDescent="0.25">
      <c r="A925" s="44" t="str">
        <f t="shared" si="17"/>
        <v>LONGSWORDSMAN_CHINA</v>
      </c>
      <c r="B925" s="9" t="s">
        <v>109</v>
      </c>
      <c r="C925" s="4" t="s">
        <v>710</v>
      </c>
      <c r="E925" s="4" t="s">
        <v>109</v>
      </c>
      <c r="F925" s="4" t="s">
        <v>109</v>
      </c>
      <c r="G925" s="4" t="s">
        <v>2039</v>
      </c>
      <c r="H925" s="4" t="s">
        <v>834</v>
      </c>
      <c r="I925" s="4" t="s">
        <v>102</v>
      </c>
      <c r="Q925" s="9">
        <v>2</v>
      </c>
      <c r="T925" s="11">
        <v>3</v>
      </c>
      <c r="Z925" s="9">
        <v>0</v>
      </c>
      <c r="AF925" s="11">
        <v>0</v>
      </c>
      <c r="AI925" s="11">
        <v>1</v>
      </c>
      <c r="AL925" s="11"/>
      <c r="AM925" s="11"/>
      <c r="AN925" s="11"/>
      <c r="AO925" s="11"/>
      <c r="AP925" s="11"/>
      <c r="AQ925" s="11"/>
    </row>
    <row r="926" spans="1:43" x14ac:dyDescent="0.25">
      <c r="A926" s="44" t="str">
        <f t="shared" si="17"/>
        <v>LONGSWORDSMAN_CHINA</v>
      </c>
      <c r="B926" s="9" t="s">
        <v>109</v>
      </c>
      <c r="C926" s="4" t="s">
        <v>710</v>
      </c>
      <c r="E926" s="4" t="s">
        <v>109</v>
      </c>
      <c r="F926" s="4" t="s">
        <v>109</v>
      </c>
      <c r="G926" s="4" t="s">
        <v>2041</v>
      </c>
      <c r="H926" s="4" t="s">
        <v>251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44" t="str">
        <f t="shared" si="17"/>
        <v>LONGSWORDSMAN_JAPAN</v>
      </c>
      <c r="B927" s="9" t="s">
        <v>109</v>
      </c>
      <c r="C927" s="4" t="s">
        <v>722</v>
      </c>
      <c r="E927" s="4" t="s">
        <v>109</v>
      </c>
      <c r="F927" s="4" t="s">
        <v>109</v>
      </c>
      <c r="G927" s="14" t="s">
        <v>132</v>
      </c>
      <c r="H927" s="4" t="s">
        <v>485</v>
      </c>
      <c r="I927" s="4" t="s">
        <v>102</v>
      </c>
      <c r="AL927" s="11"/>
      <c r="AM927" s="11"/>
      <c r="AN927" s="11"/>
      <c r="AO927" s="11"/>
      <c r="AP927" s="11"/>
      <c r="AQ927" s="11"/>
    </row>
    <row r="928" spans="1:43" x14ac:dyDescent="0.25">
      <c r="A928" s="44" t="str">
        <f t="shared" si="17"/>
        <v>LONGSWORDSMAN_KOREA</v>
      </c>
      <c r="B928" s="9" t="s">
        <v>109</v>
      </c>
      <c r="C928" s="4" t="s">
        <v>723</v>
      </c>
      <c r="E928" s="4" t="s">
        <v>109</v>
      </c>
      <c r="F928" s="4" t="s">
        <v>109</v>
      </c>
      <c r="G928" s="14" t="s">
        <v>132</v>
      </c>
      <c r="H928" s="4" t="s">
        <v>501</v>
      </c>
      <c r="I928" s="4" t="s">
        <v>102</v>
      </c>
      <c r="AL928" s="11"/>
      <c r="AM928" s="11"/>
      <c r="AN928" s="11"/>
      <c r="AO928" s="11"/>
      <c r="AP928" s="11"/>
      <c r="AQ928" s="11"/>
    </row>
    <row r="929" spans="1:43" x14ac:dyDescent="0.25">
      <c r="A929" s="44" t="str">
        <f t="shared" si="17"/>
        <v>LONGSWORDSMAN_MONGOL</v>
      </c>
      <c r="B929" s="9" t="s">
        <v>109</v>
      </c>
      <c r="C929" s="4" t="s">
        <v>728</v>
      </c>
      <c r="E929" s="4" t="s">
        <v>109</v>
      </c>
      <c r="F929" s="4" t="s">
        <v>109</v>
      </c>
      <c r="G929" s="14" t="s">
        <v>132</v>
      </c>
      <c r="H929" s="4" t="s">
        <v>531</v>
      </c>
      <c r="I929" s="4" t="s">
        <v>2089</v>
      </c>
      <c r="AL929" s="11"/>
      <c r="AM929" s="11"/>
      <c r="AN929" s="11"/>
      <c r="AO929" s="11"/>
      <c r="AP929" s="11"/>
      <c r="AQ929" s="11"/>
    </row>
    <row r="930" spans="1:43" x14ac:dyDescent="0.25">
      <c r="A930" s="44" t="str">
        <f t="shared" si="17"/>
        <v>LONGSWORDSMAN_CENTAS</v>
      </c>
      <c r="B930" s="9" t="s">
        <v>109</v>
      </c>
      <c r="C930" s="4" t="s">
        <v>918</v>
      </c>
      <c r="E930" s="4" t="s">
        <v>109</v>
      </c>
      <c r="F930" s="4" t="s">
        <v>109</v>
      </c>
      <c r="G930" s="14"/>
      <c r="H930" s="4" t="s">
        <v>1030</v>
      </c>
      <c r="I930" s="4" t="s">
        <v>2089</v>
      </c>
      <c r="AL930" s="11"/>
      <c r="AM930" s="11"/>
      <c r="AN930" s="11"/>
      <c r="AO930" s="11"/>
      <c r="AP930" s="11"/>
      <c r="AQ930" s="11"/>
    </row>
    <row r="931" spans="1:43" x14ac:dyDescent="0.25">
      <c r="A931" s="44" t="str">
        <f t="shared" si="17"/>
        <v>LONGSWORDSMAN_HUNS</v>
      </c>
      <c r="B931" s="9" t="s">
        <v>109</v>
      </c>
      <c r="C931" s="4" t="s">
        <v>904</v>
      </c>
      <c r="E931" s="4" t="s">
        <v>109</v>
      </c>
      <c r="F931" s="4" t="s">
        <v>109</v>
      </c>
      <c r="H931" s="4" t="s">
        <v>910</v>
      </c>
      <c r="I931" s="4" t="s">
        <v>122</v>
      </c>
      <c r="AL931" s="11"/>
      <c r="AM931" s="11"/>
      <c r="AN931" s="11"/>
      <c r="AO931" s="11"/>
      <c r="AP931" s="11"/>
      <c r="AQ931" s="11"/>
    </row>
    <row r="932" spans="1:43" x14ac:dyDescent="0.25">
      <c r="A932" s="44" t="str">
        <f t="shared" si="17"/>
        <v>LONGSWORDSMAN_OTTOMAN</v>
      </c>
      <c r="B932" s="9" t="s">
        <v>109</v>
      </c>
      <c r="C932" s="4" t="s">
        <v>1037</v>
      </c>
      <c r="E932" s="4" t="s">
        <v>109</v>
      </c>
      <c r="F932" s="4" t="s">
        <v>109</v>
      </c>
      <c r="G932" s="14" t="s">
        <v>132</v>
      </c>
      <c r="H932" s="4" t="s">
        <v>1030</v>
      </c>
      <c r="I932" s="4" t="s">
        <v>2089</v>
      </c>
      <c r="Q932" s="11">
        <v>3</v>
      </c>
      <c r="T932" s="11">
        <v>4</v>
      </c>
      <c r="Z932" s="11">
        <v>1</v>
      </c>
      <c r="AF932" s="11">
        <v>1</v>
      </c>
      <c r="AI932" s="11">
        <v>2</v>
      </c>
      <c r="AL932" s="11"/>
      <c r="AM932" s="11"/>
      <c r="AN932" s="11"/>
      <c r="AO932" s="11"/>
      <c r="AP932" s="11"/>
      <c r="AQ932" s="11"/>
    </row>
    <row r="933" spans="1:43" x14ac:dyDescent="0.25">
      <c r="A933" s="44" t="str">
        <f t="shared" si="17"/>
        <v>LONGSWORDSMAN_OTTOMAN</v>
      </c>
      <c r="B933" s="9" t="s">
        <v>109</v>
      </c>
      <c r="C933" s="4" t="s">
        <v>1037</v>
      </c>
      <c r="E933" s="4" t="s">
        <v>109</v>
      </c>
      <c r="F933" s="4" t="s">
        <v>109</v>
      </c>
      <c r="G933" s="14" t="s">
        <v>2039</v>
      </c>
      <c r="H933" s="4" t="s">
        <v>1031</v>
      </c>
      <c r="I933" s="4" t="s">
        <v>2089</v>
      </c>
      <c r="Q933" s="11">
        <v>2</v>
      </c>
      <c r="T933" s="11">
        <v>3</v>
      </c>
      <c r="Z933" s="11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44" t="str">
        <f t="shared" si="17"/>
        <v>LONGSWORDSMAN_OTTOMAN</v>
      </c>
      <c r="B934" s="9" t="s">
        <v>109</v>
      </c>
      <c r="C934" s="4" t="s">
        <v>1037</v>
      </c>
      <c r="E934" s="4" t="s">
        <v>109</v>
      </c>
      <c r="F934" s="4" t="s">
        <v>109</v>
      </c>
      <c r="G934" s="14" t="s">
        <v>2041</v>
      </c>
      <c r="H934" s="4" t="s">
        <v>1032</v>
      </c>
      <c r="I934" s="4" t="s">
        <v>2089</v>
      </c>
      <c r="Q934" s="11">
        <v>1</v>
      </c>
      <c r="T934" s="11">
        <v>1</v>
      </c>
      <c r="Z934" s="11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44" t="str">
        <f t="shared" si="17"/>
        <v>LONGSWORDSMAN_OTTOMAN</v>
      </c>
      <c r="B935" s="9" t="s">
        <v>109</v>
      </c>
      <c r="C935" s="4" t="s">
        <v>1037</v>
      </c>
      <c r="E935" s="4" t="s">
        <v>109</v>
      </c>
      <c r="F935" s="4" t="s">
        <v>109</v>
      </c>
      <c r="G935" s="14" t="s">
        <v>132</v>
      </c>
      <c r="H935" s="4" t="s">
        <v>1030</v>
      </c>
      <c r="I935" s="4" t="s">
        <v>2089</v>
      </c>
      <c r="Q935" s="9">
        <v>3</v>
      </c>
      <c r="T935" s="11">
        <v>4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44" t="str">
        <f t="shared" si="17"/>
        <v>LONGSWORDSMAN_OTTOMAN</v>
      </c>
      <c r="B936" s="9" t="s">
        <v>109</v>
      </c>
      <c r="C936" s="4" t="s">
        <v>1037</v>
      </c>
      <c r="E936" s="4" t="s">
        <v>109</v>
      </c>
      <c r="F936" s="4" t="s">
        <v>109</v>
      </c>
      <c r="G936" s="14" t="s">
        <v>2039</v>
      </c>
      <c r="H936" s="4" t="s">
        <v>1031</v>
      </c>
      <c r="I936" s="4" t="s">
        <v>2089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44" t="str">
        <f t="shared" si="17"/>
        <v>LONGSWORDSMAN_OTTOMAN</v>
      </c>
      <c r="B937" s="9" t="s">
        <v>109</v>
      </c>
      <c r="C937" s="4" t="s">
        <v>1037</v>
      </c>
      <c r="E937" s="4" t="s">
        <v>109</v>
      </c>
      <c r="F937" s="4" t="s">
        <v>109</v>
      </c>
      <c r="G937" s="14" t="s">
        <v>2041</v>
      </c>
      <c r="H937" s="4" t="s">
        <v>1032</v>
      </c>
      <c r="I937" s="4" t="s">
        <v>2089</v>
      </c>
      <c r="Q937" s="9">
        <v>1</v>
      </c>
      <c r="T937" s="11">
        <v>1</v>
      </c>
      <c r="Z937" s="9">
        <v>0</v>
      </c>
      <c r="AF937" s="11">
        <v>0</v>
      </c>
      <c r="AI937" s="11">
        <v>0</v>
      </c>
      <c r="AL937" s="11"/>
      <c r="AM937" s="11"/>
      <c r="AN937" s="11"/>
      <c r="AO937" s="11"/>
      <c r="AP937" s="11"/>
      <c r="AQ937" s="11"/>
    </row>
    <row r="938" spans="1:43" x14ac:dyDescent="0.25">
      <c r="A938" s="44" t="str">
        <f t="shared" si="17"/>
        <v>LONGSWORDSMAN_EASTEU</v>
      </c>
      <c r="B938" s="9" t="s">
        <v>109</v>
      </c>
      <c r="C938" s="4" t="s">
        <v>698</v>
      </c>
      <c r="E938" s="4" t="s">
        <v>109</v>
      </c>
      <c r="F938" s="4" t="s">
        <v>109</v>
      </c>
      <c r="G938" s="14"/>
      <c r="H938" s="4" t="s">
        <v>2816</v>
      </c>
      <c r="I938" s="4" t="s">
        <v>2813</v>
      </c>
      <c r="Q938" s="9"/>
      <c r="Z938" s="9"/>
      <c r="AL938" s="11"/>
      <c r="AM938" s="11"/>
      <c r="AN938" s="11"/>
      <c r="AO938" s="11"/>
      <c r="AP938" s="11"/>
      <c r="AQ938" s="11"/>
    </row>
    <row r="939" spans="1:43" x14ac:dyDescent="0.25">
      <c r="A939" s="44" t="str">
        <f t="shared" si="17"/>
        <v>LONGSWORDSMAN_POLAND</v>
      </c>
      <c r="B939" s="9" t="s">
        <v>109</v>
      </c>
      <c r="C939" s="4" t="s">
        <v>732</v>
      </c>
      <c r="E939" s="4" t="s">
        <v>109</v>
      </c>
      <c r="F939" s="4" t="s">
        <v>109</v>
      </c>
      <c r="G939" s="14" t="s">
        <v>132</v>
      </c>
      <c r="H939" s="4" t="s">
        <v>572</v>
      </c>
      <c r="I939" s="4" t="s">
        <v>122</v>
      </c>
      <c r="AF939" s="9"/>
      <c r="AL939" s="11"/>
      <c r="AM939" s="11"/>
      <c r="AN939" s="11"/>
      <c r="AO939" s="11"/>
      <c r="AP939" s="11"/>
      <c r="AQ939" s="11"/>
    </row>
    <row r="940" spans="1:43" x14ac:dyDescent="0.25">
      <c r="A940" s="44" t="str">
        <f t="shared" si="17"/>
        <v>LONGSWORDSMAN_RUSSIA</v>
      </c>
      <c r="B940" s="9" t="s">
        <v>109</v>
      </c>
      <c r="C940" s="4" t="s">
        <v>735</v>
      </c>
      <c r="E940" s="4" t="s">
        <v>109</v>
      </c>
      <c r="F940" s="4" t="s">
        <v>109</v>
      </c>
      <c r="H940" s="4" t="s">
        <v>1005</v>
      </c>
      <c r="I940" s="4" t="s">
        <v>2089</v>
      </c>
      <c r="Q940" s="9">
        <v>2</v>
      </c>
      <c r="T940" s="11">
        <v>3</v>
      </c>
      <c r="Z940" s="9">
        <v>1</v>
      </c>
      <c r="AF940" s="11">
        <v>1</v>
      </c>
      <c r="AI940" s="11">
        <v>1</v>
      </c>
      <c r="AL940" s="11"/>
      <c r="AM940" s="11"/>
      <c r="AN940" s="11"/>
      <c r="AO940" s="11"/>
      <c r="AP940" s="11"/>
      <c r="AQ940" s="11"/>
    </row>
    <row r="941" spans="1:43" x14ac:dyDescent="0.25">
      <c r="A941" s="44" t="str">
        <f t="shared" si="17"/>
        <v>LONGSWORDSMAN_RUSSIA</v>
      </c>
      <c r="B941" s="9" t="s">
        <v>109</v>
      </c>
      <c r="C941" s="4" t="s">
        <v>735</v>
      </c>
      <c r="E941" s="4" t="s">
        <v>109</v>
      </c>
      <c r="F941" s="4" t="s">
        <v>109</v>
      </c>
      <c r="G941" s="4" t="s">
        <v>2039</v>
      </c>
      <c r="H941" s="4" t="s">
        <v>1006</v>
      </c>
      <c r="I941" s="4" t="s">
        <v>2089</v>
      </c>
      <c r="Q941" s="9">
        <v>2</v>
      </c>
      <c r="T941" s="11">
        <v>2</v>
      </c>
      <c r="Z941" s="9">
        <v>0</v>
      </c>
      <c r="AF941" s="11">
        <v>1</v>
      </c>
      <c r="AI941" s="11">
        <v>1</v>
      </c>
      <c r="AL941" s="11"/>
      <c r="AM941" s="11"/>
      <c r="AN941" s="11"/>
      <c r="AO941" s="11"/>
      <c r="AP941" s="11"/>
      <c r="AQ941" s="11"/>
    </row>
    <row r="942" spans="1:43" x14ac:dyDescent="0.25">
      <c r="A942" s="44" t="str">
        <f t="shared" si="17"/>
        <v>LONGSWORDSMAN_RUSSIA</v>
      </c>
      <c r="B942" s="9" t="s">
        <v>109</v>
      </c>
      <c r="C942" s="4" t="s">
        <v>735</v>
      </c>
      <c r="E942" s="4" t="s">
        <v>109</v>
      </c>
      <c r="F942" s="4" t="s">
        <v>109</v>
      </c>
      <c r="G942" s="4" t="s">
        <v>2041</v>
      </c>
      <c r="H942" s="4" t="s">
        <v>617</v>
      </c>
      <c r="I942" s="4" t="s">
        <v>2089</v>
      </c>
      <c r="Q942" s="9">
        <v>2</v>
      </c>
      <c r="T942" s="11">
        <v>3</v>
      </c>
      <c r="Z942" s="9">
        <v>0</v>
      </c>
      <c r="AF942" s="11">
        <v>1</v>
      </c>
      <c r="AI942" s="11">
        <v>1</v>
      </c>
      <c r="AL942" s="11"/>
      <c r="AM942" s="11"/>
      <c r="AN942" s="11"/>
      <c r="AO942" s="11"/>
      <c r="AP942" s="11"/>
      <c r="AQ942" s="11"/>
    </row>
    <row r="943" spans="1:43" x14ac:dyDescent="0.25">
      <c r="A943" s="44" t="str">
        <f t="shared" si="17"/>
        <v>LONGSWORDSMAN_RUSSIA</v>
      </c>
      <c r="B943" s="9" t="s">
        <v>109</v>
      </c>
      <c r="C943" s="4" t="s">
        <v>735</v>
      </c>
      <c r="E943" s="4" t="s">
        <v>109</v>
      </c>
      <c r="F943" s="4" t="s">
        <v>109</v>
      </c>
      <c r="H943" s="4" t="s">
        <v>1005</v>
      </c>
      <c r="I943" s="4" t="s">
        <v>2089</v>
      </c>
      <c r="Q943" s="9">
        <v>2</v>
      </c>
      <c r="T943" s="11">
        <v>2</v>
      </c>
      <c r="Z943" s="9">
        <v>0</v>
      </c>
      <c r="AF943" s="11">
        <v>0</v>
      </c>
      <c r="AI943" s="11">
        <v>2</v>
      </c>
      <c r="AL943" s="11"/>
      <c r="AM943" s="11"/>
      <c r="AN943" s="11"/>
      <c r="AO943" s="11"/>
      <c r="AP943" s="11"/>
      <c r="AQ943" s="11"/>
    </row>
    <row r="944" spans="1:43" x14ac:dyDescent="0.25">
      <c r="A944" s="44" t="str">
        <f t="shared" si="17"/>
        <v>LONGSWORDSMAN_RUSSIA</v>
      </c>
      <c r="B944" s="9" t="s">
        <v>109</v>
      </c>
      <c r="C944" s="4" t="s">
        <v>735</v>
      </c>
      <c r="E944" s="4" t="s">
        <v>109</v>
      </c>
      <c r="F944" s="4" t="s">
        <v>109</v>
      </c>
      <c r="G944" s="4" t="s">
        <v>2039</v>
      </c>
      <c r="H944" s="4" t="s">
        <v>1006</v>
      </c>
      <c r="I944" s="4" t="s">
        <v>2089</v>
      </c>
      <c r="Q944" s="9">
        <v>2</v>
      </c>
      <c r="T944" s="11">
        <v>3</v>
      </c>
      <c r="Z944" s="9">
        <v>0</v>
      </c>
      <c r="AF944" s="11">
        <v>0</v>
      </c>
      <c r="AI944" s="11">
        <v>1</v>
      </c>
      <c r="AL944" s="11"/>
      <c r="AM944" s="11"/>
      <c r="AN944" s="11"/>
      <c r="AO944" s="11"/>
      <c r="AP944" s="11"/>
      <c r="AQ944" s="11"/>
    </row>
    <row r="945" spans="1:43" x14ac:dyDescent="0.25">
      <c r="A945" s="44" t="str">
        <f t="shared" si="17"/>
        <v>LONGSWORDSMAN_RUSSIA</v>
      </c>
      <c r="B945" s="9" t="s">
        <v>109</v>
      </c>
      <c r="C945" s="4" t="s">
        <v>735</v>
      </c>
      <c r="E945" s="4" t="s">
        <v>109</v>
      </c>
      <c r="F945" s="4" t="s">
        <v>109</v>
      </c>
      <c r="G945" s="4" t="s">
        <v>2041</v>
      </c>
      <c r="H945" s="4" t="s">
        <v>617</v>
      </c>
      <c r="I945" s="4" t="s">
        <v>2089</v>
      </c>
      <c r="Q945" s="9">
        <v>2</v>
      </c>
      <c r="T945" s="11">
        <v>3</v>
      </c>
      <c r="Z945" s="9">
        <v>0</v>
      </c>
      <c r="AF945" s="11">
        <v>0</v>
      </c>
      <c r="AI945" s="11">
        <v>1</v>
      </c>
      <c r="AL945" s="11"/>
      <c r="AM945" s="11"/>
      <c r="AN945" s="11"/>
      <c r="AO945" s="11"/>
      <c r="AP945" s="11"/>
      <c r="AQ945" s="11"/>
    </row>
    <row r="946" spans="1:43" x14ac:dyDescent="0.25">
      <c r="A946" s="44" t="str">
        <f t="shared" si="17"/>
        <v>LONGSWORDSMAN_AMERICA</v>
      </c>
      <c r="B946" s="9" t="s">
        <v>109</v>
      </c>
      <c r="C946" s="4" t="s">
        <v>699</v>
      </c>
      <c r="E946" s="4" t="s">
        <v>109</v>
      </c>
      <c r="F946" s="4" t="s">
        <v>109</v>
      </c>
      <c r="G946" s="14"/>
      <c r="H946" s="4" t="s">
        <v>142</v>
      </c>
      <c r="I946" s="4" t="s">
        <v>122</v>
      </c>
      <c r="AL946" s="11"/>
      <c r="AM946" s="11"/>
      <c r="AN946" s="11"/>
      <c r="AO946" s="11"/>
      <c r="AP946" s="11"/>
      <c r="AQ946" s="11"/>
    </row>
    <row r="947" spans="1:43" x14ac:dyDescent="0.25">
      <c r="A947" s="44" t="str">
        <f t="shared" si="17"/>
        <v>LONGSWORDSMAN_AUSTRIA</v>
      </c>
      <c r="B947" s="9" t="s">
        <v>109</v>
      </c>
      <c r="C947" s="4" t="s">
        <v>701</v>
      </c>
      <c r="E947" s="4" t="s">
        <v>109</v>
      </c>
      <c r="F947" s="4" t="s">
        <v>109</v>
      </c>
      <c r="G947" s="14"/>
      <c r="H947" s="4" t="s">
        <v>182</v>
      </c>
      <c r="I947" s="4" t="s">
        <v>122</v>
      </c>
      <c r="AL947" s="11"/>
      <c r="AM947" s="11"/>
      <c r="AN947" s="11"/>
      <c r="AO947" s="11"/>
      <c r="AP947" s="11"/>
      <c r="AQ947" s="11"/>
    </row>
    <row r="948" spans="1:43" x14ac:dyDescent="0.25">
      <c r="A948" s="44" t="str">
        <f t="shared" si="17"/>
        <v>LONGSWORDSMAN_BOHEMIA</v>
      </c>
      <c r="B948" s="9" t="s">
        <v>109</v>
      </c>
      <c r="C948" s="4" t="s">
        <v>705</v>
      </c>
      <c r="E948" s="4" t="s">
        <v>109</v>
      </c>
      <c r="F948" s="4" t="s">
        <v>109</v>
      </c>
      <c r="G948" s="14"/>
      <c r="H948" s="4" t="s">
        <v>221</v>
      </c>
      <c r="I948" s="4" t="s">
        <v>967</v>
      </c>
      <c r="AL948" s="11"/>
      <c r="AM948" s="11"/>
      <c r="AN948" s="11"/>
      <c r="AO948" s="11"/>
      <c r="AP948" s="11"/>
      <c r="AQ948" s="11"/>
    </row>
    <row r="949" spans="1:43" x14ac:dyDescent="0.25">
      <c r="A949" s="44" t="str">
        <f t="shared" si="17"/>
        <v>LONGSWORDSMAN_CELTS</v>
      </c>
      <c r="B949" s="9" t="s">
        <v>109</v>
      </c>
      <c r="C949" s="4" t="s">
        <v>709</v>
      </c>
      <c r="E949" s="4" t="s">
        <v>109</v>
      </c>
      <c r="F949" s="4" t="s">
        <v>109</v>
      </c>
      <c r="H949" s="4" t="s">
        <v>824</v>
      </c>
      <c r="I949" s="4" t="s">
        <v>122</v>
      </c>
      <c r="Q949" s="11">
        <v>2</v>
      </c>
      <c r="T949" s="11">
        <v>3</v>
      </c>
      <c r="Z949" s="11">
        <v>0</v>
      </c>
      <c r="AF949" s="11">
        <v>1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44" t="str">
        <f t="shared" si="17"/>
        <v>LONGSWORDSMAN_CELTS</v>
      </c>
      <c r="B950" s="9" t="s">
        <v>109</v>
      </c>
      <c r="C950" s="4" t="s">
        <v>709</v>
      </c>
      <c r="E950" s="4" t="s">
        <v>109</v>
      </c>
      <c r="F950" s="4" t="s">
        <v>109</v>
      </c>
      <c r="G950" s="4" t="s">
        <v>2039</v>
      </c>
      <c r="H950" s="4" t="s">
        <v>238</v>
      </c>
      <c r="I950" s="4" t="s">
        <v>122</v>
      </c>
      <c r="Q950" s="11">
        <v>3</v>
      </c>
      <c r="T950" s="11">
        <v>5</v>
      </c>
      <c r="Z950" s="11">
        <v>1</v>
      </c>
      <c r="AF950" s="11">
        <v>1</v>
      </c>
      <c r="AI950" s="11">
        <v>5</v>
      </c>
      <c r="AL950" s="11"/>
      <c r="AM950" s="11"/>
      <c r="AN950" s="11"/>
      <c r="AO950" s="11"/>
      <c r="AP950" s="11"/>
      <c r="AQ950" s="11"/>
    </row>
    <row r="951" spans="1:43" x14ac:dyDescent="0.25">
      <c r="A951" s="44" t="str">
        <f t="shared" si="17"/>
        <v>LONGSWORDSMAN_CELTS</v>
      </c>
      <c r="B951" s="9" t="s">
        <v>109</v>
      </c>
      <c r="C951" s="4" t="s">
        <v>709</v>
      </c>
      <c r="E951" s="4" t="s">
        <v>109</v>
      </c>
      <c r="F951" s="4" t="s">
        <v>109</v>
      </c>
      <c r="H951" s="4" t="s">
        <v>824</v>
      </c>
      <c r="I951" s="4" t="s">
        <v>122</v>
      </c>
      <c r="Q951" s="11">
        <v>4</v>
      </c>
      <c r="T951" s="11">
        <v>5</v>
      </c>
      <c r="Z951" s="11">
        <v>0</v>
      </c>
      <c r="AF951" s="11">
        <v>1</v>
      </c>
      <c r="AI951" s="11">
        <v>5</v>
      </c>
      <c r="AL951" s="11"/>
      <c r="AM951" s="11"/>
      <c r="AN951" s="11"/>
      <c r="AO951" s="11"/>
      <c r="AP951" s="11"/>
      <c r="AQ951" s="11"/>
    </row>
    <row r="952" spans="1:43" x14ac:dyDescent="0.25">
      <c r="A952" s="44" t="str">
        <f t="shared" si="17"/>
        <v>LONGSWORDSMAN_CELTS</v>
      </c>
      <c r="B952" s="9" t="s">
        <v>109</v>
      </c>
      <c r="C952" s="4" t="s">
        <v>709</v>
      </c>
      <c r="E952" s="4" t="s">
        <v>109</v>
      </c>
      <c r="F952" s="4" t="s">
        <v>109</v>
      </c>
      <c r="G952" s="4" t="s">
        <v>2039</v>
      </c>
      <c r="H952" s="4" t="s">
        <v>238</v>
      </c>
      <c r="I952" s="4" t="s">
        <v>122</v>
      </c>
      <c r="Q952" s="9">
        <v>3</v>
      </c>
      <c r="T952" s="11">
        <v>3</v>
      </c>
      <c r="Z952" s="9">
        <v>0</v>
      </c>
      <c r="AF952" s="11">
        <v>0</v>
      </c>
      <c r="AI952" s="11">
        <v>3</v>
      </c>
      <c r="AL952" s="11"/>
      <c r="AM952" s="11"/>
      <c r="AN952" s="11"/>
      <c r="AO952" s="11"/>
      <c r="AP952" s="11"/>
      <c r="AQ952" s="11"/>
    </row>
    <row r="953" spans="1:43" x14ac:dyDescent="0.25">
      <c r="A953" s="44" t="str">
        <f t="shared" si="17"/>
        <v>LONGSWORDSMAN_ENGLAND</v>
      </c>
      <c r="B953" s="9" t="s">
        <v>109</v>
      </c>
      <c r="C953" s="4" t="s">
        <v>713</v>
      </c>
      <c r="E953" s="4" t="s">
        <v>109</v>
      </c>
      <c r="F953" s="4" t="s">
        <v>109</v>
      </c>
      <c r="H953" s="4" t="s">
        <v>864</v>
      </c>
      <c r="I953" s="4" t="s">
        <v>102</v>
      </c>
      <c r="Q953" s="9">
        <v>2</v>
      </c>
      <c r="T953" s="11">
        <v>3</v>
      </c>
      <c r="Z953" s="9">
        <v>1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44" t="str">
        <f t="shared" si="17"/>
        <v>LONGSWORDSMAN_ENGLAND</v>
      </c>
      <c r="B954" s="9" t="s">
        <v>109</v>
      </c>
      <c r="C954" s="4" t="s">
        <v>713</v>
      </c>
      <c r="E954" s="4" t="s">
        <v>109</v>
      </c>
      <c r="F954" s="4" t="s">
        <v>109</v>
      </c>
      <c r="G954" s="4" t="s">
        <v>2039</v>
      </c>
      <c r="H954" s="4" t="s">
        <v>865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44" t="str">
        <f t="shared" si="17"/>
        <v>LONGSWORDSMAN_ENGLAND</v>
      </c>
      <c r="B955" s="9" t="s">
        <v>109</v>
      </c>
      <c r="C955" s="4" t="s">
        <v>713</v>
      </c>
      <c r="E955" s="4" t="s">
        <v>109</v>
      </c>
      <c r="F955" s="4" t="s">
        <v>109</v>
      </c>
      <c r="G955" s="4" t="s">
        <v>2041</v>
      </c>
      <c r="H955" s="4" t="s">
        <v>303</v>
      </c>
      <c r="I955" s="4" t="s">
        <v>122</v>
      </c>
      <c r="Q955" s="9">
        <v>2</v>
      </c>
      <c r="T955" s="11">
        <v>3</v>
      </c>
      <c r="Z955" s="9">
        <v>0</v>
      </c>
      <c r="AF955" s="11">
        <v>1</v>
      </c>
      <c r="AI955" s="11">
        <v>3</v>
      </c>
      <c r="AL955" s="11"/>
      <c r="AM955" s="11"/>
      <c r="AN955" s="11"/>
      <c r="AO955" s="11"/>
      <c r="AP955" s="11"/>
      <c r="AQ955" s="11"/>
    </row>
    <row r="956" spans="1:43" x14ac:dyDescent="0.25">
      <c r="A956" s="44" t="str">
        <f t="shared" si="17"/>
        <v>LONGSWORDSMAN_ENGLAND</v>
      </c>
      <c r="B956" s="9" t="s">
        <v>109</v>
      </c>
      <c r="C956" s="4" t="s">
        <v>713</v>
      </c>
      <c r="E956" s="4" t="s">
        <v>109</v>
      </c>
      <c r="F956" s="4" t="s">
        <v>109</v>
      </c>
      <c r="H956" s="4" t="s">
        <v>864</v>
      </c>
      <c r="I956" s="4" t="s">
        <v>102</v>
      </c>
      <c r="Q956" s="9">
        <v>2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44" t="str">
        <f t="shared" si="17"/>
        <v>LONGSWORDSMAN_ENGLAND</v>
      </c>
      <c r="B957" s="9" t="s">
        <v>109</v>
      </c>
      <c r="C957" s="4" t="s">
        <v>713</v>
      </c>
      <c r="E957" s="4" t="s">
        <v>109</v>
      </c>
      <c r="F957" s="4" t="s">
        <v>109</v>
      </c>
      <c r="G957" s="4" t="s">
        <v>2039</v>
      </c>
      <c r="H957" s="4" t="s">
        <v>865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  <c r="AL957" s="11"/>
      <c r="AM957" s="11"/>
      <c r="AN957" s="11"/>
      <c r="AO957" s="11"/>
      <c r="AP957" s="11"/>
      <c r="AQ957" s="11"/>
    </row>
    <row r="958" spans="1:43" x14ac:dyDescent="0.25">
      <c r="A958" s="44" t="str">
        <f t="shared" si="17"/>
        <v>LONGSWORDSMAN_ENGLAND</v>
      </c>
      <c r="B958" s="9" t="s">
        <v>109</v>
      </c>
      <c r="C958" s="4" t="s">
        <v>713</v>
      </c>
      <c r="E958" s="4" t="s">
        <v>109</v>
      </c>
      <c r="F958" s="4" t="s">
        <v>109</v>
      </c>
      <c r="G958" s="4" t="s">
        <v>2041</v>
      </c>
      <c r="H958" s="4" t="s">
        <v>303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44" t="str">
        <f t="shared" si="17"/>
        <v>LONGSWORDSMAN_FRANCE</v>
      </c>
      <c r="B959" s="9" t="s">
        <v>109</v>
      </c>
      <c r="C959" s="4" t="s">
        <v>715</v>
      </c>
      <c r="E959" s="4" t="s">
        <v>109</v>
      </c>
      <c r="F959" s="4" t="s">
        <v>109</v>
      </c>
      <c r="H959" s="4" t="s">
        <v>876</v>
      </c>
      <c r="I959" s="4" t="s">
        <v>125</v>
      </c>
      <c r="Q959" s="9">
        <v>0</v>
      </c>
      <c r="T959" s="11">
        <v>1</v>
      </c>
      <c r="Z959" s="9">
        <v>0</v>
      </c>
      <c r="AF959" s="11">
        <v>0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44" t="str">
        <f t="shared" si="17"/>
        <v>LONGSWORDSMAN_FRANCE</v>
      </c>
      <c r="B960" s="9" t="s">
        <v>109</v>
      </c>
      <c r="C960" s="4" t="s">
        <v>715</v>
      </c>
      <c r="E960" s="4" t="s">
        <v>109</v>
      </c>
      <c r="F960" s="4" t="s">
        <v>109</v>
      </c>
      <c r="G960" s="4" t="s">
        <v>2039</v>
      </c>
      <c r="H960" s="4" t="s">
        <v>877</v>
      </c>
      <c r="I960" s="4" t="s">
        <v>102</v>
      </c>
      <c r="Q960" s="9">
        <v>3</v>
      </c>
      <c r="T960" s="11">
        <v>2</v>
      </c>
      <c r="Z960" s="9">
        <v>1</v>
      </c>
      <c r="AF960" s="11">
        <v>1</v>
      </c>
      <c r="AI960" s="11">
        <v>2</v>
      </c>
      <c r="AL960" s="11"/>
      <c r="AM960" s="11"/>
      <c r="AN960" s="11"/>
      <c r="AO960" s="11"/>
      <c r="AP960" s="11"/>
      <c r="AQ960" s="11"/>
    </row>
    <row r="961" spans="1:43" x14ac:dyDescent="0.25">
      <c r="A961" s="44" t="str">
        <f t="shared" si="17"/>
        <v>LONGSWORDSMAN_FRANCE</v>
      </c>
      <c r="B961" s="9" t="s">
        <v>109</v>
      </c>
      <c r="C961" s="4" t="s">
        <v>715</v>
      </c>
      <c r="E961" s="4" t="s">
        <v>109</v>
      </c>
      <c r="F961" s="4" t="s">
        <v>109</v>
      </c>
      <c r="G961" s="4" t="s">
        <v>2041</v>
      </c>
      <c r="H961" s="4" t="s">
        <v>878</v>
      </c>
      <c r="I961" s="4" t="s">
        <v>122</v>
      </c>
      <c r="Q961" s="9">
        <v>2</v>
      </c>
      <c r="T961" s="11">
        <v>3</v>
      </c>
      <c r="Z961" s="9">
        <v>0</v>
      </c>
      <c r="AF961" s="11">
        <v>1</v>
      </c>
      <c r="AI961" s="11">
        <v>3</v>
      </c>
      <c r="AL961" s="11"/>
      <c r="AM961" s="11"/>
      <c r="AN961" s="11"/>
      <c r="AO961" s="11"/>
      <c r="AP961" s="11"/>
      <c r="AQ961" s="11"/>
    </row>
    <row r="962" spans="1:43" x14ac:dyDescent="0.25">
      <c r="A962" s="44" t="str">
        <f t="shared" si="17"/>
        <v>LONGSWORDSMAN_FRANCE</v>
      </c>
      <c r="B962" s="9" t="s">
        <v>109</v>
      </c>
      <c r="C962" s="4" t="s">
        <v>715</v>
      </c>
      <c r="E962" s="4" t="s">
        <v>109</v>
      </c>
      <c r="F962" s="4" t="s">
        <v>109</v>
      </c>
      <c r="G962" s="4" t="s">
        <v>2040</v>
      </c>
      <c r="H962" s="4" t="s">
        <v>350</v>
      </c>
      <c r="I962" s="4" t="s">
        <v>122</v>
      </c>
      <c r="Q962" s="9">
        <v>1</v>
      </c>
      <c r="T962" s="11">
        <v>2</v>
      </c>
      <c r="Z962" s="9">
        <v>0</v>
      </c>
      <c r="AF962" s="11">
        <v>1</v>
      </c>
      <c r="AI962" s="11">
        <v>2</v>
      </c>
      <c r="AL962" s="11"/>
      <c r="AM962" s="11"/>
      <c r="AN962" s="11"/>
      <c r="AO962" s="11"/>
      <c r="AP962" s="11"/>
      <c r="AQ962" s="11"/>
    </row>
    <row r="963" spans="1:43" x14ac:dyDescent="0.25">
      <c r="A963" s="44" t="str">
        <f t="shared" si="17"/>
        <v>LONGSWORDSMAN_FRANCE</v>
      </c>
      <c r="B963" s="9" t="s">
        <v>109</v>
      </c>
      <c r="C963" s="4" t="s">
        <v>715</v>
      </c>
      <c r="E963" s="4" t="s">
        <v>109</v>
      </c>
      <c r="F963" s="4" t="s">
        <v>109</v>
      </c>
      <c r="H963" s="4" t="s">
        <v>876</v>
      </c>
      <c r="I963" s="4" t="s">
        <v>125</v>
      </c>
      <c r="Q963" s="9">
        <v>0</v>
      </c>
      <c r="T963" s="11">
        <v>1</v>
      </c>
      <c r="Z963" s="9">
        <v>0</v>
      </c>
      <c r="AF963" s="11">
        <v>0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44" t="str">
        <f t="shared" ref="A964:A1024" si="18">CONCATENATE(E964,IF(ISBLANK(C964),"",CONCATENATE("_",C964)))</f>
        <v>LONGSWORDSMAN_FRANCE</v>
      </c>
      <c r="B964" s="9" t="s">
        <v>109</v>
      </c>
      <c r="C964" s="4" t="s">
        <v>715</v>
      </c>
      <c r="E964" s="4" t="s">
        <v>109</v>
      </c>
      <c r="F964" s="4" t="s">
        <v>109</v>
      </c>
      <c r="G964" s="4" t="s">
        <v>2039</v>
      </c>
      <c r="H964" s="4" t="s">
        <v>877</v>
      </c>
      <c r="I964" s="4" t="s">
        <v>102</v>
      </c>
      <c r="Q964" s="9">
        <v>3</v>
      </c>
      <c r="T964" s="11">
        <v>2</v>
      </c>
      <c r="Z964" s="9">
        <v>0</v>
      </c>
      <c r="AF964" s="11">
        <v>0</v>
      </c>
      <c r="AI964" s="11">
        <v>2</v>
      </c>
      <c r="AL964" s="11"/>
      <c r="AM964" s="11"/>
      <c r="AN964" s="11"/>
      <c r="AO964" s="11"/>
      <c r="AP964" s="11"/>
      <c r="AQ964" s="11"/>
    </row>
    <row r="965" spans="1:43" x14ac:dyDescent="0.25">
      <c r="A965" s="44" t="str">
        <f t="shared" si="18"/>
        <v>LONGSWORDSMAN_FRANCE</v>
      </c>
      <c r="B965" s="9" t="s">
        <v>109</v>
      </c>
      <c r="C965" s="4" t="s">
        <v>715</v>
      </c>
      <c r="E965" s="4" t="s">
        <v>109</v>
      </c>
      <c r="F965" s="4" t="s">
        <v>109</v>
      </c>
      <c r="G965" s="4" t="s">
        <v>2041</v>
      </c>
      <c r="H965" s="4" t="s">
        <v>878</v>
      </c>
      <c r="I965" s="4" t="s">
        <v>122</v>
      </c>
      <c r="Q965" s="9">
        <v>1</v>
      </c>
      <c r="T965" s="11">
        <v>2</v>
      </c>
      <c r="Z965" s="9">
        <v>0</v>
      </c>
      <c r="AF965" s="11">
        <v>0</v>
      </c>
      <c r="AI965" s="11">
        <v>2</v>
      </c>
      <c r="AL965" s="11"/>
      <c r="AM965" s="11"/>
      <c r="AN965" s="11"/>
      <c r="AO965" s="11"/>
      <c r="AP965" s="11"/>
      <c r="AQ965" s="11"/>
    </row>
    <row r="966" spans="1:43" x14ac:dyDescent="0.25">
      <c r="A966" s="44" t="str">
        <f t="shared" si="18"/>
        <v>LONGSWORDSMAN_FRANCE</v>
      </c>
      <c r="B966" s="9" t="s">
        <v>109</v>
      </c>
      <c r="C966" s="4" t="s">
        <v>715</v>
      </c>
      <c r="E966" s="4" t="s">
        <v>109</v>
      </c>
      <c r="F966" s="4" t="s">
        <v>109</v>
      </c>
      <c r="G966" s="4" t="s">
        <v>2040</v>
      </c>
      <c r="H966" s="4" t="s">
        <v>350</v>
      </c>
      <c r="I966" s="4" t="s">
        <v>122</v>
      </c>
      <c r="Q966" s="9">
        <v>2</v>
      </c>
      <c r="T966" s="11">
        <v>3</v>
      </c>
      <c r="Z966" s="9">
        <v>0</v>
      </c>
      <c r="AF966" s="11">
        <v>0</v>
      </c>
      <c r="AI966" s="11">
        <v>3</v>
      </c>
      <c r="AL966" s="11"/>
      <c r="AM966" s="11"/>
      <c r="AN966" s="11"/>
      <c r="AO966" s="11"/>
      <c r="AP966" s="11"/>
      <c r="AQ966" s="11"/>
    </row>
    <row r="967" spans="1:43" x14ac:dyDescent="0.25">
      <c r="A967" s="44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H967" s="4" t="s">
        <v>893</v>
      </c>
      <c r="I967" s="4" t="s">
        <v>102</v>
      </c>
      <c r="Q967" s="9">
        <v>1</v>
      </c>
      <c r="T967" s="11">
        <v>1</v>
      </c>
      <c r="Z967" s="9">
        <v>1</v>
      </c>
      <c r="AF967" s="11">
        <v>1</v>
      </c>
      <c r="AI967" s="11">
        <v>1</v>
      </c>
      <c r="AL967" s="11"/>
      <c r="AM967" s="11"/>
      <c r="AN967" s="11"/>
      <c r="AO967" s="11"/>
      <c r="AP967" s="11"/>
      <c r="AQ967" s="11"/>
    </row>
    <row r="968" spans="1:43" x14ac:dyDescent="0.25">
      <c r="A968" s="44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2039</v>
      </c>
      <c r="H968" s="4" t="s">
        <v>894</v>
      </c>
      <c r="I968" s="4" t="s">
        <v>122</v>
      </c>
      <c r="Q968" s="9">
        <v>1</v>
      </c>
      <c r="T968" s="11">
        <v>1</v>
      </c>
      <c r="Z968" s="9">
        <v>0</v>
      </c>
      <c r="AF968" s="11">
        <v>1</v>
      </c>
      <c r="AI968" s="11">
        <v>1</v>
      </c>
      <c r="AL968" s="11"/>
      <c r="AM968" s="11"/>
      <c r="AN968" s="11"/>
      <c r="AO968" s="11"/>
      <c r="AP968" s="11"/>
      <c r="AQ968" s="11"/>
    </row>
    <row r="969" spans="1:43" x14ac:dyDescent="0.25">
      <c r="A969" s="44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2041</v>
      </c>
      <c r="H969" s="4" t="s">
        <v>895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1</v>
      </c>
      <c r="AL969" s="11"/>
      <c r="AM969" s="11"/>
      <c r="AN969" s="11"/>
      <c r="AO969" s="11"/>
      <c r="AP969" s="11"/>
      <c r="AQ969" s="11"/>
    </row>
    <row r="970" spans="1:43" x14ac:dyDescent="0.25">
      <c r="A970" s="44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2040</v>
      </c>
      <c r="H970" s="4" t="s">
        <v>896</v>
      </c>
      <c r="I970" s="4" t="s">
        <v>122</v>
      </c>
      <c r="Q970" s="9">
        <v>1</v>
      </c>
      <c r="T970" s="11">
        <v>1</v>
      </c>
      <c r="Z970" s="9">
        <v>0</v>
      </c>
      <c r="AF970" s="11">
        <v>0</v>
      </c>
      <c r="AI970" s="11">
        <v>1</v>
      </c>
      <c r="AL970" s="11"/>
      <c r="AM970" s="11"/>
      <c r="AN970" s="11"/>
      <c r="AO970" s="11"/>
      <c r="AP970" s="11"/>
      <c r="AQ970" s="11"/>
    </row>
    <row r="971" spans="1:43" x14ac:dyDescent="0.25">
      <c r="A971" s="44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2050</v>
      </c>
      <c r="H971" s="4" t="s">
        <v>897</v>
      </c>
      <c r="I971" s="4" t="s">
        <v>122</v>
      </c>
      <c r="Q971" s="9">
        <v>2</v>
      </c>
      <c r="T971" s="11">
        <v>2</v>
      </c>
      <c r="Z971" s="9">
        <v>0</v>
      </c>
      <c r="AF971" s="11">
        <v>1</v>
      </c>
      <c r="AI971" s="11">
        <v>1</v>
      </c>
      <c r="AL971" s="11"/>
      <c r="AM971" s="11"/>
      <c r="AN971" s="11"/>
      <c r="AO971" s="11"/>
      <c r="AP971" s="11"/>
      <c r="AQ971" s="11"/>
    </row>
    <row r="972" spans="1:43" x14ac:dyDescent="0.25">
      <c r="A972" s="44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2051</v>
      </c>
      <c r="H972" s="4" t="s">
        <v>898</v>
      </c>
      <c r="I972" s="4" t="s">
        <v>122</v>
      </c>
      <c r="Q972" s="9">
        <v>1</v>
      </c>
      <c r="T972" s="11">
        <v>1</v>
      </c>
      <c r="Z972" s="9">
        <v>0</v>
      </c>
      <c r="AF972" s="11">
        <v>0</v>
      </c>
      <c r="AI972" s="11">
        <v>1</v>
      </c>
      <c r="AL972" s="11"/>
      <c r="AM972" s="11"/>
      <c r="AN972" s="11"/>
      <c r="AO972" s="11"/>
      <c r="AP972" s="11"/>
      <c r="AQ972" s="11"/>
    </row>
    <row r="973" spans="1:43" x14ac:dyDescent="0.25">
      <c r="A973" s="44" t="str">
        <f t="shared" si="18"/>
        <v>LONGSWORDSMAN_GERMANY</v>
      </c>
      <c r="B973" s="9" t="s">
        <v>109</v>
      </c>
      <c r="C973" s="4" t="s">
        <v>717</v>
      </c>
      <c r="E973" s="4" t="s">
        <v>109</v>
      </c>
      <c r="F973" s="4" t="s">
        <v>109</v>
      </c>
      <c r="G973" s="4" t="s">
        <v>2052</v>
      </c>
      <c r="H973" s="4" t="s">
        <v>381</v>
      </c>
      <c r="I973" s="4" t="s">
        <v>967</v>
      </c>
      <c r="Q973" s="9">
        <v>1</v>
      </c>
      <c r="T973" s="11">
        <v>1</v>
      </c>
      <c r="Z973" s="9">
        <v>0</v>
      </c>
      <c r="AF973" s="11">
        <v>0</v>
      </c>
      <c r="AI973" s="11">
        <v>1</v>
      </c>
      <c r="AL973" s="11"/>
      <c r="AM973" s="11"/>
      <c r="AN973" s="11"/>
      <c r="AO973" s="11"/>
      <c r="AP973" s="11"/>
      <c r="AQ973" s="11"/>
    </row>
    <row r="974" spans="1:43" x14ac:dyDescent="0.25">
      <c r="A974" s="44" t="str">
        <f t="shared" si="18"/>
        <v>LONGSWORDSMAN_GERMANY</v>
      </c>
      <c r="B974" s="9" t="s">
        <v>109</v>
      </c>
      <c r="C974" s="4" t="s">
        <v>717</v>
      </c>
      <c r="E974" s="4" t="s">
        <v>109</v>
      </c>
      <c r="F974" s="4" t="s">
        <v>109</v>
      </c>
      <c r="H974" s="4" t="s">
        <v>893</v>
      </c>
      <c r="I974" s="4" t="s">
        <v>102</v>
      </c>
      <c r="Q974" s="9">
        <v>1</v>
      </c>
      <c r="T974" s="11">
        <v>1</v>
      </c>
      <c r="Z974" s="9">
        <v>0</v>
      </c>
      <c r="AF974" s="11">
        <v>0</v>
      </c>
      <c r="AI974" s="11">
        <v>0</v>
      </c>
      <c r="AL974" s="11"/>
      <c r="AM974" s="11"/>
      <c r="AN974" s="11"/>
      <c r="AO974" s="11"/>
      <c r="AP974" s="11"/>
      <c r="AQ974" s="11"/>
    </row>
    <row r="975" spans="1:43" x14ac:dyDescent="0.25">
      <c r="A975" s="44" t="str">
        <f t="shared" si="18"/>
        <v>LONGSWORDSMAN_GERMANY</v>
      </c>
      <c r="B975" s="9" t="s">
        <v>109</v>
      </c>
      <c r="C975" s="4" t="s">
        <v>717</v>
      </c>
      <c r="E975" s="4" t="s">
        <v>109</v>
      </c>
      <c r="F975" s="4" t="s">
        <v>109</v>
      </c>
      <c r="G975" s="4" t="s">
        <v>2039</v>
      </c>
      <c r="H975" s="4" t="s">
        <v>894</v>
      </c>
      <c r="I975" s="4" t="s">
        <v>122</v>
      </c>
      <c r="Q975" s="9">
        <v>1</v>
      </c>
      <c r="T975" s="11">
        <v>1</v>
      </c>
      <c r="Z975" s="9">
        <v>0</v>
      </c>
      <c r="AF975" s="11">
        <v>0</v>
      </c>
      <c r="AI975" s="11">
        <v>0</v>
      </c>
      <c r="AL975" s="11"/>
      <c r="AM975" s="11"/>
      <c r="AN975" s="11"/>
      <c r="AO975" s="11"/>
      <c r="AP975" s="11"/>
      <c r="AQ975" s="11"/>
    </row>
    <row r="976" spans="1:43" x14ac:dyDescent="0.25">
      <c r="A976" s="44" t="str">
        <f t="shared" si="18"/>
        <v>LONGSWORDSMAN_GERMANY</v>
      </c>
      <c r="B976" s="9" t="s">
        <v>109</v>
      </c>
      <c r="C976" s="4" t="s">
        <v>717</v>
      </c>
      <c r="E976" s="4" t="s">
        <v>109</v>
      </c>
      <c r="F976" s="4" t="s">
        <v>109</v>
      </c>
      <c r="G976" s="4" t="s">
        <v>2041</v>
      </c>
      <c r="H976" s="4" t="s">
        <v>895</v>
      </c>
      <c r="I976" s="4" t="s">
        <v>122</v>
      </c>
      <c r="Q976" s="9">
        <v>1</v>
      </c>
      <c r="T976" s="11">
        <v>1</v>
      </c>
      <c r="Z976" s="9">
        <v>0</v>
      </c>
      <c r="AF976" s="11">
        <v>0</v>
      </c>
      <c r="AI976" s="11">
        <v>0</v>
      </c>
      <c r="AL976" s="11"/>
      <c r="AM976" s="11"/>
      <c r="AN976" s="11"/>
      <c r="AO976" s="11"/>
      <c r="AP976" s="11"/>
      <c r="AQ976" s="11"/>
    </row>
    <row r="977" spans="1:43" x14ac:dyDescent="0.25">
      <c r="A977" s="44" t="str">
        <f t="shared" si="18"/>
        <v>LONGSWORDSMAN_GERMANY</v>
      </c>
      <c r="B977" s="9" t="s">
        <v>109</v>
      </c>
      <c r="C977" s="4" t="s">
        <v>717</v>
      </c>
      <c r="E977" s="4" t="s">
        <v>109</v>
      </c>
      <c r="F977" s="4" t="s">
        <v>109</v>
      </c>
      <c r="G977" s="4" t="s">
        <v>2040</v>
      </c>
      <c r="H977" s="4" t="s">
        <v>896</v>
      </c>
      <c r="I977" s="4" t="s">
        <v>122</v>
      </c>
      <c r="Q977" s="9">
        <v>1</v>
      </c>
      <c r="T977" s="11">
        <v>1</v>
      </c>
      <c r="Z977" s="9">
        <v>0</v>
      </c>
      <c r="AF977" s="11">
        <v>0</v>
      </c>
      <c r="AI977" s="11">
        <v>0</v>
      </c>
      <c r="AL977" s="11"/>
      <c r="AM977" s="11"/>
      <c r="AN977" s="11"/>
      <c r="AO977" s="11"/>
      <c r="AP977" s="11"/>
      <c r="AQ977" s="11"/>
    </row>
    <row r="978" spans="1:43" x14ac:dyDescent="0.25">
      <c r="A978" s="44" t="str">
        <f t="shared" si="18"/>
        <v>LONGSWORDSMAN_GERMANY</v>
      </c>
      <c r="B978" s="9" t="s">
        <v>109</v>
      </c>
      <c r="C978" s="4" t="s">
        <v>717</v>
      </c>
      <c r="E978" s="4" t="s">
        <v>109</v>
      </c>
      <c r="F978" s="4" t="s">
        <v>109</v>
      </c>
      <c r="G978" s="4" t="s">
        <v>2050</v>
      </c>
      <c r="H978" s="4" t="s">
        <v>897</v>
      </c>
      <c r="I978" s="4" t="s">
        <v>122</v>
      </c>
      <c r="Q978" s="9">
        <v>1</v>
      </c>
      <c r="T978" s="11">
        <v>2</v>
      </c>
      <c r="Z978" s="9">
        <v>0</v>
      </c>
      <c r="AF978" s="11">
        <v>0</v>
      </c>
      <c r="AI978" s="11">
        <v>0</v>
      </c>
      <c r="AL978" s="11"/>
      <c r="AM978" s="11"/>
      <c r="AN978" s="11"/>
      <c r="AO978" s="11"/>
      <c r="AP978" s="11"/>
      <c r="AQ978" s="11"/>
    </row>
    <row r="979" spans="1:43" x14ac:dyDescent="0.25">
      <c r="A979" s="44" t="str">
        <f t="shared" si="18"/>
        <v>LONGSWORDSMAN_GERMANY</v>
      </c>
      <c r="B979" s="9" t="s">
        <v>109</v>
      </c>
      <c r="C979" s="4" t="s">
        <v>717</v>
      </c>
      <c r="E979" s="4" t="s">
        <v>109</v>
      </c>
      <c r="F979" s="4" t="s">
        <v>109</v>
      </c>
      <c r="G979" s="4" t="s">
        <v>2051</v>
      </c>
      <c r="H979" s="4" t="s">
        <v>898</v>
      </c>
      <c r="I979" s="4" t="s">
        <v>122</v>
      </c>
      <c r="Q979" s="9">
        <v>0</v>
      </c>
      <c r="T979" s="11">
        <v>1</v>
      </c>
      <c r="Z979" s="9">
        <v>0</v>
      </c>
      <c r="AF979" s="11">
        <v>0</v>
      </c>
      <c r="AI979" s="11">
        <v>0</v>
      </c>
      <c r="AL979" s="11"/>
      <c r="AM979" s="11"/>
      <c r="AN979" s="11"/>
      <c r="AO979" s="11"/>
      <c r="AP979" s="11"/>
      <c r="AQ979" s="11"/>
    </row>
    <row r="980" spans="1:43" x14ac:dyDescent="0.25">
      <c r="A980" s="44" t="str">
        <f t="shared" si="18"/>
        <v>LONGSWORDSMAN_GERMANY</v>
      </c>
      <c r="B980" s="9" t="s">
        <v>109</v>
      </c>
      <c r="C980" s="4" t="s">
        <v>717</v>
      </c>
      <c r="E980" s="4" t="s">
        <v>109</v>
      </c>
      <c r="F980" s="4" t="s">
        <v>109</v>
      </c>
      <c r="G980" s="4" t="s">
        <v>2052</v>
      </c>
      <c r="H980" s="4" t="s">
        <v>381</v>
      </c>
      <c r="I980" s="4" t="s">
        <v>967</v>
      </c>
      <c r="Q980" s="9">
        <v>0</v>
      </c>
      <c r="T980" s="11">
        <v>1</v>
      </c>
      <c r="Z980" s="9">
        <v>0</v>
      </c>
      <c r="AF980" s="11">
        <v>0</v>
      </c>
      <c r="AI980" s="11">
        <v>0</v>
      </c>
      <c r="AL980" s="11"/>
      <c r="AM980" s="11"/>
      <c r="AN980" s="11"/>
      <c r="AO980" s="11"/>
      <c r="AP980" s="11"/>
      <c r="AQ980" s="11"/>
    </row>
    <row r="981" spans="1:43" x14ac:dyDescent="0.25">
      <c r="A981" s="44" t="str">
        <f t="shared" si="18"/>
        <v>LONGSWORDSMAN_SWISS</v>
      </c>
      <c r="B981" s="9" t="s">
        <v>109</v>
      </c>
      <c r="C981" s="4" t="s">
        <v>740</v>
      </c>
      <c r="E981" s="4" t="s">
        <v>109</v>
      </c>
      <c r="F981" s="4" t="s">
        <v>109</v>
      </c>
      <c r="H981" s="4" t="s">
        <v>1243</v>
      </c>
      <c r="I981" s="4" t="s">
        <v>1244</v>
      </c>
      <c r="AL981" s="11"/>
      <c r="AM981" s="11"/>
      <c r="AN981" s="11"/>
      <c r="AO981" s="11"/>
      <c r="AP981" s="11"/>
      <c r="AQ981" s="11"/>
    </row>
    <row r="982" spans="1:43" x14ac:dyDescent="0.25">
      <c r="A982" s="44" t="str">
        <f t="shared" si="18"/>
        <v>LONGSWORDSMAN_MED</v>
      </c>
      <c r="B982" s="9" t="s">
        <v>109</v>
      </c>
      <c r="C982" s="4" t="s">
        <v>692</v>
      </c>
      <c r="E982" s="4" t="s">
        <v>109</v>
      </c>
      <c r="F982" s="4" t="s">
        <v>109</v>
      </c>
      <c r="H982" s="4" t="s">
        <v>657</v>
      </c>
      <c r="I982" s="4" t="s">
        <v>122</v>
      </c>
      <c r="AL982" s="11"/>
      <c r="AM982" s="11"/>
      <c r="AN982" s="11"/>
      <c r="AO982" s="11"/>
      <c r="AP982" s="11"/>
      <c r="AQ982" s="11"/>
    </row>
    <row r="983" spans="1:43" x14ac:dyDescent="0.25">
      <c r="A983" s="44" t="str">
        <f t="shared" si="18"/>
        <v>LONGSWORDSMAN_BYZANTIUM</v>
      </c>
      <c r="B983" s="9" t="s">
        <v>109</v>
      </c>
      <c r="C983" s="4" t="s">
        <v>707</v>
      </c>
      <c r="E983" s="4" t="s">
        <v>109</v>
      </c>
      <c r="F983" s="4" t="s">
        <v>109</v>
      </c>
      <c r="H983" s="4" t="s">
        <v>819</v>
      </c>
      <c r="I983" s="4" t="s">
        <v>122</v>
      </c>
      <c r="Q983" s="9">
        <v>3</v>
      </c>
      <c r="T983" s="11">
        <v>3</v>
      </c>
      <c r="Z983" s="9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44" t="str">
        <f t="shared" si="18"/>
        <v>LONGSWORDSMAN_BYZANTIUM</v>
      </c>
      <c r="B984" s="9" t="s">
        <v>109</v>
      </c>
      <c r="C984" s="4" t="s">
        <v>707</v>
      </c>
      <c r="E984" s="4" t="s">
        <v>109</v>
      </c>
      <c r="F984" s="4" t="s">
        <v>109</v>
      </c>
      <c r="G984" s="4" t="s">
        <v>2039</v>
      </c>
      <c r="H984" s="4" t="s">
        <v>226</v>
      </c>
      <c r="I984" s="4" t="s">
        <v>122</v>
      </c>
      <c r="Q984" s="9">
        <v>3</v>
      </c>
      <c r="T984" s="11">
        <v>5</v>
      </c>
      <c r="Z984" s="9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44" t="str">
        <f t="shared" si="18"/>
        <v>LONGSWORDSMAN_BYZANTIUM</v>
      </c>
      <c r="B985" s="9" t="s">
        <v>109</v>
      </c>
      <c r="C985" s="4" t="s">
        <v>707</v>
      </c>
      <c r="E985" s="4" t="s">
        <v>109</v>
      </c>
      <c r="F985" s="4" t="s">
        <v>109</v>
      </c>
      <c r="H985" s="4" t="s">
        <v>819</v>
      </c>
      <c r="I985" s="4" t="s">
        <v>122</v>
      </c>
      <c r="Q985" s="9">
        <v>3</v>
      </c>
      <c r="T985" s="11">
        <v>5</v>
      </c>
      <c r="Z985" s="9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44" t="str">
        <f t="shared" si="18"/>
        <v>LONGSWORDSMAN_BYZANTIUM</v>
      </c>
      <c r="B986" s="9" t="s">
        <v>109</v>
      </c>
      <c r="C986" s="4" t="s">
        <v>707</v>
      </c>
      <c r="E986" s="4" t="s">
        <v>109</v>
      </c>
      <c r="F986" s="4" t="s">
        <v>109</v>
      </c>
      <c r="G986" s="4" t="s">
        <v>2039</v>
      </c>
      <c r="H986" s="4" t="s">
        <v>226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44" t="str">
        <f t="shared" si="18"/>
        <v>LONGSWORDSMAN_CARTHAGE</v>
      </c>
      <c r="B987" s="9" t="s">
        <v>109</v>
      </c>
      <c r="C987" s="4" t="s">
        <v>708</v>
      </c>
      <c r="E987" s="4" t="s">
        <v>109</v>
      </c>
      <c r="F987" s="4" t="s">
        <v>109</v>
      </c>
      <c r="H987" s="4" t="s">
        <v>2652</v>
      </c>
      <c r="I987" s="4" t="s">
        <v>1025</v>
      </c>
      <c r="Q987" s="9"/>
      <c r="Z987" s="9"/>
      <c r="AL987" s="11"/>
      <c r="AM987" s="11"/>
      <c r="AN987" s="11"/>
      <c r="AO987" s="11"/>
      <c r="AP987" s="11"/>
      <c r="AQ987" s="11"/>
    </row>
    <row r="988" spans="1:43" x14ac:dyDescent="0.25">
      <c r="A988" s="44" t="str">
        <f t="shared" si="18"/>
        <v>LONGSWORDSMAN_GREECE</v>
      </c>
      <c r="B988" s="9" t="s">
        <v>109</v>
      </c>
      <c r="C988" s="4" t="s">
        <v>718</v>
      </c>
      <c r="E988" s="4" t="s">
        <v>109</v>
      </c>
      <c r="F988" s="4" t="s">
        <v>109</v>
      </c>
      <c r="G988" s="14" t="s">
        <v>132</v>
      </c>
      <c r="H988" s="4" t="s">
        <v>407</v>
      </c>
      <c r="I988" s="4" t="s">
        <v>102</v>
      </c>
      <c r="Q988" s="9"/>
      <c r="AL988" s="11"/>
      <c r="AM988" s="11"/>
      <c r="AN988" s="11"/>
      <c r="AO988" s="11"/>
      <c r="AP988" s="11"/>
      <c r="AQ988" s="11"/>
    </row>
    <row r="989" spans="1:43" x14ac:dyDescent="0.25">
      <c r="A989" s="44" t="str">
        <f t="shared" si="18"/>
        <v>LONGSWORDSMAN_PORTUGAL</v>
      </c>
      <c r="B989" s="9" t="s">
        <v>109</v>
      </c>
      <c r="C989" s="4" t="s">
        <v>733</v>
      </c>
      <c r="E989" s="4" t="s">
        <v>109</v>
      </c>
      <c r="F989" s="4" t="s">
        <v>109</v>
      </c>
      <c r="G989" s="14" t="s">
        <v>132</v>
      </c>
      <c r="H989" s="4" t="s">
        <v>579</v>
      </c>
      <c r="I989" s="4" t="s">
        <v>122</v>
      </c>
      <c r="AL989" s="11"/>
      <c r="AM989" s="11"/>
      <c r="AN989" s="11"/>
      <c r="AO989" s="11"/>
      <c r="AP989" s="11"/>
      <c r="AQ989" s="11"/>
    </row>
    <row r="990" spans="1:43" x14ac:dyDescent="0.25">
      <c r="A990" s="44" t="str">
        <f t="shared" si="18"/>
        <v>LONGSWORDSMAN_ROME</v>
      </c>
      <c r="B990" s="9" t="s">
        <v>109</v>
      </c>
      <c r="C990" s="4" t="s">
        <v>734</v>
      </c>
      <c r="E990" s="4" t="s">
        <v>109</v>
      </c>
      <c r="F990" s="4" t="s">
        <v>109</v>
      </c>
      <c r="G990" s="14" t="s">
        <v>132</v>
      </c>
      <c r="H990" s="4" t="s">
        <v>593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44" t="str">
        <f t="shared" si="18"/>
        <v>LONGSWORDSMAN_SPAIN</v>
      </c>
      <c r="B991" s="9" t="s">
        <v>109</v>
      </c>
      <c r="C991" s="4" t="s">
        <v>738</v>
      </c>
      <c r="E991" s="4" t="s">
        <v>109</v>
      </c>
      <c r="F991" s="4" t="s">
        <v>109</v>
      </c>
      <c r="H991" s="4" t="s">
        <v>1016</v>
      </c>
      <c r="I991" s="4" t="s">
        <v>122</v>
      </c>
      <c r="Q991" s="11">
        <v>3</v>
      </c>
      <c r="T991" s="11">
        <v>3</v>
      </c>
      <c r="Z991" s="11">
        <v>1</v>
      </c>
      <c r="AF991" s="11">
        <v>1</v>
      </c>
      <c r="AI991" s="11">
        <v>2</v>
      </c>
      <c r="AL991" s="11"/>
      <c r="AM991" s="11"/>
      <c r="AN991" s="11"/>
      <c r="AO991" s="11"/>
      <c r="AP991" s="11"/>
      <c r="AQ991" s="11"/>
    </row>
    <row r="992" spans="1:43" x14ac:dyDescent="0.25">
      <c r="A992" s="44" t="str">
        <f t="shared" si="18"/>
        <v>LONGSWORDSMAN_SPAIN</v>
      </c>
      <c r="B992" s="9" t="s">
        <v>109</v>
      </c>
      <c r="C992" s="4" t="s">
        <v>738</v>
      </c>
      <c r="E992" s="4" t="s">
        <v>109</v>
      </c>
      <c r="F992" s="4" t="s">
        <v>109</v>
      </c>
      <c r="G992" s="4" t="s">
        <v>2039</v>
      </c>
      <c r="H992" s="4" t="s">
        <v>657</v>
      </c>
      <c r="I992" s="4" t="s">
        <v>122</v>
      </c>
      <c r="Q992" s="11">
        <v>3</v>
      </c>
      <c r="T992" s="11">
        <v>5</v>
      </c>
      <c r="Z992" s="11">
        <v>0</v>
      </c>
      <c r="AF992" s="11">
        <v>1</v>
      </c>
      <c r="AI992" s="11">
        <v>1</v>
      </c>
      <c r="AL992" s="11"/>
      <c r="AM992" s="11"/>
      <c r="AN992" s="11"/>
      <c r="AO992" s="11"/>
      <c r="AP992" s="11"/>
      <c r="AQ992" s="11"/>
    </row>
    <row r="993" spans="1:43" x14ac:dyDescent="0.25">
      <c r="A993" s="44" t="str">
        <f t="shared" si="18"/>
        <v>LONGSWORDSMAN_SPAIN</v>
      </c>
      <c r="B993" s="9" t="s">
        <v>109</v>
      </c>
      <c r="C993" s="4" t="s">
        <v>738</v>
      </c>
      <c r="E993" s="4" t="s">
        <v>109</v>
      </c>
      <c r="F993" s="4" t="s">
        <v>109</v>
      </c>
      <c r="H993" s="4" t="s">
        <v>1016</v>
      </c>
      <c r="I993" s="4" t="s">
        <v>122</v>
      </c>
      <c r="Q993" s="11">
        <v>3</v>
      </c>
      <c r="T993" s="11">
        <v>5</v>
      </c>
      <c r="Z993" s="11">
        <v>0</v>
      </c>
      <c r="AF993" s="11">
        <v>1</v>
      </c>
      <c r="AI993" s="11">
        <v>2</v>
      </c>
      <c r="AL993" s="11"/>
      <c r="AM993" s="11"/>
      <c r="AN993" s="11"/>
      <c r="AO993" s="11"/>
      <c r="AP993" s="11"/>
      <c r="AQ993" s="11"/>
    </row>
    <row r="994" spans="1:43" x14ac:dyDescent="0.25">
      <c r="A994" s="44" t="str">
        <f t="shared" si="18"/>
        <v>LONGSWORDSMAN_SPAIN</v>
      </c>
      <c r="B994" s="9" t="s">
        <v>109</v>
      </c>
      <c r="C994" s="4" t="s">
        <v>738</v>
      </c>
      <c r="E994" s="4" t="s">
        <v>109</v>
      </c>
      <c r="F994" s="4" t="s">
        <v>109</v>
      </c>
      <c r="G994" s="4" t="s">
        <v>2039</v>
      </c>
      <c r="H994" s="4" t="s">
        <v>657</v>
      </c>
      <c r="I994" s="4" t="s">
        <v>122</v>
      </c>
      <c r="Q994" s="9">
        <v>3</v>
      </c>
      <c r="T994" s="11">
        <v>3</v>
      </c>
      <c r="Z994" s="9">
        <v>0</v>
      </c>
      <c r="AF994" s="11">
        <v>0</v>
      </c>
      <c r="AI994" s="11">
        <v>2</v>
      </c>
      <c r="AL994" s="11"/>
      <c r="AM994" s="11"/>
      <c r="AN994" s="11"/>
      <c r="AO994" s="11"/>
      <c r="AP994" s="11"/>
      <c r="AQ994" s="11"/>
    </row>
    <row r="995" spans="1:43" x14ac:dyDescent="0.25">
      <c r="A995" s="44" t="str">
        <f t="shared" si="18"/>
        <v>LONGSWORDSMAN_VATICAN_CITY</v>
      </c>
      <c r="B995" s="9" t="s">
        <v>109</v>
      </c>
      <c r="C995" s="4" t="s">
        <v>741</v>
      </c>
      <c r="E995" s="4" t="s">
        <v>109</v>
      </c>
      <c r="F995" s="4" t="s">
        <v>109</v>
      </c>
      <c r="G995" s="14" t="s">
        <v>132</v>
      </c>
      <c r="H995" s="4" t="s">
        <v>681</v>
      </c>
      <c r="I995" s="4" t="s">
        <v>122</v>
      </c>
      <c r="AL995" s="11"/>
      <c r="AM995" s="11"/>
      <c r="AN995" s="11"/>
      <c r="AO995" s="11"/>
      <c r="AP995" s="11"/>
      <c r="AQ995" s="11"/>
    </row>
    <row r="996" spans="1:43" x14ac:dyDescent="0.25">
      <c r="A996" s="44" t="str">
        <f t="shared" si="18"/>
        <v>LONGSWORDSMAN_MIDEAST</v>
      </c>
      <c r="B996" s="9" t="s">
        <v>109</v>
      </c>
      <c r="C996" s="4" t="s">
        <v>690</v>
      </c>
      <c r="E996" s="4" t="s">
        <v>109</v>
      </c>
      <c r="F996" s="4" t="s">
        <v>109</v>
      </c>
      <c r="H996" s="4" t="s">
        <v>164</v>
      </c>
      <c r="I996" s="4" t="s">
        <v>2089</v>
      </c>
      <c r="AL996" s="11"/>
      <c r="AM996" s="11"/>
      <c r="AN996" s="11"/>
      <c r="AO996" s="11"/>
      <c r="AP996" s="11"/>
      <c r="AQ996" s="11"/>
    </row>
    <row r="997" spans="1:43" x14ac:dyDescent="0.25">
      <c r="A997" s="44" t="str">
        <f t="shared" si="18"/>
        <v>LONGSWORDSMAN_ARABIA</v>
      </c>
      <c r="B997" s="9" t="s">
        <v>109</v>
      </c>
      <c r="C997" s="4" t="s">
        <v>700</v>
      </c>
      <c r="D997" s="14" t="s">
        <v>690</v>
      </c>
      <c r="E997" s="4" t="s">
        <v>109</v>
      </c>
      <c r="F997" s="4" t="s">
        <v>109</v>
      </c>
      <c r="G997" s="14"/>
      <c r="AL997" s="11"/>
      <c r="AM997" s="11"/>
      <c r="AN997" s="11"/>
      <c r="AO997" s="11"/>
      <c r="AP997" s="11"/>
      <c r="AQ997" s="11"/>
    </row>
    <row r="998" spans="1:43" x14ac:dyDescent="0.25">
      <c r="A998" s="44" t="str">
        <f t="shared" si="18"/>
        <v>LONGSWORDSMAN_BABYLON</v>
      </c>
      <c r="B998" s="9" t="s">
        <v>109</v>
      </c>
      <c r="C998" s="4" t="s">
        <v>703</v>
      </c>
      <c r="E998" s="4" t="s">
        <v>109</v>
      </c>
      <c r="F998" s="4" t="s">
        <v>109</v>
      </c>
      <c r="G998" s="14"/>
      <c r="H998" s="4" t="s">
        <v>212</v>
      </c>
      <c r="I998" s="4" t="s">
        <v>102</v>
      </c>
      <c r="AL998" s="11"/>
      <c r="AM998" s="11"/>
      <c r="AN998" s="11"/>
      <c r="AO998" s="11"/>
      <c r="AP998" s="11"/>
      <c r="AQ998" s="11"/>
    </row>
    <row r="999" spans="1:43" x14ac:dyDescent="0.25">
      <c r="A999" s="44" t="str">
        <f t="shared" si="18"/>
        <v>LONGSWORDSMAN_EGYPT</v>
      </c>
      <c r="B999" s="9" t="s">
        <v>109</v>
      </c>
      <c r="C999" s="4" t="s">
        <v>712</v>
      </c>
      <c r="E999" s="4" t="s">
        <v>109</v>
      </c>
      <c r="F999" s="4" t="s">
        <v>109</v>
      </c>
      <c r="G999" s="14" t="s">
        <v>132</v>
      </c>
      <c r="H999" s="4" t="s">
        <v>283</v>
      </c>
      <c r="I999" s="4" t="s">
        <v>2089</v>
      </c>
      <c r="AL999" s="11"/>
      <c r="AM999" s="11"/>
      <c r="AN999" s="11"/>
      <c r="AO999" s="11"/>
      <c r="AP999" s="11"/>
      <c r="AQ999" s="11"/>
    </row>
    <row r="1000" spans="1:43" x14ac:dyDescent="0.25">
      <c r="A1000" s="44" t="str">
        <f t="shared" si="18"/>
        <v>LONGSWORDSMAN_LEVANT</v>
      </c>
      <c r="B1000" s="9" t="s">
        <v>109</v>
      </c>
      <c r="C1000" s="4" t="s">
        <v>724</v>
      </c>
      <c r="E1000" s="4" t="s">
        <v>109</v>
      </c>
      <c r="F1000" s="4" t="s">
        <v>109</v>
      </c>
      <c r="G1000" s="14" t="s">
        <v>132</v>
      </c>
      <c r="H1000" s="4" t="s">
        <v>512</v>
      </c>
      <c r="I1000" s="4" t="s">
        <v>102</v>
      </c>
      <c r="AL1000" s="11"/>
      <c r="AM1000" s="11"/>
      <c r="AN1000" s="11"/>
      <c r="AO1000" s="11"/>
      <c r="AP1000" s="11"/>
      <c r="AQ1000" s="11"/>
    </row>
    <row r="1001" spans="1:43" x14ac:dyDescent="0.25">
      <c r="A1001" s="44" t="str">
        <f t="shared" si="18"/>
        <v>LONGSWORDSMAN_PERSIA</v>
      </c>
      <c r="B1001" s="9" t="s">
        <v>109</v>
      </c>
      <c r="C1001" s="4" t="s">
        <v>731</v>
      </c>
      <c r="E1001" s="4" t="s">
        <v>109</v>
      </c>
      <c r="F1001" s="4" t="s">
        <v>109</v>
      </c>
      <c r="G1001" s="14" t="s">
        <v>132</v>
      </c>
      <c r="H1001" s="4" t="s">
        <v>558</v>
      </c>
      <c r="I1001" s="4" t="s">
        <v>102</v>
      </c>
      <c r="AL1001" s="11"/>
      <c r="AM1001" s="11"/>
      <c r="AN1001" s="11"/>
      <c r="AO1001" s="11"/>
      <c r="AP1001" s="11"/>
      <c r="AQ1001" s="11"/>
    </row>
    <row r="1002" spans="1:43" x14ac:dyDescent="0.25">
      <c r="A1002" s="44" t="str">
        <f>CONCATENATE(E1002,IF(ISBLANK(C1002),"",CONCATENATE("_",C1002)))</f>
        <v>LONGSWORDSMAN_NORTHAF</v>
      </c>
      <c r="B1002" s="9" t="s">
        <v>109</v>
      </c>
      <c r="C1002" s="4" t="s">
        <v>2003</v>
      </c>
      <c r="E1002" s="4" t="s">
        <v>109</v>
      </c>
      <c r="F1002" s="4" t="s">
        <v>109</v>
      </c>
      <c r="G1002" s="14" t="s">
        <v>132</v>
      </c>
      <c r="H1002" s="10" t="s">
        <v>641</v>
      </c>
      <c r="I1002" s="10" t="s">
        <v>1815</v>
      </c>
      <c r="AL1002" s="11"/>
      <c r="AM1002" s="11"/>
      <c r="AN1002" s="11"/>
      <c r="AO1002" s="11"/>
      <c r="AP1002" s="11"/>
      <c r="AQ1002" s="11"/>
    </row>
    <row r="1003" spans="1:43" x14ac:dyDescent="0.25">
      <c r="A1003" s="44" t="str">
        <f>CONCATENATE(E1003,IF(ISBLANK(C1003),"",CONCATENATE("_",C1003)))</f>
        <v>LONGSWORDSMAN_MOROCCO</v>
      </c>
      <c r="B1003" s="9" t="s">
        <v>109</v>
      </c>
      <c r="C1003" s="4" t="s">
        <v>729</v>
      </c>
      <c r="E1003" s="4" t="s">
        <v>109</v>
      </c>
      <c r="F1003" s="4" t="s">
        <v>109</v>
      </c>
      <c r="G1003" s="14" t="s">
        <v>132</v>
      </c>
      <c r="H1003" s="4" t="s">
        <v>537</v>
      </c>
      <c r="I1003" s="4" t="s">
        <v>1066</v>
      </c>
      <c r="AL1003" s="11"/>
      <c r="AM1003" s="11"/>
      <c r="AN1003" s="11"/>
      <c r="AO1003" s="11"/>
      <c r="AP1003" s="11"/>
      <c r="AQ1003" s="11"/>
    </row>
    <row r="1004" spans="1:43" x14ac:dyDescent="0.25">
      <c r="A1004" s="44" t="str">
        <f t="shared" si="18"/>
        <v>LONGSWORDSMAN_NORTHEU</v>
      </c>
      <c r="B1004" s="9" t="s">
        <v>109</v>
      </c>
      <c r="C1004" s="4" t="s">
        <v>962</v>
      </c>
      <c r="E1004" s="4" t="s">
        <v>109</v>
      </c>
      <c r="F1004" s="4" t="s">
        <v>109</v>
      </c>
      <c r="H1004" s="4" t="s">
        <v>837</v>
      </c>
      <c r="I1004" s="4" t="s">
        <v>102</v>
      </c>
      <c r="Q1004" s="11">
        <v>2</v>
      </c>
      <c r="T1004" s="11">
        <v>3</v>
      </c>
      <c r="Z1004" s="11">
        <v>1</v>
      </c>
      <c r="AF1004" s="11">
        <v>1</v>
      </c>
      <c r="AI1004" s="11">
        <v>1</v>
      </c>
      <c r="AL1004" s="11"/>
      <c r="AM1004" s="11"/>
      <c r="AN1004" s="11"/>
      <c r="AO1004" s="11"/>
      <c r="AP1004" s="11"/>
      <c r="AQ1004" s="11"/>
    </row>
    <row r="1005" spans="1:43" x14ac:dyDescent="0.25">
      <c r="A1005" s="44" t="str">
        <f t="shared" si="18"/>
        <v>LONGSWORDSMAN_NORTHEU</v>
      </c>
      <c r="B1005" s="9" t="s">
        <v>109</v>
      </c>
      <c r="C1005" s="4" t="s">
        <v>962</v>
      </c>
      <c r="E1005" s="4" t="s">
        <v>109</v>
      </c>
      <c r="F1005" s="4" t="s">
        <v>109</v>
      </c>
      <c r="G1005" s="4" t="s">
        <v>2039</v>
      </c>
      <c r="H1005" s="4" t="s">
        <v>838</v>
      </c>
      <c r="I1005" s="4" t="s">
        <v>102</v>
      </c>
      <c r="Q1005" s="11">
        <v>2</v>
      </c>
      <c r="T1005" s="11">
        <v>2</v>
      </c>
      <c r="Z1005" s="11">
        <v>0</v>
      </c>
      <c r="AF1005" s="11">
        <v>1</v>
      </c>
      <c r="AI1005" s="11">
        <v>1</v>
      </c>
      <c r="AL1005" s="11"/>
      <c r="AM1005" s="11"/>
      <c r="AN1005" s="11"/>
      <c r="AO1005" s="11"/>
      <c r="AP1005" s="11"/>
      <c r="AQ1005" s="11"/>
    </row>
    <row r="1006" spans="1:43" x14ac:dyDescent="0.25">
      <c r="A1006" s="44" t="str">
        <f t="shared" si="18"/>
        <v>LONGSWORDSMAN_NORTHEU</v>
      </c>
      <c r="B1006" s="9" t="s">
        <v>109</v>
      </c>
      <c r="C1006" s="4" t="s">
        <v>962</v>
      </c>
      <c r="E1006" s="4" t="s">
        <v>109</v>
      </c>
      <c r="F1006" s="4" t="s">
        <v>109</v>
      </c>
      <c r="G1006" s="4" t="s">
        <v>2041</v>
      </c>
      <c r="H1006" s="4" t="s">
        <v>269</v>
      </c>
      <c r="I1006" s="4" t="s">
        <v>102</v>
      </c>
      <c r="Q1006" s="11">
        <v>2</v>
      </c>
      <c r="T1006" s="11">
        <v>3</v>
      </c>
      <c r="Z1006" s="11">
        <v>0</v>
      </c>
      <c r="AF1006" s="11">
        <v>1</v>
      </c>
      <c r="AI1006" s="11">
        <v>1</v>
      </c>
      <c r="AL1006" s="11"/>
      <c r="AM1006" s="11"/>
      <c r="AN1006" s="11"/>
      <c r="AO1006" s="11"/>
      <c r="AP1006" s="11"/>
      <c r="AQ1006" s="11"/>
    </row>
    <row r="1007" spans="1:43" x14ac:dyDescent="0.25">
      <c r="A1007" s="44" t="str">
        <f t="shared" si="18"/>
        <v>LONGSWORDSMAN_NORTHEU</v>
      </c>
      <c r="B1007" s="9" t="s">
        <v>109</v>
      </c>
      <c r="C1007" s="4" t="s">
        <v>962</v>
      </c>
      <c r="E1007" s="4" t="s">
        <v>109</v>
      </c>
      <c r="F1007" s="4" t="s">
        <v>109</v>
      </c>
      <c r="H1007" s="4" t="s">
        <v>837</v>
      </c>
      <c r="I1007" s="4" t="s">
        <v>102</v>
      </c>
      <c r="Q1007" s="9">
        <v>2</v>
      </c>
      <c r="T1007" s="11">
        <v>2</v>
      </c>
      <c r="Z1007" s="9">
        <v>0</v>
      </c>
      <c r="AF1007" s="11">
        <v>0</v>
      </c>
      <c r="AI1007" s="11">
        <v>2</v>
      </c>
      <c r="AL1007" s="11"/>
      <c r="AM1007" s="11"/>
      <c r="AN1007" s="11"/>
      <c r="AO1007" s="11"/>
      <c r="AP1007" s="11"/>
      <c r="AQ1007" s="11"/>
    </row>
    <row r="1008" spans="1:43" x14ac:dyDescent="0.25">
      <c r="A1008" s="44" t="str">
        <f t="shared" si="18"/>
        <v>LONGSWORDSMAN_NORTHEU</v>
      </c>
      <c r="B1008" s="9" t="s">
        <v>109</v>
      </c>
      <c r="C1008" s="4" t="s">
        <v>962</v>
      </c>
      <c r="E1008" s="4" t="s">
        <v>109</v>
      </c>
      <c r="F1008" s="4" t="s">
        <v>109</v>
      </c>
      <c r="G1008" s="4" t="s">
        <v>2039</v>
      </c>
      <c r="H1008" s="4" t="s">
        <v>838</v>
      </c>
      <c r="I1008" s="4" t="s">
        <v>102</v>
      </c>
      <c r="Q1008" s="9">
        <v>2</v>
      </c>
      <c r="T1008" s="11">
        <v>3</v>
      </c>
      <c r="Z1008" s="9">
        <v>0</v>
      </c>
      <c r="AF1008" s="11">
        <v>0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44" t="str">
        <f t="shared" si="18"/>
        <v>LONGSWORDSMAN_NORTHEU</v>
      </c>
      <c r="B1009" s="9" t="s">
        <v>109</v>
      </c>
      <c r="C1009" s="4" t="s">
        <v>962</v>
      </c>
      <c r="E1009" s="4" t="s">
        <v>109</v>
      </c>
      <c r="F1009" s="4" t="s">
        <v>109</v>
      </c>
      <c r="G1009" s="4" t="s">
        <v>2041</v>
      </c>
      <c r="H1009" s="4" t="s">
        <v>269</v>
      </c>
      <c r="I1009" s="4" t="s">
        <v>102</v>
      </c>
      <c r="Q1009" s="9">
        <v>2</v>
      </c>
      <c r="T1009" s="11">
        <v>3</v>
      </c>
      <c r="Z1009" s="9">
        <v>0</v>
      </c>
      <c r="AF1009" s="11">
        <v>0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44" t="str">
        <f t="shared" si="18"/>
        <v>LONGSWORDSMAN_OCEAN</v>
      </c>
      <c r="B1010" s="9" t="s">
        <v>109</v>
      </c>
      <c r="C1010" s="4" t="s">
        <v>994</v>
      </c>
      <c r="D1010" s="4" t="s">
        <v>691</v>
      </c>
      <c r="E1010" s="4" t="s">
        <v>109</v>
      </c>
      <c r="F1010" s="4" t="s">
        <v>109</v>
      </c>
      <c r="AL1010" s="11"/>
      <c r="AM1010" s="11"/>
      <c r="AN1010" s="11"/>
      <c r="AO1010" s="11"/>
      <c r="AP1010" s="11"/>
      <c r="AQ1010" s="11"/>
    </row>
    <row r="1011" spans="1:43" x14ac:dyDescent="0.25">
      <c r="A1011" s="44" t="str">
        <f t="shared" si="18"/>
        <v>LONGSWORDSMAN_SEASIA</v>
      </c>
      <c r="B1011" s="9" t="s">
        <v>109</v>
      </c>
      <c r="C1011" s="4" t="s">
        <v>696</v>
      </c>
      <c r="D1011" s="4" t="s">
        <v>693</v>
      </c>
      <c r="E1011" s="4" t="s">
        <v>109</v>
      </c>
      <c r="F1011" s="4" t="s">
        <v>109</v>
      </c>
      <c r="AL1011" s="11"/>
      <c r="AM1011" s="11"/>
      <c r="AN1011" s="11"/>
      <c r="AO1011" s="11"/>
      <c r="AP1011" s="11"/>
      <c r="AQ1011" s="11"/>
    </row>
    <row r="1012" spans="1:43" x14ac:dyDescent="0.25">
      <c r="A1012" s="44" t="str">
        <f t="shared" si="18"/>
        <v>LONGSWORDSMAN_SOUTHAM</v>
      </c>
      <c r="B1012" s="9" t="s">
        <v>109</v>
      </c>
      <c r="C1012" s="4" t="s">
        <v>691</v>
      </c>
      <c r="E1012" s="4" t="s">
        <v>109</v>
      </c>
      <c r="F1012" s="4" t="s">
        <v>109</v>
      </c>
      <c r="H1012" s="4" t="s">
        <v>519</v>
      </c>
      <c r="I1012" s="4" t="s">
        <v>102</v>
      </c>
      <c r="AL1012" s="11"/>
      <c r="AM1012" s="11"/>
      <c r="AN1012" s="11"/>
      <c r="AO1012" s="11"/>
      <c r="AP1012" s="11"/>
      <c r="AQ1012" s="11"/>
    </row>
    <row r="1013" spans="1:43" x14ac:dyDescent="0.25">
      <c r="A1013" s="44" t="str">
        <f t="shared" si="18"/>
        <v>LONGSWORDSMAN_AZTEC</v>
      </c>
      <c r="B1013" s="9" t="s">
        <v>109</v>
      </c>
      <c r="C1013" s="4" t="s">
        <v>702</v>
      </c>
      <c r="E1013" s="4" t="s">
        <v>109</v>
      </c>
      <c r="F1013" s="4" t="s">
        <v>109</v>
      </c>
      <c r="G1013" s="14"/>
      <c r="H1013" s="4" t="s">
        <v>198</v>
      </c>
      <c r="I1013" s="4" t="s">
        <v>102</v>
      </c>
      <c r="AL1013" s="11"/>
      <c r="AM1013" s="11"/>
      <c r="AN1013" s="11"/>
      <c r="AO1013" s="11"/>
      <c r="AP1013" s="11"/>
      <c r="AQ1013" s="11"/>
    </row>
    <row r="1014" spans="1:43" x14ac:dyDescent="0.25">
      <c r="A1014" s="44" t="str">
        <f t="shared" si="18"/>
        <v>LONGSWORDSMAN_INCA</v>
      </c>
      <c r="B1014" s="9" t="s">
        <v>109</v>
      </c>
      <c r="C1014" s="4" t="s">
        <v>719</v>
      </c>
      <c r="E1014" s="4" t="s">
        <v>109</v>
      </c>
      <c r="F1014" s="4" t="s">
        <v>109</v>
      </c>
      <c r="H1014" s="4" t="s">
        <v>929</v>
      </c>
      <c r="I1014" s="4" t="s">
        <v>2089</v>
      </c>
      <c r="AL1014" s="11"/>
      <c r="AM1014" s="11"/>
      <c r="AN1014" s="11"/>
      <c r="AO1014" s="11"/>
      <c r="AP1014" s="11"/>
      <c r="AQ1014" s="11"/>
    </row>
    <row r="1015" spans="1:43" x14ac:dyDescent="0.25">
      <c r="A1015" s="44" t="str">
        <f t="shared" si="18"/>
        <v>LONGSWORDSMAN_MAYA</v>
      </c>
      <c r="B1015" s="9" t="s">
        <v>109</v>
      </c>
      <c r="C1015" s="4" t="s">
        <v>725</v>
      </c>
      <c r="D1015" s="4" t="s">
        <v>691</v>
      </c>
      <c r="E1015" s="4" t="s">
        <v>109</v>
      </c>
      <c r="F1015" s="4" t="s">
        <v>109</v>
      </c>
      <c r="G1015" s="14" t="s">
        <v>132</v>
      </c>
      <c r="AL1015" s="11"/>
      <c r="AM1015" s="11"/>
      <c r="AN1015" s="11"/>
      <c r="AO1015" s="11"/>
      <c r="AP1015" s="11"/>
      <c r="AQ1015" s="11"/>
    </row>
    <row r="1016" spans="1:43" x14ac:dyDescent="0.25">
      <c r="A1016" s="44" t="str">
        <f t="shared" si="18"/>
        <v>LONGSWORDSMAN_SOUTHAS</v>
      </c>
      <c r="B1016" s="9" t="s">
        <v>109</v>
      </c>
      <c r="C1016" s="4" t="s">
        <v>695</v>
      </c>
      <c r="E1016" s="4" t="s">
        <v>109</v>
      </c>
      <c r="F1016" s="4" t="s">
        <v>109</v>
      </c>
      <c r="H1016" s="4" t="s">
        <v>845</v>
      </c>
      <c r="I1016" s="4" t="s">
        <v>102</v>
      </c>
      <c r="Q1016" s="9">
        <v>2</v>
      </c>
      <c r="T1016" s="11">
        <v>3</v>
      </c>
      <c r="Z1016" s="9">
        <v>1</v>
      </c>
      <c r="AF1016" s="11">
        <v>1</v>
      </c>
      <c r="AI1016" s="11">
        <v>1</v>
      </c>
      <c r="AL1016" s="11"/>
      <c r="AM1016" s="11"/>
      <c r="AN1016" s="11"/>
      <c r="AO1016" s="11"/>
      <c r="AP1016" s="11"/>
      <c r="AQ1016" s="11"/>
    </row>
    <row r="1017" spans="1:43" x14ac:dyDescent="0.25">
      <c r="A1017" s="44" t="str">
        <f t="shared" si="18"/>
        <v>LONGSWORDSMAN_SOUTHAS</v>
      </c>
      <c r="B1017" s="9" t="s">
        <v>109</v>
      </c>
      <c r="C1017" s="4" t="s">
        <v>695</v>
      </c>
      <c r="E1017" s="4" t="s">
        <v>109</v>
      </c>
      <c r="F1017" s="4" t="s">
        <v>109</v>
      </c>
      <c r="G1017" s="4" t="s">
        <v>2039</v>
      </c>
      <c r="H1017" s="4" t="s">
        <v>437</v>
      </c>
      <c r="I1017" s="4" t="s">
        <v>102</v>
      </c>
      <c r="Q1017" s="9">
        <v>2</v>
      </c>
      <c r="T1017" s="11">
        <v>2</v>
      </c>
      <c r="Z1017" s="9">
        <v>0</v>
      </c>
      <c r="AF1017" s="11">
        <v>1</v>
      </c>
      <c r="AI1017" s="11">
        <v>1</v>
      </c>
      <c r="AL1017" s="11"/>
      <c r="AM1017" s="11"/>
      <c r="AN1017" s="11"/>
      <c r="AO1017" s="11"/>
      <c r="AP1017" s="11"/>
      <c r="AQ1017" s="11"/>
    </row>
    <row r="1018" spans="1:43" x14ac:dyDescent="0.25">
      <c r="A1018" s="44" t="str">
        <f t="shared" si="18"/>
        <v>LONGSWORDSMAN_SOUTHAS</v>
      </c>
      <c r="B1018" s="9" t="s">
        <v>109</v>
      </c>
      <c r="C1018" s="4" t="s">
        <v>695</v>
      </c>
      <c r="E1018" s="4" t="s">
        <v>109</v>
      </c>
      <c r="F1018" s="4" t="s">
        <v>109</v>
      </c>
      <c r="H1018" s="4" t="s">
        <v>845</v>
      </c>
      <c r="I1018" s="4" t="s">
        <v>102</v>
      </c>
      <c r="Q1018" s="9">
        <v>3</v>
      </c>
      <c r="T1018" s="11">
        <v>3</v>
      </c>
      <c r="Z1018" s="9">
        <v>0</v>
      </c>
      <c r="AF1018" s="11">
        <v>1</v>
      </c>
      <c r="AI1018" s="11">
        <v>2</v>
      </c>
      <c r="AL1018" s="11"/>
      <c r="AM1018" s="11"/>
      <c r="AN1018" s="11"/>
      <c r="AO1018" s="11"/>
      <c r="AP1018" s="11"/>
      <c r="AQ1018" s="11"/>
    </row>
    <row r="1019" spans="1:43" x14ac:dyDescent="0.25">
      <c r="A1019" s="44" t="str">
        <f t="shared" si="18"/>
        <v>LONGSWORDSMAN_SOUTHAS</v>
      </c>
      <c r="B1019" s="9" t="s">
        <v>109</v>
      </c>
      <c r="C1019" s="4" t="s">
        <v>695</v>
      </c>
      <c r="E1019" s="4" t="s">
        <v>109</v>
      </c>
      <c r="F1019" s="4" t="s">
        <v>109</v>
      </c>
      <c r="G1019" s="4" t="s">
        <v>2039</v>
      </c>
      <c r="H1019" s="4" t="s">
        <v>437</v>
      </c>
      <c r="I1019" s="4" t="s">
        <v>102</v>
      </c>
      <c r="Q1019" s="9">
        <v>2</v>
      </c>
      <c r="T1019" s="11">
        <v>2</v>
      </c>
      <c r="Z1019" s="9">
        <v>0</v>
      </c>
      <c r="AF1019" s="11">
        <v>0</v>
      </c>
      <c r="AI1019" s="11">
        <v>1</v>
      </c>
      <c r="AL1019" s="11"/>
      <c r="AM1019" s="11"/>
      <c r="AN1019" s="11"/>
      <c r="AO1019" s="11"/>
      <c r="AP1019" s="11"/>
      <c r="AQ1019" s="11"/>
    </row>
    <row r="1020" spans="1:43" x14ac:dyDescent="0.25">
      <c r="A1020" s="44" t="str">
        <f t="shared" si="18"/>
        <v>LONGSWORDSMAN_SOUTHAS</v>
      </c>
      <c r="B1020" s="9" t="s">
        <v>109</v>
      </c>
      <c r="C1020" s="4" t="s">
        <v>695</v>
      </c>
      <c r="E1020" s="4" t="s">
        <v>109</v>
      </c>
      <c r="F1020" s="4" t="s">
        <v>109</v>
      </c>
      <c r="H1020" s="4" t="s">
        <v>845</v>
      </c>
      <c r="I1020" s="4" t="s">
        <v>102</v>
      </c>
      <c r="Q1020" s="9">
        <v>2</v>
      </c>
      <c r="T1020" s="11">
        <v>3</v>
      </c>
      <c r="Z1020" s="9">
        <v>0</v>
      </c>
      <c r="AF1020" s="11">
        <v>0</v>
      </c>
      <c r="AI1020" s="11">
        <v>1</v>
      </c>
      <c r="AL1020" s="11"/>
      <c r="AM1020" s="11"/>
      <c r="AN1020" s="11"/>
      <c r="AO1020" s="11"/>
      <c r="AP1020" s="11"/>
      <c r="AQ1020" s="11"/>
    </row>
    <row r="1021" spans="1:43" x14ac:dyDescent="0.25">
      <c r="A1021" s="44" t="str">
        <f t="shared" si="18"/>
        <v>LONGSWORDSMAN_SOUTHAS</v>
      </c>
      <c r="B1021" s="9" t="s">
        <v>109</v>
      </c>
      <c r="C1021" s="4" t="s">
        <v>695</v>
      </c>
      <c r="E1021" s="4" t="s">
        <v>109</v>
      </c>
      <c r="F1021" s="4" t="s">
        <v>109</v>
      </c>
      <c r="G1021" s="4" t="s">
        <v>2039</v>
      </c>
      <c r="H1021" s="4" t="s">
        <v>437</v>
      </c>
      <c r="I1021" s="4" t="s">
        <v>102</v>
      </c>
      <c r="Q1021" s="9">
        <v>1</v>
      </c>
      <c r="T1021" s="11">
        <v>3</v>
      </c>
      <c r="Z1021" s="9">
        <v>0</v>
      </c>
      <c r="AF1021" s="11">
        <v>0</v>
      </c>
      <c r="AI1021" s="11">
        <v>1</v>
      </c>
      <c r="AL1021" s="11"/>
      <c r="AM1021" s="11"/>
      <c r="AN1021" s="11"/>
      <c r="AO1021" s="11"/>
      <c r="AP1021" s="11"/>
      <c r="AQ1021" s="11"/>
    </row>
    <row r="1022" spans="1:43" x14ac:dyDescent="0.25">
      <c r="A1022" s="44" t="str">
        <f t="shared" si="18"/>
        <v>MACHINEGUN</v>
      </c>
      <c r="B1022" s="9" t="s">
        <v>2287</v>
      </c>
      <c r="C1022" s="5"/>
      <c r="D1022" s="5"/>
      <c r="E1022" s="5" t="s">
        <v>763</v>
      </c>
      <c r="F1022" s="5" t="s">
        <v>763</v>
      </c>
      <c r="G1022" s="5"/>
      <c r="H1022" s="5" t="s">
        <v>1485</v>
      </c>
      <c r="I1022" s="5" t="s">
        <v>128</v>
      </c>
      <c r="J1022" s="6"/>
      <c r="K1022" s="6"/>
      <c r="L1022" s="13" t="s">
        <v>1705</v>
      </c>
      <c r="M1022" s="8"/>
      <c r="N1022" s="5"/>
      <c r="O1022" s="5"/>
      <c r="P1022" s="5"/>
      <c r="Q1022" s="7">
        <v>3</v>
      </c>
      <c r="R1022" s="6" t="s">
        <v>1692</v>
      </c>
      <c r="S1022" s="13" t="s">
        <v>1608</v>
      </c>
      <c r="T1022" s="6"/>
      <c r="U1022" s="7" t="s">
        <v>1734</v>
      </c>
      <c r="V1022" s="5"/>
      <c r="W1022" s="6">
        <v>7</v>
      </c>
      <c r="X1022" s="6" t="s">
        <v>3</v>
      </c>
      <c r="Y1022" s="5"/>
      <c r="Z1022" s="7">
        <v>1</v>
      </c>
      <c r="AA1022" s="6"/>
      <c r="AB1022" s="5"/>
      <c r="AC1022" s="6"/>
      <c r="AD1022" s="6" t="s">
        <v>3</v>
      </c>
      <c r="AE1022" s="5"/>
      <c r="AF1022" s="6"/>
      <c r="AG1022" s="6"/>
      <c r="AH1022" s="5"/>
      <c r="AI1022" s="6"/>
      <c r="AJ1022" s="6"/>
      <c r="AK1022" s="5"/>
      <c r="AL1022" s="6"/>
      <c r="AM1022" s="6"/>
      <c r="AN1022" s="6"/>
      <c r="AO1022" s="6"/>
      <c r="AP1022" s="6"/>
      <c r="AQ1022" s="6"/>
    </row>
    <row r="1023" spans="1:43" x14ac:dyDescent="0.25">
      <c r="A1023" s="44" t="str">
        <f t="shared" si="18"/>
        <v>MARINE</v>
      </c>
      <c r="B1023" s="9" t="s">
        <v>764</v>
      </c>
      <c r="C1023" s="5"/>
      <c r="D1023" s="5"/>
      <c r="E1023" s="5" t="s">
        <v>764</v>
      </c>
      <c r="F1023" s="5" t="s">
        <v>764</v>
      </c>
      <c r="G1023" s="5"/>
      <c r="H1023" s="5" t="s">
        <v>11</v>
      </c>
      <c r="I1023" s="5" t="s">
        <v>128</v>
      </c>
      <c r="J1023" s="6"/>
      <c r="K1023" s="6"/>
      <c r="L1023" s="13" t="s">
        <v>1705</v>
      </c>
      <c r="M1023" s="8"/>
      <c r="N1023" s="5"/>
      <c r="O1023" s="5"/>
      <c r="P1023" s="5"/>
      <c r="Q1023" s="7">
        <v>14</v>
      </c>
      <c r="R1023" s="6" t="s">
        <v>1734</v>
      </c>
      <c r="S1023" s="13" t="s">
        <v>1617</v>
      </c>
      <c r="T1023" s="6">
        <v>18</v>
      </c>
      <c r="U1023" s="7" t="s">
        <v>1734</v>
      </c>
      <c r="V1023" s="5"/>
      <c r="W1023" s="7" t="s">
        <v>3</v>
      </c>
      <c r="X1023" s="6" t="s">
        <v>3</v>
      </c>
      <c r="Y1023" s="5"/>
      <c r="Z1023" s="7">
        <v>1</v>
      </c>
      <c r="AA1023" s="6"/>
      <c r="AB1023" s="5"/>
      <c r="AC1023" s="6"/>
      <c r="AD1023" s="6" t="s">
        <v>3</v>
      </c>
      <c r="AE1023" s="5"/>
      <c r="AF1023" s="7" t="s">
        <v>1734</v>
      </c>
      <c r="AG1023" s="6"/>
      <c r="AH1023" s="5"/>
      <c r="AI1023" s="6" t="s">
        <v>1734</v>
      </c>
      <c r="AJ1023" s="6"/>
      <c r="AK1023" s="5"/>
      <c r="AL1023" s="6"/>
      <c r="AM1023" s="6"/>
      <c r="AN1023" s="6"/>
      <c r="AO1023" s="6"/>
      <c r="AP1023" s="6"/>
      <c r="AQ1023" s="6"/>
    </row>
    <row r="1024" spans="1:43" x14ac:dyDescent="0.25">
      <c r="A1024" s="44" t="str">
        <f t="shared" si="18"/>
        <v>MARINE_AFRI</v>
      </c>
      <c r="B1024" s="9" t="s">
        <v>764</v>
      </c>
      <c r="C1024" s="13" t="s">
        <v>694</v>
      </c>
      <c r="E1024" s="4" t="s">
        <v>764</v>
      </c>
      <c r="F1024" s="4" t="s">
        <v>764</v>
      </c>
      <c r="H1024" s="4" t="s">
        <v>1245</v>
      </c>
      <c r="I1024" s="4" t="s">
        <v>1249</v>
      </c>
      <c r="Z1024" s="9"/>
      <c r="AL1024" s="11"/>
      <c r="AM1024" s="11"/>
      <c r="AN1024" s="11"/>
      <c r="AO1024" s="11"/>
      <c r="AP1024" s="11"/>
      <c r="AQ1024" s="11"/>
    </row>
    <row r="1025" spans="1:43" x14ac:dyDescent="0.25">
      <c r="A1025" s="44" t="str">
        <f t="shared" ref="A1025:A1135" si="19">CONCATENATE(E1025,IF(ISBLANK(C1025),"",CONCATENATE("_",C1025)))</f>
        <v>MARINE_AMER</v>
      </c>
      <c r="B1025" s="9" t="s">
        <v>764</v>
      </c>
      <c r="C1025" s="13" t="s">
        <v>697</v>
      </c>
      <c r="D1025" s="4" t="s">
        <v>691</v>
      </c>
      <c r="E1025" s="4" t="s">
        <v>764</v>
      </c>
      <c r="F1025" s="4" t="s">
        <v>764</v>
      </c>
      <c r="AL1025" s="11"/>
      <c r="AM1025" s="11"/>
      <c r="AN1025" s="11"/>
      <c r="AO1025" s="11"/>
      <c r="AP1025" s="11"/>
      <c r="AQ1025" s="11"/>
    </row>
    <row r="1026" spans="1:43" x14ac:dyDescent="0.25">
      <c r="A1026" s="44" t="str">
        <f t="shared" si="19"/>
        <v>MARINE_ASIA</v>
      </c>
      <c r="B1026" s="9" t="s">
        <v>764</v>
      </c>
      <c r="C1026" s="13" t="s">
        <v>693</v>
      </c>
      <c r="E1026" s="4" t="s">
        <v>764</v>
      </c>
      <c r="F1026" s="4" t="s">
        <v>764</v>
      </c>
      <c r="H1026" s="4" t="s">
        <v>1247</v>
      </c>
      <c r="I1026" s="4" t="s">
        <v>1249</v>
      </c>
      <c r="R1026" s="11">
        <v>0.15</v>
      </c>
      <c r="U1026" s="11">
        <v>9.5000000000000001E-2</v>
      </c>
      <c r="X1026" s="11" t="s">
        <v>3</v>
      </c>
      <c r="AA1026" s="11">
        <v>0.23499999999999999</v>
      </c>
      <c r="AD1026" s="11" t="s">
        <v>3</v>
      </c>
      <c r="AL1026" s="11"/>
      <c r="AM1026" s="11"/>
      <c r="AN1026" s="11"/>
      <c r="AO1026" s="11"/>
      <c r="AP1026" s="11"/>
      <c r="AQ1026" s="11"/>
    </row>
    <row r="1027" spans="1:43" x14ac:dyDescent="0.25">
      <c r="A1027" s="44" t="str">
        <f t="shared" si="19"/>
        <v>MARINE_CENTAS</v>
      </c>
      <c r="B1027" s="9" t="s">
        <v>764</v>
      </c>
      <c r="C1027" s="13" t="s">
        <v>918</v>
      </c>
      <c r="D1027" s="4" t="s">
        <v>690</v>
      </c>
      <c r="E1027" s="4" t="s">
        <v>764</v>
      </c>
      <c r="F1027" s="4" t="s">
        <v>764</v>
      </c>
      <c r="AL1027" s="11"/>
      <c r="AM1027" s="11"/>
      <c r="AN1027" s="11"/>
      <c r="AO1027" s="11"/>
      <c r="AP1027" s="11"/>
      <c r="AQ1027" s="11"/>
    </row>
    <row r="1028" spans="1:43" x14ac:dyDescent="0.25">
      <c r="A1028" s="44" t="str">
        <f t="shared" si="19"/>
        <v>MARINE_EASTEU</v>
      </c>
      <c r="B1028" s="9" t="s">
        <v>764</v>
      </c>
      <c r="C1028" s="13" t="s">
        <v>698</v>
      </c>
      <c r="E1028" s="4" t="s">
        <v>764</v>
      </c>
      <c r="F1028" s="4" t="s">
        <v>764</v>
      </c>
      <c r="H1028" s="4" t="s">
        <v>1940</v>
      </c>
      <c r="I1028" s="4" t="s">
        <v>1249</v>
      </c>
      <c r="AL1028" s="11"/>
      <c r="AM1028" s="11"/>
      <c r="AN1028" s="11"/>
      <c r="AO1028" s="11"/>
      <c r="AP1028" s="11"/>
      <c r="AQ1028" s="11"/>
    </row>
    <row r="1029" spans="1:43" x14ac:dyDescent="0.25">
      <c r="A1029" s="44" t="str">
        <f t="shared" si="19"/>
        <v>MARINE_RUSSIA</v>
      </c>
      <c r="B1029" s="9" t="s">
        <v>764</v>
      </c>
      <c r="C1029" s="13" t="s">
        <v>735</v>
      </c>
      <c r="D1029" s="4" t="s">
        <v>698</v>
      </c>
      <c r="E1029" s="4" t="s">
        <v>764</v>
      </c>
      <c r="F1029" s="4" t="s">
        <v>764</v>
      </c>
      <c r="AL1029" s="11"/>
      <c r="AM1029" s="11"/>
      <c r="AN1029" s="11"/>
      <c r="AO1029" s="11"/>
      <c r="AP1029" s="11"/>
      <c r="AQ1029" s="11"/>
    </row>
    <row r="1030" spans="1:43" x14ac:dyDescent="0.25">
      <c r="A1030" s="44" t="str">
        <f t="shared" si="19"/>
        <v>MARINE_CELTS</v>
      </c>
      <c r="B1030" s="9" t="s">
        <v>764</v>
      </c>
      <c r="C1030" s="13" t="s">
        <v>709</v>
      </c>
      <c r="D1030" s="4" t="s">
        <v>713</v>
      </c>
      <c r="E1030" s="4" t="s">
        <v>764</v>
      </c>
      <c r="F1030" s="4" t="s">
        <v>764</v>
      </c>
      <c r="AL1030" s="11"/>
      <c r="AM1030" s="11"/>
      <c r="AN1030" s="11"/>
      <c r="AO1030" s="11"/>
      <c r="AP1030" s="11"/>
      <c r="AQ1030" s="11"/>
    </row>
    <row r="1031" spans="1:43" x14ac:dyDescent="0.25">
      <c r="A1031" s="44" t="str">
        <f t="shared" si="19"/>
        <v>MARINE_ENGLAND</v>
      </c>
      <c r="B1031" s="9" t="s">
        <v>764</v>
      </c>
      <c r="C1031" s="4" t="s">
        <v>713</v>
      </c>
      <c r="E1031" s="4" t="s">
        <v>764</v>
      </c>
      <c r="F1031" s="4" t="s">
        <v>764</v>
      </c>
      <c r="G1031" s="14" t="s">
        <v>132</v>
      </c>
      <c r="H1031" s="4" t="s">
        <v>304</v>
      </c>
      <c r="I1031" s="4" t="s">
        <v>1057</v>
      </c>
      <c r="R1031" s="11">
        <v>0.16</v>
      </c>
      <c r="U1031" s="11">
        <v>0.1</v>
      </c>
      <c r="X1031" s="11" t="s">
        <v>3</v>
      </c>
      <c r="AA1031" s="11">
        <v>0.25</v>
      </c>
      <c r="AD1031" s="11" t="s">
        <v>3</v>
      </c>
      <c r="AL1031" s="11"/>
      <c r="AM1031" s="11"/>
      <c r="AN1031" s="11"/>
      <c r="AO1031" s="11"/>
      <c r="AP1031" s="11"/>
      <c r="AQ1031" s="11"/>
    </row>
    <row r="1032" spans="1:43" x14ac:dyDescent="0.25">
      <c r="A1032" s="44" t="str">
        <f t="shared" si="19"/>
        <v>MARINE_MIDEAST</v>
      </c>
      <c r="B1032" s="9" t="s">
        <v>764</v>
      </c>
      <c r="C1032" s="13" t="s">
        <v>690</v>
      </c>
      <c r="E1032" s="4" t="s">
        <v>764</v>
      </c>
      <c r="F1032" s="4" t="s">
        <v>764</v>
      </c>
      <c r="H1032" s="4" t="s">
        <v>1246</v>
      </c>
      <c r="I1032" s="4" t="s">
        <v>1249</v>
      </c>
      <c r="AL1032" s="11"/>
      <c r="AM1032" s="11"/>
      <c r="AN1032" s="11"/>
      <c r="AO1032" s="11"/>
      <c r="AP1032" s="11"/>
      <c r="AQ1032" s="11"/>
    </row>
    <row r="1033" spans="1:43" x14ac:dyDescent="0.25">
      <c r="A1033" s="44" t="str">
        <f t="shared" si="19"/>
        <v>MARINE_NORTHEU</v>
      </c>
      <c r="B1033" s="9" t="s">
        <v>764</v>
      </c>
      <c r="C1033" s="13" t="s">
        <v>962</v>
      </c>
      <c r="E1033" s="4" t="s">
        <v>764</v>
      </c>
      <c r="F1033" s="4" t="s">
        <v>764</v>
      </c>
      <c r="H1033" s="4" t="s">
        <v>1941</v>
      </c>
      <c r="I1033" s="4" t="s">
        <v>1249</v>
      </c>
      <c r="R1033" s="11">
        <v>0.15</v>
      </c>
      <c r="U1033" s="11">
        <v>9.5000000000000001E-2</v>
      </c>
      <c r="X1033" s="11" t="s">
        <v>3</v>
      </c>
      <c r="AA1033" s="11">
        <v>0.23499999999999999</v>
      </c>
      <c r="AD1033" s="11" t="s">
        <v>3</v>
      </c>
      <c r="AL1033" s="11"/>
      <c r="AM1033" s="11"/>
      <c r="AN1033" s="11"/>
      <c r="AO1033" s="11"/>
      <c r="AP1033" s="11"/>
      <c r="AQ1033" s="11"/>
    </row>
    <row r="1034" spans="1:43" x14ac:dyDescent="0.25">
      <c r="A1034" s="44" t="str">
        <f t="shared" si="19"/>
        <v>MARINE_OCEAN</v>
      </c>
      <c r="B1034" s="9" t="s">
        <v>764</v>
      </c>
      <c r="C1034" s="13" t="s">
        <v>994</v>
      </c>
      <c r="D1034" s="4" t="s">
        <v>691</v>
      </c>
      <c r="E1034" s="4" t="s">
        <v>764</v>
      </c>
      <c r="F1034" s="4" t="s">
        <v>764</v>
      </c>
      <c r="AL1034" s="11"/>
      <c r="AM1034" s="11"/>
      <c r="AN1034" s="11"/>
      <c r="AO1034" s="11"/>
      <c r="AP1034" s="11"/>
      <c r="AQ1034" s="11"/>
    </row>
    <row r="1035" spans="1:43" x14ac:dyDescent="0.25">
      <c r="A1035" s="44" t="str">
        <f t="shared" si="19"/>
        <v>MARINE_SEASIA</v>
      </c>
      <c r="B1035" s="9" t="s">
        <v>764</v>
      </c>
      <c r="C1035" s="4" t="s">
        <v>696</v>
      </c>
      <c r="E1035" s="4" t="s">
        <v>764</v>
      </c>
      <c r="F1035" s="4" t="s">
        <v>764</v>
      </c>
      <c r="H1035" s="4" t="s">
        <v>1047</v>
      </c>
      <c r="I1035" s="4" t="s">
        <v>1064</v>
      </c>
      <c r="R1035" s="11">
        <v>1.5</v>
      </c>
      <c r="U1035" s="11">
        <v>0.96499999999999997</v>
      </c>
      <c r="X1035" s="11" t="s">
        <v>3</v>
      </c>
      <c r="AA1035" s="11">
        <v>2.355</v>
      </c>
      <c r="AD1035" s="11" t="s">
        <v>3</v>
      </c>
      <c r="AG1035" s="11">
        <v>1.93</v>
      </c>
      <c r="AJ1035" s="11">
        <v>1.7150000000000001</v>
      </c>
      <c r="AL1035" s="11"/>
      <c r="AM1035" s="11"/>
      <c r="AN1035" s="11"/>
      <c r="AO1035" s="11"/>
      <c r="AP1035" s="11"/>
      <c r="AQ1035" s="11"/>
    </row>
    <row r="1036" spans="1:43" x14ac:dyDescent="0.25">
      <c r="A1036" s="44" t="str">
        <f t="shared" si="19"/>
        <v>MARINE_SOUTHAM</v>
      </c>
      <c r="B1036" s="9" t="s">
        <v>764</v>
      </c>
      <c r="C1036" s="13" t="s">
        <v>691</v>
      </c>
      <c r="E1036" s="4" t="s">
        <v>764</v>
      </c>
      <c r="F1036" s="4" t="s">
        <v>764</v>
      </c>
      <c r="H1036" s="4" t="s">
        <v>1248</v>
      </c>
      <c r="I1036" s="4" t="s">
        <v>1249</v>
      </c>
      <c r="R1036" s="11">
        <v>0.15</v>
      </c>
      <c r="U1036" s="11">
        <v>9.5000000000000001E-2</v>
      </c>
      <c r="X1036" s="11" t="s">
        <v>3</v>
      </c>
      <c r="AA1036" s="11">
        <v>0.23499999999999999</v>
      </c>
      <c r="AD1036" s="11" t="s">
        <v>3</v>
      </c>
      <c r="AL1036" s="11"/>
      <c r="AM1036" s="11"/>
      <c r="AN1036" s="11"/>
      <c r="AO1036" s="11"/>
      <c r="AP1036" s="11"/>
      <c r="AQ1036" s="11"/>
    </row>
    <row r="1037" spans="1:43" x14ac:dyDescent="0.25">
      <c r="A1037" s="44" t="str">
        <f t="shared" si="19"/>
        <v>MECH</v>
      </c>
      <c r="B1037" s="9" t="s">
        <v>765</v>
      </c>
      <c r="C1037" s="5"/>
      <c r="D1037" s="5"/>
      <c r="E1037" s="5" t="s">
        <v>765</v>
      </c>
      <c r="F1037" s="5" t="s">
        <v>765</v>
      </c>
      <c r="G1037" s="5"/>
      <c r="H1037" s="5" t="s">
        <v>1144</v>
      </c>
      <c r="I1037" s="5" t="s">
        <v>128</v>
      </c>
      <c r="J1037" s="6"/>
      <c r="K1037" s="6"/>
      <c r="L1037" s="13" t="s">
        <v>1712</v>
      </c>
      <c r="M1037" s="8"/>
      <c r="N1037" s="5"/>
      <c r="O1037" s="5"/>
      <c r="P1037" s="5"/>
      <c r="Q1037" s="7">
        <v>1</v>
      </c>
      <c r="R1037" s="6" t="s">
        <v>1692</v>
      </c>
      <c r="S1037" s="13" t="s">
        <v>1620</v>
      </c>
      <c r="T1037" s="6">
        <v>3</v>
      </c>
      <c r="U1037" s="6">
        <v>6.5000000000000002E-2</v>
      </c>
      <c r="V1037" s="5" t="s">
        <v>1699</v>
      </c>
      <c r="W1037" s="7" t="s">
        <v>3</v>
      </c>
      <c r="X1037" s="6" t="s">
        <v>3</v>
      </c>
      <c r="Y1037" s="5"/>
      <c r="Z1037" s="6"/>
      <c r="AA1037" s="6">
        <v>0.12</v>
      </c>
      <c r="AB1037" s="5"/>
      <c r="AC1037" s="6"/>
      <c r="AD1037" s="6" t="s">
        <v>3</v>
      </c>
      <c r="AE1037" s="5"/>
      <c r="AF1037" s="6"/>
      <c r="AG1037" s="6"/>
      <c r="AH1037" s="5"/>
      <c r="AI1037" s="6"/>
      <c r="AJ1037" s="6"/>
      <c r="AK1037" s="5"/>
      <c r="AL1037" s="6"/>
      <c r="AM1037" s="6"/>
      <c r="AN1037" s="6"/>
      <c r="AO1037" s="6"/>
      <c r="AP1037" s="6"/>
      <c r="AQ1037" s="6"/>
    </row>
    <row r="1038" spans="1:43" x14ac:dyDescent="0.25">
      <c r="A1038" s="44" t="str">
        <f t="shared" si="19"/>
        <v>MECHANIZED_INFANTRY</v>
      </c>
      <c r="B1038" s="9" t="s">
        <v>766</v>
      </c>
      <c r="C1038" s="5"/>
      <c r="D1038" s="5"/>
      <c r="E1038" s="5" t="s">
        <v>766</v>
      </c>
      <c r="F1038" s="5" t="s">
        <v>795</v>
      </c>
      <c r="G1038" s="5"/>
      <c r="H1038" s="5" t="s">
        <v>1486</v>
      </c>
      <c r="I1038" s="5" t="s">
        <v>128</v>
      </c>
      <c r="J1038" s="6"/>
      <c r="K1038" s="6"/>
      <c r="L1038" s="13" t="s">
        <v>1706</v>
      </c>
      <c r="M1038" s="8"/>
      <c r="N1038" s="5"/>
      <c r="O1038" s="5"/>
      <c r="P1038" s="5"/>
      <c r="Q1038" s="7">
        <v>3</v>
      </c>
      <c r="R1038" s="6">
        <v>0.1</v>
      </c>
      <c r="S1038" s="13" t="s">
        <v>1620</v>
      </c>
      <c r="T1038" s="6"/>
      <c r="U1038" s="6"/>
      <c r="V1038" s="5"/>
      <c r="W1038" s="6">
        <v>7</v>
      </c>
      <c r="X1038" s="6" t="s">
        <v>3</v>
      </c>
      <c r="Y1038" s="5"/>
      <c r="Z1038" s="7">
        <v>1</v>
      </c>
      <c r="AA1038" s="6"/>
      <c r="AB1038" s="5"/>
      <c r="AC1038" s="6"/>
      <c r="AD1038" s="6" t="s">
        <v>3</v>
      </c>
      <c r="AE1038" s="5"/>
      <c r="AF1038" s="6"/>
      <c r="AG1038" s="6"/>
      <c r="AH1038" s="5"/>
      <c r="AI1038" s="6"/>
      <c r="AJ1038" s="6"/>
      <c r="AK1038" s="5"/>
      <c r="AL1038" s="6"/>
      <c r="AM1038" s="6"/>
      <c r="AN1038" s="6"/>
      <c r="AO1038" s="6"/>
      <c r="AP1038" s="6"/>
      <c r="AQ1038" s="6"/>
    </row>
    <row r="1039" spans="1:43" x14ac:dyDescent="0.25">
      <c r="A1039" s="44" t="str">
        <f t="shared" si="19"/>
        <v>MECHANIZED_INFANTRY_AFRI</v>
      </c>
      <c r="B1039" s="9" t="s">
        <v>766</v>
      </c>
      <c r="C1039" s="4" t="s">
        <v>694</v>
      </c>
      <c r="D1039" s="4" t="s">
        <v>690</v>
      </c>
      <c r="E1039" s="4" t="s">
        <v>766</v>
      </c>
      <c r="F1039" s="4" t="s">
        <v>795</v>
      </c>
      <c r="AL1039" s="11"/>
      <c r="AM1039" s="11"/>
      <c r="AN1039" s="11"/>
      <c r="AO1039" s="11"/>
      <c r="AP1039" s="11"/>
      <c r="AQ1039" s="11"/>
    </row>
    <row r="1040" spans="1:43" x14ac:dyDescent="0.25">
      <c r="A1040" s="44" t="str">
        <f t="shared" si="19"/>
        <v>MECHANIZED_INFANTRY_ZULU</v>
      </c>
      <c r="B1040" s="9" t="s">
        <v>766</v>
      </c>
      <c r="C1040" s="4" t="s">
        <v>742</v>
      </c>
      <c r="D1040" s="4" t="s">
        <v>713</v>
      </c>
      <c r="E1040" s="4" t="s">
        <v>766</v>
      </c>
      <c r="F1040" s="4" t="s">
        <v>795</v>
      </c>
      <c r="AL1040" s="11"/>
      <c r="AM1040" s="11"/>
      <c r="AN1040" s="11"/>
      <c r="AO1040" s="11"/>
      <c r="AP1040" s="11"/>
      <c r="AQ1040" s="11"/>
    </row>
    <row r="1041" spans="1:43" x14ac:dyDescent="0.25">
      <c r="A1041" s="44" t="str">
        <f t="shared" si="19"/>
        <v>MECHANIZED_INFANTRY_AMER</v>
      </c>
      <c r="B1041" s="9" t="s">
        <v>766</v>
      </c>
      <c r="C1041" s="4" t="s">
        <v>697</v>
      </c>
      <c r="D1041" s="4" t="s">
        <v>699</v>
      </c>
      <c r="E1041" s="4" t="s">
        <v>766</v>
      </c>
      <c r="F1041" s="4" t="s">
        <v>795</v>
      </c>
      <c r="AL1041" s="11"/>
      <c r="AM1041" s="11"/>
      <c r="AN1041" s="11"/>
      <c r="AO1041" s="11"/>
      <c r="AP1041" s="11"/>
      <c r="AQ1041" s="11"/>
    </row>
    <row r="1042" spans="1:43" x14ac:dyDescent="0.25">
      <c r="A1042" s="44" t="str">
        <f t="shared" si="19"/>
        <v>MECHANIZED_INFANTRY_ASIA</v>
      </c>
      <c r="B1042" s="9" t="s">
        <v>766</v>
      </c>
      <c r="C1042" s="4" t="s">
        <v>693</v>
      </c>
      <c r="D1042" s="4" t="s">
        <v>698</v>
      </c>
      <c r="E1042" s="4" t="s">
        <v>766</v>
      </c>
      <c r="F1042" s="4" t="s">
        <v>795</v>
      </c>
      <c r="AL1042" s="11"/>
      <c r="AM1042" s="11"/>
      <c r="AN1042" s="11"/>
      <c r="AO1042" s="11"/>
      <c r="AP1042" s="11"/>
      <c r="AQ1042" s="11"/>
    </row>
    <row r="1043" spans="1:43" x14ac:dyDescent="0.25">
      <c r="A1043" s="44" t="str">
        <f t="shared" si="19"/>
        <v>MECHANIZED_INFANTRY_EASTEU</v>
      </c>
      <c r="B1043" s="9" t="s">
        <v>766</v>
      </c>
      <c r="C1043" s="4" t="s">
        <v>698</v>
      </c>
      <c r="E1043" s="4" t="s">
        <v>766</v>
      </c>
      <c r="F1043" s="4" t="s">
        <v>795</v>
      </c>
      <c r="H1043" s="4" t="s">
        <v>252</v>
      </c>
      <c r="I1043" s="4" t="s">
        <v>120</v>
      </c>
      <c r="R1043" s="11">
        <v>0.105</v>
      </c>
      <c r="AL1043" s="11"/>
      <c r="AM1043" s="11"/>
      <c r="AN1043" s="11"/>
      <c r="AO1043" s="11"/>
      <c r="AP1043" s="11"/>
      <c r="AQ1043" s="11"/>
    </row>
    <row r="1044" spans="1:43" x14ac:dyDescent="0.25">
      <c r="A1044" s="44" t="str">
        <f t="shared" si="19"/>
        <v>MECHANIZED_INFANTRY_RUSSIA</v>
      </c>
      <c r="B1044" s="9" t="s">
        <v>766</v>
      </c>
      <c r="C1044" s="4" t="s">
        <v>735</v>
      </c>
      <c r="E1044" s="4" t="s">
        <v>766</v>
      </c>
      <c r="F1044" s="4" t="s">
        <v>795</v>
      </c>
      <c r="G1044" s="14" t="s">
        <v>132</v>
      </c>
      <c r="H1044" s="4" t="s">
        <v>618</v>
      </c>
      <c r="I1044" s="4" t="s">
        <v>120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44" t="str">
        <f t="shared" si="19"/>
        <v>MECHANIZED_INFANTRY_EURO</v>
      </c>
      <c r="B1045" s="9" t="s">
        <v>766</v>
      </c>
      <c r="C1045" s="4" t="s">
        <v>689</v>
      </c>
      <c r="E1045" s="4" t="s">
        <v>766</v>
      </c>
      <c r="F1045" s="4" t="s">
        <v>795</v>
      </c>
      <c r="H1045" s="4" t="s">
        <v>855</v>
      </c>
      <c r="I1045" s="4" t="s">
        <v>1928</v>
      </c>
      <c r="R1045" s="11">
        <v>0.1</v>
      </c>
      <c r="AL1045" s="11"/>
      <c r="AM1045" s="11"/>
      <c r="AN1045" s="11"/>
      <c r="AO1045" s="11"/>
      <c r="AP1045" s="11"/>
      <c r="AQ1045" s="11"/>
    </row>
    <row r="1046" spans="1:43" x14ac:dyDescent="0.25">
      <c r="A1046" s="44" t="str">
        <f t="shared" si="19"/>
        <v>MECHANIZED_INFANTRY_AMERICA</v>
      </c>
      <c r="B1046" s="9" t="s">
        <v>766</v>
      </c>
      <c r="C1046" s="4" t="s">
        <v>699</v>
      </c>
      <c r="E1046" s="4" t="s">
        <v>766</v>
      </c>
      <c r="F1046" s="4" t="s">
        <v>795</v>
      </c>
      <c r="G1046" s="14"/>
      <c r="H1046" s="4" t="s">
        <v>143</v>
      </c>
      <c r="I1046" s="4" t="s">
        <v>1928</v>
      </c>
      <c r="AL1046" s="11"/>
      <c r="AM1046" s="11"/>
      <c r="AN1046" s="11"/>
      <c r="AO1046" s="11"/>
      <c r="AP1046" s="11"/>
      <c r="AQ1046" s="11"/>
    </row>
    <row r="1047" spans="1:43" x14ac:dyDescent="0.25">
      <c r="A1047" s="44" t="str">
        <f t="shared" si="19"/>
        <v>MECHANIZED_INFANTRY_AUSTRALIA</v>
      </c>
      <c r="B1047" s="9" t="s">
        <v>766</v>
      </c>
      <c r="C1047" s="4" t="s">
        <v>1300</v>
      </c>
      <c r="D1047" s="4" t="s">
        <v>713</v>
      </c>
      <c r="E1047" s="4" t="s">
        <v>766</v>
      </c>
      <c r="F1047" s="4" t="s">
        <v>795</v>
      </c>
      <c r="G1047" s="14"/>
      <c r="AL1047" s="11"/>
      <c r="AM1047" s="11"/>
      <c r="AN1047" s="11"/>
      <c r="AO1047" s="11"/>
      <c r="AP1047" s="11"/>
      <c r="AQ1047" s="11"/>
    </row>
    <row r="1048" spans="1:43" x14ac:dyDescent="0.25">
      <c r="A1048" s="44" t="str">
        <f t="shared" si="19"/>
        <v>MECHANIZED_INFANTRY_AUSTRIA</v>
      </c>
      <c r="B1048" s="9" t="s">
        <v>766</v>
      </c>
      <c r="C1048" s="4" t="s">
        <v>701</v>
      </c>
      <c r="D1048" s="4" t="s">
        <v>717</v>
      </c>
      <c r="E1048" s="4" t="s">
        <v>766</v>
      </c>
      <c r="F1048" s="4" t="s">
        <v>795</v>
      </c>
      <c r="G1048" s="14"/>
      <c r="AL1048" s="11"/>
      <c r="AM1048" s="11"/>
      <c r="AN1048" s="11"/>
      <c r="AO1048" s="11"/>
      <c r="AP1048" s="11"/>
      <c r="AQ1048" s="11"/>
    </row>
    <row r="1049" spans="1:43" x14ac:dyDescent="0.25">
      <c r="A1049" s="44" t="str">
        <f t="shared" si="19"/>
        <v>MECHANIZED_INFANTRY_CANADA</v>
      </c>
      <c r="B1049" s="9" t="s">
        <v>766</v>
      </c>
      <c r="C1049" s="4" t="s">
        <v>2187</v>
      </c>
      <c r="D1049" s="4" t="s">
        <v>713</v>
      </c>
      <c r="E1049" s="4" t="s">
        <v>766</v>
      </c>
      <c r="F1049" s="4" t="s">
        <v>795</v>
      </c>
      <c r="G1049" s="14"/>
      <c r="AL1049" s="11"/>
      <c r="AM1049" s="11"/>
      <c r="AN1049" s="11"/>
      <c r="AO1049" s="11"/>
      <c r="AP1049" s="11"/>
      <c r="AQ1049" s="11"/>
    </row>
    <row r="1050" spans="1:43" x14ac:dyDescent="0.25">
      <c r="A1050" s="44" t="str">
        <f t="shared" si="19"/>
        <v>MECHANIZED_INFANTRY_CELTS</v>
      </c>
      <c r="B1050" s="9" t="s">
        <v>766</v>
      </c>
      <c r="C1050" s="4" t="s">
        <v>709</v>
      </c>
      <c r="D1050" s="4" t="s">
        <v>713</v>
      </c>
      <c r="E1050" s="4" t="s">
        <v>766</v>
      </c>
      <c r="F1050" s="4" t="s">
        <v>795</v>
      </c>
      <c r="G1050" s="14"/>
      <c r="AL1050" s="11"/>
      <c r="AM1050" s="11"/>
      <c r="AN1050" s="11"/>
      <c r="AO1050" s="11"/>
      <c r="AP1050" s="11"/>
      <c r="AQ1050" s="11"/>
    </row>
    <row r="1051" spans="1:43" x14ac:dyDescent="0.25">
      <c r="A1051" s="44" t="str">
        <f t="shared" si="19"/>
        <v>MECHANIZED_INFANTRY_ENGLAND</v>
      </c>
      <c r="B1051" s="9" t="s">
        <v>766</v>
      </c>
      <c r="C1051" s="4" t="s">
        <v>713</v>
      </c>
      <c r="E1051" s="4" t="s">
        <v>766</v>
      </c>
      <c r="F1051" s="4" t="s">
        <v>795</v>
      </c>
      <c r="G1051" s="14"/>
      <c r="H1051" s="4" t="s">
        <v>2197</v>
      </c>
      <c r="I1051" s="4" t="s">
        <v>1068</v>
      </c>
      <c r="AL1051" s="11"/>
      <c r="AM1051" s="11"/>
      <c r="AN1051" s="11"/>
      <c r="AO1051" s="11"/>
      <c r="AP1051" s="11"/>
      <c r="AQ1051" s="11"/>
    </row>
    <row r="1052" spans="1:43" x14ac:dyDescent="0.25">
      <c r="A1052" s="44" t="str">
        <f t="shared" si="19"/>
        <v>MECHANIZED_INFANTRY_GERMANY</v>
      </c>
      <c r="B1052" s="9" t="s">
        <v>766</v>
      </c>
      <c r="C1052" s="4" t="s">
        <v>717</v>
      </c>
      <c r="E1052" s="4" t="s">
        <v>766</v>
      </c>
      <c r="F1052" s="4" t="s">
        <v>795</v>
      </c>
      <c r="G1052" s="14" t="s">
        <v>132</v>
      </c>
      <c r="H1052" s="4" t="s">
        <v>382</v>
      </c>
      <c r="I1052" s="4" t="s">
        <v>1051</v>
      </c>
      <c r="R1052" s="11">
        <v>0.105</v>
      </c>
      <c r="AL1052" s="11"/>
      <c r="AM1052" s="11"/>
      <c r="AN1052" s="11"/>
      <c r="AO1052" s="11"/>
      <c r="AP1052" s="11"/>
      <c r="AQ1052" s="11"/>
    </row>
    <row r="1053" spans="1:43" x14ac:dyDescent="0.25">
      <c r="A1053" s="44" t="str">
        <f t="shared" si="19"/>
        <v>MECHANIZED_INFANTRY_ROME</v>
      </c>
      <c r="B1053" s="9" t="s">
        <v>766</v>
      </c>
      <c r="C1053" s="4" t="s">
        <v>734</v>
      </c>
      <c r="E1053" s="4" t="s">
        <v>766</v>
      </c>
      <c r="F1053" s="4" t="s">
        <v>795</v>
      </c>
      <c r="G1053" s="14" t="s">
        <v>132</v>
      </c>
      <c r="H1053" s="4" t="s">
        <v>594</v>
      </c>
      <c r="I1053" s="4" t="s">
        <v>1069</v>
      </c>
      <c r="AL1053" s="11"/>
      <c r="AM1053" s="11"/>
      <c r="AN1053" s="11"/>
      <c r="AO1053" s="11"/>
      <c r="AP1053" s="11"/>
      <c r="AQ1053" s="11"/>
    </row>
    <row r="1054" spans="1:43" x14ac:dyDescent="0.25">
      <c r="A1054" s="44" t="str">
        <f t="shared" si="19"/>
        <v>MECHANIZED_INFANTRY_MIDEAST</v>
      </c>
      <c r="B1054" s="9" t="s">
        <v>766</v>
      </c>
      <c r="C1054" s="4" t="s">
        <v>690</v>
      </c>
      <c r="E1054" s="4" t="s">
        <v>766</v>
      </c>
      <c r="F1054" s="4" t="s">
        <v>795</v>
      </c>
      <c r="H1054" s="4" t="s">
        <v>173</v>
      </c>
      <c r="I1054" s="4" t="s">
        <v>120</v>
      </c>
      <c r="R1054" s="11">
        <v>0.10199999999999999</v>
      </c>
      <c r="AL1054" s="11"/>
      <c r="AM1054" s="11"/>
      <c r="AN1054" s="11"/>
      <c r="AO1054" s="11"/>
      <c r="AP1054" s="11"/>
      <c r="AQ1054" s="11"/>
    </row>
    <row r="1055" spans="1:43" x14ac:dyDescent="0.25">
      <c r="A1055" s="44" t="str">
        <f t="shared" si="19"/>
        <v>MECHANIZED_INFANTRY_ARABIA</v>
      </c>
      <c r="B1055" s="9" t="s">
        <v>766</v>
      </c>
      <c r="C1055" s="4" t="s">
        <v>700</v>
      </c>
      <c r="D1055" s="14"/>
      <c r="E1055" s="4" t="s">
        <v>766</v>
      </c>
      <c r="F1055" s="4" t="s">
        <v>795</v>
      </c>
      <c r="G1055" s="14"/>
      <c r="H1055" s="4" t="s">
        <v>165</v>
      </c>
      <c r="I1055" s="4" t="s">
        <v>1928</v>
      </c>
      <c r="AL1055" s="11"/>
      <c r="AM1055" s="11"/>
      <c r="AN1055" s="11"/>
      <c r="AO1055" s="11"/>
      <c r="AP1055" s="11"/>
      <c r="AQ1055" s="11"/>
    </row>
    <row r="1056" spans="1:43" x14ac:dyDescent="0.25">
      <c r="A1056" s="44" t="str">
        <f t="shared" si="19"/>
        <v>MECHANIZED_INFANTRY_BABYLON</v>
      </c>
      <c r="B1056" s="9" t="s">
        <v>766</v>
      </c>
      <c r="C1056" s="4" t="s">
        <v>703</v>
      </c>
      <c r="E1056" s="4" t="s">
        <v>766</v>
      </c>
      <c r="F1056" s="4" t="s">
        <v>795</v>
      </c>
      <c r="G1056" s="14"/>
      <c r="H1056" s="4" t="s">
        <v>213</v>
      </c>
      <c r="I1056" s="4" t="s">
        <v>120</v>
      </c>
      <c r="R1056" s="11">
        <v>0.10199999999999999</v>
      </c>
      <c r="AL1056" s="11"/>
      <c r="AM1056" s="11"/>
      <c r="AN1056" s="11"/>
      <c r="AO1056" s="11"/>
      <c r="AP1056" s="11"/>
      <c r="AQ1056" s="11"/>
    </row>
    <row r="1057" spans="1:43" x14ac:dyDescent="0.25">
      <c r="A1057" s="44" t="str">
        <f t="shared" si="19"/>
        <v>MECHANIZED_INFANTRY_PERSIA</v>
      </c>
      <c r="B1057" s="9" t="s">
        <v>766</v>
      </c>
      <c r="C1057" s="4" t="s">
        <v>731</v>
      </c>
      <c r="E1057" s="4" t="s">
        <v>766</v>
      </c>
      <c r="F1057" s="4" t="s">
        <v>795</v>
      </c>
      <c r="G1057" s="14" t="s">
        <v>132</v>
      </c>
      <c r="H1057" s="4" t="s">
        <v>559</v>
      </c>
      <c r="I1057" s="4" t="s">
        <v>120</v>
      </c>
      <c r="R1057" s="11">
        <v>0.10199999999999999</v>
      </c>
      <c r="AL1057" s="11"/>
      <c r="AM1057" s="11"/>
      <c r="AN1057" s="11"/>
      <c r="AO1057" s="11"/>
      <c r="AP1057" s="11"/>
      <c r="AQ1057" s="11"/>
    </row>
    <row r="1058" spans="1:43" x14ac:dyDescent="0.25">
      <c r="A1058" s="44" t="str">
        <f>CONCATENATE(E1058,IF(ISBLANK(C1058),"",CONCATENATE("_",C1058)))</f>
        <v>MECHANIZED_INFANTRY_NORTHAF</v>
      </c>
      <c r="B1058" s="9" t="s">
        <v>766</v>
      </c>
      <c r="C1058" s="4" t="s">
        <v>2003</v>
      </c>
      <c r="E1058" s="4" t="s">
        <v>766</v>
      </c>
      <c r="F1058" s="4" t="s">
        <v>795</v>
      </c>
      <c r="G1058" s="14" t="s">
        <v>132</v>
      </c>
      <c r="H1058" s="4" t="s">
        <v>229</v>
      </c>
      <c r="I1058" s="4" t="s">
        <v>120</v>
      </c>
      <c r="R1058" s="11">
        <v>0.10199999999999999</v>
      </c>
      <c r="AL1058" s="11"/>
      <c r="AM1058" s="11"/>
      <c r="AN1058" s="11"/>
      <c r="AO1058" s="11"/>
      <c r="AP1058" s="11"/>
      <c r="AQ1058" s="11"/>
    </row>
    <row r="1059" spans="1:43" x14ac:dyDescent="0.25">
      <c r="A1059" s="44" t="str">
        <f t="shared" si="19"/>
        <v>MECHANIZED_INFANTRY_OCEAN</v>
      </c>
      <c r="B1059" s="9" t="s">
        <v>766</v>
      </c>
      <c r="C1059" s="4" t="s">
        <v>994</v>
      </c>
      <c r="D1059" s="4" t="s">
        <v>699</v>
      </c>
      <c r="E1059" s="4" t="s">
        <v>766</v>
      </c>
      <c r="F1059" s="4" t="s">
        <v>795</v>
      </c>
      <c r="G1059" s="14"/>
      <c r="AL1059" s="11"/>
      <c r="AM1059" s="11"/>
      <c r="AN1059" s="11"/>
      <c r="AO1059" s="11"/>
      <c r="AP1059" s="11"/>
      <c r="AQ1059" s="11"/>
    </row>
    <row r="1060" spans="1:43" x14ac:dyDescent="0.25">
      <c r="A1060" s="44" t="str">
        <f t="shared" si="19"/>
        <v>MECHANIZED_INFANTRY_SAHUL</v>
      </c>
      <c r="B1060" s="9" t="s">
        <v>766</v>
      </c>
      <c r="C1060" s="4" t="s">
        <v>1785</v>
      </c>
      <c r="D1060" s="4" t="s">
        <v>700</v>
      </c>
      <c r="E1060" s="4" t="s">
        <v>766</v>
      </c>
      <c r="F1060" s="4" t="s">
        <v>795</v>
      </c>
      <c r="G1060" s="14"/>
      <c r="AL1060" s="11"/>
      <c r="AM1060" s="11"/>
      <c r="AN1060" s="11"/>
      <c r="AO1060" s="11"/>
      <c r="AP1060" s="11"/>
      <c r="AQ1060" s="11"/>
    </row>
    <row r="1061" spans="1:43" x14ac:dyDescent="0.25">
      <c r="A1061" s="44" t="str">
        <f t="shared" si="19"/>
        <v>MECHANIZED_INFANTRY_SEASIA</v>
      </c>
      <c r="B1061" s="9" t="s">
        <v>766</v>
      </c>
      <c r="C1061" s="4" t="s">
        <v>696</v>
      </c>
      <c r="D1061" s="4" t="s">
        <v>698</v>
      </c>
      <c r="E1061" s="4" t="s">
        <v>766</v>
      </c>
      <c r="F1061" s="4" t="s">
        <v>795</v>
      </c>
      <c r="AL1061" s="11"/>
      <c r="AM1061" s="11"/>
      <c r="AN1061" s="11"/>
      <c r="AO1061" s="11"/>
      <c r="AP1061" s="11"/>
      <c r="AQ1061" s="11"/>
    </row>
    <row r="1062" spans="1:43" x14ac:dyDescent="0.25">
      <c r="A1062" s="44" t="str">
        <f t="shared" si="19"/>
        <v>MECHANIZED_INFANTRY_SOUTHAS</v>
      </c>
      <c r="B1062" s="9" t="s">
        <v>766</v>
      </c>
      <c r="C1062" s="4" t="s">
        <v>695</v>
      </c>
      <c r="D1062" s="4" t="s">
        <v>690</v>
      </c>
      <c r="E1062" s="4" t="s">
        <v>766</v>
      </c>
      <c r="F1062" s="4" t="s">
        <v>795</v>
      </c>
      <c r="AL1062" s="11"/>
      <c r="AM1062" s="11"/>
      <c r="AN1062" s="11"/>
      <c r="AO1062" s="11"/>
      <c r="AP1062" s="11"/>
      <c r="AQ1062" s="11"/>
    </row>
    <row r="1063" spans="1:43" x14ac:dyDescent="0.25">
      <c r="A1063" s="44" t="str">
        <f t="shared" si="19"/>
        <v>MECHANIZED_INFANTRY_INDIA</v>
      </c>
      <c r="B1063" s="9" t="s">
        <v>766</v>
      </c>
      <c r="C1063" s="4" t="s">
        <v>720</v>
      </c>
      <c r="E1063" s="4" t="s">
        <v>766</v>
      </c>
      <c r="F1063" s="4" t="s">
        <v>795</v>
      </c>
      <c r="H1063" s="4" t="s">
        <v>438</v>
      </c>
      <c r="I1063" s="4" t="s">
        <v>120</v>
      </c>
      <c r="R1063" s="11">
        <v>0.10199999999999999</v>
      </c>
      <c r="AL1063" s="11"/>
      <c r="AM1063" s="11"/>
      <c r="AN1063" s="11"/>
      <c r="AO1063" s="11"/>
      <c r="AP1063" s="11"/>
      <c r="AQ1063" s="11"/>
    </row>
    <row r="1064" spans="1:43" x14ac:dyDescent="0.25">
      <c r="A1064" s="44" t="str">
        <f t="shared" si="19"/>
        <v>MERCHANT</v>
      </c>
      <c r="B1064" s="9" t="s">
        <v>1357</v>
      </c>
      <c r="C1064" s="5"/>
      <c r="D1064" s="5"/>
      <c r="E1064" s="5" t="s">
        <v>1357</v>
      </c>
      <c r="F1064" s="5" t="s">
        <v>1359</v>
      </c>
      <c r="G1064" s="5"/>
      <c r="H1064" s="5" t="s">
        <v>1477</v>
      </c>
      <c r="I1064" s="5" t="s">
        <v>128</v>
      </c>
      <c r="J1064" s="6">
        <v>1</v>
      </c>
      <c r="K1064" s="6"/>
      <c r="L1064" s="13" t="s">
        <v>1707</v>
      </c>
      <c r="M1064" s="8"/>
      <c r="N1064" s="5"/>
      <c r="O1064" s="5"/>
      <c r="P1064" s="5"/>
      <c r="Q1064" s="6">
        <v>1</v>
      </c>
      <c r="R1064" s="7" t="s">
        <v>1692</v>
      </c>
      <c r="S1064" s="13" t="s">
        <v>1621</v>
      </c>
      <c r="T1064" s="6">
        <v>1</v>
      </c>
      <c r="U1064" s="7" t="s">
        <v>1734</v>
      </c>
      <c r="V1064" s="5"/>
      <c r="W1064" s="6"/>
      <c r="X1064" s="6" t="s">
        <v>3</v>
      </c>
      <c r="Y1064" s="5"/>
      <c r="Z1064" s="7">
        <v>1</v>
      </c>
      <c r="AA1064" s="6" t="s">
        <v>1734</v>
      </c>
      <c r="AB1064" s="5"/>
      <c r="AC1064" s="6"/>
      <c r="AD1064" s="6" t="s">
        <v>3</v>
      </c>
      <c r="AE1064" s="5"/>
      <c r="AF1064" s="6">
        <v>1</v>
      </c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44" t="str">
        <f t="shared" si="19"/>
        <v>MERCHANT</v>
      </c>
      <c r="B1065" s="9" t="s">
        <v>1357</v>
      </c>
      <c r="C1065" s="5"/>
      <c r="D1065" s="5"/>
      <c r="E1065" s="5" t="s">
        <v>1357</v>
      </c>
      <c r="F1065" s="5" t="s">
        <v>1359</v>
      </c>
      <c r="G1065" s="5" t="s">
        <v>2054</v>
      </c>
      <c r="H1065" s="5" t="s">
        <v>1475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7" t="s">
        <v>1692</v>
      </c>
      <c r="S1065" s="13" t="s">
        <v>1621</v>
      </c>
      <c r="T1065" s="6">
        <v>1</v>
      </c>
      <c r="U1065" s="7" t="s">
        <v>1734</v>
      </c>
      <c r="V1065" s="5"/>
      <c r="W1065" s="6"/>
      <c r="X1065" s="6" t="s">
        <v>3</v>
      </c>
      <c r="Y1065" s="5"/>
      <c r="Z1065" s="7">
        <v>0</v>
      </c>
      <c r="AA1065" s="6" t="s">
        <v>1734</v>
      </c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44" t="str">
        <f t="shared" si="19"/>
        <v>MERCHANT</v>
      </c>
      <c r="B1066" s="9" t="s">
        <v>1357</v>
      </c>
      <c r="C1066" s="5"/>
      <c r="D1066" s="5"/>
      <c r="E1066" s="5" t="s">
        <v>1357</v>
      </c>
      <c r="F1066" s="5" t="s">
        <v>1359</v>
      </c>
      <c r="G1066" s="5" t="s">
        <v>2055</v>
      </c>
      <c r="H1066" s="5" t="s">
        <v>1476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7" t="s">
        <v>1692</v>
      </c>
      <c r="S1066" s="13" t="s">
        <v>1621</v>
      </c>
      <c r="T1066" s="6">
        <v>1</v>
      </c>
      <c r="U1066" s="7" t="s">
        <v>1734</v>
      </c>
      <c r="V1066" s="5"/>
      <c r="W1066" s="6"/>
      <c r="X1066" s="6" t="s">
        <v>3</v>
      </c>
      <c r="Y1066" s="5"/>
      <c r="Z1066" s="7">
        <v>0</v>
      </c>
      <c r="AA1066" s="6" t="s">
        <v>1734</v>
      </c>
      <c r="AB1066" s="5"/>
      <c r="AC1066" s="6"/>
      <c r="AD1066" s="6" t="s">
        <v>3</v>
      </c>
      <c r="AE1066" s="5"/>
      <c r="AF1066" s="6">
        <v>0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44" t="str">
        <f>CONCATENATE(E1067,IF(ISBLANK(C1067),"",CONCATENATE("_",C1067)))</f>
        <v>MERCHANT</v>
      </c>
      <c r="C1067" s="5"/>
      <c r="D1067" s="5"/>
      <c r="E1067" s="5" t="s">
        <v>1357</v>
      </c>
      <c r="F1067" s="5" t="s">
        <v>1359</v>
      </c>
      <c r="G1067" s="5" t="s">
        <v>2536</v>
      </c>
      <c r="H1067" s="5" t="s">
        <v>1477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0</v>
      </c>
      <c r="R1067" s="7" t="s">
        <v>1692</v>
      </c>
      <c r="S1067" s="13" t="s">
        <v>1621</v>
      </c>
      <c r="T1067" s="6">
        <v>0</v>
      </c>
      <c r="U1067" s="7" t="s">
        <v>1734</v>
      </c>
      <c r="V1067" s="5"/>
      <c r="W1067" s="6">
        <v>0</v>
      </c>
      <c r="X1067" s="6" t="s">
        <v>3</v>
      </c>
      <c r="Y1067" s="5"/>
      <c r="Z1067" s="7">
        <v>0</v>
      </c>
      <c r="AA1067" s="6" t="s">
        <v>1734</v>
      </c>
      <c r="AB1067" s="5"/>
      <c r="AC1067" s="6">
        <v>0</v>
      </c>
      <c r="AD1067" s="6" t="s">
        <v>3</v>
      </c>
      <c r="AE1067" s="5"/>
      <c r="AF1067" s="6">
        <v>0</v>
      </c>
      <c r="AG1067" s="6"/>
      <c r="AH1067" s="5"/>
      <c r="AI1067" s="6">
        <v>0</v>
      </c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44" t="str">
        <f t="shared" si="19"/>
        <v>MERCHANT_LATE</v>
      </c>
      <c r="B1068" s="9" t="s">
        <v>1357</v>
      </c>
      <c r="C1068" s="5"/>
      <c r="D1068" s="5"/>
      <c r="E1068" s="5" t="s">
        <v>1358</v>
      </c>
      <c r="F1068" s="5" t="s">
        <v>1360</v>
      </c>
      <c r="G1068" s="5"/>
      <c r="H1068" s="5" t="s">
        <v>1488</v>
      </c>
      <c r="I1068" s="5" t="s">
        <v>128</v>
      </c>
      <c r="J1068" s="6">
        <v>0</v>
      </c>
      <c r="K1068" s="6"/>
      <c r="L1068" s="13" t="s">
        <v>1707</v>
      </c>
      <c r="M1068" s="8"/>
      <c r="N1068" s="5"/>
      <c r="O1068" s="5"/>
      <c r="P1068" s="5"/>
      <c r="Q1068" s="7">
        <v>1</v>
      </c>
      <c r="R1068" s="7">
        <v>0.11</v>
      </c>
      <c r="S1068" s="5"/>
      <c r="T1068" s="6"/>
      <c r="U1068" s="7" t="s">
        <v>1692</v>
      </c>
      <c r="V1068" s="5"/>
      <c r="W1068" s="6"/>
      <c r="X1068" s="6" t="s">
        <v>3</v>
      </c>
      <c r="Y1068" s="5"/>
      <c r="Z1068" s="6"/>
      <c r="AA1068" s="6"/>
      <c r="AB1068" s="5"/>
      <c r="AC1068" s="6"/>
      <c r="AD1068" s="6" t="s">
        <v>3</v>
      </c>
      <c r="AE1068" s="5"/>
      <c r="AF1068" s="6"/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44" t="str">
        <f t="shared" si="19"/>
        <v>MILITARY_ENGINEER</v>
      </c>
      <c r="C1069" s="5"/>
      <c r="D1069" s="5"/>
      <c r="E1069" s="5" t="s">
        <v>1361</v>
      </c>
      <c r="F1069" s="5" t="s">
        <v>1361</v>
      </c>
      <c r="G1069" s="5"/>
      <c r="H1069" s="5" t="s">
        <v>1487</v>
      </c>
      <c r="I1069" s="5" t="s">
        <v>128</v>
      </c>
      <c r="J1069" s="6"/>
      <c r="K1069" s="6"/>
      <c r="L1069" s="13" t="s">
        <v>1705</v>
      </c>
      <c r="M1069" s="8"/>
      <c r="N1069" s="5"/>
      <c r="O1069" s="5"/>
      <c r="P1069" s="5"/>
      <c r="Q1069" s="7">
        <v>8</v>
      </c>
      <c r="R1069" s="6" t="s">
        <v>1692</v>
      </c>
      <c r="S1069" s="13" t="s">
        <v>1617</v>
      </c>
      <c r="T1069" s="6"/>
      <c r="U1069" s="6"/>
      <c r="V1069" s="5"/>
      <c r="W1069" s="6"/>
      <c r="X1069" s="6" t="s">
        <v>3</v>
      </c>
      <c r="Y1069" s="5"/>
      <c r="Z1069" s="7">
        <v>1</v>
      </c>
      <c r="AA1069" s="6" t="s">
        <v>1734</v>
      </c>
      <c r="AB1069" s="5"/>
      <c r="AC1069" s="6"/>
      <c r="AD1069" s="6" t="s">
        <v>3</v>
      </c>
      <c r="AE1069" s="5"/>
      <c r="AF1069" s="7" t="s">
        <v>1734</v>
      </c>
      <c r="AG1069" s="6"/>
      <c r="AH1069" s="5"/>
      <c r="AI1069" s="7">
        <v>6</v>
      </c>
      <c r="AJ1069" s="6"/>
      <c r="AK1069" s="5"/>
      <c r="AL1069" s="6"/>
      <c r="AM1069" s="6"/>
      <c r="AN1069" s="6"/>
      <c r="AO1069" s="6"/>
      <c r="AP1069" s="6"/>
      <c r="AQ1069" s="6"/>
    </row>
    <row r="1070" spans="1:43" x14ac:dyDescent="0.25">
      <c r="A1070" s="44" t="str">
        <f t="shared" si="19"/>
        <v>MISSILE_CRUISER</v>
      </c>
      <c r="B1070" s="9" t="s">
        <v>767</v>
      </c>
      <c r="C1070" s="5"/>
      <c r="D1070" s="5"/>
      <c r="E1070" s="5" t="s">
        <v>767</v>
      </c>
      <c r="F1070" s="5" t="s">
        <v>796</v>
      </c>
      <c r="G1070" s="5"/>
      <c r="H1070" s="5" t="s">
        <v>1489</v>
      </c>
      <c r="I1070" s="5" t="s">
        <v>128</v>
      </c>
      <c r="J1070" s="6"/>
      <c r="K1070" s="7"/>
      <c r="L1070" s="13" t="s">
        <v>1710</v>
      </c>
      <c r="M1070" s="8"/>
      <c r="N1070" s="13" t="s">
        <v>1724</v>
      </c>
      <c r="O1070" s="13"/>
      <c r="P1070" s="13"/>
      <c r="Q1070" s="7">
        <v>1</v>
      </c>
      <c r="R1070" s="6">
        <v>0.11</v>
      </c>
      <c r="S1070" s="5"/>
      <c r="T1070" s="6"/>
      <c r="U1070" s="6"/>
      <c r="V1070" s="5"/>
      <c r="W1070" s="6"/>
      <c r="X1070" s="6"/>
      <c r="Y1070" s="5"/>
      <c r="Z1070" s="6"/>
      <c r="AA1070" s="6"/>
      <c r="AB1070" s="5"/>
      <c r="AC1070" s="6"/>
      <c r="AD1070" s="6"/>
      <c r="AE1070" s="5"/>
      <c r="AF1070" s="6"/>
      <c r="AG1070" s="6"/>
      <c r="AH1070" s="5"/>
      <c r="AI1070" s="6"/>
      <c r="AJ1070" s="6"/>
      <c r="AK1070" s="5"/>
      <c r="AL1070" s="6"/>
      <c r="AM1070" s="6"/>
      <c r="AN1070" s="6"/>
      <c r="AO1070" s="6"/>
      <c r="AP1070" s="6"/>
      <c r="AQ1070" s="6"/>
    </row>
    <row r="1071" spans="1:43" x14ac:dyDescent="0.25">
      <c r="A1071" s="44" t="str">
        <f t="shared" si="19"/>
        <v>MISSILE_CRUISER_ASIA</v>
      </c>
      <c r="B1071" s="9" t="s">
        <v>767</v>
      </c>
      <c r="C1071" s="5" t="s">
        <v>693</v>
      </c>
      <c r="D1071" s="5" t="s">
        <v>698</v>
      </c>
      <c r="E1071" s="5" t="s">
        <v>767</v>
      </c>
      <c r="F1071" s="5" t="s">
        <v>796</v>
      </c>
      <c r="G1071" s="5"/>
      <c r="H1071" s="5"/>
      <c r="I1071" s="5"/>
      <c r="J1071" s="6"/>
      <c r="K1071" s="7"/>
      <c r="L1071" s="13"/>
      <c r="M1071" s="8"/>
      <c r="N1071" s="13"/>
      <c r="O1071" s="13"/>
      <c r="P1071" s="13"/>
      <c r="Q1071" s="7"/>
      <c r="R1071" s="6"/>
      <c r="S1071" s="5"/>
      <c r="T1071" s="6"/>
      <c r="U1071" s="6"/>
      <c r="V1071" s="5"/>
      <c r="W1071" s="6"/>
      <c r="X1071" s="6"/>
      <c r="Y1071" s="5"/>
      <c r="Z1071" s="6"/>
      <c r="AA1071" s="6"/>
      <c r="AB1071" s="5"/>
      <c r="AC1071" s="6"/>
      <c r="AD1071" s="6"/>
      <c r="AE1071" s="5"/>
      <c r="AF1071" s="6"/>
      <c r="AG1071" s="6"/>
      <c r="AH1071" s="5"/>
      <c r="AI1071" s="6"/>
      <c r="AJ1071" s="6"/>
      <c r="AK1071" s="5"/>
      <c r="AL1071" s="6"/>
      <c r="AM1071" s="6"/>
      <c r="AN1071" s="6"/>
      <c r="AO1071" s="6"/>
      <c r="AP1071" s="6"/>
      <c r="AQ1071" s="6"/>
    </row>
    <row r="1072" spans="1:43" x14ac:dyDescent="0.25">
      <c r="A1072" s="44" t="str">
        <f t="shared" si="19"/>
        <v>MISSILE_CRUISER_CENTAS</v>
      </c>
      <c r="B1072" s="9" t="s">
        <v>767</v>
      </c>
      <c r="C1072" s="5" t="s">
        <v>918</v>
      </c>
      <c r="D1072" s="5" t="s">
        <v>698</v>
      </c>
      <c r="E1072" s="5" t="s">
        <v>767</v>
      </c>
      <c r="F1072" s="5" t="s">
        <v>796</v>
      </c>
      <c r="G1072" s="5"/>
      <c r="H1072" s="5"/>
      <c r="I1072" s="5"/>
      <c r="J1072" s="6"/>
      <c r="K1072" s="7"/>
      <c r="L1072" s="13"/>
      <c r="M1072" s="8"/>
      <c r="N1072" s="13"/>
      <c r="O1072" s="13"/>
      <c r="P1072" s="13"/>
      <c r="Q1072" s="7"/>
      <c r="R1072" s="6"/>
      <c r="S1072" s="5"/>
      <c r="T1072" s="6"/>
      <c r="U1072" s="6"/>
      <c r="V1072" s="5"/>
      <c r="W1072" s="6"/>
      <c r="X1072" s="6"/>
      <c r="Y1072" s="5"/>
      <c r="Z1072" s="6"/>
      <c r="AA1072" s="6"/>
      <c r="AB1072" s="5"/>
      <c r="AC1072" s="6"/>
      <c r="AD1072" s="6"/>
      <c r="AE1072" s="5"/>
      <c r="AF1072" s="6"/>
      <c r="AG1072" s="6"/>
      <c r="AH1072" s="5"/>
      <c r="AI1072" s="6"/>
      <c r="AJ1072" s="6"/>
      <c r="AK1072" s="5"/>
      <c r="AL1072" s="6"/>
      <c r="AM1072" s="6"/>
      <c r="AN1072" s="6"/>
      <c r="AO1072" s="6"/>
      <c r="AP1072" s="6"/>
      <c r="AQ1072" s="6"/>
    </row>
    <row r="1073" spans="1:43" x14ac:dyDescent="0.25">
      <c r="A1073" s="44" t="str">
        <f t="shared" si="19"/>
        <v>MISSILE_CRUISER_EASTEU</v>
      </c>
      <c r="B1073" s="9" t="s">
        <v>767</v>
      </c>
      <c r="C1073" s="5" t="s">
        <v>698</v>
      </c>
      <c r="D1073" s="5"/>
      <c r="E1073" s="5" t="s">
        <v>767</v>
      </c>
      <c r="F1073" s="5" t="s">
        <v>796</v>
      </c>
      <c r="G1073" s="5"/>
      <c r="H1073" s="5" t="s">
        <v>1930</v>
      </c>
      <c r="I1073" s="5" t="s">
        <v>1931</v>
      </c>
      <c r="J1073" s="6"/>
      <c r="K1073" s="7"/>
      <c r="L1073" s="13"/>
      <c r="M1073" s="8"/>
      <c r="N1073" s="13"/>
      <c r="O1073" s="13"/>
      <c r="P1073" s="13"/>
      <c r="Q1073" s="7"/>
      <c r="R1073" s="6">
        <v>0.1</v>
      </c>
      <c r="S1073" s="5"/>
      <c r="T1073" s="6"/>
      <c r="U1073" s="6"/>
      <c r="V1073" s="5"/>
      <c r="W1073" s="6"/>
      <c r="X1073" s="6"/>
      <c r="Y1073" s="5"/>
      <c r="Z1073" s="6"/>
      <c r="AA1073" s="6"/>
      <c r="AB1073" s="5"/>
      <c r="AC1073" s="6"/>
      <c r="AD1073" s="6"/>
      <c r="AE1073" s="5"/>
      <c r="AF1073" s="6"/>
      <c r="AG1073" s="6"/>
      <c r="AH1073" s="5"/>
      <c r="AI1073" s="6"/>
      <c r="AJ1073" s="6"/>
      <c r="AK1073" s="5"/>
      <c r="AL1073" s="6"/>
      <c r="AM1073" s="6"/>
      <c r="AN1073" s="6"/>
      <c r="AO1073" s="6"/>
      <c r="AP1073" s="6"/>
      <c r="AQ1073" s="6"/>
    </row>
    <row r="1074" spans="1:43" x14ac:dyDescent="0.25">
      <c r="A1074" s="44" t="str">
        <f t="shared" si="19"/>
        <v>MISSIONARY</v>
      </c>
      <c r="B1074" s="9" t="s">
        <v>768</v>
      </c>
      <c r="C1074" s="5"/>
      <c r="D1074" s="5"/>
      <c r="E1074" s="5" t="s">
        <v>768</v>
      </c>
      <c r="F1074" s="5" t="s">
        <v>768</v>
      </c>
      <c r="G1074" s="5"/>
      <c r="H1074" s="5" t="s">
        <v>8</v>
      </c>
      <c r="I1074" s="5" t="s">
        <v>128</v>
      </c>
      <c r="J1074" s="6">
        <v>1</v>
      </c>
      <c r="K1074" s="6"/>
      <c r="L1074" s="13" t="s">
        <v>1705</v>
      </c>
      <c r="M1074" s="8"/>
      <c r="N1074" s="5"/>
      <c r="O1074" s="5"/>
      <c r="P1074" s="5"/>
      <c r="Q1074" s="6">
        <v>1</v>
      </c>
      <c r="R1074" s="6" t="s">
        <v>1734</v>
      </c>
      <c r="S1074" s="13" t="s">
        <v>1611</v>
      </c>
      <c r="T1074" s="6">
        <v>1</v>
      </c>
      <c r="U1074" s="7" t="s">
        <v>1734</v>
      </c>
      <c r="V1074" s="5"/>
      <c r="W1074" s="6"/>
      <c r="X1074" s="6" t="s">
        <v>3</v>
      </c>
      <c r="Y1074" s="5"/>
      <c r="Z1074" s="7">
        <v>1</v>
      </c>
      <c r="AA1074" s="6"/>
      <c r="AB1074" s="5"/>
      <c r="AC1074" s="6"/>
      <c r="AD1074" s="6" t="s">
        <v>3</v>
      </c>
      <c r="AE1074" s="5"/>
      <c r="AF1074" s="6">
        <v>1</v>
      </c>
      <c r="AG1074" s="6"/>
      <c r="AH1074" s="5"/>
      <c r="AI1074" s="6"/>
      <c r="AJ1074" s="6"/>
      <c r="AK1074" s="5"/>
      <c r="AL1074" s="6"/>
      <c r="AM1074" s="6"/>
      <c r="AN1074" s="6"/>
      <c r="AO1074" s="6"/>
      <c r="AP1074" s="6"/>
      <c r="AQ1074" s="6"/>
    </row>
    <row r="1075" spans="1:43" x14ac:dyDescent="0.25">
      <c r="A1075" s="44" t="str">
        <f t="shared" si="19"/>
        <v>MISSIONARY</v>
      </c>
      <c r="B1075" s="9" t="s">
        <v>768</v>
      </c>
      <c r="C1075" s="5"/>
      <c r="D1075" s="5"/>
      <c r="E1075" s="5" t="s">
        <v>768</v>
      </c>
      <c r="F1075" s="5" t="s">
        <v>768</v>
      </c>
      <c r="G1075" s="5" t="s">
        <v>2071</v>
      </c>
      <c r="H1075" s="5" t="s">
        <v>1490</v>
      </c>
      <c r="I1075" s="5" t="s">
        <v>128</v>
      </c>
      <c r="J1075" s="6">
        <v>1</v>
      </c>
      <c r="K1075" s="6"/>
      <c r="L1075" s="13" t="s">
        <v>1705</v>
      </c>
      <c r="M1075" s="8"/>
      <c r="N1075" s="5"/>
      <c r="O1075" s="5"/>
      <c r="P1075" s="5"/>
      <c r="Q1075" s="6">
        <v>1</v>
      </c>
      <c r="R1075" s="6" t="s">
        <v>1734</v>
      </c>
      <c r="S1075" s="13" t="s">
        <v>1611</v>
      </c>
      <c r="T1075" s="6">
        <v>1</v>
      </c>
      <c r="U1075" s="7" t="s">
        <v>1734</v>
      </c>
      <c r="V1075" s="5"/>
      <c r="W1075" s="6"/>
      <c r="X1075" s="6" t="s">
        <v>3</v>
      </c>
      <c r="Y1075" s="5"/>
      <c r="Z1075" s="7">
        <v>0</v>
      </c>
      <c r="AA1075" s="6"/>
      <c r="AB1075" s="5"/>
      <c r="AC1075" s="6"/>
      <c r="AD1075" s="6" t="s">
        <v>3</v>
      </c>
      <c r="AE1075" s="5"/>
      <c r="AF1075" s="6">
        <v>1</v>
      </c>
      <c r="AG1075" s="6"/>
      <c r="AH1075" s="5"/>
      <c r="AI1075" s="6"/>
      <c r="AJ1075" s="6"/>
      <c r="AK1075" s="5"/>
      <c r="AL1075" s="6"/>
      <c r="AM1075" s="6"/>
      <c r="AN1075" s="6"/>
      <c r="AO1075" s="6"/>
      <c r="AP1075" s="6"/>
      <c r="AQ1075" s="6"/>
    </row>
    <row r="1076" spans="1:43" x14ac:dyDescent="0.25">
      <c r="A1076" s="44" t="str">
        <f t="shared" si="19"/>
        <v>MISSIONARY</v>
      </c>
      <c r="B1076" s="9" t="s">
        <v>768</v>
      </c>
      <c r="C1076" s="5"/>
      <c r="D1076" s="5"/>
      <c r="E1076" s="5" t="s">
        <v>768</v>
      </c>
      <c r="F1076" s="5" t="s">
        <v>768</v>
      </c>
      <c r="G1076" s="5" t="s">
        <v>2072</v>
      </c>
      <c r="H1076" s="5" t="s">
        <v>1491</v>
      </c>
      <c r="I1076" s="5" t="s">
        <v>128</v>
      </c>
      <c r="J1076" s="6">
        <v>1</v>
      </c>
      <c r="K1076" s="6"/>
      <c r="L1076" s="13" t="s">
        <v>1705</v>
      </c>
      <c r="M1076" s="8"/>
      <c r="N1076" s="5"/>
      <c r="O1076" s="5"/>
      <c r="P1076" s="5"/>
      <c r="Q1076" s="6">
        <v>1</v>
      </c>
      <c r="R1076" s="6" t="s">
        <v>1734</v>
      </c>
      <c r="S1076" s="13" t="s">
        <v>1611</v>
      </c>
      <c r="T1076" s="6">
        <v>1</v>
      </c>
      <c r="U1076" s="7" t="s">
        <v>1734</v>
      </c>
      <c r="V1076" s="5"/>
      <c r="W1076" s="6"/>
      <c r="X1076" s="6" t="s">
        <v>3</v>
      </c>
      <c r="Y1076" s="5"/>
      <c r="Z1076" s="7">
        <v>0</v>
      </c>
      <c r="AA1076" s="6"/>
      <c r="AB1076" s="5"/>
      <c r="AC1076" s="6"/>
      <c r="AD1076" s="6" t="s">
        <v>3</v>
      </c>
      <c r="AE1076" s="5"/>
      <c r="AF1076" s="6">
        <v>0</v>
      </c>
      <c r="AG1076" s="6"/>
      <c r="AH1076" s="5"/>
      <c r="AI1076" s="6"/>
      <c r="AJ1076" s="6"/>
      <c r="AK1076" s="5"/>
      <c r="AL1076" s="6"/>
      <c r="AM1076" s="6"/>
      <c r="AN1076" s="6"/>
      <c r="AO1076" s="6"/>
      <c r="AP1076" s="6"/>
      <c r="AQ1076" s="6"/>
    </row>
    <row r="1077" spans="1:43" x14ac:dyDescent="0.25">
      <c r="A1077" s="44" t="str">
        <f>CONCATENATE(E1077,IF(ISBLANK(C1077),"",CONCATENATE("_",C1077)))</f>
        <v>MISSIONARY_AFRI</v>
      </c>
      <c r="B1077" s="9" t="s">
        <v>768</v>
      </c>
      <c r="C1077" s="4" t="s">
        <v>694</v>
      </c>
      <c r="E1077" s="5" t="s">
        <v>768</v>
      </c>
      <c r="F1077" s="5" t="s">
        <v>768</v>
      </c>
      <c r="G1077" s="14" t="s">
        <v>132</v>
      </c>
      <c r="H1077" s="4" t="s">
        <v>330</v>
      </c>
      <c r="I1077" s="4" t="s">
        <v>1793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44" t="str">
        <f t="shared" si="19"/>
        <v>MISSIONARY_AMER</v>
      </c>
      <c r="B1078" s="9" t="s">
        <v>768</v>
      </c>
      <c r="C1078" s="4" t="s">
        <v>697</v>
      </c>
      <c r="E1078" s="4" t="s">
        <v>768</v>
      </c>
      <c r="F1078" s="4" t="s">
        <v>768</v>
      </c>
      <c r="H1078" s="4" t="s">
        <v>466</v>
      </c>
      <c r="I1078" s="4" t="s">
        <v>957</v>
      </c>
      <c r="J1078" s="11">
        <v>1</v>
      </c>
      <c r="Q1078" s="11">
        <v>3</v>
      </c>
      <c r="AF1078" s="11">
        <v>2</v>
      </c>
      <c r="AL1078" s="11"/>
      <c r="AM1078" s="11"/>
      <c r="AN1078" s="11"/>
      <c r="AO1078" s="11"/>
      <c r="AP1078" s="11"/>
      <c r="AQ1078" s="11"/>
    </row>
    <row r="1079" spans="1:43" x14ac:dyDescent="0.25">
      <c r="A1079" s="44" t="str">
        <f t="shared" si="19"/>
        <v>MISSIONARY_ASIA</v>
      </c>
      <c r="B1079" s="9" t="s">
        <v>768</v>
      </c>
      <c r="C1079" s="4" t="s">
        <v>693</v>
      </c>
      <c r="E1079" s="4" t="s">
        <v>768</v>
      </c>
      <c r="F1079" s="4" t="s">
        <v>768</v>
      </c>
      <c r="H1079" s="4" t="s">
        <v>832</v>
      </c>
      <c r="I1079" s="4" t="s">
        <v>963</v>
      </c>
      <c r="J1079" s="11">
        <v>1</v>
      </c>
      <c r="Q1079" s="11">
        <v>1</v>
      </c>
      <c r="Z1079" s="11">
        <v>1</v>
      </c>
      <c r="AF1079" s="11">
        <v>1</v>
      </c>
      <c r="AL1079" s="11"/>
      <c r="AM1079" s="11"/>
      <c r="AN1079" s="11"/>
      <c r="AO1079" s="11"/>
      <c r="AP1079" s="11"/>
      <c r="AQ1079" s="11"/>
    </row>
    <row r="1080" spans="1:43" x14ac:dyDescent="0.25">
      <c r="A1080" s="44" t="str">
        <f t="shared" si="19"/>
        <v>MISSIONARY_ASIA</v>
      </c>
      <c r="B1080" s="9" t="s">
        <v>768</v>
      </c>
      <c r="C1080" s="4" t="s">
        <v>693</v>
      </c>
      <c r="E1080" s="4" t="s">
        <v>768</v>
      </c>
      <c r="F1080" s="4" t="s">
        <v>768</v>
      </c>
      <c r="G1080" s="4" t="s">
        <v>2032</v>
      </c>
      <c r="H1080" s="4" t="s">
        <v>833</v>
      </c>
      <c r="I1080" s="4" t="s">
        <v>963</v>
      </c>
      <c r="J1080" s="11">
        <v>1</v>
      </c>
      <c r="Q1080" s="11">
        <v>1</v>
      </c>
      <c r="Z1080" s="11">
        <v>0</v>
      </c>
      <c r="AF1080" s="11">
        <v>1</v>
      </c>
      <c r="AL1080" s="11"/>
      <c r="AM1080" s="11"/>
      <c r="AN1080" s="11"/>
      <c r="AO1080" s="11"/>
      <c r="AP1080" s="11"/>
      <c r="AQ1080" s="11"/>
    </row>
    <row r="1081" spans="1:43" x14ac:dyDescent="0.25">
      <c r="A1081" s="44" t="str">
        <f t="shared" si="19"/>
        <v>MISSIONARY_ASIA</v>
      </c>
      <c r="B1081" s="9" t="s">
        <v>768</v>
      </c>
      <c r="C1081" s="4" t="s">
        <v>693</v>
      </c>
      <c r="E1081" s="4" t="s">
        <v>768</v>
      </c>
      <c r="F1081" s="4" t="s">
        <v>768</v>
      </c>
      <c r="G1081" s="4" t="s">
        <v>2033</v>
      </c>
      <c r="H1081" s="4" t="s">
        <v>253</v>
      </c>
      <c r="I1081" s="4" t="s">
        <v>963</v>
      </c>
      <c r="J1081" s="11">
        <v>1</v>
      </c>
      <c r="Q1081" s="9">
        <v>1</v>
      </c>
      <c r="Z1081" s="11">
        <v>0</v>
      </c>
      <c r="AF1081" s="9">
        <v>0</v>
      </c>
      <c r="AL1081" s="11"/>
      <c r="AM1081" s="11"/>
      <c r="AN1081" s="11"/>
      <c r="AO1081" s="11"/>
      <c r="AP1081" s="11"/>
      <c r="AQ1081" s="11"/>
    </row>
    <row r="1082" spans="1:43" x14ac:dyDescent="0.25">
      <c r="A1082" s="44" t="str">
        <f t="shared" si="19"/>
        <v>MISSIONARY_CELTS</v>
      </c>
      <c r="B1082" s="9" t="s">
        <v>768</v>
      </c>
      <c r="C1082" s="4" t="s">
        <v>709</v>
      </c>
      <c r="E1082" s="4" t="s">
        <v>768</v>
      </c>
      <c r="F1082" s="4" t="s">
        <v>768</v>
      </c>
      <c r="G1082" s="14" t="s">
        <v>132</v>
      </c>
      <c r="H1082" s="4" t="s">
        <v>239</v>
      </c>
      <c r="I1082" s="4" t="s">
        <v>957</v>
      </c>
      <c r="J1082" s="11">
        <v>1</v>
      </c>
      <c r="Q1082" s="11">
        <v>3</v>
      </c>
      <c r="AF1082" s="11">
        <v>2</v>
      </c>
      <c r="AL1082" s="11"/>
      <c r="AM1082" s="11"/>
      <c r="AN1082" s="11"/>
      <c r="AO1082" s="11"/>
      <c r="AP1082" s="11"/>
      <c r="AQ1082" s="11"/>
    </row>
    <row r="1083" spans="1:43" x14ac:dyDescent="0.25">
      <c r="A1083" s="44" t="str">
        <f t="shared" si="19"/>
        <v>MISSIONARY_CENTAS</v>
      </c>
      <c r="B1083" s="9" t="s">
        <v>768</v>
      </c>
      <c r="C1083" s="4" t="s">
        <v>918</v>
      </c>
      <c r="D1083" s="4" t="s">
        <v>690</v>
      </c>
      <c r="E1083" s="4" t="s">
        <v>768</v>
      </c>
      <c r="F1083" s="4" t="s">
        <v>768</v>
      </c>
      <c r="G1083" s="14"/>
      <c r="J1083" s="11">
        <v>1</v>
      </c>
      <c r="AL1083" s="11"/>
      <c r="AM1083" s="11"/>
      <c r="AN1083" s="11"/>
      <c r="AO1083" s="11"/>
      <c r="AP1083" s="11"/>
      <c r="AQ1083" s="11"/>
    </row>
    <row r="1084" spans="1:43" x14ac:dyDescent="0.25">
      <c r="A1084" s="44" t="str">
        <f t="shared" si="19"/>
        <v>MISSIONARY_MIDEAST</v>
      </c>
      <c r="B1084" s="9" t="s">
        <v>768</v>
      </c>
      <c r="C1084" s="4" t="s">
        <v>690</v>
      </c>
      <c r="E1084" s="4" t="s">
        <v>768</v>
      </c>
      <c r="F1084" s="4" t="s">
        <v>768</v>
      </c>
      <c r="G1084" s="14"/>
      <c r="H1084" s="4" t="s">
        <v>2803</v>
      </c>
      <c r="I1084" s="4" t="s">
        <v>1809</v>
      </c>
      <c r="J1084" s="11">
        <v>1</v>
      </c>
      <c r="Q1084" s="11">
        <v>3</v>
      </c>
      <c r="AL1084" s="11"/>
      <c r="AM1084" s="11"/>
      <c r="AN1084" s="11"/>
      <c r="AO1084" s="11"/>
      <c r="AP1084" s="11"/>
      <c r="AQ1084" s="11"/>
    </row>
    <row r="1085" spans="1:43" x14ac:dyDescent="0.25">
      <c r="A1085" s="44" t="str">
        <f t="shared" si="19"/>
        <v>MISSIONARY_NORTHAF</v>
      </c>
      <c r="B1085" s="9" t="s">
        <v>768</v>
      </c>
      <c r="C1085" s="4" t="s">
        <v>2003</v>
      </c>
      <c r="E1085" s="4" t="s">
        <v>768</v>
      </c>
      <c r="F1085" s="4" t="s">
        <v>768</v>
      </c>
      <c r="G1085" s="14"/>
      <c r="H1085" s="4" t="s">
        <v>2810</v>
      </c>
      <c r="I1085" s="4" t="s">
        <v>2811</v>
      </c>
      <c r="J1085" s="11">
        <v>1</v>
      </c>
      <c r="Q1085" s="11">
        <v>3</v>
      </c>
      <c r="AL1085" s="11"/>
      <c r="AM1085" s="11"/>
      <c r="AN1085" s="11"/>
      <c r="AO1085" s="11"/>
      <c r="AP1085" s="11"/>
      <c r="AQ1085" s="11"/>
    </row>
    <row r="1086" spans="1:43" x14ac:dyDescent="0.25">
      <c r="A1086" s="44" t="str">
        <f t="shared" si="19"/>
        <v>MISSIONARY_OCEAN</v>
      </c>
      <c r="B1086" s="9" t="s">
        <v>768</v>
      </c>
      <c r="C1086" s="4" t="s">
        <v>994</v>
      </c>
      <c r="D1086" s="4" t="s">
        <v>691</v>
      </c>
      <c r="E1086" s="4" t="s">
        <v>768</v>
      </c>
      <c r="F1086" s="4" t="s">
        <v>768</v>
      </c>
      <c r="J1086" s="11">
        <v>1</v>
      </c>
      <c r="AL1086" s="11"/>
      <c r="AM1086" s="11"/>
      <c r="AN1086" s="11"/>
      <c r="AO1086" s="11"/>
      <c r="AP1086" s="11"/>
      <c r="AQ1086" s="11"/>
    </row>
    <row r="1087" spans="1:43" x14ac:dyDescent="0.25">
      <c r="A1087" s="44" t="str">
        <f t="shared" si="19"/>
        <v>MISSIONARY_SEASIA</v>
      </c>
      <c r="B1087" s="9" t="s">
        <v>768</v>
      </c>
      <c r="C1087" s="4" t="s">
        <v>696</v>
      </c>
      <c r="D1087" s="4" t="s">
        <v>693</v>
      </c>
      <c r="E1087" s="4" t="s">
        <v>768</v>
      </c>
      <c r="F1087" s="4" t="s">
        <v>768</v>
      </c>
      <c r="J1087" s="11">
        <v>1</v>
      </c>
      <c r="AL1087" s="11"/>
      <c r="AM1087" s="11"/>
      <c r="AN1087" s="11"/>
      <c r="AO1087" s="11"/>
      <c r="AP1087" s="11"/>
      <c r="AQ1087" s="11"/>
    </row>
    <row r="1088" spans="1:43" x14ac:dyDescent="0.25">
      <c r="A1088" s="44" t="str">
        <f t="shared" si="19"/>
        <v>MISSIONARY_SOUTHAM</v>
      </c>
      <c r="B1088" s="9" t="s">
        <v>768</v>
      </c>
      <c r="C1088" s="4" t="s">
        <v>691</v>
      </c>
      <c r="E1088" s="4" t="s">
        <v>768</v>
      </c>
      <c r="F1088" s="4" t="s">
        <v>768</v>
      </c>
      <c r="H1088" s="4" t="s">
        <v>1799</v>
      </c>
      <c r="I1088" s="4" t="s">
        <v>963</v>
      </c>
      <c r="J1088" s="11">
        <v>1</v>
      </c>
      <c r="Q1088" s="11">
        <v>3</v>
      </c>
      <c r="AL1088" s="11"/>
      <c r="AM1088" s="11"/>
      <c r="AN1088" s="11"/>
      <c r="AO1088" s="11"/>
      <c r="AP1088" s="11"/>
      <c r="AQ1088" s="11"/>
    </row>
    <row r="1089" spans="1:43" x14ac:dyDescent="0.25">
      <c r="A1089" s="44" t="str">
        <f t="shared" si="19"/>
        <v>MISSIONARY_SOUTHAS</v>
      </c>
      <c r="B1089" s="9" t="s">
        <v>768</v>
      </c>
      <c r="C1089" s="4" t="s">
        <v>695</v>
      </c>
      <c r="E1089" s="4" t="s">
        <v>768</v>
      </c>
      <c r="F1089" s="4" t="s">
        <v>768</v>
      </c>
      <c r="H1089" s="4" t="s">
        <v>2804</v>
      </c>
      <c r="I1089" s="4" t="s">
        <v>1809</v>
      </c>
      <c r="J1089" s="11">
        <v>1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44" t="str">
        <f t="shared" si="19"/>
        <v>MISSIONARY_RENAISSANCE</v>
      </c>
      <c r="B1090" s="9" t="s">
        <v>768</v>
      </c>
      <c r="E1090" s="4" t="s">
        <v>1965</v>
      </c>
      <c r="F1090" s="4" t="s">
        <v>1965</v>
      </c>
      <c r="H1090" s="4" t="s">
        <v>1966</v>
      </c>
      <c r="I1090" s="4" t="s">
        <v>2807</v>
      </c>
      <c r="J1090" s="11">
        <v>0</v>
      </c>
      <c r="Q1090" s="6">
        <v>1</v>
      </c>
      <c r="R1090" s="6" t="s">
        <v>1734</v>
      </c>
      <c r="S1090" s="13" t="s">
        <v>1611</v>
      </c>
      <c r="T1090" s="6">
        <v>1</v>
      </c>
      <c r="U1090" s="7" t="s">
        <v>1734</v>
      </c>
      <c r="V1090" s="5"/>
      <c r="W1090" s="6"/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1</v>
      </c>
      <c r="AG1090" s="6"/>
      <c r="AH1090" s="5"/>
      <c r="AI1090" s="6"/>
      <c r="AJ1090" s="6"/>
      <c r="AK1090" s="5"/>
      <c r="AL1090" s="6"/>
      <c r="AM1090" s="6"/>
      <c r="AN1090" s="6"/>
      <c r="AO1090" s="6"/>
      <c r="AP1090" s="6"/>
      <c r="AQ1090" s="6"/>
    </row>
    <row r="1091" spans="1:43" x14ac:dyDescent="0.25">
      <c r="A1091" s="44" t="str">
        <f t="shared" si="19"/>
        <v>MISSIONARY_RENAISSANCE</v>
      </c>
      <c r="B1091" s="9" t="s">
        <v>768</v>
      </c>
      <c r="E1091" s="4" t="s">
        <v>1965</v>
      </c>
      <c r="F1091" s="4" t="s">
        <v>1965</v>
      </c>
      <c r="G1091" s="4" t="s">
        <v>2032</v>
      </c>
      <c r="H1091" s="4" t="s">
        <v>1967</v>
      </c>
      <c r="I1091" s="4" t="s">
        <v>2807</v>
      </c>
      <c r="J1091" s="11">
        <v>0</v>
      </c>
      <c r="Q1091" s="6">
        <v>1</v>
      </c>
      <c r="R1091" s="6" t="s">
        <v>1734</v>
      </c>
      <c r="S1091" s="13" t="s">
        <v>1611</v>
      </c>
      <c r="T1091" s="6">
        <v>1</v>
      </c>
      <c r="U1091" s="7" t="s">
        <v>1734</v>
      </c>
      <c r="V1091" s="5"/>
      <c r="W1091" s="6"/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44" t="str">
        <f t="shared" ref="A1092:A1104" si="20">CONCATENATE(E1092,IF(ISBLANK(C1092),"",CONCATENATE("_",C1092)))</f>
        <v>MISSIONARY_RENAISSANCE</v>
      </c>
      <c r="B1092" s="9" t="s">
        <v>768</v>
      </c>
      <c r="E1092" s="4" t="s">
        <v>1965</v>
      </c>
      <c r="F1092" s="4" t="s">
        <v>1965</v>
      </c>
      <c r="G1092" s="4" t="s">
        <v>2033</v>
      </c>
      <c r="H1092" s="4" t="s">
        <v>1968</v>
      </c>
      <c r="I1092" s="4" t="s">
        <v>2807</v>
      </c>
      <c r="J1092" s="11">
        <v>0</v>
      </c>
      <c r="Q1092" s="6">
        <v>1</v>
      </c>
      <c r="R1092" s="6" t="s">
        <v>1734</v>
      </c>
      <c r="S1092" s="13" t="s">
        <v>1611</v>
      </c>
      <c r="T1092" s="6">
        <v>1</v>
      </c>
      <c r="U1092" s="7" t="s">
        <v>1734</v>
      </c>
      <c r="V1092" s="5"/>
      <c r="W1092" s="6"/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/>
      <c r="AJ1092" s="6"/>
      <c r="AK1092" s="5"/>
      <c r="AL1092" s="6"/>
      <c r="AM1092" s="6"/>
      <c r="AN1092" s="6"/>
      <c r="AO1092" s="6"/>
      <c r="AP1092" s="6"/>
      <c r="AQ1092" s="6"/>
    </row>
    <row r="1093" spans="1:43" x14ac:dyDescent="0.25">
      <c r="A1093" s="44" t="str">
        <f>CONCATENATE(E1093,IF(ISBLANK(C1093),"",CONCATENATE("_",C1093)))</f>
        <v>MISSIONARY_RENAISSANCE_AFRI</v>
      </c>
      <c r="B1093" s="9" t="s">
        <v>768</v>
      </c>
      <c r="C1093" s="4" t="s">
        <v>694</v>
      </c>
      <c r="E1093" s="4" t="s">
        <v>1965</v>
      </c>
      <c r="F1093" s="4" t="s">
        <v>1965</v>
      </c>
      <c r="H1093" s="4" t="s">
        <v>330</v>
      </c>
      <c r="I1093" s="4" t="s">
        <v>1793</v>
      </c>
      <c r="J1093" s="11">
        <v>0</v>
      </c>
      <c r="Q1093" s="11">
        <v>3</v>
      </c>
      <c r="AL1093" s="11"/>
      <c r="AM1093" s="11"/>
      <c r="AN1093" s="11"/>
      <c r="AO1093" s="11"/>
      <c r="AP1093" s="11"/>
      <c r="AQ1093" s="11"/>
    </row>
    <row r="1094" spans="1:43" x14ac:dyDescent="0.25">
      <c r="A1094" s="44" t="str">
        <f t="shared" si="20"/>
        <v>MISSIONARY_RENAISSANCE_AMER</v>
      </c>
      <c r="B1094" s="9" t="s">
        <v>768</v>
      </c>
      <c r="C1094" s="4" t="s">
        <v>697</v>
      </c>
      <c r="E1094" s="4" t="s">
        <v>1965</v>
      </c>
      <c r="F1094" s="4" t="s">
        <v>1965</v>
      </c>
      <c r="H1094" s="4" t="s">
        <v>466</v>
      </c>
      <c r="I1094" s="4" t="s">
        <v>957</v>
      </c>
      <c r="J1094" s="11">
        <v>0</v>
      </c>
      <c r="Q1094" s="11">
        <v>3</v>
      </c>
      <c r="AF1094" s="11">
        <v>2</v>
      </c>
      <c r="AL1094" s="11"/>
      <c r="AM1094" s="11"/>
      <c r="AN1094" s="11"/>
      <c r="AO1094" s="11"/>
      <c r="AP1094" s="11"/>
      <c r="AQ1094" s="11"/>
    </row>
    <row r="1095" spans="1:43" x14ac:dyDescent="0.25">
      <c r="A1095" s="44" t="str">
        <f t="shared" si="20"/>
        <v>MISSIONARY_RENAISSANCE_ASIA</v>
      </c>
      <c r="B1095" s="9" t="s">
        <v>768</v>
      </c>
      <c r="C1095" s="4" t="s">
        <v>693</v>
      </c>
      <c r="E1095" s="4" t="s">
        <v>1965</v>
      </c>
      <c r="F1095" s="4" t="s">
        <v>1965</v>
      </c>
      <c r="H1095" s="4" t="s">
        <v>832</v>
      </c>
      <c r="I1095" s="4" t="s">
        <v>963</v>
      </c>
      <c r="J1095" s="11">
        <v>0</v>
      </c>
      <c r="Q1095" s="11">
        <v>1</v>
      </c>
      <c r="Z1095" s="11">
        <v>1</v>
      </c>
      <c r="AF1095" s="11">
        <v>1</v>
      </c>
      <c r="AL1095" s="11"/>
      <c r="AM1095" s="11"/>
      <c r="AN1095" s="11"/>
      <c r="AO1095" s="11"/>
      <c r="AP1095" s="11"/>
      <c r="AQ1095" s="11"/>
    </row>
    <row r="1096" spans="1:43" x14ac:dyDescent="0.25">
      <c r="A1096" s="44" t="str">
        <f t="shared" si="20"/>
        <v>MISSIONARY_RENAISSANCE_ASIA</v>
      </c>
      <c r="B1096" s="9" t="s">
        <v>768</v>
      </c>
      <c r="C1096" s="4" t="s">
        <v>693</v>
      </c>
      <c r="E1096" s="4" t="s">
        <v>1965</v>
      </c>
      <c r="F1096" s="4" t="s">
        <v>1965</v>
      </c>
      <c r="G1096" s="4" t="s">
        <v>2032</v>
      </c>
      <c r="H1096" s="4" t="s">
        <v>833</v>
      </c>
      <c r="I1096" s="4" t="s">
        <v>963</v>
      </c>
      <c r="J1096" s="11">
        <v>0</v>
      </c>
      <c r="Q1096" s="11">
        <v>1</v>
      </c>
      <c r="Z1096" s="11">
        <v>0</v>
      </c>
      <c r="AF1096" s="11">
        <v>1</v>
      </c>
      <c r="AL1096" s="11"/>
      <c r="AM1096" s="11"/>
      <c r="AN1096" s="11"/>
      <c r="AO1096" s="11"/>
      <c r="AP1096" s="11"/>
      <c r="AQ1096" s="11"/>
    </row>
    <row r="1097" spans="1:43" x14ac:dyDescent="0.25">
      <c r="A1097" s="44" t="str">
        <f t="shared" si="20"/>
        <v>MISSIONARY_RENAISSANCE_ASIA</v>
      </c>
      <c r="B1097" s="9" t="s">
        <v>768</v>
      </c>
      <c r="C1097" s="4" t="s">
        <v>693</v>
      </c>
      <c r="E1097" s="4" t="s">
        <v>1965</v>
      </c>
      <c r="F1097" s="4" t="s">
        <v>1965</v>
      </c>
      <c r="G1097" s="4" t="s">
        <v>2033</v>
      </c>
      <c r="H1097" s="4" t="s">
        <v>253</v>
      </c>
      <c r="I1097" s="4" t="s">
        <v>963</v>
      </c>
      <c r="J1097" s="11">
        <v>0</v>
      </c>
      <c r="Q1097" s="9">
        <v>1</v>
      </c>
      <c r="Z1097" s="11">
        <v>0</v>
      </c>
      <c r="AF1097" s="9">
        <v>0</v>
      </c>
      <c r="AL1097" s="11"/>
      <c r="AM1097" s="11"/>
      <c r="AN1097" s="11"/>
      <c r="AO1097" s="11"/>
      <c r="AP1097" s="11"/>
      <c r="AQ1097" s="11"/>
    </row>
    <row r="1098" spans="1:43" x14ac:dyDescent="0.25">
      <c r="A1098" s="44" t="str">
        <f t="shared" si="20"/>
        <v>MISSIONARY_RENAISSANCE_CENTAS</v>
      </c>
      <c r="B1098" s="9" t="s">
        <v>768</v>
      </c>
      <c r="C1098" s="4" t="s">
        <v>918</v>
      </c>
      <c r="D1098" s="4" t="s">
        <v>690</v>
      </c>
      <c r="E1098" s="4" t="s">
        <v>1965</v>
      </c>
      <c r="F1098" s="4" t="s">
        <v>1965</v>
      </c>
      <c r="J1098" s="11">
        <v>0</v>
      </c>
      <c r="Q1098" s="9"/>
      <c r="AF1098" s="9"/>
      <c r="AL1098" s="11"/>
      <c r="AM1098" s="11"/>
      <c r="AN1098" s="11"/>
      <c r="AO1098" s="11"/>
      <c r="AP1098" s="11"/>
      <c r="AQ1098" s="11"/>
    </row>
    <row r="1099" spans="1:43" x14ac:dyDescent="0.25">
      <c r="A1099" s="44" t="str">
        <f t="shared" si="20"/>
        <v>MISSIONARY_RENAISSANCE_MIDEAST</v>
      </c>
      <c r="B1099" s="9" t="s">
        <v>768</v>
      </c>
      <c r="C1099" s="4" t="s">
        <v>690</v>
      </c>
      <c r="E1099" s="4" t="s">
        <v>1965</v>
      </c>
      <c r="F1099" s="4" t="s">
        <v>1965</v>
      </c>
      <c r="H1099" s="4" t="s">
        <v>2803</v>
      </c>
      <c r="I1099" s="4" t="s">
        <v>1809</v>
      </c>
      <c r="J1099" s="11">
        <v>0</v>
      </c>
      <c r="Q1099" s="9">
        <v>3</v>
      </c>
      <c r="AF1099" s="9"/>
      <c r="AL1099" s="11"/>
      <c r="AM1099" s="11"/>
      <c r="AN1099" s="11"/>
      <c r="AO1099" s="11"/>
      <c r="AP1099" s="11"/>
      <c r="AQ1099" s="11"/>
    </row>
    <row r="1100" spans="1:43" x14ac:dyDescent="0.25">
      <c r="A1100" s="44" t="str">
        <f t="shared" si="20"/>
        <v>MISSIONARY_RENAISSANCE_NORTHAF</v>
      </c>
      <c r="B1100" s="9" t="s">
        <v>768</v>
      </c>
      <c r="C1100" s="4" t="s">
        <v>2003</v>
      </c>
      <c r="E1100" s="4" t="s">
        <v>1965</v>
      </c>
      <c r="F1100" s="4" t="s">
        <v>1965</v>
      </c>
      <c r="H1100" s="4" t="s">
        <v>2810</v>
      </c>
      <c r="I1100" s="4" t="s">
        <v>2811</v>
      </c>
      <c r="J1100" s="11">
        <v>0</v>
      </c>
      <c r="Q1100" s="9">
        <v>3</v>
      </c>
      <c r="AF1100" s="9"/>
      <c r="AL1100" s="11"/>
      <c r="AM1100" s="11"/>
      <c r="AN1100" s="11"/>
      <c r="AO1100" s="11"/>
      <c r="AP1100" s="11"/>
      <c r="AQ1100" s="11"/>
    </row>
    <row r="1101" spans="1:43" x14ac:dyDescent="0.25">
      <c r="A1101" s="44" t="str">
        <f t="shared" si="20"/>
        <v>MISSIONARY_RENAISSANCE_OCEAN</v>
      </c>
      <c r="B1101" s="9" t="s">
        <v>768</v>
      </c>
      <c r="C1101" s="4" t="s">
        <v>994</v>
      </c>
      <c r="D1101" s="4" t="s">
        <v>691</v>
      </c>
      <c r="E1101" s="4" t="s">
        <v>1965</v>
      </c>
      <c r="F1101" s="4" t="s">
        <v>1965</v>
      </c>
      <c r="J1101" s="11">
        <v>0</v>
      </c>
      <c r="AL1101" s="11"/>
      <c r="AM1101" s="11"/>
      <c r="AN1101" s="11"/>
      <c r="AO1101" s="11"/>
      <c r="AP1101" s="11"/>
      <c r="AQ1101" s="11"/>
    </row>
    <row r="1102" spans="1:43" x14ac:dyDescent="0.25">
      <c r="A1102" s="44" t="str">
        <f t="shared" si="20"/>
        <v>MISSIONARY_RENAISSANCE_SEASIA</v>
      </c>
      <c r="B1102" s="9" t="s">
        <v>768</v>
      </c>
      <c r="C1102" s="4" t="s">
        <v>696</v>
      </c>
      <c r="D1102" s="4" t="s">
        <v>693</v>
      </c>
      <c r="E1102" s="4" t="s">
        <v>1965</v>
      </c>
      <c r="F1102" s="4" t="s">
        <v>1965</v>
      </c>
      <c r="J1102" s="11">
        <v>0</v>
      </c>
      <c r="AL1102" s="11"/>
      <c r="AM1102" s="11"/>
      <c r="AN1102" s="11"/>
      <c r="AO1102" s="11"/>
      <c r="AP1102" s="11"/>
      <c r="AQ1102" s="11"/>
    </row>
    <row r="1103" spans="1:43" x14ac:dyDescent="0.25">
      <c r="A1103" s="44" t="str">
        <f t="shared" si="20"/>
        <v>MISSIONARY_RENAISSANCE_SOUTHAM</v>
      </c>
      <c r="B1103" s="9" t="s">
        <v>768</v>
      </c>
      <c r="C1103" s="4" t="s">
        <v>691</v>
      </c>
      <c r="E1103" s="4" t="s">
        <v>1965</v>
      </c>
      <c r="F1103" s="4" t="s">
        <v>1965</v>
      </c>
      <c r="H1103" s="4" t="s">
        <v>1799</v>
      </c>
      <c r="I1103" s="4" t="s">
        <v>963</v>
      </c>
      <c r="J1103" s="11">
        <v>0</v>
      </c>
      <c r="Q1103" s="11">
        <v>3</v>
      </c>
      <c r="AL1103" s="11"/>
      <c r="AM1103" s="11"/>
      <c r="AN1103" s="11"/>
      <c r="AO1103" s="11"/>
      <c r="AP1103" s="11"/>
      <c r="AQ1103" s="11"/>
    </row>
    <row r="1104" spans="1:43" x14ac:dyDescent="0.25">
      <c r="A1104" s="44" t="str">
        <f t="shared" si="20"/>
        <v>MISSIONARY_RENAISSANCE_SOUTHAS</v>
      </c>
      <c r="B1104" s="9" t="s">
        <v>768</v>
      </c>
      <c r="C1104" s="4" t="s">
        <v>695</v>
      </c>
      <c r="E1104" s="4" t="s">
        <v>1965</v>
      </c>
      <c r="F1104" s="4" t="s">
        <v>1965</v>
      </c>
      <c r="H1104" s="4" t="s">
        <v>2804</v>
      </c>
      <c r="I1104" s="4" t="s">
        <v>1809</v>
      </c>
      <c r="J1104" s="11">
        <v>0</v>
      </c>
      <c r="Q1104" s="11">
        <v>3</v>
      </c>
      <c r="AL1104" s="11"/>
      <c r="AM1104" s="11"/>
      <c r="AN1104" s="11"/>
      <c r="AO1104" s="11"/>
      <c r="AP1104" s="11"/>
      <c r="AQ1104" s="11"/>
    </row>
    <row r="1105" spans="1:43" x14ac:dyDescent="0.25">
      <c r="A1105" s="44" t="str">
        <f t="shared" si="19"/>
        <v>MOBILE_SAM</v>
      </c>
      <c r="B1105" s="9" t="s">
        <v>769</v>
      </c>
      <c r="C1105" s="5"/>
      <c r="D1105" s="5"/>
      <c r="E1105" s="5" t="s">
        <v>769</v>
      </c>
      <c r="F1105" s="5" t="s">
        <v>797</v>
      </c>
      <c r="G1105" s="5"/>
      <c r="H1105" s="5" t="s">
        <v>1492</v>
      </c>
      <c r="I1105" s="5" t="s">
        <v>128</v>
      </c>
      <c r="J1105" s="6"/>
      <c r="K1105" s="6"/>
      <c r="L1105" s="13" t="s">
        <v>1706</v>
      </c>
      <c r="M1105" s="8"/>
      <c r="N1105" s="5"/>
      <c r="O1105" s="5"/>
      <c r="P1105" s="5"/>
      <c r="Q1105" s="7">
        <v>3</v>
      </c>
      <c r="R1105" s="6">
        <v>0.11</v>
      </c>
      <c r="S1105" s="13" t="s">
        <v>1620</v>
      </c>
      <c r="T1105" s="6"/>
      <c r="U1105" s="6"/>
      <c r="V1105" s="5"/>
      <c r="W1105" s="6" t="s">
        <v>3</v>
      </c>
      <c r="X1105" s="6" t="s">
        <v>3</v>
      </c>
      <c r="Y1105" s="5"/>
      <c r="Z1105" s="6">
        <v>1</v>
      </c>
      <c r="AA1105" s="6"/>
      <c r="AB1105" s="5"/>
      <c r="AC1105" s="6"/>
      <c r="AD1105" s="6" t="s">
        <v>3</v>
      </c>
      <c r="AE1105" s="5"/>
      <c r="AF1105" s="6"/>
      <c r="AG1105" s="6"/>
      <c r="AH1105" s="5"/>
      <c r="AI1105" s="6"/>
      <c r="AJ1105" s="6"/>
      <c r="AK1105" s="5"/>
      <c r="AL1105" s="6"/>
      <c r="AM1105" s="6"/>
      <c r="AN1105" s="6"/>
      <c r="AO1105" s="6"/>
      <c r="AP1105" s="6"/>
      <c r="AQ1105" s="6"/>
    </row>
    <row r="1106" spans="1:43" x14ac:dyDescent="0.25">
      <c r="A1106" s="44" t="str">
        <f t="shared" si="19"/>
        <v>MOBILE_SAM_FRANCE</v>
      </c>
      <c r="B1106" s="9" t="s">
        <v>769</v>
      </c>
      <c r="C1106" s="4" t="s">
        <v>715</v>
      </c>
      <c r="E1106" s="4" t="s">
        <v>769</v>
      </c>
      <c r="F1106" s="4" t="s">
        <v>797</v>
      </c>
      <c r="G1106" s="14" t="s">
        <v>132</v>
      </c>
      <c r="H1106" s="4" t="s">
        <v>351</v>
      </c>
      <c r="I1106" s="4" t="s">
        <v>120</v>
      </c>
      <c r="R1106" s="11">
        <v>0.12</v>
      </c>
      <c r="AL1106" s="11"/>
      <c r="AM1106" s="11"/>
      <c r="AN1106" s="11"/>
      <c r="AO1106" s="11"/>
      <c r="AP1106" s="11"/>
      <c r="AQ1106" s="11"/>
    </row>
    <row r="1107" spans="1:43" x14ac:dyDescent="0.25">
      <c r="A1107" s="44" t="str">
        <f t="shared" si="19"/>
        <v>MOBILE_SAM_GERMANY</v>
      </c>
      <c r="B1107" s="9" t="s">
        <v>769</v>
      </c>
      <c r="C1107" s="4" t="s">
        <v>717</v>
      </c>
      <c r="D1107" s="4" t="s">
        <v>715</v>
      </c>
      <c r="E1107" s="4" t="s">
        <v>769</v>
      </c>
      <c r="F1107" s="4" t="s">
        <v>797</v>
      </c>
      <c r="G1107" s="14"/>
      <c r="AL1107" s="11"/>
      <c r="AM1107" s="11"/>
      <c r="AN1107" s="11"/>
      <c r="AO1107" s="11"/>
      <c r="AP1107" s="11"/>
      <c r="AQ1107" s="11"/>
    </row>
    <row r="1108" spans="1:43" x14ac:dyDescent="0.25">
      <c r="A1108" s="44" t="str">
        <f t="shared" si="19"/>
        <v>MOBILE_SAM_SPAIN</v>
      </c>
      <c r="B1108" s="9" t="s">
        <v>769</v>
      </c>
      <c r="C1108" s="4" t="s">
        <v>738</v>
      </c>
      <c r="E1108" s="4" t="s">
        <v>769</v>
      </c>
      <c r="F1108" s="4" t="s">
        <v>797</v>
      </c>
      <c r="G1108" s="14" t="s">
        <v>132</v>
      </c>
      <c r="H1108" s="4" t="s">
        <v>658</v>
      </c>
      <c r="I1108" s="4" t="s">
        <v>120</v>
      </c>
      <c r="R1108" s="11">
        <v>0.12</v>
      </c>
      <c r="AL1108" s="11"/>
      <c r="AM1108" s="11"/>
      <c r="AN1108" s="11"/>
      <c r="AO1108" s="11"/>
      <c r="AP1108" s="11"/>
      <c r="AQ1108" s="11"/>
    </row>
    <row r="1109" spans="1:43" x14ac:dyDescent="0.25">
      <c r="A1109" s="44" t="str">
        <f t="shared" si="19"/>
        <v>MOBILE_SAM_MIDEAST</v>
      </c>
      <c r="B1109" s="9" t="s">
        <v>769</v>
      </c>
      <c r="C1109" s="4" t="s">
        <v>690</v>
      </c>
      <c r="E1109" s="4" t="s">
        <v>769</v>
      </c>
      <c r="F1109" s="4" t="s">
        <v>797</v>
      </c>
      <c r="H1109" s="4" t="s">
        <v>166</v>
      </c>
      <c r="I1109" s="4" t="s">
        <v>120</v>
      </c>
      <c r="R1109" s="11">
        <v>0.12</v>
      </c>
      <c r="AL1109" s="11"/>
      <c r="AM1109" s="11"/>
      <c r="AN1109" s="11"/>
      <c r="AO1109" s="11"/>
      <c r="AP1109" s="11"/>
      <c r="AQ1109" s="11"/>
    </row>
    <row r="1110" spans="1:43" x14ac:dyDescent="0.25">
      <c r="A1110" s="44" t="str">
        <f t="shared" si="19"/>
        <v>MOBILE_SAM_NORTHAF</v>
      </c>
      <c r="B1110" s="9" t="s">
        <v>769</v>
      </c>
      <c r="C1110" s="4" t="s">
        <v>2003</v>
      </c>
      <c r="D1110" s="4" t="s">
        <v>715</v>
      </c>
      <c r="E1110" s="4" t="s">
        <v>769</v>
      </c>
      <c r="F1110" s="4" t="s">
        <v>797</v>
      </c>
      <c r="AL1110" s="11"/>
      <c r="AM1110" s="11"/>
      <c r="AN1110" s="11"/>
      <c r="AO1110" s="11"/>
      <c r="AP1110" s="11"/>
      <c r="AQ1110" s="11"/>
    </row>
    <row r="1111" spans="1:43" x14ac:dyDescent="0.25">
      <c r="A1111" s="44" t="str">
        <f t="shared" si="19"/>
        <v>MOBILE_SAM_SEASIA</v>
      </c>
      <c r="B1111" s="9" t="s">
        <v>769</v>
      </c>
      <c r="C1111" s="4" t="s">
        <v>696</v>
      </c>
      <c r="D1111" s="4" t="s">
        <v>715</v>
      </c>
      <c r="E1111" s="4" t="s">
        <v>769</v>
      </c>
      <c r="F1111" s="4" t="s">
        <v>797</v>
      </c>
      <c r="AL1111" s="11"/>
      <c r="AM1111" s="11"/>
      <c r="AN1111" s="11"/>
      <c r="AO1111" s="11"/>
      <c r="AP1111" s="11"/>
      <c r="AQ1111" s="11"/>
    </row>
    <row r="1112" spans="1:43" x14ac:dyDescent="0.25">
      <c r="A1112" s="44" t="str">
        <f t="shared" si="19"/>
        <v>MOBILE_SAM_SOUTHAM</v>
      </c>
      <c r="B1112" s="9" t="s">
        <v>769</v>
      </c>
      <c r="C1112" s="4" t="s">
        <v>691</v>
      </c>
      <c r="D1112" s="4" t="s">
        <v>738</v>
      </c>
      <c r="E1112" s="4" t="s">
        <v>769</v>
      </c>
      <c r="F1112" s="4" t="s">
        <v>797</v>
      </c>
      <c r="AL1112" s="11"/>
      <c r="AM1112" s="11"/>
      <c r="AN1112" s="11"/>
      <c r="AO1112" s="11"/>
      <c r="AP1112" s="11"/>
      <c r="AQ1112" s="11"/>
    </row>
    <row r="1113" spans="1:43" x14ac:dyDescent="0.25">
      <c r="A1113" s="44" t="str">
        <f t="shared" si="19"/>
        <v>MOBILE_SAM_SOUTHAS</v>
      </c>
      <c r="B1113" s="9" t="s">
        <v>769</v>
      </c>
      <c r="C1113" s="4" t="s">
        <v>695</v>
      </c>
      <c r="D1113" s="4" t="s">
        <v>690</v>
      </c>
      <c r="E1113" s="4" t="s">
        <v>769</v>
      </c>
      <c r="F1113" s="4" t="s">
        <v>797</v>
      </c>
      <c r="AL1113" s="11"/>
      <c r="AM1113" s="11"/>
      <c r="AN1113" s="11"/>
      <c r="AO1113" s="11"/>
      <c r="AP1113" s="11"/>
      <c r="AQ1113" s="11"/>
    </row>
    <row r="1114" spans="1:43" x14ac:dyDescent="0.25">
      <c r="A1114" s="44" t="str">
        <f t="shared" si="19"/>
        <v>MODERN_ARMOR</v>
      </c>
      <c r="B1114" s="9" t="s">
        <v>121</v>
      </c>
      <c r="C1114" s="5"/>
      <c r="D1114" s="5"/>
      <c r="E1114" s="5" t="s">
        <v>121</v>
      </c>
      <c r="F1114" s="5" t="s">
        <v>798</v>
      </c>
      <c r="G1114" s="5"/>
      <c r="H1114" s="5" t="s">
        <v>1493</v>
      </c>
      <c r="I1114" s="5" t="s">
        <v>128</v>
      </c>
      <c r="J1114" s="6"/>
      <c r="K1114" s="6"/>
      <c r="L1114" s="13" t="s">
        <v>1706</v>
      </c>
      <c r="M1114" s="8"/>
      <c r="N1114" s="5"/>
      <c r="O1114" s="5"/>
      <c r="P1114" s="5"/>
      <c r="Q1114" s="7">
        <v>3</v>
      </c>
      <c r="R1114" s="6">
        <v>0.1</v>
      </c>
      <c r="S1114" s="13" t="s">
        <v>1620</v>
      </c>
      <c r="T1114" s="6"/>
      <c r="U1114" s="6"/>
      <c r="V1114" s="5"/>
      <c r="W1114" s="6" t="s">
        <v>3</v>
      </c>
      <c r="X1114" s="6" t="s">
        <v>3</v>
      </c>
      <c r="Y1114" s="5"/>
      <c r="Z1114" s="7">
        <v>1</v>
      </c>
      <c r="AA1114" s="6"/>
      <c r="AB1114" s="5"/>
      <c r="AC1114" s="6"/>
      <c r="AD1114" s="6" t="s">
        <v>3</v>
      </c>
      <c r="AE1114" s="5"/>
      <c r="AF1114" s="6"/>
      <c r="AG1114" s="6"/>
      <c r="AH1114" s="5"/>
      <c r="AI1114" s="6"/>
      <c r="AJ1114" s="6"/>
      <c r="AK1114" s="5"/>
      <c r="AL1114" s="6"/>
      <c r="AM1114" s="6"/>
      <c r="AN1114" s="6"/>
      <c r="AO1114" s="6"/>
      <c r="AP1114" s="6"/>
      <c r="AQ1114" s="6"/>
    </row>
    <row r="1115" spans="1:43" x14ac:dyDescent="0.25">
      <c r="A1115" s="44" t="str">
        <f t="shared" si="19"/>
        <v>MODERN_ARMOR_AFRI</v>
      </c>
      <c r="B1115" s="9" t="s">
        <v>121</v>
      </c>
      <c r="C1115" s="4" t="s">
        <v>694</v>
      </c>
      <c r="E1115" s="4" t="s">
        <v>121</v>
      </c>
      <c r="F1115" s="4" t="s">
        <v>798</v>
      </c>
      <c r="H1115" s="4" t="s">
        <v>684</v>
      </c>
      <c r="I1115" s="4" t="s">
        <v>131</v>
      </c>
      <c r="AL1115" s="11"/>
      <c r="AM1115" s="11"/>
      <c r="AN1115" s="11"/>
      <c r="AO1115" s="11"/>
      <c r="AP1115" s="11"/>
      <c r="AQ1115" s="11"/>
    </row>
    <row r="1116" spans="1:43" x14ac:dyDescent="0.25">
      <c r="A1116" s="44" t="str">
        <f t="shared" si="19"/>
        <v>MODERN_ARMOR_ETHIOPIA</v>
      </c>
      <c r="B1116" s="9" t="s">
        <v>121</v>
      </c>
      <c r="C1116" s="4" t="s">
        <v>714</v>
      </c>
      <c r="E1116" s="4" t="s">
        <v>121</v>
      </c>
      <c r="F1116" s="4" t="s">
        <v>798</v>
      </c>
      <c r="G1116" s="14" t="s">
        <v>132</v>
      </c>
      <c r="H1116" s="4" t="s">
        <v>327</v>
      </c>
      <c r="I1116" s="4" t="s">
        <v>131</v>
      </c>
      <c r="AL1116" s="11"/>
      <c r="AM1116" s="11"/>
      <c r="AN1116" s="11"/>
      <c r="AO1116" s="11"/>
      <c r="AP1116" s="11"/>
      <c r="AQ1116" s="11"/>
    </row>
    <row r="1117" spans="1:43" x14ac:dyDescent="0.25">
      <c r="A1117" s="44" t="str">
        <f t="shared" si="19"/>
        <v>MODERN_ARMOR_SONGHAI</v>
      </c>
      <c r="B1117" s="9" t="s">
        <v>121</v>
      </c>
      <c r="C1117" s="4" t="s">
        <v>737</v>
      </c>
      <c r="E1117" s="4" t="s">
        <v>121</v>
      </c>
      <c r="F1117" s="4" t="s">
        <v>798</v>
      </c>
      <c r="G1117" s="14" t="s">
        <v>132</v>
      </c>
      <c r="H1117" s="4" t="s">
        <v>642</v>
      </c>
      <c r="I1117" s="4" t="s">
        <v>131</v>
      </c>
      <c r="AL1117" s="11"/>
      <c r="AM1117" s="11"/>
      <c r="AN1117" s="11"/>
      <c r="AO1117" s="11"/>
      <c r="AP1117" s="11"/>
      <c r="AQ1117" s="11"/>
    </row>
    <row r="1118" spans="1:43" x14ac:dyDescent="0.25">
      <c r="A1118" s="44" t="str">
        <f t="shared" si="19"/>
        <v>MODERN_ARMOR_ZULU</v>
      </c>
      <c r="B1118" s="9" t="s">
        <v>121</v>
      </c>
      <c r="C1118" s="4" t="s">
        <v>742</v>
      </c>
      <c r="D1118" s="4" t="s">
        <v>713</v>
      </c>
      <c r="E1118" s="4" t="s">
        <v>121</v>
      </c>
      <c r="F1118" s="4" t="s">
        <v>798</v>
      </c>
      <c r="G1118" s="14"/>
      <c r="AL1118" s="11"/>
      <c r="AM1118" s="11"/>
      <c r="AN1118" s="11"/>
      <c r="AO1118" s="11"/>
      <c r="AP1118" s="11"/>
      <c r="AQ1118" s="11"/>
    </row>
    <row r="1119" spans="1:43" x14ac:dyDescent="0.25">
      <c r="A1119" s="44" t="str">
        <f t="shared" si="19"/>
        <v>MODERN_ARMOR_AMER</v>
      </c>
      <c r="B1119" s="9" t="s">
        <v>121</v>
      </c>
      <c r="C1119" s="4" t="s">
        <v>697</v>
      </c>
      <c r="D1119" s="4" t="s">
        <v>699</v>
      </c>
      <c r="E1119" s="4" t="s">
        <v>121</v>
      </c>
      <c r="F1119" s="4" t="s">
        <v>798</v>
      </c>
      <c r="G1119" s="14"/>
      <c r="AL1119" s="11"/>
      <c r="AM1119" s="11"/>
      <c r="AN1119" s="11"/>
      <c r="AO1119" s="11"/>
      <c r="AP1119" s="11"/>
      <c r="AQ1119" s="11"/>
    </row>
    <row r="1120" spans="1:43" x14ac:dyDescent="0.25">
      <c r="A1120" s="44" t="str">
        <f t="shared" si="19"/>
        <v>MODERN_ARMOR_ASIA</v>
      </c>
      <c r="B1120" s="9" t="s">
        <v>121</v>
      </c>
      <c r="C1120" s="4" t="s">
        <v>693</v>
      </c>
      <c r="D1120" s="4" t="s">
        <v>698</v>
      </c>
      <c r="E1120" s="4" t="s">
        <v>121</v>
      </c>
      <c r="F1120" s="4" t="s">
        <v>798</v>
      </c>
      <c r="AL1120" s="11"/>
      <c r="AM1120" s="11"/>
      <c r="AN1120" s="11"/>
      <c r="AO1120" s="11"/>
      <c r="AP1120" s="11"/>
      <c r="AQ1120" s="11"/>
    </row>
    <row r="1121" spans="1:43" x14ac:dyDescent="0.25">
      <c r="A1121" s="44" t="str">
        <f t="shared" si="19"/>
        <v>MODERN_ARMOR_CHINA</v>
      </c>
      <c r="B1121" s="9" t="s">
        <v>121</v>
      </c>
      <c r="C1121" s="4" t="s">
        <v>710</v>
      </c>
      <c r="E1121" s="4" t="s">
        <v>121</v>
      </c>
      <c r="F1121" s="4" t="s">
        <v>798</v>
      </c>
      <c r="G1121" s="14" t="s">
        <v>132</v>
      </c>
      <c r="H1121" s="4" t="s">
        <v>254</v>
      </c>
      <c r="I1121" s="4" t="s">
        <v>131</v>
      </c>
      <c r="AL1121" s="11"/>
      <c r="AM1121" s="11"/>
      <c r="AN1121" s="11"/>
      <c r="AO1121" s="11"/>
      <c r="AP1121" s="11"/>
      <c r="AQ1121" s="11"/>
    </row>
    <row r="1122" spans="1:43" x14ac:dyDescent="0.25">
      <c r="A1122" s="44" t="str">
        <f t="shared" si="19"/>
        <v>MODERN_ARMOR_MONGOL</v>
      </c>
      <c r="B1122" s="9" t="s">
        <v>121</v>
      </c>
      <c r="C1122" s="4" t="s">
        <v>728</v>
      </c>
      <c r="E1122" s="4" t="s">
        <v>121</v>
      </c>
      <c r="F1122" s="4" t="s">
        <v>798</v>
      </c>
      <c r="G1122" s="14" t="s">
        <v>132</v>
      </c>
      <c r="H1122" s="4" t="s">
        <v>532</v>
      </c>
      <c r="I1122" s="4" t="s">
        <v>131</v>
      </c>
      <c r="AL1122" s="11"/>
      <c r="AM1122" s="11"/>
      <c r="AN1122" s="11"/>
      <c r="AO1122" s="11"/>
      <c r="AP1122" s="11"/>
      <c r="AQ1122" s="11"/>
    </row>
    <row r="1123" spans="1:43" x14ac:dyDescent="0.25">
      <c r="A1123" s="44" t="str">
        <f t="shared" si="19"/>
        <v>MODERN_ARMOR_CENTAS</v>
      </c>
      <c r="B1123" s="9" t="s">
        <v>121</v>
      </c>
      <c r="C1123" s="4" t="s">
        <v>918</v>
      </c>
      <c r="D1123" s="4" t="s">
        <v>698</v>
      </c>
      <c r="E1123" s="4" t="s">
        <v>121</v>
      </c>
      <c r="F1123" s="4" t="s">
        <v>798</v>
      </c>
      <c r="G1123" s="14" t="s">
        <v>132</v>
      </c>
      <c r="AL1123" s="11"/>
      <c r="AM1123" s="11"/>
      <c r="AN1123" s="11"/>
      <c r="AO1123" s="11"/>
      <c r="AP1123" s="11"/>
      <c r="AQ1123" s="11"/>
    </row>
    <row r="1124" spans="1:43" x14ac:dyDescent="0.25">
      <c r="A1124" s="44" t="str">
        <f t="shared" si="19"/>
        <v>MODERN_ARMOR_OTTOMAN</v>
      </c>
      <c r="B1124" s="9" t="s">
        <v>121</v>
      </c>
      <c r="C1124" s="4" t="s">
        <v>1037</v>
      </c>
      <c r="E1124" s="4" t="s">
        <v>121</v>
      </c>
      <c r="F1124" s="4" t="s">
        <v>798</v>
      </c>
      <c r="G1124" s="14" t="s">
        <v>132</v>
      </c>
      <c r="H1124" s="4" t="s">
        <v>1040</v>
      </c>
      <c r="I1124" s="4" t="s">
        <v>120</v>
      </c>
      <c r="AL1124" s="11"/>
      <c r="AM1124" s="11"/>
      <c r="AN1124" s="11"/>
      <c r="AO1124" s="11"/>
      <c r="AP1124" s="11"/>
      <c r="AQ1124" s="11"/>
    </row>
    <row r="1125" spans="1:43" x14ac:dyDescent="0.25">
      <c r="A1125" s="44" t="str">
        <f t="shared" si="19"/>
        <v>MODERN_ARMOR_EASTEU</v>
      </c>
      <c r="B1125" s="9" t="s">
        <v>121</v>
      </c>
      <c r="C1125" s="4" t="s">
        <v>698</v>
      </c>
      <c r="E1125" s="4" t="s">
        <v>121</v>
      </c>
      <c r="F1125" s="4" t="s">
        <v>798</v>
      </c>
      <c r="H1125" s="4" t="s">
        <v>451</v>
      </c>
      <c r="I1125" s="4" t="s">
        <v>1928</v>
      </c>
      <c r="R1125" s="11">
        <v>9.5000000000000001E-2</v>
      </c>
      <c r="AL1125" s="11"/>
      <c r="AM1125" s="11"/>
      <c r="AN1125" s="11"/>
      <c r="AO1125" s="11"/>
      <c r="AP1125" s="11"/>
      <c r="AQ1125" s="11"/>
    </row>
    <row r="1126" spans="1:43" x14ac:dyDescent="0.25">
      <c r="A1126" s="44" t="str">
        <f t="shared" si="19"/>
        <v>MODERN_ARMOR_RUSSIA</v>
      </c>
      <c r="B1126" s="9" t="s">
        <v>121</v>
      </c>
      <c r="C1126" s="4" t="s">
        <v>735</v>
      </c>
      <c r="E1126" s="4" t="s">
        <v>121</v>
      </c>
      <c r="F1126" s="4" t="s">
        <v>798</v>
      </c>
      <c r="G1126" s="14" t="s">
        <v>132</v>
      </c>
      <c r="H1126" s="4" t="s">
        <v>619</v>
      </c>
      <c r="I1126" s="4" t="s">
        <v>1061</v>
      </c>
      <c r="AL1126" s="11"/>
      <c r="AM1126" s="11"/>
      <c r="AN1126" s="11"/>
      <c r="AO1126" s="11"/>
      <c r="AP1126" s="11"/>
      <c r="AQ1126" s="11"/>
    </row>
    <row r="1127" spans="1:43" x14ac:dyDescent="0.25">
      <c r="A1127" s="44" t="str">
        <f t="shared" si="19"/>
        <v>MODERN_ARMOR_AMERICA</v>
      </c>
      <c r="B1127" s="9" t="s">
        <v>121</v>
      </c>
      <c r="C1127" s="4" t="s">
        <v>699</v>
      </c>
      <c r="E1127" s="4" t="s">
        <v>121</v>
      </c>
      <c r="F1127" s="4" t="s">
        <v>798</v>
      </c>
      <c r="G1127" s="14"/>
      <c r="H1127" s="4" t="s">
        <v>144</v>
      </c>
      <c r="I1127" s="4" t="s">
        <v>124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44" t="str">
        <f t="shared" si="19"/>
        <v>MODERN_ARMOR_AUSTRALIA</v>
      </c>
      <c r="B1128" s="9" t="s">
        <v>121</v>
      </c>
      <c r="C1128" s="4" t="s">
        <v>1300</v>
      </c>
      <c r="D1128" s="4" t="s">
        <v>713</v>
      </c>
      <c r="E1128" s="4" t="s">
        <v>121</v>
      </c>
      <c r="F1128" s="4" t="s">
        <v>798</v>
      </c>
      <c r="G1128" s="14"/>
      <c r="AL1128" s="11"/>
      <c r="AM1128" s="11"/>
      <c r="AN1128" s="11"/>
      <c r="AO1128" s="11"/>
      <c r="AP1128" s="11"/>
      <c r="AQ1128" s="11"/>
    </row>
    <row r="1129" spans="1:43" x14ac:dyDescent="0.25">
      <c r="A1129" s="44" t="str">
        <f t="shared" si="19"/>
        <v>MODERN_ARMOR_AUSTRIA</v>
      </c>
      <c r="B1129" s="9" t="s">
        <v>121</v>
      </c>
      <c r="C1129" s="4" t="s">
        <v>701</v>
      </c>
      <c r="D1129" s="4" t="s">
        <v>717</v>
      </c>
      <c r="E1129" s="4" t="s">
        <v>121</v>
      </c>
      <c r="F1129" s="4" t="s">
        <v>798</v>
      </c>
      <c r="G1129" s="14"/>
      <c r="AL1129" s="11"/>
      <c r="AM1129" s="11"/>
      <c r="AN1129" s="11"/>
      <c r="AO1129" s="11"/>
      <c r="AP1129" s="11"/>
      <c r="AQ1129" s="11"/>
    </row>
    <row r="1130" spans="1:43" x14ac:dyDescent="0.25">
      <c r="A1130" s="44" t="str">
        <f t="shared" si="19"/>
        <v>MODERN_ARMOR_CANADA</v>
      </c>
      <c r="B1130" s="9" t="s">
        <v>121</v>
      </c>
      <c r="C1130" s="4" t="s">
        <v>2187</v>
      </c>
      <c r="D1130" s="4" t="s">
        <v>713</v>
      </c>
      <c r="E1130" s="4" t="s">
        <v>121</v>
      </c>
      <c r="F1130" s="4" t="s">
        <v>798</v>
      </c>
      <c r="G1130" s="14"/>
      <c r="AL1130" s="11"/>
      <c r="AM1130" s="11"/>
      <c r="AN1130" s="11"/>
      <c r="AO1130" s="11"/>
      <c r="AP1130" s="11"/>
      <c r="AQ1130" s="11"/>
    </row>
    <row r="1131" spans="1:43" x14ac:dyDescent="0.25">
      <c r="A1131" s="44" t="str">
        <f t="shared" si="19"/>
        <v>MODERN_ARMOR_CELTS</v>
      </c>
      <c r="B1131" s="9" t="s">
        <v>121</v>
      </c>
      <c r="C1131" s="4" t="s">
        <v>709</v>
      </c>
      <c r="D1131" s="4" t="s">
        <v>713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44" t="str">
        <f t="shared" si="19"/>
        <v>MODERN_ARMOR_ENGLAND</v>
      </c>
      <c r="B1132" s="9" t="s">
        <v>121</v>
      </c>
      <c r="C1132" s="4" t="s">
        <v>713</v>
      </c>
      <c r="E1132" s="4" t="s">
        <v>121</v>
      </c>
      <c r="F1132" s="4" t="s">
        <v>798</v>
      </c>
      <c r="G1132" s="14" t="s">
        <v>132</v>
      </c>
      <c r="H1132" s="4" t="s">
        <v>305</v>
      </c>
      <c r="I1132" s="4" t="s">
        <v>120</v>
      </c>
      <c r="AL1132" s="11"/>
      <c r="AM1132" s="11"/>
      <c r="AN1132" s="11"/>
      <c r="AO1132" s="11"/>
      <c r="AP1132" s="11"/>
      <c r="AQ1132" s="11"/>
    </row>
    <row r="1133" spans="1:43" x14ac:dyDescent="0.25">
      <c r="A1133" s="44" t="str">
        <f t="shared" si="19"/>
        <v>MODERN_ARMOR_FRANCE</v>
      </c>
      <c r="B1133" s="9" t="s">
        <v>121</v>
      </c>
      <c r="C1133" s="4" t="s">
        <v>715</v>
      </c>
      <c r="E1133" s="4" t="s">
        <v>121</v>
      </c>
      <c r="F1133" s="4" t="s">
        <v>798</v>
      </c>
      <c r="G1133" s="14" t="s">
        <v>132</v>
      </c>
      <c r="H1133" s="4" t="s">
        <v>352</v>
      </c>
      <c r="I1133" s="4" t="s">
        <v>1051</v>
      </c>
      <c r="R1133" s="11">
        <v>0.10299999999999999</v>
      </c>
      <c r="AL1133" s="11"/>
      <c r="AM1133" s="11"/>
      <c r="AN1133" s="11"/>
      <c r="AO1133" s="11"/>
      <c r="AP1133" s="11"/>
      <c r="AQ1133" s="11"/>
    </row>
    <row r="1134" spans="1:43" x14ac:dyDescent="0.25">
      <c r="A1134" s="44" t="str">
        <f t="shared" si="19"/>
        <v>MODERN_ARMOR_GERMANY</v>
      </c>
      <c r="B1134" s="9" t="s">
        <v>121</v>
      </c>
      <c r="C1134" s="4" t="s">
        <v>717</v>
      </c>
      <c r="E1134" s="4" t="s">
        <v>121</v>
      </c>
      <c r="F1134" s="4" t="s">
        <v>798</v>
      </c>
      <c r="G1134" s="14" t="s">
        <v>132</v>
      </c>
      <c r="H1134" s="4" t="s">
        <v>383</v>
      </c>
      <c r="I1134" s="4" t="s">
        <v>1061</v>
      </c>
      <c r="AL1134" s="11"/>
      <c r="AM1134" s="11"/>
      <c r="AN1134" s="11"/>
      <c r="AO1134" s="11"/>
      <c r="AP1134" s="11"/>
      <c r="AQ1134" s="11"/>
    </row>
    <row r="1135" spans="1:43" x14ac:dyDescent="0.25">
      <c r="A1135" s="44" t="str">
        <f t="shared" si="19"/>
        <v>MODERN_ARMOR_NETHERLANDS</v>
      </c>
      <c r="B1135" s="9" t="s">
        <v>121</v>
      </c>
      <c r="C1135" s="4" t="s">
        <v>730</v>
      </c>
      <c r="E1135" s="4" t="s">
        <v>121</v>
      </c>
      <c r="F1135" s="4" t="s">
        <v>798</v>
      </c>
      <c r="G1135" s="14" t="s">
        <v>132</v>
      </c>
      <c r="H1135" s="4" t="s">
        <v>545</v>
      </c>
      <c r="I1135" s="4" t="s">
        <v>120</v>
      </c>
      <c r="AL1135" s="11"/>
      <c r="AM1135" s="11"/>
      <c r="AN1135" s="11"/>
      <c r="AO1135" s="11"/>
      <c r="AP1135" s="11"/>
      <c r="AQ1135" s="11"/>
    </row>
    <row r="1136" spans="1:43" x14ac:dyDescent="0.25">
      <c r="A1136" s="44" t="str">
        <f t="shared" ref="A1136:A1215" si="21">CONCATENATE(E1136,IF(ISBLANK(C1136),"",CONCATENATE("_",C1136)))</f>
        <v>MODERN_ARMOR_GREECE</v>
      </c>
      <c r="B1136" s="9" t="s">
        <v>121</v>
      </c>
      <c r="C1136" s="4" t="s">
        <v>718</v>
      </c>
      <c r="E1136" s="4" t="s">
        <v>121</v>
      </c>
      <c r="F1136" s="4" t="s">
        <v>798</v>
      </c>
      <c r="G1136" s="14" t="s">
        <v>132</v>
      </c>
      <c r="H1136" s="4" t="s">
        <v>408</v>
      </c>
      <c r="I1136" s="4" t="s">
        <v>120</v>
      </c>
      <c r="R1136" s="11">
        <v>0.10299999999999999</v>
      </c>
      <c r="AL1136" s="11"/>
      <c r="AM1136" s="11"/>
      <c r="AN1136" s="11"/>
      <c r="AO1136" s="11"/>
      <c r="AP1136" s="11"/>
      <c r="AQ1136" s="11"/>
    </row>
    <row r="1137" spans="1:43" x14ac:dyDescent="0.25">
      <c r="A1137" s="44" t="str">
        <f t="shared" si="21"/>
        <v>MODERN_ARMOR_ROME</v>
      </c>
      <c r="B1137" s="9" t="s">
        <v>121</v>
      </c>
      <c r="C1137" s="4" t="s">
        <v>734</v>
      </c>
      <c r="E1137" s="4" t="s">
        <v>121</v>
      </c>
      <c r="F1137" s="4" t="s">
        <v>798</v>
      </c>
      <c r="G1137" s="14" t="s">
        <v>132</v>
      </c>
      <c r="H1137" s="4" t="s">
        <v>595</v>
      </c>
      <c r="I1137" s="4" t="s">
        <v>1069</v>
      </c>
      <c r="AL1137" s="11"/>
      <c r="AM1137" s="11"/>
      <c r="AN1137" s="11"/>
      <c r="AO1137" s="11"/>
      <c r="AP1137" s="11"/>
      <c r="AQ1137" s="11"/>
    </row>
    <row r="1138" spans="1:43" x14ac:dyDescent="0.25">
      <c r="A1138" s="44" t="str">
        <f t="shared" si="21"/>
        <v>MODERN_ARMOR_MIDEAST</v>
      </c>
      <c r="B1138" s="9" t="s">
        <v>121</v>
      </c>
      <c r="C1138" s="4" t="s">
        <v>690</v>
      </c>
      <c r="E1138" s="4" t="s">
        <v>121</v>
      </c>
      <c r="F1138" s="4" t="s">
        <v>798</v>
      </c>
      <c r="H1138" s="4" t="s">
        <v>174</v>
      </c>
      <c r="I1138" s="4" t="s">
        <v>1928</v>
      </c>
      <c r="R1138" s="11">
        <v>9.5000000000000001E-2</v>
      </c>
      <c r="AL1138" s="11"/>
      <c r="AM1138" s="11"/>
      <c r="AN1138" s="11"/>
      <c r="AO1138" s="11"/>
      <c r="AP1138" s="11"/>
      <c r="AQ1138" s="11"/>
    </row>
    <row r="1139" spans="1:43" x14ac:dyDescent="0.25">
      <c r="A1139" s="44" t="str">
        <f t="shared" si="21"/>
        <v>MODERN_ARMOR_LEVANT</v>
      </c>
      <c r="B1139" s="9" t="s">
        <v>121</v>
      </c>
      <c r="C1139" s="4" t="s">
        <v>724</v>
      </c>
      <c r="D1139" s="4" t="s">
        <v>699</v>
      </c>
      <c r="E1139" s="4" t="s">
        <v>121</v>
      </c>
      <c r="F1139" s="4" t="s">
        <v>798</v>
      </c>
      <c r="AL1139" s="11"/>
      <c r="AM1139" s="11"/>
      <c r="AN1139" s="11"/>
      <c r="AO1139" s="11"/>
      <c r="AP1139" s="11"/>
      <c r="AQ1139" s="11"/>
    </row>
    <row r="1140" spans="1:43" x14ac:dyDescent="0.25">
      <c r="A1140" s="44" t="str">
        <f t="shared" si="21"/>
        <v>MODERN_ARMOR_ARABIA</v>
      </c>
      <c r="B1140" s="9" t="s">
        <v>121</v>
      </c>
      <c r="C1140" s="4" t="s">
        <v>700</v>
      </c>
      <c r="D1140" s="14"/>
      <c r="E1140" s="4" t="s">
        <v>121</v>
      </c>
      <c r="F1140" s="4" t="s">
        <v>798</v>
      </c>
      <c r="G1140" s="14"/>
      <c r="H1140" s="4" t="s">
        <v>167</v>
      </c>
      <c r="I1140" s="4" t="s">
        <v>120</v>
      </c>
      <c r="AL1140" s="11"/>
      <c r="AM1140" s="11"/>
      <c r="AN1140" s="11"/>
      <c r="AO1140" s="11"/>
      <c r="AP1140" s="11"/>
      <c r="AQ1140" s="11"/>
    </row>
    <row r="1141" spans="1:43" x14ac:dyDescent="0.25">
      <c r="A1141" s="44" t="str">
        <f t="shared" si="21"/>
        <v>MODERN_ARMOR_BABYLON</v>
      </c>
      <c r="B1141" s="9" t="s">
        <v>121</v>
      </c>
      <c r="C1141" s="4" t="s">
        <v>703</v>
      </c>
      <c r="E1141" s="4" t="s">
        <v>121</v>
      </c>
      <c r="F1141" s="4" t="s">
        <v>798</v>
      </c>
      <c r="G1141" s="14"/>
      <c r="H1141" s="4" t="s">
        <v>214</v>
      </c>
      <c r="I1141" s="4" t="s">
        <v>1928</v>
      </c>
      <c r="R1141" s="11">
        <v>9.5000000000000001E-2</v>
      </c>
      <c r="AL1141" s="11"/>
      <c r="AM1141" s="11"/>
      <c r="AN1141" s="11"/>
      <c r="AO1141" s="11"/>
      <c r="AP1141" s="11"/>
      <c r="AQ1141" s="11"/>
    </row>
    <row r="1142" spans="1:43" x14ac:dyDescent="0.25">
      <c r="A1142" s="44" t="str">
        <f t="shared" si="21"/>
        <v>MODERN_ARMOR_EGYPT</v>
      </c>
      <c r="B1142" s="9" t="s">
        <v>121</v>
      </c>
      <c r="C1142" s="4" t="s">
        <v>712</v>
      </c>
      <c r="E1142" s="4" t="s">
        <v>121</v>
      </c>
      <c r="F1142" s="4" t="s">
        <v>798</v>
      </c>
      <c r="G1142" s="14" t="s">
        <v>132</v>
      </c>
      <c r="H1142" s="4" t="s">
        <v>284</v>
      </c>
      <c r="I1142" s="4" t="s">
        <v>131</v>
      </c>
      <c r="AL1142" s="11"/>
      <c r="AM1142" s="11"/>
      <c r="AN1142" s="11"/>
      <c r="AO1142" s="11"/>
      <c r="AP1142" s="11"/>
      <c r="AQ1142" s="11"/>
    </row>
    <row r="1143" spans="1:43" x14ac:dyDescent="0.25">
      <c r="A1143" s="44" t="str">
        <f t="shared" si="21"/>
        <v>MODERN_ARMOR_PERSIA</v>
      </c>
      <c r="B1143" s="9" t="s">
        <v>121</v>
      </c>
      <c r="C1143" s="4" t="s">
        <v>731</v>
      </c>
      <c r="E1143" s="4" t="s">
        <v>121</v>
      </c>
      <c r="F1143" s="4" t="s">
        <v>798</v>
      </c>
      <c r="G1143" s="14" t="s">
        <v>132</v>
      </c>
      <c r="H1143" s="4" t="s">
        <v>560</v>
      </c>
      <c r="I1143" s="4" t="s">
        <v>1928</v>
      </c>
      <c r="R1143" s="11">
        <v>9.5000000000000001E-2</v>
      </c>
      <c r="AL1143" s="11"/>
      <c r="AM1143" s="11"/>
      <c r="AN1143" s="11"/>
      <c r="AO1143" s="11"/>
      <c r="AP1143" s="11"/>
      <c r="AQ1143" s="11"/>
    </row>
    <row r="1144" spans="1:43" x14ac:dyDescent="0.25">
      <c r="A1144" s="44" t="str">
        <f>CONCATENATE(E1144,IF(ISBLANK(C1144),"",CONCATENATE("_",C1144)))</f>
        <v>MODERN_ARMOR_NORTHAF</v>
      </c>
      <c r="B1144" s="9" t="s">
        <v>121</v>
      </c>
      <c r="C1144" s="4" t="s">
        <v>2003</v>
      </c>
      <c r="E1144" s="4" t="s">
        <v>121</v>
      </c>
      <c r="F1144" s="4" t="s">
        <v>798</v>
      </c>
      <c r="G1144" s="14" t="s">
        <v>132</v>
      </c>
      <c r="H1144" s="4" t="s">
        <v>230</v>
      </c>
      <c r="I1144" s="4" t="s">
        <v>1928</v>
      </c>
      <c r="R1144" s="11">
        <v>9.5000000000000001E-2</v>
      </c>
      <c r="AL1144" s="11"/>
      <c r="AM1144" s="11"/>
      <c r="AN1144" s="11"/>
      <c r="AO1144" s="11"/>
      <c r="AP1144" s="11"/>
      <c r="AQ1144" s="11"/>
    </row>
    <row r="1145" spans="1:43" x14ac:dyDescent="0.25">
      <c r="A1145" s="44" t="str">
        <f t="shared" si="21"/>
        <v>MODERN_ARMOR_OCEAN</v>
      </c>
      <c r="B1145" s="9" t="s">
        <v>121</v>
      </c>
      <c r="C1145" s="4" t="s">
        <v>994</v>
      </c>
      <c r="D1145" s="4" t="s">
        <v>699</v>
      </c>
      <c r="E1145" s="4" t="s">
        <v>121</v>
      </c>
      <c r="F1145" s="4" t="s">
        <v>798</v>
      </c>
      <c r="G1145" s="14"/>
      <c r="AL1145" s="11"/>
      <c r="AM1145" s="11"/>
      <c r="AN1145" s="11"/>
      <c r="AO1145" s="11"/>
      <c r="AP1145" s="11"/>
      <c r="AQ1145" s="11"/>
    </row>
    <row r="1146" spans="1:43" x14ac:dyDescent="0.25">
      <c r="A1146" s="44" t="str">
        <f>CONCATENATE(E1146,IF(ISBLANK(C1146),"",CONCATENATE("_",C1146)))</f>
        <v>MODERN_ARMOR_SAHUL</v>
      </c>
      <c r="B1146" s="9" t="s">
        <v>121</v>
      </c>
      <c r="C1146" s="4" t="s">
        <v>1785</v>
      </c>
      <c r="D1146" s="4" t="s">
        <v>730</v>
      </c>
      <c r="E1146" s="4" t="s">
        <v>121</v>
      </c>
      <c r="F1146" s="4" t="s">
        <v>798</v>
      </c>
      <c r="G1146" s="14"/>
      <c r="AL1146" s="11"/>
      <c r="AM1146" s="11"/>
      <c r="AN1146" s="11"/>
      <c r="AO1146" s="11"/>
      <c r="AP1146" s="11"/>
      <c r="AQ1146" s="11"/>
    </row>
    <row r="1147" spans="1:43" x14ac:dyDescent="0.25">
      <c r="A1147" s="44" t="str">
        <f t="shared" si="21"/>
        <v>MODERN_ARMOR_SEASIA</v>
      </c>
      <c r="B1147" s="9" t="s">
        <v>121</v>
      </c>
      <c r="C1147" s="4" t="s">
        <v>696</v>
      </c>
      <c r="D1147" s="4" t="s">
        <v>698</v>
      </c>
      <c r="E1147" s="4" t="s">
        <v>121</v>
      </c>
      <c r="F1147" s="4" t="s">
        <v>798</v>
      </c>
      <c r="AL1147" s="11"/>
      <c r="AM1147" s="11"/>
      <c r="AN1147" s="11"/>
      <c r="AO1147" s="11"/>
      <c r="AP1147" s="11"/>
      <c r="AQ1147" s="11"/>
    </row>
    <row r="1148" spans="1:43" x14ac:dyDescent="0.25">
      <c r="A1148" s="44" t="str">
        <f t="shared" si="21"/>
        <v>MODERN_ARMOR_SIAM</v>
      </c>
      <c r="B1148" s="9" t="s">
        <v>121</v>
      </c>
      <c r="C1148" s="4" t="s">
        <v>736</v>
      </c>
      <c r="E1148" s="4" t="s">
        <v>121</v>
      </c>
      <c r="F1148" s="4" t="s">
        <v>798</v>
      </c>
      <c r="G1148" s="14" t="s">
        <v>132</v>
      </c>
      <c r="H1148" s="4" t="s">
        <v>638</v>
      </c>
      <c r="I1148" s="4" t="s">
        <v>124</v>
      </c>
      <c r="AL1148" s="11"/>
      <c r="AM1148" s="11"/>
      <c r="AN1148" s="11"/>
      <c r="AO1148" s="11"/>
      <c r="AP1148" s="11"/>
      <c r="AQ1148" s="11"/>
    </row>
    <row r="1149" spans="1:43" x14ac:dyDescent="0.25">
      <c r="A1149" s="44" t="str">
        <f t="shared" si="21"/>
        <v>MODERN_ARMOR_INCA</v>
      </c>
      <c r="B1149" s="9" t="s">
        <v>121</v>
      </c>
      <c r="C1149" s="4" t="s">
        <v>719</v>
      </c>
      <c r="E1149" s="4" t="s">
        <v>121</v>
      </c>
      <c r="F1149" s="4" t="s">
        <v>798</v>
      </c>
      <c r="G1149" s="14" t="s">
        <v>132</v>
      </c>
      <c r="H1149" s="4" t="s">
        <v>424</v>
      </c>
      <c r="I1149" s="4" t="s">
        <v>131</v>
      </c>
      <c r="AL1149" s="11"/>
      <c r="AM1149" s="11"/>
      <c r="AN1149" s="11"/>
      <c r="AO1149" s="11"/>
      <c r="AP1149" s="11"/>
      <c r="AQ1149" s="11"/>
    </row>
    <row r="1150" spans="1:43" x14ac:dyDescent="0.25">
      <c r="A1150" s="44" t="str">
        <f t="shared" si="21"/>
        <v>MODERN_ARMOR_SOUTHAS</v>
      </c>
      <c r="B1150" s="9" t="s">
        <v>121</v>
      </c>
      <c r="C1150" s="4" t="s">
        <v>695</v>
      </c>
      <c r="D1150" s="4" t="s">
        <v>698</v>
      </c>
      <c r="E1150" s="4" t="s">
        <v>121</v>
      </c>
      <c r="F1150" s="4" t="s">
        <v>798</v>
      </c>
      <c r="AL1150" s="11"/>
      <c r="AM1150" s="11"/>
      <c r="AN1150" s="11"/>
      <c r="AO1150" s="11"/>
      <c r="AP1150" s="11"/>
      <c r="AQ1150" s="11"/>
    </row>
    <row r="1151" spans="1:43" x14ac:dyDescent="0.25">
      <c r="A1151" s="44" t="str">
        <f t="shared" si="21"/>
        <v>MODERN_ARMOR_INDIA</v>
      </c>
      <c r="B1151" s="9" t="s">
        <v>121</v>
      </c>
      <c r="C1151" s="4" t="s">
        <v>720</v>
      </c>
      <c r="E1151" s="4" t="s">
        <v>121</v>
      </c>
      <c r="F1151" s="4" t="s">
        <v>798</v>
      </c>
      <c r="G1151" s="14" t="s">
        <v>132</v>
      </c>
      <c r="H1151" s="4" t="s">
        <v>439</v>
      </c>
      <c r="I1151" s="4" t="s">
        <v>1928</v>
      </c>
      <c r="R1151" s="11">
        <v>9.5000000000000001E-2</v>
      </c>
      <c r="AL1151" s="11"/>
      <c r="AM1151" s="11"/>
      <c r="AN1151" s="11"/>
      <c r="AO1151" s="11"/>
      <c r="AP1151" s="11"/>
      <c r="AQ1151" s="11"/>
    </row>
    <row r="1152" spans="1:43" x14ac:dyDescent="0.25">
      <c r="A1152" s="44" t="str">
        <f t="shared" si="21"/>
        <v>MUSKETMAN</v>
      </c>
      <c r="B1152" s="9" t="s">
        <v>129</v>
      </c>
      <c r="C1152" s="5"/>
      <c r="D1152" s="5"/>
      <c r="E1152" s="5" t="s">
        <v>129</v>
      </c>
      <c r="F1152" s="5" t="s">
        <v>129</v>
      </c>
      <c r="G1152" s="5"/>
      <c r="H1152" s="5" t="s">
        <v>25</v>
      </c>
      <c r="I1152" s="5" t="s">
        <v>128</v>
      </c>
      <c r="J1152" s="6"/>
      <c r="K1152" s="6"/>
      <c r="L1152" s="13" t="s">
        <v>1705</v>
      </c>
      <c r="M1152" s="8"/>
      <c r="N1152" s="5"/>
      <c r="O1152" s="5"/>
      <c r="P1152" s="5"/>
      <c r="Q1152" s="7">
        <v>14</v>
      </c>
      <c r="R1152" s="6" t="s">
        <v>1734</v>
      </c>
      <c r="S1152" s="13" t="s">
        <v>1616</v>
      </c>
      <c r="T1152" s="7">
        <v>19</v>
      </c>
      <c r="U1152" s="7" t="s">
        <v>1734</v>
      </c>
      <c r="V1152" s="5"/>
      <c r="W1152" s="6" t="s">
        <v>3</v>
      </c>
      <c r="X1152" s="6" t="s">
        <v>3</v>
      </c>
      <c r="Y1152" s="5"/>
      <c r="Z1152" s="7">
        <v>1</v>
      </c>
      <c r="AA1152" s="6"/>
      <c r="AB1152" s="5"/>
      <c r="AC1152" s="6"/>
      <c r="AD1152" s="6" t="s">
        <v>3</v>
      </c>
      <c r="AE1152" s="5"/>
      <c r="AF1152" s="7" t="s">
        <v>1734</v>
      </c>
      <c r="AG1152" s="6"/>
      <c r="AH1152" s="5"/>
      <c r="AI1152" s="7" t="s">
        <v>1734</v>
      </c>
      <c r="AJ1152" s="6"/>
      <c r="AK1152" s="5"/>
      <c r="AL1152" s="6"/>
      <c r="AM1152" s="6"/>
      <c r="AN1152" s="6"/>
      <c r="AO1152" s="6"/>
      <c r="AP1152" s="6"/>
      <c r="AQ1152" s="6"/>
    </row>
    <row r="1153" spans="1:43" x14ac:dyDescent="0.25">
      <c r="A1153" s="44" t="str">
        <f t="shared" si="21"/>
        <v>MUSKETMAN_AFRI</v>
      </c>
      <c r="B1153" s="9" t="s">
        <v>129</v>
      </c>
      <c r="C1153" s="4" t="s">
        <v>694</v>
      </c>
      <c r="E1153" s="4" t="s">
        <v>129</v>
      </c>
      <c r="F1153" s="4" t="s">
        <v>129</v>
      </c>
      <c r="H1153" s="4" t="s">
        <v>871</v>
      </c>
      <c r="I1153" s="4" t="s">
        <v>1937</v>
      </c>
      <c r="Q1153" s="11">
        <v>4</v>
      </c>
      <c r="T1153" s="11">
        <v>3</v>
      </c>
      <c r="Z1153" s="11">
        <v>1</v>
      </c>
      <c r="AF1153" s="11">
        <v>1</v>
      </c>
      <c r="AI1153" s="11">
        <v>3</v>
      </c>
      <c r="AL1153" s="11"/>
      <c r="AM1153" s="11"/>
      <c r="AN1153" s="11"/>
      <c r="AO1153" s="11"/>
      <c r="AP1153" s="11"/>
      <c r="AQ1153" s="11"/>
    </row>
    <row r="1154" spans="1:43" x14ac:dyDescent="0.25">
      <c r="A1154" s="44" t="str">
        <f t="shared" si="21"/>
        <v>MUSKETMAN_AFRI</v>
      </c>
      <c r="B1154" s="9" t="s">
        <v>129</v>
      </c>
      <c r="C1154" s="4" t="s">
        <v>694</v>
      </c>
      <c r="E1154" s="4" t="s">
        <v>129</v>
      </c>
      <c r="F1154" s="4" t="s">
        <v>129</v>
      </c>
      <c r="G1154" s="4" t="s">
        <v>2039</v>
      </c>
      <c r="H1154" s="4" t="s">
        <v>872</v>
      </c>
      <c r="I1154" s="4" t="s">
        <v>1937</v>
      </c>
      <c r="Q1154" s="11">
        <v>3</v>
      </c>
      <c r="T1154" s="11">
        <v>4</v>
      </c>
      <c r="Z1154" s="11">
        <v>0</v>
      </c>
      <c r="AF1154" s="11">
        <v>1</v>
      </c>
      <c r="AI1154" s="11">
        <v>4</v>
      </c>
      <c r="AL1154" s="11"/>
      <c r="AM1154" s="11"/>
      <c r="AN1154" s="11"/>
      <c r="AO1154" s="11"/>
      <c r="AP1154" s="11"/>
      <c r="AQ1154" s="11"/>
    </row>
    <row r="1155" spans="1:43" x14ac:dyDescent="0.25">
      <c r="A1155" s="44" t="str">
        <f t="shared" si="21"/>
        <v>MUSKETMAN_AFRI</v>
      </c>
      <c r="B1155" s="9" t="s">
        <v>129</v>
      </c>
      <c r="C1155" s="4" t="s">
        <v>694</v>
      </c>
      <c r="E1155" s="4" t="s">
        <v>129</v>
      </c>
      <c r="F1155" s="4" t="s">
        <v>129</v>
      </c>
      <c r="G1155" s="4" t="s">
        <v>2041</v>
      </c>
      <c r="H1155" s="4" t="s">
        <v>328</v>
      </c>
      <c r="I1155" s="4" t="s">
        <v>1937</v>
      </c>
      <c r="Q1155" s="11">
        <v>4</v>
      </c>
      <c r="T1155" s="11">
        <v>3</v>
      </c>
      <c r="Z1155" s="11">
        <v>0</v>
      </c>
      <c r="AF1155" s="11">
        <v>1</v>
      </c>
      <c r="AI1155" s="11">
        <v>3</v>
      </c>
      <c r="AL1155" s="11"/>
      <c r="AM1155" s="11"/>
      <c r="AN1155" s="11"/>
      <c r="AO1155" s="11"/>
      <c r="AP1155" s="11"/>
      <c r="AQ1155" s="11"/>
    </row>
    <row r="1156" spans="1:43" x14ac:dyDescent="0.25">
      <c r="A1156" s="44" t="str">
        <f t="shared" si="21"/>
        <v>MUSKETMAN_AFRI</v>
      </c>
      <c r="B1156" s="9" t="s">
        <v>129</v>
      </c>
      <c r="C1156" s="4" t="s">
        <v>694</v>
      </c>
      <c r="E1156" s="4" t="s">
        <v>129</v>
      </c>
      <c r="F1156" s="4" t="s">
        <v>129</v>
      </c>
      <c r="H1156" s="4" t="s">
        <v>871</v>
      </c>
      <c r="I1156" s="4" t="s">
        <v>1937</v>
      </c>
      <c r="Q1156" s="9">
        <v>1</v>
      </c>
      <c r="T1156" s="11">
        <v>3</v>
      </c>
      <c r="Z1156" s="9">
        <v>0</v>
      </c>
      <c r="AF1156" s="11">
        <v>0</v>
      </c>
      <c r="AI1156" s="11">
        <v>3</v>
      </c>
      <c r="AL1156" s="11"/>
      <c r="AM1156" s="11"/>
      <c r="AN1156" s="11"/>
      <c r="AO1156" s="11"/>
      <c r="AP1156" s="11"/>
      <c r="AQ1156" s="11"/>
    </row>
    <row r="1157" spans="1:43" x14ac:dyDescent="0.25">
      <c r="A1157" s="44" t="str">
        <f t="shared" si="21"/>
        <v>MUSKETMAN_AFRI</v>
      </c>
      <c r="B1157" s="9" t="s">
        <v>129</v>
      </c>
      <c r="C1157" s="4" t="s">
        <v>694</v>
      </c>
      <c r="E1157" s="4" t="s">
        <v>129</v>
      </c>
      <c r="F1157" s="4" t="s">
        <v>129</v>
      </c>
      <c r="G1157" s="4" t="s">
        <v>2039</v>
      </c>
      <c r="H1157" s="4" t="s">
        <v>872</v>
      </c>
      <c r="I1157" s="4" t="s">
        <v>1937</v>
      </c>
      <c r="Q1157" s="9">
        <v>2</v>
      </c>
      <c r="T1157" s="11">
        <v>3</v>
      </c>
      <c r="Z1157" s="9">
        <v>0</v>
      </c>
      <c r="AF1157" s="11">
        <v>0</v>
      </c>
      <c r="AI1157" s="11">
        <v>3</v>
      </c>
      <c r="AL1157" s="11"/>
      <c r="AM1157" s="11"/>
      <c r="AN1157" s="11"/>
      <c r="AO1157" s="11"/>
      <c r="AP1157" s="11"/>
      <c r="AQ1157" s="11"/>
    </row>
    <row r="1158" spans="1:43" x14ac:dyDescent="0.25">
      <c r="A1158" s="44" t="str">
        <f t="shared" si="21"/>
        <v>MUSKETMAN_AFRI</v>
      </c>
      <c r="B1158" s="9" t="s">
        <v>129</v>
      </c>
      <c r="C1158" s="4" t="s">
        <v>694</v>
      </c>
      <c r="E1158" s="4" t="s">
        <v>129</v>
      </c>
      <c r="F1158" s="4" t="s">
        <v>129</v>
      </c>
      <c r="G1158" s="4" t="s">
        <v>2041</v>
      </c>
      <c r="H1158" s="4" t="s">
        <v>328</v>
      </c>
      <c r="I1158" s="4" t="s">
        <v>1937</v>
      </c>
      <c r="Q1158" s="9">
        <v>0</v>
      </c>
      <c r="T1158" s="11">
        <v>3</v>
      </c>
      <c r="Z1158" s="9">
        <v>0</v>
      </c>
      <c r="AF1158" s="11">
        <v>0</v>
      </c>
      <c r="AI1158" s="11">
        <v>3</v>
      </c>
      <c r="AL1158" s="11"/>
      <c r="AM1158" s="11"/>
      <c r="AN1158" s="11"/>
      <c r="AO1158" s="11"/>
      <c r="AP1158" s="11"/>
      <c r="AQ1158" s="11"/>
    </row>
    <row r="1159" spans="1:43" x14ac:dyDescent="0.25">
      <c r="A1159" s="44" t="str">
        <f t="shared" si="21"/>
        <v>MUSKETMAN_AMER</v>
      </c>
      <c r="B1159" s="9" t="s">
        <v>129</v>
      </c>
      <c r="C1159" s="4" t="s">
        <v>697</v>
      </c>
      <c r="E1159" s="4" t="s">
        <v>129</v>
      </c>
      <c r="F1159" s="4" t="s">
        <v>129</v>
      </c>
      <c r="H1159" s="4" t="s">
        <v>635</v>
      </c>
      <c r="I1159" s="4" t="s">
        <v>965</v>
      </c>
      <c r="Q1159" s="12"/>
      <c r="R1159" s="12"/>
      <c r="Z1159" s="9"/>
      <c r="AL1159" s="11"/>
      <c r="AM1159" s="11"/>
      <c r="AN1159" s="11"/>
      <c r="AO1159" s="11"/>
      <c r="AP1159" s="11"/>
      <c r="AQ1159" s="11"/>
    </row>
    <row r="1160" spans="1:43" x14ac:dyDescent="0.25">
      <c r="A1160" s="44" t="str">
        <f t="shared" si="21"/>
        <v>MUSKETMAN_IROQUOIS</v>
      </c>
      <c r="B1160" s="9" t="s">
        <v>129</v>
      </c>
      <c r="C1160" s="4" t="s">
        <v>721</v>
      </c>
      <c r="E1160" s="4" t="s">
        <v>129</v>
      </c>
      <c r="F1160" s="4" t="s">
        <v>129</v>
      </c>
      <c r="H1160" s="4" t="s">
        <v>944</v>
      </c>
      <c r="I1160" s="4" t="s">
        <v>835</v>
      </c>
      <c r="Q1160" s="9">
        <v>3</v>
      </c>
      <c r="T1160" s="11">
        <v>3</v>
      </c>
      <c r="Z1160" s="9">
        <v>1</v>
      </c>
      <c r="AF1160" s="11">
        <v>1</v>
      </c>
      <c r="AI1160" s="11">
        <v>3</v>
      </c>
      <c r="AL1160" s="11"/>
      <c r="AM1160" s="11"/>
      <c r="AN1160" s="11"/>
      <c r="AO1160" s="11"/>
      <c r="AP1160" s="11"/>
      <c r="AQ1160" s="11"/>
    </row>
    <row r="1161" spans="1:43" x14ac:dyDescent="0.25">
      <c r="A1161" s="44" t="str">
        <f t="shared" si="21"/>
        <v>MUSKETMAN_IROQUOIS</v>
      </c>
      <c r="B1161" s="9" t="s">
        <v>129</v>
      </c>
      <c r="C1161" s="4" t="s">
        <v>721</v>
      </c>
      <c r="E1161" s="4" t="s">
        <v>129</v>
      </c>
      <c r="F1161" s="4" t="s">
        <v>129</v>
      </c>
      <c r="G1161" s="4" t="s">
        <v>2039</v>
      </c>
      <c r="H1161" s="4" t="s">
        <v>467</v>
      </c>
      <c r="I1161" s="4" t="s">
        <v>835</v>
      </c>
      <c r="Q1161" s="9">
        <v>4</v>
      </c>
      <c r="T1161" s="11">
        <v>4</v>
      </c>
      <c r="Z1161" s="9">
        <v>0</v>
      </c>
      <c r="AF1161" s="11">
        <v>1</v>
      </c>
      <c r="AI1161" s="11">
        <v>4</v>
      </c>
      <c r="AL1161" s="11"/>
      <c r="AM1161" s="11"/>
      <c r="AN1161" s="11"/>
      <c r="AO1161" s="11"/>
      <c r="AP1161" s="11"/>
      <c r="AQ1161" s="11"/>
    </row>
    <row r="1162" spans="1:43" x14ac:dyDescent="0.25">
      <c r="A1162" s="44" t="str">
        <f t="shared" si="21"/>
        <v>MUSKETMAN_IROQUOIS</v>
      </c>
      <c r="B1162" s="9" t="s">
        <v>129</v>
      </c>
      <c r="C1162" s="4" t="s">
        <v>721</v>
      </c>
      <c r="E1162" s="4" t="s">
        <v>129</v>
      </c>
      <c r="F1162" s="4" t="s">
        <v>129</v>
      </c>
      <c r="H1162" s="4" t="s">
        <v>944</v>
      </c>
      <c r="I1162" s="4" t="s">
        <v>835</v>
      </c>
      <c r="Q1162" s="9">
        <v>3</v>
      </c>
      <c r="T1162" s="11">
        <v>3</v>
      </c>
      <c r="Z1162" s="9">
        <v>0</v>
      </c>
      <c r="AF1162" s="11">
        <v>1</v>
      </c>
      <c r="AI1162" s="11">
        <v>3</v>
      </c>
      <c r="AL1162" s="11"/>
      <c r="AM1162" s="11"/>
      <c r="AN1162" s="11"/>
      <c r="AO1162" s="11"/>
      <c r="AP1162" s="11"/>
      <c r="AQ1162" s="11"/>
    </row>
    <row r="1163" spans="1:43" x14ac:dyDescent="0.25">
      <c r="A1163" s="44" t="str">
        <f t="shared" si="21"/>
        <v>MUSKETMAN_IROQUOIS</v>
      </c>
      <c r="B1163" s="9" t="s">
        <v>129</v>
      </c>
      <c r="C1163" s="4" t="s">
        <v>721</v>
      </c>
      <c r="E1163" s="4" t="s">
        <v>129</v>
      </c>
      <c r="F1163" s="4" t="s">
        <v>129</v>
      </c>
      <c r="G1163" s="4" t="s">
        <v>2039</v>
      </c>
      <c r="H1163" s="4" t="s">
        <v>467</v>
      </c>
      <c r="I1163" s="4" t="s">
        <v>835</v>
      </c>
      <c r="Q1163" s="9">
        <v>4</v>
      </c>
      <c r="T1163" s="11">
        <v>3</v>
      </c>
      <c r="Z1163" s="9">
        <v>0</v>
      </c>
      <c r="AF1163" s="11">
        <v>0</v>
      </c>
      <c r="AI1163" s="11">
        <v>3</v>
      </c>
      <c r="AL1163" s="11"/>
      <c r="AM1163" s="11"/>
      <c r="AN1163" s="11"/>
      <c r="AO1163" s="11"/>
      <c r="AP1163" s="11"/>
      <c r="AQ1163" s="11"/>
    </row>
    <row r="1164" spans="1:43" x14ac:dyDescent="0.25">
      <c r="A1164" s="44" t="str">
        <f t="shared" si="21"/>
        <v>MUSKETMAN_IROQUOIS</v>
      </c>
      <c r="B1164" s="9" t="s">
        <v>129</v>
      </c>
      <c r="C1164" s="4" t="s">
        <v>721</v>
      </c>
      <c r="E1164" s="4" t="s">
        <v>129</v>
      </c>
      <c r="F1164" s="4" t="s">
        <v>129</v>
      </c>
      <c r="H1164" s="4" t="s">
        <v>944</v>
      </c>
      <c r="I1164" s="4" t="s">
        <v>835</v>
      </c>
      <c r="Q1164" s="9">
        <v>0</v>
      </c>
      <c r="T1164" s="11">
        <v>3</v>
      </c>
      <c r="Z1164" s="9">
        <v>0</v>
      </c>
      <c r="AF1164" s="11">
        <v>0</v>
      </c>
      <c r="AI1164" s="11">
        <v>3</v>
      </c>
      <c r="AL1164" s="11"/>
      <c r="AM1164" s="11"/>
      <c r="AN1164" s="11"/>
      <c r="AO1164" s="11"/>
      <c r="AP1164" s="11"/>
      <c r="AQ1164" s="11"/>
    </row>
    <row r="1165" spans="1:43" x14ac:dyDescent="0.25">
      <c r="A1165" s="44" t="str">
        <f t="shared" si="21"/>
        <v>MUSKETMAN_IROQUOIS</v>
      </c>
      <c r="B1165" s="9" t="s">
        <v>129</v>
      </c>
      <c r="C1165" s="4" t="s">
        <v>721</v>
      </c>
      <c r="E1165" s="4" t="s">
        <v>129</v>
      </c>
      <c r="F1165" s="4" t="s">
        <v>129</v>
      </c>
      <c r="G1165" s="4" t="s">
        <v>2039</v>
      </c>
      <c r="H1165" s="4" t="s">
        <v>467</v>
      </c>
      <c r="I1165" s="4" t="s">
        <v>835</v>
      </c>
      <c r="Q1165" s="9">
        <v>0</v>
      </c>
      <c r="T1165" s="11">
        <v>3</v>
      </c>
      <c r="Z1165" s="9">
        <v>0</v>
      </c>
      <c r="AF1165" s="11">
        <v>0</v>
      </c>
      <c r="AI1165" s="11">
        <v>3</v>
      </c>
      <c r="AL1165" s="11"/>
      <c r="AM1165" s="11"/>
      <c r="AN1165" s="11"/>
      <c r="AO1165" s="11"/>
      <c r="AP1165" s="11"/>
      <c r="AQ1165" s="11"/>
    </row>
    <row r="1166" spans="1:43" x14ac:dyDescent="0.25">
      <c r="A1166" s="44" t="str">
        <f t="shared" si="21"/>
        <v>MUSKETMAN_SHOSHONE</v>
      </c>
      <c r="B1166" s="9" t="s">
        <v>129</v>
      </c>
      <c r="C1166" s="4" t="s">
        <v>1082</v>
      </c>
      <c r="E1166" s="4" t="s">
        <v>129</v>
      </c>
      <c r="F1166" s="4" t="s">
        <v>129</v>
      </c>
      <c r="H1166" s="4" t="s">
        <v>1733</v>
      </c>
      <c r="I1166" s="4" t="s">
        <v>1732</v>
      </c>
      <c r="AL1166" s="11"/>
      <c r="AM1166" s="11"/>
      <c r="AN1166" s="11"/>
      <c r="AO1166" s="11"/>
      <c r="AP1166" s="11"/>
      <c r="AQ1166" s="11"/>
    </row>
    <row r="1167" spans="1:43" x14ac:dyDescent="0.25">
      <c r="A1167" s="44" t="str">
        <f t="shared" si="21"/>
        <v>MUSKETMAN_EASTEU</v>
      </c>
      <c r="B1167" s="9" t="s">
        <v>129</v>
      </c>
      <c r="C1167" s="4" t="s">
        <v>698</v>
      </c>
      <c r="D1167" s="4" t="s">
        <v>730</v>
      </c>
      <c r="E1167" s="4" t="s">
        <v>129</v>
      </c>
      <c r="F1167" s="4" t="s">
        <v>129</v>
      </c>
      <c r="AL1167" s="11"/>
      <c r="AM1167" s="11"/>
      <c r="AN1167" s="11"/>
      <c r="AO1167" s="11"/>
      <c r="AP1167" s="11"/>
      <c r="AQ1167" s="11"/>
    </row>
    <row r="1168" spans="1:43" x14ac:dyDescent="0.25">
      <c r="A1168" s="44" t="str">
        <f t="shared" si="21"/>
        <v>MUSKETMAN_KIEV</v>
      </c>
      <c r="B1168" s="9" t="s">
        <v>129</v>
      </c>
      <c r="C1168" s="4" t="s">
        <v>1187</v>
      </c>
      <c r="D1168" s="4" t="s">
        <v>735</v>
      </c>
      <c r="E1168" s="4" t="s">
        <v>129</v>
      </c>
      <c r="F1168" s="4" t="s">
        <v>129</v>
      </c>
      <c r="AL1168" s="11"/>
      <c r="AM1168" s="11"/>
      <c r="AN1168" s="11"/>
      <c r="AO1168" s="11"/>
      <c r="AP1168" s="11"/>
      <c r="AQ1168" s="11"/>
    </row>
    <row r="1169" spans="1:43" x14ac:dyDescent="0.25">
      <c r="A1169" s="44" t="str">
        <f t="shared" si="21"/>
        <v>MUSKETMAN_POLAND</v>
      </c>
      <c r="B1169" s="9" t="s">
        <v>129</v>
      </c>
      <c r="C1169" s="4" t="s">
        <v>732</v>
      </c>
      <c r="E1169" s="4" t="s">
        <v>129</v>
      </c>
      <c r="F1169" s="4" t="s">
        <v>129</v>
      </c>
      <c r="H1169" s="4" t="s">
        <v>2006</v>
      </c>
      <c r="I1169" s="4" t="s">
        <v>2007</v>
      </c>
      <c r="AL1169" s="11"/>
      <c r="AM1169" s="11"/>
      <c r="AN1169" s="11"/>
      <c r="AO1169" s="11"/>
      <c r="AP1169" s="11"/>
      <c r="AQ1169" s="11"/>
    </row>
    <row r="1170" spans="1:43" x14ac:dyDescent="0.25">
      <c r="A1170" s="44" t="str">
        <f>CONCATENATE(E1170,IF(ISBLANK(C1170),"",CONCATENATE("_",C1170)))</f>
        <v>MUSKETMAN_RUSSIA</v>
      </c>
      <c r="B1170" s="9" t="s">
        <v>129</v>
      </c>
      <c r="C1170" s="4" t="s">
        <v>735</v>
      </c>
      <c r="E1170" s="4" t="s">
        <v>129</v>
      </c>
      <c r="F1170" s="4" t="s">
        <v>129</v>
      </c>
      <c r="H1170" s="4" t="s">
        <v>1007</v>
      </c>
      <c r="I1170" s="4" t="s">
        <v>1071</v>
      </c>
      <c r="Q1170" s="9">
        <v>1</v>
      </c>
      <c r="T1170" s="11">
        <v>1</v>
      </c>
      <c r="Z1170" s="9">
        <v>0</v>
      </c>
      <c r="AF1170" s="11">
        <v>0</v>
      </c>
      <c r="AI1170" s="11">
        <v>1</v>
      </c>
      <c r="AL1170" s="11"/>
      <c r="AM1170" s="11"/>
      <c r="AN1170" s="11"/>
      <c r="AO1170" s="11"/>
      <c r="AP1170" s="11"/>
      <c r="AQ1170" s="11"/>
    </row>
    <row r="1171" spans="1:43" x14ac:dyDescent="0.25">
      <c r="A1171" s="44" t="str">
        <f>CONCATENATE(E1171,IF(ISBLANK(C1171),"",CONCATENATE("_",C1171)))</f>
        <v>MUSKETMAN_RUSSIA</v>
      </c>
      <c r="B1171" s="9" t="s">
        <v>129</v>
      </c>
      <c r="C1171" s="4" t="s">
        <v>735</v>
      </c>
      <c r="E1171" s="4" t="s">
        <v>129</v>
      </c>
      <c r="F1171" s="4" t="s">
        <v>129</v>
      </c>
      <c r="G1171" s="4" t="s">
        <v>2040</v>
      </c>
      <c r="H1171" s="4" t="s">
        <v>1944</v>
      </c>
      <c r="I1171" s="4" t="s">
        <v>1945</v>
      </c>
      <c r="Q1171" s="9">
        <v>2</v>
      </c>
      <c r="T1171" s="11">
        <v>3</v>
      </c>
      <c r="Z1171" s="9">
        <v>0</v>
      </c>
      <c r="AF1171" s="11">
        <v>0</v>
      </c>
      <c r="AI1171" s="11">
        <v>0</v>
      </c>
      <c r="AL1171" s="11"/>
      <c r="AM1171" s="11"/>
      <c r="AN1171" s="11"/>
      <c r="AO1171" s="11"/>
      <c r="AP1171" s="11"/>
      <c r="AQ1171" s="11"/>
    </row>
    <row r="1172" spans="1:43" x14ac:dyDescent="0.25">
      <c r="A1172" s="44" t="str">
        <f>CONCATENATE(E1172,IF(ISBLANK(C1172),"",CONCATENATE("_",C1172)))</f>
        <v>MUSKETMAN_RUSSIA</v>
      </c>
      <c r="B1172" s="9" t="s">
        <v>129</v>
      </c>
      <c r="C1172" s="4" t="s">
        <v>735</v>
      </c>
      <c r="E1172" s="4" t="s">
        <v>129</v>
      </c>
      <c r="F1172" s="4" t="s">
        <v>129</v>
      </c>
      <c r="G1172" s="4" t="s">
        <v>2039</v>
      </c>
      <c r="H1172" s="4" t="s">
        <v>1947</v>
      </c>
      <c r="I1172" s="4" t="s">
        <v>1071</v>
      </c>
      <c r="Q1172" s="9">
        <v>2</v>
      </c>
      <c r="T1172" s="11">
        <v>3</v>
      </c>
      <c r="Z1172" s="9">
        <v>0</v>
      </c>
      <c r="AF1172" s="11">
        <v>0</v>
      </c>
      <c r="AI1172" s="11">
        <v>1</v>
      </c>
      <c r="AL1172" s="11"/>
      <c r="AM1172" s="11"/>
      <c r="AN1172" s="11"/>
      <c r="AO1172" s="11"/>
      <c r="AP1172" s="11"/>
      <c r="AQ1172" s="11"/>
    </row>
    <row r="1173" spans="1:43" x14ac:dyDescent="0.25">
      <c r="A1173" s="44" t="str">
        <f t="shared" si="21"/>
        <v>MUSKETMAN_RUSSIA</v>
      </c>
      <c r="B1173" s="9" t="s">
        <v>129</v>
      </c>
      <c r="C1173" s="4" t="s">
        <v>735</v>
      </c>
      <c r="E1173" s="4" t="s">
        <v>129</v>
      </c>
      <c r="F1173" s="4" t="s">
        <v>129</v>
      </c>
      <c r="G1173" s="4" t="s">
        <v>2041</v>
      </c>
      <c r="H1173" s="4" t="s">
        <v>620</v>
      </c>
      <c r="I1173" s="4" t="s">
        <v>1071</v>
      </c>
      <c r="Q1173" s="9">
        <v>4</v>
      </c>
      <c r="T1173" s="11">
        <v>7</v>
      </c>
      <c r="Z1173" s="9">
        <v>1</v>
      </c>
      <c r="AF1173" s="11">
        <v>1</v>
      </c>
      <c r="AI1173" s="11">
        <v>2</v>
      </c>
      <c r="AL1173" s="11"/>
      <c r="AM1173" s="11"/>
      <c r="AN1173" s="11"/>
      <c r="AO1173" s="11"/>
      <c r="AP1173" s="11"/>
      <c r="AQ1173" s="11"/>
    </row>
    <row r="1174" spans="1:43" x14ac:dyDescent="0.25">
      <c r="A1174" s="44" t="str">
        <f>CONCATENATE(E1174,IF(ISBLANK(C1174),"",CONCATENATE("_",C1174)))</f>
        <v>MUSKETMAN_RUSSIA</v>
      </c>
      <c r="B1174" s="9" t="s">
        <v>129</v>
      </c>
      <c r="C1174" s="4" t="s">
        <v>735</v>
      </c>
      <c r="E1174" s="4" t="s">
        <v>129</v>
      </c>
      <c r="F1174" s="4" t="s">
        <v>129</v>
      </c>
      <c r="G1174" s="4" t="s">
        <v>2040</v>
      </c>
      <c r="H1174" s="4" t="s">
        <v>1944</v>
      </c>
      <c r="I1174" s="4" t="s">
        <v>1945</v>
      </c>
      <c r="Q1174" s="9">
        <v>2</v>
      </c>
      <c r="T1174" s="11">
        <v>2</v>
      </c>
      <c r="Z1174" s="9">
        <v>0</v>
      </c>
      <c r="AF1174" s="11">
        <v>1</v>
      </c>
      <c r="AI1174" s="11">
        <v>1</v>
      </c>
      <c r="AL1174" s="11"/>
      <c r="AM1174" s="11"/>
      <c r="AN1174" s="11"/>
      <c r="AO1174" s="11"/>
      <c r="AP1174" s="11"/>
      <c r="AQ1174" s="11"/>
    </row>
    <row r="1175" spans="1:43" x14ac:dyDescent="0.25">
      <c r="A1175" s="44" t="str">
        <f>CONCATENATE(E1175,IF(ISBLANK(C1175),"",CONCATENATE("_",C1175)))</f>
        <v>MUSKETMAN_RUSSIA</v>
      </c>
      <c r="B1175" s="9" t="s">
        <v>129</v>
      </c>
      <c r="C1175" s="4" t="s">
        <v>735</v>
      </c>
      <c r="E1175" s="4" t="s">
        <v>129</v>
      </c>
      <c r="F1175" s="4" t="s">
        <v>129</v>
      </c>
      <c r="G1175" s="4" t="s">
        <v>2050</v>
      </c>
      <c r="H1175" s="4" t="s">
        <v>1946</v>
      </c>
      <c r="I1175" s="4" t="s">
        <v>1945</v>
      </c>
      <c r="Q1175" s="9">
        <v>3</v>
      </c>
      <c r="T1175" s="11">
        <v>3</v>
      </c>
      <c r="Z1175" s="9">
        <v>0</v>
      </c>
      <c r="AF1175" s="11">
        <v>1</v>
      </c>
      <c r="AI1175" s="11">
        <v>2</v>
      </c>
      <c r="AL1175" s="11"/>
      <c r="AM1175" s="11"/>
      <c r="AN1175" s="11"/>
      <c r="AO1175" s="11"/>
      <c r="AP1175" s="11"/>
      <c r="AQ1175" s="11"/>
    </row>
    <row r="1176" spans="1:43" x14ac:dyDescent="0.25">
      <c r="A1176" s="44" t="str">
        <f t="shared" si="21"/>
        <v>MUSKETMAN_AMERICA</v>
      </c>
      <c r="B1176" s="9" t="s">
        <v>129</v>
      </c>
      <c r="C1176" s="4" t="s">
        <v>699</v>
      </c>
      <c r="E1176" s="4" t="s">
        <v>129</v>
      </c>
      <c r="F1176" s="4" t="s">
        <v>129</v>
      </c>
      <c r="G1176" s="14"/>
      <c r="H1176" s="4" t="s">
        <v>145</v>
      </c>
      <c r="I1176" s="4" t="s">
        <v>2808</v>
      </c>
      <c r="R1176" s="11">
        <v>0.15</v>
      </c>
      <c r="U1176" s="11">
        <v>9.5000000000000001E-2</v>
      </c>
      <c r="AA1176" s="11">
        <v>0.25</v>
      </c>
      <c r="AL1176" s="11"/>
      <c r="AM1176" s="11"/>
      <c r="AN1176" s="11"/>
      <c r="AO1176" s="11"/>
      <c r="AP1176" s="11"/>
      <c r="AQ1176" s="11"/>
    </row>
    <row r="1177" spans="1:43" x14ac:dyDescent="0.25">
      <c r="A1177" s="44" t="str">
        <f t="shared" si="21"/>
        <v>MUSKETMAN_AUSTRIA</v>
      </c>
      <c r="B1177" s="9" t="s">
        <v>129</v>
      </c>
      <c r="C1177" s="4" t="s">
        <v>701</v>
      </c>
      <c r="D1177" s="4" t="s">
        <v>730</v>
      </c>
      <c r="E1177" s="4" t="s">
        <v>129</v>
      </c>
      <c r="F1177" s="4" t="s">
        <v>129</v>
      </c>
      <c r="G1177" s="14"/>
      <c r="AL1177" s="11"/>
      <c r="AM1177" s="11"/>
      <c r="AN1177" s="11"/>
      <c r="AO1177" s="11"/>
      <c r="AP1177" s="11"/>
      <c r="AQ1177" s="11"/>
    </row>
    <row r="1178" spans="1:43" x14ac:dyDescent="0.25">
      <c r="A1178" s="44" t="str">
        <f t="shared" si="21"/>
        <v>MUSKETMAN_BELGIUM</v>
      </c>
      <c r="B1178" s="9" t="s">
        <v>129</v>
      </c>
      <c r="C1178" s="4" t="s">
        <v>704</v>
      </c>
      <c r="D1178" s="4" t="s">
        <v>730</v>
      </c>
      <c r="E1178" s="4" t="s">
        <v>129</v>
      </c>
      <c r="F1178" s="4" t="s">
        <v>129</v>
      </c>
      <c r="G1178" s="14"/>
      <c r="AL1178" s="11"/>
      <c r="AM1178" s="11"/>
      <c r="AN1178" s="11"/>
      <c r="AO1178" s="11"/>
      <c r="AP1178" s="11"/>
      <c r="AQ1178" s="11"/>
    </row>
    <row r="1179" spans="1:43" x14ac:dyDescent="0.25">
      <c r="A1179" s="44" t="str">
        <f t="shared" si="21"/>
        <v>MUSKETMAN_ENGLAND</v>
      </c>
      <c r="B1179" s="9" t="s">
        <v>129</v>
      </c>
      <c r="C1179" s="4" t="s">
        <v>713</v>
      </c>
      <c r="E1179" s="4" t="s">
        <v>129</v>
      </c>
      <c r="F1179" s="4" t="s">
        <v>129</v>
      </c>
      <c r="G1179" s="14" t="s">
        <v>132</v>
      </c>
      <c r="H1179" s="4" t="s">
        <v>306</v>
      </c>
      <c r="I1179" s="4" t="s">
        <v>2809</v>
      </c>
      <c r="AL1179" s="11"/>
      <c r="AM1179" s="11"/>
      <c r="AN1179" s="11"/>
      <c r="AO1179" s="11"/>
      <c r="AP1179" s="11"/>
      <c r="AQ1179" s="11"/>
    </row>
    <row r="1180" spans="1:43" x14ac:dyDescent="0.25">
      <c r="A1180" s="44" t="str">
        <f t="shared" si="21"/>
        <v>MUSKETMAN_GERMANY</v>
      </c>
      <c r="B1180" s="9" t="s">
        <v>129</v>
      </c>
      <c r="C1180" s="4" t="s">
        <v>717</v>
      </c>
      <c r="E1180" s="4" t="s">
        <v>129</v>
      </c>
      <c r="F1180" s="4" t="s">
        <v>129</v>
      </c>
      <c r="H1180" s="4" t="s">
        <v>899</v>
      </c>
      <c r="I1180" s="4" t="s">
        <v>1060</v>
      </c>
      <c r="Q1180" s="11">
        <v>3</v>
      </c>
      <c r="T1180" s="11">
        <v>4</v>
      </c>
      <c r="Z1180" s="11">
        <v>1</v>
      </c>
      <c r="AF1180" s="11">
        <v>1</v>
      </c>
      <c r="AI1180" s="11">
        <v>1</v>
      </c>
      <c r="AL1180" s="11"/>
      <c r="AM1180" s="11"/>
      <c r="AN1180" s="11"/>
      <c r="AO1180" s="11"/>
      <c r="AP1180" s="11"/>
      <c r="AQ1180" s="11"/>
    </row>
    <row r="1181" spans="1:43" x14ac:dyDescent="0.25">
      <c r="A1181" s="44" t="str">
        <f t="shared" si="21"/>
        <v>MUSKETMAN_GERMANY</v>
      </c>
      <c r="B1181" s="9" t="s">
        <v>129</v>
      </c>
      <c r="C1181" s="4" t="s">
        <v>717</v>
      </c>
      <c r="E1181" s="4" t="s">
        <v>129</v>
      </c>
      <c r="F1181" s="4" t="s">
        <v>129</v>
      </c>
      <c r="G1181" s="4" t="s">
        <v>2039</v>
      </c>
      <c r="H1181" s="4" t="s">
        <v>900</v>
      </c>
      <c r="I1181" s="4" t="s">
        <v>1060</v>
      </c>
      <c r="Q1181" s="11">
        <v>2</v>
      </c>
      <c r="T1181" s="11">
        <v>3</v>
      </c>
      <c r="Z1181" s="11">
        <v>0</v>
      </c>
      <c r="AF1181" s="11">
        <v>1</v>
      </c>
      <c r="AI1181" s="11">
        <v>1</v>
      </c>
      <c r="AL1181" s="11"/>
      <c r="AM1181" s="11"/>
      <c r="AN1181" s="11"/>
      <c r="AO1181" s="11"/>
      <c r="AP1181" s="11"/>
      <c r="AQ1181" s="11"/>
    </row>
    <row r="1182" spans="1:43" x14ac:dyDescent="0.25">
      <c r="A1182" s="44" t="str">
        <f t="shared" si="21"/>
        <v>MUSKETMAN_GERMANY</v>
      </c>
      <c r="B1182" s="9" t="s">
        <v>129</v>
      </c>
      <c r="C1182" s="4" t="s">
        <v>717</v>
      </c>
      <c r="E1182" s="4" t="s">
        <v>129</v>
      </c>
      <c r="F1182" s="4" t="s">
        <v>129</v>
      </c>
      <c r="G1182" s="4" t="s">
        <v>2041</v>
      </c>
      <c r="H1182" s="4" t="s">
        <v>384</v>
      </c>
      <c r="I1182" s="4" t="s">
        <v>1060</v>
      </c>
      <c r="Q1182" s="11">
        <v>3</v>
      </c>
      <c r="T1182" s="11">
        <v>3</v>
      </c>
      <c r="Z1182" s="11">
        <v>0</v>
      </c>
      <c r="AF1182" s="11">
        <v>1</v>
      </c>
      <c r="AI1182" s="11">
        <v>1</v>
      </c>
      <c r="AL1182" s="11"/>
      <c r="AM1182" s="11"/>
      <c r="AN1182" s="11"/>
      <c r="AO1182" s="11"/>
      <c r="AP1182" s="11"/>
      <c r="AQ1182" s="11"/>
    </row>
    <row r="1183" spans="1:43" x14ac:dyDescent="0.25">
      <c r="A1183" s="44" t="str">
        <f t="shared" si="21"/>
        <v>MUSKETMAN_GERMANY</v>
      </c>
      <c r="B1183" s="9" t="s">
        <v>129</v>
      </c>
      <c r="C1183" s="4" t="s">
        <v>717</v>
      </c>
      <c r="E1183" s="4" t="s">
        <v>129</v>
      </c>
      <c r="F1183" s="4" t="s">
        <v>129</v>
      </c>
      <c r="H1183" s="4" t="s">
        <v>899</v>
      </c>
      <c r="I1183" s="4" t="s">
        <v>1060</v>
      </c>
      <c r="Q1183" s="9">
        <v>2</v>
      </c>
      <c r="T1183" s="11">
        <v>3</v>
      </c>
      <c r="Z1183" s="9">
        <v>0</v>
      </c>
      <c r="AF1183" s="11">
        <v>0</v>
      </c>
      <c r="AI1183" s="11">
        <v>1</v>
      </c>
      <c r="AL1183" s="11"/>
      <c r="AM1183" s="11"/>
      <c r="AN1183" s="11"/>
      <c r="AO1183" s="11"/>
      <c r="AP1183" s="11"/>
      <c r="AQ1183" s="11"/>
    </row>
    <row r="1184" spans="1:43" x14ac:dyDescent="0.25">
      <c r="A1184" s="44" t="str">
        <f t="shared" si="21"/>
        <v>MUSKETMAN_GERMANY</v>
      </c>
      <c r="B1184" s="9" t="s">
        <v>129</v>
      </c>
      <c r="C1184" s="4" t="s">
        <v>717</v>
      </c>
      <c r="E1184" s="4" t="s">
        <v>129</v>
      </c>
      <c r="F1184" s="4" t="s">
        <v>129</v>
      </c>
      <c r="G1184" s="4" t="s">
        <v>2039</v>
      </c>
      <c r="H1184" s="4" t="s">
        <v>900</v>
      </c>
      <c r="I1184" s="4" t="s">
        <v>1060</v>
      </c>
      <c r="Q1184" s="9">
        <v>3</v>
      </c>
      <c r="T1184" s="11">
        <v>3</v>
      </c>
      <c r="Z1184" s="9">
        <v>0</v>
      </c>
      <c r="AF1184" s="11">
        <v>0</v>
      </c>
      <c r="AI1184" s="11">
        <v>2</v>
      </c>
      <c r="AL1184" s="11"/>
      <c r="AM1184" s="11"/>
      <c r="AN1184" s="11"/>
      <c r="AO1184" s="11"/>
      <c r="AP1184" s="11"/>
      <c r="AQ1184" s="11"/>
    </row>
    <row r="1185" spans="1:43" x14ac:dyDescent="0.25">
      <c r="A1185" s="44" t="str">
        <f t="shared" si="21"/>
        <v>MUSKETMAN_GERMANY</v>
      </c>
      <c r="B1185" s="9" t="s">
        <v>129</v>
      </c>
      <c r="C1185" s="4" t="s">
        <v>717</v>
      </c>
      <c r="E1185" s="4" t="s">
        <v>129</v>
      </c>
      <c r="F1185" s="4" t="s">
        <v>129</v>
      </c>
      <c r="G1185" s="4" t="s">
        <v>2041</v>
      </c>
      <c r="H1185" s="4" t="s">
        <v>384</v>
      </c>
      <c r="I1185" s="4" t="s">
        <v>1060</v>
      </c>
      <c r="Q1185" s="9">
        <v>1</v>
      </c>
      <c r="T1185" s="11">
        <v>3</v>
      </c>
      <c r="Z1185" s="9">
        <v>0</v>
      </c>
      <c r="AF1185" s="11">
        <v>0</v>
      </c>
      <c r="AI1185" s="11">
        <v>1</v>
      </c>
      <c r="AL1185" s="11"/>
      <c r="AM1185" s="11"/>
      <c r="AN1185" s="11"/>
      <c r="AO1185" s="11"/>
      <c r="AP1185" s="11"/>
      <c r="AQ1185" s="11"/>
    </row>
    <row r="1186" spans="1:43" x14ac:dyDescent="0.25">
      <c r="A1186" s="44" t="str">
        <f t="shared" si="21"/>
        <v>MUSKETMAN_NETHERLANDS</v>
      </c>
      <c r="B1186" s="9" t="s">
        <v>129</v>
      </c>
      <c r="C1186" s="4" t="s">
        <v>730</v>
      </c>
      <c r="E1186" s="4" t="s">
        <v>129</v>
      </c>
      <c r="F1186" s="4" t="s">
        <v>129</v>
      </c>
      <c r="G1186" s="14" t="s">
        <v>132</v>
      </c>
      <c r="H1186" s="4" t="s">
        <v>183</v>
      </c>
      <c r="I1186" s="4" t="s">
        <v>1053</v>
      </c>
      <c r="AL1186" s="11"/>
      <c r="AM1186" s="11"/>
      <c r="AN1186" s="11"/>
      <c r="AO1186" s="11"/>
      <c r="AP1186" s="11"/>
      <c r="AQ1186" s="11"/>
    </row>
    <row r="1187" spans="1:43" x14ac:dyDescent="0.25">
      <c r="A1187" s="44" t="str">
        <f t="shared" si="21"/>
        <v>MUSKETMAN_SWISS</v>
      </c>
      <c r="B1187" s="9" t="s">
        <v>129</v>
      </c>
      <c r="C1187" s="4" t="s">
        <v>740</v>
      </c>
      <c r="D1187" s="4" t="s">
        <v>730</v>
      </c>
      <c r="E1187" s="4" t="s">
        <v>129</v>
      </c>
      <c r="F1187" s="4" t="s">
        <v>129</v>
      </c>
      <c r="G1187" s="14" t="s">
        <v>132</v>
      </c>
      <c r="AL1187" s="11"/>
      <c r="AM1187" s="11"/>
      <c r="AN1187" s="11"/>
      <c r="AO1187" s="11"/>
      <c r="AP1187" s="11"/>
      <c r="AQ1187" s="11"/>
    </row>
    <row r="1188" spans="1:43" x14ac:dyDescent="0.25">
      <c r="A1188" s="44" t="str">
        <f t="shared" si="21"/>
        <v>MUSKETMAN_BRAZIL</v>
      </c>
      <c r="B1188" s="9" t="s">
        <v>129</v>
      </c>
      <c r="C1188" s="4" t="s">
        <v>706</v>
      </c>
      <c r="E1188" s="4" t="s">
        <v>129</v>
      </c>
      <c r="F1188" s="4" t="s">
        <v>129</v>
      </c>
      <c r="G1188" s="14" t="s">
        <v>132</v>
      </c>
      <c r="H1188" s="4" t="s">
        <v>223</v>
      </c>
      <c r="I1188" s="4" t="s">
        <v>1025</v>
      </c>
      <c r="AL1188" s="11"/>
      <c r="AM1188" s="11"/>
      <c r="AN1188" s="11"/>
      <c r="AO1188" s="11"/>
      <c r="AP1188" s="11"/>
      <c r="AQ1188" s="11"/>
    </row>
    <row r="1189" spans="1:43" x14ac:dyDescent="0.25">
      <c r="A1189" s="44" t="str">
        <f t="shared" si="21"/>
        <v>NUCLEAR_MISSILE</v>
      </c>
      <c r="B1189" s="9" t="s">
        <v>770</v>
      </c>
      <c r="C1189" s="5"/>
      <c r="D1189" s="5"/>
      <c r="E1189" s="5" t="s">
        <v>770</v>
      </c>
      <c r="F1189" s="5" t="s">
        <v>799</v>
      </c>
      <c r="G1189" s="5"/>
      <c r="H1189" s="5" t="s">
        <v>1494</v>
      </c>
      <c r="I1189" s="5" t="s">
        <v>128</v>
      </c>
      <c r="J1189" s="6"/>
      <c r="K1189" s="7"/>
      <c r="L1189" s="13" t="s">
        <v>1708</v>
      </c>
      <c r="M1189" s="8"/>
      <c r="N1189" s="13" t="s">
        <v>1722</v>
      </c>
      <c r="O1189" s="13"/>
      <c r="P1189" s="13"/>
      <c r="Q1189" s="7">
        <v>1</v>
      </c>
      <c r="R1189" s="6" t="s">
        <v>1734</v>
      </c>
      <c r="S1189" s="5"/>
      <c r="T1189" s="6"/>
      <c r="U1189" s="6"/>
      <c r="V1189" s="5"/>
      <c r="W1189" s="6"/>
      <c r="X1189" s="6" t="s">
        <v>3</v>
      </c>
      <c r="Y1189" s="5"/>
      <c r="Z1189" s="6"/>
      <c r="AA1189" s="6">
        <v>0.14000000000000001</v>
      </c>
      <c r="AB1189" s="5"/>
      <c r="AC1189" s="6"/>
      <c r="AD1189" s="6" t="s">
        <v>3</v>
      </c>
      <c r="AE1189" s="5"/>
      <c r="AF1189" s="6"/>
      <c r="AG1189" s="6"/>
      <c r="AH1189" s="5"/>
      <c r="AI1189" s="6"/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44" t="str">
        <f t="shared" si="21"/>
        <v>NUCLEAR_SUBMARINE</v>
      </c>
      <c r="B1190" s="9" t="s">
        <v>771</v>
      </c>
      <c r="C1190" s="5"/>
      <c r="D1190" s="5"/>
      <c r="E1190" s="5" t="s">
        <v>771</v>
      </c>
      <c r="F1190" s="5" t="s">
        <v>800</v>
      </c>
      <c r="G1190" s="5"/>
      <c r="H1190" s="5" t="s">
        <v>1495</v>
      </c>
      <c r="I1190" s="5" t="s">
        <v>128</v>
      </c>
      <c r="J1190" s="6"/>
      <c r="K1190" s="7"/>
      <c r="L1190" s="13" t="s">
        <v>1713</v>
      </c>
      <c r="M1190" s="8"/>
      <c r="N1190" s="13" t="s">
        <v>1724</v>
      </c>
      <c r="O1190" s="13"/>
      <c r="P1190" s="13"/>
      <c r="Q1190" s="7">
        <v>1</v>
      </c>
      <c r="R1190" s="6">
        <v>0.1</v>
      </c>
      <c r="S1190" s="5"/>
      <c r="T1190" s="6"/>
      <c r="U1190" s="6">
        <v>0.12</v>
      </c>
      <c r="V1190" s="5"/>
      <c r="W1190" s="6"/>
      <c r="X1190" s="6"/>
      <c r="Y1190" s="5"/>
      <c r="Z1190" s="6"/>
      <c r="AA1190" s="6"/>
      <c r="AB1190" s="5"/>
      <c r="AC1190" s="6"/>
      <c r="AD1190" s="6"/>
      <c r="AE1190" s="5"/>
      <c r="AF1190" s="6"/>
      <c r="AG1190" s="6"/>
      <c r="AH1190" s="5"/>
      <c r="AI1190" s="6"/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44" t="str">
        <f t="shared" si="21"/>
        <v>NUCLEAR_SUBMARINE_AMER</v>
      </c>
      <c r="B1191" s="9" t="s">
        <v>771</v>
      </c>
      <c r="C1191" s="5" t="s">
        <v>697</v>
      </c>
      <c r="D1191" s="5" t="s">
        <v>699</v>
      </c>
      <c r="E1191" s="5" t="s">
        <v>771</v>
      </c>
      <c r="F1191" s="5" t="s">
        <v>800</v>
      </c>
      <c r="G1191" s="5"/>
      <c r="H1191" s="5"/>
      <c r="I1191" s="5"/>
      <c r="J1191" s="6"/>
      <c r="K1191" s="7"/>
      <c r="L1191" s="13"/>
      <c r="M1191" s="8"/>
      <c r="N1191" s="13"/>
      <c r="O1191" s="13"/>
      <c r="P1191" s="13"/>
      <c r="Q1191" s="7"/>
      <c r="R1191" s="6"/>
      <c r="S1191" s="5"/>
      <c r="T1191" s="6"/>
      <c r="U1191" s="6"/>
      <c r="V1191" s="5"/>
      <c r="W1191" s="6"/>
      <c r="X1191" s="6"/>
      <c r="Y1191" s="5"/>
      <c r="Z1191" s="6"/>
      <c r="AA1191" s="6"/>
      <c r="AB1191" s="5"/>
      <c r="AC1191" s="6"/>
      <c r="AD1191" s="6"/>
      <c r="AE1191" s="5"/>
      <c r="AF1191" s="6"/>
      <c r="AG1191" s="6"/>
      <c r="AH1191" s="5"/>
      <c r="AI1191" s="6"/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44" t="str">
        <f t="shared" si="21"/>
        <v>NUCLEAR_SUBMARINE_ASIA</v>
      </c>
      <c r="B1192" s="9" t="s">
        <v>771</v>
      </c>
      <c r="C1192" s="5" t="s">
        <v>693</v>
      </c>
      <c r="D1192" s="5" t="s">
        <v>698</v>
      </c>
      <c r="E1192" s="5" t="s">
        <v>771</v>
      </c>
      <c r="F1192" s="5" t="s">
        <v>800</v>
      </c>
      <c r="G1192" s="5"/>
      <c r="H1192" s="5"/>
      <c r="I1192" s="5"/>
      <c r="J1192" s="6"/>
      <c r="K1192" s="7"/>
      <c r="L1192" s="13"/>
      <c r="M1192" s="8"/>
      <c r="N1192" s="13"/>
      <c r="O1192" s="13"/>
      <c r="P1192" s="13"/>
      <c r="Q1192" s="7"/>
      <c r="R1192" s="6"/>
      <c r="S1192" s="5"/>
      <c r="T1192" s="6"/>
      <c r="U1192" s="6"/>
      <c r="V1192" s="5"/>
      <c r="W1192" s="6"/>
      <c r="X1192" s="6"/>
      <c r="Y1192" s="5"/>
      <c r="Z1192" s="6"/>
      <c r="AA1192" s="6"/>
      <c r="AB1192" s="5"/>
      <c r="AC1192" s="6"/>
      <c r="AD1192" s="6"/>
      <c r="AE1192" s="5"/>
      <c r="AF1192" s="6"/>
      <c r="AG1192" s="6"/>
      <c r="AH1192" s="5"/>
      <c r="AI1192" s="6"/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44" t="str">
        <f t="shared" si="21"/>
        <v>NUCLEAR_SUBMARINE_EASTEU</v>
      </c>
      <c r="B1193" s="9" t="s">
        <v>771</v>
      </c>
      <c r="C1193" s="5" t="s">
        <v>698</v>
      </c>
      <c r="D1193" s="5"/>
      <c r="E1193" s="5" t="s">
        <v>771</v>
      </c>
      <c r="F1193" s="5" t="s">
        <v>800</v>
      </c>
      <c r="G1193" s="5"/>
      <c r="H1193" s="5" t="s">
        <v>621</v>
      </c>
      <c r="I1193" s="5" t="s">
        <v>1062</v>
      </c>
      <c r="J1193" s="6"/>
      <c r="K1193" s="7"/>
      <c r="L1193" s="13"/>
      <c r="M1193" s="8"/>
      <c r="N1193" s="13"/>
      <c r="O1193" s="13"/>
      <c r="P1193" s="13"/>
      <c r="Q1193" s="7"/>
      <c r="R1193" s="6"/>
      <c r="S1193" s="5"/>
      <c r="T1193" s="6"/>
      <c r="U1193" s="6"/>
      <c r="V1193" s="5"/>
      <c r="W1193" s="6"/>
      <c r="X1193" s="6"/>
      <c r="Y1193" s="5"/>
      <c r="Z1193" s="6"/>
      <c r="AA1193" s="6"/>
      <c r="AB1193" s="5"/>
      <c r="AC1193" s="6"/>
      <c r="AD1193" s="6"/>
      <c r="AE1193" s="5"/>
      <c r="AF1193" s="6"/>
      <c r="AG1193" s="6"/>
      <c r="AH1193" s="5"/>
      <c r="AI1193" s="6"/>
      <c r="AJ1193" s="6"/>
      <c r="AK1193" s="5"/>
      <c r="AL1193" s="6"/>
      <c r="AM1193" s="6"/>
      <c r="AN1193" s="6"/>
      <c r="AO1193" s="6"/>
      <c r="AP1193" s="6"/>
      <c r="AQ1193" s="6"/>
    </row>
    <row r="1194" spans="1:43" x14ac:dyDescent="0.25">
      <c r="A1194" s="44" t="str">
        <f t="shared" si="21"/>
        <v>NUCLEAR_SUBMARINE_RUSSIA</v>
      </c>
      <c r="B1194" s="9" t="s">
        <v>771</v>
      </c>
      <c r="C1194" s="4" t="s">
        <v>735</v>
      </c>
      <c r="D1194" s="4" t="s">
        <v>698</v>
      </c>
      <c r="E1194" s="4" t="s">
        <v>771</v>
      </c>
      <c r="F1194" s="4" t="s">
        <v>800</v>
      </c>
      <c r="G1194" s="14" t="s">
        <v>132</v>
      </c>
      <c r="AL1194" s="11"/>
      <c r="AM1194" s="11"/>
      <c r="AN1194" s="11"/>
      <c r="AO1194" s="11"/>
      <c r="AP1194" s="11"/>
      <c r="AQ1194" s="11"/>
    </row>
    <row r="1195" spans="1:43" x14ac:dyDescent="0.25">
      <c r="A1195" s="44" t="str">
        <f t="shared" si="21"/>
        <v>NUCLEAR_SUBMARINE_AMERICA</v>
      </c>
      <c r="B1195" s="9" t="s">
        <v>771</v>
      </c>
      <c r="C1195" s="4" t="s">
        <v>699</v>
      </c>
      <c r="E1195" s="4" t="s">
        <v>771</v>
      </c>
      <c r="F1195" s="4" t="s">
        <v>800</v>
      </c>
      <c r="G1195" s="14"/>
      <c r="H1195" s="4" t="s">
        <v>146</v>
      </c>
      <c r="I1195" s="4" t="s">
        <v>1051</v>
      </c>
      <c r="AL1195" s="11"/>
      <c r="AM1195" s="11"/>
      <c r="AN1195" s="11"/>
      <c r="AO1195" s="11"/>
      <c r="AP1195" s="11"/>
      <c r="AQ1195" s="11"/>
    </row>
    <row r="1196" spans="1:43" x14ac:dyDescent="0.25">
      <c r="A1196" s="44" t="str">
        <f t="shared" si="21"/>
        <v>NUCLEAR_SUBMARINE_AUSTRALIA</v>
      </c>
      <c r="B1196" s="9" t="s">
        <v>771</v>
      </c>
      <c r="C1196" s="4" t="s">
        <v>1300</v>
      </c>
      <c r="D1196" s="4" t="s">
        <v>713</v>
      </c>
      <c r="E1196" s="4" t="s">
        <v>771</v>
      </c>
      <c r="F1196" s="4" t="s">
        <v>800</v>
      </c>
      <c r="G1196" s="14"/>
      <c r="AL1196" s="11"/>
      <c r="AM1196" s="11"/>
      <c r="AN1196" s="11"/>
      <c r="AO1196" s="11"/>
      <c r="AP1196" s="11"/>
      <c r="AQ1196" s="11"/>
    </row>
    <row r="1197" spans="1:43" x14ac:dyDescent="0.25">
      <c r="A1197" s="44" t="str">
        <f t="shared" si="21"/>
        <v>NUCLEAR_SUBMARINE_CANADA</v>
      </c>
      <c r="B1197" s="9" t="s">
        <v>771</v>
      </c>
      <c r="C1197" s="4" t="s">
        <v>2187</v>
      </c>
      <c r="D1197" s="4" t="s">
        <v>713</v>
      </c>
      <c r="E1197" s="4" t="s">
        <v>771</v>
      </c>
      <c r="F1197" s="4" t="s">
        <v>800</v>
      </c>
      <c r="G1197" s="14"/>
      <c r="AL1197" s="11"/>
      <c r="AM1197" s="11"/>
      <c r="AN1197" s="11"/>
      <c r="AO1197" s="11"/>
      <c r="AP1197" s="11"/>
      <c r="AQ1197" s="11"/>
    </row>
    <row r="1198" spans="1:43" x14ac:dyDescent="0.25">
      <c r="A1198" s="44" t="str">
        <f t="shared" si="21"/>
        <v>NUCLEAR_SUBMARINE_CELTS</v>
      </c>
      <c r="B1198" s="9" t="s">
        <v>771</v>
      </c>
      <c r="C1198" s="4" t="s">
        <v>709</v>
      </c>
      <c r="D1198" s="4" t="s">
        <v>713</v>
      </c>
      <c r="E1198" s="4" t="s">
        <v>771</v>
      </c>
      <c r="F1198" s="4" t="s">
        <v>800</v>
      </c>
      <c r="G1198" s="14"/>
      <c r="AL1198" s="11"/>
      <c r="AM1198" s="11"/>
      <c r="AN1198" s="11"/>
      <c r="AO1198" s="11"/>
      <c r="AP1198" s="11"/>
      <c r="AQ1198" s="11"/>
    </row>
    <row r="1199" spans="1:43" x14ac:dyDescent="0.25">
      <c r="A1199" s="44" t="str">
        <f t="shared" si="21"/>
        <v>NUCLEAR_SUBMARINE_ENGLAND</v>
      </c>
      <c r="B1199" s="9" t="s">
        <v>771</v>
      </c>
      <c r="C1199" s="4" t="s">
        <v>713</v>
      </c>
      <c r="E1199" s="4" t="s">
        <v>771</v>
      </c>
      <c r="F1199" s="4" t="s">
        <v>800</v>
      </c>
      <c r="G1199" s="14" t="s">
        <v>132</v>
      </c>
      <c r="H1199" s="4" t="s">
        <v>307</v>
      </c>
      <c r="I1199" s="4" t="s">
        <v>1058</v>
      </c>
      <c r="AL1199" s="11"/>
      <c r="AM1199" s="11"/>
      <c r="AN1199" s="11"/>
      <c r="AO1199" s="11"/>
      <c r="AP1199" s="11"/>
      <c r="AQ1199" s="11"/>
    </row>
    <row r="1200" spans="1:43" x14ac:dyDescent="0.25">
      <c r="A1200" s="44" t="str">
        <f t="shared" si="21"/>
        <v>NUCLEAR_SUBMARINE_OCEAN</v>
      </c>
      <c r="B1200" s="9" t="s">
        <v>771</v>
      </c>
      <c r="C1200" s="4" t="s">
        <v>994</v>
      </c>
      <c r="D1200" s="4" t="s">
        <v>699</v>
      </c>
      <c r="E1200" s="4" t="s">
        <v>771</v>
      </c>
      <c r="F1200" s="4" t="s">
        <v>800</v>
      </c>
      <c r="G1200" s="14"/>
      <c r="AL1200" s="11"/>
      <c r="AM1200" s="11"/>
      <c r="AN1200" s="11"/>
      <c r="AO1200" s="11"/>
      <c r="AP1200" s="11"/>
      <c r="AQ1200" s="11"/>
    </row>
    <row r="1201" spans="1:43" x14ac:dyDescent="0.25">
      <c r="A1201" s="44" t="str">
        <f t="shared" si="21"/>
        <v>PARATROOPER</v>
      </c>
      <c r="B1201" s="9" t="s">
        <v>108</v>
      </c>
      <c r="C1201" s="5"/>
      <c r="D1201" s="5"/>
      <c r="E1201" s="5" t="s">
        <v>108</v>
      </c>
      <c r="F1201" s="5" t="s">
        <v>108</v>
      </c>
      <c r="G1201" s="5"/>
      <c r="H1201" s="5" t="s">
        <v>2112</v>
      </c>
      <c r="I1201" s="5" t="s">
        <v>102</v>
      </c>
      <c r="J1201" s="6"/>
      <c r="K1201" s="6"/>
      <c r="L1201" s="13" t="s">
        <v>1705</v>
      </c>
      <c r="M1201" s="8"/>
      <c r="N1201" s="5"/>
      <c r="O1201" s="5"/>
      <c r="P1201" s="5"/>
      <c r="Q1201" s="6">
        <v>3</v>
      </c>
      <c r="R1201" s="6" t="s">
        <v>1734</v>
      </c>
      <c r="S1201" s="13" t="s">
        <v>1617</v>
      </c>
      <c r="T1201" s="6">
        <v>3</v>
      </c>
      <c r="U1201" s="7" t="s">
        <v>1734</v>
      </c>
      <c r="V1201" s="5"/>
      <c r="W1201" s="7" t="s">
        <v>3</v>
      </c>
      <c r="X1201" s="6" t="s">
        <v>3</v>
      </c>
      <c r="Y1201" s="5"/>
      <c r="Z1201" s="7">
        <v>1</v>
      </c>
      <c r="AA1201" s="6"/>
      <c r="AB1201" s="5"/>
      <c r="AC1201" s="6"/>
      <c r="AD1201" s="6" t="s">
        <v>3</v>
      </c>
      <c r="AE1201" s="5"/>
      <c r="AF1201" s="6">
        <v>2</v>
      </c>
      <c r="AG1201" s="6"/>
      <c r="AH1201" s="5"/>
      <c r="AI1201" s="6">
        <v>2</v>
      </c>
      <c r="AJ1201" s="6"/>
      <c r="AK1201" s="5"/>
      <c r="AL1201" s="6"/>
      <c r="AM1201" s="6"/>
      <c r="AN1201" s="6"/>
      <c r="AO1201" s="6"/>
      <c r="AP1201" s="6"/>
      <c r="AQ1201" s="6"/>
    </row>
    <row r="1202" spans="1:43" x14ac:dyDescent="0.25">
      <c r="A1202" s="44" t="str">
        <f t="shared" si="21"/>
        <v>PARATROOPER</v>
      </c>
      <c r="B1202" s="9" t="s">
        <v>108</v>
      </c>
      <c r="C1202" s="5"/>
      <c r="D1202" s="5"/>
      <c r="E1202" s="5" t="s">
        <v>108</v>
      </c>
      <c r="F1202" s="5" t="s">
        <v>108</v>
      </c>
      <c r="G1202" s="5" t="s">
        <v>2039</v>
      </c>
      <c r="H1202" s="5" t="s">
        <v>2114</v>
      </c>
      <c r="I1202" s="5" t="s">
        <v>102</v>
      </c>
      <c r="J1202" s="6"/>
      <c r="K1202" s="6"/>
      <c r="L1202" s="13" t="s">
        <v>1705</v>
      </c>
      <c r="M1202" s="8"/>
      <c r="N1202" s="5"/>
      <c r="O1202" s="5"/>
      <c r="P1202" s="5"/>
      <c r="Q1202" s="6">
        <v>1</v>
      </c>
      <c r="R1202" s="6" t="s">
        <v>1734</v>
      </c>
      <c r="S1202" s="13" t="s">
        <v>1617</v>
      </c>
      <c r="T1202" s="6">
        <v>1</v>
      </c>
      <c r="U1202" s="7" t="s">
        <v>1734</v>
      </c>
      <c r="V1202" s="5"/>
      <c r="W1202" s="7" t="s">
        <v>3</v>
      </c>
      <c r="X1202" s="6" t="s">
        <v>3</v>
      </c>
      <c r="Y1202" s="5"/>
      <c r="Z1202" s="7">
        <v>0</v>
      </c>
      <c r="AA1202" s="6"/>
      <c r="AB1202" s="5"/>
      <c r="AC1202" s="6"/>
      <c r="AD1202" s="6" t="s">
        <v>3</v>
      </c>
      <c r="AE1202" s="5"/>
      <c r="AF1202" s="6">
        <v>1</v>
      </c>
      <c r="AG1202" s="6"/>
      <c r="AH1202" s="5"/>
      <c r="AI1202" s="6">
        <v>1</v>
      </c>
      <c r="AJ1202" s="6"/>
      <c r="AK1202" s="5"/>
      <c r="AL1202" s="6"/>
      <c r="AM1202" s="6"/>
      <c r="AN1202" s="6"/>
      <c r="AO1202" s="6"/>
      <c r="AP1202" s="6"/>
      <c r="AQ1202" s="6"/>
    </row>
    <row r="1203" spans="1:43" x14ac:dyDescent="0.25">
      <c r="A1203" s="44" t="str">
        <f>CONCATENATE(E1203,IF(ISBLANK(C1203),"",CONCATENATE("_",C1203)))</f>
        <v>PARATROOPER</v>
      </c>
      <c r="B1203" s="9" t="s">
        <v>108</v>
      </c>
      <c r="C1203" s="5"/>
      <c r="D1203" s="5"/>
      <c r="E1203" s="5" t="s">
        <v>108</v>
      </c>
      <c r="F1203" s="5" t="s">
        <v>108</v>
      </c>
      <c r="G1203" s="5" t="s">
        <v>2041</v>
      </c>
      <c r="H1203" s="5" t="s">
        <v>2111</v>
      </c>
      <c r="I1203" s="5" t="s">
        <v>102</v>
      </c>
      <c r="J1203" s="6"/>
      <c r="K1203" s="6"/>
      <c r="L1203" s="13" t="s">
        <v>1705</v>
      </c>
      <c r="M1203" s="8"/>
      <c r="N1203" s="5"/>
      <c r="O1203" s="5"/>
      <c r="P1203" s="5"/>
      <c r="Q1203" s="6">
        <v>0</v>
      </c>
      <c r="R1203" s="6" t="s">
        <v>1734</v>
      </c>
      <c r="S1203" s="13" t="s">
        <v>1617</v>
      </c>
      <c r="T1203" s="6">
        <v>1</v>
      </c>
      <c r="U1203" s="7" t="s">
        <v>1734</v>
      </c>
      <c r="V1203" s="5"/>
      <c r="W1203" s="7" t="s">
        <v>3</v>
      </c>
      <c r="X1203" s="6" t="s">
        <v>3</v>
      </c>
      <c r="Y1203" s="5"/>
      <c r="Z1203" s="7">
        <v>0</v>
      </c>
      <c r="AA1203" s="6"/>
      <c r="AB1203" s="5"/>
      <c r="AC1203" s="6"/>
      <c r="AD1203" s="6" t="s">
        <v>3</v>
      </c>
      <c r="AE1203" s="5"/>
      <c r="AF1203" s="6">
        <v>0</v>
      </c>
      <c r="AG1203" s="6"/>
      <c r="AH1203" s="5"/>
      <c r="AI1203" s="6">
        <v>0</v>
      </c>
      <c r="AJ1203" s="6"/>
      <c r="AK1203" s="5"/>
      <c r="AL1203" s="6"/>
      <c r="AM1203" s="6"/>
      <c r="AN1203" s="6"/>
      <c r="AO1203" s="6"/>
      <c r="AP1203" s="6"/>
      <c r="AQ1203" s="6"/>
    </row>
    <row r="1204" spans="1:43" x14ac:dyDescent="0.25">
      <c r="A1204" s="44" t="str">
        <f>CONCATENATE(E1204,IF(ISBLANK(C1204),"",CONCATENATE("_",C1204)))</f>
        <v>PARATROOPER</v>
      </c>
      <c r="B1204" s="9" t="s">
        <v>108</v>
      </c>
      <c r="C1204" s="5"/>
      <c r="D1204" s="5"/>
      <c r="E1204" s="5" t="s">
        <v>108</v>
      </c>
      <c r="F1204" s="5" t="s">
        <v>108</v>
      </c>
      <c r="G1204" s="5" t="s">
        <v>2039</v>
      </c>
      <c r="H1204" s="5" t="s">
        <v>2114</v>
      </c>
      <c r="I1204" s="5" t="s">
        <v>102</v>
      </c>
      <c r="J1204" s="6"/>
      <c r="K1204" s="6"/>
      <c r="L1204" s="13" t="s">
        <v>1705</v>
      </c>
      <c r="M1204" s="8"/>
      <c r="N1204" s="5"/>
      <c r="O1204" s="5"/>
      <c r="P1204" s="5"/>
      <c r="Q1204" s="7">
        <v>1</v>
      </c>
      <c r="R1204" s="6" t="s">
        <v>1734</v>
      </c>
      <c r="S1204" s="13" t="s">
        <v>1617</v>
      </c>
      <c r="T1204" s="7">
        <v>1</v>
      </c>
      <c r="U1204" s="7" t="s">
        <v>1734</v>
      </c>
      <c r="V1204" s="5"/>
      <c r="W1204" s="7" t="s">
        <v>3</v>
      </c>
      <c r="X1204" s="6" t="s">
        <v>3</v>
      </c>
      <c r="Y1204" s="5"/>
      <c r="Z1204" s="7">
        <v>0</v>
      </c>
      <c r="AA1204" s="6"/>
      <c r="AB1204" s="5"/>
      <c r="AC1204" s="6"/>
      <c r="AD1204" s="6" t="s">
        <v>3</v>
      </c>
      <c r="AE1204" s="5"/>
      <c r="AF1204" s="7">
        <v>0</v>
      </c>
      <c r="AG1204" s="6"/>
      <c r="AH1204" s="5"/>
      <c r="AI1204" s="7">
        <v>0</v>
      </c>
      <c r="AJ1204" s="6"/>
      <c r="AK1204" s="5"/>
      <c r="AL1204" s="6"/>
      <c r="AM1204" s="6"/>
      <c r="AN1204" s="6"/>
      <c r="AO1204" s="6"/>
      <c r="AP1204" s="6"/>
      <c r="AQ1204" s="6"/>
    </row>
    <row r="1205" spans="1:43" x14ac:dyDescent="0.25">
      <c r="A1205" s="44" t="str">
        <f t="shared" si="21"/>
        <v>PARATROOPER</v>
      </c>
      <c r="B1205" s="9" t="s">
        <v>108</v>
      </c>
      <c r="C1205" s="5"/>
      <c r="D1205" s="5"/>
      <c r="E1205" s="5" t="s">
        <v>108</v>
      </c>
      <c r="F1205" s="5" t="s">
        <v>108</v>
      </c>
      <c r="G1205" s="5"/>
      <c r="H1205" s="5" t="s">
        <v>2112</v>
      </c>
      <c r="I1205" s="5" t="s">
        <v>102</v>
      </c>
      <c r="J1205" s="6"/>
      <c r="K1205" s="6"/>
      <c r="L1205" s="13" t="s">
        <v>1705</v>
      </c>
      <c r="M1205" s="8"/>
      <c r="N1205" s="5"/>
      <c r="O1205" s="5"/>
      <c r="P1205" s="5"/>
      <c r="Q1205" s="6">
        <v>4</v>
      </c>
      <c r="R1205" s="6" t="s">
        <v>1734</v>
      </c>
      <c r="S1205" s="13" t="s">
        <v>1617</v>
      </c>
      <c r="T1205" s="6">
        <v>5</v>
      </c>
      <c r="U1205" s="7" t="s">
        <v>1734</v>
      </c>
      <c r="V1205" s="5"/>
      <c r="W1205" s="7" t="s">
        <v>3</v>
      </c>
      <c r="X1205" s="6" t="s">
        <v>3</v>
      </c>
      <c r="Y1205" s="5"/>
      <c r="Z1205" s="7">
        <v>0</v>
      </c>
      <c r="AA1205" s="6"/>
      <c r="AB1205" s="5"/>
      <c r="AC1205" s="6"/>
      <c r="AD1205" s="6" t="s">
        <v>3</v>
      </c>
      <c r="AE1205" s="5"/>
      <c r="AF1205" s="6">
        <v>0</v>
      </c>
      <c r="AG1205" s="6"/>
      <c r="AH1205" s="5"/>
      <c r="AI1205" s="6">
        <v>2</v>
      </c>
      <c r="AJ1205" s="6"/>
      <c r="AK1205" s="5"/>
      <c r="AL1205" s="6"/>
      <c r="AM1205" s="6"/>
      <c r="AN1205" s="6"/>
      <c r="AO1205" s="6"/>
      <c r="AP1205" s="6"/>
      <c r="AQ1205" s="6"/>
    </row>
    <row r="1206" spans="1:43" x14ac:dyDescent="0.25">
      <c r="A1206" s="44" t="str">
        <f t="shared" si="21"/>
        <v>PARATROOPER</v>
      </c>
      <c r="B1206" s="9" t="s">
        <v>108</v>
      </c>
      <c r="C1206" s="5"/>
      <c r="D1206" s="5"/>
      <c r="E1206" s="5" t="s">
        <v>108</v>
      </c>
      <c r="F1206" s="5" t="s">
        <v>108</v>
      </c>
      <c r="G1206" s="5" t="s">
        <v>2040</v>
      </c>
      <c r="H1206" s="5" t="s">
        <v>2113</v>
      </c>
      <c r="I1206" s="5" t="s">
        <v>102</v>
      </c>
      <c r="J1206" s="6"/>
      <c r="K1206" s="6"/>
      <c r="L1206" s="13" t="s">
        <v>1705</v>
      </c>
      <c r="M1206" s="8"/>
      <c r="N1206" s="5"/>
      <c r="O1206" s="5"/>
      <c r="P1206" s="5"/>
      <c r="Q1206" s="7">
        <v>1</v>
      </c>
      <c r="R1206" s="6" t="s">
        <v>1734</v>
      </c>
      <c r="S1206" s="13" t="s">
        <v>1617</v>
      </c>
      <c r="T1206" s="7">
        <v>1</v>
      </c>
      <c r="U1206" s="7" t="s">
        <v>1734</v>
      </c>
      <c r="V1206" s="5"/>
      <c r="W1206" s="7" t="s">
        <v>3</v>
      </c>
      <c r="X1206" s="6" t="s">
        <v>3</v>
      </c>
      <c r="Y1206" s="5"/>
      <c r="Z1206" s="7">
        <v>0</v>
      </c>
      <c r="AA1206" s="6"/>
      <c r="AB1206" s="5"/>
      <c r="AC1206" s="6"/>
      <c r="AD1206" s="6" t="s">
        <v>3</v>
      </c>
      <c r="AE1206" s="5"/>
      <c r="AF1206" s="7">
        <v>0</v>
      </c>
      <c r="AG1206" s="6"/>
      <c r="AH1206" s="5"/>
      <c r="AI1206" s="7">
        <v>0</v>
      </c>
      <c r="AJ1206" s="6"/>
      <c r="AK1206" s="5"/>
      <c r="AL1206" s="6"/>
      <c r="AM1206" s="6"/>
      <c r="AN1206" s="6"/>
      <c r="AO1206" s="6"/>
      <c r="AP1206" s="6"/>
      <c r="AQ1206" s="6"/>
    </row>
    <row r="1207" spans="1:43" x14ac:dyDescent="0.25">
      <c r="A1207" s="44" t="str">
        <f t="shared" si="21"/>
        <v>PARATROOPER_AMER</v>
      </c>
      <c r="B1207" s="9" t="s">
        <v>108</v>
      </c>
      <c r="C1207" s="4" t="s">
        <v>697</v>
      </c>
      <c r="D1207" s="4" t="s">
        <v>994</v>
      </c>
      <c r="E1207" s="4" t="s">
        <v>108</v>
      </c>
      <c r="F1207" s="4" t="s">
        <v>108</v>
      </c>
      <c r="G1207" s="14"/>
      <c r="AL1207" s="11"/>
      <c r="AM1207" s="11"/>
      <c r="AN1207" s="11"/>
      <c r="AO1207" s="11"/>
      <c r="AP1207" s="11"/>
      <c r="AQ1207" s="11"/>
    </row>
    <row r="1208" spans="1:43" x14ac:dyDescent="0.25">
      <c r="A1208" s="44" t="str">
        <f t="shared" si="21"/>
        <v>PARATROOPER_ASIA</v>
      </c>
      <c r="B1208" s="9" t="s">
        <v>108</v>
      </c>
      <c r="C1208" s="4" t="s">
        <v>693</v>
      </c>
      <c r="E1208" s="4" t="s">
        <v>108</v>
      </c>
      <c r="F1208" s="4" t="s">
        <v>108</v>
      </c>
      <c r="H1208" s="4" t="s">
        <v>954</v>
      </c>
      <c r="I1208" s="4" t="s">
        <v>102</v>
      </c>
      <c r="Q1208" s="11">
        <v>4</v>
      </c>
      <c r="T1208" s="11">
        <v>4</v>
      </c>
      <c r="Z1208" s="11">
        <v>1</v>
      </c>
      <c r="AF1208" s="11">
        <v>1</v>
      </c>
      <c r="AI1208" s="11">
        <v>2</v>
      </c>
      <c r="AL1208" s="11"/>
      <c r="AM1208" s="11"/>
      <c r="AN1208" s="11"/>
      <c r="AO1208" s="11"/>
      <c r="AP1208" s="11"/>
      <c r="AQ1208" s="11"/>
    </row>
    <row r="1209" spans="1:43" x14ac:dyDescent="0.25">
      <c r="A1209" s="44" t="str">
        <f t="shared" si="21"/>
        <v>PARATROOPER_ASIA</v>
      </c>
      <c r="B1209" s="9" t="s">
        <v>108</v>
      </c>
      <c r="C1209" s="4" t="s">
        <v>693</v>
      </c>
      <c r="E1209" s="4" t="s">
        <v>108</v>
      </c>
      <c r="F1209" s="4" t="s">
        <v>108</v>
      </c>
      <c r="G1209" s="4" t="s">
        <v>2039</v>
      </c>
      <c r="H1209" s="4" t="s">
        <v>486</v>
      </c>
      <c r="I1209" s="4" t="s">
        <v>102</v>
      </c>
      <c r="Q1209" s="11">
        <v>1</v>
      </c>
      <c r="T1209" s="11">
        <v>2</v>
      </c>
      <c r="Z1209" s="11">
        <v>0</v>
      </c>
      <c r="AF1209" s="11">
        <v>1</v>
      </c>
      <c r="AI1209" s="11">
        <v>1</v>
      </c>
      <c r="AL1209" s="11"/>
      <c r="AM1209" s="11"/>
      <c r="AN1209" s="11"/>
      <c r="AO1209" s="11"/>
      <c r="AP1209" s="11"/>
      <c r="AQ1209" s="11"/>
    </row>
    <row r="1210" spans="1:43" x14ac:dyDescent="0.25">
      <c r="A1210" s="44" t="str">
        <f t="shared" si="21"/>
        <v>PARATROOPER_ASIA</v>
      </c>
      <c r="B1210" s="9" t="s">
        <v>108</v>
      </c>
      <c r="C1210" s="4" t="s">
        <v>693</v>
      </c>
      <c r="E1210" s="4" t="s">
        <v>108</v>
      </c>
      <c r="F1210" s="4" t="s">
        <v>108</v>
      </c>
      <c r="H1210" s="4" t="s">
        <v>954</v>
      </c>
      <c r="I1210" s="4" t="s">
        <v>102</v>
      </c>
      <c r="Q1210" s="11">
        <v>4</v>
      </c>
      <c r="T1210" s="11">
        <v>4</v>
      </c>
      <c r="Z1210" s="11">
        <v>0</v>
      </c>
      <c r="AF1210" s="11">
        <v>1</v>
      </c>
      <c r="AI1210" s="11">
        <v>2</v>
      </c>
      <c r="AL1210" s="11"/>
      <c r="AM1210" s="11"/>
      <c r="AN1210" s="11"/>
      <c r="AO1210" s="11"/>
      <c r="AP1210" s="11"/>
      <c r="AQ1210" s="11"/>
    </row>
    <row r="1211" spans="1:43" x14ac:dyDescent="0.25">
      <c r="A1211" s="44" t="str">
        <f t="shared" si="21"/>
        <v>PARATROOPER_ASIA</v>
      </c>
      <c r="B1211" s="9" t="s">
        <v>108</v>
      </c>
      <c r="C1211" s="4" t="s">
        <v>693</v>
      </c>
      <c r="E1211" s="4" t="s">
        <v>108</v>
      </c>
      <c r="F1211" s="4" t="s">
        <v>108</v>
      </c>
      <c r="G1211" s="4" t="s">
        <v>2039</v>
      </c>
      <c r="H1211" s="4" t="s">
        <v>486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  <c r="AL1211" s="11"/>
      <c r="AM1211" s="11"/>
      <c r="AN1211" s="11"/>
      <c r="AO1211" s="11"/>
      <c r="AP1211" s="11"/>
      <c r="AQ1211" s="11"/>
    </row>
    <row r="1212" spans="1:43" x14ac:dyDescent="0.25">
      <c r="A1212" s="44" t="str">
        <f t="shared" si="21"/>
        <v>PARATROOPER_CHINA</v>
      </c>
      <c r="B1212" s="9" t="s">
        <v>108</v>
      </c>
      <c r="C1212" s="4" t="s">
        <v>710</v>
      </c>
      <c r="E1212" s="4" t="s">
        <v>108</v>
      </c>
      <c r="F1212" s="4" t="s">
        <v>108</v>
      </c>
      <c r="H1212" s="4" t="s">
        <v>829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  <c r="AL1212" s="11"/>
      <c r="AM1212" s="11"/>
      <c r="AN1212" s="11"/>
      <c r="AO1212" s="11"/>
      <c r="AP1212" s="11"/>
      <c r="AQ1212" s="11"/>
    </row>
    <row r="1213" spans="1:43" x14ac:dyDescent="0.25">
      <c r="A1213" s="44" t="str">
        <f t="shared" si="21"/>
        <v>PARATROOPER_CHINA</v>
      </c>
      <c r="B1213" s="9" t="s">
        <v>108</v>
      </c>
      <c r="C1213" s="4" t="s">
        <v>710</v>
      </c>
      <c r="E1213" s="4" t="s">
        <v>108</v>
      </c>
      <c r="F1213" s="4" t="s">
        <v>108</v>
      </c>
      <c r="G1213" s="4" t="s">
        <v>2039</v>
      </c>
      <c r="H1213" s="4" t="s">
        <v>255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  <c r="AL1213" s="11"/>
      <c r="AM1213" s="11"/>
      <c r="AN1213" s="11"/>
      <c r="AO1213" s="11"/>
      <c r="AP1213" s="11"/>
      <c r="AQ1213" s="11"/>
    </row>
    <row r="1214" spans="1:43" x14ac:dyDescent="0.25">
      <c r="A1214" s="44" t="str">
        <f t="shared" si="21"/>
        <v>PARATROOPER_CHINA</v>
      </c>
      <c r="B1214" s="9" t="s">
        <v>108</v>
      </c>
      <c r="C1214" s="4" t="s">
        <v>710</v>
      </c>
      <c r="E1214" s="4" t="s">
        <v>108</v>
      </c>
      <c r="F1214" s="4" t="s">
        <v>108</v>
      </c>
      <c r="H1214" s="4" t="s">
        <v>829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  <c r="AL1214" s="11"/>
      <c r="AM1214" s="11"/>
      <c r="AN1214" s="11"/>
      <c r="AO1214" s="11"/>
      <c r="AP1214" s="11"/>
      <c r="AQ1214" s="11"/>
    </row>
    <row r="1215" spans="1:43" x14ac:dyDescent="0.25">
      <c r="A1215" s="44" t="str">
        <f t="shared" si="21"/>
        <v>PARATROOPER_CHINA</v>
      </c>
      <c r="B1215" s="9" t="s">
        <v>108</v>
      </c>
      <c r="C1215" s="4" t="s">
        <v>710</v>
      </c>
      <c r="E1215" s="4" t="s">
        <v>108</v>
      </c>
      <c r="F1215" s="4" t="s">
        <v>108</v>
      </c>
      <c r="G1215" s="4" t="s">
        <v>2039</v>
      </c>
      <c r="H1215" s="4" t="s">
        <v>255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  <c r="AL1215" s="11"/>
      <c r="AM1215" s="11"/>
      <c r="AN1215" s="11"/>
      <c r="AO1215" s="11"/>
      <c r="AP1215" s="11"/>
      <c r="AQ1215" s="11"/>
    </row>
    <row r="1216" spans="1:43" x14ac:dyDescent="0.25">
      <c r="A1216" s="44" t="str">
        <f t="shared" ref="A1216:A1287" si="22">CONCATENATE(E1216,IF(ISBLANK(C1216),"",CONCATENATE("_",C1216)))</f>
        <v>PARATROOPER_JAPAN</v>
      </c>
      <c r="B1216" s="9" t="s">
        <v>108</v>
      </c>
      <c r="C1216" s="4" t="s">
        <v>722</v>
      </c>
      <c r="D1216" s="4" t="s">
        <v>693</v>
      </c>
      <c r="E1216" s="4" t="s">
        <v>108</v>
      </c>
      <c r="F1216" s="4" t="s">
        <v>108</v>
      </c>
      <c r="I1216" s="4" t="s">
        <v>102</v>
      </c>
      <c r="Q1216" s="9"/>
      <c r="AL1216" s="11"/>
      <c r="AM1216" s="11"/>
      <c r="AN1216" s="11"/>
      <c r="AO1216" s="11"/>
      <c r="AP1216" s="11"/>
      <c r="AQ1216" s="11"/>
    </row>
    <row r="1217" spans="1:43" x14ac:dyDescent="0.25">
      <c r="A1217" s="44" t="str">
        <f t="shared" si="22"/>
        <v>PARATROOPER_HUNS</v>
      </c>
      <c r="B1217" s="9" t="s">
        <v>108</v>
      </c>
      <c r="C1217" s="4" t="s">
        <v>904</v>
      </c>
      <c r="E1217" s="4" t="s">
        <v>108</v>
      </c>
      <c r="F1217" s="4" t="s">
        <v>108</v>
      </c>
      <c r="H1217" s="4" t="s">
        <v>911</v>
      </c>
      <c r="I1217" s="4" t="s">
        <v>102</v>
      </c>
      <c r="Q1217" s="9">
        <v>4</v>
      </c>
      <c r="T1217" s="11">
        <v>4</v>
      </c>
      <c r="Z1217" s="9">
        <v>1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44" t="str">
        <f t="shared" si="22"/>
        <v>PARATROOPER_HUNS</v>
      </c>
      <c r="B1218" s="9" t="s">
        <v>108</v>
      </c>
      <c r="C1218" s="4" t="s">
        <v>904</v>
      </c>
      <c r="E1218" s="4" t="s">
        <v>108</v>
      </c>
      <c r="F1218" s="4" t="s">
        <v>108</v>
      </c>
      <c r="G1218" s="4" t="s">
        <v>2039</v>
      </c>
      <c r="H1218" s="4" t="s">
        <v>912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1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44" t="str">
        <f t="shared" si="22"/>
        <v>PARATROOPER_HUNS</v>
      </c>
      <c r="B1219" s="9" t="s">
        <v>108</v>
      </c>
      <c r="C1219" s="4" t="s">
        <v>904</v>
      </c>
      <c r="E1219" s="4" t="s">
        <v>108</v>
      </c>
      <c r="F1219" s="4" t="s">
        <v>108</v>
      </c>
      <c r="H1219" s="4" t="s">
        <v>911</v>
      </c>
      <c r="I1219" s="4" t="s">
        <v>102</v>
      </c>
      <c r="Q1219" s="9">
        <v>4</v>
      </c>
      <c r="T1219" s="11">
        <v>4</v>
      </c>
      <c r="Z1219" s="9">
        <v>0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44" t="str">
        <f t="shared" si="22"/>
        <v>PARATROOPER_HUNS</v>
      </c>
      <c r="B1220" s="9" t="s">
        <v>108</v>
      </c>
      <c r="C1220" s="4" t="s">
        <v>904</v>
      </c>
      <c r="E1220" s="4" t="s">
        <v>108</v>
      </c>
      <c r="F1220" s="4" t="s">
        <v>108</v>
      </c>
      <c r="G1220" s="4" t="s">
        <v>2039</v>
      </c>
      <c r="H1220" s="4" t="s">
        <v>912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0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44" t="str">
        <f t="shared" si="22"/>
        <v>PARATROOPER_EASTEU</v>
      </c>
      <c r="B1221" s="9" t="s">
        <v>108</v>
      </c>
      <c r="C1221" s="4" t="s">
        <v>698</v>
      </c>
      <c r="E1221" s="4" t="s">
        <v>108</v>
      </c>
      <c r="F1221" s="4" t="s">
        <v>108</v>
      </c>
      <c r="H1221" s="4" t="s">
        <v>969</v>
      </c>
      <c r="I1221" s="4" t="s">
        <v>102</v>
      </c>
      <c r="Q1221" s="9">
        <v>4</v>
      </c>
      <c r="T1221" s="11">
        <v>4</v>
      </c>
      <c r="Z1221" s="9">
        <v>1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44" t="str">
        <f t="shared" si="22"/>
        <v>PARATROOPER_EASTEU</v>
      </c>
      <c r="B1222" s="9" t="s">
        <v>108</v>
      </c>
      <c r="C1222" s="4" t="s">
        <v>698</v>
      </c>
      <c r="E1222" s="4" t="s">
        <v>108</v>
      </c>
      <c r="F1222" s="4" t="s">
        <v>108</v>
      </c>
      <c r="G1222" s="4" t="s">
        <v>2039</v>
      </c>
      <c r="H1222" s="4" t="s">
        <v>573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1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44" t="str">
        <f t="shared" si="22"/>
        <v>PARATROOPER_EASTEU</v>
      </c>
      <c r="B1223" s="9" t="s">
        <v>108</v>
      </c>
      <c r="C1223" s="4" t="s">
        <v>698</v>
      </c>
      <c r="E1223" s="4" t="s">
        <v>108</v>
      </c>
      <c r="F1223" s="4" t="s">
        <v>108</v>
      </c>
      <c r="H1223" s="4" t="s">
        <v>969</v>
      </c>
      <c r="I1223" s="4" t="s">
        <v>102</v>
      </c>
      <c r="Q1223" s="9">
        <v>4</v>
      </c>
      <c r="T1223" s="11">
        <v>4</v>
      </c>
      <c r="Z1223" s="9">
        <v>0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44" t="str">
        <f t="shared" si="22"/>
        <v>PARATROOPER_EASTEU</v>
      </c>
      <c r="B1224" s="9" t="s">
        <v>108</v>
      </c>
      <c r="C1224" s="4" t="s">
        <v>698</v>
      </c>
      <c r="E1224" s="4" t="s">
        <v>108</v>
      </c>
      <c r="F1224" s="4" t="s">
        <v>108</v>
      </c>
      <c r="G1224" s="4" t="s">
        <v>2039</v>
      </c>
      <c r="H1224" s="4" t="s">
        <v>573</v>
      </c>
      <c r="I1224" s="4" t="s">
        <v>102</v>
      </c>
      <c r="Q1224" s="9">
        <v>1</v>
      </c>
      <c r="T1224" s="11">
        <v>2</v>
      </c>
      <c r="Z1224" s="9">
        <v>0</v>
      </c>
      <c r="AF1224" s="11">
        <v>0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44" t="str">
        <f t="shared" si="22"/>
        <v>PARATROOPER_RUSSIA</v>
      </c>
      <c r="B1225" s="9" t="s">
        <v>108</v>
      </c>
      <c r="C1225" s="4" t="s">
        <v>735</v>
      </c>
      <c r="E1225" s="4" t="s">
        <v>108</v>
      </c>
      <c r="F1225" s="4" t="s">
        <v>108</v>
      </c>
      <c r="H1225" s="4" t="s">
        <v>971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1</v>
      </c>
      <c r="AA1225" s="11">
        <v>0.22500000000000001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44" t="str">
        <f t="shared" si="22"/>
        <v>PARATROOPER_RUSSIA</v>
      </c>
      <c r="B1226" s="9" t="s">
        <v>108</v>
      </c>
      <c r="C1226" s="4" t="s">
        <v>735</v>
      </c>
      <c r="E1226" s="4" t="s">
        <v>108</v>
      </c>
      <c r="F1226" s="4" t="s">
        <v>108</v>
      </c>
      <c r="G1226" s="4" t="s">
        <v>2039</v>
      </c>
      <c r="H1226" s="4" t="s">
        <v>622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A1226" s="11">
        <v>0.22500000000000001</v>
      </c>
      <c r="AF1226" s="11">
        <v>1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44" t="str">
        <f t="shared" si="22"/>
        <v>PARATROOPER_RUSSIA</v>
      </c>
      <c r="B1227" s="9" t="s">
        <v>108</v>
      </c>
      <c r="C1227" s="4" t="s">
        <v>735</v>
      </c>
      <c r="E1227" s="4" t="s">
        <v>108</v>
      </c>
      <c r="F1227" s="4" t="s">
        <v>108</v>
      </c>
      <c r="H1227" s="4" t="s">
        <v>971</v>
      </c>
      <c r="I1227" s="4" t="s">
        <v>102</v>
      </c>
      <c r="Q1227" s="9">
        <v>4</v>
      </c>
      <c r="R1227" s="11">
        <v>0.14299999999999999</v>
      </c>
      <c r="T1227" s="11">
        <v>4</v>
      </c>
      <c r="U1227" s="11">
        <v>9.0999999999999998E-2</v>
      </c>
      <c r="Z1227" s="9">
        <v>0</v>
      </c>
      <c r="AA1227" s="11">
        <v>0.22500000000000001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44" t="str">
        <f t="shared" si="22"/>
        <v>PARATROOPER_RUSSIA</v>
      </c>
      <c r="B1228" s="9" t="s">
        <v>108</v>
      </c>
      <c r="C1228" s="4" t="s">
        <v>735</v>
      </c>
      <c r="E1228" s="4" t="s">
        <v>108</v>
      </c>
      <c r="F1228" s="4" t="s">
        <v>108</v>
      </c>
      <c r="G1228" s="4" t="s">
        <v>2039</v>
      </c>
      <c r="H1228" s="4" t="s">
        <v>622</v>
      </c>
      <c r="I1228" s="4" t="s">
        <v>102</v>
      </c>
      <c r="Q1228" s="9">
        <v>1</v>
      </c>
      <c r="R1228" s="11">
        <v>0.14299999999999999</v>
      </c>
      <c r="T1228" s="11">
        <v>2</v>
      </c>
      <c r="U1228" s="11">
        <v>9.0999999999999998E-2</v>
      </c>
      <c r="Z1228" s="9">
        <v>0</v>
      </c>
      <c r="AA1228" s="11">
        <v>0.22500000000000001</v>
      </c>
      <c r="AF1228" s="11">
        <v>0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44" t="str">
        <f t="shared" si="22"/>
        <v>PARATROOPER_AMERICA</v>
      </c>
      <c r="B1229" s="9" t="s">
        <v>108</v>
      </c>
      <c r="C1229" s="4" t="s">
        <v>699</v>
      </c>
      <c r="E1229" s="4" t="s">
        <v>108</v>
      </c>
      <c r="F1229" s="4" t="s">
        <v>108</v>
      </c>
      <c r="H1229" s="4" t="s">
        <v>803</v>
      </c>
      <c r="I1229" s="4" t="s">
        <v>102</v>
      </c>
      <c r="Q1229" s="9">
        <v>4</v>
      </c>
      <c r="T1229" s="11">
        <v>4</v>
      </c>
      <c r="Z1229" s="9">
        <v>1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44" t="str">
        <f t="shared" si="22"/>
        <v>PARATROOPER_AMERICA</v>
      </c>
      <c r="B1230" s="9" t="s">
        <v>108</v>
      </c>
      <c r="C1230" s="4" t="s">
        <v>699</v>
      </c>
      <c r="E1230" s="4" t="s">
        <v>108</v>
      </c>
      <c r="F1230" s="4" t="s">
        <v>108</v>
      </c>
      <c r="G1230" s="4" t="s">
        <v>2039</v>
      </c>
      <c r="H1230" s="4" t="s">
        <v>147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1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44" t="str">
        <f t="shared" si="22"/>
        <v>PARATROOPER_AMERICA</v>
      </c>
      <c r="B1231" s="9" t="s">
        <v>108</v>
      </c>
      <c r="C1231" s="4" t="s">
        <v>699</v>
      </c>
      <c r="E1231" s="4" t="s">
        <v>108</v>
      </c>
      <c r="F1231" s="4" t="s">
        <v>108</v>
      </c>
      <c r="H1231" s="4" t="s">
        <v>803</v>
      </c>
      <c r="I1231" s="4" t="s">
        <v>102</v>
      </c>
      <c r="Q1231" s="9">
        <v>4</v>
      </c>
      <c r="T1231" s="11">
        <v>4</v>
      </c>
      <c r="Z1231" s="9">
        <v>0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44" t="str">
        <f t="shared" si="22"/>
        <v>PARATROOPER_AMERICA</v>
      </c>
      <c r="B1232" s="9" t="s">
        <v>108</v>
      </c>
      <c r="C1232" s="4" t="s">
        <v>699</v>
      </c>
      <c r="E1232" s="4" t="s">
        <v>108</v>
      </c>
      <c r="F1232" s="4" t="s">
        <v>108</v>
      </c>
      <c r="G1232" s="4" t="s">
        <v>2039</v>
      </c>
      <c r="H1232" s="4" t="s">
        <v>147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0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44" t="str">
        <f t="shared" si="22"/>
        <v>PARATROOPER_AUSTRIA</v>
      </c>
      <c r="B1233" s="9" t="s">
        <v>108</v>
      </c>
      <c r="C1233" s="4" t="s">
        <v>701</v>
      </c>
      <c r="E1233" s="4" t="s">
        <v>108</v>
      </c>
      <c r="F1233" s="4" t="s">
        <v>108</v>
      </c>
      <c r="H1233" s="4" t="s">
        <v>811</v>
      </c>
      <c r="I1233" s="4" t="s">
        <v>102</v>
      </c>
      <c r="Q1233" s="9">
        <v>4</v>
      </c>
      <c r="T1233" s="11">
        <v>4</v>
      </c>
      <c r="Z1233" s="9">
        <v>1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44" t="str">
        <f t="shared" si="22"/>
        <v>PARATROOPER_AUSTRIA</v>
      </c>
      <c r="B1234" s="9" t="s">
        <v>108</v>
      </c>
      <c r="C1234" s="4" t="s">
        <v>701</v>
      </c>
      <c r="E1234" s="4" t="s">
        <v>108</v>
      </c>
      <c r="F1234" s="4" t="s">
        <v>108</v>
      </c>
      <c r="G1234" s="4" t="s">
        <v>2039</v>
      </c>
      <c r="H1234" s="4" t="s">
        <v>184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1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44" t="str">
        <f t="shared" si="22"/>
        <v>PARATROOPER_AUSTRIA</v>
      </c>
      <c r="B1235" s="9" t="s">
        <v>108</v>
      </c>
      <c r="C1235" s="4" t="s">
        <v>701</v>
      </c>
      <c r="E1235" s="4" t="s">
        <v>108</v>
      </c>
      <c r="F1235" s="4" t="s">
        <v>108</v>
      </c>
      <c r="H1235" s="4" t="s">
        <v>811</v>
      </c>
      <c r="I1235" s="4" t="s">
        <v>102</v>
      </c>
      <c r="Q1235" s="9">
        <v>4</v>
      </c>
      <c r="T1235" s="11">
        <v>4</v>
      </c>
      <c r="Z1235" s="9">
        <v>0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44" t="str">
        <f t="shared" si="22"/>
        <v>PARATROOPER_AUSTRIA</v>
      </c>
      <c r="B1236" s="9" t="s">
        <v>108</v>
      </c>
      <c r="C1236" s="4" t="s">
        <v>701</v>
      </c>
      <c r="E1236" s="4" t="s">
        <v>108</v>
      </c>
      <c r="F1236" s="4" t="s">
        <v>108</v>
      </c>
      <c r="G1236" s="4" t="s">
        <v>2039</v>
      </c>
      <c r="H1236" s="4" t="s">
        <v>184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0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44" t="str">
        <f t="shared" si="22"/>
        <v>PARATROOPER_ENGLAND</v>
      </c>
      <c r="B1237" s="9" t="s">
        <v>108</v>
      </c>
      <c r="C1237" s="4" t="s">
        <v>713</v>
      </c>
      <c r="E1237" s="4" t="s">
        <v>108</v>
      </c>
      <c r="F1237" s="4" t="s">
        <v>108</v>
      </c>
      <c r="H1237" s="4" t="s">
        <v>866</v>
      </c>
      <c r="I1237" s="4" t="s">
        <v>102</v>
      </c>
      <c r="Q1237" s="9">
        <v>4</v>
      </c>
      <c r="R1237" s="11">
        <v>0.14299999999999999</v>
      </c>
      <c r="T1237" s="11">
        <v>4</v>
      </c>
      <c r="U1237" s="11">
        <v>9.0999999999999998E-2</v>
      </c>
      <c r="Z1237" s="9">
        <v>1</v>
      </c>
      <c r="AA1237" s="11">
        <v>0.22500000000000001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44" t="str">
        <f t="shared" si="22"/>
        <v>PARATROOPER_ENGLAND</v>
      </c>
      <c r="B1238" s="9" t="s">
        <v>108</v>
      </c>
      <c r="C1238" s="4" t="s">
        <v>713</v>
      </c>
      <c r="E1238" s="4" t="s">
        <v>108</v>
      </c>
      <c r="F1238" s="4" t="s">
        <v>108</v>
      </c>
      <c r="G1238" s="4" t="s">
        <v>2039</v>
      </c>
      <c r="H1238" s="4" t="s">
        <v>308</v>
      </c>
      <c r="I1238" s="4" t="s">
        <v>102</v>
      </c>
      <c r="Q1238" s="9">
        <v>1</v>
      </c>
      <c r="R1238" s="11">
        <v>0.14299999999999999</v>
      </c>
      <c r="T1238" s="11">
        <v>2</v>
      </c>
      <c r="U1238" s="11">
        <v>9.0999999999999998E-2</v>
      </c>
      <c r="Z1238" s="9">
        <v>0</v>
      </c>
      <c r="AA1238" s="11">
        <v>0.22500000000000001</v>
      </c>
      <c r="AF1238" s="11">
        <v>1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44" t="str">
        <f t="shared" si="22"/>
        <v>PARATROOPER_ENGLAND</v>
      </c>
      <c r="B1239" s="9" t="s">
        <v>108</v>
      </c>
      <c r="C1239" s="4" t="s">
        <v>713</v>
      </c>
      <c r="E1239" s="4" t="s">
        <v>108</v>
      </c>
      <c r="F1239" s="4" t="s">
        <v>108</v>
      </c>
      <c r="H1239" s="4" t="s">
        <v>866</v>
      </c>
      <c r="I1239" s="4" t="s">
        <v>102</v>
      </c>
      <c r="Q1239" s="9">
        <v>4</v>
      </c>
      <c r="R1239" s="11">
        <v>0.14299999999999999</v>
      </c>
      <c r="T1239" s="11">
        <v>4</v>
      </c>
      <c r="U1239" s="11">
        <v>9.0999999999999998E-2</v>
      </c>
      <c r="Z1239" s="9">
        <v>0</v>
      </c>
      <c r="AA1239" s="11">
        <v>0.22500000000000001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44" t="str">
        <f t="shared" si="22"/>
        <v>PARATROOPER_ENGLAND</v>
      </c>
      <c r="B1240" s="9" t="s">
        <v>108</v>
      </c>
      <c r="C1240" s="4" t="s">
        <v>713</v>
      </c>
      <c r="E1240" s="4" t="s">
        <v>108</v>
      </c>
      <c r="F1240" s="4" t="s">
        <v>108</v>
      </c>
      <c r="G1240" s="4" t="s">
        <v>2039</v>
      </c>
      <c r="H1240" s="4" t="s">
        <v>308</v>
      </c>
      <c r="I1240" s="4" t="s">
        <v>102</v>
      </c>
      <c r="Q1240" s="9">
        <v>1</v>
      </c>
      <c r="R1240" s="11">
        <v>0.14299999999999999</v>
      </c>
      <c r="T1240" s="11">
        <v>2</v>
      </c>
      <c r="U1240" s="11">
        <v>9.0999999999999998E-2</v>
      </c>
      <c r="Z1240" s="9">
        <v>0</v>
      </c>
      <c r="AA1240" s="11">
        <v>0.22500000000000001</v>
      </c>
      <c r="AF1240" s="11">
        <v>0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44" t="str">
        <f t="shared" si="22"/>
        <v>PARATROOPER_FRANCE</v>
      </c>
      <c r="B1241" s="9" t="s">
        <v>108</v>
      </c>
      <c r="C1241" s="4" t="s">
        <v>715</v>
      </c>
      <c r="E1241" s="4" t="s">
        <v>108</v>
      </c>
      <c r="F1241" s="4" t="s">
        <v>108</v>
      </c>
      <c r="H1241" s="4" t="s">
        <v>879</v>
      </c>
      <c r="I1241" s="4" t="s">
        <v>102</v>
      </c>
      <c r="Q1241" s="9">
        <v>4</v>
      </c>
      <c r="T1241" s="11">
        <v>4</v>
      </c>
      <c r="Z1241" s="9">
        <v>1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44" t="str">
        <f t="shared" si="22"/>
        <v>PARATROOPER_FRANCE</v>
      </c>
      <c r="B1242" s="9" t="s">
        <v>108</v>
      </c>
      <c r="C1242" s="4" t="s">
        <v>715</v>
      </c>
      <c r="E1242" s="4" t="s">
        <v>108</v>
      </c>
      <c r="F1242" s="4" t="s">
        <v>108</v>
      </c>
      <c r="G1242" s="4" t="s">
        <v>2039</v>
      </c>
      <c r="H1242" s="4" t="s">
        <v>353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1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44" t="str">
        <f t="shared" si="22"/>
        <v>PARATROOPER_FRANCE</v>
      </c>
      <c r="B1243" s="9" t="s">
        <v>108</v>
      </c>
      <c r="C1243" s="4" t="s">
        <v>715</v>
      </c>
      <c r="E1243" s="4" t="s">
        <v>108</v>
      </c>
      <c r="F1243" s="4" t="s">
        <v>108</v>
      </c>
      <c r="H1243" s="4" t="s">
        <v>879</v>
      </c>
      <c r="I1243" s="4" t="s">
        <v>102</v>
      </c>
      <c r="Q1243" s="9">
        <v>4</v>
      </c>
      <c r="T1243" s="11">
        <v>4</v>
      </c>
      <c r="Z1243" s="9">
        <v>0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44" t="str">
        <f t="shared" si="22"/>
        <v>PARATROOPER_FRANCE</v>
      </c>
      <c r="B1244" s="9" t="s">
        <v>108</v>
      </c>
      <c r="C1244" s="4" t="s">
        <v>715</v>
      </c>
      <c r="E1244" s="4" t="s">
        <v>108</v>
      </c>
      <c r="F1244" s="4" t="s">
        <v>108</v>
      </c>
      <c r="G1244" s="4" t="s">
        <v>2039</v>
      </c>
      <c r="H1244" s="4" t="s">
        <v>353</v>
      </c>
      <c r="I1244" s="4" t="s">
        <v>102</v>
      </c>
      <c r="Q1244" s="9">
        <v>1</v>
      </c>
      <c r="T1244" s="11">
        <v>2</v>
      </c>
      <c r="Z1244" s="9">
        <v>0</v>
      </c>
      <c r="AF1244" s="11">
        <v>0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44" t="str">
        <f t="shared" si="22"/>
        <v>PARATROOPER_GERMANY</v>
      </c>
      <c r="B1245" s="9" t="s">
        <v>108</v>
      </c>
      <c r="C1245" s="4" t="s">
        <v>717</v>
      </c>
      <c r="E1245" s="4" t="s">
        <v>108</v>
      </c>
      <c r="F1245" s="4" t="s">
        <v>108</v>
      </c>
      <c r="H1245" s="4" t="s">
        <v>901</v>
      </c>
      <c r="I1245" s="4" t="s">
        <v>102</v>
      </c>
      <c r="Q1245" s="9">
        <v>4</v>
      </c>
      <c r="T1245" s="11">
        <v>4</v>
      </c>
      <c r="Z1245" s="9">
        <v>1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44" t="str">
        <f t="shared" si="22"/>
        <v>PARATROOPER_GERMANY</v>
      </c>
      <c r="B1246" s="9" t="s">
        <v>108</v>
      </c>
      <c r="C1246" s="4" t="s">
        <v>717</v>
      </c>
      <c r="E1246" s="4" t="s">
        <v>108</v>
      </c>
      <c r="F1246" s="4" t="s">
        <v>108</v>
      </c>
      <c r="G1246" s="4" t="s">
        <v>2039</v>
      </c>
      <c r="H1246" s="4" t="s">
        <v>385</v>
      </c>
      <c r="I1246" s="4" t="s">
        <v>102</v>
      </c>
      <c r="Q1246" s="9">
        <v>1</v>
      </c>
      <c r="T1246" s="11">
        <v>2</v>
      </c>
      <c r="Z1246" s="9">
        <v>0</v>
      </c>
      <c r="AF1246" s="11">
        <v>1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44" t="str">
        <f t="shared" si="22"/>
        <v>PARATROOPER_GERMANY</v>
      </c>
      <c r="B1247" s="9" t="s">
        <v>108</v>
      </c>
      <c r="C1247" s="4" t="s">
        <v>717</v>
      </c>
      <c r="E1247" s="4" t="s">
        <v>108</v>
      </c>
      <c r="F1247" s="4" t="s">
        <v>108</v>
      </c>
      <c r="H1247" s="4" t="s">
        <v>901</v>
      </c>
      <c r="I1247" s="4" t="s">
        <v>102</v>
      </c>
      <c r="Q1247" s="9">
        <v>4</v>
      </c>
      <c r="T1247" s="11">
        <v>4</v>
      </c>
      <c r="Z1247" s="9">
        <v>0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44" t="str">
        <f t="shared" si="22"/>
        <v>PARATROOPER_GERMANY</v>
      </c>
      <c r="B1248" s="9" t="s">
        <v>108</v>
      </c>
      <c r="C1248" s="4" t="s">
        <v>717</v>
      </c>
      <c r="E1248" s="4" t="s">
        <v>108</v>
      </c>
      <c r="F1248" s="4" t="s">
        <v>108</v>
      </c>
      <c r="G1248" s="4" t="s">
        <v>2039</v>
      </c>
      <c r="H1248" s="4" t="s">
        <v>385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0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44" t="str">
        <f t="shared" si="22"/>
        <v>PARATROOPER_NETHERLANDS</v>
      </c>
      <c r="B1249" s="9" t="s">
        <v>108</v>
      </c>
      <c r="C1249" s="4" t="s">
        <v>730</v>
      </c>
      <c r="E1249" s="4" t="s">
        <v>108</v>
      </c>
      <c r="F1249" s="4" t="s">
        <v>108</v>
      </c>
      <c r="H1249" s="4" t="s">
        <v>968</v>
      </c>
      <c r="I1249" s="4" t="s">
        <v>102</v>
      </c>
      <c r="Q1249" s="9">
        <v>4</v>
      </c>
      <c r="T1249" s="11">
        <v>4</v>
      </c>
      <c r="Z1249" s="9">
        <v>1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44" t="str">
        <f t="shared" si="22"/>
        <v>PARATROOPER_NETHERLANDS</v>
      </c>
      <c r="B1250" s="9" t="s">
        <v>108</v>
      </c>
      <c r="C1250" s="4" t="s">
        <v>730</v>
      </c>
      <c r="E1250" s="4" t="s">
        <v>108</v>
      </c>
      <c r="F1250" s="4" t="s">
        <v>108</v>
      </c>
      <c r="G1250" s="4" t="s">
        <v>2039</v>
      </c>
      <c r="H1250" s="4" t="s">
        <v>546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1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44" t="str">
        <f t="shared" si="22"/>
        <v>PARATROOPER_NETHERLANDS</v>
      </c>
      <c r="B1251" s="9" t="s">
        <v>108</v>
      </c>
      <c r="C1251" s="4" t="s">
        <v>730</v>
      </c>
      <c r="E1251" s="4" t="s">
        <v>108</v>
      </c>
      <c r="F1251" s="4" t="s">
        <v>108</v>
      </c>
      <c r="H1251" s="4" t="s">
        <v>968</v>
      </c>
      <c r="I1251" s="4" t="s">
        <v>102</v>
      </c>
      <c r="Q1251" s="9">
        <v>4</v>
      </c>
      <c r="T1251" s="11">
        <v>4</v>
      </c>
      <c r="Z1251" s="9">
        <v>0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44" t="str">
        <f t="shared" si="22"/>
        <v>PARATROOPER_NETHERLANDS</v>
      </c>
      <c r="B1252" s="9" t="s">
        <v>108</v>
      </c>
      <c r="C1252" s="4" t="s">
        <v>730</v>
      </c>
      <c r="E1252" s="4" t="s">
        <v>108</v>
      </c>
      <c r="F1252" s="4" t="s">
        <v>108</v>
      </c>
      <c r="G1252" s="4" t="s">
        <v>2039</v>
      </c>
      <c r="H1252" s="4" t="s">
        <v>546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0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44" t="str">
        <f t="shared" si="22"/>
        <v>PARATROOPER_GREECE</v>
      </c>
      <c r="B1253" s="9" t="s">
        <v>108</v>
      </c>
      <c r="C1253" s="4" t="s">
        <v>718</v>
      </c>
      <c r="E1253" s="4" t="s">
        <v>108</v>
      </c>
      <c r="F1253" s="4" t="s">
        <v>108</v>
      </c>
      <c r="H1253" s="4" t="s">
        <v>919</v>
      </c>
      <c r="I1253" s="4" t="s">
        <v>102</v>
      </c>
      <c r="Q1253" s="9">
        <v>4</v>
      </c>
      <c r="T1253" s="11">
        <v>4</v>
      </c>
      <c r="Z1253" s="9">
        <v>1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44" t="str">
        <f t="shared" si="22"/>
        <v>PARATROOPER_GREECE</v>
      </c>
      <c r="B1254" s="9" t="s">
        <v>108</v>
      </c>
      <c r="C1254" s="4" t="s">
        <v>718</v>
      </c>
      <c r="E1254" s="4" t="s">
        <v>108</v>
      </c>
      <c r="F1254" s="4" t="s">
        <v>108</v>
      </c>
      <c r="G1254" s="4" t="s">
        <v>2039</v>
      </c>
      <c r="H1254" s="4" t="s">
        <v>409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1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44" t="str">
        <f t="shared" si="22"/>
        <v>PARATROOPER_GREECE</v>
      </c>
      <c r="B1255" s="9" t="s">
        <v>108</v>
      </c>
      <c r="C1255" s="4" t="s">
        <v>718</v>
      </c>
      <c r="E1255" s="4" t="s">
        <v>108</v>
      </c>
      <c r="F1255" s="4" t="s">
        <v>108</v>
      </c>
      <c r="H1255" s="4" t="s">
        <v>919</v>
      </c>
      <c r="I1255" s="4" t="s">
        <v>102</v>
      </c>
      <c r="Q1255" s="9">
        <v>4</v>
      </c>
      <c r="T1255" s="11">
        <v>4</v>
      </c>
      <c r="Z1255" s="9">
        <v>0</v>
      </c>
      <c r="AF1255" s="11">
        <v>1</v>
      </c>
      <c r="AI1255" s="11">
        <v>2</v>
      </c>
      <c r="AL1255" s="11"/>
      <c r="AM1255" s="11"/>
      <c r="AN1255" s="11"/>
      <c r="AO1255" s="11"/>
      <c r="AP1255" s="11"/>
      <c r="AQ1255" s="11"/>
    </row>
    <row r="1256" spans="1:43" x14ac:dyDescent="0.25">
      <c r="A1256" s="44" t="str">
        <f t="shared" si="22"/>
        <v>PARATROOPER_GREECE</v>
      </c>
      <c r="B1256" s="9" t="s">
        <v>108</v>
      </c>
      <c r="C1256" s="4" t="s">
        <v>718</v>
      </c>
      <c r="E1256" s="4" t="s">
        <v>108</v>
      </c>
      <c r="F1256" s="4" t="s">
        <v>108</v>
      </c>
      <c r="G1256" s="4" t="s">
        <v>2039</v>
      </c>
      <c r="H1256" s="4" t="s">
        <v>409</v>
      </c>
      <c r="I1256" s="4" t="s">
        <v>102</v>
      </c>
      <c r="Q1256" s="9">
        <v>1</v>
      </c>
      <c r="T1256" s="11">
        <v>2</v>
      </c>
      <c r="Z1256" s="9">
        <v>0</v>
      </c>
      <c r="AF1256" s="11">
        <v>0</v>
      </c>
      <c r="AI1256" s="11">
        <v>1</v>
      </c>
      <c r="AL1256" s="11"/>
      <c r="AM1256" s="11"/>
      <c r="AN1256" s="11"/>
      <c r="AO1256" s="11"/>
      <c r="AP1256" s="11"/>
      <c r="AQ1256" s="11"/>
    </row>
    <row r="1257" spans="1:43" x14ac:dyDescent="0.25">
      <c r="A1257" s="44" t="str">
        <f t="shared" si="22"/>
        <v>PARATROOPER_ROME</v>
      </c>
      <c r="B1257" s="9" t="s">
        <v>108</v>
      </c>
      <c r="C1257" s="4" t="s">
        <v>734</v>
      </c>
      <c r="E1257" s="4" t="s">
        <v>108</v>
      </c>
      <c r="F1257" s="4" t="s">
        <v>108</v>
      </c>
      <c r="H1257" s="4" t="s">
        <v>970</v>
      </c>
      <c r="I1257" s="4" t="s">
        <v>102</v>
      </c>
      <c r="Q1257" s="9">
        <v>4</v>
      </c>
      <c r="R1257" s="11">
        <v>0.14299999999999999</v>
      </c>
      <c r="T1257" s="11">
        <v>4</v>
      </c>
      <c r="U1257" s="11">
        <v>9.0999999999999998E-2</v>
      </c>
      <c r="Z1257" s="9">
        <v>1</v>
      </c>
      <c r="AA1257" s="11">
        <v>0.22500000000000001</v>
      </c>
      <c r="AF1257" s="11">
        <v>1</v>
      </c>
      <c r="AI1257" s="11">
        <v>2</v>
      </c>
      <c r="AL1257" s="11"/>
      <c r="AM1257" s="11"/>
      <c r="AN1257" s="11"/>
      <c r="AO1257" s="11"/>
      <c r="AP1257" s="11"/>
      <c r="AQ1257" s="11"/>
    </row>
    <row r="1258" spans="1:43" x14ac:dyDescent="0.25">
      <c r="A1258" s="44" t="str">
        <f t="shared" si="22"/>
        <v>PARATROOPER_ROME</v>
      </c>
      <c r="B1258" s="9" t="s">
        <v>108</v>
      </c>
      <c r="C1258" s="4" t="s">
        <v>734</v>
      </c>
      <c r="E1258" s="4" t="s">
        <v>108</v>
      </c>
      <c r="F1258" s="4" t="s">
        <v>108</v>
      </c>
      <c r="G1258" s="4" t="s">
        <v>2039</v>
      </c>
      <c r="H1258" s="4" t="s">
        <v>596</v>
      </c>
      <c r="I1258" s="4" t="s">
        <v>102</v>
      </c>
      <c r="Q1258" s="9">
        <v>1</v>
      </c>
      <c r="R1258" s="11">
        <v>0.14299999999999999</v>
      </c>
      <c r="T1258" s="11">
        <v>2</v>
      </c>
      <c r="U1258" s="11">
        <v>9.0999999999999998E-2</v>
      </c>
      <c r="Z1258" s="9">
        <v>0</v>
      </c>
      <c r="AA1258" s="11">
        <v>0.22500000000000001</v>
      </c>
      <c r="AF1258" s="11">
        <v>1</v>
      </c>
      <c r="AI1258" s="11">
        <v>1</v>
      </c>
      <c r="AL1258" s="11"/>
      <c r="AM1258" s="11"/>
      <c r="AN1258" s="11"/>
      <c r="AO1258" s="11"/>
      <c r="AP1258" s="11"/>
      <c r="AQ1258" s="11"/>
    </row>
    <row r="1259" spans="1:43" x14ac:dyDescent="0.25">
      <c r="A1259" s="44" t="str">
        <f t="shared" si="22"/>
        <v>PARATROOPER_ROME</v>
      </c>
      <c r="B1259" s="9" t="s">
        <v>108</v>
      </c>
      <c r="C1259" s="4" t="s">
        <v>734</v>
      </c>
      <c r="E1259" s="4" t="s">
        <v>108</v>
      </c>
      <c r="F1259" s="4" t="s">
        <v>108</v>
      </c>
      <c r="H1259" s="4" t="s">
        <v>970</v>
      </c>
      <c r="I1259" s="4" t="s">
        <v>102</v>
      </c>
      <c r="Q1259" s="9">
        <v>4</v>
      </c>
      <c r="R1259" s="11">
        <v>0.14299999999999999</v>
      </c>
      <c r="T1259" s="11">
        <v>4</v>
      </c>
      <c r="U1259" s="11">
        <v>9.0999999999999998E-2</v>
      </c>
      <c r="Z1259" s="9">
        <v>0</v>
      </c>
      <c r="AA1259" s="11">
        <v>0.22500000000000001</v>
      </c>
      <c r="AF1259" s="11">
        <v>1</v>
      </c>
      <c r="AI1259" s="11">
        <v>2</v>
      </c>
      <c r="AL1259" s="11"/>
      <c r="AM1259" s="11"/>
      <c r="AN1259" s="11"/>
      <c r="AO1259" s="11"/>
      <c r="AP1259" s="11"/>
      <c r="AQ1259" s="11"/>
    </row>
    <row r="1260" spans="1:43" x14ac:dyDescent="0.25">
      <c r="A1260" s="44" t="str">
        <f t="shared" si="22"/>
        <v>PARATROOPER_ROME</v>
      </c>
      <c r="B1260" s="9" t="s">
        <v>108</v>
      </c>
      <c r="C1260" s="4" t="s">
        <v>734</v>
      </c>
      <c r="E1260" s="4" t="s">
        <v>108</v>
      </c>
      <c r="F1260" s="4" t="s">
        <v>108</v>
      </c>
      <c r="G1260" s="4" t="s">
        <v>2039</v>
      </c>
      <c r="H1260" s="4" t="s">
        <v>596</v>
      </c>
      <c r="I1260" s="4" t="s">
        <v>102</v>
      </c>
      <c r="Q1260" s="9">
        <v>1</v>
      </c>
      <c r="R1260" s="11">
        <v>0.14299999999999999</v>
      </c>
      <c r="T1260" s="11">
        <v>2</v>
      </c>
      <c r="U1260" s="11">
        <v>9.0999999999999998E-2</v>
      </c>
      <c r="Z1260" s="9">
        <v>0</v>
      </c>
      <c r="AA1260" s="11">
        <v>0.22500000000000001</v>
      </c>
      <c r="AF1260" s="11">
        <v>0</v>
      </c>
      <c r="AI1260" s="11">
        <v>1</v>
      </c>
      <c r="AL1260" s="11"/>
      <c r="AM1260" s="11"/>
      <c r="AN1260" s="11"/>
      <c r="AO1260" s="11"/>
      <c r="AP1260" s="11"/>
      <c r="AQ1260" s="11"/>
    </row>
    <row r="1261" spans="1:43" x14ac:dyDescent="0.25">
      <c r="A1261" s="44" t="str">
        <f t="shared" si="22"/>
        <v>PARATROOPER_SPAIN</v>
      </c>
      <c r="B1261" s="9" t="s">
        <v>108</v>
      </c>
      <c r="C1261" s="4" t="s">
        <v>738</v>
      </c>
      <c r="E1261" s="4" t="s">
        <v>108</v>
      </c>
      <c r="F1261" s="4" t="s">
        <v>108</v>
      </c>
      <c r="H1261" s="4" t="s">
        <v>972</v>
      </c>
      <c r="I1261" s="4" t="s">
        <v>102</v>
      </c>
      <c r="Q1261" s="9">
        <v>4</v>
      </c>
      <c r="T1261" s="11">
        <v>4</v>
      </c>
      <c r="Z1261" s="9">
        <v>1</v>
      </c>
      <c r="AF1261" s="11">
        <v>1</v>
      </c>
      <c r="AI1261" s="11">
        <v>2</v>
      </c>
      <c r="AL1261" s="11"/>
      <c r="AM1261" s="11"/>
      <c r="AN1261" s="11"/>
      <c r="AO1261" s="11"/>
      <c r="AP1261" s="11"/>
      <c r="AQ1261" s="11"/>
    </row>
    <row r="1262" spans="1:43" x14ac:dyDescent="0.25">
      <c r="A1262" s="44" t="str">
        <f t="shared" si="22"/>
        <v>PARATROOPER_SPAIN</v>
      </c>
      <c r="B1262" s="9" t="s">
        <v>108</v>
      </c>
      <c r="C1262" s="4" t="s">
        <v>738</v>
      </c>
      <c r="E1262" s="4" t="s">
        <v>108</v>
      </c>
      <c r="F1262" s="4" t="s">
        <v>108</v>
      </c>
      <c r="G1262" s="4" t="s">
        <v>2039</v>
      </c>
      <c r="H1262" s="4" t="s">
        <v>659</v>
      </c>
      <c r="I1262" s="4" t="s">
        <v>102</v>
      </c>
      <c r="Q1262" s="9">
        <v>1</v>
      </c>
      <c r="T1262" s="11">
        <v>2</v>
      </c>
      <c r="Z1262" s="9">
        <v>0</v>
      </c>
      <c r="AF1262" s="11">
        <v>1</v>
      </c>
      <c r="AI1262" s="11">
        <v>1</v>
      </c>
      <c r="AL1262" s="11"/>
      <c r="AM1262" s="11"/>
      <c r="AN1262" s="11"/>
      <c r="AO1262" s="11"/>
      <c r="AP1262" s="11"/>
      <c r="AQ1262" s="11"/>
    </row>
    <row r="1263" spans="1:43" x14ac:dyDescent="0.25">
      <c r="A1263" s="44" t="str">
        <f t="shared" si="22"/>
        <v>PARATROOPER_SPAIN</v>
      </c>
      <c r="B1263" s="9" t="s">
        <v>108</v>
      </c>
      <c r="C1263" s="4" t="s">
        <v>738</v>
      </c>
      <c r="E1263" s="4" t="s">
        <v>108</v>
      </c>
      <c r="F1263" s="4" t="s">
        <v>108</v>
      </c>
      <c r="H1263" s="4" t="s">
        <v>972</v>
      </c>
      <c r="I1263" s="4" t="s">
        <v>102</v>
      </c>
      <c r="Q1263" s="9">
        <v>4</v>
      </c>
      <c r="T1263" s="11">
        <v>4</v>
      </c>
      <c r="Z1263" s="9">
        <v>0</v>
      </c>
      <c r="AF1263" s="11">
        <v>1</v>
      </c>
      <c r="AI1263" s="11">
        <v>2</v>
      </c>
      <c r="AL1263" s="11"/>
      <c r="AM1263" s="11"/>
      <c r="AN1263" s="11"/>
      <c r="AO1263" s="11"/>
      <c r="AP1263" s="11"/>
      <c r="AQ1263" s="11"/>
    </row>
    <row r="1264" spans="1:43" x14ac:dyDescent="0.25">
      <c r="A1264" s="44" t="str">
        <f t="shared" si="22"/>
        <v>PARATROOPER_SPAIN</v>
      </c>
      <c r="B1264" s="9" t="s">
        <v>108</v>
      </c>
      <c r="C1264" s="4" t="s">
        <v>738</v>
      </c>
      <c r="E1264" s="4" t="s">
        <v>108</v>
      </c>
      <c r="F1264" s="4" t="s">
        <v>108</v>
      </c>
      <c r="G1264" s="4" t="s">
        <v>2039</v>
      </c>
      <c r="H1264" s="4" t="s">
        <v>659</v>
      </c>
      <c r="I1264" s="4" t="s">
        <v>102</v>
      </c>
      <c r="Q1264" s="9">
        <v>1</v>
      </c>
      <c r="T1264" s="11">
        <v>2</v>
      </c>
      <c r="Z1264" s="9">
        <v>0</v>
      </c>
      <c r="AF1264" s="11">
        <v>0</v>
      </c>
      <c r="AI1264" s="11">
        <v>1</v>
      </c>
      <c r="AL1264" s="11"/>
      <c r="AM1264" s="11"/>
      <c r="AN1264" s="11"/>
      <c r="AO1264" s="11"/>
      <c r="AP1264" s="11"/>
      <c r="AQ1264" s="11"/>
    </row>
    <row r="1265" spans="1:43" x14ac:dyDescent="0.25">
      <c r="A1265" s="44" t="str">
        <f t="shared" si="22"/>
        <v>PARATROOPER_NORTHEU</v>
      </c>
      <c r="B1265" s="9" t="s">
        <v>108</v>
      </c>
      <c r="C1265" s="4" t="s">
        <v>962</v>
      </c>
      <c r="E1265" s="4" t="s">
        <v>108</v>
      </c>
      <c r="F1265" s="4" t="s">
        <v>108</v>
      </c>
      <c r="H1265" s="4" t="s">
        <v>973</v>
      </c>
      <c r="I1265" s="4" t="s">
        <v>102</v>
      </c>
      <c r="Q1265" s="9">
        <v>4</v>
      </c>
      <c r="T1265" s="11">
        <v>4</v>
      </c>
      <c r="Z1265" s="9">
        <v>1</v>
      </c>
      <c r="AF1265" s="11">
        <v>1</v>
      </c>
      <c r="AI1265" s="11">
        <v>2</v>
      </c>
      <c r="AL1265" s="11"/>
      <c r="AM1265" s="11"/>
      <c r="AN1265" s="11"/>
      <c r="AO1265" s="11"/>
      <c r="AP1265" s="11"/>
      <c r="AQ1265" s="11"/>
    </row>
    <row r="1266" spans="1:43" x14ac:dyDescent="0.25">
      <c r="A1266" s="44" t="str">
        <f t="shared" si="22"/>
        <v>PARATROOPER_NORTHEU</v>
      </c>
      <c r="B1266" s="9" t="s">
        <v>108</v>
      </c>
      <c r="C1266" s="4" t="s">
        <v>962</v>
      </c>
      <c r="E1266" s="4" t="s">
        <v>108</v>
      </c>
      <c r="F1266" s="4" t="s">
        <v>108</v>
      </c>
      <c r="G1266" s="4" t="s">
        <v>2039</v>
      </c>
      <c r="H1266" s="4" t="s">
        <v>673</v>
      </c>
      <c r="I1266" s="4" t="s">
        <v>102</v>
      </c>
      <c r="Q1266" s="9">
        <v>1</v>
      </c>
      <c r="T1266" s="11">
        <v>2</v>
      </c>
      <c r="Z1266" s="9">
        <v>0</v>
      </c>
      <c r="AF1266" s="11">
        <v>1</v>
      </c>
      <c r="AI1266" s="11">
        <v>1</v>
      </c>
      <c r="AL1266" s="11"/>
      <c r="AM1266" s="11"/>
      <c r="AN1266" s="11"/>
      <c r="AO1266" s="11"/>
      <c r="AP1266" s="11"/>
      <c r="AQ1266" s="11"/>
    </row>
    <row r="1267" spans="1:43" x14ac:dyDescent="0.25">
      <c r="A1267" s="44" t="str">
        <f t="shared" si="22"/>
        <v>PARATROOPER_NORTHEU</v>
      </c>
      <c r="B1267" s="9" t="s">
        <v>108</v>
      </c>
      <c r="C1267" s="4" t="s">
        <v>962</v>
      </c>
      <c r="E1267" s="4" t="s">
        <v>108</v>
      </c>
      <c r="F1267" s="4" t="s">
        <v>108</v>
      </c>
      <c r="H1267" s="4" t="s">
        <v>973</v>
      </c>
      <c r="I1267" s="4" t="s">
        <v>102</v>
      </c>
      <c r="Q1267" s="9">
        <v>4</v>
      </c>
      <c r="T1267" s="11">
        <v>4</v>
      </c>
      <c r="Z1267" s="9">
        <v>0</v>
      </c>
      <c r="AF1267" s="11">
        <v>1</v>
      </c>
      <c r="AI1267" s="11">
        <v>2</v>
      </c>
      <c r="AL1267" s="11"/>
      <c r="AM1267" s="11"/>
      <c r="AN1267" s="11"/>
      <c r="AO1267" s="11"/>
      <c r="AP1267" s="11"/>
      <c r="AQ1267" s="11"/>
    </row>
    <row r="1268" spans="1:43" x14ac:dyDescent="0.25">
      <c r="A1268" s="44" t="str">
        <f t="shared" si="22"/>
        <v>PARATROOPER_NORTHEU</v>
      </c>
      <c r="B1268" s="9" t="s">
        <v>108</v>
      </c>
      <c r="C1268" s="4" t="s">
        <v>962</v>
      </c>
      <c r="E1268" s="4" t="s">
        <v>108</v>
      </c>
      <c r="F1268" s="4" t="s">
        <v>108</v>
      </c>
      <c r="G1268" s="4" t="s">
        <v>2039</v>
      </c>
      <c r="H1268" s="4" t="s">
        <v>673</v>
      </c>
      <c r="I1268" s="4" t="s">
        <v>102</v>
      </c>
      <c r="Q1268" s="9">
        <v>1</v>
      </c>
      <c r="T1268" s="11">
        <v>2</v>
      </c>
      <c r="Z1268" s="9">
        <v>0</v>
      </c>
      <c r="AF1268" s="11">
        <v>0</v>
      </c>
      <c r="AI1268" s="11">
        <v>1</v>
      </c>
      <c r="AL1268" s="11"/>
      <c r="AM1268" s="11"/>
      <c r="AN1268" s="11"/>
      <c r="AO1268" s="11"/>
      <c r="AP1268" s="11"/>
      <c r="AQ1268" s="11"/>
    </row>
    <row r="1269" spans="1:43" x14ac:dyDescent="0.25">
      <c r="A1269" s="44" t="str">
        <f t="shared" si="22"/>
        <v>PARATROOPER_OCEAN</v>
      </c>
      <c r="B1269" s="9" t="s">
        <v>108</v>
      </c>
      <c r="C1269" s="5" t="s">
        <v>994</v>
      </c>
      <c r="D1269" s="5"/>
      <c r="E1269" s="5" t="s">
        <v>108</v>
      </c>
      <c r="F1269" s="5" t="s">
        <v>108</v>
      </c>
      <c r="G1269" s="5"/>
      <c r="H1269" s="5" t="s">
        <v>1501</v>
      </c>
      <c r="I1269" s="5" t="s">
        <v>102</v>
      </c>
      <c r="J1269" s="6"/>
      <c r="K1269" s="6"/>
      <c r="L1269" s="13" t="s">
        <v>1705</v>
      </c>
      <c r="M1269" s="8"/>
      <c r="N1269" s="5"/>
      <c r="O1269" s="5"/>
      <c r="P1269" s="5"/>
      <c r="Q1269" s="6">
        <v>3</v>
      </c>
      <c r="R1269" s="6" t="s">
        <v>1734</v>
      </c>
      <c r="S1269" s="13" t="s">
        <v>1617</v>
      </c>
      <c r="T1269" s="6">
        <v>4</v>
      </c>
      <c r="U1269" s="7" t="s">
        <v>1734</v>
      </c>
      <c r="V1269" s="5"/>
      <c r="W1269" s="7" t="s">
        <v>3</v>
      </c>
      <c r="X1269" s="6" t="s">
        <v>3</v>
      </c>
      <c r="Y1269" s="5"/>
      <c r="Z1269" s="7">
        <v>1</v>
      </c>
      <c r="AA1269" s="6"/>
      <c r="AB1269" s="5"/>
      <c r="AC1269" s="6"/>
      <c r="AD1269" s="6" t="s">
        <v>3</v>
      </c>
      <c r="AE1269" s="5"/>
      <c r="AF1269" s="6">
        <v>1</v>
      </c>
      <c r="AG1269" s="6"/>
      <c r="AH1269" s="5"/>
      <c r="AI1269" s="6">
        <v>2</v>
      </c>
      <c r="AJ1269" s="6"/>
      <c r="AK1269" s="5"/>
      <c r="AL1269" s="6"/>
      <c r="AM1269" s="6"/>
      <c r="AN1269" s="6"/>
      <c r="AO1269" s="6"/>
      <c r="AP1269" s="6"/>
      <c r="AQ1269" s="6"/>
    </row>
    <row r="1270" spans="1:43" x14ac:dyDescent="0.25">
      <c r="A1270" s="44" t="str">
        <f t="shared" si="22"/>
        <v>PARATROOPER_OCEAN</v>
      </c>
      <c r="B1270" s="9" t="s">
        <v>108</v>
      </c>
      <c r="C1270" s="5" t="s">
        <v>994</v>
      </c>
      <c r="D1270" s="5"/>
      <c r="E1270" s="5" t="s">
        <v>108</v>
      </c>
      <c r="F1270" s="5" t="s">
        <v>108</v>
      </c>
      <c r="G1270" s="5" t="s">
        <v>2039</v>
      </c>
      <c r="H1270" s="5" t="s">
        <v>1502</v>
      </c>
      <c r="I1270" s="5" t="s">
        <v>102</v>
      </c>
      <c r="J1270" s="6"/>
      <c r="K1270" s="6"/>
      <c r="L1270" s="13" t="s">
        <v>1705</v>
      </c>
      <c r="M1270" s="8"/>
      <c r="N1270" s="5"/>
      <c r="O1270" s="5"/>
      <c r="P1270" s="5"/>
      <c r="Q1270" s="6">
        <v>1</v>
      </c>
      <c r="R1270" s="6" t="s">
        <v>1734</v>
      </c>
      <c r="S1270" s="13" t="s">
        <v>1617</v>
      </c>
      <c r="T1270" s="6">
        <v>2</v>
      </c>
      <c r="U1270" s="7" t="s">
        <v>1734</v>
      </c>
      <c r="V1270" s="5"/>
      <c r="W1270" s="7" t="s">
        <v>3</v>
      </c>
      <c r="X1270" s="6" t="s">
        <v>3</v>
      </c>
      <c r="Y1270" s="5"/>
      <c r="Z1270" s="7">
        <v>0</v>
      </c>
      <c r="AA1270" s="6"/>
      <c r="AB1270" s="5"/>
      <c r="AC1270" s="6"/>
      <c r="AD1270" s="6" t="s">
        <v>3</v>
      </c>
      <c r="AE1270" s="5"/>
      <c r="AF1270" s="6">
        <v>1</v>
      </c>
      <c r="AG1270" s="6"/>
      <c r="AH1270" s="5"/>
      <c r="AI1270" s="6">
        <v>1</v>
      </c>
      <c r="AJ1270" s="6"/>
      <c r="AK1270" s="5"/>
      <c r="AL1270" s="6"/>
      <c r="AM1270" s="6"/>
      <c r="AN1270" s="6"/>
      <c r="AO1270" s="6"/>
      <c r="AP1270" s="6"/>
      <c r="AQ1270" s="6"/>
    </row>
    <row r="1271" spans="1:43" x14ac:dyDescent="0.25">
      <c r="A1271" s="44" t="str">
        <f t="shared" si="22"/>
        <v>PARATROOPER_OCEAN</v>
      </c>
      <c r="B1271" s="9" t="s">
        <v>108</v>
      </c>
      <c r="C1271" s="5" t="s">
        <v>994</v>
      </c>
      <c r="D1271" s="5"/>
      <c r="E1271" s="5" t="s">
        <v>108</v>
      </c>
      <c r="F1271" s="5" t="s">
        <v>108</v>
      </c>
      <c r="G1271" s="5"/>
      <c r="H1271" s="5" t="s">
        <v>1501</v>
      </c>
      <c r="I1271" s="5" t="s">
        <v>102</v>
      </c>
      <c r="J1271" s="6"/>
      <c r="K1271" s="6"/>
      <c r="L1271" s="13" t="s">
        <v>1705</v>
      </c>
      <c r="M1271" s="8"/>
      <c r="N1271" s="5"/>
      <c r="O1271" s="5"/>
      <c r="P1271" s="5"/>
      <c r="Q1271" s="6">
        <v>4</v>
      </c>
      <c r="R1271" s="6" t="s">
        <v>1734</v>
      </c>
      <c r="S1271" s="13" t="s">
        <v>1617</v>
      </c>
      <c r="T1271" s="6">
        <v>4</v>
      </c>
      <c r="U1271" s="7" t="s">
        <v>1734</v>
      </c>
      <c r="V1271" s="5"/>
      <c r="W1271" s="7" t="s">
        <v>3</v>
      </c>
      <c r="X1271" s="6" t="s">
        <v>3</v>
      </c>
      <c r="Y1271" s="5"/>
      <c r="Z1271" s="7">
        <v>0</v>
      </c>
      <c r="AA1271" s="6"/>
      <c r="AB1271" s="5"/>
      <c r="AC1271" s="6"/>
      <c r="AD1271" s="6" t="s">
        <v>3</v>
      </c>
      <c r="AE1271" s="5"/>
      <c r="AF1271" s="6">
        <v>1</v>
      </c>
      <c r="AG1271" s="6"/>
      <c r="AH1271" s="5"/>
      <c r="AI1271" s="6">
        <v>2</v>
      </c>
      <c r="AJ1271" s="6"/>
      <c r="AK1271" s="5"/>
      <c r="AL1271" s="6"/>
      <c r="AM1271" s="6"/>
      <c r="AN1271" s="6"/>
      <c r="AO1271" s="6"/>
      <c r="AP1271" s="6"/>
      <c r="AQ1271" s="6"/>
    </row>
    <row r="1272" spans="1:43" x14ac:dyDescent="0.25">
      <c r="A1272" s="44" t="str">
        <f t="shared" si="22"/>
        <v>PARATROOPER_OCEAN</v>
      </c>
      <c r="B1272" s="9" t="s">
        <v>108</v>
      </c>
      <c r="C1272" s="5" t="s">
        <v>994</v>
      </c>
      <c r="D1272" s="5"/>
      <c r="E1272" s="5" t="s">
        <v>108</v>
      </c>
      <c r="F1272" s="5" t="s">
        <v>108</v>
      </c>
      <c r="G1272" s="5" t="s">
        <v>2039</v>
      </c>
      <c r="H1272" s="5" t="s">
        <v>1502</v>
      </c>
      <c r="I1272" s="5" t="s">
        <v>102</v>
      </c>
      <c r="J1272" s="6"/>
      <c r="K1272" s="6"/>
      <c r="L1272" s="13" t="s">
        <v>1705</v>
      </c>
      <c r="M1272" s="8"/>
      <c r="N1272" s="5"/>
      <c r="O1272" s="5"/>
      <c r="P1272" s="5"/>
      <c r="Q1272" s="7">
        <v>2</v>
      </c>
      <c r="R1272" s="6" t="s">
        <v>1734</v>
      </c>
      <c r="S1272" s="13" t="s">
        <v>1617</v>
      </c>
      <c r="T1272" s="7">
        <v>2</v>
      </c>
      <c r="U1272" s="7" t="s">
        <v>1734</v>
      </c>
      <c r="V1272" s="5"/>
      <c r="W1272" s="7" t="s">
        <v>3</v>
      </c>
      <c r="X1272" s="6" t="s">
        <v>3</v>
      </c>
      <c r="Y1272" s="5"/>
      <c r="Z1272" s="7">
        <v>0</v>
      </c>
      <c r="AA1272" s="6"/>
      <c r="AB1272" s="5"/>
      <c r="AC1272" s="6"/>
      <c r="AD1272" s="6" t="s">
        <v>3</v>
      </c>
      <c r="AE1272" s="5"/>
      <c r="AF1272" s="7">
        <v>0</v>
      </c>
      <c r="AG1272" s="6"/>
      <c r="AH1272" s="5"/>
      <c r="AI1272" s="7">
        <v>1</v>
      </c>
      <c r="AJ1272" s="6"/>
      <c r="AK1272" s="5"/>
      <c r="AL1272" s="6"/>
      <c r="AM1272" s="6"/>
      <c r="AN1272" s="6"/>
      <c r="AO1272" s="6"/>
      <c r="AP1272" s="6"/>
      <c r="AQ1272" s="6"/>
    </row>
    <row r="1273" spans="1:43" x14ac:dyDescent="0.25">
      <c r="A1273" s="44" t="str">
        <f t="shared" si="22"/>
        <v>PARATROOPER_SEASIA</v>
      </c>
      <c r="B1273" s="9" t="s">
        <v>108</v>
      </c>
      <c r="C1273" s="4" t="s">
        <v>696</v>
      </c>
      <c r="D1273" s="4" t="s">
        <v>994</v>
      </c>
      <c r="E1273" s="4" t="s">
        <v>108</v>
      </c>
      <c r="F1273" s="4" t="s">
        <v>108</v>
      </c>
      <c r="AL1273" s="11"/>
      <c r="AM1273" s="11"/>
      <c r="AN1273" s="11"/>
      <c r="AO1273" s="11"/>
      <c r="AP1273" s="11"/>
      <c r="AQ1273" s="11"/>
    </row>
    <row r="1274" spans="1:43" x14ac:dyDescent="0.25">
      <c r="A1274" s="44" t="str">
        <f t="shared" si="22"/>
        <v>PARATROOPER_SOUTHAM</v>
      </c>
      <c r="B1274" s="9" t="s">
        <v>108</v>
      </c>
      <c r="C1274" s="4" t="s">
        <v>691</v>
      </c>
      <c r="D1274" s="4" t="s">
        <v>994</v>
      </c>
      <c r="E1274" s="4" t="s">
        <v>108</v>
      </c>
      <c r="F1274" s="4" t="s">
        <v>108</v>
      </c>
      <c r="AL1274" s="11"/>
      <c r="AM1274" s="11"/>
      <c r="AN1274" s="11"/>
      <c r="AO1274" s="11"/>
      <c r="AP1274" s="11"/>
      <c r="AQ1274" s="11"/>
    </row>
    <row r="1275" spans="1:43" x14ac:dyDescent="0.25">
      <c r="A1275" s="44" t="str">
        <f t="shared" si="22"/>
        <v>PARATROOPER_SOUTHAS</v>
      </c>
      <c r="B1275" s="9" t="s">
        <v>108</v>
      </c>
      <c r="C1275" s="4" t="s">
        <v>695</v>
      </c>
      <c r="D1275" s="4" t="s">
        <v>693</v>
      </c>
      <c r="E1275" s="4" t="s">
        <v>108</v>
      </c>
      <c r="F1275" s="4" t="s">
        <v>108</v>
      </c>
      <c r="AL1275" s="11"/>
      <c r="AM1275" s="11"/>
      <c r="AN1275" s="11"/>
      <c r="AO1275" s="11"/>
      <c r="AP1275" s="11"/>
      <c r="AQ1275" s="11"/>
    </row>
    <row r="1276" spans="1:43" x14ac:dyDescent="0.25">
      <c r="A1276" s="44" t="str">
        <f t="shared" si="22"/>
        <v>PIKEMAN</v>
      </c>
      <c r="B1276" s="9" t="s">
        <v>107</v>
      </c>
      <c r="C1276" s="5"/>
      <c r="D1276" s="5"/>
      <c r="E1276" s="5" t="s">
        <v>107</v>
      </c>
      <c r="F1276" s="5" t="s">
        <v>107</v>
      </c>
      <c r="G1276" s="5"/>
      <c r="H1276" s="5" t="s">
        <v>22</v>
      </c>
      <c r="I1276" s="5" t="s">
        <v>128</v>
      </c>
      <c r="J1276" s="6"/>
      <c r="K1276" s="6"/>
      <c r="L1276" s="13" t="s">
        <v>1705</v>
      </c>
      <c r="M1276" s="8"/>
      <c r="N1276" s="5"/>
      <c r="O1276" s="5"/>
      <c r="P1276" s="5"/>
      <c r="Q1276" s="7" t="s">
        <v>1734</v>
      </c>
      <c r="R1276" s="6">
        <v>0.13</v>
      </c>
      <c r="S1276" s="13" t="s">
        <v>22</v>
      </c>
      <c r="T1276" s="7" t="s">
        <v>1734</v>
      </c>
      <c r="U1276" s="7" t="s">
        <v>1692</v>
      </c>
      <c r="V1276" s="5"/>
      <c r="W1276" s="6" t="s">
        <v>3</v>
      </c>
      <c r="X1276" s="6" t="s">
        <v>3</v>
      </c>
      <c r="Y1276" s="5"/>
      <c r="Z1276" s="7">
        <v>1</v>
      </c>
      <c r="AA1276" s="6">
        <v>0.20499999999999999</v>
      </c>
      <c r="AB1276" s="5"/>
      <c r="AC1276" s="6"/>
      <c r="AD1276" s="6" t="s">
        <v>3</v>
      </c>
      <c r="AE1276" s="5"/>
      <c r="AF1276" s="7" t="s">
        <v>1734</v>
      </c>
      <c r="AG1276" s="6"/>
      <c r="AH1276" s="5"/>
      <c r="AI1276" s="7" t="s">
        <v>1734</v>
      </c>
      <c r="AJ1276" s="6"/>
      <c r="AK1276" s="5"/>
      <c r="AL1276" s="6"/>
      <c r="AM1276" s="6"/>
      <c r="AN1276" s="6"/>
      <c r="AO1276" s="6"/>
      <c r="AP1276" s="6"/>
      <c r="AQ1276" s="6"/>
    </row>
    <row r="1277" spans="1:43" x14ac:dyDescent="0.25">
      <c r="A1277" s="44" t="str">
        <f t="shared" si="22"/>
        <v>PIKEMAN_AFRI</v>
      </c>
      <c r="B1277" s="9" t="s">
        <v>107</v>
      </c>
      <c r="C1277" s="4" t="s">
        <v>694</v>
      </c>
      <c r="E1277" s="4" t="s">
        <v>107</v>
      </c>
      <c r="F1277" s="4" t="s">
        <v>107</v>
      </c>
      <c r="H1277" s="4" t="s">
        <v>329</v>
      </c>
      <c r="I1277" s="4" t="s">
        <v>1025</v>
      </c>
      <c r="R1277" s="11" t="s">
        <v>1734</v>
      </c>
      <c r="AL1277" s="11"/>
      <c r="AM1277" s="11"/>
      <c r="AN1277" s="11"/>
      <c r="AO1277" s="11"/>
      <c r="AP1277" s="11"/>
      <c r="AQ1277" s="11"/>
    </row>
    <row r="1278" spans="1:43" x14ac:dyDescent="0.25">
      <c r="A1278" s="44" t="str">
        <f t="shared" si="22"/>
        <v>PIKEMAN_SONGHAI</v>
      </c>
      <c r="B1278" s="9" t="s">
        <v>107</v>
      </c>
      <c r="C1278" s="4" t="s">
        <v>737</v>
      </c>
      <c r="E1278" s="4" t="s">
        <v>107</v>
      </c>
      <c r="F1278" s="4" t="s">
        <v>107</v>
      </c>
      <c r="G1278" s="14"/>
      <c r="H1278" s="4" t="s">
        <v>1954</v>
      </c>
      <c r="I1278" s="4" t="s">
        <v>1025</v>
      </c>
      <c r="R1278" s="11" t="s">
        <v>1734</v>
      </c>
      <c r="AL1278" s="11"/>
      <c r="AM1278" s="11"/>
      <c r="AN1278" s="11"/>
      <c r="AO1278" s="11"/>
      <c r="AP1278" s="11"/>
      <c r="AQ1278" s="11"/>
    </row>
    <row r="1279" spans="1:43" x14ac:dyDescent="0.25">
      <c r="A1279" s="44" t="str">
        <f t="shared" si="22"/>
        <v>PIKEMAN_AMER</v>
      </c>
      <c r="B1279" s="9" t="s">
        <v>107</v>
      </c>
      <c r="C1279" s="4" t="s">
        <v>697</v>
      </c>
      <c r="E1279" s="4" t="s">
        <v>107</v>
      </c>
      <c r="F1279" s="4" t="s">
        <v>107</v>
      </c>
      <c r="H1279" s="4" t="s">
        <v>468</v>
      </c>
      <c r="I1279" s="4" t="s">
        <v>835</v>
      </c>
      <c r="R1279" s="11" t="s">
        <v>1734</v>
      </c>
      <c r="AL1279" s="11"/>
      <c r="AM1279" s="11"/>
      <c r="AN1279" s="11"/>
      <c r="AO1279" s="11"/>
      <c r="AP1279" s="11"/>
      <c r="AQ1279" s="11"/>
    </row>
    <row r="1280" spans="1:43" x14ac:dyDescent="0.25">
      <c r="A1280" s="44" t="str">
        <f t="shared" si="22"/>
        <v>PIKEMAN_ASIA</v>
      </c>
      <c r="B1280" s="9" t="s">
        <v>107</v>
      </c>
      <c r="C1280" s="4" t="s">
        <v>693</v>
      </c>
      <c r="E1280" s="4" t="s">
        <v>107</v>
      </c>
      <c r="F1280" s="4" t="s">
        <v>107</v>
      </c>
      <c r="H1280" s="4" t="s">
        <v>857</v>
      </c>
      <c r="I1280" s="4" t="s">
        <v>102</v>
      </c>
      <c r="Q1280" s="11">
        <v>1</v>
      </c>
      <c r="R1280" s="11" t="s">
        <v>1734</v>
      </c>
      <c r="T1280" s="11">
        <v>1</v>
      </c>
      <c r="Z1280" s="11">
        <v>0</v>
      </c>
      <c r="AF1280" s="11">
        <v>0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44" t="str">
        <f t="shared" si="22"/>
        <v>PIKEMAN_ASIA</v>
      </c>
      <c r="B1281" s="9" t="s">
        <v>107</v>
      </c>
      <c r="C1281" s="4" t="s">
        <v>693</v>
      </c>
      <c r="E1281" s="4" t="s">
        <v>107</v>
      </c>
      <c r="F1281" s="4" t="s">
        <v>107</v>
      </c>
      <c r="H1281" s="4" t="s">
        <v>2812</v>
      </c>
      <c r="I1281" s="4" t="s">
        <v>2813</v>
      </c>
      <c r="Q1281" s="11">
        <v>3</v>
      </c>
      <c r="R1281" s="11" t="s">
        <v>1734</v>
      </c>
      <c r="T1281" s="11">
        <v>4</v>
      </c>
      <c r="Z1281" s="11">
        <v>1</v>
      </c>
      <c r="AF1281" s="11">
        <v>1</v>
      </c>
      <c r="AI1281" s="11">
        <v>2</v>
      </c>
      <c r="AL1281" s="11"/>
      <c r="AM1281" s="11"/>
      <c r="AN1281" s="11"/>
      <c r="AO1281" s="11"/>
      <c r="AP1281" s="11"/>
      <c r="AQ1281" s="11"/>
    </row>
    <row r="1282" spans="1:43" x14ac:dyDescent="0.25">
      <c r="A1282" s="44" t="str">
        <f t="shared" si="22"/>
        <v>PIKEMAN_ASIA</v>
      </c>
      <c r="B1282" s="9" t="s">
        <v>107</v>
      </c>
      <c r="C1282" s="4" t="s">
        <v>693</v>
      </c>
      <c r="E1282" s="4" t="s">
        <v>107</v>
      </c>
      <c r="F1282" s="4" t="s">
        <v>107</v>
      </c>
      <c r="H1282" s="4" t="s">
        <v>857</v>
      </c>
      <c r="I1282" s="4" t="s">
        <v>102</v>
      </c>
      <c r="Q1282" s="11">
        <v>1</v>
      </c>
      <c r="R1282" s="11" t="s">
        <v>1734</v>
      </c>
      <c r="T1282" s="11">
        <v>1</v>
      </c>
      <c r="Z1282" s="11">
        <v>0</v>
      </c>
      <c r="AF1282" s="11">
        <v>1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44" t="str">
        <f t="shared" si="22"/>
        <v>PIKEMAN_ASIA</v>
      </c>
      <c r="B1283" s="9" t="s">
        <v>107</v>
      </c>
      <c r="C1283" s="4" t="s">
        <v>693</v>
      </c>
      <c r="E1283" s="4" t="s">
        <v>107</v>
      </c>
      <c r="F1283" s="4" t="s">
        <v>107</v>
      </c>
      <c r="H1283" s="4" t="s">
        <v>2812</v>
      </c>
      <c r="I1283" s="4" t="s">
        <v>2813</v>
      </c>
      <c r="Q1283" s="11">
        <v>3</v>
      </c>
      <c r="R1283" s="11" t="s">
        <v>1734</v>
      </c>
      <c r="T1283" s="11">
        <v>4</v>
      </c>
      <c r="Z1283" s="11">
        <v>0</v>
      </c>
      <c r="AF1283" s="11">
        <v>1</v>
      </c>
      <c r="AI1283" s="11">
        <v>3</v>
      </c>
      <c r="AL1283" s="11"/>
      <c r="AM1283" s="11"/>
      <c r="AN1283" s="11"/>
      <c r="AO1283" s="11"/>
      <c r="AP1283" s="11"/>
      <c r="AQ1283" s="11"/>
    </row>
    <row r="1284" spans="1:43" x14ac:dyDescent="0.25">
      <c r="A1284" s="44" t="str">
        <f t="shared" si="22"/>
        <v>PIKEMAN_ASIA</v>
      </c>
      <c r="B1284" s="9" t="s">
        <v>107</v>
      </c>
      <c r="C1284" s="4" t="s">
        <v>693</v>
      </c>
      <c r="E1284" s="4" t="s">
        <v>107</v>
      </c>
      <c r="F1284" s="4" t="s">
        <v>107</v>
      </c>
      <c r="H1284" s="4" t="s">
        <v>857</v>
      </c>
      <c r="I1284" s="4" t="s">
        <v>102</v>
      </c>
      <c r="Q1284" s="11">
        <v>1</v>
      </c>
      <c r="R1284" s="11" t="s">
        <v>1734</v>
      </c>
      <c r="T1284" s="11">
        <v>1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44" t="str">
        <f t="shared" si="22"/>
        <v>PIKEMAN_ASIA</v>
      </c>
      <c r="B1285" s="9" t="s">
        <v>107</v>
      </c>
      <c r="C1285" s="4" t="s">
        <v>693</v>
      </c>
      <c r="E1285" s="4" t="s">
        <v>107</v>
      </c>
      <c r="F1285" s="4" t="s">
        <v>107</v>
      </c>
      <c r="H1285" s="4" t="s">
        <v>2812</v>
      </c>
      <c r="I1285" s="4" t="s">
        <v>2813</v>
      </c>
      <c r="Q1285" s="11">
        <v>3</v>
      </c>
      <c r="R1285" s="11" t="s">
        <v>1734</v>
      </c>
      <c r="T1285" s="11">
        <v>5</v>
      </c>
      <c r="Z1285" s="11">
        <v>0</v>
      </c>
      <c r="AF1285" s="11">
        <v>0</v>
      </c>
      <c r="AI1285" s="11">
        <v>0</v>
      </c>
      <c r="AL1285" s="11"/>
      <c r="AM1285" s="11"/>
      <c r="AN1285" s="11"/>
      <c r="AO1285" s="11"/>
      <c r="AP1285" s="11"/>
      <c r="AQ1285" s="11"/>
    </row>
    <row r="1286" spans="1:43" x14ac:dyDescent="0.25">
      <c r="A1286" s="44" t="str">
        <f t="shared" si="22"/>
        <v>PIKEMAN_CHINA</v>
      </c>
      <c r="B1286" s="9" t="s">
        <v>107</v>
      </c>
      <c r="C1286" s="4" t="s">
        <v>710</v>
      </c>
      <c r="E1286" s="4" t="s">
        <v>107</v>
      </c>
      <c r="F1286" s="4" t="s">
        <v>107</v>
      </c>
      <c r="G1286" s="14" t="s">
        <v>132</v>
      </c>
      <c r="H1286" s="4" t="s">
        <v>256</v>
      </c>
      <c r="I1286" s="4" t="s">
        <v>102</v>
      </c>
      <c r="Q1286" s="11" t="s">
        <v>1734</v>
      </c>
      <c r="R1286" s="11" t="s">
        <v>1734</v>
      </c>
      <c r="AL1286" s="11"/>
      <c r="AM1286" s="11"/>
      <c r="AN1286" s="11"/>
      <c r="AO1286" s="11"/>
      <c r="AP1286" s="11"/>
      <c r="AQ1286" s="11"/>
    </row>
    <row r="1287" spans="1:43" x14ac:dyDescent="0.25">
      <c r="A1287" s="44" t="str">
        <f t="shared" si="22"/>
        <v>PIKEMAN_JAPAN</v>
      </c>
      <c r="B1287" s="9" t="s">
        <v>107</v>
      </c>
      <c r="C1287" s="4" t="s">
        <v>722</v>
      </c>
      <c r="E1287" s="4" t="s">
        <v>107</v>
      </c>
      <c r="F1287" s="4" t="s">
        <v>107</v>
      </c>
      <c r="G1287" s="14" t="s">
        <v>132</v>
      </c>
      <c r="H1287" s="4" t="s">
        <v>487</v>
      </c>
      <c r="I1287" s="4" t="s">
        <v>102</v>
      </c>
      <c r="Q1287" s="11">
        <v>12</v>
      </c>
      <c r="R1287" s="11" t="s">
        <v>1734</v>
      </c>
      <c r="AL1287" s="11"/>
      <c r="AM1287" s="11"/>
      <c r="AN1287" s="11"/>
      <c r="AO1287" s="11"/>
      <c r="AP1287" s="11"/>
      <c r="AQ1287" s="11"/>
    </row>
    <row r="1288" spans="1:43" x14ac:dyDescent="0.25">
      <c r="A1288" s="44" t="str">
        <f t="shared" ref="A1288:A1365" si="23">CONCATENATE(E1288,IF(ISBLANK(C1288),"",CONCATENATE("_",C1288)))</f>
        <v>PIKEMAN_KOREA</v>
      </c>
      <c r="B1288" s="9" t="s">
        <v>107</v>
      </c>
      <c r="C1288" s="4" t="s">
        <v>723</v>
      </c>
      <c r="E1288" s="4" t="s">
        <v>107</v>
      </c>
      <c r="F1288" s="4" t="s">
        <v>107</v>
      </c>
      <c r="G1288" s="14" t="s">
        <v>132</v>
      </c>
      <c r="H1288" s="4" t="s">
        <v>502</v>
      </c>
      <c r="I1288" s="4" t="s">
        <v>102</v>
      </c>
      <c r="Q1288" s="11">
        <v>12</v>
      </c>
      <c r="R1288" s="11" t="s">
        <v>1734</v>
      </c>
      <c r="AL1288" s="11"/>
      <c r="AM1288" s="11"/>
      <c r="AN1288" s="11"/>
      <c r="AO1288" s="11"/>
      <c r="AP1288" s="11"/>
      <c r="AQ1288" s="11"/>
    </row>
    <row r="1289" spans="1:43" x14ac:dyDescent="0.25">
      <c r="A1289" s="44" t="str">
        <f t="shared" si="23"/>
        <v>PIKEMAN_MONGOL</v>
      </c>
      <c r="B1289" s="9" t="s">
        <v>107</v>
      </c>
      <c r="C1289" s="4" t="s">
        <v>728</v>
      </c>
      <c r="E1289" s="4" t="s">
        <v>107</v>
      </c>
      <c r="F1289" s="4" t="s">
        <v>107</v>
      </c>
      <c r="G1289" s="14" t="s">
        <v>132</v>
      </c>
      <c r="H1289" s="4" t="s">
        <v>533</v>
      </c>
      <c r="I1289" s="4" t="s">
        <v>2089</v>
      </c>
      <c r="Q1289" s="11">
        <v>12</v>
      </c>
      <c r="R1289" s="11" t="s">
        <v>1734</v>
      </c>
      <c r="AL1289" s="11"/>
      <c r="AM1289" s="11"/>
      <c r="AN1289" s="11"/>
      <c r="AO1289" s="11"/>
      <c r="AP1289" s="11"/>
      <c r="AQ1289" s="11"/>
    </row>
    <row r="1290" spans="1:43" x14ac:dyDescent="0.25">
      <c r="A1290" s="44" t="str">
        <f t="shared" si="23"/>
        <v>PIKEMAN_CENTAS</v>
      </c>
      <c r="B1290" s="9" t="s">
        <v>107</v>
      </c>
      <c r="C1290" s="4" t="s">
        <v>918</v>
      </c>
      <c r="E1290" s="4" t="s">
        <v>107</v>
      </c>
      <c r="F1290" s="4" t="s">
        <v>107</v>
      </c>
      <c r="G1290" s="14" t="s">
        <v>132</v>
      </c>
      <c r="H1290" s="4" t="s">
        <v>1034</v>
      </c>
      <c r="I1290" s="4" t="s">
        <v>2089</v>
      </c>
      <c r="R1290" s="11" t="s">
        <v>1734</v>
      </c>
      <c r="AL1290" s="11"/>
      <c r="AM1290" s="11"/>
      <c r="AN1290" s="11"/>
      <c r="AO1290" s="11"/>
      <c r="AP1290" s="11"/>
      <c r="AQ1290" s="11"/>
    </row>
    <row r="1291" spans="1:43" x14ac:dyDescent="0.25">
      <c r="A1291" s="44" t="str">
        <f t="shared" si="23"/>
        <v>PIKEMAN_EASTEU</v>
      </c>
      <c r="B1291" s="9" t="s">
        <v>107</v>
      </c>
      <c r="C1291" s="4" t="s">
        <v>698</v>
      </c>
      <c r="E1291" s="4" t="s">
        <v>107</v>
      </c>
      <c r="F1291" s="4" t="s">
        <v>107</v>
      </c>
      <c r="H1291" s="4" t="s">
        <v>2814</v>
      </c>
      <c r="I1291" s="4" t="s">
        <v>2813</v>
      </c>
      <c r="R1291" s="11" t="s">
        <v>1734</v>
      </c>
      <c r="AL1291" s="11"/>
      <c r="AM1291" s="11"/>
      <c r="AN1291" s="11"/>
      <c r="AO1291" s="11"/>
      <c r="AP1291" s="11"/>
      <c r="AQ1291" s="11"/>
    </row>
    <row r="1292" spans="1:43" x14ac:dyDescent="0.25">
      <c r="A1292" s="44" t="str">
        <f t="shared" si="23"/>
        <v>PIKEMAN_RUSSIA</v>
      </c>
      <c r="B1292" s="9" t="s">
        <v>107</v>
      </c>
      <c r="C1292" s="4" t="s">
        <v>735</v>
      </c>
      <c r="E1292" s="4" t="s">
        <v>107</v>
      </c>
      <c r="F1292" s="4" t="s">
        <v>107</v>
      </c>
      <c r="H1292" s="4" t="s">
        <v>623</v>
      </c>
      <c r="I1292" s="4" t="s">
        <v>2089</v>
      </c>
      <c r="R1292" s="11" t="s">
        <v>1734</v>
      </c>
      <c r="AL1292" s="11"/>
      <c r="AM1292" s="11"/>
      <c r="AN1292" s="11"/>
      <c r="AO1292" s="11"/>
      <c r="AP1292" s="11"/>
      <c r="AQ1292" s="11"/>
    </row>
    <row r="1293" spans="1:43" x14ac:dyDescent="0.25">
      <c r="A1293" s="44" t="str">
        <f t="shared" si="23"/>
        <v>PIKEMAN_AMERICA</v>
      </c>
      <c r="B1293" s="9" t="s">
        <v>107</v>
      </c>
      <c r="C1293" s="4" t="s">
        <v>699</v>
      </c>
      <c r="E1293" s="4" t="s">
        <v>107</v>
      </c>
      <c r="F1293" s="4" t="s">
        <v>107</v>
      </c>
      <c r="G1293" s="14"/>
      <c r="H1293" s="4" t="s">
        <v>148</v>
      </c>
      <c r="I1293" s="4" t="s">
        <v>1934</v>
      </c>
      <c r="R1293" s="11" t="s">
        <v>1734</v>
      </c>
      <c r="AL1293" s="11"/>
      <c r="AM1293" s="11"/>
      <c r="AN1293" s="11"/>
      <c r="AO1293" s="11"/>
      <c r="AP1293" s="11"/>
      <c r="AQ1293" s="11"/>
    </row>
    <row r="1294" spans="1:43" x14ac:dyDescent="0.25">
      <c r="A1294" s="44" t="str">
        <f t="shared" si="23"/>
        <v>PIKEMAN_ENGLAND</v>
      </c>
      <c r="B1294" s="9" t="s">
        <v>107</v>
      </c>
      <c r="C1294" s="4" t="s">
        <v>713</v>
      </c>
      <c r="E1294" s="4" t="s">
        <v>107</v>
      </c>
      <c r="F1294" s="4" t="s">
        <v>107</v>
      </c>
      <c r="G1294" s="14" t="s">
        <v>132</v>
      </c>
      <c r="H1294" s="4" t="s">
        <v>309</v>
      </c>
      <c r="I1294" s="4" t="s">
        <v>102</v>
      </c>
      <c r="R1294" s="11" t="s">
        <v>1734</v>
      </c>
      <c r="AL1294" s="11"/>
      <c r="AM1294" s="11"/>
      <c r="AN1294" s="11"/>
      <c r="AO1294" s="11"/>
      <c r="AP1294" s="11"/>
      <c r="AQ1294" s="11"/>
    </row>
    <row r="1295" spans="1:43" x14ac:dyDescent="0.25">
      <c r="A1295" s="44" t="str">
        <f t="shared" si="23"/>
        <v>PIKEMAN_FRANCE</v>
      </c>
      <c r="B1295" s="9" t="s">
        <v>107</v>
      </c>
      <c r="C1295" s="4" t="s">
        <v>715</v>
      </c>
      <c r="E1295" s="4" t="s">
        <v>107</v>
      </c>
      <c r="F1295" s="4" t="s">
        <v>107</v>
      </c>
      <c r="G1295" s="14" t="s">
        <v>132</v>
      </c>
      <c r="H1295" s="4" t="s">
        <v>354</v>
      </c>
      <c r="I1295" s="4" t="s">
        <v>102</v>
      </c>
      <c r="R1295" s="11" t="s">
        <v>1734</v>
      </c>
      <c r="AL1295" s="11"/>
      <c r="AM1295" s="11"/>
      <c r="AN1295" s="11"/>
      <c r="AO1295" s="11"/>
      <c r="AP1295" s="11"/>
      <c r="AQ1295" s="11"/>
    </row>
    <row r="1296" spans="1:43" x14ac:dyDescent="0.25">
      <c r="A1296" s="44" t="str">
        <f t="shared" si="23"/>
        <v>PIKEMAN_GERMANY</v>
      </c>
      <c r="B1296" s="9" t="s">
        <v>107</v>
      </c>
      <c r="C1296" s="4" t="s">
        <v>717</v>
      </c>
      <c r="E1296" s="4" t="s">
        <v>107</v>
      </c>
      <c r="F1296" s="4" t="s">
        <v>107</v>
      </c>
      <c r="G1296" s="14" t="s">
        <v>132</v>
      </c>
      <c r="H1296" s="4" t="s">
        <v>386</v>
      </c>
      <c r="I1296" s="4" t="s">
        <v>102</v>
      </c>
      <c r="R1296" s="11" t="s">
        <v>1734</v>
      </c>
      <c r="AL1296" s="11"/>
      <c r="AM1296" s="11"/>
      <c r="AN1296" s="11"/>
      <c r="AO1296" s="11"/>
      <c r="AP1296" s="11"/>
      <c r="AQ1296" s="11"/>
    </row>
    <row r="1297" spans="1:43" x14ac:dyDescent="0.25">
      <c r="A1297" s="44" t="str">
        <f t="shared" si="23"/>
        <v>PIKEMAN_SWISS</v>
      </c>
      <c r="B1297" s="9" t="s">
        <v>107</v>
      </c>
      <c r="C1297" s="4" t="s">
        <v>740</v>
      </c>
      <c r="E1297" s="4" t="s">
        <v>107</v>
      </c>
      <c r="F1297" s="4" t="s">
        <v>107</v>
      </c>
      <c r="G1297" s="14" t="s">
        <v>132</v>
      </c>
      <c r="H1297" s="4" t="s">
        <v>678</v>
      </c>
      <c r="I1297" s="4" t="s">
        <v>1046</v>
      </c>
      <c r="R1297" s="11" t="s">
        <v>1734</v>
      </c>
      <c r="AL1297" s="11"/>
      <c r="AM1297" s="11"/>
      <c r="AN1297" s="11"/>
      <c r="AO1297" s="11"/>
      <c r="AP1297" s="11"/>
      <c r="AQ1297" s="11"/>
    </row>
    <row r="1298" spans="1:43" x14ac:dyDescent="0.25">
      <c r="A1298" s="44" t="str">
        <f t="shared" si="23"/>
        <v>PIKEMAN_MED</v>
      </c>
      <c r="B1298" s="9" t="s">
        <v>107</v>
      </c>
      <c r="C1298" s="4" t="s">
        <v>692</v>
      </c>
      <c r="E1298" s="4" t="s">
        <v>107</v>
      </c>
      <c r="F1298" s="4" t="s">
        <v>107</v>
      </c>
      <c r="H1298" s="4" t="s">
        <v>660</v>
      </c>
      <c r="I1298" s="4" t="s">
        <v>2089</v>
      </c>
      <c r="R1298" s="11" t="s">
        <v>1734</v>
      </c>
      <c r="AL1298" s="11"/>
      <c r="AM1298" s="11"/>
      <c r="AN1298" s="11"/>
      <c r="AO1298" s="11"/>
      <c r="AP1298" s="11"/>
      <c r="AQ1298" s="11"/>
    </row>
    <row r="1299" spans="1:43" x14ac:dyDescent="0.25">
      <c r="A1299" s="44" t="str">
        <f t="shared" si="23"/>
        <v>PIKEMAN_CARTHAGE</v>
      </c>
      <c r="B1299" s="9" t="s">
        <v>107</v>
      </c>
      <c r="C1299" s="4" t="s">
        <v>708</v>
      </c>
      <c r="E1299" s="4" t="s">
        <v>107</v>
      </c>
      <c r="F1299" s="4" t="s">
        <v>107</v>
      </c>
      <c r="G1299" s="14" t="s">
        <v>132</v>
      </c>
      <c r="H1299" s="4" t="s">
        <v>231</v>
      </c>
      <c r="I1299" s="4" t="s">
        <v>1025</v>
      </c>
      <c r="Q1299" s="11">
        <v>2</v>
      </c>
      <c r="R1299" s="11" t="s">
        <v>1734</v>
      </c>
      <c r="T1299" s="11">
        <v>1</v>
      </c>
      <c r="Z1299" s="11">
        <v>1</v>
      </c>
      <c r="AF1299" s="11">
        <v>1</v>
      </c>
      <c r="AI1299" s="11">
        <v>1</v>
      </c>
      <c r="AL1299" s="11"/>
      <c r="AM1299" s="11"/>
      <c r="AN1299" s="11"/>
      <c r="AO1299" s="11"/>
      <c r="AP1299" s="11"/>
      <c r="AQ1299" s="11"/>
    </row>
    <row r="1300" spans="1:43" x14ac:dyDescent="0.25">
      <c r="A1300" s="44" t="str">
        <f t="shared" si="23"/>
        <v>PIKEMAN_CARTHAGE</v>
      </c>
      <c r="B1300" s="9" t="s">
        <v>107</v>
      </c>
      <c r="C1300" s="4" t="s">
        <v>708</v>
      </c>
      <c r="E1300" s="4" t="s">
        <v>107</v>
      </c>
      <c r="F1300" s="4" t="s">
        <v>107</v>
      </c>
      <c r="G1300" s="14" t="s">
        <v>2039</v>
      </c>
      <c r="H1300" s="4" t="s">
        <v>2629</v>
      </c>
      <c r="I1300" s="4" t="s">
        <v>1025</v>
      </c>
      <c r="Q1300" s="11">
        <v>1</v>
      </c>
      <c r="R1300" s="11" t="s">
        <v>1734</v>
      </c>
      <c r="T1300" s="11">
        <v>1</v>
      </c>
      <c r="Z1300" s="11">
        <v>0</v>
      </c>
      <c r="AF1300" s="11">
        <v>1</v>
      </c>
      <c r="AI1300" s="11">
        <v>1</v>
      </c>
      <c r="AL1300" s="11"/>
      <c r="AM1300" s="11"/>
      <c r="AN1300" s="11"/>
      <c r="AO1300" s="11"/>
      <c r="AP1300" s="11"/>
      <c r="AQ1300" s="11"/>
    </row>
    <row r="1301" spans="1:43" x14ac:dyDescent="0.25">
      <c r="A1301" s="44" t="str">
        <f t="shared" si="23"/>
        <v>PIKEMAN_CARTHAGE</v>
      </c>
      <c r="B1301" s="9" t="s">
        <v>107</v>
      </c>
      <c r="C1301" s="4" t="s">
        <v>708</v>
      </c>
      <c r="E1301" s="4" t="s">
        <v>107</v>
      </c>
      <c r="F1301" s="4" t="s">
        <v>107</v>
      </c>
      <c r="G1301" s="14" t="s">
        <v>2041</v>
      </c>
      <c r="H1301" s="4" t="s">
        <v>2630</v>
      </c>
      <c r="I1301" s="4" t="s">
        <v>1025</v>
      </c>
      <c r="Q1301" s="11">
        <v>1</v>
      </c>
      <c r="R1301" s="11" t="s">
        <v>1734</v>
      </c>
      <c r="T1301" s="11">
        <v>2</v>
      </c>
      <c r="Z1301" s="11">
        <v>0</v>
      </c>
      <c r="AF1301" s="11">
        <v>1</v>
      </c>
      <c r="AI1301" s="11">
        <v>1</v>
      </c>
      <c r="AL1301" s="11"/>
      <c r="AM1301" s="11"/>
      <c r="AN1301" s="11"/>
      <c r="AO1301" s="11"/>
      <c r="AP1301" s="11"/>
      <c r="AQ1301" s="11"/>
    </row>
    <row r="1302" spans="1:43" x14ac:dyDescent="0.25">
      <c r="A1302" s="44" t="str">
        <f t="shared" si="23"/>
        <v>PIKEMAN_CARTHAGE</v>
      </c>
      <c r="B1302" s="9" t="s">
        <v>107</v>
      </c>
      <c r="C1302" s="4" t="s">
        <v>708</v>
      </c>
      <c r="E1302" s="4" t="s">
        <v>107</v>
      </c>
      <c r="F1302" s="4" t="s">
        <v>107</v>
      </c>
      <c r="G1302" s="14" t="s">
        <v>2040</v>
      </c>
      <c r="H1302" s="4" t="s">
        <v>2651</v>
      </c>
      <c r="I1302" s="4" t="s">
        <v>1025</v>
      </c>
      <c r="Q1302" s="11">
        <v>1</v>
      </c>
      <c r="R1302" s="11" t="s">
        <v>1734</v>
      </c>
      <c r="T1302" s="11">
        <v>3</v>
      </c>
      <c r="Z1302" s="11">
        <v>0</v>
      </c>
      <c r="AF1302" s="11">
        <v>0</v>
      </c>
      <c r="AI1302" s="11">
        <v>1</v>
      </c>
      <c r="AL1302" s="11"/>
      <c r="AM1302" s="11"/>
      <c r="AN1302" s="11"/>
      <c r="AO1302" s="11"/>
      <c r="AP1302" s="11"/>
      <c r="AQ1302" s="11"/>
    </row>
    <row r="1303" spans="1:43" x14ac:dyDescent="0.25">
      <c r="A1303" s="44" t="str">
        <f t="shared" si="23"/>
        <v>PIKEMAN_CARTHAGE</v>
      </c>
      <c r="B1303" s="9" t="s">
        <v>107</v>
      </c>
      <c r="C1303" s="4" t="s">
        <v>708</v>
      </c>
      <c r="E1303" s="4" t="s">
        <v>107</v>
      </c>
      <c r="F1303" s="4" t="s">
        <v>107</v>
      </c>
      <c r="G1303" s="14" t="s">
        <v>132</v>
      </c>
      <c r="H1303" s="4" t="s">
        <v>231</v>
      </c>
      <c r="I1303" s="4" t="s">
        <v>1025</v>
      </c>
      <c r="Q1303" s="11">
        <v>3</v>
      </c>
      <c r="R1303" s="11" t="s">
        <v>1734</v>
      </c>
      <c r="T1303" s="11">
        <v>5</v>
      </c>
      <c r="Z1303" s="11">
        <v>0</v>
      </c>
      <c r="AF1303" s="11">
        <v>0</v>
      </c>
      <c r="AI1303" s="11">
        <v>1</v>
      </c>
      <c r="AL1303" s="11"/>
      <c r="AM1303" s="11"/>
      <c r="AN1303" s="11"/>
      <c r="AO1303" s="11"/>
      <c r="AP1303" s="11"/>
      <c r="AQ1303" s="11"/>
    </row>
    <row r="1304" spans="1:43" x14ac:dyDescent="0.25">
      <c r="A1304" s="44" t="str">
        <f t="shared" si="23"/>
        <v>PIKEMAN_CARTHAGE</v>
      </c>
      <c r="B1304" s="9" t="s">
        <v>107</v>
      </c>
      <c r="C1304" s="4" t="s">
        <v>708</v>
      </c>
      <c r="E1304" s="4" t="s">
        <v>107</v>
      </c>
      <c r="F1304" s="4" t="s">
        <v>107</v>
      </c>
      <c r="G1304" s="14" t="s">
        <v>2039</v>
      </c>
      <c r="H1304" s="4" t="s">
        <v>2629</v>
      </c>
      <c r="I1304" s="4" t="s">
        <v>1025</v>
      </c>
      <c r="Q1304" s="11">
        <v>0</v>
      </c>
      <c r="R1304" s="11" t="s">
        <v>1734</v>
      </c>
      <c r="T1304" s="11">
        <v>0</v>
      </c>
      <c r="Z1304" s="11">
        <v>0</v>
      </c>
      <c r="AF1304" s="11">
        <v>0</v>
      </c>
      <c r="AI1304" s="11">
        <v>0</v>
      </c>
      <c r="AL1304" s="11"/>
      <c r="AM1304" s="11"/>
      <c r="AN1304" s="11"/>
      <c r="AO1304" s="11"/>
      <c r="AP1304" s="11"/>
      <c r="AQ1304" s="11"/>
    </row>
    <row r="1305" spans="1:43" x14ac:dyDescent="0.25">
      <c r="A1305" s="44" t="str">
        <f t="shared" si="23"/>
        <v>PIKEMAN_CARTHAGE</v>
      </c>
      <c r="B1305" s="9" t="s">
        <v>107</v>
      </c>
      <c r="C1305" s="4" t="s">
        <v>708</v>
      </c>
      <c r="E1305" s="4" t="s">
        <v>107</v>
      </c>
      <c r="F1305" s="4" t="s">
        <v>107</v>
      </c>
      <c r="G1305" s="14" t="s">
        <v>2041</v>
      </c>
      <c r="H1305" s="4" t="s">
        <v>2630</v>
      </c>
      <c r="I1305" s="4" t="s">
        <v>1025</v>
      </c>
      <c r="Q1305" s="11">
        <v>1</v>
      </c>
      <c r="R1305" s="11" t="s">
        <v>1734</v>
      </c>
      <c r="T1305" s="11">
        <v>1</v>
      </c>
      <c r="Z1305" s="11">
        <v>0</v>
      </c>
      <c r="AF1305" s="11">
        <v>0</v>
      </c>
      <c r="AI1305" s="11">
        <v>1</v>
      </c>
      <c r="AL1305" s="11"/>
      <c r="AM1305" s="11"/>
      <c r="AN1305" s="11"/>
      <c r="AO1305" s="11"/>
      <c r="AP1305" s="11"/>
      <c r="AQ1305" s="11"/>
    </row>
    <row r="1306" spans="1:43" x14ac:dyDescent="0.25">
      <c r="A1306" s="44" t="str">
        <f t="shared" si="23"/>
        <v>PIKEMAN_CARTHAGE</v>
      </c>
      <c r="B1306" s="9" t="s">
        <v>107</v>
      </c>
      <c r="C1306" s="4" t="s">
        <v>708</v>
      </c>
      <c r="E1306" s="4" t="s">
        <v>107</v>
      </c>
      <c r="F1306" s="4" t="s">
        <v>107</v>
      </c>
      <c r="G1306" s="14" t="s">
        <v>2040</v>
      </c>
      <c r="H1306" s="4" t="s">
        <v>2651</v>
      </c>
      <c r="I1306" s="4" t="s">
        <v>1025</v>
      </c>
      <c r="Q1306" s="11">
        <v>3</v>
      </c>
      <c r="R1306" s="11" t="s">
        <v>1734</v>
      </c>
      <c r="T1306" s="11">
        <v>3</v>
      </c>
      <c r="Z1306" s="11">
        <v>0</v>
      </c>
      <c r="AF1306" s="11">
        <v>0</v>
      </c>
      <c r="AI1306" s="11">
        <v>1</v>
      </c>
      <c r="AL1306" s="11"/>
      <c r="AM1306" s="11"/>
      <c r="AN1306" s="11"/>
      <c r="AO1306" s="11"/>
      <c r="AP1306" s="11"/>
      <c r="AQ1306" s="11"/>
    </row>
    <row r="1307" spans="1:43" x14ac:dyDescent="0.25">
      <c r="A1307" s="44" t="str">
        <f t="shared" si="23"/>
        <v>PIKEMAN_GREECE</v>
      </c>
      <c r="B1307" s="9" t="s">
        <v>107</v>
      </c>
      <c r="C1307" s="4" t="s">
        <v>718</v>
      </c>
      <c r="E1307" s="4" t="s">
        <v>107</v>
      </c>
      <c r="F1307" s="4" t="s">
        <v>107</v>
      </c>
      <c r="G1307" s="14" t="s">
        <v>132</v>
      </c>
      <c r="H1307" s="4" t="s">
        <v>410</v>
      </c>
      <c r="I1307" s="4" t="s">
        <v>102</v>
      </c>
      <c r="R1307" s="11" t="s">
        <v>1734</v>
      </c>
      <c r="AL1307" s="11"/>
      <c r="AM1307" s="11"/>
      <c r="AN1307" s="11"/>
      <c r="AO1307" s="11"/>
      <c r="AP1307" s="11"/>
      <c r="AQ1307" s="11"/>
    </row>
    <row r="1308" spans="1:43" x14ac:dyDescent="0.25">
      <c r="A1308" s="44" t="str">
        <f t="shared" si="23"/>
        <v>PIKEMAN_ROME</v>
      </c>
      <c r="B1308" s="9" t="s">
        <v>107</v>
      </c>
      <c r="C1308" s="4" t="s">
        <v>734</v>
      </c>
      <c r="E1308" s="4" t="s">
        <v>107</v>
      </c>
      <c r="F1308" s="4" t="s">
        <v>107</v>
      </c>
      <c r="G1308" s="14" t="s">
        <v>132</v>
      </c>
      <c r="H1308" s="4" t="s">
        <v>597</v>
      </c>
      <c r="I1308" s="4" t="s">
        <v>102</v>
      </c>
      <c r="Q1308" s="11">
        <v>2</v>
      </c>
      <c r="R1308" s="11" t="s">
        <v>1734</v>
      </c>
      <c r="T1308" s="11">
        <v>3</v>
      </c>
      <c r="Z1308" s="11">
        <v>1</v>
      </c>
      <c r="AF1308" s="11">
        <v>1</v>
      </c>
      <c r="AI1308" s="11">
        <v>1</v>
      </c>
      <c r="AL1308" s="11"/>
      <c r="AM1308" s="11"/>
      <c r="AN1308" s="11"/>
      <c r="AO1308" s="11"/>
      <c r="AP1308" s="11"/>
      <c r="AQ1308" s="11"/>
    </row>
    <row r="1309" spans="1:43" x14ac:dyDescent="0.25">
      <c r="A1309" s="44" t="str">
        <f>CONCATENATE(E1309,IF(ISBLANK(C1309),"",CONCATENATE("_",C1309)))</f>
        <v>PIKEMAN_ROME</v>
      </c>
      <c r="B1309" s="9" t="s">
        <v>107</v>
      </c>
      <c r="C1309" s="4" t="s">
        <v>734</v>
      </c>
      <c r="E1309" s="4" t="s">
        <v>107</v>
      </c>
      <c r="F1309" s="4" t="s">
        <v>107</v>
      </c>
      <c r="G1309" s="14" t="s">
        <v>2039</v>
      </c>
      <c r="H1309" s="4" t="s">
        <v>598</v>
      </c>
      <c r="I1309" s="4" t="s">
        <v>102</v>
      </c>
      <c r="Q1309" s="11">
        <v>2</v>
      </c>
      <c r="R1309" s="11" t="s">
        <v>1734</v>
      </c>
      <c r="T1309" s="11">
        <v>2</v>
      </c>
      <c r="Z1309" s="11">
        <v>0</v>
      </c>
      <c r="AF1309" s="11">
        <v>1</v>
      </c>
      <c r="AI1309" s="11">
        <v>1</v>
      </c>
      <c r="AL1309" s="11"/>
      <c r="AM1309" s="11"/>
      <c r="AN1309" s="11"/>
      <c r="AO1309" s="11"/>
      <c r="AP1309" s="11"/>
      <c r="AQ1309" s="11"/>
    </row>
    <row r="1310" spans="1:43" x14ac:dyDescent="0.25">
      <c r="A1310" s="44" t="str">
        <f>CONCATENATE(E1310,IF(ISBLANK(C1310),"",CONCATENATE("_",C1310)))</f>
        <v>PIKEMAN_ROME</v>
      </c>
      <c r="B1310" s="9" t="s">
        <v>107</v>
      </c>
      <c r="C1310" s="4" t="s">
        <v>734</v>
      </c>
      <c r="E1310" s="4" t="s">
        <v>107</v>
      </c>
      <c r="F1310" s="4" t="s">
        <v>107</v>
      </c>
      <c r="G1310" s="14" t="s">
        <v>132</v>
      </c>
      <c r="H1310" s="4" t="s">
        <v>597</v>
      </c>
      <c r="I1310" s="4" t="s">
        <v>102</v>
      </c>
      <c r="Q1310" s="11">
        <v>2</v>
      </c>
      <c r="R1310" s="11" t="s">
        <v>1734</v>
      </c>
      <c r="T1310" s="11">
        <v>3</v>
      </c>
      <c r="Z1310" s="11">
        <v>0</v>
      </c>
      <c r="AF1310" s="11">
        <v>1</v>
      </c>
      <c r="AI1310" s="11">
        <v>2</v>
      </c>
      <c r="AL1310" s="11"/>
      <c r="AM1310" s="11"/>
      <c r="AN1310" s="11"/>
      <c r="AO1310" s="11"/>
      <c r="AP1310" s="11"/>
      <c r="AQ1310" s="11"/>
    </row>
    <row r="1311" spans="1:43" x14ac:dyDescent="0.25">
      <c r="A1311" s="44" t="str">
        <f>CONCATENATE(E1311,IF(ISBLANK(C1311),"",CONCATENATE("_",C1311)))</f>
        <v>PIKEMAN_ROME</v>
      </c>
      <c r="B1311" s="9" t="s">
        <v>107</v>
      </c>
      <c r="C1311" s="4" t="s">
        <v>734</v>
      </c>
      <c r="E1311" s="4" t="s">
        <v>107</v>
      </c>
      <c r="F1311" s="4" t="s">
        <v>107</v>
      </c>
      <c r="G1311" s="14" t="s">
        <v>2039</v>
      </c>
      <c r="H1311" s="4" t="s">
        <v>598</v>
      </c>
      <c r="I1311" s="4" t="s">
        <v>102</v>
      </c>
      <c r="Q1311" s="11">
        <v>2</v>
      </c>
      <c r="R1311" s="11" t="s">
        <v>1734</v>
      </c>
      <c r="T1311" s="11">
        <v>2</v>
      </c>
      <c r="Z1311" s="11">
        <v>0</v>
      </c>
      <c r="AF1311" s="11">
        <v>0</v>
      </c>
      <c r="AI1311" s="11">
        <v>1</v>
      </c>
      <c r="AL1311" s="11"/>
      <c r="AM1311" s="11"/>
      <c r="AN1311" s="11"/>
      <c r="AO1311" s="11"/>
      <c r="AP1311" s="11"/>
      <c r="AQ1311" s="11"/>
    </row>
    <row r="1312" spans="1:43" x14ac:dyDescent="0.25">
      <c r="A1312" s="44" t="str">
        <f>CONCATENATE(E1312,IF(ISBLANK(C1312),"",CONCATENATE("_",C1312)))</f>
        <v>PIKEMAN_ROME</v>
      </c>
      <c r="B1312" s="9" t="s">
        <v>107</v>
      </c>
      <c r="C1312" s="4" t="s">
        <v>734</v>
      </c>
      <c r="E1312" s="4" t="s">
        <v>107</v>
      </c>
      <c r="F1312" s="4" t="s">
        <v>107</v>
      </c>
      <c r="G1312" s="14" t="s">
        <v>132</v>
      </c>
      <c r="H1312" s="4" t="s">
        <v>597</v>
      </c>
      <c r="I1312" s="4" t="s">
        <v>102</v>
      </c>
      <c r="Q1312" s="11">
        <v>2</v>
      </c>
      <c r="R1312" s="11" t="s">
        <v>1734</v>
      </c>
      <c r="T1312" s="11">
        <v>3</v>
      </c>
      <c r="Z1312" s="11">
        <v>0</v>
      </c>
      <c r="AF1312" s="11">
        <v>0</v>
      </c>
      <c r="AI1312" s="11">
        <v>1</v>
      </c>
      <c r="AL1312" s="11"/>
      <c r="AM1312" s="11"/>
      <c r="AN1312" s="11"/>
      <c r="AO1312" s="11"/>
      <c r="AP1312" s="11"/>
      <c r="AQ1312" s="11"/>
    </row>
    <row r="1313" spans="1:43" x14ac:dyDescent="0.25">
      <c r="A1313" s="44" t="str">
        <f>CONCATENATE(E1313,IF(ISBLANK(C1313),"",CONCATENATE("_",C1313)))</f>
        <v>PIKEMAN_ROME</v>
      </c>
      <c r="B1313" s="9" t="s">
        <v>107</v>
      </c>
      <c r="C1313" s="4" t="s">
        <v>734</v>
      </c>
      <c r="E1313" s="4" t="s">
        <v>107</v>
      </c>
      <c r="F1313" s="4" t="s">
        <v>107</v>
      </c>
      <c r="G1313" s="14" t="s">
        <v>2039</v>
      </c>
      <c r="H1313" s="4" t="s">
        <v>598</v>
      </c>
      <c r="I1313" s="4" t="s">
        <v>102</v>
      </c>
      <c r="Q1313" s="11">
        <v>2</v>
      </c>
      <c r="R1313" s="11" t="s">
        <v>1734</v>
      </c>
      <c r="T1313" s="11">
        <v>3</v>
      </c>
      <c r="Z1313" s="11">
        <v>0</v>
      </c>
      <c r="AF1313" s="11">
        <v>0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44" t="str">
        <f t="shared" si="23"/>
        <v>PIKEMAN_SPAIN</v>
      </c>
      <c r="B1314" s="9" t="s">
        <v>107</v>
      </c>
      <c r="C1314" s="4" t="s">
        <v>738</v>
      </c>
      <c r="D1314" s="4" t="s">
        <v>692</v>
      </c>
      <c r="E1314" s="4" t="s">
        <v>107</v>
      </c>
      <c r="F1314" s="4" t="s">
        <v>107</v>
      </c>
      <c r="G1314" s="14" t="s">
        <v>132</v>
      </c>
      <c r="AL1314" s="11"/>
      <c r="AM1314" s="11"/>
      <c r="AN1314" s="11"/>
      <c r="AO1314" s="11"/>
      <c r="AP1314" s="11"/>
      <c r="AQ1314" s="11"/>
    </row>
    <row r="1315" spans="1:43" x14ac:dyDescent="0.25">
      <c r="A1315" s="44" t="str">
        <f t="shared" si="23"/>
        <v>PIKEMAN_VATICAN_CITY</v>
      </c>
      <c r="B1315" s="9" t="s">
        <v>107</v>
      </c>
      <c r="C1315" s="4" t="s">
        <v>741</v>
      </c>
      <c r="D1315" s="4" t="s">
        <v>740</v>
      </c>
      <c r="E1315" s="4" t="s">
        <v>107</v>
      </c>
      <c r="F1315" s="4" t="s">
        <v>107</v>
      </c>
      <c r="G1315" s="14" t="s">
        <v>132</v>
      </c>
      <c r="AL1315" s="11"/>
      <c r="AM1315" s="11"/>
      <c r="AN1315" s="11"/>
      <c r="AO1315" s="11"/>
      <c r="AP1315" s="11"/>
      <c r="AQ1315" s="11"/>
    </row>
    <row r="1316" spans="1:43" x14ac:dyDescent="0.25">
      <c r="A1316" s="44" t="str">
        <f t="shared" si="23"/>
        <v>PIKEMAN_MIDEAST</v>
      </c>
      <c r="B1316" s="9" t="s">
        <v>107</v>
      </c>
      <c r="C1316" s="4" t="s">
        <v>690</v>
      </c>
      <c r="E1316" s="4" t="s">
        <v>107</v>
      </c>
      <c r="F1316" s="4" t="s">
        <v>107</v>
      </c>
      <c r="H1316" s="4" t="s">
        <v>168</v>
      </c>
      <c r="I1316" s="4" t="s">
        <v>2089</v>
      </c>
      <c r="R1316" s="11" t="s">
        <v>1734</v>
      </c>
      <c r="AL1316" s="11"/>
      <c r="AM1316" s="11"/>
      <c r="AN1316" s="11"/>
      <c r="AO1316" s="11"/>
      <c r="AP1316" s="11"/>
      <c r="AQ1316" s="11"/>
    </row>
    <row r="1317" spans="1:43" x14ac:dyDescent="0.25">
      <c r="A1317" s="44" t="str">
        <f t="shared" si="23"/>
        <v>PIKEMAN_ARABIA</v>
      </c>
      <c r="B1317" s="9" t="s">
        <v>107</v>
      </c>
      <c r="C1317" s="4" t="s">
        <v>700</v>
      </c>
      <c r="D1317" s="14" t="s">
        <v>690</v>
      </c>
      <c r="E1317" s="4" t="s">
        <v>107</v>
      </c>
      <c r="F1317" s="4" t="s">
        <v>107</v>
      </c>
      <c r="G1317" s="14"/>
      <c r="AL1317" s="11"/>
      <c r="AM1317" s="11"/>
      <c r="AN1317" s="11"/>
      <c r="AO1317" s="11"/>
      <c r="AP1317" s="11"/>
      <c r="AQ1317" s="11"/>
    </row>
    <row r="1318" spans="1:43" x14ac:dyDescent="0.25">
      <c r="A1318" s="44" t="str">
        <f t="shared" si="23"/>
        <v>PIKEMAN_BABYLON</v>
      </c>
      <c r="B1318" s="9" t="s">
        <v>107</v>
      </c>
      <c r="C1318" s="4" t="s">
        <v>703</v>
      </c>
      <c r="E1318" s="4" t="s">
        <v>107</v>
      </c>
      <c r="F1318" s="4" t="s">
        <v>107</v>
      </c>
      <c r="G1318" s="14"/>
      <c r="H1318" s="4" t="s">
        <v>215</v>
      </c>
      <c r="I1318" s="4" t="s">
        <v>102</v>
      </c>
      <c r="R1318" s="11" t="s">
        <v>1734</v>
      </c>
      <c r="AL1318" s="11"/>
      <c r="AM1318" s="11"/>
      <c r="AN1318" s="11"/>
      <c r="AO1318" s="11"/>
      <c r="AP1318" s="11"/>
      <c r="AQ1318" s="11"/>
    </row>
    <row r="1319" spans="1:43" x14ac:dyDescent="0.25">
      <c r="A1319" s="44" t="str">
        <f t="shared" si="23"/>
        <v>PIKEMAN_EGYPT</v>
      </c>
      <c r="B1319" s="9" t="s">
        <v>107</v>
      </c>
      <c r="C1319" s="4" t="s">
        <v>712</v>
      </c>
      <c r="E1319" s="4" t="s">
        <v>107</v>
      </c>
      <c r="F1319" s="4" t="s">
        <v>107</v>
      </c>
      <c r="G1319" s="14" t="s">
        <v>132</v>
      </c>
      <c r="H1319" s="4" t="s">
        <v>285</v>
      </c>
      <c r="I1319" s="4" t="s">
        <v>2089</v>
      </c>
      <c r="R1319" s="11" t="s">
        <v>1734</v>
      </c>
      <c r="AL1319" s="11"/>
      <c r="AM1319" s="11"/>
      <c r="AN1319" s="11"/>
      <c r="AO1319" s="11"/>
      <c r="AP1319" s="11"/>
      <c r="AQ1319" s="11"/>
    </row>
    <row r="1320" spans="1:43" x14ac:dyDescent="0.25">
      <c r="A1320" s="44" t="str">
        <f t="shared" si="23"/>
        <v>PIKEMAN_LEVANT</v>
      </c>
      <c r="B1320" s="9" t="s">
        <v>107</v>
      </c>
      <c r="C1320" s="4" t="s">
        <v>724</v>
      </c>
      <c r="E1320" s="4" t="s">
        <v>107</v>
      </c>
      <c r="F1320" s="4" t="s">
        <v>107</v>
      </c>
      <c r="G1320" s="14" t="s">
        <v>132</v>
      </c>
      <c r="H1320" s="4" t="s">
        <v>513</v>
      </c>
      <c r="I1320" s="4" t="s">
        <v>102</v>
      </c>
      <c r="R1320" s="11" t="s">
        <v>1734</v>
      </c>
      <c r="AL1320" s="11"/>
      <c r="AM1320" s="11"/>
      <c r="AN1320" s="11"/>
      <c r="AO1320" s="11"/>
      <c r="AP1320" s="11"/>
      <c r="AQ1320" s="11"/>
    </row>
    <row r="1321" spans="1:43" x14ac:dyDescent="0.25">
      <c r="A1321" s="44" t="str">
        <f t="shared" si="23"/>
        <v>PIKEMAN_PERSIA</v>
      </c>
      <c r="B1321" s="9" t="s">
        <v>107</v>
      </c>
      <c r="C1321" s="4" t="s">
        <v>731</v>
      </c>
      <c r="E1321" s="4" t="s">
        <v>107</v>
      </c>
      <c r="F1321" s="4" t="s">
        <v>107</v>
      </c>
      <c r="G1321" s="14" t="s">
        <v>132</v>
      </c>
      <c r="H1321" s="4" t="s">
        <v>561</v>
      </c>
      <c r="I1321" s="4" t="s">
        <v>102</v>
      </c>
      <c r="R1321" s="11" t="s">
        <v>1734</v>
      </c>
      <c r="AL1321" s="11"/>
      <c r="AM1321" s="11"/>
      <c r="AN1321" s="11"/>
      <c r="AO1321" s="11"/>
      <c r="AP1321" s="11"/>
      <c r="AQ1321" s="11"/>
    </row>
    <row r="1322" spans="1:43" x14ac:dyDescent="0.25">
      <c r="A1322" s="44" t="str">
        <f>CONCATENATE(E1322,IF(ISBLANK(C1322),"",CONCATENATE("_",C1322)))</f>
        <v>PIKEMAN_NORTHAF</v>
      </c>
      <c r="B1322" s="9" t="s">
        <v>107</v>
      </c>
      <c r="C1322" s="4" t="s">
        <v>2003</v>
      </c>
      <c r="E1322" s="4" t="s">
        <v>107</v>
      </c>
      <c r="F1322" s="4" t="s">
        <v>107</v>
      </c>
      <c r="G1322" s="14"/>
      <c r="H1322" s="4" t="s">
        <v>643</v>
      </c>
      <c r="I1322" s="4" t="s">
        <v>1928</v>
      </c>
      <c r="R1322" s="11" t="s">
        <v>1734</v>
      </c>
      <c r="AL1322" s="11"/>
      <c r="AM1322" s="11"/>
      <c r="AN1322" s="11"/>
      <c r="AO1322" s="11"/>
      <c r="AP1322" s="11"/>
      <c r="AQ1322" s="11"/>
    </row>
    <row r="1323" spans="1:43" x14ac:dyDescent="0.25">
      <c r="A1323" s="44" t="str">
        <f t="shared" si="23"/>
        <v>PIKEMAN_NORTHEU</v>
      </c>
      <c r="B1323" s="9" t="s">
        <v>107</v>
      </c>
      <c r="C1323" s="4" t="s">
        <v>962</v>
      </c>
      <c r="E1323" s="4" t="s">
        <v>107</v>
      </c>
      <c r="F1323" s="4" t="s">
        <v>107</v>
      </c>
      <c r="G1323" s="14" t="s">
        <v>132</v>
      </c>
      <c r="H1323" s="4" t="s">
        <v>270</v>
      </c>
      <c r="I1323" s="4" t="s">
        <v>102</v>
      </c>
      <c r="R1323" s="11" t="s">
        <v>1734</v>
      </c>
      <c r="AL1323" s="11"/>
      <c r="AM1323" s="11"/>
      <c r="AN1323" s="11"/>
      <c r="AO1323" s="11"/>
      <c r="AP1323" s="11"/>
      <c r="AQ1323" s="11"/>
    </row>
    <row r="1324" spans="1:43" x14ac:dyDescent="0.25">
      <c r="A1324" s="44" t="str">
        <f t="shared" si="23"/>
        <v>PIKEMAN_OCEAN</v>
      </c>
      <c r="B1324" s="9" t="s">
        <v>107</v>
      </c>
      <c r="C1324" s="4" t="s">
        <v>994</v>
      </c>
      <c r="D1324" s="4" t="s">
        <v>691</v>
      </c>
      <c r="E1324" s="4" t="s">
        <v>107</v>
      </c>
      <c r="F1324" s="4" t="s">
        <v>107</v>
      </c>
      <c r="AL1324" s="11"/>
      <c r="AM1324" s="11"/>
      <c r="AN1324" s="11"/>
      <c r="AO1324" s="11"/>
      <c r="AP1324" s="11"/>
      <c r="AQ1324" s="11"/>
    </row>
    <row r="1325" spans="1:43" x14ac:dyDescent="0.25">
      <c r="A1325" s="44" t="str">
        <f t="shared" si="23"/>
        <v>PIKEMAN_SEASIA</v>
      </c>
      <c r="B1325" s="9" t="s">
        <v>107</v>
      </c>
      <c r="C1325" s="4" t="s">
        <v>696</v>
      </c>
      <c r="E1325" s="4" t="s">
        <v>107</v>
      </c>
      <c r="F1325" s="4" t="s">
        <v>107</v>
      </c>
      <c r="H1325" s="4" t="s">
        <v>452</v>
      </c>
      <c r="I1325" s="4" t="s">
        <v>1063</v>
      </c>
      <c r="R1325" s="11" t="s">
        <v>1734</v>
      </c>
      <c r="AL1325" s="11"/>
      <c r="AM1325" s="11"/>
      <c r="AN1325" s="11"/>
      <c r="AO1325" s="11"/>
      <c r="AP1325" s="11"/>
      <c r="AQ1325" s="11"/>
    </row>
    <row r="1326" spans="1:43" x14ac:dyDescent="0.25">
      <c r="A1326" s="44" t="str">
        <f t="shared" si="23"/>
        <v>PIKEMAN_SOUTHAM</v>
      </c>
      <c r="B1326" s="9" t="s">
        <v>107</v>
      </c>
      <c r="C1326" s="4" t="s">
        <v>691</v>
      </c>
      <c r="E1326" s="4" t="s">
        <v>107</v>
      </c>
      <c r="F1326" s="4" t="s">
        <v>107</v>
      </c>
      <c r="H1326" s="4" t="s">
        <v>1811</v>
      </c>
      <c r="I1326" s="4" t="s">
        <v>963</v>
      </c>
      <c r="R1326" s="11" t="s">
        <v>1734</v>
      </c>
      <c r="AL1326" s="11"/>
      <c r="AM1326" s="11"/>
      <c r="AN1326" s="11"/>
      <c r="AO1326" s="11"/>
      <c r="AP1326" s="11"/>
      <c r="AQ1326" s="11"/>
    </row>
    <row r="1327" spans="1:43" x14ac:dyDescent="0.25">
      <c r="A1327" s="44" t="str">
        <f t="shared" si="23"/>
        <v>PIKEMAN_AZTEC</v>
      </c>
      <c r="B1327" s="9" t="s">
        <v>107</v>
      </c>
      <c r="C1327" s="4" t="s">
        <v>702</v>
      </c>
      <c r="E1327" s="4" t="s">
        <v>107</v>
      </c>
      <c r="F1327" s="4" t="s">
        <v>107</v>
      </c>
      <c r="G1327" s="14"/>
      <c r="H1327" s="4" t="s">
        <v>199</v>
      </c>
      <c r="I1327" s="4" t="s">
        <v>102</v>
      </c>
      <c r="R1327" s="11" t="s">
        <v>1734</v>
      </c>
      <c r="AL1327" s="11"/>
      <c r="AM1327" s="11"/>
      <c r="AN1327" s="11"/>
      <c r="AO1327" s="11"/>
      <c r="AP1327" s="11"/>
      <c r="AQ1327" s="11"/>
    </row>
    <row r="1328" spans="1:43" x14ac:dyDescent="0.25">
      <c r="A1328" s="44" t="str">
        <f t="shared" si="23"/>
        <v>PIKEMAN_INCA</v>
      </c>
      <c r="B1328" s="9" t="s">
        <v>107</v>
      </c>
      <c r="C1328" s="4" t="s">
        <v>719</v>
      </c>
      <c r="E1328" s="4" t="s">
        <v>107</v>
      </c>
      <c r="F1328" s="4" t="s">
        <v>107</v>
      </c>
      <c r="G1328" s="14" t="s">
        <v>132</v>
      </c>
      <c r="H1328" s="4" t="s">
        <v>425</v>
      </c>
      <c r="I1328" s="4" t="s">
        <v>102</v>
      </c>
      <c r="R1328" s="11" t="s">
        <v>1734</v>
      </c>
      <c r="AL1328" s="11"/>
      <c r="AM1328" s="11"/>
      <c r="AN1328" s="11"/>
      <c r="AO1328" s="11"/>
      <c r="AP1328" s="11"/>
      <c r="AQ1328" s="11"/>
    </row>
    <row r="1329" spans="1:43" x14ac:dyDescent="0.25">
      <c r="A1329" s="44" t="str">
        <f t="shared" si="23"/>
        <v>PIKEMAN_MAYA</v>
      </c>
      <c r="B1329" s="9" t="s">
        <v>107</v>
      </c>
      <c r="C1329" s="4" t="s">
        <v>725</v>
      </c>
      <c r="E1329" s="4" t="s">
        <v>107</v>
      </c>
      <c r="F1329" s="4" t="s">
        <v>107</v>
      </c>
      <c r="G1329" s="14" t="s">
        <v>132</v>
      </c>
      <c r="H1329" s="4" t="s">
        <v>520</v>
      </c>
      <c r="I1329" s="4" t="s">
        <v>102</v>
      </c>
      <c r="R1329" s="11" t="s">
        <v>1734</v>
      </c>
      <c r="AL1329" s="11"/>
      <c r="AM1329" s="11"/>
      <c r="AN1329" s="11"/>
      <c r="AO1329" s="11"/>
      <c r="AP1329" s="11"/>
      <c r="AQ1329" s="11"/>
    </row>
    <row r="1330" spans="1:43" x14ac:dyDescent="0.25">
      <c r="A1330" s="44" t="str">
        <f t="shared" si="23"/>
        <v>PIKEMAN_SOUTHAS</v>
      </c>
      <c r="B1330" s="9" t="s">
        <v>107</v>
      </c>
      <c r="C1330" s="4" t="s">
        <v>695</v>
      </c>
      <c r="E1330" s="4" t="s">
        <v>107</v>
      </c>
      <c r="F1330" s="4" t="s">
        <v>107</v>
      </c>
      <c r="H1330" s="4" t="s">
        <v>440</v>
      </c>
      <c r="I1330" s="4" t="s">
        <v>102</v>
      </c>
      <c r="R1330" s="11" t="s">
        <v>1734</v>
      </c>
      <c r="AL1330" s="11"/>
      <c r="AM1330" s="11"/>
      <c r="AN1330" s="11"/>
      <c r="AO1330" s="11"/>
      <c r="AP1330" s="11"/>
      <c r="AQ1330" s="11"/>
    </row>
    <row r="1331" spans="1:43" x14ac:dyDescent="0.25">
      <c r="A1331" s="44" t="str">
        <f t="shared" si="23"/>
        <v>PRIVATEER</v>
      </c>
      <c r="C1331" s="5"/>
      <c r="D1331" s="5"/>
      <c r="E1331" s="5" t="s">
        <v>1362</v>
      </c>
      <c r="F1331" s="5" t="s">
        <v>1362</v>
      </c>
      <c r="G1331" s="5"/>
      <c r="H1331" s="5" t="s">
        <v>1503</v>
      </c>
      <c r="I1331" s="5" t="s">
        <v>128</v>
      </c>
      <c r="J1331" s="6"/>
      <c r="K1331" s="7"/>
      <c r="L1331" s="13" t="s">
        <v>1709</v>
      </c>
      <c r="M1331" s="8"/>
      <c r="N1331" s="13" t="s">
        <v>1724</v>
      </c>
      <c r="O1331" s="13"/>
      <c r="P1331" s="13"/>
      <c r="Q1331" s="7">
        <v>1</v>
      </c>
      <c r="R1331" s="6" t="s">
        <v>1734</v>
      </c>
      <c r="S1331" s="5"/>
      <c r="T1331" s="8"/>
      <c r="U1331" s="7" t="s">
        <v>1734</v>
      </c>
      <c r="V1331" s="5"/>
      <c r="W1331" s="6"/>
      <c r="X1331" s="6"/>
      <c r="Y1331" s="5"/>
      <c r="Z1331" s="6"/>
      <c r="AA1331" s="6"/>
      <c r="AB1331" s="5"/>
      <c r="AC1331" s="6"/>
      <c r="AD1331" s="6"/>
      <c r="AE1331" s="5"/>
      <c r="AF1331" s="6"/>
      <c r="AG1331" s="6"/>
      <c r="AH1331" s="5"/>
      <c r="AI1331" s="6"/>
      <c r="AJ1331" s="6"/>
      <c r="AK1331" s="5"/>
      <c r="AL1331" s="6"/>
      <c r="AM1331" s="6"/>
      <c r="AN1331" s="6"/>
      <c r="AO1331" s="6"/>
      <c r="AP1331" s="6"/>
      <c r="AQ1331" s="6"/>
    </row>
    <row r="1332" spans="1:43" x14ac:dyDescent="0.25">
      <c r="A1332" s="44" t="str">
        <f t="shared" si="23"/>
        <v>RIFLEMAN</v>
      </c>
      <c r="B1332" s="9" t="s">
        <v>123</v>
      </c>
      <c r="C1332" s="5"/>
      <c r="D1332" s="5"/>
      <c r="E1332" s="5" t="s">
        <v>123</v>
      </c>
      <c r="F1332" s="5" t="s">
        <v>123</v>
      </c>
      <c r="G1332" s="5"/>
      <c r="H1332" s="5" t="s">
        <v>21</v>
      </c>
      <c r="I1332" s="5" t="s">
        <v>128</v>
      </c>
      <c r="J1332" s="6"/>
      <c r="K1332" s="6"/>
      <c r="L1332" s="13" t="s">
        <v>1705</v>
      </c>
      <c r="M1332" s="8"/>
      <c r="N1332" s="5"/>
      <c r="O1332" s="5"/>
      <c r="P1332" s="5"/>
      <c r="Q1332" s="7">
        <v>14</v>
      </c>
      <c r="R1332" s="6" t="s">
        <v>1734</v>
      </c>
      <c r="S1332" s="13" t="s">
        <v>1616</v>
      </c>
      <c r="T1332" s="7">
        <v>19</v>
      </c>
      <c r="U1332" s="7" t="s">
        <v>1734</v>
      </c>
      <c r="V1332" s="5"/>
      <c r="W1332" s="6" t="s">
        <v>3</v>
      </c>
      <c r="X1332" s="6" t="s">
        <v>3</v>
      </c>
      <c r="Y1332" s="5"/>
      <c r="Z1332" s="7">
        <v>1</v>
      </c>
      <c r="AA1332" s="6"/>
      <c r="AB1332" s="5"/>
      <c r="AC1332" s="6"/>
      <c r="AD1332" s="6" t="s">
        <v>3</v>
      </c>
      <c r="AE1332" s="5"/>
      <c r="AF1332" s="7" t="s">
        <v>1734</v>
      </c>
      <c r="AG1332" s="6"/>
      <c r="AH1332" s="5"/>
      <c r="AI1332" s="7" t="s">
        <v>1734</v>
      </c>
      <c r="AJ1332" s="6"/>
      <c r="AK1332" s="5"/>
      <c r="AL1332" s="6"/>
      <c r="AM1332" s="6"/>
      <c r="AN1332" s="6"/>
      <c r="AO1332" s="6"/>
      <c r="AP1332" s="6"/>
      <c r="AQ1332" s="6"/>
    </row>
    <row r="1333" spans="1:43" x14ac:dyDescent="0.25">
      <c r="A1333" s="17" t="str">
        <f t="shared" si="23"/>
        <v>RIFLEMAN_AFRI</v>
      </c>
      <c r="B1333" s="9" t="s">
        <v>123</v>
      </c>
      <c r="C1333" s="4" t="s">
        <v>694</v>
      </c>
      <c r="E1333" s="4" t="s">
        <v>123</v>
      </c>
      <c r="F1333" s="4" t="s">
        <v>123</v>
      </c>
      <c r="H1333" s="4" t="s">
        <v>820</v>
      </c>
      <c r="I1333" s="4" t="s">
        <v>993</v>
      </c>
      <c r="Q1333" s="9">
        <v>1</v>
      </c>
      <c r="R1333" s="11">
        <v>0.122</v>
      </c>
      <c r="T1333" s="11">
        <v>2</v>
      </c>
      <c r="Z1333" s="9">
        <v>1</v>
      </c>
      <c r="AA1333" s="11">
        <v>0.185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17" t="str">
        <f t="shared" si="23"/>
        <v>RIFLEMAN_AFRI</v>
      </c>
      <c r="B1334" s="9" t="s">
        <v>123</v>
      </c>
      <c r="C1334" s="4" t="s">
        <v>694</v>
      </c>
      <c r="E1334" s="4" t="s">
        <v>123</v>
      </c>
      <c r="F1334" s="4" t="s">
        <v>123</v>
      </c>
      <c r="G1334" s="4" t="s">
        <v>1163</v>
      </c>
      <c r="H1334" s="4" t="s">
        <v>821</v>
      </c>
      <c r="I1334" s="4" t="s">
        <v>993</v>
      </c>
      <c r="Q1334" s="9">
        <v>3</v>
      </c>
      <c r="R1334" s="11">
        <v>0.122</v>
      </c>
      <c r="T1334" s="11">
        <v>4</v>
      </c>
      <c r="Z1334" s="9">
        <v>0</v>
      </c>
      <c r="AA1334" s="11">
        <v>0.185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17" t="str">
        <f t="shared" si="23"/>
        <v>RIFLEMAN_AFRI</v>
      </c>
      <c r="B1335" s="9" t="s">
        <v>123</v>
      </c>
      <c r="C1335" s="4" t="s">
        <v>694</v>
      </c>
      <c r="E1335" s="4" t="s">
        <v>123</v>
      </c>
      <c r="F1335" s="4" t="s">
        <v>123</v>
      </c>
      <c r="G1335" s="4" t="s">
        <v>1164</v>
      </c>
      <c r="H1335" s="4" t="s">
        <v>232</v>
      </c>
      <c r="I1335" s="4" t="s">
        <v>993</v>
      </c>
      <c r="Q1335" s="9">
        <v>1</v>
      </c>
      <c r="R1335" s="11">
        <v>0.122</v>
      </c>
      <c r="T1335" s="11">
        <v>4</v>
      </c>
      <c r="Z1335" s="9">
        <v>0</v>
      </c>
      <c r="AA1335" s="11">
        <v>0.185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17" t="str">
        <f>CONCATENATE(E1336,IF(ISBLANK(C1336),"",CONCATENATE("_",C1336)))</f>
        <v>RIFLEMAN_AFRI</v>
      </c>
      <c r="B1336" s="9" t="s">
        <v>123</v>
      </c>
      <c r="C1336" s="4" t="s">
        <v>694</v>
      </c>
      <c r="E1336" s="4" t="s">
        <v>123</v>
      </c>
      <c r="F1336" s="4" t="s">
        <v>123</v>
      </c>
      <c r="G1336" s="4" t="s">
        <v>1164</v>
      </c>
      <c r="H1336" s="4" t="s">
        <v>232</v>
      </c>
      <c r="I1336" s="4" t="s">
        <v>993</v>
      </c>
      <c r="Q1336" s="9">
        <v>3</v>
      </c>
      <c r="R1336" s="11">
        <v>0.122</v>
      </c>
      <c r="T1336" s="11">
        <v>2</v>
      </c>
      <c r="Z1336" s="9">
        <v>0</v>
      </c>
      <c r="AA1336" s="11">
        <v>0.185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17" t="str">
        <f>CONCATENATE(E1337,IF(ISBLANK(C1337),"",CONCATENATE("_",C1337)))</f>
        <v>RIFLEMAN_AFRI</v>
      </c>
      <c r="B1337" s="9" t="s">
        <v>123</v>
      </c>
      <c r="C1337" s="4" t="s">
        <v>694</v>
      </c>
      <c r="E1337" s="4" t="s">
        <v>123</v>
      </c>
      <c r="F1337" s="4" t="s">
        <v>123</v>
      </c>
      <c r="G1337" s="4" t="s">
        <v>1163</v>
      </c>
      <c r="H1337" s="4" t="s">
        <v>821</v>
      </c>
      <c r="I1337" s="4" t="s">
        <v>993</v>
      </c>
      <c r="Q1337" s="9">
        <v>2</v>
      </c>
      <c r="R1337" s="11">
        <v>0.122</v>
      </c>
      <c r="T1337" s="11">
        <v>3</v>
      </c>
      <c r="Z1337" s="9">
        <v>0</v>
      </c>
      <c r="AA1337" s="11">
        <v>0.185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17" t="str">
        <f t="shared" si="23"/>
        <v>RIFLEMAN_AFRI</v>
      </c>
      <c r="B1338" s="9" t="s">
        <v>123</v>
      </c>
      <c r="C1338" s="4" t="s">
        <v>694</v>
      </c>
      <c r="E1338" s="4" t="s">
        <v>123</v>
      </c>
      <c r="F1338" s="4" t="s">
        <v>123</v>
      </c>
      <c r="H1338" s="4" t="s">
        <v>820</v>
      </c>
      <c r="I1338" s="4" t="s">
        <v>993</v>
      </c>
      <c r="Q1338" s="9">
        <v>4</v>
      </c>
      <c r="R1338" s="11">
        <v>0.122</v>
      </c>
      <c r="T1338" s="11">
        <v>4</v>
      </c>
      <c r="Z1338" s="9">
        <v>0</v>
      </c>
      <c r="AA1338" s="11">
        <v>0.185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44" t="str">
        <f t="shared" si="23"/>
        <v>RIFLEMAN_AMER</v>
      </c>
      <c r="B1339" s="9" t="s">
        <v>123</v>
      </c>
      <c r="C1339" s="4" t="s">
        <v>697</v>
      </c>
      <c r="E1339" s="4" t="s">
        <v>123</v>
      </c>
      <c r="F1339" s="4" t="s">
        <v>123</v>
      </c>
      <c r="H1339" s="4" t="s">
        <v>469</v>
      </c>
      <c r="I1339" s="4" t="s">
        <v>122</v>
      </c>
      <c r="R1339" s="11">
        <v>0.13</v>
      </c>
      <c r="AA1339" s="11">
        <v>0.20499999999999999</v>
      </c>
      <c r="AL1339" s="11"/>
      <c r="AM1339" s="11"/>
      <c r="AN1339" s="11"/>
      <c r="AO1339" s="11"/>
      <c r="AP1339" s="11"/>
      <c r="AQ1339" s="11"/>
    </row>
    <row r="1340" spans="1:43" x14ac:dyDescent="0.25">
      <c r="A1340" s="44" t="str">
        <f t="shared" si="23"/>
        <v>RIFLEMAN_IROQUOIS</v>
      </c>
      <c r="B1340" s="9" t="s">
        <v>123</v>
      </c>
      <c r="C1340" s="4" t="s">
        <v>721</v>
      </c>
      <c r="E1340" s="4" t="s">
        <v>123</v>
      </c>
      <c r="F1340" s="4" t="s">
        <v>123</v>
      </c>
      <c r="H1340" s="4" t="s">
        <v>945</v>
      </c>
      <c r="I1340" s="4" t="s">
        <v>122</v>
      </c>
      <c r="Q1340" s="9">
        <v>1</v>
      </c>
      <c r="R1340" s="11">
        <v>0.13</v>
      </c>
      <c r="T1340" s="11">
        <v>3</v>
      </c>
      <c r="Z1340" s="9">
        <v>1</v>
      </c>
      <c r="AA1340" s="11">
        <v>0.20499999999999999</v>
      </c>
      <c r="AF1340" s="11">
        <v>1</v>
      </c>
      <c r="AI1340" s="11">
        <v>1</v>
      </c>
      <c r="AL1340" s="11"/>
      <c r="AM1340" s="11"/>
      <c r="AN1340" s="11"/>
      <c r="AO1340" s="11"/>
      <c r="AP1340" s="11"/>
      <c r="AQ1340" s="11"/>
    </row>
    <row r="1341" spans="1:43" x14ac:dyDescent="0.25">
      <c r="A1341" s="44" t="str">
        <f t="shared" si="23"/>
        <v>RIFLEMAN_IROQUOIS</v>
      </c>
      <c r="B1341" s="9" t="s">
        <v>123</v>
      </c>
      <c r="C1341" s="4" t="s">
        <v>721</v>
      </c>
      <c r="E1341" s="4" t="s">
        <v>123</v>
      </c>
      <c r="F1341" s="4" t="s">
        <v>123</v>
      </c>
      <c r="G1341" s="4" t="s">
        <v>2039</v>
      </c>
      <c r="H1341" s="4" t="s">
        <v>946</v>
      </c>
      <c r="I1341" s="4" t="s">
        <v>122</v>
      </c>
      <c r="Q1341" s="9">
        <v>3</v>
      </c>
      <c r="R1341" s="11">
        <v>0.13</v>
      </c>
      <c r="T1341" s="11">
        <v>4</v>
      </c>
      <c r="Z1341" s="9">
        <v>0</v>
      </c>
      <c r="AA1341" s="11">
        <v>0.20499999999999999</v>
      </c>
      <c r="AF1341" s="11">
        <v>1</v>
      </c>
      <c r="AI1341" s="11">
        <v>2</v>
      </c>
      <c r="AL1341" s="11"/>
      <c r="AM1341" s="11"/>
      <c r="AN1341" s="11"/>
      <c r="AO1341" s="11"/>
      <c r="AP1341" s="11"/>
      <c r="AQ1341" s="11"/>
    </row>
    <row r="1342" spans="1:43" x14ac:dyDescent="0.25">
      <c r="A1342" s="44" t="str">
        <f t="shared" si="23"/>
        <v>RIFLEMAN_IROQUOIS</v>
      </c>
      <c r="B1342" s="9" t="s">
        <v>123</v>
      </c>
      <c r="C1342" s="4" t="s">
        <v>721</v>
      </c>
      <c r="E1342" s="4" t="s">
        <v>123</v>
      </c>
      <c r="F1342" s="4" t="s">
        <v>123</v>
      </c>
      <c r="G1342" s="4" t="s">
        <v>2041</v>
      </c>
      <c r="H1342" s="4" t="s">
        <v>469</v>
      </c>
      <c r="I1342" s="4" t="s">
        <v>122</v>
      </c>
      <c r="Q1342" s="9">
        <v>1</v>
      </c>
      <c r="R1342" s="11">
        <v>0.13</v>
      </c>
      <c r="T1342" s="11">
        <v>3</v>
      </c>
      <c r="Z1342" s="9">
        <v>0</v>
      </c>
      <c r="AA1342" s="11">
        <v>0.20499999999999999</v>
      </c>
      <c r="AF1342" s="11">
        <v>1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44" t="str">
        <f t="shared" si="23"/>
        <v>RIFLEMAN_IROQUOIS</v>
      </c>
      <c r="B1343" s="9" t="s">
        <v>123</v>
      </c>
      <c r="C1343" s="4" t="s">
        <v>721</v>
      </c>
      <c r="E1343" s="4" t="s">
        <v>123</v>
      </c>
      <c r="F1343" s="4" t="s">
        <v>123</v>
      </c>
      <c r="H1343" s="4" t="s">
        <v>945</v>
      </c>
      <c r="I1343" s="4" t="s">
        <v>122</v>
      </c>
      <c r="Q1343" s="9">
        <v>3</v>
      </c>
      <c r="R1343" s="11">
        <v>0.13</v>
      </c>
      <c r="T1343" s="11">
        <v>3</v>
      </c>
      <c r="Z1343" s="9">
        <v>0</v>
      </c>
      <c r="AA1343" s="11">
        <v>0.20499999999999999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44" t="str">
        <f t="shared" si="23"/>
        <v>RIFLEMAN_IROQUOIS</v>
      </c>
      <c r="B1344" s="9" t="s">
        <v>123</v>
      </c>
      <c r="C1344" s="4" t="s">
        <v>721</v>
      </c>
      <c r="E1344" s="4" t="s">
        <v>123</v>
      </c>
      <c r="F1344" s="4" t="s">
        <v>123</v>
      </c>
      <c r="G1344" s="4" t="s">
        <v>2039</v>
      </c>
      <c r="H1344" s="4" t="s">
        <v>946</v>
      </c>
      <c r="I1344" s="4" t="s">
        <v>122</v>
      </c>
      <c r="Q1344" s="9">
        <v>2</v>
      </c>
      <c r="R1344" s="11">
        <v>0.13</v>
      </c>
      <c r="T1344" s="11">
        <v>3</v>
      </c>
      <c r="Z1344" s="9">
        <v>0</v>
      </c>
      <c r="AA1344" s="11">
        <v>0.20499999999999999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44" t="str">
        <f t="shared" si="23"/>
        <v>RIFLEMAN_IROQUOIS</v>
      </c>
      <c r="B1345" s="9" t="s">
        <v>123</v>
      </c>
      <c r="C1345" s="4" t="s">
        <v>721</v>
      </c>
      <c r="E1345" s="4" t="s">
        <v>123</v>
      </c>
      <c r="F1345" s="4" t="s">
        <v>123</v>
      </c>
      <c r="G1345" s="4" t="s">
        <v>2041</v>
      </c>
      <c r="H1345" s="4" t="s">
        <v>469</v>
      </c>
      <c r="I1345" s="4" t="s">
        <v>122</v>
      </c>
      <c r="Q1345" s="9">
        <v>4</v>
      </c>
      <c r="R1345" s="11">
        <v>0.13</v>
      </c>
      <c r="T1345" s="11">
        <v>3</v>
      </c>
      <c r="Z1345" s="9">
        <v>0</v>
      </c>
      <c r="AA1345" s="11">
        <v>0.20499999999999999</v>
      </c>
      <c r="AF1345" s="11">
        <v>0</v>
      </c>
      <c r="AI1345" s="11">
        <v>1</v>
      </c>
      <c r="AL1345" s="11"/>
      <c r="AM1345" s="11"/>
      <c r="AN1345" s="11"/>
      <c r="AO1345" s="11"/>
      <c r="AP1345" s="11"/>
      <c r="AQ1345" s="11"/>
    </row>
    <row r="1346" spans="1:43" x14ac:dyDescent="0.25">
      <c r="A1346" s="44" t="str">
        <f t="shared" si="23"/>
        <v>RIFLEMAN_ASIA</v>
      </c>
      <c r="B1346" s="9" t="s">
        <v>123</v>
      </c>
      <c r="C1346" s="4" t="s">
        <v>693</v>
      </c>
      <c r="E1346" s="4" t="s">
        <v>123</v>
      </c>
      <c r="F1346" s="4" t="s">
        <v>123</v>
      </c>
      <c r="H1346" s="4" t="s">
        <v>453</v>
      </c>
      <c r="I1346" s="4" t="s">
        <v>122</v>
      </c>
      <c r="R1346" s="11">
        <v>0.125</v>
      </c>
      <c r="AA1346" s="11">
        <v>0.19</v>
      </c>
      <c r="AL1346" s="11"/>
      <c r="AM1346" s="11"/>
      <c r="AN1346" s="11"/>
      <c r="AO1346" s="11"/>
      <c r="AP1346" s="11"/>
      <c r="AQ1346" s="11"/>
    </row>
    <row r="1347" spans="1:43" x14ac:dyDescent="0.25">
      <c r="A1347" s="44" t="str">
        <f t="shared" si="23"/>
        <v>RIFLEMAN_CHINA</v>
      </c>
      <c r="B1347" s="9" t="s">
        <v>123</v>
      </c>
      <c r="C1347" s="4" t="s">
        <v>710</v>
      </c>
      <c r="E1347" s="4" t="s">
        <v>123</v>
      </c>
      <c r="F1347" s="4" t="s">
        <v>123</v>
      </c>
      <c r="H1347" s="4" t="s">
        <v>830</v>
      </c>
      <c r="I1347" s="4" t="s">
        <v>122</v>
      </c>
      <c r="Q1347" s="9">
        <v>1</v>
      </c>
      <c r="R1347" s="11">
        <v>0.125</v>
      </c>
      <c r="T1347" s="11">
        <v>2</v>
      </c>
      <c r="Z1347" s="9">
        <v>1</v>
      </c>
      <c r="AA1347" s="11">
        <v>0.19</v>
      </c>
      <c r="AF1347" s="11">
        <v>1</v>
      </c>
      <c r="AI1347" s="11">
        <v>1</v>
      </c>
      <c r="AL1347" s="11"/>
      <c r="AM1347" s="11"/>
      <c r="AN1347" s="11"/>
      <c r="AO1347" s="11"/>
      <c r="AP1347" s="11"/>
      <c r="AQ1347" s="11"/>
    </row>
    <row r="1348" spans="1:43" x14ac:dyDescent="0.25">
      <c r="A1348" s="44" t="str">
        <f t="shared" si="23"/>
        <v>RIFLEMAN_CHINA</v>
      </c>
      <c r="B1348" s="9" t="s">
        <v>123</v>
      </c>
      <c r="C1348" s="4" t="s">
        <v>710</v>
      </c>
      <c r="E1348" s="4" t="s">
        <v>123</v>
      </c>
      <c r="F1348" s="4" t="s">
        <v>123</v>
      </c>
      <c r="G1348" s="4" t="s">
        <v>2039</v>
      </c>
      <c r="H1348" s="4" t="s">
        <v>831</v>
      </c>
      <c r="I1348" s="4" t="s">
        <v>122</v>
      </c>
      <c r="Q1348" s="9">
        <v>4</v>
      </c>
      <c r="R1348" s="11">
        <v>0.125</v>
      </c>
      <c r="T1348" s="11">
        <v>4</v>
      </c>
      <c r="Z1348" s="9">
        <v>0</v>
      </c>
      <c r="AA1348" s="11">
        <v>0.19</v>
      </c>
      <c r="AF1348" s="11">
        <v>1</v>
      </c>
      <c r="AI1348" s="11">
        <v>2</v>
      </c>
      <c r="AL1348" s="11"/>
      <c r="AM1348" s="11"/>
      <c r="AN1348" s="11"/>
      <c r="AO1348" s="11"/>
      <c r="AP1348" s="11"/>
      <c r="AQ1348" s="11"/>
    </row>
    <row r="1349" spans="1:43" x14ac:dyDescent="0.25">
      <c r="A1349" s="44" t="str">
        <f t="shared" si="23"/>
        <v>RIFLEMAN_CHINA</v>
      </c>
      <c r="B1349" s="9" t="s">
        <v>123</v>
      </c>
      <c r="C1349" s="4" t="s">
        <v>710</v>
      </c>
      <c r="E1349" s="4" t="s">
        <v>123</v>
      </c>
      <c r="F1349" s="4" t="s">
        <v>123</v>
      </c>
      <c r="G1349" s="4" t="s">
        <v>2041</v>
      </c>
      <c r="H1349" s="4" t="s">
        <v>257</v>
      </c>
      <c r="I1349" s="4" t="s">
        <v>122</v>
      </c>
      <c r="Q1349" s="9">
        <v>3</v>
      </c>
      <c r="R1349" s="11">
        <v>0.125</v>
      </c>
      <c r="T1349" s="11">
        <v>4</v>
      </c>
      <c r="Z1349" s="9">
        <v>0</v>
      </c>
      <c r="AA1349" s="11">
        <v>0.19</v>
      </c>
      <c r="AF1349" s="11">
        <v>1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44" t="str">
        <f t="shared" si="23"/>
        <v>RIFLEMAN_CHINA</v>
      </c>
      <c r="B1350" s="9" t="s">
        <v>123</v>
      </c>
      <c r="C1350" s="4" t="s">
        <v>710</v>
      </c>
      <c r="E1350" s="4" t="s">
        <v>123</v>
      </c>
      <c r="F1350" s="4" t="s">
        <v>123</v>
      </c>
      <c r="H1350" s="4" t="s">
        <v>830</v>
      </c>
      <c r="I1350" s="4" t="s">
        <v>122</v>
      </c>
      <c r="Q1350" s="9">
        <v>3</v>
      </c>
      <c r="R1350" s="11">
        <v>0.125</v>
      </c>
      <c r="T1350" s="11">
        <v>4</v>
      </c>
      <c r="Z1350" s="9">
        <v>0</v>
      </c>
      <c r="AA1350" s="11">
        <v>0.19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44" t="str">
        <f t="shared" si="23"/>
        <v>RIFLEMAN_CHINA</v>
      </c>
      <c r="B1351" s="9" t="s">
        <v>123</v>
      </c>
      <c r="C1351" s="4" t="s">
        <v>710</v>
      </c>
      <c r="E1351" s="4" t="s">
        <v>123</v>
      </c>
      <c r="F1351" s="4" t="s">
        <v>123</v>
      </c>
      <c r="G1351" s="4" t="s">
        <v>2039</v>
      </c>
      <c r="H1351" s="4" t="s">
        <v>831</v>
      </c>
      <c r="I1351" s="4" t="s">
        <v>122</v>
      </c>
      <c r="Q1351" s="9">
        <v>1</v>
      </c>
      <c r="R1351" s="11">
        <v>0.125</v>
      </c>
      <c r="T1351" s="11">
        <v>3</v>
      </c>
      <c r="Z1351" s="9">
        <v>0</v>
      </c>
      <c r="AA1351" s="11">
        <v>0.19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44" t="str">
        <f t="shared" si="23"/>
        <v>RIFLEMAN_CHINA</v>
      </c>
      <c r="B1352" s="9" t="s">
        <v>123</v>
      </c>
      <c r="C1352" s="4" t="s">
        <v>710</v>
      </c>
      <c r="E1352" s="4" t="s">
        <v>123</v>
      </c>
      <c r="F1352" s="4" t="s">
        <v>123</v>
      </c>
      <c r="G1352" s="4" t="s">
        <v>2041</v>
      </c>
      <c r="H1352" s="4" t="s">
        <v>257</v>
      </c>
      <c r="I1352" s="4" t="s">
        <v>122</v>
      </c>
      <c r="Q1352" s="9">
        <v>2</v>
      </c>
      <c r="R1352" s="11">
        <v>0.125</v>
      </c>
      <c r="T1352" s="11">
        <v>2</v>
      </c>
      <c r="Z1352" s="9">
        <v>0</v>
      </c>
      <c r="AA1352" s="11">
        <v>0.19</v>
      </c>
      <c r="AF1352" s="11">
        <v>0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44" t="str">
        <f t="shared" si="23"/>
        <v>RIFLEMAN_JAPAN</v>
      </c>
      <c r="B1353" s="9" t="s">
        <v>123</v>
      </c>
      <c r="C1353" s="4" t="s">
        <v>722</v>
      </c>
      <c r="E1353" s="4" t="s">
        <v>123</v>
      </c>
      <c r="F1353" s="4" t="s">
        <v>123</v>
      </c>
      <c r="H1353" s="4" t="s">
        <v>955</v>
      </c>
      <c r="I1353" s="4" t="s">
        <v>122</v>
      </c>
      <c r="Q1353" s="9">
        <v>1</v>
      </c>
      <c r="R1353" s="11">
        <v>0.13</v>
      </c>
      <c r="T1353" s="11">
        <v>3</v>
      </c>
      <c r="Z1353" s="9">
        <v>1</v>
      </c>
      <c r="AA1353" s="11">
        <v>0.20499999999999999</v>
      </c>
      <c r="AF1353" s="11">
        <v>1</v>
      </c>
      <c r="AI1353" s="11">
        <v>1</v>
      </c>
      <c r="AL1353" s="11"/>
      <c r="AM1353" s="11"/>
      <c r="AN1353" s="11"/>
      <c r="AO1353" s="11"/>
      <c r="AP1353" s="11"/>
      <c r="AQ1353" s="11"/>
    </row>
    <row r="1354" spans="1:43" x14ac:dyDescent="0.25">
      <c r="A1354" s="44" t="str">
        <f t="shared" si="23"/>
        <v>RIFLEMAN_JAPAN</v>
      </c>
      <c r="B1354" s="9" t="s">
        <v>123</v>
      </c>
      <c r="C1354" s="4" t="s">
        <v>722</v>
      </c>
      <c r="E1354" s="4" t="s">
        <v>123</v>
      </c>
      <c r="F1354" s="4" t="s">
        <v>123</v>
      </c>
      <c r="G1354" s="4" t="s">
        <v>2039</v>
      </c>
      <c r="H1354" s="4" t="s">
        <v>956</v>
      </c>
      <c r="I1354" s="4" t="s">
        <v>122</v>
      </c>
      <c r="Q1354" s="9">
        <v>4</v>
      </c>
      <c r="R1354" s="11">
        <v>0.13</v>
      </c>
      <c r="T1354" s="11">
        <v>4</v>
      </c>
      <c r="Z1354" s="9">
        <v>0</v>
      </c>
      <c r="AA1354" s="11">
        <v>0.20499999999999999</v>
      </c>
      <c r="AF1354" s="11">
        <v>1</v>
      </c>
      <c r="AI1354" s="11">
        <v>2</v>
      </c>
      <c r="AL1354" s="11"/>
      <c r="AM1354" s="11"/>
      <c r="AN1354" s="11"/>
      <c r="AO1354" s="11"/>
      <c r="AP1354" s="11"/>
      <c r="AQ1354" s="11"/>
    </row>
    <row r="1355" spans="1:43" x14ac:dyDescent="0.25">
      <c r="A1355" s="44" t="str">
        <f t="shared" si="23"/>
        <v>RIFLEMAN_JAPAN</v>
      </c>
      <c r="B1355" s="9" t="s">
        <v>123</v>
      </c>
      <c r="C1355" s="4" t="s">
        <v>722</v>
      </c>
      <c r="E1355" s="4" t="s">
        <v>123</v>
      </c>
      <c r="F1355" s="4" t="s">
        <v>123</v>
      </c>
      <c r="G1355" s="4" t="s">
        <v>2041</v>
      </c>
      <c r="H1355" s="4" t="s">
        <v>488</v>
      </c>
      <c r="I1355" s="4" t="s">
        <v>122</v>
      </c>
      <c r="Q1355" s="9">
        <v>3</v>
      </c>
      <c r="R1355" s="11">
        <v>0.13</v>
      </c>
      <c r="T1355" s="11">
        <v>3</v>
      </c>
      <c r="Z1355" s="9">
        <v>0</v>
      </c>
      <c r="AA1355" s="11">
        <v>0.20499999999999999</v>
      </c>
      <c r="AF1355" s="11">
        <v>1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44" t="str">
        <f t="shared" si="23"/>
        <v>RIFLEMAN_JAPAN</v>
      </c>
      <c r="B1356" s="9" t="s">
        <v>123</v>
      </c>
      <c r="C1356" s="4" t="s">
        <v>722</v>
      </c>
      <c r="E1356" s="4" t="s">
        <v>123</v>
      </c>
      <c r="F1356" s="4" t="s">
        <v>123</v>
      </c>
      <c r="H1356" s="4" t="s">
        <v>955</v>
      </c>
      <c r="I1356" s="4" t="s">
        <v>122</v>
      </c>
      <c r="Q1356" s="9">
        <v>3</v>
      </c>
      <c r="R1356" s="11">
        <v>0.13</v>
      </c>
      <c r="T1356" s="11">
        <v>3</v>
      </c>
      <c r="Z1356" s="9">
        <v>0</v>
      </c>
      <c r="AA1356" s="11">
        <v>0.20499999999999999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44" t="str">
        <f t="shared" si="23"/>
        <v>RIFLEMAN_JAPAN</v>
      </c>
      <c r="B1357" s="9" t="s">
        <v>123</v>
      </c>
      <c r="C1357" s="4" t="s">
        <v>722</v>
      </c>
      <c r="E1357" s="4" t="s">
        <v>123</v>
      </c>
      <c r="F1357" s="4" t="s">
        <v>123</v>
      </c>
      <c r="G1357" s="4" t="s">
        <v>2039</v>
      </c>
      <c r="H1357" s="4" t="s">
        <v>956</v>
      </c>
      <c r="I1357" s="4" t="s">
        <v>122</v>
      </c>
      <c r="Q1357" s="9">
        <v>1</v>
      </c>
      <c r="R1357" s="11">
        <v>0.13</v>
      </c>
      <c r="T1357" s="11">
        <v>3</v>
      </c>
      <c r="Z1357" s="9">
        <v>0</v>
      </c>
      <c r="AA1357" s="11">
        <v>0.20499999999999999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44" t="str">
        <f t="shared" si="23"/>
        <v>RIFLEMAN_JAPAN</v>
      </c>
      <c r="B1358" s="9" t="s">
        <v>123</v>
      </c>
      <c r="C1358" s="4" t="s">
        <v>722</v>
      </c>
      <c r="E1358" s="4" t="s">
        <v>123</v>
      </c>
      <c r="F1358" s="4" t="s">
        <v>123</v>
      </c>
      <c r="G1358" s="4" t="s">
        <v>2041</v>
      </c>
      <c r="H1358" s="4" t="s">
        <v>488</v>
      </c>
      <c r="I1358" s="4" t="s">
        <v>122</v>
      </c>
      <c r="Q1358" s="9">
        <v>2</v>
      </c>
      <c r="R1358" s="11">
        <v>0.13</v>
      </c>
      <c r="T1358" s="11">
        <v>3</v>
      </c>
      <c r="Z1358" s="9">
        <v>0</v>
      </c>
      <c r="AA1358" s="11">
        <v>0.20499999999999999</v>
      </c>
      <c r="AF1358" s="11">
        <v>0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44" t="str">
        <f t="shared" si="23"/>
        <v>RIFLEMAN_CENTAS</v>
      </c>
      <c r="B1359" s="9" t="s">
        <v>123</v>
      </c>
      <c r="C1359" s="4" t="s">
        <v>918</v>
      </c>
      <c r="E1359" s="4" t="s">
        <v>123</v>
      </c>
      <c r="F1359" s="4" t="s">
        <v>123</v>
      </c>
      <c r="H1359" s="4" t="s">
        <v>1044</v>
      </c>
      <c r="I1359" s="4" t="s">
        <v>122</v>
      </c>
      <c r="Q1359" s="9">
        <v>1</v>
      </c>
      <c r="R1359" s="11">
        <v>0.13</v>
      </c>
      <c r="T1359" s="9">
        <v>3</v>
      </c>
      <c r="Z1359" s="9">
        <v>1</v>
      </c>
      <c r="AA1359" s="11">
        <v>0.20499999999999999</v>
      </c>
      <c r="AF1359" s="11">
        <v>1</v>
      </c>
      <c r="AI1359" s="11">
        <v>1</v>
      </c>
      <c r="AL1359" s="11"/>
      <c r="AM1359" s="11"/>
      <c r="AN1359" s="11"/>
      <c r="AO1359" s="11"/>
      <c r="AP1359" s="11"/>
      <c r="AQ1359" s="11"/>
    </row>
    <row r="1360" spans="1:43" x14ac:dyDescent="0.25">
      <c r="A1360" s="44" t="str">
        <f t="shared" si="23"/>
        <v>RIFLEMAN_CENTAS</v>
      </c>
      <c r="B1360" s="9" t="s">
        <v>123</v>
      </c>
      <c r="C1360" s="4" t="s">
        <v>918</v>
      </c>
      <c r="E1360" s="4" t="s">
        <v>123</v>
      </c>
      <c r="F1360" s="4" t="s">
        <v>123</v>
      </c>
      <c r="G1360" s="4" t="s">
        <v>2039</v>
      </c>
      <c r="H1360" s="4" t="s">
        <v>1043</v>
      </c>
      <c r="I1360" s="4" t="s">
        <v>122</v>
      </c>
      <c r="Q1360" s="9">
        <v>3</v>
      </c>
      <c r="R1360" s="11">
        <v>0.13</v>
      </c>
      <c r="T1360" s="9">
        <v>4</v>
      </c>
      <c r="Z1360" s="9">
        <v>0</v>
      </c>
      <c r="AA1360" s="11">
        <v>0.20499999999999999</v>
      </c>
      <c r="AF1360" s="11">
        <v>1</v>
      </c>
      <c r="AI1360" s="11">
        <v>2</v>
      </c>
      <c r="AL1360" s="11"/>
      <c r="AM1360" s="11"/>
      <c r="AN1360" s="11"/>
      <c r="AO1360" s="11"/>
      <c r="AP1360" s="11"/>
      <c r="AQ1360" s="11"/>
    </row>
    <row r="1361" spans="1:43" x14ac:dyDescent="0.25">
      <c r="A1361" s="44" t="str">
        <f t="shared" si="23"/>
        <v>RIFLEMAN_CENTAS</v>
      </c>
      <c r="B1361" s="9" t="s">
        <v>123</v>
      </c>
      <c r="C1361" s="4" t="s">
        <v>918</v>
      </c>
      <c r="E1361" s="4" t="s">
        <v>123</v>
      </c>
      <c r="F1361" s="4" t="s">
        <v>123</v>
      </c>
      <c r="G1361" s="4" t="s">
        <v>2041</v>
      </c>
      <c r="H1361" s="4" t="s">
        <v>1042</v>
      </c>
      <c r="I1361" s="4" t="s">
        <v>122</v>
      </c>
      <c r="Q1361" s="9">
        <v>1</v>
      </c>
      <c r="R1361" s="11">
        <v>0.13</v>
      </c>
      <c r="T1361" s="9">
        <v>3</v>
      </c>
      <c r="Z1361" s="9">
        <v>0</v>
      </c>
      <c r="AA1361" s="11">
        <v>0.20499999999999999</v>
      </c>
      <c r="AF1361" s="11">
        <v>1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44" t="str">
        <f t="shared" si="23"/>
        <v>RIFLEMAN_CENTAS</v>
      </c>
      <c r="B1362" s="9" t="s">
        <v>123</v>
      </c>
      <c r="C1362" s="4" t="s">
        <v>918</v>
      </c>
      <c r="E1362" s="4" t="s">
        <v>123</v>
      </c>
      <c r="F1362" s="4" t="s">
        <v>123</v>
      </c>
      <c r="H1362" s="4" t="s">
        <v>1044</v>
      </c>
      <c r="I1362" s="4" t="s">
        <v>122</v>
      </c>
      <c r="Q1362" s="9">
        <v>3</v>
      </c>
      <c r="R1362" s="11">
        <v>0.13</v>
      </c>
      <c r="T1362" s="9">
        <v>3</v>
      </c>
      <c r="Z1362" s="9">
        <v>0</v>
      </c>
      <c r="AA1362" s="11">
        <v>0.20499999999999999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44" t="str">
        <f t="shared" si="23"/>
        <v>RIFLEMAN_CENTAS</v>
      </c>
      <c r="B1363" s="9" t="s">
        <v>123</v>
      </c>
      <c r="C1363" s="4" t="s">
        <v>918</v>
      </c>
      <c r="E1363" s="4" t="s">
        <v>123</v>
      </c>
      <c r="F1363" s="4" t="s">
        <v>123</v>
      </c>
      <c r="G1363" s="4" t="s">
        <v>2039</v>
      </c>
      <c r="H1363" s="4" t="s">
        <v>1043</v>
      </c>
      <c r="I1363" s="4" t="s">
        <v>122</v>
      </c>
      <c r="Q1363" s="9">
        <v>2</v>
      </c>
      <c r="R1363" s="11">
        <v>0.13</v>
      </c>
      <c r="T1363" s="9">
        <v>3</v>
      </c>
      <c r="Z1363" s="9">
        <v>0</v>
      </c>
      <c r="AA1363" s="11">
        <v>0.20499999999999999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44" t="str">
        <f t="shared" si="23"/>
        <v>RIFLEMAN_CENTAS</v>
      </c>
      <c r="B1364" s="9" t="s">
        <v>123</v>
      </c>
      <c r="C1364" s="4" t="s">
        <v>918</v>
      </c>
      <c r="E1364" s="4" t="s">
        <v>123</v>
      </c>
      <c r="F1364" s="4" t="s">
        <v>123</v>
      </c>
      <c r="G1364" s="4" t="s">
        <v>2041</v>
      </c>
      <c r="H1364" s="4" t="s">
        <v>1042</v>
      </c>
      <c r="I1364" s="4" t="s">
        <v>122</v>
      </c>
      <c r="Q1364" s="9">
        <v>4</v>
      </c>
      <c r="R1364" s="11">
        <v>0.13</v>
      </c>
      <c r="T1364" s="9">
        <v>3</v>
      </c>
      <c r="Z1364" s="9">
        <v>0</v>
      </c>
      <c r="AA1364" s="11">
        <v>0.20499999999999999</v>
      </c>
      <c r="AF1364" s="11">
        <v>0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44" t="str">
        <f t="shared" si="23"/>
        <v>RIFLEMAN_HUNS</v>
      </c>
      <c r="B1365" s="9" t="s">
        <v>123</v>
      </c>
      <c r="C1365" s="4" t="s">
        <v>904</v>
      </c>
      <c r="E1365" s="4" t="s">
        <v>123</v>
      </c>
      <c r="F1365" s="4" t="s">
        <v>123</v>
      </c>
      <c r="H1365" s="4" t="s">
        <v>913</v>
      </c>
      <c r="I1365" s="4" t="s">
        <v>122</v>
      </c>
      <c r="Q1365" s="11">
        <v>14</v>
      </c>
      <c r="R1365" s="11">
        <v>0.125</v>
      </c>
      <c r="T1365" s="11">
        <v>19</v>
      </c>
      <c r="W1365" s="11" t="s">
        <v>3</v>
      </c>
      <c r="Z1365" s="11">
        <v>1</v>
      </c>
      <c r="AA1365" s="11">
        <v>0.19</v>
      </c>
      <c r="AD1365" s="11" t="s">
        <v>3</v>
      </c>
      <c r="AF1365" s="11" t="s">
        <v>1734</v>
      </c>
      <c r="AI1365" s="11" t="s">
        <v>1734</v>
      </c>
      <c r="AL1365" s="11"/>
      <c r="AM1365" s="11"/>
      <c r="AN1365" s="11"/>
      <c r="AO1365" s="11"/>
      <c r="AP1365" s="11"/>
      <c r="AQ1365" s="11"/>
    </row>
    <row r="1366" spans="1:43" x14ac:dyDescent="0.25">
      <c r="A1366" s="44" t="str">
        <f t="shared" ref="A1366:A1423" si="24">CONCATENATE(E1366,IF(ISBLANK(C1366),"",CONCATENATE("_",C1366)))</f>
        <v>RIFLEMAN_RUSSIA</v>
      </c>
      <c r="B1366" s="9" t="s">
        <v>123</v>
      </c>
      <c r="C1366" s="4" t="s">
        <v>735</v>
      </c>
      <c r="E1366" s="4" t="s">
        <v>123</v>
      </c>
      <c r="F1366" s="4" t="s">
        <v>123</v>
      </c>
      <c r="H1366" s="4" t="s">
        <v>1011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A1366" s="11">
        <v>0.20499999999999999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44" t="str">
        <f t="shared" si="24"/>
        <v>RIFLEMAN_RUSSIA</v>
      </c>
      <c r="B1367" s="9" t="s">
        <v>123</v>
      </c>
      <c r="C1367" s="4" t="s">
        <v>735</v>
      </c>
      <c r="E1367" s="4" t="s">
        <v>123</v>
      </c>
      <c r="F1367" s="4" t="s">
        <v>123</v>
      </c>
      <c r="G1367" s="4" t="s">
        <v>2039</v>
      </c>
      <c r="H1367" s="4" t="s">
        <v>1012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A1367" s="11">
        <v>0.20499999999999999</v>
      </c>
      <c r="AF1367" s="11">
        <v>1</v>
      </c>
      <c r="AI1367" s="11">
        <v>2</v>
      </c>
      <c r="AL1367" s="11"/>
      <c r="AM1367" s="11"/>
      <c r="AN1367" s="11"/>
      <c r="AO1367" s="11"/>
      <c r="AP1367" s="11"/>
      <c r="AQ1367" s="11"/>
    </row>
    <row r="1368" spans="1:43" x14ac:dyDescent="0.25">
      <c r="A1368" s="44" t="str">
        <f t="shared" si="24"/>
        <v>RIFLEMAN_RUSSIA</v>
      </c>
      <c r="B1368" s="9" t="s">
        <v>123</v>
      </c>
      <c r="C1368" s="4" t="s">
        <v>735</v>
      </c>
      <c r="E1368" s="4" t="s">
        <v>123</v>
      </c>
      <c r="F1368" s="4" t="s">
        <v>123</v>
      </c>
      <c r="G1368" s="4" t="s">
        <v>2041</v>
      </c>
      <c r="H1368" s="4" t="s">
        <v>624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A1368" s="11">
        <v>0.20499999999999999</v>
      </c>
      <c r="AF1368" s="11">
        <v>1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44" t="str">
        <f t="shared" si="24"/>
        <v>RIFLEMAN_RUSSIA</v>
      </c>
      <c r="B1369" s="9" t="s">
        <v>123</v>
      </c>
      <c r="C1369" s="4" t="s">
        <v>735</v>
      </c>
      <c r="E1369" s="4" t="s">
        <v>123</v>
      </c>
      <c r="F1369" s="4" t="s">
        <v>123</v>
      </c>
      <c r="H1369" s="4" t="s">
        <v>1011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A1369" s="11">
        <v>0.20499999999999999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44" t="str">
        <f t="shared" si="24"/>
        <v>RIFLEMAN_RUSSIA</v>
      </c>
      <c r="B1370" s="9" t="s">
        <v>123</v>
      </c>
      <c r="C1370" s="4" t="s">
        <v>735</v>
      </c>
      <c r="E1370" s="4" t="s">
        <v>123</v>
      </c>
      <c r="F1370" s="4" t="s">
        <v>123</v>
      </c>
      <c r="G1370" s="4" t="s">
        <v>2039</v>
      </c>
      <c r="H1370" s="4" t="s">
        <v>1012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A1370" s="11">
        <v>0.20499999999999999</v>
      </c>
      <c r="AF1370" s="11">
        <v>0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44" t="str">
        <f t="shared" si="24"/>
        <v>RIFLEMAN_RUSSIA</v>
      </c>
      <c r="B1371" s="9" t="s">
        <v>123</v>
      </c>
      <c r="C1371" s="4" t="s">
        <v>735</v>
      </c>
      <c r="E1371" s="4" t="s">
        <v>123</v>
      </c>
      <c r="F1371" s="4" t="s">
        <v>123</v>
      </c>
      <c r="G1371" s="4" t="s">
        <v>2041</v>
      </c>
      <c r="H1371" s="4" t="s">
        <v>624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A1371" s="11">
        <v>0.20499999999999999</v>
      </c>
      <c r="AF1371" s="11">
        <v>0</v>
      </c>
      <c r="AI1371" s="11">
        <v>1</v>
      </c>
      <c r="AL1371" s="11"/>
      <c r="AM1371" s="11"/>
      <c r="AN1371" s="11"/>
      <c r="AO1371" s="11"/>
      <c r="AP1371" s="11"/>
      <c r="AQ1371" s="11"/>
    </row>
    <row r="1372" spans="1:43" x14ac:dyDescent="0.25">
      <c r="A1372" s="44" t="str">
        <f t="shared" si="24"/>
        <v>RIFLEMAN_AMERICA</v>
      </c>
      <c r="B1372" s="9" t="s">
        <v>123</v>
      </c>
      <c r="C1372" s="4" t="s">
        <v>699</v>
      </c>
      <c r="E1372" s="4" t="s">
        <v>123</v>
      </c>
      <c r="F1372" s="4" t="s">
        <v>123</v>
      </c>
      <c r="H1372" s="4" t="s">
        <v>804</v>
      </c>
      <c r="I1372" s="4" t="s">
        <v>122</v>
      </c>
      <c r="Q1372" s="9">
        <v>1</v>
      </c>
      <c r="R1372" s="11">
        <v>0.13</v>
      </c>
      <c r="T1372" s="11">
        <v>3</v>
      </c>
      <c r="U1372" s="11">
        <v>9.5000000000000001E-2</v>
      </c>
      <c r="Z1372" s="9">
        <v>1</v>
      </c>
      <c r="AA1372" s="11">
        <v>0.20499999999999999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44" t="str">
        <f t="shared" si="24"/>
        <v>RIFLEMAN_AMERICA</v>
      </c>
      <c r="B1373" s="9" t="s">
        <v>123</v>
      </c>
      <c r="C1373" s="4" t="s">
        <v>699</v>
      </c>
      <c r="E1373" s="4" t="s">
        <v>123</v>
      </c>
      <c r="F1373" s="4" t="s">
        <v>123</v>
      </c>
      <c r="G1373" s="4" t="s">
        <v>2039</v>
      </c>
      <c r="H1373" s="4" t="s">
        <v>805</v>
      </c>
      <c r="I1373" s="4" t="s">
        <v>122</v>
      </c>
      <c r="Q1373" s="9">
        <v>4</v>
      </c>
      <c r="R1373" s="11">
        <v>0.13</v>
      </c>
      <c r="T1373" s="11">
        <v>4</v>
      </c>
      <c r="U1373" s="11">
        <v>9.5000000000000001E-2</v>
      </c>
      <c r="Z1373" s="9">
        <v>0</v>
      </c>
      <c r="AA1373" s="11">
        <v>0.20499999999999999</v>
      </c>
      <c r="AF1373" s="11">
        <v>1</v>
      </c>
      <c r="AI1373" s="11">
        <v>2</v>
      </c>
      <c r="AL1373" s="11"/>
      <c r="AM1373" s="11"/>
      <c r="AN1373" s="11"/>
      <c r="AO1373" s="11"/>
      <c r="AP1373" s="11"/>
      <c r="AQ1373" s="11"/>
    </row>
    <row r="1374" spans="1:43" x14ac:dyDescent="0.25">
      <c r="A1374" s="44" t="str">
        <f t="shared" si="24"/>
        <v>RIFLEMAN_AMERICA</v>
      </c>
      <c r="B1374" s="9" t="s">
        <v>123</v>
      </c>
      <c r="C1374" s="4" t="s">
        <v>699</v>
      </c>
      <c r="E1374" s="4" t="s">
        <v>123</v>
      </c>
      <c r="F1374" s="4" t="s">
        <v>123</v>
      </c>
      <c r="G1374" s="4" t="s">
        <v>2041</v>
      </c>
      <c r="H1374" s="4" t="s">
        <v>149</v>
      </c>
      <c r="I1374" s="4" t="s">
        <v>122</v>
      </c>
      <c r="Q1374" s="9">
        <v>2</v>
      </c>
      <c r="R1374" s="11">
        <v>0.13</v>
      </c>
      <c r="T1374" s="11">
        <v>3</v>
      </c>
      <c r="U1374" s="11">
        <v>9.5000000000000001E-2</v>
      </c>
      <c r="Z1374" s="9">
        <v>0</v>
      </c>
      <c r="AA1374" s="11">
        <v>0.20499999999999999</v>
      </c>
      <c r="AF1374" s="11">
        <v>1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44" t="str">
        <f t="shared" si="24"/>
        <v>RIFLEMAN_AMERICA</v>
      </c>
      <c r="B1375" s="9" t="s">
        <v>123</v>
      </c>
      <c r="C1375" s="4" t="s">
        <v>699</v>
      </c>
      <c r="E1375" s="4" t="s">
        <v>123</v>
      </c>
      <c r="F1375" s="4" t="s">
        <v>123</v>
      </c>
      <c r="H1375" s="4" t="s">
        <v>804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9.5000000000000001E-2</v>
      </c>
      <c r="Z1375" s="9">
        <v>0</v>
      </c>
      <c r="AA1375" s="11">
        <v>0.20499999999999999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44" t="str">
        <f t="shared" si="24"/>
        <v>RIFLEMAN_AMERICA</v>
      </c>
      <c r="B1376" s="9" t="s">
        <v>123</v>
      </c>
      <c r="C1376" s="4" t="s">
        <v>699</v>
      </c>
      <c r="E1376" s="4" t="s">
        <v>123</v>
      </c>
      <c r="F1376" s="4" t="s">
        <v>123</v>
      </c>
      <c r="G1376" s="4" t="s">
        <v>2039</v>
      </c>
      <c r="H1376" s="4" t="s">
        <v>805</v>
      </c>
      <c r="I1376" s="4" t="s">
        <v>122</v>
      </c>
      <c r="Q1376" s="9">
        <v>1</v>
      </c>
      <c r="R1376" s="11">
        <v>0.13</v>
      </c>
      <c r="T1376" s="11">
        <v>3</v>
      </c>
      <c r="U1376" s="11">
        <v>9.5000000000000001E-2</v>
      </c>
      <c r="Z1376" s="9">
        <v>0</v>
      </c>
      <c r="AA1376" s="11">
        <v>0.20499999999999999</v>
      </c>
      <c r="AF1376" s="11">
        <v>0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44" t="str">
        <f t="shared" si="24"/>
        <v>RIFLEMAN_AMERICA</v>
      </c>
      <c r="B1377" s="9" t="s">
        <v>123</v>
      </c>
      <c r="C1377" s="4" t="s">
        <v>699</v>
      </c>
      <c r="E1377" s="4" t="s">
        <v>123</v>
      </c>
      <c r="F1377" s="4" t="s">
        <v>123</v>
      </c>
      <c r="G1377" s="4" t="s">
        <v>2041</v>
      </c>
      <c r="H1377" s="4" t="s">
        <v>149</v>
      </c>
      <c r="I1377" s="4" t="s">
        <v>122</v>
      </c>
      <c r="Q1377" s="9">
        <v>3</v>
      </c>
      <c r="R1377" s="11">
        <v>0.13</v>
      </c>
      <c r="T1377" s="11">
        <v>3</v>
      </c>
      <c r="U1377" s="11">
        <v>9.5000000000000001E-2</v>
      </c>
      <c r="Z1377" s="9">
        <v>0</v>
      </c>
      <c r="AA1377" s="11">
        <v>0.20499999999999999</v>
      </c>
      <c r="AF1377" s="11">
        <v>0</v>
      </c>
      <c r="AI1377" s="11">
        <v>1</v>
      </c>
      <c r="AL1377" s="11"/>
      <c r="AM1377" s="11"/>
      <c r="AN1377" s="11"/>
      <c r="AO1377" s="11"/>
      <c r="AP1377" s="11"/>
      <c r="AQ1377" s="11"/>
    </row>
    <row r="1378" spans="1:43" x14ac:dyDescent="0.25">
      <c r="A1378" s="44" t="str">
        <f t="shared" si="24"/>
        <v>RIFLEMAN_AUSTRIA</v>
      </c>
      <c r="B1378" s="9" t="s">
        <v>123</v>
      </c>
      <c r="C1378" s="4" t="s">
        <v>701</v>
      </c>
      <c r="E1378" s="4" t="s">
        <v>123</v>
      </c>
      <c r="F1378" s="4" t="s">
        <v>123</v>
      </c>
      <c r="H1378" s="4" t="s">
        <v>812</v>
      </c>
      <c r="I1378" s="4" t="s">
        <v>122</v>
      </c>
      <c r="Q1378" s="9">
        <v>1</v>
      </c>
      <c r="R1378" s="11">
        <v>0.125</v>
      </c>
      <c r="T1378" s="11">
        <v>3</v>
      </c>
      <c r="Z1378" s="9">
        <v>1</v>
      </c>
      <c r="AA1378" s="11">
        <v>0.19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44" t="str">
        <f t="shared" si="24"/>
        <v>RIFLEMAN_AUSTRIA</v>
      </c>
      <c r="B1379" s="9" t="s">
        <v>123</v>
      </c>
      <c r="C1379" s="4" t="s">
        <v>701</v>
      </c>
      <c r="E1379" s="4" t="s">
        <v>123</v>
      </c>
      <c r="F1379" s="4" t="s">
        <v>123</v>
      </c>
      <c r="G1379" s="4" t="s">
        <v>2039</v>
      </c>
      <c r="H1379" s="4" t="s">
        <v>813</v>
      </c>
      <c r="I1379" s="4" t="s">
        <v>122</v>
      </c>
      <c r="Q1379" s="9">
        <v>4</v>
      </c>
      <c r="R1379" s="11">
        <v>0.125</v>
      </c>
      <c r="T1379" s="11">
        <v>4</v>
      </c>
      <c r="Z1379" s="9">
        <v>0</v>
      </c>
      <c r="AA1379" s="11">
        <v>0.19</v>
      </c>
      <c r="AF1379" s="11">
        <v>1</v>
      </c>
      <c r="AI1379" s="11">
        <v>2</v>
      </c>
      <c r="AL1379" s="11"/>
      <c r="AM1379" s="11"/>
      <c r="AN1379" s="11"/>
      <c r="AO1379" s="11"/>
      <c r="AP1379" s="11"/>
      <c r="AQ1379" s="11"/>
    </row>
    <row r="1380" spans="1:43" x14ac:dyDescent="0.25">
      <c r="A1380" s="44" t="str">
        <f t="shared" si="24"/>
        <v>RIFLEMAN_AUSTRIA</v>
      </c>
      <c r="B1380" s="9" t="s">
        <v>123</v>
      </c>
      <c r="C1380" s="4" t="s">
        <v>701</v>
      </c>
      <c r="E1380" s="4" t="s">
        <v>123</v>
      </c>
      <c r="F1380" s="4" t="s">
        <v>123</v>
      </c>
      <c r="G1380" s="4" t="s">
        <v>2041</v>
      </c>
      <c r="H1380" s="4" t="s">
        <v>185</v>
      </c>
      <c r="I1380" s="4" t="s">
        <v>122</v>
      </c>
      <c r="Q1380" s="9">
        <v>2</v>
      </c>
      <c r="R1380" s="11">
        <v>0.125</v>
      </c>
      <c r="T1380" s="11">
        <v>3</v>
      </c>
      <c r="Z1380" s="9">
        <v>0</v>
      </c>
      <c r="AA1380" s="11">
        <v>0.19</v>
      </c>
      <c r="AF1380" s="11">
        <v>1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44" t="str">
        <f t="shared" si="24"/>
        <v>RIFLEMAN_AUSTRIA</v>
      </c>
      <c r="B1381" s="9" t="s">
        <v>123</v>
      </c>
      <c r="C1381" s="4" t="s">
        <v>701</v>
      </c>
      <c r="E1381" s="4" t="s">
        <v>123</v>
      </c>
      <c r="F1381" s="4" t="s">
        <v>123</v>
      </c>
      <c r="H1381" s="4" t="s">
        <v>812</v>
      </c>
      <c r="I1381" s="4" t="s">
        <v>122</v>
      </c>
      <c r="Q1381" s="9">
        <v>3</v>
      </c>
      <c r="R1381" s="11">
        <v>0.125</v>
      </c>
      <c r="T1381" s="11">
        <v>3</v>
      </c>
      <c r="Z1381" s="9">
        <v>0</v>
      </c>
      <c r="AA1381" s="11">
        <v>0.19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44" t="str">
        <f t="shared" si="24"/>
        <v>RIFLEMAN_AUSTRIA</v>
      </c>
      <c r="B1382" s="9" t="s">
        <v>123</v>
      </c>
      <c r="C1382" s="4" t="s">
        <v>701</v>
      </c>
      <c r="E1382" s="4" t="s">
        <v>123</v>
      </c>
      <c r="F1382" s="4" t="s">
        <v>123</v>
      </c>
      <c r="G1382" s="4" t="s">
        <v>2039</v>
      </c>
      <c r="H1382" s="4" t="s">
        <v>813</v>
      </c>
      <c r="I1382" s="4" t="s">
        <v>122</v>
      </c>
      <c r="Q1382" s="9">
        <v>1</v>
      </c>
      <c r="R1382" s="11">
        <v>0.125</v>
      </c>
      <c r="T1382" s="11">
        <v>3</v>
      </c>
      <c r="Z1382" s="9">
        <v>0</v>
      </c>
      <c r="AA1382" s="11">
        <v>0.19</v>
      </c>
      <c r="AF1382" s="11">
        <v>0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44" t="str">
        <f t="shared" si="24"/>
        <v>RIFLEMAN_AUSTRIA</v>
      </c>
      <c r="B1383" s="9" t="s">
        <v>123</v>
      </c>
      <c r="C1383" s="4" t="s">
        <v>701</v>
      </c>
      <c r="E1383" s="4" t="s">
        <v>123</v>
      </c>
      <c r="F1383" s="4" t="s">
        <v>123</v>
      </c>
      <c r="G1383" s="4" t="s">
        <v>2041</v>
      </c>
      <c r="H1383" s="4" t="s">
        <v>185</v>
      </c>
      <c r="I1383" s="4" t="s">
        <v>122</v>
      </c>
      <c r="Q1383" s="9">
        <v>3</v>
      </c>
      <c r="R1383" s="11">
        <v>0.125</v>
      </c>
      <c r="T1383" s="11">
        <v>3</v>
      </c>
      <c r="Z1383" s="9">
        <v>0</v>
      </c>
      <c r="AA1383" s="11">
        <v>0.19</v>
      </c>
      <c r="AF1383" s="11">
        <v>0</v>
      </c>
      <c r="AI1383" s="11">
        <v>1</v>
      </c>
      <c r="AL1383" s="11"/>
      <c r="AM1383" s="11"/>
      <c r="AN1383" s="11"/>
      <c r="AO1383" s="11"/>
      <c r="AP1383" s="11"/>
      <c r="AQ1383" s="11"/>
    </row>
    <row r="1384" spans="1:43" x14ac:dyDescent="0.25">
      <c r="A1384" s="44" t="str">
        <f t="shared" si="24"/>
        <v>RIFLEMAN_CELTS</v>
      </c>
      <c r="B1384" s="9" t="s">
        <v>123</v>
      </c>
      <c r="C1384" s="4" t="s">
        <v>709</v>
      </c>
      <c r="E1384" s="4" t="s">
        <v>123</v>
      </c>
      <c r="F1384" s="4" t="s">
        <v>123</v>
      </c>
      <c r="H1384" s="4" t="s">
        <v>825</v>
      </c>
      <c r="I1384" s="4" t="s">
        <v>122</v>
      </c>
      <c r="Q1384" s="9">
        <v>1</v>
      </c>
      <c r="R1384" s="11">
        <v>0.125</v>
      </c>
      <c r="T1384" s="11">
        <v>3</v>
      </c>
      <c r="Z1384" s="9">
        <v>1</v>
      </c>
      <c r="AA1384" s="11">
        <v>0.19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44" t="str">
        <f t="shared" si="24"/>
        <v>RIFLEMAN_CELTS</v>
      </c>
      <c r="B1385" s="9" t="s">
        <v>123</v>
      </c>
      <c r="C1385" s="4" t="s">
        <v>709</v>
      </c>
      <c r="E1385" s="4" t="s">
        <v>123</v>
      </c>
      <c r="F1385" s="4" t="s">
        <v>123</v>
      </c>
      <c r="G1385" s="4" t="s">
        <v>2039</v>
      </c>
      <c r="H1385" s="4" t="s">
        <v>826</v>
      </c>
      <c r="I1385" s="4" t="s">
        <v>122</v>
      </c>
      <c r="Q1385" s="9">
        <v>4</v>
      </c>
      <c r="R1385" s="11">
        <v>0.125</v>
      </c>
      <c r="T1385" s="11">
        <v>4</v>
      </c>
      <c r="Z1385" s="9">
        <v>0</v>
      </c>
      <c r="AA1385" s="11">
        <v>0.19</v>
      </c>
      <c r="AF1385" s="11">
        <v>1</v>
      </c>
      <c r="AI1385" s="11">
        <v>2</v>
      </c>
      <c r="AL1385" s="11"/>
      <c r="AM1385" s="11"/>
      <c r="AN1385" s="11"/>
      <c r="AO1385" s="11"/>
      <c r="AP1385" s="11"/>
      <c r="AQ1385" s="11"/>
    </row>
    <row r="1386" spans="1:43" x14ac:dyDescent="0.25">
      <c r="A1386" s="44" t="str">
        <f t="shared" si="24"/>
        <v>RIFLEMAN_CELTS</v>
      </c>
      <c r="B1386" s="9" t="s">
        <v>123</v>
      </c>
      <c r="C1386" s="4" t="s">
        <v>709</v>
      </c>
      <c r="E1386" s="4" t="s">
        <v>123</v>
      </c>
      <c r="F1386" s="4" t="s">
        <v>123</v>
      </c>
      <c r="G1386" s="4" t="s">
        <v>2041</v>
      </c>
      <c r="H1386" s="4" t="s">
        <v>240</v>
      </c>
      <c r="I1386" s="4" t="s">
        <v>122</v>
      </c>
      <c r="Q1386" s="9">
        <v>2</v>
      </c>
      <c r="R1386" s="11">
        <v>0.125</v>
      </c>
      <c r="T1386" s="11">
        <v>3</v>
      </c>
      <c r="Z1386" s="9">
        <v>0</v>
      </c>
      <c r="AA1386" s="11">
        <v>0.19</v>
      </c>
      <c r="AF1386" s="11">
        <v>1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44" t="str">
        <f t="shared" si="24"/>
        <v>RIFLEMAN_CELTS</v>
      </c>
      <c r="B1387" s="9" t="s">
        <v>123</v>
      </c>
      <c r="C1387" s="4" t="s">
        <v>709</v>
      </c>
      <c r="E1387" s="4" t="s">
        <v>123</v>
      </c>
      <c r="F1387" s="4" t="s">
        <v>123</v>
      </c>
      <c r="H1387" s="4" t="s">
        <v>825</v>
      </c>
      <c r="I1387" s="4" t="s">
        <v>122</v>
      </c>
      <c r="Q1387" s="9">
        <v>3</v>
      </c>
      <c r="R1387" s="11">
        <v>0.125</v>
      </c>
      <c r="T1387" s="11">
        <v>3</v>
      </c>
      <c r="Z1387" s="9">
        <v>0</v>
      </c>
      <c r="AA1387" s="11">
        <v>0.19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44" t="str">
        <f t="shared" si="24"/>
        <v>RIFLEMAN_CELTS</v>
      </c>
      <c r="B1388" s="9" t="s">
        <v>123</v>
      </c>
      <c r="C1388" s="4" t="s">
        <v>709</v>
      </c>
      <c r="E1388" s="4" t="s">
        <v>123</v>
      </c>
      <c r="F1388" s="4" t="s">
        <v>123</v>
      </c>
      <c r="G1388" s="4" t="s">
        <v>2039</v>
      </c>
      <c r="H1388" s="4" t="s">
        <v>826</v>
      </c>
      <c r="I1388" s="4" t="s">
        <v>122</v>
      </c>
      <c r="Q1388" s="9">
        <v>1</v>
      </c>
      <c r="R1388" s="11">
        <v>0.125</v>
      </c>
      <c r="T1388" s="11">
        <v>3</v>
      </c>
      <c r="Z1388" s="9">
        <v>0</v>
      </c>
      <c r="AA1388" s="11">
        <v>0.19</v>
      </c>
      <c r="AF1388" s="11">
        <v>0</v>
      </c>
      <c r="AI1388" s="11">
        <v>1</v>
      </c>
      <c r="AL1388" s="11"/>
      <c r="AM1388" s="11"/>
      <c r="AN1388" s="11"/>
      <c r="AO1388" s="11"/>
      <c r="AP1388" s="11"/>
      <c r="AQ1388" s="11"/>
    </row>
    <row r="1389" spans="1:43" x14ac:dyDescent="0.25">
      <c r="A1389" s="44" t="str">
        <f t="shared" si="24"/>
        <v>RIFLEMAN_CELTS</v>
      </c>
      <c r="B1389" s="9" t="s">
        <v>123</v>
      </c>
      <c r="C1389" s="4" t="s">
        <v>709</v>
      </c>
      <c r="E1389" s="4" t="s">
        <v>123</v>
      </c>
      <c r="F1389" s="4" t="s">
        <v>123</v>
      </c>
      <c r="G1389" s="4" t="s">
        <v>2041</v>
      </c>
      <c r="H1389" s="4" t="s">
        <v>240</v>
      </c>
      <c r="I1389" s="4" t="s">
        <v>122</v>
      </c>
      <c r="Q1389" s="9">
        <v>3</v>
      </c>
      <c r="R1389" s="11">
        <v>0.125</v>
      </c>
      <c r="T1389" s="11">
        <v>3</v>
      </c>
      <c r="Z1389" s="9">
        <v>0</v>
      </c>
      <c r="AA1389" s="11">
        <v>0.19</v>
      </c>
      <c r="AF1389" s="11">
        <v>0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44" t="str">
        <f t="shared" si="24"/>
        <v>RIFLEMAN_ENGLAND</v>
      </c>
      <c r="B1390" s="9" t="s">
        <v>123</v>
      </c>
      <c r="C1390" s="4" t="s">
        <v>713</v>
      </c>
      <c r="E1390" s="4" t="s">
        <v>123</v>
      </c>
      <c r="F1390" s="4" t="s">
        <v>123</v>
      </c>
      <c r="H1390" s="4" t="s">
        <v>867</v>
      </c>
      <c r="I1390" s="4" t="s">
        <v>122</v>
      </c>
      <c r="Q1390" s="9">
        <v>1</v>
      </c>
      <c r="R1390" s="11">
        <v>0.13</v>
      </c>
      <c r="T1390" s="11">
        <v>3</v>
      </c>
      <c r="U1390" s="11">
        <v>0.08</v>
      </c>
      <c r="Z1390" s="9">
        <v>1</v>
      </c>
      <c r="AA1390" s="11">
        <v>0.20499999999999999</v>
      </c>
      <c r="AF1390" s="11">
        <v>1</v>
      </c>
      <c r="AI1390" s="11">
        <v>1</v>
      </c>
      <c r="AL1390" s="11"/>
      <c r="AM1390" s="11"/>
      <c r="AN1390" s="11"/>
      <c r="AO1390" s="11"/>
      <c r="AP1390" s="11"/>
      <c r="AQ1390" s="11"/>
    </row>
    <row r="1391" spans="1:43" x14ac:dyDescent="0.25">
      <c r="A1391" s="44" t="str">
        <f t="shared" si="24"/>
        <v>RIFLEMAN_ENGLAND</v>
      </c>
      <c r="B1391" s="9" t="s">
        <v>123</v>
      </c>
      <c r="C1391" s="4" t="s">
        <v>713</v>
      </c>
      <c r="E1391" s="4" t="s">
        <v>123</v>
      </c>
      <c r="F1391" s="4" t="s">
        <v>123</v>
      </c>
      <c r="G1391" s="4" t="s">
        <v>2039</v>
      </c>
      <c r="H1391" s="4" t="s">
        <v>868</v>
      </c>
      <c r="I1391" s="4" t="s">
        <v>122</v>
      </c>
      <c r="Q1391" s="9">
        <v>4</v>
      </c>
      <c r="R1391" s="11">
        <v>0.13</v>
      </c>
      <c r="T1391" s="11">
        <v>4</v>
      </c>
      <c r="U1391" s="11">
        <v>0.08</v>
      </c>
      <c r="Z1391" s="9">
        <v>0</v>
      </c>
      <c r="AA1391" s="11">
        <v>0.20499999999999999</v>
      </c>
      <c r="AF1391" s="11">
        <v>1</v>
      </c>
      <c r="AI1391" s="11">
        <v>2</v>
      </c>
      <c r="AL1391" s="11"/>
      <c r="AM1391" s="11"/>
      <c r="AN1391" s="11"/>
      <c r="AO1391" s="11"/>
      <c r="AP1391" s="11"/>
      <c r="AQ1391" s="11"/>
    </row>
    <row r="1392" spans="1:43" x14ac:dyDescent="0.25">
      <c r="A1392" s="44" t="str">
        <f t="shared" si="24"/>
        <v>RIFLEMAN_ENGLAND</v>
      </c>
      <c r="B1392" s="9" t="s">
        <v>123</v>
      </c>
      <c r="C1392" s="4" t="s">
        <v>713</v>
      </c>
      <c r="E1392" s="4" t="s">
        <v>123</v>
      </c>
      <c r="F1392" s="4" t="s">
        <v>123</v>
      </c>
      <c r="G1392" s="4" t="s">
        <v>2041</v>
      </c>
      <c r="H1392" s="4" t="s">
        <v>310</v>
      </c>
      <c r="I1392" s="4" t="s">
        <v>122</v>
      </c>
      <c r="Q1392" s="9">
        <v>2</v>
      </c>
      <c r="R1392" s="11">
        <v>0.13</v>
      </c>
      <c r="T1392" s="11">
        <v>3</v>
      </c>
      <c r="U1392" s="11">
        <v>0.08</v>
      </c>
      <c r="Z1392" s="9">
        <v>0</v>
      </c>
      <c r="AA1392" s="11">
        <v>0.20499999999999999</v>
      </c>
      <c r="AF1392" s="11">
        <v>1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44" t="str">
        <f t="shared" si="24"/>
        <v>RIFLEMAN_ENGLAND</v>
      </c>
      <c r="B1393" s="9" t="s">
        <v>123</v>
      </c>
      <c r="C1393" s="4" t="s">
        <v>713</v>
      </c>
      <c r="E1393" s="4" t="s">
        <v>123</v>
      </c>
      <c r="F1393" s="4" t="s">
        <v>123</v>
      </c>
      <c r="H1393" s="4" t="s">
        <v>867</v>
      </c>
      <c r="I1393" s="4" t="s">
        <v>122</v>
      </c>
      <c r="Q1393" s="9">
        <v>3</v>
      </c>
      <c r="R1393" s="11">
        <v>0.13</v>
      </c>
      <c r="T1393" s="11">
        <v>3</v>
      </c>
      <c r="U1393" s="11">
        <v>0.08</v>
      </c>
      <c r="Z1393" s="9">
        <v>0</v>
      </c>
      <c r="AA1393" s="11">
        <v>0.20499999999999999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44" t="str">
        <f t="shared" si="24"/>
        <v>RIFLEMAN_ENGLAND</v>
      </c>
      <c r="B1394" s="9" t="s">
        <v>123</v>
      </c>
      <c r="C1394" s="4" t="s">
        <v>713</v>
      </c>
      <c r="E1394" s="4" t="s">
        <v>123</v>
      </c>
      <c r="F1394" s="4" t="s">
        <v>123</v>
      </c>
      <c r="G1394" s="4" t="s">
        <v>2039</v>
      </c>
      <c r="H1394" s="4" t="s">
        <v>868</v>
      </c>
      <c r="I1394" s="4" t="s">
        <v>122</v>
      </c>
      <c r="Q1394" s="9">
        <v>1</v>
      </c>
      <c r="R1394" s="11">
        <v>0.13</v>
      </c>
      <c r="T1394" s="11">
        <v>3</v>
      </c>
      <c r="U1394" s="11">
        <v>0.08</v>
      </c>
      <c r="Z1394" s="9">
        <v>0</v>
      </c>
      <c r="AA1394" s="11">
        <v>0.20499999999999999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44" t="str">
        <f t="shared" si="24"/>
        <v>RIFLEMAN_ENGLAND</v>
      </c>
      <c r="B1395" s="9" t="s">
        <v>123</v>
      </c>
      <c r="C1395" s="4" t="s">
        <v>713</v>
      </c>
      <c r="E1395" s="4" t="s">
        <v>123</v>
      </c>
      <c r="F1395" s="4" t="s">
        <v>123</v>
      </c>
      <c r="G1395" s="4" t="s">
        <v>2041</v>
      </c>
      <c r="H1395" s="4" t="s">
        <v>310</v>
      </c>
      <c r="I1395" s="4" t="s">
        <v>122</v>
      </c>
      <c r="Q1395" s="9">
        <v>3</v>
      </c>
      <c r="R1395" s="11">
        <v>0.13</v>
      </c>
      <c r="T1395" s="11">
        <v>3</v>
      </c>
      <c r="U1395" s="11">
        <v>0.08</v>
      </c>
      <c r="Z1395" s="9">
        <v>0</v>
      </c>
      <c r="AA1395" s="11">
        <v>0.20499999999999999</v>
      </c>
      <c r="AF1395" s="11">
        <v>0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44" t="str">
        <f t="shared" si="24"/>
        <v>RIFLEMAN_FRANCE</v>
      </c>
      <c r="B1396" s="9" t="s">
        <v>123</v>
      </c>
      <c r="C1396" s="4" t="s">
        <v>715</v>
      </c>
      <c r="E1396" s="4" t="s">
        <v>123</v>
      </c>
      <c r="F1396" s="4" t="s">
        <v>123</v>
      </c>
      <c r="H1396" s="4" t="s">
        <v>880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A1396" s="11">
        <v>0.20499999999999999</v>
      </c>
      <c r="AF1396" s="11">
        <v>1</v>
      </c>
      <c r="AI1396" s="11">
        <v>1</v>
      </c>
      <c r="AL1396" s="11"/>
      <c r="AM1396" s="11"/>
      <c r="AN1396" s="11"/>
      <c r="AO1396" s="11"/>
      <c r="AP1396" s="11"/>
      <c r="AQ1396" s="11"/>
    </row>
    <row r="1397" spans="1:43" x14ac:dyDescent="0.25">
      <c r="A1397" s="44" t="str">
        <f t="shared" si="24"/>
        <v>RIFLEMAN_FRANCE</v>
      </c>
      <c r="B1397" s="9" t="s">
        <v>123</v>
      </c>
      <c r="C1397" s="4" t="s">
        <v>715</v>
      </c>
      <c r="E1397" s="4" t="s">
        <v>123</v>
      </c>
      <c r="F1397" s="4" t="s">
        <v>123</v>
      </c>
      <c r="G1397" s="4" t="s">
        <v>2039</v>
      </c>
      <c r="H1397" s="4" t="s">
        <v>881</v>
      </c>
      <c r="I1397" s="4" t="s">
        <v>122</v>
      </c>
      <c r="Q1397" s="9">
        <v>4</v>
      </c>
      <c r="R1397" s="11">
        <v>0.13</v>
      </c>
      <c r="T1397" s="11">
        <v>4</v>
      </c>
      <c r="Z1397" s="9">
        <v>0</v>
      </c>
      <c r="AA1397" s="11">
        <v>0.20499999999999999</v>
      </c>
      <c r="AF1397" s="11">
        <v>1</v>
      </c>
      <c r="AI1397" s="11">
        <v>2</v>
      </c>
      <c r="AL1397" s="11"/>
      <c r="AM1397" s="11"/>
      <c r="AN1397" s="11"/>
      <c r="AO1397" s="11"/>
      <c r="AP1397" s="11"/>
      <c r="AQ1397" s="11"/>
    </row>
    <row r="1398" spans="1:43" x14ac:dyDescent="0.25">
      <c r="A1398" s="44" t="str">
        <f t="shared" si="24"/>
        <v>RIFLEMAN_FRANCE</v>
      </c>
      <c r="B1398" s="9" t="s">
        <v>123</v>
      </c>
      <c r="C1398" s="4" t="s">
        <v>715</v>
      </c>
      <c r="E1398" s="4" t="s">
        <v>123</v>
      </c>
      <c r="F1398" s="4" t="s">
        <v>123</v>
      </c>
      <c r="G1398" s="4" t="s">
        <v>2041</v>
      </c>
      <c r="H1398" s="4" t="s">
        <v>355</v>
      </c>
      <c r="I1398" s="4" t="s">
        <v>122</v>
      </c>
      <c r="Q1398" s="9">
        <v>2</v>
      </c>
      <c r="R1398" s="11">
        <v>0.13</v>
      </c>
      <c r="T1398" s="11">
        <v>3</v>
      </c>
      <c r="Z1398" s="9">
        <v>0</v>
      </c>
      <c r="AA1398" s="11">
        <v>0.20499999999999999</v>
      </c>
      <c r="AF1398" s="11">
        <v>1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44" t="str">
        <f t="shared" si="24"/>
        <v>RIFLEMAN_FRANCE</v>
      </c>
      <c r="B1399" s="9" t="s">
        <v>123</v>
      </c>
      <c r="C1399" s="4" t="s">
        <v>715</v>
      </c>
      <c r="E1399" s="4" t="s">
        <v>123</v>
      </c>
      <c r="F1399" s="4" t="s">
        <v>123</v>
      </c>
      <c r="H1399" s="4" t="s">
        <v>880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A1399" s="11">
        <v>0.20499999999999999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44" t="str">
        <f t="shared" si="24"/>
        <v>RIFLEMAN_FRANCE</v>
      </c>
      <c r="B1400" s="9" t="s">
        <v>123</v>
      </c>
      <c r="C1400" s="4" t="s">
        <v>715</v>
      </c>
      <c r="E1400" s="4" t="s">
        <v>123</v>
      </c>
      <c r="F1400" s="4" t="s">
        <v>123</v>
      </c>
      <c r="G1400" s="4" t="s">
        <v>2039</v>
      </c>
      <c r="H1400" s="4" t="s">
        <v>881</v>
      </c>
      <c r="I1400" s="4" t="s">
        <v>122</v>
      </c>
      <c r="Q1400" s="9">
        <v>2</v>
      </c>
      <c r="R1400" s="11">
        <v>0.13</v>
      </c>
      <c r="T1400" s="11">
        <v>4</v>
      </c>
      <c r="Z1400" s="9">
        <v>0</v>
      </c>
      <c r="AA1400" s="11">
        <v>0.20499999999999999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44" t="str">
        <f t="shared" si="24"/>
        <v>RIFLEMAN_FRANCE</v>
      </c>
      <c r="B1401" s="9" t="s">
        <v>123</v>
      </c>
      <c r="C1401" s="4" t="s">
        <v>715</v>
      </c>
      <c r="E1401" s="4" t="s">
        <v>123</v>
      </c>
      <c r="F1401" s="4" t="s">
        <v>123</v>
      </c>
      <c r="G1401" s="4" t="s">
        <v>2041</v>
      </c>
      <c r="H1401" s="4" t="s">
        <v>355</v>
      </c>
      <c r="I1401" s="4" t="s">
        <v>122</v>
      </c>
      <c r="Q1401" s="9">
        <v>2</v>
      </c>
      <c r="R1401" s="11">
        <v>0.13</v>
      </c>
      <c r="T1401" s="11">
        <v>2</v>
      </c>
      <c r="Z1401" s="9">
        <v>0</v>
      </c>
      <c r="AA1401" s="11">
        <v>0.20499999999999999</v>
      </c>
      <c r="AF1401" s="11">
        <v>0</v>
      </c>
      <c r="AI1401" s="11">
        <v>1</v>
      </c>
      <c r="AL1401" s="11"/>
      <c r="AM1401" s="11"/>
      <c r="AN1401" s="11"/>
      <c r="AO1401" s="11"/>
      <c r="AP1401" s="11"/>
      <c r="AQ1401" s="11"/>
    </row>
    <row r="1402" spans="1:43" x14ac:dyDescent="0.25">
      <c r="A1402" s="44" t="str">
        <f t="shared" si="24"/>
        <v>RIFLEMAN_GERMANY</v>
      </c>
      <c r="B1402" s="9" t="s">
        <v>123</v>
      </c>
      <c r="C1402" s="4" t="s">
        <v>717</v>
      </c>
      <c r="E1402" s="4" t="s">
        <v>123</v>
      </c>
      <c r="F1402" s="4" t="s">
        <v>123</v>
      </c>
      <c r="H1402" s="4" t="s">
        <v>902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A1402" s="11">
        <v>0.20499999999999999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44" t="str">
        <f t="shared" si="24"/>
        <v>RIFLEMAN_GERMANY</v>
      </c>
      <c r="B1403" s="9" t="s">
        <v>123</v>
      </c>
      <c r="C1403" s="4" t="s">
        <v>717</v>
      </c>
      <c r="E1403" s="4" t="s">
        <v>123</v>
      </c>
      <c r="F1403" s="4" t="s">
        <v>123</v>
      </c>
      <c r="G1403" s="4" t="s">
        <v>2039</v>
      </c>
      <c r="H1403" s="4" t="s">
        <v>903</v>
      </c>
      <c r="I1403" s="4" t="s">
        <v>122</v>
      </c>
      <c r="Q1403" s="9">
        <v>4</v>
      </c>
      <c r="R1403" s="11">
        <v>0.13</v>
      </c>
      <c r="T1403" s="11">
        <v>4</v>
      </c>
      <c r="Z1403" s="9">
        <v>0</v>
      </c>
      <c r="AA1403" s="11">
        <v>0.20499999999999999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44" t="str">
        <f t="shared" si="24"/>
        <v>RIFLEMAN_GERMANY</v>
      </c>
      <c r="B1404" s="9" t="s">
        <v>123</v>
      </c>
      <c r="C1404" s="4" t="s">
        <v>717</v>
      </c>
      <c r="E1404" s="4" t="s">
        <v>123</v>
      </c>
      <c r="F1404" s="4" t="s">
        <v>123</v>
      </c>
      <c r="G1404" s="4" t="s">
        <v>2041</v>
      </c>
      <c r="H1404" s="4" t="s">
        <v>387</v>
      </c>
      <c r="I1404" s="4" t="s">
        <v>122</v>
      </c>
      <c r="Q1404" s="9">
        <v>2</v>
      </c>
      <c r="R1404" s="11">
        <v>0.13</v>
      </c>
      <c r="T1404" s="11">
        <v>3</v>
      </c>
      <c r="Z1404" s="9">
        <v>0</v>
      </c>
      <c r="AA1404" s="11">
        <v>0.20499999999999999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44" t="str">
        <f t="shared" si="24"/>
        <v>RIFLEMAN_GERMANY</v>
      </c>
      <c r="B1405" s="9" t="s">
        <v>123</v>
      </c>
      <c r="C1405" s="4" t="s">
        <v>717</v>
      </c>
      <c r="E1405" s="4" t="s">
        <v>123</v>
      </c>
      <c r="F1405" s="4" t="s">
        <v>123</v>
      </c>
      <c r="H1405" s="4" t="s">
        <v>902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A1405" s="11">
        <v>0.20499999999999999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44" t="str">
        <f t="shared" si="24"/>
        <v>RIFLEMAN_GERMANY</v>
      </c>
      <c r="B1406" s="9" t="s">
        <v>123</v>
      </c>
      <c r="C1406" s="4" t="s">
        <v>717</v>
      </c>
      <c r="E1406" s="4" t="s">
        <v>123</v>
      </c>
      <c r="F1406" s="4" t="s">
        <v>123</v>
      </c>
      <c r="G1406" s="4" t="s">
        <v>2039</v>
      </c>
      <c r="H1406" s="4" t="s">
        <v>903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A1406" s="11">
        <v>0.20499999999999999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44" t="str">
        <f t="shared" si="24"/>
        <v>RIFLEMAN_GERMANY</v>
      </c>
      <c r="B1407" s="9" t="s">
        <v>123</v>
      </c>
      <c r="C1407" s="4" t="s">
        <v>717</v>
      </c>
      <c r="E1407" s="4" t="s">
        <v>123</v>
      </c>
      <c r="F1407" s="4" t="s">
        <v>123</v>
      </c>
      <c r="G1407" s="4" t="s">
        <v>2041</v>
      </c>
      <c r="H1407" s="4" t="s">
        <v>387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A1407" s="11">
        <v>0.20499999999999999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44" t="str">
        <f t="shared" si="24"/>
        <v>RIFLEMAN_NETHERLANDS</v>
      </c>
      <c r="B1408" s="9" t="s">
        <v>123</v>
      </c>
      <c r="C1408" s="4" t="s">
        <v>730</v>
      </c>
      <c r="E1408" s="4" t="s">
        <v>123</v>
      </c>
      <c r="F1408" s="4" t="s">
        <v>123</v>
      </c>
      <c r="G1408" s="14" t="s">
        <v>132</v>
      </c>
      <c r="H1408" s="4" t="s">
        <v>547</v>
      </c>
      <c r="I1408" s="4" t="s">
        <v>122</v>
      </c>
      <c r="R1408" s="11" t="s">
        <v>1692</v>
      </c>
      <c r="AA1408" s="11">
        <v>0.17499999999999999</v>
      </c>
      <c r="AL1408" s="11"/>
      <c r="AM1408" s="11"/>
      <c r="AN1408" s="11"/>
      <c r="AO1408" s="11"/>
      <c r="AP1408" s="11"/>
      <c r="AQ1408" s="11"/>
    </row>
    <row r="1409" spans="1:43" x14ac:dyDescent="0.25">
      <c r="A1409" s="44" t="str">
        <f t="shared" si="24"/>
        <v>RIFLEMAN_GREECE</v>
      </c>
      <c r="B1409" s="9" t="s">
        <v>123</v>
      </c>
      <c r="C1409" s="4" t="s">
        <v>718</v>
      </c>
      <c r="E1409" s="4" t="s">
        <v>123</v>
      </c>
      <c r="F1409" s="4" t="s">
        <v>123</v>
      </c>
      <c r="H1409" s="4" t="s">
        <v>921</v>
      </c>
      <c r="I1409" s="4" t="s">
        <v>122</v>
      </c>
      <c r="Q1409" s="9">
        <v>1</v>
      </c>
      <c r="R1409" s="11">
        <v>0.13</v>
      </c>
      <c r="T1409" s="11">
        <v>3</v>
      </c>
      <c r="Z1409" s="9">
        <v>1</v>
      </c>
      <c r="AA1409" s="11">
        <v>0.20499999999999999</v>
      </c>
      <c r="AF1409" s="11">
        <v>1</v>
      </c>
      <c r="AI1409" s="11">
        <v>1</v>
      </c>
      <c r="AL1409" s="11"/>
      <c r="AM1409" s="11"/>
      <c r="AN1409" s="11"/>
      <c r="AO1409" s="11"/>
      <c r="AP1409" s="11"/>
      <c r="AQ1409" s="11"/>
    </row>
    <row r="1410" spans="1:43" x14ac:dyDescent="0.25">
      <c r="A1410" s="44" t="str">
        <f t="shared" si="24"/>
        <v>RIFLEMAN_GREECE</v>
      </c>
      <c r="B1410" s="9" t="s">
        <v>123</v>
      </c>
      <c r="C1410" s="4" t="s">
        <v>718</v>
      </c>
      <c r="E1410" s="4" t="s">
        <v>123</v>
      </c>
      <c r="F1410" s="4" t="s">
        <v>123</v>
      </c>
      <c r="G1410" s="4" t="s">
        <v>2039</v>
      </c>
      <c r="H1410" s="4" t="s">
        <v>920</v>
      </c>
      <c r="I1410" s="4" t="s">
        <v>122</v>
      </c>
      <c r="Q1410" s="9">
        <v>4</v>
      </c>
      <c r="R1410" s="11">
        <v>0.13</v>
      </c>
      <c r="T1410" s="11">
        <v>4</v>
      </c>
      <c r="Z1410" s="9">
        <v>0</v>
      </c>
      <c r="AA1410" s="11">
        <v>0.20499999999999999</v>
      </c>
      <c r="AF1410" s="11">
        <v>1</v>
      </c>
      <c r="AI1410" s="11">
        <v>2</v>
      </c>
      <c r="AL1410" s="11"/>
      <c r="AM1410" s="11"/>
      <c r="AN1410" s="11"/>
      <c r="AO1410" s="11"/>
      <c r="AP1410" s="11"/>
      <c r="AQ1410" s="11"/>
    </row>
    <row r="1411" spans="1:43" x14ac:dyDescent="0.25">
      <c r="A1411" s="44" t="str">
        <f t="shared" si="24"/>
        <v>RIFLEMAN_GREECE</v>
      </c>
      <c r="B1411" s="9" t="s">
        <v>123</v>
      </c>
      <c r="C1411" s="4" t="s">
        <v>718</v>
      </c>
      <c r="E1411" s="4" t="s">
        <v>123</v>
      </c>
      <c r="F1411" s="4" t="s">
        <v>123</v>
      </c>
      <c r="G1411" s="4" t="s">
        <v>2041</v>
      </c>
      <c r="H1411" s="4" t="s">
        <v>411</v>
      </c>
      <c r="I1411" s="4" t="s">
        <v>122</v>
      </c>
      <c r="Q1411" s="9">
        <v>2</v>
      </c>
      <c r="R1411" s="11">
        <v>0.13</v>
      </c>
      <c r="T1411" s="11">
        <v>3</v>
      </c>
      <c r="Z1411" s="9">
        <v>0</v>
      </c>
      <c r="AA1411" s="11">
        <v>0.20499999999999999</v>
      </c>
      <c r="AF1411" s="11">
        <v>1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44" t="str">
        <f t="shared" si="24"/>
        <v>RIFLEMAN_GREECE</v>
      </c>
      <c r="B1412" s="9" t="s">
        <v>123</v>
      </c>
      <c r="C1412" s="4" t="s">
        <v>718</v>
      </c>
      <c r="E1412" s="4" t="s">
        <v>123</v>
      </c>
      <c r="F1412" s="4" t="s">
        <v>123</v>
      </c>
      <c r="H1412" s="4" t="s">
        <v>921</v>
      </c>
      <c r="I1412" s="4" t="s">
        <v>122</v>
      </c>
      <c r="Q1412" s="9">
        <v>3</v>
      </c>
      <c r="R1412" s="11">
        <v>0.13</v>
      </c>
      <c r="T1412" s="11">
        <v>3</v>
      </c>
      <c r="Z1412" s="9">
        <v>0</v>
      </c>
      <c r="AA1412" s="11">
        <v>0.20499999999999999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44" t="str">
        <f t="shared" si="24"/>
        <v>RIFLEMAN_GREECE</v>
      </c>
      <c r="B1413" s="9" t="s">
        <v>123</v>
      </c>
      <c r="C1413" s="4" t="s">
        <v>718</v>
      </c>
      <c r="E1413" s="4" t="s">
        <v>123</v>
      </c>
      <c r="F1413" s="4" t="s">
        <v>123</v>
      </c>
      <c r="G1413" s="4" t="s">
        <v>2039</v>
      </c>
      <c r="H1413" s="4" t="s">
        <v>920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0</v>
      </c>
      <c r="AA1413" s="11">
        <v>0.20499999999999999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44" t="str">
        <f t="shared" si="24"/>
        <v>RIFLEMAN_GREECE</v>
      </c>
      <c r="B1414" s="9" t="s">
        <v>123</v>
      </c>
      <c r="C1414" s="4" t="s">
        <v>718</v>
      </c>
      <c r="E1414" s="4" t="s">
        <v>123</v>
      </c>
      <c r="F1414" s="4" t="s">
        <v>123</v>
      </c>
      <c r="G1414" s="4" t="s">
        <v>2041</v>
      </c>
      <c r="H1414" s="4" t="s">
        <v>411</v>
      </c>
      <c r="I1414" s="4" t="s">
        <v>122</v>
      </c>
      <c r="Q1414" s="9">
        <v>3</v>
      </c>
      <c r="R1414" s="11">
        <v>0.13</v>
      </c>
      <c r="T1414" s="11">
        <v>3</v>
      </c>
      <c r="Z1414" s="9">
        <v>0</v>
      </c>
      <c r="AA1414" s="11">
        <v>0.20499999999999999</v>
      </c>
      <c r="AF1414" s="11">
        <v>0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44" t="str">
        <f t="shared" si="24"/>
        <v>RIFLEMAN_SPAIN</v>
      </c>
      <c r="B1415" s="9" t="s">
        <v>123</v>
      </c>
      <c r="C1415" s="4" t="s">
        <v>738</v>
      </c>
      <c r="E1415" s="4" t="s">
        <v>123</v>
      </c>
      <c r="F1415" s="4" t="s">
        <v>123</v>
      </c>
      <c r="H1415" s="4" t="s">
        <v>1017</v>
      </c>
      <c r="I1415" s="4" t="s">
        <v>122</v>
      </c>
      <c r="Q1415" s="9">
        <v>1</v>
      </c>
      <c r="R1415" s="11">
        <v>0.13</v>
      </c>
      <c r="T1415" s="11">
        <v>2</v>
      </c>
      <c r="Z1415" s="9">
        <v>0</v>
      </c>
      <c r="AA1415" s="11">
        <v>0.20499999999999999</v>
      </c>
      <c r="AF1415" s="11">
        <v>1</v>
      </c>
      <c r="AI1415" s="11">
        <v>1</v>
      </c>
      <c r="AL1415" s="11"/>
      <c r="AM1415" s="11"/>
      <c r="AN1415" s="11"/>
      <c r="AO1415" s="11"/>
      <c r="AP1415" s="11"/>
      <c r="AQ1415" s="11"/>
    </row>
    <row r="1416" spans="1:43" x14ac:dyDescent="0.25">
      <c r="A1416" s="44" t="str">
        <f t="shared" si="24"/>
        <v>RIFLEMAN_SPAIN</v>
      </c>
      <c r="B1416" s="9" t="s">
        <v>123</v>
      </c>
      <c r="C1416" s="4" t="s">
        <v>738</v>
      </c>
      <c r="E1416" s="4" t="s">
        <v>123</v>
      </c>
      <c r="F1416" s="4" t="s">
        <v>123</v>
      </c>
      <c r="G1416" s="4" t="s">
        <v>2039</v>
      </c>
      <c r="H1416" s="4" t="s">
        <v>1018</v>
      </c>
      <c r="I1416" s="4" t="s">
        <v>122</v>
      </c>
      <c r="Q1416" s="9">
        <v>4</v>
      </c>
      <c r="R1416" s="11">
        <v>0.13</v>
      </c>
      <c r="T1416" s="11">
        <v>5</v>
      </c>
      <c r="Z1416" s="9">
        <v>0</v>
      </c>
      <c r="AA1416" s="11">
        <v>0.20499999999999999</v>
      </c>
      <c r="AF1416" s="11">
        <v>1</v>
      </c>
      <c r="AI1416" s="11">
        <v>2</v>
      </c>
      <c r="AL1416" s="11"/>
      <c r="AM1416" s="11"/>
      <c r="AN1416" s="11"/>
      <c r="AO1416" s="11"/>
      <c r="AP1416" s="11"/>
      <c r="AQ1416" s="11"/>
    </row>
    <row r="1417" spans="1:43" x14ac:dyDescent="0.25">
      <c r="A1417" s="44" t="str">
        <f t="shared" si="24"/>
        <v>RIFLEMAN_SPAIN</v>
      </c>
      <c r="B1417" s="9" t="s">
        <v>123</v>
      </c>
      <c r="C1417" s="4" t="s">
        <v>738</v>
      </c>
      <c r="E1417" s="4" t="s">
        <v>123</v>
      </c>
      <c r="F1417" s="4" t="s">
        <v>123</v>
      </c>
      <c r="G1417" s="4" t="s">
        <v>2041</v>
      </c>
      <c r="H1417" s="4" t="s">
        <v>661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1</v>
      </c>
      <c r="AA1417" s="11">
        <v>0.20499999999999999</v>
      </c>
      <c r="AF1417" s="11">
        <v>1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44" t="str">
        <f t="shared" si="24"/>
        <v>RIFLEMAN_SPAIN</v>
      </c>
      <c r="B1418" s="9" t="s">
        <v>123</v>
      </c>
      <c r="C1418" s="4" t="s">
        <v>738</v>
      </c>
      <c r="E1418" s="4" t="s">
        <v>123</v>
      </c>
      <c r="F1418" s="4" t="s">
        <v>123</v>
      </c>
      <c r="H1418" s="4" t="s">
        <v>1017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A1418" s="11">
        <v>0.20499999999999999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44" t="str">
        <f t="shared" si="24"/>
        <v>RIFLEMAN_SPAIN</v>
      </c>
      <c r="B1419" s="9" t="s">
        <v>123</v>
      </c>
      <c r="C1419" s="4" t="s">
        <v>738</v>
      </c>
      <c r="E1419" s="4" t="s">
        <v>123</v>
      </c>
      <c r="F1419" s="4" t="s">
        <v>123</v>
      </c>
      <c r="G1419" s="4" t="s">
        <v>2039</v>
      </c>
      <c r="H1419" s="4" t="s">
        <v>1018</v>
      </c>
      <c r="I1419" s="4" t="s">
        <v>122</v>
      </c>
      <c r="Q1419" s="9">
        <v>2</v>
      </c>
      <c r="R1419" s="11">
        <v>0.13</v>
      </c>
      <c r="T1419" s="11">
        <v>4</v>
      </c>
      <c r="Z1419" s="9">
        <v>0</v>
      </c>
      <c r="AA1419" s="11">
        <v>0.20499999999999999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44" t="str">
        <f t="shared" si="24"/>
        <v>RIFLEMAN_SPAIN</v>
      </c>
      <c r="B1420" s="9" t="s">
        <v>123</v>
      </c>
      <c r="C1420" s="4" t="s">
        <v>738</v>
      </c>
      <c r="E1420" s="4" t="s">
        <v>123</v>
      </c>
      <c r="F1420" s="4" t="s">
        <v>123</v>
      </c>
      <c r="G1420" s="4" t="s">
        <v>2041</v>
      </c>
      <c r="H1420" s="4" t="s">
        <v>661</v>
      </c>
      <c r="I1420" s="4" t="s">
        <v>122</v>
      </c>
      <c r="Q1420" s="9">
        <v>2</v>
      </c>
      <c r="R1420" s="11">
        <v>0.13</v>
      </c>
      <c r="T1420" s="11">
        <v>2</v>
      </c>
      <c r="Z1420" s="9">
        <v>0</v>
      </c>
      <c r="AA1420" s="11">
        <v>0.20499999999999999</v>
      </c>
      <c r="AF1420" s="11">
        <v>0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44" t="str">
        <f t="shared" si="24"/>
        <v>RIFLEMAN_MIDEAST</v>
      </c>
      <c r="B1421" s="9" t="s">
        <v>123</v>
      </c>
      <c r="C1421" s="4" t="s">
        <v>690</v>
      </c>
      <c r="E1421" s="4" t="s">
        <v>123</v>
      </c>
      <c r="F1421" s="4" t="s">
        <v>123</v>
      </c>
      <c r="H1421" s="4" t="s">
        <v>836</v>
      </c>
      <c r="I1421" s="4" t="s">
        <v>1270</v>
      </c>
      <c r="R1421" s="11">
        <v>0.125</v>
      </c>
      <c r="AA1421" s="11">
        <v>0.19</v>
      </c>
      <c r="AL1421" s="11"/>
      <c r="AM1421" s="11"/>
      <c r="AN1421" s="11"/>
      <c r="AO1421" s="11"/>
      <c r="AP1421" s="11"/>
      <c r="AQ1421" s="11"/>
    </row>
    <row r="1422" spans="1:43" x14ac:dyDescent="0.25">
      <c r="A1422" s="44" t="str">
        <f t="shared" si="24"/>
        <v>RIFLEMAN_ARABIA</v>
      </c>
      <c r="B1422" s="9" t="s">
        <v>123</v>
      </c>
      <c r="C1422" s="4" t="s">
        <v>700</v>
      </c>
      <c r="D1422" s="14"/>
      <c r="E1422" s="4" t="s">
        <v>123</v>
      </c>
      <c r="F1422" s="4" t="s">
        <v>123</v>
      </c>
      <c r="H1422" s="4" t="s">
        <v>808</v>
      </c>
      <c r="I1422" s="4" t="s">
        <v>122</v>
      </c>
      <c r="Q1422" s="9">
        <v>1</v>
      </c>
      <c r="R1422" s="11" t="s">
        <v>1692</v>
      </c>
      <c r="T1422" s="11">
        <v>3</v>
      </c>
      <c r="Z1422" s="9">
        <v>1</v>
      </c>
      <c r="AA1422" s="11">
        <v>0.17499999999999999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44" t="str">
        <f t="shared" si="24"/>
        <v>RIFLEMAN_ARABIA</v>
      </c>
      <c r="B1423" s="9" t="s">
        <v>123</v>
      </c>
      <c r="C1423" s="4" t="s">
        <v>700</v>
      </c>
      <c r="D1423" s="14"/>
      <c r="E1423" s="4" t="s">
        <v>123</v>
      </c>
      <c r="F1423" s="4" t="s">
        <v>123</v>
      </c>
      <c r="G1423" s="4" t="s">
        <v>2039</v>
      </c>
      <c r="H1423" s="4" t="s">
        <v>809</v>
      </c>
      <c r="I1423" s="4" t="s">
        <v>122</v>
      </c>
      <c r="Q1423" s="9">
        <v>3</v>
      </c>
      <c r="R1423" s="11" t="s">
        <v>1692</v>
      </c>
      <c r="T1423" s="11">
        <v>4</v>
      </c>
      <c r="Z1423" s="9">
        <v>0</v>
      </c>
      <c r="AA1423" s="11">
        <v>0.17499999999999999</v>
      </c>
      <c r="AF1423" s="11">
        <v>1</v>
      </c>
      <c r="AI1423" s="11">
        <v>2</v>
      </c>
      <c r="AL1423" s="11"/>
      <c r="AM1423" s="11"/>
      <c r="AN1423" s="11"/>
      <c r="AO1423" s="11"/>
      <c r="AP1423" s="11"/>
      <c r="AQ1423" s="11"/>
    </row>
    <row r="1424" spans="1:43" x14ac:dyDescent="0.25">
      <c r="A1424" s="44" t="str">
        <f t="shared" ref="A1424:A1502" si="25">CONCATENATE(E1424,IF(ISBLANK(C1424),"",CONCATENATE("_",C1424)))</f>
        <v>RIFLEMAN_ARABIA</v>
      </c>
      <c r="B1424" s="9" t="s">
        <v>123</v>
      </c>
      <c r="C1424" s="4" t="s">
        <v>700</v>
      </c>
      <c r="D1424" s="14"/>
      <c r="E1424" s="4" t="s">
        <v>123</v>
      </c>
      <c r="F1424" s="4" t="s">
        <v>123</v>
      </c>
      <c r="G1424" s="4" t="s">
        <v>2041</v>
      </c>
      <c r="H1424" s="4" t="s">
        <v>169</v>
      </c>
      <c r="I1424" s="4" t="s">
        <v>122</v>
      </c>
      <c r="Q1424" s="9">
        <v>1</v>
      </c>
      <c r="R1424" s="11" t="s">
        <v>1692</v>
      </c>
      <c r="T1424" s="11">
        <v>3</v>
      </c>
      <c r="Z1424" s="9">
        <v>0</v>
      </c>
      <c r="AA1424" s="11">
        <v>0.17499999999999999</v>
      </c>
      <c r="AF1424" s="11">
        <v>1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44" t="str">
        <f t="shared" si="25"/>
        <v>RIFLEMAN_ARABIA</v>
      </c>
      <c r="B1425" s="9" t="s">
        <v>123</v>
      </c>
      <c r="C1425" s="4" t="s">
        <v>700</v>
      </c>
      <c r="D1425" s="14"/>
      <c r="E1425" s="4" t="s">
        <v>123</v>
      </c>
      <c r="F1425" s="4" t="s">
        <v>123</v>
      </c>
      <c r="H1425" s="4" t="s">
        <v>808</v>
      </c>
      <c r="I1425" s="4" t="s">
        <v>122</v>
      </c>
      <c r="Q1425" s="9">
        <v>3</v>
      </c>
      <c r="R1425" s="11" t="s">
        <v>1692</v>
      </c>
      <c r="T1425" s="11">
        <v>3</v>
      </c>
      <c r="Z1425" s="9">
        <v>0</v>
      </c>
      <c r="AA1425" s="11">
        <v>0.17499999999999999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44" t="str">
        <f t="shared" si="25"/>
        <v>RIFLEMAN_ARABIA</v>
      </c>
      <c r="B1426" s="9" t="s">
        <v>123</v>
      </c>
      <c r="C1426" s="4" t="s">
        <v>700</v>
      </c>
      <c r="D1426" s="14"/>
      <c r="E1426" s="4" t="s">
        <v>123</v>
      </c>
      <c r="F1426" s="4" t="s">
        <v>123</v>
      </c>
      <c r="G1426" s="4" t="s">
        <v>2039</v>
      </c>
      <c r="H1426" s="4" t="s">
        <v>809</v>
      </c>
      <c r="I1426" s="4" t="s">
        <v>122</v>
      </c>
      <c r="Q1426" s="9">
        <v>2</v>
      </c>
      <c r="R1426" s="11" t="s">
        <v>1692</v>
      </c>
      <c r="T1426" s="11">
        <v>3</v>
      </c>
      <c r="Z1426" s="9">
        <v>0</v>
      </c>
      <c r="AA1426" s="11">
        <v>0.17499999999999999</v>
      </c>
      <c r="AF1426" s="11">
        <v>0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44" t="str">
        <f t="shared" si="25"/>
        <v>RIFLEMAN_ARABIA</v>
      </c>
      <c r="B1427" s="9" t="s">
        <v>123</v>
      </c>
      <c r="C1427" s="4" t="s">
        <v>700</v>
      </c>
      <c r="D1427" s="14"/>
      <c r="E1427" s="4" t="s">
        <v>123</v>
      </c>
      <c r="F1427" s="4" t="s">
        <v>123</v>
      </c>
      <c r="G1427" s="4" t="s">
        <v>2041</v>
      </c>
      <c r="H1427" s="4" t="s">
        <v>169</v>
      </c>
      <c r="I1427" s="4" t="s">
        <v>122</v>
      </c>
      <c r="Q1427" s="9">
        <v>4</v>
      </c>
      <c r="R1427" s="11" t="s">
        <v>1692</v>
      </c>
      <c r="T1427" s="11">
        <v>3</v>
      </c>
      <c r="Z1427" s="9">
        <v>0</v>
      </c>
      <c r="AA1427" s="11">
        <v>0.17499999999999999</v>
      </c>
      <c r="AF1427" s="11">
        <v>0</v>
      </c>
      <c r="AI1427" s="11">
        <v>1</v>
      </c>
      <c r="AL1427" s="11"/>
      <c r="AM1427" s="11"/>
      <c r="AN1427" s="11"/>
      <c r="AO1427" s="11"/>
      <c r="AP1427" s="11"/>
      <c r="AQ1427" s="11"/>
    </row>
    <row r="1428" spans="1:43" x14ac:dyDescent="0.25">
      <c r="A1428" s="44" t="str">
        <f t="shared" si="25"/>
        <v>RIFLEMAN_BABYLON</v>
      </c>
      <c r="B1428" s="9" t="s">
        <v>123</v>
      </c>
      <c r="C1428" s="4" t="s">
        <v>703</v>
      </c>
      <c r="E1428" s="4" t="s">
        <v>123</v>
      </c>
      <c r="F1428" s="4" t="s">
        <v>123</v>
      </c>
      <c r="H1428" s="4" t="s">
        <v>816</v>
      </c>
      <c r="I1428" s="4" t="s">
        <v>993</v>
      </c>
      <c r="Q1428" s="9">
        <v>1</v>
      </c>
      <c r="R1428" s="11">
        <v>0.122</v>
      </c>
      <c r="T1428" s="11">
        <v>2</v>
      </c>
      <c r="Z1428" s="9">
        <v>1</v>
      </c>
      <c r="AA1428" s="11">
        <v>0.185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44" t="str">
        <f t="shared" si="25"/>
        <v>RIFLEMAN_BABYLON</v>
      </c>
      <c r="B1429" s="9" t="s">
        <v>123</v>
      </c>
      <c r="C1429" s="4" t="s">
        <v>703</v>
      </c>
      <c r="E1429" s="4" t="s">
        <v>123</v>
      </c>
      <c r="F1429" s="4" t="s">
        <v>123</v>
      </c>
      <c r="G1429" s="4" t="s">
        <v>2039</v>
      </c>
      <c r="H1429" s="4" t="s">
        <v>644</v>
      </c>
      <c r="I1429" s="4" t="s">
        <v>993</v>
      </c>
      <c r="Q1429" s="9">
        <v>3</v>
      </c>
      <c r="R1429" s="11">
        <v>0.122</v>
      </c>
      <c r="T1429" s="11">
        <v>4</v>
      </c>
      <c r="Z1429" s="9">
        <v>0</v>
      </c>
      <c r="AA1429" s="11">
        <v>0.185</v>
      </c>
      <c r="AF1429" s="11">
        <v>1</v>
      </c>
      <c r="AI1429" s="11">
        <v>2</v>
      </c>
      <c r="AL1429" s="11"/>
      <c r="AM1429" s="11"/>
      <c r="AN1429" s="11"/>
      <c r="AO1429" s="11"/>
      <c r="AP1429" s="11"/>
      <c r="AQ1429" s="11"/>
    </row>
    <row r="1430" spans="1:43" x14ac:dyDescent="0.25">
      <c r="A1430" s="44" t="str">
        <f t="shared" si="25"/>
        <v>RIFLEMAN_BABYLON</v>
      </c>
      <c r="B1430" s="9" t="s">
        <v>123</v>
      </c>
      <c r="C1430" s="4" t="s">
        <v>703</v>
      </c>
      <c r="E1430" s="4" t="s">
        <v>123</v>
      </c>
      <c r="F1430" s="4" t="s">
        <v>123</v>
      </c>
      <c r="G1430" s="4" t="s">
        <v>2041</v>
      </c>
      <c r="H1430" s="4" t="s">
        <v>216</v>
      </c>
      <c r="I1430" s="4" t="s">
        <v>993</v>
      </c>
      <c r="Q1430" s="9">
        <v>1</v>
      </c>
      <c r="R1430" s="11">
        <v>0.122</v>
      </c>
      <c r="T1430" s="11">
        <v>4</v>
      </c>
      <c r="Z1430" s="9">
        <v>0</v>
      </c>
      <c r="AA1430" s="11">
        <v>0.185</v>
      </c>
      <c r="AF1430" s="11">
        <v>1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44" t="str">
        <f t="shared" si="25"/>
        <v>RIFLEMAN_BABYLON</v>
      </c>
      <c r="B1431" s="9" t="s">
        <v>123</v>
      </c>
      <c r="C1431" s="4" t="s">
        <v>703</v>
      </c>
      <c r="E1431" s="4" t="s">
        <v>123</v>
      </c>
      <c r="F1431" s="4" t="s">
        <v>123</v>
      </c>
      <c r="H1431" s="4" t="s">
        <v>816</v>
      </c>
      <c r="I1431" s="4" t="s">
        <v>993</v>
      </c>
      <c r="Q1431" s="9">
        <v>3</v>
      </c>
      <c r="R1431" s="11">
        <v>0.122</v>
      </c>
      <c r="T1431" s="11">
        <v>4</v>
      </c>
      <c r="Z1431" s="9">
        <v>0</v>
      </c>
      <c r="AA1431" s="11">
        <v>0.185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44" t="str">
        <f t="shared" si="25"/>
        <v>RIFLEMAN_BABYLON</v>
      </c>
      <c r="B1432" s="9" t="s">
        <v>123</v>
      </c>
      <c r="C1432" s="4" t="s">
        <v>703</v>
      </c>
      <c r="E1432" s="4" t="s">
        <v>123</v>
      </c>
      <c r="F1432" s="4" t="s">
        <v>123</v>
      </c>
      <c r="G1432" s="4" t="s">
        <v>2039</v>
      </c>
      <c r="H1432" s="4" t="s">
        <v>644</v>
      </c>
      <c r="I1432" s="4" t="s">
        <v>993</v>
      </c>
      <c r="Q1432" s="9">
        <v>2</v>
      </c>
      <c r="R1432" s="11">
        <v>0.122</v>
      </c>
      <c r="T1432" s="11">
        <v>3</v>
      </c>
      <c r="Z1432" s="9">
        <v>0</v>
      </c>
      <c r="AA1432" s="11">
        <v>0.185</v>
      </c>
      <c r="AF1432" s="11">
        <v>0</v>
      </c>
      <c r="AI1432" s="11">
        <v>1</v>
      </c>
      <c r="AL1432" s="11"/>
      <c r="AM1432" s="11"/>
      <c r="AN1432" s="11"/>
      <c r="AO1432" s="11"/>
      <c r="AP1432" s="11"/>
      <c r="AQ1432" s="11"/>
    </row>
    <row r="1433" spans="1:43" x14ac:dyDescent="0.25">
      <c r="A1433" s="44" t="str">
        <f t="shared" si="25"/>
        <v>RIFLEMAN_BABYLON</v>
      </c>
      <c r="B1433" s="9" t="s">
        <v>123</v>
      </c>
      <c r="C1433" s="4" t="s">
        <v>703</v>
      </c>
      <c r="E1433" s="4" t="s">
        <v>123</v>
      </c>
      <c r="F1433" s="4" t="s">
        <v>123</v>
      </c>
      <c r="G1433" s="4" t="s">
        <v>2041</v>
      </c>
      <c r="H1433" s="4" t="s">
        <v>216</v>
      </c>
      <c r="I1433" s="4" t="s">
        <v>993</v>
      </c>
      <c r="Q1433" s="9">
        <v>4</v>
      </c>
      <c r="R1433" s="11">
        <v>0.122</v>
      </c>
      <c r="T1433" s="11">
        <v>2</v>
      </c>
      <c r="Z1433" s="9">
        <v>0</v>
      </c>
      <c r="AA1433" s="11">
        <v>0.185</v>
      </c>
      <c r="AF1433" s="11">
        <v>0</v>
      </c>
      <c r="AI1433" s="11">
        <v>1</v>
      </c>
      <c r="AL1433" s="11"/>
      <c r="AM1433" s="11"/>
      <c r="AN1433" s="11"/>
      <c r="AO1433" s="11"/>
      <c r="AP1433" s="11"/>
      <c r="AQ1433" s="11"/>
    </row>
    <row r="1434" spans="1:43" x14ac:dyDescent="0.25">
      <c r="A1434" s="44" t="str">
        <f t="shared" si="25"/>
        <v>RIFLEMAN_EGYPT</v>
      </c>
      <c r="B1434" s="9" t="s">
        <v>123</v>
      </c>
      <c r="C1434" s="4" t="s">
        <v>712</v>
      </c>
      <c r="E1434" s="4" t="s">
        <v>123</v>
      </c>
      <c r="F1434" s="4" t="s">
        <v>123</v>
      </c>
      <c r="H1434" s="4" t="s">
        <v>840</v>
      </c>
      <c r="I1434" s="4" t="s">
        <v>122</v>
      </c>
      <c r="Q1434" s="9">
        <v>1</v>
      </c>
      <c r="R1434" s="11">
        <v>0.13</v>
      </c>
      <c r="T1434" s="11">
        <v>3</v>
      </c>
      <c r="Z1434" s="9">
        <v>1</v>
      </c>
      <c r="AA1434" s="11">
        <v>0.20499999999999999</v>
      </c>
      <c r="AF1434" s="11">
        <v>1</v>
      </c>
      <c r="AI1434" s="11">
        <v>1</v>
      </c>
      <c r="AL1434" s="11"/>
      <c r="AM1434" s="11"/>
      <c r="AN1434" s="11"/>
      <c r="AO1434" s="11"/>
      <c r="AP1434" s="11"/>
      <c r="AQ1434" s="11"/>
    </row>
    <row r="1435" spans="1:43" x14ac:dyDescent="0.25">
      <c r="A1435" s="44" t="str">
        <f t="shared" si="25"/>
        <v>RIFLEMAN_EGYPT</v>
      </c>
      <c r="B1435" s="9" t="s">
        <v>123</v>
      </c>
      <c r="C1435" s="4" t="s">
        <v>712</v>
      </c>
      <c r="E1435" s="4" t="s">
        <v>123</v>
      </c>
      <c r="F1435" s="4" t="s">
        <v>123</v>
      </c>
      <c r="G1435" s="4" t="s">
        <v>2039</v>
      </c>
      <c r="H1435" s="4" t="s">
        <v>841</v>
      </c>
      <c r="I1435" s="4" t="s">
        <v>122</v>
      </c>
      <c r="Q1435" s="9">
        <v>3</v>
      </c>
      <c r="R1435" s="11">
        <v>0.13</v>
      </c>
      <c r="T1435" s="11">
        <v>4</v>
      </c>
      <c r="Z1435" s="9">
        <v>0</v>
      </c>
      <c r="AA1435" s="11">
        <v>0.20499999999999999</v>
      </c>
      <c r="AF1435" s="11">
        <v>1</v>
      </c>
      <c r="AI1435" s="11">
        <v>2</v>
      </c>
      <c r="AL1435" s="11"/>
      <c r="AM1435" s="11"/>
      <c r="AN1435" s="11"/>
      <c r="AO1435" s="11"/>
      <c r="AP1435" s="11"/>
      <c r="AQ1435" s="11"/>
    </row>
    <row r="1436" spans="1:43" x14ac:dyDescent="0.25">
      <c r="A1436" s="44" t="str">
        <f t="shared" si="25"/>
        <v>RIFLEMAN_EGYPT</v>
      </c>
      <c r="B1436" s="9" t="s">
        <v>123</v>
      </c>
      <c r="C1436" s="4" t="s">
        <v>712</v>
      </c>
      <c r="E1436" s="4" t="s">
        <v>123</v>
      </c>
      <c r="F1436" s="4" t="s">
        <v>123</v>
      </c>
      <c r="G1436" s="4" t="s">
        <v>2041</v>
      </c>
      <c r="H1436" s="4" t="s">
        <v>286</v>
      </c>
      <c r="I1436" s="4" t="s">
        <v>122</v>
      </c>
      <c r="Q1436" s="9">
        <v>1</v>
      </c>
      <c r="R1436" s="11">
        <v>0.13</v>
      </c>
      <c r="T1436" s="11">
        <v>3</v>
      </c>
      <c r="Z1436" s="9">
        <v>0</v>
      </c>
      <c r="AA1436" s="11">
        <v>0.20499999999999999</v>
      </c>
      <c r="AF1436" s="11">
        <v>1</v>
      </c>
      <c r="AI1436" s="11">
        <v>1</v>
      </c>
      <c r="AL1436" s="11"/>
      <c r="AM1436" s="11"/>
      <c r="AN1436" s="11"/>
      <c r="AO1436" s="11"/>
      <c r="AP1436" s="11"/>
      <c r="AQ1436" s="11"/>
    </row>
    <row r="1437" spans="1:43" x14ac:dyDescent="0.25">
      <c r="A1437" s="44" t="str">
        <f t="shared" si="25"/>
        <v>RIFLEMAN_EGYPT</v>
      </c>
      <c r="B1437" s="9" t="s">
        <v>123</v>
      </c>
      <c r="C1437" s="4" t="s">
        <v>712</v>
      </c>
      <c r="E1437" s="4" t="s">
        <v>123</v>
      </c>
      <c r="F1437" s="4" t="s">
        <v>123</v>
      </c>
      <c r="H1437" s="4" t="s">
        <v>840</v>
      </c>
      <c r="I1437" s="4" t="s">
        <v>122</v>
      </c>
      <c r="Q1437" s="9">
        <v>3</v>
      </c>
      <c r="R1437" s="11">
        <v>0.13</v>
      </c>
      <c r="T1437" s="11">
        <v>3</v>
      </c>
      <c r="Z1437" s="9">
        <v>0</v>
      </c>
      <c r="AA1437" s="11">
        <v>0.20499999999999999</v>
      </c>
      <c r="AF1437" s="11">
        <v>0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44" t="str">
        <f t="shared" si="25"/>
        <v>RIFLEMAN_EGYPT</v>
      </c>
      <c r="B1438" s="9" t="s">
        <v>123</v>
      </c>
      <c r="C1438" s="4" t="s">
        <v>712</v>
      </c>
      <c r="E1438" s="4" t="s">
        <v>123</v>
      </c>
      <c r="F1438" s="4" t="s">
        <v>123</v>
      </c>
      <c r="G1438" s="4" t="s">
        <v>2039</v>
      </c>
      <c r="H1438" s="4" t="s">
        <v>841</v>
      </c>
      <c r="I1438" s="4" t="s">
        <v>122</v>
      </c>
      <c r="Q1438" s="9">
        <v>2</v>
      </c>
      <c r="R1438" s="11">
        <v>0.13</v>
      </c>
      <c r="T1438" s="11">
        <v>3</v>
      </c>
      <c r="Z1438" s="9">
        <v>0</v>
      </c>
      <c r="AA1438" s="11">
        <v>0.20499999999999999</v>
      </c>
      <c r="AF1438" s="11">
        <v>0</v>
      </c>
      <c r="AI1438" s="11">
        <v>1</v>
      </c>
      <c r="AL1438" s="11"/>
      <c r="AM1438" s="11"/>
      <c r="AN1438" s="11"/>
      <c r="AO1438" s="11"/>
      <c r="AP1438" s="11"/>
      <c r="AQ1438" s="11"/>
    </row>
    <row r="1439" spans="1:43" x14ac:dyDescent="0.25">
      <c r="A1439" s="44" t="str">
        <f t="shared" si="25"/>
        <v>RIFLEMAN_EGYPT</v>
      </c>
      <c r="B1439" s="9" t="s">
        <v>123</v>
      </c>
      <c r="C1439" s="4" t="s">
        <v>712</v>
      </c>
      <c r="E1439" s="4" t="s">
        <v>123</v>
      </c>
      <c r="F1439" s="4" t="s">
        <v>123</v>
      </c>
      <c r="G1439" s="4" t="s">
        <v>2041</v>
      </c>
      <c r="H1439" s="4" t="s">
        <v>286</v>
      </c>
      <c r="I1439" s="4" t="s">
        <v>122</v>
      </c>
      <c r="Q1439" s="9">
        <v>4</v>
      </c>
      <c r="R1439" s="11">
        <v>0.13</v>
      </c>
      <c r="T1439" s="11">
        <v>3</v>
      </c>
      <c r="Z1439" s="9">
        <v>0</v>
      </c>
      <c r="AA1439" s="11">
        <v>0.20499999999999999</v>
      </c>
      <c r="AF1439" s="11">
        <v>0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44" t="str">
        <f t="shared" si="25"/>
        <v>RIFLEMAN_PERSIA</v>
      </c>
      <c r="B1440" s="9" t="s">
        <v>123</v>
      </c>
      <c r="C1440" s="4" t="s">
        <v>731</v>
      </c>
      <c r="E1440" s="4" t="s">
        <v>123</v>
      </c>
      <c r="F1440" s="4" t="s">
        <v>123</v>
      </c>
      <c r="H1440" s="4" t="s">
        <v>979</v>
      </c>
      <c r="I1440" s="4" t="s">
        <v>122</v>
      </c>
      <c r="Q1440" s="9">
        <v>1</v>
      </c>
      <c r="R1440" s="11">
        <v>0.13</v>
      </c>
      <c r="T1440" s="11">
        <v>3</v>
      </c>
      <c r="Z1440" s="9">
        <v>1</v>
      </c>
      <c r="AA1440" s="11">
        <v>0.20499999999999999</v>
      </c>
      <c r="AF1440" s="11">
        <v>1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44" t="str">
        <f t="shared" si="25"/>
        <v>RIFLEMAN_PERSIA</v>
      </c>
      <c r="B1441" s="9" t="s">
        <v>123</v>
      </c>
      <c r="C1441" s="4" t="s">
        <v>731</v>
      </c>
      <c r="E1441" s="4" t="s">
        <v>123</v>
      </c>
      <c r="F1441" s="4" t="s">
        <v>123</v>
      </c>
      <c r="G1441" s="4" t="s">
        <v>2039</v>
      </c>
      <c r="H1441" s="4" t="s">
        <v>980</v>
      </c>
      <c r="I1441" s="4" t="s">
        <v>122</v>
      </c>
      <c r="Q1441" s="9">
        <v>3</v>
      </c>
      <c r="R1441" s="11">
        <v>0.13</v>
      </c>
      <c r="T1441" s="11">
        <v>4</v>
      </c>
      <c r="Z1441" s="9">
        <v>0</v>
      </c>
      <c r="AA1441" s="11">
        <v>0.20499999999999999</v>
      </c>
      <c r="AF1441" s="11">
        <v>1</v>
      </c>
      <c r="AI1441" s="11">
        <v>2</v>
      </c>
      <c r="AL1441" s="11"/>
      <c r="AM1441" s="11"/>
      <c r="AN1441" s="11"/>
      <c r="AO1441" s="11"/>
      <c r="AP1441" s="11"/>
      <c r="AQ1441" s="11"/>
    </row>
    <row r="1442" spans="1:43" x14ac:dyDescent="0.25">
      <c r="A1442" s="44" t="str">
        <f t="shared" si="25"/>
        <v>RIFLEMAN_PERSIA</v>
      </c>
      <c r="B1442" s="9" t="s">
        <v>123</v>
      </c>
      <c r="C1442" s="4" t="s">
        <v>731</v>
      </c>
      <c r="E1442" s="4" t="s">
        <v>123</v>
      </c>
      <c r="F1442" s="4" t="s">
        <v>123</v>
      </c>
      <c r="G1442" s="4" t="s">
        <v>2041</v>
      </c>
      <c r="H1442" s="4" t="s">
        <v>562</v>
      </c>
      <c r="I1442" s="4" t="s">
        <v>122</v>
      </c>
      <c r="Q1442" s="9">
        <v>1</v>
      </c>
      <c r="R1442" s="11">
        <v>0.13</v>
      </c>
      <c r="T1442" s="11">
        <v>3</v>
      </c>
      <c r="Z1442" s="9">
        <v>0</v>
      </c>
      <c r="AA1442" s="11">
        <v>0.20499999999999999</v>
      </c>
      <c r="AF1442" s="11">
        <v>1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44" t="str">
        <f t="shared" si="25"/>
        <v>RIFLEMAN_PERSIA</v>
      </c>
      <c r="B1443" s="9" t="s">
        <v>123</v>
      </c>
      <c r="C1443" s="4" t="s">
        <v>731</v>
      </c>
      <c r="E1443" s="4" t="s">
        <v>123</v>
      </c>
      <c r="F1443" s="4" t="s">
        <v>123</v>
      </c>
      <c r="H1443" s="4" t="s">
        <v>979</v>
      </c>
      <c r="I1443" s="4" t="s">
        <v>122</v>
      </c>
      <c r="Q1443" s="9">
        <v>3</v>
      </c>
      <c r="R1443" s="11">
        <v>0.13</v>
      </c>
      <c r="T1443" s="11">
        <v>3</v>
      </c>
      <c r="Z1443" s="9">
        <v>0</v>
      </c>
      <c r="AA1443" s="11">
        <v>0.20499999999999999</v>
      </c>
      <c r="AF1443" s="11">
        <v>0</v>
      </c>
      <c r="AI1443" s="11">
        <v>1</v>
      </c>
      <c r="AL1443" s="11"/>
      <c r="AM1443" s="11"/>
      <c r="AN1443" s="11"/>
      <c r="AO1443" s="11"/>
      <c r="AP1443" s="11"/>
      <c r="AQ1443" s="11"/>
    </row>
    <row r="1444" spans="1:43" x14ac:dyDescent="0.25">
      <c r="A1444" s="44" t="str">
        <f t="shared" si="25"/>
        <v>RIFLEMAN_PERSIA</v>
      </c>
      <c r="B1444" s="9" t="s">
        <v>123</v>
      </c>
      <c r="C1444" s="4" t="s">
        <v>731</v>
      </c>
      <c r="E1444" s="4" t="s">
        <v>123</v>
      </c>
      <c r="F1444" s="4" t="s">
        <v>123</v>
      </c>
      <c r="G1444" s="4" t="s">
        <v>2039</v>
      </c>
      <c r="H1444" s="4" t="s">
        <v>980</v>
      </c>
      <c r="I1444" s="4" t="s">
        <v>122</v>
      </c>
      <c r="Q1444" s="9">
        <v>2</v>
      </c>
      <c r="R1444" s="11">
        <v>0.13</v>
      </c>
      <c r="T1444" s="11">
        <v>3</v>
      </c>
      <c r="Z1444" s="9">
        <v>0</v>
      </c>
      <c r="AA1444" s="11">
        <v>0.20499999999999999</v>
      </c>
      <c r="AF1444" s="11">
        <v>0</v>
      </c>
      <c r="AI1444" s="11">
        <v>1</v>
      </c>
      <c r="AL1444" s="11"/>
      <c r="AM1444" s="11"/>
      <c r="AN1444" s="11"/>
      <c r="AO1444" s="11"/>
      <c r="AP1444" s="11"/>
      <c r="AQ1444" s="11"/>
    </row>
    <row r="1445" spans="1:43" x14ac:dyDescent="0.25">
      <c r="A1445" s="44" t="str">
        <f t="shared" si="25"/>
        <v>RIFLEMAN_PERSIA</v>
      </c>
      <c r="B1445" s="9" t="s">
        <v>123</v>
      </c>
      <c r="C1445" s="4" t="s">
        <v>731</v>
      </c>
      <c r="E1445" s="4" t="s">
        <v>123</v>
      </c>
      <c r="F1445" s="4" t="s">
        <v>123</v>
      </c>
      <c r="G1445" s="4" t="s">
        <v>2041</v>
      </c>
      <c r="H1445" s="4" t="s">
        <v>562</v>
      </c>
      <c r="I1445" s="4" t="s">
        <v>122</v>
      </c>
      <c r="Q1445" s="9">
        <v>4</v>
      </c>
      <c r="R1445" s="11">
        <v>0.13</v>
      </c>
      <c r="T1445" s="11">
        <v>3</v>
      </c>
      <c r="Z1445" s="9">
        <v>0</v>
      </c>
      <c r="AA1445" s="11">
        <v>0.20499999999999999</v>
      </c>
      <c r="AF1445" s="11">
        <v>0</v>
      </c>
      <c r="AI1445" s="11">
        <v>1</v>
      </c>
      <c r="AL1445" s="11"/>
      <c r="AM1445" s="11"/>
      <c r="AN1445" s="11"/>
      <c r="AO1445" s="11"/>
      <c r="AP1445" s="11"/>
      <c r="AQ1445" s="11"/>
    </row>
    <row r="1446" spans="1:43" x14ac:dyDescent="0.25">
      <c r="A1446" s="44" t="str">
        <f t="shared" ref="A1446:A1451" si="26">CONCATENATE(E1446,IF(ISBLANK(C1446),"",CONCATENATE("_",C1446)))</f>
        <v>RIFLEMAN_NORTHAF</v>
      </c>
      <c r="B1446" s="9" t="s">
        <v>123</v>
      </c>
      <c r="C1446" s="4" t="s">
        <v>2003</v>
      </c>
      <c r="E1446" s="4" t="s">
        <v>123</v>
      </c>
      <c r="F1446" s="4" t="s">
        <v>123</v>
      </c>
      <c r="H1446" s="4" t="s">
        <v>1014</v>
      </c>
      <c r="I1446" s="4" t="s">
        <v>993</v>
      </c>
      <c r="Q1446" s="11">
        <v>1</v>
      </c>
      <c r="R1446" s="11">
        <v>0.122</v>
      </c>
      <c r="T1446" s="11">
        <v>3</v>
      </c>
      <c r="Z1446" s="11">
        <v>1</v>
      </c>
      <c r="AA1446" s="11">
        <v>0.185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44" t="str">
        <f t="shared" si="26"/>
        <v>RIFLEMAN_NORTHAF</v>
      </c>
      <c r="B1447" s="9" t="s">
        <v>123</v>
      </c>
      <c r="C1447" s="4" t="s">
        <v>2003</v>
      </c>
      <c r="E1447" s="4" t="s">
        <v>123</v>
      </c>
      <c r="F1447" s="4" t="s">
        <v>123</v>
      </c>
      <c r="G1447" s="4" t="s">
        <v>2039</v>
      </c>
      <c r="H1447" s="4" t="s">
        <v>1015</v>
      </c>
      <c r="I1447" s="4" t="s">
        <v>993</v>
      </c>
      <c r="Q1447" s="11">
        <v>3</v>
      </c>
      <c r="R1447" s="11">
        <v>0.122</v>
      </c>
      <c r="T1447" s="11">
        <v>4</v>
      </c>
      <c r="Z1447" s="11">
        <v>0</v>
      </c>
      <c r="AA1447" s="11">
        <v>0.185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44" t="str">
        <f t="shared" si="26"/>
        <v>RIFLEMAN_NORTHAF</v>
      </c>
      <c r="B1448" s="9" t="s">
        <v>123</v>
      </c>
      <c r="C1448" s="4" t="s">
        <v>2003</v>
      </c>
      <c r="E1448" s="4" t="s">
        <v>123</v>
      </c>
      <c r="F1448" s="4" t="s">
        <v>123</v>
      </c>
      <c r="G1448" s="4" t="s">
        <v>2041</v>
      </c>
      <c r="H1448" s="4" t="s">
        <v>644</v>
      </c>
      <c r="I1448" s="4" t="s">
        <v>993</v>
      </c>
      <c r="Q1448" s="11">
        <v>1</v>
      </c>
      <c r="R1448" s="11">
        <v>0.122</v>
      </c>
      <c r="T1448" s="11">
        <v>3</v>
      </c>
      <c r="Z1448" s="11">
        <v>0</v>
      </c>
      <c r="AA1448" s="11">
        <v>0.185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44" t="str">
        <f t="shared" si="26"/>
        <v>RIFLEMAN_NORTHAF</v>
      </c>
      <c r="B1449" s="9" t="s">
        <v>123</v>
      </c>
      <c r="C1449" s="4" t="s">
        <v>2003</v>
      </c>
      <c r="E1449" s="4" t="s">
        <v>123</v>
      </c>
      <c r="F1449" s="4" t="s">
        <v>123</v>
      </c>
      <c r="H1449" s="4" t="s">
        <v>1014</v>
      </c>
      <c r="I1449" s="4" t="s">
        <v>993</v>
      </c>
      <c r="Q1449" s="9">
        <v>3</v>
      </c>
      <c r="R1449" s="11">
        <v>0.122</v>
      </c>
      <c r="T1449" s="11">
        <v>3</v>
      </c>
      <c r="Z1449" s="9">
        <v>0</v>
      </c>
      <c r="AA1449" s="11">
        <v>0.185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44" t="str">
        <f t="shared" si="26"/>
        <v>RIFLEMAN_NORTHAF</v>
      </c>
      <c r="B1450" s="9" t="s">
        <v>123</v>
      </c>
      <c r="C1450" s="4" t="s">
        <v>2003</v>
      </c>
      <c r="E1450" s="4" t="s">
        <v>123</v>
      </c>
      <c r="F1450" s="4" t="s">
        <v>123</v>
      </c>
      <c r="G1450" s="4" t="s">
        <v>2039</v>
      </c>
      <c r="H1450" s="4" t="s">
        <v>1015</v>
      </c>
      <c r="I1450" s="4" t="s">
        <v>993</v>
      </c>
      <c r="Q1450" s="9">
        <v>2</v>
      </c>
      <c r="R1450" s="11">
        <v>0.122</v>
      </c>
      <c r="T1450" s="11">
        <v>3</v>
      </c>
      <c r="Z1450" s="9">
        <v>0</v>
      </c>
      <c r="AA1450" s="11">
        <v>0.185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44" t="str">
        <f t="shared" si="26"/>
        <v>RIFLEMAN_NORTHAF</v>
      </c>
      <c r="B1451" s="9" t="s">
        <v>123</v>
      </c>
      <c r="C1451" s="4" t="s">
        <v>2003</v>
      </c>
      <c r="E1451" s="4" t="s">
        <v>123</v>
      </c>
      <c r="F1451" s="4" t="s">
        <v>123</v>
      </c>
      <c r="G1451" s="4" t="s">
        <v>2041</v>
      </c>
      <c r="H1451" s="4" t="s">
        <v>644</v>
      </c>
      <c r="I1451" s="4" t="s">
        <v>993</v>
      </c>
      <c r="Q1451" s="9">
        <v>4</v>
      </c>
      <c r="R1451" s="11">
        <v>0.122</v>
      </c>
      <c r="T1451" s="11">
        <v>3</v>
      </c>
      <c r="Z1451" s="9">
        <v>0</v>
      </c>
      <c r="AA1451" s="11">
        <v>0.185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44" t="str">
        <f t="shared" si="25"/>
        <v>RIFLEMAN_NORTHEU</v>
      </c>
      <c r="B1452" s="9" t="s">
        <v>123</v>
      </c>
      <c r="C1452" s="4" t="s">
        <v>962</v>
      </c>
      <c r="E1452" s="4" t="s">
        <v>123</v>
      </c>
      <c r="F1452" s="4" t="s">
        <v>123</v>
      </c>
      <c r="G1452" s="14"/>
      <c r="H1452" s="4" t="s">
        <v>271</v>
      </c>
      <c r="I1452" s="4" t="s">
        <v>122</v>
      </c>
      <c r="R1452" s="11">
        <v>0.13</v>
      </c>
      <c r="AA1452" s="11">
        <v>0.20499999999999999</v>
      </c>
      <c r="AL1452" s="11"/>
      <c r="AM1452" s="11"/>
      <c r="AN1452" s="11"/>
      <c r="AO1452" s="11"/>
      <c r="AP1452" s="11"/>
      <c r="AQ1452" s="11"/>
    </row>
    <row r="1453" spans="1:43" x14ac:dyDescent="0.25">
      <c r="A1453" s="44" t="str">
        <f t="shared" si="25"/>
        <v>RIFLEMAN_SWEDEN</v>
      </c>
      <c r="B1453" s="9" t="s">
        <v>123</v>
      </c>
      <c r="C1453" s="4" t="s">
        <v>739</v>
      </c>
      <c r="E1453" s="4" t="s">
        <v>123</v>
      </c>
      <c r="F1453" s="4" t="s">
        <v>123</v>
      </c>
      <c r="G1453" s="14" t="s">
        <v>132</v>
      </c>
      <c r="H1453" s="4" t="s">
        <v>674</v>
      </c>
      <c r="I1453" s="4" t="s">
        <v>122</v>
      </c>
      <c r="R1453" s="11">
        <v>0.13</v>
      </c>
      <c r="AA1453" s="11">
        <v>0.20499999999999999</v>
      </c>
      <c r="AL1453" s="11"/>
      <c r="AM1453" s="11"/>
      <c r="AN1453" s="11"/>
      <c r="AO1453" s="11"/>
      <c r="AP1453" s="11"/>
      <c r="AQ1453" s="11"/>
    </row>
    <row r="1454" spans="1:43" x14ac:dyDescent="0.25">
      <c r="A1454" s="44" t="str">
        <f t="shared" si="25"/>
        <v>RIFLEMAN_OCEAN</v>
      </c>
      <c r="B1454" s="9" t="s">
        <v>123</v>
      </c>
      <c r="C1454" s="4" t="s">
        <v>994</v>
      </c>
      <c r="D1454" s="4" t="s">
        <v>691</v>
      </c>
      <c r="E1454" s="4" t="s">
        <v>123</v>
      </c>
      <c r="F1454" s="4" t="s">
        <v>123</v>
      </c>
      <c r="AL1454" s="11"/>
      <c r="AM1454" s="11"/>
      <c r="AN1454" s="11"/>
      <c r="AO1454" s="11"/>
      <c r="AP1454" s="11"/>
      <c r="AQ1454" s="11"/>
    </row>
    <row r="1455" spans="1:43" x14ac:dyDescent="0.25">
      <c r="A1455" s="44" t="str">
        <f t="shared" si="25"/>
        <v>RIFLEMAN_SEASIA</v>
      </c>
      <c r="B1455" s="9" t="s">
        <v>123</v>
      </c>
      <c r="C1455" s="4" t="s">
        <v>696</v>
      </c>
      <c r="E1455" s="4" t="s">
        <v>123</v>
      </c>
      <c r="F1455" s="4" t="s">
        <v>123</v>
      </c>
      <c r="H1455" s="4" t="s">
        <v>639</v>
      </c>
      <c r="I1455" s="4" t="s">
        <v>122</v>
      </c>
      <c r="R1455" s="11">
        <v>0.13</v>
      </c>
      <c r="AA1455" s="11">
        <v>0.20499999999999999</v>
      </c>
      <c r="AL1455" s="11"/>
      <c r="AM1455" s="11"/>
      <c r="AN1455" s="11"/>
      <c r="AO1455" s="11"/>
      <c r="AP1455" s="11"/>
      <c r="AQ1455" s="11"/>
    </row>
    <row r="1456" spans="1:43" x14ac:dyDescent="0.25">
      <c r="A1456" s="44" t="str">
        <f t="shared" si="25"/>
        <v>RIFLEMAN_SOUTHAM</v>
      </c>
      <c r="B1456" s="9" t="s">
        <v>123</v>
      </c>
      <c r="C1456" s="4" t="s">
        <v>691</v>
      </c>
      <c r="E1456" s="4" t="s">
        <v>123</v>
      </c>
      <c r="F1456" s="4" t="s">
        <v>123</v>
      </c>
      <c r="H1456" s="4" t="s">
        <v>200</v>
      </c>
      <c r="I1456" s="4" t="s">
        <v>122</v>
      </c>
      <c r="R1456" s="11" t="s">
        <v>1692</v>
      </c>
      <c r="AA1456" s="11">
        <v>0.17499999999999999</v>
      </c>
      <c r="AL1456" s="11"/>
      <c r="AM1456" s="11"/>
      <c r="AN1456" s="11"/>
      <c r="AO1456" s="11"/>
      <c r="AP1456" s="11"/>
      <c r="AQ1456" s="11"/>
    </row>
    <row r="1457" spans="1:43" x14ac:dyDescent="0.25">
      <c r="A1457" s="44" t="str">
        <f t="shared" si="25"/>
        <v>RIFLEMAN_AZTEC</v>
      </c>
      <c r="B1457" s="9" t="s">
        <v>123</v>
      </c>
      <c r="C1457" s="4" t="s">
        <v>702</v>
      </c>
      <c r="E1457" s="4" t="s">
        <v>123</v>
      </c>
      <c r="F1457" s="4" t="s">
        <v>123</v>
      </c>
      <c r="H1457" s="4" t="s">
        <v>426</v>
      </c>
      <c r="I1457" s="4" t="s">
        <v>122</v>
      </c>
      <c r="Q1457" s="11">
        <v>1</v>
      </c>
      <c r="R1457" s="11" t="s">
        <v>1692</v>
      </c>
      <c r="T1457" s="11">
        <v>3</v>
      </c>
      <c r="Z1457" s="11">
        <v>1</v>
      </c>
      <c r="AA1457" s="11">
        <v>0.17499999999999999</v>
      </c>
      <c r="AF1457" s="11">
        <v>1</v>
      </c>
      <c r="AI1457" s="11">
        <v>1</v>
      </c>
      <c r="AL1457" s="11"/>
      <c r="AM1457" s="11"/>
      <c r="AN1457" s="11"/>
      <c r="AO1457" s="11"/>
      <c r="AP1457" s="11"/>
      <c r="AQ1457" s="11"/>
    </row>
    <row r="1458" spans="1:43" x14ac:dyDescent="0.25">
      <c r="A1458" s="44" t="str">
        <f t="shared" si="25"/>
        <v>RIFLEMAN_AZTEC</v>
      </c>
      <c r="B1458" s="9" t="s">
        <v>123</v>
      </c>
      <c r="C1458" s="4" t="s">
        <v>702</v>
      </c>
      <c r="E1458" s="4" t="s">
        <v>123</v>
      </c>
      <c r="F1458" s="4" t="s">
        <v>123</v>
      </c>
      <c r="G1458" s="4" t="s">
        <v>2039</v>
      </c>
      <c r="H1458" s="4" t="s">
        <v>521</v>
      </c>
      <c r="I1458" s="4" t="s">
        <v>122</v>
      </c>
      <c r="Q1458" s="11">
        <v>3</v>
      </c>
      <c r="R1458" s="11" t="s">
        <v>1692</v>
      </c>
      <c r="T1458" s="11">
        <v>4</v>
      </c>
      <c r="Z1458" s="11">
        <v>0</v>
      </c>
      <c r="AA1458" s="11">
        <v>0.17499999999999999</v>
      </c>
      <c r="AF1458" s="11">
        <v>1</v>
      </c>
      <c r="AI1458" s="11">
        <v>2</v>
      </c>
      <c r="AL1458" s="11"/>
      <c r="AM1458" s="11"/>
      <c r="AN1458" s="11"/>
      <c r="AO1458" s="11"/>
      <c r="AP1458" s="11"/>
      <c r="AQ1458" s="11"/>
    </row>
    <row r="1459" spans="1:43" x14ac:dyDescent="0.25">
      <c r="A1459" s="44" t="str">
        <f t="shared" si="25"/>
        <v>RIFLEMAN_AZTEC</v>
      </c>
      <c r="B1459" s="9" t="s">
        <v>123</v>
      </c>
      <c r="C1459" s="4" t="s">
        <v>702</v>
      </c>
      <c r="E1459" s="4" t="s">
        <v>123</v>
      </c>
      <c r="F1459" s="4" t="s">
        <v>123</v>
      </c>
      <c r="G1459" s="4" t="s">
        <v>2041</v>
      </c>
      <c r="H1459" s="4" t="s">
        <v>200</v>
      </c>
      <c r="I1459" s="4" t="s">
        <v>122</v>
      </c>
      <c r="Q1459" s="11">
        <v>1</v>
      </c>
      <c r="R1459" s="11" t="s">
        <v>1692</v>
      </c>
      <c r="T1459" s="11">
        <v>3</v>
      </c>
      <c r="Z1459" s="11">
        <v>0</v>
      </c>
      <c r="AA1459" s="11">
        <v>0.17499999999999999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44" t="str">
        <f t="shared" si="25"/>
        <v>RIFLEMAN_AZTEC</v>
      </c>
      <c r="B1460" s="9" t="s">
        <v>123</v>
      </c>
      <c r="C1460" s="4" t="s">
        <v>702</v>
      </c>
      <c r="E1460" s="4" t="s">
        <v>123</v>
      </c>
      <c r="F1460" s="4" t="s">
        <v>123</v>
      </c>
      <c r="H1460" s="4" t="s">
        <v>426</v>
      </c>
      <c r="I1460" s="4" t="s">
        <v>122</v>
      </c>
      <c r="Q1460" s="9">
        <v>3</v>
      </c>
      <c r="R1460" s="11" t="s">
        <v>1692</v>
      </c>
      <c r="T1460" s="11">
        <v>3</v>
      </c>
      <c r="Z1460" s="9">
        <v>0</v>
      </c>
      <c r="AA1460" s="11">
        <v>0.17499999999999999</v>
      </c>
      <c r="AF1460" s="11">
        <v>0</v>
      </c>
      <c r="AI1460" s="11">
        <v>1</v>
      </c>
      <c r="AL1460" s="11"/>
      <c r="AM1460" s="11"/>
      <c r="AN1460" s="11"/>
      <c r="AO1460" s="11"/>
      <c r="AP1460" s="11"/>
      <c r="AQ1460" s="11"/>
    </row>
    <row r="1461" spans="1:43" x14ac:dyDescent="0.25">
      <c r="A1461" s="44" t="str">
        <f t="shared" si="25"/>
        <v>RIFLEMAN_AZTEC</v>
      </c>
      <c r="B1461" s="9" t="s">
        <v>123</v>
      </c>
      <c r="C1461" s="4" t="s">
        <v>702</v>
      </c>
      <c r="E1461" s="4" t="s">
        <v>123</v>
      </c>
      <c r="F1461" s="4" t="s">
        <v>123</v>
      </c>
      <c r="G1461" s="4" t="s">
        <v>2039</v>
      </c>
      <c r="H1461" s="4" t="s">
        <v>521</v>
      </c>
      <c r="I1461" s="4" t="s">
        <v>122</v>
      </c>
      <c r="Q1461" s="9">
        <v>2</v>
      </c>
      <c r="R1461" s="11" t="s">
        <v>1692</v>
      </c>
      <c r="T1461" s="11">
        <v>3</v>
      </c>
      <c r="Z1461" s="9">
        <v>0</v>
      </c>
      <c r="AA1461" s="11">
        <v>0.17499999999999999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44" t="str">
        <f t="shared" si="25"/>
        <v>RIFLEMAN_AZTEC</v>
      </c>
      <c r="B1462" s="9" t="s">
        <v>123</v>
      </c>
      <c r="C1462" s="4" t="s">
        <v>702</v>
      </c>
      <c r="E1462" s="4" t="s">
        <v>123</v>
      </c>
      <c r="F1462" s="4" t="s">
        <v>123</v>
      </c>
      <c r="G1462" s="4" t="s">
        <v>2041</v>
      </c>
      <c r="H1462" s="4" t="s">
        <v>200</v>
      </c>
      <c r="I1462" s="4" t="s">
        <v>122</v>
      </c>
      <c r="Q1462" s="9">
        <v>4</v>
      </c>
      <c r="R1462" s="11" t="s">
        <v>1692</v>
      </c>
      <c r="T1462" s="11">
        <v>3</v>
      </c>
      <c r="Z1462" s="9">
        <v>0</v>
      </c>
      <c r="AA1462" s="11">
        <v>0.17499999999999999</v>
      </c>
      <c r="AF1462" s="11">
        <v>0</v>
      </c>
      <c r="AI1462" s="11">
        <v>1</v>
      </c>
      <c r="AL1462" s="11"/>
      <c r="AM1462" s="11"/>
      <c r="AN1462" s="11"/>
      <c r="AO1462" s="11"/>
      <c r="AP1462" s="11"/>
      <c r="AQ1462" s="11"/>
    </row>
    <row r="1463" spans="1:43" x14ac:dyDescent="0.25">
      <c r="A1463" s="44" t="str">
        <f t="shared" si="25"/>
        <v>RIFLEMAN_INCA</v>
      </c>
      <c r="B1463" s="9" t="s">
        <v>123</v>
      </c>
      <c r="C1463" s="4" t="s">
        <v>719</v>
      </c>
      <c r="E1463" s="4" t="s">
        <v>123</v>
      </c>
      <c r="F1463" s="4" t="s">
        <v>123</v>
      </c>
      <c r="G1463" s="14" t="s">
        <v>132</v>
      </c>
      <c r="H1463" s="4" t="s">
        <v>426</v>
      </c>
      <c r="I1463" s="4" t="s">
        <v>122</v>
      </c>
      <c r="R1463" s="11" t="s">
        <v>1692</v>
      </c>
      <c r="Z1463" s="9"/>
      <c r="AA1463" s="11">
        <v>0.17499999999999999</v>
      </c>
      <c r="AL1463" s="11"/>
      <c r="AM1463" s="11"/>
      <c r="AN1463" s="11"/>
      <c r="AO1463" s="11"/>
      <c r="AP1463" s="11"/>
      <c r="AQ1463" s="11"/>
    </row>
    <row r="1464" spans="1:43" x14ac:dyDescent="0.25">
      <c r="A1464" s="44" t="str">
        <f t="shared" si="25"/>
        <v>RIFLEMAN_MAYA</v>
      </c>
      <c r="B1464" s="9" t="s">
        <v>123</v>
      </c>
      <c r="C1464" s="4" t="s">
        <v>725</v>
      </c>
      <c r="E1464" s="4" t="s">
        <v>123</v>
      </c>
      <c r="F1464" s="4" t="s">
        <v>123</v>
      </c>
      <c r="G1464" s="14" t="s">
        <v>132</v>
      </c>
      <c r="H1464" s="4" t="s">
        <v>521</v>
      </c>
      <c r="I1464" s="4" t="s">
        <v>122</v>
      </c>
      <c r="R1464" s="11" t="s">
        <v>1692</v>
      </c>
      <c r="AA1464" s="11">
        <v>0.17499999999999999</v>
      </c>
      <c r="AL1464" s="11"/>
      <c r="AM1464" s="11"/>
      <c r="AN1464" s="11"/>
      <c r="AO1464" s="11"/>
      <c r="AP1464" s="11"/>
      <c r="AQ1464" s="11"/>
    </row>
    <row r="1465" spans="1:43" x14ac:dyDescent="0.25">
      <c r="A1465" s="44" t="str">
        <f t="shared" si="25"/>
        <v>RIFLEMAN_SOUTHAS</v>
      </c>
      <c r="B1465" s="9" t="s">
        <v>123</v>
      </c>
      <c r="C1465" s="4" t="s">
        <v>695</v>
      </c>
      <c r="D1465" s="4" t="s">
        <v>693</v>
      </c>
      <c r="E1465" s="4" t="s">
        <v>123</v>
      </c>
      <c r="F1465" s="4" t="s">
        <v>123</v>
      </c>
      <c r="AL1465" s="11"/>
      <c r="AM1465" s="11"/>
      <c r="AN1465" s="11"/>
      <c r="AO1465" s="11"/>
      <c r="AP1465" s="11"/>
      <c r="AQ1465" s="11"/>
    </row>
    <row r="1466" spans="1:43" x14ac:dyDescent="0.25">
      <c r="A1466" s="44" t="str">
        <f t="shared" si="25"/>
        <v>RIFLEMAN_INDIA</v>
      </c>
      <c r="B1466" s="9" t="s">
        <v>123</v>
      </c>
      <c r="C1466" s="4" t="s">
        <v>720</v>
      </c>
      <c r="E1466" s="4" t="s">
        <v>123</v>
      </c>
      <c r="F1466" s="4" t="s">
        <v>123</v>
      </c>
      <c r="H1466" s="4" t="s">
        <v>926</v>
      </c>
      <c r="I1466" s="4" t="s">
        <v>122</v>
      </c>
      <c r="Q1466" s="11">
        <v>1</v>
      </c>
      <c r="R1466" s="11">
        <v>0.13</v>
      </c>
      <c r="T1466" s="11">
        <v>3</v>
      </c>
      <c r="Z1466" s="11">
        <v>1</v>
      </c>
      <c r="AA1466" s="11">
        <v>0.20499999999999999</v>
      </c>
      <c r="AF1466" s="11">
        <v>1</v>
      </c>
      <c r="AI1466" s="11">
        <v>1</v>
      </c>
      <c r="AL1466" s="11"/>
      <c r="AM1466" s="11"/>
      <c r="AN1466" s="11"/>
      <c r="AO1466" s="11"/>
      <c r="AP1466" s="11"/>
      <c r="AQ1466" s="11"/>
    </row>
    <row r="1467" spans="1:43" x14ac:dyDescent="0.25">
      <c r="A1467" s="44" t="str">
        <f t="shared" si="25"/>
        <v>RIFLEMAN_INDIA</v>
      </c>
      <c r="B1467" s="9" t="s">
        <v>123</v>
      </c>
      <c r="C1467" s="4" t="s">
        <v>720</v>
      </c>
      <c r="E1467" s="4" t="s">
        <v>123</v>
      </c>
      <c r="F1467" s="4" t="s">
        <v>123</v>
      </c>
      <c r="G1467" s="4" t="s">
        <v>2039</v>
      </c>
      <c r="H1467" s="4" t="s">
        <v>927</v>
      </c>
      <c r="I1467" s="4" t="s">
        <v>122</v>
      </c>
      <c r="Q1467" s="11">
        <v>3</v>
      </c>
      <c r="R1467" s="11">
        <v>0.13</v>
      </c>
      <c r="T1467" s="11">
        <v>4</v>
      </c>
      <c r="Z1467" s="11">
        <v>0</v>
      </c>
      <c r="AA1467" s="11">
        <v>0.20499999999999999</v>
      </c>
      <c r="AF1467" s="11">
        <v>1</v>
      </c>
      <c r="AI1467" s="11">
        <v>2</v>
      </c>
      <c r="AL1467" s="11"/>
      <c r="AM1467" s="11"/>
      <c r="AN1467" s="11"/>
      <c r="AO1467" s="11"/>
      <c r="AP1467" s="11"/>
      <c r="AQ1467" s="11"/>
    </row>
    <row r="1468" spans="1:43" x14ac:dyDescent="0.25">
      <c r="A1468" s="44" t="str">
        <f t="shared" si="25"/>
        <v>RIFLEMAN_INDIA</v>
      </c>
      <c r="B1468" s="9" t="s">
        <v>123</v>
      </c>
      <c r="C1468" s="4" t="s">
        <v>720</v>
      </c>
      <c r="E1468" s="4" t="s">
        <v>123</v>
      </c>
      <c r="F1468" s="4" t="s">
        <v>123</v>
      </c>
      <c r="G1468" s="4" t="s">
        <v>2041</v>
      </c>
      <c r="H1468" s="4" t="s">
        <v>441</v>
      </c>
      <c r="I1468" s="4" t="s">
        <v>122</v>
      </c>
      <c r="Q1468" s="11">
        <v>1</v>
      </c>
      <c r="R1468" s="11">
        <v>0.13</v>
      </c>
      <c r="T1468" s="11">
        <v>3</v>
      </c>
      <c r="Z1468" s="11">
        <v>0</v>
      </c>
      <c r="AA1468" s="11">
        <v>0.20499999999999999</v>
      </c>
      <c r="AF1468" s="11">
        <v>1</v>
      </c>
      <c r="AI1468" s="11">
        <v>1</v>
      </c>
      <c r="AL1468" s="11"/>
      <c r="AM1468" s="11"/>
      <c r="AN1468" s="11"/>
      <c r="AO1468" s="11"/>
      <c r="AP1468" s="11"/>
      <c r="AQ1468" s="11"/>
    </row>
    <row r="1469" spans="1:43" x14ac:dyDescent="0.25">
      <c r="A1469" s="44" t="str">
        <f t="shared" si="25"/>
        <v>RIFLEMAN_INDIA</v>
      </c>
      <c r="B1469" s="9" t="s">
        <v>123</v>
      </c>
      <c r="C1469" s="4" t="s">
        <v>720</v>
      </c>
      <c r="E1469" s="4" t="s">
        <v>123</v>
      </c>
      <c r="F1469" s="4" t="s">
        <v>123</v>
      </c>
      <c r="H1469" s="4" t="s">
        <v>926</v>
      </c>
      <c r="I1469" s="4" t="s">
        <v>122</v>
      </c>
      <c r="Q1469" s="9">
        <v>3</v>
      </c>
      <c r="R1469" s="11">
        <v>0.13</v>
      </c>
      <c r="T1469" s="11">
        <v>3</v>
      </c>
      <c r="Z1469" s="9">
        <v>0</v>
      </c>
      <c r="AA1469" s="11">
        <v>0.20499999999999999</v>
      </c>
      <c r="AF1469" s="11">
        <v>0</v>
      </c>
      <c r="AI1469" s="11">
        <v>1</v>
      </c>
      <c r="AL1469" s="11"/>
      <c r="AM1469" s="11"/>
      <c r="AN1469" s="11"/>
      <c r="AO1469" s="11"/>
      <c r="AP1469" s="11"/>
      <c r="AQ1469" s="11"/>
    </row>
    <row r="1470" spans="1:43" x14ac:dyDescent="0.25">
      <c r="A1470" s="44" t="str">
        <f t="shared" si="25"/>
        <v>RIFLEMAN_INDIA</v>
      </c>
      <c r="B1470" s="9" t="s">
        <v>123</v>
      </c>
      <c r="C1470" s="4" t="s">
        <v>720</v>
      </c>
      <c r="E1470" s="4" t="s">
        <v>123</v>
      </c>
      <c r="F1470" s="4" t="s">
        <v>123</v>
      </c>
      <c r="G1470" s="4" t="s">
        <v>2039</v>
      </c>
      <c r="H1470" s="4" t="s">
        <v>927</v>
      </c>
      <c r="I1470" s="4" t="s">
        <v>122</v>
      </c>
      <c r="Q1470" s="9">
        <v>2</v>
      </c>
      <c r="R1470" s="11">
        <v>0.13</v>
      </c>
      <c r="T1470" s="11">
        <v>3</v>
      </c>
      <c r="Z1470" s="9">
        <v>0</v>
      </c>
      <c r="AA1470" s="11">
        <v>0.20499999999999999</v>
      </c>
      <c r="AF1470" s="11">
        <v>0</v>
      </c>
      <c r="AI1470" s="11">
        <v>1</v>
      </c>
      <c r="AL1470" s="11"/>
      <c r="AM1470" s="11"/>
      <c r="AN1470" s="11"/>
      <c r="AO1470" s="11"/>
      <c r="AP1470" s="11"/>
      <c r="AQ1470" s="11"/>
    </row>
    <row r="1471" spans="1:43" x14ac:dyDescent="0.25">
      <c r="A1471" s="44" t="str">
        <f t="shared" si="25"/>
        <v>RIFLEMAN_INDIA</v>
      </c>
      <c r="B1471" s="9" t="s">
        <v>123</v>
      </c>
      <c r="C1471" s="4" t="s">
        <v>720</v>
      </c>
      <c r="E1471" s="4" t="s">
        <v>123</v>
      </c>
      <c r="F1471" s="4" t="s">
        <v>123</v>
      </c>
      <c r="G1471" s="4" t="s">
        <v>2041</v>
      </c>
      <c r="H1471" s="4" t="s">
        <v>441</v>
      </c>
      <c r="I1471" s="4" t="s">
        <v>122</v>
      </c>
      <c r="Q1471" s="9">
        <v>4</v>
      </c>
      <c r="R1471" s="11">
        <v>0.13</v>
      </c>
      <c r="T1471" s="11">
        <v>3</v>
      </c>
      <c r="Z1471" s="9">
        <v>0</v>
      </c>
      <c r="AA1471" s="11">
        <v>0.20499999999999999</v>
      </c>
      <c r="AF1471" s="11">
        <v>0</v>
      </c>
      <c r="AI1471" s="11">
        <v>1</v>
      </c>
      <c r="AL1471" s="11"/>
      <c r="AM1471" s="11"/>
      <c r="AN1471" s="11"/>
      <c r="AO1471" s="11"/>
      <c r="AP1471" s="11"/>
      <c r="AQ1471" s="11"/>
    </row>
    <row r="1472" spans="1:43" x14ac:dyDescent="0.25">
      <c r="A1472" s="44" t="str">
        <f t="shared" si="25"/>
        <v>ROCKET_ARTILLERY</v>
      </c>
      <c r="B1472" s="9" t="s">
        <v>772</v>
      </c>
      <c r="C1472" s="5"/>
      <c r="D1472" s="5"/>
      <c r="E1472" s="5" t="s">
        <v>772</v>
      </c>
      <c r="F1472" s="5" t="s">
        <v>801</v>
      </c>
      <c r="G1472" s="5"/>
      <c r="H1472" s="5" t="s">
        <v>1504</v>
      </c>
      <c r="I1472" s="5" t="s">
        <v>128</v>
      </c>
      <c r="J1472" s="6"/>
      <c r="K1472" s="6"/>
      <c r="L1472" s="13" t="s">
        <v>1706</v>
      </c>
      <c r="M1472" s="8"/>
      <c r="N1472" s="5"/>
      <c r="O1472" s="5"/>
      <c r="P1472" s="5"/>
      <c r="Q1472" s="7">
        <v>2</v>
      </c>
      <c r="R1472" s="6">
        <v>0.09</v>
      </c>
      <c r="S1472" s="13" t="s">
        <v>1610</v>
      </c>
      <c r="T1472" s="6"/>
      <c r="U1472" s="6"/>
      <c r="V1472" s="5"/>
      <c r="W1472" s="6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6"/>
      <c r="AM1472" s="6"/>
      <c r="AN1472" s="6"/>
      <c r="AO1472" s="6"/>
      <c r="AP1472" s="6"/>
      <c r="AQ1472" s="6"/>
    </row>
    <row r="1473" spans="1:43" x14ac:dyDescent="0.25">
      <c r="A1473" s="44" t="str">
        <f t="shared" si="25"/>
        <v>SCIENTIST</v>
      </c>
      <c r="B1473" s="9" t="s">
        <v>1363</v>
      </c>
      <c r="C1473" s="5"/>
      <c r="D1473" s="5"/>
      <c r="E1473" s="5" t="s">
        <v>1363</v>
      </c>
      <c r="F1473" s="5" t="s">
        <v>1365</v>
      </c>
      <c r="G1473" s="5"/>
      <c r="H1473" s="5" t="s">
        <v>1478</v>
      </c>
      <c r="I1473" s="5" t="s">
        <v>128</v>
      </c>
      <c r="J1473" s="6">
        <v>1</v>
      </c>
      <c r="K1473" s="6"/>
      <c r="L1473" s="13" t="s">
        <v>1707</v>
      </c>
      <c r="M1473" s="8"/>
      <c r="N1473" s="5"/>
      <c r="O1473" s="5"/>
      <c r="P1473" s="5"/>
      <c r="Q1473" s="7">
        <v>1</v>
      </c>
      <c r="R1473" s="7" t="s">
        <v>1692</v>
      </c>
      <c r="S1473" s="5"/>
      <c r="T1473" s="6"/>
      <c r="U1473" s="7" t="s">
        <v>1734</v>
      </c>
      <c r="V1473" s="5"/>
      <c r="W1473" s="6"/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6"/>
      <c r="AM1473" s="6"/>
      <c r="AN1473" s="6"/>
      <c r="AO1473" s="6"/>
      <c r="AP1473" s="6"/>
      <c r="AQ1473" s="6"/>
    </row>
    <row r="1474" spans="1:43" x14ac:dyDescent="0.25">
      <c r="A1474" s="44" t="str">
        <f t="shared" si="25"/>
        <v>SCIENTIST_LATE</v>
      </c>
      <c r="B1474" s="9" t="s">
        <v>1363</v>
      </c>
      <c r="C1474" s="5"/>
      <c r="D1474" s="5"/>
      <c r="E1474" s="5" t="s">
        <v>1364</v>
      </c>
      <c r="F1474" s="5" t="s">
        <v>1366</v>
      </c>
      <c r="G1474" s="5"/>
      <c r="H1474" s="5" t="s">
        <v>1479</v>
      </c>
      <c r="I1474" s="5" t="s">
        <v>128</v>
      </c>
      <c r="J1474" s="6">
        <v>0</v>
      </c>
      <c r="K1474" s="6"/>
      <c r="L1474" s="13" t="s">
        <v>1707</v>
      </c>
      <c r="M1474" s="8"/>
      <c r="N1474" s="5"/>
      <c r="O1474" s="5"/>
      <c r="P1474" s="5"/>
      <c r="Q1474" s="7">
        <v>1</v>
      </c>
      <c r="R1474" s="7" t="s">
        <v>1692</v>
      </c>
      <c r="S1474" s="5"/>
      <c r="T1474" s="6"/>
      <c r="U1474" s="7" t="s">
        <v>1734</v>
      </c>
      <c r="V1474" s="5"/>
      <c r="W1474" s="6"/>
      <c r="X1474" s="6" t="s">
        <v>3</v>
      </c>
      <c r="Y1474" s="5"/>
      <c r="Z1474" s="6"/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6"/>
      <c r="AM1474" s="6"/>
      <c r="AN1474" s="6"/>
      <c r="AO1474" s="6"/>
      <c r="AP1474" s="6"/>
      <c r="AQ1474" s="6"/>
    </row>
    <row r="1475" spans="1:43" x14ac:dyDescent="0.25">
      <c r="A1475" s="44" t="str">
        <f t="shared" si="25"/>
        <v>SCOUT</v>
      </c>
      <c r="B1475" s="9" t="s">
        <v>773</v>
      </c>
      <c r="C1475" s="5"/>
      <c r="D1475" s="5"/>
      <c r="E1475" s="5" t="s">
        <v>773</v>
      </c>
      <c r="F1475" s="5" t="s">
        <v>773</v>
      </c>
      <c r="G1475" s="5"/>
      <c r="H1475" s="5" t="s">
        <v>20</v>
      </c>
      <c r="I1475" s="5" t="s">
        <v>128</v>
      </c>
      <c r="J1475" s="6"/>
      <c r="K1475" s="6"/>
      <c r="L1475" s="13" t="s">
        <v>1705</v>
      </c>
      <c r="M1475" s="8"/>
      <c r="N1475" s="5"/>
      <c r="O1475" s="5"/>
      <c r="P1475" s="5"/>
      <c r="Q1475" s="7">
        <v>6</v>
      </c>
      <c r="R1475" s="6" t="s">
        <v>1734</v>
      </c>
      <c r="S1475" s="13" t="s">
        <v>20</v>
      </c>
      <c r="T1475" s="6"/>
      <c r="U1475" s="6">
        <v>0.08</v>
      </c>
      <c r="V1475" s="5"/>
      <c r="W1475" s="6" t="s">
        <v>3</v>
      </c>
      <c r="X1475" s="6" t="s">
        <v>3</v>
      </c>
      <c r="Y1475" s="5"/>
      <c r="Z1475" s="6">
        <v>1</v>
      </c>
      <c r="AA1475" s="6"/>
      <c r="AB1475" s="5"/>
      <c r="AC1475" s="6"/>
      <c r="AD1475" s="6" t="s">
        <v>3</v>
      </c>
      <c r="AE1475" s="5"/>
      <c r="AF1475" s="6">
        <v>2</v>
      </c>
      <c r="AG1475" s="6"/>
      <c r="AH1475" s="5"/>
      <c r="AI1475" s="6">
        <v>5</v>
      </c>
      <c r="AJ1475" s="6"/>
      <c r="AK1475" s="5"/>
      <c r="AL1475" s="6"/>
      <c r="AM1475" s="6"/>
      <c r="AN1475" s="6"/>
      <c r="AO1475" s="6"/>
      <c r="AP1475" s="6"/>
      <c r="AQ1475" s="6"/>
    </row>
    <row r="1476" spans="1:43" x14ac:dyDescent="0.25">
      <c r="A1476" s="44" t="str">
        <f t="shared" si="25"/>
        <v>SCOUT_AFRI</v>
      </c>
      <c r="B1476" s="9" t="s">
        <v>773</v>
      </c>
      <c r="C1476" s="4" t="s">
        <v>694</v>
      </c>
      <c r="E1476" s="4" t="s">
        <v>773</v>
      </c>
      <c r="F1476" s="4" t="s">
        <v>773</v>
      </c>
      <c r="H1476" s="4" t="s">
        <v>685</v>
      </c>
      <c r="I1476" s="4" t="s">
        <v>1793</v>
      </c>
      <c r="R1476" s="11">
        <v>0.14399999999999999</v>
      </c>
      <c r="AA1476" s="11">
        <v>0.23</v>
      </c>
      <c r="AL1476" s="11"/>
      <c r="AM1476" s="11"/>
      <c r="AN1476" s="11"/>
      <c r="AO1476" s="11"/>
      <c r="AP1476" s="11"/>
      <c r="AQ1476" s="11"/>
    </row>
    <row r="1477" spans="1:43" x14ac:dyDescent="0.25">
      <c r="A1477" s="44" t="str">
        <f t="shared" si="25"/>
        <v>SCOUT_AMER</v>
      </c>
      <c r="B1477" s="9" t="s">
        <v>773</v>
      </c>
      <c r="C1477" s="4" t="s">
        <v>697</v>
      </c>
      <c r="E1477" s="4" t="s">
        <v>773</v>
      </c>
      <c r="F1477" s="4" t="s">
        <v>773</v>
      </c>
      <c r="H1477" s="4" t="s">
        <v>470</v>
      </c>
      <c r="I1477" s="4" t="s">
        <v>835</v>
      </c>
      <c r="AL1477" s="11"/>
      <c r="AM1477" s="11"/>
      <c r="AN1477" s="11"/>
      <c r="AO1477" s="11"/>
      <c r="AP1477" s="11"/>
      <c r="AQ1477" s="11"/>
    </row>
    <row r="1478" spans="1:43" x14ac:dyDescent="0.25">
      <c r="A1478" s="44" t="str">
        <f t="shared" si="25"/>
        <v>SCOUT_IROQUOIS</v>
      </c>
      <c r="B1478" s="9" t="s">
        <v>773</v>
      </c>
      <c r="C1478" s="4" t="s">
        <v>721</v>
      </c>
      <c r="E1478" s="4" t="s">
        <v>773</v>
      </c>
      <c r="F1478" s="4" t="s">
        <v>773</v>
      </c>
      <c r="H1478" s="4" t="s">
        <v>947</v>
      </c>
      <c r="I1478" s="4" t="s">
        <v>835</v>
      </c>
      <c r="Q1478" s="11">
        <v>1</v>
      </c>
      <c r="T1478" s="11">
        <v>1</v>
      </c>
      <c r="Z1478" s="11">
        <v>1</v>
      </c>
      <c r="AF1478" s="11">
        <v>1</v>
      </c>
      <c r="AI1478" s="11">
        <v>1</v>
      </c>
      <c r="AL1478" s="11"/>
      <c r="AM1478" s="11"/>
      <c r="AN1478" s="11"/>
      <c r="AO1478" s="11"/>
      <c r="AP1478" s="11"/>
      <c r="AQ1478" s="11"/>
    </row>
    <row r="1479" spans="1:43" x14ac:dyDescent="0.25">
      <c r="A1479" s="44" t="str">
        <f t="shared" si="25"/>
        <v>SCOUT_IROQUOIS</v>
      </c>
      <c r="B1479" s="9" t="s">
        <v>773</v>
      </c>
      <c r="C1479" s="4" t="s">
        <v>721</v>
      </c>
      <c r="E1479" s="4" t="s">
        <v>773</v>
      </c>
      <c r="F1479" s="4" t="s">
        <v>773</v>
      </c>
      <c r="G1479" s="4" t="s">
        <v>2039</v>
      </c>
      <c r="H1479" s="4" t="s">
        <v>470</v>
      </c>
      <c r="I1479" s="4" t="s">
        <v>835</v>
      </c>
      <c r="Q1479" s="11">
        <v>1</v>
      </c>
      <c r="T1479" s="11">
        <v>1</v>
      </c>
      <c r="Z1479" s="11">
        <v>0</v>
      </c>
      <c r="AF1479" s="11">
        <v>1</v>
      </c>
      <c r="AI1479" s="11">
        <v>1</v>
      </c>
      <c r="AL1479" s="11"/>
      <c r="AM1479" s="11"/>
      <c r="AN1479" s="11"/>
      <c r="AO1479" s="11"/>
      <c r="AP1479" s="11"/>
      <c r="AQ1479" s="11"/>
    </row>
    <row r="1480" spans="1:43" x14ac:dyDescent="0.25">
      <c r="A1480" s="44" t="str">
        <f t="shared" si="25"/>
        <v>SCOUT_IROQUOIS</v>
      </c>
      <c r="B1480" s="9" t="s">
        <v>773</v>
      </c>
      <c r="C1480" s="4" t="s">
        <v>721</v>
      </c>
      <c r="E1480" s="4" t="s">
        <v>773</v>
      </c>
      <c r="F1480" s="4" t="s">
        <v>773</v>
      </c>
      <c r="H1480" s="4" t="s">
        <v>947</v>
      </c>
      <c r="I1480" s="4" t="s">
        <v>835</v>
      </c>
      <c r="Q1480" s="11">
        <v>2</v>
      </c>
      <c r="T1480" s="11">
        <v>2</v>
      </c>
      <c r="Z1480" s="11">
        <v>0</v>
      </c>
      <c r="AF1480" s="11">
        <v>0</v>
      </c>
      <c r="AI1480" s="11">
        <v>2</v>
      </c>
      <c r="AL1480" s="11"/>
      <c r="AM1480" s="11"/>
      <c r="AN1480" s="11"/>
      <c r="AO1480" s="11"/>
      <c r="AP1480" s="11"/>
      <c r="AQ1480" s="11"/>
    </row>
    <row r="1481" spans="1:43" x14ac:dyDescent="0.25">
      <c r="A1481" s="44" t="str">
        <f t="shared" si="25"/>
        <v>SCOUT_IROQUOIS</v>
      </c>
      <c r="B1481" s="9" t="s">
        <v>773</v>
      </c>
      <c r="C1481" s="4" t="s">
        <v>721</v>
      </c>
      <c r="E1481" s="4" t="s">
        <v>773</v>
      </c>
      <c r="F1481" s="4" t="s">
        <v>773</v>
      </c>
      <c r="G1481" s="4" t="s">
        <v>2039</v>
      </c>
      <c r="H1481" s="4" t="s">
        <v>470</v>
      </c>
      <c r="I1481" s="4" t="s">
        <v>835</v>
      </c>
      <c r="Q1481" s="9">
        <v>2</v>
      </c>
      <c r="T1481" s="11">
        <v>2</v>
      </c>
      <c r="Z1481" s="9">
        <v>0</v>
      </c>
      <c r="AF1481" s="11">
        <v>0</v>
      </c>
      <c r="AI1481" s="11">
        <v>1</v>
      </c>
      <c r="AL1481" s="11"/>
      <c r="AM1481" s="11"/>
      <c r="AN1481" s="11"/>
      <c r="AO1481" s="11"/>
      <c r="AP1481" s="11"/>
      <c r="AQ1481" s="11"/>
    </row>
    <row r="1482" spans="1:43" x14ac:dyDescent="0.25">
      <c r="A1482" s="44" t="str">
        <f t="shared" si="25"/>
        <v>SCOUT_ASIA</v>
      </c>
      <c r="B1482" s="9" t="s">
        <v>773</v>
      </c>
      <c r="C1482" s="4" t="s">
        <v>693</v>
      </c>
      <c r="E1482" s="4" t="s">
        <v>773</v>
      </c>
      <c r="F1482" s="4" t="s">
        <v>773</v>
      </c>
      <c r="H1482" s="4" t="s">
        <v>454</v>
      </c>
      <c r="I1482" s="4" t="s">
        <v>2089</v>
      </c>
      <c r="AL1482" s="11"/>
      <c r="AM1482" s="11"/>
      <c r="AN1482" s="11"/>
      <c r="AO1482" s="11"/>
      <c r="AP1482" s="11"/>
      <c r="AQ1482" s="11"/>
    </row>
    <row r="1483" spans="1:43" x14ac:dyDescent="0.25">
      <c r="A1483" s="44" t="str">
        <f t="shared" si="25"/>
        <v>SCOUT_BELGIUM</v>
      </c>
      <c r="B1483" s="9" t="s">
        <v>773</v>
      </c>
      <c r="C1483" s="4" t="s">
        <v>704</v>
      </c>
      <c r="D1483" s="4" t="s">
        <v>709</v>
      </c>
      <c r="E1483" s="4" t="s">
        <v>773</v>
      </c>
      <c r="F1483" s="4" t="s">
        <v>773</v>
      </c>
      <c r="AL1483" s="11"/>
      <c r="AM1483" s="11"/>
      <c r="AN1483" s="11"/>
      <c r="AO1483" s="11"/>
      <c r="AP1483" s="11"/>
      <c r="AQ1483" s="11"/>
    </row>
    <row r="1484" spans="1:43" x14ac:dyDescent="0.25">
      <c r="A1484" s="44" t="str">
        <f t="shared" si="25"/>
        <v>SCOUT_CELTS</v>
      </c>
      <c r="B1484" s="9" t="s">
        <v>773</v>
      </c>
      <c r="C1484" s="4" t="s">
        <v>709</v>
      </c>
      <c r="E1484" s="4" t="s">
        <v>773</v>
      </c>
      <c r="F1484" s="4" t="s">
        <v>773</v>
      </c>
      <c r="G1484" s="14" t="s">
        <v>132</v>
      </c>
      <c r="H1484" s="4" t="s">
        <v>241</v>
      </c>
      <c r="I1484" s="4" t="s">
        <v>1055</v>
      </c>
      <c r="AL1484" s="11"/>
      <c r="AM1484" s="11"/>
      <c r="AN1484" s="11"/>
      <c r="AO1484" s="11"/>
      <c r="AP1484" s="11"/>
      <c r="AQ1484" s="11"/>
    </row>
    <row r="1485" spans="1:43" x14ac:dyDescent="0.25">
      <c r="A1485" s="44" t="str">
        <f t="shared" si="25"/>
        <v>SCOUT_ENGLAND</v>
      </c>
      <c r="B1485" s="9" t="s">
        <v>773</v>
      </c>
      <c r="C1485" s="4" t="s">
        <v>713</v>
      </c>
      <c r="D1485" s="4" t="s">
        <v>709</v>
      </c>
      <c r="E1485" s="4" t="s">
        <v>773</v>
      </c>
      <c r="F1485" s="4" t="s">
        <v>773</v>
      </c>
      <c r="G1485" s="14" t="s">
        <v>132</v>
      </c>
      <c r="H1485" s="1"/>
      <c r="I1485" s="1"/>
      <c r="AL1485" s="11"/>
      <c r="AM1485" s="11"/>
      <c r="AN1485" s="11"/>
      <c r="AO1485" s="11"/>
      <c r="AP1485" s="11"/>
      <c r="AQ1485" s="11"/>
    </row>
    <row r="1486" spans="1:43" x14ac:dyDescent="0.25">
      <c r="A1486" s="44" t="str">
        <f t="shared" si="25"/>
        <v>SCOUT_FRANCE</v>
      </c>
      <c r="B1486" s="9" t="s">
        <v>773</v>
      </c>
      <c r="C1486" s="4" t="s">
        <v>715</v>
      </c>
      <c r="D1486" s="4" t="s">
        <v>709</v>
      </c>
      <c r="E1486" s="4" t="s">
        <v>773</v>
      </c>
      <c r="F1486" s="4" t="s">
        <v>773</v>
      </c>
      <c r="G1486" s="14"/>
      <c r="AL1486" s="11"/>
      <c r="AM1486" s="11"/>
      <c r="AN1486" s="11"/>
      <c r="AO1486" s="11"/>
      <c r="AP1486" s="11"/>
      <c r="AQ1486" s="11"/>
    </row>
    <row r="1487" spans="1:43" x14ac:dyDescent="0.25">
      <c r="A1487" s="44" t="str">
        <f>CONCATENATE(E1487,IF(ISBLANK(C1487),"",CONCATENATE("_",C1487)))</f>
        <v>SCOUT_NETHERLANDS</v>
      </c>
      <c r="B1487" s="9" t="s">
        <v>773</v>
      </c>
      <c r="C1487" s="4" t="s">
        <v>730</v>
      </c>
      <c r="D1487" s="4" t="s">
        <v>962</v>
      </c>
      <c r="E1487" s="4" t="s">
        <v>773</v>
      </c>
      <c r="F1487" s="4" t="s">
        <v>773</v>
      </c>
      <c r="AL1487" s="11"/>
      <c r="AM1487" s="11"/>
      <c r="AN1487" s="11"/>
      <c r="AO1487" s="11"/>
      <c r="AP1487" s="11"/>
      <c r="AQ1487" s="11"/>
    </row>
    <row r="1488" spans="1:43" x14ac:dyDescent="0.25">
      <c r="A1488" s="44" t="str">
        <f t="shared" si="25"/>
        <v>SCOUT_SWISS</v>
      </c>
      <c r="B1488" s="9" t="s">
        <v>773</v>
      </c>
      <c r="C1488" s="4" t="s">
        <v>740</v>
      </c>
      <c r="D1488" s="4" t="s">
        <v>709</v>
      </c>
      <c r="E1488" s="4" t="s">
        <v>773</v>
      </c>
      <c r="F1488" s="4" t="s">
        <v>773</v>
      </c>
      <c r="G1488" s="14"/>
      <c r="AL1488" s="11"/>
      <c r="AM1488" s="11"/>
      <c r="AN1488" s="11"/>
      <c r="AO1488" s="11"/>
      <c r="AP1488" s="11"/>
      <c r="AQ1488" s="11"/>
    </row>
    <row r="1489" spans="1:43" x14ac:dyDescent="0.25">
      <c r="A1489" s="44" t="str">
        <f t="shared" si="25"/>
        <v>SCOUT_MED</v>
      </c>
      <c r="B1489" s="9" t="s">
        <v>773</v>
      </c>
      <c r="C1489" s="4" t="s">
        <v>692</v>
      </c>
      <c r="E1489" s="4" t="s">
        <v>773</v>
      </c>
      <c r="F1489" s="4" t="s">
        <v>773</v>
      </c>
      <c r="H1489" s="4" t="s">
        <v>233</v>
      </c>
      <c r="I1489" s="4" t="s">
        <v>1055</v>
      </c>
      <c r="AL1489" s="11"/>
      <c r="AM1489" s="11"/>
      <c r="AN1489" s="11"/>
      <c r="AO1489" s="11"/>
      <c r="AP1489" s="11"/>
      <c r="AQ1489" s="11"/>
    </row>
    <row r="1490" spans="1:43" x14ac:dyDescent="0.25">
      <c r="A1490" s="44" t="str">
        <f t="shared" si="25"/>
        <v>SCOUT_CARTHAGE</v>
      </c>
      <c r="B1490" s="9" t="s">
        <v>773</v>
      </c>
      <c r="C1490" s="4" t="s">
        <v>708</v>
      </c>
      <c r="E1490" s="4" t="s">
        <v>773</v>
      </c>
      <c r="F1490" s="4" t="s">
        <v>773</v>
      </c>
      <c r="H1490" s="4" t="s">
        <v>2632</v>
      </c>
      <c r="I1490" s="4" t="s">
        <v>1025</v>
      </c>
      <c r="AL1490" s="11"/>
      <c r="AM1490" s="11"/>
      <c r="AN1490" s="11"/>
      <c r="AO1490" s="11"/>
      <c r="AP1490" s="11"/>
      <c r="AQ1490" s="11"/>
    </row>
    <row r="1491" spans="1:43" x14ac:dyDescent="0.25">
      <c r="A1491" s="44" t="str">
        <f t="shared" si="25"/>
        <v>SCOUT_MIDEAST</v>
      </c>
      <c r="B1491" s="9" t="s">
        <v>773</v>
      </c>
      <c r="C1491" s="4" t="s">
        <v>690</v>
      </c>
      <c r="E1491" s="4" t="s">
        <v>773</v>
      </c>
      <c r="F1491" s="4" t="s">
        <v>773</v>
      </c>
      <c r="H1491" s="4" t="s">
        <v>961</v>
      </c>
      <c r="I1491" s="4" t="s">
        <v>1055</v>
      </c>
      <c r="AL1491" s="11"/>
      <c r="AM1491" s="11"/>
      <c r="AN1491" s="11"/>
      <c r="AO1491" s="11"/>
      <c r="AP1491" s="11"/>
      <c r="AQ1491" s="11"/>
    </row>
    <row r="1492" spans="1:43" x14ac:dyDescent="0.25">
      <c r="A1492" s="44" t="str">
        <f t="shared" si="25"/>
        <v>SCOUT_EGYPT</v>
      </c>
      <c r="B1492" s="9" t="s">
        <v>773</v>
      </c>
      <c r="C1492" s="4" t="s">
        <v>712</v>
      </c>
      <c r="E1492" s="4" t="s">
        <v>773</v>
      </c>
      <c r="F1492" s="4" t="s">
        <v>773</v>
      </c>
      <c r="H1492" s="4" t="s">
        <v>1807</v>
      </c>
      <c r="I1492" s="4" t="s">
        <v>1809</v>
      </c>
      <c r="AL1492" s="11"/>
      <c r="AM1492" s="11"/>
      <c r="AN1492" s="11"/>
      <c r="AO1492" s="11"/>
      <c r="AP1492" s="11"/>
      <c r="AQ1492" s="11"/>
    </row>
    <row r="1493" spans="1:43" x14ac:dyDescent="0.25">
      <c r="A1493" s="44" t="str">
        <f t="shared" si="25"/>
        <v>SCOUT_LEVANT</v>
      </c>
      <c r="B1493" s="9" t="s">
        <v>773</v>
      </c>
      <c r="C1493" s="4" t="s">
        <v>724</v>
      </c>
      <c r="D1493" s="4" t="s">
        <v>731</v>
      </c>
      <c r="E1493" s="4" t="s">
        <v>773</v>
      </c>
      <c r="F1493" s="4" t="s">
        <v>773</v>
      </c>
      <c r="AL1493" s="11"/>
      <c r="AM1493" s="11"/>
      <c r="AN1493" s="11"/>
      <c r="AO1493" s="11"/>
      <c r="AP1493" s="11"/>
      <c r="AQ1493" s="11"/>
    </row>
    <row r="1494" spans="1:43" x14ac:dyDescent="0.25">
      <c r="A1494" s="44" t="str">
        <f>CONCATENATE(E1494,IF(ISBLANK(C1494),"",CONCATENATE("_",C1494)))</f>
        <v>SCOUT_PERSIA</v>
      </c>
      <c r="B1494" s="9" t="s">
        <v>773</v>
      </c>
      <c r="C1494" s="4" t="s">
        <v>731</v>
      </c>
      <c r="E1494" s="4" t="s">
        <v>773</v>
      </c>
      <c r="F1494" s="4" t="s">
        <v>773</v>
      </c>
      <c r="H1494" s="4" t="s">
        <v>1784</v>
      </c>
      <c r="I1494" s="4" t="s">
        <v>1791</v>
      </c>
      <c r="AL1494" s="11"/>
      <c r="AM1494" s="11"/>
      <c r="AN1494" s="11"/>
      <c r="AO1494" s="11"/>
      <c r="AP1494" s="11"/>
      <c r="AQ1494" s="11"/>
    </row>
    <row r="1495" spans="1:43" x14ac:dyDescent="0.25">
      <c r="A1495" s="44" t="str">
        <f>CONCATENATE(E1495,IF(ISBLANK(C1495),"",CONCATENATE("_",C1495)))</f>
        <v>SCOUT_NORTHAF</v>
      </c>
      <c r="B1495" s="9" t="s">
        <v>773</v>
      </c>
      <c r="C1495" s="4" t="s">
        <v>2003</v>
      </c>
      <c r="E1495" s="4" t="s">
        <v>773</v>
      </c>
      <c r="F1495" s="4" t="s">
        <v>773</v>
      </c>
      <c r="H1495" s="4" t="s">
        <v>645</v>
      </c>
      <c r="I1495" s="4" t="s">
        <v>1055</v>
      </c>
      <c r="AL1495" s="11"/>
      <c r="AM1495" s="11"/>
      <c r="AN1495" s="11"/>
      <c r="AO1495" s="11"/>
      <c r="AP1495" s="11"/>
      <c r="AQ1495" s="11"/>
    </row>
    <row r="1496" spans="1:43" x14ac:dyDescent="0.25">
      <c r="A1496" s="44" t="str">
        <f t="shared" si="25"/>
        <v>SCOUT_NORTHEU</v>
      </c>
      <c r="B1496" s="9" t="s">
        <v>773</v>
      </c>
      <c r="C1496" s="4" t="s">
        <v>962</v>
      </c>
      <c r="E1496" s="4" t="s">
        <v>773</v>
      </c>
      <c r="F1496" s="4" t="s">
        <v>773</v>
      </c>
      <c r="H1496" s="4" t="s">
        <v>1977</v>
      </c>
      <c r="I1496" s="4" t="s">
        <v>835</v>
      </c>
      <c r="AL1496" s="11"/>
      <c r="AM1496" s="11"/>
      <c r="AN1496" s="11"/>
      <c r="AO1496" s="11"/>
      <c r="AP1496" s="11"/>
      <c r="AQ1496" s="11"/>
    </row>
    <row r="1497" spans="1:43" x14ac:dyDescent="0.25">
      <c r="A1497" s="44" t="str">
        <f t="shared" si="25"/>
        <v>SCOUT_OCEAN</v>
      </c>
      <c r="B1497" s="9" t="s">
        <v>773</v>
      </c>
      <c r="C1497" s="4" t="s">
        <v>994</v>
      </c>
      <c r="D1497" s="4" t="s">
        <v>702</v>
      </c>
      <c r="E1497" s="4" t="s">
        <v>773</v>
      </c>
      <c r="F1497" s="4" t="s">
        <v>773</v>
      </c>
      <c r="AL1497" s="11"/>
      <c r="AM1497" s="11"/>
      <c r="AN1497" s="11"/>
      <c r="AO1497" s="11"/>
      <c r="AP1497" s="11"/>
      <c r="AQ1497" s="11"/>
    </row>
    <row r="1498" spans="1:43" x14ac:dyDescent="0.25">
      <c r="A1498" s="44" t="str">
        <f t="shared" si="25"/>
        <v>SCOUT_SAHUL</v>
      </c>
      <c r="B1498" s="9" t="s">
        <v>773</v>
      </c>
      <c r="C1498" s="4" t="s">
        <v>1785</v>
      </c>
      <c r="E1498" s="4" t="s">
        <v>773</v>
      </c>
      <c r="F1498" s="4" t="s">
        <v>773</v>
      </c>
      <c r="H1498" s="4" t="s">
        <v>1786</v>
      </c>
      <c r="I1498" s="4" t="s">
        <v>1791</v>
      </c>
      <c r="AL1498" s="11"/>
      <c r="AM1498" s="11"/>
      <c r="AN1498" s="11"/>
      <c r="AO1498" s="11"/>
      <c r="AP1498" s="11"/>
      <c r="AQ1498" s="11"/>
    </row>
    <row r="1499" spans="1:43" x14ac:dyDescent="0.25">
      <c r="A1499" s="44" t="str">
        <f t="shared" si="25"/>
        <v>SCOUT_SEASIA</v>
      </c>
      <c r="B1499" s="9" t="s">
        <v>773</v>
      </c>
      <c r="C1499" s="4" t="s">
        <v>696</v>
      </c>
      <c r="D1499" s="4" t="s">
        <v>693</v>
      </c>
      <c r="E1499" s="4" t="s">
        <v>773</v>
      </c>
      <c r="F1499" s="4" t="s">
        <v>773</v>
      </c>
      <c r="AL1499" s="11"/>
      <c r="AM1499" s="11"/>
      <c r="AN1499" s="11"/>
      <c r="AO1499" s="11"/>
      <c r="AP1499" s="11"/>
      <c r="AQ1499" s="11"/>
    </row>
    <row r="1500" spans="1:43" x14ac:dyDescent="0.25">
      <c r="A1500" s="44" t="str">
        <f t="shared" si="25"/>
        <v>SCOUT_SOUTHAM</v>
      </c>
      <c r="B1500" s="9" t="s">
        <v>773</v>
      </c>
      <c r="C1500" s="4" t="s">
        <v>691</v>
      </c>
      <c r="E1500" s="4" t="s">
        <v>773</v>
      </c>
      <c r="F1500" s="4" t="s">
        <v>773</v>
      </c>
      <c r="H1500" s="4" t="s">
        <v>1813</v>
      </c>
      <c r="I1500" s="4" t="s">
        <v>963</v>
      </c>
      <c r="AL1500" s="11"/>
      <c r="AM1500" s="11"/>
      <c r="AN1500" s="11"/>
      <c r="AO1500" s="11"/>
      <c r="AP1500" s="11"/>
      <c r="AQ1500" s="11"/>
    </row>
    <row r="1501" spans="1:43" x14ac:dyDescent="0.25">
      <c r="A1501" s="44" t="str">
        <f t="shared" si="25"/>
        <v>SCOUT_AZTEC</v>
      </c>
      <c r="B1501" s="9" t="s">
        <v>773</v>
      </c>
      <c r="C1501" s="4" t="s">
        <v>702</v>
      </c>
      <c r="E1501" s="4" t="s">
        <v>773</v>
      </c>
      <c r="F1501" s="4" t="s">
        <v>773</v>
      </c>
      <c r="G1501" s="14"/>
      <c r="H1501" s="4" t="s">
        <v>201</v>
      </c>
      <c r="I1501" s="4" t="s">
        <v>102</v>
      </c>
      <c r="AL1501" s="11"/>
      <c r="AM1501" s="11"/>
      <c r="AN1501" s="11"/>
      <c r="AO1501" s="11"/>
      <c r="AP1501" s="11"/>
      <c r="AQ1501" s="11"/>
    </row>
    <row r="1502" spans="1:43" x14ac:dyDescent="0.25">
      <c r="A1502" s="44" t="str">
        <f t="shared" si="25"/>
        <v>SCOUT_INCA</v>
      </c>
      <c r="B1502" s="9" t="s">
        <v>773</v>
      </c>
      <c r="C1502" s="4" t="s">
        <v>719</v>
      </c>
      <c r="E1502" s="4" t="s">
        <v>773</v>
      </c>
      <c r="F1502" s="4" t="s">
        <v>773</v>
      </c>
      <c r="G1502" s="14" t="s">
        <v>132</v>
      </c>
      <c r="H1502" s="4" t="s">
        <v>427</v>
      </c>
      <c r="I1502" s="4" t="s">
        <v>1025</v>
      </c>
      <c r="AL1502" s="11"/>
      <c r="AM1502" s="11"/>
      <c r="AN1502" s="11"/>
      <c r="AO1502" s="11"/>
      <c r="AP1502" s="11"/>
      <c r="AQ1502" s="11"/>
    </row>
    <row r="1503" spans="1:43" x14ac:dyDescent="0.25">
      <c r="A1503" s="44" t="str">
        <f t="shared" ref="A1503:A1582" si="27">CONCATENATE(E1503,IF(ISBLANK(C1503),"",CONCATENATE("_",C1503)))</f>
        <v>SCOUT_SOUTHAS</v>
      </c>
      <c r="B1503" s="9" t="s">
        <v>773</v>
      </c>
      <c r="C1503" s="4" t="s">
        <v>695</v>
      </c>
      <c r="E1503" s="4" t="s">
        <v>773</v>
      </c>
      <c r="F1503" s="4" t="s">
        <v>773</v>
      </c>
      <c r="H1503" s="4" t="s">
        <v>1808</v>
      </c>
      <c r="I1503" s="4" t="s">
        <v>1791</v>
      </c>
      <c r="AL1503" s="11"/>
      <c r="AM1503" s="11"/>
      <c r="AN1503" s="11"/>
      <c r="AO1503" s="11"/>
      <c r="AP1503" s="11"/>
      <c r="AQ1503" s="11"/>
    </row>
    <row r="1504" spans="1:43" x14ac:dyDescent="0.25">
      <c r="A1504" s="44" t="str">
        <f t="shared" si="27"/>
        <v>SCOUT_INDIA</v>
      </c>
      <c r="B1504" s="9" t="s">
        <v>773</v>
      </c>
      <c r="C1504" s="4" t="s">
        <v>720</v>
      </c>
      <c r="E1504" s="4" t="s">
        <v>773</v>
      </c>
      <c r="F1504" s="4" t="s">
        <v>773</v>
      </c>
      <c r="G1504" s="14" t="s">
        <v>132</v>
      </c>
      <c r="H1504" s="4" t="s">
        <v>442</v>
      </c>
      <c r="I1504" s="4" t="s">
        <v>102</v>
      </c>
      <c r="AL1504" s="11"/>
      <c r="AM1504" s="11"/>
      <c r="AN1504" s="11"/>
      <c r="AO1504" s="11"/>
      <c r="AP1504" s="11"/>
      <c r="AQ1504" s="11"/>
    </row>
    <row r="1505" spans="1:43" x14ac:dyDescent="0.25">
      <c r="A1505" s="44" t="str">
        <f t="shared" si="27"/>
        <v>SCRAMBLE_FORCE_PUBLIQUE</v>
      </c>
      <c r="C1505" s="5"/>
      <c r="D1505" s="5"/>
      <c r="E1505" s="5" t="s">
        <v>1367</v>
      </c>
      <c r="F1505" s="5" t="s">
        <v>1367</v>
      </c>
      <c r="G1505" s="5"/>
      <c r="H1505" s="5" t="s">
        <v>1505</v>
      </c>
      <c r="I1505" s="5" t="s">
        <v>128</v>
      </c>
      <c r="J1505" s="6"/>
      <c r="K1505" s="6"/>
      <c r="L1505" s="13" t="s">
        <v>1705</v>
      </c>
      <c r="M1505" s="8"/>
      <c r="N1505" s="5"/>
      <c r="O1505" s="5"/>
      <c r="P1505" s="5"/>
      <c r="Q1505" s="7" t="s">
        <v>1734</v>
      </c>
      <c r="R1505" s="6" t="s">
        <v>1734</v>
      </c>
      <c r="S1505" s="13" t="s">
        <v>1617</v>
      </c>
      <c r="T1505" s="6"/>
      <c r="U1505" s="6"/>
      <c r="V1505" s="5"/>
      <c r="W1505" s="7" t="s">
        <v>3</v>
      </c>
      <c r="X1505" s="6" t="s">
        <v>3</v>
      </c>
      <c r="Y1505" s="5"/>
      <c r="Z1505" s="7">
        <v>1</v>
      </c>
      <c r="AA1505" s="6"/>
      <c r="AB1505" s="5"/>
      <c r="AC1505" s="6"/>
      <c r="AD1505" s="6" t="s">
        <v>3</v>
      </c>
      <c r="AE1505" s="5"/>
      <c r="AF1505" s="6" t="s">
        <v>1734</v>
      </c>
      <c r="AG1505" s="6"/>
      <c r="AH1505" s="5"/>
      <c r="AI1505" s="6" t="s">
        <v>1734</v>
      </c>
      <c r="AJ1505" s="6"/>
      <c r="AK1505" s="5"/>
      <c r="AL1505" s="6"/>
      <c r="AM1505" s="6"/>
      <c r="AN1505" s="6"/>
      <c r="AO1505" s="6"/>
      <c r="AP1505" s="6"/>
      <c r="AQ1505" s="6"/>
    </row>
    <row r="1506" spans="1:43" x14ac:dyDescent="0.25">
      <c r="A1506" s="44" t="str">
        <f t="shared" si="27"/>
        <v>SCRAMBLE_FOREIGN_VOLUNTEERS</v>
      </c>
      <c r="C1506" s="5"/>
      <c r="D1506" s="5"/>
      <c r="E1506" s="5" t="s">
        <v>1368</v>
      </c>
      <c r="F1506" s="5" t="s">
        <v>1368</v>
      </c>
      <c r="G1506" s="5"/>
      <c r="H1506" s="5" t="s">
        <v>21</v>
      </c>
      <c r="I1506" s="5" t="s">
        <v>128</v>
      </c>
      <c r="J1506" s="6"/>
      <c r="K1506" s="6"/>
      <c r="L1506" s="13" t="s">
        <v>1705</v>
      </c>
      <c r="M1506" s="8"/>
      <c r="N1506" s="5"/>
      <c r="O1506" s="5"/>
      <c r="P1506" s="5"/>
      <c r="Q1506" s="7">
        <v>14</v>
      </c>
      <c r="R1506" s="6" t="s">
        <v>1734</v>
      </c>
      <c r="S1506" s="13" t="s">
        <v>1616</v>
      </c>
      <c r="T1506" s="6"/>
      <c r="U1506" s="6"/>
      <c r="V1506" s="5"/>
      <c r="W1506" s="7" t="s">
        <v>3</v>
      </c>
      <c r="X1506" s="6" t="s">
        <v>3</v>
      </c>
      <c r="Y1506" s="5"/>
      <c r="Z1506" s="7">
        <v>1</v>
      </c>
      <c r="AA1506" s="6"/>
      <c r="AB1506" s="5"/>
      <c r="AC1506" s="6"/>
      <c r="AD1506" s="6" t="s">
        <v>3</v>
      </c>
      <c r="AE1506" s="5"/>
      <c r="AF1506" s="6" t="s">
        <v>1734</v>
      </c>
      <c r="AG1506" s="6"/>
      <c r="AH1506" s="5"/>
      <c r="AI1506" s="6" t="s">
        <v>1734</v>
      </c>
      <c r="AJ1506" s="6"/>
      <c r="AK1506" s="5"/>
      <c r="AL1506" s="6"/>
      <c r="AM1506" s="6"/>
      <c r="AN1506" s="6"/>
      <c r="AO1506" s="6"/>
      <c r="AP1506" s="6"/>
      <c r="AQ1506" s="6"/>
    </row>
    <row r="1507" spans="1:43" x14ac:dyDescent="0.25">
      <c r="A1507" s="44" t="str">
        <f t="shared" si="27"/>
        <v>SMOKEY_LANDSHIP_LEVEL_1</v>
      </c>
      <c r="C1507" s="5"/>
      <c r="D1507" s="5"/>
      <c r="E1507" s="5" t="s">
        <v>1369</v>
      </c>
      <c r="F1507" s="5" t="s">
        <v>1369</v>
      </c>
      <c r="G1507" s="5"/>
      <c r="H1507" s="5" t="s">
        <v>1520</v>
      </c>
      <c r="I1507" s="5" t="s">
        <v>128</v>
      </c>
      <c r="J1507" s="6"/>
      <c r="K1507" s="6"/>
      <c r="L1507" s="13" t="s">
        <v>1706</v>
      </c>
      <c r="M1507" s="8"/>
      <c r="N1507" s="5"/>
      <c r="O1507" s="5"/>
      <c r="P1507" s="5"/>
      <c r="Q1507" s="7">
        <v>2</v>
      </c>
      <c r="R1507" s="6">
        <v>0.16</v>
      </c>
      <c r="S1507" s="13" t="s">
        <v>1610</v>
      </c>
      <c r="T1507" s="6"/>
      <c r="U1507" s="6"/>
      <c r="V1507" s="5"/>
      <c r="W1507" s="6" t="s">
        <v>3</v>
      </c>
      <c r="X1507" s="6" t="s">
        <v>3</v>
      </c>
      <c r="Y1507" s="5"/>
      <c r="Z1507" s="7">
        <v>1</v>
      </c>
      <c r="AA1507" s="6"/>
      <c r="AB1507" s="5"/>
      <c r="AC1507" s="6"/>
      <c r="AD1507" s="6" t="s">
        <v>3</v>
      </c>
      <c r="AE1507" s="5"/>
      <c r="AF1507" s="6"/>
      <c r="AG1507" s="6"/>
      <c r="AH1507" s="5"/>
      <c r="AI1507" s="6"/>
      <c r="AJ1507" s="6"/>
      <c r="AK1507" s="5"/>
      <c r="AL1507" s="6"/>
      <c r="AM1507" s="6"/>
      <c r="AN1507" s="6"/>
      <c r="AO1507" s="6"/>
      <c r="AP1507" s="6"/>
      <c r="AQ1507" s="6"/>
    </row>
    <row r="1508" spans="1:43" x14ac:dyDescent="0.25">
      <c r="A1508" s="44" t="str">
        <f t="shared" si="27"/>
        <v>SMOKEY_LANDSHIP_LEVEL_2</v>
      </c>
      <c r="C1508" s="5"/>
      <c r="D1508" s="5"/>
      <c r="E1508" s="5" t="s">
        <v>1370</v>
      </c>
      <c r="F1508" s="5" t="s">
        <v>1370</v>
      </c>
      <c r="G1508" s="5"/>
      <c r="H1508" s="5" t="s">
        <v>1521</v>
      </c>
      <c r="I1508" s="5" t="s">
        <v>128</v>
      </c>
      <c r="J1508" s="6"/>
      <c r="K1508" s="6"/>
      <c r="L1508" s="13" t="s">
        <v>1706</v>
      </c>
      <c r="M1508" s="8"/>
      <c r="N1508" s="5"/>
      <c r="O1508" s="5"/>
      <c r="P1508" s="5"/>
      <c r="Q1508" s="7">
        <v>2</v>
      </c>
      <c r="R1508" s="6">
        <v>0.15</v>
      </c>
      <c r="S1508" s="13" t="s">
        <v>1610</v>
      </c>
      <c r="T1508" s="6"/>
      <c r="U1508" s="6"/>
      <c r="V1508" s="5"/>
      <c r="W1508" s="6" t="s">
        <v>3</v>
      </c>
      <c r="X1508" s="6" t="s">
        <v>3</v>
      </c>
      <c r="Y1508" s="5"/>
      <c r="Z1508" s="7">
        <v>1</v>
      </c>
      <c r="AA1508" s="6"/>
      <c r="AB1508" s="5"/>
      <c r="AC1508" s="6"/>
      <c r="AD1508" s="6" t="s">
        <v>3</v>
      </c>
      <c r="AE1508" s="5"/>
      <c r="AF1508" s="6"/>
      <c r="AG1508" s="6"/>
      <c r="AH1508" s="5"/>
      <c r="AI1508" s="6"/>
      <c r="AJ1508" s="6"/>
      <c r="AK1508" s="5"/>
      <c r="AL1508" s="6"/>
      <c r="AM1508" s="6"/>
      <c r="AN1508" s="6"/>
      <c r="AO1508" s="6"/>
      <c r="AP1508" s="6"/>
      <c r="AQ1508" s="6"/>
    </row>
    <row r="1509" spans="1:43" x14ac:dyDescent="0.25">
      <c r="A1509" s="44" t="str">
        <f t="shared" si="27"/>
        <v>SMOKEY_LANDSHIP_LEVEL_3</v>
      </c>
      <c r="C1509" s="5"/>
      <c r="D1509" s="5"/>
      <c r="E1509" s="5" t="s">
        <v>1371</v>
      </c>
      <c r="F1509" s="5" t="s">
        <v>1371</v>
      </c>
      <c r="G1509" s="5"/>
      <c r="H1509" s="5" t="s">
        <v>1522</v>
      </c>
      <c r="I1509" s="5" t="s">
        <v>128</v>
      </c>
      <c r="J1509" s="6"/>
      <c r="K1509" s="6"/>
      <c r="L1509" s="13" t="s">
        <v>1706</v>
      </c>
      <c r="M1509" s="8"/>
      <c r="N1509" s="5"/>
      <c r="O1509" s="5"/>
      <c r="P1509" s="5"/>
      <c r="Q1509" s="7">
        <v>1</v>
      </c>
      <c r="R1509" s="6">
        <v>0.2</v>
      </c>
      <c r="S1509" s="13" t="s">
        <v>1610</v>
      </c>
      <c r="T1509" s="6"/>
      <c r="U1509" s="6"/>
      <c r="V1509" s="5"/>
      <c r="W1509" s="7" t="s">
        <v>3</v>
      </c>
      <c r="X1509" s="6" t="s">
        <v>3</v>
      </c>
      <c r="Y1509" s="5"/>
      <c r="Z1509" s="6"/>
      <c r="AA1509" s="6"/>
      <c r="AB1509" s="5"/>
      <c r="AC1509" s="6"/>
      <c r="AD1509" s="6" t="s">
        <v>3</v>
      </c>
      <c r="AE1509" s="5"/>
      <c r="AF1509" s="6"/>
      <c r="AG1509" s="6"/>
      <c r="AH1509" s="5"/>
      <c r="AI1509" s="6"/>
      <c r="AJ1509" s="6"/>
      <c r="AK1509" s="5"/>
      <c r="AL1509" s="6"/>
      <c r="AM1509" s="6"/>
      <c r="AN1509" s="6"/>
      <c r="AO1509" s="6"/>
      <c r="AP1509" s="6"/>
      <c r="AQ1509" s="6"/>
    </row>
    <row r="1510" spans="1:43" x14ac:dyDescent="0.25">
      <c r="A1510" s="44" t="str">
        <f t="shared" si="27"/>
        <v>SMOKEY_STEAM_AIRSHIP</v>
      </c>
      <c r="C1510" s="5"/>
      <c r="D1510" s="5"/>
      <c r="E1510" s="5" t="s">
        <v>1372</v>
      </c>
      <c r="F1510" s="5" t="s">
        <v>1375</v>
      </c>
      <c r="G1510" s="5"/>
      <c r="H1510" s="5" t="s">
        <v>1519</v>
      </c>
      <c r="I1510" s="5" t="s">
        <v>128</v>
      </c>
      <c r="J1510" s="6"/>
      <c r="K1510" s="7"/>
      <c r="L1510" s="13" t="s">
        <v>1706</v>
      </c>
      <c r="M1510" s="8"/>
      <c r="N1510" s="13" t="s">
        <v>1723</v>
      </c>
      <c r="O1510" s="13"/>
      <c r="P1510" s="13"/>
      <c r="Q1510" s="7">
        <v>1</v>
      </c>
      <c r="R1510" s="7">
        <v>0.21</v>
      </c>
      <c r="S1510" s="13" t="s">
        <v>1618</v>
      </c>
      <c r="T1510" s="6"/>
      <c r="U1510" s="6"/>
      <c r="V1510" s="5"/>
      <c r="W1510" s="7" t="s">
        <v>3</v>
      </c>
      <c r="X1510" s="6" t="s">
        <v>3</v>
      </c>
      <c r="Y1510" s="5"/>
      <c r="Z1510" s="6"/>
      <c r="AA1510" s="6"/>
      <c r="AB1510" s="5"/>
      <c r="AC1510" s="6"/>
      <c r="AD1510" s="6" t="s">
        <v>3</v>
      </c>
      <c r="AE1510" s="5"/>
      <c r="AF1510" s="6"/>
      <c r="AG1510" s="6"/>
      <c r="AH1510" s="5"/>
      <c r="AI1510" s="6"/>
      <c r="AJ1510" s="6"/>
      <c r="AK1510" s="5"/>
      <c r="AL1510" s="6"/>
      <c r="AM1510" s="6"/>
      <c r="AN1510" s="6"/>
      <c r="AO1510" s="6"/>
      <c r="AP1510" s="6"/>
      <c r="AQ1510" s="6"/>
    </row>
    <row r="1511" spans="1:43" x14ac:dyDescent="0.25">
      <c r="A1511" s="44" t="str">
        <f t="shared" si="27"/>
        <v>SMOKEY_STEAM_AIRSHIP_LEVEL_1</v>
      </c>
      <c r="C1511" s="5"/>
      <c r="D1511" s="5"/>
      <c r="E1511" s="5" t="s">
        <v>1373</v>
      </c>
      <c r="F1511" s="5" t="s">
        <v>1376</v>
      </c>
      <c r="G1511" s="5"/>
      <c r="H1511" s="5" t="s">
        <v>1518</v>
      </c>
      <c r="I1511" s="5" t="s">
        <v>128</v>
      </c>
      <c r="J1511" s="6"/>
      <c r="K1511" s="7"/>
      <c r="L1511" s="13" t="s">
        <v>1706</v>
      </c>
      <c r="M1511" s="8"/>
      <c r="N1511" s="13" t="s">
        <v>1723</v>
      </c>
      <c r="O1511" s="13"/>
      <c r="P1511" s="13"/>
      <c r="Q1511" s="7">
        <v>2</v>
      </c>
      <c r="R1511" s="7">
        <v>0.21</v>
      </c>
      <c r="S1511" s="13" t="s">
        <v>1618</v>
      </c>
      <c r="T1511" s="6"/>
      <c r="U1511" s="6"/>
      <c r="V1511" s="5"/>
      <c r="W1511" s="7" t="s">
        <v>3</v>
      </c>
      <c r="X1511" s="6" t="s">
        <v>3</v>
      </c>
      <c r="Y1511" s="5"/>
      <c r="Z1511" s="7">
        <v>1</v>
      </c>
      <c r="AA1511" s="6"/>
      <c r="AB1511" s="5"/>
      <c r="AC1511" s="6"/>
      <c r="AD1511" s="6" t="s">
        <v>3</v>
      </c>
      <c r="AE1511" s="5"/>
      <c r="AF1511" s="6"/>
      <c r="AG1511" s="6"/>
      <c r="AH1511" s="5"/>
      <c r="AI1511" s="6"/>
      <c r="AJ1511" s="6"/>
      <c r="AK1511" s="5"/>
      <c r="AL1511" s="6"/>
      <c r="AM1511" s="6"/>
      <c r="AN1511" s="6"/>
      <c r="AO1511" s="6"/>
      <c r="AP1511" s="6"/>
      <c r="AQ1511" s="6"/>
    </row>
    <row r="1512" spans="1:43" x14ac:dyDescent="0.25">
      <c r="A1512" s="44" t="str">
        <f t="shared" si="27"/>
        <v>SMOKEY_STEAM_FIGHTER</v>
      </c>
      <c r="C1512" s="5"/>
      <c r="D1512" s="5"/>
      <c r="E1512" s="5" t="s">
        <v>1374</v>
      </c>
      <c r="F1512" s="5" t="s">
        <v>1374</v>
      </c>
      <c r="G1512" s="5"/>
      <c r="H1512" s="5" t="s">
        <v>1523</v>
      </c>
      <c r="I1512" s="5" t="s">
        <v>128</v>
      </c>
      <c r="J1512" s="6"/>
      <c r="K1512" s="7"/>
      <c r="L1512" s="13" t="s">
        <v>1708</v>
      </c>
      <c r="M1512" s="8"/>
      <c r="N1512" s="13" t="s">
        <v>1722</v>
      </c>
      <c r="O1512" s="13"/>
      <c r="P1512" s="13"/>
      <c r="Q1512" s="7">
        <v>3</v>
      </c>
      <c r="R1512" s="6">
        <v>0.09</v>
      </c>
      <c r="S1512" s="13" t="s">
        <v>1618</v>
      </c>
      <c r="T1512" s="6"/>
      <c r="U1512" s="6"/>
      <c r="V1512" s="5"/>
      <c r="W1512" s="7" t="s">
        <v>3</v>
      </c>
      <c r="X1512" s="6" t="s">
        <v>3</v>
      </c>
      <c r="Y1512" s="5"/>
      <c r="Z1512" s="7">
        <v>1</v>
      </c>
      <c r="AA1512" s="6"/>
      <c r="AB1512" s="5"/>
      <c r="AC1512" s="6"/>
      <c r="AD1512" s="6" t="s">
        <v>3</v>
      </c>
      <c r="AE1512" s="5"/>
      <c r="AF1512" s="6"/>
      <c r="AG1512" s="6"/>
      <c r="AH1512" s="5"/>
      <c r="AI1512" s="6"/>
      <c r="AJ1512" s="6"/>
      <c r="AK1512" s="5"/>
      <c r="AL1512" s="6"/>
      <c r="AM1512" s="6"/>
      <c r="AN1512" s="6"/>
      <c r="AO1512" s="6"/>
      <c r="AP1512" s="6"/>
      <c r="AQ1512" s="6"/>
    </row>
    <row r="1513" spans="1:43" x14ac:dyDescent="0.25">
      <c r="A1513" s="44" t="str">
        <f t="shared" si="27"/>
        <v>SPEARMAN</v>
      </c>
      <c r="B1513" s="9" t="s">
        <v>106</v>
      </c>
      <c r="C1513" s="5"/>
      <c r="D1513" s="5"/>
      <c r="E1513" s="5" t="s">
        <v>106</v>
      </c>
      <c r="F1513" s="5" t="s">
        <v>106</v>
      </c>
      <c r="G1513" s="5" t="s">
        <v>2039</v>
      </c>
      <c r="H1513" s="5" t="s">
        <v>1524</v>
      </c>
      <c r="I1513" s="5" t="s">
        <v>128</v>
      </c>
      <c r="J1513" s="6"/>
      <c r="K1513" s="6"/>
      <c r="L1513" s="13" t="s">
        <v>1705</v>
      </c>
      <c r="M1513" s="8"/>
      <c r="N1513" s="5"/>
      <c r="O1513" s="5"/>
      <c r="P1513" s="5"/>
      <c r="Q1513" s="6">
        <v>4</v>
      </c>
      <c r="R1513" s="6" t="s">
        <v>1734</v>
      </c>
      <c r="S1513" s="13" t="s">
        <v>1622</v>
      </c>
      <c r="T1513" s="6">
        <v>4</v>
      </c>
      <c r="U1513" s="7" t="s">
        <v>1734</v>
      </c>
      <c r="V1513" s="5"/>
      <c r="W1513" s="6">
        <v>6</v>
      </c>
      <c r="X1513" s="6" t="s">
        <v>3</v>
      </c>
      <c r="Y1513" s="5"/>
      <c r="Z1513" s="7">
        <v>1</v>
      </c>
      <c r="AA1513" s="6"/>
      <c r="AB1513" s="5"/>
      <c r="AC1513" s="6"/>
      <c r="AD1513" s="6" t="s">
        <v>3</v>
      </c>
      <c r="AE1513" s="5"/>
      <c r="AF1513" s="6">
        <v>1</v>
      </c>
      <c r="AG1513" s="6"/>
      <c r="AH1513" s="5"/>
      <c r="AI1513" s="6">
        <v>2</v>
      </c>
      <c r="AJ1513" s="6"/>
      <c r="AK1513" s="5"/>
      <c r="AL1513" s="6"/>
      <c r="AM1513" s="6"/>
      <c r="AN1513" s="6"/>
      <c r="AO1513" s="6"/>
      <c r="AP1513" s="6"/>
      <c r="AQ1513" s="6"/>
    </row>
    <row r="1514" spans="1:43" x14ac:dyDescent="0.25">
      <c r="A1514" s="44" t="str">
        <f t="shared" si="27"/>
        <v>SPEARMAN</v>
      </c>
      <c r="B1514" s="9" t="s">
        <v>106</v>
      </c>
      <c r="C1514" s="5"/>
      <c r="D1514" s="5"/>
      <c r="E1514" s="5" t="s">
        <v>106</v>
      </c>
      <c r="F1514" s="5" t="s">
        <v>106</v>
      </c>
      <c r="G1514" s="5"/>
      <c r="H1514" s="5" t="s">
        <v>19</v>
      </c>
      <c r="I1514" s="5" t="s">
        <v>128</v>
      </c>
      <c r="J1514" s="6"/>
      <c r="K1514" s="6"/>
      <c r="L1514" s="13" t="s">
        <v>1705</v>
      </c>
      <c r="M1514" s="8"/>
      <c r="N1514" s="5"/>
      <c r="O1514" s="5"/>
      <c r="P1514" s="5"/>
      <c r="Q1514" s="6">
        <v>5</v>
      </c>
      <c r="R1514" s="6" t="s">
        <v>1734</v>
      </c>
      <c r="S1514" s="13" t="s">
        <v>1622</v>
      </c>
      <c r="T1514" s="6">
        <v>3</v>
      </c>
      <c r="U1514" s="7" t="s">
        <v>1734</v>
      </c>
      <c r="V1514" s="5"/>
      <c r="W1514" s="6">
        <v>5</v>
      </c>
      <c r="X1514" s="6" t="s">
        <v>3</v>
      </c>
      <c r="Y1514" s="5"/>
      <c r="Z1514" s="7">
        <v>0</v>
      </c>
      <c r="AA1514" s="6"/>
      <c r="AB1514" s="5"/>
      <c r="AC1514" s="6"/>
      <c r="AD1514" s="6" t="s">
        <v>3</v>
      </c>
      <c r="AE1514" s="5"/>
      <c r="AF1514" s="6">
        <v>1</v>
      </c>
      <c r="AG1514" s="6"/>
      <c r="AH1514" s="5"/>
      <c r="AI1514" s="6">
        <v>3</v>
      </c>
      <c r="AJ1514" s="6"/>
      <c r="AK1514" s="5"/>
      <c r="AL1514" s="6"/>
      <c r="AM1514" s="6"/>
      <c r="AN1514" s="6"/>
      <c r="AO1514" s="6"/>
      <c r="AP1514" s="6"/>
      <c r="AQ1514" s="6"/>
    </row>
    <row r="1515" spans="1:43" x14ac:dyDescent="0.25">
      <c r="A1515" s="44" t="str">
        <f t="shared" si="27"/>
        <v>SPEARMAN</v>
      </c>
      <c r="B1515" s="9" t="s">
        <v>106</v>
      </c>
      <c r="C1515" s="5"/>
      <c r="D1515" s="5"/>
      <c r="E1515" s="5" t="s">
        <v>106</v>
      </c>
      <c r="F1515" s="5" t="s">
        <v>106</v>
      </c>
      <c r="G1515" s="5" t="s">
        <v>2041</v>
      </c>
      <c r="H1515" s="5" t="s">
        <v>1525</v>
      </c>
      <c r="I1515" s="5" t="s">
        <v>128</v>
      </c>
      <c r="J1515" s="6"/>
      <c r="K1515" s="6"/>
      <c r="L1515" s="13" t="s">
        <v>1705</v>
      </c>
      <c r="M1515" s="8"/>
      <c r="N1515" s="5"/>
      <c r="O1515" s="5"/>
      <c r="P1515" s="5"/>
      <c r="Q1515" s="6">
        <v>3</v>
      </c>
      <c r="R1515" s="6" t="s">
        <v>1734</v>
      </c>
      <c r="S1515" s="13" t="s">
        <v>1622</v>
      </c>
      <c r="T1515" s="6">
        <v>2</v>
      </c>
      <c r="U1515" s="7" t="s">
        <v>1734</v>
      </c>
      <c r="V1515" s="5"/>
      <c r="W1515" s="6">
        <v>3</v>
      </c>
      <c r="X1515" s="6" t="s">
        <v>3</v>
      </c>
      <c r="Y1515" s="5"/>
      <c r="Z1515" s="7">
        <v>0</v>
      </c>
      <c r="AA1515" s="6"/>
      <c r="AB1515" s="5"/>
      <c r="AC1515" s="6"/>
      <c r="AD1515" s="6" t="s">
        <v>3</v>
      </c>
      <c r="AE1515" s="5"/>
      <c r="AF1515" s="6">
        <v>1</v>
      </c>
      <c r="AG1515" s="6"/>
      <c r="AH1515" s="5"/>
      <c r="AI1515" s="6">
        <v>2</v>
      </c>
      <c r="AJ1515" s="6"/>
      <c r="AK1515" s="5"/>
      <c r="AL1515" s="6"/>
      <c r="AM1515" s="6"/>
      <c r="AN1515" s="6"/>
      <c r="AO1515" s="6"/>
      <c r="AP1515" s="6"/>
      <c r="AQ1515" s="6"/>
    </row>
    <row r="1516" spans="1:43" x14ac:dyDescent="0.25">
      <c r="A1516" s="44" t="str">
        <f t="shared" si="27"/>
        <v>SPEARMAN</v>
      </c>
      <c r="B1516" s="9" t="s">
        <v>106</v>
      </c>
      <c r="C1516" s="5"/>
      <c r="D1516" s="5"/>
      <c r="E1516" s="5" t="s">
        <v>106</v>
      </c>
      <c r="F1516" s="5" t="s">
        <v>106</v>
      </c>
      <c r="G1516" s="5" t="s">
        <v>2039</v>
      </c>
      <c r="H1516" s="5" t="s">
        <v>1524</v>
      </c>
      <c r="I1516" s="5" t="s">
        <v>128</v>
      </c>
      <c r="J1516" s="6"/>
      <c r="K1516" s="6"/>
      <c r="L1516" s="13" t="s">
        <v>1705</v>
      </c>
      <c r="M1516" s="8"/>
      <c r="N1516" s="5"/>
      <c r="O1516" s="5"/>
      <c r="P1516" s="5"/>
      <c r="Q1516" s="6">
        <v>0</v>
      </c>
      <c r="R1516" s="6" t="s">
        <v>1734</v>
      </c>
      <c r="S1516" s="13" t="s">
        <v>1622</v>
      </c>
      <c r="T1516" s="6">
        <v>5</v>
      </c>
      <c r="U1516" s="7" t="s">
        <v>1734</v>
      </c>
      <c r="V1516" s="5"/>
      <c r="W1516" s="7">
        <v>7</v>
      </c>
      <c r="X1516" s="6" t="s">
        <v>3</v>
      </c>
      <c r="Y1516" s="5"/>
      <c r="Z1516" s="7">
        <v>0</v>
      </c>
      <c r="AA1516" s="6"/>
      <c r="AB1516" s="5"/>
      <c r="AC1516" s="6"/>
      <c r="AD1516" s="6" t="s">
        <v>3</v>
      </c>
      <c r="AE1516" s="5"/>
      <c r="AF1516" s="6">
        <v>1</v>
      </c>
      <c r="AG1516" s="6"/>
      <c r="AH1516" s="5"/>
      <c r="AI1516" s="6">
        <v>0</v>
      </c>
      <c r="AJ1516" s="6"/>
      <c r="AK1516" s="5"/>
      <c r="AL1516" s="6"/>
      <c r="AM1516" s="6"/>
      <c r="AN1516" s="6"/>
      <c r="AO1516" s="6"/>
      <c r="AP1516" s="6"/>
      <c r="AQ1516" s="6"/>
    </row>
    <row r="1517" spans="1:43" x14ac:dyDescent="0.25">
      <c r="A1517" s="44" t="str">
        <f t="shared" si="27"/>
        <v>SPEARMAN</v>
      </c>
      <c r="B1517" s="9" t="s">
        <v>106</v>
      </c>
      <c r="C1517" s="5"/>
      <c r="D1517" s="5"/>
      <c r="E1517" s="5" t="s">
        <v>106</v>
      </c>
      <c r="F1517" s="5" t="s">
        <v>106</v>
      </c>
      <c r="G1517" s="5"/>
      <c r="H1517" s="5" t="s">
        <v>19</v>
      </c>
      <c r="I1517" s="5" t="s">
        <v>128</v>
      </c>
      <c r="J1517" s="6"/>
      <c r="K1517" s="6"/>
      <c r="L1517" s="13" t="s">
        <v>1705</v>
      </c>
      <c r="M1517" s="8"/>
      <c r="N1517" s="5"/>
      <c r="O1517" s="5"/>
      <c r="P1517" s="5"/>
      <c r="Q1517" s="6">
        <v>0</v>
      </c>
      <c r="R1517" s="6" t="s">
        <v>1734</v>
      </c>
      <c r="S1517" s="13" t="s">
        <v>1622</v>
      </c>
      <c r="T1517" s="6">
        <v>2</v>
      </c>
      <c r="U1517" s="7" t="s">
        <v>1734</v>
      </c>
      <c r="V1517" s="5"/>
      <c r="W1517" s="7">
        <v>3</v>
      </c>
      <c r="X1517" s="6" t="s">
        <v>3</v>
      </c>
      <c r="Y1517" s="5"/>
      <c r="Z1517" s="7">
        <v>0</v>
      </c>
      <c r="AA1517" s="6"/>
      <c r="AB1517" s="5"/>
      <c r="AC1517" s="6"/>
      <c r="AD1517" s="6" t="s">
        <v>3</v>
      </c>
      <c r="AE1517" s="5"/>
      <c r="AF1517" s="6">
        <v>1</v>
      </c>
      <c r="AG1517" s="6"/>
      <c r="AH1517" s="5"/>
      <c r="AI1517" s="6">
        <v>0</v>
      </c>
      <c r="AJ1517" s="6"/>
      <c r="AK1517" s="5"/>
      <c r="AL1517" s="6"/>
      <c r="AM1517" s="6"/>
      <c r="AN1517" s="6"/>
      <c r="AO1517" s="6"/>
      <c r="AP1517" s="6"/>
      <c r="AQ1517" s="6"/>
    </row>
    <row r="1518" spans="1:43" x14ac:dyDescent="0.25">
      <c r="A1518" s="44" t="str">
        <f t="shared" si="27"/>
        <v>SPEARMAN</v>
      </c>
      <c r="B1518" s="9" t="s">
        <v>106</v>
      </c>
      <c r="C1518" s="5"/>
      <c r="D1518" s="5"/>
      <c r="E1518" s="5" t="s">
        <v>106</v>
      </c>
      <c r="F1518" s="5" t="s">
        <v>106</v>
      </c>
      <c r="G1518" s="5" t="s">
        <v>2041</v>
      </c>
      <c r="H1518" s="5" t="s">
        <v>1525</v>
      </c>
      <c r="I1518" s="5" t="s">
        <v>128</v>
      </c>
      <c r="J1518" s="6"/>
      <c r="K1518" s="6"/>
      <c r="L1518" s="13" t="s">
        <v>1705</v>
      </c>
      <c r="M1518" s="8"/>
      <c r="N1518" s="5"/>
      <c r="O1518" s="5"/>
      <c r="P1518" s="5"/>
      <c r="Q1518" s="6">
        <v>0</v>
      </c>
      <c r="R1518" s="6" t="s">
        <v>1734</v>
      </c>
      <c r="S1518" s="13" t="s">
        <v>1622</v>
      </c>
      <c r="T1518" s="6">
        <v>4</v>
      </c>
      <c r="U1518" s="7" t="s">
        <v>1734</v>
      </c>
      <c r="V1518" s="5"/>
      <c r="W1518" s="7">
        <v>6</v>
      </c>
      <c r="X1518" s="6" t="s">
        <v>3</v>
      </c>
      <c r="Y1518" s="5"/>
      <c r="Z1518" s="7">
        <v>0</v>
      </c>
      <c r="AA1518" s="6"/>
      <c r="AB1518" s="5"/>
      <c r="AC1518" s="6"/>
      <c r="AD1518" s="6" t="s">
        <v>3</v>
      </c>
      <c r="AE1518" s="5"/>
      <c r="AF1518" s="6">
        <v>1</v>
      </c>
      <c r="AG1518" s="6"/>
      <c r="AH1518" s="5"/>
      <c r="AI1518" s="6">
        <v>0</v>
      </c>
      <c r="AJ1518" s="6"/>
      <c r="AK1518" s="5"/>
      <c r="AL1518" s="6"/>
      <c r="AM1518" s="6"/>
      <c r="AN1518" s="6"/>
      <c r="AO1518" s="6"/>
      <c r="AP1518" s="6"/>
      <c r="AQ1518" s="6"/>
    </row>
    <row r="1519" spans="1:43" x14ac:dyDescent="0.25">
      <c r="A1519" s="44" t="str">
        <f t="shared" si="27"/>
        <v>SPEARMAN_AFRI</v>
      </c>
      <c r="B1519" s="9" t="s">
        <v>106</v>
      </c>
      <c r="C1519" s="4" t="s">
        <v>694</v>
      </c>
      <c r="E1519" s="4" t="s">
        <v>106</v>
      </c>
      <c r="F1519" s="4" t="s">
        <v>106</v>
      </c>
      <c r="H1519" s="4" t="s">
        <v>686</v>
      </c>
      <c r="I1519" s="4" t="s">
        <v>1025</v>
      </c>
      <c r="Q1519" s="11" t="s">
        <v>1734</v>
      </c>
      <c r="AL1519" s="11"/>
      <c r="AM1519" s="11"/>
      <c r="AN1519" s="11"/>
      <c r="AO1519" s="11"/>
      <c r="AP1519" s="11"/>
      <c r="AQ1519" s="11"/>
    </row>
    <row r="1520" spans="1:43" x14ac:dyDescent="0.25">
      <c r="A1520" s="44" t="str">
        <f t="shared" si="27"/>
        <v>SPEARMAN_ETHIOPIA</v>
      </c>
      <c r="B1520" s="9" t="s">
        <v>106</v>
      </c>
      <c r="C1520" s="4" t="s">
        <v>714</v>
      </c>
      <c r="E1520" s="4" t="s">
        <v>106</v>
      </c>
      <c r="F1520" s="4" t="s">
        <v>106</v>
      </c>
      <c r="G1520" s="14" t="s">
        <v>132</v>
      </c>
      <c r="H1520" s="4" t="s">
        <v>331</v>
      </c>
      <c r="I1520" s="4" t="s">
        <v>1025</v>
      </c>
      <c r="Q1520" s="11" t="s">
        <v>1734</v>
      </c>
      <c r="AL1520" s="11"/>
      <c r="AM1520" s="11"/>
      <c r="AN1520" s="11"/>
      <c r="AO1520" s="11"/>
      <c r="AP1520" s="11"/>
      <c r="AQ1520" s="11"/>
    </row>
    <row r="1521" spans="1:43" x14ac:dyDescent="0.25">
      <c r="A1521" s="44" t="str">
        <f t="shared" si="27"/>
        <v>SPEARMAN_MOMBASA</v>
      </c>
      <c r="B1521" s="9" t="s">
        <v>106</v>
      </c>
      <c r="C1521" s="4" t="s">
        <v>727</v>
      </c>
      <c r="D1521" s="4" t="s">
        <v>733</v>
      </c>
      <c r="E1521" s="4" t="s">
        <v>106</v>
      </c>
      <c r="F1521" s="4" t="s">
        <v>106</v>
      </c>
      <c r="G1521" s="14" t="s">
        <v>132</v>
      </c>
      <c r="AL1521" s="11"/>
      <c r="AM1521" s="11"/>
      <c r="AN1521" s="11"/>
      <c r="AO1521" s="11"/>
      <c r="AP1521" s="11"/>
      <c r="AQ1521" s="11"/>
    </row>
    <row r="1522" spans="1:43" x14ac:dyDescent="0.25">
      <c r="A1522" s="44" t="str">
        <f t="shared" si="27"/>
        <v>SPEARMAN_SONGHAI</v>
      </c>
      <c r="B1522" s="9" t="s">
        <v>106</v>
      </c>
      <c r="C1522" s="4" t="s">
        <v>737</v>
      </c>
      <c r="E1522" s="4" t="s">
        <v>106</v>
      </c>
      <c r="F1522" s="4" t="s">
        <v>106</v>
      </c>
      <c r="G1522" s="14" t="s">
        <v>132</v>
      </c>
      <c r="H1522" s="4" t="s">
        <v>1953</v>
      </c>
      <c r="I1522" s="4" t="s">
        <v>1025</v>
      </c>
      <c r="Q1522" s="9" t="s">
        <v>1734</v>
      </c>
      <c r="T1522" s="9"/>
      <c r="W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44" t="str">
        <f t="shared" si="27"/>
        <v>SPEARMAN_AMER</v>
      </c>
      <c r="B1523" s="9" t="s">
        <v>106</v>
      </c>
      <c r="C1523" s="4" t="s">
        <v>697</v>
      </c>
      <c r="E1523" s="4" t="s">
        <v>106</v>
      </c>
      <c r="F1523" s="4" t="s">
        <v>106</v>
      </c>
      <c r="H1523" s="4" t="s">
        <v>471</v>
      </c>
      <c r="I1523" s="4" t="s">
        <v>835</v>
      </c>
      <c r="Q1523" s="9" t="s">
        <v>1734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44" t="str">
        <f t="shared" si="27"/>
        <v>SPEARMAN_IROQUOIS</v>
      </c>
      <c r="B1524" s="9" t="s">
        <v>106</v>
      </c>
      <c r="C1524" s="4" t="s">
        <v>721</v>
      </c>
      <c r="E1524" s="4" t="s">
        <v>106</v>
      </c>
      <c r="F1524" s="4" t="s">
        <v>106</v>
      </c>
      <c r="H1524" s="4" t="s">
        <v>948</v>
      </c>
      <c r="I1524" s="4" t="s">
        <v>835</v>
      </c>
      <c r="Q1524" s="11">
        <v>1</v>
      </c>
      <c r="T1524" s="11">
        <v>2</v>
      </c>
      <c r="Z1524" s="9">
        <v>1</v>
      </c>
      <c r="AF1524" s="11">
        <v>1</v>
      </c>
      <c r="AI1524" s="11">
        <v>1</v>
      </c>
      <c r="AL1524" s="11"/>
      <c r="AM1524" s="11"/>
      <c r="AN1524" s="11"/>
      <c r="AO1524" s="11"/>
      <c r="AP1524" s="11"/>
      <c r="AQ1524" s="11"/>
    </row>
    <row r="1525" spans="1:43" x14ac:dyDescent="0.25">
      <c r="A1525" s="44" t="str">
        <f t="shared" si="27"/>
        <v>SPEARMAN_IROQUOIS</v>
      </c>
      <c r="B1525" s="9" t="s">
        <v>106</v>
      </c>
      <c r="C1525" s="4" t="s">
        <v>721</v>
      </c>
      <c r="E1525" s="4" t="s">
        <v>106</v>
      </c>
      <c r="F1525" s="4" t="s">
        <v>106</v>
      </c>
      <c r="G1525" s="4" t="s">
        <v>2039</v>
      </c>
      <c r="H1525" s="4" t="s">
        <v>949</v>
      </c>
      <c r="I1525" s="4" t="s">
        <v>835</v>
      </c>
      <c r="Q1525" s="11">
        <v>2</v>
      </c>
      <c r="T1525" s="11">
        <v>3</v>
      </c>
      <c r="Z1525" s="9">
        <v>0</v>
      </c>
      <c r="AF1525" s="11">
        <v>1</v>
      </c>
      <c r="AI1525" s="11">
        <v>1</v>
      </c>
      <c r="AL1525" s="11"/>
      <c r="AM1525" s="11"/>
      <c r="AN1525" s="11"/>
      <c r="AO1525" s="11"/>
      <c r="AP1525" s="11"/>
      <c r="AQ1525" s="11"/>
    </row>
    <row r="1526" spans="1:43" x14ac:dyDescent="0.25">
      <c r="A1526" s="44" t="str">
        <f t="shared" si="27"/>
        <v>SPEARMAN_IROQUOIS</v>
      </c>
      <c r="B1526" s="9" t="s">
        <v>106</v>
      </c>
      <c r="C1526" s="4" t="s">
        <v>721</v>
      </c>
      <c r="E1526" s="4" t="s">
        <v>106</v>
      </c>
      <c r="F1526" s="4" t="s">
        <v>106</v>
      </c>
      <c r="G1526" s="4" t="s">
        <v>2041</v>
      </c>
      <c r="H1526" s="4" t="s">
        <v>950</v>
      </c>
      <c r="I1526" s="4" t="s">
        <v>835</v>
      </c>
      <c r="Q1526" s="11">
        <v>1</v>
      </c>
      <c r="T1526" s="11">
        <v>2</v>
      </c>
      <c r="Z1526" s="9">
        <v>0</v>
      </c>
      <c r="AF1526" s="11">
        <v>1</v>
      </c>
      <c r="AI1526" s="11">
        <v>1</v>
      </c>
      <c r="AL1526" s="11"/>
      <c r="AM1526" s="11"/>
      <c r="AN1526" s="11"/>
      <c r="AO1526" s="11"/>
      <c r="AP1526" s="11"/>
      <c r="AQ1526" s="11"/>
    </row>
    <row r="1527" spans="1:43" x14ac:dyDescent="0.25">
      <c r="A1527" s="44" t="str">
        <f t="shared" si="27"/>
        <v>SPEARMAN_IROQUOIS</v>
      </c>
      <c r="B1527" s="9" t="s">
        <v>106</v>
      </c>
      <c r="C1527" s="4" t="s">
        <v>721</v>
      </c>
      <c r="E1527" s="4" t="s">
        <v>106</v>
      </c>
      <c r="F1527" s="4" t="s">
        <v>106</v>
      </c>
      <c r="G1527" s="4" t="s">
        <v>2040</v>
      </c>
      <c r="H1527" s="4" t="s">
        <v>471</v>
      </c>
      <c r="I1527" s="4" t="s">
        <v>835</v>
      </c>
      <c r="Q1527" s="9">
        <v>2</v>
      </c>
      <c r="T1527" s="11">
        <v>3</v>
      </c>
      <c r="Z1527" s="9">
        <v>0</v>
      </c>
      <c r="AF1527" s="11">
        <v>0</v>
      </c>
      <c r="AI1527" s="11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44" t="str">
        <f t="shared" si="27"/>
        <v>SPEARMAN_IROQUOIS</v>
      </c>
      <c r="B1528" s="9" t="s">
        <v>106</v>
      </c>
      <c r="C1528" s="4" t="s">
        <v>721</v>
      </c>
      <c r="E1528" s="4" t="s">
        <v>106</v>
      </c>
      <c r="F1528" s="4" t="s">
        <v>106</v>
      </c>
      <c r="H1528" s="4" t="s">
        <v>948</v>
      </c>
      <c r="I1528" s="4" t="s">
        <v>835</v>
      </c>
      <c r="Q1528" s="9">
        <v>2</v>
      </c>
      <c r="T1528" s="11">
        <v>3</v>
      </c>
      <c r="Z1528" s="9">
        <v>0</v>
      </c>
      <c r="AF1528" s="11">
        <v>0</v>
      </c>
      <c r="AI1528" s="11">
        <v>1</v>
      </c>
      <c r="AL1528" s="11"/>
      <c r="AM1528" s="11"/>
      <c r="AN1528" s="11"/>
      <c r="AO1528" s="11"/>
      <c r="AP1528" s="11"/>
      <c r="AQ1528" s="11"/>
    </row>
    <row r="1529" spans="1:43" x14ac:dyDescent="0.25">
      <c r="A1529" s="44" t="str">
        <f t="shared" si="27"/>
        <v>SPEARMAN_IROQUOIS</v>
      </c>
      <c r="B1529" s="9" t="s">
        <v>106</v>
      </c>
      <c r="C1529" s="4" t="s">
        <v>721</v>
      </c>
      <c r="E1529" s="4" t="s">
        <v>106</v>
      </c>
      <c r="F1529" s="4" t="s">
        <v>106</v>
      </c>
      <c r="G1529" s="4" t="s">
        <v>2039</v>
      </c>
      <c r="H1529" s="4" t="s">
        <v>949</v>
      </c>
      <c r="I1529" s="4" t="s">
        <v>835</v>
      </c>
      <c r="Q1529" s="9">
        <v>1</v>
      </c>
      <c r="T1529" s="11">
        <v>2</v>
      </c>
      <c r="Z1529" s="9">
        <v>0</v>
      </c>
      <c r="AF1529" s="11">
        <v>0</v>
      </c>
      <c r="AI1529" s="11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44" t="str">
        <f t="shared" si="27"/>
        <v>SPEARMAN_IROQUOIS</v>
      </c>
      <c r="B1530" s="9" t="s">
        <v>106</v>
      </c>
      <c r="C1530" s="4" t="s">
        <v>721</v>
      </c>
      <c r="E1530" s="4" t="s">
        <v>106</v>
      </c>
      <c r="F1530" s="4" t="s">
        <v>106</v>
      </c>
      <c r="G1530" s="4" t="s">
        <v>2041</v>
      </c>
      <c r="H1530" s="4" t="s">
        <v>950</v>
      </c>
      <c r="I1530" s="4" t="s">
        <v>835</v>
      </c>
      <c r="Q1530" s="9">
        <v>2</v>
      </c>
      <c r="T1530" s="11">
        <v>3</v>
      </c>
      <c r="Z1530" s="9">
        <v>0</v>
      </c>
      <c r="AF1530" s="11">
        <v>0</v>
      </c>
      <c r="AI1530" s="11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44" t="str">
        <f t="shared" si="27"/>
        <v>SPEARMAN_IROQUOIS</v>
      </c>
      <c r="B1531" s="9" t="s">
        <v>106</v>
      </c>
      <c r="C1531" s="4" t="s">
        <v>721</v>
      </c>
      <c r="E1531" s="4" t="s">
        <v>106</v>
      </c>
      <c r="F1531" s="4" t="s">
        <v>106</v>
      </c>
      <c r="G1531" s="4" t="s">
        <v>2040</v>
      </c>
      <c r="H1531" s="4" t="s">
        <v>471</v>
      </c>
      <c r="I1531" s="4" t="s">
        <v>835</v>
      </c>
      <c r="Q1531" s="9">
        <v>1</v>
      </c>
      <c r="T1531" s="11">
        <v>2</v>
      </c>
      <c r="Z1531" s="9">
        <v>0</v>
      </c>
      <c r="AF1531" s="11">
        <v>0</v>
      </c>
      <c r="AI1531" s="11">
        <v>0</v>
      </c>
      <c r="AL1531" s="11"/>
      <c r="AM1531" s="11"/>
      <c r="AN1531" s="11"/>
      <c r="AO1531" s="11"/>
      <c r="AP1531" s="11"/>
      <c r="AQ1531" s="11"/>
    </row>
    <row r="1532" spans="1:43" x14ac:dyDescent="0.25">
      <c r="A1532" s="44" t="str">
        <f t="shared" si="27"/>
        <v>SPEARMAN_ASIA</v>
      </c>
      <c r="B1532" s="9" t="s">
        <v>106</v>
      </c>
      <c r="C1532" s="4" t="s">
        <v>693</v>
      </c>
      <c r="E1532" s="4" t="s">
        <v>106</v>
      </c>
      <c r="F1532" s="4" t="s">
        <v>106</v>
      </c>
      <c r="H1532" s="4" t="s">
        <v>455</v>
      </c>
      <c r="I1532" s="4" t="s">
        <v>102</v>
      </c>
      <c r="Q1532" s="9" t="s">
        <v>1734</v>
      </c>
      <c r="T1532" s="9"/>
      <c r="W1532" s="9"/>
      <c r="Z1532" s="9"/>
      <c r="AF1532" s="9"/>
      <c r="AI1532" s="9"/>
      <c r="AL1532" s="11"/>
      <c r="AM1532" s="11"/>
      <c r="AN1532" s="11"/>
      <c r="AO1532" s="11"/>
      <c r="AP1532" s="11"/>
      <c r="AQ1532" s="11"/>
    </row>
    <row r="1533" spans="1:43" x14ac:dyDescent="0.25">
      <c r="A1533" s="44" t="str">
        <f t="shared" si="27"/>
        <v>SPEARMAN_CHINA</v>
      </c>
      <c r="B1533" s="9" t="s">
        <v>106</v>
      </c>
      <c r="C1533" s="4" t="s">
        <v>710</v>
      </c>
      <c r="E1533" s="4" t="s">
        <v>106</v>
      </c>
      <c r="F1533" s="4" t="s">
        <v>106</v>
      </c>
      <c r="G1533" s="14" t="s">
        <v>132</v>
      </c>
      <c r="H1533" s="4" t="s">
        <v>258</v>
      </c>
      <c r="I1533" s="4" t="s">
        <v>102</v>
      </c>
      <c r="Q1533" s="9" t="s">
        <v>1734</v>
      </c>
      <c r="T1533" s="9"/>
      <c r="W1533" s="9"/>
      <c r="Z1533" s="9"/>
      <c r="AF1533" s="9"/>
      <c r="AI1533" s="9"/>
      <c r="AL1533" s="11"/>
      <c r="AM1533" s="11"/>
      <c r="AN1533" s="11"/>
      <c r="AO1533" s="11"/>
      <c r="AP1533" s="11"/>
      <c r="AQ1533" s="11"/>
    </row>
    <row r="1534" spans="1:43" x14ac:dyDescent="0.25">
      <c r="A1534" s="44" t="str">
        <f t="shared" si="27"/>
        <v>SPEARMAN_JAPAN</v>
      </c>
      <c r="B1534" s="9" t="s">
        <v>106</v>
      </c>
      <c r="C1534" s="4" t="s">
        <v>722</v>
      </c>
      <c r="E1534" s="4" t="s">
        <v>106</v>
      </c>
      <c r="F1534" s="4" t="s">
        <v>106</v>
      </c>
      <c r="G1534" s="14" t="s">
        <v>132</v>
      </c>
      <c r="H1534" s="4" t="s">
        <v>489</v>
      </c>
      <c r="I1534" s="4" t="s">
        <v>102</v>
      </c>
      <c r="Q1534" s="9" t="s">
        <v>1734</v>
      </c>
      <c r="T1534" s="9"/>
      <c r="W1534" s="9"/>
      <c r="Z1534" s="9"/>
      <c r="AF1534" s="9"/>
      <c r="AI1534" s="9"/>
      <c r="AL1534" s="11"/>
      <c r="AM1534" s="11"/>
      <c r="AN1534" s="11"/>
      <c r="AO1534" s="11"/>
      <c r="AP1534" s="11"/>
      <c r="AQ1534" s="11"/>
    </row>
    <row r="1535" spans="1:43" x14ac:dyDescent="0.25">
      <c r="A1535" s="44" t="str">
        <f t="shared" si="27"/>
        <v>SPEARMAN_KOREA</v>
      </c>
      <c r="B1535" s="9" t="s">
        <v>106</v>
      </c>
      <c r="C1535" s="4" t="s">
        <v>723</v>
      </c>
      <c r="E1535" s="4" t="s">
        <v>106</v>
      </c>
      <c r="F1535" s="4" t="s">
        <v>106</v>
      </c>
      <c r="G1535" s="14" t="s">
        <v>132</v>
      </c>
      <c r="H1535" s="4" t="s">
        <v>503</v>
      </c>
      <c r="I1535" s="4" t="s">
        <v>102</v>
      </c>
      <c r="Q1535" s="9" t="s">
        <v>1734</v>
      </c>
      <c r="T1535" s="9"/>
      <c r="W1535" s="9"/>
      <c r="Z1535" s="9"/>
      <c r="AF1535" s="9"/>
      <c r="AI1535" s="9"/>
      <c r="AL1535" s="11"/>
      <c r="AM1535" s="11"/>
      <c r="AN1535" s="11"/>
      <c r="AO1535" s="11"/>
      <c r="AP1535" s="11"/>
      <c r="AQ1535" s="11"/>
    </row>
    <row r="1536" spans="1:43" x14ac:dyDescent="0.25">
      <c r="A1536" s="44" t="str">
        <f t="shared" si="27"/>
        <v>SPEARMAN_MONGOL</v>
      </c>
      <c r="B1536" s="9" t="s">
        <v>106</v>
      </c>
      <c r="C1536" s="4" t="s">
        <v>728</v>
      </c>
      <c r="E1536" s="4" t="s">
        <v>106</v>
      </c>
      <c r="F1536" s="4" t="s">
        <v>106</v>
      </c>
      <c r="G1536" s="14" t="s">
        <v>132</v>
      </c>
      <c r="H1536" s="4" t="s">
        <v>534</v>
      </c>
      <c r="I1536" s="4" t="s">
        <v>2089</v>
      </c>
      <c r="Q1536" s="9" t="s">
        <v>1734</v>
      </c>
      <c r="T1536" s="9"/>
      <c r="W1536" s="9"/>
      <c r="Z1536" s="9"/>
      <c r="AF1536" s="9"/>
      <c r="AI1536" s="9"/>
      <c r="AL1536" s="11"/>
      <c r="AM1536" s="11"/>
      <c r="AN1536" s="11"/>
      <c r="AO1536" s="11"/>
      <c r="AP1536" s="11"/>
      <c r="AQ1536" s="11"/>
    </row>
    <row r="1537" spans="1:43" x14ac:dyDescent="0.25">
      <c r="A1537" s="44" t="str">
        <f t="shared" si="27"/>
        <v>SPEARMAN_CENTAS</v>
      </c>
      <c r="B1537" s="9" t="s">
        <v>106</v>
      </c>
      <c r="C1537" s="4" t="s">
        <v>918</v>
      </c>
      <c r="E1537" s="4" t="s">
        <v>106</v>
      </c>
      <c r="F1537" s="4" t="s">
        <v>106</v>
      </c>
      <c r="G1537" s="14" t="s">
        <v>132</v>
      </c>
      <c r="H1537" s="4" t="s">
        <v>1035</v>
      </c>
      <c r="I1537" s="4" t="s">
        <v>2089</v>
      </c>
      <c r="Q1537" s="9" t="s">
        <v>1734</v>
      </c>
      <c r="T1537" s="9"/>
      <c r="W1537" s="9"/>
      <c r="Z1537" s="9"/>
      <c r="AF1537" s="9"/>
      <c r="AI1537" s="9"/>
      <c r="AL1537" s="11"/>
      <c r="AM1537" s="11"/>
      <c r="AN1537" s="11"/>
      <c r="AO1537" s="11"/>
      <c r="AP1537" s="11"/>
      <c r="AQ1537" s="11"/>
    </row>
    <row r="1538" spans="1:43" x14ac:dyDescent="0.25">
      <c r="A1538" s="44" t="str">
        <f t="shared" si="27"/>
        <v>SPEARMAN_EASTEU</v>
      </c>
      <c r="B1538" s="9" t="s">
        <v>106</v>
      </c>
      <c r="C1538" s="4" t="s">
        <v>698</v>
      </c>
      <c r="E1538" s="4" t="s">
        <v>106</v>
      </c>
      <c r="F1538" s="4" t="s">
        <v>106</v>
      </c>
      <c r="H1538" s="4" t="s">
        <v>625</v>
      </c>
      <c r="I1538" s="4" t="s">
        <v>2089</v>
      </c>
      <c r="Q1538" s="9" t="s">
        <v>1734</v>
      </c>
      <c r="T1538" s="9"/>
      <c r="W1538" s="9"/>
      <c r="Z1538" s="9"/>
      <c r="AF1538" s="9"/>
      <c r="AI1538" s="9"/>
      <c r="AL1538" s="11"/>
      <c r="AM1538" s="11"/>
      <c r="AN1538" s="11"/>
      <c r="AO1538" s="11"/>
      <c r="AP1538" s="11"/>
      <c r="AQ1538" s="11"/>
    </row>
    <row r="1539" spans="1:43" x14ac:dyDescent="0.25">
      <c r="A1539" s="44" t="str">
        <f t="shared" si="27"/>
        <v>SPEARMAN_AMERICA</v>
      </c>
      <c r="B1539" s="9" t="s">
        <v>106</v>
      </c>
      <c r="C1539" s="4" t="s">
        <v>699</v>
      </c>
      <c r="E1539" s="4" t="s">
        <v>106</v>
      </c>
      <c r="F1539" s="4" t="s">
        <v>106</v>
      </c>
      <c r="G1539" s="14"/>
      <c r="H1539" s="4" t="s">
        <v>150</v>
      </c>
      <c r="I1539" s="4" t="s">
        <v>1934</v>
      </c>
      <c r="Q1539" s="9" t="s">
        <v>1734</v>
      </c>
      <c r="T1539" s="9"/>
      <c r="W1539" s="9"/>
      <c r="Z1539" s="9"/>
      <c r="AF1539" s="9"/>
      <c r="AI1539" s="9"/>
      <c r="AL1539" s="11"/>
      <c r="AM1539" s="11"/>
      <c r="AN1539" s="11"/>
      <c r="AO1539" s="11"/>
      <c r="AP1539" s="11"/>
      <c r="AQ1539" s="11"/>
    </row>
    <row r="1540" spans="1:43" x14ac:dyDescent="0.25">
      <c r="A1540" s="44" t="str">
        <f t="shared" si="27"/>
        <v>SPEARMAN_AUSTRIA</v>
      </c>
      <c r="B1540" s="9" t="s">
        <v>106</v>
      </c>
      <c r="C1540" s="4" t="s">
        <v>701</v>
      </c>
      <c r="D1540" s="4" t="s">
        <v>717</v>
      </c>
      <c r="E1540" s="4" t="s">
        <v>106</v>
      </c>
      <c r="F1540" s="4" t="s">
        <v>106</v>
      </c>
      <c r="G1540" s="14"/>
      <c r="Q1540" s="9"/>
      <c r="T1540" s="9"/>
      <c r="W1540" s="9"/>
      <c r="AF1540" s="9"/>
      <c r="AI1540" s="9"/>
      <c r="AL1540" s="11"/>
      <c r="AM1540" s="11"/>
      <c r="AN1540" s="11"/>
      <c r="AO1540" s="11"/>
      <c r="AP1540" s="11"/>
      <c r="AQ1540" s="11"/>
    </row>
    <row r="1541" spans="1:43" x14ac:dyDescent="0.25">
      <c r="A1541" s="44" t="str">
        <f t="shared" si="27"/>
        <v>SPEARMAN_CELTS</v>
      </c>
      <c r="B1541" s="9" t="s">
        <v>106</v>
      </c>
      <c r="C1541" s="4" t="s">
        <v>709</v>
      </c>
      <c r="D1541" s="4" t="s">
        <v>713</v>
      </c>
      <c r="E1541" s="4" t="s">
        <v>106</v>
      </c>
      <c r="F1541" s="4" t="s">
        <v>106</v>
      </c>
      <c r="G1541" s="14" t="s">
        <v>132</v>
      </c>
      <c r="Q1541" s="9"/>
      <c r="T1541" s="9"/>
      <c r="W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x14ac:dyDescent="0.25">
      <c r="A1542" s="44" t="str">
        <f t="shared" si="27"/>
        <v>SPEARMAN_ENGLAND</v>
      </c>
      <c r="B1542" s="9" t="s">
        <v>106</v>
      </c>
      <c r="C1542" s="4" t="s">
        <v>713</v>
      </c>
      <c r="E1542" s="4" t="s">
        <v>106</v>
      </c>
      <c r="F1542" s="4" t="s">
        <v>106</v>
      </c>
      <c r="G1542" s="14" t="s">
        <v>132</v>
      </c>
      <c r="H1542" s="4" t="s">
        <v>311</v>
      </c>
      <c r="I1542" s="4" t="s">
        <v>102</v>
      </c>
      <c r="Q1542" s="9" t="s">
        <v>1734</v>
      </c>
      <c r="T1542" s="9"/>
      <c r="W1542" s="9"/>
      <c r="Z1542" s="9"/>
      <c r="AF1542" s="9"/>
      <c r="AI1542" s="9"/>
      <c r="AL1542" s="11"/>
      <c r="AM1542" s="11"/>
      <c r="AN1542" s="11"/>
      <c r="AO1542" s="11"/>
      <c r="AP1542" s="11"/>
      <c r="AQ1542" s="11"/>
    </row>
    <row r="1543" spans="1:43" x14ac:dyDescent="0.25">
      <c r="A1543" s="44" t="str">
        <f t="shared" si="27"/>
        <v>SPEARMAN_FRANCE</v>
      </c>
      <c r="B1543" s="9" t="s">
        <v>106</v>
      </c>
      <c r="C1543" s="4" t="s">
        <v>715</v>
      </c>
      <c r="E1543" s="4" t="s">
        <v>106</v>
      </c>
      <c r="F1543" s="4" t="s">
        <v>106</v>
      </c>
      <c r="G1543" s="14" t="s">
        <v>132</v>
      </c>
      <c r="H1543" s="4" t="s">
        <v>356</v>
      </c>
      <c r="I1543" s="4" t="s">
        <v>102</v>
      </c>
      <c r="Q1543" s="9" t="s">
        <v>1734</v>
      </c>
      <c r="T1543" s="9"/>
      <c r="W1543" s="9"/>
      <c r="Z1543" s="9"/>
      <c r="AF1543" s="9"/>
      <c r="AI1543" s="9"/>
      <c r="AL1543" s="11"/>
      <c r="AM1543" s="11"/>
      <c r="AN1543" s="11"/>
      <c r="AO1543" s="11"/>
      <c r="AP1543" s="11"/>
      <c r="AQ1543" s="11"/>
    </row>
    <row r="1544" spans="1:43" x14ac:dyDescent="0.25">
      <c r="A1544" s="44" t="str">
        <f t="shared" si="27"/>
        <v>SPEARMAN_GERMANY</v>
      </c>
      <c r="B1544" s="9" t="s">
        <v>106</v>
      </c>
      <c r="C1544" s="4" t="s">
        <v>717</v>
      </c>
      <c r="E1544" s="4" t="s">
        <v>106</v>
      </c>
      <c r="F1544" s="4" t="s">
        <v>106</v>
      </c>
      <c r="G1544" s="14" t="s">
        <v>132</v>
      </c>
      <c r="H1544" s="4" t="s">
        <v>388</v>
      </c>
      <c r="I1544" s="4" t="s">
        <v>102</v>
      </c>
      <c r="Q1544" s="9" t="s">
        <v>1734</v>
      </c>
      <c r="T1544" s="9"/>
      <c r="W1544" s="9"/>
      <c r="Z1544" s="9"/>
      <c r="AF1544" s="9"/>
      <c r="AI1544" s="9"/>
      <c r="AL1544" s="11"/>
      <c r="AM1544" s="11"/>
      <c r="AN1544" s="11"/>
      <c r="AO1544" s="11"/>
      <c r="AP1544" s="11"/>
      <c r="AQ1544" s="11"/>
    </row>
    <row r="1545" spans="1:43" x14ac:dyDescent="0.25">
      <c r="A1545" s="44" t="str">
        <f t="shared" si="27"/>
        <v>SPEARMAN_NETHERLANDS</v>
      </c>
      <c r="B1545" s="9" t="s">
        <v>106</v>
      </c>
      <c r="C1545" s="4" t="s">
        <v>730</v>
      </c>
      <c r="E1545" s="4" t="s">
        <v>106</v>
      </c>
      <c r="F1545" s="4" t="s">
        <v>106</v>
      </c>
      <c r="G1545" s="14" t="s">
        <v>132</v>
      </c>
      <c r="H1545" s="4" t="s">
        <v>548</v>
      </c>
      <c r="I1545" s="4" t="s">
        <v>1818</v>
      </c>
      <c r="Q1545" s="9" t="s">
        <v>1734</v>
      </c>
      <c r="T1545" s="9"/>
      <c r="W1545" s="9"/>
      <c r="Z1545" s="9"/>
      <c r="AF1545" s="9"/>
      <c r="AI1545" s="9"/>
      <c r="AL1545" s="11"/>
      <c r="AM1545" s="11"/>
      <c r="AN1545" s="11"/>
      <c r="AO1545" s="11"/>
      <c r="AP1545" s="11"/>
      <c r="AQ1545" s="11"/>
    </row>
    <row r="1546" spans="1:43" x14ac:dyDescent="0.25">
      <c r="A1546" s="44" t="str">
        <f t="shared" si="27"/>
        <v>SPEARMAN_MED</v>
      </c>
      <c r="B1546" s="9" t="s">
        <v>106</v>
      </c>
      <c r="C1546" s="4" t="s">
        <v>692</v>
      </c>
      <c r="E1546" s="4" t="s">
        <v>106</v>
      </c>
      <c r="F1546" s="4" t="s">
        <v>106</v>
      </c>
      <c r="H1546" s="4" t="s">
        <v>412</v>
      </c>
      <c r="I1546" s="4" t="s">
        <v>128</v>
      </c>
      <c r="Q1546" s="9" t="s">
        <v>1734</v>
      </c>
      <c r="T1546" s="9"/>
      <c r="W1546" s="9"/>
      <c r="Z1546" s="9"/>
      <c r="AF1546" s="9"/>
      <c r="AI1546" s="9"/>
      <c r="AL1546" s="11"/>
      <c r="AM1546" s="11"/>
      <c r="AN1546" s="11"/>
      <c r="AO1546" s="11"/>
      <c r="AP1546" s="11"/>
      <c r="AQ1546" s="11"/>
    </row>
    <row r="1547" spans="1:43" x14ac:dyDescent="0.25">
      <c r="A1547" s="44" t="str">
        <f t="shared" si="27"/>
        <v>SPEARMAN_CARTHAGE</v>
      </c>
      <c r="B1547" s="9" t="s">
        <v>106</v>
      </c>
      <c r="C1547" s="4" t="s">
        <v>708</v>
      </c>
      <c r="E1547" s="4" t="s">
        <v>106</v>
      </c>
      <c r="F1547" s="4" t="s">
        <v>106</v>
      </c>
      <c r="G1547" s="14" t="s">
        <v>132</v>
      </c>
      <c r="H1547" s="4" t="s">
        <v>234</v>
      </c>
      <c r="I1547" s="4" t="s">
        <v>1793</v>
      </c>
      <c r="Q1547" s="9">
        <v>2</v>
      </c>
      <c r="T1547" s="9">
        <v>3</v>
      </c>
      <c r="W1547" s="9"/>
      <c r="Z1547" s="9">
        <v>1</v>
      </c>
      <c r="AF1547" s="9">
        <v>1</v>
      </c>
      <c r="AI1547" s="9">
        <v>1</v>
      </c>
      <c r="AL1547" s="11"/>
      <c r="AM1547" s="11"/>
      <c r="AN1547" s="11"/>
      <c r="AO1547" s="11"/>
      <c r="AP1547" s="11"/>
      <c r="AQ1547" s="11"/>
    </row>
    <row r="1548" spans="1:43" x14ac:dyDescent="0.25">
      <c r="A1548" s="44" t="str">
        <f t="shared" si="27"/>
        <v>SPEARMAN_CARTHAGE</v>
      </c>
      <c r="B1548" s="9" t="s">
        <v>106</v>
      </c>
      <c r="C1548" s="4" t="s">
        <v>708</v>
      </c>
      <c r="E1548" s="4" t="s">
        <v>106</v>
      </c>
      <c r="F1548" s="4" t="s">
        <v>106</v>
      </c>
      <c r="G1548" s="14" t="s">
        <v>2039</v>
      </c>
      <c r="H1548" s="4" t="s">
        <v>2623</v>
      </c>
      <c r="I1548" s="4" t="s">
        <v>2624</v>
      </c>
      <c r="Q1548" s="9">
        <v>1</v>
      </c>
      <c r="T1548" s="9">
        <v>2</v>
      </c>
      <c r="W1548" s="9"/>
      <c r="Z1548" s="9">
        <v>0</v>
      </c>
      <c r="AF1548" s="9">
        <v>0</v>
      </c>
      <c r="AI1548" s="9">
        <v>0</v>
      </c>
      <c r="AL1548" s="11"/>
      <c r="AM1548" s="11"/>
      <c r="AN1548" s="11"/>
      <c r="AO1548" s="11"/>
      <c r="AP1548" s="11"/>
      <c r="AQ1548" s="11"/>
    </row>
    <row r="1549" spans="1:43" x14ac:dyDescent="0.25">
      <c r="A1549" s="44" t="str">
        <f t="shared" si="27"/>
        <v>SPEARMAN_CARTHAGE</v>
      </c>
      <c r="B1549" s="9" t="s">
        <v>106</v>
      </c>
      <c r="C1549" s="4" t="s">
        <v>708</v>
      </c>
      <c r="E1549" s="4" t="s">
        <v>106</v>
      </c>
      <c r="F1549" s="4" t="s">
        <v>106</v>
      </c>
      <c r="G1549" s="14" t="s">
        <v>2041</v>
      </c>
      <c r="H1549" s="4" t="s">
        <v>2622</v>
      </c>
      <c r="I1549" s="4" t="s">
        <v>2624</v>
      </c>
      <c r="Q1549" s="9">
        <v>2</v>
      </c>
      <c r="T1549" s="9">
        <v>2</v>
      </c>
      <c r="W1549" s="9"/>
      <c r="Z1549" s="9">
        <v>0</v>
      </c>
      <c r="AF1549" s="9">
        <v>1</v>
      </c>
      <c r="AI1549" s="9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44" t="str">
        <f t="shared" si="27"/>
        <v>SPEARMAN_CARTHAGE</v>
      </c>
      <c r="B1550" s="9" t="s">
        <v>106</v>
      </c>
      <c r="C1550" s="4" t="s">
        <v>708</v>
      </c>
      <c r="E1550" s="4" t="s">
        <v>106</v>
      </c>
      <c r="F1550" s="4" t="s">
        <v>106</v>
      </c>
      <c r="G1550" s="14" t="s">
        <v>2040</v>
      </c>
      <c r="H1550" s="4" t="s">
        <v>2628</v>
      </c>
      <c r="I1550" s="4" t="s">
        <v>1025</v>
      </c>
      <c r="Q1550" s="9">
        <v>1</v>
      </c>
      <c r="T1550" s="9">
        <v>2</v>
      </c>
      <c r="W1550" s="9"/>
      <c r="Z1550" s="9">
        <v>0</v>
      </c>
      <c r="AF1550" s="9">
        <v>1</v>
      </c>
      <c r="AI1550" s="9">
        <v>1</v>
      </c>
      <c r="AL1550" s="11"/>
      <c r="AM1550" s="11"/>
      <c r="AN1550" s="11"/>
      <c r="AO1550" s="11"/>
      <c r="AP1550" s="11"/>
      <c r="AQ1550" s="11"/>
    </row>
    <row r="1551" spans="1:43" x14ac:dyDescent="0.25">
      <c r="A1551" s="44" t="str">
        <f t="shared" si="27"/>
        <v>SPEARMAN_CARTHAGE</v>
      </c>
      <c r="B1551" s="9" t="s">
        <v>106</v>
      </c>
      <c r="C1551" s="4" t="s">
        <v>708</v>
      </c>
      <c r="E1551" s="4" t="s">
        <v>106</v>
      </c>
      <c r="F1551" s="4" t="s">
        <v>106</v>
      </c>
      <c r="G1551" s="14"/>
      <c r="H1551" s="4" t="s">
        <v>234</v>
      </c>
      <c r="I1551" s="4" t="s">
        <v>1793</v>
      </c>
      <c r="Q1551" s="9">
        <v>2</v>
      </c>
      <c r="T1551" s="9">
        <v>3</v>
      </c>
      <c r="W1551" s="9"/>
      <c r="Z1551" s="9">
        <v>0</v>
      </c>
      <c r="AF1551" s="9">
        <v>0</v>
      </c>
      <c r="AI1551" s="9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44" t="str">
        <f t="shared" si="27"/>
        <v>SPEARMAN_CARTHAGE</v>
      </c>
      <c r="B1552" s="9" t="s">
        <v>106</v>
      </c>
      <c r="C1552" s="4" t="s">
        <v>708</v>
      </c>
      <c r="E1552" s="4" t="s">
        <v>106</v>
      </c>
      <c r="F1552" s="4" t="s">
        <v>106</v>
      </c>
      <c r="G1552" s="14" t="s">
        <v>2039</v>
      </c>
      <c r="H1552" s="4" t="s">
        <v>2623</v>
      </c>
      <c r="I1552" s="4" t="s">
        <v>2624</v>
      </c>
      <c r="Q1552" s="9">
        <v>2</v>
      </c>
      <c r="T1552" s="9">
        <v>2</v>
      </c>
      <c r="W1552" s="9"/>
      <c r="Z1552" s="9">
        <v>0</v>
      </c>
      <c r="AF1552" s="9">
        <v>0</v>
      </c>
      <c r="AI1552" s="9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44" t="str">
        <f t="shared" si="27"/>
        <v>SPEARMAN_CARTHAGE</v>
      </c>
      <c r="B1553" s="9" t="s">
        <v>106</v>
      </c>
      <c r="C1553" s="4" t="s">
        <v>708</v>
      </c>
      <c r="E1553" s="4" t="s">
        <v>106</v>
      </c>
      <c r="F1553" s="4" t="s">
        <v>106</v>
      </c>
      <c r="G1553" s="14" t="s">
        <v>2041</v>
      </c>
      <c r="H1553" s="4" t="s">
        <v>2622</v>
      </c>
      <c r="I1553" s="4" t="s">
        <v>2624</v>
      </c>
      <c r="Q1553" s="9">
        <v>1</v>
      </c>
      <c r="T1553" s="9">
        <v>2</v>
      </c>
      <c r="W1553" s="9"/>
      <c r="Z1553" s="9">
        <v>0</v>
      </c>
      <c r="AF1553" s="9">
        <v>0</v>
      </c>
      <c r="AI1553" s="9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44" t="str">
        <f t="shared" si="27"/>
        <v>SPEARMAN_CARTHAGE</v>
      </c>
      <c r="B1554" s="9" t="s">
        <v>106</v>
      </c>
      <c r="C1554" s="4" t="s">
        <v>708</v>
      </c>
      <c r="E1554" s="4" t="s">
        <v>106</v>
      </c>
      <c r="F1554" s="4" t="s">
        <v>106</v>
      </c>
      <c r="G1554" s="14" t="s">
        <v>2040</v>
      </c>
      <c r="H1554" s="4" t="s">
        <v>2628</v>
      </c>
      <c r="I1554" s="4" t="s">
        <v>1025</v>
      </c>
      <c r="Q1554" s="9">
        <v>1</v>
      </c>
      <c r="T1554" s="9">
        <v>2</v>
      </c>
      <c r="W1554" s="9"/>
      <c r="Z1554" s="9">
        <v>0</v>
      </c>
      <c r="AF1554" s="9">
        <v>0</v>
      </c>
      <c r="AI1554" s="9">
        <v>1</v>
      </c>
      <c r="AL1554" s="11"/>
      <c r="AM1554" s="11"/>
      <c r="AN1554" s="11"/>
      <c r="AO1554" s="11"/>
      <c r="AP1554" s="11"/>
      <c r="AQ1554" s="11"/>
    </row>
    <row r="1555" spans="1:43" s="2" customFormat="1" x14ac:dyDescent="0.25">
      <c r="A1555" s="44" t="str">
        <f>CONCATENATE(E1555,IF(ISBLANK(C1555),"",CONCATENATE("_",C1555)))</f>
        <v>SPEARMAN_GREECE</v>
      </c>
      <c r="B1555" s="9" t="s">
        <v>106</v>
      </c>
      <c r="C1555" s="4" t="s">
        <v>718</v>
      </c>
      <c r="D1555" s="4"/>
      <c r="E1555" s="4" t="s">
        <v>106</v>
      </c>
      <c r="F1555" s="4" t="s">
        <v>106</v>
      </c>
      <c r="G1555" s="4"/>
      <c r="H1555" s="4" t="s">
        <v>924</v>
      </c>
      <c r="I1555" s="4" t="s">
        <v>1817</v>
      </c>
      <c r="J1555" s="11"/>
      <c r="K1555" s="11"/>
      <c r="L1555" s="4"/>
      <c r="M1555" s="12"/>
      <c r="N1555" s="4"/>
      <c r="O1555" s="4"/>
      <c r="P1555" s="4"/>
      <c r="Q1555" s="9">
        <v>2</v>
      </c>
      <c r="R1555" s="11"/>
      <c r="S1555" s="4"/>
      <c r="T1555" s="11">
        <v>3</v>
      </c>
      <c r="U1555" s="11"/>
      <c r="V1555" s="4"/>
      <c r="W1555" s="11"/>
      <c r="X1555" s="11"/>
      <c r="Y1555" s="4"/>
      <c r="Z1555" s="9">
        <v>0</v>
      </c>
      <c r="AA1555" s="11"/>
      <c r="AB1555" s="4"/>
      <c r="AC1555" s="11"/>
      <c r="AD1555" s="11"/>
      <c r="AE1555" s="4"/>
      <c r="AF1555" s="11">
        <v>1</v>
      </c>
      <c r="AG1555" s="11"/>
      <c r="AH1555" s="4"/>
      <c r="AI1555" s="11">
        <v>1</v>
      </c>
      <c r="AJ1555" s="11"/>
      <c r="AK1555" s="4"/>
      <c r="AL1555" s="11"/>
      <c r="AM1555" s="11"/>
      <c r="AN1555" s="11"/>
      <c r="AO1555" s="11"/>
      <c r="AP1555" s="11"/>
      <c r="AQ1555" s="11"/>
    </row>
    <row r="1556" spans="1:43" s="2" customFormat="1" x14ac:dyDescent="0.25">
      <c r="A1556" s="44" t="str">
        <f t="shared" ref="A1556:A1560" si="28">CONCATENATE(E1556,IF(ISBLANK(C1556),"",CONCATENATE("_",C1556)))</f>
        <v>SPEARMAN_GREECE</v>
      </c>
      <c r="B1556" s="9" t="s">
        <v>106</v>
      </c>
      <c r="C1556" s="4" t="s">
        <v>718</v>
      </c>
      <c r="D1556" s="4"/>
      <c r="E1556" s="4" t="s">
        <v>106</v>
      </c>
      <c r="F1556" s="4" t="s">
        <v>106</v>
      </c>
      <c r="G1556" s="4" t="s">
        <v>2039</v>
      </c>
      <c r="H1556" s="4" t="s">
        <v>2688</v>
      </c>
      <c r="I1556" s="4" t="s">
        <v>1025</v>
      </c>
      <c r="J1556" s="11"/>
      <c r="K1556" s="11"/>
      <c r="L1556" s="4"/>
      <c r="M1556" s="12"/>
      <c r="N1556" s="4"/>
      <c r="O1556" s="4"/>
      <c r="P1556" s="4"/>
      <c r="Q1556" s="9">
        <v>2</v>
      </c>
      <c r="R1556" s="11"/>
      <c r="S1556" s="4"/>
      <c r="T1556" s="11">
        <v>4</v>
      </c>
      <c r="U1556" s="11"/>
      <c r="V1556" s="4"/>
      <c r="W1556" s="11"/>
      <c r="X1556" s="11"/>
      <c r="Y1556" s="4"/>
      <c r="Z1556" s="9">
        <v>1</v>
      </c>
      <c r="AA1556" s="11"/>
      <c r="AB1556" s="4"/>
      <c r="AC1556" s="11"/>
      <c r="AD1556" s="11"/>
      <c r="AE1556" s="4"/>
      <c r="AF1556" s="11">
        <v>1</v>
      </c>
      <c r="AG1556" s="11"/>
      <c r="AH1556" s="4"/>
      <c r="AI1556" s="11">
        <v>1</v>
      </c>
      <c r="AJ1556" s="11"/>
      <c r="AK1556" s="4"/>
      <c r="AL1556" s="11"/>
      <c r="AM1556" s="11"/>
      <c r="AN1556" s="11"/>
      <c r="AO1556" s="11"/>
      <c r="AP1556" s="11"/>
      <c r="AQ1556" s="11"/>
    </row>
    <row r="1557" spans="1:43" s="2" customFormat="1" x14ac:dyDescent="0.25">
      <c r="A1557" s="44" t="str">
        <f t="shared" si="28"/>
        <v>SPEARMAN_GREECE</v>
      </c>
      <c r="B1557" s="9" t="s">
        <v>106</v>
      </c>
      <c r="C1557" s="4" t="s">
        <v>718</v>
      </c>
      <c r="D1557" s="4"/>
      <c r="E1557" s="4" t="s">
        <v>106</v>
      </c>
      <c r="F1557" s="4" t="s">
        <v>106</v>
      </c>
      <c r="G1557" s="4" t="s">
        <v>2041</v>
      </c>
      <c r="H1557" s="4" t="s">
        <v>2689</v>
      </c>
      <c r="I1557" s="4" t="s">
        <v>1025</v>
      </c>
      <c r="J1557" s="11"/>
      <c r="K1557" s="11"/>
      <c r="L1557" s="4"/>
      <c r="M1557" s="12"/>
      <c r="N1557" s="4"/>
      <c r="O1557" s="4"/>
      <c r="P1557" s="4"/>
      <c r="Q1557" s="9">
        <v>2</v>
      </c>
      <c r="R1557" s="11"/>
      <c r="S1557" s="4"/>
      <c r="T1557" s="11">
        <v>2</v>
      </c>
      <c r="U1557" s="11"/>
      <c r="V1557" s="4"/>
      <c r="W1557" s="11"/>
      <c r="X1557" s="11"/>
      <c r="Y1557" s="4"/>
      <c r="Z1557" s="9">
        <v>0</v>
      </c>
      <c r="AA1557" s="11"/>
      <c r="AB1557" s="4"/>
      <c r="AC1557" s="11"/>
      <c r="AD1557" s="11"/>
      <c r="AE1557" s="4"/>
      <c r="AF1557" s="11">
        <v>1</v>
      </c>
      <c r="AG1557" s="11"/>
      <c r="AH1557" s="4"/>
      <c r="AI1557" s="11">
        <v>1</v>
      </c>
      <c r="AJ1557" s="11"/>
      <c r="AK1557" s="4"/>
      <c r="AL1557" s="11"/>
      <c r="AM1557" s="11"/>
      <c r="AN1557" s="11"/>
      <c r="AO1557" s="11"/>
      <c r="AP1557" s="11"/>
      <c r="AQ1557" s="11"/>
    </row>
    <row r="1558" spans="1:43" s="2" customFormat="1" x14ac:dyDescent="0.25">
      <c r="A1558" s="44" t="str">
        <f t="shared" si="28"/>
        <v>SPEARMAN_GREECE</v>
      </c>
      <c r="B1558" s="9" t="s">
        <v>106</v>
      </c>
      <c r="C1558" s="4" t="s">
        <v>718</v>
      </c>
      <c r="D1558" s="4"/>
      <c r="E1558" s="4" t="s">
        <v>106</v>
      </c>
      <c r="F1558" s="4" t="s">
        <v>106</v>
      </c>
      <c r="G1558" s="4"/>
      <c r="H1558" s="4" t="s">
        <v>924</v>
      </c>
      <c r="I1558" s="4" t="s">
        <v>1817</v>
      </c>
      <c r="J1558" s="11"/>
      <c r="K1558" s="11"/>
      <c r="L1558" s="4"/>
      <c r="M1558" s="12"/>
      <c r="N1558" s="4"/>
      <c r="O1558" s="4"/>
      <c r="P1558" s="4"/>
      <c r="Q1558" s="9">
        <v>2</v>
      </c>
      <c r="R1558" s="11"/>
      <c r="S1558" s="4"/>
      <c r="T1558" s="11">
        <v>4</v>
      </c>
      <c r="U1558" s="11"/>
      <c r="V1558" s="4"/>
      <c r="W1558" s="11"/>
      <c r="X1558" s="11"/>
      <c r="Y1558" s="4"/>
      <c r="Z1558" s="9">
        <v>0</v>
      </c>
      <c r="AA1558" s="11"/>
      <c r="AB1558" s="4"/>
      <c r="AC1558" s="11"/>
      <c r="AD1558" s="11"/>
      <c r="AE1558" s="4"/>
      <c r="AF1558" s="11">
        <v>0</v>
      </c>
      <c r="AG1558" s="11"/>
      <c r="AH1558" s="4"/>
      <c r="AI1558" s="11">
        <v>1</v>
      </c>
      <c r="AJ1558" s="11"/>
      <c r="AK1558" s="4"/>
      <c r="AL1558" s="11"/>
      <c r="AM1558" s="11"/>
      <c r="AN1558" s="11"/>
      <c r="AO1558" s="11"/>
      <c r="AP1558" s="11"/>
      <c r="AQ1558" s="11"/>
    </row>
    <row r="1559" spans="1:43" s="2" customFormat="1" x14ac:dyDescent="0.25">
      <c r="A1559" s="44" t="str">
        <f t="shared" si="28"/>
        <v>SPEARMAN_GREECE</v>
      </c>
      <c r="B1559" s="9" t="s">
        <v>106</v>
      </c>
      <c r="C1559" s="4" t="s">
        <v>718</v>
      </c>
      <c r="D1559" s="4"/>
      <c r="E1559" s="4" t="s">
        <v>106</v>
      </c>
      <c r="F1559" s="4" t="s">
        <v>106</v>
      </c>
      <c r="G1559" s="4" t="s">
        <v>2039</v>
      </c>
      <c r="H1559" s="4" t="s">
        <v>2688</v>
      </c>
      <c r="I1559" s="4" t="s">
        <v>1025</v>
      </c>
      <c r="J1559" s="11"/>
      <c r="K1559" s="11"/>
      <c r="L1559" s="4"/>
      <c r="M1559" s="12"/>
      <c r="N1559" s="4"/>
      <c r="O1559" s="4"/>
      <c r="P1559" s="4"/>
      <c r="Q1559" s="9">
        <v>2</v>
      </c>
      <c r="R1559" s="11"/>
      <c r="S1559" s="4"/>
      <c r="T1559" s="11">
        <v>2</v>
      </c>
      <c r="U1559" s="11"/>
      <c r="V1559" s="4"/>
      <c r="W1559" s="11"/>
      <c r="X1559" s="11"/>
      <c r="Y1559" s="4"/>
      <c r="Z1559" s="9">
        <v>0</v>
      </c>
      <c r="AA1559" s="11"/>
      <c r="AB1559" s="4"/>
      <c r="AC1559" s="11"/>
      <c r="AD1559" s="11"/>
      <c r="AE1559" s="4"/>
      <c r="AF1559" s="11">
        <v>0</v>
      </c>
      <c r="AG1559" s="11"/>
      <c r="AH1559" s="4"/>
      <c r="AI1559" s="11">
        <v>2</v>
      </c>
      <c r="AJ1559" s="11"/>
      <c r="AK1559" s="4"/>
      <c r="AL1559" s="11"/>
      <c r="AM1559" s="11"/>
      <c r="AN1559" s="11"/>
      <c r="AO1559" s="11"/>
      <c r="AP1559" s="11"/>
      <c r="AQ1559" s="11"/>
    </row>
    <row r="1560" spans="1:43" s="2" customFormat="1" x14ac:dyDescent="0.25">
      <c r="A1560" s="44" t="str">
        <f t="shared" si="28"/>
        <v>SPEARMAN_GREECE</v>
      </c>
      <c r="B1560" s="9" t="s">
        <v>106</v>
      </c>
      <c r="C1560" s="4" t="s">
        <v>718</v>
      </c>
      <c r="D1560" s="4"/>
      <c r="E1560" s="4" t="s">
        <v>106</v>
      </c>
      <c r="F1560" s="4" t="s">
        <v>106</v>
      </c>
      <c r="G1560" s="4" t="s">
        <v>2041</v>
      </c>
      <c r="H1560" s="4" t="s">
        <v>2689</v>
      </c>
      <c r="I1560" s="4" t="s">
        <v>1025</v>
      </c>
      <c r="J1560" s="11"/>
      <c r="K1560" s="11"/>
      <c r="L1560" s="4"/>
      <c r="M1560" s="12"/>
      <c r="N1560" s="4"/>
      <c r="O1560" s="4"/>
      <c r="P1560" s="4"/>
      <c r="Q1560" s="9">
        <v>2</v>
      </c>
      <c r="R1560" s="11"/>
      <c r="S1560" s="4"/>
      <c r="T1560" s="11">
        <v>3</v>
      </c>
      <c r="U1560" s="11"/>
      <c r="V1560" s="4"/>
      <c r="W1560" s="11"/>
      <c r="X1560" s="11"/>
      <c r="Y1560" s="4"/>
      <c r="Z1560" s="9">
        <v>0</v>
      </c>
      <c r="AA1560" s="11"/>
      <c r="AB1560" s="4"/>
      <c r="AC1560" s="11"/>
      <c r="AD1560" s="11"/>
      <c r="AE1560" s="4"/>
      <c r="AF1560" s="11">
        <v>0</v>
      </c>
      <c r="AG1560" s="11"/>
      <c r="AH1560" s="4"/>
      <c r="AI1560" s="11">
        <v>1</v>
      </c>
      <c r="AJ1560" s="11"/>
      <c r="AK1560" s="4"/>
      <c r="AL1560" s="11"/>
      <c r="AM1560" s="11"/>
      <c r="AN1560" s="11"/>
      <c r="AO1560" s="11"/>
      <c r="AP1560" s="11"/>
      <c r="AQ1560" s="11"/>
    </row>
    <row r="1561" spans="1:43" x14ac:dyDescent="0.25">
      <c r="A1561" s="44" t="str">
        <f t="shared" si="27"/>
        <v>SPEARMAN_PORTUGAL</v>
      </c>
      <c r="B1561" s="9" t="s">
        <v>106</v>
      </c>
      <c r="C1561" s="4" t="s">
        <v>733</v>
      </c>
      <c r="E1561" s="4" t="s">
        <v>106</v>
      </c>
      <c r="F1561" s="4" t="s">
        <v>106</v>
      </c>
      <c r="G1561" s="14" t="s">
        <v>132</v>
      </c>
      <c r="H1561" s="4" t="s">
        <v>525</v>
      </c>
      <c r="I1561" s="4" t="s">
        <v>1793</v>
      </c>
      <c r="Q1561" s="9" t="s">
        <v>1734</v>
      </c>
      <c r="T1561" s="9"/>
      <c r="W1561" s="9"/>
      <c r="Z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s="2" customFormat="1" x14ac:dyDescent="0.25">
      <c r="A1562" s="44" t="str">
        <f t="shared" si="27"/>
        <v>SPEARMAN_ROME</v>
      </c>
      <c r="B1562" s="9" t="s">
        <v>106</v>
      </c>
      <c r="C1562" s="4" t="s">
        <v>734</v>
      </c>
      <c r="D1562" s="4"/>
      <c r="E1562" s="4" t="s">
        <v>106</v>
      </c>
      <c r="F1562" s="4" t="s">
        <v>106</v>
      </c>
      <c r="G1562" s="4"/>
      <c r="H1562" s="4" t="s">
        <v>998</v>
      </c>
      <c r="I1562" s="4" t="s">
        <v>1793</v>
      </c>
      <c r="J1562" s="11"/>
      <c r="K1562" s="11"/>
      <c r="L1562" s="4"/>
      <c r="M1562" s="12"/>
      <c r="N1562" s="4"/>
      <c r="O1562" s="4"/>
      <c r="P1562" s="4"/>
      <c r="Q1562" s="9">
        <v>2</v>
      </c>
      <c r="R1562" s="11"/>
      <c r="S1562" s="4"/>
      <c r="T1562" s="11">
        <v>3</v>
      </c>
      <c r="U1562" s="11"/>
      <c r="V1562" s="4"/>
      <c r="W1562" s="11"/>
      <c r="X1562" s="11"/>
      <c r="Y1562" s="4"/>
      <c r="Z1562" s="9">
        <v>1</v>
      </c>
      <c r="AA1562" s="11"/>
      <c r="AB1562" s="4"/>
      <c r="AC1562" s="11"/>
      <c r="AD1562" s="11"/>
      <c r="AE1562" s="4"/>
      <c r="AF1562" s="11">
        <v>1</v>
      </c>
      <c r="AG1562" s="11"/>
      <c r="AH1562" s="4"/>
      <c r="AI1562" s="11">
        <v>1</v>
      </c>
      <c r="AJ1562" s="11"/>
      <c r="AK1562" s="4"/>
      <c r="AL1562" s="11"/>
      <c r="AM1562" s="11"/>
      <c r="AN1562" s="11"/>
      <c r="AO1562" s="11"/>
      <c r="AP1562" s="11"/>
      <c r="AQ1562" s="11"/>
    </row>
    <row r="1563" spans="1:43" s="2" customFormat="1" x14ac:dyDescent="0.25">
      <c r="A1563" s="44" t="str">
        <f t="shared" si="27"/>
        <v>SPEARMAN_ROME</v>
      </c>
      <c r="B1563" s="9" t="s">
        <v>106</v>
      </c>
      <c r="C1563" s="4" t="s">
        <v>734</v>
      </c>
      <c r="D1563" s="4"/>
      <c r="E1563" s="4" t="s">
        <v>106</v>
      </c>
      <c r="F1563" s="4" t="s">
        <v>106</v>
      </c>
      <c r="G1563" s="4" t="s">
        <v>2039</v>
      </c>
      <c r="H1563" s="4" t="s">
        <v>999</v>
      </c>
      <c r="I1563" s="4" t="s">
        <v>1793</v>
      </c>
      <c r="J1563" s="11"/>
      <c r="K1563" s="11"/>
      <c r="L1563" s="4"/>
      <c r="M1563" s="12"/>
      <c r="N1563" s="4"/>
      <c r="O1563" s="4"/>
      <c r="P1563" s="4"/>
      <c r="Q1563" s="9">
        <v>2</v>
      </c>
      <c r="R1563" s="11"/>
      <c r="S1563" s="4"/>
      <c r="T1563" s="11">
        <v>4</v>
      </c>
      <c r="U1563" s="11"/>
      <c r="V1563" s="4"/>
      <c r="W1563" s="11"/>
      <c r="X1563" s="11"/>
      <c r="Y1563" s="4"/>
      <c r="Z1563" s="9">
        <v>0</v>
      </c>
      <c r="AA1563" s="11"/>
      <c r="AB1563" s="4"/>
      <c r="AC1563" s="11"/>
      <c r="AD1563" s="11"/>
      <c r="AE1563" s="4"/>
      <c r="AF1563" s="11">
        <v>1</v>
      </c>
      <c r="AG1563" s="11"/>
      <c r="AH1563" s="4"/>
      <c r="AI1563" s="11">
        <v>1</v>
      </c>
      <c r="AJ1563" s="11"/>
      <c r="AK1563" s="4"/>
      <c r="AL1563" s="11"/>
      <c r="AM1563" s="11"/>
      <c r="AN1563" s="11"/>
      <c r="AO1563" s="11"/>
      <c r="AP1563" s="11"/>
      <c r="AQ1563" s="11"/>
    </row>
    <row r="1564" spans="1:43" s="2" customFormat="1" x14ac:dyDescent="0.25">
      <c r="A1564" s="44" t="str">
        <f t="shared" si="27"/>
        <v>SPEARMAN_ROME</v>
      </c>
      <c r="B1564" s="9" t="s">
        <v>106</v>
      </c>
      <c r="C1564" s="4" t="s">
        <v>734</v>
      </c>
      <c r="D1564" s="4"/>
      <c r="E1564" s="4" t="s">
        <v>106</v>
      </c>
      <c r="F1564" s="4" t="s">
        <v>106</v>
      </c>
      <c r="G1564" s="4" t="s">
        <v>2041</v>
      </c>
      <c r="H1564" s="4" t="s">
        <v>580</v>
      </c>
      <c r="I1564" s="4" t="s">
        <v>1793</v>
      </c>
      <c r="J1564" s="11"/>
      <c r="K1564" s="11"/>
      <c r="L1564" s="4"/>
      <c r="M1564" s="12"/>
      <c r="N1564" s="4"/>
      <c r="O1564" s="4"/>
      <c r="P1564" s="4"/>
      <c r="Q1564" s="9">
        <v>2</v>
      </c>
      <c r="R1564" s="11"/>
      <c r="S1564" s="4"/>
      <c r="T1564" s="11">
        <v>2</v>
      </c>
      <c r="U1564" s="11"/>
      <c r="V1564" s="4"/>
      <c r="W1564" s="11"/>
      <c r="X1564" s="11"/>
      <c r="Y1564" s="4"/>
      <c r="Z1564" s="9">
        <v>0</v>
      </c>
      <c r="AA1564" s="11"/>
      <c r="AB1564" s="4"/>
      <c r="AC1564" s="11"/>
      <c r="AD1564" s="11"/>
      <c r="AE1564" s="4"/>
      <c r="AF1564" s="11">
        <v>1</v>
      </c>
      <c r="AG1564" s="11"/>
      <c r="AH1564" s="4"/>
      <c r="AI1564" s="11">
        <v>1</v>
      </c>
      <c r="AJ1564" s="11"/>
      <c r="AK1564" s="4"/>
      <c r="AL1564" s="11"/>
      <c r="AM1564" s="11"/>
      <c r="AN1564" s="11"/>
      <c r="AO1564" s="11"/>
      <c r="AP1564" s="11"/>
      <c r="AQ1564" s="11"/>
    </row>
    <row r="1565" spans="1:43" s="2" customFormat="1" x14ac:dyDescent="0.25">
      <c r="A1565" s="44" t="str">
        <f t="shared" si="27"/>
        <v>SPEARMAN_ROME</v>
      </c>
      <c r="B1565" s="9" t="s">
        <v>106</v>
      </c>
      <c r="C1565" s="4" t="s">
        <v>734</v>
      </c>
      <c r="D1565" s="4"/>
      <c r="E1565" s="4" t="s">
        <v>106</v>
      </c>
      <c r="F1565" s="4" t="s">
        <v>106</v>
      </c>
      <c r="G1565" s="4"/>
      <c r="H1565" s="4" t="s">
        <v>998</v>
      </c>
      <c r="I1565" s="4" t="s">
        <v>1793</v>
      </c>
      <c r="J1565" s="11"/>
      <c r="K1565" s="11"/>
      <c r="L1565" s="4"/>
      <c r="M1565" s="12"/>
      <c r="N1565" s="4"/>
      <c r="O1565" s="4"/>
      <c r="P1565" s="4"/>
      <c r="Q1565" s="9">
        <v>2</v>
      </c>
      <c r="R1565" s="11"/>
      <c r="S1565" s="4"/>
      <c r="T1565" s="11">
        <v>4</v>
      </c>
      <c r="U1565" s="11"/>
      <c r="V1565" s="4"/>
      <c r="W1565" s="11"/>
      <c r="X1565" s="11"/>
      <c r="Y1565" s="4"/>
      <c r="Z1565" s="9">
        <v>0</v>
      </c>
      <c r="AA1565" s="11"/>
      <c r="AB1565" s="4"/>
      <c r="AC1565" s="11"/>
      <c r="AD1565" s="11"/>
      <c r="AE1565" s="4"/>
      <c r="AF1565" s="11">
        <v>0</v>
      </c>
      <c r="AG1565" s="11"/>
      <c r="AH1565" s="4"/>
      <c r="AI1565" s="11">
        <v>2</v>
      </c>
      <c r="AJ1565" s="11"/>
      <c r="AK1565" s="4"/>
      <c r="AL1565" s="11"/>
      <c r="AM1565" s="11"/>
      <c r="AN1565" s="11"/>
      <c r="AO1565" s="11"/>
      <c r="AP1565" s="11"/>
      <c r="AQ1565" s="11"/>
    </row>
    <row r="1566" spans="1:43" s="2" customFormat="1" x14ac:dyDescent="0.25">
      <c r="A1566" s="44" t="str">
        <f t="shared" si="27"/>
        <v>SPEARMAN_ROME</v>
      </c>
      <c r="B1566" s="9" t="s">
        <v>106</v>
      </c>
      <c r="C1566" s="4" t="s">
        <v>734</v>
      </c>
      <c r="D1566" s="4"/>
      <c r="E1566" s="4" t="s">
        <v>106</v>
      </c>
      <c r="F1566" s="4" t="s">
        <v>106</v>
      </c>
      <c r="G1566" s="4" t="s">
        <v>2039</v>
      </c>
      <c r="H1566" s="4" t="s">
        <v>999</v>
      </c>
      <c r="I1566" s="4" t="s">
        <v>1793</v>
      </c>
      <c r="J1566" s="11"/>
      <c r="K1566" s="11"/>
      <c r="L1566" s="4"/>
      <c r="M1566" s="12"/>
      <c r="N1566" s="4"/>
      <c r="O1566" s="4"/>
      <c r="P1566" s="4"/>
      <c r="Q1566" s="9">
        <v>2</v>
      </c>
      <c r="R1566" s="11"/>
      <c r="S1566" s="4"/>
      <c r="T1566" s="11">
        <v>2</v>
      </c>
      <c r="U1566" s="11"/>
      <c r="V1566" s="4"/>
      <c r="W1566" s="11"/>
      <c r="X1566" s="11"/>
      <c r="Y1566" s="4"/>
      <c r="Z1566" s="9">
        <v>0</v>
      </c>
      <c r="AA1566" s="11"/>
      <c r="AB1566" s="4"/>
      <c r="AC1566" s="11"/>
      <c r="AD1566" s="11"/>
      <c r="AE1566" s="4"/>
      <c r="AF1566" s="11">
        <v>0</v>
      </c>
      <c r="AG1566" s="11"/>
      <c r="AH1566" s="4"/>
      <c r="AI1566" s="11">
        <v>1</v>
      </c>
      <c r="AJ1566" s="11"/>
      <c r="AK1566" s="4"/>
      <c r="AL1566" s="11"/>
      <c r="AM1566" s="11"/>
      <c r="AN1566" s="11"/>
      <c r="AO1566" s="11"/>
      <c r="AP1566" s="11"/>
      <c r="AQ1566" s="11"/>
    </row>
    <row r="1567" spans="1:43" s="2" customFormat="1" x14ac:dyDescent="0.25">
      <c r="A1567" s="44" t="str">
        <f t="shared" si="27"/>
        <v>SPEARMAN_ROME</v>
      </c>
      <c r="B1567" s="9" t="s">
        <v>106</v>
      </c>
      <c r="C1567" s="4" t="s">
        <v>734</v>
      </c>
      <c r="D1567" s="4"/>
      <c r="E1567" s="4" t="s">
        <v>106</v>
      </c>
      <c r="F1567" s="4" t="s">
        <v>106</v>
      </c>
      <c r="G1567" s="4" t="s">
        <v>2041</v>
      </c>
      <c r="H1567" s="4" t="s">
        <v>580</v>
      </c>
      <c r="I1567" s="4" t="s">
        <v>1793</v>
      </c>
      <c r="J1567" s="11"/>
      <c r="K1567" s="11"/>
      <c r="L1567" s="4"/>
      <c r="M1567" s="12"/>
      <c r="N1567" s="4"/>
      <c r="O1567" s="4"/>
      <c r="P1567" s="4"/>
      <c r="Q1567" s="9">
        <v>2</v>
      </c>
      <c r="R1567" s="11"/>
      <c r="S1567" s="4"/>
      <c r="T1567" s="11">
        <v>3</v>
      </c>
      <c r="U1567" s="11"/>
      <c r="V1567" s="4"/>
      <c r="W1567" s="11"/>
      <c r="X1567" s="11"/>
      <c r="Y1567" s="4"/>
      <c r="Z1567" s="9">
        <v>0</v>
      </c>
      <c r="AA1567" s="11"/>
      <c r="AB1567" s="4"/>
      <c r="AC1567" s="11"/>
      <c r="AD1567" s="11"/>
      <c r="AE1567" s="4"/>
      <c r="AF1567" s="11">
        <v>0</v>
      </c>
      <c r="AG1567" s="11"/>
      <c r="AH1567" s="4"/>
      <c r="AI1567" s="11">
        <v>1</v>
      </c>
      <c r="AJ1567" s="11"/>
      <c r="AK1567" s="4"/>
      <c r="AL1567" s="11"/>
      <c r="AM1567" s="11"/>
      <c r="AN1567" s="11"/>
      <c r="AO1567" s="11"/>
      <c r="AP1567" s="11"/>
      <c r="AQ1567" s="11"/>
    </row>
    <row r="1568" spans="1:43" x14ac:dyDescent="0.25">
      <c r="A1568" s="44" t="str">
        <f t="shared" si="27"/>
        <v>SPEARMAN_SPAIN</v>
      </c>
      <c r="B1568" s="9" t="s">
        <v>106</v>
      </c>
      <c r="C1568" s="4" t="s">
        <v>738</v>
      </c>
      <c r="E1568" s="4" t="s">
        <v>106</v>
      </c>
      <c r="F1568" s="4" t="s">
        <v>106</v>
      </c>
      <c r="H1568" s="4" t="s">
        <v>1019</v>
      </c>
      <c r="I1568" s="4" t="s">
        <v>2089</v>
      </c>
      <c r="Q1568" s="11">
        <v>0</v>
      </c>
      <c r="T1568" s="11">
        <v>3</v>
      </c>
      <c r="Z1568" s="9">
        <v>1</v>
      </c>
      <c r="AF1568" s="11">
        <v>1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44" t="str">
        <f t="shared" si="27"/>
        <v>SPEARMAN_SPAIN</v>
      </c>
      <c r="B1569" s="9" t="s">
        <v>106</v>
      </c>
      <c r="C1569" s="4" t="s">
        <v>738</v>
      </c>
      <c r="E1569" s="4" t="s">
        <v>106</v>
      </c>
      <c r="F1569" s="4" t="s">
        <v>106</v>
      </c>
      <c r="G1569" s="4" t="s">
        <v>2039</v>
      </c>
      <c r="H1569" s="4" t="s">
        <v>662</v>
      </c>
      <c r="I1569" s="4" t="s">
        <v>2089</v>
      </c>
      <c r="Q1569" s="11">
        <v>2</v>
      </c>
      <c r="T1569" s="11">
        <v>3</v>
      </c>
      <c r="Z1569" s="9">
        <v>0</v>
      </c>
      <c r="AF1569" s="11">
        <v>1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44" t="str">
        <f t="shared" si="27"/>
        <v>SPEARMAN_SPAIN</v>
      </c>
      <c r="B1570" s="9" t="s">
        <v>106</v>
      </c>
      <c r="C1570" s="4" t="s">
        <v>738</v>
      </c>
      <c r="E1570" s="4" t="s">
        <v>106</v>
      </c>
      <c r="F1570" s="4" t="s">
        <v>106</v>
      </c>
      <c r="H1570" s="4" t="s">
        <v>1019</v>
      </c>
      <c r="I1570" s="4" t="s">
        <v>2089</v>
      </c>
      <c r="Q1570" s="11">
        <v>3</v>
      </c>
      <c r="T1570" s="11">
        <v>4</v>
      </c>
      <c r="Z1570" s="9">
        <v>0</v>
      </c>
      <c r="AF1570" s="11">
        <v>1</v>
      </c>
      <c r="AI1570" s="11">
        <v>2</v>
      </c>
      <c r="AL1570" s="11"/>
      <c r="AM1570" s="11"/>
      <c r="AN1570" s="11"/>
      <c r="AO1570" s="11"/>
      <c r="AP1570" s="11"/>
      <c r="AQ1570" s="11"/>
    </row>
    <row r="1571" spans="1:43" x14ac:dyDescent="0.25">
      <c r="A1571" s="44" t="str">
        <f t="shared" si="27"/>
        <v>SPEARMAN_SPAIN</v>
      </c>
      <c r="B1571" s="9" t="s">
        <v>106</v>
      </c>
      <c r="C1571" s="4" t="s">
        <v>738</v>
      </c>
      <c r="E1571" s="4" t="s">
        <v>106</v>
      </c>
      <c r="F1571" s="4" t="s">
        <v>106</v>
      </c>
      <c r="G1571" s="4" t="s">
        <v>2039</v>
      </c>
      <c r="H1571" s="4" t="s">
        <v>662</v>
      </c>
      <c r="I1571" s="4" t="s">
        <v>2089</v>
      </c>
      <c r="Q1571" s="9">
        <v>2</v>
      </c>
      <c r="T1571" s="11">
        <v>3</v>
      </c>
      <c r="Z1571" s="9">
        <v>0</v>
      </c>
      <c r="AF1571" s="11">
        <v>0</v>
      </c>
      <c r="AI1571" s="11">
        <v>1</v>
      </c>
      <c r="AL1571" s="11"/>
      <c r="AM1571" s="11"/>
      <c r="AN1571" s="11"/>
      <c r="AO1571" s="11"/>
      <c r="AP1571" s="11"/>
      <c r="AQ1571" s="11"/>
    </row>
    <row r="1572" spans="1:43" x14ac:dyDescent="0.25">
      <c r="A1572" s="44" t="str">
        <f t="shared" si="27"/>
        <v>SPEARMAN_SPAIN</v>
      </c>
      <c r="B1572" s="9" t="s">
        <v>106</v>
      </c>
      <c r="C1572" s="4" t="s">
        <v>738</v>
      </c>
      <c r="E1572" s="4" t="s">
        <v>106</v>
      </c>
      <c r="F1572" s="4" t="s">
        <v>106</v>
      </c>
      <c r="H1572" s="4" t="s">
        <v>1019</v>
      </c>
      <c r="I1572" s="4" t="s">
        <v>2089</v>
      </c>
      <c r="Q1572" s="9">
        <v>3</v>
      </c>
      <c r="T1572" s="11">
        <v>4</v>
      </c>
      <c r="Z1572" s="9">
        <v>0</v>
      </c>
      <c r="AF1572" s="11">
        <v>0</v>
      </c>
      <c r="AI1572" s="11">
        <v>1</v>
      </c>
      <c r="AL1572" s="11"/>
      <c r="AM1572" s="11"/>
      <c r="AN1572" s="11"/>
      <c r="AO1572" s="11"/>
      <c r="AP1572" s="11"/>
      <c r="AQ1572" s="11"/>
    </row>
    <row r="1573" spans="1:43" x14ac:dyDescent="0.25">
      <c r="A1573" s="44" t="str">
        <f t="shared" si="27"/>
        <v>SPEARMAN_SPAIN</v>
      </c>
      <c r="B1573" s="9" t="s">
        <v>106</v>
      </c>
      <c r="C1573" s="4" t="s">
        <v>738</v>
      </c>
      <c r="E1573" s="4" t="s">
        <v>106</v>
      </c>
      <c r="F1573" s="4" t="s">
        <v>106</v>
      </c>
      <c r="G1573" s="4" t="s">
        <v>2039</v>
      </c>
      <c r="H1573" s="4" t="s">
        <v>662</v>
      </c>
      <c r="I1573" s="4" t="s">
        <v>2089</v>
      </c>
      <c r="Q1573" s="9">
        <v>2</v>
      </c>
      <c r="T1573" s="11">
        <v>3</v>
      </c>
      <c r="Z1573" s="9">
        <v>0</v>
      </c>
      <c r="AF1573" s="11">
        <v>0</v>
      </c>
      <c r="AI1573" s="11">
        <v>1</v>
      </c>
      <c r="AL1573" s="11"/>
      <c r="AM1573" s="11"/>
      <c r="AN1573" s="11"/>
      <c r="AO1573" s="11"/>
      <c r="AP1573" s="11"/>
      <c r="AQ1573" s="11"/>
    </row>
    <row r="1574" spans="1:43" x14ac:dyDescent="0.25">
      <c r="A1574" s="44" t="str">
        <f t="shared" si="27"/>
        <v>SPEARMAN_MIDEAST</v>
      </c>
      <c r="B1574" s="9" t="s">
        <v>106</v>
      </c>
      <c r="C1574" s="4" t="s">
        <v>690</v>
      </c>
      <c r="E1574" s="4" t="s">
        <v>106</v>
      </c>
      <c r="F1574" s="4" t="s">
        <v>106</v>
      </c>
      <c r="H1574" s="4" t="s">
        <v>563</v>
      </c>
      <c r="I1574" s="4" t="s">
        <v>102</v>
      </c>
      <c r="Q1574" s="9" t="s">
        <v>1734</v>
      </c>
      <c r="T1574" s="9"/>
      <c r="W1574" s="9"/>
      <c r="Z1574" s="9"/>
      <c r="AF1574" s="9"/>
      <c r="AI1574" s="9"/>
      <c r="AL1574" s="11"/>
      <c r="AM1574" s="11"/>
      <c r="AN1574" s="11"/>
      <c r="AO1574" s="11"/>
      <c r="AP1574" s="11"/>
      <c r="AQ1574" s="11"/>
    </row>
    <row r="1575" spans="1:43" x14ac:dyDescent="0.25">
      <c r="A1575" s="44" t="str">
        <f t="shared" si="27"/>
        <v>SPEARMAN_ARABIA</v>
      </c>
      <c r="B1575" s="9" t="s">
        <v>106</v>
      </c>
      <c r="C1575" s="4" t="s">
        <v>700</v>
      </c>
      <c r="D1575" s="14"/>
      <c r="E1575" s="4" t="s">
        <v>106</v>
      </c>
      <c r="F1575" s="4" t="s">
        <v>106</v>
      </c>
      <c r="G1575" s="14"/>
      <c r="H1575" s="4" t="s">
        <v>170</v>
      </c>
      <c r="I1575" s="4" t="s">
        <v>2089</v>
      </c>
      <c r="Q1575" s="9" t="s">
        <v>1734</v>
      </c>
      <c r="T1575" s="9"/>
      <c r="W1575" s="9"/>
      <c r="AF1575" s="9"/>
      <c r="AI1575" s="9"/>
      <c r="AL1575" s="11"/>
      <c r="AM1575" s="11"/>
      <c r="AN1575" s="11"/>
      <c r="AO1575" s="11"/>
      <c r="AP1575" s="11"/>
      <c r="AQ1575" s="11"/>
    </row>
    <row r="1576" spans="1:43" x14ac:dyDescent="0.25">
      <c r="A1576" s="44" t="str">
        <f t="shared" si="27"/>
        <v>SPEARMAN_BABYLON</v>
      </c>
      <c r="B1576" s="9" t="s">
        <v>106</v>
      </c>
      <c r="C1576" s="4" t="s">
        <v>703</v>
      </c>
      <c r="E1576" s="4" t="s">
        <v>106</v>
      </c>
      <c r="F1576" s="4" t="s">
        <v>106</v>
      </c>
      <c r="G1576" s="14"/>
      <c r="H1576" s="4" t="s">
        <v>217</v>
      </c>
      <c r="I1576" s="4" t="s">
        <v>102</v>
      </c>
      <c r="Q1576" s="9" t="s">
        <v>1734</v>
      </c>
      <c r="T1576" s="9"/>
      <c r="W1576" s="9"/>
      <c r="Z1576" s="9"/>
      <c r="AF1576" s="9"/>
      <c r="AI1576" s="9"/>
      <c r="AL1576" s="11"/>
      <c r="AM1576" s="11"/>
      <c r="AN1576" s="11"/>
      <c r="AO1576" s="11"/>
      <c r="AP1576" s="11"/>
      <c r="AQ1576" s="11"/>
    </row>
    <row r="1577" spans="1:43" x14ac:dyDescent="0.25">
      <c r="A1577" s="44" t="str">
        <f t="shared" si="27"/>
        <v>SPEARMAN_EGYPT</v>
      </c>
      <c r="B1577" s="9" t="s">
        <v>106</v>
      </c>
      <c r="C1577" s="4" t="s">
        <v>712</v>
      </c>
      <c r="E1577" s="4" t="s">
        <v>106</v>
      </c>
      <c r="F1577" s="4" t="s">
        <v>106</v>
      </c>
      <c r="G1577" s="14" t="s">
        <v>132</v>
      </c>
      <c r="H1577" s="4" t="s">
        <v>287</v>
      </c>
      <c r="I1577" s="4" t="s">
        <v>2089</v>
      </c>
      <c r="Q1577" s="9" t="s">
        <v>1734</v>
      </c>
      <c r="T1577" s="9"/>
      <c r="W1577" s="9"/>
      <c r="Z1577" s="9"/>
      <c r="AF1577" s="9"/>
      <c r="AI1577" s="9"/>
      <c r="AL1577" s="11"/>
      <c r="AM1577" s="11"/>
      <c r="AN1577" s="11"/>
      <c r="AO1577" s="11"/>
      <c r="AP1577" s="11"/>
      <c r="AQ1577" s="11"/>
    </row>
    <row r="1578" spans="1:43" x14ac:dyDescent="0.25">
      <c r="A1578" s="44" t="str">
        <f t="shared" si="27"/>
        <v>SPEARMAN_GARAMANTES</v>
      </c>
      <c r="B1578" s="9" t="s">
        <v>106</v>
      </c>
      <c r="C1578" s="4" t="s">
        <v>716</v>
      </c>
      <c r="E1578" s="4" t="s">
        <v>106</v>
      </c>
      <c r="F1578" s="4" t="s">
        <v>106</v>
      </c>
      <c r="G1578" s="14" t="s">
        <v>132</v>
      </c>
      <c r="H1578" s="4" t="s">
        <v>363</v>
      </c>
      <c r="I1578" s="4" t="s">
        <v>1025</v>
      </c>
      <c r="Q1578" s="9" t="s">
        <v>1734</v>
      </c>
      <c r="T1578" s="9"/>
      <c r="W1578" s="9"/>
      <c r="Z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44" t="str">
        <f t="shared" si="27"/>
        <v>SPEARMAN_NORTHEU</v>
      </c>
      <c r="B1579" s="9" t="s">
        <v>106</v>
      </c>
      <c r="C1579" s="4" t="s">
        <v>962</v>
      </c>
      <c r="E1579" s="4" t="s">
        <v>106</v>
      </c>
      <c r="F1579" s="4" t="s">
        <v>106</v>
      </c>
      <c r="G1579" s="14" t="s">
        <v>132</v>
      </c>
      <c r="H1579" s="4" t="s">
        <v>272</v>
      </c>
      <c r="I1579" s="4" t="s">
        <v>102</v>
      </c>
      <c r="Q1579" s="9" t="s">
        <v>1734</v>
      </c>
      <c r="T1579" s="9"/>
      <c r="W1579" s="9"/>
      <c r="Z1579" s="9"/>
      <c r="AF1579" s="9"/>
      <c r="AI1579" s="9"/>
      <c r="AL1579" s="11"/>
      <c r="AM1579" s="11"/>
      <c r="AN1579" s="11"/>
      <c r="AO1579" s="11"/>
      <c r="AP1579" s="11"/>
      <c r="AQ1579" s="11"/>
    </row>
    <row r="1580" spans="1:43" x14ac:dyDescent="0.25">
      <c r="A1580" s="44" t="str">
        <f t="shared" si="27"/>
        <v>SPEARMAN_OCEAN</v>
      </c>
      <c r="B1580" s="9" t="s">
        <v>106</v>
      </c>
      <c r="C1580" s="4" t="s">
        <v>994</v>
      </c>
      <c r="D1580" s="4" t="s">
        <v>691</v>
      </c>
      <c r="E1580" s="4" t="s">
        <v>106</v>
      </c>
      <c r="F1580" s="4" t="s">
        <v>106</v>
      </c>
      <c r="Q1580" s="9"/>
      <c r="T1580" s="9"/>
      <c r="W1580" s="9"/>
      <c r="AF1580" s="9"/>
      <c r="AI1580" s="9"/>
      <c r="AL1580" s="11"/>
      <c r="AM1580" s="11"/>
      <c r="AN1580" s="11"/>
      <c r="AO1580" s="11"/>
      <c r="AP1580" s="11"/>
      <c r="AQ1580" s="11"/>
    </row>
    <row r="1581" spans="1:43" x14ac:dyDescent="0.25">
      <c r="A1581" s="44" t="str">
        <f t="shared" si="27"/>
        <v>SPEARMAN_SEASIA</v>
      </c>
      <c r="B1581" s="9" t="s">
        <v>106</v>
      </c>
      <c r="C1581" s="4" t="s">
        <v>696</v>
      </c>
      <c r="D1581" s="4" t="s">
        <v>693</v>
      </c>
      <c r="E1581" s="4" t="s">
        <v>106</v>
      </c>
      <c r="F1581" s="4" t="s">
        <v>106</v>
      </c>
      <c r="Q1581" s="9"/>
      <c r="T1581" s="9"/>
      <c r="W1581" s="9"/>
      <c r="AF1581" s="9"/>
      <c r="AI1581" s="9"/>
      <c r="AL1581" s="11"/>
      <c r="AM1581" s="11"/>
      <c r="AN1581" s="11"/>
      <c r="AO1581" s="11"/>
      <c r="AP1581" s="11"/>
      <c r="AQ1581" s="11"/>
    </row>
    <row r="1582" spans="1:43" x14ac:dyDescent="0.25">
      <c r="A1582" s="44" t="str">
        <f t="shared" si="27"/>
        <v>SPEARMAN_SOUTHAM</v>
      </c>
      <c r="B1582" s="9" t="s">
        <v>106</v>
      </c>
      <c r="C1582" s="4" t="s">
        <v>691</v>
      </c>
      <c r="E1582" s="4" t="s">
        <v>106</v>
      </c>
      <c r="F1582" s="4" t="s">
        <v>106</v>
      </c>
      <c r="H1582" s="4" t="s">
        <v>522</v>
      </c>
      <c r="I1582" s="4" t="s">
        <v>102</v>
      </c>
      <c r="Q1582" s="9" t="s">
        <v>1734</v>
      </c>
      <c r="T1582" s="9"/>
      <c r="W1582" s="9"/>
      <c r="Z1582" s="9"/>
      <c r="AF1582" s="9"/>
      <c r="AI1582" s="9"/>
      <c r="AL1582" s="11"/>
      <c r="AM1582" s="11"/>
      <c r="AN1582" s="11"/>
      <c r="AO1582" s="11"/>
      <c r="AP1582" s="11"/>
      <c r="AQ1582" s="11"/>
    </row>
    <row r="1583" spans="1:43" x14ac:dyDescent="0.25">
      <c r="A1583" s="44" t="str">
        <f t="shared" ref="A1583:A1675" si="29">CONCATENATE(E1583,IF(ISBLANK(C1583),"",CONCATENATE("_",C1583)))</f>
        <v>SPEARMAN_AZTEC</v>
      </c>
      <c r="B1583" s="9" t="s">
        <v>106</v>
      </c>
      <c r="C1583" s="4" t="s">
        <v>702</v>
      </c>
      <c r="E1583" s="4" t="s">
        <v>106</v>
      </c>
      <c r="F1583" s="4" t="s">
        <v>106</v>
      </c>
      <c r="G1583" s="14"/>
      <c r="H1583" s="4" t="s">
        <v>202</v>
      </c>
      <c r="I1583" s="4" t="s">
        <v>102</v>
      </c>
      <c r="Q1583" s="9" t="s">
        <v>1734</v>
      </c>
      <c r="T1583" s="9"/>
      <c r="W1583" s="9"/>
      <c r="Z1583" s="9"/>
      <c r="AF1583" s="9"/>
      <c r="AI1583" s="9"/>
      <c r="AL1583" s="11"/>
      <c r="AM1583" s="11"/>
      <c r="AN1583" s="11"/>
      <c r="AO1583" s="11"/>
      <c r="AP1583" s="11"/>
      <c r="AQ1583" s="11"/>
    </row>
    <row r="1584" spans="1:43" x14ac:dyDescent="0.25">
      <c r="A1584" s="44" t="str">
        <f t="shared" si="29"/>
        <v>SPEARMAN_INCA</v>
      </c>
      <c r="B1584" s="9" t="s">
        <v>106</v>
      </c>
      <c r="C1584" s="4" t="s">
        <v>719</v>
      </c>
      <c r="E1584" s="4" t="s">
        <v>106</v>
      </c>
      <c r="F1584" s="4" t="s">
        <v>106</v>
      </c>
      <c r="G1584" s="14" t="s">
        <v>132</v>
      </c>
      <c r="H1584" s="4" t="s">
        <v>428</v>
      </c>
      <c r="I1584" s="4" t="s">
        <v>102</v>
      </c>
      <c r="Q1584" s="9" t="s">
        <v>1734</v>
      </c>
      <c r="T1584" s="9"/>
      <c r="W1584" s="9"/>
      <c r="Z1584" s="9"/>
      <c r="AF1584" s="9"/>
      <c r="AI1584" s="9"/>
      <c r="AL1584" s="11"/>
      <c r="AM1584" s="11"/>
      <c r="AN1584" s="11"/>
      <c r="AO1584" s="11"/>
      <c r="AP1584" s="11"/>
      <c r="AQ1584" s="11"/>
    </row>
    <row r="1585" spans="1:43" x14ac:dyDescent="0.25">
      <c r="A1585" s="44" t="str">
        <f t="shared" si="29"/>
        <v>SPEARMAN_MAYA</v>
      </c>
      <c r="B1585" s="9" t="s">
        <v>106</v>
      </c>
      <c r="C1585" s="4" t="s">
        <v>725</v>
      </c>
      <c r="E1585" s="4" t="s">
        <v>106</v>
      </c>
      <c r="F1585" s="4" t="s">
        <v>106</v>
      </c>
      <c r="H1585" s="4" t="s">
        <v>974</v>
      </c>
      <c r="I1585" s="4" t="s">
        <v>1025</v>
      </c>
      <c r="Q1585" s="11">
        <v>0</v>
      </c>
      <c r="T1585" s="11">
        <v>3</v>
      </c>
      <c r="Z1585" s="9">
        <v>1</v>
      </c>
      <c r="AF1585" s="11">
        <v>1</v>
      </c>
      <c r="AI1585" s="11">
        <v>1</v>
      </c>
      <c r="AL1585" s="11"/>
      <c r="AM1585" s="11"/>
      <c r="AN1585" s="11"/>
      <c r="AO1585" s="11"/>
      <c r="AP1585" s="11"/>
      <c r="AQ1585" s="11"/>
    </row>
    <row r="1586" spans="1:43" x14ac:dyDescent="0.25">
      <c r="A1586" s="44" t="str">
        <f t="shared" si="29"/>
        <v>SPEARMAN_MAYA</v>
      </c>
      <c r="B1586" s="9" t="s">
        <v>106</v>
      </c>
      <c r="C1586" s="4" t="s">
        <v>725</v>
      </c>
      <c r="E1586" s="4" t="s">
        <v>106</v>
      </c>
      <c r="F1586" s="4" t="s">
        <v>106</v>
      </c>
      <c r="G1586" s="4" t="s">
        <v>2039</v>
      </c>
      <c r="H1586" s="4" t="s">
        <v>522</v>
      </c>
      <c r="I1586" s="4" t="s">
        <v>102</v>
      </c>
      <c r="Q1586" s="11">
        <v>3</v>
      </c>
      <c r="T1586" s="11">
        <v>4</v>
      </c>
      <c r="Z1586" s="9">
        <v>0</v>
      </c>
      <c r="AF1586" s="11">
        <v>1</v>
      </c>
      <c r="AI1586" s="11">
        <v>1</v>
      </c>
      <c r="AL1586" s="11"/>
      <c r="AM1586" s="11"/>
      <c r="AN1586" s="11"/>
      <c r="AO1586" s="11"/>
      <c r="AP1586" s="11"/>
      <c r="AQ1586" s="11"/>
    </row>
    <row r="1587" spans="1:43" x14ac:dyDescent="0.25">
      <c r="A1587" s="44" t="str">
        <f t="shared" si="29"/>
        <v>SPEARMAN_MAYA</v>
      </c>
      <c r="B1587" s="9" t="s">
        <v>106</v>
      </c>
      <c r="C1587" s="4" t="s">
        <v>725</v>
      </c>
      <c r="E1587" s="4" t="s">
        <v>106</v>
      </c>
      <c r="F1587" s="4" t="s">
        <v>106</v>
      </c>
      <c r="H1587" s="4" t="s">
        <v>974</v>
      </c>
      <c r="I1587" s="4" t="s">
        <v>1025</v>
      </c>
      <c r="Q1587" s="11">
        <v>3</v>
      </c>
      <c r="T1587" s="11">
        <v>4</v>
      </c>
      <c r="Z1587" s="9">
        <v>0</v>
      </c>
      <c r="AF1587" s="11">
        <v>1</v>
      </c>
      <c r="AI1587" s="11">
        <v>2</v>
      </c>
      <c r="AL1587" s="11"/>
      <c r="AM1587" s="11"/>
      <c r="AN1587" s="11"/>
      <c r="AO1587" s="11"/>
      <c r="AP1587" s="11"/>
      <c r="AQ1587" s="11"/>
    </row>
    <row r="1588" spans="1:43" x14ac:dyDescent="0.25">
      <c r="A1588" s="44" t="str">
        <f t="shared" si="29"/>
        <v>SPEARMAN_MAYA</v>
      </c>
      <c r="B1588" s="9" t="s">
        <v>106</v>
      </c>
      <c r="C1588" s="4" t="s">
        <v>725</v>
      </c>
      <c r="E1588" s="4" t="s">
        <v>106</v>
      </c>
      <c r="F1588" s="4" t="s">
        <v>106</v>
      </c>
      <c r="G1588" s="4" t="s">
        <v>2039</v>
      </c>
      <c r="H1588" s="4" t="s">
        <v>522</v>
      </c>
      <c r="I1588" s="4" t="s">
        <v>102</v>
      </c>
      <c r="Q1588" s="9">
        <v>1</v>
      </c>
      <c r="T1588" s="11">
        <v>3</v>
      </c>
      <c r="Z1588" s="9">
        <v>0</v>
      </c>
      <c r="AF1588" s="11">
        <v>0</v>
      </c>
      <c r="AI1588" s="11">
        <v>1</v>
      </c>
      <c r="AL1588" s="11"/>
      <c r="AM1588" s="11"/>
      <c r="AN1588" s="11"/>
      <c r="AO1588" s="11"/>
      <c r="AP1588" s="11"/>
      <c r="AQ1588" s="11"/>
    </row>
    <row r="1589" spans="1:43" x14ac:dyDescent="0.25">
      <c r="A1589" s="44" t="str">
        <f t="shared" si="29"/>
        <v>SPEARMAN_MAYA</v>
      </c>
      <c r="B1589" s="9" t="s">
        <v>106</v>
      </c>
      <c r="C1589" s="4" t="s">
        <v>725</v>
      </c>
      <c r="E1589" s="4" t="s">
        <v>106</v>
      </c>
      <c r="F1589" s="4" t="s">
        <v>106</v>
      </c>
      <c r="H1589" s="4" t="s">
        <v>974</v>
      </c>
      <c r="I1589" s="4" t="s">
        <v>1025</v>
      </c>
      <c r="Q1589" s="9">
        <v>3</v>
      </c>
      <c r="T1589" s="11">
        <v>3</v>
      </c>
      <c r="Z1589" s="9">
        <v>0</v>
      </c>
      <c r="AF1589" s="11">
        <v>0</v>
      </c>
      <c r="AI1589" s="11">
        <v>1</v>
      </c>
      <c r="AL1589" s="11"/>
      <c r="AM1589" s="11"/>
      <c r="AN1589" s="11"/>
      <c r="AO1589" s="11"/>
      <c r="AP1589" s="11"/>
      <c r="AQ1589" s="11"/>
    </row>
    <row r="1590" spans="1:43" x14ac:dyDescent="0.25">
      <c r="A1590" s="44" t="str">
        <f t="shared" si="29"/>
        <v>SPEARMAN_MAYA</v>
      </c>
      <c r="B1590" s="9" t="s">
        <v>106</v>
      </c>
      <c r="C1590" s="4" t="s">
        <v>725</v>
      </c>
      <c r="E1590" s="4" t="s">
        <v>106</v>
      </c>
      <c r="F1590" s="4" t="s">
        <v>106</v>
      </c>
      <c r="G1590" s="4" t="s">
        <v>2039</v>
      </c>
      <c r="H1590" s="4" t="s">
        <v>522</v>
      </c>
      <c r="I1590" s="4" t="s">
        <v>102</v>
      </c>
      <c r="Q1590" s="9">
        <v>2</v>
      </c>
      <c r="T1590" s="11">
        <v>3</v>
      </c>
      <c r="Z1590" s="9">
        <v>0</v>
      </c>
      <c r="AF1590" s="11">
        <v>0</v>
      </c>
      <c r="AI1590" s="11">
        <v>1</v>
      </c>
      <c r="AL1590" s="11"/>
      <c r="AM1590" s="11"/>
      <c r="AN1590" s="11"/>
      <c r="AO1590" s="11"/>
      <c r="AP1590" s="11"/>
      <c r="AQ1590" s="11"/>
    </row>
    <row r="1591" spans="1:43" x14ac:dyDescent="0.25">
      <c r="A1591" s="44" t="str">
        <f t="shared" si="29"/>
        <v>SPEARMAN_SOUTHAS</v>
      </c>
      <c r="B1591" s="9" t="s">
        <v>106</v>
      </c>
      <c r="C1591" s="4" t="s">
        <v>695</v>
      </c>
      <c r="D1591" s="4" t="s">
        <v>693</v>
      </c>
      <c r="E1591" s="4" t="s">
        <v>106</v>
      </c>
      <c r="F1591" s="4" t="s">
        <v>106</v>
      </c>
      <c r="Q1591" s="9"/>
      <c r="T1591" s="9"/>
      <c r="W1591" s="9"/>
      <c r="AF1591" s="9"/>
      <c r="AI1591" s="9"/>
      <c r="AL1591" s="11"/>
      <c r="AM1591" s="11"/>
      <c r="AN1591" s="11"/>
      <c r="AO1591" s="11"/>
      <c r="AP1591" s="11"/>
      <c r="AQ1591" s="11"/>
    </row>
    <row r="1592" spans="1:43" x14ac:dyDescent="0.25">
      <c r="A1592" s="44" t="str">
        <f t="shared" si="29"/>
        <v>SPEARMAN_INDIA</v>
      </c>
      <c r="B1592" s="9" t="s">
        <v>106</v>
      </c>
      <c r="C1592" s="4" t="s">
        <v>720</v>
      </c>
      <c r="E1592" s="4" t="s">
        <v>106</v>
      </c>
      <c r="F1592" s="4" t="s">
        <v>106</v>
      </c>
      <c r="G1592" s="14" t="s">
        <v>132</v>
      </c>
      <c r="H1592" s="4" t="s">
        <v>443</v>
      </c>
      <c r="I1592" s="4" t="s">
        <v>102</v>
      </c>
      <c r="Q1592" s="9" t="s">
        <v>1734</v>
      </c>
      <c r="T1592" s="9">
        <v>20</v>
      </c>
      <c r="W1592" s="9"/>
      <c r="Z1592" s="9">
        <v>1</v>
      </c>
      <c r="AF1592" s="9" t="s">
        <v>1734</v>
      </c>
      <c r="AI1592" s="9" t="s">
        <v>1734</v>
      </c>
      <c r="AL1592" s="11"/>
      <c r="AM1592" s="11"/>
      <c r="AN1592" s="11"/>
      <c r="AO1592" s="11"/>
      <c r="AP1592" s="11"/>
      <c r="AQ1592" s="11"/>
    </row>
    <row r="1593" spans="1:43" x14ac:dyDescent="0.25">
      <c r="A1593" s="44" t="str">
        <f t="shared" si="29"/>
        <v>SS_BOOSTER</v>
      </c>
      <c r="B1593" s="9" t="s">
        <v>1074</v>
      </c>
      <c r="C1593" s="5"/>
      <c r="D1593" s="5"/>
      <c r="E1593" s="5" t="s">
        <v>1074</v>
      </c>
      <c r="F1593" s="5" t="s">
        <v>1074</v>
      </c>
      <c r="G1593" s="5"/>
      <c r="H1593" s="5" t="s">
        <v>1114</v>
      </c>
      <c r="I1593" s="5" t="s">
        <v>128</v>
      </c>
      <c r="J1593" s="6"/>
      <c r="K1593" s="6"/>
      <c r="L1593" s="13" t="s">
        <v>1706</v>
      </c>
      <c r="M1593" s="8"/>
      <c r="N1593" s="5"/>
      <c r="O1593" s="5"/>
      <c r="P1593" s="5"/>
      <c r="Q1593" s="7">
        <v>1</v>
      </c>
      <c r="R1593" s="6">
        <v>0.1</v>
      </c>
      <c r="S1593" s="5"/>
      <c r="T1593" s="6"/>
      <c r="U1593" s="6">
        <v>0.12</v>
      </c>
      <c r="V1593" s="5"/>
      <c r="W1593" s="6"/>
      <c r="X1593" s="6" t="s">
        <v>3</v>
      </c>
      <c r="Y1593" s="5"/>
      <c r="Z1593" s="6"/>
      <c r="AA1593" s="6"/>
      <c r="AB1593" s="5"/>
      <c r="AC1593" s="6"/>
      <c r="AD1593" s="6" t="s">
        <v>3</v>
      </c>
      <c r="AE1593" s="5"/>
      <c r="AF1593" s="6"/>
      <c r="AG1593" s="6"/>
      <c r="AH1593" s="5"/>
      <c r="AI1593" s="6"/>
      <c r="AJ1593" s="6"/>
      <c r="AK1593" s="5"/>
      <c r="AL1593" s="6"/>
      <c r="AM1593" s="6"/>
      <c r="AN1593" s="6"/>
      <c r="AO1593" s="6"/>
      <c r="AP1593" s="6"/>
      <c r="AQ1593" s="6"/>
    </row>
    <row r="1594" spans="1:43" x14ac:dyDescent="0.25">
      <c r="A1594" s="44" t="str">
        <f t="shared" si="29"/>
        <v>SS_CAPSULE</v>
      </c>
      <c r="B1594" s="9" t="s">
        <v>2288</v>
      </c>
      <c r="C1594" s="5"/>
      <c r="D1594" s="5"/>
      <c r="E1594" s="5" t="s">
        <v>1075</v>
      </c>
      <c r="F1594" s="5" t="s">
        <v>1075</v>
      </c>
      <c r="G1594" s="5"/>
      <c r="H1594" s="5" t="s">
        <v>1115</v>
      </c>
      <c r="I1594" s="5" t="s">
        <v>128</v>
      </c>
      <c r="J1594" s="6"/>
      <c r="K1594" s="6"/>
      <c r="L1594" s="13" t="s">
        <v>1706</v>
      </c>
      <c r="M1594" s="8"/>
      <c r="N1594" s="5"/>
      <c r="O1594" s="5"/>
      <c r="P1594" s="5"/>
      <c r="Q1594" s="7">
        <v>1</v>
      </c>
      <c r="R1594" s="6">
        <v>0.1</v>
      </c>
      <c r="S1594" s="5"/>
      <c r="T1594" s="6"/>
      <c r="U1594" s="6">
        <v>0.12</v>
      </c>
      <c r="V1594" s="5"/>
      <c r="W1594" s="6"/>
      <c r="X1594" s="6" t="s">
        <v>3</v>
      </c>
      <c r="Y1594" s="5"/>
      <c r="Z1594" s="6"/>
      <c r="AA1594" s="6"/>
      <c r="AB1594" s="5"/>
      <c r="AC1594" s="6"/>
      <c r="AD1594" s="6" t="s">
        <v>3</v>
      </c>
      <c r="AE1594" s="5"/>
      <c r="AF1594" s="6"/>
      <c r="AG1594" s="6"/>
      <c r="AH1594" s="5"/>
      <c r="AI1594" s="6"/>
      <c r="AJ1594" s="6"/>
      <c r="AK1594" s="5"/>
      <c r="AL1594" s="6"/>
      <c r="AM1594" s="6"/>
      <c r="AN1594" s="6"/>
      <c r="AO1594" s="6"/>
      <c r="AP1594" s="6"/>
      <c r="AQ1594" s="6"/>
    </row>
    <row r="1595" spans="1:43" x14ac:dyDescent="0.25">
      <c r="A1595" s="44" t="str">
        <f t="shared" si="29"/>
        <v>SS_ENGINE</v>
      </c>
      <c r="B1595" s="9" t="s">
        <v>1076</v>
      </c>
      <c r="C1595" s="5"/>
      <c r="D1595" s="5"/>
      <c r="E1595" s="5" t="s">
        <v>1076</v>
      </c>
      <c r="F1595" s="5" t="s">
        <v>1076</v>
      </c>
      <c r="G1595" s="5"/>
      <c r="H1595" s="5" t="s">
        <v>1116</v>
      </c>
      <c r="I1595" s="5" t="s">
        <v>128</v>
      </c>
      <c r="J1595" s="6"/>
      <c r="K1595" s="6"/>
      <c r="L1595" s="13" t="s">
        <v>1706</v>
      </c>
      <c r="M1595" s="8"/>
      <c r="N1595" s="5"/>
      <c r="O1595" s="5"/>
      <c r="P1595" s="5"/>
      <c r="Q1595" s="7">
        <v>1</v>
      </c>
      <c r="R1595" s="6">
        <v>0.1</v>
      </c>
      <c r="S1595" s="5"/>
      <c r="T1595" s="6"/>
      <c r="U1595" s="6">
        <v>0.12</v>
      </c>
      <c r="V1595" s="5"/>
      <c r="W1595" s="6"/>
      <c r="X1595" s="6" t="s">
        <v>3</v>
      </c>
      <c r="Y1595" s="5"/>
      <c r="Z1595" s="6"/>
      <c r="AA1595" s="6"/>
      <c r="AB1595" s="5"/>
      <c r="AC1595" s="6"/>
      <c r="AD1595" s="6" t="s">
        <v>3</v>
      </c>
      <c r="AE1595" s="5"/>
      <c r="AF1595" s="6"/>
      <c r="AG1595" s="6"/>
      <c r="AH1595" s="5"/>
      <c r="AI1595" s="6"/>
      <c r="AJ1595" s="6"/>
      <c r="AK1595" s="5"/>
      <c r="AL1595" s="6"/>
      <c r="AM1595" s="6"/>
      <c r="AN1595" s="6"/>
      <c r="AO1595" s="6"/>
      <c r="AP1595" s="6"/>
      <c r="AQ1595" s="6"/>
    </row>
    <row r="1596" spans="1:43" x14ac:dyDescent="0.25">
      <c r="A1596" s="44" t="str">
        <f t="shared" si="29"/>
        <v>SS_STASIS_CHAMBER</v>
      </c>
      <c r="B1596" s="9" t="s">
        <v>1077</v>
      </c>
      <c r="C1596" s="5"/>
      <c r="D1596" s="5"/>
      <c r="E1596" s="5" t="s">
        <v>1077</v>
      </c>
      <c r="F1596" s="5" t="s">
        <v>1077</v>
      </c>
      <c r="G1596" s="5"/>
      <c r="H1596" s="5" t="s">
        <v>1117</v>
      </c>
      <c r="I1596" s="5" t="s">
        <v>128</v>
      </c>
      <c r="J1596" s="6"/>
      <c r="K1596" s="6"/>
      <c r="L1596" s="13" t="s">
        <v>1711</v>
      </c>
      <c r="M1596" s="8"/>
      <c r="N1596" s="5"/>
      <c r="O1596" s="5"/>
      <c r="P1596" s="5"/>
      <c r="Q1596" s="7">
        <v>1</v>
      </c>
      <c r="R1596" s="6">
        <v>0.1</v>
      </c>
      <c r="S1596" s="5"/>
      <c r="T1596" s="6"/>
      <c r="U1596" s="7">
        <v>0.12</v>
      </c>
      <c r="V1596" s="5"/>
      <c r="W1596" s="6"/>
      <c r="X1596" s="6" t="s">
        <v>3</v>
      </c>
      <c r="Y1596" s="5"/>
      <c r="Z1596" s="6"/>
      <c r="AA1596" s="6"/>
      <c r="AB1596" s="5"/>
      <c r="AC1596" s="6"/>
      <c r="AD1596" s="6" t="s">
        <v>3</v>
      </c>
      <c r="AE1596" s="5"/>
      <c r="AF1596" s="6"/>
      <c r="AG1596" s="6"/>
      <c r="AH1596" s="5"/>
      <c r="AI1596" s="6"/>
      <c r="AJ1596" s="6"/>
      <c r="AK1596" s="5"/>
      <c r="AL1596" s="6"/>
      <c r="AM1596" s="6"/>
      <c r="AN1596" s="6"/>
      <c r="AO1596" s="6"/>
      <c r="AP1596" s="6"/>
      <c r="AQ1596" s="6"/>
    </row>
    <row r="1597" spans="1:43" x14ac:dyDescent="0.25">
      <c r="A1597" s="44" t="str">
        <f t="shared" si="29"/>
        <v>STEALTH_BOMBER</v>
      </c>
      <c r="B1597" s="9" t="s">
        <v>774</v>
      </c>
      <c r="C1597" s="5"/>
      <c r="D1597" s="5"/>
      <c r="E1597" s="5" t="s">
        <v>774</v>
      </c>
      <c r="F1597" s="5" t="s">
        <v>802</v>
      </c>
      <c r="G1597" s="5"/>
      <c r="H1597" s="5" t="s">
        <v>1526</v>
      </c>
      <c r="I1597" s="5" t="s">
        <v>128</v>
      </c>
      <c r="J1597" s="6"/>
      <c r="K1597" s="7"/>
      <c r="L1597" s="13" t="s">
        <v>1708</v>
      </c>
      <c r="M1597" s="8">
        <v>2.35</v>
      </c>
      <c r="N1597" s="13" t="s">
        <v>1722</v>
      </c>
      <c r="O1597" s="13"/>
      <c r="P1597" s="13"/>
      <c r="Q1597" s="7">
        <v>1</v>
      </c>
      <c r="R1597" s="6">
        <v>0.08</v>
      </c>
      <c r="S1597" s="13" t="s">
        <v>1612</v>
      </c>
      <c r="T1597" s="6"/>
      <c r="U1597" s="6">
        <v>0.1</v>
      </c>
      <c r="V1597" s="5"/>
      <c r="W1597" s="6"/>
      <c r="X1597" s="6" t="s">
        <v>3</v>
      </c>
      <c r="Y1597" s="5"/>
      <c r="Z1597" s="6"/>
      <c r="AA1597" s="6"/>
      <c r="AB1597" s="5"/>
      <c r="AC1597" s="6"/>
      <c r="AD1597" s="6" t="s">
        <v>3</v>
      </c>
      <c r="AE1597" s="5"/>
      <c r="AF1597" s="6"/>
      <c r="AG1597" s="6"/>
      <c r="AH1597" s="5"/>
      <c r="AI1597" s="6"/>
      <c r="AJ1597" s="6"/>
      <c r="AK1597" s="5"/>
      <c r="AL1597" s="6"/>
      <c r="AM1597" s="6"/>
      <c r="AN1597" s="6"/>
      <c r="AO1597" s="6"/>
      <c r="AP1597" s="6"/>
      <c r="AQ1597" s="6"/>
    </row>
    <row r="1598" spans="1:43" x14ac:dyDescent="0.25">
      <c r="A1598" s="44" t="str">
        <f t="shared" si="29"/>
        <v>STEALTH_BOMBER_AUSTRIA</v>
      </c>
      <c r="B1598" s="9" t="s">
        <v>774</v>
      </c>
      <c r="C1598" s="4" t="s">
        <v>701</v>
      </c>
      <c r="D1598" s="4" t="s">
        <v>717</v>
      </c>
      <c r="E1598" s="4" t="s">
        <v>774</v>
      </c>
      <c r="F1598" s="4" t="s">
        <v>802</v>
      </c>
      <c r="G1598" s="14" t="s">
        <v>132</v>
      </c>
      <c r="Q1598" s="9"/>
      <c r="T1598" s="9"/>
      <c r="W1598" s="9"/>
      <c r="AF1598" s="9"/>
      <c r="AI1598" s="9"/>
      <c r="AL1598" s="11"/>
      <c r="AM1598" s="11"/>
      <c r="AN1598" s="11"/>
      <c r="AO1598" s="11"/>
      <c r="AP1598" s="11"/>
      <c r="AQ1598" s="11"/>
    </row>
    <row r="1599" spans="1:43" x14ac:dyDescent="0.25">
      <c r="A1599" s="44" t="str">
        <f t="shared" si="29"/>
        <v>STEALTH_BOMBER_GERMANY</v>
      </c>
      <c r="B1599" s="9" t="s">
        <v>774</v>
      </c>
      <c r="C1599" s="4" t="s">
        <v>717</v>
      </c>
      <c r="E1599" s="4" t="s">
        <v>774</v>
      </c>
      <c r="F1599" s="4" t="s">
        <v>802</v>
      </c>
      <c r="G1599" s="14" t="s">
        <v>132</v>
      </c>
      <c r="H1599" s="4" t="s">
        <v>389</v>
      </c>
      <c r="I1599" s="4" t="s">
        <v>1062</v>
      </c>
      <c r="AL1599" s="11"/>
      <c r="AM1599" s="11"/>
      <c r="AN1599" s="11"/>
      <c r="AO1599" s="11"/>
      <c r="AP1599" s="11"/>
      <c r="AQ1599" s="11"/>
    </row>
    <row r="1600" spans="1:43" x14ac:dyDescent="0.25">
      <c r="A1600" s="44" t="str">
        <f t="shared" si="29"/>
        <v>SUBMARINE</v>
      </c>
      <c r="B1600" s="9" t="s">
        <v>105</v>
      </c>
      <c r="C1600" s="5"/>
      <c r="D1600" s="5"/>
      <c r="E1600" s="5" t="s">
        <v>105</v>
      </c>
      <c r="F1600" s="5" t="s">
        <v>105</v>
      </c>
      <c r="G1600" s="5"/>
      <c r="H1600" s="5" t="s">
        <v>1718</v>
      </c>
      <c r="I1600" s="5" t="s">
        <v>102</v>
      </c>
      <c r="J1600" s="6"/>
      <c r="K1600" s="7"/>
      <c r="L1600" s="13" t="s">
        <v>1713</v>
      </c>
      <c r="M1600" s="8"/>
      <c r="N1600" s="13" t="s">
        <v>1724</v>
      </c>
      <c r="O1600" s="13"/>
      <c r="P1600" s="13"/>
      <c r="Q1600" s="7">
        <v>1</v>
      </c>
      <c r="R1600" s="6">
        <v>0.16</v>
      </c>
      <c r="S1600" s="5"/>
      <c r="T1600" s="7">
        <v>3</v>
      </c>
      <c r="U1600" s="6">
        <v>0.12</v>
      </c>
      <c r="V1600" s="5" t="s">
        <v>1700</v>
      </c>
      <c r="W1600" s="6"/>
      <c r="X1600" s="6"/>
      <c r="Y1600" s="5"/>
      <c r="Z1600" s="6"/>
      <c r="AA1600" s="6"/>
      <c r="AB1600" s="5"/>
      <c r="AC1600" s="6"/>
      <c r="AD1600" s="6"/>
      <c r="AE1600" s="5"/>
      <c r="AF1600" s="6"/>
      <c r="AG1600" s="6"/>
      <c r="AH1600" s="5"/>
      <c r="AI1600" s="6"/>
      <c r="AJ1600" s="6"/>
      <c r="AK1600" s="5"/>
      <c r="AL1600" s="6"/>
      <c r="AM1600" s="6"/>
      <c r="AN1600" s="6"/>
      <c r="AO1600" s="6"/>
      <c r="AP1600" s="6"/>
      <c r="AQ1600" s="6"/>
    </row>
    <row r="1601" spans="1:43" x14ac:dyDescent="0.25">
      <c r="A1601" s="44" t="str">
        <f t="shared" si="29"/>
        <v>SUBMARINE_ZULU</v>
      </c>
      <c r="B1601" s="9" t="s">
        <v>105</v>
      </c>
      <c r="C1601" s="5" t="s">
        <v>742</v>
      </c>
      <c r="D1601" s="5" t="s">
        <v>713</v>
      </c>
      <c r="E1601" s="5" t="s">
        <v>105</v>
      </c>
      <c r="F1601" s="5" t="s">
        <v>105</v>
      </c>
      <c r="G1601" s="5"/>
      <c r="H1601" s="5"/>
      <c r="I1601" s="5"/>
      <c r="J1601" s="6"/>
      <c r="K1601" s="7"/>
      <c r="L1601" s="13"/>
      <c r="M1601" s="8"/>
      <c r="N1601" s="13"/>
      <c r="O1601" s="13"/>
      <c r="P1601" s="13"/>
      <c r="Q1601" s="7"/>
      <c r="R1601" s="6"/>
      <c r="S1601" s="5"/>
      <c r="T1601" s="7"/>
      <c r="U1601" s="6"/>
      <c r="V1601" s="5"/>
      <c r="W1601" s="6"/>
      <c r="X1601" s="6"/>
      <c r="Y1601" s="5"/>
      <c r="Z1601" s="6"/>
      <c r="AA1601" s="6"/>
      <c r="AB1601" s="5"/>
      <c r="AC1601" s="6"/>
      <c r="AD1601" s="6"/>
      <c r="AE1601" s="5"/>
      <c r="AF1601" s="6"/>
      <c r="AG1601" s="6"/>
      <c r="AH1601" s="5"/>
      <c r="AI1601" s="6"/>
      <c r="AJ1601" s="6"/>
      <c r="AK1601" s="5"/>
      <c r="AL1601" s="6"/>
      <c r="AM1601" s="6"/>
      <c r="AN1601" s="6"/>
      <c r="AO1601" s="6"/>
      <c r="AP1601" s="6"/>
      <c r="AQ1601" s="6"/>
    </row>
    <row r="1602" spans="1:43" x14ac:dyDescent="0.25">
      <c r="A1602" s="44" t="str">
        <f t="shared" si="29"/>
        <v>SUBMARINE_AMER</v>
      </c>
      <c r="B1602" s="9" t="s">
        <v>105</v>
      </c>
      <c r="C1602" s="5" t="s">
        <v>697</v>
      </c>
      <c r="D1602" s="5" t="s">
        <v>699</v>
      </c>
      <c r="E1602" s="5" t="s">
        <v>105</v>
      </c>
      <c r="F1602" s="5" t="s">
        <v>105</v>
      </c>
      <c r="G1602" s="5"/>
      <c r="H1602" s="5"/>
      <c r="I1602" s="5"/>
      <c r="J1602" s="6"/>
      <c r="K1602" s="7"/>
      <c r="L1602" s="13"/>
      <c r="M1602" s="8"/>
      <c r="N1602" s="13"/>
      <c r="O1602" s="13"/>
      <c r="P1602" s="13"/>
      <c r="Q1602" s="7"/>
      <c r="R1602" s="6"/>
      <c r="S1602" s="5"/>
      <c r="T1602" s="7"/>
      <c r="U1602" s="6"/>
      <c r="V1602" s="5"/>
      <c r="W1602" s="6"/>
      <c r="X1602" s="6"/>
      <c r="Y1602" s="5"/>
      <c r="Z1602" s="6"/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6"/>
      <c r="AM1602" s="6"/>
      <c r="AN1602" s="6"/>
      <c r="AO1602" s="6"/>
      <c r="AP1602" s="6"/>
      <c r="AQ1602" s="6"/>
    </row>
    <row r="1603" spans="1:43" x14ac:dyDescent="0.25">
      <c r="A1603" s="44" t="str">
        <f t="shared" si="29"/>
        <v>SUBMARINE_ASIA</v>
      </c>
      <c r="B1603" s="9" t="s">
        <v>105</v>
      </c>
      <c r="C1603" s="5" t="s">
        <v>693</v>
      </c>
      <c r="D1603" s="5"/>
      <c r="E1603" s="5" t="s">
        <v>105</v>
      </c>
      <c r="F1603" s="5" t="s">
        <v>105</v>
      </c>
      <c r="G1603" s="5"/>
      <c r="H1603" s="4" t="s">
        <v>490</v>
      </c>
      <c r="I1603" s="5" t="s">
        <v>102</v>
      </c>
      <c r="K1603" s="7"/>
      <c r="L1603" s="13"/>
      <c r="M1603" s="8"/>
      <c r="N1603" s="13"/>
      <c r="O1603" s="13"/>
      <c r="P1603" s="13"/>
      <c r="Q1603" s="7"/>
      <c r="R1603" s="6"/>
      <c r="S1603" s="5"/>
      <c r="T1603" s="7"/>
      <c r="U1603" s="6"/>
      <c r="V1603" s="5"/>
      <c r="W1603" s="6"/>
      <c r="X1603" s="6"/>
      <c r="Y1603" s="5"/>
      <c r="Z1603" s="6"/>
      <c r="AA1603" s="6"/>
      <c r="AB1603" s="5"/>
      <c r="AC1603" s="6"/>
      <c r="AD1603" s="6"/>
      <c r="AE1603" s="5"/>
      <c r="AF1603" s="6"/>
      <c r="AG1603" s="6"/>
      <c r="AH1603" s="5"/>
      <c r="AI1603" s="6"/>
      <c r="AJ1603" s="6"/>
      <c r="AK1603" s="5"/>
      <c r="AL1603" s="6"/>
      <c r="AM1603" s="6"/>
      <c r="AN1603" s="6"/>
      <c r="AO1603" s="6"/>
      <c r="AP1603" s="6"/>
      <c r="AQ1603" s="6"/>
    </row>
    <row r="1604" spans="1:43" x14ac:dyDescent="0.25">
      <c r="A1604" s="44" t="str">
        <f t="shared" si="29"/>
        <v>SUBMARINE_JAPAN</v>
      </c>
      <c r="B1604" s="9" t="s">
        <v>105</v>
      </c>
      <c r="C1604" s="4" t="s">
        <v>722</v>
      </c>
      <c r="D1604" s="4" t="s">
        <v>693</v>
      </c>
      <c r="E1604" s="4" t="s">
        <v>105</v>
      </c>
      <c r="F1604" s="4" t="s">
        <v>105</v>
      </c>
      <c r="G1604" s="14" t="s">
        <v>132</v>
      </c>
      <c r="AL1604" s="11"/>
      <c r="AM1604" s="11"/>
      <c r="AN1604" s="11"/>
      <c r="AO1604" s="11"/>
      <c r="AP1604" s="11"/>
      <c r="AQ1604" s="11"/>
    </row>
    <row r="1605" spans="1:43" x14ac:dyDescent="0.25">
      <c r="A1605" s="44" t="str">
        <f t="shared" si="29"/>
        <v>SUBMARINE_HUNS</v>
      </c>
      <c r="B1605" s="9" t="s">
        <v>105</v>
      </c>
      <c r="C1605" s="4" t="s">
        <v>904</v>
      </c>
      <c r="D1605" s="4" t="s">
        <v>701</v>
      </c>
      <c r="E1605" s="4" t="s">
        <v>105</v>
      </c>
      <c r="F1605" s="4" t="s">
        <v>105</v>
      </c>
      <c r="AL1605" s="11"/>
      <c r="AM1605" s="11"/>
      <c r="AN1605" s="11"/>
      <c r="AO1605" s="11"/>
      <c r="AP1605" s="11"/>
      <c r="AQ1605" s="11"/>
    </row>
    <row r="1606" spans="1:43" x14ac:dyDescent="0.25">
      <c r="A1606" s="44" t="str">
        <f t="shared" si="29"/>
        <v>SUBMARINE_EASTEU</v>
      </c>
      <c r="B1606" s="9" t="s">
        <v>105</v>
      </c>
      <c r="C1606" s="4" t="s">
        <v>698</v>
      </c>
      <c r="E1606" s="4" t="s">
        <v>105</v>
      </c>
      <c r="F1606" s="4" t="s">
        <v>105</v>
      </c>
      <c r="H1606" s="4" t="s">
        <v>626</v>
      </c>
      <c r="I1606" s="4" t="s">
        <v>102</v>
      </c>
      <c r="AL1606" s="11"/>
      <c r="AM1606" s="11"/>
      <c r="AN1606" s="11"/>
      <c r="AO1606" s="11"/>
      <c r="AP1606" s="11"/>
      <c r="AQ1606" s="11"/>
    </row>
    <row r="1607" spans="1:43" x14ac:dyDescent="0.25">
      <c r="A1607" s="44" t="str">
        <f t="shared" si="29"/>
        <v>SUBMARINE_POLAND</v>
      </c>
      <c r="B1607" s="9" t="s">
        <v>105</v>
      </c>
      <c r="C1607" s="4" t="s">
        <v>732</v>
      </c>
      <c r="E1607" s="4" t="s">
        <v>105</v>
      </c>
      <c r="F1607" s="4" t="s">
        <v>105</v>
      </c>
      <c r="G1607" s="14" t="s">
        <v>132</v>
      </c>
      <c r="H1607" s="4" t="s">
        <v>574</v>
      </c>
      <c r="I1607" s="4" t="s">
        <v>102</v>
      </c>
      <c r="AL1607" s="11"/>
      <c r="AM1607" s="11"/>
      <c r="AN1607" s="11"/>
      <c r="AO1607" s="11"/>
      <c r="AP1607" s="11"/>
      <c r="AQ1607" s="11"/>
    </row>
    <row r="1608" spans="1:43" x14ac:dyDescent="0.25">
      <c r="A1608" s="44" t="str">
        <f t="shared" si="29"/>
        <v>SUBMARINE_RUSSIA</v>
      </c>
      <c r="B1608" s="9" t="s">
        <v>105</v>
      </c>
      <c r="C1608" s="4" t="s">
        <v>735</v>
      </c>
      <c r="D1608" s="4" t="s">
        <v>698</v>
      </c>
      <c r="E1608" s="4" t="s">
        <v>105</v>
      </c>
      <c r="F1608" s="4" t="s">
        <v>105</v>
      </c>
      <c r="G1608" s="14" t="s">
        <v>132</v>
      </c>
      <c r="AL1608" s="11"/>
      <c r="AM1608" s="11"/>
      <c r="AN1608" s="11"/>
      <c r="AO1608" s="11"/>
      <c r="AP1608" s="11"/>
      <c r="AQ1608" s="11"/>
    </row>
    <row r="1609" spans="1:43" x14ac:dyDescent="0.25">
      <c r="A1609" s="44" t="str">
        <f t="shared" si="29"/>
        <v>SUBMARINE_AMERICA</v>
      </c>
      <c r="B1609" s="9" t="s">
        <v>105</v>
      </c>
      <c r="C1609" s="4" t="s">
        <v>699</v>
      </c>
      <c r="E1609" s="4" t="s">
        <v>105</v>
      </c>
      <c r="F1609" s="4" t="s">
        <v>105</v>
      </c>
      <c r="G1609" s="14"/>
      <c r="H1609" s="4" t="s">
        <v>151</v>
      </c>
      <c r="I1609" s="4" t="s">
        <v>102</v>
      </c>
      <c r="AL1609" s="11"/>
      <c r="AM1609" s="11"/>
      <c r="AN1609" s="11"/>
      <c r="AO1609" s="11"/>
      <c r="AP1609" s="11"/>
      <c r="AQ1609" s="11"/>
    </row>
    <row r="1610" spans="1:43" x14ac:dyDescent="0.25">
      <c r="A1610" s="44" t="str">
        <f t="shared" si="29"/>
        <v>SUBMARINE_AUSTRALIA</v>
      </c>
      <c r="B1610" s="9" t="s">
        <v>105</v>
      </c>
      <c r="C1610" s="4" t="s">
        <v>1300</v>
      </c>
      <c r="D1610" s="4" t="s">
        <v>713</v>
      </c>
      <c r="E1610" s="4" t="s">
        <v>105</v>
      </c>
      <c r="F1610" s="4" t="s">
        <v>105</v>
      </c>
      <c r="G1610" s="14"/>
      <c r="AL1610" s="11"/>
      <c r="AM1610" s="11"/>
      <c r="AN1610" s="11"/>
      <c r="AO1610" s="11"/>
      <c r="AP1610" s="11"/>
      <c r="AQ1610" s="11"/>
    </row>
    <row r="1611" spans="1:43" x14ac:dyDescent="0.25">
      <c r="A1611" s="44" t="str">
        <f t="shared" si="29"/>
        <v>SUBMARINE_AUSTRIA</v>
      </c>
      <c r="B1611" s="9" t="s">
        <v>105</v>
      </c>
      <c r="C1611" s="4" t="s">
        <v>701</v>
      </c>
      <c r="E1611" s="4" t="s">
        <v>105</v>
      </c>
      <c r="F1611" s="4" t="s">
        <v>105</v>
      </c>
      <c r="G1611" s="14"/>
      <c r="H1611" s="4" t="s">
        <v>186</v>
      </c>
      <c r="I1611" s="4" t="s">
        <v>102</v>
      </c>
      <c r="AL1611" s="11"/>
      <c r="AM1611" s="11"/>
      <c r="AN1611" s="11"/>
      <c r="AO1611" s="11"/>
      <c r="AP1611" s="11"/>
      <c r="AQ1611" s="11"/>
    </row>
    <row r="1612" spans="1:43" x14ac:dyDescent="0.25">
      <c r="A1612" s="44" t="str">
        <f t="shared" si="29"/>
        <v>SUBMARINE_CANADA</v>
      </c>
      <c r="B1612" s="9" t="s">
        <v>105</v>
      </c>
      <c r="C1612" s="4" t="s">
        <v>2187</v>
      </c>
      <c r="D1612" s="4" t="s">
        <v>713</v>
      </c>
      <c r="E1612" s="4" t="s">
        <v>105</v>
      </c>
      <c r="F1612" s="4" t="s">
        <v>105</v>
      </c>
      <c r="G1612" s="14"/>
      <c r="AL1612" s="11"/>
      <c r="AM1612" s="11"/>
      <c r="AN1612" s="11"/>
      <c r="AO1612" s="11"/>
      <c r="AP1612" s="11"/>
      <c r="AQ1612" s="11"/>
    </row>
    <row r="1613" spans="1:43" x14ac:dyDescent="0.25">
      <c r="A1613" s="44" t="str">
        <f t="shared" si="29"/>
        <v>SUBMARINE_CELTS</v>
      </c>
      <c r="B1613" s="9" t="s">
        <v>105</v>
      </c>
      <c r="C1613" s="4" t="s">
        <v>709</v>
      </c>
      <c r="D1613" s="4" t="s">
        <v>713</v>
      </c>
      <c r="E1613" s="4" t="s">
        <v>105</v>
      </c>
      <c r="F1613" s="4" t="s">
        <v>105</v>
      </c>
      <c r="G1613" s="14"/>
      <c r="AL1613" s="11"/>
      <c r="AM1613" s="11"/>
      <c r="AN1613" s="11"/>
      <c r="AO1613" s="11"/>
      <c r="AP1613" s="11"/>
      <c r="AQ1613" s="11"/>
    </row>
    <row r="1614" spans="1:43" x14ac:dyDescent="0.25">
      <c r="A1614" s="44" t="str">
        <f t="shared" si="29"/>
        <v>SUBMARINE_ENGLAND</v>
      </c>
      <c r="B1614" s="9" t="s">
        <v>105</v>
      </c>
      <c r="C1614" s="4" t="s">
        <v>713</v>
      </c>
      <c r="E1614" s="4" t="s">
        <v>105</v>
      </c>
      <c r="F1614" s="4" t="s">
        <v>105</v>
      </c>
      <c r="G1614" s="14" t="s">
        <v>132</v>
      </c>
      <c r="H1614" s="4" t="s">
        <v>312</v>
      </c>
      <c r="I1614" s="4" t="s">
        <v>102</v>
      </c>
      <c r="AL1614" s="11"/>
      <c r="AM1614" s="11"/>
      <c r="AN1614" s="11"/>
      <c r="AO1614" s="11"/>
      <c r="AP1614" s="11"/>
      <c r="AQ1614" s="11"/>
    </row>
    <row r="1615" spans="1:43" x14ac:dyDescent="0.25">
      <c r="A1615" s="44" t="str">
        <f t="shared" si="29"/>
        <v>SUBMARINE_FRANCE</v>
      </c>
      <c r="B1615" s="9" t="s">
        <v>105</v>
      </c>
      <c r="C1615" s="4" t="s">
        <v>715</v>
      </c>
      <c r="E1615" s="4" t="s">
        <v>105</v>
      </c>
      <c r="F1615" s="4" t="s">
        <v>105</v>
      </c>
      <c r="G1615" s="14" t="s">
        <v>132</v>
      </c>
      <c r="H1615" s="4" t="s">
        <v>357</v>
      </c>
      <c r="I1615" s="4" t="s">
        <v>102</v>
      </c>
      <c r="AL1615" s="11"/>
      <c r="AM1615" s="11"/>
      <c r="AN1615" s="11"/>
      <c r="AO1615" s="11"/>
      <c r="AP1615" s="11"/>
      <c r="AQ1615" s="11"/>
    </row>
    <row r="1616" spans="1:43" x14ac:dyDescent="0.25">
      <c r="A1616" s="44" t="str">
        <f t="shared" si="29"/>
        <v>SUBMARINE_GERMANY</v>
      </c>
      <c r="B1616" s="9" t="s">
        <v>105</v>
      </c>
      <c r="C1616" s="4" t="s">
        <v>717</v>
      </c>
      <c r="E1616" s="4" t="s">
        <v>105</v>
      </c>
      <c r="F1616" s="4" t="s">
        <v>105</v>
      </c>
      <c r="G1616" s="14" t="s">
        <v>132</v>
      </c>
      <c r="H1616" s="4" t="s">
        <v>390</v>
      </c>
      <c r="I1616" s="4" t="s">
        <v>102</v>
      </c>
      <c r="AL1616" s="11"/>
      <c r="AM1616" s="11"/>
      <c r="AN1616" s="11"/>
      <c r="AO1616" s="11"/>
      <c r="AP1616" s="11"/>
      <c r="AQ1616" s="11"/>
    </row>
    <row r="1617" spans="1:43" x14ac:dyDescent="0.25">
      <c r="A1617" s="44" t="str">
        <f t="shared" si="29"/>
        <v>SUBMARINE_NETHERLANDS</v>
      </c>
      <c r="B1617" s="9" t="s">
        <v>105</v>
      </c>
      <c r="C1617" s="4" t="s">
        <v>730</v>
      </c>
      <c r="E1617" s="4" t="s">
        <v>105</v>
      </c>
      <c r="F1617" s="4" t="s">
        <v>105</v>
      </c>
      <c r="G1617" s="14" t="s">
        <v>132</v>
      </c>
      <c r="H1617" s="4" t="s">
        <v>549</v>
      </c>
      <c r="I1617" s="4" t="s">
        <v>102</v>
      </c>
      <c r="AL1617" s="11"/>
      <c r="AM1617" s="11"/>
      <c r="AN1617" s="11"/>
      <c r="AO1617" s="11"/>
      <c r="AP1617" s="11"/>
      <c r="AQ1617" s="11"/>
    </row>
    <row r="1618" spans="1:43" x14ac:dyDescent="0.25">
      <c r="A1618" s="44" t="str">
        <f t="shared" si="29"/>
        <v>SUBMARINE_GREECE</v>
      </c>
      <c r="B1618" s="9" t="s">
        <v>105</v>
      </c>
      <c r="C1618" s="4" t="s">
        <v>718</v>
      </c>
      <c r="E1618" s="4" t="s">
        <v>105</v>
      </c>
      <c r="F1618" s="4" t="s">
        <v>105</v>
      </c>
      <c r="G1618" s="14" t="s">
        <v>132</v>
      </c>
      <c r="H1618" s="4" t="s">
        <v>413</v>
      </c>
      <c r="I1618" s="4" t="s">
        <v>102</v>
      </c>
      <c r="AL1618" s="11"/>
      <c r="AM1618" s="11"/>
      <c r="AN1618" s="11"/>
      <c r="AO1618" s="11"/>
      <c r="AP1618" s="11"/>
      <c r="AQ1618" s="11"/>
    </row>
    <row r="1619" spans="1:43" x14ac:dyDescent="0.25">
      <c r="A1619" s="44" t="str">
        <f t="shared" si="29"/>
        <v>SUBMARINE_ROME</v>
      </c>
      <c r="B1619" s="9" t="s">
        <v>105</v>
      </c>
      <c r="C1619" s="4" t="s">
        <v>734</v>
      </c>
      <c r="E1619" s="4" t="s">
        <v>105</v>
      </c>
      <c r="F1619" s="4" t="s">
        <v>105</v>
      </c>
      <c r="G1619" s="14" t="s">
        <v>132</v>
      </c>
      <c r="H1619" s="4" t="s">
        <v>599</v>
      </c>
      <c r="I1619" s="4" t="s">
        <v>102</v>
      </c>
      <c r="AL1619" s="11"/>
      <c r="AM1619" s="11"/>
      <c r="AN1619" s="11"/>
      <c r="AO1619" s="11"/>
      <c r="AP1619" s="11"/>
      <c r="AQ1619" s="11"/>
    </row>
    <row r="1620" spans="1:43" x14ac:dyDescent="0.25">
      <c r="A1620" s="44" t="str">
        <f t="shared" si="29"/>
        <v>SUBMARINE_NORTHAF</v>
      </c>
      <c r="B1620" s="9" t="s">
        <v>105</v>
      </c>
      <c r="C1620" s="4" t="s">
        <v>2003</v>
      </c>
      <c r="D1620" s="4" t="s">
        <v>715</v>
      </c>
      <c r="E1620" s="4" t="s">
        <v>105</v>
      </c>
      <c r="F1620" s="4" t="s">
        <v>105</v>
      </c>
      <c r="G1620" s="14"/>
      <c r="AL1620" s="11"/>
      <c r="AM1620" s="11"/>
      <c r="AN1620" s="11"/>
      <c r="AO1620" s="11"/>
      <c r="AP1620" s="11"/>
      <c r="AQ1620" s="11"/>
    </row>
    <row r="1621" spans="1:43" x14ac:dyDescent="0.25">
      <c r="A1621" s="44" t="str">
        <f t="shared" si="29"/>
        <v>SUBMARINE_SWEDEN</v>
      </c>
      <c r="B1621" s="9" t="s">
        <v>105</v>
      </c>
      <c r="C1621" s="4" t="s">
        <v>739</v>
      </c>
      <c r="E1621" s="4" t="s">
        <v>105</v>
      </c>
      <c r="F1621" s="4" t="s">
        <v>105</v>
      </c>
      <c r="G1621" s="14" t="s">
        <v>132</v>
      </c>
      <c r="H1621" s="4" t="s">
        <v>675</v>
      </c>
      <c r="I1621" s="4" t="s">
        <v>102</v>
      </c>
      <c r="AL1621" s="11"/>
      <c r="AM1621" s="11"/>
      <c r="AN1621" s="11"/>
      <c r="AO1621" s="11"/>
      <c r="AP1621" s="11"/>
      <c r="AQ1621" s="11"/>
    </row>
    <row r="1622" spans="1:43" x14ac:dyDescent="0.25">
      <c r="A1622" s="44" t="str">
        <f t="shared" si="29"/>
        <v>SUBMARINE_OCEAN</v>
      </c>
      <c r="B1622" s="9" t="s">
        <v>105</v>
      </c>
      <c r="C1622" s="4" t="s">
        <v>994</v>
      </c>
      <c r="D1622" s="4" t="s">
        <v>699</v>
      </c>
      <c r="E1622" s="4" t="s">
        <v>105</v>
      </c>
      <c r="F1622" s="4" t="s">
        <v>105</v>
      </c>
      <c r="G1622" s="14"/>
      <c r="AL1622" s="11"/>
      <c r="AM1622" s="11"/>
      <c r="AN1622" s="11"/>
      <c r="AO1622" s="11"/>
      <c r="AP1622" s="11"/>
      <c r="AQ1622" s="11"/>
    </row>
    <row r="1623" spans="1:43" x14ac:dyDescent="0.25">
      <c r="A1623" s="44" t="str">
        <f t="shared" si="29"/>
        <v>SUBMARINE_SAHUL</v>
      </c>
      <c r="B1623" s="9" t="s">
        <v>105</v>
      </c>
      <c r="C1623" s="4" t="s">
        <v>1785</v>
      </c>
      <c r="D1623" s="4" t="s">
        <v>730</v>
      </c>
      <c r="E1623" s="4" t="s">
        <v>105</v>
      </c>
      <c r="F1623" s="4" t="s">
        <v>105</v>
      </c>
      <c r="G1623" s="14"/>
      <c r="AL1623" s="11"/>
      <c r="AM1623" s="11"/>
      <c r="AN1623" s="11"/>
      <c r="AO1623" s="11"/>
      <c r="AP1623" s="11"/>
      <c r="AQ1623" s="11"/>
    </row>
    <row r="1624" spans="1:43" x14ac:dyDescent="0.25">
      <c r="A1624" s="44" t="str">
        <f t="shared" si="29"/>
        <v>SUBMARINE_SEASIA</v>
      </c>
      <c r="B1624" s="9" t="s">
        <v>105</v>
      </c>
      <c r="C1624" s="4" t="s">
        <v>696</v>
      </c>
      <c r="D1624" s="4" t="s">
        <v>715</v>
      </c>
      <c r="E1624" s="4" t="s">
        <v>105</v>
      </c>
      <c r="F1624" s="4" t="s">
        <v>105</v>
      </c>
      <c r="G1624" s="14"/>
      <c r="AL1624" s="11"/>
      <c r="AM1624" s="11"/>
      <c r="AN1624" s="11"/>
      <c r="AO1624" s="11"/>
      <c r="AP1624" s="11"/>
      <c r="AQ1624" s="11"/>
    </row>
    <row r="1625" spans="1:43" x14ac:dyDescent="0.25">
      <c r="A1625" s="44" t="str">
        <f t="shared" si="29"/>
        <v>SUBMARINE_SOUTHAS</v>
      </c>
      <c r="B1625" s="9" t="s">
        <v>105</v>
      </c>
      <c r="C1625" s="4" t="s">
        <v>695</v>
      </c>
      <c r="D1625" s="4" t="s">
        <v>713</v>
      </c>
      <c r="E1625" s="4" t="s">
        <v>105</v>
      </c>
      <c r="F1625" s="4" t="s">
        <v>105</v>
      </c>
      <c r="G1625" s="14"/>
      <c r="AL1625" s="11"/>
      <c r="AM1625" s="11"/>
      <c r="AN1625" s="11"/>
      <c r="AO1625" s="11"/>
      <c r="AP1625" s="11"/>
      <c r="AQ1625" s="11"/>
    </row>
    <row r="1626" spans="1:43" x14ac:dyDescent="0.25">
      <c r="A1626" s="44" t="str">
        <f t="shared" si="29"/>
        <v>SWORDSMAN</v>
      </c>
      <c r="B1626" s="9" t="s">
        <v>104</v>
      </c>
      <c r="C1626" s="5"/>
      <c r="D1626" s="5"/>
      <c r="E1626" s="5" t="s">
        <v>104</v>
      </c>
      <c r="F1626" s="5" t="s">
        <v>104</v>
      </c>
      <c r="G1626" s="5" t="s">
        <v>2039</v>
      </c>
      <c r="H1626" s="5" t="s">
        <v>1528</v>
      </c>
      <c r="I1626" s="5" t="s">
        <v>128</v>
      </c>
      <c r="J1626" s="6"/>
      <c r="K1626" s="6"/>
      <c r="L1626" s="13" t="s">
        <v>1715</v>
      </c>
      <c r="M1626" s="8"/>
      <c r="N1626" s="5"/>
      <c r="O1626" s="5"/>
      <c r="P1626" s="5"/>
      <c r="Q1626" s="6">
        <v>3</v>
      </c>
      <c r="R1626" s="6" t="s">
        <v>1734</v>
      </c>
      <c r="S1626" s="13" t="s">
        <v>1734</v>
      </c>
      <c r="T1626" s="6">
        <v>2</v>
      </c>
      <c r="U1626" s="7" t="s">
        <v>1734</v>
      </c>
      <c r="V1626" s="5" t="s">
        <v>1617</v>
      </c>
      <c r="W1626" s="6" t="s">
        <v>3</v>
      </c>
      <c r="X1626" s="6" t="s">
        <v>3</v>
      </c>
      <c r="Y1626" s="5"/>
      <c r="Z1626" s="6">
        <v>0</v>
      </c>
      <c r="AA1626" s="6"/>
      <c r="AB1626" s="5"/>
      <c r="AC1626" s="6"/>
      <c r="AD1626" s="6" t="s">
        <v>3</v>
      </c>
      <c r="AE1626" s="5"/>
      <c r="AF1626" s="6">
        <v>1</v>
      </c>
      <c r="AG1626" s="6"/>
      <c r="AH1626" s="5"/>
      <c r="AI1626" s="6">
        <v>2</v>
      </c>
      <c r="AJ1626" s="6"/>
      <c r="AK1626" s="5"/>
      <c r="AL1626" s="6"/>
      <c r="AM1626" s="6"/>
      <c r="AN1626" s="6"/>
      <c r="AO1626" s="6"/>
      <c r="AP1626" s="6"/>
      <c r="AQ1626" s="6"/>
    </row>
    <row r="1627" spans="1:43" x14ac:dyDescent="0.25">
      <c r="A1627" s="44" t="str">
        <f t="shared" si="29"/>
        <v>SWORDSMAN</v>
      </c>
      <c r="B1627" s="9" t="s">
        <v>104</v>
      </c>
      <c r="C1627" s="5"/>
      <c r="D1627" s="5"/>
      <c r="E1627" s="5" t="s">
        <v>104</v>
      </c>
      <c r="F1627" s="5" t="s">
        <v>104</v>
      </c>
      <c r="G1627" s="5"/>
      <c r="H1627" s="5" t="s">
        <v>16</v>
      </c>
      <c r="I1627" s="5" t="s">
        <v>128</v>
      </c>
      <c r="J1627" s="6"/>
      <c r="K1627" s="6"/>
      <c r="L1627" s="13" t="s">
        <v>1715</v>
      </c>
      <c r="M1627" s="8"/>
      <c r="N1627" s="5"/>
      <c r="O1627" s="5"/>
      <c r="P1627" s="5"/>
      <c r="Q1627" s="6">
        <v>6</v>
      </c>
      <c r="R1627" s="6" t="s">
        <v>1734</v>
      </c>
      <c r="S1627" s="13" t="s">
        <v>1734</v>
      </c>
      <c r="T1627" s="6">
        <v>3</v>
      </c>
      <c r="U1627" s="7" t="s">
        <v>1734</v>
      </c>
      <c r="V1627" s="5" t="s">
        <v>1617</v>
      </c>
      <c r="W1627" s="6" t="s">
        <v>3</v>
      </c>
      <c r="X1627" s="6" t="s">
        <v>3</v>
      </c>
      <c r="Y1627" s="5"/>
      <c r="Z1627" s="6">
        <v>1</v>
      </c>
      <c r="AA1627" s="6"/>
      <c r="AB1627" s="5"/>
      <c r="AC1627" s="6"/>
      <c r="AD1627" s="6" t="s">
        <v>3</v>
      </c>
      <c r="AE1627" s="5"/>
      <c r="AF1627" s="6">
        <v>1</v>
      </c>
      <c r="AG1627" s="6"/>
      <c r="AH1627" s="5"/>
      <c r="AI1627" s="6">
        <v>3</v>
      </c>
      <c r="AJ1627" s="6"/>
      <c r="AK1627" s="5"/>
      <c r="AL1627" s="6"/>
      <c r="AM1627" s="6"/>
      <c r="AN1627" s="6"/>
      <c r="AO1627" s="6"/>
      <c r="AP1627" s="6"/>
      <c r="AQ1627" s="6"/>
    </row>
    <row r="1628" spans="1:43" x14ac:dyDescent="0.25">
      <c r="A1628" s="44" t="str">
        <f t="shared" si="29"/>
        <v>SWORDSMAN</v>
      </c>
      <c r="B1628" s="9" t="s">
        <v>104</v>
      </c>
      <c r="C1628" s="5"/>
      <c r="D1628" s="5"/>
      <c r="E1628" s="5" t="s">
        <v>104</v>
      </c>
      <c r="F1628" s="5" t="s">
        <v>104</v>
      </c>
      <c r="G1628" s="5" t="s">
        <v>2041</v>
      </c>
      <c r="H1628" s="5" t="s">
        <v>1527</v>
      </c>
      <c r="I1628" s="5" t="s">
        <v>128</v>
      </c>
      <c r="J1628" s="6"/>
      <c r="K1628" s="6"/>
      <c r="L1628" s="13" t="s">
        <v>1715</v>
      </c>
      <c r="M1628" s="8"/>
      <c r="N1628" s="5"/>
      <c r="O1628" s="5"/>
      <c r="P1628" s="5"/>
      <c r="Q1628" s="6">
        <v>3</v>
      </c>
      <c r="R1628" s="6" t="s">
        <v>1734</v>
      </c>
      <c r="S1628" s="13" t="s">
        <v>1734</v>
      </c>
      <c r="T1628" s="6">
        <v>3</v>
      </c>
      <c r="U1628" s="7" t="s">
        <v>1734</v>
      </c>
      <c r="V1628" s="5" t="s">
        <v>1617</v>
      </c>
      <c r="W1628" s="6" t="s">
        <v>3</v>
      </c>
      <c r="X1628" s="6" t="s">
        <v>3</v>
      </c>
      <c r="Y1628" s="5"/>
      <c r="Z1628" s="6">
        <v>0</v>
      </c>
      <c r="AA1628" s="6"/>
      <c r="AB1628" s="5"/>
      <c r="AC1628" s="6"/>
      <c r="AD1628" s="6" t="s">
        <v>3</v>
      </c>
      <c r="AE1628" s="5"/>
      <c r="AF1628" s="6">
        <v>1</v>
      </c>
      <c r="AG1628" s="6"/>
      <c r="AH1628" s="5"/>
      <c r="AI1628" s="6">
        <v>2</v>
      </c>
      <c r="AJ1628" s="6"/>
      <c r="AK1628" s="5"/>
      <c r="AL1628" s="6"/>
      <c r="AM1628" s="6"/>
      <c r="AN1628" s="6"/>
      <c r="AO1628" s="6"/>
      <c r="AP1628" s="6"/>
      <c r="AQ1628" s="6"/>
    </row>
    <row r="1629" spans="1:43" x14ac:dyDescent="0.25">
      <c r="A1629" s="44" t="str">
        <f t="shared" si="29"/>
        <v>SWORDSMAN</v>
      </c>
      <c r="B1629" s="9" t="s">
        <v>104</v>
      </c>
      <c r="C1629" s="5"/>
      <c r="D1629" s="5"/>
      <c r="E1629" s="5" t="s">
        <v>104</v>
      </c>
      <c r="F1629" s="5" t="s">
        <v>104</v>
      </c>
      <c r="G1629" s="5" t="s">
        <v>2039</v>
      </c>
      <c r="H1629" s="5" t="s">
        <v>1528</v>
      </c>
      <c r="I1629" s="5" t="s">
        <v>128</v>
      </c>
      <c r="J1629" s="6"/>
      <c r="K1629" s="6"/>
      <c r="L1629" s="13" t="s">
        <v>1715</v>
      </c>
      <c r="M1629" s="8"/>
      <c r="N1629" s="5"/>
      <c r="O1629" s="5"/>
      <c r="P1629" s="5"/>
      <c r="Q1629" s="6">
        <v>0</v>
      </c>
      <c r="R1629" s="6" t="s">
        <v>1734</v>
      </c>
      <c r="S1629" s="13" t="s">
        <v>1734</v>
      </c>
      <c r="T1629" s="6">
        <v>3</v>
      </c>
      <c r="U1629" s="7" t="s">
        <v>1734</v>
      </c>
      <c r="V1629" s="5" t="s">
        <v>1617</v>
      </c>
      <c r="W1629" s="7" t="s">
        <v>3</v>
      </c>
      <c r="X1629" s="6" t="s">
        <v>3</v>
      </c>
      <c r="Y1629" s="5"/>
      <c r="Z1629" s="7">
        <v>0</v>
      </c>
      <c r="AA1629" s="6"/>
      <c r="AB1629" s="5"/>
      <c r="AC1629" s="6"/>
      <c r="AD1629" s="6" t="s">
        <v>3</v>
      </c>
      <c r="AE1629" s="5"/>
      <c r="AF1629" s="6">
        <v>1</v>
      </c>
      <c r="AG1629" s="6"/>
      <c r="AH1629" s="5"/>
      <c r="AI1629" s="6">
        <v>0</v>
      </c>
      <c r="AJ1629" s="6"/>
      <c r="AK1629" s="5"/>
      <c r="AL1629" s="6"/>
      <c r="AM1629" s="6"/>
      <c r="AN1629" s="6"/>
      <c r="AO1629" s="6"/>
      <c r="AP1629" s="6"/>
      <c r="AQ1629" s="6"/>
    </row>
    <row r="1630" spans="1:43" x14ac:dyDescent="0.25">
      <c r="A1630" s="44" t="str">
        <f t="shared" si="29"/>
        <v>SWORDSMAN</v>
      </c>
      <c r="B1630" s="9" t="s">
        <v>104</v>
      </c>
      <c r="C1630" s="5"/>
      <c r="D1630" s="5"/>
      <c r="E1630" s="5" t="s">
        <v>104</v>
      </c>
      <c r="F1630" s="5" t="s">
        <v>104</v>
      </c>
      <c r="G1630" s="5"/>
      <c r="H1630" s="5" t="s">
        <v>16</v>
      </c>
      <c r="I1630" s="5" t="s">
        <v>128</v>
      </c>
      <c r="J1630" s="6"/>
      <c r="K1630" s="6"/>
      <c r="L1630" s="13" t="s">
        <v>1715</v>
      </c>
      <c r="M1630" s="8"/>
      <c r="N1630" s="5"/>
      <c r="O1630" s="5"/>
      <c r="P1630" s="5"/>
      <c r="Q1630" s="6">
        <v>0</v>
      </c>
      <c r="R1630" s="6" t="s">
        <v>1734</v>
      </c>
      <c r="S1630" s="13" t="s">
        <v>1734</v>
      </c>
      <c r="T1630" s="6">
        <v>3</v>
      </c>
      <c r="U1630" s="7" t="s">
        <v>1734</v>
      </c>
      <c r="V1630" s="5" t="s">
        <v>1617</v>
      </c>
      <c r="W1630" s="7" t="s">
        <v>3</v>
      </c>
      <c r="X1630" s="6" t="s">
        <v>3</v>
      </c>
      <c r="Y1630" s="5"/>
      <c r="Z1630" s="7">
        <v>0</v>
      </c>
      <c r="AA1630" s="6"/>
      <c r="AB1630" s="5"/>
      <c r="AC1630" s="6"/>
      <c r="AD1630" s="6" t="s">
        <v>3</v>
      </c>
      <c r="AE1630" s="5"/>
      <c r="AF1630" s="6">
        <v>1</v>
      </c>
      <c r="AG1630" s="6"/>
      <c r="AH1630" s="5"/>
      <c r="AI1630" s="6">
        <v>0</v>
      </c>
      <c r="AJ1630" s="6"/>
      <c r="AK1630" s="5"/>
      <c r="AL1630" s="6"/>
      <c r="AM1630" s="6"/>
      <c r="AN1630" s="6"/>
      <c r="AO1630" s="6"/>
      <c r="AP1630" s="6"/>
      <c r="AQ1630" s="6"/>
    </row>
    <row r="1631" spans="1:43" x14ac:dyDescent="0.25">
      <c r="A1631" s="44" t="str">
        <f t="shared" si="29"/>
        <v>SWORDSMAN</v>
      </c>
      <c r="B1631" s="9" t="s">
        <v>104</v>
      </c>
      <c r="C1631" s="5"/>
      <c r="D1631" s="5"/>
      <c r="E1631" s="5" t="s">
        <v>104</v>
      </c>
      <c r="F1631" s="5" t="s">
        <v>104</v>
      </c>
      <c r="G1631" s="5" t="s">
        <v>2041</v>
      </c>
      <c r="H1631" s="5" t="s">
        <v>1527</v>
      </c>
      <c r="I1631" s="5" t="s">
        <v>128</v>
      </c>
      <c r="J1631" s="6"/>
      <c r="K1631" s="6"/>
      <c r="L1631" s="13" t="s">
        <v>1715</v>
      </c>
      <c r="M1631" s="8"/>
      <c r="N1631" s="5"/>
      <c r="O1631" s="5"/>
      <c r="P1631" s="5"/>
      <c r="Q1631" s="6">
        <v>0</v>
      </c>
      <c r="R1631" s="6" t="s">
        <v>1734</v>
      </c>
      <c r="S1631" s="13" t="s">
        <v>1734</v>
      </c>
      <c r="T1631" s="6">
        <v>2</v>
      </c>
      <c r="U1631" s="7" t="s">
        <v>1734</v>
      </c>
      <c r="V1631" s="5" t="s">
        <v>1617</v>
      </c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6">
        <v>1</v>
      </c>
      <c r="AG1631" s="6"/>
      <c r="AH1631" s="5"/>
      <c r="AI1631" s="6">
        <v>0</v>
      </c>
      <c r="AJ1631" s="6"/>
      <c r="AK1631" s="5"/>
      <c r="AL1631" s="6"/>
      <c r="AM1631" s="6"/>
      <c r="AN1631" s="6"/>
      <c r="AO1631" s="6"/>
      <c r="AP1631" s="6"/>
      <c r="AQ1631" s="6"/>
    </row>
    <row r="1632" spans="1:43" x14ac:dyDescent="0.25">
      <c r="A1632" s="44" t="str">
        <f t="shared" si="29"/>
        <v>SWORDSMAN_AFRI</v>
      </c>
      <c r="B1632" s="9" t="s">
        <v>104</v>
      </c>
      <c r="C1632" s="4" t="s">
        <v>694</v>
      </c>
      <c r="E1632" s="4" t="s">
        <v>104</v>
      </c>
      <c r="F1632" s="4" t="s">
        <v>104</v>
      </c>
      <c r="H1632" s="4" t="s">
        <v>687</v>
      </c>
      <c r="I1632" s="4" t="s">
        <v>1303</v>
      </c>
      <c r="Q1632" s="11" t="s">
        <v>1734</v>
      </c>
      <c r="AL1632" s="11"/>
      <c r="AM1632" s="11"/>
      <c r="AN1632" s="11"/>
      <c r="AO1632" s="11"/>
      <c r="AP1632" s="11"/>
      <c r="AQ1632" s="11"/>
    </row>
    <row r="1633" spans="1:43" x14ac:dyDescent="0.25">
      <c r="A1633" s="44" t="str">
        <f t="shared" si="29"/>
        <v>SWORDSMAN_ETHIOPIA</v>
      </c>
      <c r="B1633" s="9" t="s">
        <v>104</v>
      </c>
      <c r="C1633" s="4" t="s">
        <v>714</v>
      </c>
      <c r="E1633" s="4" t="s">
        <v>104</v>
      </c>
      <c r="F1633" s="4" t="s">
        <v>104</v>
      </c>
      <c r="H1633" s="4" t="s">
        <v>326</v>
      </c>
      <c r="I1633" s="4" t="s">
        <v>1025</v>
      </c>
      <c r="Q1633" s="11" t="s">
        <v>1734</v>
      </c>
      <c r="AL1633" s="11"/>
      <c r="AM1633" s="11"/>
      <c r="AN1633" s="11"/>
      <c r="AO1633" s="11"/>
      <c r="AP1633" s="11"/>
      <c r="AQ1633" s="11"/>
    </row>
    <row r="1634" spans="1:43" x14ac:dyDescent="0.25">
      <c r="A1634" s="44" t="str">
        <f t="shared" si="29"/>
        <v>SWORDSMAN_SONGHAI</v>
      </c>
      <c r="B1634" s="9" t="s">
        <v>104</v>
      </c>
      <c r="C1634" s="4" t="s">
        <v>737</v>
      </c>
      <c r="E1634" s="4" t="s">
        <v>104</v>
      </c>
      <c r="F1634" s="4" t="s">
        <v>104</v>
      </c>
      <c r="H1634" s="4" t="s">
        <v>1302</v>
      </c>
      <c r="I1634" s="4" t="s">
        <v>1303</v>
      </c>
      <c r="Q1634" s="11" t="s">
        <v>1734</v>
      </c>
      <c r="R1634" s="11">
        <v>0.13800000000000001</v>
      </c>
      <c r="AA1634" s="11">
        <v>0.21</v>
      </c>
      <c r="AL1634" s="11"/>
      <c r="AM1634" s="11"/>
      <c r="AN1634" s="11"/>
      <c r="AO1634" s="11"/>
      <c r="AP1634" s="11"/>
      <c r="AQ1634" s="11"/>
    </row>
    <row r="1635" spans="1:43" x14ac:dyDescent="0.25">
      <c r="A1635" s="44" t="str">
        <f>CONCATENATE(E1635,IF(ISBLANK(C1635),"",CONCATENATE("_",C1635)))</f>
        <v>SWORDSMAN_ASIA</v>
      </c>
      <c r="B1635" s="9" t="s">
        <v>104</v>
      </c>
      <c r="C1635" s="4" t="s">
        <v>693</v>
      </c>
      <c r="E1635" s="4" t="s">
        <v>104</v>
      </c>
      <c r="F1635" s="4" t="s">
        <v>104</v>
      </c>
      <c r="H1635" s="4" t="s">
        <v>2639</v>
      </c>
      <c r="I1635" s="4" t="s">
        <v>835</v>
      </c>
      <c r="Q1635" s="9" t="s">
        <v>1734</v>
      </c>
      <c r="T1635" s="9"/>
      <c r="W1635" s="9"/>
      <c r="AL1635" s="11"/>
      <c r="AM1635" s="11"/>
      <c r="AN1635" s="11"/>
      <c r="AO1635" s="11"/>
      <c r="AP1635" s="11"/>
      <c r="AQ1635" s="11"/>
    </row>
    <row r="1636" spans="1:43" x14ac:dyDescent="0.25">
      <c r="A1636" s="44" t="str">
        <f t="shared" si="29"/>
        <v>SWORDSMAN_CHINA</v>
      </c>
      <c r="B1636" s="9" t="s">
        <v>104</v>
      </c>
      <c r="C1636" s="4" t="s">
        <v>710</v>
      </c>
      <c r="E1636" s="4" t="s">
        <v>104</v>
      </c>
      <c r="F1636" s="4" t="s">
        <v>104</v>
      </c>
      <c r="H1636" s="4" t="s">
        <v>456</v>
      </c>
      <c r="I1636" s="4" t="s">
        <v>102</v>
      </c>
      <c r="Q1636" s="9">
        <v>1</v>
      </c>
      <c r="T1636" s="9">
        <v>2</v>
      </c>
      <c r="W1636" s="9"/>
      <c r="Z1636" s="11">
        <v>1</v>
      </c>
      <c r="AF1636" s="11">
        <v>1</v>
      </c>
      <c r="AI1636" s="11">
        <v>1</v>
      </c>
      <c r="AL1636" s="11"/>
      <c r="AM1636" s="11"/>
      <c r="AN1636" s="11"/>
      <c r="AO1636" s="11"/>
      <c r="AP1636" s="11"/>
      <c r="AQ1636" s="11"/>
    </row>
    <row r="1637" spans="1:43" x14ac:dyDescent="0.25">
      <c r="A1637" s="44" t="str">
        <f t="shared" si="29"/>
        <v>SWORDSMAN_CHINA</v>
      </c>
      <c r="B1637" s="9" t="s">
        <v>104</v>
      </c>
      <c r="C1637" s="4" t="s">
        <v>710</v>
      </c>
      <c r="E1637" s="4" t="s">
        <v>104</v>
      </c>
      <c r="F1637" s="4" t="s">
        <v>104</v>
      </c>
      <c r="G1637" s="14" t="s">
        <v>2039</v>
      </c>
      <c r="H1637" s="4" t="s">
        <v>259</v>
      </c>
      <c r="I1637" s="4" t="s">
        <v>102</v>
      </c>
      <c r="Q1637" s="9">
        <v>2</v>
      </c>
      <c r="T1637" s="9">
        <v>3</v>
      </c>
      <c r="W1637" s="9"/>
      <c r="Z1637" s="11">
        <v>0</v>
      </c>
      <c r="AF1637" s="11">
        <v>1</v>
      </c>
      <c r="AI1637" s="11">
        <v>1</v>
      </c>
      <c r="AL1637" s="11"/>
      <c r="AM1637" s="11"/>
      <c r="AN1637" s="11"/>
      <c r="AO1637" s="11"/>
      <c r="AP1637" s="11"/>
      <c r="AQ1637" s="11"/>
    </row>
    <row r="1638" spans="1:43" x14ac:dyDescent="0.25">
      <c r="A1638" s="44" t="str">
        <f>CONCATENATE(E1638,IF(ISBLANK(C1638),"",CONCATENATE("_",C1638)))</f>
        <v>SWORDSMAN_CHINA</v>
      </c>
      <c r="B1638" s="9" t="s">
        <v>104</v>
      </c>
      <c r="C1638" s="4" t="s">
        <v>710</v>
      </c>
      <c r="E1638" s="4" t="s">
        <v>104</v>
      </c>
      <c r="F1638" s="4" t="s">
        <v>104</v>
      </c>
      <c r="H1638" s="4" t="s">
        <v>456</v>
      </c>
      <c r="I1638" s="4" t="s">
        <v>102</v>
      </c>
      <c r="Q1638" s="9">
        <v>3</v>
      </c>
      <c r="T1638" s="9">
        <v>3</v>
      </c>
      <c r="W1638" s="9"/>
      <c r="Z1638" s="11">
        <v>0</v>
      </c>
      <c r="AF1638" s="11">
        <v>1</v>
      </c>
      <c r="AI1638" s="11">
        <v>2</v>
      </c>
      <c r="AL1638" s="11"/>
      <c r="AM1638" s="11"/>
      <c r="AN1638" s="11"/>
      <c r="AO1638" s="11"/>
      <c r="AP1638" s="11"/>
      <c r="AQ1638" s="11"/>
    </row>
    <row r="1639" spans="1:43" x14ac:dyDescent="0.25">
      <c r="A1639" s="44" t="str">
        <f>CONCATENATE(E1639,IF(ISBLANK(C1639),"",CONCATENATE("_",C1639)))</f>
        <v>SWORDSMAN_CHINA</v>
      </c>
      <c r="B1639" s="9" t="s">
        <v>104</v>
      </c>
      <c r="C1639" s="4" t="s">
        <v>710</v>
      </c>
      <c r="E1639" s="4" t="s">
        <v>104</v>
      </c>
      <c r="F1639" s="4" t="s">
        <v>104</v>
      </c>
      <c r="G1639" s="14" t="s">
        <v>2039</v>
      </c>
      <c r="H1639" s="4" t="s">
        <v>259</v>
      </c>
      <c r="I1639" s="4" t="s">
        <v>102</v>
      </c>
      <c r="Q1639" s="9">
        <v>3</v>
      </c>
      <c r="T1639" s="9">
        <v>3</v>
      </c>
      <c r="W1639" s="9"/>
      <c r="Z1639" s="11">
        <v>0</v>
      </c>
      <c r="AF1639" s="11">
        <v>0</v>
      </c>
      <c r="AI1639" s="11">
        <v>1</v>
      </c>
      <c r="AL1639" s="11"/>
      <c r="AM1639" s="11"/>
      <c r="AN1639" s="11"/>
      <c r="AO1639" s="11"/>
      <c r="AP1639" s="11"/>
      <c r="AQ1639" s="11"/>
    </row>
    <row r="1640" spans="1:43" x14ac:dyDescent="0.25">
      <c r="A1640" s="44" t="str">
        <f>CONCATENATE(E1640,IF(ISBLANK(C1640),"",CONCATENATE("_",C1640)))</f>
        <v>SWORDSMAN_CHINA</v>
      </c>
      <c r="B1640" s="9" t="s">
        <v>104</v>
      </c>
      <c r="C1640" s="4" t="s">
        <v>710</v>
      </c>
      <c r="E1640" s="4" t="s">
        <v>104</v>
      </c>
      <c r="F1640" s="4" t="s">
        <v>104</v>
      </c>
      <c r="H1640" s="4" t="s">
        <v>456</v>
      </c>
      <c r="I1640" s="4" t="s">
        <v>102</v>
      </c>
      <c r="Q1640" s="9">
        <v>2</v>
      </c>
      <c r="T1640" s="9">
        <v>3</v>
      </c>
      <c r="W1640" s="9"/>
      <c r="Z1640" s="11">
        <v>0</v>
      </c>
      <c r="AF1640" s="11">
        <v>0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44" t="str">
        <f>CONCATENATE(E1641,IF(ISBLANK(C1641),"",CONCATENATE("_",C1641)))</f>
        <v>SWORDSMAN_CHINA</v>
      </c>
      <c r="B1641" s="9" t="s">
        <v>104</v>
      </c>
      <c r="C1641" s="4" t="s">
        <v>710</v>
      </c>
      <c r="E1641" s="4" t="s">
        <v>104</v>
      </c>
      <c r="F1641" s="4" t="s">
        <v>104</v>
      </c>
      <c r="G1641" s="14" t="s">
        <v>2039</v>
      </c>
      <c r="H1641" s="4" t="s">
        <v>259</v>
      </c>
      <c r="I1641" s="4" t="s">
        <v>102</v>
      </c>
      <c r="Q1641" s="9">
        <v>1</v>
      </c>
      <c r="T1641" s="9">
        <v>2</v>
      </c>
      <c r="W1641" s="9"/>
      <c r="Z1641" s="11">
        <v>0</v>
      </c>
      <c r="AF1641" s="11">
        <v>0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44" t="str">
        <f t="shared" si="29"/>
        <v>SWORDSMAN_JAPAN</v>
      </c>
      <c r="B1642" s="9" t="s">
        <v>104</v>
      </c>
      <c r="C1642" s="4" t="s">
        <v>722</v>
      </c>
      <c r="E1642" s="4" t="s">
        <v>104</v>
      </c>
      <c r="F1642" s="4" t="s">
        <v>104</v>
      </c>
      <c r="G1642" s="14" t="s">
        <v>132</v>
      </c>
      <c r="H1642" s="4" t="s">
        <v>491</v>
      </c>
      <c r="I1642" s="4" t="s">
        <v>102</v>
      </c>
      <c r="Q1642" s="9" t="s">
        <v>1734</v>
      </c>
      <c r="T1642" s="9"/>
      <c r="W1642" s="9"/>
      <c r="AL1642" s="11"/>
      <c r="AM1642" s="11"/>
      <c r="AN1642" s="11"/>
      <c r="AO1642" s="11"/>
      <c r="AP1642" s="11"/>
      <c r="AQ1642" s="11"/>
    </row>
    <row r="1643" spans="1:43" x14ac:dyDescent="0.25">
      <c r="A1643" s="44" t="str">
        <f t="shared" si="29"/>
        <v>SWORDSMAN_KOREA</v>
      </c>
      <c r="B1643" s="9" t="s">
        <v>104</v>
      </c>
      <c r="C1643" s="4" t="s">
        <v>723</v>
      </c>
      <c r="E1643" s="4" t="s">
        <v>104</v>
      </c>
      <c r="F1643" s="4" t="s">
        <v>104</v>
      </c>
      <c r="G1643" s="14" t="s">
        <v>132</v>
      </c>
      <c r="H1643" s="4" t="s">
        <v>504</v>
      </c>
      <c r="I1643" s="4" t="s">
        <v>102</v>
      </c>
      <c r="Q1643" s="9" t="s">
        <v>1734</v>
      </c>
      <c r="T1643" s="9"/>
      <c r="W1643" s="9"/>
      <c r="AL1643" s="11"/>
      <c r="AM1643" s="11"/>
      <c r="AN1643" s="11"/>
      <c r="AO1643" s="11"/>
      <c r="AP1643" s="11"/>
      <c r="AQ1643" s="11"/>
    </row>
    <row r="1644" spans="1:43" x14ac:dyDescent="0.25">
      <c r="A1644" s="44" t="str">
        <f t="shared" si="29"/>
        <v>SWORDSMAN_MONGOL</v>
      </c>
      <c r="B1644" s="9" t="s">
        <v>104</v>
      </c>
      <c r="C1644" s="4" t="s">
        <v>728</v>
      </c>
      <c r="E1644" s="4" t="s">
        <v>104</v>
      </c>
      <c r="F1644" s="4" t="s">
        <v>104</v>
      </c>
      <c r="G1644" s="14" t="s">
        <v>132</v>
      </c>
      <c r="H1644" s="4" t="s">
        <v>535</v>
      </c>
      <c r="I1644" s="4" t="s">
        <v>2089</v>
      </c>
      <c r="Q1644" s="9" t="s">
        <v>1734</v>
      </c>
      <c r="T1644" s="9"/>
      <c r="W1644" s="9"/>
      <c r="AL1644" s="11"/>
      <c r="AM1644" s="11"/>
      <c r="AN1644" s="11"/>
      <c r="AO1644" s="11"/>
      <c r="AP1644" s="11"/>
      <c r="AQ1644" s="11"/>
    </row>
    <row r="1645" spans="1:43" x14ac:dyDescent="0.25">
      <c r="A1645" s="44" t="str">
        <f t="shared" si="29"/>
        <v>SWORDSMAN_CENTAS</v>
      </c>
      <c r="B1645" s="9" t="s">
        <v>104</v>
      </c>
      <c r="C1645" s="4" t="s">
        <v>918</v>
      </c>
      <c r="E1645" s="4" t="s">
        <v>104</v>
      </c>
      <c r="F1645" s="4" t="s">
        <v>104</v>
      </c>
      <c r="G1645" s="14" t="s">
        <v>132</v>
      </c>
      <c r="H1645" s="4" t="s">
        <v>1036</v>
      </c>
      <c r="I1645" s="4" t="s">
        <v>122</v>
      </c>
      <c r="Q1645" s="9" t="s">
        <v>1734</v>
      </c>
      <c r="T1645" s="9"/>
      <c r="W1645" s="9"/>
      <c r="AL1645" s="11"/>
      <c r="AM1645" s="11"/>
      <c r="AN1645" s="11"/>
      <c r="AO1645" s="11"/>
      <c r="AP1645" s="11"/>
      <c r="AQ1645" s="11"/>
    </row>
    <row r="1646" spans="1:43" x14ac:dyDescent="0.25">
      <c r="A1646" s="44" t="str">
        <f>CONCATENATE(E1646,IF(ISBLANK(C1646),"",CONCATENATE("_",C1646)))</f>
        <v>SWORDSMAN_HUNS</v>
      </c>
      <c r="B1646" s="9" t="s">
        <v>104</v>
      </c>
      <c r="C1646" s="4" t="s">
        <v>904</v>
      </c>
      <c r="E1646" s="4" t="s">
        <v>104</v>
      </c>
      <c r="F1646" s="4" t="s">
        <v>104</v>
      </c>
      <c r="G1646" s="14" t="s">
        <v>132</v>
      </c>
      <c r="H1646" s="4" t="s">
        <v>1806</v>
      </c>
      <c r="I1646" s="4" t="s">
        <v>835</v>
      </c>
      <c r="Q1646" s="9" t="s">
        <v>1734</v>
      </c>
      <c r="T1646" s="9"/>
      <c r="W1646" s="9"/>
      <c r="AL1646" s="11"/>
      <c r="AM1646" s="11"/>
      <c r="AN1646" s="11"/>
      <c r="AO1646" s="11"/>
      <c r="AP1646" s="11"/>
      <c r="AQ1646" s="11"/>
    </row>
    <row r="1647" spans="1:43" x14ac:dyDescent="0.25">
      <c r="A1647" s="44" t="str">
        <f t="shared" si="29"/>
        <v>SWORDSMAN_OTTOMAN</v>
      </c>
      <c r="B1647" s="9" t="s">
        <v>104</v>
      </c>
      <c r="C1647" s="4" t="s">
        <v>1037</v>
      </c>
      <c r="E1647" s="4" t="s">
        <v>104</v>
      </c>
      <c r="F1647" s="4" t="s">
        <v>104</v>
      </c>
      <c r="G1647" s="14" t="s">
        <v>132</v>
      </c>
      <c r="H1647" s="4" t="s">
        <v>1041</v>
      </c>
      <c r="I1647" s="4" t="s">
        <v>2089</v>
      </c>
      <c r="Q1647" s="9">
        <v>1</v>
      </c>
      <c r="T1647" s="9">
        <v>2</v>
      </c>
      <c r="W1647" s="9"/>
      <c r="Z1647" s="11">
        <v>1</v>
      </c>
      <c r="AF1647" s="11">
        <v>1</v>
      </c>
      <c r="AI1647" s="11">
        <v>1</v>
      </c>
      <c r="AL1647" s="11"/>
      <c r="AM1647" s="11"/>
      <c r="AN1647" s="11"/>
      <c r="AO1647" s="11"/>
      <c r="AP1647" s="11"/>
      <c r="AQ1647" s="11"/>
    </row>
    <row r="1648" spans="1:43" x14ac:dyDescent="0.25">
      <c r="A1648" s="44" t="str">
        <f t="shared" si="29"/>
        <v>SWORDSMAN_OTTOMAN</v>
      </c>
      <c r="B1648" s="9" t="s">
        <v>104</v>
      </c>
      <c r="C1648" s="4" t="s">
        <v>1037</v>
      </c>
      <c r="E1648" s="4" t="s">
        <v>104</v>
      </c>
      <c r="F1648" s="4" t="s">
        <v>104</v>
      </c>
      <c r="G1648" s="14" t="s">
        <v>2039</v>
      </c>
      <c r="H1648" s="4" t="s">
        <v>1948</v>
      </c>
      <c r="I1648" s="4" t="s">
        <v>2089</v>
      </c>
      <c r="Q1648" s="9">
        <v>2</v>
      </c>
      <c r="T1648" s="9">
        <v>3</v>
      </c>
      <c r="W1648" s="9"/>
      <c r="Z1648" s="11">
        <v>0</v>
      </c>
      <c r="AF1648" s="11">
        <v>1</v>
      </c>
      <c r="AI1648" s="11">
        <v>1</v>
      </c>
      <c r="AL1648" s="11"/>
      <c r="AM1648" s="11"/>
      <c r="AN1648" s="11"/>
      <c r="AO1648" s="11"/>
      <c r="AP1648" s="11"/>
      <c r="AQ1648" s="11"/>
    </row>
    <row r="1649" spans="1:43" x14ac:dyDescent="0.25">
      <c r="A1649" s="44" t="str">
        <f t="shared" ref="A1649:A1659" si="30">CONCATENATE(E1649,IF(ISBLANK(C1649),"",CONCATENATE("_",C1649)))</f>
        <v>SWORDSMAN_OTTOMAN</v>
      </c>
      <c r="B1649" s="9" t="s">
        <v>104</v>
      </c>
      <c r="C1649" s="4" t="s">
        <v>1037</v>
      </c>
      <c r="E1649" s="4" t="s">
        <v>104</v>
      </c>
      <c r="F1649" s="4" t="s">
        <v>104</v>
      </c>
      <c r="G1649" s="14" t="s">
        <v>132</v>
      </c>
      <c r="H1649" s="4" t="s">
        <v>1041</v>
      </c>
      <c r="I1649" s="4" t="s">
        <v>2089</v>
      </c>
      <c r="Q1649" s="9">
        <v>3</v>
      </c>
      <c r="T1649" s="9">
        <v>3</v>
      </c>
      <c r="W1649" s="9"/>
      <c r="Z1649" s="11">
        <v>0</v>
      </c>
      <c r="AF1649" s="11">
        <v>1</v>
      </c>
      <c r="AI1649" s="11">
        <v>2</v>
      </c>
      <c r="AL1649" s="11"/>
      <c r="AM1649" s="11"/>
      <c r="AN1649" s="11"/>
      <c r="AO1649" s="11"/>
      <c r="AP1649" s="11"/>
      <c r="AQ1649" s="11"/>
    </row>
    <row r="1650" spans="1:43" x14ac:dyDescent="0.25">
      <c r="A1650" s="44" t="str">
        <f t="shared" si="30"/>
        <v>SWORDSMAN_OTTOMAN</v>
      </c>
      <c r="B1650" s="9" t="s">
        <v>104</v>
      </c>
      <c r="C1650" s="4" t="s">
        <v>1037</v>
      </c>
      <c r="E1650" s="4" t="s">
        <v>104</v>
      </c>
      <c r="F1650" s="4" t="s">
        <v>104</v>
      </c>
      <c r="G1650" s="14" t="s">
        <v>2039</v>
      </c>
      <c r="H1650" s="4" t="s">
        <v>1948</v>
      </c>
      <c r="I1650" s="4" t="s">
        <v>2089</v>
      </c>
      <c r="Q1650" s="9">
        <v>3</v>
      </c>
      <c r="T1650" s="9">
        <v>3</v>
      </c>
      <c r="W1650" s="9"/>
      <c r="Z1650" s="11">
        <v>0</v>
      </c>
      <c r="AF1650" s="11">
        <v>0</v>
      </c>
      <c r="AI1650" s="11">
        <v>1</v>
      </c>
      <c r="AL1650" s="11"/>
      <c r="AM1650" s="11"/>
      <c r="AN1650" s="11"/>
      <c r="AO1650" s="11"/>
      <c r="AP1650" s="11"/>
      <c r="AQ1650" s="11"/>
    </row>
    <row r="1651" spans="1:43" x14ac:dyDescent="0.25">
      <c r="A1651" s="44" t="str">
        <f t="shared" si="30"/>
        <v>SWORDSMAN_OTTOMAN</v>
      </c>
      <c r="B1651" s="9" t="s">
        <v>104</v>
      </c>
      <c r="C1651" s="4" t="s">
        <v>1037</v>
      </c>
      <c r="E1651" s="4" t="s">
        <v>104</v>
      </c>
      <c r="F1651" s="4" t="s">
        <v>104</v>
      </c>
      <c r="G1651" s="14" t="s">
        <v>132</v>
      </c>
      <c r="H1651" s="4" t="s">
        <v>1041</v>
      </c>
      <c r="I1651" s="4" t="s">
        <v>2089</v>
      </c>
      <c r="Q1651" s="9">
        <v>2</v>
      </c>
      <c r="T1651" s="9">
        <v>3</v>
      </c>
      <c r="W1651" s="9"/>
      <c r="Z1651" s="11">
        <v>0</v>
      </c>
      <c r="AF1651" s="11">
        <v>0</v>
      </c>
      <c r="AI1651" s="11">
        <v>1</v>
      </c>
      <c r="AL1651" s="11"/>
      <c r="AM1651" s="11"/>
      <c r="AN1651" s="11"/>
      <c r="AO1651" s="11"/>
      <c r="AP1651" s="11"/>
      <c r="AQ1651" s="11"/>
    </row>
    <row r="1652" spans="1:43" x14ac:dyDescent="0.25">
      <c r="A1652" s="44" t="str">
        <f t="shared" si="30"/>
        <v>SWORDSMAN_OTTOMAN</v>
      </c>
      <c r="B1652" s="9" t="s">
        <v>104</v>
      </c>
      <c r="C1652" s="4" t="s">
        <v>1037</v>
      </c>
      <c r="E1652" s="4" t="s">
        <v>104</v>
      </c>
      <c r="F1652" s="4" t="s">
        <v>104</v>
      </c>
      <c r="G1652" s="14" t="s">
        <v>2039</v>
      </c>
      <c r="H1652" s="4" t="s">
        <v>1948</v>
      </c>
      <c r="I1652" s="4" t="s">
        <v>2089</v>
      </c>
      <c r="Q1652" s="9">
        <v>1</v>
      </c>
      <c r="T1652" s="9">
        <v>2</v>
      </c>
      <c r="W1652" s="9"/>
      <c r="Z1652" s="11">
        <v>0</v>
      </c>
      <c r="AF1652" s="11">
        <v>0</v>
      </c>
      <c r="AI1652" s="11">
        <v>1</v>
      </c>
      <c r="AL1652" s="11"/>
      <c r="AM1652" s="11"/>
      <c r="AN1652" s="11"/>
      <c r="AO1652" s="11"/>
      <c r="AP1652" s="11"/>
      <c r="AQ1652" s="11"/>
    </row>
    <row r="1653" spans="1:43" s="2" customFormat="1" x14ac:dyDescent="0.25">
      <c r="A1653" s="44" t="str">
        <f t="shared" si="30"/>
        <v>SWORDSMAN_EASTEU</v>
      </c>
      <c r="B1653" s="9" t="s">
        <v>104</v>
      </c>
      <c r="C1653" s="4" t="s">
        <v>698</v>
      </c>
      <c r="D1653" s="4"/>
      <c r="E1653" s="4" t="s">
        <v>104</v>
      </c>
      <c r="F1653" s="4" t="s">
        <v>104</v>
      </c>
      <c r="G1653" s="4"/>
      <c r="H1653" s="4" t="s">
        <v>915</v>
      </c>
      <c r="I1653" s="4" t="s">
        <v>1816</v>
      </c>
      <c r="J1653" s="11"/>
      <c r="K1653" s="11"/>
      <c r="L1653" s="4"/>
      <c r="M1653" s="12"/>
      <c r="N1653" s="4"/>
      <c r="O1653" s="4"/>
      <c r="P1653" s="4"/>
      <c r="Q1653" s="9">
        <v>3</v>
      </c>
      <c r="R1653" s="11"/>
      <c r="S1653" s="4"/>
      <c r="T1653" s="11">
        <v>2</v>
      </c>
      <c r="U1653" s="11"/>
      <c r="V1653" s="4"/>
      <c r="W1653" s="11"/>
      <c r="X1653" s="11"/>
      <c r="Y1653" s="4"/>
      <c r="Z1653" s="9">
        <v>1</v>
      </c>
      <c r="AA1653" s="11"/>
      <c r="AB1653" s="4"/>
      <c r="AC1653" s="11"/>
      <c r="AD1653" s="11"/>
      <c r="AE1653" s="4"/>
      <c r="AF1653" s="11">
        <v>1</v>
      </c>
      <c r="AG1653" s="11"/>
      <c r="AH1653" s="4"/>
      <c r="AI1653" s="11">
        <v>2</v>
      </c>
      <c r="AJ1653" s="11"/>
      <c r="AK1653" s="4"/>
      <c r="AL1653" s="11"/>
      <c r="AM1653" s="11"/>
      <c r="AN1653" s="11"/>
      <c r="AO1653" s="11"/>
      <c r="AP1653" s="11"/>
      <c r="AQ1653" s="11"/>
    </row>
    <row r="1654" spans="1:43" s="2" customFormat="1" x14ac:dyDescent="0.25">
      <c r="A1654" s="44" t="str">
        <f t="shared" si="30"/>
        <v>SWORDSMAN_EASTEU</v>
      </c>
      <c r="B1654" s="9" t="s">
        <v>104</v>
      </c>
      <c r="C1654" s="4" t="s">
        <v>698</v>
      </c>
      <c r="D1654" s="4"/>
      <c r="E1654" s="4" t="s">
        <v>104</v>
      </c>
      <c r="F1654" s="4" t="s">
        <v>104</v>
      </c>
      <c r="G1654" s="4" t="s">
        <v>2039</v>
      </c>
      <c r="H1654" s="4" t="s">
        <v>916</v>
      </c>
      <c r="I1654" s="4" t="s">
        <v>1816</v>
      </c>
      <c r="J1654" s="11"/>
      <c r="K1654" s="11"/>
      <c r="L1654" s="4"/>
      <c r="M1654" s="12"/>
      <c r="N1654" s="4"/>
      <c r="O1654" s="4"/>
      <c r="P1654" s="4"/>
      <c r="Q1654" s="9">
        <v>3</v>
      </c>
      <c r="R1654" s="11"/>
      <c r="S1654" s="4"/>
      <c r="T1654" s="11">
        <v>3</v>
      </c>
      <c r="U1654" s="11"/>
      <c r="V1654" s="4"/>
      <c r="W1654" s="11"/>
      <c r="X1654" s="11"/>
      <c r="Y1654" s="4"/>
      <c r="Z1654" s="9">
        <v>0</v>
      </c>
      <c r="AA1654" s="11"/>
      <c r="AB1654" s="4"/>
      <c r="AC1654" s="11"/>
      <c r="AD1654" s="11"/>
      <c r="AE1654" s="4"/>
      <c r="AF1654" s="11">
        <v>1</v>
      </c>
      <c r="AG1654" s="11"/>
      <c r="AH1654" s="4"/>
      <c r="AI1654" s="11">
        <v>1</v>
      </c>
      <c r="AJ1654" s="11"/>
      <c r="AK1654" s="4"/>
      <c r="AL1654" s="11"/>
      <c r="AM1654" s="11"/>
      <c r="AN1654" s="11"/>
      <c r="AO1654" s="11"/>
      <c r="AP1654" s="11"/>
      <c r="AQ1654" s="11"/>
    </row>
    <row r="1655" spans="1:43" s="2" customFormat="1" x14ac:dyDescent="0.25">
      <c r="A1655" s="44" t="str">
        <f t="shared" si="30"/>
        <v>SWORDSMAN_EASTEU</v>
      </c>
      <c r="B1655" s="9" t="s">
        <v>104</v>
      </c>
      <c r="C1655" s="4" t="s">
        <v>698</v>
      </c>
      <c r="D1655" s="4"/>
      <c r="E1655" s="4" t="s">
        <v>104</v>
      </c>
      <c r="F1655" s="4" t="s">
        <v>104</v>
      </c>
      <c r="G1655" s="4"/>
      <c r="H1655" s="4" t="s">
        <v>915</v>
      </c>
      <c r="I1655" s="4" t="s">
        <v>1816</v>
      </c>
      <c r="J1655" s="11"/>
      <c r="K1655" s="11"/>
      <c r="L1655" s="4"/>
      <c r="M1655" s="12"/>
      <c r="N1655" s="4"/>
      <c r="O1655" s="4"/>
      <c r="P1655" s="4"/>
      <c r="Q1655" s="9">
        <v>3</v>
      </c>
      <c r="R1655" s="11"/>
      <c r="S1655" s="4"/>
      <c r="T1655" s="11">
        <v>3</v>
      </c>
      <c r="U1655" s="11"/>
      <c r="V1655" s="4"/>
      <c r="W1655" s="11"/>
      <c r="X1655" s="11"/>
      <c r="Y1655" s="4"/>
      <c r="Z1655" s="9">
        <v>0</v>
      </c>
      <c r="AA1655" s="11"/>
      <c r="AB1655" s="4"/>
      <c r="AC1655" s="11"/>
      <c r="AD1655" s="11"/>
      <c r="AE1655" s="4"/>
      <c r="AF1655" s="11">
        <v>1</v>
      </c>
      <c r="AG1655" s="11"/>
      <c r="AH1655" s="4"/>
      <c r="AI1655" s="11">
        <v>2</v>
      </c>
      <c r="AJ1655" s="11"/>
      <c r="AK1655" s="4"/>
      <c r="AL1655" s="11"/>
      <c r="AM1655" s="11"/>
      <c r="AN1655" s="11"/>
      <c r="AO1655" s="11"/>
      <c r="AP1655" s="11"/>
      <c r="AQ1655" s="11"/>
    </row>
    <row r="1656" spans="1:43" s="2" customFormat="1" x14ac:dyDescent="0.25">
      <c r="A1656" s="44" t="str">
        <f t="shared" si="30"/>
        <v>SWORDSMAN_EASTEU</v>
      </c>
      <c r="B1656" s="9" t="s">
        <v>104</v>
      </c>
      <c r="C1656" s="4" t="s">
        <v>698</v>
      </c>
      <c r="D1656" s="4"/>
      <c r="E1656" s="4" t="s">
        <v>104</v>
      </c>
      <c r="F1656" s="4" t="s">
        <v>104</v>
      </c>
      <c r="G1656" s="4" t="s">
        <v>2039</v>
      </c>
      <c r="H1656" s="4" t="s">
        <v>916</v>
      </c>
      <c r="I1656" s="4" t="s">
        <v>1816</v>
      </c>
      <c r="J1656" s="11"/>
      <c r="K1656" s="11"/>
      <c r="L1656" s="4"/>
      <c r="M1656" s="12"/>
      <c r="N1656" s="4"/>
      <c r="O1656" s="4"/>
      <c r="P1656" s="4"/>
      <c r="Q1656" s="9">
        <v>3</v>
      </c>
      <c r="R1656" s="11"/>
      <c r="S1656" s="4"/>
      <c r="T1656" s="11">
        <v>3</v>
      </c>
      <c r="U1656" s="11"/>
      <c r="V1656" s="4"/>
      <c r="W1656" s="11"/>
      <c r="X1656" s="11"/>
      <c r="Y1656" s="4"/>
      <c r="Z1656" s="9">
        <v>0</v>
      </c>
      <c r="AA1656" s="11"/>
      <c r="AB1656" s="4"/>
      <c r="AC1656" s="11"/>
      <c r="AD1656" s="11"/>
      <c r="AE1656" s="4"/>
      <c r="AF1656" s="11">
        <v>0</v>
      </c>
      <c r="AG1656" s="11"/>
      <c r="AH1656" s="4"/>
      <c r="AI1656" s="11">
        <v>2</v>
      </c>
      <c r="AJ1656" s="11"/>
      <c r="AK1656" s="4"/>
      <c r="AL1656" s="11"/>
      <c r="AM1656" s="11"/>
      <c r="AN1656" s="11"/>
      <c r="AO1656" s="11"/>
      <c r="AP1656" s="11"/>
      <c r="AQ1656" s="11"/>
    </row>
    <row r="1657" spans="1:43" s="2" customFormat="1" x14ac:dyDescent="0.25">
      <c r="A1657" s="44" t="str">
        <f t="shared" si="30"/>
        <v>SWORDSMAN_EASTEU</v>
      </c>
      <c r="B1657" s="9" t="s">
        <v>104</v>
      </c>
      <c r="C1657" s="4" t="s">
        <v>698</v>
      </c>
      <c r="D1657" s="4"/>
      <c r="E1657" s="4" t="s">
        <v>104</v>
      </c>
      <c r="F1657" s="4" t="s">
        <v>104</v>
      </c>
      <c r="G1657" s="4"/>
      <c r="H1657" s="4" t="s">
        <v>915</v>
      </c>
      <c r="I1657" s="4" t="s">
        <v>1816</v>
      </c>
      <c r="J1657" s="11"/>
      <c r="K1657" s="11"/>
      <c r="L1657" s="4"/>
      <c r="M1657" s="12"/>
      <c r="N1657" s="4"/>
      <c r="O1657" s="4"/>
      <c r="P1657" s="4"/>
      <c r="Q1657" s="9">
        <v>3</v>
      </c>
      <c r="R1657" s="11"/>
      <c r="S1657" s="4"/>
      <c r="T1657" s="11">
        <v>3</v>
      </c>
      <c r="U1657" s="11"/>
      <c r="V1657" s="4"/>
      <c r="W1657" s="11"/>
      <c r="X1657" s="11"/>
      <c r="Y1657" s="4"/>
      <c r="Z1657" s="9">
        <v>0</v>
      </c>
      <c r="AA1657" s="11"/>
      <c r="AB1657" s="4"/>
      <c r="AC1657" s="11"/>
      <c r="AD1657" s="11"/>
      <c r="AE1657" s="4"/>
      <c r="AF1657" s="11">
        <v>1</v>
      </c>
      <c r="AG1657" s="11"/>
      <c r="AH1657" s="4"/>
      <c r="AI1657" s="11">
        <v>2</v>
      </c>
      <c r="AJ1657" s="11"/>
      <c r="AK1657" s="4"/>
      <c r="AL1657" s="11"/>
      <c r="AM1657" s="11"/>
      <c r="AN1657" s="11"/>
      <c r="AO1657" s="11"/>
      <c r="AP1657" s="11"/>
      <c r="AQ1657" s="11"/>
    </row>
    <row r="1658" spans="1:43" s="2" customFormat="1" x14ac:dyDescent="0.25">
      <c r="A1658" s="44" t="str">
        <f t="shared" si="30"/>
        <v>SWORDSMAN_EASTEU</v>
      </c>
      <c r="B1658" s="9" t="s">
        <v>104</v>
      </c>
      <c r="C1658" s="4" t="s">
        <v>698</v>
      </c>
      <c r="D1658" s="4"/>
      <c r="E1658" s="4" t="s">
        <v>104</v>
      </c>
      <c r="F1658" s="4" t="s">
        <v>104</v>
      </c>
      <c r="G1658" s="4" t="s">
        <v>2039</v>
      </c>
      <c r="H1658" s="4" t="s">
        <v>916</v>
      </c>
      <c r="I1658" s="4" t="s">
        <v>1816</v>
      </c>
      <c r="J1658" s="11"/>
      <c r="K1658" s="11"/>
      <c r="L1658" s="4"/>
      <c r="M1658" s="12"/>
      <c r="N1658" s="4"/>
      <c r="O1658" s="4"/>
      <c r="P1658" s="4"/>
      <c r="Q1658" s="9">
        <v>3</v>
      </c>
      <c r="R1658" s="11"/>
      <c r="S1658" s="4"/>
      <c r="T1658" s="11">
        <v>2</v>
      </c>
      <c r="U1658" s="11"/>
      <c r="V1658" s="4"/>
      <c r="W1658" s="11"/>
      <c r="X1658" s="11"/>
      <c r="Y1658" s="4"/>
      <c r="Z1658" s="9">
        <v>0</v>
      </c>
      <c r="AA1658" s="11"/>
      <c r="AB1658" s="4"/>
      <c r="AC1658" s="11"/>
      <c r="AD1658" s="11"/>
      <c r="AE1658" s="4"/>
      <c r="AF1658" s="11">
        <v>0</v>
      </c>
      <c r="AG1658" s="11"/>
      <c r="AH1658" s="4"/>
      <c r="AI1658" s="11">
        <v>2</v>
      </c>
      <c r="AJ1658" s="11"/>
      <c r="AK1658" s="4"/>
      <c r="AL1658" s="11"/>
      <c r="AM1658" s="11"/>
      <c r="AN1658" s="11"/>
      <c r="AO1658" s="11"/>
      <c r="AP1658" s="11"/>
      <c r="AQ1658" s="11"/>
    </row>
    <row r="1659" spans="1:43" s="2" customFormat="1" x14ac:dyDescent="0.25">
      <c r="A1659" s="44" t="str">
        <f t="shared" si="30"/>
        <v>SWORDSMAN_POLAND</v>
      </c>
      <c r="B1659" s="9" t="s">
        <v>104</v>
      </c>
      <c r="C1659" s="4" t="s">
        <v>732</v>
      </c>
      <c r="D1659" s="4"/>
      <c r="E1659" s="4" t="s">
        <v>104</v>
      </c>
      <c r="F1659" s="4" t="s">
        <v>104</v>
      </c>
      <c r="G1659" s="4"/>
      <c r="H1659" s="4" t="s">
        <v>2091</v>
      </c>
      <c r="I1659" s="4" t="s">
        <v>1928</v>
      </c>
      <c r="J1659" s="11"/>
      <c r="K1659" s="11"/>
      <c r="L1659" s="4"/>
      <c r="M1659" s="12"/>
      <c r="N1659" s="4"/>
      <c r="O1659" s="4"/>
      <c r="P1659" s="4"/>
      <c r="Q1659" s="9" t="s">
        <v>1734</v>
      </c>
      <c r="R1659" s="11"/>
      <c r="S1659" s="4"/>
      <c r="T1659" s="11"/>
      <c r="U1659" s="11"/>
      <c r="V1659" s="4"/>
      <c r="W1659" s="11"/>
      <c r="X1659" s="11"/>
      <c r="Y1659" s="4"/>
      <c r="Z1659" s="9"/>
      <c r="AA1659" s="11"/>
      <c r="AB1659" s="4"/>
      <c r="AC1659" s="11"/>
      <c r="AD1659" s="11"/>
      <c r="AE1659" s="4"/>
      <c r="AF1659" s="11"/>
      <c r="AG1659" s="11"/>
      <c r="AH1659" s="4"/>
      <c r="AI1659" s="11"/>
      <c r="AJ1659" s="11"/>
      <c r="AK1659" s="4"/>
      <c r="AL1659" s="11"/>
      <c r="AM1659" s="11"/>
      <c r="AN1659" s="11"/>
      <c r="AO1659" s="11"/>
      <c r="AP1659" s="11"/>
      <c r="AQ1659" s="11"/>
    </row>
    <row r="1660" spans="1:43" x14ac:dyDescent="0.25">
      <c r="A1660" s="44" t="str">
        <f t="shared" si="29"/>
        <v>SWORDSMAN_RUSSIA</v>
      </c>
      <c r="B1660" s="9" t="s">
        <v>104</v>
      </c>
      <c r="C1660" s="4" t="s">
        <v>735</v>
      </c>
      <c r="E1660" s="4" t="s">
        <v>104</v>
      </c>
      <c r="F1660" s="4" t="s">
        <v>104</v>
      </c>
      <c r="H1660" s="4" t="s">
        <v>1009</v>
      </c>
      <c r="I1660" s="4" t="s">
        <v>2089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  <c r="AL1660" s="11"/>
      <c r="AM1660" s="11"/>
      <c r="AN1660" s="11"/>
      <c r="AO1660" s="11"/>
      <c r="AP1660" s="11"/>
      <c r="AQ1660" s="11"/>
    </row>
    <row r="1661" spans="1:43" x14ac:dyDescent="0.25">
      <c r="A1661" s="44" t="str">
        <f t="shared" si="29"/>
        <v>SWORDSMAN_RUSSIA</v>
      </c>
      <c r="B1661" s="9" t="s">
        <v>104</v>
      </c>
      <c r="C1661" s="4" t="s">
        <v>735</v>
      </c>
      <c r="E1661" s="4" t="s">
        <v>104</v>
      </c>
      <c r="F1661" s="4" t="s">
        <v>104</v>
      </c>
      <c r="G1661" s="4" t="s">
        <v>2039</v>
      </c>
      <c r="H1661" s="4" t="s">
        <v>1010</v>
      </c>
      <c r="I1661" s="4" t="s">
        <v>2089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  <c r="AL1661" s="11"/>
      <c r="AM1661" s="11"/>
      <c r="AN1661" s="11"/>
      <c r="AO1661" s="11"/>
      <c r="AP1661" s="11"/>
      <c r="AQ1661" s="11"/>
    </row>
    <row r="1662" spans="1:43" x14ac:dyDescent="0.25">
      <c r="A1662" s="44" t="str">
        <f t="shared" si="29"/>
        <v>SWORDSMAN_RUSSIA</v>
      </c>
      <c r="B1662" s="9" t="s">
        <v>104</v>
      </c>
      <c r="C1662" s="4" t="s">
        <v>735</v>
      </c>
      <c r="E1662" s="4" t="s">
        <v>104</v>
      </c>
      <c r="F1662" s="4" t="s">
        <v>104</v>
      </c>
      <c r="G1662" s="4" t="s">
        <v>2041</v>
      </c>
      <c r="H1662" s="4" t="s">
        <v>627</v>
      </c>
      <c r="I1662" s="4" t="s">
        <v>2089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  <c r="AL1662" s="11"/>
      <c r="AM1662" s="11"/>
      <c r="AN1662" s="11"/>
      <c r="AO1662" s="11"/>
      <c r="AP1662" s="11"/>
      <c r="AQ1662" s="11"/>
    </row>
    <row r="1663" spans="1:43" x14ac:dyDescent="0.25">
      <c r="A1663" s="44" t="str">
        <f t="shared" si="29"/>
        <v>SWORDSMAN_RUSSIA</v>
      </c>
      <c r="B1663" s="9" t="s">
        <v>104</v>
      </c>
      <c r="C1663" s="4" t="s">
        <v>735</v>
      </c>
      <c r="E1663" s="4" t="s">
        <v>104</v>
      </c>
      <c r="F1663" s="4" t="s">
        <v>104</v>
      </c>
      <c r="H1663" s="4" t="s">
        <v>1009</v>
      </c>
      <c r="I1663" s="4" t="s">
        <v>2089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  <c r="AL1663" s="11"/>
      <c r="AM1663" s="11"/>
      <c r="AN1663" s="11"/>
      <c r="AO1663" s="11"/>
      <c r="AP1663" s="11"/>
      <c r="AQ1663" s="11"/>
    </row>
    <row r="1664" spans="1:43" x14ac:dyDescent="0.25">
      <c r="A1664" s="44" t="str">
        <f t="shared" si="29"/>
        <v>SWORDSMAN_RUSSIA</v>
      </c>
      <c r="B1664" s="9" t="s">
        <v>104</v>
      </c>
      <c r="C1664" s="4" t="s">
        <v>735</v>
      </c>
      <c r="E1664" s="4" t="s">
        <v>104</v>
      </c>
      <c r="F1664" s="4" t="s">
        <v>104</v>
      </c>
      <c r="G1664" s="4" t="s">
        <v>2039</v>
      </c>
      <c r="H1664" s="4" t="s">
        <v>1010</v>
      </c>
      <c r="I1664" s="4" t="s">
        <v>2089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44" t="str">
        <f t="shared" si="29"/>
        <v>SWORDSMAN_RUSSIA</v>
      </c>
      <c r="B1665" s="9" t="s">
        <v>104</v>
      </c>
      <c r="C1665" s="4" t="s">
        <v>735</v>
      </c>
      <c r="E1665" s="4" t="s">
        <v>104</v>
      </c>
      <c r="F1665" s="4" t="s">
        <v>104</v>
      </c>
      <c r="G1665" s="4" t="s">
        <v>2041</v>
      </c>
      <c r="H1665" s="4" t="s">
        <v>627</v>
      </c>
      <c r="I1665" s="4" t="s">
        <v>2089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44" t="str">
        <f t="shared" si="29"/>
        <v>SWORDSMAN_EURO</v>
      </c>
      <c r="B1666" s="9" t="s">
        <v>104</v>
      </c>
      <c r="C1666" s="4" t="s">
        <v>689</v>
      </c>
      <c r="E1666" s="4" t="s">
        <v>104</v>
      </c>
      <c r="F1666" s="4" t="s">
        <v>104</v>
      </c>
      <c r="H1666" s="4" t="s">
        <v>2686</v>
      </c>
      <c r="I1666" s="4" t="s">
        <v>1025</v>
      </c>
      <c r="Q1666" s="9" t="s">
        <v>1734</v>
      </c>
      <c r="Z1666" s="9"/>
      <c r="AL1666" s="11"/>
      <c r="AM1666" s="11"/>
      <c r="AN1666" s="11"/>
      <c r="AO1666" s="11"/>
      <c r="AP1666" s="11"/>
      <c r="AQ1666" s="11"/>
    </row>
    <row r="1667" spans="1:43" x14ac:dyDescent="0.25">
      <c r="A1667" s="44" t="str">
        <f t="shared" si="29"/>
        <v>SWORDSMAN_AMERICA</v>
      </c>
      <c r="B1667" s="9" t="s">
        <v>104</v>
      </c>
      <c r="C1667" s="4" t="s">
        <v>699</v>
      </c>
      <c r="E1667" s="4" t="s">
        <v>104</v>
      </c>
      <c r="F1667" s="4" t="s">
        <v>104</v>
      </c>
      <c r="G1667" s="14"/>
      <c r="H1667" s="4" t="s">
        <v>152</v>
      </c>
      <c r="I1667" s="4" t="s">
        <v>1934</v>
      </c>
      <c r="Q1667" s="9" t="s">
        <v>1734</v>
      </c>
      <c r="T1667" s="9"/>
      <c r="W1667" s="9"/>
      <c r="AF1667" s="9"/>
      <c r="AI1667" s="9"/>
      <c r="AL1667" s="11"/>
      <c r="AM1667" s="11"/>
      <c r="AN1667" s="11"/>
      <c r="AO1667" s="11"/>
      <c r="AP1667" s="11"/>
      <c r="AQ1667" s="11"/>
    </row>
    <row r="1668" spans="1:43" x14ac:dyDescent="0.25">
      <c r="A1668" s="44" t="str">
        <f t="shared" si="29"/>
        <v>SWORDSMAN_ENGLAND</v>
      </c>
      <c r="B1668" s="9" t="s">
        <v>104</v>
      </c>
      <c r="C1668" s="4" t="s">
        <v>713</v>
      </c>
      <c r="E1668" s="4" t="s">
        <v>104</v>
      </c>
      <c r="F1668" s="4" t="s">
        <v>104</v>
      </c>
      <c r="G1668" s="14" t="s">
        <v>132</v>
      </c>
      <c r="H1668" s="4" t="s">
        <v>313</v>
      </c>
      <c r="I1668" s="4" t="s">
        <v>102</v>
      </c>
      <c r="Q1668" s="9" t="s">
        <v>1734</v>
      </c>
      <c r="T1668" s="9"/>
      <c r="W1668" s="9"/>
      <c r="AF1668" s="9"/>
      <c r="AI1668" s="9"/>
      <c r="AL1668" s="11"/>
      <c r="AM1668" s="11"/>
      <c r="AN1668" s="11"/>
      <c r="AO1668" s="11"/>
      <c r="AP1668" s="11"/>
      <c r="AQ1668" s="11"/>
    </row>
    <row r="1669" spans="1:43" x14ac:dyDescent="0.25">
      <c r="A1669" s="44" t="str">
        <f t="shared" si="29"/>
        <v>SWORDSMAN_FRANCE</v>
      </c>
      <c r="B1669" s="9" t="s">
        <v>104</v>
      </c>
      <c r="C1669" s="4" t="s">
        <v>715</v>
      </c>
      <c r="E1669" s="4" t="s">
        <v>104</v>
      </c>
      <c r="F1669" s="4" t="s">
        <v>104</v>
      </c>
      <c r="G1669" s="14" t="s">
        <v>132</v>
      </c>
      <c r="H1669" s="4" t="s">
        <v>358</v>
      </c>
      <c r="I1669" s="4" t="s">
        <v>102</v>
      </c>
      <c r="Q1669" s="9" t="s">
        <v>1734</v>
      </c>
      <c r="R1669" s="11">
        <v>0.14199999999999999</v>
      </c>
      <c r="T1669" s="9"/>
      <c r="W1669" s="9"/>
      <c r="AA1669" s="11">
        <v>0.22500000000000001</v>
      </c>
      <c r="AF1669" s="9"/>
      <c r="AI1669" s="9"/>
      <c r="AL1669" s="11"/>
      <c r="AM1669" s="11"/>
      <c r="AN1669" s="11"/>
      <c r="AO1669" s="11"/>
      <c r="AP1669" s="11"/>
      <c r="AQ1669" s="11"/>
    </row>
    <row r="1670" spans="1:43" x14ac:dyDescent="0.25">
      <c r="A1670" s="44" t="str">
        <f t="shared" si="29"/>
        <v>SWORDSMAN_GERMANY</v>
      </c>
      <c r="B1670" s="9" t="s">
        <v>104</v>
      </c>
      <c r="C1670" s="4" t="s">
        <v>717</v>
      </c>
      <c r="E1670" s="4" t="s">
        <v>104</v>
      </c>
      <c r="F1670" s="4" t="s">
        <v>104</v>
      </c>
      <c r="G1670" s="14" t="s">
        <v>132</v>
      </c>
      <c r="H1670" s="4" t="s">
        <v>391</v>
      </c>
      <c r="I1670" s="4" t="s">
        <v>102</v>
      </c>
      <c r="Q1670" s="9" t="s">
        <v>1734</v>
      </c>
      <c r="T1670" s="9"/>
      <c r="W1670" s="9"/>
      <c r="AF1670" s="9"/>
      <c r="AI1670" s="9"/>
      <c r="AL1670" s="11"/>
      <c r="AM1670" s="11"/>
      <c r="AN1670" s="11"/>
      <c r="AO1670" s="11"/>
      <c r="AP1670" s="11"/>
      <c r="AQ1670" s="11"/>
    </row>
    <row r="1671" spans="1:43" x14ac:dyDescent="0.25">
      <c r="A1671" s="44" t="str">
        <f t="shared" si="29"/>
        <v>SWORDSMAN_MED</v>
      </c>
      <c r="B1671" s="9" t="s">
        <v>104</v>
      </c>
      <c r="C1671" s="4" t="s">
        <v>692</v>
      </c>
      <c r="E1671" s="4" t="s">
        <v>104</v>
      </c>
      <c r="F1671" s="4" t="s">
        <v>104</v>
      </c>
      <c r="H1671" s="4" t="s">
        <v>854</v>
      </c>
      <c r="I1671" s="4" t="s">
        <v>835</v>
      </c>
      <c r="Q1671" s="9">
        <v>3</v>
      </c>
      <c r="R1671" s="11">
        <v>0.14399999999999999</v>
      </c>
      <c r="T1671" s="9">
        <v>3</v>
      </c>
      <c r="W1671" s="9"/>
      <c r="Z1671" s="11">
        <v>1</v>
      </c>
      <c r="AA1671" s="11">
        <v>0.23</v>
      </c>
      <c r="AF1671" s="9">
        <v>1</v>
      </c>
      <c r="AI1671" s="9">
        <v>2</v>
      </c>
      <c r="AL1671" s="11"/>
      <c r="AM1671" s="11"/>
      <c r="AN1671" s="11"/>
      <c r="AO1671" s="11"/>
      <c r="AP1671" s="11"/>
      <c r="AQ1671" s="11"/>
    </row>
    <row r="1672" spans="1:43" x14ac:dyDescent="0.25">
      <c r="A1672" s="44" t="str">
        <f t="shared" si="29"/>
        <v>SWORDSMAN_MED</v>
      </c>
      <c r="B1672" s="9" t="s">
        <v>104</v>
      </c>
      <c r="C1672" s="4" t="s">
        <v>692</v>
      </c>
      <c r="E1672" s="4" t="s">
        <v>104</v>
      </c>
      <c r="F1672" s="4" t="s">
        <v>104</v>
      </c>
      <c r="G1672" s="4" t="s">
        <v>2039</v>
      </c>
      <c r="H1672" s="4" t="s">
        <v>2687</v>
      </c>
      <c r="I1672" s="4" t="s">
        <v>1025</v>
      </c>
      <c r="Q1672" s="9">
        <v>3</v>
      </c>
      <c r="R1672" s="11" t="s">
        <v>1734</v>
      </c>
      <c r="T1672" s="9">
        <v>5</v>
      </c>
      <c r="W1672" s="9"/>
      <c r="Z1672" s="11">
        <v>0</v>
      </c>
      <c r="AA1672" s="11" t="s">
        <v>1734</v>
      </c>
      <c r="AF1672" s="9">
        <v>1</v>
      </c>
      <c r="AI1672" s="9">
        <v>1</v>
      </c>
      <c r="AL1672" s="11"/>
      <c r="AM1672" s="11"/>
      <c r="AN1672" s="11"/>
      <c r="AO1672" s="11"/>
      <c r="AP1672" s="11"/>
      <c r="AQ1672" s="11"/>
    </row>
    <row r="1673" spans="1:43" x14ac:dyDescent="0.25">
      <c r="A1673" s="44" t="str">
        <f t="shared" si="29"/>
        <v>SWORDSMAN_MED</v>
      </c>
      <c r="B1673" s="9" t="s">
        <v>104</v>
      </c>
      <c r="C1673" s="4" t="s">
        <v>692</v>
      </c>
      <c r="E1673" s="4" t="s">
        <v>104</v>
      </c>
      <c r="F1673" s="4" t="s">
        <v>104</v>
      </c>
      <c r="H1673" s="4" t="s">
        <v>854</v>
      </c>
      <c r="I1673" s="4" t="s">
        <v>835</v>
      </c>
      <c r="Q1673" s="9">
        <v>3</v>
      </c>
      <c r="R1673" s="11">
        <v>0.14399999999999999</v>
      </c>
      <c r="T1673" s="9">
        <v>5</v>
      </c>
      <c r="W1673" s="9"/>
      <c r="Z1673" s="11">
        <v>0</v>
      </c>
      <c r="AA1673" s="11">
        <v>0.23</v>
      </c>
      <c r="AF1673" s="9">
        <v>1</v>
      </c>
      <c r="AI1673" s="9">
        <v>2</v>
      </c>
      <c r="AL1673" s="11"/>
      <c r="AM1673" s="11"/>
      <c r="AN1673" s="11"/>
      <c r="AO1673" s="11"/>
      <c r="AP1673" s="11"/>
      <c r="AQ1673" s="11"/>
    </row>
    <row r="1674" spans="1:43" x14ac:dyDescent="0.25">
      <c r="A1674" s="44" t="str">
        <f t="shared" si="29"/>
        <v>SWORDSMAN_MED</v>
      </c>
      <c r="B1674" s="9" t="s">
        <v>104</v>
      </c>
      <c r="C1674" s="4" t="s">
        <v>692</v>
      </c>
      <c r="E1674" s="4" t="s">
        <v>104</v>
      </c>
      <c r="F1674" s="4" t="s">
        <v>104</v>
      </c>
      <c r="G1674" s="4" t="s">
        <v>2039</v>
      </c>
      <c r="H1674" s="4" t="s">
        <v>2687</v>
      </c>
      <c r="I1674" s="4" t="s">
        <v>1025</v>
      </c>
      <c r="Q1674" s="9">
        <v>3</v>
      </c>
      <c r="R1674" s="11" t="s">
        <v>1734</v>
      </c>
      <c r="T1674" s="9">
        <v>3</v>
      </c>
      <c r="W1674" s="9"/>
      <c r="Z1674" s="11">
        <v>0</v>
      </c>
      <c r="AA1674" s="11" t="s">
        <v>1734</v>
      </c>
      <c r="AF1674" s="9">
        <v>0</v>
      </c>
      <c r="AI1674" s="9">
        <v>2</v>
      </c>
      <c r="AL1674" s="11"/>
      <c r="AM1674" s="11"/>
      <c r="AN1674" s="11"/>
      <c r="AO1674" s="11"/>
      <c r="AP1674" s="11"/>
      <c r="AQ1674" s="11"/>
    </row>
    <row r="1675" spans="1:43" x14ac:dyDescent="0.25">
      <c r="A1675" s="44" t="str">
        <f t="shared" si="29"/>
        <v>SWORDSMAN_CARTHAGE</v>
      </c>
      <c r="B1675" s="9" t="s">
        <v>104</v>
      </c>
      <c r="C1675" s="4" t="s">
        <v>708</v>
      </c>
      <c r="E1675" s="4" t="s">
        <v>104</v>
      </c>
      <c r="F1675" s="4" t="s">
        <v>104</v>
      </c>
      <c r="H1675" s="4" t="s">
        <v>2626</v>
      </c>
      <c r="I1675" s="4" t="s">
        <v>2624</v>
      </c>
      <c r="Q1675" s="9" t="s">
        <v>1734</v>
      </c>
      <c r="T1675" s="9"/>
      <c r="W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44" t="str">
        <f t="shared" ref="A1676:A1759" si="31">CONCATENATE(E1676,IF(ISBLANK(C1676),"",CONCATENATE("_",C1676)))</f>
        <v>SWORDSMAN_GREECE</v>
      </c>
      <c r="B1676" s="9" t="s">
        <v>104</v>
      </c>
      <c r="C1676" s="4" t="s">
        <v>718</v>
      </c>
      <c r="E1676" s="4" t="s">
        <v>104</v>
      </c>
      <c r="F1676" s="4" t="s">
        <v>104</v>
      </c>
      <c r="G1676" s="14" t="s">
        <v>132</v>
      </c>
      <c r="H1676" s="4" t="s">
        <v>414</v>
      </c>
      <c r="I1676" s="4" t="s">
        <v>122</v>
      </c>
      <c r="Q1676" s="9" t="s">
        <v>1734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44" t="str">
        <f t="shared" si="31"/>
        <v>SWORDSMAN_ROME</v>
      </c>
      <c r="B1677" s="9" t="s">
        <v>104</v>
      </c>
      <c r="C1677" s="4" t="s">
        <v>734</v>
      </c>
      <c r="E1677" s="4" t="s">
        <v>104</v>
      </c>
      <c r="F1677" s="4" t="s">
        <v>104</v>
      </c>
      <c r="G1677" s="14" t="s">
        <v>132</v>
      </c>
      <c r="H1677" s="4" t="s">
        <v>600</v>
      </c>
      <c r="I1677" s="4" t="s">
        <v>128</v>
      </c>
      <c r="Q1677" s="9" t="s">
        <v>1734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44" t="str">
        <f t="shared" si="31"/>
        <v>SWORDSMAN_SPAIN</v>
      </c>
      <c r="B1678" s="9" t="s">
        <v>104</v>
      </c>
      <c r="C1678" s="4" t="s">
        <v>738</v>
      </c>
      <c r="E1678" s="4" t="s">
        <v>104</v>
      </c>
      <c r="F1678" s="4" t="s">
        <v>104</v>
      </c>
      <c r="H1678" s="4" t="s">
        <v>1020</v>
      </c>
      <c r="I1678" s="4" t="s">
        <v>2089</v>
      </c>
      <c r="Q1678" s="9">
        <v>3</v>
      </c>
      <c r="T1678" s="11">
        <v>3</v>
      </c>
      <c r="Z1678" s="9">
        <v>1</v>
      </c>
      <c r="AF1678" s="11">
        <v>1</v>
      </c>
      <c r="AI1678" s="11">
        <v>2</v>
      </c>
      <c r="AL1678" s="11"/>
      <c r="AM1678" s="11"/>
      <c r="AN1678" s="11"/>
      <c r="AO1678" s="11"/>
      <c r="AP1678" s="11"/>
      <c r="AQ1678" s="11"/>
    </row>
    <row r="1679" spans="1:43" x14ac:dyDescent="0.25">
      <c r="A1679" s="44" t="str">
        <f t="shared" si="31"/>
        <v>SWORDSMAN_SPAIN</v>
      </c>
      <c r="B1679" s="9" t="s">
        <v>104</v>
      </c>
      <c r="C1679" s="4" t="s">
        <v>738</v>
      </c>
      <c r="E1679" s="4" t="s">
        <v>104</v>
      </c>
      <c r="F1679" s="4" t="s">
        <v>104</v>
      </c>
      <c r="G1679" s="4" t="s">
        <v>2039</v>
      </c>
      <c r="H1679" s="4" t="s">
        <v>663</v>
      </c>
      <c r="I1679" s="4" t="s">
        <v>2089</v>
      </c>
      <c r="Q1679" s="9">
        <v>3</v>
      </c>
      <c r="T1679" s="11">
        <v>5</v>
      </c>
      <c r="Z1679" s="9">
        <v>0</v>
      </c>
      <c r="AF1679" s="11">
        <v>1</v>
      </c>
      <c r="AI1679" s="11">
        <v>1</v>
      </c>
      <c r="AL1679" s="11"/>
      <c r="AM1679" s="11"/>
      <c r="AN1679" s="11"/>
      <c r="AO1679" s="11"/>
      <c r="AP1679" s="11"/>
      <c r="AQ1679" s="11"/>
    </row>
    <row r="1680" spans="1:43" x14ac:dyDescent="0.25">
      <c r="A1680" s="44" t="str">
        <f t="shared" si="31"/>
        <v>SWORDSMAN_SPAIN</v>
      </c>
      <c r="B1680" s="9" t="s">
        <v>104</v>
      </c>
      <c r="C1680" s="4" t="s">
        <v>738</v>
      </c>
      <c r="E1680" s="4" t="s">
        <v>104</v>
      </c>
      <c r="F1680" s="4" t="s">
        <v>104</v>
      </c>
      <c r="H1680" s="4" t="s">
        <v>1020</v>
      </c>
      <c r="I1680" s="4" t="s">
        <v>2089</v>
      </c>
      <c r="Q1680" s="9">
        <v>3</v>
      </c>
      <c r="T1680" s="11">
        <v>5</v>
      </c>
      <c r="Z1680" s="9">
        <v>0</v>
      </c>
      <c r="AF1680" s="11">
        <v>1</v>
      </c>
      <c r="AI1680" s="11">
        <v>2</v>
      </c>
      <c r="AL1680" s="11"/>
      <c r="AM1680" s="11"/>
      <c r="AN1680" s="11"/>
      <c r="AO1680" s="11"/>
      <c r="AP1680" s="11"/>
      <c r="AQ1680" s="11"/>
    </row>
    <row r="1681" spans="1:43" x14ac:dyDescent="0.25">
      <c r="A1681" s="44" t="str">
        <f t="shared" si="31"/>
        <v>SWORDSMAN_SPAIN</v>
      </c>
      <c r="B1681" s="9" t="s">
        <v>104</v>
      </c>
      <c r="C1681" s="4" t="s">
        <v>738</v>
      </c>
      <c r="E1681" s="4" t="s">
        <v>104</v>
      </c>
      <c r="F1681" s="4" t="s">
        <v>104</v>
      </c>
      <c r="G1681" s="4" t="s">
        <v>2039</v>
      </c>
      <c r="H1681" s="4" t="s">
        <v>663</v>
      </c>
      <c r="I1681" s="4" t="s">
        <v>2089</v>
      </c>
      <c r="Q1681" s="9">
        <v>3</v>
      </c>
      <c r="T1681" s="11">
        <v>3</v>
      </c>
      <c r="Z1681" s="9">
        <v>0</v>
      </c>
      <c r="AF1681" s="11">
        <v>0</v>
      </c>
      <c r="AI1681" s="11">
        <v>2</v>
      </c>
      <c r="AL1681" s="11"/>
      <c r="AM1681" s="11"/>
      <c r="AN1681" s="11"/>
      <c r="AO1681" s="11"/>
      <c r="AP1681" s="11"/>
      <c r="AQ1681" s="11"/>
    </row>
    <row r="1682" spans="1:43" x14ac:dyDescent="0.25">
      <c r="A1682" s="44" t="str">
        <f t="shared" si="31"/>
        <v>SWORDSMAN_MIDEAST</v>
      </c>
      <c r="B1682" s="9" t="s">
        <v>104</v>
      </c>
      <c r="C1682" s="4" t="s">
        <v>690</v>
      </c>
      <c r="E1682" s="4" t="s">
        <v>104</v>
      </c>
      <c r="F1682" s="4" t="s">
        <v>104</v>
      </c>
      <c r="H1682" s="4" t="s">
        <v>175</v>
      </c>
      <c r="I1682" s="4" t="s">
        <v>122</v>
      </c>
      <c r="Q1682" s="9" t="s">
        <v>1734</v>
      </c>
      <c r="T1682" s="9"/>
      <c r="W1682" s="9"/>
      <c r="Z1682" s="9"/>
      <c r="AF1682" s="9"/>
      <c r="AI1682" s="9"/>
      <c r="AL1682" s="11"/>
      <c r="AM1682" s="11"/>
      <c r="AN1682" s="11"/>
      <c r="AO1682" s="11"/>
      <c r="AP1682" s="11"/>
      <c r="AQ1682" s="11"/>
    </row>
    <row r="1683" spans="1:43" x14ac:dyDescent="0.25">
      <c r="A1683" s="44" t="str">
        <f t="shared" si="31"/>
        <v>SWORDSMAN_ARABIA</v>
      </c>
      <c r="B1683" s="9" t="s">
        <v>104</v>
      </c>
      <c r="C1683" s="4" t="s">
        <v>700</v>
      </c>
      <c r="D1683" s="14"/>
      <c r="E1683" s="4" t="s">
        <v>104</v>
      </c>
      <c r="F1683" s="4" t="s">
        <v>104</v>
      </c>
      <c r="H1683" s="4" t="s">
        <v>806</v>
      </c>
      <c r="I1683" s="4" t="s">
        <v>2089</v>
      </c>
      <c r="Q1683" s="9">
        <v>2</v>
      </c>
      <c r="T1683" s="11">
        <v>2</v>
      </c>
      <c r="Z1683" s="9">
        <v>1</v>
      </c>
      <c r="AF1683" s="11">
        <v>1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44" t="str">
        <f t="shared" si="31"/>
        <v>SWORDSMAN_ARABIA</v>
      </c>
      <c r="B1684" s="9" t="s">
        <v>104</v>
      </c>
      <c r="C1684" s="4" t="s">
        <v>700</v>
      </c>
      <c r="D1684" s="14"/>
      <c r="E1684" s="4" t="s">
        <v>104</v>
      </c>
      <c r="F1684" s="4" t="s">
        <v>104</v>
      </c>
      <c r="G1684" s="4" t="s">
        <v>2039</v>
      </c>
      <c r="H1684" s="4" t="s">
        <v>807</v>
      </c>
      <c r="I1684" s="4" t="s">
        <v>2089</v>
      </c>
      <c r="Q1684" s="9">
        <v>2</v>
      </c>
      <c r="T1684" s="11">
        <v>3</v>
      </c>
      <c r="Z1684" s="9">
        <v>0</v>
      </c>
      <c r="AF1684" s="11">
        <v>1</v>
      </c>
      <c r="AI1684" s="11">
        <v>1</v>
      </c>
      <c r="AL1684" s="11"/>
      <c r="AM1684" s="11"/>
      <c r="AN1684" s="11"/>
      <c r="AO1684" s="11"/>
      <c r="AP1684" s="11"/>
      <c r="AQ1684" s="11"/>
    </row>
    <row r="1685" spans="1:43" x14ac:dyDescent="0.25">
      <c r="A1685" s="44" t="str">
        <f t="shared" si="31"/>
        <v>SWORDSMAN_ARABIA</v>
      </c>
      <c r="B1685" s="9" t="s">
        <v>104</v>
      </c>
      <c r="C1685" s="4" t="s">
        <v>700</v>
      </c>
      <c r="D1685" s="14"/>
      <c r="E1685" s="4" t="s">
        <v>104</v>
      </c>
      <c r="F1685" s="4" t="s">
        <v>104</v>
      </c>
      <c r="G1685" s="4" t="s">
        <v>2041</v>
      </c>
      <c r="H1685" s="4" t="s">
        <v>171</v>
      </c>
      <c r="I1685" s="4" t="s">
        <v>2089</v>
      </c>
      <c r="Q1685" s="9">
        <v>2</v>
      </c>
      <c r="T1685" s="11">
        <v>3</v>
      </c>
      <c r="Z1685" s="9">
        <v>0</v>
      </c>
      <c r="AF1685" s="11">
        <v>1</v>
      </c>
      <c r="AI1685" s="11">
        <v>1</v>
      </c>
      <c r="AL1685" s="11"/>
      <c r="AM1685" s="11"/>
      <c r="AN1685" s="11"/>
      <c r="AO1685" s="11"/>
      <c r="AP1685" s="11"/>
      <c r="AQ1685" s="11"/>
    </row>
    <row r="1686" spans="1:43" x14ac:dyDescent="0.25">
      <c r="A1686" s="44" t="str">
        <f t="shared" si="31"/>
        <v>SWORDSMAN_ARABIA</v>
      </c>
      <c r="B1686" s="9" t="s">
        <v>104</v>
      </c>
      <c r="C1686" s="4" t="s">
        <v>700</v>
      </c>
      <c r="D1686" s="14"/>
      <c r="E1686" s="4" t="s">
        <v>104</v>
      </c>
      <c r="F1686" s="4" t="s">
        <v>104</v>
      </c>
      <c r="H1686" s="4" t="s">
        <v>806</v>
      </c>
      <c r="I1686" s="4" t="s">
        <v>2089</v>
      </c>
      <c r="Q1686" s="9">
        <v>2</v>
      </c>
      <c r="T1686" s="11">
        <v>3</v>
      </c>
      <c r="Z1686" s="9">
        <v>0</v>
      </c>
      <c r="AF1686" s="11">
        <v>0</v>
      </c>
      <c r="AI1686" s="11">
        <v>2</v>
      </c>
      <c r="AL1686" s="11"/>
      <c r="AM1686" s="11"/>
      <c r="AN1686" s="11"/>
      <c r="AO1686" s="11"/>
      <c r="AP1686" s="11"/>
      <c r="AQ1686" s="11"/>
    </row>
    <row r="1687" spans="1:43" x14ac:dyDescent="0.25">
      <c r="A1687" s="44" t="str">
        <f t="shared" si="31"/>
        <v>SWORDSMAN_ARABIA</v>
      </c>
      <c r="B1687" s="9" t="s">
        <v>104</v>
      </c>
      <c r="C1687" s="4" t="s">
        <v>700</v>
      </c>
      <c r="D1687" s="14"/>
      <c r="E1687" s="4" t="s">
        <v>104</v>
      </c>
      <c r="F1687" s="4" t="s">
        <v>104</v>
      </c>
      <c r="G1687" s="4" t="s">
        <v>2039</v>
      </c>
      <c r="H1687" s="4" t="s">
        <v>807</v>
      </c>
      <c r="I1687" s="4" t="s">
        <v>2089</v>
      </c>
      <c r="Q1687" s="9">
        <v>2</v>
      </c>
      <c r="T1687" s="11">
        <v>3</v>
      </c>
      <c r="Z1687" s="9">
        <v>0</v>
      </c>
      <c r="AF1687" s="11">
        <v>0</v>
      </c>
      <c r="AI1687" s="11">
        <v>1</v>
      </c>
      <c r="AL1687" s="11"/>
      <c r="AM1687" s="11"/>
      <c r="AN1687" s="11"/>
      <c r="AO1687" s="11"/>
      <c r="AP1687" s="11"/>
      <c r="AQ1687" s="11"/>
    </row>
    <row r="1688" spans="1:43" x14ac:dyDescent="0.25">
      <c r="A1688" s="44" t="str">
        <f t="shared" si="31"/>
        <v>SWORDSMAN_ARABIA</v>
      </c>
      <c r="B1688" s="9" t="s">
        <v>104</v>
      </c>
      <c r="C1688" s="4" t="s">
        <v>700</v>
      </c>
      <c r="D1688" s="14"/>
      <c r="E1688" s="4" t="s">
        <v>104</v>
      </c>
      <c r="F1688" s="4" t="s">
        <v>104</v>
      </c>
      <c r="G1688" s="4" t="s">
        <v>2041</v>
      </c>
      <c r="H1688" s="4" t="s">
        <v>171</v>
      </c>
      <c r="I1688" s="4" t="s">
        <v>2089</v>
      </c>
      <c r="Q1688" s="9">
        <v>2</v>
      </c>
      <c r="T1688" s="11">
        <v>2</v>
      </c>
      <c r="Z1688" s="9">
        <v>0</v>
      </c>
      <c r="AF1688" s="11">
        <v>0</v>
      </c>
      <c r="AI1688" s="11">
        <v>1</v>
      </c>
      <c r="AL1688" s="11"/>
      <c r="AM1688" s="11"/>
      <c r="AN1688" s="11"/>
      <c r="AO1688" s="11"/>
      <c r="AP1688" s="11"/>
      <c r="AQ1688" s="11"/>
    </row>
    <row r="1689" spans="1:43" x14ac:dyDescent="0.25">
      <c r="A1689" s="44" t="str">
        <f t="shared" si="31"/>
        <v>SWORDSMAN_BABYLON</v>
      </c>
      <c r="B1689" s="9" t="s">
        <v>104</v>
      </c>
      <c r="C1689" s="4" t="s">
        <v>703</v>
      </c>
      <c r="E1689" s="4" t="s">
        <v>104</v>
      </c>
      <c r="F1689" s="4" t="s">
        <v>104</v>
      </c>
      <c r="H1689" s="4" t="s">
        <v>814</v>
      </c>
      <c r="I1689" s="4" t="s">
        <v>102</v>
      </c>
      <c r="Q1689" s="9">
        <v>2</v>
      </c>
      <c r="T1689" s="11">
        <v>2</v>
      </c>
      <c r="Z1689" s="9">
        <v>1</v>
      </c>
      <c r="AF1689" s="11">
        <v>1</v>
      </c>
      <c r="AI1689" s="11">
        <v>1</v>
      </c>
      <c r="AL1689" s="11"/>
      <c r="AM1689" s="11"/>
      <c r="AN1689" s="11"/>
      <c r="AO1689" s="11"/>
      <c r="AP1689" s="11"/>
      <c r="AQ1689" s="11"/>
    </row>
    <row r="1690" spans="1:43" x14ac:dyDescent="0.25">
      <c r="A1690" s="44" t="str">
        <f t="shared" si="31"/>
        <v>SWORDSMAN_BABYLON</v>
      </c>
      <c r="B1690" s="9" t="s">
        <v>104</v>
      </c>
      <c r="C1690" s="4" t="s">
        <v>703</v>
      </c>
      <c r="E1690" s="4" t="s">
        <v>104</v>
      </c>
      <c r="F1690" s="4" t="s">
        <v>104</v>
      </c>
      <c r="G1690" s="4" t="s">
        <v>2039</v>
      </c>
      <c r="H1690" s="4" t="s">
        <v>815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I1690" s="11">
        <v>1</v>
      </c>
      <c r="AL1690" s="11"/>
      <c r="AM1690" s="11"/>
      <c r="AN1690" s="11"/>
      <c r="AO1690" s="11"/>
      <c r="AP1690" s="11"/>
      <c r="AQ1690" s="11"/>
    </row>
    <row r="1691" spans="1:43" x14ac:dyDescent="0.25">
      <c r="A1691" s="44" t="str">
        <f t="shared" si="31"/>
        <v>SWORDSMAN_BABYLON</v>
      </c>
      <c r="B1691" s="9" t="s">
        <v>104</v>
      </c>
      <c r="C1691" s="4" t="s">
        <v>703</v>
      </c>
      <c r="E1691" s="4" t="s">
        <v>104</v>
      </c>
      <c r="F1691" s="4" t="s">
        <v>104</v>
      </c>
      <c r="G1691" s="4" t="s">
        <v>2041</v>
      </c>
      <c r="H1691" s="4" t="s">
        <v>218</v>
      </c>
      <c r="I1691" s="4" t="s">
        <v>102</v>
      </c>
      <c r="Q1691" s="9">
        <v>2</v>
      </c>
      <c r="T1691" s="11">
        <v>3</v>
      </c>
      <c r="Z1691" s="9">
        <v>0</v>
      </c>
      <c r="AF1691" s="11">
        <v>1</v>
      </c>
      <c r="AI1691" s="11">
        <v>1</v>
      </c>
      <c r="AL1691" s="11"/>
      <c r="AM1691" s="11"/>
      <c r="AN1691" s="11"/>
      <c r="AO1691" s="11"/>
      <c r="AP1691" s="11"/>
      <c r="AQ1691" s="11"/>
    </row>
    <row r="1692" spans="1:43" x14ac:dyDescent="0.25">
      <c r="A1692" s="44" t="str">
        <f t="shared" si="31"/>
        <v>SWORDSMAN_BABYLON</v>
      </c>
      <c r="B1692" s="9" t="s">
        <v>104</v>
      </c>
      <c r="C1692" s="4" t="s">
        <v>703</v>
      </c>
      <c r="E1692" s="4" t="s">
        <v>104</v>
      </c>
      <c r="F1692" s="4" t="s">
        <v>104</v>
      </c>
      <c r="H1692" s="4" t="s">
        <v>814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2</v>
      </c>
      <c r="AL1692" s="11"/>
      <c r="AM1692" s="11"/>
      <c r="AN1692" s="11"/>
      <c r="AO1692" s="11"/>
      <c r="AP1692" s="11"/>
      <c r="AQ1692" s="11"/>
    </row>
    <row r="1693" spans="1:43" x14ac:dyDescent="0.25">
      <c r="A1693" s="44" t="str">
        <f t="shared" si="31"/>
        <v>SWORDSMAN_BABYLON</v>
      </c>
      <c r="B1693" s="9" t="s">
        <v>104</v>
      </c>
      <c r="C1693" s="4" t="s">
        <v>703</v>
      </c>
      <c r="E1693" s="4" t="s">
        <v>104</v>
      </c>
      <c r="F1693" s="4" t="s">
        <v>104</v>
      </c>
      <c r="G1693" s="4" t="s">
        <v>2039</v>
      </c>
      <c r="H1693" s="4" t="s">
        <v>815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  <c r="AL1693" s="11"/>
      <c r="AM1693" s="11"/>
      <c r="AN1693" s="11"/>
      <c r="AO1693" s="11"/>
      <c r="AP1693" s="11"/>
      <c r="AQ1693" s="11"/>
    </row>
    <row r="1694" spans="1:43" x14ac:dyDescent="0.25">
      <c r="A1694" s="44" t="str">
        <f t="shared" si="31"/>
        <v>SWORDSMAN_BABYLON</v>
      </c>
      <c r="B1694" s="9" t="s">
        <v>104</v>
      </c>
      <c r="C1694" s="4" t="s">
        <v>703</v>
      </c>
      <c r="E1694" s="4" t="s">
        <v>104</v>
      </c>
      <c r="F1694" s="4" t="s">
        <v>104</v>
      </c>
      <c r="G1694" s="4" t="s">
        <v>2041</v>
      </c>
      <c r="H1694" s="4" t="s">
        <v>218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44" t="str">
        <f t="shared" si="31"/>
        <v>SWORDSMAN_EGYPT</v>
      </c>
      <c r="B1695" s="9" t="s">
        <v>104</v>
      </c>
      <c r="C1695" s="4" t="s">
        <v>712</v>
      </c>
      <c r="E1695" s="4" t="s">
        <v>104</v>
      </c>
      <c r="F1695" s="4" t="s">
        <v>104</v>
      </c>
      <c r="G1695" s="14" t="s">
        <v>132</v>
      </c>
      <c r="H1695" s="4" t="s">
        <v>288</v>
      </c>
      <c r="I1695" s="4" t="s">
        <v>122</v>
      </c>
      <c r="Q1695" s="9" t="s">
        <v>1734</v>
      </c>
      <c r="T1695" s="9"/>
      <c r="W1695" s="9"/>
      <c r="Z1695" s="9"/>
      <c r="AF1695" s="9"/>
      <c r="AI1695" s="9"/>
      <c r="AL1695" s="11"/>
      <c r="AM1695" s="11"/>
      <c r="AN1695" s="11"/>
      <c r="AO1695" s="11"/>
      <c r="AP1695" s="11"/>
      <c r="AQ1695" s="11"/>
    </row>
    <row r="1696" spans="1:43" x14ac:dyDescent="0.25">
      <c r="A1696" s="44" t="str">
        <f t="shared" si="31"/>
        <v>SWORDSMAN_JERUSALEM</v>
      </c>
      <c r="B1696" s="9" t="s">
        <v>104</v>
      </c>
      <c r="C1696" s="4" t="s">
        <v>1184</v>
      </c>
      <c r="E1696" s="4" t="s">
        <v>104</v>
      </c>
      <c r="F1696" s="4" t="s">
        <v>104</v>
      </c>
      <c r="G1696" s="14" t="s">
        <v>132</v>
      </c>
      <c r="H1696" s="4" t="s">
        <v>1821</v>
      </c>
      <c r="I1696" s="4" t="s">
        <v>1025</v>
      </c>
      <c r="Q1696" s="9" t="s">
        <v>1734</v>
      </c>
      <c r="T1696" s="9"/>
      <c r="W1696" s="9"/>
      <c r="Z1696" s="9"/>
      <c r="AF1696" s="9"/>
      <c r="AI1696" s="9"/>
      <c r="AL1696" s="11"/>
      <c r="AM1696" s="11"/>
      <c r="AN1696" s="11"/>
      <c r="AO1696" s="11"/>
      <c r="AP1696" s="11"/>
      <c r="AQ1696" s="11"/>
    </row>
    <row r="1697" spans="1:43" x14ac:dyDescent="0.25">
      <c r="A1697" s="44" t="str">
        <f t="shared" si="31"/>
        <v>SWORDSMAN_PERSIA</v>
      </c>
      <c r="B1697" s="9" t="s">
        <v>104</v>
      </c>
      <c r="C1697" s="4" t="s">
        <v>731</v>
      </c>
      <c r="E1697" s="4" t="s">
        <v>104</v>
      </c>
      <c r="F1697" s="4" t="s">
        <v>104</v>
      </c>
      <c r="G1697" s="14" t="s">
        <v>132</v>
      </c>
      <c r="H1697" s="4" t="s">
        <v>564</v>
      </c>
      <c r="I1697" s="4" t="s">
        <v>102</v>
      </c>
      <c r="Q1697" s="9" t="s">
        <v>1734</v>
      </c>
      <c r="T1697" s="9"/>
      <c r="W1697" s="9"/>
      <c r="Z1697" s="9"/>
      <c r="AF1697" s="9"/>
      <c r="AI1697" s="9"/>
      <c r="AL1697" s="11"/>
      <c r="AM1697" s="11"/>
      <c r="AN1697" s="11"/>
      <c r="AO1697" s="11"/>
      <c r="AP1697" s="11"/>
      <c r="AQ1697" s="11"/>
    </row>
    <row r="1698" spans="1:43" x14ac:dyDescent="0.25">
      <c r="A1698" s="44" t="str">
        <f t="shared" si="31"/>
        <v>SWORDSMAN_NORTHAF</v>
      </c>
      <c r="B1698" s="9" t="s">
        <v>104</v>
      </c>
      <c r="C1698" s="4" t="s">
        <v>2003</v>
      </c>
      <c r="E1698" s="4" t="s">
        <v>104</v>
      </c>
      <c r="F1698" s="4" t="s">
        <v>104</v>
      </c>
      <c r="H1698" s="4" t="s">
        <v>822</v>
      </c>
      <c r="I1698" s="4" t="s">
        <v>1820</v>
      </c>
      <c r="Q1698" s="9">
        <v>2</v>
      </c>
      <c r="R1698" s="11">
        <v>0.15</v>
      </c>
      <c r="T1698" s="11">
        <v>2</v>
      </c>
      <c r="U1698" s="11">
        <v>9.5000000000000001E-2</v>
      </c>
      <c r="X1698" s="11" t="s">
        <v>3</v>
      </c>
      <c r="Z1698" s="9">
        <v>0</v>
      </c>
      <c r="AA1698" s="11">
        <v>0.25</v>
      </c>
      <c r="AF1698" s="11">
        <v>1</v>
      </c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44" t="str">
        <f t="shared" si="31"/>
        <v>SWORDSMAN_NORTHAF</v>
      </c>
      <c r="B1699" s="9" t="s">
        <v>104</v>
      </c>
      <c r="C1699" s="4" t="s">
        <v>2003</v>
      </c>
      <c r="E1699" s="4" t="s">
        <v>104</v>
      </c>
      <c r="F1699" s="4" t="s">
        <v>104</v>
      </c>
      <c r="G1699" s="4" t="s">
        <v>2039</v>
      </c>
      <c r="H1699" s="4" t="s">
        <v>823</v>
      </c>
      <c r="I1699" s="4" t="s">
        <v>1820</v>
      </c>
      <c r="Q1699" s="9">
        <v>1</v>
      </c>
      <c r="R1699" s="11">
        <v>0.15</v>
      </c>
      <c r="T1699" s="11">
        <v>3</v>
      </c>
      <c r="U1699" s="11">
        <v>9.5000000000000001E-2</v>
      </c>
      <c r="X1699" s="11" t="s">
        <v>3</v>
      </c>
      <c r="Z1699" s="9">
        <v>1</v>
      </c>
      <c r="AA1699" s="11">
        <v>0.25</v>
      </c>
      <c r="AF1699" s="11">
        <v>1</v>
      </c>
      <c r="AI1699" s="11">
        <v>2</v>
      </c>
      <c r="AL1699" s="11"/>
      <c r="AM1699" s="11"/>
      <c r="AN1699" s="11"/>
      <c r="AO1699" s="11"/>
      <c r="AP1699" s="11"/>
      <c r="AQ1699" s="11"/>
    </row>
    <row r="1700" spans="1:43" x14ac:dyDescent="0.25">
      <c r="A1700" s="44" t="str">
        <f t="shared" si="31"/>
        <v>SWORDSMAN_NORTHAF</v>
      </c>
      <c r="B1700" s="9" t="s">
        <v>104</v>
      </c>
      <c r="C1700" s="4" t="s">
        <v>2003</v>
      </c>
      <c r="E1700" s="4" t="s">
        <v>104</v>
      </c>
      <c r="F1700" s="4" t="s">
        <v>104</v>
      </c>
      <c r="G1700" s="4" t="s">
        <v>2041</v>
      </c>
      <c r="H1700" s="4" t="s">
        <v>235</v>
      </c>
      <c r="I1700" s="4" t="s">
        <v>1819</v>
      </c>
      <c r="Q1700" s="9">
        <v>3</v>
      </c>
      <c r="R1700" s="11">
        <v>0.15</v>
      </c>
      <c r="T1700" s="11">
        <v>2</v>
      </c>
      <c r="U1700" s="11">
        <v>9.5000000000000001E-2</v>
      </c>
      <c r="X1700" s="11" t="s">
        <v>3</v>
      </c>
      <c r="Z1700" s="9">
        <v>0</v>
      </c>
      <c r="AA1700" s="11">
        <v>0.25</v>
      </c>
      <c r="AF1700" s="11">
        <v>1</v>
      </c>
      <c r="AI1700" s="11">
        <v>1</v>
      </c>
      <c r="AL1700" s="11"/>
      <c r="AM1700" s="11"/>
      <c r="AN1700" s="11"/>
      <c r="AO1700" s="11"/>
      <c r="AP1700" s="11"/>
      <c r="AQ1700" s="11"/>
    </row>
    <row r="1701" spans="1:43" x14ac:dyDescent="0.25">
      <c r="A1701" s="44" t="str">
        <f t="shared" si="31"/>
        <v>SWORDSMAN_NORTHAF</v>
      </c>
      <c r="B1701" s="9" t="s">
        <v>104</v>
      </c>
      <c r="C1701" s="4" t="s">
        <v>2003</v>
      </c>
      <c r="E1701" s="4" t="s">
        <v>104</v>
      </c>
      <c r="F1701" s="4" t="s">
        <v>104</v>
      </c>
      <c r="H1701" s="4" t="s">
        <v>822</v>
      </c>
      <c r="I1701" s="4" t="s">
        <v>1820</v>
      </c>
      <c r="Q1701" s="9">
        <v>2</v>
      </c>
      <c r="R1701" s="11">
        <v>0.15</v>
      </c>
      <c r="T1701" s="11">
        <v>3</v>
      </c>
      <c r="U1701" s="11">
        <v>9.5000000000000001E-2</v>
      </c>
      <c r="X1701" s="11" t="s">
        <v>3</v>
      </c>
      <c r="Z1701" s="9">
        <v>0</v>
      </c>
      <c r="AA1701" s="11">
        <v>0.25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44" t="str">
        <f t="shared" si="31"/>
        <v>SWORDSMAN_NORTHAF</v>
      </c>
      <c r="B1702" s="9" t="s">
        <v>104</v>
      </c>
      <c r="C1702" s="4" t="s">
        <v>2003</v>
      </c>
      <c r="E1702" s="4" t="s">
        <v>104</v>
      </c>
      <c r="F1702" s="4" t="s">
        <v>104</v>
      </c>
      <c r="G1702" s="4" t="s">
        <v>2039</v>
      </c>
      <c r="H1702" s="4" t="s">
        <v>823</v>
      </c>
      <c r="I1702" s="4" t="s">
        <v>1820</v>
      </c>
      <c r="Q1702" s="9">
        <v>2</v>
      </c>
      <c r="R1702" s="11">
        <v>0.15</v>
      </c>
      <c r="T1702" s="11">
        <v>3</v>
      </c>
      <c r="U1702" s="11">
        <v>9.5000000000000001E-2</v>
      </c>
      <c r="X1702" s="11" t="s">
        <v>3</v>
      </c>
      <c r="Z1702" s="9">
        <v>0</v>
      </c>
      <c r="AA1702" s="11">
        <v>0.25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44" t="str">
        <f t="shared" si="31"/>
        <v>SWORDSMAN_NORTHAF</v>
      </c>
      <c r="B1703" s="9" t="s">
        <v>104</v>
      </c>
      <c r="C1703" s="4" t="s">
        <v>2003</v>
      </c>
      <c r="E1703" s="4" t="s">
        <v>104</v>
      </c>
      <c r="F1703" s="4" t="s">
        <v>104</v>
      </c>
      <c r="G1703" s="4" t="s">
        <v>2041</v>
      </c>
      <c r="H1703" s="4" t="s">
        <v>235</v>
      </c>
      <c r="I1703" s="4" t="s">
        <v>1819</v>
      </c>
      <c r="Q1703" s="9">
        <v>2</v>
      </c>
      <c r="R1703" s="11">
        <v>0.15</v>
      </c>
      <c r="T1703" s="11">
        <v>3</v>
      </c>
      <c r="U1703" s="11">
        <v>9.5000000000000001E-2</v>
      </c>
      <c r="X1703" s="11" t="s">
        <v>3</v>
      </c>
      <c r="Z1703" s="9">
        <v>0</v>
      </c>
      <c r="AA1703" s="11">
        <v>0.25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44" t="str">
        <f t="shared" si="31"/>
        <v>SWORDSMAN_NORTHEU</v>
      </c>
      <c r="B1704" s="9" t="s">
        <v>104</v>
      </c>
      <c r="C1704" s="4" t="s">
        <v>962</v>
      </c>
      <c r="E1704" s="4" t="s">
        <v>104</v>
      </c>
      <c r="F1704" s="4" t="s">
        <v>104</v>
      </c>
      <c r="G1704" s="14" t="s">
        <v>132</v>
      </c>
      <c r="H1704" s="4" t="s">
        <v>273</v>
      </c>
      <c r="I1704" s="4" t="s">
        <v>102</v>
      </c>
      <c r="Q1704" s="9" t="s">
        <v>1734</v>
      </c>
      <c r="T1704" s="9"/>
      <c r="W1704" s="9"/>
      <c r="Z1704" s="9"/>
      <c r="AF1704" s="9"/>
      <c r="AI1704" s="9"/>
      <c r="AL1704" s="11"/>
      <c r="AM1704" s="11"/>
      <c r="AN1704" s="11"/>
      <c r="AO1704" s="11"/>
      <c r="AP1704" s="11"/>
      <c r="AQ1704" s="11"/>
    </row>
    <row r="1705" spans="1:43" x14ac:dyDescent="0.25">
      <c r="A1705" s="44" t="str">
        <f t="shared" si="31"/>
        <v>SWORDSMAN_OCEAN</v>
      </c>
      <c r="B1705" s="9" t="s">
        <v>104</v>
      </c>
      <c r="C1705" s="4" t="s">
        <v>994</v>
      </c>
      <c r="E1705" s="4" t="s">
        <v>104</v>
      </c>
      <c r="F1705" s="4" t="s">
        <v>104</v>
      </c>
      <c r="H1705" s="4" t="s">
        <v>996</v>
      </c>
      <c r="I1705" s="4" t="s">
        <v>1797</v>
      </c>
      <c r="Q1705" s="9" t="s">
        <v>1734</v>
      </c>
      <c r="T1705" s="9"/>
      <c r="W1705" s="9"/>
      <c r="Z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44" t="str">
        <f t="shared" si="31"/>
        <v>SWORDSMAN_POLYNESIA</v>
      </c>
      <c r="B1706" s="9" t="s">
        <v>104</v>
      </c>
      <c r="C1706" s="4" t="s">
        <v>1081</v>
      </c>
      <c r="E1706" s="4" t="s">
        <v>104</v>
      </c>
      <c r="F1706" s="4" t="s">
        <v>104</v>
      </c>
      <c r="H1706" s="4" t="s">
        <v>997</v>
      </c>
      <c r="I1706" s="4" t="s">
        <v>1025</v>
      </c>
      <c r="Q1706" s="9" t="s">
        <v>1734</v>
      </c>
      <c r="T1706" s="9"/>
      <c r="W1706" s="9"/>
      <c r="Z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44" t="str">
        <f t="shared" si="31"/>
        <v>SWORDSMAN_SEASIA</v>
      </c>
      <c r="B1707" s="9" t="s">
        <v>104</v>
      </c>
      <c r="C1707" s="4" t="s">
        <v>696</v>
      </c>
      <c r="D1707" s="4" t="s">
        <v>693</v>
      </c>
      <c r="E1707" s="4" t="s">
        <v>104</v>
      </c>
      <c r="F1707" s="4" t="s">
        <v>104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44" t="str">
        <f t="shared" si="31"/>
        <v>SWORDSMAN_SOUTHAM</v>
      </c>
      <c r="B1708" s="9" t="s">
        <v>104</v>
      </c>
      <c r="C1708" s="4" t="s">
        <v>691</v>
      </c>
      <c r="E1708" s="4" t="s">
        <v>104</v>
      </c>
      <c r="F1708" s="4" t="s">
        <v>104</v>
      </c>
      <c r="H1708" s="4" t="s">
        <v>523</v>
      </c>
      <c r="I1708" s="4" t="s">
        <v>2089</v>
      </c>
      <c r="Q1708" s="9" t="s">
        <v>1734</v>
      </c>
      <c r="T1708" s="9"/>
      <c r="W1708" s="9"/>
      <c r="Z1708" s="9"/>
      <c r="AF1708" s="9"/>
      <c r="AI1708" s="9"/>
      <c r="AL1708" s="11"/>
      <c r="AM1708" s="11"/>
      <c r="AN1708" s="11"/>
      <c r="AO1708" s="11"/>
      <c r="AP1708" s="11"/>
      <c r="AQ1708" s="11"/>
    </row>
    <row r="1709" spans="1:43" x14ac:dyDescent="0.25">
      <c r="A1709" s="44" t="str">
        <f t="shared" si="31"/>
        <v>SWORDSMAN_AZTEC</v>
      </c>
      <c r="B1709" s="9" t="s">
        <v>104</v>
      </c>
      <c r="C1709" s="4" t="s">
        <v>702</v>
      </c>
      <c r="E1709" s="4" t="s">
        <v>104</v>
      </c>
      <c r="F1709" s="4" t="s">
        <v>104</v>
      </c>
      <c r="G1709" s="14"/>
      <c r="H1709" s="4" t="s">
        <v>203</v>
      </c>
      <c r="I1709" s="4" t="s">
        <v>2089</v>
      </c>
      <c r="Q1709" s="9" t="s">
        <v>1734</v>
      </c>
      <c r="T1709" s="9"/>
      <c r="W1709" s="9"/>
      <c r="Z1709" s="9"/>
      <c r="AF1709" s="9"/>
      <c r="AI1709" s="9"/>
      <c r="AL1709" s="11"/>
      <c r="AM1709" s="11"/>
      <c r="AN1709" s="11"/>
      <c r="AO1709" s="11"/>
      <c r="AP1709" s="11"/>
      <c r="AQ1709" s="11"/>
    </row>
    <row r="1710" spans="1:43" x14ac:dyDescent="0.25">
      <c r="A1710" s="44" t="str">
        <f t="shared" si="31"/>
        <v>SWORDSMAN_INCA</v>
      </c>
      <c r="B1710" s="9" t="s">
        <v>104</v>
      </c>
      <c r="C1710" s="4" t="s">
        <v>719</v>
      </c>
      <c r="E1710" s="4" t="s">
        <v>104</v>
      </c>
      <c r="F1710" s="4" t="s">
        <v>104</v>
      </c>
      <c r="H1710" s="4" t="s">
        <v>429</v>
      </c>
      <c r="I1710" s="4" t="s">
        <v>2089</v>
      </c>
      <c r="Q1710" s="9"/>
      <c r="Z1710" s="9"/>
      <c r="AL1710" s="11"/>
      <c r="AM1710" s="11"/>
      <c r="AN1710" s="11"/>
      <c r="AO1710" s="11"/>
      <c r="AP1710" s="11"/>
      <c r="AQ1710" s="11"/>
    </row>
    <row r="1711" spans="1:43" x14ac:dyDescent="0.25">
      <c r="A1711" s="44" t="str">
        <f t="shared" si="31"/>
        <v>SWORDSMAN_MAYA</v>
      </c>
      <c r="B1711" s="9" t="s">
        <v>104</v>
      </c>
      <c r="C1711" s="4" t="s">
        <v>725</v>
      </c>
      <c r="D1711" s="4" t="s">
        <v>691</v>
      </c>
      <c r="E1711" s="4" t="s">
        <v>104</v>
      </c>
      <c r="F1711" s="4" t="s">
        <v>104</v>
      </c>
      <c r="G1711" s="14" t="s">
        <v>132</v>
      </c>
      <c r="Q1711" s="9"/>
      <c r="T1711" s="9"/>
      <c r="W1711" s="9"/>
      <c r="AF1711" s="9"/>
      <c r="AI1711" s="9"/>
      <c r="AL1711" s="11"/>
      <c r="AM1711" s="11"/>
      <c r="AN1711" s="11"/>
      <c r="AO1711" s="11"/>
      <c r="AP1711" s="11"/>
      <c r="AQ1711" s="11"/>
    </row>
    <row r="1712" spans="1:43" x14ac:dyDescent="0.25">
      <c r="A1712" s="44" t="str">
        <f>CONCATENATE(E1712,IF(ISBLANK(C1712),"",CONCATENATE("_",C1712)))</f>
        <v>SWORDSMAN_SOUTHAS</v>
      </c>
      <c r="B1712" s="9" t="s">
        <v>104</v>
      </c>
      <c r="C1712" s="4" t="s">
        <v>695</v>
      </c>
      <c r="E1712" s="4" t="s">
        <v>104</v>
      </c>
      <c r="F1712" s="4" t="s">
        <v>104</v>
      </c>
      <c r="H1712" s="4" t="s">
        <v>1800</v>
      </c>
      <c r="I1712" s="4" t="s">
        <v>835</v>
      </c>
      <c r="Q1712" s="9">
        <v>2</v>
      </c>
      <c r="T1712" s="9">
        <v>2</v>
      </c>
      <c r="W1712" s="9"/>
      <c r="Z1712" s="9">
        <v>0</v>
      </c>
      <c r="AF1712" s="9">
        <v>1</v>
      </c>
      <c r="AG1712" s="9"/>
      <c r="AI1712" s="9">
        <v>1</v>
      </c>
      <c r="AL1712" s="11"/>
      <c r="AM1712" s="11"/>
      <c r="AN1712" s="11"/>
      <c r="AO1712" s="11"/>
      <c r="AP1712" s="11"/>
      <c r="AQ1712" s="11"/>
    </row>
    <row r="1713" spans="1:43" x14ac:dyDescent="0.25">
      <c r="A1713" s="44" t="str">
        <f t="shared" si="31"/>
        <v>SWORDSMAN_SOUTHAS</v>
      </c>
      <c r="B1713" s="9" t="s">
        <v>104</v>
      </c>
      <c r="C1713" s="4" t="s">
        <v>695</v>
      </c>
      <c r="E1713" s="4" t="s">
        <v>104</v>
      </c>
      <c r="F1713" s="4" t="s">
        <v>104</v>
      </c>
      <c r="G1713" s="4" t="s">
        <v>2039</v>
      </c>
      <c r="H1713" s="4" t="s">
        <v>1801</v>
      </c>
      <c r="I1713" s="4" t="s">
        <v>835</v>
      </c>
      <c r="Q1713" s="9">
        <v>2</v>
      </c>
      <c r="T1713" s="9">
        <v>3</v>
      </c>
      <c r="W1713" s="9"/>
      <c r="Z1713" s="9">
        <v>1</v>
      </c>
      <c r="AF1713" s="9">
        <v>1</v>
      </c>
      <c r="AG1713" s="9"/>
      <c r="AI1713" s="9">
        <v>2</v>
      </c>
      <c r="AL1713" s="11"/>
      <c r="AM1713" s="11"/>
      <c r="AN1713" s="11"/>
      <c r="AO1713" s="11"/>
      <c r="AP1713" s="11"/>
      <c r="AQ1713" s="11"/>
    </row>
    <row r="1714" spans="1:43" x14ac:dyDescent="0.25">
      <c r="A1714" s="44" t="str">
        <f>CONCATENATE(E1714,IF(ISBLANK(C1714),"",CONCATENATE("_",C1714)))</f>
        <v>SWORDSMAN_SOUTHAS</v>
      </c>
      <c r="B1714" s="9" t="s">
        <v>104</v>
      </c>
      <c r="C1714" s="4" t="s">
        <v>695</v>
      </c>
      <c r="E1714" s="4" t="s">
        <v>104</v>
      </c>
      <c r="F1714" s="4" t="s">
        <v>104</v>
      </c>
      <c r="G1714" s="4" t="s">
        <v>2041</v>
      </c>
      <c r="H1714" s="4" t="s">
        <v>1802</v>
      </c>
      <c r="I1714" s="4" t="s">
        <v>835</v>
      </c>
      <c r="Q1714" s="9">
        <v>2</v>
      </c>
      <c r="T1714" s="9">
        <v>3</v>
      </c>
      <c r="W1714" s="9"/>
      <c r="Z1714" s="9">
        <v>0</v>
      </c>
      <c r="AF1714" s="9">
        <v>1</v>
      </c>
      <c r="AG1714" s="9"/>
      <c r="AI1714" s="9">
        <v>1</v>
      </c>
      <c r="AL1714" s="11"/>
      <c r="AM1714" s="11"/>
      <c r="AN1714" s="11"/>
      <c r="AO1714" s="11"/>
      <c r="AP1714" s="11"/>
      <c r="AQ1714" s="11"/>
    </row>
    <row r="1715" spans="1:43" x14ac:dyDescent="0.25">
      <c r="A1715" s="44" t="str">
        <f>CONCATENATE(E1715,IF(ISBLANK(C1715),"",CONCATENATE("_",C1715)))</f>
        <v>SWORDSMAN_SOUTHAS</v>
      </c>
      <c r="B1715" s="9" t="s">
        <v>104</v>
      </c>
      <c r="C1715" s="4" t="s">
        <v>695</v>
      </c>
      <c r="E1715" s="4" t="s">
        <v>104</v>
      </c>
      <c r="F1715" s="4" t="s">
        <v>104</v>
      </c>
      <c r="G1715" s="4" t="s">
        <v>2040</v>
      </c>
      <c r="H1715" s="4" t="s">
        <v>1803</v>
      </c>
      <c r="I1715" s="4" t="s">
        <v>835</v>
      </c>
      <c r="Q1715" s="9">
        <v>2</v>
      </c>
      <c r="T1715" s="9">
        <v>3</v>
      </c>
      <c r="W1715" s="9"/>
      <c r="Z1715" s="9">
        <v>0</v>
      </c>
      <c r="AF1715" s="9">
        <v>0</v>
      </c>
      <c r="AG1715" s="9"/>
      <c r="AI1715" s="9">
        <v>1</v>
      </c>
      <c r="AL1715" s="11"/>
      <c r="AM1715" s="11"/>
      <c r="AN1715" s="11"/>
      <c r="AO1715" s="11"/>
      <c r="AP1715" s="11"/>
      <c r="AQ1715" s="11"/>
    </row>
    <row r="1716" spans="1:43" x14ac:dyDescent="0.25">
      <c r="A1716" s="44" t="str">
        <f t="shared" si="31"/>
        <v>SWORDSMAN_SOUTHAS</v>
      </c>
      <c r="B1716" s="9" t="s">
        <v>104</v>
      </c>
      <c r="C1716" s="4" t="s">
        <v>695</v>
      </c>
      <c r="E1716" s="4" t="s">
        <v>104</v>
      </c>
      <c r="F1716" s="4" t="s">
        <v>104</v>
      </c>
      <c r="G1716" s="4" t="s">
        <v>2050</v>
      </c>
      <c r="H1716" s="4" t="s">
        <v>1804</v>
      </c>
      <c r="I1716" s="4" t="s">
        <v>835</v>
      </c>
      <c r="Q1716" s="9">
        <v>2</v>
      </c>
      <c r="T1716" s="9">
        <v>3</v>
      </c>
      <c r="W1716" s="9"/>
      <c r="Z1716" s="9">
        <v>0</v>
      </c>
      <c r="AF1716" s="9">
        <v>0</v>
      </c>
      <c r="AG1716" s="9"/>
      <c r="AI1716" s="9">
        <v>1</v>
      </c>
      <c r="AL1716" s="11"/>
      <c r="AM1716" s="11"/>
      <c r="AN1716" s="11"/>
      <c r="AO1716" s="11"/>
      <c r="AP1716" s="11"/>
      <c r="AQ1716" s="11"/>
    </row>
    <row r="1717" spans="1:43" x14ac:dyDescent="0.25">
      <c r="A1717" s="44" t="str">
        <f>CONCATENATE(E1717,IF(ISBLANK(C1717),"",CONCATENATE("_",C1717)))</f>
        <v>SWORDSMAN_SOUTHAS</v>
      </c>
      <c r="B1717" s="9" t="s">
        <v>104</v>
      </c>
      <c r="C1717" s="4" t="s">
        <v>695</v>
      </c>
      <c r="E1717" s="4" t="s">
        <v>104</v>
      </c>
      <c r="F1717" s="4" t="s">
        <v>104</v>
      </c>
      <c r="G1717" s="4" t="s">
        <v>2051</v>
      </c>
      <c r="H1717" s="4" t="s">
        <v>1805</v>
      </c>
      <c r="I1717" s="4" t="s">
        <v>835</v>
      </c>
      <c r="Q1717" s="9">
        <v>2</v>
      </c>
      <c r="T1717" s="9">
        <v>2</v>
      </c>
      <c r="W1717" s="9"/>
      <c r="Z1717" s="9">
        <v>0</v>
      </c>
      <c r="AF1717" s="9">
        <v>0</v>
      </c>
      <c r="AG1717" s="9"/>
      <c r="AI1717" s="9">
        <v>1</v>
      </c>
      <c r="AL1717" s="11"/>
      <c r="AM1717" s="11"/>
      <c r="AN1717" s="11"/>
      <c r="AO1717" s="11"/>
      <c r="AP1717" s="11"/>
      <c r="AQ1717" s="11"/>
    </row>
    <row r="1718" spans="1:43" x14ac:dyDescent="0.25">
      <c r="A1718" s="44" t="str">
        <f t="shared" si="31"/>
        <v>SWORDSMAN_INDIA</v>
      </c>
      <c r="B1718" s="9" t="s">
        <v>104</v>
      </c>
      <c r="C1718" s="4" t="s">
        <v>720</v>
      </c>
      <c r="E1718" s="4" t="s">
        <v>104</v>
      </c>
      <c r="F1718" s="4" t="s">
        <v>104</v>
      </c>
      <c r="H1718" s="4" t="s">
        <v>928</v>
      </c>
      <c r="I1718" s="4" t="s">
        <v>102</v>
      </c>
      <c r="Q1718" s="9">
        <v>1</v>
      </c>
      <c r="T1718" s="11">
        <v>2</v>
      </c>
      <c r="Z1718" s="9">
        <v>1</v>
      </c>
      <c r="AF1718" s="11">
        <v>1</v>
      </c>
      <c r="AG1718" s="9"/>
      <c r="AI1718" s="11">
        <v>1</v>
      </c>
      <c r="AL1718" s="11"/>
      <c r="AM1718" s="11"/>
      <c r="AN1718" s="11"/>
      <c r="AO1718" s="11"/>
      <c r="AP1718" s="11"/>
      <c r="AQ1718" s="11"/>
    </row>
    <row r="1719" spans="1:43" x14ac:dyDescent="0.25">
      <c r="A1719" s="44" t="str">
        <f t="shared" si="31"/>
        <v>SWORDSMAN_INDIA</v>
      </c>
      <c r="B1719" s="9" t="s">
        <v>104</v>
      </c>
      <c r="C1719" s="4" t="s">
        <v>720</v>
      </c>
      <c r="E1719" s="4" t="s">
        <v>104</v>
      </c>
      <c r="F1719" s="4" t="s">
        <v>104</v>
      </c>
      <c r="G1719" s="4" t="s">
        <v>2039</v>
      </c>
      <c r="H1719" s="4" t="s">
        <v>444</v>
      </c>
      <c r="I1719" s="4" t="s">
        <v>102</v>
      </c>
      <c r="Q1719" s="9">
        <v>2</v>
      </c>
      <c r="T1719" s="11">
        <v>3</v>
      </c>
      <c r="Z1719" s="9">
        <v>0</v>
      </c>
      <c r="AF1719" s="11">
        <v>1</v>
      </c>
      <c r="AG1719" s="9"/>
      <c r="AI1719" s="11">
        <v>1</v>
      </c>
      <c r="AL1719" s="11"/>
      <c r="AM1719" s="11"/>
      <c r="AN1719" s="11"/>
      <c r="AO1719" s="11"/>
      <c r="AP1719" s="11"/>
      <c r="AQ1719" s="11"/>
    </row>
    <row r="1720" spans="1:43" x14ac:dyDescent="0.25">
      <c r="A1720" s="44" t="str">
        <f t="shared" si="31"/>
        <v>SWORDSMAN_INDIA</v>
      </c>
      <c r="B1720" s="9" t="s">
        <v>104</v>
      </c>
      <c r="C1720" s="4" t="s">
        <v>720</v>
      </c>
      <c r="E1720" s="4" t="s">
        <v>104</v>
      </c>
      <c r="F1720" s="4" t="s">
        <v>104</v>
      </c>
      <c r="H1720" s="4" t="s">
        <v>928</v>
      </c>
      <c r="I1720" s="4" t="s">
        <v>102</v>
      </c>
      <c r="Q1720" s="9">
        <v>3</v>
      </c>
      <c r="T1720" s="11">
        <v>3</v>
      </c>
      <c r="Z1720" s="9">
        <v>0</v>
      </c>
      <c r="AF1720" s="11">
        <v>1</v>
      </c>
      <c r="AG1720" s="9"/>
      <c r="AI1720" s="11">
        <v>2</v>
      </c>
      <c r="AL1720" s="11"/>
      <c r="AM1720" s="11"/>
      <c r="AN1720" s="11"/>
      <c r="AO1720" s="11"/>
      <c r="AP1720" s="11"/>
      <c r="AQ1720" s="11"/>
    </row>
    <row r="1721" spans="1:43" x14ac:dyDescent="0.25">
      <c r="A1721" s="44" t="str">
        <f t="shared" si="31"/>
        <v>SWORDSMAN_INDIA</v>
      </c>
      <c r="B1721" s="9" t="s">
        <v>104</v>
      </c>
      <c r="C1721" s="4" t="s">
        <v>720</v>
      </c>
      <c r="E1721" s="4" t="s">
        <v>104</v>
      </c>
      <c r="F1721" s="4" t="s">
        <v>104</v>
      </c>
      <c r="G1721" s="4" t="s">
        <v>2039</v>
      </c>
      <c r="H1721" s="4" t="s">
        <v>444</v>
      </c>
      <c r="I1721" s="4" t="s">
        <v>102</v>
      </c>
      <c r="Q1721" s="9">
        <v>2</v>
      </c>
      <c r="T1721" s="11">
        <v>3</v>
      </c>
      <c r="Z1721" s="9">
        <v>0</v>
      </c>
      <c r="AF1721" s="11">
        <v>0</v>
      </c>
      <c r="AI1721" s="11">
        <v>1</v>
      </c>
      <c r="AL1721" s="11"/>
      <c r="AM1721" s="11"/>
      <c r="AN1721" s="11"/>
      <c r="AO1721" s="11"/>
      <c r="AP1721" s="11"/>
      <c r="AQ1721" s="11"/>
    </row>
    <row r="1722" spans="1:43" x14ac:dyDescent="0.25">
      <c r="A1722" s="44" t="str">
        <f t="shared" si="31"/>
        <v>SWORDSMAN_INDIA</v>
      </c>
      <c r="B1722" s="9" t="s">
        <v>104</v>
      </c>
      <c r="C1722" s="4" t="s">
        <v>720</v>
      </c>
      <c r="E1722" s="4" t="s">
        <v>104</v>
      </c>
      <c r="F1722" s="4" t="s">
        <v>104</v>
      </c>
      <c r="H1722" s="4" t="s">
        <v>928</v>
      </c>
      <c r="I1722" s="4" t="s">
        <v>102</v>
      </c>
      <c r="Q1722" s="9">
        <v>2</v>
      </c>
      <c r="T1722" s="11">
        <v>3</v>
      </c>
      <c r="Z1722" s="9">
        <v>0</v>
      </c>
      <c r="AF1722" s="11">
        <v>0</v>
      </c>
      <c r="AI1722" s="11">
        <v>1</v>
      </c>
      <c r="AL1722" s="11"/>
      <c r="AM1722" s="11"/>
      <c r="AN1722" s="11"/>
      <c r="AO1722" s="11"/>
      <c r="AP1722" s="11"/>
      <c r="AQ1722" s="11"/>
    </row>
    <row r="1723" spans="1:43" x14ac:dyDescent="0.25">
      <c r="A1723" s="44" t="str">
        <f t="shared" si="31"/>
        <v>SWORDSMAN_INDIA</v>
      </c>
      <c r="B1723" s="9" t="s">
        <v>104</v>
      </c>
      <c r="C1723" s="4" t="s">
        <v>720</v>
      </c>
      <c r="E1723" s="4" t="s">
        <v>104</v>
      </c>
      <c r="F1723" s="4" t="s">
        <v>104</v>
      </c>
      <c r="G1723" s="4" t="s">
        <v>2039</v>
      </c>
      <c r="H1723" s="4" t="s">
        <v>444</v>
      </c>
      <c r="I1723" s="4" t="s">
        <v>102</v>
      </c>
      <c r="Q1723" s="9">
        <v>2</v>
      </c>
      <c r="T1723" s="11">
        <v>2</v>
      </c>
      <c r="Z1723" s="9">
        <v>0</v>
      </c>
      <c r="AF1723" s="11">
        <v>0</v>
      </c>
      <c r="AI1723" s="11">
        <v>1</v>
      </c>
      <c r="AL1723" s="11"/>
      <c r="AM1723" s="11"/>
      <c r="AN1723" s="11"/>
      <c r="AO1723" s="11"/>
      <c r="AP1723" s="11"/>
      <c r="AQ1723" s="11"/>
    </row>
    <row r="1724" spans="1:43" x14ac:dyDescent="0.25">
      <c r="A1724" s="44" t="str">
        <f t="shared" si="31"/>
        <v>TANK</v>
      </c>
      <c r="B1724" s="9" t="s">
        <v>103</v>
      </c>
      <c r="C1724" s="5"/>
      <c r="D1724" s="5"/>
      <c r="E1724" s="5" t="s">
        <v>103</v>
      </c>
      <c r="F1724" s="5" t="s">
        <v>103</v>
      </c>
      <c r="G1724" s="5"/>
      <c r="H1724" s="5" t="s">
        <v>15</v>
      </c>
      <c r="I1724" s="5" t="s">
        <v>128</v>
      </c>
      <c r="J1724" s="6"/>
      <c r="K1724" s="6"/>
      <c r="L1724" s="13" t="s">
        <v>1706</v>
      </c>
      <c r="M1724" s="8"/>
      <c r="N1724" s="5"/>
      <c r="O1724" s="5"/>
      <c r="P1724" s="5"/>
      <c r="Q1724" s="7">
        <v>3</v>
      </c>
      <c r="R1724" s="6" t="s">
        <v>1692</v>
      </c>
      <c r="S1724" s="13" t="s">
        <v>1620</v>
      </c>
      <c r="T1724" s="6"/>
      <c r="U1724" s="6"/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6"/>
      <c r="AM1724" s="6"/>
      <c r="AN1724" s="6"/>
      <c r="AO1724" s="6"/>
      <c r="AP1724" s="6"/>
      <c r="AQ1724" s="6"/>
    </row>
    <row r="1725" spans="1:43" x14ac:dyDescent="0.25">
      <c r="A1725" s="44" t="str">
        <f t="shared" si="31"/>
        <v>TANK_AFRI</v>
      </c>
      <c r="B1725" s="9" t="s">
        <v>103</v>
      </c>
      <c r="C1725" s="4" t="s">
        <v>694</v>
      </c>
      <c r="D1725" s="4" t="s">
        <v>690</v>
      </c>
      <c r="E1725" s="4" t="s">
        <v>103</v>
      </c>
      <c r="F1725" s="4" t="s">
        <v>103</v>
      </c>
      <c r="Q1725" s="9"/>
      <c r="T1725" s="9"/>
      <c r="W1725" s="9"/>
      <c r="AF1725" s="9"/>
      <c r="AI1725" s="9"/>
      <c r="AL1725" s="11"/>
      <c r="AM1725" s="11"/>
      <c r="AN1725" s="11"/>
      <c r="AO1725" s="11"/>
      <c r="AP1725" s="11"/>
      <c r="AQ1725" s="11"/>
    </row>
    <row r="1726" spans="1:43" x14ac:dyDescent="0.25">
      <c r="A1726" s="44" t="str">
        <f t="shared" si="31"/>
        <v>TANK_ZULU</v>
      </c>
      <c r="B1726" s="9" t="s">
        <v>103</v>
      </c>
      <c r="C1726" s="4" t="s">
        <v>742</v>
      </c>
      <c r="D1726" s="4" t="s">
        <v>713</v>
      </c>
      <c r="E1726" s="4" t="s">
        <v>103</v>
      </c>
      <c r="F1726" s="4" t="s">
        <v>103</v>
      </c>
      <c r="Q1726" s="9"/>
      <c r="T1726" s="9"/>
      <c r="W1726" s="9"/>
      <c r="AF1726" s="9"/>
      <c r="AI1726" s="9"/>
      <c r="AL1726" s="11"/>
      <c r="AM1726" s="11"/>
      <c r="AN1726" s="11"/>
      <c r="AO1726" s="11"/>
      <c r="AP1726" s="11"/>
      <c r="AQ1726" s="11"/>
    </row>
    <row r="1727" spans="1:43" x14ac:dyDescent="0.25">
      <c r="A1727" s="44" t="str">
        <f t="shared" si="31"/>
        <v>TANK_AMER</v>
      </c>
      <c r="B1727" s="9" t="s">
        <v>103</v>
      </c>
      <c r="C1727" s="4" t="s">
        <v>697</v>
      </c>
      <c r="D1727" s="4" t="s">
        <v>699</v>
      </c>
      <c r="E1727" s="4" t="s">
        <v>103</v>
      </c>
      <c r="F1727" s="4" t="s">
        <v>103</v>
      </c>
      <c r="Q1727" s="9"/>
      <c r="T1727" s="9"/>
      <c r="W1727" s="9"/>
      <c r="AF1727" s="9"/>
      <c r="AI1727" s="9"/>
      <c r="AL1727" s="11"/>
      <c r="AM1727" s="11"/>
      <c r="AN1727" s="11"/>
      <c r="AO1727" s="11"/>
      <c r="AP1727" s="11"/>
      <c r="AQ1727" s="11"/>
    </row>
    <row r="1728" spans="1:43" x14ac:dyDescent="0.25">
      <c r="A1728" s="44" t="str">
        <f t="shared" si="31"/>
        <v>TANK_IROQUOIS</v>
      </c>
      <c r="B1728" s="9" t="s">
        <v>103</v>
      </c>
      <c r="C1728" s="4" t="s">
        <v>721</v>
      </c>
      <c r="D1728" s="4" t="s">
        <v>2187</v>
      </c>
      <c r="E1728" s="4" t="s">
        <v>103</v>
      </c>
      <c r="F1728" s="4" t="s">
        <v>103</v>
      </c>
      <c r="AL1728" s="11"/>
      <c r="AM1728" s="11"/>
      <c r="AN1728" s="11"/>
      <c r="AO1728" s="11"/>
      <c r="AP1728" s="11"/>
      <c r="AQ1728" s="11"/>
    </row>
    <row r="1729" spans="1:43" x14ac:dyDescent="0.25">
      <c r="A1729" s="44" t="str">
        <f t="shared" si="31"/>
        <v>TANK_ASIA</v>
      </c>
      <c r="B1729" s="9" t="s">
        <v>103</v>
      </c>
      <c r="C1729" s="4" t="s">
        <v>693</v>
      </c>
      <c r="E1729" s="4" t="s">
        <v>103</v>
      </c>
      <c r="F1729" s="4" t="s">
        <v>103</v>
      </c>
      <c r="H1729" s="4" t="s">
        <v>260</v>
      </c>
      <c r="I1729" s="4" t="s">
        <v>102</v>
      </c>
      <c r="R1729" s="11">
        <v>0.115</v>
      </c>
      <c r="AL1729" s="11"/>
      <c r="AM1729" s="11"/>
      <c r="AN1729" s="11"/>
      <c r="AO1729" s="11"/>
      <c r="AP1729" s="11"/>
      <c r="AQ1729" s="11"/>
    </row>
    <row r="1730" spans="1:43" x14ac:dyDescent="0.25">
      <c r="A1730" s="44" t="str">
        <f t="shared" si="31"/>
        <v>TANK_CHINA</v>
      </c>
      <c r="B1730" s="9" t="s">
        <v>103</v>
      </c>
      <c r="C1730" s="4" t="s">
        <v>710</v>
      </c>
      <c r="D1730" s="4" t="s">
        <v>693</v>
      </c>
      <c r="E1730" s="4" t="s">
        <v>103</v>
      </c>
      <c r="F1730" s="4" t="s">
        <v>103</v>
      </c>
      <c r="G1730" s="14" t="s">
        <v>132</v>
      </c>
      <c r="AL1730" s="11"/>
      <c r="AM1730" s="11"/>
      <c r="AN1730" s="11"/>
      <c r="AO1730" s="11"/>
      <c r="AP1730" s="11"/>
      <c r="AQ1730" s="11"/>
    </row>
    <row r="1731" spans="1:43" x14ac:dyDescent="0.25">
      <c r="A1731" s="44" t="str">
        <f t="shared" si="31"/>
        <v>TANK_JAPAN</v>
      </c>
      <c r="B1731" s="9" t="s">
        <v>103</v>
      </c>
      <c r="C1731" s="4" t="s">
        <v>722</v>
      </c>
      <c r="E1731" s="4" t="s">
        <v>103</v>
      </c>
      <c r="F1731" s="4" t="s">
        <v>103</v>
      </c>
      <c r="G1731" s="14" t="s">
        <v>132</v>
      </c>
      <c r="H1731" s="4" t="s">
        <v>492</v>
      </c>
      <c r="I1731" s="4" t="s">
        <v>102</v>
      </c>
      <c r="R1731" s="11">
        <v>0.112</v>
      </c>
      <c r="AL1731" s="11"/>
      <c r="AM1731" s="11"/>
      <c r="AN1731" s="11"/>
      <c r="AO1731" s="11"/>
      <c r="AP1731" s="11"/>
      <c r="AQ1731" s="11"/>
    </row>
    <row r="1732" spans="1:43" x14ac:dyDescent="0.25">
      <c r="A1732" s="44" t="str">
        <f t="shared" si="31"/>
        <v>TANK_KOREA</v>
      </c>
      <c r="B1732" s="9" t="s">
        <v>103</v>
      </c>
      <c r="C1732" s="4" t="s">
        <v>723</v>
      </c>
      <c r="D1732" s="4" t="s">
        <v>722</v>
      </c>
      <c r="E1732" s="4" t="s">
        <v>103</v>
      </c>
      <c r="F1732" s="4" t="s">
        <v>103</v>
      </c>
      <c r="G1732" s="14"/>
      <c r="AL1732" s="11"/>
      <c r="AM1732" s="11"/>
      <c r="AN1732" s="11"/>
      <c r="AO1732" s="11"/>
      <c r="AP1732" s="11"/>
      <c r="AQ1732" s="11"/>
    </row>
    <row r="1733" spans="1:43" x14ac:dyDescent="0.25">
      <c r="A1733" s="44" t="str">
        <f t="shared" si="31"/>
        <v>TANK_HUNS</v>
      </c>
      <c r="B1733" s="9" t="s">
        <v>103</v>
      </c>
      <c r="C1733" s="4" t="s">
        <v>904</v>
      </c>
      <c r="E1733" s="4" t="s">
        <v>103</v>
      </c>
      <c r="F1733" s="4" t="s">
        <v>103</v>
      </c>
      <c r="H1733" s="4" t="s">
        <v>914</v>
      </c>
      <c r="I1733" s="4" t="s">
        <v>102</v>
      </c>
      <c r="AL1733" s="11"/>
      <c r="AM1733" s="11"/>
      <c r="AN1733" s="11"/>
      <c r="AO1733" s="11"/>
      <c r="AP1733" s="11"/>
      <c r="AQ1733" s="11"/>
    </row>
    <row r="1734" spans="1:43" x14ac:dyDescent="0.25">
      <c r="A1734" s="44" t="str">
        <f t="shared" si="31"/>
        <v>TANK_EASTEU</v>
      </c>
      <c r="B1734" s="9" t="s">
        <v>103</v>
      </c>
      <c r="C1734" s="4" t="s">
        <v>698</v>
      </c>
      <c r="E1734" s="4" t="s">
        <v>103</v>
      </c>
      <c r="F1734" s="4" t="s">
        <v>103</v>
      </c>
      <c r="H1734" s="4" t="s">
        <v>628</v>
      </c>
      <c r="I1734" s="4" t="s">
        <v>131</v>
      </c>
      <c r="R1734" s="11">
        <v>0.113</v>
      </c>
      <c r="AL1734" s="11"/>
      <c r="AM1734" s="11"/>
      <c r="AN1734" s="11"/>
      <c r="AO1734" s="11"/>
      <c r="AP1734" s="11"/>
      <c r="AQ1734" s="11"/>
    </row>
    <row r="1735" spans="1:43" x14ac:dyDescent="0.25">
      <c r="A1735" s="44" t="str">
        <f t="shared" si="31"/>
        <v>TANK_POLAND</v>
      </c>
      <c r="B1735" s="9" t="s">
        <v>103</v>
      </c>
      <c r="C1735" s="4" t="s">
        <v>732</v>
      </c>
      <c r="E1735" s="4" t="s">
        <v>103</v>
      </c>
      <c r="F1735" s="4" t="s">
        <v>103</v>
      </c>
      <c r="G1735" s="14" t="s">
        <v>132</v>
      </c>
      <c r="H1735" s="4" t="s">
        <v>575</v>
      </c>
      <c r="I1735" s="4" t="s">
        <v>1928</v>
      </c>
      <c r="AL1735" s="11"/>
      <c r="AM1735" s="11"/>
      <c r="AN1735" s="11"/>
      <c r="AO1735" s="11"/>
      <c r="AP1735" s="11"/>
      <c r="AQ1735" s="11"/>
    </row>
    <row r="1736" spans="1:43" x14ac:dyDescent="0.25">
      <c r="A1736" s="44" t="str">
        <f t="shared" si="31"/>
        <v>TANK_RUSSIA</v>
      </c>
      <c r="B1736" s="9" t="s">
        <v>103</v>
      </c>
      <c r="C1736" s="4" t="s">
        <v>735</v>
      </c>
      <c r="D1736" s="4" t="s">
        <v>698</v>
      </c>
      <c r="E1736" s="4" t="s">
        <v>103</v>
      </c>
      <c r="F1736" s="4" t="s">
        <v>103</v>
      </c>
      <c r="G1736" s="14" t="s">
        <v>132</v>
      </c>
      <c r="AL1736" s="11"/>
      <c r="AM1736" s="11"/>
      <c r="AN1736" s="11"/>
      <c r="AO1736" s="11"/>
      <c r="AP1736" s="11"/>
      <c r="AQ1736" s="11"/>
    </row>
    <row r="1737" spans="1:43" x14ac:dyDescent="0.25">
      <c r="A1737" s="44" t="str">
        <f t="shared" si="31"/>
        <v>TANK_AMERICA</v>
      </c>
      <c r="B1737" s="9" t="s">
        <v>103</v>
      </c>
      <c r="C1737" s="4" t="s">
        <v>699</v>
      </c>
      <c r="E1737" s="4" t="s">
        <v>103</v>
      </c>
      <c r="F1737" s="4" t="s">
        <v>103</v>
      </c>
      <c r="G1737" s="14"/>
      <c r="H1737" s="4" t="s">
        <v>153</v>
      </c>
      <c r="I1737" s="4" t="s">
        <v>131</v>
      </c>
      <c r="R1737" s="11">
        <v>0.115</v>
      </c>
      <c r="AL1737" s="11"/>
      <c r="AM1737" s="11"/>
      <c r="AN1737" s="11"/>
      <c r="AO1737" s="11"/>
      <c r="AP1737" s="11"/>
      <c r="AQ1737" s="11"/>
    </row>
    <row r="1738" spans="1:43" x14ac:dyDescent="0.25">
      <c r="A1738" s="44" t="str">
        <f t="shared" si="31"/>
        <v>TANK_AUSTRALIA</v>
      </c>
      <c r="B1738" s="9" t="s">
        <v>103</v>
      </c>
      <c r="C1738" s="4" t="s">
        <v>1300</v>
      </c>
      <c r="D1738" s="4" t="s">
        <v>713</v>
      </c>
      <c r="E1738" s="4" t="s">
        <v>103</v>
      </c>
      <c r="F1738" s="4" t="s">
        <v>103</v>
      </c>
      <c r="G1738" s="14"/>
      <c r="AL1738" s="11"/>
      <c r="AM1738" s="11"/>
      <c r="AN1738" s="11"/>
      <c r="AO1738" s="11"/>
      <c r="AP1738" s="11"/>
      <c r="AQ1738" s="11"/>
    </row>
    <row r="1739" spans="1:43" x14ac:dyDescent="0.25">
      <c r="A1739" s="44" t="str">
        <f t="shared" si="31"/>
        <v>TANK_AUSTRIA</v>
      </c>
      <c r="B1739" s="9" t="s">
        <v>103</v>
      </c>
      <c r="C1739" s="4" t="s">
        <v>701</v>
      </c>
      <c r="E1739" s="4" t="s">
        <v>103</v>
      </c>
      <c r="F1739" s="4" t="s">
        <v>103</v>
      </c>
      <c r="G1739" s="14"/>
      <c r="H1739" s="4" t="s">
        <v>187</v>
      </c>
      <c r="I1739" s="4" t="s">
        <v>102</v>
      </c>
      <c r="AL1739" s="11"/>
      <c r="AM1739" s="11"/>
      <c r="AN1739" s="11"/>
      <c r="AO1739" s="11"/>
      <c r="AP1739" s="11"/>
      <c r="AQ1739" s="11"/>
    </row>
    <row r="1740" spans="1:43" x14ac:dyDescent="0.25">
      <c r="A1740" s="44" t="str">
        <f t="shared" si="31"/>
        <v>TANK_CANADA</v>
      </c>
      <c r="B1740" s="9" t="s">
        <v>103</v>
      </c>
      <c r="C1740" s="4" t="s">
        <v>2187</v>
      </c>
      <c r="E1740" s="4" t="s">
        <v>103</v>
      </c>
      <c r="F1740" s="4" t="s">
        <v>103</v>
      </c>
      <c r="G1740" s="14"/>
      <c r="H1740" s="4" t="s">
        <v>2188</v>
      </c>
      <c r="I1740" s="4" t="s">
        <v>102</v>
      </c>
      <c r="AL1740" s="11"/>
      <c r="AM1740" s="11"/>
      <c r="AN1740" s="11"/>
      <c r="AO1740" s="11"/>
      <c r="AP1740" s="11"/>
      <c r="AQ1740" s="11"/>
    </row>
    <row r="1741" spans="1:43" x14ac:dyDescent="0.25">
      <c r="A1741" s="44" t="str">
        <f t="shared" si="31"/>
        <v>TANK_CELTS</v>
      </c>
      <c r="B1741" s="9" t="s">
        <v>103</v>
      </c>
      <c r="C1741" s="4" t="s">
        <v>709</v>
      </c>
      <c r="D1741" s="4" t="s">
        <v>713</v>
      </c>
      <c r="E1741" s="4" t="s">
        <v>103</v>
      </c>
      <c r="F1741" s="4" t="s">
        <v>103</v>
      </c>
      <c r="G1741" s="14"/>
      <c r="AL1741" s="11"/>
      <c r="AM1741" s="11"/>
      <c r="AN1741" s="11"/>
      <c r="AO1741" s="11"/>
      <c r="AP1741" s="11"/>
      <c r="AQ1741" s="11"/>
    </row>
    <row r="1742" spans="1:43" x14ac:dyDescent="0.25">
      <c r="A1742" s="44" t="str">
        <f t="shared" si="31"/>
        <v>TANK_ENGLAND</v>
      </c>
      <c r="B1742" s="9" t="s">
        <v>103</v>
      </c>
      <c r="C1742" s="4" t="s">
        <v>713</v>
      </c>
      <c r="E1742" s="4" t="s">
        <v>103</v>
      </c>
      <c r="F1742" s="4" t="s">
        <v>103</v>
      </c>
      <c r="G1742" s="14" t="s">
        <v>132</v>
      </c>
      <c r="H1742" s="4" t="s">
        <v>314</v>
      </c>
      <c r="I1742" s="4" t="s">
        <v>1049</v>
      </c>
      <c r="R1742" s="11">
        <v>0.113</v>
      </c>
      <c r="AL1742" s="11"/>
      <c r="AM1742" s="11"/>
      <c r="AN1742" s="11"/>
      <c r="AO1742" s="11"/>
      <c r="AP1742" s="11"/>
      <c r="AQ1742" s="11"/>
    </row>
    <row r="1743" spans="1:43" x14ac:dyDescent="0.25">
      <c r="A1743" s="44" t="str">
        <f t="shared" si="31"/>
        <v>TANK_FRANCE</v>
      </c>
      <c r="B1743" s="9" t="s">
        <v>103</v>
      </c>
      <c r="C1743" s="4" t="s">
        <v>715</v>
      </c>
      <c r="E1743" s="4" t="s">
        <v>103</v>
      </c>
      <c r="F1743" s="4" t="s">
        <v>103</v>
      </c>
      <c r="G1743" s="14" t="s">
        <v>132</v>
      </c>
      <c r="H1743" s="4" t="s">
        <v>359</v>
      </c>
      <c r="I1743" s="4" t="s">
        <v>102</v>
      </c>
      <c r="R1743" s="11">
        <v>0.113</v>
      </c>
      <c r="AL1743" s="11"/>
      <c r="AM1743" s="11"/>
      <c r="AN1743" s="11"/>
      <c r="AO1743" s="11"/>
      <c r="AP1743" s="11"/>
      <c r="AQ1743" s="11"/>
    </row>
    <row r="1744" spans="1:43" x14ac:dyDescent="0.25">
      <c r="A1744" s="44" t="str">
        <f t="shared" si="31"/>
        <v>TANK_GERMANY</v>
      </c>
      <c r="B1744" s="9" t="s">
        <v>103</v>
      </c>
      <c r="C1744" s="4" t="s">
        <v>717</v>
      </c>
      <c r="E1744" s="4" t="s">
        <v>103</v>
      </c>
      <c r="F1744" s="4" t="s">
        <v>103</v>
      </c>
      <c r="G1744" s="14" t="s">
        <v>132</v>
      </c>
      <c r="H1744" s="4" t="s">
        <v>392</v>
      </c>
      <c r="I1744" s="4" t="s">
        <v>102</v>
      </c>
      <c r="AL1744" s="11"/>
      <c r="AM1744" s="11"/>
      <c r="AN1744" s="11"/>
      <c r="AO1744" s="11"/>
      <c r="AP1744" s="11"/>
      <c r="AQ1744" s="11"/>
    </row>
    <row r="1745" spans="1:43" x14ac:dyDescent="0.25">
      <c r="A1745" s="44" t="str">
        <f t="shared" si="31"/>
        <v>TANK_MIDEAST</v>
      </c>
      <c r="B1745" s="9" t="s">
        <v>103</v>
      </c>
      <c r="C1745" s="4" t="s">
        <v>690</v>
      </c>
      <c r="E1745" s="4" t="s">
        <v>103</v>
      </c>
      <c r="F1745" s="4" t="s">
        <v>103</v>
      </c>
      <c r="G1745" s="14"/>
      <c r="H1745" s="4" t="s">
        <v>204</v>
      </c>
      <c r="I1745" s="4" t="s">
        <v>102</v>
      </c>
      <c r="R1745" s="11">
        <v>0.113</v>
      </c>
      <c r="AL1745" s="11"/>
      <c r="AM1745" s="11"/>
      <c r="AN1745" s="11"/>
      <c r="AO1745" s="11"/>
      <c r="AP1745" s="11"/>
      <c r="AQ1745" s="11"/>
    </row>
    <row r="1746" spans="1:43" x14ac:dyDescent="0.25">
      <c r="A1746" s="44" t="str">
        <f t="shared" si="31"/>
        <v>TANK_NETHERLANDS</v>
      </c>
      <c r="B1746" s="9" t="s">
        <v>103</v>
      </c>
      <c r="C1746" s="4" t="s">
        <v>730</v>
      </c>
      <c r="E1746" s="4" t="s">
        <v>103</v>
      </c>
      <c r="F1746" s="4" t="s">
        <v>103</v>
      </c>
      <c r="G1746" s="14" t="s">
        <v>132</v>
      </c>
      <c r="H1746" s="4" t="s">
        <v>550</v>
      </c>
      <c r="I1746" s="4" t="s">
        <v>102</v>
      </c>
      <c r="AL1746" s="11"/>
      <c r="AM1746" s="11"/>
      <c r="AN1746" s="11"/>
      <c r="AO1746" s="11"/>
      <c r="AP1746" s="11"/>
      <c r="AQ1746" s="11"/>
    </row>
    <row r="1747" spans="1:43" x14ac:dyDescent="0.25">
      <c r="A1747" s="44" t="str">
        <f t="shared" si="31"/>
        <v>TANK_ROME</v>
      </c>
      <c r="B1747" s="9" t="s">
        <v>103</v>
      </c>
      <c r="C1747" s="4" t="s">
        <v>734</v>
      </c>
      <c r="E1747" s="4" t="s">
        <v>103</v>
      </c>
      <c r="F1747" s="4" t="s">
        <v>103</v>
      </c>
      <c r="G1747" s="14" t="s">
        <v>132</v>
      </c>
      <c r="H1747" s="4" t="s">
        <v>127</v>
      </c>
      <c r="I1747" s="4" t="s">
        <v>1070</v>
      </c>
      <c r="AL1747" s="11"/>
      <c r="AM1747" s="11"/>
      <c r="AN1747" s="11"/>
      <c r="AO1747" s="11"/>
      <c r="AP1747" s="11"/>
      <c r="AQ1747" s="11"/>
    </row>
    <row r="1748" spans="1:43" x14ac:dyDescent="0.25">
      <c r="A1748" s="44" t="str">
        <f t="shared" si="31"/>
        <v>TANK_SPAIN</v>
      </c>
      <c r="B1748" s="9" t="s">
        <v>103</v>
      </c>
      <c r="C1748" s="4" t="s">
        <v>738</v>
      </c>
      <c r="E1748" s="4" t="s">
        <v>103</v>
      </c>
      <c r="F1748" s="4" t="s">
        <v>103</v>
      </c>
      <c r="G1748" s="14" t="s">
        <v>132</v>
      </c>
      <c r="H1748" s="4" t="s">
        <v>664</v>
      </c>
      <c r="I1748" s="4" t="s">
        <v>102</v>
      </c>
      <c r="AL1748" s="11"/>
      <c r="AM1748" s="11"/>
      <c r="AN1748" s="11"/>
      <c r="AO1748" s="11"/>
      <c r="AP1748" s="11"/>
      <c r="AQ1748" s="11"/>
    </row>
    <row r="1749" spans="1:43" x14ac:dyDescent="0.25">
      <c r="A1749" s="44" t="str">
        <f t="shared" si="31"/>
        <v>TANK_NORTHAF</v>
      </c>
      <c r="B1749" s="9" t="s">
        <v>103</v>
      </c>
      <c r="C1749" s="4" t="s">
        <v>2003</v>
      </c>
      <c r="D1749" s="4" t="s">
        <v>715</v>
      </c>
      <c r="E1749" s="4" t="s">
        <v>103</v>
      </c>
      <c r="F1749" s="4" t="s">
        <v>103</v>
      </c>
      <c r="G1749" s="14"/>
      <c r="AL1749" s="11"/>
      <c r="AM1749" s="11"/>
      <c r="AN1749" s="11"/>
      <c r="AO1749" s="11"/>
      <c r="AP1749" s="11"/>
      <c r="AQ1749" s="11"/>
    </row>
    <row r="1750" spans="1:43" x14ac:dyDescent="0.25">
      <c r="A1750" s="44" t="str">
        <f t="shared" si="31"/>
        <v>TANK_SWEDEN</v>
      </c>
      <c r="B1750" s="9" t="s">
        <v>103</v>
      </c>
      <c r="C1750" s="4" t="s">
        <v>739</v>
      </c>
      <c r="E1750" s="4" t="s">
        <v>103</v>
      </c>
      <c r="F1750" s="4" t="s">
        <v>103</v>
      </c>
      <c r="G1750" s="14" t="s">
        <v>132</v>
      </c>
      <c r="H1750" s="4" t="s">
        <v>676</v>
      </c>
      <c r="I1750" s="4" t="s">
        <v>102</v>
      </c>
      <c r="AL1750" s="11"/>
      <c r="AM1750" s="11"/>
      <c r="AN1750" s="11"/>
      <c r="AO1750" s="11"/>
      <c r="AP1750" s="11"/>
      <c r="AQ1750" s="11"/>
    </row>
    <row r="1751" spans="1:43" x14ac:dyDescent="0.25">
      <c r="A1751" s="44" t="str">
        <f t="shared" si="31"/>
        <v>TANK_OCEAN</v>
      </c>
      <c r="B1751" s="9" t="s">
        <v>103</v>
      </c>
      <c r="C1751" s="4" t="s">
        <v>994</v>
      </c>
      <c r="D1751" s="4" t="s">
        <v>690</v>
      </c>
      <c r="E1751" s="4" t="s">
        <v>103</v>
      </c>
      <c r="F1751" s="4" t="s">
        <v>103</v>
      </c>
      <c r="AL1751" s="11"/>
      <c r="AM1751" s="11"/>
      <c r="AN1751" s="11"/>
      <c r="AO1751" s="11"/>
      <c r="AP1751" s="11"/>
      <c r="AQ1751" s="11"/>
    </row>
    <row r="1752" spans="1:43" x14ac:dyDescent="0.25">
      <c r="A1752" s="44" t="str">
        <f t="shared" si="31"/>
        <v>TANK_SAHUL</v>
      </c>
      <c r="B1752" s="9" t="s">
        <v>103</v>
      </c>
      <c r="C1752" s="4" t="s">
        <v>1785</v>
      </c>
      <c r="D1752" s="4" t="s">
        <v>730</v>
      </c>
      <c r="E1752" s="4" t="s">
        <v>103</v>
      </c>
      <c r="F1752" s="4" t="s">
        <v>103</v>
      </c>
      <c r="AL1752" s="11"/>
      <c r="AM1752" s="11"/>
      <c r="AN1752" s="11"/>
      <c r="AO1752" s="11"/>
      <c r="AP1752" s="11"/>
      <c r="AQ1752" s="11"/>
    </row>
    <row r="1753" spans="1:43" x14ac:dyDescent="0.25">
      <c r="A1753" s="44" t="str">
        <f t="shared" si="31"/>
        <v>TANK_SEASIA</v>
      </c>
      <c r="B1753" s="9" t="s">
        <v>103</v>
      </c>
      <c r="C1753" s="4" t="s">
        <v>696</v>
      </c>
      <c r="D1753" s="4" t="s">
        <v>715</v>
      </c>
      <c r="E1753" s="4" t="s">
        <v>103</v>
      </c>
      <c r="F1753" s="4" t="s">
        <v>103</v>
      </c>
      <c r="AL1753" s="11"/>
      <c r="AM1753" s="11"/>
      <c r="AN1753" s="11"/>
      <c r="AO1753" s="11"/>
      <c r="AP1753" s="11"/>
      <c r="AQ1753" s="11"/>
    </row>
    <row r="1754" spans="1:43" x14ac:dyDescent="0.25">
      <c r="A1754" s="44" t="str">
        <f t="shared" si="31"/>
        <v>TANK_SOUTHAM</v>
      </c>
      <c r="B1754" s="9" t="s">
        <v>103</v>
      </c>
      <c r="C1754" s="4" t="s">
        <v>691</v>
      </c>
      <c r="D1754" s="4" t="s">
        <v>690</v>
      </c>
      <c r="E1754" s="4" t="s">
        <v>103</v>
      </c>
      <c r="F1754" s="4" t="s">
        <v>103</v>
      </c>
      <c r="AL1754" s="11"/>
      <c r="AM1754" s="11"/>
      <c r="AN1754" s="11"/>
      <c r="AO1754" s="11"/>
      <c r="AP1754" s="11"/>
      <c r="AQ1754" s="11"/>
    </row>
    <row r="1755" spans="1:43" x14ac:dyDescent="0.25">
      <c r="A1755" s="44" t="str">
        <f t="shared" si="31"/>
        <v>TANK_SOUTHAS</v>
      </c>
      <c r="B1755" s="9" t="s">
        <v>103</v>
      </c>
      <c r="C1755" s="4" t="s">
        <v>695</v>
      </c>
      <c r="D1755" s="4" t="s">
        <v>713</v>
      </c>
      <c r="E1755" s="4" t="s">
        <v>103</v>
      </c>
      <c r="F1755" s="4" t="s">
        <v>103</v>
      </c>
      <c r="AL1755" s="11"/>
      <c r="AM1755" s="11"/>
      <c r="AN1755" s="11"/>
      <c r="AO1755" s="11"/>
      <c r="AP1755" s="11"/>
      <c r="AQ1755" s="11"/>
    </row>
    <row r="1756" spans="1:43" x14ac:dyDescent="0.25">
      <c r="A1756" s="44" t="str">
        <f t="shared" si="31"/>
        <v>TRANSPORT</v>
      </c>
      <c r="C1756" s="5"/>
      <c r="D1756" s="5"/>
      <c r="E1756" s="5" t="s">
        <v>775</v>
      </c>
      <c r="F1756" s="5" t="s">
        <v>775</v>
      </c>
      <c r="G1756" s="5"/>
      <c r="H1756" s="5" t="s">
        <v>1120</v>
      </c>
      <c r="I1756" s="5" t="s">
        <v>128</v>
      </c>
      <c r="J1756" s="6"/>
      <c r="K1756" s="7"/>
      <c r="L1756" s="13" t="s">
        <v>1710</v>
      </c>
      <c r="M1756" s="8"/>
      <c r="N1756" s="13" t="s">
        <v>1724</v>
      </c>
      <c r="O1756" s="13"/>
      <c r="P1756" s="13"/>
      <c r="Q1756" s="7">
        <v>2</v>
      </c>
      <c r="R1756" s="6">
        <v>0.11</v>
      </c>
      <c r="S1756" s="13" t="s">
        <v>1610</v>
      </c>
      <c r="T1756" s="7">
        <v>3</v>
      </c>
      <c r="U1756" s="6">
        <v>6.5000000000000002E-2</v>
      </c>
      <c r="V1756" s="5" t="s">
        <v>1693</v>
      </c>
      <c r="W1756" s="6"/>
      <c r="X1756" s="6"/>
      <c r="Y1756" s="5"/>
      <c r="Z1756" s="7">
        <v>1</v>
      </c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44" t="str">
        <f t="shared" si="31"/>
        <v>TREBUCHET</v>
      </c>
      <c r="B1757" s="9" t="s">
        <v>776</v>
      </c>
      <c r="C1757" s="5"/>
      <c r="D1757" s="5"/>
      <c r="E1757" s="5" t="s">
        <v>776</v>
      </c>
      <c r="F1757" s="5" t="s">
        <v>776</v>
      </c>
      <c r="G1757" s="5"/>
      <c r="H1757" s="5" t="s">
        <v>14</v>
      </c>
      <c r="I1757" s="5" t="s">
        <v>128</v>
      </c>
      <c r="J1757" s="6"/>
      <c r="K1757" s="6"/>
      <c r="L1757" s="13" t="s">
        <v>746</v>
      </c>
      <c r="M1757" s="8"/>
      <c r="N1757" s="5"/>
      <c r="O1757" s="5"/>
      <c r="P1757" s="5"/>
      <c r="Q1757" s="7">
        <v>2</v>
      </c>
      <c r="R1757" s="6" t="s">
        <v>1692</v>
      </c>
      <c r="S1757" s="13" t="s">
        <v>1610</v>
      </c>
      <c r="T1757" s="7">
        <v>3</v>
      </c>
      <c r="U1757" s="7" t="s">
        <v>1734</v>
      </c>
      <c r="V1757" s="5" t="s">
        <v>688</v>
      </c>
      <c r="W1757" s="6">
        <v>7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44" t="str">
        <f t="shared" si="31"/>
        <v>TRIREME</v>
      </c>
      <c r="B1758" s="9" t="s">
        <v>777</v>
      </c>
      <c r="C1758" s="5"/>
      <c r="D1758" s="5"/>
      <c r="E1758" s="5" t="s">
        <v>777</v>
      </c>
      <c r="F1758" s="5" t="s">
        <v>777</v>
      </c>
      <c r="G1758" s="5"/>
      <c r="H1758" s="5" t="s">
        <v>13</v>
      </c>
      <c r="I1758" s="5" t="s">
        <v>128</v>
      </c>
      <c r="J1758" s="6"/>
      <c r="K1758" s="7"/>
      <c r="L1758" s="13" t="s">
        <v>1709</v>
      </c>
      <c r="M1758" s="8"/>
      <c r="N1758" s="13" t="s">
        <v>1724</v>
      </c>
      <c r="O1758" s="13"/>
      <c r="P1758" s="13"/>
      <c r="Q1758" s="7">
        <v>1</v>
      </c>
      <c r="R1758" s="6">
        <v>7.0000000000000007E-2</v>
      </c>
      <c r="S1758" s="5"/>
      <c r="T1758" s="7">
        <v>2</v>
      </c>
      <c r="U1758" s="6">
        <v>5.3999999999999999E-2</v>
      </c>
      <c r="V1758" s="5" t="s">
        <v>1693</v>
      </c>
      <c r="W1758" s="6"/>
      <c r="X1758" s="6"/>
      <c r="Y1758" s="5"/>
      <c r="Z1758" s="6"/>
      <c r="AA1758" s="6"/>
      <c r="AB1758" s="5"/>
      <c r="AC1758" s="6"/>
      <c r="AD1758" s="6"/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44" t="str">
        <f t="shared" si="31"/>
        <v>TRIREME_NORTHEU</v>
      </c>
      <c r="B1759" s="9" t="s">
        <v>777</v>
      </c>
      <c r="C1759" s="5" t="s">
        <v>962</v>
      </c>
      <c r="D1759" s="5"/>
      <c r="E1759" s="5" t="s">
        <v>777</v>
      </c>
      <c r="F1759" s="5" t="s">
        <v>777</v>
      </c>
      <c r="G1759" s="5"/>
      <c r="H1759" s="5" t="s">
        <v>1942</v>
      </c>
      <c r="I1759" s="5" t="s">
        <v>1943</v>
      </c>
      <c r="J1759" s="6"/>
      <c r="K1759" s="7"/>
      <c r="L1759" s="13"/>
      <c r="M1759" s="8"/>
      <c r="N1759" s="13"/>
      <c r="O1759" s="13"/>
      <c r="P1759" s="13"/>
      <c r="Q1759" s="7"/>
      <c r="R1759" s="6">
        <v>0.08</v>
      </c>
      <c r="S1759" s="5"/>
      <c r="T1759" s="7"/>
      <c r="U1759" s="6"/>
      <c r="V1759" s="5"/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44" t="str">
        <f t="shared" ref="A1760:A1824" si="32">CONCATENATE(E1760,IF(ISBLANK(C1760),"",CONCATENATE("_",C1760)))</f>
        <v>U_AMERICAN_B17</v>
      </c>
      <c r="B1760" s="9" t="s">
        <v>2289</v>
      </c>
      <c r="C1760" s="5"/>
      <c r="D1760" s="5"/>
      <c r="E1760" s="5" t="s">
        <v>1541</v>
      </c>
      <c r="F1760" s="5" t="s">
        <v>1541</v>
      </c>
      <c r="G1760" s="5"/>
      <c r="H1760" s="5" t="s">
        <v>1667</v>
      </c>
      <c r="I1760" s="5" t="s">
        <v>128</v>
      </c>
      <c r="J1760" s="6"/>
      <c r="K1760" s="7"/>
      <c r="L1760" s="13" t="s">
        <v>1708</v>
      </c>
      <c r="M1760" s="8">
        <v>1.7</v>
      </c>
      <c r="N1760" s="13" t="s">
        <v>1722</v>
      </c>
      <c r="O1760" s="13"/>
      <c r="P1760" s="13"/>
      <c r="Q1760" s="7">
        <v>1</v>
      </c>
      <c r="R1760" s="6">
        <v>0.08</v>
      </c>
      <c r="S1760" s="13" t="s">
        <v>1612</v>
      </c>
      <c r="T1760" s="7">
        <v>3</v>
      </c>
      <c r="U1760" s="6">
        <v>0.1</v>
      </c>
      <c r="V1760" s="5"/>
      <c r="W1760" s="6" t="s">
        <v>3</v>
      </c>
      <c r="X1760" s="6" t="s">
        <v>3</v>
      </c>
      <c r="Y1760" s="5"/>
      <c r="Z1760" s="6"/>
      <c r="AA1760" s="6"/>
      <c r="AB1760" s="5"/>
      <c r="AC1760" s="6"/>
      <c r="AD1760" s="6" t="s">
        <v>3</v>
      </c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44" t="str">
        <f t="shared" si="32"/>
        <v>U_AMERICAN_MINUTEMAN</v>
      </c>
      <c r="B1761" s="9" t="s">
        <v>2290</v>
      </c>
      <c r="C1761" s="5"/>
      <c r="D1761" s="5"/>
      <c r="E1761" s="5" t="s">
        <v>1542</v>
      </c>
      <c r="F1761" s="5" t="s">
        <v>1542</v>
      </c>
      <c r="G1761" s="5"/>
      <c r="H1761" s="5" t="s">
        <v>1668</v>
      </c>
      <c r="I1761" s="5" t="s">
        <v>128</v>
      </c>
      <c r="J1761" s="6"/>
      <c r="K1761" s="6"/>
      <c r="L1761" s="13" t="s">
        <v>1705</v>
      </c>
      <c r="M1761" s="8"/>
      <c r="N1761" s="5"/>
      <c r="O1761" s="5"/>
      <c r="P1761" s="5"/>
      <c r="Q1761" s="7">
        <v>14</v>
      </c>
      <c r="R1761" s="6" t="s">
        <v>1734</v>
      </c>
      <c r="S1761" s="13" t="s">
        <v>1616</v>
      </c>
      <c r="T1761" s="6">
        <v>19</v>
      </c>
      <c r="U1761" s="7" t="s">
        <v>1734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1734</v>
      </c>
      <c r="AG1761" s="6"/>
      <c r="AH1761" s="5"/>
      <c r="AI1761" s="6" t="s">
        <v>1734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44" t="str">
        <f t="shared" si="32"/>
        <v>U_ARABIAN_CAMELARCHER</v>
      </c>
      <c r="B1762" s="9" t="s">
        <v>2291</v>
      </c>
      <c r="C1762" s="5"/>
      <c r="D1762" s="5"/>
      <c r="E1762" s="5" t="s">
        <v>1543</v>
      </c>
      <c r="F1762" s="5" t="s">
        <v>1543</v>
      </c>
      <c r="G1762" s="5"/>
      <c r="H1762" s="5" t="s">
        <v>1669</v>
      </c>
      <c r="I1762" s="5" t="s">
        <v>128</v>
      </c>
      <c r="J1762" s="6"/>
      <c r="K1762" s="6"/>
      <c r="L1762" s="13" t="s">
        <v>1711</v>
      </c>
      <c r="M1762" s="8"/>
      <c r="N1762" s="5"/>
      <c r="O1762" s="5"/>
      <c r="P1762" s="5"/>
      <c r="Q1762" s="7" t="s">
        <v>1692</v>
      </c>
      <c r="R1762" s="6" t="s">
        <v>1692</v>
      </c>
      <c r="S1762" s="13" t="s">
        <v>1692</v>
      </c>
      <c r="T1762" s="6" t="s">
        <v>1692</v>
      </c>
      <c r="U1762" s="7" t="s">
        <v>1692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1692</v>
      </c>
      <c r="AG1762" s="6"/>
      <c r="AH1762" s="5"/>
      <c r="AI1762" s="6"/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44" t="str">
        <f t="shared" si="32"/>
        <v>U_ASSYRIAN_SIEGE_TOWER</v>
      </c>
      <c r="B1763" s="9" t="s">
        <v>2292</v>
      </c>
      <c r="C1763" s="5"/>
      <c r="D1763" s="5"/>
      <c r="E1763" s="5" t="s">
        <v>1544</v>
      </c>
      <c r="F1763" s="5" t="s">
        <v>1544</v>
      </c>
      <c r="G1763" s="5"/>
      <c r="H1763" s="5" t="s">
        <v>1625</v>
      </c>
      <c r="I1763" s="5" t="s">
        <v>128</v>
      </c>
      <c r="J1763" s="6"/>
      <c r="K1763" s="6"/>
      <c r="L1763" s="13" t="s">
        <v>746</v>
      </c>
      <c r="M1763" s="8"/>
      <c r="N1763" s="5"/>
      <c r="O1763" s="5"/>
      <c r="P1763" s="5"/>
      <c r="Q1763" s="7">
        <v>1</v>
      </c>
      <c r="R1763" s="6">
        <v>0.1</v>
      </c>
      <c r="S1763" s="13" t="s">
        <v>1610</v>
      </c>
      <c r="T1763" s="6"/>
      <c r="U1763" s="6" t="s">
        <v>1734</v>
      </c>
      <c r="V1763" s="5"/>
      <c r="W1763" s="6">
        <v>4</v>
      </c>
      <c r="X1763" s="6" t="s">
        <v>3</v>
      </c>
      <c r="Y1763" s="5"/>
      <c r="Z1763" s="6"/>
      <c r="AA1763" s="6"/>
      <c r="AB1763" s="5"/>
      <c r="AC1763" s="6"/>
      <c r="AD1763" s="6" t="s">
        <v>3</v>
      </c>
      <c r="AE1763" s="5"/>
      <c r="AF1763" s="6"/>
      <c r="AG1763" s="6"/>
      <c r="AH1763" s="5"/>
      <c r="AI1763" s="6"/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44" t="str">
        <f t="shared" si="32"/>
        <v>U_AUSTRIAN_HUSSAR</v>
      </c>
      <c r="B1764" s="9" t="s">
        <v>2293</v>
      </c>
      <c r="C1764" s="5"/>
      <c r="D1764" s="5"/>
      <c r="E1764" s="5" t="s">
        <v>1545</v>
      </c>
      <c r="F1764" s="5" t="s">
        <v>1545</v>
      </c>
      <c r="G1764" s="5"/>
      <c r="H1764" s="5" t="s">
        <v>1626</v>
      </c>
      <c r="I1764" s="5" t="s">
        <v>128</v>
      </c>
      <c r="J1764" s="6"/>
      <c r="K1764" s="6"/>
      <c r="L1764" s="13" t="s">
        <v>1711</v>
      </c>
      <c r="M1764" s="8"/>
      <c r="N1764" s="5"/>
      <c r="O1764" s="5"/>
      <c r="P1764" s="5"/>
      <c r="Q1764" s="7" t="s">
        <v>1692</v>
      </c>
      <c r="R1764" s="6" t="s">
        <v>1692</v>
      </c>
      <c r="S1764" s="13" t="s">
        <v>1692</v>
      </c>
      <c r="T1764" s="6" t="s">
        <v>1692</v>
      </c>
      <c r="U1764" s="7" t="s">
        <v>1692</v>
      </c>
      <c r="V1764" s="5"/>
      <c r="W1764" s="7" t="s">
        <v>3</v>
      </c>
      <c r="X1764" s="6" t="s">
        <v>3</v>
      </c>
      <c r="Y1764" s="5"/>
      <c r="Z1764" s="6">
        <v>1</v>
      </c>
      <c r="AA1764" s="6"/>
      <c r="AB1764" s="5"/>
      <c r="AC1764" s="6"/>
      <c r="AD1764" s="6" t="s">
        <v>3</v>
      </c>
      <c r="AE1764" s="5"/>
      <c r="AF1764" s="6" t="s">
        <v>1692</v>
      </c>
      <c r="AG1764" s="6"/>
      <c r="AH1764" s="5"/>
      <c r="AI1764" s="6"/>
      <c r="AJ1764" s="6"/>
      <c r="AK1764" s="5"/>
      <c r="AL1764" s="6"/>
      <c r="AM1764" s="6"/>
      <c r="AN1764" s="6"/>
      <c r="AO1764" s="6"/>
      <c r="AP1764" s="6"/>
      <c r="AQ1764" s="6"/>
    </row>
    <row r="1765" spans="1:43" x14ac:dyDescent="0.25">
      <c r="A1765" s="44" t="str">
        <f t="shared" si="32"/>
        <v>U_AZTEC_JAGUAR</v>
      </c>
      <c r="B1765" s="9" t="s">
        <v>2294</v>
      </c>
      <c r="C1765" s="5"/>
      <c r="D1765" s="5"/>
      <c r="E1765" s="5" t="s">
        <v>1546</v>
      </c>
      <c r="F1765" s="5" t="s">
        <v>1546</v>
      </c>
      <c r="G1765" s="5"/>
      <c r="H1765" s="5" t="s">
        <v>1670</v>
      </c>
      <c r="I1765" s="5" t="s">
        <v>128</v>
      </c>
      <c r="J1765" s="6"/>
      <c r="K1765" s="6"/>
      <c r="L1765" s="13" t="s">
        <v>1705</v>
      </c>
      <c r="M1765" s="8"/>
      <c r="N1765" s="5"/>
      <c r="O1765" s="5"/>
      <c r="P1765" s="5"/>
      <c r="Q1765" s="7" t="s">
        <v>1734</v>
      </c>
      <c r="R1765" s="6" t="s">
        <v>1734</v>
      </c>
      <c r="S1765" s="13" t="s">
        <v>1617</v>
      </c>
      <c r="T1765" s="6">
        <v>18</v>
      </c>
      <c r="U1765" s="7" t="s">
        <v>1734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1734</v>
      </c>
      <c r="AG1765" s="6"/>
      <c r="AH1765" s="5"/>
      <c r="AI1765" s="6" t="s">
        <v>1734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44" t="str">
        <f t="shared" si="32"/>
        <v>U_BABYLONIAN_BOWMAN</v>
      </c>
      <c r="B1766" s="9" t="s">
        <v>2295</v>
      </c>
      <c r="C1766" s="5"/>
      <c r="D1766" s="5"/>
      <c r="E1766" s="5" t="s">
        <v>1547</v>
      </c>
      <c r="F1766" s="5" t="s">
        <v>1547</v>
      </c>
      <c r="G1766" s="5"/>
      <c r="H1766" s="5" t="s">
        <v>1627</v>
      </c>
      <c r="I1766" s="5" t="s">
        <v>128</v>
      </c>
      <c r="J1766" s="6"/>
      <c r="K1766" s="6"/>
      <c r="L1766" s="13" t="s">
        <v>1705</v>
      </c>
      <c r="M1766" s="8"/>
      <c r="N1766" s="5"/>
      <c r="O1766" s="5"/>
      <c r="P1766" s="5"/>
      <c r="Q1766" s="7" t="s">
        <v>1734</v>
      </c>
      <c r="R1766" s="6" t="s">
        <v>1734</v>
      </c>
      <c r="S1766" s="13" t="s">
        <v>44</v>
      </c>
      <c r="T1766" s="6" t="s">
        <v>1734</v>
      </c>
      <c r="U1766" s="7" t="s">
        <v>1734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1734</v>
      </c>
      <c r="AG1766" s="6"/>
      <c r="AH1766" s="5"/>
      <c r="AI1766" s="6" t="s">
        <v>1734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44" t="str">
        <f t="shared" si="32"/>
        <v>U_BRAZILIAN_PRACINHAS</v>
      </c>
      <c r="B1767" s="9" t="s">
        <v>2334</v>
      </c>
      <c r="C1767" s="5"/>
      <c r="D1767" s="5"/>
      <c r="E1767" s="5" t="s">
        <v>1548</v>
      </c>
      <c r="F1767" s="5" t="s">
        <v>1548</v>
      </c>
      <c r="G1767" s="5"/>
      <c r="H1767" s="5" t="s">
        <v>1628</v>
      </c>
      <c r="I1767" s="5" t="s">
        <v>128</v>
      </c>
      <c r="J1767" s="6"/>
      <c r="K1767" s="6"/>
      <c r="L1767" s="13" t="s">
        <v>1705</v>
      </c>
      <c r="M1767" s="8"/>
      <c r="N1767" s="5"/>
      <c r="O1767" s="5"/>
      <c r="P1767" s="5"/>
      <c r="Q1767" s="7" t="s">
        <v>1734</v>
      </c>
      <c r="R1767" s="6" t="s">
        <v>1734</v>
      </c>
      <c r="S1767" s="13" t="s">
        <v>1617</v>
      </c>
      <c r="T1767" s="6"/>
      <c r="U1767" s="7" t="s">
        <v>1692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1692</v>
      </c>
      <c r="AG1767" s="6"/>
      <c r="AH1767" s="5"/>
      <c r="AI1767" s="6" t="s">
        <v>1734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44" t="str">
        <f t="shared" si="32"/>
        <v>U_BYZANTIUM_CATAPHRACT</v>
      </c>
      <c r="B1768" s="9" t="s">
        <v>2335</v>
      </c>
      <c r="C1768" s="5"/>
      <c r="D1768" s="5"/>
      <c r="E1768" s="5" t="s">
        <v>1549</v>
      </c>
      <c r="F1768" s="5" t="s">
        <v>1549</v>
      </c>
      <c r="G1768" s="5"/>
      <c r="H1768" s="5" t="s">
        <v>1629</v>
      </c>
      <c r="I1768" s="5" t="s">
        <v>128</v>
      </c>
      <c r="J1768" s="6"/>
      <c r="K1768" s="6"/>
      <c r="L1768" s="13" t="s">
        <v>1711</v>
      </c>
      <c r="M1768" s="8"/>
      <c r="N1768" s="5"/>
      <c r="O1768" s="5"/>
      <c r="P1768" s="5"/>
      <c r="Q1768" s="7" t="s">
        <v>1692</v>
      </c>
      <c r="R1768" s="6" t="s">
        <v>1692</v>
      </c>
      <c r="S1768" s="13" t="s">
        <v>1692</v>
      </c>
      <c r="T1768" s="6" t="s">
        <v>1692</v>
      </c>
      <c r="U1768" s="7" t="s">
        <v>1692</v>
      </c>
      <c r="V1768" s="5" t="s">
        <v>1698</v>
      </c>
      <c r="W1768" s="7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1692</v>
      </c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44" t="str">
        <f t="shared" si="32"/>
        <v>U_BYZANTIUM_DROMON</v>
      </c>
      <c r="B1769" s="9" t="s">
        <v>2336</v>
      </c>
      <c r="C1769" s="5"/>
      <c r="D1769" s="5"/>
      <c r="E1769" s="5" t="s">
        <v>1550</v>
      </c>
      <c r="F1769" s="5" t="s">
        <v>1550</v>
      </c>
      <c r="G1769" s="5"/>
      <c r="H1769" s="5" t="s">
        <v>1630</v>
      </c>
      <c r="I1769" s="5" t="s">
        <v>128</v>
      </c>
      <c r="J1769" s="6"/>
      <c r="K1769" s="7"/>
      <c r="L1769" s="13" t="s">
        <v>1709</v>
      </c>
      <c r="M1769" s="8"/>
      <c r="N1769" s="13" t="s">
        <v>1724</v>
      </c>
      <c r="O1769" s="13"/>
      <c r="P1769" s="13"/>
      <c r="Q1769" s="7">
        <v>1</v>
      </c>
      <c r="R1769" s="6">
        <v>0.16</v>
      </c>
      <c r="S1769" s="5"/>
      <c r="T1769" s="7">
        <v>2</v>
      </c>
      <c r="U1769" s="6">
        <v>0.11</v>
      </c>
      <c r="V1769" s="5" t="s">
        <v>1693</v>
      </c>
      <c r="W1769" s="6"/>
      <c r="X1769" s="6"/>
      <c r="Y1769" s="5"/>
      <c r="Z1769" s="6"/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44" t="str">
        <f t="shared" si="32"/>
        <v>U_CARTHAGE_AFRICANFOREST_ELEPHANT</v>
      </c>
      <c r="B1770" s="9" t="s">
        <v>2337</v>
      </c>
      <c r="C1770" s="5"/>
      <c r="D1770" s="5"/>
      <c r="E1770" s="5" t="s">
        <v>1551</v>
      </c>
      <c r="F1770" s="5" t="s">
        <v>1551</v>
      </c>
      <c r="G1770" s="5"/>
      <c r="H1770" s="5" t="s">
        <v>1631</v>
      </c>
      <c r="I1770" s="5" t="s">
        <v>128</v>
      </c>
      <c r="J1770" s="6"/>
      <c r="K1770" s="6"/>
      <c r="L1770" s="13" t="s">
        <v>1711</v>
      </c>
      <c r="M1770" s="8"/>
      <c r="N1770" s="5"/>
      <c r="O1770" s="5"/>
      <c r="P1770" s="5"/>
      <c r="Q1770" s="7">
        <v>2</v>
      </c>
      <c r="R1770" s="6">
        <v>0.13</v>
      </c>
      <c r="S1770" s="13" t="s">
        <v>1615</v>
      </c>
      <c r="T1770" s="6">
        <v>3</v>
      </c>
      <c r="U1770" s="6" t="s">
        <v>1692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6"/>
      <c r="AG1770" s="6"/>
      <c r="AH1770" s="5"/>
      <c r="AI1770" s="6"/>
      <c r="AJ1770" s="6"/>
      <c r="AK1770" s="5"/>
      <c r="AL1770" s="6"/>
      <c r="AM1770" s="6"/>
      <c r="AN1770" s="6"/>
      <c r="AO1770" s="6"/>
      <c r="AP1770" s="6"/>
      <c r="AQ1770" s="6"/>
    </row>
    <row r="1771" spans="1:43" x14ac:dyDescent="0.25">
      <c r="A1771" s="44" t="str">
        <f t="shared" si="32"/>
        <v>U_CARTHAGE_QUINQUEREME</v>
      </c>
      <c r="B1771" s="9" t="s">
        <v>2338</v>
      </c>
      <c r="C1771" s="5"/>
      <c r="D1771" s="5"/>
      <c r="E1771" s="5" t="s">
        <v>1552</v>
      </c>
      <c r="F1771" s="5" t="s">
        <v>1552</v>
      </c>
      <c r="G1771" s="5"/>
      <c r="H1771" s="5" t="s">
        <v>1632</v>
      </c>
      <c r="I1771" s="5" t="s">
        <v>128</v>
      </c>
      <c r="J1771" s="6"/>
      <c r="K1771" s="7"/>
      <c r="L1771" s="13" t="s">
        <v>1709</v>
      </c>
      <c r="M1771" s="8"/>
      <c r="N1771" s="13" t="s">
        <v>1724</v>
      </c>
      <c r="O1771" s="13"/>
      <c r="P1771" s="13"/>
      <c r="Q1771" s="7">
        <v>1</v>
      </c>
      <c r="R1771" s="6">
        <v>7.2999999999999995E-2</v>
      </c>
      <c r="S1771" s="5"/>
      <c r="T1771" s="7">
        <v>2</v>
      </c>
      <c r="U1771" s="6">
        <v>0.05</v>
      </c>
      <c r="V1771" s="5" t="s">
        <v>1695</v>
      </c>
      <c r="W1771" s="6"/>
      <c r="X1771" s="6"/>
      <c r="Y1771" s="5"/>
      <c r="Z1771" s="6"/>
      <c r="AA1771" s="6"/>
      <c r="AB1771" s="5"/>
      <c r="AC1771" s="6"/>
      <c r="AD1771" s="6"/>
      <c r="AE1771" s="5"/>
      <c r="AF1771" s="6"/>
      <c r="AG1771" s="6"/>
      <c r="AH1771" s="5"/>
      <c r="AI1771" s="6"/>
      <c r="AJ1771" s="6"/>
      <c r="AK1771" s="5"/>
      <c r="AL1771" s="6"/>
      <c r="AM1771" s="6"/>
      <c r="AN1771" s="6"/>
      <c r="AO1771" s="6"/>
      <c r="AP1771" s="6"/>
      <c r="AQ1771" s="6"/>
    </row>
    <row r="1772" spans="1:43" x14ac:dyDescent="0.25">
      <c r="A1772" s="44" t="str">
        <f t="shared" si="32"/>
        <v>U_CELT_PICTISH_WARRIOR</v>
      </c>
      <c r="B1772" s="9" t="s">
        <v>2296</v>
      </c>
      <c r="C1772" s="5"/>
      <c r="D1772" s="5"/>
      <c r="E1772" s="5" t="s">
        <v>1553</v>
      </c>
      <c r="F1772" s="5" t="s">
        <v>1553</v>
      </c>
      <c r="G1772" s="5"/>
      <c r="H1772" s="5" t="s">
        <v>1633</v>
      </c>
      <c r="I1772" s="5" t="s">
        <v>128</v>
      </c>
      <c r="J1772" s="6"/>
      <c r="K1772" s="6"/>
      <c r="L1772" s="13" t="s">
        <v>1705</v>
      </c>
      <c r="M1772" s="8"/>
      <c r="N1772" s="5"/>
      <c r="O1772" s="5"/>
      <c r="P1772" s="5"/>
      <c r="Q1772" s="7">
        <v>10</v>
      </c>
      <c r="R1772" s="6" t="s">
        <v>1734</v>
      </c>
      <c r="S1772" s="13" t="s">
        <v>1617</v>
      </c>
      <c r="T1772" s="6">
        <v>18</v>
      </c>
      <c r="U1772" s="7" t="s">
        <v>1734</v>
      </c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1734</v>
      </c>
      <c r="AG1772" s="6"/>
      <c r="AH1772" s="5"/>
      <c r="AI1772" s="6">
        <v>6</v>
      </c>
      <c r="AJ1772" s="6"/>
      <c r="AK1772" s="5"/>
      <c r="AL1772" s="6"/>
      <c r="AM1772" s="6"/>
      <c r="AN1772" s="6"/>
      <c r="AO1772" s="6"/>
      <c r="AP1772" s="6"/>
      <c r="AQ1772" s="6"/>
    </row>
    <row r="1773" spans="1:43" x14ac:dyDescent="0.25">
      <c r="A1773" s="44" t="str">
        <f t="shared" si="32"/>
        <v>U_CHINESE_CHUKONU</v>
      </c>
      <c r="B1773" s="9" t="s">
        <v>2297</v>
      </c>
      <c r="C1773" s="5"/>
      <c r="D1773" s="5"/>
      <c r="E1773" s="5" t="s">
        <v>1554</v>
      </c>
      <c r="F1773" s="5" t="s">
        <v>1554</v>
      </c>
      <c r="G1773" s="5"/>
      <c r="H1773" s="5" t="s">
        <v>1671</v>
      </c>
      <c r="I1773" s="5" t="s">
        <v>128</v>
      </c>
      <c r="J1773" s="6"/>
      <c r="K1773" s="6"/>
      <c r="L1773" s="13" t="s">
        <v>1705</v>
      </c>
      <c r="M1773" s="8"/>
      <c r="N1773" s="5"/>
      <c r="O1773" s="5"/>
      <c r="P1773" s="5"/>
      <c r="Q1773" s="7" t="s">
        <v>1734</v>
      </c>
      <c r="R1773" s="6" t="s">
        <v>1734</v>
      </c>
      <c r="S1773" s="13" t="s">
        <v>44</v>
      </c>
      <c r="T1773" s="7">
        <v>15</v>
      </c>
      <c r="U1773" s="7" t="s">
        <v>1734</v>
      </c>
      <c r="V1773" s="5" t="s">
        <v>34</v>
      </c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 t="s">
        <v>1734</v>
      </c>
      <c r="AG1773" s="6"/>
      <c r="AH1773" s="5"/>
      <c r="AI1773" s="6" t="s">
        <v>1734</v>
      </c>
      <c r="AJ1773" s="6"/>
      <c r="AK1773" s="5"/>
      <c r="AL1773" s="6"/>
      <c r="AM1773" s="6"/>
      <c r="AN1773" s="6"/>
      <c r="AO1773" s="6"/>
      <c r="AP1773" s="6"/>
      <c r="AQ1773" s="6"/>
    </row>
    <row r="1774" spans="1:43" x14ac:dyDescent="0.25">
      <c r="A1774" s="44" t="str">
        <f t="shared" si="32"/>
        <v>U_DANISH_BERSERKER</v>
      </c>
      <c r="B1774" s="9" t="s">
        <v>2298</v>
      </c>
      <c r="C1774" s="5"/>
      <c r="D1774" s="5"/>
      <c r="E1774" s="5" t="s">
        <v>1555</v>
      </c>
      <c r="F1774" s="5" t="s">
        <v>1555</v>
      </c>
      <c r="G1774" s="5"/>
      <c r="H1774" s="5" t="s">
        <v>1634</v>
      </c>
      <c r="I1774" s="5" t="s">
        <v>128</v>
      </c>
      <c r="J1774" s="6"/>
      <c r="K1774" s="6"/>
      <c r="L1774" s="13" t="s">
        <v>1715</v>
      </c>
      <c r="M1774" s="8"/>
      <c r="N1774" s="5"/>
      <c r="O1774" s="5"/>
      <c r="P1774" s="5"/>
      <c r="Q1774" s="7" t="s">
        <v>1734</v>
      </c>
      <c r="R1774" s="6">
        <v>0.14000000000000001</v>
      </c>
      <c r="S1774" s="13" t="s">
        <v>1617</v>
      </c>
      <c r="T1774" s="7">
        <v>18</v>
      </c>
      <c r="U1774" s="6">
        <v>9.8000000000000004E-2</v>
      </c>
      <c r="V1774" s="5"/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 t="s">
        <v>1734</v>
      </c>
      <c r="AG1774" s="6"/>
      <c r="AH1774" s="5"/>
      <c r="AI1774" s="6" t="s">
        <v>1734</v>
      </c>
      <c r="AJ1774" s="6"/>
      <c r="AK1774" s="5"/>
      <c r="AL1774" s="6"/>
      <c r="AM1774" s="6"/>
      <c r="AN1774" s="6"/>
      <c r="AO1774" s="6"/>
      <c r="AP1774" s="6"/>
      <c r="AQ1774" s="6"/>
    </row>
    <row r="1775" spans="1:43" x14ac:dyDescent="0.25">
      <c r="A1775" s="44" t="str">
        <f t="shared" si="32"/>
        <v>U_DANISH_LONGBOAT</v>
      </c>
      <c r="C1775" s="5"/>
      <c r="D1775" s="5"/>
      <c r="E1775" s="5" t="s">
        <v>1556</v>
      </c>
      <c r="F1775" s="5" t="s">
        <v>1556</v>
      </c>
      <c r="G1775" s="5"/>
      <c r="H1775" s="5" t="s">
        <v>992</v>
      </c>
      <c r="I1775" s="5" t="s">
        <v>128</v>
      </c>
      <c r="J1775" s="6"/>
      <c r="K1775" s="7"/>
      <c r="L1775" s="13" t="s">
        <v>1709</v>
      </c>
      <c r="M1775" s="8"/>
      <c r="N1775" s="13" t="s">
        <v>1724</v>
      </c>
      <c r="O1775" s="13"/>
      <c r="P1775" s="13"/>
      <c r="Q1775" s="7">
        <v>2</v>
      </c>
      <c r="R1775" s="6">
        <v>0.1</v>
      </c>
      <c r="S1775" s="13" t="s">
        <v>1610</v>
      </c>
      <c r="T1775" s="7">
        <v>4</v>
      </c>
      <c r="U1775" s="6">
        <v>5.5E-2</v>
      </c>
      <c r="V1775" s="5" t="s">
        <v>1693</v>
      </c>
      <c r="W1775" s="6"/>
      <c r="X1775" s="6"/>
      <c r="Y1775" s="5"/>
      <c r="Z1775" s="7">
        <v>1</v>
      </c>
      <c r="AA1775" s="6"/>
      <c r="AB1775" s="5"/>
      <c r="AC1775" s="6"/>
      <c r="AD1775" s="6"/>
      <c r="AE1775" s="5"/>
      <c r="AF1775" s="6"/>
      <c r="AG1775" s="6"/>
      <c r="AH1775" s="5"/>
      <c r="AI1775" s="6"/>
      <c r="AJ1775" s="6"/>
      <c r="AK1775" s="5"/>
      <c r="AL1775" s="6"/>
      <c r="AM1775" s="6"/>
      <c r="AN1775" s="6"/>
      <c r="AO1775" s="6"/>
      <c r="AP1775" s="6"/>
      <c r="AQ1775" s="6"/>
    </row>
    <row r="1776" spans="1:43" x14ac:dyDescent="0.25">
      <c r="A1776" s="44" t="str">
        <f t="shared" si="32"/>
        <v>U_DANISH_SKI_INFANTRY</v>
      </c>
      <c r="B1776" s="9" t="s">
        <v>2299</v>
      </c>
      <c r="C1776" s="5"/>
      <c r="D1776" s="5"/>
      <c r="E1776" s="5" t="s">
        <v>1557</v>
      </c>
      <c r="F1776" s="5" t="s">
        <v>1606</v>
      </c>
      <c r="G1776" s="5"/>
      <c r="H1776" s="5" t="s">
        <v>1635</v>
      </c>
      <c r="I1776" s="5" t="s">
        <v>128</v>
      </c>
      <c r="J1776" s="6"/>
      <c r="K1776" s="6"/>
      <c r="L1776" s="13" t="s">
        <v>1705</v>
      </c>
      <c r="M1776" s="8"/>
      <c r="N1776" s="5"/>
      <c r="O1776" s="5"/>
      <c r="P1776" s="5"/>
      <c r="Q1776" s="7">
        <v>14</v>
      </c>
      <c r="R1776" s="6">
        <v>0.13</v>
      </c>
      <c r="S1776" s="13" t="s">
        <v>1616</v>
      </c>
      <c r="T1776" s="7">
        <v>19</v>
      </c>
      <c r="U1776" s="6">
        <v>8.6999999999999994E-2</v>
      </c>
      <c r="V1776" s="5"/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7" t="s">
        <v>1734</v>
      </c>
      <c r="AG1776" s="6"/>
      <c r="AH1776" s="5"/>
      <c r="AI1776" s="7" t="s">
        <v>1734</v>
      </c>
      <c r="AJ1776" s="6"/>
      <c r="AK1776" s="5"/>
      <c r="AL1776" s="6"/>
      <c r="AM1776" s="6"/>
      <c r="AN1776" s="6"/>
      <c r="AO1776" s="6"/>
      <c r="AP1776" s="6"/>
      <c r="AQ1776" s="6"/>
    </row>
    <row r="1777" spans="1:43" x14ac:dyDescent="0.25">
      <c r="A1777" s="44" t="str">
        <f t="shared" si="32"/>
        <v>U_DUTCH_SEA_BEGGARS</v>
      </c>
      <c r="B1777" s="9" t="s">
        <v>2339</v>
      </c>
      <c r="C1777" s="5"/>
      <c r="D1777" s="5"/>
      <c r="E1777" s="5" t="s">
        <v>1558</v>
      </c>
      <c r="F1777" s="5" t="s">
        <v>1558</v>
      </c>
      <c r="G1777" s="5"/>
      <c r="H1777" s="5" t="s">
        <v>1636</v>
      </c>
      <c r="I1777" s="5" t="s">
        <v>128</v>
      </c>
      <c r="J1777" s="6"/>
      <c r="K1777" s="7"/>
      <c r="L1777" s="13" t="s">
        <v>1709</v>
      </c>
      <c r="M1777" s="8"/>
      <c r="N1777" s="13" t="s">
        <v>1724</v>
      </c>
      <c r="O1777" s="13"/>
      <c r="P1777" s="13"/>
      <c r="Q1777" s="7">
        <v>1</v>
      </c>
      <c r="R1777" s="6" t="s">
        <v>1734</v>
      </c>
      <c r="S1777" s="5"/>
      <c r="T1777" s="6"/>
      <c r="U1777" s="6">
        <v>0.1</v>
      </c>
      <c r="V1777" s="5" t="s">
        <v>1693</v>
      </c>
      <c r="W1777" s="6"/>
      <c r="X1777" s="6"/>
      <c r="Y1777" s="5"/>
      <c r="Z1777" s="6"/>
      <c r="AA1777" s="6"/>
      <c r="AB1777" s="5"/>
      <c r="AC1777" s="6"/>
      <c r="AD1777" s="6"/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44" t="str">
        <f t="shared" si="32"/>
        <v>U_EGYPTIAN_WARCHARIOT</v>
      </c>
      <c r="B1778" s="9" t="s">
        <v>2300</v>
      </c>
      <c r="C1778" s="5"/>
      <c r="D1778" s="5"/>
      <c r="E1778" s="5" t="s">
        <v>1559</v>
      </c>
      <c r="F1778" s="5" t="s">
        <v>1559</v>
      </c>
      <c r="G1778" s="5"/>
      <c r="H1778" s="5" t="s">
        <v>1672</v>
      </c>
      <c r="I1778" s="5" t="s">
        <v>128</v>
      </c>
      <c r="J1778" s="6"/>
      <c r="K1778" s="6"/>
      <c r="L1778" s="13" t="s">
        <v>1706</v>
      </c>
      <c r="M1778" s="8"/>
      <c r="N1778" s="5"/>
      <c r="O1778" s="5"/>
      <c r="P1778" s="5"/>
      <c r="Q1778" s="7">
        <v>2</v>
      </c>
      <c r="R1778" s="6">
        <v>0.13</v>
      </c>
      <c r="S1778" s="13" t="s">
        <v>1615</v>
      </c>
      <c r="T1778" s="7">
        <v>3</v>
      </c>
      <c r="U1778" s="6" t="s">
        <v>1692</v>
      </c>
      <c r="V1778" s="5"/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44" t="str">
        <f t="shared" si="32"/>
        <v>U_ENGLISH_LONGBOWMAN</v>
      </c>
      <c r="B1779" s="9" t="s">
        <v>2301</v>
      </c>
      <c r="C1779" s="5"/>
      <c r="D1779" s="5"/>
      <c r="E1779" s="5" t="s">
        <v>1560</v>
      </c>
      <c r="F1779" s="5" t="s">
        <v>1560</v>
      </c>
      <c r="G1779" s="5"/>
      <c r="H1779" s="5" t="s">
        <v>1673</v>
      </c>
      <c r="I1779" s="5" t="s">
        <v>128</v>
      </c>
      <c r="J1779" s="6"/>
      <c r="K1779" s="6"/>
      <c r="L1779" s="13" t="s">
        <v>1705</v>
      </c>
      <c r="M1779" s="8"/>
      <c r="N1779" s="5"/>
      <c r="O1779" s="5"/>
      <c r="P1779" s="5"/>
      <c r="Q1779" s="7" t="s">
        <v>1734</v>
      </c>
      <c r="R1779" s="6" t="s">
        <v>1734</v>
      </c>
      <c r="S1779" s="13" t="s">
        <v>44</v>
      </c>
      <c r="T1779" s="7">
        <v>19</v>
      </c>
      <c r="U1779" s="7" t="s">
        <v>1734</v>
      </c>
      <c r="V1779" s="5" t="s">
        <v>1701</v>
      </c>
      <c r="W1779" s="6">
        <v>31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6" t="s">
        <v>1734</v>
      </c>
      <c r="AG1779" s="6"/>
      <c r="AH1779" s="5"/>
      <c r="AI1779" s="6" t="s">
        <v>1734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44" t="str">
        <f t="shared" si="32"/>
        <v>U_ENGLISH_SHIPOFTHELINE</v>
      </c>
      <c r="B1780" s="9" t="s">
        <v>2302</v>
      </c>
      <c r="C1780" s="5"/>
      <c r="D1780" s="5"/>
      <c r="E1780" s="5" t="s">
        <v>1561</v>
      </c>
      <c r="F1780" s="5" t="s">
        <v>1561</v>
      </c>
      <c r="G1780" s="5"/>
      <c r="H1780" s="5" t="s">
        <v>1674</v>
      </c>
      <c r="I1780" s="5" t="s">
        <v>128</v>
      </c>
      <c r="J1780" s="6"/>
      <c r="K1780" s="7"/>
      <c r="L1780" s="13" t="s">
        <v>1709</v>
      </c>
      <c r="M1780" s="8"/>
      <c r="N1780" s="13" t="s">
        <v>1724</v>
      </c>
      <c r="O1780" s="13"/>
      <c r="P1780" s="13"/>
      <c r="Q1780" s="7">
        <v>1</v>
      </c>
      <c r="R1780" s="6">
        <v>0.13700000000000001</v>
      </c>
      <c r="S1780" s="5"/>
      <c r="T1780" s="6">
        <v>2</v>
      </c>
      <c r="U1780" s="7">
        <v>0.11</v>
      </c>
      <c r="V1780" s="5" t="s">
        <v>1697</v>
      </c>
      <c r="W1780" s="6"/>
      <c r="X1780" s="6"/>
      <c r="Y1780" s="5"/>
      <c r="Z1780" s="6"/>
      <c r="AA1780" s="6"/>
      <c r="AB1780" s="5"/>
      <c r="AC1780" s="6"/>
      <c r="AD1780" s="6"/>
      <c r="AE1780" s="5"/>
      <c r="AF1780" s="6"/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44" t="str">
        <f t="shared" si="32"/>
        <v>U_ETHIOPIA_MEHAL_SEFARI</v>
      </c>
      <c r="B1781" s="9" t="s">
        <v>2340</v>
      </c>
      <c r="C1781" s="5"/>
      <c r="D1781" s="5"/>
      <c r="E1781" s="5" t="s">
        <v>1562</v>
      </c>
      <c r="F1781" s="5" t="s">
        <v>1562</v>
      </c>
      <c r="G1781" s="5"/>
      <c r="H1781" s="5" t="s">
        <v>1637</v>
      </c>
      <c r="I1781" s="5" t="s">
        <v>128</v>
      </c>
      <c r="J1781" s="6"/>
      <c r="K1781" s="6"/>
      <c r="L1781" s="13" t="s">
        <v>1705</v>
      </c>
      <c r="M1781" s="8"/>
      <c r="N1781" s="5"/>
      <c r="O1781" s="5"/>
      <c r="P1781" s="5"/>
      <c r="Q1781" s="7">
        <v>14</v>
      </c>
      <c r="R1781" s="6">
        <v>0.13</v>
      </c>
      <c r="S1781" s="13" t="s">
        <v>1616</v>
      </c>
      <c r="T1781" s="6">
        <v>19</v>
      </c>
      <c r="U1781" s="6" t="s">
        <v>1692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 t="s">
        <v>1692</v>
      </c>
      <c r="AG1781" s="6"/>
      <c r="AH1781" s="5"/>
      <c r="AI1781" s="6" t="s">
        <v>1734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44" t="str">
        <f t="shared" si="32"/>
        <v>U_FRENCH_FOREIGNLEGION</v>
      </c>
      <c r="B1782" s="9" t="s">
        <v>2303</v>
      </c>
      <c r="C1782" s="5"/>
      <c r="D1782" s="5"/>
      <c r="E1782" s="5" t="s">
        <v>1563</v>
      </c>
      <c r="F1782" s="5" t="s">
        <v>1563</v>
      </c>
      <c r="G1782" s="5"/>
      <c r="H1782" s="5" t="s">
        <v>1505</v>
      </c>
      <c r="I1782" s="5" t="s">
        <v>128</v>
      </c>
      <c r="J1782" s="6"/>
      <c r="K1782" s="6"/>
      <c r="L1782" s="13" t="s">
        <v>1705</v>
      </c>
      <c r="M1782" s="8"/>
      <c r="N1782" s="5"/>
      <c r="O1782" s="5"/>
      <c r="P1782" s="5"/>
      <c r="Q1782" s="7" t="s">
        <v>1734</v>
      </c>
      <c r="R1782" s="6" t="s">
        <v>1734</v>
      </c>
      <c r="S1782" s="13" t="s">
        <v>1617</v>
      </c>
      <c r="T1782" s="6">
        <v>18</v>
      </c>
      <c r="U1782" s="7" t="s">
        <v>1734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 t="s">
        <v>1734</v>
      </c>
      <c r="AG1782" s="6"/>
      <c r="AH1782" s="5"/>
      <c r="AI1782" s="6" t="s">
        <v>1734</v>
      </c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44" t="str">
        <f t="shared" si="32"/>
        <v>U_FRENCH_MUSKETEER</v>
      </c>
      <c r="B1783" s="9" t="s">
        <v>2304</v>
      </c>
      <c r="C1783" s="5"/>
      <c r="D1783" s="5"/>
      <c r="E1783" s="5" t="s">
        <v>1564</v>
      </c>
      <c r="F1783" s="5" t="s">
        <v>1564</v>
      </c>
      <c r="G1783" s="5"/>
      <c r="H1783" s="5" t="s">
        <v>1675</v>
      </c>
      <c r="I1783" s="5" t="s">
        <v>128</v>
      </c>
      <c r="J1783" s="6"/>
      <c r="K1783" s="6"/>
      <c r="L1783" s="13" t="s">
        <v>1705</v>
      </c>
      <c r="M1783" s="8"/>
      <c r="N1783" s="5"/>
      <c r="O1783" s="5"/>
      <c r="P1783" s="5"/>
      <c r="Q1783" s="7">
        <v>14</v>
      </c>
      <c r="R1783" s="6" t="s">
        <v>1734</v>
      </c>
      <c r="S1783" s="13" t="s">
        <v>1616</v>
      </c>
      <c r="T1783" s="6">
        <v>19</v>
      </c>
      <c r="U1783" s="7" t="s">
        <v>1692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1734</v>
      </c>
      <c r="AG1783" s="6"/>
      <c r="AH1783" s="5"/>
      <c r="AI1783" s="7" t="s">
        <v>1734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44" t="str">
        <f>CONCATENATE(E1784,IF(ISBLANK(C1784),"",CONCATENATE("_",C1784)))</f>
        <v>U_GERMAN_LANDSKNECHT</v>
      </c>
      <c r="C1784" s="5"/>
      <c r="D1784" s="5"/>
      <c r="E1784" s="5" t="s">
        <v>1565</v>
      </c>
      <c r="F1784" s="5" t="s">
        <v>1565</v>
      </c>
      <c r="G1784" s="5" t="s">
        <v>2537</v>
      </c>
      <c r="H1784" s="5" t="s">
        <v>1676</v>
      </c>
      <c r="I1784" s="5" t="s">
        <v>128</v>
      </c>
      <c r="J1784" s="6"/>
      <c r="K1784" s="6"/>
      <c r="L1784" s="13" t="s">
        <v>1705</v>
      </c>
      <c r="M1784" s="8"/>
      <c r="N1784" s="5"/>
      <c r="O1784" s="5"/>
      <c r="P1784" s="5"/>
      <c r="Q1784" s="7">
        <v>0</v>
      </c>
      <c r="R1784" s="6" t="s">
        <v>1734</v>
      </c>
      <c r="S1784" s="13" t="s">
        <v>22</v>
      </c>
      <c r="T1784" s="7">
        <v>0</v>
      </c>
      <c r="U1784" s="7" t="s">
        <v>1734</v>
      </c>
      <c r="V1784" s="5"/>
      <c r="W1784" s="7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6">
        <v>0</v>
      </c>
      <c r="AM1784" s="6"/>
      <c r="AN1784" s="6"/>
      <c r="AO1784" s="6">
        <v>0</v>
      </c>
      <c r="AP1784" s="6"/>
      <c r="AQ1784" s="6"/>
    </row>
    <row r="1785" spans="1:43" x14ac:dyDescent="0.25">
      <c r="A1785" s="44" t="str">
        <f t="shared" si="32"/>
        <v>U_GERMAN_LANDSKNECHT</v>
      </c>
      <c r="B1785" s="9" t="s">
        <v>2305</v>
      </c>
      <c r="C1785" s="5"/>
      <c r="D1785" s="5"/>
      <c r="E1785" s="5" t="s">
        <v>1565</v>
      </c>
      <c r="F1785" s="5" t="s">
        <v>1565</v>
      </c>
      <c r="G1785" s="5"/>
      <c r="H1785" s="5" t="s">
        <v>1676</v>
      </c>
      <c r="I1785" s="5" t="s">
        <v>128</v>
      </c>
      <c r="J1785" s="6"/>
      <c r="K1785" s="6"/>
      <c r="L1785" s="13" t="s">
        <v>1705</v>
      </c>
      <c r="M1785" s="8"/>
      <c r="N1785" s="5"/>
      <c r="O1785" s="5"/>
      <c r="P1785" s="5"/>
      <c r="Q1785" s="7">
        <v>6</v>
      </c>
      <c r="R1785" s="6" t="s">
        <v>1734</v>
      </c>
      <c r="S1785" s="13" t="s">
        <v>22</v>
      </c>
      <c r="T1785" s="6">
        <v>5</v>
      </c>
      <c r="U1785" s="7" t="s">
        <v>1734</v>
      </c>
      <c r="V1785" s="5"/>
      <c r="W1785" s="7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1</v>
      </c>
      <c r="AG1785" s="6"/>
      <c r="AH1785" s="5"/>
      <c r="AI1785" s="7">
        <v>2</v>
      </c>
      <c r="AJ1785" s="6"/>
      <c r="AK1785" s="5"/>
      <c r="AL1785" s="6"/>
      <c r="AM1785" s="6"/>
      <c r="AN1785" s="6"/>
      <c r="AO1785" s="6"/>
      <c r="AP1785" s="6"/>
      <c r="AQ1785" s="6"/>
    </row>
    <row r="1786" spans="1:43" x14ac:dyDescent="0.25">
      <c r="A1786" s="44" t="str">
        <f t="shared" si="32"/>
        <v>U_GERMAN_LANDSKNECHT</v>
      </c>
      <c r="B1786" s="9" t="s">
        <v>2305</v>
      </c>
      <c r="C1786" s="5"/>
      <c r="D1786" s="5"/>
      <c r="E1786" s="5" t="s">
        <v>1565</v>
      </c>
      <c r="F1786" s="5" t="s">
        <v>1565</v>
      </c>
      <c r="G1786" s="5" t="s">
        <v>92</v>
      </c>
      <c r="H1786" s="5" t="s">
        <v>1677</v>
      </c>
      <c r="I1786" s="5" t="s">
        <v>128</v>
      </c>
      <c r="J1786" s="6"/>
      <c r="K1786" s="6"/>
      <c r="L1786" s="13" t="s">
        <v>1705</v>
      </c>
      <c r="M1786" s="8"/>
      <c r="N1786" s="5"/>
      <c r="O1786" s="5"/>
      <c r="P1786" s="5"/>
      <c r="Q1786" s="7">
        <v>6</v>
      </c>
      <c r="R1786" s="6" t="s">
        <v>1734</v>
      </c>
      <c r="S1786" s="13" t="s">
        <v>22</v>
      </c>
      <c r="T1786" s="6">
        <v>6</v>
      </c>
      <c r="U1786" s="7" t="s">
        <v>1734</v>
      </c>
      <c r="V1786" s="5"/>
      <c r="W1786" s="7" t="s">
        <v>3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7">
        <v>3</v>
      </c>
      <c r="AJ1786" s="6"/>
      <c r="AK1786" s="5"/>
      <c r="AL1786" s="6"/>
      <c r="AM1786" s="6"/>
      <c r="AN1786" s="6"/>
      <c r="AO1786" s="6"/>
      <c r="AP1786" s="6"/>
      <c r="AQ1786" s="6"/>
    </row>
    <row r="1787" spans="1:43" x14ac:dyDescent="0.25">
      <c r="A1787" s="44" t="str">
        <f t="shared" si="32"/>
        <v>U_GERMAN_LANDSKNECHT</v>
      </c>
      <c r="B1787" s="9" t="s">
        <v>2305</v>
      </c>
      <c r="C1787" s="5"/>
      <c r="D1787" s="5"/>
      <c r="E1787" s="5" t="s">
        <v>1565</v>
      </c>
      <c r="F1787" s="5" t="s">
        <v>1565</v>
      </c>
      <c r="G1787" s="5"/>
      <c r="H1787" s="5" t="s">
        <v>1676</v>
      </c>
      <c r="I1787" s="5" t="s">
        <v>128</v>
      </c>
      <c r="J1787" s="6"/>
      <c r="K1787" s="6"/>
      <c r="L1787" s="13" t="s">
        <v>1705</v>
      </c>
      <c r="M1787" s="8"/>
      <c r="N1787" s="5"/>
      <c r="O1787" s="5"/>
      <c r="P1787" s="5"/>
      <c r="Q1787" s="7">
        <v>0</v>
      </c>
      <c r="R1787" s="6" t="s">
        <v>1734</v>
      </c>
      <c r="S1787" s="13" t="s">
        <v>22</v>
      </c>
      <c r="T1787" s="7">
        <v>5</v>
      </c>
      <c r="U1787" s="7" t="s">
        <v>1734</v>
      </c>
      <c r="V1787" s="5"/>
      <c r="W1787" s="7" t="s">
        <v>3</v>
      </c>
      <c r="X1787" s="6" t="s">
        <v>3</v>
      </c>
      <c r="Y1787" s="5"/>
      <c r="Z1787" s="7">
        <v>0</v>
      </c>
      <c r="AA1787" s="6"/>
      <c r="AB1787" s="5"/>
      <c r="AC1787" s="6"/>
      <c r="AD1787" s="6" t="s">
        <v>3</v>
      </c>
      <c r="AE1787" s="5"/>
      <c r="AF1787" s="7">
        <v>1</v>
      </c>
      <c r="AG1787" s="6"/>
      <c r="AH1787" s="5"/>
      <c r="AI1787" s="7">
        <v>2</v>
      </c>
      <c r="AJ1787" s="6"/>
      <c r="AK1787" s="5"/>
      <c r="AL1787" s="6"/>
      <c r="AM1787" s="6"/>
      <c r="AN1787" s="6"/>
      <c r="AO1787" s="6"/>
      <c r="AP1787" s="6"/>
      <c r="AQ1787" s="6"/>
    </row>
    <row r="1788" spans="1:43" x14ac:dyDescent="0.25">
      <c r="A1788" s="44" t="str">
        <f t="shared" si="32"/>
        <v>U_GERMAN_PANZER</v>
      </c>
      <c r="B1788" s="9" t="s">
        <v>2306</v>
      </c>
      <c r="C1788" s="5"/>
      <c r="D1788" s="5"/>
      <c r="E1788" s="5" t="s">
        <v>1566</v>
      </c>
      <c r="F1788" s="5" t="s">
        <v>1566</v>
      </c>
      <c r="G1788" s="5"/>
      <c r="H1788" s="5" t="s">
        <v>1678</v>
      </c>
      <c r="I1788" s="5" t="s">
        <v>128</v>
      </c>
      <c r="J1788" s="6"/>
      <c r="K1788" s="6"/>
      <c r="L1788" s="13" t="s">
        <v>1706</v>
      </c>
      <c r="M1788" s="8"/>
      <c r="N1788" s="5"/>
      <c r="O1788" s="5"/>
      <c r="P1788" s="5"/>
      <c r="Q1788" s="7">
        <v>3</v>
      </c>
      <c r="R1788" s="6">
        <v>0.11</v>
      </c>
      <c r="S1788" s="13" t="s">
        <v>1620</v>
      </c>
      <c r="T1788" s="6"/>
      <c r="U1788" s="6">
        <v>0.11</v>
      </c>
      <c r="V1788" s="5"/>
      <c r="W1788" s="6" t="s">
        <v>3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6"/>
      <c r="AM1788" s="6"/>
      <c r="AN1788" s="6"/>
      <c r="AO1788" s="6"/>
      <c r="AP1788" s="6"/>
      <c r="AQ1788" s="6"/>
    </row>
    <row r="1789" spans="1:43" x14ac:dyDescent="0.25">
      <c r="A1789" s="44" t="str">
        <f t="shared" si="32"/>
        <v>U_GREEK_COMPANIONCAVALRY</v>
      </c>
      <c r="B1789" s="9" t="s">
        <v>2307</v>
      </c>
      <c r="C1789" s="5"/>
      <c r="D1789" s="5"/>
      <c r="E1789" s="5" t="s">
        <v>1567</v>
      </c>
      <c r="F1789" s="5" t="s">
        <v>1567</v>
      </c>
      <c r="G1789" s="5"/>
      <c r="H1789" s="5" t="s">
        <v>925</v>
      </c>
      <c r="I1789" s="5" t="s">
        <v>128</v>
      </c>
      <c r="J1789" s="6"/>
      <c r="K1789" s="6"/>
      <c r="L1789" s="13" t="s">
        <v>1711</v>
      </c>
      <c r="M1789" s="8"/>
      <c r="N1789" s="5"/>
      <c r="O1789" s="5"/>
      <c r="P1789" s="5"/>
      <c r="Q1789" s="7" t="s">
        <v>1692</v>
      </c>
      <c r="R1789" s="6" t="s">
        <v>1692</v>
      </c>
      <c r="S1789" s="13" t="s">
        <v>1692</v>
      </c>
      <c r="T1789" s="6" t="s">
        <v>1692</v>
      </c>
      <c r="U1789" s="7" t="s">
        <v>1692</v>
      </c>
      <c r="V1789" s="5" t="s">
        <v>1698</v>
      </c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1692</v>
      </c>
      <c r="AG1789" s="6"/>
      <c r="AH1789" s="5"/>
      <c r="AI1789" s="6"/>
      <c r="AJ1789" s="6"/>
      <c r="AK1789" s="5"/>
      <c r="AL1789" s="6"/>
      <c r="AM1789" s="6"/>
      <c r="AN1789" s="6"/>
      <c r="AO1789" s="6"/>
      <c r="AP1789" s="6"/>
      <c r="AQ1789" s="6"/>
    </row>
    <row r="1790" spans="1:43" x14ac:dyDescent="0.25">
      <c r="A1790" s="44" t="str">
        <f t="shared" si="32"/>
        <v>U_GREEK_HOPLITE</v>
      </c>
      <c r="B1790" s="9" t="s">
        <v>2308</v>
      </c>
      <c r="C1790" s="5"/>
      <c r="D1790" s="5"/>
      <c r="E1790" s="4" t="s">
        <v>785</v>
      </c>
      <c r="F1790" s="5" t="s">
        <v>785</v>
      </c>
      <c r="G1790" s="5"/>
      <c r="H1790" s="5" t="s">
        <v>412</v>
      </c>
      <c r="I1790" s="5" t="s">
        <v>128</v>
      </c>
      <c r="J1790" s="6"/>
      <c r="K1790" s="6"/>
      <c r="L1790" s="13" t="s">
        <v>1705</v>
      </c>
      <c r="M1790" s="8"/>
      <c r="N1790" s="5"/>
      <c r="O1790" s="5"/>
      <c r="P1790" s="5"/>
      <c r="Q1790" s="7">
        <v>0</v>
      </c>
      <c r="R1790" s="6" t="s">
        <v>1734</v>
      </c>
      <c r="S1790" s="13" t="s">
        <v>1622</v>
      </c>
      <c r="T1790" s="6">
        <v>0</v>
      </c>
      <c r="U1790" s="7" t="s">
        <v>1734</v>
      </c>
      <c r="V1790" s="5" t="s">
        <v>1702</v>
      </c>
      <c r="W1790" s="7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7">
        <v>0</v>
      </c>
      <c r="AJ1790" s="6"/>
      <c r="AK1790" s="5"/>
      <c r="AL1790" s="6">
        <v>0</v>
      </c>
      <c r="AM1790" s="6"/>
      <c r="AN1790" s="6"/>
      <c r="AO1790" s="6">
        <v>0</v>
      </c>
      <c r="AP1790" s="6"/>
      <c r="AQ1790" s="6"/>
    </row>
    <row r="1791" spans="1:43" x14ac:dyDescent="0.25">
      <c r="A1791" s="44" t="str">
        <f t="shared" si="32"/>
        <v>U_GREEK_HOPLITE</v>
      </c>
      <c r="B1791" s="9" t="s">
        <v>2308</v>
      </c>
      <c r="E1791" s="4" t="s">
        <v>785</v>
      </c>
      <c r="F1791" s="4" t="s">
        <v>785</v>
      </c>
      <c r="G1791" s="4" t="s">
        <v>2047</v>
      </c>
      <c r="H1791" s="4" t="s">
        <v>922</v>
      </c>
      <c r="I1791" s="4" t="s">
        <v>102</v>
      </c>
      <c r="L1791" s="4" t="s">
        <v>1705</v>
      </c>
      <c r="Q1791" s="11">
        <v>2</v>
      </c>
      <c r="S1791" s="13" t="s">
        <v>1622</v>
      </c>
      <c r="T1791" s="11">
        <v>2</v>
      </c>
      <c r="V1791" s="5" t="s">
        <v>1702</v>
      </c>
      <c r="W1791" s="11" t="s">
        <v>3</v>
      </c>
      <c r="Z1791" s="11">
        <v>1</v>
      </c>
      <c r="AD1791" s="6" t="s">
        <v>3</v>
      </c>
      <c r="AF1791" s="11">
        <v>1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44" t="str">
        <f t="shared" si="32"/>
        <v>U_GREEK_HOPLITE</v>
      </c>
      <c r="B1792" s="9" t="s">
        <v>2308</v>
      </c>
      <c r="E1792" s="4" t="s">
        <v>785</v>
      </c>
      <c r="F1792" s="4" t="s">
        <v>785</v>
      </c>
      <c r="G1792" s="4" t="s">
        <v>2039</v>
      </c>
      <c r="H1792" s="4" t="s">
        <v>923</v>
      </c>
      <c r="I1792" s="4" t="s">
        <v>102</v>
      </c>
      <c r="L1792" s="4" t="s">
        <v>1705</v>
      </c>
      <c r="Q1792" s="11">
        <v>2</v>
      </c>
      <c r="S1792" s="13" t="s">
        <v>1622</v>
      </c>
      <c r="T1792" s="11">
        <v>3</v>
      </c>
      <c r="V1792" s="5" t="s">
        <v>1702</v>
      </c>
      <c r="W1792" s="11" t="s">
        <v>3</v>
      </c>
      <c r="Z1792" s="11">
        <v>0</v>
      </c>
      <c r="AD1792" s="6" t="s">
        <v>3</v>
      </c>
      <c r="AF1792" s="11">
        <v>1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44" t="str">
        <f t="shared" si="32"/>
        <v>U_GREEK_HOPLITE</v>
      </c>
      <c r="B1793" s="9" t="s">
        <v>2308</v>
      </c>
      <c r="E1793" s="4" t="s">
        <v>785</v>
      </c>
      <c r="F1793" s="4" t="s">
        <v>785</v>
      </c>
      <c r="G1793" s="4" t="s">
        <v>2041</v>
      </c>
      <c r="H1793" s="4" t="s">
        <v>679</v>
      </c>
      <c r="I1793" s="4" t="s">
        <v>102</v>
      </c>
      <c r="L1793" s="4" t="s">
        <v>1705</v>
      </c>
      <c r="Q1793" s="11">
        <v>2</v>
      </c>
      <c r="S1793" s="13" t="s">
        <v>1622</v>
      </c>
      <c r="T1793" s="11">
        <v>4</v>
      </c>
      <c r="V1793" s="5" t="s">
        <v>1702</v>
      </c>
      <c r="W1793" s="11" t="s">
        <v>3</v>
      </c>
      <c r="Z1793" s="11">
        <v>0</v>
      </c>
      <c r="AD1793" s="6" t="s">
        <v>3</v>
      </c>
      <c r="AF1793" s="11">
        <v>1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44" t="str">
        <f t="shared" si="32"/>
        <v>U_GREEK_HOPLITE</v>
      </c>
      <c r="B1794" s="9" t="s">
        <v>2308</v>
      </c>
      <c r="E1794" s="4" t="s">
        <v>785</v>
      </c>
      <c r="F1794" s="4" t="s">
        <v>785</v>
      </c>
      <c r="G1794" s="4" t="s">
        <v>2047</v>
      </c>
      <c r="H1794" s="4" t="s">
        <v>922</v>
      </c>
      <c r="I1794" s="4" t="s">
        <v>102</v>
      </c>
      <c r="L1794" s="4" t="s">
        <v>1705</v>
      </c>
      <c r="Q1794" s="9">
        <v>2</v>
      </c>
      <c r="S1794" s="13" t="s">
        <v>1622</v>
      </c>
      <c r="T1794" s="11">
        <v>4</v>
      </c>
      <c r="V1794" s="5" t="s">
        <v>1702</v>
      </c>
      <c r="W1794" s="9" t="s">
        <v>3</v>
      </c>
      <c r="Z1794" s="9">
        <v>0</v>
      </c>
      <c r="AD1794" s="6" t="s">
        <v>3</v>
      </c>
      <c r="AF1794" s="11">
        <v>0</v>
      </c>
      <c r="AI1794" s="11">
        <v>2</v>
      </c>
      <c r="AL1794" s="11"/>
      <c r="AM1794" s="11"/>
      <c r="AN1794" s="11"/>
      <c r="AO1794" s="11"/>
      <c r="AP1794" s="11"/>
      <c r="AQ1794" s="11"/>
    </row>
    <row r="1795" spans="1:43" x14ac:dyDescent="0.25">
      <c r="A1795" s="44" t="str">
        <f t="shared" si="32"/>
        <v>U_GREEK_HOPLITE</v>
      </c>
      <c r="B1795" s="9" t="s">
        <v>2308</v>
      </c>
      <c r="E1795" s="4" t="s">
        <v>785</v>
      </c>
      <c r="F1795" s="4" t="s">
        <v>785</v>
      </c>
      <c r="G1795" s="4" t="s">
        <v>2039</v>
      </c>
      <c r="H1795" s="4" t="s">
        <v>923</v>
      </c>
      <c r="I1795" s="4" t="s">
        <v>102</v>
      </c>
      <c r="L1795" s="4" t="s">
        <v>1705</v>
      </c>
      <c r="Q1795" s="9">
        <v>2</v>
      </c>
      <c r="S1795" s="13" t="s">
        <v>1622</v>
      </c>
      <c r="T1795" s="11">
        <v>3</v>
      </c>
      <c r="V1795" s="5" t="s">
        <v>1702</v>
      </c>
      <c r="W1795" s="9" t="s">
        <v>3</v>
      </c>
      <c r="Z1795" s="9">
        <v>0</v>
      </c>
      <c r="AD1795" s="6" t="s">
        <v>3</v>
      </c>
      <c r="AF1795" s="11">
        <v>0</v>
      </c>
      <c r="AI1795" s="11">
        <v>1</v>
      </c>
      <c r="AL1795" s="11"/>
      <c r="AM1795" s="11"/>
      <c r="AN1795" s="11"/>
      <c r="AO1795" s="11"/>
      <c r="AP1795" s="11"/>
      <c r="AQ1795" s="11"/>
    </row>
    <row r="1796" spans="1:43" x14ac:dyDescent="0.25">
      <c r="A1796" s="44" t="str">
        <f t="shared" si="32"/>
        <v>U_GREEK_HOPLITE</v>
      </c>
      <c r="B1796" s="9" t="s">
        <v>2308</v>
      </c>
      <c r="E1796" s="4" t="s">
        <v>785</v>
      </c>
      <c r="F1796" s="4" t="s">
        <v>785</v>
      </c>
      <c r="G1796" s="4" t="s">
        <v>2041</v>
      </c>
      <c r="H1796" s="4" t="s">
        <v>679</v>
      </c>
      <c r="I1796" s="4" t="s">
        <v>102</v>
      </c>
      <c r="L1796" s="4" t="s">
        <v>1705</v>
      </c>
      <c r="Q1796" s="9">
        <v>2</v>
      </c>
      <c r="S1796" s="13" t="s">
        <v>1622</v>
      </c>
      <c r="T1796" s="11">
        <v>2</v>
      </c>
      <c r="V1796" s="5" t="s">
        <v>1702</v>
      </c>
      <c r="W1796" s="9" t="s">
        <v>3</v>
      </c>
      <c r="Z1796" s="9">
        <v>0</v>
      </c>
      <c r="AD1796" s="6" t="s">
        <v>3</v>
      </c>
      <c r="AF1796" s="11">
        <v>0</v>
      </c>
      <c r="AI1796" s="11">
        <v>1</v>
      </c>
      <c r="AL1796" s="11"/>
      <c r="AM1796" s="11"/>
      <c r="AN1796" s="11"/>
      <c r="AO1796" s="11"/>
      <c r="AP1796" s="11"/>
      <c r="AQ1796" s="11"/>
    </row>
    <row r="1797" spans="1:43" x14ac:dyDescent="0.25">
      <c r="A1797" s="44" t="str">
        <f t="shared" si="32"/>
        <v>U_HITTITE_WARCHARIOT</v>
      </c>
      <c r="C1797" s="5"/>
      <c r="D1797" s="5"/>
      <c r="E1797" s="5" t="s">
        <v>1568</v>
      </c>
      <c r="F1797" s="5" t="s">
        <v>1568</v>
      </c>
      <c r="G1797" s="5"/>
      <c r="H1797" s="5" t="s">
        <v>1638</v>
      </c>
      <c r="I1797" s="5" t="s">
        <v>128</v>
      </c>
      <c r="J1797" s="6"/>
      <c r="K1797" s="6"/>
      <c r="L1797" s="13" t="s">
        <v>1706</v>
      </c>
      <c r="M1797" s="8"/>
      <c r="N1797" s="5"/>
      <c r="O1797" s="5"/>
      <c r="P1797" s="5"/>
      <c r="Q1797" s="7">
        <v>2</v>
      </c>
      <c r="R1797" s="6">
        <v>0.14499999999999999</v>
      </c>
      <c r="S1797" s="13" t="s">
        <v>1610</v>
      </c>
      <c r="T1797" s="6">
        <v>3</v>
      </c>
      <c r="U1797" s="6" t="s">
        <v>1734</v>
      </c>
      <c r="V1797" s="5" t="s">
        <v>1615</v>
      </c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44" t="str">
        <f t="shared" si="32"/>
        <v>U_HUNS_BATTERING_RAM</v>
      </c>
      <c r="B1798" s="9" t="s">
        <v>2341</v>
      </c>
      <c r="C1798" s="5"/>
      <c r="D1798" s="5"/>
      <c r="E1798" s="5" t="s">
        <v>1569</v>
      </c>
      <c r="F1798" s="5" t="s">
        <v>1569</v>
      </c>
      <c r="G1798" s="5"/>
      <c r="H1798" s="5" t="s">
        <v>1639</v>
      </c>
      <c r="I1798" s="5" t="s">
        <v>128</v>
      </c>
      <c r="J1798" s="6"/>
      <c r="K1798" s="6"/>
      <c r="L1798" s="13" t="s">
        <v>1705</v>
      </c>
      <c r="M1798" s="8"/>
      <c r="N1798" s="5"/>
      <c r="O1798" s="5"/>
      <c r="P1798" s="5"/>
      <c r="Q1798" s="7">
        <v>1</v>
      </c>
      <c r="R1798" s="6">
        <v>0.115</v>
      </c>
      <c r="S1798" s="13" t="s">
        <v>1610</v>
      </c>
      <c r="T1798" s="7">
        <v>3</v>
      </c>
      <c r="U1798" s="6">
        <v>7.4999999999999997E-2</v>
      </c>
      <c r="V1798" s="5" t="s">
        <v>1694</v>
      </c>
      <c r="W1798" s="7"/>
      <c r="X1798" s="6" t="s">
        <v>3</v>
      </c>
      <c r="Y1798" s="5"/>
      <c r="Z1798" s="6"/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44" t="str">
        <f t="shared" si="32"/>
        <v>U_HUNS_BATTERING_RAM</v>
      </c>
      <c r="B1799" s="9" t="s">
        <v>2341</v>
      </c>
      <c r="C1799" s="5"/>
      <c r="D1799" s="5"/>
      <c r="E1799" s="5" t="s">
        <v>1569</v>
      </c>
      <c r="F1799" s="5" t="s">
        <v>1569</v>
      </c>
      <c r="G1799" s="5" t="s">
        <v>750</v>
      </c>
      <c r="H1799" s="5" t="s">
        <v>36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0</v>
      </c>
      <c r="R1799" s="6" t="s">
        <v>1692</v>
      </c>
      <c r="S1799" s="13" t="s">
        <v>1610</v>
      </c>
      <c r="T1799" s="6">
        <v>0</v>
      </c>
      <c r="U1799" s="6"/>
      <c r="V1799" s="5" t="s">
        <v>1608</v>
      </c>
      <c r="W1799" s="6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6">
        <v>0</v>
      </c>
      <c r="AG1799" s="6"/>
      <c r="AH1799" s="5"/>
      <c r="AI1799" s="6">
        <v>0</v>
      </c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44" t="str">
        <f t="shared" si="32"/>
        <v>U_HUNS_HORSE_ARCHER</v>
      </c>
      <c r="B1800" s="9" t="s">
        <v>2342</v>
      </c>
      <c r="C1800" s="5"/>
      <c r="D1800" s="5"/>
      <c r="E1800" s="5" t="s">
        <v>1570</v>
      </c>
      <c r="F1800" s="5" t="s">
        <v>1570</v>
      </c>
      <c r="G1800" s="5"/>
      <c r="H1800" s="5" t="s">
        <v>1640</v>
      </c>
      <c r="I1800" s="5" t="s">
        <v>128</v>
      </c>
      <c r="J1800" s="6"/>
      <c r="K1800" s="6"/>
      <c r="L1800" s="13" t="s">
        <v>1711</v>
      </c>
      <c r="M1800" s="8"/>
      <c r="N1800" s="5"/>
      <c r="O1800" s="5"/>
      <c r="P1800" s="5"/>
      <c r="Q1800" s="7" t="s">
        <v>1692</v>
      </c>
      <c r="R1800" s="6" t="s">
        <v>1692</v>
      </c>
      <c r="S1800" s="13" t="s">
        <v>1692</v>
      </c>
      <c r="T1800" s="6" t="s">
        <v>1692</v>
      </c>
      <c r="U1800" s="7" t="s">
        <v>1692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1692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44" t="str">
        <f t="shared" si="32"/>
        <v>U_INCAN_SLINGER</v>
      </c>
      <c r="B1801" s="9" t="s">
        <v>2309</v>
      </c>
      <c r="C1801" s="5"/>
      <c r="D1801" s="5"/>
      <c r="E1801" s="5" t="s">
        <v>1571</v>
      </c>
      <c r="F1801" s="5" t="s">
        <v>1571</v>
      </c>
      <c r="G1801" s="5"/>
      <c r="H1801" s="5" t="s">
        <v>1641</v>
      </c>
      <c r="I1801" s="5" t="s">
        <v>128</v>
      </c>
      <c r="J1801" s="6"/>
      <c r="K1801" s="6"/>
      <c r="L1801" s="13" t="s">
        <v>1705</v>
      </c>
      <c r="M1801" s="8"/>
      <c r="N1801" s="5"/>
      <c r="O1801" s="5"/>
      <c r="P1801" s="5"/>
      <c r="Q1801" s="7" t="s">
        <v>1734</v>
      </c>
      <c r="R1801" s="6" t="s">
        <v>1734</v>
      </c>
      <c r="S1801" s="13" t="s">
        <v>44</v>
      </c>
      <c r="T1801" s="6"/>
      <c r="U1801" s="6"/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1734</v>
      </c>
      <c r="AG1801" s="6"/>
      <c r="AH1801" s="5"/>
      <c r="AI1801" s="6" t="s">
        <v>1734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44" t="str">
        <f t="shared" si="32"/>
        <v>U_INDIAN_WARELEPHANT</v>
      </c>
      <c r="B1802" s="9" t="s">
        <v>2310</v>
      </c>
      <c r="C1802" s="5"/>
      <c r="D1802" s="5"/>
      <c r="E1802" s="5" t="s">
        <v>1572</v>
      </c>
      <c r="F1802" s="5" t="s">
        <v>1572</v>
      </c>
      <c r="G1802" s="5"/>
      <c r="H1802" s="5" t="s">
        <v>1679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>
        <v>2</v>
      </c>
      <c r="R1802" s="6" t="s">
        <v>1692</v>
      </c>
      <c r="S1802" s="13" t="s">
        <v>1615</v>
      </c>
      <c r="T1802" s="7">
        <v>3</v>
      </c>
      <c r="U1802" s="7" t="s">
        <v>1692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/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44" t="str">
        <f t="shared" si="32"/>
        <v>U_INDONESIAN_KRIS_SWORDSMAN</v>
      </c>
      <c r="B1803" s="9" t="s">
        <v>2343</v>
      </c>
      <c r="C1803" s="5"/>
      <c r="D1803" s="5"/>
      <c r="E1803" s="5" t="s">
        <v>1573</v>
      </c>
      <c r="F1803" s="5" t="s">
        <v>1573</v>
      </c>
      <c r="G1803" s="5"/>
      <c r="H1803" s="5" t="s">
        <v>1642</v>
      </c>
      <c r="I1803" s="5" t="s">
        <v>128</v>
      </c>
      <c r="J1803" s="6"/>
      <c r="K1803" s="6"/>
      <c r="L1803" s="13" t="s">
        <v>1705</v>
      </c>
      <c r="M1803" s="8"/>
      <c r="N1803" s="5"/>
      <c r="O1803" s="5"/>
      <c r="P1803" s="5"/>
      <c r="Q1803" s="7" t="s">
        <v>1734</v>
      </c>
      <c r="R1803" s="6" t="s">
        <v>1734</v>
      </c>
      <c r="S1803" s="13" t="s">
        <v>1734</v>
      </c>
      <c r="T1803" s="6"/>
      <c r="U1803" s="7" t="s">
        <v>1692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1734</v>
      </c>
      <c r="AG1803" s="6"/>
      <c r="AH1803" s="5"/>
      <c r="AI1803" s="6" t="s">
        <v>1734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44" t="str">
        <f t="shared" si="32"/>
        <v>U_IROQUOIAN_MOHAWKWARRIOR</v>
      </c>
      <c r="B1804" s="9" t="s">
        <v>2311</v>
      </c>
      <c r="C1804" s="5"/>
      <c r="D1804" s="5"/>
      <c r="E1804" s="5" t="s">
        <v>1574</v>
      </c>
      <c r="F1804" s="5" t="s">
        <v>1574</v>
      </c>
      <c r="G1804" s="5"/>
      <c r="H1804" s="5" t="s">
        <v>1680</v>
      </c>
      <c r="I1804" s="5" t="s">
        <v>128</v>
      </c>
      <c r="J1804" s="6"/>
      <c r="K1804" s="6"/>
      <c r="L1804" s="13" t="s">
        <v>1705</v>
      </c>
      <c r="M1804" s="8"/>
      <c r="N1804" s="5"/>
      <c r="O1804" s="5"/>
      <c r="P1804" s="5"/>
      <c r="Q1804" s="7" t="s">
        <v>1734</v>
      </c>
      <c r="R1804" s="6" t="s">
        <v>1734</v>
      </c>
      <c r="S1804" s="13" t="s">
        <v>1617</v>
      </c>
      <c r="T1804" s="6">
        <v>18</v>
      </c>
      <c r="U1804" s="7" t="s">
        <v>1734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1734</v>
      </c>
      <c r="AG1804" s="6"/>
      <c r="AH1804" s="5"/>
      <c r="AI1804" s="7" t="s">
        <v>1734</v>
      </c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44" t="str">
        <f t="shared" si="32"/>
        <v>U_JAPANESE_SAMURAI</v>
      </c>
      <c r="B1805" s="9" t="s">
        <v>2312</v>
      </c>
      <c r="C1805" s="5"/>
      <c r="D1805" s="5"/>
      <c r="E1805" s="4" t="s">
        <v>786</v>
      </c>
      <c r="F1805" s="5" t="s">
        <v>786</v>
      </c>
      <c r="G1805" s="5"/>
      <c r="H1805" s="5" t="s">
        <v>1681</v>
      </c>
      <c r="I1805" s="5" t="s">
        <v>128</v>
      </c>
      <c r="J1805" s="6"/>
      <c r="K1805" s="6"/>
      <c r="L1805" s="13" t="s">
        <v>1705</v>
      </c>
      <c r="M1805" s="8"/>
      <c r="N1805" s="5"/>
      <c r="O1805" s="5"/>
      <c r="P1805" s="5"/>
      <c r="Q1805" s="7">
        <v>0</v>
      </c>
      <c r="R1805" s="6" t="s">
        <v>1734</v>
      </c>
      <c r="S1805" s="13" t="s">
        <v>1623</v>
      </c>
      <c r="T1805" s="6">
        <v>0</v>
      </c>
      <c r="U1805" s="7" t="s">
        <v>1734</v>
      </c>
      <c r="V1805" s="5"/>
      <c r="W1805" s="6">
        <v>0</v>
      </c>
      <c r="X1805" s="6" t="s">
        <v>3</v>
      </c>
      <c r="Y1805" s="5"/>
      <c r="Z1805" s="7">
        <v>0</v>
      </c>
      <c r="AA1805" s="6"/>
      <c r="AB1805" s="5"/>
      <c r="AC1805" s="6">
        <v>0</v>
      </c>
      <c r="AD1805" s="6" t="s">
        <v>3</v>
      </c>
      <c r="AE1805" s="5"/>
      <c r="AF1805" s="7">
        <v>0</v>
      </c>
      <c r="AG1805" s="6"/>
      <c r="AH1805" s="5"/>
      <c r="AI1805" s="7">
        <v>0</v>
      </c>
      <c r="AJ1805" s="6"/>
      <c r="AK1805" s="5"/>
      <c r="AL1805" s="6">
        <v>0</v>
      </c>
      <c r="AM1805" s="6"/>
      <c r="AN1805" s="6"/>
      <c r="AO1805" s="6">
        <v>0</v>
      </c>
      <c r="AP1805" s="6"/>
      <c r="AQ1805" s="6"/>
    </row>
    <row r="1806" spans="1:43" x14ac:dyDescent="0.25">
      <c r="A1806" s="44" t="str">
        <f t="shared" si="32"/>
        <v>U_JAPANESE_SAMURAI</v>
      </c>
      <c r="B1806" s="9" t="s">
        <v>2312</v>
      </c>
      <c r="E1806" s="4" t="s">
        <v>786</v>
      </c>
      <c r="F1806" s="4" t="s">
        <v>786</v>
      </c>
      <c r="G1806" s="4" t="s">
        <v>2047</v>
      </c>
      <c r="H1806" s="4" t="s">
        <v>680</v>
      </c>
      <c r="I1806" s="4" t="s">
        <v>102</v>
      </c>
      <c r="L1806" s="4" t="s">
        <v>1705</v>
      </c>
      <c r="Q1806" s="9">
        <v>1</v>
      </c>
      <c r="S1806" s="13" t="s">
        <v>1623</v>
      </c>
      <c r="T1806" s="11">
        <v>2</v>
      </c>
      <c r="W1806" s="11">
        <v>3</v>
      </c>
      <c r="Z1806" s="9">
        <v>1</v>
      </c>
      <c r="AD1806" s="6" t="s">
        <v>3</v>
      </c>
      <c r="AF1806" s="11">
        <v>1</v>
      </c>
      <c r="AI1806" s="11">
        <v>1</v>
      </c>
      <c r="AL1806" s="11"/>
      <c r="AM1806" s="11"/>
      <c r="AN1806" s="11"/>
      <c r="AO1806" s="11"/>
      <c r="AP1806" s="11"/>
      <c r="AQ1806" s="11"/>
    </row>
    <row r="1807" spans="1:43" x14ac:dyDescent="0.25">
      <c r="A1807" s="44" t="str">
        <f t="shared" si="32"/>
        <v>U_JAPANESE_SAMURAI</v>
      </c>
      <c r="B1807" s="9" t="s">
        <v>2312</v>
      </c>
      <c r="E1807" s="4" t="s">
        <v>786</v>
      </c>
      <c r="F1807" s="4" t="s">
        <v>786</v>
      </c>
      <c r="G1807" s="4" t="s">
        <v>2039</v>
      </c>
      <c r="H1807" s="4" t="s">
        <v>953</v>
      </c>
      <c r="I1807" s="4" t="s">
        <v>102</v>
      </c>
      <c r="L1807" s="4" t="s">
        <v>1705</v>
      </c>
      <c r="Q1807" s="9">
        <v>1</v>
      </c>
      <c r="S1807" s="13" t="s">
        <v>1623</v>
      </c>
      <c r="T1807" s="11">
        <v>2</v>
      </c>
      <c r="W1807" s="11">
        <v>4</v>
      </c>
      <c r="Z1807" s="9">
        <v>0</v>
      </c>
      <c r="AD1807" s="6" t="s">
        <v>3</v>
      </c>
      <c r="AF1807" s="11">
        <v>1</v>
      </c>
      <c r="AI1807" s="11">
        <v>1</v>
      </c>
      <c r="AL1807" s="11"/>
      <c r="AM1807" s="11"/>
      <c r="AN1807" s="11"/>
      <c r="AO1807" s="11"/>
      <c r="AP1807" s="11"/>
      <c r="AQ1807" s="11"/>
    </row>
    <row r="1808" spans="1:43" x14ac:dyDescent="0.25">
      <c r="A1808" s="44" t="str">
        <f t="shared" si="32"/>
        <v>U_JAPANESE_SAMURAI</v>
      </c>
      <c r="B1808" s="9" t="s">
        <v>2312</v>
      </c>
      <c r="E1808" s="4" t="s">
        <v>786</v>
      </c>
      <c r="F1808" s="4" t="s">
        <v>786</v>
      </c>
      <c r="G1808" s="4" t="s">
        <v>2047</v>
      </c>
      <c r="H1808" s="4" t="s">
        <v>680</v>
      </c>
      <c r="I1808" s="4" t="s">
        <v>102</v>
      </c>
      <c r="L1808" s="4" t="s">
        <v>1705</v>
      </c>
      <c r="Q1808" s="9">
        <v>1</v>
      </c>
      <c r="S1808" s="13" t="s">
        <v>1623</v>
      </c>
      <c r="T1808" s="11">
        <v>2</v>
      </c>
      <c r="W1808" s="11">
        <v>3</v>
      </c>
      <c r="Z1808" s="9">
        <v>0</v>
      </c>
      <c r="AD1808" s="6" t="s">
        <v>3</v>
      </c>
      <c r="AF1808" s="11">
        <v>1</v>
      </c>
      <c r="AI1808" s="11">
        <v>1</v>
      </c>
      <c r="AL1808" s="11"/>
      <c r="AM1808" s="11"/>
      <c r="AN1808" s="11"/>
      <c r="AO1808" s="11"/>
      <c r="AP1808" s="11"/>
      <c r="AQ1808" s="11"/>
    </row>
    <row r="1809" spans="1:43" x14ac:dyDescent="0.25">
      <c r="A1809" s="44" t="str">
        <f t="shared" si="32"/>
        <v>U_JAPANESE_SAMURAI</v>
      </c>
      <c r="B1809" s="9" t="s">
        <v>2312</v>
      </c>
      <c r="E1809" s="4" t="s">
        <v>786</v>
      </c>
      <c r="F1809" s="4" t="s">
        <v>786</v>
      </c>
      <c r="G1809" s="4" t="s">
        <v>2039</v>
      </c>
      <c r="H1809" s="4" t="s">
        <v>953</v>
      </c>
      <c r="I1809" s="4" t="s">
        <v>102</v>
      </c>
      <c r="L1809" s="4" t="s">
        <v>1705</v>
      </c>
      <c r="Q1809" s="9">
        <v>2</v>
      </c>
      <c r="S1809" s="13" t="s">
        <v>1623</v>
      </c>
      <c r="T1809" s="11">
        <v>2</v>
      </c>
      <c r="W1809" s="9">
        <v>3</v>
      </c>
      <c r="Z1809" s="9">
        <v>0</v>
      </c>
      <c r="AD1809" s="6" t="s">
        <v>3</v>
      </c>
      <c r="AF1809" s="11">
        <v>0</v>
      </c>
      <c r="AI1809" s="11">
        <v>1</v>
      </c>
      <c r="AL1809" s="11"/>
      <c r="AM1809" s="11"/>
      <c r="AN1809" s="11"/>
      <c r="AO1809" s="11"/>
      <c r="AP1809" s="11"/>
      <c r="AQ1809" s="11"/>
    </row>
    <row r="1810" spans="1:43" x14ac:dyDescent="0.25">
      <c r="A1810" s="44" t="str">
        <f t="shared" si="32"/>
        <v>U_JAPANESE_SAMURAI</v>
      </c>
      <c r="B1810" s="9" t="s">
        <v>2312</v>
      </c>
      <c r="E1810" s="4" t="s">
        <v>786</v>
      </c>
      <c r="F1810" s="4" t="s">
        <v>786</v>
      </c>
      <c r="G1810" s="4" t="s">
        <v>2047</v>
      </c>
      <c r="H1810" s="4" t="s">
        <v>680</v>
      </c>
      <c r="I1810" s="4" t="s">
        <v>102</v>
      </c>
      <c r="L1810" s="4" t="s">
        <v>1705</v>
      </c>
      <c r="Q1810" s="9">
        <v>2</v>
      </c>
      <c r="S1810" s="13" t="s">
        <v>1623</v>
      </c>
      <c r="T1810" s="11">
        <v>2</v>
      </c>
      <c r="W1810" s="9">
        <v>4</v>
      </c>
      <c r="Z1810" s="9">
        <v>0</v>
      </c>
      <c r="AD1810" s="6" t="s">
        <v>3</v>
      </c>
      <c r="AF1810" s="11">
        <v>0</v>
      </c>
      <c r="AI1810" s="11">
        <v>1</v>
      </c>
      <c r="AL1810" s="11"/>
      <c r="AM1810" s="11"/>
      <c r="AN1810" s="11"/>
      <c r="AO1810" s="11"/>
      <c r="AP1810" s="11"/>
      <c r="AQ1810" s="11"/>
    </row>
    <row r="1811" spans="1:43" x14ac:dyDescent="0.25">
      <c r="A1811" s="44" t="str">
        <f t="shared" si="32"/>
        <v>U_JAPANESE_SAMURAI</v>
      </c>
      <c r="B1811" s="9" t="s">
        <v>2312</v>
      </c>
      <c r="E1811" s="4" t="s">
        <v>786</v>
      </c>
      <c r="F1811" s="4" t="s">
        <v>786</v>
      </c>
      <c r="G1811" s="4" t="s">
        <v>2039</v>
      </c>
      <c r="H1811" s="4" t="s">
        <v>953</v>
      </c>
      <c r="I1811" s="4" t="s">
        <v>102</v>
      </c>
      <c r="L1811" s="4" t="s">
        <v>1705</v>
      </c>
      <c r="Q1811" s="9">
        <v>2</v>
      </c>
      <c r="S1811" s="13" t="s">
        <v>1623</v>
      </c>
      <c r="T1811" s="11">
        <v>2</v>
      </c>
      <c r="W1811" s="9">
        <v>3</v>
      </c>
      <c r="Z1811" s="9">
        <v>0</v>
      </c>
      <c r="AD1811" s="6" t="s">
        <v>3</v>
      </c>
      <c r="AF1811" s="11">
        <v>0</v>
      </c>
      <c r="AI1811" s="11">
        <v>1</v>
      </c>
      <c r="AL1811" s="11"/>
      <c r="AM1811" s="11"/>
      <c r="AN1811" s="11"/>
      <c r="AO1811" s="11"/>
      <c r="AP1811" s="11"/>
      <c r="AQ1811" s="11"/>
    </row>
    <row r="1812" spans="1:43" x14ac:dyDescent="0.25">
      <c r="A1812" s="44" t="str">
        <f t="shared" si="32"/>
        <v>U_JAPANESE_SAMURAI</v>
      </c>
      <c r="B1812" s="9" t="s">
        <v>2312</v>
      </c>
      <c r="E1812" s="4" t="s">
        <v>786</v>
      </c>
      <c r="F1812" s="4" t="s">
        <v>786</v>
      </c>
      <c r="G1812" s="4" t="s">
        <v>2047</v>
      </c>
      <c r="H1812" s="4" t="s">
        <v>680</v>
      </c>
      <c r="I1812" s="4" t="s">
        <v>102</v>
      </c>
      <c r="L1812" s="4" t="s">
        <v>1705</v>
      </c>
      <c r="Q1812" s="9">
        <v>1</v>
      </c>
      <c r="S1812" s="13" t="s">
        <v>1623</v>
      </c>
      <c r="T1812" s="11">
        <v>2</v>
      </c>
      <c r="W1812" s="9">
        <v>3</v>
      </c>
      <c r="Z1812" s="9">
        <v>0</v>
      </c>
      <c r="AD1812" s="6" t="s">
        <v>3</v>
      </c>
      <c r="AF1812" s="11">
        <v>0</v>
      </c>
      <c r="AI1812" s="11">
        <v>1</v>
      </c>
      <c r="AL1812" s="11"/>
      <c r="AM1812" s="11"/>
      <c r="AN1812" s="11"/>
      <c r="AO1812" s="11"/>
      <c r="AP1812" s="11"/>
      <c r="AQ1812" s="11"/>
    </row>
    <row r="1813" spans="1:43" x14ac:dyDescent="0.25">
      <c r="A1813" s="44" t="str">
        <f t="shared" si="32"/>
        <v>U_JAPANESE_SAMURAI</v>
      </c>
      <c r="B1813" s="9" t="s">
        <v>2312</v>
      </c>
      <c r="E1813" s="4" t="s">
        <v>786</v>
      </c>
      <c r="F1813" s="4" t="s">
        <v>786</v>
      </c>
      <c r="G1813" s="4" t="s">
        <v>2039</v>
      </c>
      <c r="H1813" s="4" t="s">
        <v>953</v>
      </c>
      <c r="I1813" s="4" t="s">
        <v>102</v>
      </c>
      <c r="L1813" s="4" t="s">
        <v>1705</v>
      </c>
      <c r="Q1813" s="9">
        <v>1</v>
      </c>
      <c r="S1813" s="13" t="s">
        <v>1623</v>
      </c>
      <c r="T1813" s="11">
        <v>2</v>
      </c>
      <c r="W1813" s="9">
        <v>3</v>
      </c>
      <c r="Z1813" s="9">
        <v>0</v>
      </c>
      <c r="AD1813" s="6" t="s">
        <v>3</v>
      </c>
      <c r="AF1813" s="11">
        <v>0</v>
      </c>
      <c r="AI1813" s="11">
        <v>1</v>
      </c>
      <c r="AL1813" s="11"/>
      <c r="AM1813" s="11"/>
      <c r="AN1813" s="11"/>
      <c r="AO1813" s="11"/>
      <c r="AP1813" s="11"/>
      <c r="AQ1813" s="11"/>
    </row>
    <row r="1814" spans="1:43" x14ac:dyDescent="0.25">
      <c r="A1814" s="44" t="str">
        <f t="shared" si="32"/>
        <v>U_JAPANESE_SAMURAI</v>
      </c>
      <c r="B1814" s="9" t="s">
        <v>2312</v>
      </c>
      <c r="E1814" s="4" t="s">
        <v>786</v>
      </c>
      <c r="F1814" s="4" t="s">
        <v>786</v>
      </c>
      <c r="G1814" s="4" t="s">
        <v>2047</v>
      </c>
      <c r="H1814" s="4" t="s">
        <v>680</v>
      </c>
      <c r="I1814" s="4" t="s">
        <v>102</v>
      </c>
      <c r="L1814" s="4" t="s">
        <v>1705</v>
      </c>
      <c r="Q1814" s="9">
        <v>1</v>
      </c>
      <c r="S1814" s="13" t="s">
        <v>1623</v>
      </c>
      <c r="T1814" s="11">
        <v>2</v>
      </c>
      <c r="W1814" s="9">
        <v>4</v>
      </c>
      <c r="Z1814" s="9">
        <v>0</v>
      </c>
      <c r="AD1814" s="6" t="s">
        <v>3</v>
      </c>
      <c r="AF1814" s="11">
        <v>0</v>
      </c>
      <c r="AI1814" s="11">
        <v>1</v>
      </c>
      <c r="AL1814" s="11"/>
      <c r="AM1814" s="11"/>
      <c r="AN1814" s="11"/>
      <c r="AO1814" s="11"/>
      <c r="AP1814" s="11"/>
      <c r="AQ1814" s="11"/>
    </row>
    <row r="1815" spans="1:43" x14ac:dyDescent="0.25">
      <c r="A1815" s="44" t="str">
        <f t="shared" si="32"/>
        <v>U_JAPANESE_ZERO</v>
      </c>
      <c r="B1815" s="9" t="s">
        <v>2313</v>
      </c>
      <c r="C1815" s="5"/>
      <c r="D1815" s="5"/>
      <c r="E1815" s="5" t="s">
        <v>1575</v>
      </c>
      <c r="F1815" s="5" t="s">
        <v>1575</v>
      </c>
      <c r="G1815" s="5"/>
      <c r="H1815" s="5" t="s">
        <v>1682</v>
      </c>
      <c r="I1815" s="5" t="s">
        <v>128</v>
      </c>
      <c r="J1815" s="6"/>
      <c r="K1815" s="7"/>
      <c r="L1815" s="13" t="s">
        <v>1708</v>
      </c>
      <c r="M1815" s="8">
        <v>2</v>
      </c>
      <c r="N1815" s="13" t="s">
        <v>1722</v>
      </c>
      <c r="O1815" s="13"/>
      <c r="P1815" s="13"/>
      <c r="Q1815" s="7">
        <v>3</v>
      </c>
      <c r="R1815" s="6">
        <v>7.0000000000000007E-2</v>
      </c>
      <c r="S1815" s="13" t="s">
        <v>1618</v>
      </c>
      <c r="T1815" s="7">
        <v>4</v>
      </c>
      <c r="U1815" s="6">
        <v>0.06</v>
      </c>
      <c r="V1815" s="5" t="s">
        <v>1696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6"/>
      <c r="AG1815" s="6"/>
      <c r="AH1815" s="5"/>
      <c r="AI1815" s="6"/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44" t="str">
        <f t="shared" si="32"/>
        <v>U_KOREAN_HWACHA</v>
      </c>
      <c r="B1816" s="9" t="s">
        <v>2314</v>
      </c>
      <c r="C1816" s="5"/>
      <c r="D1816" s="5"/>
      <c r="E1816" s="5" t="s">
        <v>1576</v>
      </c>
      <c r="F1816" s="5" t="s">
        <v>1576</v>
      </c>
      <c r="G1816" s="5"/>
      <c r="H1816" s="5" t="s">
        <v>1643</v>
      </c>
      <c r="I1816" s="5" t="s">
        <v>128</v>
      </c>
      <c r="J1816" s="6"/>
      <c r="K1816" s="6"/>
      <c r="L1816" s="13" t="s">
        <v>746</v>
      </c>
      <c r="M1816" s="8"/>
      <c r="N1816" s="5"/>
      <c r="O1816" s="5"/>
      <c r="P1816" s="5"/>
      <c r="Q1816" s="7">
        <v>2</v>
      </c>
      <c r="R1816" s="6">
        <v>0.13</v>
      </c>
      <c r="S1816" s="13" t="s">
        <v>1610</v>
      </c>
      <c r="T1816" s="6">
        <v>3</v>
      </c>
      <c r="U1816" s="6" t="s">
        <v>1692</v>
      </c>
      <c r="V1816" s="5" t="s">
        <v>688</v>
      </c>
      <c r="W1816" s="7">
        <v>7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44" t="str">
        <f t="shared" si="32"/>
        <v>U_KOREAN_TURTLESHIP</v>
      </c>
      <c r="B1817" s="9" t="s">
        <v>2344</v>
      </c>
      <c r="C1817" s="5"/>
      <c r="D1817" s="5"/>
      <c r="E1817" s="5" t="s">
        <v>1577</v>
      </c>
      <c r="F1817" s="5" t="s">
        <v>1577</v>
      </c>
      <c r="G1817" s="5"/>
      <c r="H1817" s="5" t="s">
        <v>1644</v>
      </c>
      <c r="I1817" s="5" t="s">
        <v>128</v>
      </c>
      <c r="J1817" s="6"/>
      <c r="K1817" s="7"/>
      <c r="L1817" s="13" t="s">
        <v>1710</v>
      </c>
      <c r="M1817" s="8"/>
      <c r="N1817" s="13" t="s">
        <v>1724</v>
      </c>
      <c r="O1817" s="13"/>
      <c r="P1817" s="13"/>
      <c r="Q1817" s="7">
        <v>1</v>
      </c>
      <c r="R1817" s="6" t="s">
        <v>1734</v>
      </c>
      <c r="S1817" s="5"/>
      <c r="T1817" s="6">
        <v>2</v>
      </c>
      <c r="U1817" s="6">
        <v>0.11</v>
      </c>
      <c r="V1817" s="5" t="s">
        <v>1693</v>
      </c>
      <c r="W1817" s="6"/>
      <c r="X1817" s="6"/>
      <c r="Y1817" s="5"/>
      <c r="Z1817" s="6"/>
      <c r="AA1817" s="6"/>
      <c r="AB1817" s="5"/>
      <c r="AC1817" s="6"/>
      <c r="AD1817" s="6"/>
      <c r="AE1817" s="5"/>
      <c r="AF1817" s="6"/>
      <c r="AG1817" s="6"/>
      <c r="AH1817" s="5"/>
      <c r="AI1817" s="6"/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44" t="str">
        <f t="shared" si="32"/>
        <v>U_MAYAN_ATLALIST</v>
      </c>
      <c r="B1818" s="9" t="s">
        <v>2315</v>
      </c>
      <c r="C1818" s="5"/>
      <c r="D1818" s="5"/>
      <c r="E1818" s="5" t="s">
        <v>1578</v>
      </c>
      <c r="F1818" s="5" t="s">
        <v>1578</v>
      </c>
      <c r="G1818" s="5"/>
      <c r="H1818" s="5" t="s">
        <v>1645</v>
      </c>
      <c r="I1818" s="5" t="s">
        <v>128</v>
      </c>
      <c r="J1818" s="6"/>
      <c r="K1818" s="6"/>
      <c r="L1818" s="13" t="s">
        <v>1705</v>
      </c>
      <c r="M1818" s="8"/>
      <c r="N1818" s="5"/>
      <c r="O1818" s="5"/>
      <c r="P1818" s="5"/>
      <c r="Q1818" s="7">
        <v>10</v>
      </c>
      <c r="R1818" s="6" t="s">
        <v>1734</v>
      </c>
      <c r="S1818" s="13" t="s">
        <v>44</v>
      </c>
      <c r="T1818" s="6">
        <v>18</v>
      </c>
      <c r="U1818" s="7" t="s">
        <v>1734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 t="s">
        <v>1734</v>
      </c>
      <c r="AG1818" s="6"/>
      <c r="AH1818" s="5"/>
      <c r="AI1818" s="6">
        <v>6</v>
      </c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44" t="str">
        <f t="shared" si="32"/>
        <v>U_MONGOLIAN_KESHIK</v>
      </c>
      <c r="B1819" s="9" t="s">
        <v>2316</v>
      </c>
      <c r="C1819" s="5"/>
      <c r="D1819" s="5"/>
      <c r="E1819" s="5" t="s">
        <v>1579</v>
      </c>
      <c r="F1819" s="5" t="s">
        <v>1579</v>
      </c>
      <c r="G1819" s="5"/>
      <c r="H1819" s="5" t="s">
        <v>1646</v>
      </c>
      <c r="I1819" s="5" t="s">
        <v>128</v>
      </c>
      <c r="J1819" s="6"/>
      <c r="K1819" s="6"/>
      <c r="L1819" s="13" t="s">
        <v>1705</v>
      </c>
      <c r="M1819" s="8"/>
      <c r="N1819" s="5"/>
      <c r="O1819" s="5"/>
      <c r="P1819" s="5"/>
      <c r="Q1819" s="7" t="s">
        <v>1692</v>
      </c>
      <c r="R1819" s="6" t="s">
        <v>1692</v>
      </c>
      <c r="S1819" s="13" t="s">
        <v>1692</v>
      </c>
      <c r="T1819" s="7" t="s">
        <v>1692</v>
      </c>
      <c r="U1819" s="7" t="s">
        <v>1692</v>
      </c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6" t="s">
        <v>1692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44" t="str">
        <f t="shared" si="32"/>
        <v>U_MORROCAN_BERBER_CAVALRY</v>
      </c>
      <c r="B1820" s="9" t="s">
        <v>2346</v>
      </c>
      <c r="C1820" s="5"/>
      <c r="D1820" s="5"/>
      <c r="E1820" s="5" t="s">
        <v>1580</v>
      </c>
      <c r="F1820" s="5" t="s">
        <v>1580</v>
      </c>
      <c r="G1820" s="5"/>
      <c r="H1820" s="5" t="s">
        <v>1647</v>
      </c>
      <c r="I1820" s="5" t="s">
        <v>128</v>
      </c>
      <c r="J1820" s="6"/>
      <c r="K1820" s="6"/>
      <c r="L1820" s="13" t="s">
        <v>1711</v>
      </c>
      <c r="M1820" s="8"/>
      <c r="N1820" s="5"/>
      <c r="O1820" s="5"/>
      <c r="P1820" s="5"/>
      <c r="Q1820" s="7" t="s">
        <v>1692</v>
      </c>
      <c r="R1820" s="6" t="s">
        <v>1692</v>
      </c>
      <c r="S1820" s="13" t="s">
        <v>1692</v>
      </c>
      <c r="T1820" s="6" t="s">
        <v>1692</v>
      </c>
      <c r="U1820" s="7" t="s">
        <v>1692</v>
      </c>
      <c r="V1820" s="5"/>
      <c r="W1820" s="7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6" t="s">
        <v>1692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44" t="str">
        <f t="shared" si="32"/>
        <v>U_OTTOMAN_JANISSARY</v>
      </c>
      <c r="B1821" s="9" t="s">
        <v>2317</v>
      </c>
      <c r="C1821" s="5"/>
      <c r="D1821" s="5"/>
      <c r="E1821" s="5" t="s">
        <v>1581</v>
      </c>
      <c r="F1821" s="5" t="s">
        <v>1581</v>
      </c>
      <c r="G1821" s="5"/>
      <c r="H1821" s="5" t="s">
        <v>1683</v>
      </c>
      <c r="I1821" s="5" t="s">
        <v>128</v>
      </c>
      <c r="J1821" s="6"/>
      <c r="K1821" s="6"/>
      <c r="L1821" s="13" t="s">
        <v>1705</v>
      </c>
      <c r="M1821" s="8"/>
      <c r="N1821" s="5"/>
      <c r="O1821" s="5"/>
      <c r="P1821" s="5"/>
      <c r="Q1821" s="7">
        <v>14</v>
      </c>
      <c r="R1821" s="6" t="s">
        <v>1734</v>
      </c>
      <c r="S1821" s="13" t="s">
        <v>1616</v>
      </c>
      <c r="T1821" s="7">
        <v>19</v>
      </c>
      <c r="U1821" s="7" t="s">
        <v>1734</v>
      </c>
      <c r="V1821" s="5"/>
      <c r="W1821" s="6" t="s">
        <v>3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 t="s">
        <v>1734</v>
      </c>
      <c r="AG1821" s="6"/>
      <c r="AH1821" s="5"/>
      <c r="AI1821" s="6" t="s">
        <v>1734</v>
      </c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44" t="str">
        <f t="shared" si="32"/>
        <v>U_OTTOMAN_SIPAHI</v>
      </c>
      <c r="B1822" s="9" t="s">
        <v>2318</v>
      </c>
      <c r="C1822" s="5"/>
      <c r="D1822" s="5"/>
      <c r="E1822" s="5" t="s">
        <v>1582</v>
      </c>
      <c r="F1822" s="5" t="s">
        <v>1582</v>
      </c>
      <c r="G1822" s="5"/>
      <c r="H1822" s="5" t="s">
        <v>1684</v>
      </c>
      <c r="I1822" s="5" t="s">
        <v>128</v>
      </c>
      <c r="J1822" s="6"/>
      <c r="K1822" s="6"/>
      <c r="L1822" s="13" t="s">
        <v>1711</v>
      </c>
      <c r="M1822" s="8"/>
      <c r="N1822" s="5"/>
      <c r="O1822" s="5"/>
      <c r="P1822" s="5"/>
      <c r="Q1822" s="7" t="s">
        <v>1692</v>
      </c>
      <c r="R1822" s="6" t="s">
        <v>1692</v>
      </c>
      <c r="S1822" s="13" t="s">
        <v>1692</v>
      </c>
      <c r="T1822" s="7" t="s">
        <v>1692</v>
      </c>
      <c r="U1822" s="7" t="s">
        <v>1692</v>
      </c>
      <c r="V1822" s="5" t="s">
        <v>1698</v>
      </c>
      <c r="W1822" s="6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 t="s">
        <v>1692</v>
      </c>
      <c r="AG1822" s="6"/>
      <c r="AH1822" s="5"/>
      <c r="AI1822" s="6"/>
      <c r="AJ1822" s="6"/>
      <c r="AK1822" s="5"/>
      <c r="AL1822" s="6"/>
      <c r="AM1822" s="6"/>
      <c r="AN1822" s="6"/>
      <c r="AO1822" s="6"/>
      <c r="AP1822" s="6"/>
      <c r="AQ1822" s="6"/>
    </row>
    <row r="1823" spans="1:43" x14ac:dyDescent="0.25">
      <c r="A1823" s="44" t="str">
        <f t="shared" si="32"/>
        <v>U_PERSIAN_IMMORTAL</v>
      </c>
      <c r="B1823" s="9" t="s">
        <v>2319</v>
      </c>
      <c r="C1823" s="5"/>
      <c r="D1823" s="5"/>
      <c r="E1823" s="5" t="s">
        <v>1583</v>
      </c>
      <c r="F1823" s="5" t="s">
        <v>1583</v>
      </c>
      <c r="G1823" s="5"/>
      <c r="H1823" s="5" t="s">
        <v>1685</v>
      </c>
      <c r="I1823" s="5" t="s">
        <v>128</v>
      </c>
      <c r="J1823" s="6"/>
      <c r="K1823" s="6"/>
      <c r="L1823" s="13" t="s">
        <v>1705</v>
      </c>
      <c r="M1823" s="8"/>
      <c r="N1823" s="5"/>
      <c r="O1823" s="5"/>
      <c r="P1823" s="5"/>
      <c r="Q1823" s="7" t="s">
        <v>1734</v>
      </c>
      <c r="R1823" s="6" t="s">
        <v>1734</v>
      </c>
      <c r="S1823" s="13" t="s">
        <v>1622</v>
      </c>
      <c r="T1823" s="7">
        <v>20</v>
      </c>
      <c r="U1823" s="7" t="s">
        <v>1734</v>
      </c>
      <c r="V1823" s="5"/>
      <c r="W1823" s="6">
        <v>30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 t="s">
        <v>1734</v>
      </c>
      <c r="AG1823" s="6"/>
      <c r="AH1823" s="5"/>
      <c r="AI1823" s="6" t="s">
        <v>1734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44" t="str">
        <f t="shared" si="32"/>
        <v>U_POLISH_WINGED_HUSSAR</v>
      </c>
      <c r="B1824" s="9" t="s">
        <v>2320</v>
      </c>
      <c r="C1824" s="5"/>
      <c r="D1824" s="5"/>
      <c r="E1824" s="5" t="s">
        <v>1584</v>
      </c>
      <c r="F1824" s="5" t="s">
        <v>1584</v>
      </c>
      <c r="G1824" s="5"/>
      <c r="H1824" s="5" t="s">
        <v>1648</v>
      </c>
      <c r="I1824" s="5" t="s">
        <v>128</v>
      </c>
      <c r="J1824" s="6"/>
      <c r="K1824" s="6"/>
      <c r="L1824" s="13" t="s">
        <v>1711</v>
      </c>
      <c r="M1824" s="8"/>
      <c r="N1824" s="5"/>
      <c r="O1824" s="5"/>
      <c r="P1824" s="5"/>
      <c r="Q1824" s="7" t="s">
        <v>1692</v>
      </c>
      <c r="R1824" s="6">
        <v>0.13</v>
      </c>
      <c r="S1824" s="13" t="s">
        <v>1692</v>
      </c>
      <c r="T1824" s="6" t="s">
        <v>1692</v>
      </c>
      <c r="U1824" s="6" t="s">
        <v>1692</v>
      </c>
      <c r="V1824" s="5"/>
      <c r="W1824" s="7" t="s">
        <v>3</v>
      </c>
      <c r="X1824" s="6" t="s">
        <v>3</v>
      </c>
      <c r="Y1824" s="5"/>
      <c r="Z1824" s="7">
        <v>1</v>
      </c>
      <c r="AA1824" s="6"/>
      <c r="AB1824" s="5"/>
      <c r="AC1824" s="6"/>
      <c r="AD1824" s="6" t="s">
        <v>3</v>
      </c>
      <c r="AE1824" s="5"/>
      <c r="AF1824" s="7" t="s">
        <v>1692</v>
      </c>
      <c r="AG1824" s="6"/>
      <c r="AH1824" s="5"/>
      <c r="AI1824" s="6"/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44" t="str">
        <f t="shared" ref="A1825:A1912" si="33">CONCATENATE(E1825,IF(ISBLANK(C1825),"",CONCATENATE("_",C1825)))</f>
        <v>U_POLYNESIAN_MAORI_WARRIOR</v>
      </c>
      <c r="B1825" s="9" t="s">
        <v>2321</v>
      </c>
      <c r="C1825" s="5"/>
      <c r="D1825" s="5"/>
      <c r="E1825" s="5" t="s">
        <v>1585</v>
      </c>
      <c r="F1825" s="5" t="s">
        <v>1585</v>
      </c>
      <c r="G1825" s="5"/>
      <c r="H1825" s="5" t="s">
        <v>1649</v>
      </c>
      <c r="I1825" s="5" t="s">
        <v>128</v>
      </c>
      <c r="J1825" s="6"/>
      <c r="K1825" s="6"/>
      <c r="L1825" s="13" t="s">
        <v>1705</v>
      </c>
      <c r="M1825" s="8"/>
      <c r="N1825" s="5"/>
      <c r="O1825" s="5"/>
      <c r="P1825" s="5"/>
      <c r="Q1825" s="7">
        <v>10</v>
      </c>
      <c r="R1825" s="6">
        <v>0.13</v>
      </c>
      <c r="S1825" s="13" t="s">
        <v>1617</v>
      </c>
      <c r="T1825" s="7">
        <v>18</v>
      </c>
      <c r="U1825" s="6">
        <v>8.7999999999999995E-2</v>
      </c>
      <c r="V1825" s="5"/>
      <c r="W1825" s="6" t="s">
        <v>3</v>
      </c>
      <c r="X1825" s="6" t="s">
        <v>3</v>
      </c>
      <c r="Y1825" s="5"/>
      <c r="Z1825" s="7">
        <v>1</v>
      </c>
      <c r="AA1825" s="6" t="s">
        <v>1734</v>
      </c>
      <c r="AB1825" s="5"/>
      <c r="AC1825" s="6"/>
      <c r="AD1825" s="6" t="s">
        <v>3</v>
      </c>
      <c r="AE1825" s="5"/>
      <c r="AF1825" s="7" t="s">
        <v>1734</v>
      </c>
      <c r="AG1825" s="6"/>
      <c r="AH1825" s="5"/>
      <c r="AI1825" s="6">
        <v>6</v>
      </c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44" t="str">
        <f t="shared" si="33"/>
        <v>U_POLYNESIAN_WAR_CANOE</v>
      </c>
      <c r="C1826" s="5"/>
      <c r="D1826" s="5"/>
      <c r="E1826" s="5" t="s">
        <v>1586</v>
      </c>
      <c r="F1826" s="5" t="s">
        <v>1586</v>
      </c>
      <c r="G1826" s="5"/>
      <c r="H1826" s="5" t="s">
        <v>995</v>
      </c>
      <c r="I1826" s="5" t="s">
        <v>128</v>
      </c>
      <c r="J1826" s="6"/>
      <c r="K1826" s="7"/>
      <c r="L1826" s="13" t="s">
        <v>1709</v>
      </c>
      <c r="M1826" s="8"/>
      <c r="N1826" s="13" t="s">
        <v>1724</v>
      </c>
      <c r="O1826" s="13"/>
      <c r="P1826" s="13"/>
      <c r="Q1826" s="7">
        <v>2</v>
      </c>
      <c r="R1826" s="6">
        <v>7.0000000000000007E-2</v>
      </c>
      <c r="S1826" s="13" t="s">
        <v>1610</v>
      </c>
      <c r="T1826" s="7">
        <v>5</v>
      </c>
      <c r="U1826" s="6">
        <v>0.04</v>
      </c>
      <c r="V1826" s="5" t="s">
        <v>1693</v>
      </c>
      <c r="W1826" s="6"/>
      <c r="X1826" s="6"/>
      <c r="Y1826" s="5"/>
      <c r="Z1826" s="7">
        <v>1</v>
      </c>
      <c r="AA1826" s="6"/>
      <c r="AB1826" s="5"/>
      <c r="AC1826" s="6"/>
      <c r="AD1826" s="6"/>
      <c r="AE1826" s="5"/>
      <c r="AF1826" s="6"/>
      <c r="AG1826" s="6"/>
      <c r="AH1826" s="5"/>
      <c r="AI1826" s="6"/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44" t="str">
        <f t="shared" si="33"/>
        <v>U_PORTUGUESE_CARRACK</v>
      </c>
      <c r="B1827" s="9" t="s">
        <v>2347</v>
      </c>
      <c r="C1827" s="5"/>
      <c r="D1827" s="5"/>
      <c r="E1827" s="5" t="s">
        <v>1587</v>
      </c>
      <c r="F1827" s="5" t="s">
        <v>1587</v>
      </c>
      <c r="G1827" s="5"/>
      <c r="H1827" s="5" t="s">
        <v>1650</v>
      </c>
      <c r="I1827" s="5" t="s">
        <v>128</v>
      </c>
      <c r="J1827" s="6"/>
      <c r="K1827" s="7"/>
      <c r="L1827" s="13" t="s">
        <v>1710</v>
      </c>
      <c r="M1827" s="8"/>
      <c r="N1827" s="13" t="s">
        <v>1724</v>
      </c>
      <c r="O1827" s="13"/>
      <c r="P1827" s="13"/>
      <c r="Q1827" s="7">
        <v>1</v>
      </c>
      <c r="R1827" s="6">
        <v>0.13700000000000001</v>
      </c>
      <c r="S1827" s="5"/>
      <c r="T1827" s="6">
        <v>3</v>
      </c>
      <c r="U1827" s="7" t="s">
        <v>1734</v>
      </c>
      <c r="V1827" s="5" t="s">
        <v>1693</v>
      </c>
      <c r="W1827" s="6"/>
      <c r="X1827" s="6"/>
      <c r="Y1827" s="5"/>
      <c r="Z1827" s="6"/>
      <c r="AA1827" s="6"/>
      <c r="AB1827" s="5"/>
      <c r="AC1827" s="6"/>
      <c r="AD1827" s="6"/>
      <c r="AE1827" s="5"/>
      <c r="AF1827" s="6"/>
      <c r="AG1827" s="6"/>
      <c r="AH1827" s="5"/>
      <c r="AI1827" s="6"/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44" t="str">
        <f t="shared" si="33"/>
        <v>U_ROMAN_BALLISTA</v>
      </c>
      <c r="B1828" s="9" t="s">
        <v>2322</v>
      </c>
      <c r="C1828" s="5"/>
      <c r="D1828" s="5"/>
      <c r="E1828" s="5" t="s">
        <v>1588</v>
      </c>
      <c r="F1828" s="5" t="s">
        <v>1588</v>
      </c>
      <c r="G1828" s="5"/>
      <c r="H1828" s="5" t="s">
        <v>1686</v>
      </c>
      <c r="I1828" s="5" t="s">
        <v>128</v>
      </c>
      <c r="J1828" s="6"/>
      <c r="K1828" s="6"/>
      <c r="L1828" s="13" t="s">
        <v>746</v>
      </c>
      <c r="M1828" s="8"/>
      <c r="N1828" s="5"/>
      <c r="O1828" s="5"/>
      <c r="P1828" s="5"/>
      <c r="Q1828" s="7">
        <v>2</v>
      </c>
      <c r="R1828" s="6" t="s">
        <v>1692</v>
      </c>
      <c r="S1828" s="13" t="s">
        <v>1610</v>
      </c>
      <c r="T1828" s="7">
        <v>4</v>
      </c>
      <c r="U1828" s="7" t="s">
        <v>1734</v>
      </c>
      <c r="V1828" s="5" t="s">
        <v>688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6"/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44" t="str">
        <f t="shared" si="33"/>
        <v>U_ROMAN_LEGION</v>
      </c>
      <c r="B1829" s="9" t="s">
        <v>2323</v>
      </c>
      <c r="C1829" s="5"/>
      <c r="D1829" s="5"/>
      <c r="E1829" s="5" t="s">
        <v>1589</v>
      </c>
      <c r="F1829" s="5" t="s">
        <v>1589</v>
      </c>
      <c r="G1829" s="5"/>
      <c r="H1829" s="5" t="s">
        <v>600</v>
      </c>
      <c r="I1829" s="5" t="s">
        <v>128</v>
      </c>
      <c r="J1829" s="6"/>
      <c r="K1829" s="6"/>
      <c r="L1829" s="13" t="s">
        <v>1715</v>
      </c>
      <c r="M1829" s="8"/>
      <c r="N1829" s="5"/>
      <c r="O1829" s="5"/>
      <c r="P1829" s="5"/>
      <c r="Q1829" s="7" t="s">
        <v>1734</v>
      </c>
      <c r="R1829" s="6" t="s">
        <v>1734</v>
      </c>
      <c r="S1829" s="13" t="s">
        <v>1622</v>
      </c>
      <c r="T1829" s="7" t="s">
        <v>1734</v>
      </c>
      <c r="U1829" s="7" t="s">
        <v>1734</v>
      </c>
      <c r="V1829" s="5" t="s">
        <v>1703</v>
      </c>
      <c r="W1829" s="6" t="s">
        <v>3</v>
      </c>
      <c r="X1829" s="6" t="s">
        <v>3</v>
      </c>
      <c r="Y1829" s="5"/>
      <c r="Z1829" s="7">
        <v>1</v>
      </c>
      <c r="AA1829" s="6"/>
      <c r="AB1829" s="5"/>
      <c r="AC1829" s="6"/>
      <c r="AD1829" s="6" t="s">
        <v>3</v>
      </c>
      <c r="AE1829" s="5"/>
      <c r="AF1829" s="6" t="s">
        <v>1734</v>
      </c>
      <c r="AG1829" s="6"/>
      <c r="AH1829" s="5"/>
      <c r="AI1829" s="6" t="s">
        <v>1734</v>
      </c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44" t="str">
        <f t="shared" si="33"/>
        <v>U_RUSSIAN_COSSACK</v>
      </c>
      <c r="B1830" s="9" t="s">
        <v>2324</v>
      </c>
      <c r="C1830" s="5"/>
      <c r="D1830" s="5"/>
      <c r="E1830" s="5" t="s">
        <v>1590</v>
      </c>
      <c r="F1830" s="5" t="s">
        <v>1590</v>
      </c>
      <c r="G1830" s="5"/>
      <c r="H1830" s="5" t="s">
        <v>1687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1692</v>
      </c>
      <c r="S1830" s="13" t="s">
        <v>1692</v>
      </c>
      <c r="T1830" s="7">
        <v>1</v>
      </c>
      <c r="U1830" s="7" t="s">
        <v>1692</v>
      </c>
      <c r="V1830" s="5"/>
      <c r="W1830" s="7" t="s">
        <v>3</v>
      </c>
      <c r="X1830" s="6" t="s">
        <v>3</v>
      </c>
      <c r="Y1830" s="5"/>
      <c r="Z1830" s="7">
        <v>0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1</v>
      </c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44" t="str">
        <f t="shared" si="33"/>
        <v>U_RUSSIAN_COSSACK</v>
      </c>
      <c r="B1831" s="9" t="s">
        <v>2324</v>
      </c>
      <c r="C1831" s="5"/>
      <c r="D1831" s="5"/>
      <c r="E1831" s="5" t="s">
        <v>1590</v>
      </c>
      <c r="F1831" s="5" t="s">
        <v>1590</v>
      </c>
      <c r="G1831" s="5" t="s">
        <v>2039</v>
      </c>
      <c r="H1831" s="5" t="s">
        <v>1688</v>
      </c>
      <c r="I1831" s="5" t="s">
        <v>128</v>
      </c>
      <c r="J1831" s="6"/>
      <c r="K1831" s="6"/>
      <c r="L1831" s="13" t="s">
        <v>1711</v>
      </c>
      <c r="M1831" s="8"/>
      <c r="N1831" s="5"/>
      <c r="O1831" s="5"/>
      <c r="P1831" s="5"/>
      <c r="Q1831" s="7">
        <v>2</v>
      </c>
      <c r="R1831" s="6" t="s">
        <v>1692</v>
      </c>
      <c r="S1831" s="13" t="s">
        <v>1692</v>
      </c>
      <c r="T1831" s="7">
        <v>2</v>
      </c>
      <c r="U1831" s="7" t="s">
        <v>1692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6">
        <v>1</v>
      </c>
      <c r="AG1831" s="6"/>
      <c r="AH1831" s="5"/>
      <c r="AI1831" s="6">
        <v>1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44" t="str">
        <f t="shared" si="33"/>
        <v>U_RUSSIAN_COSSACK</v>
      </c>
      <c r="B1832" s="9" t="s">
        <v>2324</v>
      </c>
      <c r="C1832" s="5"/>
      <c r="D1832" s="5"/>
      <c r="E1832" s="5" t="s">
        <v>1590</v>
      </c>
      <c r="F1832" s="5" t="s">
        <v>1590</v>
      </c>
      <c r="G1832" s="5" t="s">
        <v>2041</v>
      </c>
      <c r="H1832" s="5" t="s">
        <v>1689</v>
      </c>
      <c r="I1832" s="5" t="s">
        <v>128</v>
      </c>
      <c r="J1832" s="6"/>
      <c r="K1832" s="6"/>
      <c r="L1832" s="13" t="s">
        <v>1711</v>
      </c>
      <c r="M1832" s="8"/>
      <c r="N1832" s="5"/>
      <c r="O1832" s="5"/>
      <c r="P1832" s="5"/>
      <c r="Q1832" s="7">
        <v>2</v>
      </c>
      <c r="R1832" s="6" t="s">
        <v>1692</v>
      </c>
      <c r="S1832" s="13" t="s">
        <v>1692</v>
      </c>
      <c r="T1832" s="7">
        <v>2</v>
      </c>
      <c r="U1832" s="7" t="s">
        <v>1692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7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44" t="str">
        <f t="shared" si="33"/>
        <v>U_RUSSIAN_COSSACK</v>
      </c>
      <c r="B1833" s="9" t="s">
        <v>2324</v>
      </c>
      <c r="C1833" s="5"/>
      <c r="D1833" s="5"/>
      <c r="E1833" s="5" t="s">
        <v>1590</v>
      </c>
      <c r="F1833" s="5" t="s">
        <v>1590</v>
      </c>
      <c r="G1833" s="5"/>
      <c r="H1833" s="5" t="s">
        <v>1687</v>
      </c>
      <c r="I1833" s="5" t="s">
        <v>128</v>
      </c>
      <c r="J1833" s="6"/>
      <c r="K1833" s="6"/>
      <c r="L1833" s="13" t="s">
        <v>1711</v>
      </c>
      <c r="M1833" s="8"/>
      <c r="N1833" s="5"/>
      <c r="O1833" s="5"/>
      <c r="P1833" s="5"/>
      <c r="Q1833" s="7">
        <v>0</v>
      </c>
      <c r="R1833" s="6" t="s">
        <v>1692</v>
      </c>
      <c r="S1833" s="13" t="s">
        <v>1692</v>
      </c>
      <c r="T1833" s="7">
        <v>1</v>
      </c>
      <c r="U1833" s="7" t="s">
        <v>1692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0</v>
      </c>
      <c r="AG1833" s="6"/>
      <c r="AH1833" s="5"/>
      <c r="AI1833" s="7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44" t="str">
        <f t="shared" si="33"/>
        <v>U_RUSSIAN_COSSACK</v>
      </c>
      <c r="B1834" s="9" t="s">
        <v>2324</v>
      </c>
      <c r="C1834" s="5"/>
      <c r="D1834" s="5"/>
      <c r="E1834" s="5" t="s">
        <v>1590</v>
      </c>
      <c r="F1834" s="5" t="s">
        <v>1590</v>
      </c>
      <c r="G1834" s="5" t="s">
        <v>2039</v>
      </c>
      <c r="H1834" s="5" t="s">
        <v>1688</v>
      </c>
      <c r="I1834" s="5" t="s">
        <v>128</v>
      </c>
      <c r="J1834" s="6"/>
      <c r="K1834" s="6"/>
      <c r="L1834" s="13" t="s">
        <v>1711</v>
      </c>
      <c r="M1834" s="8"/>
      <c r="N1834" s="5"/>
      <c r="O1834" s="5"/>
      <c r="P1834" s="5"/>
      <c r="Q1834" s="7">
        <v>0</v>
      </c>
      <c r="R1834" s="6" t="s">
        <v>1692</v>
      </c>
      <c r="S1834" s="13" t="s">
        <v>1692</v>
      </c>
      <c r="T1834" s="7">
        <v>1</v>
      </c>
      <c r="U1834" s="7" t="s">
        <v>1692</v>
      </c>
      <c r="V1834" s="5"/>
      <c r="W1834" s="7" t="s">
        <v>3</v>
      </c>
      <c r="X1834" s="6" t="s">
        <v>3</v>
      </c>
      <c r="Y1834" s="5"/>
      <c r="Z1834" s="7">
        <v>0</v>
      </c>
      <c r="AA1834" s="6"/>
      <c r="AB1834" s="5"/>
      <c r="AC1834" s="6"/>
      <c r="AD1834" s="6" t="s">
        <v>3</v>
      </c>
      <c r="AE1834" s="5"/>
      <c r="AF1834" s="7">
        <v>0</v>
      </c>
      <c r="AG1834" s="6"/>
      <c r="AH1834" s="5"/>
      <c r="AI1834" s="7">
        <v>1</v>
      </c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44" t="str">
        <f t="shared" si="33"/>
        <v>U_SAXON_HUSCARL</v>
      </c>
      <c r="C1835" s="5"/>
      <c r="D1835" s="5"/>
      <c r="E1835" s="5" t="s">
        <v>1591</v>
      </c>
      <c r="F1835" s="5" t="s">
        <v>1591</v>
      </c>
      <c r="G1835" s="5"/>
      <c r="H1835" s="5" t="s">
        <v>1651</v>
      </c>
      <c r="I1835" s="5" t="s">
        <v>128</v>
      </c>
      <c r="J1835" s="6"/>
      <c r="K1835" s="6"/>
      <c r="L1835" s="13" t="s">
        <v>1705</v>
      </c>
      <c r="M1835" s="8"/>
      <c r="N1835" s="5"/>
      <c r="O1835" s="5"/>
      <c r="P1835" s="5"/>
      <c r="Q1835" s="7">
        <v>9</v>
      </c>
      <c r="R1835" s="6" t="s">
        <v>1734</v>
      </c>
      <c r="S1835" s="13" t="s">
        <v>1618</v>
      </c>
      <c r="T1835" s="6" t="s">
        <v>1734</v>
      </c>
      <c r="U1835" s="7" t="s">
        <v>1734</v>
      </c>
      <c r="V1835" s="5" t="s">
        <v>1617</v>
      </c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1734</v>
      </c>
      <c r="AG1835" s="6"/>
      <c r="AH1835" s="5"/>
      <c r="AI1835" s="7">
        <v>6</v>
      </c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44" t="str">
        <f t="shared" si="33"/>
        <v>U_SHOSHONE_COMANCHE_RIDERS</v>
      </c>
      <c r="B1836" s="9" t="s">
        <v>2325</v>
      </c>
      <c r="C1836" s="5"/>
      <c r="D1836" s="5"/>
      <c r="E1836" s="5" t="s">
        <v>1592</v>
      </c>
      <c r="F1836" s="5" t="s">
        <v>1592</v>
      </c>
      <c r="G1836" s="5"/>
      <c r="H1836" s="5" t="s">
        <v>1652</v>
      </c>
      <c r="I1836" s="5" t="s">
        <v>128</v>
      </c>
      <c r="J1836" s="6"/>
      <c r="K1836" s="6"/>
      <c r="L1836" s="13" t="s">
        <v>1711</v>
      </c>
      <c r="M1836" s="8"/>
      <c r="N1836" s="5"/>
      <c r="O1836" s="5"/>
      <c r="P1836" s="5"/>
      <c r="Q1836" s="7" t="s">
        <v>1692</v>
      </c>
      <c r="R1836" s="6" t="s">
        <v>1692</v>
      </c>
      <c r="S1836" s="13" t="s">
        <v>1692</v>
      </c>
      <c r="T1836" s="6" t="s">
        <v>1692</v>
      </c>
      <c r="U1836" s="7" t="s">
        <v>1692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1692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44" t="str">
        <f t="shared" si="33"/>
        <v>U_SHOSHONE_PATHFINDER</v>
      </c>
      <c r="B1837" s="9" t="s">
        <v>2326</v>
      </c>
      <c r="C1837" s="5"/>
      <c r="D1837" s="5"/>
      <c r="E1837" s="5" t="s">
        <v>1593</v>
      </c>
      <c r="F1837" s="5" t="s">
        <v>1593</v>
      </c>
      <c r="G1837" s="5"/>
      <c r="H1837" s="5" t="s">
        <v>1653</v>
      </c>
      <c r="I1837" s="5" t="s">
        <v>128</v>
      </c>
      <c r="J1837" s="6"/>
      <c r="K1837" s="6"/>
      <c r="L1837" s="13" t="s">
        <v>1705</v>
      </c>
      <c r="M1837" s="8"/>
      <c r="N1837" s="5"/>
      <c r="O1837" s="5"/>
      <c r="P1837" s="5"/>
      <c r="Q1837" s="7">
        <v>6</v>
      </c>
      <c r="R1837" s="6" t="s">
        <v>1734</v>
      </c>
      <c r="S1837" s="13" t="s">
        <v>20</v>
      </c>
      <c r="T1837" s="6"/>
      <c r="U1837" s="7" t="s">
        <v>1692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>
        <v>2</v>
      </c>
      <c r="AG1837" s="6"/>
      <c r="AH1837" s="5"/>
      <c r="AI1837" s="7">
        <v>5</v>
      </c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44" t="str">
        <f t="shared" si="33"/>
        <v>U_SIAMESE_WARELEPHANT</v>
      </c>
      <c r="B1838" s="9" t="s">
        <v>2327</v>
      </c>
      <c r="C1838" s="5"/>
      <c r="D1838" s="5"/>
      <c r="E1838" s="5" t="s">
        <v>1594</v>
      </c>
      <c r="F1838" s="5" t="s">
        <v>1594</v>
      </c>
      <c r="G1838" s="5"/>
      <c r="H1838" s="5" t="s">
        <v>1690</v>
      </c>
      <c r="I1838" s="5" t="s">
        <v>128</v>
      </c>
      <c r="J1838" s="6"/>
      <c r="K1838" s="6"/>
      <c r="L1838" s="13" t="s">
        <v>1714</v>
      </c>
      <c r="M1838" s="8"/>
      <c r="N1838" s="5"/>
      <c r="O1838" s="5"/>
      <c r="P1838" s="5"/>
      <c r="Q1838" s="7">
        <v>2</v>
      </c>
      <c r="R1838" s="6" t="s">
        <v>1692</v>
      </c>
      <c r="S1838" s="13" t="s">
        <v>1615</v>
      </c>
      <c r="T1838" s="6">
        <v>3</v>
      </c>
      <c r="U1838" s="7" t="s">
        <v>1692</v>
      </c>
      <c r="V1838" s="5"/>
      <c r="W1838" s="6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6"/>
      <c r="AG1838" s="6"/>
      <c r="AH1838" s="5"/>
      <c r="AI1838" s="6"/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44" t="str">
        <f t="shared" si="33"/>
        <v>U_SONGHAI_MUSLIMCAVALRY</v>
      </c>
      <c r="B1839" s="9" t="s">
        <v>2328</v>
      </c>
      <c r="C1839" s="5"/>
      <c r="D1839" s="5"/>
      <c r="E1839" s="5" t="s">
        <v>1595</v>
      </c>
      <c r="F1839" s="5" t="s">
        <v>1595</v>
      </c>
      <c r="G1839" s="5"/>
      <c r="H1839" s="5" t="s">
        <v>1691</v>
      </c>
      <c r="I1839" s="5" t="s">
        <v>128</v>
      </c>
      <c r="J1839" s="6"/>
      <c r="K1839" s="6"/>
      <c r="L1839" s="13" t="s">
        <v>1711</v>
      </c>
      <c r="M1839" s="8"/>
      <c r="N1839" s="5"/>
      <c r="O1839" s="5"/>
      <c r="P1839" s="5"/>
      <c r="Q1839" s="7" t="s">
        <v>1692</v>
      </c>
      <c r="R1839" s="6" t="s">
        <v>1692</v>
      </c>
      <c r="S1839" s="13" t="s">
        <v>1692</v>
      </c>
      <c r="T1839" s="6" t="s">
        <v>1692</v>
      </c>
      <c r="U1839" s="7" t="s">
        <v>1692</v>
      </c>
      <c r="V1839" s="5" t="s">
        <v>1698</v>
      </c>
      <c r="W1839" s="6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 t="s">
        <v>1692</v>
      </c>
      <c r="AG1839" s="6"/>
      <c r="AH1839" s="5"/>
      <c r="AI1839" s="6"/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44" t="str">
        <f t="shared" si="33"/>
        <v>U_SPANISH_CONQUISTADOR</v>
      </c>
      <c r="B1840" s="9" t="s">
        <v>2329</v>
      </c>
      <c r="C1840" s="5"/>
      <c r="D1840" s="5"/>
      <c r="E1840" s="5" t="s">
        <v>1596</v>
      </c>
      <c r="F1840" s="5" t="s">
        <v>1596</v>
      </c>
      <c r="G1840" s="5"/>
      <c r="H1840" s="5" t="s">
        <v>1654</v>
      </c>
      <c r="I1840" s="5" t="s">
        <v>128</v>
      </c>
      <c r="J1840" s="6"/>
      <c r="K1840" s="6"/>
      <c r="L1840" s="13" t="s">
        <v>1705</v>
      </c>
      <c r="M1840" s="8"/>
      <c r="N1840" s="5"/>
      <c r="O1840" s="5"/>
      <c r="P1840" s="5"/>
      <c r="Q1840" s="7" t="s">
        <v>1692</v>
      </c>
      <c r="R1840" s="6">
        <v>0.13</v>
      </c>
      <c r="S1840" s="13" t="s">
        <v>1692</v>
      </c>
      <c r="T1840" s="6"/>
      <c r="U1840" s="6"/>
      <c r="V1840" s="5"/>
      <c r="W1840" s="6" t="s">
        <v>3</v>
      </c>
      <c r="X1840" s="6" t="s">
        <v>3</v>
      </c>
      <c r="Y1840" s="5"/>
      <c r="Z1840" s="7">
        <v>1</v>
      </c>
      <c r="AA1840" s="6"/>
      <c r="AB1840" s="5"/>
      <c r="AC1840" s="6"/>
      <c r="AD1840" s="6" t="s">
        <v>3</v>
      </c>
      <c r="AE1840" s="5"/>
      <c r="AF1840" s="7" t="s">
        <v>1692</v>
      </c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44" t="str">
        <f t="shared" si="33"/>
        <v>U_SPANISH_GALLEON</v>
      </c>
      <c r="C1841" s="5"/>
      <c r="D1841" s="5"/>
      <c r="E1841" s="5" t="s">
        <v>1597</v>
      </c>
      <c r="F1841" s="5" t="s">
        <v>1597</v>
      </c>
      <c r="G1841" s="5"/>
      <c r="H1841" s="5" t="s">
        <v>1655</v>
      </c>
      <c r="I1841" s="5" t="s">
        <v>128</v>
      </c>
      <c r="J1841" s="6"/>
      <c r="K1841" s="7"/>
      <c r="L1841" s="13" t="s">
        <v>1709</v>
      </c>
      <c r="M1841" s="8"/>
      <c r="N1841" s="13" t="s">
        <v>1724</v>
      </c>
      <c r="O1841" s="13"/>
      <c r="P1841" s="13"/>
      <c r="Q1841" s="7">
        <v>2</v>
      </c>
      <c r="R1841" s="6">
        <v>0.13</v>
      </c>
      <c r="S1841" s="13" t="s">
        <v>1610</v>
      </c>
      <c r="T1841" s="6" t="s">
        <v>1692</v>
      </c>
      <c r="U1841" s="6" t="s">
        <v>1692</v>
      </c>
      <c r="V1841" s="5" t="s">
        <v>1693</v>
      </c>
      <c r="W1841" s="6"/>
      <c r="X1841" s="6"/>
      <c r="Y1841" s="5"/>
      <c r="Z1841" s="7">
        <v>1</v>
      </c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44" t="str">
        <f>CONCATENATE(E1842,IF(ISBLANK(C1842),"",CONCATENATE("_",C1842)))</f>
        <v>U_SPANISH_TERCIO</v>
      </c>
      <c r="C1842" s="5"/>
      <c r="D1842" s="5"/>
      <c r="E1842" s="5" t="s">
        <v>1598</v>
      </c>
      <c r="F1842" s="5" t="s">
        <v>1598</v>
      </c>
      <c r="G1842" s="5" t="s">
        <v>2538</v>
      </c>
      <c r="H1842" s="5" t="s">
        <v>1656</v>
      </c>
      <c r="I1842" s="5" t="s">
        <v>128</v>
      </c>
      <c r="J1842" s="6"/>
      <c r="K1842" s="6"/>
      <c r="L1842" s="13" t="s">
        <v>1705</v>
      </c>
      <c r="M1842" s="8"/>
      <c r="N1842" s="5"/>
      <c r="O1842" s="5"/>
      <c r="P1842" s="5"/>
      <c r="Q1842" s="7">
        <v>0</v>
      </c>
      <c r="R1842" s="6" t="s">
        <v>1734</v>
      </c>
      <c r="S1842" s="13" t="s">
        <v>1624</v>
      </c>
      <c r="T1842" s="6">
        <v>0</v>
      </c>
      <c r="U1842" s="7" t="s">
        <v>1734</v>
      </c>
      <c r="V1842" s="5" t="s">
        <v>1704</v>
      </c>
      <c r="W1842" s="6">
        <v>0</v>
      </c>
      <c r="X1842" s="6" t="s">
        <v>3</v>
      </c>
      <c r="Y1842" s="5"/>
      <c r="Z1842" s="7">
        <v>0</v>
      </c>
      <c r="AA1842" s="6"/>
      <c r="AB1842" s="5"/>
      <c r="AC1842" s="6">
        <v>0</v>
      </c>
      <c r="AD1842" s="6" t="s">
        <v>3</v>
      </c>
      <c r="AE1842" s="5"/>
      <c r="AF1842" s="7">
        <v>0</v>
      </c>
      <c r="AG1842" s="6"/>
      <c r="AH1842" s="5"/>
      <c r="AI1842" s="6">
        <v>0</v>
      </c>
      <c r="AJ1842" s="6"/>
      <c r="AK1842" s="5"/>
      <c r="AL1842" s="6">
        <v>0</v>
      </c>
      <c r="AM1842" s="6"/>
      <c r="AN1842" s="6"/>
      <c r="AO1842" s="6">
        <v>0</v>
      </c>
      <c r="AP1842" s="6"/>
      <c r="AQ1842" s="6"/>
    </row>
    <row r="1843" spans="1:43" x14ac:dyDescent="0.25">
      <c r="A1843" s="44" t="str">
        <f t="shared" si="33"/>
        <v>U_SPANISH_TERCIO</v>
      </c>
      <c r="B1843" s="9" t="s">
        <v>2330</v>
      </c>
      <c r="C1843" s="5"/>
      <c r="D1843" s="5"/>
      <c r="E1843" s="5" t="s">
        <v>1598</v>
      </c>
      <c r="F1843" s="5" t="s">
        <v>1598</v>
      </c>
      <c r="G1843" s="5"/>
      <c r="H1843" s="5" t="s">
        <v>1656</v>
      </c>
      <c r="I1843" s="5" t="s">
        <v>128</v>
      </c>
      <c r="J1843" s="6"/>
      <c r="K1843" s="6"/>
      <c r="L1843" s="13" t="s">
        <v>1705</v>
      </c>
      <c r="M1843" s="8"/>
      <c r="N1843" s="5"/>
      <c r="O1843" s="5"/>
      <c r="P1843" s="5"/>
      <c r="Q1843" s="7">
        <v>6</v>
      </c>
      <c r="R1843" s="6" t="s">
        <v>1734</v>
      </c>
      <c r="S1843" s="13" t="s">
        <v>1624</v>
      </c>
      <c r="T1843" s="6">
        <v>9</v>
      </c>
      <c r="U1843" s="7" t="s">
        <v>1734</v>
      </c>
      <c r="V1843" s="5" t="s">
        <v>1704</v>
      </c>
      <c r="W1843" s="6">
        <v>16</v>
      </c>
      <c r="X1843" s="6" t="s">
        <v>3</v>
      </c>
      <c r="Y1843" s="5"/>
      <c r="Z1843" s="7">
        <v>1</v>
      </c>
      <c r="AA1843" s="6"/>
      <c r="AB1843" s="5"/>
      <c r="AC1843" s="6"/>
      <c r="AD1843" s="6" t="s">
        <v>3</v>
      </c>
      <c r="AE1843" s="5"/>
      <c r="AF1843" s="7">
        <v>2</v>
      </c>
      <c r="AG1843" s="6"/>
      <c r="AH1843" s="5"/>
      <c r="AI1843" s="6">
        <v>4</v>
      </c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44" t="str">
        <f t="shared" si="33"/>
        <v>U_SPANISH_TERCIO</v>
      </c>
      <c r="B1844" s="9" t="s">
        <v>2330</v>
      </c>
      <c r="C1844" s="5"/>
      <c r="D1844" s="5"/>
      <c r="E1844" s="5" t="s">
        <v>1598</v>
      </c>
      <c r="F1844" s="5" t="s">
        <v>1598</v>
      </c>
      <c r="G1844" s="5" t="s">
        <v>2053</v>
      </c>
      <c r="H1844" s="5" t="s">
        <v>1657</v>
      </c>
      <c r="I1844" s="5" t="s">
        <v>128</v>
      </c>
      <c r="J1844" s="6"/>
      <c r="K1844" s="6"/>
      <c r="L1844" s="13" t="s">
        <v>1705</v>
      </c>
      <c r="M1844" s="8"/>
      <c r="N1844" s="5"/>
      <c r="O1844" s="5"/>
      <c r="P1844" s="5"/>
      <c r="Q1844" s="7">
        <v>6</v>
      </c>
      <c r="R1844" s="6" t="s">
        <v>1734</v>
      </c>
      <c r="S1844" s="13" t="s">
        <v>1624</v>
      </c>
      <c r="T1844" s="6">
        <v>9</v>
      </c>
      <c r="U1844" s="7" t="s">
        <v>1734</v>
      </c>
      <c r="V1844" s="5" t="s">
        <v>1704</v>
      </c>
      <c r="W1844" s="6">
        <v>16</v>
      </c>
      <c r="X1844" s="6" t="s">
        <v>3</v>
      </c>
      <c r="Y1844" s="5"/>
      <c r="Z1844" s="7">
        <v>0</v>
      </c>
      <c r="AA1844" s="6"/>
      <c r="AB1844" s="5"/>
      <c r="AC1844" s="6"/>
      <c r="AD1844" s="6" t="s">
        <v>3</v>
      </c>
      <c r="AE1844" s="5"/>
      <c r="AF1844" s="7">
        <v>1</v>
      </c>
      <c r="AG1844" s="6"/>
      <c r="AH1844" s="5"/>
      <c r="AI1844" s="6">
        <v>3</v>
      </c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44" t="str">
        <f t="shared" si="33"/>
        <v>U_SPANISH_TREASURE_CART</v>
      </c>
      <c r="C1845" s="5"/>
      <c r="D1845" s="5"/>
      <c r="E1845" s="5" t="s">
        <v>1599</v>
      </c>
      <c r="F1845" s="5" t="s">
        <v>1599</v>
      </c>
      <c r="H1845" s="5" t="s">
        <v>1658</v>
      </c>
      <c r="I1845" s="5" t="s">
        <v>128</v>
      </c>
      <c r="J1845" s="6"/>
      <c r="K1845" s="6"/>
      <c r="L1845" s="13" t="s">
        <v>1706</v>
      </c>
      <c r="M1845" s="8"/>
      <c r="N1845" s="5"/>
      <c r="O1845" s="5"/>
      <c r="P1845" s="5"/>
      <c r="Q1845" s="7">
        <v>1</v>
      </c>
      <c r="R1845" s="6">
        <v>6.3E-2</v>
      </c>
      <c r="S1845" s="5"/>
      <c r="T1845" s="6"/>
      <c r="U1845" s="6"/>
      <c r="V1845" s="5"/>
      <c r="W1845" s="6"/>
      <c r="X1845" s="6" t="s">
        <v>3</v>
      </c>
      <c r="Y1845" s="5"/>
      <c r="Z1845" s="6"/>
      <c r="AA1845" s="6"/>
      <c r="AB1845" s="5"/>
      <c r="AC1845" s="6"/>
      <c r="AD1845" s="6" t="s">
        <v>3</v>
      </c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44" t="str">
        <f t="shared" si="33"/>
        <v>U_SUMERIAN_PHALANX</v>
      </c>
      <c r="C1846" s="5"/>
      <c r="D1846" s="5"/>
      <c r="E1846" s="5" t="s">
        <v>1600</v>
      </c>
      <c r="F1846" s="5" t="s">
        <v>1600</v>
      </c>
      <c r="G1846" s="5"/>
      <c r="H1846" s="5" t="s">
        <v>1659</v>
      </c>
      <c r="I1846" s="5" t="s">
        <v>128</v>
      </c>
      <c r="J1846" s="6"/>
      <c r="K1846" s="6"/>
      <c r="L1846" s="13" t="s">
        <v>1705</v>
      </c>
      <c r="M1846" s="8"/>
      <c r="N1846" s="5"/>
      <c r="O1846" s="5"/>
      <c r="P1846" s="5"/>
      <c r="Q1846" s="7" t="s">
        <v>1734</v>
      </c>
      <c r="R1846" s="6">
        <v>0.13</v>
      </c>
      <c r="S1846" s="13" t="s">
        <v>1622</v>
      </c>
      <c r="T1846" s="6">
        <v>20</v>
      </c>
      <c r="U1846" s="6" t="s">
        <v>1692</v>
      </c>
      <c r="V1846" s="5"/>
      <c r="W1846" s="6" t="s">
        <v>3</v>
      </c>
      <c r="X1846" s="6" t="s">
        <v>3</v>
      </c>
      <c r="Y1846" s="5"/>
      <c r="Z1846" s="7">
        <v>1</v>
      </c>
      <c r="AA1846" s="6"/>
      <c r="AB1846" s="5"/>
      <c r="AC1846" s="6"/>
      <c r="AD1846" s="6" t="s">
        <v>3</v>
      </c>
      <c r="AE1846" s="5"/>
      <c r="AF1846" s="7" t="s">
        <v>1692</v>
      </c>
      <c r="AG1846" s="6"/>
      <c r="AH1846" s="5"/>
      <c r="AI1846" s="6" t="s">
        <v>1734</v>
      </c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44" t="str">
        <f t="shared" si="33"/>
        <v>U_SWEDISH_CAROLEAN</v>
      </c>
      <c r="B1847" s="9" t="s">
        <v>2331</v>
      </c>
      <c r="C1847" s="5"/>
      <c r="D1847" s="5"/>
      <c r="E1847" s="5" t="s">
        <v>1601</v>
      </c>
      <c r="F1847" s="5" t="s">
        <v>1601</v>
      </c>
      <c r="G1847" s="5"/>
      <c r="H1847" s="5" t="s">
        <v>1660</v>
      </c>
      <c r="I1847" s="5" t="s">
        <v>128</v>
      </c>
      <c r="J1847" s="6"/>
      <c r="K1847" s="6"/>
      <c r="L1847" s="13" t="s">
        <v>1705</v>
      </c>
      <c r="M1847" s="8"/>
      <c r="N1847" s="5"/>
      <c r="O1847" s="5"/>
      <c r="P1847" s="5"/>
      <c r="Q1847" s="7">
        <v>14</v>
      </c>
      <c r="R1847" s="6" t="s">
        <v>1734</v>
      </c>
      <c r="S1847" s="13" t="s">
        <v>1616</v>
      </c>
      <c r="T1847" s="6">
        <v>19</v>
      </c>
      <c r="U1847" s="7" t="s">
        <v>1734</v>
      </c>
      <c r="V1847" s="5"/>
      <c r="W1847" s="6" t="s">
        <v>3</v>
      </c>
      <c r="X1847" s="6" t="s">
        <v>3</v>
      </c>
      <c r="Y1847" s="5"/>
      <c r="Z1847" s="7">
        <v>1</v>
      </c>
      <c r="AA1847" s="6"/>
      <c r="AB1847" s="5"/>
      <c r="AC1847" s="6"/>
      <c r="AD1847" s="6" t="s">
        <v>3</v>
      </c>
      <c r="AE1847" s="5"/>
      <c r="AF1847" s="7" t="s">
        <v>1734</v>
      </c>
      <c r="AG1847" s="6"/>
      <c r="AH1847" s="5"/>
      <c r="AI1847" s="7" t="s">
        <v>1734</v>
      </c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44" t="str">
        <f t="shared" si="33"/>
        <v>U_SWEDISH_HAKKAPELITTA</v>
      </c>
      <c r="B1848" s="9" t="s">
        <v>2348</v>
      </c>
      <c r="C1848" s="5"/>
      <c r="D1848" s="5"/>
      <c r="E1848" s="5" t="s">
        <v>1602</v>
      </c>
      <c r="F1848" s="5" t="s">
        <v>1602</v>
      </c>
      <c r="G1848" s="5"/>
      <c r="H1848" s="5" t="s">
        <v>1661</v>
      </c>
      <c r="I1848" s="5" t="s">
        <v>128</v>
      </c>
      <c r="J1848" s="6"/>
      <c r="K1848" s="6"/>
      <c r="L1848" s="13" t="s">
        <v>1711</v>
      </c>
      <c r="M1848" s="8"/>
      <c r="N1848" s="5"/>
      <c r="O1848" s="5"/>
      <c r="P1848" s="5"/>
      <c r="Q1848" s="7" t="s">
        <v>1692</v>
      </c>
      <c r="R1848" s="6" t="s">
        <v>1692</v>
      </c>
      <c r="S1848" s="13" t="s">
        <v>1692</v>
      </c>
      <c r="T1848" s="6" t="s">
        <v>1692</v>
      </c>
      <c r="U1848" s="7" t="s">
        <v>1692</v>
      </c>
      <c r="V1848" s="5" t="s">
        <v>1698</v>
      </c>
      <c r="W1848" s="6" t="s">
        <v>3</v>
      </c>
      <c r="X1848" s="6" t="s">
        <v>3</v>
      </c>
      <c r="Y1848" s="5"/>
      <c r="Z1848" s="7">
        <v>1</v>
      </c>
      <c r="AA1848" s="6"/>
      <c r="AB1848" s="5"/>
      <c r="AC1848" s="6"/>
      <c r="AD1848" s="6" t="s">
        <v>3</v>
      </c>
      <c r="AE1848" s="5"/>
      <c r="AF1848" s="7" t="s">
        <v>1692</v>
      </c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44" t="str">
        <f t="shared" si="33"/>
        <v>U_VENETIAN_GALLEASS</v>
      </c>
      <c r="B1849" s="9" t="s">
        <v>2332</v>
      </c>
      <c r="C1849" s="5"/>
      <c r="D1849" s="5"/>
      <c r="E1849" s="5" t="s">
        <v>1603</v>
      </c>
      <c r="F1849" s="5" t="s">
        <v>1603</v>
      </c>
      <c r="G1849" s="5"/>
      <c r="H1849" s="5" t="s">
        <v>1662</v>
      </c>
      <c r="I1849" s="5" t="s">
        <v>128</v>
      </c>
      <c r="J1849" s="6"/>
      <c r="K1849" s="7"/>
      <c r="L1849" s="13" t="s">
        <v>1709</v>
      </c>
      <c r="M1849" s="8"/>
      <c r="N1849" s="13" t="s">
        <v>1724</v>
      </c>
      <c r="O1849" s="13"/>
      <c r="P1849" s="13"/>
      <c r="Q1849" s="7">
        <v>1</v>
      </c>
      <c r="R1849" s="6" t="s">
        <v>1734</v>
      </c>
      <c r="S1849" s="5"/>
      <c r="T1849" s="6"/>
      <c r="U1849" s="6">
        <v>0.1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44" t="str">
        <f t="shared" si="33"/>
        <v>U_VENETIAN_MERCHANT</v>
      </c>
      <c r="B1850" s="9" t="s">
        <v>2333</v>
      </c>
      <c r="C1850" s="5"/>
      <c r="D1850" s="5"/>
      <c r="E1850" s="5" t="s">
        <v>1604</v>
      </c>
      <c r="F1850" s="5" t="s">
        <v>1604</v>
      </c>
      <c r="G1850" s="5"/>
      <c r="H1850" s="5" t="s">
        <v>1663</v>
      </c>
      <c r="I1850" s="5" t="s">
        <v>128</v>
      </c>
      <c r="J1850" s="6"/>
      <c r="K1850" s="6"/>
      <c r="L1850" s="13" t="s">
        <v>1709</v>
      </c>
      <c r="M1850" s="8"/>
      <c r="N1850" s="5"/>
      <c r="O1850" s="5"/>
      <c r="P1850" s="5"/>
      <c r="Q1850" s="7">
        <v>1</v>
      </c>
      <c r="R1850" s="6" t="s">
        <v>1692</v>
      </c>
      <c r="S1850" s="13" t="s">
        <v>1621</v>
      </c>
      <c r="T1850" s="6"/>
      <c r="U1850" s="6"/>
      <c r="V1850" s="5"/>
      <c r="W1850" s="6"/>
      <c r="X1850" s="6" t="s">
        <v>3</v>
      </c>
      <c r="Y1850" s="5"/>
      <c r="Z1850" s="6"/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44" t="str">
        <f t="shared" si="33"/>
        <v>U_ZULU_IMPI_WARRIOR</v>
      </c>
      <c r="B1851" s="9" t="s">
        <v>2285</v>
      </c>
      <c r="C1851" s="5"/>
      <c r="D1851" s="5"/>
      <c r="E1851" s="5" t="s">
        <v>1605</v>
      </c>
      <c r="F1851" s="5" t="s">
        <v>1605</v>
      </c>
      <c r="G1851" s="5"/>
      <c r="H1851" s="5" t="s">
        <v>1664</v>
      </c>
      <c r="I1851" s="5" t="s">
        <v>128</v>
      </c>
      <c r="J1851" s="6"/>
      <c r="K1851" s="6"/>
      <c r="L1851" s="13" t="s">
        <v>1705</v>
      </c>
      <c r="M1851" s="8"/>
      <c r="N1851" s="5"/>
      <c r="O1851" s="5"/>
      <c r="P1851" s="5"/>
      <c r="Q1851" s="7">
        <v>4</v>
      </c>
      <c r="R1851" s="6" t="s">
        <v>1734</v>
      </c>
      <c r="S1851" s="13" t="s">
        <v>1617</v>
      </c>
      <c r="T1851" s="6"/>
      <c r="U1851" s="7" t="s">
        <v>1692</v>
      </c>
      <c r="V1851" s="5"/>
      <c r="W1851" s="7" t="s">
        <v>3</v>
      </c>
      <c r="X1851" s="6" t="s">
        <v>3</v>
      </c>
      <c r="Y1851" s="5"/>
      <c r="Z1851" s="7">
        <v>1</v>
      </c>
      <c r="AA1851" s="6"/>
      <c r="AB1851" s="5"/>
      <c r="AC1851" s="6"/>
      <c r="AD1851" s="6" t="s">
        <v>3</v>
      </c>
      <c r="AE1851" s="5"/>
      <c r="AF1851" s="7">
        <v>1</v>
      </c>
      <c r="AG1851" s="6"/>
      <c r="AH1851" s="5"/>
      <c r="AI1851" s="6">
        <v>3</v>
      </c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44" t="str">
        <f t="shared" si="33"/>
        <v>U_ZULU_IMPI_WARRIOR</v>
      </c>
      <c r="B1852" s="9" t="s">
        <v>2285</v>
      </c>
      <c r="C1852" s="5"/>
      <c r="D1852" s="5"/>
      <c r="E1852" s="5" t="s">
        <v>1605</v>
      </c>
      <c r="F1852" s="5" t="s">
        <v>1605</v>
      </c>
      <c r="G1852" s="5" t="s">
        <v>2039</v>
      </c>
      <c r="H1852" s="5" t="s">
        <v>1665</v>
      </c>
      <c r="I1852" s="5" t="s">
        <v>128</v>
      </c>
      <c r="J1852" s="6"/>
      <c r="K1852" s="6"/>
      <c r="L1852" s="13" t="s">
        <v>1705</v>
      </c>
      <c r="M1852" s="8"/>
      <c r="N1852" s="5"/>
      <c r="O1852" s="5"/>
      <c r="P1852" s="5"/>
      <c r="Q1852" s="7">
        <v>3</v>
      </c>
      <c r="R1852" s="6" t="s">
        <v>1734</v>
      </c>
      <c r="S1852" s="13" t="s">
        <v>1617</v>
      </c>
      <c r="T1852" s="6"/>
      <c r="U1852" s="7" t="s">
        <v>1692</v>
      </c>
      <c r="V1852" s="5"/>
      <c r="W1852" s="7" t="s">
        <v>3</v>
      </c>
      <c r="X1852" s="6" t="s">
        <v>3</v>
      </c>
      <c r="Y1852" s="5"/>
      <c r="Z1852" s="7">
        <v>0</v>
      </c>
      <c r="AA1852" s="6"/>
      <c r="AB1852" s="5"/>
      <c r="AC1852" s="6"/>
      <c r="AD1852" s="6" t="s">
        <v>3</v>
      </c>
      <c r="AE1852" s="5"/>
      <c r="AF1852" s="7">
        <v>1</v>
      </c>
      <c r="AG1852" s="6"/>
      <c r="AH1852" s="5"/>
      <c r="AI1852" s="6">
        <v>2</v>
      </c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44" t="str">
        <f t="shared" si="33"/>
        <v>U_ZULU_IMPI_WARRIOR</v>
      </c>
      <c r="B1853" s="9" t="s">
        <v>2285</v>
      </c>
      <c r="C1853" s="5"/>
      <c r="D1853" s="5"/>
      <c r="E1853" s="5" t="s">
        <v>1605</v>
      </c>
      <c r="F1853" s="5" t="s">
        <v>1605</v>
      </c>
      <c r="G1853" s="5" t="s">
        <v>2041</v>
      </c>
      <c r="H1853" s="5" t="s">
        <v>1666</v>
      </c>
      <c r="I1853" s="5" t="s">
        <v>128</v>
      </c>
      <c r="J1853" s="6"/>
      <c r="K1853" s="6"/>
      <c r="L1853" s="13" t="s">
        <v>1705</v>
      </c>
      <c r="M1853" s="8"/>
      <c r="N1853" s="5"/>
      <c r="O1853" s="5"/>
      <c r="P1853" s="5"/>
      <c r="Q1853" s="7">
        <v>5</v>
      </c>
      <c r="R1853" s="6" t="s">
        <v>1734</v>
      </c>
      <c r="S1853" s="13" t="s">
        <v>1617</v>
      </c>
      <c r="T1853" s="6"/>
      <c r="U1853" s="7" t="s">
        <v>1692</v>
      </c>
      <c r="V1853" s="5"/>
      <c r="W1853" s="7" t="s">
        <v>3</v>
      </c>
      <c r="X1853" s="6" t="s">
        <v>3</v>
      </c>
      <c r="Y1853" s="5"/>
      <c r="Z1853" s="7">
        <v>0</v>
      </c>
      <c r="AA1853" s="6"/>
      <c r="AB1853" s="5"/>
      <c r="AC1853" s="6"/>
      <c r="AD1853" s="6" t="s">
        <v>3</v>
      </c>
      <c r="AE1853" s="5"/>
      <c r="AF1853" s="7">
        <v>1</v>
      </c>
      <c r="AG1853" s="6"/>
      <c r="AH1853" s="5"/>
      <c r="AI1853" s="6">
        <v>2</v>
      </c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44" t="str">
        <f t="shared" si="33"/>
        <v>UNION_ARTILLERY_NAPOLEON</v>
      </c>
      <c r="C1854" s="5"/>
      <c r="D1854" s="5"/>
      <c r="E1854" s="5" t="s">
        <v>1377</v>
      </c>
      <c r="F1854" s="5" t="s">
        <v>1377</v>
      </c>
      <c r="G1854" s="5"/>
      <c r="H1854" s="5" t="s">
        <v>1529</v>
      </c>
      <c r="I1854" s="5" t="s">
        <v>128</v>
      </c>
      <c r="J1854" s="6"/>
      <c r="K1854" s="6"/>
      <c r="L1854" s="13" t="s">
        <v>746</v>
      </c>
      <c r="M1854" s="8"/>
      <c r="N1854" s="5"/>
      <c r="O1854" s="5"/>
      <c r="P1854" s="5"/>
      <c r="Q1854" s="7">
        <v>3</v>
      </c>
      <c r="R1854" s="6" t="s">
        <v>1692</v>
      </c>
      <c r="S1854" s="13" t="s">
        <v>1610</v>
      </c>
      <c r="T1854" s="6"/>
      <c r="U1854" s="7" t="s">
        <v>1692</v>
      </c>
      <c r="V1854" s="5"/>
      <c r="W1854" s="6" t="s">
        <v>3</v>
      </c>
      <c r="X1854" s="6" t="s">
        <v>3</v>
      </c>
      <c r="Y1854" s="5"/>
      <c r="Z1854" s="7">
        <v>1</v>
      </c>
      <c r="AA1854" s="6"/>
      <c r="AB1854" s="5"/>
      <c r="AC1854" s="6"/>
      <c r="AD1854" s="6" t="s">
        <v>3</v>
      </c>
      <c r="AE1854" s="5"/>
      <c r="AF1854" s="6"/>
      <c r="AG1854" s="6"/>
      <c r="AH1854" s="5"/>
      <c r="AI1854" s="6"/>
      <c r="AJ1854" s="6"/>
      <c r="AK1854" s="5"/>
      <c r="AL1854" s="6"/>
      <c r="AM1854" s="6"/>
      <c r="AN1854" s="6"/>
      <c r="AO1854" s="6"/>
      <c r="AP1854" s="6"/>
      <c r="AQ1854" s="6"/>
    </row>
    <row r="1855" spans="1:43" x14ac:dyDescent="0.25">
      <c r="A1855" s="44" t="str">
        <f t="shared" si="33"/>
        <v>UNION_ARTILLERY_PARROTT</v>
      </c>
      <c r="C1855" s="5"/>
      <c r="D1855" s="5"/>
      <c r="E1855" s="5" t="s">
        <v>1378</v>
      </c>
      <c r="F1855" s="5" t="s">
        <v>1378</v>
      </c>
      <c r="G1855" s="5"/>
      <c r="H1855" s="5" t="s">
        <v>1530</v>
      </c>
      <c r="I1855" s="5" t="s">
        <v>128</v>
      </c>
      <c r="J1855" s="6"/>
      <c r="K1855" s="6"/>
      <c r="L1855" s="13" t="s">
        <v>746</v>
      </c>
      <c r="M1855" s="8"/>
      <c r="N1855" s="5"/>
      <c r="O1855" s="5"/>
      <c r="P1855" s="5"/>
      <c r="Q1855" s="7">
        <v>3</v>
      </c>
      <c r="R1855" s="6" t="s">
        <v>1692</v>
      </c>
      <c r="S1855" s="13" t="s">
        <v>1610</v>
      </c>
      <c r="T1855" s="6"/>
      <c r="U1855" s="7" t="s">
        <v>1692</v>
      </c>
      <c r="V1855" s="5"/>
      <c r="W1855" s="6" t="s">
        <v>3</v>
      </c>
      <c r="X1855" s="6" t="s">
        <v>3</v>
      </c>
      <c r="Y1855" s="5"/>
      <c r="Z1855" s="7">
        <v>1</v>
      </c>
      <c r="AA1855" s="6"/>
      <c r="AB1855" s="5"/>
      <c r="AC1855" s="6"/>
      <c r="AD1855" s="6" t="s">
        <v>3</v>
      </c>
      <c r="AE1855" s="5"/>
      <c r="AF1855" s="6"/>
      <c r="AG1855" s="6"/>
      <c r="AH1855" s="5"/>
      <c r="AI1855" s="6"/>
      <c r="AJ1855" s="6"/>
      <c r="AK1855" s="5"/>
      <c r="AL1855" s="6"/>
      <c r="AM1855" s="6"/>
      <c r="AN1855" s="6"/>
      <c r="AO1855" s="6"/>
      <c r="AP1855" s="6"/>
      <c r="AQ1855" s="6"/>
    </row>
    <row r="1856" spans="1:43" x14ac:dyDescent="0.25">
      <c r="A1856" s="44" t="str">
        <f t="shared" si="33"/>
        <v>UNION_CAVALRY_CARBINE</v>
      </c>
      <c r="C1856" s="5"/>
      <c r="D1856" s="5"/>
      <c r="E1856" s="5" t="s">
        <v>1379</v>
      </c>
      <c r="F1856" s="5" t="s">
        <v>1379</v>
      </c>
      <c r="G1856" s="5"/>
      <c r="H1856" s="5" t="s">
        <v>1531</v>
      </c>
      <c r="I1856" s="5" t="s">
        <v>128</v>
      </c>
      <c r="J1856" s="6"/>
      <c r="K1856" s="6"/>
      <c r="L1856" s="13" t="s">
        <v>1711</v>
      </c>
      <c r="M1856" s="8"/>
      <c r="N1856" s="5"/>
      <c r="O1856" s="5"/>
      <c r="P1856" s="5"/>
      <c r="Q1856" s="7" t="s">
        <v>1692</v>
      </c>
      <c r="R1856" s="6" t="s">
        <v>1692</v>
      </c>
      <c r="S1856" s="13" t="s">
        <v>1692</v>
      </c>
      <c r="T1856" s="6"/>
      <c r="U1856" s="7" t="s">
        <v>1692</v>
      </c>
      <c r="V1856" s="5"/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1692</v>
      </c>
      <c r="AG1856" s="6"/>
      <c r="AH1856" s="5"/>
      <c r="AI1856" s="6"/>
      <c r="AJ1856" s="6"/>
      <c r="AK1856" s="5"/>
      <c r="AL1856" s="6"/>
      <c r="AM1856" s="6"/>
      <c r="AN1856" s="6"/>
      <c r="AO1856" s="6"/>
      <c r="AP1856" s="6"/>
      <c r="AQ1856" s="6"/>
    </row>
    <row r="1857" spans="1:43" x14ac:dyDescent="0.25">
      <c r="A1857" s="44" t="str">
        <f t="shared" si="33"/>
        <v>UNION_CAVALRY_PISTOL</v>
      </c>
      <c r="C1857" s="5"/>
      <c r="D1857" s="5"/>
      <c r="E1857" s="5" t="s">
        <v>1380</v>
      </c>
      <c r="F1857" s="5" t="s">
        <v>1380</v>
      </c>
      <c r="G1857" s="5"/>
      <c r="H1857" s="5" t="s">
        <v>1532</v>
      </c>
      <c r="I1857" s="5" t="s">
        <v>128</v>
      </c>
      <c r="J1857" s="6"/>
      <c r="K1857" s="6"/>
      <c r="L1857" s="13" t="s">
        <v>1711</v>
      </c>
      <c r="M1857" s="8"/>
      <c r="N1857" s="5"/>
      <c r="O1857" s="5"/>
      <c r="P1857" s="5"/>
      <c r="Q1857" s="7" t="s">
        <v>1692</v>
      </c>
      <c r="R1857" s="6" t="s">
        <v>1692</v>
      </c>
      <c r="S1857" s="13" t="s">
        <v>1692</v>
      </c>
      <c r="T1857" s="6"/>
      <c r="U1857" s="7" t="s">
        <v>1692</v>
      </c>
      <c r="V1857" s="5"/>
      <c r="W1857" s="7" t="s">
        <v>3</v>
      </c>
      <c r="X1857" s="6" t="s">
        <v>3</v>
      </c>
      <c r="Y1857" s="5"/>
      <c r="Z1857" s="7">
        <v>1</v>
      </c>
      <c r="AA1857" s="6"/>
      <c r="AB1857" s="5"/>
      <c r="AC1857" s="6"/>
      <c r="AD1857" s="6" t="s">
        <v>3</v>
      </c>
      <c r="AE1857" s="5"/>
      <c r="AF1857" s="7" t="s">
        <v>1692</v>
      </c>
      <c r="AG1857" s="6"/>
      <c r="AH1857" s="5"/>
      <c r="AI1857" s="6"/>
      <c r="AJ1857" s="6"/>
      <c r="AK1857" s="5"/>
      <c r="AL1857" s="6"/>
      <c r="AM1857" s="6"/>
      <c r="AN1857" s="6"/>
      <c r="AO1857" s="6"/>
      <c r="AP1857" s="6"/>
      <c r="AQ1857" s="6"/>
    </row>
    <row r="1858" spans="1:43" x14ac:dyDescent="0.25">
      <c r="A1858" s="44" t="str">
        <f t="shared" si="33"/>
        <v>UNION_CORPS</v>
      </c>
      <c r="C1858" s="5"/>
      <c r="D1858" s="5"/>
      <c r="E1858" s="5" t="s">
        <v>1381</v>
      </c>
      <c r="F1858" s="5" t="s">
        <v>1536</v>
      </c>
      <c r="G1858" s="5"/>
      <c r="H1858" s="5" t="s">
        <v>1535</v>
      </c>
      <c r="I1858" s="5" t="s">
        <v>128</v>
      </c>
      <c r="J1858" s="6"/>
      <c r="K1858" s="6"/>
      <c r="L1858" s="13" t="s">
        <v>1705</v>
      </c>
      <c r="M1858" s="8"/>
      <c r="N1858" s="5"/>
      <c r="O1858" s="5"/>
      <c r="P1858" s="5"/>
      <c r="Q1858" s="7">
        <v>14</v>
      </c>
      <c r="R1858" s="6" t="s">
        <v>1734</v>
      </c>
      <c r="S1858" s="13" t="s">
        <v>1616</v>
      </c>
      <c r="T1858" s="6"/>
      <c r="U1858" s="7" t="s">
        <v>1734</v>
      </c>
      <c r="V1858" s="5"/>
      <c r="W1858" s="7" t="s">
        <v>3</v>
      </c>
      <c r="X1858" s="6" t="s">
        <v>3</v>
      </c>
      <c r="Y1858" s="5"/>
      <c r="Z1858" s="7">
        <v>2</v>
      </c>
      <c r="AA1858" s="6"/>
      <c r="AB1858" s="5"/>
      <c r="AC1858" s="6"/>
      <c r="AD1858" s="6" t="s">
        <v>3</v>
      </c>
      <c r="AE1858" s="5"/>
      <c r="AF1858" s="7">
        <v>4</v>
      </c>
      <c r="AG1858" s="6"/>
      <c r="AH1858" s="5"/>
      <c r="AI1858" s="6">
        <v>8</v>
      </c>
      <c r="AJ1858" s="6"/>
      <c r="AK1858" s="5"/>
      <c r="AL1858" s="6"/>
      <c r="AM1858" s="6"/>
      <c r="AN1858" s="6"/>
      <c r="AO1858" s="6"/>
      <c r="AP1858" s="6"/>
      <c r="AQ1858" s="6"/>
    </row>
    <row r="1859" spans="1:43" x14ac:dyDescent="0.25">
      <c r="A1859" s="44" t="str">
        <f t="shared" si="33"/>
        <v>UNION_DIVISION</v>
      </c>
      <c r="C1859" s="5"/>
      <c r="D1859" s="5"/>
      <c r="E1859" s="5" t="s">
        <v>1382</v>
      </c>
      <c r="F1859" s="5" t="s">
        <v>1536</v>
      </c>
      <c r="G1859" s="5"/>
      <c r="H1859" s="5" t="s">
        <v>1535</v>
      </c>
      <c r="I1859" s="5" t="s">
        <v>128</v>
      </c>
      <c r="J1859" s="6"/>
      <c r="K1859" s="6"/>
      <c r="L1859" s="13" t="s">
        <v>1705</v>
      </c>
      <c r="M1859" s="8"/>
      <c r="N1859" s="5"/>
      <c r="O1859" s="5"/>
      <c r="P1859" s="5"/>
      <c r="Q1859" s="7">
        <v>7</v>
      </c>
      <c r="R1859" s="6" t="s">
        <v>1734</v>
      </c>
      <c r="S1859" s="13" t="s">
        <v>1616</v>
      </c>
      <c r="T1859" s="6"/>
      <c r="U1859" s="7" t="s">
        <v>1734</v>
      </c>
      <c r="V1859" s="5"/>
      <c r="W1859" s="7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>
        <v>2</v>
      </c>
      <c r="AG1859" s="6"/>
      <c r="AH1859" s="5"/>
      <c r="AI1859" s="6">
        <v>5</v>
      </c>
      <c r="AJ1859" s="6"/>
      <c r="AK1859" s="5"/>
      <c r="AL1859" s="6"/>
      <c r="AM1859" s="6"/>
      <c r="AN1859" s="6"/>
      <c r="AO1859" s="6"/>
      <c r="AP1859" s="6"/>
      <c r="AQ1859" s="6"/>
    </row>
    <row r="1860" spans="1:43" x14ac:dyDescent="0.25">
      <c r="A1860" s="44" t="str">
        <f t="shared" si="33"/>
        <v>UNION_GENERAL</v>
      </c>
      <c r="C1860" s="5"/>
      <c r="D1860" s="5"/>
      <c r="E1860" s="5" t="s">
        <v>1383</v>
      </c>
      <c r="F1860" s="5" t="s">
        <v>1385</v>
      </c>
      <c r="G1860" s="5"/>
      <c r="H1860" s="5" t="s">
        <v>1533</v>
      </c>
      <c r="I1860" s="5" t="s">
        <v>128</v>
      </c>
      <c r="J1860" s="6"/>
      <c r="K1860" s="6"/>
      <c r="L1860" s="13" t="s">
        <v>1705</v>
      </c>
      <c r="M1860" s="8"/>
      <c r="N1860" s="5"/>
      <c r="O1860" s="5"/>
      <c r="P1860" s="5"/>
      <c r="Q1860" s="7">
        <v>1</v>
      </c>
      <c r="R1860" s="6" t="s">
        <v>1692</v>
      </c>
      <c r="S1860" s="13" t="s">
        <v>1617</v>
      </c>
      <c r="T1860" s="6"/>
      <c r="U1860" s="7" t="s">
        <v>1734</v>
      </c>
      <c r="V1860" s="5"/>
      <c r="W1860" s="6"/>
      <c r="X1860" s="6" t="s">
        <v>3</v>
      </c>
      <c r="Y1860" s="5"/>
      <c r="Z1860" s="6"/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6"/>
      <c r="AM1860" s="6"/>
      <c r="AN1860" s="6"/>
      <c r="AO1860" s="6"/>
      <c r="AP1860" s="6"/>
      <c r="AQ1860" s="6"/>
    </row>
    <row r="1861" spans="1:43" x14ac:dyDescent="0.25">
      <c r="A1861" s="44" t="str">
        <f t="shared" si="33"/>
        <v>UNION_IRONCLAD</v>
      </c>
      <c r="C1861" s="5"/>
      <c r="D1861" s="5"/>
      <c r="E1861" s="5" t="s">
        <v>1384</v>
      </c>
      <c r="F1861" s="5" t="s">
        <v>1384</v>
      </c>
      <c r="G1861" s="5"/>
      <c r="H1861" s="5" t="s">
        <v>1534</v>
      </c>
      <c r="I1861" s="5" t="s">
        <v>128</v>
      </c>
      <c r="J1861" s="6"/>
      <c r="K1861" s="7"/>
      <c r="L1861" s="13" t="s">
        <v>1710</v>
      </c>
      <c r="M1861" s="8"/>
      <c r="N1861" s="13" t="s">
        <v>1724</v>
      </c>
      <c r="O1861" s="13"/>
      <c r="P1861" s="13"/>
      <c r="Q1861" s="7">
        <v>1</v>
      </c>
      <c r="R1861" s="6" t="s">
        <v>1692</v>
      </c>
      <c r="S1861" s="5"/>
      <c r="T1861" s="6"/>
      <c r="U1861" s="7"/>
      <c r="V1861" s="5"/>
      <c r="W1861" s="7" t="s">
        <v>3</v>
      </c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6"/>
      <c r="AM1861" s="6"/>
      <c r="AN1861" s="6"/>
      <c r="AO1861" s="6"/>
      <c r="AP1861" s="6"/>
      <c r="AQ1861" s="6"/>
    </row>
    <row r="1862" spans="1:43" x14ac:dyDescent="0.25">
      <c r="A1862" s="44" t="str">
        <f t="shared" si="33"/>
        <v>WORKBOAT</v>
      </c>
      <c r="B1862" s="9" t="s">
        <v>1386</v>
      </c>
      <c r="C1862" s="5"/>
      <c r="D1862" s="5"/>
      <c r="E1862" s="5" t="s">
        <v>1386</v>
      </c>
      <c r="F1862" s="5" t="s">
        <v>1386</v>
      </c>
      <c r="G1862" s="5"/>
      <c r="H1862" s="5" t="s">
        <v>4</v>
      </c>
      <c r="I1862" s="5" t="s">
        <v>128</v>
      </c>
      <c r="J1862" s="6">
        <v>1</v>
      </c>
      <c r="K1862" s="7"/>
      <c r="L1862" s="13" t="s">
        <v>1709</v>
      </c>
      <c r="M1862" s="8"/>
      <c r="N1862" s="13" t="s">
        <v>1724</v>
      </c>
      <c r="O1862" s="13"/>
      <c r="P1862" s="13"/>
      <c r="Q1862" s="7">
        <v>1</v>
      </c>
      <c r="R1862" s="6">
        <v>7.0000000000000007E-2</v>
      </c>
      <c r="S1862" s="5"/>
      <c r="T1862" s="7">
        <v>3</v>
      </c>
      <c r="U1862" s="6">
        <v>5.5E-2</v>
      </c>
      <c r="V1862" s="5" t="s">
        <v>1693</v>
      </c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6"/>
      <c r="AM1862" s="6"/>
      <c r="AN1862" s="6"/>
      <c r="AO1862" s="6"/>
      <c r="AP1862" s="6"/>
      <c r="AQ1862" s="6"/>
    </row>
    <row r="1863" spans="1:43" x14ac:dyDescent="0.25">
      <c r="A1863" s="44" t="str">
        <f t="shared" si="33"/>
        <v>WORKBOAT_LATE</v>
      </c>
      <c r="B1863" s="9" t="s">
        <v>1386</v>
      </c>
      <c r="C1863" s="5"/>
      <c r="D1863" s="5"/>
      <c r="E1863" s="5" t="s">
        <v>1387</v>
      </c>
      <c r="F1863" s="5" t="s">
        <v>1388</v>
      </c>
      <c r="G1863" s="5"/>
      <c r="H1863" s="5" t="s">
        <v>1539</v>
      </c>
      <c r="I1863" s="5" t="s">
        <v>128</v>
      </c>
      <c r="J1863" s="6">
        <v>0</v>
      </c>
      <c r="K1863" s="7"/>
      <c r="L1863" s="13" t="s">
        <v>1709</v>
      </c>
      <c r="M1863" s="8"/>
      <c r="N1863" s="13" t="s">
        <v>1724</v>
      </c>
      <c r="O1863" s="13"/>
      <c r="P1863" s="13"/>
      <c r="Q1863" s="7">
        <v>1</v>
      </c>
      <c r="R1863" s="6">
        <v>7.0000000000000007E-2</v>
      </c>
      <c r="S1863" s="5"/>
      <c r="T1863" s="7">
        <v>2</v>
      </c>
      <c r="U1863" s="6">
        <v>5.7000000000000002E-2</v>
      </c>
      <c r="V1863" s="5" t="s">
        <v>1693</v>
      </c>
      <c r="W1863" s="6"/>
      <c r="X1863" s="6"/>
      <c r="Y1863" s="5"/>
      <c r="Z1863" s="6"/>
      <c r="AA1863" s="6"/>
      <c r="AB1863" s="5"/>
      <c r="AC1863" s="6"/>
      <c r="AD1863" s="6"/>
      <c r="AE1863" s="5"/>
      <c r="AF1863" s="6"/>
      <c r="AG1863" s="6"/>
      <c r="AH1863" s="5"/>
      <c r="AI1863" s="6"/>
      <c r="AJ1863" s="6"/>
      <c r="AK1863" s="5"/>
      <c r="AL1863" s="6"/>
      <c r="AM1863" s="6"/>
      <c r="AN1863" s="6"/>
      <c r="AO1863" s="6"/>
      <c r="AP1863" s="6"/>
      <c r="AQ1863" s="6"/>
    </row>
    <row r="1864" spans="1:43" x14ac:dyDescent="0.25">
      <c r="A1864" s="44" t="str">
        <f t="shared" si="33"/>
        <v>WW1_BOMBER</v>
      </c>
      <c r="B1864" s="9" t="s">
        <v>2350</v>
      </c>
      <c r="C1864" s="5"/>
      <c r="D1864" s="5"/>
      <c r="E1864" s="5" t="s">
        <v>778</v>
      </c>
      <c r="F1864" s="5" t="s">
        <v>778</v>
      </c>
      <c r="G1864" s="5"/>
      <c r="H1864" s="5" t="s">
        <v>1160</v>
      </c>
      <c r="I1864" s="5" t="s">
        <v>128</v>
      </c>
      <c r="J1864" s="6"/>
      <c r="K1864" s="7"/>
      <c r="L1864" s="13" t="s">
        <v>1708</v>
      </c>
      <c r="M1864" s="8">
        <v>1.5</v>
      </c>
      <c r="N1864" s="13" t="s">
        <v>1722</v>
      </c>
      <c r="O1864" s="13"/>
      <c r="P1864" s="13"/>
      <c r="Q1864" s="7">
        <v>1</v>
      </c>
      <c r="R1864" s="6">
        <v>0.08</v>
      </c>
      <c r="S1864" s="13" t="s">
        <v>1612</v>
      </c>
      <c r="T1864" s="7">
        <v>2</v>
      </c>
      <c r="U1864" s="6">
        <v>7.4999999999999997E-2</v>
      </c>
      <c r="V1864" s="5"/>
      <c r="W1864" s="6" t="s">
        <v>3</v>
      </c>
      <c r="X1864" s="6" t="s">
        <v>3</v>
      </c>
      <c r="Y1864" s="5"/>
      <c r="Z1864" s="6"/>
      <c r="AA1864" s="6"/>
      <c r="AB1864" s="5"/>
      <c r="AC1864" s="6"/>
      <c r="AD1864" s="6" t="s">
        <v>3</v>
      </c>
      <c r="AE1864" s="5"/>
      <c r="AF1864" s="6"/>
      <c r="AG1864" s="6"/>
      <c r="AH1864" s="5"/>
      <c r="AI1864" s="6"/>
      <c r="AJ1864" s="6"/>
      <c r="AK1864" s="5"/>
      <c r="AL1864" s="6"/>
      <c r="AM1864" s="6"/>
      <c r="AN1864" s="6"/>
      <c r="AO1864" s="6"/>
      <c r="AP1864" s="6"/>
      <c r="AQ1864" s="6"/>
    </row>
    <row r="1865" spans="1:43" x14ac:dyDescent="0.25">
      <c r="A1865" s="44" t="str">
        <f t="shared" si="33"/>
        <v>WW1_BOMBER_ZULU</v>
      </c>
      <c r="B1865" s="9" t="s">
        <v>2350</v>
      </c>
      <c r="C1865" s="5" t="s">
        <v>742</v>
      </c>
      <c r="D1865" s="5" t="s">
        <v>713</v>
      </c>
      <c r="E1865" s="5" t="s">
        <v>778</v>
      </c>
      <c r="F1865" s="5" t="s">
        <v>778</v>
      </c>
      <c r="G1865" s="5"/>
      <c r="H1865" s="5"/>
      <c r="I1865" s="5"/>
      <c r="J1865" s="6"/>
      <c r="K1865" s="7"/>
      <c r="L1865" s="13"/>
      <c r="M1865" s="8"/>
      <c r="N1865" s="13"/>
      <c r="O1865" s="13"/>
      <c r="P1865" s="13"/>
      <c r="Q1865" s="7"/>
      <c r="R1865" s="6"/>
      <c r="S1865" s="13"/>
      <c r="T1865" s="7"/>
      <c r="U1865" s="6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6"/>
      <c r="AM1865" s="6"/>
      <c r="AN1865" s="6"/>
      <c r="AO1865" s="6"/>
      <c r="AP1865" s="6"/>
      <c r="AQ1865" s="6"/>
    </row>
    <row r="1866" spans="1:43" x14ac:dyDescent="0.25">
      <c r="A1866" s="44" t="str">
        <f t="shared" si="33"/>
        <v>WW1_BOMBER_AUSTRALIA</v>
      </c>
      <c r="B1866" s="9" t="s">
        <v>2350</v>
      </c>
      <c r="C1866" s="5" t="s">
        <v>1300</v>
      </c>
      <c r="D1866" s="5" t="s">
        <v>713</v>
      </c>
      <c r="E1866" s="5" t="s">
        <v>778</v>
      </c>
      <c r="F1866" s="5" t="s">
        <v>778</v>
      </c>
      <c r="G1866" s="5"/>
      <c r="H1866" s="5"/>
      <c r="I1866" s="5"/>
      <c r="J1866" s="6"/>
      <c r="K1866" s="7"/>
      <c r="L1866" s="13"/>
      <c r="M1866" s="8"/>
      <c r="N1866" s="13"/>
      <c r="O1866" s="13"/>
      <c r="P1866" s="13"/>
      <c r="Q1866" s="7"/>
      <c r="R1866" s="6"/>
      <c r="S1866" s="13"/>
      <c r="T1866" s="7"/>
      <c r="U1866" s="6"/>
      <c r="V1866" s="5"/>
      <c r="W1866" s="6"/>
      <c r="X1866" s="6"/>
      <c r="Y1866" s="5"/>
      <c r="Z1866" s="6"/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6"/>
      <c r="AM1866" s="6"/>
      <c r="AN1866" s="6"/>
      <c r="AO1866" s="6"/>
      <c r="AP1866" s="6"/>
      <c r="AQ1866" s="6"/>
    </row>
    <row r="1867" spans="1:43" x14ac:dyDescent="0.25">
      <c r="A1867" s="44" t="str">
        <f t="shared" si="33"/>
        <v>WW1_BOMBER_CANADA</v>
      </c>
      <c r="B1867" s="9" t="s">
        <v>2350</v>
      </c>
      <c r="C1867" s="5" t="s">
        <v>2187</v>
      </c>
      <c r="D1867" s="5" t="s">
        <v>713</v>
      </c>
      <c r="E1867" s="5" t="s">
        <v>778</v>
      </c>
      <c r="F1867" s="5" t="s">
        <v>778</v>
      </c>
      <c r="G1867" s="5"/>
      <c r="H1867" s="5"/>
      <c r="I1867" s="5"/>
      <c r="J1867" s="6"/>
      <c r="K1867" s="7"/>
      <c r="L1867" s="13"/>
      <c r="M1867" s="8"/>
      <c r="N1867" s="13"/>
      <c r="O1867" s="13"/>
      <c r="P1867" s="13"/>
      <c r="Q1867" s="7"/>
      <c r="R1867" s="6"/>
      <c r="S1867" s="13"/>
      <c r="T1867" s="7"/>
      <c r="U1867" s="6"/>
      <c r="V1867" s="5"/>
      <c r="W1867" s="6"/>
      <c r="X1867" s="6"/>
      <c r="Y1867" s="5"/>
      <c r="Z1867" s="6"/>
      <c r="AA1867" s="6"/>
      <c r="AB1867" s="5"/>
      <c r="AC1867" s="6"/>
      <c r="AD1867" s="6"/>
      <c r="AE1867" s="5"/>
      <c r="AF1867" s="6"/>
      <c r="AG1867" s="6"/>
      <c r="AH1867" s="5"/>
      <c r="AI1867" s="6"/>
      <c r="AJ1867" s="6"/>
      <c r="AK1867" s="5"/>
      <c r="AL1867" s="6"/>
      <c r="AM1867" s="6"/>
      <c r="AN1867" s="6"/>
      <c r="AO1867" s="6"/>
      <c r="AP1867" s="6"/>
      <c r="AQ1867" s="6"/>
    </row>
    <row r="1868" spans="1:43" x14ac:dyDescent="0.25">
      <c r="A1868" s="44" t="str">
        <f t="shared" si="33"/>
        <v>WW1_BOMBER_CELTS</v>
      </c>
      <c r="B1868" s="9" t="s">
        <v>2350</v>
      </c>
      <c r="C1868" s="5" t="s">
        <v>709</v>
      </c>
      <c r="D1868" s="5" t="s">
        <v>713</v>
      </c>
      <c r="E1868" s="5" t="s">
        <v>778</v>
      </c>
      <c r="F1868" s="5" t="s">
        <v>778</v>
      </c>
      <c r="G1868" s="5"/>
      <c r="H1868" s="5"/>
      <c r="I1868" s="5"/>
      <c r="J1868" s="6"/>
      <c r="K1868" s="7"/>
      <c r="L1868" s="13"/>
      <c r="M1868" s="8"/>
      <c r="N1868" s="13"/>
      <c r="O1868" s="13"/>
      <c r="P1868" s="13"/>
      <c r="Q1868" s="7"/>
      <c r="R1868" s="6"/>
      <c r="S1868" s="13"/>
      <c r="T1868" s="7"/>
      <c r="U1868" s="6"/>
      <c r="V1868" s="5"/>
      <c r="W1868" s="6"/>
      <c r="X1868" s="6"/>
      <c r="Y1868" s="5"/>
      <c r="Z1868" s="6"/>
      <c r="AA1868" s="6"/>
      <c r="AB1868" s="5"/>
      <c r="AC1868" s="6"/>
      <c r="AD1868" s="6"/>
      <c r="AE1868" s="5"/>
      <c r="AF1868" s="6"/>
      <c r="AG1868" s="6"/>
      <c r="AH1868" s="5"/>
      <c r="AI1868" s="6"/>
      <c r="AJ1868" s="6"/>
      <c r="AK1868" s="5"/>
      <c r="AL1868" s="6"/>
      <c r="AM1868" s="6"/>
      <c r="AN1868" s="6"/>
      <c r="AO1868" s="6"/>
      <c r="AP1868" s="6"/>
      <c r="AQ1868" s="6"/>
    </row>
    <row r="1869" spans="1:43" x14ac:dyDescent="0.25">
      <c r="A1869" s="44" t="str">
        <f t="shared" si="33"/>
        <v>WW1_BOMBER_ENGLAND</v>
      </c>
      <c r="B1869" s="9" t="s">
        <v>2350</v>
      </c>
      <c r="C1869" s="5" t="s">
        <v>713</v>
      </c>
      <c r="D1869" s="5"/>
      <c r="E1869" s="5" t="s">
        <v>778</v>
      </c>
      <c r="F1869" s="5" t="s">
        <v>778</v>
      </c>
      <c r="G1869" s="5"/>
      <c r="H1869" s="5" t="s">
        <v>2205</v>
      </c>
      <c r="I1869" s="5" t="s">
        <v>2203</v>
      </c>
      <c r="J1869" s="6"/>
      <c r="K1869" s="7"/>
      <c r="L1869" s="13"/>
      <c r="M1869" s="8"/>
      <c r="N1869" s="13"/>
      <c r="O1869" s="13"/>
      <c r="P1869" s="13"/>
      <c r="Q1869" s="7"/>
      <c r="R1869" s="6">
        <v>0.17799999999999999</v>
      </c>
      <c r="S1869" s="13"/>
      <c r="T1869" s="7"/>
      <c r="U1869" s="6">
        <v>0.16500000000000001</v>
      </c>
      <c r="V1869" s="5"/>
      <c r="W1869" s="6"/>
      <c r="X1869" s="6"/>
      <c r="Y1869" s="5"/>
      <c r="Z1869" s="6"/>
      <c r="AA1869" s="6"/>
      <c r="AB1869" s="5"/>
      <c r="AC1869" s="6"/>
      <c r="AD1869" s="6"/>
      <c r="AE1869" s="5"/>
      <c r="AF1869" s="6"/>
      <c r="AG1869" s="6"/>
      <c r="AH1869" s="5"/>
      <c r="AI1869" s="6"/>
      <c r="AJ1869" s="6"/>
      <c r="AK1869" s="5"/>
      <c r="AL1869" s="6"/>
      <c r="AM1869" s="6"/>
      <c r="AN1869" s="6"/>
      <c r="AO1869" s="6"/>
      <c r="AP1869" s="6"/>
      <c r="AQ1869" s="6"/>
    </row>
    <row r="1870" spans="1:43" x14ac:dyDescent="0.25">
      <c r="A1870" s="44" t="str">
        <f t="shared" si="33"/>
        <v>WW1_BOMBER_SOUTHAS</v>
      </c>
      <c r="B1870" s="9" t="s">
        <v>2350</v>
      </c>
      <c r="C1870" s="5" t="s">
        <v>695</v>
      </c>
      <c r="D1870" s="5" t="s">
        <v>713</v>
      </c>
      <c r="E1870" s="5" t="s">
        <v>778</v>
      </c>
      <c r="F1870" s="5" t="s">
        <v>778</v>
      </c>
      <c r="G1870" s="5"/>
      <c r="H1870" s="5"/>
      <c r="I1870" s="5"/>
      <c r="J1870" s="6"/>
      <c r="K1870" s="7"/>
      <c r="L1870" s="13"/>
      <c r="M1870" s="8"/>
      <c r="N1870" s="13"/>
      <c r="O1870" s="13"/>
      <c r="P1870" s="13"/>
      <c r="Q1870" s="7"/>
      <c r="R1870" s="6"/>
      <c r="S1870" s="13"/>
      <c r="T1870" s="7"/>
      <c r="U1870" s="6"/>
      <c r="V1870" s="5"/>
      <c r="W1870" s="6"/>
      <c r="X1870" s="6"/>
      <c r="Y1870" s="5"/>
      <c r="Z1870" s="6"/>
      <c r="AA1870" s="6"/>
      <c r="AB1870" s="5"/>
      <c r="AC1870" s="6"/>
      <c r="AD1870" s="6"/>
      <c r="AE1870" s="5"/>
      <c r="AF1870" s="6"/>
      <c r="AG1870" s="6"/>
      <c r="AH1870" s="5"/>
      <c r="AI1870" s="6"/>
      <c r="AJ1870" s="6"/>
      <c r="AK1870" s="5"/>
      <c r="AL1870" s="6"/>
      <c r="AM1870" s="6"/>
      <c r="AN1870" s="6"/>
      <c r="AO1870" s="6"/>
      <c r="AP1870" s="6"/>
      <c r="AQ1870" s="6"/>
    </row>
    <row r="1871" spans="1:43" x14ac:dyDescent="0.25">
      <c r="A1871" s="44" t="str">
        <f t="shared" si="33"/>
        <v>WW1_FIGHTER</v>
      </c>
      <c r="B1871" s="9" t="s">
        <v>2351</v>
      </c>
      <c r="C1871" s="5"/>
      <c r="D1871" s="5"/>
      <c r="E1871" s="5" t="s">
        <v>779</v>
      </c>
      <c r="F1871" s="5" t="s">
        <v>779</v>
      </c>
      <c r="G1871" s="5"/>
      <c r="H1871" s="5" t="s">
        <v>1159</v>
      </c>
      <c r="I1871" s="5" t="s">
        <v>128</v>
      </c>
      <c r="J1871" s="6"/>
      <c r="K1871" s="7"/>
      <c r="L1871" s="13" t="s">
        <v>1708</v>
      </c>
      <c r="M1871" s="8">
        <v>1.8</v>
      </c>
      <c r="N1871" s="13" t="s">
        <v>1722</v>
      </c>
      <c r="O1871" s="13"/>
      <c r="P1871" s="13"/>
      <c r="Q1871" s="7">
        <v>3</v>
      </c>
      <c r="R1871" s="6">
        <v>0.08</v>
      </c>
      <c r="S1871" s="13" t="s">
        <v>1618</v>
      </c>
      <c r="T1871" s="6"/>
      <c r="U1871" s="6">
        <v>7.0000000000000007E-2</v>
      </c>
      <c r="V1871" s="5"/>
      <c r="W1871" s="6" t="s">
        <v>3</v>
      </c>
      <c r="X1871" s="6" t="s">
        <v>3</v>
      </c>
      <c r="Y1871" s="5"/>
      <c r="Z1871" s="6">
        <v>1</v>
      </c>
      <c r="AA1871" s="6"/>
      <c r="AB1871" s="5"/>
      <c r="AC1871" s="6"/>
      <c r="AD1871" s="6" t="s">
        <v>3</v>
      </c>
      <c r="AE1871" s="5"/>
      <c r="AF1871" s="6"/>
      <c r="AG1871" s="6"/>
      <c r="AH1871" s="5"/>
      <c r="AI1871" s="6"/>
      <c r="AJ1871" s="6"/>
      <c r="AK1871" s="5"/>
      <c r="AL1871" s="6"/>
      <c r="AM1871" s="6"/>
      <c r="AN1871" s="6"/>
      <c r="AO1871" s="6"/>
      <c r="AP1871" s="6"/>
      <c r="AQ1871" s="6"/>
    </row>
    <row r="1872" spans="1:43" x14ac:dyDescent="0.25">
      <c r="A1872" s="44" t="str">
        <f t="shared" si="33"/>
        <v>WW1_FIGHTER_ZULU</v>
      </c>
      <c r="B1872" s="9" t="s">
        <v>2351</v>
      </c>
      <c r="C1872" s="5" t="s">
        <v>742</v>
      </c>
      <c r="D1872" s="5" t="s">
        <v>713</v>
      </c>
      <c r="E1872" s="5" t="s">
        <v>779</v>
      </c>
      <c r="F1872" s="5" t="s">
        <v>779</v>
      </c>
      <c r="G1872" s="5"/>
      <c r="H1872" s="5"/>
      <c r="I1872" s="5"/>
      <c r="J1872" s="6"/>
      <c r="K1872" s="7"/>
      <c r="L1872" s="13"/>
      <c r="M1872" s="8"/>
      <c r="N1872" s="13"/>
      <c r="O1872" s="13"/>
      <c r="P1872" s="13"/>
      <c r="Q1872" s="7"/>
      <c r="R1872" s="6"/>
      <c r="S1872" s="13"/>
      <c r="T1872" s="6"/>
      <c r="U1872" s="6"/>
      <c r="V1872" s="5"/>
      <c r="W1872" s="6"/>
      <c r="X1872" s="6"/>
      <c r="Y1872" s="5"/>
      <c r="Z1872" s="6"/>
      <c r="AA1872" s="6"/>
      <c r="AB1872" s="5"/>
      <c r="AC1872" s="6"/>
      <c r="AD1872" s="6"/>
      <c r="AE1872" s="5"/>
      <c r="AF1872" s="6"/>
      <c r="AG1872" s="6"/>
      <c r="AH1872" s="5"/>
      <c r="AI1872" s="6"/>
      <c r="AJ1872" s="6"/>
      <c r="AK1872" s="5"/>
      <c r="AL1872" s="6"/>
      <c r="AM1872" s="6"/>
      <c r="AN1872" s="6"/>
      <c r="AO1872" s="6"/>
      <c r="AP1872" s="6"/>
      <c r="AQ1872" s="6"/>
    </row>
    <row r="1873" spans="1:43" x14ac:dyDescent="0.25">
      <c r="A1873" s="44" t="str">
        <f t="shared" si="33"/>
        <v>WW1_FIGHTER_AMER</v>
      </c>
      <c r="B1873" s="9" t="s">
        <v>2351</v>
      </c>
      <c r="C1873" s="5" t="s">
        <v>697</v>
      </c>
      <c r="D1873" s="5" t="s">
        <v>699</v>
      </c>
      <c r="E1873" s="5" t="s">
        <v>779</v>
      </c>
      <c r="F1873" s="5" t="s">
        <v>779</v>
      </c>
      <c r="G1873" s="5"/>
      <c r="H1873" s="5"/>
      <c r="I1873" s="5"/>
      <c r="J1873" s="6"/>
      <c r="K1873" s="7"/>
      <c r="L1873" s="13"/>
      <c r="M1873" s="8"/>
      <c r="N1873" s="13"/>
      <c r="O1873" s="13"/>
      <c r="P1873" s="13"/>
      <c r="Q1873" s="7"/>
      <c r="R1873" s="6"/>
      <c r="S1873" s="13"/>
      <c r="T1873" s="6"/>
      <c r="U1873" s="6"/>
      <c r="V1873" s="5"/>
      <c r="W1873" s="6"/>
      <c r="X1873" s="6"/>
      <c r="Y1873" s="5"/>
      <c r="Z1873" s="6"/>
      <c r="AA1873" s="6"/>
      <c r="AB1873" s="5"/>
      <c r="AC1873" s="6"/>
      <c r="AD1873" s="6"/>
      <c r="AE1873" s="5"/>
      <c r="AF1873" s="6"/>
      <c r="AG1873" s="6"/>
      <c r="AH1873" s="5"/>
      <c r="AI1873" s="6"/>
      <c r="AJ1873" s="6"/>
      <c r="AK1873" s="5"/>
      <c r="AL1873" s="6"/>
      <c r="AM1873" s="6"/>
      <c r="AN1873" s="6"/>
      <c r="AO1873" s="6"/>
      <c r="AP1873" s="6"/>
      <c r="AQ1873" s="6"/>
    </row>
    <row r="1874" spans="1:43" x14ac:dyDescent="0.25">
      <c r="A1874" s="44" t="str">
        <f t="shared" si="33"/>
        <v>WW1_FIGHTER_ASIA</v>
      </c>
      <c r="B1874" s="9" t="s">
        <v>2351</v>
      </c>
      <c r="C1874" s="4" t="s">
        <v>693</v>
      </c>
      <c r="E1874" s="4" t="s">
        <v>779</v>
      </c>
      <c r="F1874" s="4" t="s">
        <v>779</v>
      </c>
      <c r="G1874" s="14" t="s">
        <v>132</v>
      </c>
      <c r="H1874" s="4" t="s">
        <v>493</v>
      </c>
      <c r="I1874" s="4" t="s">
        <v>102</v>
      </c>
      <c r="AL1874" s="11"/>
      <c r="AM1874" s="11"/>
      <c r="AN1874" s="11"/>
      <c r="AO1874" s="11"/>
      <c r="AP1874" s="11"/>
      <c r="AQ1874" s="11"/>
    </row>
    <row r="1875" spans="1:43" x14ac:dyDescent="0.25">
      <c r="A1875" s="44" t="str">
        <f t="shared" si="33"/>
        <v>WW1_FIGHTER_CHINA</v>
      </c>
      <c r="B1875" s="9" t="s">
        <v>2351</v>
      </c>
      <c r="C1875" s="4" t="s">
        <v>710</v>
      </c>
      <c r="D1875" s="4" t="s">
        <v>693</v>
      </c>
      <c r="E1875" s="4" t="s">
        <v>779</v>
      </c>
      <c r="F1875" s="4" t="s">
        <v>779</v>
      </c>
      <c r="G1875" s="14"/>
      <c r="H1875" s="4" t="s">
        <v>261</v>
      </c>
      <c r="I1875" s="4" t="s">
        <v>102</v>
      </c>
      <c r="AL1875" s="11"/>
      <c r="AM1875" s="11"/>
      <c r="AN1875" s="11"/>
      <c r="AO1875" s="11"/>
      <c r="AP1875" s="11"/>
      <c r="AQ1875" s="11"/>
    </row>
    <row r="1876" spans="1:43" x14ac:dyDescent="0.25">
      <c r="A1876" s="44" t="str">
        <f t="shared" si="33"/>
        <v>WW1_FIGHTER_JAPAN</v>
      </c>
      <c r="B1876" s="9" t="s">
        <v>2351</v>
      </c>
      <c r="C1876" s="4" t="s">
        <v>722</v>
      </c>
      <c r="D1876" s="4" t="s">
        <v>693</v>
      </c>
      <c r="E1876" s="4" t="s">
        <v>779</v>
      </c>
      <c r="F1876" s="4" t="s">
        <v>779</v>
      </c>
      <c r="G1876" s="14" t="s">
        <v>132</v>
      </c>
      <c r="AL1876" s="11"/>
      <c r="AM1876" s="11"/>
      <c r="AN1876" s="11"/>
      <c r="AO1876" s="11"/>
      <c r="AP1876" s="11"/>
      <c r="AQ1876" s="11"/>
    </row>
    <row r="1877" spans="1:43" x14ac:dyDescent="0.25">
      <c r="A1877" s="44" t="str">
        <f t="shared" si="33"/>
        <v>WW1_FIGHTER_CENTAS</v>
      </c>
      <c r="B1877" s="9" t="s">
        <v>2351</v>
      </c>
      <c r="C1877" s="4" t="s">
        <v>918</v>
      </c>
      <c r="D1877" s="4" t="s">
        <v>698</v>
      </c>
      <c r="E1877" s="4" t="s">
        <v>779</v>
      </c>
      <c r="F1877" s="4" t="s">
        <v>779</v>
      </c>
      <c r="G1877" s="14"/>
      <c r="AL1877" s="11"/>
      <c r="AM1877" s="11"/>
      <c r="AN1877" s="11"/>
      <c r="AO1877" s="11"/>
      <c r="AP1877" s="11"/>
      <c r="AQ1877" s="11"/>
    </row>
    <row r="1878" spans="1:43" x14ac:dyDescent="0.25">
      <c r="A1878" s="44" t="str">
        <f t="shared" si="33"/>
        <v>WW1_FIGHTER_HUNS</v>
      </c>
      <c r="B1878" s="9" t="s">
        <v>2351</v>
      </c>
      <c r="C1878" s="4" t="s">
        <v>904</v>
      </c>
      <c r="E1878" s="4" t="s">
        <v>779</v>
      </c>
      <c r="F1878" s="4" t="s">
        <v>779</v>
      </c>
      <c r="H1878" s="4" t="s">
        <v>917</v>
      </c>
      <c r="I1878" s="4" t="s">
        <v>102</v>
      </c>
      <c r="AL1878" s="11"/>
      <c r="AM1878" s="11"/>
      <c r="AN1878" s="11"/>
      <c r="AO1878" s="11"/>
      <c r="AP1878" s="11"/>
      <c r="AQ1878" s="11"/>
    </row>
    <row r="1879" spans="1:43" x14ac:dyDescent="0.25">
      <c r="A1879" s="44" t="str">
        <f t="shared" si="33"/>
        <v>WW1_FIGHTER_EASTEU</v>
      </c>
      <c r="B1879" s="9" t="s">
        <v>2351</v>
      </c>
      <c r="C1879" s="4" t="s">
        <v>698</v>
      </c>
      <c r="E1879" s="4" t="s">
        <v>779</v>
      </c>
      <c r="F1879" s="4" t="s">
        <v>779</v>
      </c>
      <c r="G1879" s="14" t="s">
        <v>132</v>
      </c>
      <c r="H1879" s="4" t="s">
        <v>576</v>
      </c>
      <c r="I1879" s="4" t="s">
        <v>102</v>
      </c>
      <c r="AL1879" s="11"/>
      <c r="AM1879" s="11"/>
      <c r="AN1879" s="11"/>
      <c r="AO1879" s="11"/>
      <c r="AP1879" s="11"/>
      <c r="AQ1879" s="11"/>
    </row>
    <row r="1880" spans="1:43" x14ac:dyDescent="0.25">
      <c r="A1880" s="44" t="str">
        <f t="shared" si="33"/>
        <v>WW1_FIGHTER_RUSSIA</v>
      </c>
      <c r="B1880" s="9" t="s">
        <v>2351</v>
      </c>
      <c r="C1880" s="4" t="s">
        <v>735</v>
      </c>
      <c r="E1880" s="4" t="s">
        <v>779</v>
      </c>
      <c r="F1880" s="4" t="s">
        <v>779</v>
      </c>
      <c r="G1880" s="14" t="s">
        <v>132</v>
      </c>
      <c r="H1880" s="4" t="s">
        <v>629</v>
      </c>
      <c r="I1880" s="4" t="s">
        <v>102</v>
      </c>
      <c r="AL1880" s="11"/>
      <c r="AM1880" s="11"/>
      <c r="AN1880" s="11"/>
      <c r="AO1880" s="11"/>
      <c r="AP1880" s="11"/>
      <c r="AQ1880" s="11"/>
    </row>
    <row r="1881" spans="1:43" x14ac:dyDescent="0.25">
      <c r="A1881" s="44" t="str">
        <f t="shared" si="33"/>
        <v>WW1_FIGHTER_AMERICA</v>
      </c>
      <c r="B1881" s="9" t="s">
        <v>2351</v>
      </c>
      <c r="C1881" s="4" t="s">
        <v>699</v>
      </c>
      <c r="E1881" s="4" t="s">
        <v>779</v>
      </c>
      <c r="F1881" s="4" t="s">
        <v>779</v>
      </c>
      <c r="G1881" s="14"/>
      <c r="H1881" s="4" t="s">
        <v>154</v>
      </c>
      <c r="I1881" s="4" t="s">
        <v>102</v>
      </c>
      <c r="AL1881" s="11"/>
      <c r="AM1881" s="11"/>
      <c r="AN1881" s="11"/>
      <c r="AO1881" s="11"/>
      <c r="AP1881" s="11"/>
      <c r="AQ1881" s="11"/>
    </row>
    <row r="1882" spans="1:43" x14ac:dyDescent="0.25">
      <c r="A1882" s="44" t="str">
        <f t="shared" si="33"/>
        <v>WW1_FIGHTER_AUSTRALIA</v>
      </c>
      <c r="B1882" s="9" t="s">
        <v>2351</v>
      </c>
      <c r="C1882" s="4" t="s">
        <v>1300</v>
      </c>
      <c r="D1882" s="4" t="s">
        <v>713</v>
      </c>
      <c r="E1882" s="4" t="s">
        <v>779</v>
      </c>
      <c r="F1882" s="4" t="s">
        <v>779</v>
      </c>
      <c r="G1882" s="14"/>
      <c r="AL1882" s="11"/>
      <c r="AM1882" s="11"/>
      <c r="AN1882" s="11"/>
      <c r="AO1882" s="11"/>
      <c r="AP1882" s="11"/>
      <c r="AQ1882" s="11"/>
    </row>
    <row r="1883" spans="1:43" x14ac:dyDescent="0.25">
      <c r="A1883" s="44" t="str">
        <f t="shared" si="33"/>
        <v>WW1_FIGHTER_AUSTRIA</v>
      </c>
      <c r="B1883" s="9" t="s">
        <v>2351</v>
      </c>
      <c r="C1883" s="4" t="s">
        <v>701</v>
      </c>
      <c r="E1883" s="4" t="s">
        <v>779</v>
      </c>
      <c r="F1883" s="4" t="s">
        <v>779</v>
      </c>
      <c r="G1883" s="14"/>
      <c r="H1883" s="4" t="s">
        <v>188</v>
      </c>
      <c r="I1883" s="4" t="s">
        <v>102</v>
      </c>
      <c r="AL1883" s="11"/>
      <c r="AM1883" s="11"/>
      <c r="AN1883" s="11"/>
      <c r="AO1883" s="11"/>
      <c r="AP1883" s="11"/>
      <c r="AQ1883" s="11"/>
    </row>
    <row r="1884" spans="1:43" x14ac:dyDescent="0.25">
      <c r="A1884" s="44" t="str">
        <f t="shared" si="33"/>
        <v>WW1_FIGHTER_BELGIUM</v>
      </c>
      <c r="B1884" s="9" t="s">
        <v>2351</v>
      </c>
      <c r="C1884" s="4" t="s">
        <v>704</v>
      </c>
      <c r="E1884" s="4" t="s">
        <v>779</v>
      </c>
      <c r="F1884" s="4" t="s">
        <v>779</v>
      </c>
      <c r="G1884" s="14"/>
      <c r="H1884" s="4" t="s">
        <v>2202</v>
      </c>
      <c r="I1884" s="4" t="s">
        <v>2203</v>
      </c>
      <c r="AL1884" s="11"/>
      <c r="AM1884" s="11"/>
      <c r="AN1884" s="11"/>
      <c r="AO1884" s="11"/>
      <c r="AP1884" s="11"/>
      <c r="AQ1884" s="11"/>
    </row>
    <row r="1885" spans="1:43" x14ac:dyDescent="0.25">
      <c r="A1885" s="44" t="str">
        <f t="shared" si="33"/>
        <v>WW1_FIGHTER_CANADA</v>
      </c>
      <c r="B1885" s="9" t="s">
        <v>2351</v>
      </c>
      <c r="C1885" s="4" t="s">
        <v>2187</v>
      </c>
      <c r="D1885" s="4" t="s">
        <v>713</v>
      </c>
      <c r="E1885" s="4" t="s">
        <v>779</v>
      </c>
      <c r="F1885" s="4" t="s">
        <v>779</v>
      </c>
      <c r="G1885" s="14"/>
      <c r="AL1885" s="11"/>
      <c r="AM1885" s="11"/>
      <c r="AN1885" s="11"/>
      <c r="AO1885" s="11"/>
      <c r="AP1885" s="11"/>
      <c r="AQ1885" s="11"/>
    </row>
    <row r="1886" spans="1:43" x14ac:dyDescent="0.25">
      <c r="A1886" s="44" t="str">
        <f t="shared" si="33"/>
        <v>WW1_FIGHTER_CELTS</v>
      </c>
      <c r="B1886" s="9" t="s">
        <v>2351</v>
      </c>
      <c r="C1886" s="4" t="s">
        <v>709</v>
      </c>
      <c r="D1886" s="4" t="s">
        <v>713</v>
      </c>
      <c r="E1886" s="4" t="s">
        <v>779</v>
      </c>
      <c r="F1886" s="4" t="s">
        <v>779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44" t="str">
        <f t="shared" si="33"/>
        <v>WW1_FIGHTER_ENGLAND</v>
      </c>
      <c r="B1887" s="9" t="s">
        <v>2351</v>
      </c>
      <c r="C1887" s="4" t="s">
        <v>713</v>
      </c>
      <c r="E1887" s="4" t="s">
        <v>779</v>
      </c>
      <c r="F1887" s="4" t="s">
        <v>779</v>
      </c>
      <c r="G1887" s="14" t="s">
        <v>132</v>
      </c>
      <c r="H1887" s="4" t="s">
        <v>315</v>
      </c>
      <c r="I1887" s="4" t="s">
        <v>102</v>
      </c>
      <c r="AL1887" s="11"/>
      <c r="AM1887" s="11"/>
      <c r="AN1887" s="11"/>
      <c r="AO1887" s="11"/>
      <c r="AP1887" s="11"/>
      <c r="AQ1887" s="11"/>
    </row>
    <row r="1888" spans="1:43" x14ac:dyDescent="0.25">
      <c r="A1888" s="44" t="str">
        <f t="shared" si="33"/>
        <v>WW1_FIGHTER_FRANCE</v>
      </c>
      <c r="B1888" s="9" t="s">
        <v>2351</v>
      </c>
      <c r="C1888" s="4" t="s">
        <v>715</v>
      </c>
      <c r="E1888" s="4" t="s">
        <v>779</v>
      </c>
      <c r="F1888" s="4" t="s">
        <v>779</v>
      </c>
      <c r="G1888" s="14" t="s">
        <v>132</v>
      </c>
      <c r="H1888" s="4" t="s">
        <v>360</v>
      </c>
      <c r="I1888" s="4" t="s">
        <v>102</v>
      </c>
      <c r="AL1888" s="11"/>
      <c r="AM1888" s="11"/>
      <c r="AN1888" s="11"/>
      <c r="AO1888" s="11"/>
      <c r="AP1888" s="11"/>
      <c r="AQ1888" s="11"/>
    </row>
    <row r="1889" spans="1:43" x14ac:dyDescent="0.25">
      <c r="A1889" s="44" t="str">
        <f t="shared" si="33"/>
        <v>WW1_FIGHTER_GERMANY</v>
      </c>
      <c r="B1889" s="9" t="s">
        <v>2351</v>
      </c>
      <c r="C1889" s="4" t="s">
        <v>717</v>
      </c>
      <c r="E1889" s="4" t="s">
        <v>779</v>
      </c>
      <c r="F1889" s="4" t="s">
        <v>779</v>
      </c>
      <c r="G1889" s="14" t="s">
        <v>132</v>
      </c>
      <c r="H1889" s="4" t="s">
        <v>393</v>
      </c>
      <c r="I1889" s="4" t="s">
        <v>102</v>
      </c>
      <c r="AL1889" s="11"/>
      <c r="AM1889" s="11"/>
      <c r="AN1889" s="11"/>
      <c r="AO1889" s="11"/>
      <c r="AP1889" s="11"/>
      <c r="AQ1889" s="11"/>
    </row>
    <row r="1890" spans="1:43" x14ac:dyDescent="0.25">
      <c r="A1890" s="44" t="str">
        <f t="shared" si="33"/>
        <v>WW1_FIGHTER_SWISS</v>
      </c>
      <c r="B1890" s="9" t="s">
        <v>2351</v>
      </c>
      <c r="C1890" s="4" t="s">
        <v>740</v>
      </c>
      <c r="D1890" s="4" t="s">
        <v>704</v>
      </c>
      <c r="E1890" s="4" t="s">
        <v>779</v>
      </c>
      <c r="F1890" s="4" t="s">
        <v>779</v>
      </c>
      <c r="G1890" s="14"/>
      <c r="AL1890" s="11"/>
      <c r="AM1890" s="11"/>
      <c r="AN1890" s="11"/>
      <c r="AO1890" s="11"/>
      <c r="AP1890" s="11"/>
      <c r="AQ1890" s="11"/>
    </row>
    <row r="1891" spans="1:43" x14ac:dyDescent="0.25">
      <c r="A1891" s="44" t="str">
        <f t="shared" si="33"/>
        <v>WW1_FIGHTER_MED</v>
      </c>
      <c r="B1891" s="9" t="s">
        <v>2351</v>
      </c>
      <c r="C1891" s="4" t="s">
        <v>692</v>
      </c>
      <c r="E1891" s="4" t="s">
        <v>779</v>
      </c>
      <c r="F1891" s="4" t="s">
        <v>779</v>
      </c>
      <c r="G1891" s="14"/>
      <c r="H1891" s="4" t="s">
        <v>1916</v>
      </c>
      <c r="I1891" s="4" t="s">
        <v>1917</v>
      </c>
      <c r="AL1891" s="11"/>
      <c r="AM1891" s="11"/>
      <c r="AN1891" s="11"/>
      <c r="AO1891" s="11"/>
      <c r="AP1891" s="11"/>
      <c r="AQ1891" s="11"/>
    </row>
    <row r="1892" spans="1:43" x14ac:dyDescent="0.25">
      <c r="A1892" s="44" t="str">
        <f t="shared" si="33"/>
        <v>WW1_FIGHTER_ROME</v>
      </c>
      <c r="B1892" s="9" t="s">
        <v>2351</v>
      </c>
      <c r="C1892" s="4" t="s">
        <v>734</v>
      </c>
      <c r="E1892" s="4" t="s">
        <v>779</v>
      </c>
      <c r="F1892" s="4" t="s">
        <v>779</v>
      </c>
      <c r="G1892" s="14"/>
      <c r="H1892" s="4" t="s">
        <v>601</v>
      </c>
      <c r="I1892" s="4" t="s">
        <v>102</v>
      </c>
      <c r="AL1892" s="11"/>
      <c r="AM1892" s="11"/>
      <c r="AN1892" s="11"/>
      <c r="AO1892" s="11"/>
      <c r="AP1892" s="11"/>
      <c r="AQ1892" s="11"/>
    </row>
    <row r="1893" spans="1:43" x14ac:dyDescent="0.25">
      <c r="A1893" s="44" t="str">
        <f t="shared" si="33"/>
        <v>WW1_FIGHTER_OTTOMAN</v>
      </c>
      <c r="B1893" s="9" t="s">
        <v>2351</v>
      </c>
      <c r="C1893" s="4" t="s">
        <v>1037</v>
      </c>
      <c r="E1893" s="4" t="s">
        <v>779</v>
      </c>
      <c r="F1893" s="4" t="s">
        <v>779</v>
      </c>
      <c r="G1893" s="14"/>
      <c r="H1893" s="4" t="s">
        <v>2204</v>
      </c>
      <c r="I1893" s="4" t="s">
        <v>2203</v>
      </c>
      <c r="AL1893" s="11"/>
      <c r="AM1893" s="11"/>
      <c r="AN1893" s="11"/>
      <c r="AO1893" s="11"/>
      <c r="AP1893" s="11"/>
      <c r="AQ1893" s="11"/>
    </row>
    <row r="1894" spans="1:43" x14ac:dyDescent="0.25">
      <c r="A1894" s="44" t="str">
        <f t="shared" si="33"/>
        <v>WW1_FIGHTER_NORTHAF</v>
      </c>
      <c r="B1894" s="9" t="s">
        <v>2351</v>
      </c>
      <c r="C1894" s="4" t="s">
        <v>2003</v>
      </c>
      <c r="D1894" s="4" t="s">
        <v>715</v>
      </c>
      <c r="E1894" s="4" t="s">
        <v>779</v>
      </c>
      <c r="F1894" s="4" t="s">
        <v>779</v>
      </c>
      <c r="G1894" s="14"/>
      <c r="AL1894" s="11"/>
      <c r="AM1894" s="11"/>
      <c r="AN1894" s="11"/>
      <c r="AO1894" s="11"/>
      <c r="AP1894" s="11"/>
      <c r="AQ1894" s="11"/>
    </row>
    <row r="1895" spans="1:43" x14ac:dyDescent="0.25">
      <c r="A1895" s="44" t="str">
        <f t="shared" si="33"/>
        <v>WW1_FIGHTER_SEASIA</v>
      </c>
      <c r="B1895" s="9" t="s">
        <v>2351</v>
      </c>
      <c r="C1895" s="4" t="s">
        <v>696</v>
      </c>
      <c r="D1895" s="4" t="s">
        <v>715</v>
      </c>
      <c r="E1895" s="4" t="s">
        <v>779</v>
      </c>
      <c r="F1895" s="4" t="s">
        <v>779</v>
      </c>
      <c r="G1895" s="14"/>
      <c r="AL1895" s="11"/>
      <c r="AM1895" s="11"/>
      <c r="AN1895" s="11"/>
      <c r="AO1895" s="11"/>
      <c r="AP1895" s="11"/>
      <c r="AQ1895" s="11"/>
    </row>
    <row r="1896" spans="1:43" x14ac:dyDescent="0.25">
      <c r="A1896" s="44" t="str">
        <f t="shared" si="33"/>
        <v>WW1_FIGHTER_SOUTHAM</v>
      </c>
      <c r="B1896" s="9" t="s">
        <v>2351</v>
      </c>
      <c r="C1896" s="4" t="s">
        <v>691</v>
      </c>
      <c r="D1896" s="4" t="s">
        <v>692</v>
      </c>
      <c r="E1896" s="4" t="s">
        <v>779</v>
      </c>
      <c r="F1896" s="4" t="s">
        <v>779</v>
      </c>
      <c r="G1896" s="14"/>
      <c r="AL1896" s="11"/>
      <c r="AM1896" s="11"/>
      <c r="AN1896" s="11"/>
      <c r="AO1896" s="11"/>
      <c r="AP1896" s="11"/>
      <c r="AQ1896" s="11"/>
    </row>
    <row r="1897" spans="1:43" x14ac:dyDescent="0.25">
      <c r="A1897" s="44" t="str">
        <f t="shared" si="33"/>
        <v>WW1_FIGHTER_SOUTHAS</v>
      </c>
      <c r="B1897" s="9" t="s">
        <v>2351</v>
      </c>
      <c r="C1897" s="4" t="s">
        <v>695</v>
      </c>
      <c r="E1897" s="4" t="s">
        <v>779</v>
      </c>
      <c r="F1897" s="4" t="s">
        <v>779</v>
      </c>
      <c r="G1897" s="14"/>
      <c r="H1897" s="4" t="s">
        <v>1918</v>
      </c>
      <c r="I1897" s="4" t="s">
        <v>1917</v>
      </c>
      <c r="AL1897" s="11"/>
      <c r="AM1897" s="11"/>
      <c r="AN1897" s="11"/>
      <c r="AO1897" s="11"/>
      <c r="AP1897" s="11"/>
      <c r="AQ1897" s="11"/>
    </row>
    <row r="1898" spans="1:43" x14ac:dyDescent="0.25">
      <c r="A1898" s="44" t="str">
        <f t="shared" si="33"/>
        <v>WW1_INFANTRY</v>
      </c>
      <c r="B1898" s="9" t="s">
        <v>2352</v>
      </c>
      <c r="C1898" s="5"/>
      <c r="D1898" s="5"/>
      <c r="E1898" s="5" t="s">
        <v>780</v>
      </c>
      <c r="F1898" s="5" t="s">
        <v>780</v>
      </c>
      <c r="G1898" s="5"/>
      <c r="H1898" s="5" t="s">
        <v>1158</v>
      </c>
      <c r="I1898" s="5" t="s">
        <v>128</v>
      </c>
      <c r="J1898" s="6"/>
      <c r="K1898" s="6"/>
      <c r="L1898" s="13" t="s">
        <v>1705</v>
      </c>
      <c r="M1898" s="8"/>
      <c r="N1898" s="5"/>
      <c r="O1898" s="5"/>
      <c r="P1898" s="5"/>
      <c r="Q1898" s="7">
        <v>14</v>
      </c>
      <c r="R1898" s="6">
        <v>0.125</v>
      </c>
      <c r="S1898" s="13" t="s">
        <v>1617</v>
      </c>
      <c r="T1898" s="6">
        <v>18</v>
      </c>
      <c r="U1898" s="7" t="s">
        <v>1734</v>
      </c>
      <c r="V1898" s="5"/>
      <c r="W1898" s="6" t="s">
        <v>3</v>
      </c>
      <c r="X1898" s="6" t="s">
        <v>3</v>
      </c>
      <c r="Y1898" s="5"/>
      <c r="Z1898" s="6">
        <v>1</v>
      </c>
      <c r="AA1898" s="6">
        <v>0.19</v>
      </c>
      <c r="AB1898" s="5"/>
      <c r="AC1898" s="6"/>
      <c r="AD1898" s="6" t="s">
        <v>3</v>
      </c>
      <c r="AE1898" s="5"/>
      <c r="AF1898" s="6" t="s">
        <v>1734</v>
      </c>
      <c r="AG1898" s="6"/>
      <c r="AH1898" s="5"/>
      <c r="AI1898" s="6" t="s">
        <v>1734</v>
      </c>
      <c r="AJ1898" s="6"/>
      <c r="AK1898" s="5"/>
      <c r="AL1898" s="6"/>
      <c r="AM1898" s="6"/>
      <c r="AN1898" s="6"/>
      <c r="AO1898" s="6"/>
      <c r="AP1898" s="6"/>
      <c r="AQ1898" s="6"/>
    </row>
    <row r="1899" spans="1:43" x14ac:dyDescent="0.25">
      <c r="A1899" s="44" t="str">
        <f t="shared" si="33"/>
        <v>WW1_INFANTRY_AMER</v>
      </c>
      <c r="B1899" s="9" t="s">
        <v>2352</v>
      </c>
      <c r="C1899" s="4" t="s">
        <v>697</v>
      </c>
      <c r="E1899" s="4" t="s">
        <v>780</v>
      </c>
      <c r="F1899" s="4" t="s">
        <v>780</v>
      </c>
      <c r="H1899" s="4" t="s">
        <v>472</v>
      </c>
      <c r="I1899" s="4" t="s">
        <v>835</v>
      </c>
      <c r="R1899" s="11">
        <v>0.13500000000000001</v>
      </c>
      <c r="U1899" s="11">
        <v>9.5000000000000001E-2</v>
      </c>
      <c r="AA1899" s="11">
        <v>0.20499999999999999</v>
      </c>
      <c r="AL1899" s="11"/>
      <c r="AM1899" s="11"/>
      <c r="AN1899" s="11"/>
      <c r="AO1899" s="11"/>
      <c r="AP1899" s="11"/>
      <c r="AQ1899" s="11"/>
    </row>
    <row r="1900" spans="1:43" x14ac:dyDescent="0.25">
      <c r="A1900" s="44" t="str">
        <f t="shared" si="33"/>
        <v>WW1_INFANTRY_JAPAN</v>
      </c>
      <c r="B1900" s="9" t="s">
        <v>2352</v>
      </c>
      <c r="C1900" s="4" t="s">
        <v>722</v>
      </c>
      <c r="E1900" s="4" t="s">
        <v>780</v>
      </c>
      <c r="F1900" s="4" t="s">
        <v>780</v>
      </c>
      <c r="G1900" s="14" t="s">
        <v>132</v>
      </c>
      <c r="H1900" s="4" t="s">
        <v>494</v>
      </c>
      <c r="I1900" s="4" t="s">
        <v>122</v>
      </c>
      <c r="AL1900" s="11"/>
      <c r="AM1900" s="11"/>
      <c r="AN1900" s="11"/>
      <c r="AO1900" s="11"/>
      <c r="AP1900" s="11"/>
      <c r="AQ1900" s="11"/>
    </row>
    <row r="1901" spans="1:43" x14ac:dyDescent="0.25">
      <c r="A1901" s="44" t="str">
        <f t="shared" si="33"/>
        <v>WW1_INFANTRY_CENTAS</v>
      </c>
      <c r="B1901" s="9" t="s">
        <v>2352</v>
      </c>
      <c r="C1901" s="4" t="s">
        <v>918</v>
      </c>
      <c r="E1901" s="4" t="s">
        <v>780</v>
      </c>
      <c r="F1901" s="4" t="s">
        <v>780</v>
      </c>
      <c r="G1901" s="14" t="s">
        <v>132</v>
      </c>
      <c r="H1901" s="14" t="s">
        <v>1045</v>
      </c>
      <c r="I1901" s="4" t="s">
        <v>122</v>
      </c>
      <c r="J1901" s="50"/>
      <c r="AL1901" s="11"/>
      <c r="AM1901" s="11"/>
      <c r="AN1901" s="11"/>
      <c r="AO1901" s="11"/>
      <c r="AP1901" s="11"/>
      <c r="AQ1901" s="11"/>
    </row>
    <row r="1902" spans="1:43" x14ac:dyDescent="0.25">
      <c r="A1902" s="44" t="str">
        <f t="shared" si="33"/>
        <v>WW1_INFANTRY_HUNS</v>
      </c>
      <c r="B1902" s="9" t="s">
        <v>2352</v>
      </c>
      <c r="C1902" s="4" t="s">
        <v>904</v>
      </c>
      <c r="D1902" s="4" t="s">
        <v>701</v>
      </c>
      <c r="E1902" s="4" t="s">
        <v>780</v>
      </c>
      <c r="F1902" s="4" t="s">
        <v>780</v>
      </c>
      <c r="G1902" s="14"/>
      <c r="H1902" s="14"/>
      <c r="J1902" s="50"/>
      <c r="AL1902" s="11"/>
      <c r="AM1902" s="11"/>
      <c r="AN1902" s="11"/>
      <c r="AO1902" s="11"/>
      <c r="AP1902" s="11"/>
      <c r="AQ1902" s="11"/>
    </row>
    <row r="1903" spans="1:43" x14ac:dyDescent="0.25">
      <c r="A1903" s="44" t="str">
        <f t="shared" si="33"/>
        <v>WW1_INFANTRY_EASTEU</v>
      </c>
      <c r="B1903" s="9" t="s">
        <v>2352</v>
      </c>
      <c r="C1903" s="4" t="s">
        <v>698</v>
      </c>
      <c r="E1903" s="4" t="s">
        <v>780</v>
      </c>
      <c r="F1903" s="4" t="s">
        <v>780</v>
      </c>
      <c r="G1903" s="14" t="s">
        <v>132</v>
      </c>
      <c r="H1903" s="4" t="s">
        <v>630</v>
      </c>
      <c r="I1903" s="4" t="s">
        <v>122</v>
      </c>
      <c r="AL1903" s="11"/>
      <c r="AM1903" s="11"/>
      <c r="AN1903" s="11"/>
      <c r="AO1903" s="11"/>
      <c r="AP1903" s="11"/>
      <c r="AQ1903" s="11"/>
    </row>
    <row r="1904" spans="1:43" x14ac:dyDescent="0.25">
      <c r="A1904" s="44" t="str">
        <f t="shared" si="33"/>
        <v>WW1_INFANTRY_AMERICA</v>
      </c>
      <c r="B1904" s="9" t="s">
        <v>2352</v>
      </c>
      <c r="C1904" s="4" t="s">
        <v>699</v>
      </c>
      <c r="E1904" s="4" t="s">
        <v>780</v>
      </c>
      <c r="F1904" s="4" t="s">
        <v>780</v>
      </c>
      <c r="G1904" s="14"/>
      <c r="H1904" s="4" t="s">
        <v>155</v>
      </c>
      <c r="I1904" s="4" t="s">
        <v>122</v>
      </c>
      <c r="AL1904" s="11"/>
      <c r="AM1904" s="11"/>
      <c r="AN1904" s="11"/>
      <c r="AO1904" s="11"/>
      <c r="AP1904" s="11"/>
      <c r="AQ1904" s="11"/>
    </row>
    <row r="1905" spans="1:43" x14ac:dyDescent="0.25">
      <c r="A1905" s="44" t="str">
        <f t="shared" si="33"/>
        <v>WW1_INFANTRY_AUSTRIA</v>
      </c>
      <c r="B1905" s="9" t="s">
        <v>2352</v>
      </c>
      <c r="C1905" s="4" t="s">
        <v>701</v>
      </c>
      <c r="E1905" s="4" t="s">
        <v>780</v>
      </c>
      <c r="F1905" s="4" t="s">
        <v>780</v>
      </c>
      <c r="G1905" s="14"/>
      <c r="H1905" s="4" t="s">
        <v>189</v>
      </c>
      <c r="I1905" s="4" t="s">
        <v>122</v>
      </c>
      <c r="AL1905" s="11"/>
      <c r="AM1905" s="11"/>
      <c r="AN1905" s="11"/>
      <c r="AO1905" s="11"/>
      <c r="AP1905" s="11"/>
      <c r="AQ1905" s="11"/>
    </row>
    <row r="1906" spans="1:43" x14ac:dyDescent="0.25">
      <c r="A1906" s="44" t="str">
        <f t="shared" si="33"/>
        <v>WW1_INFANTRY_CELTS</v>
      </c>
      <c r="B1906" s="9" t="s">
        <v>2352</v>
      </c>
      <c r="C1906" s="4" t="s">
        <v>709</v>
      </c>
      <c r="D1906" s="4" t="s">
        <v>713</v>
      </c>
      <c r="E1906" s="4" t="s">
        <v>780</v>
      </c>
      <c r="F1906" s="4" t="s">
        <v>780</v>
      </c>
      <c r="G1906" s="14"/>
      <c r="AL1906" s="11"/>
      <c r="AM1906" s="11"/>
      <c r="AN1906" s="11"/>
      <c r="AO1906" s="11"/>
      <c r="AP1906" s="11"/>
      <c r="AQ1906" s="11"/>
    </row>
    <row r="1907" spans="1:43" x14ac:dyDescent="0.25">
      <c r="A1907" s="44" t="str">
        <f t="shared" si="33"/>
        <v>WW1_INFANTRY_ENGLAND</v>
      </c>
      <c r="B1907" s="9" t="s">
        <v>2352</v>
      </c>
      <c r="C1907" s="4" t="s">
        <v>713</v>
      </c>
      <c r="E1907" s="4" t="s">
        <v>780</v>
      </c>
      <c r="F1907" s="4" t="s">
        <v>780</v>
      </c>
      <c r="G1907" s="14" t="s">
        <v>132</v>
      </c>
      <c r="H1907" s="4" t="s">
        <v>316</v>
      </c>
      <c r="I1907" s="4" t="s">
        <v>122</v>
      </c>
      <c r="AL1907" s="11"/>
      <c r="AM1907" s="11"/>
      <c r="AN1907" s="11"/>
      <c r="AO1907" s="11"/>
      <c r="AP1907" s="11"/>
      <c r="AQ1907" s="11"/>
    </row>
    <row r="1908" spans="1:43" x14ac:dyDescent="0.25">
      <c r="A1908" s="44" t="str">
        <f t="shared" si="33"/>
        <v>WW1_INFANTRY_FRANCE</v>
      </c>
      <c r="B1908" s="9" t="s">
        <v>2352</v>
      </c>
      <c r="C1908" s="4" t="s">
        <v>715</v>
      </c>
      <c r="E1908" s="4" t="s">
        <v>780</v>
      </c>
      <c r="F1908" s="4" t="s">
        <v>780</v>
      </c>
      <c r="G1908" s="14" t="s">
        <v>132</v>
      </c>
      <c r="H1908" s="4" t="s">
        <v>361</v>
      </c>
      <c r="I1908" s="4" t="s">
        <v>122</v>
      </c>
      <c r="AL1908" s="11"/>
      <c r="AM1908" s="11"/>
      <c r="AN1908" s="11"/>
      <c r="AO1908" s="11"/>
      <c r="AP1908" s="11"/>
      <c r="AQ1908" s="11"/>
    </row>
    <row r="1909" spans="1:43" x14ac:dyDescent="0.25">
      <c r="A1909" s="44" t="str">
        <f t="shared" si="33"/>
        <v>WW1_INFANTRY_GERMANY</v>
      </c>
      <c r="B1909" s="9" t="s">
        <v>2352</v>
      </c>
      <c r="C1909" s="4" t="s">
        <v>717</v>
      </c>
      <c r="E1909" s="4" t="s">
        <v>780</v>
      </c>
      <c r="F1909" s="4" t="s">
        <v>780</v>
      </c>
      <c r="G1909" s="14" t="s">
        <v>132</v>
      </c>
      <c r="H1909" s="4" t="s">
        <v>394</v>
      </c>
      <c r="I1909" s="4" t="s">
        <v>122</v>
      </c>
      <c r="AL1909" s="11"/>
      <c r="AM1909" s="11"/>
      <c r="AN1909" s="11"/>
      <c r="AO1909" s="11"/>
      <c r="AP1909" s="11"/>
      <c r="AQ1909" s="11"/>
    </row>
    <row r="1910" spans="1:43" x14ac:dyDescent="0.25">
      <c r="A1910" s="44" t="str">
        <f t="shared" si="33"/>
        <v>WW1_INFANTRY_MED</v>
      </c>
      <c r="B1910" s="9" t="s">
        <v>2352</v>
      </c>
      <c r="C1910" s="4" t="s">
        <v>692</v>
      </c>
      <c r="E1910" s="4" t="s">
        <v>780</v>
      </c>
      <c r="F1910" s="4" t="s">
        <v>780</v>
      </c>
      <c r="G1910" s="14" t="s">
        <v>132</v>
      </c>
      <c r="H1910" s="4" t="s">
        <v>415</v>
      </c>
      <c r="I1910" s="4" t="s">
        <v>122</v>
      </c>
      <c r="AL1910" s="11"/>
      <c r="AM1910" s="11"/>
      <c r="AN1910" s="11"/>
      <c r="AO1910" s="11"/>
      <c r="AP1910" s="11"/>
      <c r="AQ1910" s="11"/>
    </row>
    <row r="1911" spans="1:43" x14ac:dyDescent="0.25">
      <c r="A1911" s="44" t="str">
        <f t="shared" si="33"/>
        <v>WW1_INFANTRY_ROME</v>
      </c>
      <c r="B1911" s="9" t="s">
        <v>2352</v>
      </c>
      <c r="C1911" s="4" t="s">
        <v>734</v>
      </c>
      <c r="E1911" s="4" t="s">
        <v>780</v>
      </c>
      <c r="F1911" s="4" t="s">
        <v>780</v>
      </c>
      <c r="G1911" s="14" t="s">
        <v>132</v>
      </c>
      <c r="H1911" s="4" t="s">
        <v>602</v>
      </c>
      <c r="I1911" s="4" t="s">
        <v>122</v>
      </c>
      <c r="AL1911" s="11"/>
      <c r="AM1911" s="11"/>
      <c r="AN1911" s="11"/>
      <c r="AO1911" s="11"/>
      <c r="AP1911" s="11"/>
      <c r="AQ1911" s="11"/>
    </row>
    <row r="1912" spans="1:43" x14ac:dyDescent="0.25">
      <c r="A1912" s="44" t="str">
        <f t="shared" si="33"/>
        <v>WW1_INFANTRY_MIDEAST</v>
      </c>
      <c r="B1912" s="9" t="s">
        <v>2352</v>
      </c>
      <c r="C1912" s="4" t="s">
        <v>690</v>
      </c>
      <c r="E1912" s="4" t="s">
        <v>780</v>
      </c>
      <c r="F1912" s="4" t="s">
        <v>780</v>
      </c>
      <c r="H1912" s="4" t="s">
        <v>172</v>
      </c>
      <c r="I1912" s="4" t="s">
        <v>122</v>
      </c>
      <c r="AL1912" s="11"/>
      <c r="AM1912" s="11"/>
      <c r="AN1912" s="11"/>
      <c r="AO1912" s="11"/>
      <c r="AP1912" s="11"/>
      <c r="AQ1912" s="11"/>
    </row>
    <row r="1913" spans="1:43" x14ac:dyDescent="0.25">
      <c r="A1913" s="44" t="str">
        <f t="shared" ref="A1913:A1946" si="34">CONCATENATE(E1913,IF(ISBLANK(C1913),"",CONCATENATE("_",C1913)))</f>
        <v>WW1_INFANTRY_SOUTHAS</v>
      </c>
      <c r="B1913" s="9" t="s">
        <v>2352</v>
      </c>
      <c r="C1913" s="4" t="s">
        <v>695</v>
      </c>
      <c r="E1913" s="4" t="s">
        <v>780</v>
      </c>
      <c r="F1913" s="4" t="s">
        <v>780</v>
      </c>
      <c r="H1913" s="4" t="s">
        <v>445</v>
      </c>
      <c r="I1913" s="4" t="s">
        <v>122</v>
      </c>
      <c r="AL1913" s="11"/>
      <c r="AM1913" s="11"/>
      <c r="AN1913" s="11"/>
      <c r="AO1913" s="11"/>
      <c r="AP1913" s="11"/>
      <c r="AQ1913" s="11"/>
    </row>
    <row r="1914" spans="1:43" x14ac:dyDescent="0.25">
      <c r="A1914" s="44" t="str">
        <f t="shared" si="34"/>
        <v>WW1_TANK</v>
      </c>
      <c r="B1914" s="9" t="s">
        <v>2349</v>
      </c>
      <c r="C1914" s="5"/>
      <c r="D1914" s="5"/>
      <c r="E1914" s="5" t="s">
        <v>781</v>
      </c>
      <c r="F1914" s="5" t="s">
        <v>781</v>
      </c>
      <c r="G1914" s="5"/>
      <c r="H1914" s="5" t="s">
        <v>2206</v>
      </c>
      <c r="I1914" s="5" t="s">
        <v>2203</v>
      </c>
      <c r="J1914" s="6"/>
      <c r="K1914" s="6"/>
      <c r="L1914" s="13" t="s">
        <v>1706</v>
      </c>
      <c r="M1914" s="8"/>
      <c r="N1914" s="5"/>
      <c r="O1914" s="5"/>
      <c r="P1914" s="5"/>
      <c r="Q1914" s="7">
        <v>2</v>
      </c>
      <c r="R1914" s="6">
        <v>0.11</v>
      </c>
      <c r="S1914" s="13" t="s">
        <v>1610</v>
      </c>
      <c r="T1914" s="6">
        <v>4</v>
      </c>
      <c r="U1914" s="6">
        <v>0.12</v>
      </c>
      <c r="V1914" s="5" t="s">
        <v>688</v>
      </c>
      <c r="W1914" s="7" t="s">
        <v>3</v>
      </c>
      <c r="X1914" s="6" t="s">
        <v>3</v>
      </c>
      <c r="Y1914" s="5"/>
      <c r="Z1914" s="6">
        <v>1</v>
      </c>
      <c r="AA1914" s="6"/>
      <c r="AB1914" s="5"/>
      <c r="AC1914" s="6"/>
      <c r="AD1914" s="6" t="s">
        <v>3</v>
      </c>
      <c r="AE1914" s="5"/>
      <c r="AF1914" s="6"/>
      <c r="AG1914" s="6"/>
      <c r="AH1914" s="5"/>
      <c r="AI1914" s="6"/>
      <c r="AJ1914" s="6"/>
      <c r="AK1914" s="5"/>
      <c r="AL1914" s="6"/>
      <c r="AM1914" s="6"/>
      <c r="AN1914" s="6"/>
      <c r="AO1914" s="6"/>
      <c r="AP1914" s="6"/>
      <c r="AQ1914" s="6"/>
    </row>
    <row r="1915" spans="1:43" x14ac:dyDescent="0.25">
      <c r="A1915" s="44" t="str">
        <f t="shared" si="34"/>
        <v>WW1_TANK_ZULU</v>
      </c>
      <c r="B1915" s="9" t="s">
        <v>2349</v>
      </c>
      <c r="C1915" s="5" t="s">
        <v>742</v>
      </c>
      <c r="D1915" s="5" t="s">
        <v>709</v>
      </c>
      <c r="E1915" s="5" t="s">
        <v>781</v>
      </c>
      <c r="F1915" s="5" t="s">
        <v>781</v>
      </c>
      <c r="G1915" s="5"/>
      <c r="H1915" s="5"/>
      <c r="I1915" s="5"/>
      <c r="J1915" s="6"/>
      <c r="K1915" s="6"/>
      <c r="L1915" s="13"/>
      <c r="M1915" s="8"/>
      <c r="N1915" s="5"/>
      <c r="O1915" s="5"/>
      <c r="P1915" s="5"/>
      <c r="Q1915" s="7"/>
      <c r="R1915" s="6"/>
      <c r="S1915" s="13"/>
      <c r="T1915" s="6"/>
      <c r="U1915" s="6"/>
      <c r="V1915" s="5"/>
      <c r="W1915" s="7"/>
      <c r="X1915" s="6"/>
      <c r="Y1915" s="5"/>
      <c r="Z1915" s="6"/>
      <c r="AA1915" s="6"/>
      <c r="AB1915" s="5"/>
      <c r="AC1915" s="6"/>
      <c r="AD1915" s="6"/>
      <c r="AE1915" s="5"/>
      <c r="AF1915" s="6"/>
      <c r="AG1915" s="6"/>
      <c r="AH1915" s="5"/>
      <c r="AI1915" s="6"/>
      <c r="AJ1915" s="6"/>
      <c r="AK1915" s="5"/>
      <c r="AL1915" s="6"/>
      <c r="AM1915" s="6"/>
      <c r="AN1915" s="6"/>
      <c r="AO1915" s="6"/>
      <c r="AP1915" s="6"/>
      <c r="AQ1915" s="6"/>
    </row>
    <row r="1916" spans="1:43" x14ac:dyDescent="0.25">
      <c r="A1916" s="44" t="str">
        <f t="shared" si="34"/>
        <v>WW1_TANK_AMER</v>
      </c>
      <c r="B1916" s="9" t="s">
        <v>2349</v>
      </c>
      <c r="C1916" s="5" t="s">
        <v>697</v>
      </c>
      <c r="D1916" s="5" t="s">
        <v>699</v>
      </c>
      <c r="E1916" s="5" t="s">
        <v>781</v>
      </c>
      <c r="F1916" s="5" t="s">
        <v>781</v>
      </c>
      <c r="G1916" s="5"/>
      <c r="H1916" s="5"/>
      <c r="I1916" s="5"/>
      <c r="J1916" s="6"/>
      <c r="K1916" s="6"/>
      <c r="L1916" s="13"/>
      <c r="M1916" s="8"/>
      <c r="N1916" s="5"/>
      <c r="O1916" s="5"/>
      <c r="P1916" s="5"/>
      <c r="Q1916" s="7"/>
      <c r="R1916" s="6"/>
      <c r="S1916" s="13"/>
      <c r="T1916" s="6"/>
      <c r="U1916" s="6"/>
      <c r="V1916" s="5"/>
      <c r="W1916" s="7"/>
      <c r="X1916" s="6"/>
      <c r="Y1916" s="5"/>
      <c r="Z1916" s="6"/>
      <c r="AA1916" s="6"/>
      <c r="AB1916" s="5"/>
      <c r="AC1916" s="6"/>
      <c r="AD1916" s="6"/>
      <c r="AE1916" s="5"/>
      <c r="AF1916" s="6"/>
      <c r="AG1916" s="6"/>
      <c r="AH1916" s="5"/>
      <c r="AI1916" s="6"/>
      <c r="AJ1916" s="6"/>
      <c r="AK1916" s="5"/>
      <c r="AL1916" s="6"/>
      <c r="AM1916" s="6"/>
      <c r="AN1916" s="6"/>
      <c r="AO1916" s="6"/>
      <c r="AP1916" s="6"/>
      <c r="AQ1916" s="6"/>
    </row>
    <row r="1917" spans="1:43" x14ac:dyDescent="0.25">
      <c r="A1917" s="44" t="str">
        <f t="shared" si="34"/>
        <v>WW1_TANK_CHINA</v>
      </c>
      <c r="B1917" s="9" t="s">
        <v>2349</v>
      </c>
      <c r="C1917" s="4" t="s">
        <v>710</v>
      </c>
      <c r="E1917" s="4" t="s">
        <v>781</v>
      </c>
      <c r="F1917" s="4" t="s">
        <v>781</v>
      </c>
      <c r="G1917" s="14" t="s">
        <v>132</v>
      </c>
      <c r="H1917" s="4" t="s">
        <v>262</v>
      </c>
      <c r="I1917" s="4" t="s">
        <v>102</v>
      </c>
      <c r="R1917" s="11">
        <v>0.13</v>
      </c>
      <c r="T1917" s="11">
        <v>4</v>
      </c>
      <c r="U1917" s="11">
        <v>0.11</v>
      </c>
      <c r="AL1917" s="11"/>
      <c r="AM1917" s="11"/>
      <c r="AN1917" s="11"/>
      <c r="AO1917" s="11"/>
      <c r="AP1917" s="11"/>
      <c r="AQ1917" s="11"/>
    </row>
    <row r="1918" spans="1:43" x14ac:dyDescent="0.25">
      <c r="A1918" s="44" t="str">
        <f t="shared" si="34"/>
        <v>WW1_TANK_JAPAN</v>
      </c>
      <c r="B1918" s="9" t="s">
        <v>2349</v>
      </c>
      <c r="C1918" s="4" t="s">
        <v>722</v>
      </c>
      <c r="E1918" s="4" t="s">
        <v>781</v>
      </c>
      <c r="F1918" s="4" t="s">
        <v>781</v>
      </c>
      <c r="G1918" s="14" t="s">
        <v>132</v>
      </c>
      <c r="H1918" s="4" t="s">
        <v>495</v>
      </c>
      <c r="I1918" s="4" t="s">
        <v>102</v>
      </c>
      <c r="R1918" s="11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44" t="str">
        <f t="shared" si="34"/>
        <v>WW1_TANK_KOREA</v>
      </c>
      <c r="B1919" s="9" t="s">
        <v>2349</v>
      </c>
      <c r="C1919" s="4" t="s">
        <v>723</v>
      </c>
      <c r="D1919" s="4" t="s">
        <v>722</v>
      </c>
      <c r="E1919" s="4" t="s">
        <v>781</v>
      </c>
      <c r="F1919" s="4" t="s">
        <v>781</v>
      </c>
      <c r="G1919" s="14"/>
      <c r="AL1919" s="11"/>
      <c r="AM1919" s="11"/>
      <c r="AN1919" s="11"/>
      <c r="AO1919" s="11"/>
      <c r="AP1919" s="11"/>
      <c r="AQ1919" s="11"/>
    </row>
    <row r="1920" spans="1:43" x14ac:dyDescent="0.25">
      <c r="A1920" s="44" t="str">
        <f t="shared" si="34"/>
        <v>WW1_TANK_HUNS</v>
      </c>
      <c r="B1920" s="9" t="s">
        <v>2349</v>
      </c>
      <c r="C1920" s="4" t="s">
        <v>904</v>
      </c>
      <c r="D1920" s="4" t="s">
        <v>701</v>
      </c>
      <c r="E1920" s="4" t="s">
        <v>781</v>
      </c>
      <c r="F1920" s="4" t="s">
        <v>781</v>
      </c>
      <c r="AL1920" s="11"/>
      <c r="AM1920" s="11"/>
      <c r="AN1920" s="11"/>
      <c r="AO1920" s="11"/>
      <c r="AP1920" s="11"/>
      <c r="AQ1920" s="11"/>
    </row>
    <row r="1921" spans="1:43" x14ac:dyDescent="0.25">
      <c r="A1921" s="44" t="str">
        <f t="shared" si="34"/>
        <v>WW1_TANK_EASTEU</v>
      </c>
      <c r="B1921" s="9" t="s">
        <v>2349</v>
      </c>
      <c r="C1921" s="4" t="s">
        <v>698</v>
      </c>
      <c r="E1921" s="4" t="s">
        <v>781</v>
      </c>
      <c r="F1921" s="4" t="s">
        <v>781</v>
      </c>
      <c r="H1921" s="4" t="s">
        <v>856</v>
      </c>
      <c r="I1921" s="4" t="s">
        <v>120</v>
      </c>
      <c r="R1921" s="11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44" t="str">
        <f t="shared" si="34"/>
        <v>WW1_TANK_POLAND</v>
      </c>
      <c r="B1922" s="9" t="s">
        <v>2349</v>
      </c>
      <c r="C1922" s="4" t="s">
        <v>732</v>
      </c>
      <c r="E1922" s="4" t="s">
        <v>781</v>
      </c>
      <c r="F1922" s="4" t="s">
        <v>781</v>
      </c>
      <c r="G1922" s="14" t="s">
        <v>132</v>
      </c>
      <c r="H1922" s="4" t="s">
        <v>577</v>
      </c>
      <c r="I1922" s="4" t="s">
        <v>102</v>
      </c>
      <c r="R1922" s="9">
        <v>0.13</v>
      </c>
      <c r="T1922" s="11">
        <v>4</v>
      </c>
      <c r="U1922" s="11">
        <v>0.11</v>
      </c>
      <c r="AL1922" s="11"/>
      <c r="AM1922" s="11"/>
      <c r="AN1922" s="11"/>
      <c r="AO1922" s="11"/>
      <c r="AP1922" s="11"/>
      <c r="AQ1922" s="11"/>
    </row>
    <row r="1923" spans="1:43" x14ac:dyDescent="0.25">
      <c r="A1923" s="44" t="str">
        <f t="shared" si="34"/>
        <v>WW1_TANK_RUSSIA</v>
      </c>
      <c r="B1923" s="9" t="s">
        <v>2349</v>
      </c>
      <c r="C1923" s="4" t="s">
        <v>735</v>
      </c>
      <c r="E1923" s="4" t="s">
        <v>781</v>
      </c>
      <c r="F1923" s="4" t="s">
        <v>781</v>
      </c>
      <c r="G1923" s="14" t="s">
        <v>132</v>
      </c>
      <c r="H1923" s="4" t="s">
        <v>631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44" t="str">
        <f t="shared" si="34"/>
        <v>WW1_TANK_AMERICA</v>
      </c>
      <c r="B1924" s="9" t="s">
        <v>2349</v>
      </c>
      <c r="C1924" s="4" t="s">
        <v>699</v>
      </c>
      <c r="E1924" s="4" t="s">
        <v>781</v>
      </c>
      <c r="F1924" s="4" t="s">
        <v>781</v>
      </c>
      <c r="G1924" s="14"/>
      <c r="H1924" s="4" t="s">
        <v>156</v>
      </c>
      <c r="I1924" s="4" t="s">
        <v>102</v>
      </c>
      <c r="Q1924" s="11">
        <v>1</v>
      </c>
      <c r="R1924" s="9">
        <v>0.13</v>
      </c>
      <c r="T1924" s="11">
        <v>2</v>
      </c>
      <c r="U1924" s="11">
        <v>0.11</v>
      </c>
      <c r="AL1924" s="11"/>
      <c r="AM1924" s="11"/>
      <c r="AN1924" s="11"/>
      <c r="AO1924" s="11"/>
      <c r="AP1924" s="11"/>
      <c r="AQ1924" s="11"/>
    </row>
    <row r="1925" spans="1:43" x14ac:dyDescent="0.25">
      <c r="A1925" s="44" t="str">
        <f t="shared" si="34"/>
        <v>WW1_TANK_AMERICA</v>
      </c>
      <c r="B1925" s="9" t="s">
        <v>2349</v>
      </c>
      <c r="C1925" s="4" t="s">
        <v>699</v>
      </c>
      <c r="E1925" s="4" t="s">
        <v>781</v>
      </c>
      <c r="F1925" s="4" t="s">
        <v>781</v>
      </c>
      <c r="G1925" s="14"/>
      <c r="H1925" s="4" t="s">
        <v>2207</v>
      </c>
      <c r="I1925" s="4" t="s">
        <v>2203</v>
      </c>
      <c r="Q1925" s="11">
        <v>1</v>
      </c>
      <c r="R1925" s="9">
        <v>0.125</v>
      </c>
      <c r="T1925" s="11">
        <v>2</v>
      </c>
      <c r="U1925" s="11">
        <v>0.11</v>
      </c>
      <c r="AL1925" s="11"/>
      <c r="AM1925" s="11"/>
      <c r="AN1925" s="11"/>
      <c r="AO1925" s="11"/>
      <c r="AP1925" s="11"/>
      <c r="AQ1925" s="11"/>
    </row>
    <row r="1926" spans="1:43" x14ac:dyDescent="0.25">
      <c r="A1926" s="44" t="str">
        <f t="shared" si="34"/>
        <v>WW1_TANK_AUSTRALIA</v>
      </c>
      <c r="B1926" s="9" t="s">
        <v>2349</v>
      </c>
      <c r="C1926" s="4" t="s">
        <v>1300</v>
      </c>
      <c r="D1926" s="4" t="s">
        <v>709</v>
      </c>
      <c r="E1926" s="4" t="s">
        <v>781</v>
      </c>
      <c r="F1926" s="4" t="s">
        <v>781</v>
      </c>
      <c r="G1926" s="14"/>
      <c r="R1926" s="9"/>
      <c r="AL1926" s="11"/>
      <c r="AM1926" s="11"/>
      <c r="AN1926" s="11"/>
      <c r="AO1926" s="11"/>
      <c r="AP1926" s="11"/>
      <c r="AQ1926" s="11"/>
    </row>
    <row r="1927" spans="1:43" x14ac:dyDescent="0.25">
      <c r="A1927" s="44" t="str">
        <f t="shared" si="34"/>
        <v>WW1_TANK_AUSTRIA</v>
      </c>
      <c r="B1927" s="9" t="s">
        <v>2349</v>
      </c>
      <c r="C1927" s="4" t="s">
        <v>701</v>
      </c>
      <c r="E1927" s="4" t="s">
        <v>781</v>
      </c>
      <c r="F1927" s="4" t="s">
        <v>781</v>
      </c>
      <c r="G1927" s="14"/>
      <c r="H1927" s="4" t="s">
        <v>190</v>
      </c>
      <c r="I1927" s="4" t="s">
        <v>102</v>
      </c>
      <c r="R1927" s="9">
        <v>0.13</v>
      </c>
      <c r="T1927" s="11">
        <v>4</v>
      </c>
      <c r="U1927" s="11">
        <v>0.11</v>
      </c>
      <c r="AL1927" s="11"/>
      <c r="AM1927" s="11"/>
      <c r="AN1927" s="11"/>
      <c r="AO1927" s="11"/>
      <c r="AP1927" s="11"/>
      <c r="AQ1927" s="11"/>
    </row>
    <row r="1928" spans="1:43" x14ac:dyDescent="0.25">
      <c r="A1928" s="44" t="str">
        <f t="shared" si="34"/>
        <v>WW1_TANK_BELGIUM</v>
      </c>
      <c r="B1928" s="9" t="s">
        <v>2349</v>
      </c>
      <c r="C1928" s="4" t="s">
        <v>704</v>
      </c>
      <c r="E1928" s="4" t="s">
        <v>781</v>
      </c>
      <c r="F1928" s="4" t="s">
        <v>781</v>
      </c>
      <c r="G1928" s="14"/>
      <c r="H1928" s="4" t="s">
        <v>220</v>
      </c>
      <c r="I1928" s="4" t="s">
        <v>120</v>
      </c>
      <c r="R1928" s="11">
        <v>0.13</v>
      </c>
      <c r="AL1928" s="11"/>
      <c r="AM1928" s="11"/>
      <c r="AN1928" s="11"/>
      <c r="AO1928" s="11"/>
      <c r="AP1928" s="11"/>
      <c r="AQ1928" s="11"/>
    </row>
    <row r="1929" spans="1:43" x14ac:dyDescent="0.25">
      <c r="A1929" s="44" t="str">
        <f t="shared" si="34"/>
        <v>WW1_TANK_CANADA</v>
      </c>
      <c r="B1929" s="9" t="s">
        <v>2349</v>
      </c>
      <c r="C1929" s="4" t="s">
        <v>2187</v>
      </c>
      <c r="E1929" s="4" t="s">
        <v>781</v>
      </c>
      <c r="F1929" s="4" t="s">
        <v>781</v>
      </c>
      <c r="G1929" s="14"/>
      <c r="H1929" s="4" t="s">
        <v>2189</v>
      </c>
      <c r="I1929" s="4" t="s">
        <v>120</v>
      </c>
      <c r="R1929" s="11">
        <v>0.13</v>
      </c>
      <c r="AL1929" s="11"/>
      <c r="AM1929" s="11"/>
      <c r="AN1929" s="11"/>
      <c r="AO1929" s="11"/>
      <c r="AP1929" s="11"/>
      <c r="AQ1929" s="11"/>
    </row>
    <row r="1930" spans="1:43" x14ac:dyDescent="0.25">
      <c r="A1930" s="44" t="str">
        <f t="shared" si="34"/>
        <v>WW1_TANK_CELTS</v>
      </c>
      <c r="B1930" s="9" t="s">
        <v>2349</v>
      </c>
      <c r="C1930" s="4" t="s">
        <v>709</v>
      </c>
      <c r="E1930" s="4" t="s">
        <v>781</v>
      </c>
      <c r="F1930" s="4" t="s">
        <v>781</v>
      </c>
      <c r="G1930" s="14"/>
      <c r="H1930" s="4" t="s">
        <v>317</v>
      </c>
      <c r="I1930" s="4" t="s">
        <v>102</v>
      </c>
      <c r="R1930" s="11">
        <v>0.125</v>
      </c>
      <c r="T1930" s="11">
        <v>4</v>
      </c>
      <c r="AL1930" s="11"/>
      <c r="AM1930" s="11"/>
      <c r="AN1930" s="11"/>
      <c r="AO1930" s="11"/>
      <c r="AP1930" s="11"/>
      <c r="AQ1930" s="11"/>
    </row>
    <row r="1931" spans="1:43" x14ac:dyDescent="0.25">
      <c r="A1931" s="44" t="str">
        <f t="shared" si="34"/>
        <v>WW1_TANK_ENGLAND</v>
      </c>
      <c r="B1931" s="9" t="s">
        <v>2349</v>
      </c>
      <c r="C1931" s="4" t="s">
        <v>713</v>
      </c>
      <c r="E1931" s="4" t="s">
        <v>781</v>
      </c>
      <c r="F1931" s="4" t="s">
        <v>781</v>
      </c>
      <c r="G1931" s="14" t="s">
        <v>132</v>
      </c>
      <c r="H1931" s="4" t="s">
        <v>2186</v>
      </c>
      <c r="I1931" s="4" t="s">
        <v>120</v>
      </c>
      <c r="Q1931" s="11">
        <v>1</v>
      </c>
      <c r="R1931" s="11">
        <v>0.125</v>
      </c>
      <c r="T1931" s="11">
        <v>1</v>
      </c>
      <c r="Z1931" s="11">
        <v>0</v>
      </c>
      <c r="AL1931" s="11"/>
      <c r="AM1931" s="11"/>
      <c r="AN1931" s="11"/>
      <c r="AO1931" s="11"/>
      <c r="AP1931" s="11"/>
      <c r="AQ1931" s="11"/>
    </row>
    <row r="1932" spans="1:43" x14ac:dyDescent="0.25">
      <c r="A1932" s="44" t="str">
        <f>CONCATENATE(E1932,IF(ISBLANK(C1932),"",CONCATENATE("_",C1932)))</f>
        <v>WW1_TANK_ENGLAND</v>
      </c>
      <c r="B1932" s="9" t="s">
        <v>2349</v>
      </c>
      <c r="C1932" s="4" t="s">
        <v>713</v>
      </c>
      <c r="E1932" s="4" t="s">
        <v>781</v>
      </c>
      <c r="F1932" s="4" t="s">
        <v>781</v>
      </c>
      <c r="G1932" s="14" t="s">
        <v>2039</v>
      </c>
      <c r="H1932" s="4" t="s">
        <v>317</v>
      </c>
      <c r="I1932" s="4" t="s">
        <v>102</v>
      </c>
      <c r="Q1932" s="11">
        <v>1</v>
      </c>
      <c r="R1932" s="11">
        <v>0.125</v>
      </c>
      <c r="T1932" s="11">
        <v>3</v>
      </c>
      <c r="Z1932" s="11">
        <v>1</v>
      </c>
      <c r="AL1932" s="11"/>
      <c r="AM1932" s="11"/>
      <c r="AN1932" s="11"/>
      <c r="AO1932" s="11"/>
      <c r="AP1932" s="11"/>
      <c r="AQ1932" s="11"/>
    </row>
    <row r="1933" spans="1:43" x14ac:dyDescent="0.25">
      <c r="A1933" s="44" t="str">
        <f t="shared" si="34"/>
        <v>WW1_TANK_FRANCE</v>
      </c>
      <c r="B1933" s="9" t="s">
        <v>2349</v>
      </c>
      <c r="C1933" s="4" t="s">
        <v>715</v>
      </c>
      <c r="E1933" s="4" t="s">
        <v>781</v>
      </c>
      <c r="F1933" s="4" t="s">
        <v>781</v>
      </c>
      <c r="H1933" s="4" t="s">
        <v>883</v>
      </c>
      <c r="I1933" s="4" t="s">
        <v>102</v>
      </c>
      <c r="Q1933" s="11">
        <v>1</v>
      </c>
      <c r="R1933" s="9">
        <v>0.13</v>
      </c>
      <c r="T1933" s="11">
        <v>1</v>
      </c>
      <c r="U1933" s="11">
        <v>0.11</v>
      </c>
      <c r="Z1933" s="9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44" t="str">
        <f t="shared" si="34"/>
        <v>WW1_TANK_FRANCE</v>
      </c>
      <c r="B1934" s="9" t="s">
        <v>2349</v>
      </c>
      <c r="C1934" s="4" t="s">
        <v>715</v>
      </c>
      <c r="E1934" s="4" t="s">
        <v>781</v>
      </c>
      <c r="F1934" s="4" t="s">
        <v>781</v>
      </c>
      <c r="G1934" s="4" t="s">
        <v>2039</v>
      </c>
      <c r="H1934" s="4" t="s">
        <v>884</v>
      </c>
      <c r="I1934" s="4" t="s">
        <v>120</v>
      </c>
      <c r="Q1934" s="11">
        <v>1</v>
      </c>
      <c r="R1934" s="9">
        <v>0.13</v>
      </c>
      <c r="T1934" s="11">
        <v>2</v>
      </c>
      <c r="U1934" s="11">
        <v>0.11</v>
      </c>
      <c r="Z1934" s="9">
        <v>1</v>
      </c>
      <c r="AL1934" s="11"/>
      <c r="AM1934" s="11"/>
      <c r="AN1934" s="11"/>
      <c r="AO1934" s="11"/>
      <c r="AP1934" s="11"/>
      <c r="AQ1934" s="11"/>
    </row>
    <row r="1935" spans="1:43" x14ac:dyDescent="0.25">
      <c r="A1935" s="44" t="str">
        <f t="shared" si="34"/>
        <v>WW1_TANK_FRANCE</v>
      </c>
      <c r="B1935" s="9" t="s">
        <v>2349</v>
      </c>
      <c r="C1935" s="4" t="s">
        <v>715</v>
      </c>
      <c r="E1935" s="4" t="s">
        <v>781</v>
      </c>
      <c r="F1935" s="4" t="s">
        <v>781</v>
      </c>
      <c r="G1935" s="4" t="s">
        <v>2041</v>
      </c>
      <c r="H1935" s="4" t="s">
        <v>362</v>
      </c>
      <c r="I1935" s="4" t="s">
        <v>120</v>
      </c>
      <c r="Q1935" s="11">
        <v>0</v>
      </c>
      <c r="R1935" s="9">
        <v>0.13</v>
      </c>
      <c r="T1935" s="11">
        <v>1</v>
      </c>
      <c r="U1935" s="11">
        <v>0.11</v>
      </c>
      <c r="Z1935" s="9">
        <v>0</v>
      </c>
      <c r="AL1935" s="11"/>
      <c r="AM1935" s="11"/>
      <c r="AN1935" s="11"/>
      <c r="AO1935" s="11"/>
      <c r="AP1935" s="11"/>
      <c r="AQ1935" s="11"/>
    </row>
    <row r="1936" spans="1:43" x14ac:dyDescent="0.25">
      <c r="A1936" s="44" t="str">
        <f t="shared" si="34"/>
        <v>WW1_TANK_GERMANY</v>
      </c>
      <c r="B1936" s="9" t="s">
        <v>2349</v>
      </c>
      <c r="C1936" s="4" t="s">
        <v>717</v>
      </c>
      <c r="E1936" s="4" t="s">
        <v>781</v>
      </c>
      <c r="F1936" s="4" t="s">
        <v>781</v>
      </c>
      <c r="G1936" s="14" t="s">
        <v>132</v>
      </c>
      <c r="H1936" s="4" t="s">
        <v>395</v>
      </c>
      <c r="I1936" s="4" t="s">
        <v>102</v>
      </c>
      <c r="Q1936" s="11">
        <v>1</v>
      </c>
      <c r="R1936" s="9">
        <v>0.115</v>
      </c>
      <c r="T1936" s="11">
        <v>2</v>
      </c>
      <c r="U1936" s="11">
        <v>0.97499999999999998</v>
      </c>
      <c r="AL1936" s="11"/>
      <c r="AM1936" s="11"/>
      <c r="AN1936" s="11"/>
      <c r="AO1936" s="11"/>
      <c r="AP1936" s="11"/>
      <c r="AQ1936" s="11"/>
    </row>
    <row r="1937" spans="1:43" x14ac:dyDescent="0.25">
      <c r="A1937" s="44" t="str">
        <f t="shared" si="34"/>
        <v>WW1_TANK_GERMANY</v>
      </c>
      <c r="B1937" s="9" t="s">
        <v>2349</v>
      </c>
      <c r="C1937" s="4" t="s">
        <v>717</v>
      </c>
      <c r="E1937" s="4" t="s">
        <v>781</v>
      </c>
      <c r="F1937" s="4" t="s">
        <v>781</v>
      </c>
      <c r="G1937" s="14" t="s">
        <v>2039</v>
      </c>
      <c r="H1937" s="4" t="s">
        <v>2192</v>
      </c>
      <c r="I1937" s="4" t="s">
        <v>120</v>
      </c>
      <c r="Q1937" s="11">
        <v>1</v>
      </c>
      <c r="R1937" s="9">
        <v>0.125</v>
      </c>
      <c r="T1937" s="11">
        <v>2</v>
      </c>
      <c r="U1937" s="11">
        <v>0.105</v>
      </c>
      <c r="AL1937" s="11"/>
      <c r="AM1937" s="11"/>
      <c r="AN1937" s="11"/>
      <c r="AO1937" s="11"/>
      <c r="AP1937" s="11"/>
      <c r="AQ1937" s="11"/>
    </row>
    <row r="1938" spans="1:43" x14ac:dyDescent="0.25">
      <c r="A1938" s="44" t="str">
        <f t="shared" si="34"/>
        <v>WW1_TANK_BRAZIL</v>
      </c>
      <c r="B1938" s="9" t="s">
        <v>2349</v>
      </c>
      <c r="C1938" s="4" t="s">
        <v>706</v>
      </c>
      <c r="E1938" s="4" t="s">
        <v>781</v>
      </c>
      <c r="F1938" s="4" t="s">
        <v>781</v>
      </c>
      <c r="G1938" s="14" t="s">
        <v>132</v>
      </c>
      <c r="H1938" s="4" t="s">
        <v>224</v>
      </c>
      <c r="I1938" s="4" t="s">
        <v>120</v>
      </c>
      <c r="R1938" s="9">
        <v>0.13</v>
      </c>
      <c r="T1938" s="11">
        <v>4</v>
      </c>
      <c r="U1938" s="11">
        <v>0.11</v>
      </c>
      <c r="AL1938" s="11"/>
      <c r="AM1938" s="11"/>
      <c r="AN1938" s="11"/>
      <c r="AO1938" s="11"/>
      <c r="AP1938" s="11"/>
      <c r="AQ1938" s="11"/>
    </row>
    <row r="1939" spans="1:43" x14ac:dyDescent="0.25">
      <c r="A1939" s="44" t="str">
        <f t="shared" si="34"/>
        <v>WW1_TANK_GREECE</v>
      </c>
      <c r="B1939" s="9" t="s">
        <v>2349</v>
      </c>
      <c r="C1939" s="4" t="s">
        <v>718</v>
      </c>
      <c r="E1939" s="4" t="s">
        <v>781</v>
      </c>
      <c r="F1939" s="4" t="s">
        <v>781</v>
      </c>
      <c r="G1939" s="14" t="s">
        <v>132</v>
      </c>
      <c r="H1939" s="4" t="s">
        <v>416</v>
      </c>
      <c r="I1939" s="4" t="s">
        <v>102</v>
      </c>
      <c r="R1939" s="9">
        <v>0.13</v>
      </c>
      <c r="T1939" s="11">
        <v>4</v>
      </c>
      <c r="U1939" s="11">
        <v>0.11</v>
      </c>
      <c r="AL1939" s="11"/>
      <c r="AM1939" s="11"/>
      <c r="AN1939" s="11"/>
      <c r="AO1939" s="11"/>
      <c r="AP1939" s="11"/>
      <c r="AQ1939" s="11"/>
    </row>
    <row r="1940" spans="1:43" x14ac:dyDescent="0.25">
      <c r="A1940" s="44" t="str">
        <f t="shared" si="34"/>
        <v>WW1_TANK_ROME</v>
      </c>
      <c r="B1940" s="9" t="s">
        <v>2349</v>
      </c>
      <c r="C1940" s="4" t="s">
        <v>734</v>
      </c>
      <c r="E1940" s="4" t="s">
        <v>781</v>
      </c>
      <c r="F1940" s="4" t="s">
        <v>781</v>
      </c>
      <c r="G1940" s="14" t="s">
        <v>132</v>
      </c>
      <c r="H1940" s="4" t="s">
        <v>603</v>
      </c>
      <c r="I1940" s="4" t="s">
        <v>102</v>
      </c>
      <c r="R1940" s="9">
        <v>0.13</v>
      </c>
      <c r="T1940" s="11">
        <v>4</v>
      </c>
      <c r="U1940" s="11">
        <v>0.11</v>
      </c>
      <c r="AL1940" s="11"/>
      <c r="AM1940" s="11"/>
      <c r="AN1940" s="11"/>
      <c r="AO1940" s="11"/>
      <c r="AP1940" s="11"/>
      <c r="AQ1940" s="11"/>
    </row>
    <row r="1941" spans="1:43" x14ac:dyDescent="0.25">
      <c r="A1941" s="44" t="str">
        <f t="shared" si="34"/>
        <v>WW1_TANK_SPAIN</v>
      </c>
      <c r="B1941" s="9" t="s">
        <v>2349</v>
      </c>
      <c r="C1941" s="4" t="s">
        <v>738</v>
      </c>
      <c r="E1941" s="4" t="s">
        <v>781</v>
      </c>
      <c r="F1941" s="4" t="s">
        <v>781</v>
      </c>
      <c r="G1941" s="14" t="s">
        <v>132</v>
      </c>
      <c r="H1941" s="4" t="s">
        <v>665</v>
      </c>
      <c r="I1941" s="4" t="s">
        <v>102</v>
      </c>
      <c r="R1941" s="9">
        <v>0.13</v>
      </c>
      <c r="T1941" s="11">
        <v>4</v>
      </c>
      <c r="U1941" s="11">
        <v>0.11</v>
      </c>
      <c r="AL1941" s="11"/>
      <c r="AM1941" s="11"/>
      <c r="AN1941" s="11"/>
      <c r="AO1941" s="11"/>
      <c r="AP1941" s="11"/>
      <c r="AQ1941" s="11"/>
    </row>
    <row r="1942" spans="1:43" x14ac:dyDescent="0.25">
      <c r="A1942" s="44" t="str">
        <f t="shared" si="34"/>
        <v>WW1_TANK_NORTHAF</v>
      </c>
      <c r="B1942" s="9" t="s">
        <v>2349</v>
      </c>
      <c r="C1942" s="4" t="s">
        <v>2003</v>
      </c>
      <c r="D1942" s="4" t="s">
        <v>715</v>
      </c>
      <c r="E1942" s="4" t="s">
        <v>781</v>
      </c>
      <c r="F1942" s="4" t="s">
        <v>781</v>
      </c>
      <c r="G1942" s="14"/>
      <c r="R1942" s="9"/>
      <c r="AL1942" s="11"/>
      <c r="AM1942" s="11"/>
      <c r="AN1942" s="11"/>
      <c r="AO1942" s="11"/>
      <c r="AP1942" s="11"/>
      <c r="AQ1942" s="11"/>
    </row>
    <row r="1943" spans="1:43" x14ac:dyDescent="0.25">
      <c r="A1943" s="44" t="str">
        <f t="shared" si="34"/>
        <v>WW1_TANK_SWEDEN</v>
      </c>
      <c r="B1943" s="9" t="s">
        <v>2349</v>
      </c>
      <c r="C1943" s="4" t="s">
        <v>739</v>
      </c>
      <c r="E1943" s="4" t="s">
        <v>781</v>
      </c>
      <c r="F1943" s="4" t="s">
        <v>781</v>
      </c>
      <c r="G1943" s="14" t="s">
        <v>132</v>
      </c>
      <c r="H1943" s="4" t="s">
        <v>677</v>
      </c>
      <c r="I1943" s="4" t="s">
        <v>102</v>
      </c>
      <c r="R1943" s="9">
        <v>0.13</v>
      </c>
      <c r="T1943" s="11">
        <v>4</v>
      </c>
      <c r="U1943" s="11">
        <v>0.11</v>
      </c>
      <c r="AL1943" s="11"/>
      <c r="AM1943" s="11"/>
      <c r="AN1943" s="11"/>
      <c r="AO1943" s="11"/>
      <c r="AP1943" s="11"/>
      <c r="AQ1943" s="11"/>
    </row>
    <row r="1944" spans="1:43" x14ac:dyDescent="0.25">
      <c r="A1944" s="44" t="str">
        <f t="shared" si="34"/>
        <v>WW1_TANK_SEASIA</v>
      </c>
      <c r="B1944" s="9" t="s">
        <v>2349</v>
      </c>
      <c r="C1944" s="4" t="s">
        <v>696</v>
      </c>
      <c r="D1944" s="4" t="s">
        <v>715</v>
      </c>
      <c r="E1944" s="4" t="s">
        <v>781</v>
      </c>
      <c r="F1944" s="4" t="s">
        <v>781</v>
      </c>
      <c r="G1944" s="14"/>
      <c r="R1944" s="9"/>
      <c r="AL1944" s="11"/>
      <c r="AM1944" s="11"/>
      <c r="AN1944" s="11"/>
      <c r="AO1944" s="11"/>
      <c r="AP1944" s="11"/>
      <c r="AQ1944" s="11"/>
    </row>
    <row r="1945" spans="1:43" x14ac:dyDescent="0.25">
      <c r="A1945" s="44" t="str">
        <f t="shared" si="34"/>
        <v>WW1_TANK_SOUTHAS</v>
      </c>
      <c r="B1945" s="9" t="s">
        <v>2349</v>
      </c>
      <c r="C1945" s="4" t="s">
        <v>695</v>
      </c>
      <c r="D1945" s="4" t="s">
        <v>709</v>
      </c>
      <c r="E1945" s="4" t="s">
        <v>781</v>
      </c>
      <c r="F1945" s="4" t="s">
        <v>781</v>
      </c>
      <c r="G1945" s="14"/>
      <c r="R1945" s="9"/>
      <c r="AL1945" s="11"/>
      <c r="AM1945" s="11"/>
      <c r="AN1945" s="11"/>
      <c r="AO1945" s="11"/>
      <c r="AP1945" s="11"/>
      <c r="AQ1945" s="11"/>
    </row>
    <row r="1946" spans="1:43" x14ac:dyDescent="0.25">
      <c r="A1946" s="44" t="str">
        <f t="shared" si="34"/>
        <v>WW2_INFANTRY</v>
      </c>
      <c r="B1946" s="9" t="s">
        <v>111</v>
      </c>
      <c r="C1946" s="5"/>
      <c r="D1946" s="5"/>
      <c r="E1946" s="5" t="s">
        <v>1389</v>
      </c>
      <c r="F1946" s="5" t="s">
        <v>1389</v>
      </c>
      <c r="G1946" s="5"/>
      <c r="H1946" s="5" t="s">
        <v>1499</v>
      </c>
      <c r="I1946" s="5" t="s">
        <v>102</v>
      </c>
      <c r="J1946" s="6"/>
      <c r="K1946" s="6"/>
      <c r="L1946" s="13" t="s">
        <v>1705</v>
      </c>
      <c r="M1946" s="8"/>
      <c r="N1946" s="5"/>
      <c r="O1946" s="5"/>
      <c r="P1946" s="5"/>
      <c r="Q1946" s="7">
        <v>14</v>
      </c>
      <c r="R1946" s="6" t="s">
        <v>1734</v>
      </c>
      <c r="S1946" s="13" t="s">
        <v>1617</v>
      </c>
      <c r="T1946" s="6">
        <v>18</v>
      </c>
      <c r="U1946" s="7" t="s">
        <v>1734</v>
      </c>
      <c r="V1946" s="5"/>
      <c r="W1946" s="6" t="s">
        <v>3</v>
      </c>
      <c r="X1946" s="6" t="s">
        <v>3</v>
      </c>
      <c r="Y1946" s="5"/>
      <c r="Z1946" s="7">
        <v>1</v>
      </c>
      <c r="AA1946" s="6"/>
      <c r="AB1946" s="5"/>
      <c r="AC1946" s="6"/>
      <c r="AD1946" s="6" t="s">
        <v>3</v>
      </c>
      <c r="AE1946" s="5"/>
      <c r="AF1946" s="6" t="s">
        <v>1734</v>
      </c>
      <c r="AG1946" s="6"/>
      <c r="AH1946" s="5"/>
      <c r="AI1946" s="6" t="s">
        <v>1734</v>
      </c>
      <c r="AJ1946" s="6"/>
      <c r="AK1946" s="5"/>
      <c r="AL1946" s="6"/>
      <c r="AM1946" s="6"/>
      <c r="AN1946" s="6"/>
      <c r="AO1946" s="6"/>
      <c r="AP1946" s="6"/>
      <c r="AQ1946" s="6"/>
    </row>
    <row r="1947" spans="1:43" x14ac:dyDescent="0.25">
      <c r="A1947" s="44" t="str">
        <f t="shared" ref="A1947:A1978" si="35">CONCATENATE(E1947,IF(ISBLANK(C1947),"",CONCATENATE("_",C1947)))</f>
        <v>WW2_INFANTRY_AFRI</v>
      </c>
      <c r="B1947" s="9" t="s">
        <v>111</v>
      </c>
      <c r="C1947" s="4" t="s">
        <v>694</v>
      </c>
      <c r="E1947" s="5" t="s">
        <v>1389</v>
      </c>
      <c r="F1947" s="5" t="s">
        <v>1389</v>
      </c>
      <c r="H1947" s="4" t="s">
        <v>324</v>
      </c>
      <c r="I1947" s="4" t="s">
        <v>1025</v>
      </c>
      <c r="AL1947" s="11"/>
      <c r="AM1947" s="11"/>
      <c r="AN1947" s="11"/>
      <c r="AO1947" s="11"/>
      <c r="AP1947" s="11"/>
      <c r="AQ1947" s="11"/>
    </row>
    <row r="1948" spans="1:43" x14ac:dyDescent="0.25">
      <c r="A1948" s="44" t="str">
        <f t="shared" si="35"/>
        <v>WW2_INFANTRY_AMER</v>
      </c>
      <c r="B1948" s="9" t="s">
        <v>111</v>
      </c>
      <c r="C1948" s="4" t="s">
        <v>697</v>
      </c>
      <c r="E1948" s="5" t="s">
        <v>1389</v>
      </c>
      <c r="F1948" s="5" t="s">
        <v>1389</v>
      </c>
      <c r="H1948" s="4" t="s">
        <v>463</v>
      </c>
      <c r="I1948" s="4" t="s">
        <v>835</v>
      </c>
      <c r="AL1948" s="11"/>
      <c r="AM1948" s="11"/>
      <c r="AN1948" s="11"/>
      <c r="AO1948" s="11"/>
      <c r="AP1948" s="11"/>
      <c r="AQ1948" s="11"/>
    </row>
    <row r="1949" spans="1:43" x14ac:dyDescent="0.25">
      <c r="A1949" s="44" t="str">
        <f t="shared" si="35"/>
        <v>WW2_INFANTRY_ASIA</v>
      </c>
      <c r="B1949" s="9" t="s">
        <v>111</v>
      </c>
      <c r="C1949" s="4" t="s">
        <v>693</v>
      </c>
      <c r="E1949" s="5" t="s">
        <v>1389</v>
      </c>
      <c r="F1949" s="5" t="s">
        <v>1389</v>
      </c>
      <c r="H1949" s="4" t="s">
        <v>449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44" t="str">
        <f t="shared" si="35"/>
        <v>WW2_INFANTRY_CHINA</v>
      </c>
      <c r="B1950" s="9" t="s">
        <v>111</v>
      </c>
      <c r="C1950" s="4" t="s">
        <v>710</v>
      </c>
      <c r="E1950" s="5" t="s">
        <v>1389</v>
      </c>
      <c r="F1950" s="5" t="s">
        <v>1389</v>
      </c>
      <c r="G1950" s="14" t="s">
        <v>132</v>
      </c>
      <c r="H1950" s="4" t="s">
        <v>636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44" t="str">
        <f t="shared" si="35"/>
        <v>WW2_INFANTRY_JAPAN</v>
      </c>
      <c r="B1951" s="9" t="s">
        <v>111</v>
      </c>
      <c r="C1951" s="4" t="s">
        <v>722</v>
      </c>
      <c r="E1951" s="5" t="s">
        <v>1389</v>
      </c>
      <c r="F1951" s="5" t="s">
        <v>1389</v>
      </c>
      <c r="H1951" s="4" t="s">
        <v>952</v>
      </c>
      <c r="I1951" s="4" t="s">
        <v>102</v>
      </c>
      <c r="Q1951" s="11">
        <v>1</v>
      </c>
      <c r="T1951" s="11">
        <v>1</v>
      </c>
      <c r="Z1951" s="11">
        <v>0</v>
      </c>
      <c r="AF1951" s="11">
        <v>1</v>
      </c>
      <c r="AI1951" s="11">
        <v>1</v>
      </c>
      <c r="AL1951" s="11"/>
      <c r="AM1951" s="11"/>
      <c r="AN1951" s="11"/>
      <c r="AO1951" s="11"/>
      <c r="AP1951" s="11"/>
      <c r="AQ1951" s="11"/>
    </row>
    <row r="1952" spans="1:43" x14ac:dyDescent="0.25">
      <c r="A1952" s="44" t="str">
        <f t="shared" si="35"/>
        <v>WW2_INFANTRY_JAPAN</v>
      </c>
      <c r="B1952" s="9" t="s">
        <v>111</v>
      </c>
      <c r="C1952" s="4" t="s">
        <v>722</v>
      </c>
      <c r="E1952" s="5" t="s">
        <v>1389</v>
      </c>
      <c r="F1952" s="5" t="s">
        <v>1389</v>
      </c>
      <c r="G1952" s="4" t="s">
        <v>2039</v>
      </c>
      <c r="H1952" s="4" t="s">
        <v>481</v>
      </c>
      <c r="I1952" s="4" t="s">
        <v>102</v>
      </c>
      <c r="Q1952" s="11">
        <v>13</v>
      </c>
      <c r="T1952" s="11">
        <v>8</v>
      </c>
      <c r="Z1952" s="11">
        <v>1</v>
      </c>
      <c r="AF1952" s="11">
        <v>2</v>
      </c>
      <c r="AI1952" s="11">
        <v>6</v>
      </c>
      <c r="AL1952" s="11"/>
      <c r="AM1952" s="11"/>
      <c r="AN1952" s="11"/>
      <c r="AO1952" s="11"/>
      <c r="AP1952" s="11"/>
      <c r="AQ1952" s="11"/>
    </row>
    <row r="1953" spans="1:43" x14ac:dyDescent="0.25">
      <c r="A1953" s="44" t="str">
        <f>CONCATENATE(E1953,IF(ISBLANK(C1953),"",CONCATENATE("_",C1953)))</f>
        <v>WW2_INFANTRY_JAPAN</v>
      </c>
      <c r="B1953" s="9" t="s">
        <v>111</v>
      </c>
      <c r="C1953" s="4" t="s">
        <v>722</v>
      </c>
      <c r="E1953" s="5" t="s">
        <v>1389</v>
      </c>
      <c r="F1953" s="5" t="s">
        <v>1389</v>
      </c>
      <c r="H1953" s="4" t="s">
        <v>952</v>
      </c>
      <c r="I1953" s="4" t="s">
        <v>102</v>
      </c>
      <c r="Q1953" s="11">
        <v>0</v>
      </c>
      <c r="T1953" s="11">
        <v>1</v>
      </c>
      <c r="Z1953" s="11">
        <v>0</v>
      </c>
      <c r="AF1953" s="11">
        <v>0</v>
      </c>
      <c r="AI1953" s="11">
        <v>0</v>
      </c>
      <c r="AL1953" s="11"/>
      <c r="AM1953" s="11"/>
      <c r="AN1953" s="11"/>
      <c r="AO1953" s="11"/>
      <c r="AP1953" s="11"/>
      <c r="AQ1953" s="11"/>
    </row>
    <row r="1954" spans="1:43" x14ac:dyDescent="0.25">
      <c r="A1954" s="44" t="str">
        <f>CONCATENATE(E1954,IF(ISBLANK(C1954),"",CONCATENATE("_",C1954)))</f>
        <v>WW2_INFANTRY_JAPAN</v>
      </c>
      <c r="B1954" s="9" t="s">
        <v>111</v>
      </c>
      <c r="C1954" s="4" t="s">
        <v>722</v>
      </c>
      <c r="E1954" s="5" t="s">
        <v>1389</v>
      </c>
      <c r="F1954" s="5" t="s">
        <v>1389</v>
      </c>
      <c r="G1954" s="4" t="s">
        <v>2039</v>
      </c>
      <c r="H1954" s="4" t="s">
        <v>481</v>
      </c>
      <c r="I1954" s="4" t="s">
        <v>102</v>
      </c>
      <c r="Q1954" s="11">
        <v>0</v>
      </c>
      <c r="T1954" s="11">
        <v>8</v>
      </c>
      <c r="Z1954" s="11">
        <v>0</v>
      </c>
      <c r="AF1954" s="11">
        <v>0</v>
      </c>
      <c r="AI1954" s="11">
        <v>0</v>
      </c>
      <c r="AL1954" s="11"/>
      <c r="AM1954" s="11"/>
      <c r="AN1954" s="11"/>
      <c r="AO1954" s="11"/>
      <c r="AP1954" s="11"/>
      <c r="AQ1954" s="11"/>
    </row>
    <row r="1955" spans="1:43" x14ac:dyDescent="0.25">
      <c r="A1955" s="44" t="str">
        <f t="shared" si="35"/>
        <v>WW2_INFANTRY_CENTAS</v>
      </c>
      <c r="B1955" s="9" t="s">
        <v>111</v>
      </c>
      <c r="C1955" s="4" t="s">
        <v>918</v>
      </c>
      <c r="E1955" s="5" t="s">
        <v>1389</v>
      </c>
      <c r="F1955" s="5" t="s">
        <v>1389</v>
      </c>
      <c r="G1955" s="14" t="s">
        <v>132</v>
      </c>
      <c r="H1955" s="4" t="s">
        <v>908</v>
      </c>
      <c r="I1955" s="4" t="s">
        <v>102</v>
      </c>
      <c r="R1955" s="11">
        <v>0.15</v>
      </c>
      <c r="U1955" s="11">
        <v>9.5000000000000001E-2</v>
      </c>
      <c r="X1955" s="11" t="s">
        <v>3</v>
      </c>
      <c r="AA1955" s="11">
        <v>0.25</v>
      </c>
      <c r="AL1955" s="11"/>
      <c r="AM1955" s="11"/>
      <c r="AN1955" s="11"/>
      <c r="AO1955" s="11"/>
      <c r="AP1955" s="11"/>
      <c r="AQ1955" s="11"/>
    </row>
    <row r="1956" spans="1:43" x14ac:dyDescent="0.25">
      <c r="A1956" s="44" t="str">
        <f t="shared" si="35"/>
        <v>WW2_INFANTRY_EASTEU</v>
      </c>
      <c r="B1956" s="9" t="s">
        <v>111</v>
      </c>
      <c r="C1956" s="4" t="s">
        <v>698</v>
      </c>
      <c r="E1956" s="5" t="s">
        <v>1389</v>
      </c>
      <c r="F1956" s="5" t="s">
        <v>1389</v>
      </c>
      <c r="H1956" s="4" t="s">
        <v>571</v>
      </c>
      <c r="I1956" s="4" t="s">
        <v>102</v>
      </c>
      <c r="AL1956" s="11"/>
      <c r="AM1956" s="11"/>
      <c r="AN1956" s="11"/>
      <c r="AO1956" s="11"/>
      <c r="AP1956" s="11"/>
      <c r="AQ1956" s="11"/>
    </row>
    <row r="1957" spans="1:43" x14ac:dyDescent="0.25">
      <c r="A1957" s="44" t="str">
        <f t="shared" si="35"/>
        <v>WW2_INFANTRY_RUSSIA</v>
      </c>
      <c r="B1957" s="9" t="s">
        <v>111</v>
      </c>
      <c r="C1957" s="4" t="s">
        <v>735</v>
      </c>
      <c r="E1957" s="5" t="s">
        <v>1389</v>
      </c>
      <c r="F1957" s="5" t="s">
        <v>1389</v>
      </c>
      <c r="G1957" s="14" t="s">
        <v>132</v>
      </c>
      <c r="H1957" s="4" t="s">
        <v>614</v>
      </c>
      <c r="I1957" s="4" t="s">
        <v>102</v>
      </c>
      <c r="AL1957" s="11"/>
      <c r="AM1957" s="11"/>
      <c r="AN1957" s="11"/>
      <c r="AO1957" s="11"/>
      <c r="AP1957" s="11"/>
      <c r="AQ1957" s="11"/>
    </row>
    <row r="1958" spans="1:43" x14ac:dyDescent="0.25">
      <c r="A1958" s="44" t="str">
        <f t="shared" si="35"/>
        <v>WW2_INFANTRY_AMERICA</v>
      </c>
      <c r="B1958" s="9" t="s">
        <v>111</v>
      </c>
      <c r="C1958" s="4" t="s">
        <v>699</v>
      </c>
      <c r="E1958" s="5" t="s">
        <v>1389</v>
      </c>
      <c r="F1958" s="5" t="s">
        <v>1389</v>
      </c>
      <c r="G1958" s="14"/>
      <c r="H1958" s="4" t="s">
        <v>140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44" t="str">
        <f t="shared" si="35"/>
        <v>WW2_INFANTRY_AUSTRALIA</v>
      </c>
      <c r="B1959" s="9" t="s">
        <v>111</v>
      </c>
      <c r="C1959" s="4" t="s">
        <v>1300</v>
      </c>
      <c r="E1959" s="5" t="s">
        <v>1389</v>
      </c>
      <c r="F1959" s="5" t="s">
        <v>1389</v>
      </c>
      <c r="G1959" s="14"/>
      <c r="H1959" s="4" t="s">
        <v>2194</v>
      </c>
      <c r="I1959" s="4" t="s">
        <v>966</v>
      </c>
      <c r="Q1959" s="11">
        <v>3</v>
      </c>
      <c r="T1959" s="11">
        <v>4</v>
      </c>
      <c r="W1959" s="11" t="s">
        <v>3</v>
      </c>
      <c r="Z1959" s="11">
        <v>0</v>
      </c>
      <c r="AF1959" s="11">
        <v>1</v>
      </c>
      <c r="AI1959" s="11">
        <v>1</v>
      </c>
      <c r="AL1959" s="11"/>
      <c r="AM1959" s="11"/>
      <c r="AN1959" s="11"/>
      <c r="AO1959" s="11"/>
      <c r="AP1959" s="11"/>
      <c r="AQ1959" s="11"/>
    </row>
    <row r="1960" spans="1:43" x14ac:dyDescent="0.25">
      <c r="A1960" s="44" t="str">
        <f t="shared" si="35"/>
        <v>WW2_INFANTRY_AUSTRALIA</v>
      </c>
      <c r="B1960" s="9" t="s">
        <v>111</v>
      </c>
      <c r="C1960" s="4" t="s">
        <v>1300</v>
      </c>
      <c r="E1960" s="5" t="s">
        <v>1389</v>
      </c>
      <c r="F1960" s="5" t="s">
        <v>1389</v>
      </c>
      <c r="G1960" s="14" t="s">
        <v>2039</v>
      </c>
      <c r="H1960" s="4" t="s">
        <v>2195</v>
      </c>
      <c r="I1960" s="4" t="s">
        <v>966</v>
      </c>
      <c r="Q1960" s="11">
        <v>4</v>
      </c>
      <c r="T1960" s="11">
        <v>5</v>
      </c>
      <c r="W1960" s="11" t="s">
        <v>3</v>
      </c>
      <c r="Z1960" s="11">
        <v>1</v>
      </c>
      <c r="AF1960" s="11">
        <v>1</v>
      </c>
      <c r="AI1960" s="11">
        <v>3</v>
      </c>
      <c r="AL1960" s="11"/>
      <c r="AM1960" s="11"/>
      <c r="AN1960" s="11"/>
      <c r="AO1960" s="11"/>
      <c r="AP1960" s="11"/>
      <c r="AQ1960" s="11"/>
    </row>
    <row r="1961" spans="1:43" x14ac:dyDescent="0.25">
      <c r="A1961" s="44" t="str">
        <f t="shared" si="35"/>
        <v>WW2_INFANTRY_AUSTRALIA</v>
      </c>
      <c r="B1961" s="9" t="s">
        <v>111</v>
      </c>
      <c r="C1961" s="4" t="s">
        <v>1300</v>
      </c>
      <c r="E1961" s="5" t="s">
        <v>1389</v>
      </c>
      <c r="F1961" s="5" t="s">
        <v>1389</v>
      </c>
      <c r="G1961" s="14"/>
      <c r="H1961" s="4" t="s">
        <v>2194</v>
      </c>
      <c r="I1961" s="4" t="s">
        <v>966</v>
      </c>
      <c r="Q1961" s="11">
        <v>2</v>
      </c>
      <c r="T1961" s="11">
        <v>3</v>
      </c>
      <c r="W1961" s="11" t="s">
        <v>3</v>
      </c>
      <c r="Z1961" s="11">
        <v>0</v>
      </c>
      <c r="AF1961" s="11">
        <v>1</v>
      </c>
      <c r="AI1961" s="11">
        <v>1</v>
      </c>
      <c r="AL1961" s="11"/>
      <c r="AM1961" s="11"/>
      <c r="AN1961" s="11"/>
      <c r="AO1961" s="11"/>
      <c r="AP1961" s="11"/>
      <c r="AQ1961" s="11"/>
    </row>
    <row r="1962" spans="1:43" x14ac:dyDescent="0.25">
      <c r="A1962" s="44" t="str">
        <f t="shared" si="35"/>
        <v>WW2_INFANTRY_AUSTRALIA</v>
      </c>
      <c r="B1962" s="9" t="s">
        <v>111</v>
      </c>
      <c r="C1962" s="4" t="s">
        <v>1300</v>
      </c>
      <c r="E1962" s="5" t="s">
        <v>1389</v>
      </c>
      <c r="F1962" s="5" t="s">
        <v>1389</v>
      </c>
      <c r="G1962" s="14" t="s">
        <v>2039</v>
      </c>
      <c r="H1962" s="4" t="s">
        <v>2195</v>
      </c>
      <c r="I1962" s="4" t="s">
        <v>966</v>
      </c>
      <c r="Q1962" s="11">
        <v>5</v>
      </c>
      <c r="T1962" s="11">
        <v>6</v>
      </c>
      <c r="W1962" s="11" t="s">
        <v>3</v>
      </c>
      <c r="Z1962" s="11">
        <v>0</v>
      </c>
      <c r="AF1962" s="11">
        <v>0</v>
      </c>
      <c r="AI1962" s="11">
        <v>2</v>
      </c>
      <c r="AL1962" s="11"/>
      <c r="AM1962" s="11"/>
      <c r="AN1962" s="11"/>
      <c r="AO1962" s="11"/>
      <c r="AP1962" s="11"/>
      <c r="AQ1962" s="11"/>
    </row>
    <row r="1963" spans="1:43" x14ac:dyDescent="0.25">
      <c r="A1963" s="44" t="str">
        <f t="shared" si="35"/>
        <v>WW2_INFANTRY_AUSTRIA</v>
      </c>
      <c r="B1963" s="9" t="s">
        <v>111</v>
      </c>
      <c r="C1963" s="4" t="s">
        <v>701</v>
      </c>
      <c r="E1963" s="5" t="s">
        <v>1389</v>
      </c>
      <c r="F1963" s="5" t="s">
        <v>1389</v>
      </c>
      <c r="G1963" s="14"/>
      <c r="H1963" s="4" t="s">
        <v>180</v>
      </c>
      <c r="I1963" s="4" t="s">
        <v>102</v>
      </c>
      <c r="AL1963" s="11"/>
      <c r="AM1963" s="11"/>
      <c r="AN1963" s="11"/>
      <c r="AO1963" s="11"/>
      <c r="AP1963" s="11"/>
      <c r="AQ1963" s="11"/>
    </row>
    <row r="1964" spans="1:43" x14ac:dyDescent="0.25">
      <c r="A1964" s="44" t="str">
        <f t="shared" si="35"/>
        <v>WW2_INFANTRY_CELTS</v>
      </c>
      <c r="B1964" s="9" t="s">
        <v>111</v>
      </c>
      <c r="C1964" s="4" t="s">
        <v>709</v>
      </c>
      <c r="D1964" s="4" t="s">
        <v>713</v>
      </c>
      <c r="E1964" s="5" t="s">
        <v>1389</v>
      </c>
      <c r="F1964" s="5" t="s">
        <v>1389</v>
      </c>
      <c r="G1964" s="14"/>
      <c r="AL1964" s="11"/>
      <c r="AM1964" s="11"/>
      <c r="AN1964" s="11"/>
      <c r="AO1964" s="11"/>
      <c r="AP1964" s="11"/>
      <c r="AQ1964" s="11"/>
    </row>
    <row r="1965" spans="1:43" x14ac:dyDescent="0.25">
      <c r="A1965" s="44" t="str">
        <f t="shared" si="35"/>
        <v>WW2_INFANTRY_ENGLAND</v>
      </c>
      <c r="B1965" s="9" t="s">
        <v>111</v>
      </c>
      <c r="C1965" s="4" t="s">
        <v>713</v>
      </c>
      <c r="E1965" s="5" t="s">
        <v>1389</v>
      </c>
      <c r="F1965" s="5" t="s">
        <v>1389</v>
      </c>
      <c r="G1965" s="14" t="s">
        <v>132</v>
      </c>
      <c r="H1965" s="4" t="s">
        <v>300</v>
      </c>
      <c r="I1965" s="4" t="s">
        <v>102</v>
      </c>
      <c r="AL1965" s="11"/>
      <c r="AM1965" s="11"/>
      <c r="AN1965" s="11"/>
      <c r="AO1965" s="11"/>
      <c r="AP1965" s="11"/>
      <c r="AQ1965" s="11"/>
    </row>
    <row r="1966" spans="1:43" x14ac:dyDescent="0.25">
      <c r="A1966" s="44" t="str">
        <f t="shared" si="35"/>
        <v>WW2_INFANTRY_FRANCE</v>
      </c>
      <c r="B1966" s="9" t="s">
        <v>111</v>
      </c>
      <c r="C1966" s="4" t="s">
        <v>715</v>
      </c>
      <c r="E1966" s="5" t="s">
        <v>1389</v>
      </c>
      <c r="F1966" s="5" t="s">
        <v>1389</v>
      </c>
      <c r="G1966" s="14" t="s">
        <v>132</v>
      </c>
      <c r="H1966" s="4" t="s">
        <v>346</v>
      </c>
      <c r="I1966" s="4" t="s">
        <v>102</v>
      </c>
      <c r="AL1966" s="11"/>
      <c r="AM1966" s="11"/>
      <c r="AN1966" s="11"/>
      <c r="AO1966" s="11"/>
      <c r="AP1966" s="11"/>
      <c r="AQ1966" s="11"/>
    </row>
    <row r="1967" spans="1:43" x14ac:dyDescent="0.25">
      <c r="A1967" s="44" t="str">
        <f t="shared" si="35"/>
        <v>WW2_INFANTRY_GERMANY</v>
      </c>
      <c r="B1967" s="9" t="s">
        <v>111</v>
      </c>
      <c r="C1967" s="4" t="s">
        <v>717</v>
      </c>
      <c r="E1967" s="5" t="s">
        <v>1389</v>
      </c>
      <c r="F1967" s="5" t="s">
        <v>1389</v>
      </c>
      <c r="G1967" s="14" t="s">
        <v>132</v>
      </c>
      <c r="H1967" s="4" t="s">
        <v>377</v>
      </c>
      <c r="I1967" s="4" t="s">
        <v>102</v>
      </c>
      <c r="AL1967" s="11"/>
      <c r="AM1967" s="11"/>
      <c r="AN1967" s="11"/>
      <c r="AO1967" s="11"/>
      <c r="AP1967" s="11"/>
      <c r="AQ1967" s="11"/>
    </row>
    <row r="1968" spans="1:43" x14ac:dyDescent="0.25">
      <c r="A1968" s="44" t="str">
        <f t="shared" si="35"/>
        <v>WW2_INFANTRY_NETHERLANDS</v>
      </c>
      <c r="B1968" s="9" t="s">
        <v>111</v>
      </c>
      <c r="C1968" s="4" t="s">
        <v>730</v>
      </c>
      <c r="E1968" s="5" t="s">
        <v>1389</v>
      </c>
      <c r="F1968" s="5" t="s">
        <v>1389</v>
      </c>
      <c r="G1968" s="14" t="s">
        <v>132</v>
      </c>
      <c r="H1968" s="4" t="s">
        <v>543</v>
      </c>
      <c r="I1968" s="4" t="s">
        <v>102</v>
      </c>
      <c r="AL1968" s="11"/>
      <c r="AM1968" s="11"/>
      <c r="AN1968" s="11"/>
      <c r="AO1968" s="11"/>
      <c r="AP1968" s="11"/>
      <c r="AQ1968" s="11"/>
    </row>
    <row r="1969" spans="1:43" x14ac:dyDescent="0.25">
      <c r="A1969" s="44" t="str">
        <f t="shared" si="35"/>
        <v>WW2_INFANTRY_GREECE</v>
      </c>
      <c r="B1969" s="9" t="s">
        <v>111</v>
      </c>
      <c r="C1969" s="4" t="s">
        <v>718</v>
      </c>
      <c r="E1969" s="5" t="s">
        <v>1389</v>
      </c>
      <c r="F1969" s="5" t="s">
        <v>1389</v>
      </c>
      <c r="G1969" s="14" t="s">
        <v>132</v>
      </c>
      <c r="H1969" s="4" t="s">
        <v>404</v>
      </c>
      <c r="I1969" s="4" t="s">
        <v>102</v>
      </c>
      <c r="AL1969" s="11"/>
      <c r="AM1969" s="11"/>
      <c r="AN1969" s="11"/>
      <c r="AO1969" s="11"/>
      <c r="AP1969" s="11"/>
      <c r="AQ1969" s="11"/>
    </row>
    <row r="1970" spans="1:43" x14ac:dyDescent="0.25">
      <c r="A1970" s="44" t="str">
        <f t="shared" si="35"/>
        <v>WW2_INFANTRY_ROME</v>
      </c>
      <c r="B1970" s="9" t="s">
        <v>111</v>
      </c>
      <c r="C1970" s="4" t="s">
        <v>734</v>
      </c>
      <c r="E1970" s="5" t="s">
        <v>1389</v>
      </c>
      <c r="F1970" s="5" t="s">
        <v>1389</v>
      </c>
      <c r="G1970" s="14" t="s">
        <v>132</v>
      </c>
      <c r="H1970" s="4" t="s">
        <v>590</v>
      </c>
      <c r="I1970" s="4" t="s">
        <v>102</v>
      </c>
      <c r="AL1970" s="11"/>
      <c r="AM1970" s="11"/>
      <c r="AN1970" s="11"/>
      <c r="AO1970" s="11"/>
      <c r="AP1970" s="11"/>
      <c r="AQ1970" s="11"/>
    </row>
    <row r="1971" spans="1:43" x14ac:dyDescent="0.25">
      <c r="A1971" s="44" t="str">
        <f t="shared" si="35"/>
        <v>WW2_INFANTRY_SPAIN</v>
      </c>
      <c r="B1971" s="9" t="s">
        <v>111</v>
      </c>
      <c r="C1971" s="4" t="s">
        <v>738</v>
      </c>
      <c r="E1971" s="5" t="s">
        <v>1389</v>
      </c>
      <c r="F1971" s="5" t="s">
        <v>1389</v>
      </c>
      <c r="G1971" s="14" t="s">
        <v>132</v>
      </c>
      <c r="H1971" s="4" t="s">
        <v>654</v>
      </c>
      <c r="I1971" s="4" t="s">
        <v>102</v>
      </c>
      <c r="AL1971" s="11"/>
      <c r="AM1971" s="11"/>
      <c r="AN1971" s="11"/>
      <c r="AO1971" s="11"/>
      <c r="AP1971" s="11"/>
      <c r="AQ1971" s="11"/>
    </row>
    <row r="1972" spans="1:43" x14ac:dyDescent="0.25">
      <c r="A1972" s="44" t="str">
        <f t="shared" si="35"/>
        <v>WW2_INFANTRY_SWEDEN</v>
      </c>
      <c r="B1972" s="9" t="s">
        <v>111</v>
      </c>
      <c r="C1972" s="4" t="s">
        <v>739</v>
      </c>
      <c r="E1972" s="5" t="s">
        <v>1389</v>
      </c>
      <c r="F1972" s="5" t="s">
        <v>1389</v>
      </c>
      <c r="G1972" s="14" t="s">
        <v>132</v>
      </c>
      <c r="H1972" s="4" t="s">
        <v>672</v>
      </c>
      <c r="I1972" s="4" t="s">
        <v>102</v>
      </c>
      <c r="AL1972" s="11"/>
      <c r="AM1972" s="11"/>
      <c r="AN1972" s="11"/>
      <c r="AO1972" s="11"/>
      <c r="AP1972" s="11"/>
      <c r="AQ1972" s="11"/>
    </row>
    <row r="1973" spans="1:43" x14ac:dyDescent="0.25">
      <c r="A1973" s="44" t="str">
        <f t="shared" si="35"/>
        <v>WW2_INFANTRY_SAHUL</v>
      </c>
      <c r="B1973" s="9" t="s">
        <v>111</v>
      </c>
      <c r="C1973" s="4" t="s">
        <v>1785</v>
      </c>
      <c r="E1973" s="5" t="s">
        <v>1389</v>
      </c>
      <c r="F1973" s="5" t="s">
        <v>1389</v>
      </c>
      <c r="G1973" s="14"/>
      <c r="H1973" s="4" t="s">
        <v>2193</v>
      </c>
      <c r="I1973" s="4" t="s">
        <v>966</v>
      </c>
      <c r="Q1973" s="11">
        <v>3</v>
      </c>
      <c r="T1973" s="11">
        <v>4</v>
      </c>
      <c r="W1973" s="11" t="s">
        <v>3</v>
      </c>
      <c r="Z1973" s="11">
        <v>0</v>
      </c>
      <c r="AF1973" s="11">
        <v>1</v>
      </c>
      <c r="AI1973" s="11">
        <v>1</v>
      </c>
      <c r="AL1973" s="11"/>
      <c r="AM1973" s="11"/>
      <c r="AN1973" s="11"/>
      <c r="AO1973" s="11"/>
      <c r="AP1973" s="11"/>
      <c r="AQ1973" s="11"/>
    </row>
    <row r="1974" spans="1:43" x14ac:dyDescent="0.25">
      <c r="A1974" s="44" t="str">
        <f t="shared" si="35"/>
        <v>WW2_INFANTRY_SAHUL</v>
      </c>
      <c r="B1974" s="9" t="s">
        <v>111</v>
      </c>
      <c r="C1974" s="4" t="s">
        <v>1785</v>
      </c>
      <c r="E1974" s="5" t="s">
        <v>1389</v>
      </c>
      <c r="F1974" s="5" t="s">
        <v>1389</v>
      </c>
      <c r="G1974" s="14" t="s">
        <v>2039</v>
      </c>
      <c r="H1974" s="4" t="s">
        <v>2196</v>
      </c>
      <c r="I1974" s="4" t="s">
        <v>966</v>
      </c>
      <c r="Q1974" s="11">
        <v>4</v>
      </c>
      <c r="T1974" s="11">
        <v>5</v>
      </c>
      <c r="W1974" s="11" t="s">
        <v>3</v>
      </c>
      <c r="Z1974" s="11">
        <v>1</v>
      </c>
      <c r="AF1974" s="11">
        <v>1</v>
      </c>
      <c r="AI1974" s="11">
        <v>3</v>
      </c>
      <c r="AL1974" s="11"/>
      <c r="AM1974" s="11"/>
      <c r="AN1974" s="11"/>
      <c r="AO1974" s="11"/>
      <c r="AP1974" s="11"/>
      <c r="AQ1974" s="11"/>
    </row>
    <row r="1975" spans="1:43" x14ac:dyDescent="0.25">
      <c r="A1975" s="44" t="str">
        <f t="shared" si="35"/>
        <v>WW2_INFANTRY_SAHUL</v>
      </c>
      <c r="B1975" s="9" t="s">
        <v>111</v>
      </c>
      <c r="C1975" s="4" t="s">
        <v>1785</v>
      </c>
      <c r="E1975" s="5" t="s">
        <v>1389</v>
      </c>
      <c r="F1975" s="5" t="s">
        <v>1389</v>
      </c>
      <c r="G1975" s="14"/>
      <c r="H1975" s="4" t="s">
        <v>2193</v>
      </c>
      <c r="I1975" s="4" t="s">
        <v>966</v>
      </c>
      <c r="Q1975" s="11">
        <v>2</v>
      </c>
      <c r="T1975" s="11">
        <v>3</v>
      </c>
      <c r="W1975" s="11" t="s">
        <v>3</v>
      </c>
      <c r="Z1975" s="11">
        <v>0</v>
      </c>
      <c r="AF1975" s="11">
        <v>1</v>
      </c>
      <c r="AI1975" s="11">
        <v>1</v>
      </c>
      <c r="AL1975" s="11"/>
      <c r="AM1975" s="11"/>
      <c r="AN1975" s="11"/>
      <c r="AO1975" s="11"/>
      <c r="AP1975" s="11"/>
      <c r="AQ1975" s="11"/>
    </row>
    <row r="1976" spans="1:43" x14ac:dyDescent="0.25">
      <c r="A1976" s="44" t="str">
        <f t="shared" si="35"/>
        <v>WW2_INFANTRY_SAHUL</v>
      </c>
      <c r="B1976" s="9" t="s">
        <v>111</v>
      </c>
      <c r="C1976" s="4" t="s">
        <v>1785</v>
      </c>
      <c r="E1976" s="5" t="s">
        <v>1389</v>
      </c>
      <c r="F1976" s="5" t="s">
        <v>1389</v>
      </c>
      <c r="G1976" s="14" t="s">
        <v>2039</v>
      </c>
      <c r="H1976" s="4" t="s">
        <v>2196</v>
      </c>
      <c r="I1976" s="4" t="s">
        <v>966</v>
      </c>
      <c r="Q1976" s="11">
        <v>5</v>
      </c>
      <c r="T1976" s="11">
        <v>6</v>
      </c>
      <c r="W1976" s="11" t="s">
        <v>3</v>
      </c>
      <c r="Z1976" s="11">
        <v>0</v>
      </c>
      <c r="AF1976" s="11">
        <v>0</v>
      </c>
      <c r="AI1976" s="11">
        <v>2</v>
      </c>
      <c r="AL1976" s="11"/>
      <c r="AM1976" s="11"/>
      <c r="AN1976" s="11"/>
      <c r="AO1976" s="11"/>
      <c r="AP1976" s="11"/>
      <c r="AQ1976" s="11"/>
    </row>
    <row r="1977" spans="1:43" x14ac:dyDescent="0.25">
      <c r="A1977" s="44" t="str">
        <f t="shared" si="35"/>
        <v>WW2_INFANTRY_SEASIA</v>
      </c>
      <c r="B1977" s="9" t="s">
        <v>111</v>
      </c>
      <c r="C1977" s="4" t="s">
        <v>696</v>
      </c>
      <c r="D1977" s="4" t="s">
        <v>693</v>
      </c>
      <c r="E1977" s="5" t="s">
        <v>1389</v>
      </c>
      <c r="F1977" s="5" t="s">
        <v>1389</v>
      </c>
      <c r="AL1977" s="11"/>
      <c r="AM1977" s="11"/>
      <c r="AN1977" s="11"/>
      <c r="AO1977" s="11"/>
      <c r="AP1977" s="11"/>
      <c r="AQ1977" s="11"/>
    </row>
    <row r="1978" spans="1:43" x14ac:dyDescent="0.25">
      <c r="A1978" s="44" t="str">
        <f t="shared" si="35"/>
        <v>WW2_INFANTRY_SIAM</v>
      </c>
      <c r="B1978" s="9" t="s">
        <v>111</v>
      </c>
      <c r="C1978" s="4" t="s">
        <v>736</v>
      </c>
      <c r="E1978" s="5" t="s">
        <v>1389</v>
      </c>
      <c r="F1978" s="5" t="s">
        <v>1389</v>
      </c>
      <c r="G1978" s="14" t="s">
        <v>132</v>
      </c>
      <c r="H1978" s="4" t="s">
        <v>249</v>
      </c>
      <c r="I1978" s="4" t="s">
        <v>102</v>
      </c>
      <c r="AL1978" s="11"/>
      <c r="AM1978" s="11"/>
      <c r="AN1978" s="11"/>
      <c r="AO1978" s="11"/>
      <c r="AP1978" s="11"/>
      <c r="AQ1978" s="11"/>
    </row>
    <row r="1979" spans="1:43" x14ac:dyDescent="0.25">
      <c r="A1979" s="44" t="str">
        <f t="shared" ref="A1979:A2000" si="36">CONCATENATE(E1979,IF(ISBLANK(C1979),"",CONCATENATE("_",C1979)))</f>
        <v>XCOM_SQUAD</v>
      </c>
      <c r="B1979" s="9" t="s">
        <v>782</v>
      </c>
      <c r="C1979" s="5"/>
      <c r="D1979" s="5"/>
      <c r="E1979" s="5" t="s">
        <v>782</v>
      </c>
      <c r="F1979" s="5" t="s">
        <v>782</v>
      </c>
      <c r="G1979" s="5"/>
      <c r="H1979" s="5" t="s">
        <v>1540</v>
      </c>
      <c r="I1979" s="5" t="s">
        <v>128</v>
      </c>
      <c r="J1979" s="6"/>
      <c r="K1979" s="6"/>
      <c r="L1979" s="13" t="s">
        <v>1705</v>
      </c>
      <c r="M1979" s="8"/>
      <c r="N1979" s="5"/>
      <c r="O1979" s="5"/>
      <c r="P1979" s="5"/>
      <c r="Q1979" s="7">
        <v>6</v>
      </c>
      <c r="R1979" s="6" t="s">
        <v>1734</v>
      </c>
      <c r="S1979" s="13" t="s">
        <v>1611</v>
      </c>
      <c r="T1979" s="6">
        <v>10</v>
      </c>
      <c r="U1979" s="7" t="s">
        <v>1692</v>
      </c>
      <c r="V1979" s="5"/>
      <c r="W1979" s="7" t="s">
        <v>3</v>
      </c>
      <c r="X1979" s="6" t="s">
        <v>3</v>
      </c>
      <c r="Y1979" s="5"/>
      <c r="Z1979" s="7">
        <v>1</v>
      </c>
      <c r="AA1979" s="6"/>
      <c r="AB1979" s="5"/>
      <c r="AC1979" s="6"/>
      <c r="AD1979" s="6" t="s">
        <v>3</v>
      </c>
      <c r="AE1979" s="5"/>
      <c r="AF1979" s="6">
        <v>2</v>
      </c>
      <c r="AG1979" s="6"/>
      <c r="AH1979" s="5"/>
      <c r="AI1979" s="6">
        <v>5</v>
      </c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44" t="str">
        <f t="shared" si="36"/>
        <v>XP_PRIVATEER</v>
      </c>
      <c r="B1980" s="9" t="s">
        <v>1362</v>
      </c>
      <c r="C1980" s="5"/>
      <c r="D1980" s="5"/>
      <c r="E1980" s="5" t="s">
        <v>783</v>
      </c>
      <c r="F1980" s="5" t="s">
        <v>783</v>
      </c>
      <c r="G1980" s="5"/>
      <c r="H1980" s="5" t="s">
        <v>1161</v>
      </c>
      <c r="I1980" s="5" t="s">
        <v>128</v>
      </c>
      <c r="J1980" s="6"/>
      <c r="K1980" s="7"/>
      <c r="L1980" s="13" t="s">
        <v>1709</v>
      </c>
      <c r="M1980" s="8"/>
      <c r="N1980" s="13" t="s">
        <v>1724</v>
      </c>
      <c r="O1980" s="13"/>
      <c r="P1980" s="13"/>
      <c r="Q1980" s="7">
        <v>1</v>
      </c>
      <c r="R1980" s="6" t="s">
        <v>1734</v>
      </c>
      <c r="S1980" s="5"/>
      <c r="T1980" s="6"/>
      <c r="U1980" s="7" t="s">
        <v>1734</v>
      </c>
      <c r="V1980" s="5"/>
      <c r="W1980" s="6"/>
      <c r="X1980" s="6"/>
      <c r="Y1980" s="5"/>
      <c r="Z1980" s="6"/>
      <c r="AA1980" s="6"/>
      <c r="AB1980" s="5"/>
      <c r="AC1980" s="6"/>
      <c r="AD1980" s="6"/>
      <c r="AE1980" s="5"/>
      <c r="AF1980" s="6"/>
      <c r="AG1980" s="6"/>
      <c r="AH1980" s="5"/>
      <c r="AI1980" s="6"/>
      <c r="AJ1980" s="6"/>
      <c r="AK1980" s="5"/>
      <c r="AL1980" s="6"/>
      <c r="AM1980" s="6"/>
      <c r="AN1980" s="6"/>
      <c r="AO1980" s="6"/>
      <c r="AP1980" s="6"/>
      <c r="AQ1980" s="6"/>
    </row>
    <row r="1981" spans="1:43" x14ac:dyDescent="0.25">
      <c r="A1981" s="44" t="str">
        <f t="shared" si="36"/>
        <v>AUTOCHTHON</v>
      </c>
      <c r="B1981" s="9" t="s">
        <v>2480</v>
      </c>
      <c r="C1981" s="5"/>
      <c r="D1981" s="5"/>
      <c r="E1981" s="5" t="s">
        <v>2480</v>
      </c>
      <c r="F1981" s="5" t="s">
        <v>2480</v>
      </c>
      <c r="G1981" s="5"/>
      <c r="H1981" s="5" t="s">
        <v>2078</v>
      </c>
      <c r="I1981" s="5" t="s">
        <v>1025</v>
      </c>
      <c r="J1981" s="6"/>
      <c r="K1981" s="7">
        <v>1</v>
      </c>
      <c r="L1981" s="13"/>
      <c r="M1981" s="8"/>
      <c r="N1981" s="13"/>
      <c r="O1981" s="13"/>
      <c r="P1981" s="13"/>
      <c r="Q1981" s="7">
        <v>6</v>
      </c>
      <c r="R1981" s="6">
        <v>0.13500000000000001</v>
      </c>
      <c r="S1981" s="5" t="s">
        <v>20</v>
      </c>
      <c r="T1981" s="6">
        <v>10</v>
      </c>
      <c r="U1981" s="7" t="s">
        <v>1734</v>
      </c>
      <c r="V1981" s="5"/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>
        <v>2</v>
      </c>
      <c r="AG1981" s="6"/>
      <c r="AH1981" s="5"/>
      <c r="AI1981" s="6">
        <v>5</v>
      </c>
      <c r="AJ1981" s="6"/>
      <c r="AK1981" s="5"/>
      <c r="AL1981" s="6"/>
      <c r="AM1981" s="6"/>
      <c r="AN1981" s="6"/>
      <c r="AO1981" s="6"/>
      <c r="AP1981" s="6"/>
      <c r="AQ1981" s="6"/>
    </row>
    <row r="1982" spans="1:43" x14ac:dyDescent="0.25">
      <c r="A1982" s="44" t="str">
        <f t="shared" si="36"/>
        <v>AUTOCHTHON_ED</v>
      </c>
      <c r="B1982" s="9" t="s">
        <v>2480</v>
      </c>
      <c r="C1982" s="5"/>
      <c r="D1982" s="5"/>
      <c r="E1982" s="5" t="s">
        <v>2634</v>
      </c>
      <c r="F1982" s="5" t="s">
        <v>2634</v>
      </c>
      <c r="G1982" s="5"/>
      <c r="H1982" s="5" t="s">
        <v>2640</v>
      </c>
      <c r="I1982" s="5" t="s">
        <v>1025</v>
      </c>
      <c r="J1982" s="6"/>
      <c r="K1982" s="7">
        <v>1</v>
      </c>
      <c r="L1982" s="13"/>
      <c r="M1982" s="8"/>
      <c r="N1982" s="13"/>
      <c r="O1982" s="13"/>
      <c r="P1982" s="13"/>
      <c r="Q1982" s="7">
        <v>6</v>
      </c>
      <c r="R1982" s="6">
        <v>0.13500000000000001</v>
      </c>
      <c r="S1982" s="5" t="s">
        <v>20</v>
      </c>
      <c r="T1982" s="6">
        <v>10</v>
      </c>
      <c r="U1982" s="7" t="s">
        <v>1734</v>
      </c>
      <c r="V1982" s="5"/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>
        <v>2</v>
      </c>
      <c r="AG1982" s="6"/>
      <c r="AH1982" s="5"/>
      <c r="AI1982" s="6">
        <v>5</v>
      </c>
      <c r="AJ1982" s="6"/>
      <c r="AK1982" s="5"/>
      <c r="AL1982" s="6"/>
      <c r="AM1982" s="6"/>
      <c r="AN1982" s="6"/>
      <c r="AO1982" s="6"/>
      <c r="AP1982" s="6"/>
      <c r="AQ1982" s="6"/>
    </row>
    <row r="1983" spans="1:43" x14ac:dyDescent="0.25">
      <c r="A1983" s="44" t="str">
        <f t="shared" si="36"/>
        <v>AUTOCHTHON_ED_AMER</v>
      </c>
      <c r="B1983" s="9" t="s">
        <v>2480</v>
      </c>
      <c r="C1983" s="4" t="s">
        <v>697</v>
      </c>
      <c r="E1983" s="4" t="s">
        <v>2634</v>
      </c>
      <c r="F1983" s="4" t="s">
        <v>2634</v>
      </c>
      <c r="H1983" s="4" t="s">
        <v>2641</v>
      </c>
      <c r="I1983" s="4" t="s">
        <v>1025</v>
      </c>
      <c r="K1983" s="7">
        <v>1</v>
      </c>
      <c r="Q1983" s="9"/>
      <c r="Z1983" s="9"/>
      <c r="AJ1983" s="6"/>
      <c r="AK1983" s="5"/>
      <c r="AL1983" s="6"/>
      <c r="AM1983" s="6"/>
      <c r="AN1983" s="6"/>
      <c r="AO1983" s="6"/>
      <c r="AP1983" s="6"/>
      <c r="AQ1983" s="6"/>
    </row>
    <row r="1984" spans="1:43" x14ac:dyDescent="0.25">
      <c r="A1984" s="44" t="str">
        <f t="shared" si="36"/>
        <v>AUTOCHTHON_ED_ASIA</v>
      </c>
      <c r="B1984" s="9" t="s">
        <v>2480</v>
      </c>
      <c r="C1984" s="4" t="s">
        <v>693</v>
      </c>
      <c r="E1984" s="4" t="s">
        <v>2634</v>
      </c>
      <c r="F1984" s="4" t="s">
        <v>2634</v>
      </c>
      <c r="H1984" s="4" t="s">
        <v>2642</v>
      </c>
      <c r="I1984" s="4" t="s">
        <v>1025</v>
      </c>
      <c r="K1984" s="7">
        <v>1</v>
      </c>
      <c r="Q1984" s="9"/>
      <c r="Z1984" s="9"/>
      <c r="AJ1984" s="6"/>
      <c r="AK1984" s="5"/>
      <c r="AL1984" s="6"/>
      <c r="AM1984" s="6"/>
      <c r="AN1984" s="6"/>
      <c r="AO1984" s="6"/>
      <c r="AP1984" s="6"/>
      <c r="AQ1984" s="6"/>
    </row>
    <row r="1985" spans="1:43" x14ac:dyDescent="0.25">
      <c r="A1985" s="44" t="str">
        <f t="shared" si="36"/>
        <v>AUTOCHTHON_ED_JAPAN</v>
      </c>
      <c r="B1985" s="9" t="s">
        <v>2480</v>
      </c>
      <c r="C1985" s="4" t="s">
        <v>722</v>
      </c>
      <c r="E1985" s="4" t="s">
        <v>2634</v>
      </c>
      <c r="F1985" s="4" t="s">
        <v>2634</v>
      </c>
      <c r="H1985" s="4" t="s">
        <v>2643</v>
      </c>
      <c r="I1985" s="4" t="s">
        <v>1025</v>
      </c>
      <c r="K1985" s="7">
        <v>1</v>
      </c>
      <c r="Q1985" s="9"/>
      <c r="Z1985" s="9"/>
      <c r="AJ1985" s="6"/>
      <c r="AK1985" s="5"/>
      <c r="AL1985" s="6"/>
      <c r="AM1985" s="6"/>
      <c r="AN1985" s="6"/>
      <c r="AO1985" s="6"/>
      <c r="AP1985" s="6"/>
      <c r="AQ1985" s="6"/>
    </row>
    <row r="1986" spans="1:43" x14ac:dyDescent="0.25">
      <c r="A1986" s="44" t="str">
        <f t="shared" si="36"/>
        <v>AUTOCHTHON_ED_KOREA</v>
      </c>
      <c r="B1986" s="9" t="s">
        <v>2480</v>
      </c>
      <c r="C1986" s="4" t="s">
        <v>723</v>
      </c>
      <c r="D1986" s="4" t="s">
        <v>722</v>
      </c>
      <c r="E1986" s="4" t="s">
        <v>2634</v>
      </c>
      <c r="F1986" s="4" t="s">
        <v>2634</v>
      </c>
      <c r="K1986" s="7">
        <v>1</v>
      </c>
      <c r="Q1986" s="9"/>
      <c r="Z1986" s="9"/>
      <c r="AJ1986" s="6"/>
      <c r="AK1986" s="5"/>
      <c r="AL1986" s="6"/>
      <c r="AM1986" s="6"/>
      <c r="AN1986" s="6"/>
      <c r="AO1986" s="6"/>
      <c r="AP1986" s="6"/>
      <c r="AQ1986" s="6"/>
    </row>
    <row r="1987" spans="1:43" x14ac:dyDescent="0.25">
      <c r="A1987" s="44" t="str">
        <f t="shared" si="36"/>
        <v>AUTOCHTHON_ED_CENTAS</v>
      </c>
      <c r="B1987" s="9" t="s">
        <v>2480</v>
      </c>
      <c r="C1987" s="4" t="s">
        <v>918</v>
      </c>
      <c r="D1987" s="4" t="s">
        <v>698</v>
      </c>
      <c r="E1987" s="4" t="s">
        <v>2634</v>
      </c>
      <c r="F1987" s="4" t="s">
        <v>2634</v>
      </c>
      <c r="K1987" s="7">
        <v>1</v>
      </c>
      <c r="Q1987" s="9"/>
      <c r="Z1987" s="9"/>
      <c r="AJ1987" s="6"/>
      <c r="AK1987" s="5"/>
      <c r="AL1987" s="6"/>
      <c r="AM1987" s="6"/>
      <c r="AN1987" s="6"/>
      <c r="AO1987" s="6"/>
      <c r="AP1987" s="6"/>
      <c r="AQ1987" s="6"/>
    </row>
    <row r="1988" spans="1:43" x14ac:dyDescent="0.25">
      <c r="A1988" s="44" t="str">
        <f t="shared" si="36"/>
        <v>AUTOCHTHON_ED_EASTEU</v>
      </c>
      <c r="B1988" s="9" t="s">
        <v>2480</v>
      </c>
      <c r="C1988" s="4" t="s">
        <v>698</v>
      </c>
      <c r="E1988" s="4" t="s">
        <v>2634</v>
      </c>
      <c r="F1988" s="4" t="s">
        <v>2634</v>
      </c>
      <c r="H1988" s="4" t="s">
        <v>2645</v>
      </c>
      <c r="I1988" s="4" t="s">
        <v>1025</v>
      </c>
      <c r="K1988" s="7">
        <v>1</v>
      </c>
      <c r="Q1988" s="9"/>
      <c r="Z1988" s="9"/>
      <c r="AJ1988" s="6"/>
      <c r="AK1988" s="5"/>
      <c r="AL1988" s="6"/>
      <c r="AM1988" s="6"/>
      <c r="AN1988" s="6"/>
      <c r="AO1988" s="6"/>
      <c r="AP1988" s="6"/>
      <c r="AQ1988" s="6"/>
    </row>
    <row r="1989" spans="1:43" x14ac:dyDescent="0.25">
      <c r="A1989" s="44" t="str">
        <f t="shared" si="36"/>
        <v>AUTOCHTHON_ED_EURO</v>
      </c>
      <c r="B1989" s="9" t="s">
        <v>2480</v>
      </c>
      <c r="C1989" s="4" t="s">
        <v>689</v>
      </c>
      <c r="E1989" s="4" t="s">
        <v>2634</v>
      </c>
      <c r="F1989" s="4" t="s">
        <v>2634</v>
      </c>
      <c r="H1989" s="4" t="s">
        <v>2647</v>
      </c>
      <c r="I1989" s="4" t="s">
        <v>1025</v>
      </c>
      <c r="K1989" s="7">
        <v>1</v>
      </c>
      <c r="Q1989" s="9"/>
      <c r="Z1989" s="9"/>
      <c r="AJ1989" s="6"/>
      <c r="AK1989" s="5"/>
      <c r="AL1989" s="6"/>
      <c r="AM1989" s="6"/>
      <c r="AN1989" s="6"/>
      <c r="AO1989" s="6"/>
      <c r="AP1989" s="6"/>
      <c r="AQ1989" s="6"/>
    </row>
    <row r="1990" spans="1:43" x14ac:dyDescent="0.25">
      <c r="A1990" s="44" t="str">
        <f t="shared" si="36"/>
        <v>AUTOCHTHON_ED_AUSTRIA</v>
      </c>
      <c r="B1990" s="9" t="s">
        <v>2480</v>
      </c>
      <c r="C1990" s="4" t="s">
        <v>701</v>
      </c>
      <c r="D1990" s="4" t="s">
        <v>717</v>
      </c>
      <c r="E1990" s="4" t="s">
        <v>2634</v>
      </c>
      <c r="F1990" s="4" t="s">
        <v>2634</v>
      </c>
      <c r="K1990" s="7">
        <v>1</v>
      </c>
      <c r="Q1990" s="9"/>
      <c r="Z1990" s="9"/>
      <c r="AJ1990" s="6"/>
      <c r="AK1990" s="5"/>
      <c r="AL1990" s="6"/>
      <c r="AM1990" s="6"/>
      <c r="AN1990" s="6"/>
      <c r="AO1990" s="6"/>
      <c r="AP1990" s="6"/>
      <c r="AQ1990" s="6"/>
    </row>
    <row r="1991" spans="1:43" x14ac:dyDescent="0.25">
      <c r="A1991" s="44" t="str">
        <f t="shared" si="36"/>
        <v>AUTOCHTHON_ED_CELTS</v>
      </c>
      <c r="B1991" s="9" t="s">
        <v>2480</v>
      </c>
      <c r="C1991" s="4" t="s">
        <v>709</v>
      </c>
      <c r="D1991" s="4" t="s">
        <v>717</v>
      </c>
      <c r="E1991" s="4" t="s">
        <v>2634</v>
      </c>
      <c r="F1991" s="4" t="s">
        <v>2634</v>
      </c>
      <c r="K1991" s="7">
        <v>1</v>
      </c>
      <c r="Q1991" s="9"/>
      <c r="Z1991" s="9"/>
      <c r="AJ1991" s="6"/>
      <c r="AK1991" s="5"/>
      <c r="AL1991" s="6"/>
      <c r="AM1991" s="6"/>
      <c r="AN1991" s="6"/>
      <c r="AO1991" s="6"/>
      <c r="AP1991" s="6"/>
      <c r="AQ1991" s="6"/>
    </row>
    <row r="1992" spans="1:43" x14ac:dyDescent="0.25">
      <c r="A1992" s="44" t="str">
        <f t="shared" si="36"/>
        <v>AUTOCHTHON_ED_ENGLAND</v>
      </c>
      <c r="B1992" s="9" t="s">
        <v>2480</v>
      </c>
      <c r="C1992" s="4" t="s">
        <v>713</v>
      </c>
      <c r="D1992" s="4" t="s">
        <v>717</v>
      </c>
      <c r="E1992" s="4" t="s">
        <v>2634</v>
      </c>
      <c r="F1992" s="4" t="s">
        <v>2634</v>
      </c>
      <c r="K1992" s="7">
        <v>1</v>
      </c>
      <c r="Q1992" s="9"/>
      <c r="Z1992" s="9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44" t="str">
        <f t="shared" si="36"/>
        <v>AUTOCHTHON_ED_GERMANY</v>
      </c>
      <c r="B1993" s="9" t="s">
        <v>2480</v>
      </c>
      <c r="C1993" s="4" t="s">
        <v>717</v>
      </c>
      <c r="E1993" s="4" t="s">
        <v>2634</v>
      </c>
      <c r="F1993" s="4" t="s">
        <v>2634</v>
      </c>
      <c r="H1993" s="4" t="s">
        <v>2644</v>
      </c>
      <c r="I1993" s="4" t="s">
        <v>1025</v>
      </c>
      <c r="K1993" s="7">
        <v>1</v>
      </c>
      <c r="Q1993" s="9"/>
      <c r="Z1993" s="9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44" t="str">
        <f t="shared" si="36"/>
        <v>AUTOCHTHON_ED_MED</v>
      </c>
      <c r="B1994" s="9" t="s">
        <v>2480</v>
      </c>
      <c r="C1994" s="4" t="s">
        <v>692</v>
      </c>
      <c r="E1994" s="4" t="s">
        <v>2634</v>
      </c>
      <c r="F1994" s="4" t="s">
        <v>2634</v>
      </c>
      <c r="H1994" s="4" t="s">
        <v>2646</v>
      </c>
      <c r="I1994" s="4" t="s">
        <v>1025</v>
      </c>
      <c r="K1994" s="7">
        <v>1</v>
      </c>
      <c r="Q1994" s="9"/>
      <c r="Z1994" s="9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44" t="str">
        <f t="shared" si="36"/>
        <v>AUTOCHTHON_ED_MIDEAST</v>
      </c>
      <c r="B1995" s="9" t="s">
        <v>2480</v>
      </c>
      <c r="C1995" s="4" t="s">
        <v>690</v>
      </c>
      <c r="E1995" s="4" t="s">
        <v>2634</v>
      </c>
      <c r="F1995" s="4" t="s">
        <v>2634</v>
      </c>
      <c r="H1995" s="4" t="s">
        <v>2648</v>
      </c>
      <c r="I1995" s="4" t="s">
        <v>1025</v>
      </c>
      <c r="K1995" s="7">
        <v>1</v>
      </c>
      <c r="Q1995" s="9"/>
      <c r="Z1995" s="9"/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44" t="str">
        <f t="shared" si="36"/>
        <v>AUTOCHTHON_ED_NORTHEU</v>
      </c>
      <c r="B1996" s="9" t="s">
        <v>2480</v>
      </c>
      <c r="C1996" s="4" t="s">
        <v>962</v>
      </c>
      <c r="E1996" s="4" t="s">
        <v>2634</v>
      </c>
      <c r="F1996" s="4" t="s">
        <v>2634</v>
      </c>
      <c r="H1996" s="4" t="s">
        <v>2649</v>
      </c>
      <c r="I1996" s="4" t="s">
        <v>1025</v>
      </c>
      <c r="K1996" s="7">
        <v>1</v>
      </c>
      <c r="Q1996" s="9"/>
      <c r="Z1996" s="9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44" t="str">
        <f t="shared" si="36"/>
        <v>AUTOCHTHON_ED_SEASIA</v>
      </c>
      <c r="B1997" s="9" t="s">
        <v>2480</v>
      </c>
      <c r="C1997" s="4" t="s">
        <v>696</v>
      </c>
      <c r="D1997" s="4" t="s">
        <v>693</v>
      </c>
      <c r="E1997" s="4" t="s">
        <v>2634</v>
      </c>
      <c r="F1997" s="4" t="s">
        <v>2634</v>
      </c>
      <c r="K1997" s="7">
        <v>1</v>
      </c>
      <c r="Q1997" s="9"/>
      <c r="Z1997" s="9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44" t="str">
        <f t="shared" si="36"/>
        <v>AUTOCHTHON_ED_SOUTHAM</v>
      </c>
      <c r="B1998" s="9" t="s">
        <v>2480</v>
      </c>
      <c r="C1998" s="4" t="s">
        <v>691</v>
      </c>
      <c r="D1998" s="4" t="s">
        <v>697</v>
      </c>
      <c r="E1998" s="4" t="s">
        <v>2634</v>
      </c>
      <c r="F1998" s="4" t="s">
        <v>2634</v>
      </c>
      <c r="K1998" s="7">
        <v>1</v>
      </c>
      <c r="Q1998" s="9"/>
      <c r="Z1998" s="9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44" t="str">
        <f t="shared" si="36"/>
        <v>AUTOCHTHON_ED_SOUTHAS</v>
      </c>
      <c r="B1999" s="9" t="s">
        <v>2480</v>
      </c>
      <c r="C1999" s="4" t="s">
        <v>695</v>
      </c>
      <c r="E1999" s="4" t="s">
        <v>2634</v>
      </c>
      <c r="F1999" s="4" t="s">
        <v>2634</v>
      </c>
      <c r="H1999" s="4" t="s">
        <v>2650</v>
      </c>
      <c r="I1999" s="4" t="s">
        <v>1025</v>
      </c>
      <c r="K1999" s="7">
        <v>1</v>
      </c>
      <c r="Q1999" s="9"/>
      <c r="Z1999" s="9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44" t="str">
        <f t="shared" si="36"/>
        <v>CANOE</v>
      </c>
      <c r="B2000" s="9" t="s">
        <v>2662</v>
      </c>
      <c r="E2000" s="4" t="s">
        <v>2662</v>
      </c>
      <c r="F2000" s="4" t="s">
        <v>2662</v>
      </c>
      <c r="H2000" s="4" t="s">
        <v>995</v>
      </c>
      <c r="I2000" s="4" t="s">
        <v>128</v>
      </c>
      <c r="K2000" s="7">
        <v>1</v>
      </c>
      <c r="Q2000" s="9">
        <v>1</v>
      </c>
      <c r="R2000" s="11">
        <v>0.04</v>
      </c>
      <c r="S2000" s="4" t="s">
        <v>1610</v>
      </c>
      <c r="Z2000" s="9"/>
      <c r="AJ2000" s="6"/>
      <c r="AK2000" s="5"/>
      <c r="AL2000" s="6"/>
      <c r="AM2000" s="6"/>
      <c r="AN2000" s="6"/>
      <c r="AO2000" s="6"/>
      <c r="AP2000" s="6"/>
      <c r="AQ2000" s="6"/>
    </row>
    <row r="2001" spans="1:43" s="2" customFormat="1" x14ac:dyDescent="0.25">
      <c r="A2001" s="44" t="str">
        <f>CONCATENATE(E2001,IF(ISBLANK(C2001),"",CONCATENATE("_",C2001)))</f>
        <v>CAVEMAN_DUMMY</v>
      </c>
      <c r="B2001" s="9"/>
      <c r="C2001" s="5"/>
      <c r="D2001" s="5"/>
      <c r="E2001" s="5" t="s">
        <v>2715</v>
      </c>
      <c r="F2001" s="5" t="s">
        <v>2715</v>
      </c>
      <c r="G2001" s="5" t="s">
        <v>2532</v>
      </c>
      <c r="H2001" s="5" t="s">
        <v>1402</v>
      </c>
      <c r="I2001" s="5" t="s">
        <v>128</v>
      </c>
      <c r="J2001" s="6"/>
      <c r="K2001" s="6">
        <v>1</v>
      </c>
      <c r="L2001" s="13" t="s">
        <v>1715</v>
      </c>
      <c r="M2001" s="8"/>
      <c r="N2001" s="5"/>
      <c r="O2001" s="5"/>
      <c r="P2001" s="5"/>
      <c r="Q2001" s="6">
        <v>0</v>
      </c>
      <c r="R2001" s="6" t="s">
        <v>1734</v>
      </c>
      <c r="S2001" s="13" t="s">
        <v>46</v>
      </c>
      <c r="T2001" s="6">
        <v>0</v>
      </c>
      <c r="U2001" s="7" t="s">
        <v>1734</v>
      </c>
      <c r="V2001" s="5"/>
      <c r="W2001" s="7">
        <v>0</v>
      </c>
      <c r="X2001" s="6" t="s">
        <v>3</v>
      </c>
      <c r="Y2001" s="5"/>
      <c r="Z2001" s="7">
        <v>0</v>
      </c>
      <c r="AA2001" s="6"/>
      <c r="AB2001" s="5"/>
      <c r="AC2001" s="6">
        <v>0</v>
      </c>
      <c r="AD2001" s="6" t="s">
        <v>3</v>
      </c>
      <c r="AE2001" s="5"/>
      <c r="AF2001" s="6">
        <v>0</v>
      </c>
      <c r="AG2001" s="6"/>
      <c r="AH2001" s="5"/>
      <c r="AI2001" s="6">
        <v>0</v>
      </c>
      <c r="AJ2001" s="6"/>
      <c r="AK2001" s="5"/>
      <c r="AL2001" s="6">
        <v>0</v>
      </c>
      <c r="AM2001" s="6"/>
      <c r="AN2001" s="6"/>
      <c r="AO2001" s="6">
        <v>0</v>
      </c>
      <c r="AP2001" s="6"/>
      <c r="AQ2001" s="6"/>
    </row>
    <row r="2002" spans="1:43" s="2" customFormat="1" x14ac:dyDescent="0.25">
      <c r="A2002" s="44" t="str">
        <f>CONCATENATE(E2002,IF(ISBLANK(C2002),"",CONCATENATE("_",C2002)))</f>
        <v>CAVEMAN_DUMMY</v>
      </c>
      <c r="B2002" s="9"/>
      <c r="C2002" s="5"/>
      <c r="D2002" s="5"/>
      <c r="E2002" s="5" t="s">
        <v>2715</v>
      </c>
      <c r="F2002" s="5" t="s">
        <v>2715</v>
      </c>
      <c r="G2002" s="5" t="s">
        <v>2533</v>
      </c>
      <c r="H2002" s="5" t="s">
        <v>1403</v>
      </c>
      <c r="I2002" s="5" t="s">
        <v>128</v>
      </c>
      <c r="J2002" s="6"/>
      <c r="K2002" s="6">
        <v>1</v>
      </c>
      <c r="L2002" s="13" t="s">
        <v>1715</v>
      </c>
      <c r="M2002" s="8"/>
      <c r="N2002" s="5"/>
      <c r="O2002" s="5"/>
      <c r="P2002" s="5"/>
      <c r="Q2002" s="6">
        <v>0</v>
      </c>
      <c r="R2002" s="6" t="s">
        <v>1734</v>
      </c>
      <c r="S2002" s="13" t="s">
        <v>46</v>
      </c>
      <c r="T2002" s="6">
        <v>0</v>
      </c>
      <c r="U2002" s="7" t="s">
        <v>1734</v>
      </c>
      <c r="V2002" s="5"/>
      <c r="W2002" s="7">
        <v>0</v>
      </c>
      <c r="X2002" s="6" t="s">
        <v>3</v>
      </c>
      <c r="Y2002" s="5"/>
      <c r="Z2002" s="7">
        <v>0</v>
      </c>
      <c r="AA2002" s="6"/>
      <c r="AB2002" s="5"/>
      <c r="AC2002" s="6">
        <v>0</v>
      </c>
      <c r="AD2002" s="6" t="s">
        <v>3</v>
      </c>
      <c r="AE2002" s="5"/>
      <c r="AF2002" s="6">
        <v>0</v>
      </c>
      <c r="AG2002" s="6"/>
      <c r="AH2002" s="5"/>
      <c r="AI2002" s="6">
        <v>0</v>
      </c>
      <c r="AJ2002" s="6"/>
      <c r="AK2002" s="5"/>
      <c r="AL2002" s="6">
        <v>0</v>
      </c>
      <c r="AM2002" s="6"/>
      <c r="AN2002" s="6"/>
      <c r="AO2002" s="6">
        <v>0</v>
      </c>
      <c r="AP2002" s="6"/>
      <c r="AQ2002" s="6"/>
    </row>
    <row r="2003" spans="1:43" s="2" customFormat="1" x14ac:dyDescent="0.25">
      <c r="A2003" s="44" t="str">
        <f>CONCATENATE(E2003,IF(ISBLANK(C2003),"",CONCATENATE("_",C2003)))</f>
        <v>CAVEMAN_DUMMY</v>
      </c>
      <c r="B2003" s="9"/>
      <c r="C2003" s="5"/>
      <c r="D2003" s="5"/>
      <c r="E2003" s="5" t="s">
        <v>2715</v>
      </c>
      <c r="F2003" s="5" t="s">
        <v>2715</v>
      </c>
      <c r="G2003" s="5" t="s">
        <v>2534</v>
      </c>
      <c r="H2003" s="5" t="s">
        <v>1402</v>
      </c>
      <c r="I2003" s="5" t="s">
        <v>128</v>
      </c>
      <c r="J2003" s="6"/>
      <c r="K2003" s="6">
        <v>1</v>
      </c>
      <c r="L2003" s="13" t="s">
        <v>1715</v>
      </c>
      <c r="M2003" s="8"/>
      <c r="N2003" s="5"/>
      <c r="O2003" s="5"/>
      <c r="P2003" s="5"/>
      <c r="Q2003" s="6">
        <v>0</v>
      </c>
      <c r="R2003" s="6" t="s">
        <v>1734</v>
      </c>
      <c r="S2003" s="13" t="s">
        <v>46</v>
      </c>
      <c r="T2003" s="6">
        <v>0</v>
      </c>
      <c r="U2003" s="7" t="s">
        <v>1734</v>
      </c>
      <c r="V2003" s="5"/>
      <c r="W2003" s="7">
        <v>0</v>
      </c>
      <c r="X2003" s="6" t="s">
        <v>3</v>
      </c>
      <c r="Y2003" s="5"/>
      <c r="Z2003" s="7">
        <v>0</v>
      </c>
      <c r="AA2003" s="6"/>
      <c r="AB2003" s="5"/>
      <c r="AC2003" s="6">
        <v>0</v>
      </c>
      <c r="AD2003" s="6" t="s">
        <v>3</v>
      </c>
      <c r="AE2003" s="5"/>
      <c r="AF2003" s="6">
        <v>0</v>
      </c>
      <c r="AG2003" s="6"/>
      <c r="AH2003" s="5"/>
      <c r="AI2003" s="6">
        <v>0</v>
      </c>
      <c r="AJ2003" s="6"/>
      <c r="AK2003" s="5"/>
      <c r="AL2003" s="6">
        <v>0</v>
      </c>
      <c r="AM2003" s="6"/>
      <c r="AN2003" s="6"/>
      <c r="AO2003" s="6">
        <v>0</v>
      </c>
      <c r="AP2003" s="6"/>
      <c r="AQ2003" s="6"/>
    </row>
    <row r="2004" spans="1:43" s="2" customFormat="1" x14ac:dyDescent="0.25">
      <c r="A2004" s="44" t="str">
        <f t="shared" ref="A2004:A2069" si="37">CONCATENATE(E2004,IF(ISBLANK(C2004),"",CONCATENATE("_",C2004)))</f>
        <v>CAVEMAN_ED</v>
      </c>
      <c r="B2004" s="9" t="s">
        <v>2482</v>
      </c>
      <c r="C2004" s="5"/>
      <c r="D2004" s="5"/>
      <c r="E2004" s="5" t="s">
        <v>2636</v>
      </c>
      <c r="F2004" s="5" t="s">
        <v>2636</v>
      </c>
      <c r="G2004" s="5"/>
      <c r="H2004" s="5" t="s">
        <v>2635</v>
      </c>
      <c r="I2004" s="5" t="s">
        <v>1025</v>
      </c>
      <c r="J2004" s="6"/>
      <c r="K2004" s="7">
        <v>1</v>
      </c>
      <c r="L2004" s="13"/>
      <c r="M2004" s="8"/>
      <c r="N2004" s="5"/>
      <c r="O2004" s="5"/>
      <c r="P2004" s="5"/>
      <c r="Q2004" s="6">
        <v>6</v>
      </c>
      <c r="R2004" s="6" t="s">
        <v>1734</v>
      </c>
      <c r="S2004" s="13" t="s">
        <v>46</v>
      </c>
      <c r="T2004" s="6">
        <v>10</v>
      </c>
      <c r="U2004" s="7" t="s">
        <v>1734</v>
      </c>
      <c r="V2004" s="5"/>
      <c r="W2004" s="7" t="s">
        <v>3</v>
      </c>
      <c r="X2004" s="6"/>
      <c r="Y2004" s="5"/>
      <c r="Z2004" s="7">
        <v>1</v>
      </c>
      <c r="AA2004" s="6"/>
      <c r="AB2004" s="5"/>
      <c r="AC2004" s="6"/>
      <c r="AD2004" s="6" t="s">
        <v>3</v>
      </c>
      <c r="AE2004" s="5"/>
      <c r="AF2004" s="6">
        <v>2</v>
      </c>
      <c r="AG2004" s="6"/>
      <c r="AH2004" s="5"/>
      <c r="AI2004" s="6">
        <v>5</v>
      </c>
      <c r="AJ2004" s="6"/>
      <c r="AK2004" s="5"/>
      <c r="AL2004" s="6"/>
      <c r="AM2004" s="6"/>
      <c r="AN2004" s="6"/>
      <c r="AO2004" s="6"/>
      <c r="AP2004" s="6"/>
      <c r="AQ2004" s="6"/>
    </row>
    <row r="2005" spans="1:43" s="2" customFormat="1" x14ac:dyDescent="0.25">
      <c r="A2005" s="44" t="str">
        <f>CONCATENATE(E2005,IF(ISBLANK(C2005),"",CONCATENATE("_",C2005)))</f>
        <v>CAVEMAN_ED_CENTAS</v>
      </c>
      <c r="B2005" s="9" t="s">
        <v>2482</v>
      </c>
      <c r="C2005" s="4" t="s">
        <v>918</v>
      </c>
      <c r="D2005" s="4"/>
      <c r="E2005" s="4" t="s">
        <v>2636</v>
      </c>
      <c r="F2005" s="4" t="s">
        <v>2636</v>
      </c>
      <c r="G2005" s="4"/>
      <c r="H2005" s="4" t="s">
        <v>1789</v>
      </c>
      <c r="I2005" s="4" t="s">
        <v>1791</v>
      </c>
      <c r="J2005" s="11"/>
      <c r="K2005" s="7">
        <v>1</v>
      </c>
      <c r="L2005" s="4"/>
      <c r="M2005" s="12"/>
      <c r="N2005" s="4"/>
      <c r="O2005" s="4"/>
      <c r="P2005" s="4"/>
      <c r="Q2005" s="9">
        <v>6</v>
      </c>
      <c r="R2005" s="11"/>
      <c r="S2005" s="4"/>
      <c r="T2005" s="9">
        <v>10</v>
      </c>
      <c r="U2005" s="11"/>
      <c r="V2005" s="4"/>
      <c r="W2005" s="9" t="s">
        <v>3</v>
      </c>
      <c r="X2005" s="11"/>
      <c r="Y2005" s="4"/>
      <c r="Z2005" s="9">
        <v>1</v>
      </c>
      <c r="AA2005" s="11"/>
      <c r="AB2005" s="4"/>
      <c r="AC2005" s="11"/>
      <c r="AD2005" s="11" t="s">
        <v>3</v>
      </c>
      <c r="AE2005" s="4"/>
      <c r="AF2005" s="9">
        <v>2</v>
      </c>
      <c r="AG2005" s="11"/>
      <c r="AH2005" s="4"/>
      <c r="AI2005" s="9">
        <v>5</v>
      </c>
      <c r="AJ2005" s="11"/>
      <c r="AK2005" s="4"/>
      <c r="AL2005" s="11"/>
      <c r="AM2005" s="11"/>
      <c r="AN2005" s="11"/>
      <c r="AO2005" s="11"/>
      <c r="AP2005" s="11"/>
      <c r="AQ2005" s="11"/>
    </row>
    <row r="2006" spans="1:43" s="2" customFormat="1" x14ac:dyDescent="0.25">
      <c r="A2006" s="44" t="str">
        <f>CONCATENATE(E2006,IF(ISBLANK(C2006),"",CONCATENATE("_",C2006)))</f>
        <v>CAVEMAN_ED_EURO</v>
      </c>
      <c r="B2006" s="9" t="s">
        <v>2482</v>
      </c>
      <c r="C2006" s="4" t="s">
        <v>689</v>
      </c>
      <c r="D2006" s="4"/>
      <c r="E2006" s="4" t="s">
        <v>2636</v>
      </c>
      <c r="F2006" s="4" t="s">
        <v>2636</v>
      </c>
      <c r="G2006" s="4"/>
      <c r="H2006" s="4" t="s">
        <v>887</v>
      </c>
      <c r="I2006" s="4" t="s">
        <v>1818</v>
      </c>
      <c r="J2006" s="11"/>
      <c r="K2006" s="7">
        <v>1</v>
      </c>
      <c r="L2006" s="4"/>
      <c r="M2006" s="12"/>
      <c r="N2006" s="4"/>
      <c r="O2006" s="4"/>
      <c r="P2006" s="4"/>
      <c r="Q2006" s="9">
        <v>6</v>
      </c>
      <c r="R2006" s="11"/>
      <c r="S2006" s="4"/>
      <c r="T2006" s="9">
        <v>10</v>
      </c>
      <c r="U2006" s="11"/>
      <c r="V2006" s="4"/>
      <c r="W2006" s="9" t="s">
        <v>3</v>
      </c>
      <c r="X2006" s="11"/>
      <c r="Y2006" s="4"/>
      <c r="Z2006" s="9">
        <v>1</v>
      </c>
      <c r="AA2006" s="11"/>
      <c r="AB2006" s="4"/>
      <c r="AC2006" s="11"/>
      <c r="AD2006" s="11" t="s">
        <v>3</v>
      </c>
      <c r="AE2006" s="4"/>
      <c r="AF2006" s="9">
        <v>2</v>
      </c>
      <c r="AG2006" s="11"/>
      <c r="AH2006" s="4"/>
      <c r="AI2006" s="9">
        <v>5</v>
      </c>
      <c r="AJ2006" s="11"/>
      <c r="AK2006" s="4"/>
      <c r="AL2006" s="11"/>
      <c r="AM2006" s="11"/>
      <c r="AN2006" s="11"/>
      <c r="AO2006" s="11"/>
      <c r="AP2006" s="11"/>
      <c r="AQ2006" s="11"/>
    </row>
    <row r="2007" spans="1:43" s="2" customFormat="1" x14ac:dyDescent="0.25">
      <c r="A2007" s="44" t="str">
        <f>CONCATENATE(E2007,IF(ISBLANK(C2007),"",CONCATENATE("_",C2007)))</f>
        <v>CAVEMAN_ED_EASTEU</v>
      </c>
      <c r="B2007" s="9" t="s">
        <v>2482</v>
      </c>
      <c r="C2007" s="4" t="s">
        <v>698</v>
      </c>
      <c r="D2007" s="4" t="s">
        <v>689</v>
      </c>
      <c r="E2007" s="4" t="s">
        <v>2636</v>
      </c>
      <c r="F2007" s="4" t="s">
        <v>2636</v>
      </c>
      <c r="G2007" s="4"/>
      <c r="H2007" s="4"/>
      <c r="I2007" s="4"/>
      <c r="J2007" s="11"/>
      <c r="K2007" s="7">
        <v>1</v>
      </c>
      <c r="L2007" s="4"/>
      <c r="M2007" s="12"/>
      <c r="N2007" s="4"/>
      <c r="O2007" s="4"/>
      <c r="P2007" s="4"/>
      <c r="Q2007" s="9"/>
      <c r="R2007" s="11"/>
      <c r="S2007" s="4"/>
      <c r="T2007" s="9"/>
      <c r="U2007" s="11"/>
      <c r="V2007" s="4"/>
      <c r="W2007" s="9"/>
      <c r="X2007" s="11"/>
      <c r="Y2007" s="4"/>
      <c r="Z2007" s="9"/>
      <c r="AA2007" s="11"/>
      <c r="AB2007" s="4"/>
      <c r="AC2007" s="11"/>
      <c r="AD2007" s="11"/>
      <c r="AE2007" s="4"/>
      <c r="AF2007" s="9"/>
      <c r="AG2007" s="11"/>
      <c r="AH2007" s="4"/>
      <c r="AI2007" s="9"/>
      <c r="AJ2007" s="11"/>
      <c r="AK2007" s="4"/>
      <c r="AL2007" s="11"/>
      <c r="AM2007" s="11"/>
      <c r="AN2007" s="11"/>
      <c r="AO2007" s="11"/>
      <c r="AP2007" s="11"/>
      <c r="AQ2007" s="11"/>
    </row>
    <row r="2008" spans="1:43" s="2" customFormat="1" x14ac:dyDescent="0.25">
      <c r="A2008" s="44" t="str">
        <f>CONCATENATE(E2008,IF(ISBLANK(C2008),"",CONCATENATE("_",C2008)))</f>
        <v>CAVEMAN_ED_MED</v>
      </c>
      <c r="B2008" s="9" t="s">
        <v>2482</v>
      </c>
      <c r="C2008" s="4" t="s">
        <v>692</v>
      </c>
      <c r="D2008" s="4"/>
      <c r="E2008" s="4" t="s">
        <v>2636</v>
      </c>
      <c r="F2008" s="4" t="s">
        <v>2636</v>
      </c>
      <c r="G2008" s="4"/>
      <c r="H2008" s="4" t="s">
        <v>853</v>
      </c>
      <c r="I2008" s="4" t="s">
        <v>1055</v>
      </c>
      <c r="J2008" s="11"/>
      <c r="K2008" s="7">
        <v>1</v>
      </c>
      <c r="L2008" s="4"/>
      <c r="M2008" s="12"/>
      <c r="N2008" s="4"/>
      <c r="O2008" s="4"/>
      <c r="P2008" s="4"/>
      <c r="Q2008" s="9">
        <v>6</v>
      </c>
      <c r="R2008" s="11"/>
      <c r="S2008" s="4"/>
      <c r="T2008" s="9">
        <v>10</v>
      </c>
      <c r="U2008" s="11"/>
      <c r="V2008" s="4"/>
      <c r="W2008" s="9" t="s">
        <v>3</v>
      </c>
      <c r="X2008" s="11"/>
      <c r="Y2008" s="4"/>
      <c r="Z2008" s="9">
        <v>1</v>
      </c>
      <c r="AA2008" s="11"/>
      <c r="AB2008" s="4"/>
      <c r="AC2008" s="11"/>
      <c r="AD2008" s="11" t="s">
        <v>3</v>
      </c>
      <c r="AE2008" s="4"/>
      <c r="AF2008" s="9">
        <v>2</v>
      </c>
      <c r="AG2008" s="11"/>
      <c r="AH2008" s="4"/>
      <c r="AI2008" s="9">
        <v>5</v>
      </c>
      <c r="AJ2008" s="11"/>
      <c r="AK2008" s="4"/>
      <c r="AL2008" s="11"/>
      <c r="AM2008" s="11"/>
      <c r="AN2008" s="11"/>
      <c r="AO2008" s="11"/>
      <c r="AP2008" s="11"/>
      <c r="AQ2008" s="11"/>
    </row>
    <row r="2009" spans="1:43" s="2" customFormat="1" x14ac:dyDescent="0.25">
      <c r="A2009" s="44" t="str">
        <f t="shared" si="37"/>
        <v>CAVEMAN_ED_NORTHAF</v>
      </c>
      <c r="B2009" s="9" t="s">
        <v>2482</v>
      </c>
      <c r="C2009" s="5" t="s">
        <v>2003</v>
      </c>
      <c r="D2009" s="5"/>
      <c r="E2009" s="5" t="s">
        <v>2636</v>
      </c>
      <c r="F2009" s="5" t="s">
        <v>2636</v>
      </c>
      <c r="G2009" s="5"/>
      <c r="H2009" s="5" t="s">
        <v>2084</v>
      </c>
      <c r="I2009" s="5" t="s">
        <v>1025</v>
      </c>
      <c r="J2009" s="6"/>
      <c r="K2009" s="7">
        <v>1</v>
      </c>
      <c r="L2009" s="13"/>
      <c r="M2009" s="8"/>
      <c r="N2009" s="5"/>
      <c r="O2009" s="5"/>
      <c r="P2009" s="5"/>
      <c r="Q2009" s="6">
        <v>6</v>
      </c>
      <c r="R2009" s="6"/>
      <c r="S2009" s="13"/>
      <c r="T2009" s="6">
        <v>10</v>
      </c>
      <c r="U2009" s="7"/>
      <c r="V2009" s="5"/>
      <c r="W2009" s="7" t="s">
        <v>3</v>
      </c>
      <c r="X2009" s="6"/>
      <c r="Y2009" s="5"/>
      <c r="Z2009" s="7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44" t="str">
        <f t="shared" si="37"/>
        <v>CAVEMAN_ED_OCEAN</v>
      </c>
      <c r="B2010" s="9" t="s">
        <v>2482</v>
      </c>
      <c r="C2010" s="4" t="s">
        <v>994</v>
      </c>
      <c r="D2010" s="4"/>
      <c r="E2010" s="4" t="s">
        <v>2636</v>
      </c>
      <c r="F2010" s="4" t="s">
        <v>2636</v>
      </c>
      <c r="G2010" s="4"/>
      <c r="H2010" s="4" t="s">
        <v>1787</v>
      </c>
      <c r="I2010" s="4" t="s">
        <v>1791</v>
      </c>
      <c r="J2010" s="11"/>
      <c r="K2010" s="11">
        <v>1</v>
      </c>
      <c r="L2010" s="4"/>
      <c r="M2010" s="12"/>
      <c r="N2010" s="4"/>
      <c r="O2010" s="4"/>
      <c r="P2010" s="4"/>
      <c r="Q2010" s="9">
        <v>6</v>
      </c>
      <c r="R2010" s="11"/>
      <c r="S2010" s="4"/>
      <c r="T2010" s="9">
        <v>10</v>
      </c>
      <c r="U2010" s="11"/>
      <c r="V2010" s="4"/>
      <c r="W2010" s="9" t="s">
        <v>3</v>
      </c>
      <c r="X2010" s="11"/>
      <c r="Y2010" s="4"/>
      <c r="Z2010" s="9">
        <v>1</v>
      </c>
      <c r="AA2010" s="11"/>
      <c r="AB2010" s="4"/>
      <c r="AC2010" s="11"/>
      <c r="AD2010" s="11" t="s">
        <v>3</v>
      </c>
      <c r="AE2010" s="4"/>
      <c r="AF2010" s="9">
        <v>2</v>
      </c>
      <c r="AG2010" s="11"/>
      <c r="AH2010" s="4"/>
      <c r="AI2010" s="9">
        <v>5</v>
      </c>
      <c r="AJ2010" s="11"/>
      <c r="AK2010" s="4"/>
      <c r="AL2010" s="11"/>
      <c r="AM2010" s="11"/>
      <c r="AN2010" s="11"/>
      <c r="AO2010" s="11"/>
      <c r="AP2010" s="11"/>
      <c r="AQ2010" s="11"/>
    </row>
    <row r="2011" spans="1:43" s="2" customFormat="1" x14ac:dyDescent="0.25">
      <c r="A2011" s="44" t="str">
        <f t="shared" si="37"/>
        <v>EXPLORER_PE_ED</v>
      </c>
      <c r="B2011" s="9" t="s">
        <v>1336</v>
      </c>
      <c r="C2011" s="4"/>
      <c r="D2011" s="4"/>
      <c r="E2011" s="4" t="s">
        <v>2710</v>
      </c>
      <c r="F2011" s="4" t="s">
        <v>2710</v>
      </c>
      <c r="G2011" s="4"/>
      <c r="H2011" s="4" t="s">
        <v>529</v>
      </c>
      <c r="I2011" s="4" t="s">
        <v>2089</v>
      </c>
      <c r="J2011" s="11"/>
      <c r="K2011" s="11">
        <v>1</v>
      </c>
      <c r="L2011" s="4"/>
      <c r="M2011" s="12"/>
      <c r="N2011" s="4"/>
      <c r="O2011" s="4"/>
      <c r="P2011" s="4"/>
      <c r="Q2011" s="9">
        <v>2</v>
      </c>
      <c r="R2011" s="11" t="s">
        <v>1692</v>
      </c>
      <c r="S2011" s="4" t="s">
        <v>1610</v>
      </c>
      <c r="T2011" s="9">
        <v>3</v>
      </c>
      <c r="U2011" s="11" t="s">
        <v>1692</v>
      </c>
      <c r="V2011" s="4" t="s">
        <v>1608</v>
      </c>
      <c r="W2011" s="9" t="s">
        <v>3</v>
      </c>
      <c r="X2011" s="11" t="s">
        <v>3</v>
      </c>
      <c r="Y2011" s="4"/>
      <c r="Z2011" s="9">
        <v>1</v>
      </c>
      <c r="AA2011" s="11"/>
      <c r="AB2011" s="4"/>
      <c r="AC2011" s="11"/>
      <c r="AD2011" s="11" t="s">
        <v>3</v>
      </c>
      <c r="AE2011" s="4"/>
      <c r="AF2011" s="9">
        <v>1</v>
      </c>
      <c r="AG2011" s="11"/>
      <c r="AH2011" s="4"/>
      <c r="AI2011" s="9">
        <v>2</v>
      </c>
      <c r="AJ2011" s="11"/>
      <c r="AK2011" s="4"/>
      <c r="AL2011" s="11"/>
      <c r="AM2011" s="11"/>
      <c r="AN2011" s="11"/>
      <c r="AO2011" s="11"/>
      <c r="AP2011" s="11"/>
      <c r="AQ2011" s="11"/>
    </row>
    <row r="2012" spans="1:43" x14ac:dyDescent="0.25">
      <c r="A2012" s="44" t="str">
        <f t="shared" si="37"/>
        <v>GIANT</v>
      </c>
      <c r="B2012" s="9" t="s">
        <v>2663</v>
      </c>
      <c r="C2012" s="5"/>
      <c r="D2012" s="5"/>
      <c r="E2012" s="5" t="s">
        <v>2663</v>
      </c>
      <c r="F2012" s="5" t="s">
        <v>2663</v>
      </c>
      <c r="G2012" s="5"/>
      <c r="H2012" s="5" t="s">
        <v>1649</v>
      </c>
      <c r="I2012" s="5" t="s">
        <v>128</v>
      </c>
      <c r="J2012" s="6"/>
      <c r="K2012" s="7">
        <v>1</v>
      </c>
      <c r="L2012" s="13"/>
      <c r="M2012" s="8"/>
      <c r="N2012" s="13"/>
      <c r="O2012" s="13"/>
      <c r="P2012" s="13"/>
      <c r="Q2012" s="7">
        <v>1</v>
      </c>
      <c r="R2012" s="6">
        <v>0.25</v>
      </c>
      <c r="S2012" s="5" t="s">
        <v>1516</v>
      </c>
      <c r="T2012" s="6"/>
      <c r="U2012" s="7"/>
      <c r="V2012" s="5"/>
      <c r="W2012" s="6"/>
      <c r="X2012" s="6"/>
      <c r="Y2012" s="5"/>
      <c r="Z2012" s="6"/>
      <c r="AA2012" s="6"/>
      <c r="AB2012" s="5"/>
      <c r="AC2012" s="6"/>
      <c r="AD2012" s="6"/>
      <c r="AE2012" s="5"/>
      <c r="AF2012" s="6"/>
      <c r="AG2012" s="6"/>
      <c r="AH2012" s="5"/>
      <c r="AI2012" s="6"/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44" t="str">
        <f t="shared" si="37"/>
        <v>GREATHERO</v>
      </c>
      <c r="B2013" s="9" t="s">
        <v>2664</v>
      </c>
      <c r="C2013" s="5"/>
      <c r="D2013" s="5"/>
      <c r="E2013" s="5" t="s">
        <v>2664</v>
      </c>
      <c r="F2013" s="5" t="s">
        <v>2664</v>
      </c>
      <c r="G2013" s="5"/>
      <c r="H2013" s="5" t="s">
        <v>459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>
        <v>0.13</v>
      </c>
      <c r="S2013" s="5" t="s">
        <v>1609</v>
      </c>
      <c r="T2013" s="6"/>
      <c r="U2013" s="7"/>
      <c r="V2013" s="5"/>
      <c r="W2013" s="6"/>
      <c r="X2013" s="6"/>
      <c r="Y2013" s="5"/>
      <c r="Z2013" s="6"/>
      <c r="AA2013" s="6"/>
      <c r="AB2013" s="5"/>
      <c r="AC2013" s="6"/>
      <c r="AD2013" s="6"/>
      <c r="AE2013" s="5"/>
      <c r="AF2013" s="6"/>
      <c r="AG2013" s="6"/>
      <c r="AH2013" s="5"/>
      <c r="AI2013" s="6"/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44" t="str">
        <f t="shared" si="37"/>
        <v>GREATSHAMAN</v>
      </c>
      <c r="B2014" s="9" t="s">
        <v>2655</v>
      </c>
      <c r="C2014" s="5"/>
      <c r="D2014" s="5"/>
      <c r="E2014" s="5" t="s">
        <v>2655</v>
      </c>
      <c r="F2014" s="5" t="s">
        <v>2655</v>
      </c>
      <c r="G2014" s="5"/>
      <c r="H2014" s="5" t="s">
        <v>685</v>
      </c>
      <c r="I2014" s="5" t="s">
        <v>1793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>
        <v>0.13500000000000001</v>
      </c>
      <c r="S2014" s="5" t="s">
        <v>1617</v>
      </c>
      <c r="T2014" s="6"/>
      <c r="U2014" s="7"/>
      <c r="V2014" s="5"/>
      <c r="W2014" s="6"/>
      <c r="X2014" s="6"/>
      <c r="Y2014" s="5"/>
      <c r="Z2014" s="6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44" t="str">
        <f t="shared" si="37"/>
        <v>HUNTER</v>
      </c>
      <c r="B2015" s="9" t="s">
        <v>2637</v>
      </c>
      <c r="C2015" s="5"/>
      <c r="D2015" s="5"/>
      <c r="E2015" s="5" t="s">
        <v>2637</v>
      </c>
      <c r="F2015" s="5" t="s">
        <v>2637</v>
      </c>
      <c r="G2015" s="5"/>
      <c r="H2015" s="5" t="s">
        <v>685</v>
      </c>
      <c r="I2015" s="5" t="s">
        <v>1793</v>
      </c>
      <c r="J2015" s="6"/>
      <c r="K2015" s="7">
        <v>1</v>
      </c>
      <c r="L2015" s="13"/>
      <c r="M2015" s="8"/>
      <c r="N2015" s="13"/>
      <c r="O2015" s="13"/>
      <c r="P2015" s="13"/>
      <c r="Q2015" s="7">
        <v>3</v>
      </c>
      <c r="R2015" s="6">
        <v>0.17499999999999999</v>
      </c>
      <c r="S2015" s="5" t="s">
        <v>20</v>
      </c>
      <c r="T2015" s="6"/>
      <c r="U2015" s="7" t="s">
        <v>1734</v>
      </c>
      <c r="V2015" s="5"/>
      <c r="W2015" s="6" t="s">
        <v>3</v>
      </c>
      <c r="X2015" s="6" t="s">
        <v>3</v>
      </c>
      <c r="Y2015" s="5"/>
      <c r="Z2015" s="6">
        <v>1</v>
      </c>
      <c r="AA2015" s="6"/>
      <c r="AB2015" s="5"/>
      <c r="AC2015" s="6"/>
      <c r="AD2015" s="6" t="s">
        <v>3</v>
      </c>
      <c r="AE2015" s="5"/>
      <c r="AF2015" s="6">
        <v>1</v>
      </c>
      <c r="AG2015" s="6"/>
      <c r="AH2015" s="5"/>
      <c r="AI2015" s="6">
        <v>4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44" t="str">
        <f t="shared" si="37"/>
        <v>HUNTER_EASTEU</v>
      </c>
      <c r="B2016" s="9" t="s">
        <v>2637</v>
      </c>
      <c r="C2016" s="5" t="s">
        <v>698</v>
      </c>
      <c r="D2016" s="5" t="s">
        <v>689</v>
      </c>
      <c r="E2016" s="5" t="s">
        <v>2637</v>
      </c>
      <c r="F2016" s="5" t="s">
        <v>2637</v>
      </c>
      <c r="G2016" s="5"/>
      <c r="H2016" s="5"/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44" t="str">
        <f t="shared" si="37"/>
        <v>HUNTER_EURO</v>
      </c>
      <c r="B2017" s="9" t="s">
        <v>2637</v>
      </c>
      <c r="C2017" s="5" t="s">
        <v>689</v>
      </c>
      <c r="D2017" s="5"/>
      <c r="E2017" s="5" t="s">
        <v>2637</v>
      </c>
      <c r="F2017" s="5" t="s">
        <v>2637</v>
      </c>
      <c r="G2017" s="5"/>
      <c r="H2017" s="5" t="s">
        <v>1023</v>
      </c>
      <c r="I2017" s="5" t="s">
        <v>1793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44" t="str">
        <f t="shared" si="37"/>
        <v>HUNTER_MED</v>
      </c>
      <c r="B2018" s="9" t="s">
        <v>2637</v>
      </c>
      <c r="C2018" s="5" t="s">
        <v>692</v>
      </c>
      <c r="D2018" s="5" t="s">
        <v>689</v>
      </c>
      <c r="E2018" s="5" t="s">
        <v>2637</v>
      </c>
      <c r="F2018" s="5" t="s">
        <v>2637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44" t="str">
        <f t="shared" si="37"/>
        <v>HUNTER_NORTHEU</v>
      </c>
      <c r="B2019" s="9" t="s">
        <v>2637</v>
      </c>
      <c r="C2019" s="5" t="s">
        <v>962</v>
      </c>
      <c r="D2019" s="5"/>
      <c r="E2019" s="5" t="s">
        <v>2637</v>
      </c>
      <c r="F2019" s="5" t="s">
        <v>2637</v>
      </c>
      <c r="G2019" s="5"/>
      <c r="H2019" s="5" t="s">
        <v>1022</v>
      </c>
      <c r="I2019" s="5" t="s">
        <v>1793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44" t="str">
        <f t="shared" si="37"/>
        <v>HUNTER_ED</v>
      </c>
      <c r="B2020" s="9" t="s">
        <v>2637</v>
      </c>
      <c r="C2020" s="5"/>
      <c r="D2020" s="5"/>
      <c r="E2020" s="5" t="s">
        <v>2638</v>
      </c>
      <c r="F2020" s="5" t="s">
        <v>2638</v>
      </c>
      <c r="G2020" s="5"/>
      <c r="H2020" s="5" t="s">
        <v>2633</v>
      </c>
      <c r="I2020" s="5" t="s">
        <v>1025</v>
      </c>
      <c r="J2020" s="6"/>
      <c r="K2020" s="7">
        <v>1</v>
      </c>
      <c r="L2020" s="13"/>
      <c r="M2020" s="8"/>
      <c r="N2020" s="13"/>
      <c r="O2020" s="13"/>
      <c r="P2020" s="13"/>
      <c r="Q2020" s="7">
        <v>3</v>
      </c>
      <c r="R2020" s="6">
        <v>0.17499999999999999</v>
      </c>
      <c r="S2020" s="5" t="s">
        <v>20</v>
      </c>
      <c r="T2020" s="6"/>
      <c r="U2020" s="7" t="s">
        <v>1734</v>
      </c>
      <c r="V2020" s="5"/>
      <c r="W2020" s="6" t="s">
        <v>3</v>
      </c>
      <c r="X2020" s="6" t="s">
        <v>3</v>
      </c>
      <c r="Y2020" s="5"/>
      <c r="Z2020" s="6">
        <v>1</v>
      </c>
      <c r="AA2020" s="6"/>
      <c r="AB2020" s="5"/>
      <c r="AC2020" s="6"/>
      <c r="AD2020" s="6" t="s">
        <v>3</v>
      </c>
      <c r="AE2020" s="5"/>
      <c r="AF2020" s="6">
        <v>1</v>
      </c>
      <c r="AG2020" s="6"/>
      <c r="AH2020" s="5"/>
      <c r="AI2020" s="6">
        <v>4</v>
      </c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44" t="str">
        <f t="shared" si="37"/>
        <v>HUNTER_ED_EASTEU</v>
      </c>
      <c r="B2021" s="9" t="s">
        <v>2637</v>
      </c>
      <c r="C2021" s="5" t="s">
        <v>698</v>
      </c>
      <c r="D2021" s="5" t="s">
        <v>689</v>
      </c>
      <c r="E2021" s="5" t="s">
        <v>2638</v>
      </c>
      <c r="F2021" s="5" t="s">
        <v>2638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44" t="str">
        <f t="shared" si="37"/>
        <v>HUNTER_ED_EURO</v>
      </c>
      <c r="B2022" s="9" t="s">
        <v>2637</v>
      </c>
      <c r="C2022" s="5" t="s">
        <v>689</v>
      </c>
      <c r="D2022" s="5"/>
      <c r="E2022" s="5" t="s">
        <v>2638</v>
      </c>
      <c r="F2022" s="5" t="s">
        <v>2638</v>
      </c>
      <c r="G2022" s="5"/>
      <c r="H2022" s="5" t="s">
        <v>1023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44" t="str">
        <f t="shared" si="37"/>
        <v>HUNTER_ED_MED</v>
      </c>
      <c r="B2023" s="9" t="s">
        <v>2637</v>
      </c>
      <c r="C2023" s="5" t="s">
        <v>692</v>
      </c>
      <c r="D2023" s="5" t="s">
        <v>689</v>
      </c>
      <c r="E2023" s="5" t="s">
        <v>2638</v>
      </c>
      <c r="F2023" s="5" t="s">
        <v>2638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5"/>
      <c r="T2023" s="6"/>
      <c r="U2023" s="7"/>
      <c r="V2023" s="5"/>
      <c r="W2023" s="6"/>
      <c r="X2023" s="6"/>
      <c r="Y2023" s="5"/>
      <c r="Z2023" s="6"/>
      <c r="AA2023" s="6"/>
      <c r="AB2023" s="5"/>
      <c r="AC2023" s="6"/>
      <c r="AD2023" s="6"/>
      <c r="AE2023" s="5"/>
      <c r="AF2023" s="6"/>
      <c r="AG2023" s="6"/>
      <c r="AH2023" s="5"/>
      <c r="AI2023" s="6"/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44" t="str">
        <f t="shared" si="37"/>
        <v>HUNTER_ED_NORTHEU</v>
      </c>
      <c r="B2024" s="9" t="s">
        <v>2637</v>
      </c>
      <c r="C2024" s="5" t="s">
        <v>962</v>
      </c>
      <c r="D2024" s="5"/>
      <c r="E2024" s="5" t="s">
        <v>2638</v>
      </c>
      <c r="F2024" s="5" t="s">
        <v>2638</v>
      </c>
      <c r="G2024" s="5"/>
      <c r="H2024" s="5" t="s">
        <v>1022</v>
      </c>
      <c r="I2024" s="5" t="s">
        <v>1793</v>
      </c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5"/>
      <c r="T2024" s="6"/>
      <c r="U2024" s="7"/>
      <c r="V2024" s="5"/>
      <c r="W2024" s="6"/>
      <c r="X2024" s="6"/>
      <c r="Y2024" s="5"/>
      <c r="Z2024" s="6"/>
      <c r="AA2024" s="6"/>
      <c r="AB2024" s="5"/>
      <c r="AC2024" s="6"/>
      <c r="AD2024" s="6"/>
      <c r="AE2024" s="5"/>
      <c r="AF2024" s="6"/>
      <c r="AG2024" s="6"/>
      <c r="AH2024" s="5"/>
      <c r="AI2024" s="6"/>
      <c r="AJ2024" s="6"/>
      <c r="AK2024" s="5"/>
      <c r="AL2024" s="6"/>
      <c r="AM2024" s="6"/>
      <c r="AN2024" s="6"/>
      <c r="AO2024" s="6"/>
      <c r="AP2024" s="6"/>
      <c r="AQ2024" s="6"/>
    </row>
    <row r="2025" spans="1:43" x14ac:dyDescent="0.25">
      <c r="A2025" s="44" t="str">
        <f t="shared" si="37"/>
        <v>LABORER</v>
      </c>
      <c r="B2025" s="9" t="s">
        <v>2658</v>
      </c>
      <c r="C2025" s="5"/>
      <c r="D2025" s="5"/>
      <c r="E2025" s="5" t="s">
        <v>2658</v>
      </c>
      <c r="F2025" s="5" t="s">
        <v>2658</v>
      </c>
      <c r="G2025" s="5"/>
      <c r="H2025" s="5" t="s">
        <v>1537</v>
      </c>
      <c r="I2025" s="5" t="s">
        <v>128</v>
      </c>
      <c r="J2025" s="6"/>
      <c r="K2025" s="7">
        <v>1</v>
      </c>
      <c r="L2025" s="13"/>
      <c r="M2025" s="8"/>
      <c r="N2025" s="13"/>
      <c r="O2025" s="13"/>
      <c r="P2025" s="13"/>
      <c r="Q2025" s="7">
        <v>4</v>
      </c>
      <c r="R2025" s="6" t="s">
        <v>1734</v>
      </c>
      <c r="S2025" s="5" t="s">
        <v>1607</v>
      </c>
      <c r="T2025" s="6"/>
      <c r="U2025" s="7"/>
      <c r="V2025" s="5"/>
      <c r="W2025" s="6"/>
      <c r="X2025" s="6"/>
      <c r="Y2025" s="5"/>
      <c r="Z2025" s="6"/>
      <c r="AA2025" s="6"/>
      <c r="AB2025" s="5"/>
      <c r="AC2025" s="6"/>
      <c r="AD2025" s="6"/>
      <c r="AE2025" s="5"/>
      <c r="AF2025" s="6"/>
      <c r="AG2025" s="6"/>
      <c r="AH2025" s="5"/>
      <c r="AI2025" s="6"/>
      <c r="AJ2025" s="6"/>
      <c r="AK2025" s="5"/>
      <c r="AL2025" s="6"/>
      <c r="AM2025" s="6"/>
      <c r="AN2025" s="6"/>
      <c r="AO2025" s="6"/>
      <c r="AP2025" s="6"/>
      <c r="AQ2025" s="6"/>
    </row>
    <row r="2026" spans="1:43" x14ac:dyDescent="0.25">
      <c r="A2026" s="44" t="str">
        <f t="shared" si="37"/>
        <v>LION</v>
      </c>
      <c r="B2026" s="9" t="s">
        <v>2661</v>
      </c>
      <c r="C2026" s="5"/>
      <c r="D2026" s="5"/>
      <c r="E2026" s="5" t="s">
        <v>2661</v>
      </c>
      <c r="F2026" s="5" t="s">
        <v>2661</v>
      </c>
      <c r="G2026" s="5"/>
      <c r="H2026" s="5" t="s">
        <v>2678</v>
      </c>
      <c r="I2026" s="5" t="s">
        <v>1928</v>
      </c>
      <c r="J2026" s="6"/>
      <c r="K2026" s="7">
        <v>1</v>
      </c>
      <c r="L2026" s="13"/>
      <c r="M2026" s="8"/>
      <c r="N2026" s="13"/>
      <c r="O2026" s="13"/>
      <c r="P2026" s="13"/>
      <c r="Q2026" s="7">
        <v>3</v>
      </c>
      <c r="R2026" s="6">
        <v>1.9</v>
      </c>
      <c r="S2026" s="5" t="s">
        <v>1516</v>
      </c>
      <c r="T2026" s="6"/>
      <c r="U2026" s="7"/>
      <c r="V2026" s="5"/>
      <c r="W2026" s="6"/>
      <c r="X2026" s="6"/>
      <c r="Y2026" s="5"/>
      <c r="Z2026" s="6"/>
      <c r="AA2026" s="6"/>
      <c r="AB2026" s="5"/>
      <c r="AC2026" s="6"/>
      <c r="AD2026" s="6"/>
      <c r="AE2026" s="5"/>
      <c r="AF2026" s="6"/>
      <c r="AG2026" s="6"/>
      <c r="AH2026" s="5"/>
      <c r="AI2026" s="6"/>
      <c r="AJ2026" s="6"/>
      <c r="AK2026" s="5"/>
      <c r="AL2026" s="6"/>
      <c r="AM2026" s="6"/>
      <c r="AN2026" s="6"/>
      <c r="AO2026" s="6"/>
      <c r="AP2026" s="6"/>
      <c r="AQ2026" s="6"/>
    </row>
    <row r="2027" spans="1:43" x14ac:dyDescent="0.25">
      <c r="A2027" s="44" t="str">
        <f t="shared" si="37"/>
        <v>OBSIDIANARCHER</v>
      </c>
      <c r="B2027" s="9" t="s">
        <v>2665</v>
      </c>
      <c r="C2027" s="5"/>
      <c r="D2027" s="5"/>
      <c r="E2027" s="5" t="s">
        <v>2665</v>
      </c>
      <c r="F2027" s="5" t="s">
        <v>2665</v>
      </c>
      <c r="G2027" s="5"/>
      <c r="H2027" s="5" t="s">
        <v>458</v>
      </c>
      <c r="I2027" s="5" t="s">
        <v>835</v>
      </c>
      <c r="J2027" s="6"/>
      <c r="K2027" s="7">
        <v>1</v>
      </c>
      <c r="L2027" s="13"/>
      <c r="M2027" s="8"/>
      <c r="N2027" s="13"/>
      <c r="O2027" s="13"/>
      <c r="P2027" s="13"/>
      <c r="Q2027" s="7">
        <v>12</v>
      </c>
      <c r="R2027" s="6" t="s">
        <v>1734</v>
      </c>
      <c r="S2027" s="5" t="s">
        <v>44</v>
      </c>
      <c r="T2027" s="6"/>
      <c r="U2027" s="7"/>
      <c r="V2027" s="5"/>
      <c r="W2027" s="6"/>
      <c r="X2027" s="6"/>
      <c r="Y2027" s="5"/>
      <c r="Z2027" s="6"/>
      <c r="AA2027" s="6"/>
      <c r="AB2027" s="5"/>
      <c r="AC2027" s="6"/>
      <c r="AD2027" s="6"/>
      <c r="AE2027" s="5"/>
      <c r="AF2027" s="6"/>
      <c r="AG2027" s="6"/>
      <c r="AH2027" s="5"/>
      <c r="AI2027" s="6"/>
      <c r="AJ2027" s="6"/>
      <c r="AK2027" s="5"/>
      <c r="AL2027" s="6"/>
      <c r="AM2027" s="6"/>
      <c r="AN2027" s="6"/>
      <c r="AO2027" s="6"/>
      <c r="AP2027" s="6"/>
      <c r="AQ2027" s="6"/>
    </row>
    <row r="2028" spans="1:43" x14ac:dyDescent="0.25">
      <c r="A2028" s="44" t="str">
        <f t="shared" si="37"/>
        <v>PRIESTESS</v>
      </c>
      <c r="B2028" s="9" t="s">
        <v>2660</v>
      </c>
      <c r="C2028" s="5"/>
      <c r="D2028" s="5"/>
      <c r="E2028" s="5" t="s">
        <v>2660</v>
      </c>
      <c r="F2028" s="5" t="s">
        <v>2660</v>
      </c>
      <c r="G2028" s="5"/>
      <c r="H2028" s="5" t="s">
        <v>2677</v>
      </c>
      <c r="I2028" s="5" t="s">
        <v>1928</v>
      </c>
      <c r="J2028" s="6"/>
      <c r="K2028" s="7">
        <v>1</v>
      </c>
      <c r="L2028" s="13"/>
      <c r="M2028" s="8"/>
      <c r="N2028" s="13"/>
      <c r="O2028" s="13"/>
      <c r="P2028" s="13"/>
      <c r="Q2028" s="7">
        <v>1</v>
      </c>
      <c r="R2028" s="6">
        <v>0.13</v>
      </c>
      <c r="S2028" s="5" t="s">
        <v>1607</v>
      </c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6"/>
      <c r="AM2028" s="6"/>
      <c r="AN2028" s="6"/>
      <c r="AO2028" s="6"/>
      <c r="AP2028" s="6"/>
      <c r="AQ2028" s="6"/>
    </row>
    <row r="2029" spans="1:43" x14ac:dyDescent="0.25">
      <c r="A2029" s="44" t="str">
        <f t="shared" si="37"/>
        <v>PRIMITIVE_ARCHER</v>
      </c>
      <c r="B2029" s="9" t="s">
        <v>2483</v>
      </c>
      <c r="C2029" s="5"/>
      <c r="D2029" s="5"/>
      <c r="E2029" s="5" t="s">
        <v>2483</v>
      </c>
      <c r="F2029" s="5" t="s">
        <v>2483</v>
      </c>
      <c r="G2029" s="5"/>
      <c r="H2029" s="5" t="s">
        <v>2077</v>
      </c>
      <c r="I2029" s="5" t="s">
        <v>1928</v>
      </c>
      <c r="J2029" s="6"/>
      <c r="K2029" s="7">
        <v>1</v>
      </c>
      <c r="L2029" s="13"/>
      <c r="M2029" s="8"/>
      <c r="N2029" s="13"/>
      <c r="O2029" s="13"/>
      <c r="P2029" s="13"/>
      <c r="Q2029" s="7">
        <v>6</v>
      </c>
      <c r="R2029" s="6">
        <v>0.13</v>
      </c>
      <c r="S2029" s="5" t="s">
        <v>20</v>
      </c>
      <c r="T2029" s="6">
        <v>10</v>
      </c>
      <c r="U2029" s="7" t="s">
        <v>1734</v>
      </c>
      <c r="V2029" s="5"/>
      <c r="W2029" s="6" t="s">
        <v>3</v>
      </c>
      <c r="X2029" s="6" t="s">
        <v>3</v>
      </c>
      <c r="Y2029" s="5"/>
      <c r="Z2029" s="6">
        <v>1</v>
      </c>
      <c r="AA2029" s="6"/>
      <c r="AB2029" s="5"/>
      <c r="AC2029" s="6"/>
      <c r="AD2029" s="6" t="s">
        <v>3</v>
      </c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44" t="str">
        <f t="shared" si="37"/>
        <v>PRIMITIVE_ARCHER_AFRI</v>
      </c>
      <c r="B2030" s="9" t="s">
        <v>2483</v>
      </c>
      <c r="C2030" s="4" t="s">
        <v>694</v>
      </c>
      <c r="D2030" s="4"/>
      <c r="E2030" s="4" t="s">
        <v>2483</v>
      </c>
      <c r="F2030" s="4" t="s">
        <v>2483</v>
      </c>
      <c r="G2030" s="4"/>
      <c r="H2030" s="4" t="s">
        <v>1960</v>
      </c>
      <c r="I2030" s="4" t="s">
        <v>1025</v>
      </c>
      <c r="J2030" s="11"/>
      <c r="K2030" s="11">
        <v>1</v>
      </c>
      <c r="L2030" s="4"/>
      <c r="M2030" s="12"/>
      <c r="N2030" s="4"/>
      <c r="O2030" s="4"/>
      <c r="P2030" s="4"/>
      <c r="Q2030" s="9"/>
      <c r="R2030" s="11"/>
      <c r="S2030" s="4"/>
      <c r="T2030" s="11"/>
      <c r="U2030" s="11"/>
      <c r="V2030" s="4"/>
      <c r="W2030" s="11"/>
      <c r="X2030" s="11"/>
      <c r="Y2030" s="4"/>
      <c r="Z2030" s="9"/>
      <c r="AA2030" s="11"/>
      <c r="AB2030" s="4"/>
      <c r="AC2030" s="11"/>
      <c r="AD2030" s="11"/>
      <c r="AE2030" s="4"/>
      <c r="AF2030" s="11"/>
      <c r="AG2030" s="11"/>
      <c r="AH2030" s="4"/>
      <c r="AI2030" s="11"/>
      <c r="AJ2030" s="11"/>
      <c r="AK2030" s="4"/>
      <c r="AL2030" s="11"/>
      <c r="AM2030" s="11"/>
      <c r="AN2030" s="11"/>
      <c r="AO2030" s="11"/>
      <c r="AP2030" s="11"/>
      <c r="AQ2030" s="11"/>
    </row>
    <row r="2031" spans="1:43" x14ac:dyDescent="0.25">
      <c r="A2031" s="44" t="str">
        <f t="shared" si="37"/>
        <v>SAVAGE</v>
      </c>
      <c r="B2031" s="9" t="s">
        <v>2076</v>
      </c>
      <c r="C2031" s="5"/>
      <c r="D2031" s="5"/>
      <c r="E2031" s="5" t="s">
        <v>2076</v>
      </c>
      <c r="F2031" s="5" t="s">
        <v>2076</v>
      </c>
      <c r="G2031" s="5"/>
      <c r="H2031" s="5" t="s">
        <v>2081</v>
      </c>
      <c r="I2031" s="5" t="s">
        <v>835</v>
      </c>
      <c r="J2031" s="6"/>
      <c r="K2031" s="7">
        <v>1</v>
      </c>
      <c r="L2031" s="13"/>
      <c r="M2031" s="8"/>
      <c r="N2031" s="13"/>
      <c r="O2031" s="13"/>
      <c r="P2031" s="13"/>
      <c r="Q2031" s="7">
        <v>6</v>
      </c>
      <c r="R2031" s="6" t="s">
        <v>1734</v>
      </c>
      <c r="S2031" s="5" t="s">
        <v>1617</v>
      </c>
      <c r="T2031" s="6">
        <v>10</v>
      </c>
      <c r="U2031" s="7" t="s">
        <v>1734</v>
      </c>
      <c r="V2031" s="5"/>
      <c r="W2031" s="6" t="s">
        <v>3</v>
      </c>
      <c r="X2031" s="6" t="s">
        <v>3</v>
      </c>
      <c r="Y2031" s="5"/>
      <c r="Z2031" s="6">
        <v>1</v>
      </c>
      <c r="AA2031" s="6"/>
      <c r="AB2031" s="5"/>
      <c r="AC2031" s="6"/>
      <c r="AD2031" s="6" t="s">
        <v>3</v>
      </c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x14ac:dyDescent="0.25">
      <c r="A2032" s="44" t="str">
        <f t="shared" si="37"/>
        <v>SAVAGE_AFRI</v>
      </c>
      <c r="B2032" s="9" t="s">
        <v>2076</v>
      </c>
      <c r="C2032" s="5" t="s">
        <v>694</v>
      </c>
      <c r="D2032" s="5"/>
      <c r="E2032" s="5" t="s">
        <v>2076</v>
      </c>
      <c r="F2032" s="5" t="s">
        <v>2076</v>
      </c>
      <c r="G2032" s="5"/>
      <c r="H2032" s="5" t="s">
        <v>2083</v>
      </c>
      <c r="I2032" s="5" t="s">
        <v>1025</v>
      </c>
      <c r="J2032" s="6"/>
      <c r="K2032" s="7">
        <v>1</v>
      </c>
      <c r="L2032" s="13"/>
      <c r="M2032" s="8"/>
      <c r="N2032" s="13"/>
      <c r="O2032" s="13"/>
      <c r="P2032" s="13"/>
      <c r="Q2032" s="7">
        <v>2</v>
      </c>
      <c r="R2032" s="6"/>
      <c r="S2032" s="5"/>
      <c r="T2032" s="6">
        <v>2</v>
      </c>
      <c r="U2032" s="7"/>
      <c r="V2032" s="5"/>
      <c r="W2032" s="6" t="s">
        <v>3</v>
      </c>
      <c r="X2032" s="6"/>
      <c r="Y2032" s="5"/>
      <c r="Z2032" s="6">
        <v>1</v>
      </c>
      <c r="AA2032" s="6"/>
      <c r="AB2032" s="5"/>
      <c r="AC2032" s="6"/>
      <c r="AD2032" s="6"/>
      <c r="AE2032" s="5"/>
      <c r="AF2032" s="6">
        <v>1</v>
      </c>
      <c r="AG2032" s="6"/>
      <c r="AH2032" s="5"/>
      <c r="AI2032" s="6">
        <v>2</v>
      </c>
      <c r="AJ2032" s="6"/>
      <c r="AK2032" s="5"/>
      <c r="AL2032" s="6"/>
      <c r="AM2032" s="6"/>
      <c r="AN2032" s="6"/>
      <c r="AO2032" s="6"/>
      <c r="AP2032" s="6"/>
      <c r="AQ2032" s="6"/>
    </row>
    <row r="2033" spans="1:43" x14ac:dyDescent="0.25">
      <c r="A2033" s="44" t="str">
        <f t="shared" si="37"/>
        <v>SAVAGE_AFRI</v>
      </c>
      <c r="B2033" s="9" t="s">
        <v>2076</v>
      </c>
      <c r="C2033" s="5" t="s">
        <v>694</v>
      </c>
      <c r="D2033" s="5"/>
      <c r="E2033" s="5" t="s">
        <v>2076</v>
      </c>
      <c r="F2033" s="5" t="s">
        <v>2076</v>
      </c>
      <c r="G2033" s="5"/>
      <c r="H2033" s="5" t="s">
        <v>2085</v>
      </c>
      <c r="I2033" s="5" t="s">
        <v>1025</v>
      </c>
      <c r="J2033" s="6"/>
      <c r="K2033" s="7">
        <v>1</v>
      </c>
      <c r="L2033" s="13"/>
      <c r="M2033" s="8"/>
      <c r="N2033" s="13"/>
      <c r="O2033" s="13"/>
      <c r="P2033" s="13"/>
      <c r="Q2033" s="7">
        <v>1</v>
      </c>
      <c r="R2033" s="6"/>
      <c r="S2033" s="5"/>
      <c r="T2033" s="6">
        <v>3</v>
      </c>
      <c r="U2033" s="7"/>
      <c r="V2033" s="5"/>
      <c r="W2033" s="6" t="s">
        <v>3</v>
      </c>
      <c r="X2033" s="6"/>
      <c r="Y2033" s="5"/>
      <c r="Z2033" s="6">
        <v>0</v>
      </c>
      <c r="AA2033" s="6"/>
      <c r="AB2033" s="5"/>
      <c r="AC2033" s="6"/>
      <c r="AD2033" s="6"/>
      <c r="AE2033" s="5"/>
      <c r="AF2033" s="6">
        <v>1</v>
      </c>
      <c r="AG2033" s="6"/>
      <c r="AH2033" s="5"/>
      <c r="AI2033" s="6">
        <v>1</v>
      </c>
      <c r="AJ2033" s="6"/>
      <c r="AK2033" s="5"/>
      <c r="AL2033" s="6"/>
      <c r="AM2033" s="6"/>
      <c r="AN2033" s="6"/>
      <c r="AO2033" s="6"/>
      <c r="AP2033" s="6"/>
      <c r="AQ2033" s="6"/>
    </row>
    <row r="2034" spans="1:43" x14ac:dyDescent="0.25">
      <c r="A2034" s="44" t="str">
        <f t="shared" si="37"/>
        <v>SAVAGE_AFRI</v>
      </c>
      <c r="B2034" s="9" t="s">
        <v>2076</v>
      </c>
      <c r="C2034" s="5" t="s">
        <v>694</v>
      </c>
      <c r="D2034" s="5"/>
      <c r="E2034" s="5" t="s">
        <v>2076</v>
      </c>
      <c r="F2034" s="5" t="s">
        <v>2076</v>
      </c>
      <c r="G2034" s="5"/>
      <c r="H2034" s="5" t="s">
        <v>2083</v>
      </c>
      <c r="I2034" s="5" t="s">
        <v>1025</v>
      </c>
      <c r="J2034" s="6"/>
      <c r="K2034" s="7">
        <v>1</v>
      </c>
      <c r="L2034" s="13"/>
      <c r="M2034" s="8"/>
      <c r="N2034" s="13"/>
      <c r="O2034" s="13"/>
      <c r="P2034" s="13"/>
      <c r="Q2034" s="7">
        <v>1</v>
      </c>
      <c r="R2034" s="6"/>
      <c r="S2034" s="5"/>
      <c r="T2034" s="6">
        <v>3</v>
      </c>
      <c r="U2034" s="7"/>
      <c r="V2034" s="5"/>
      <c r="W2034" s="6" t="s">
        <v>3</v>
      </c>
      <c r="X2034" s="6"/>
      <c r="Y2034" s="5"/>
      <c r="Z2034" s="6">
        <v>0</v>
      </c>
      <c r="AA2034" s="6"/>
      <c r="AB2034" s="5"/>
      <c r="AC2034" s="6"/>
      <c r="AD2034" s="6"/>
      <c r="AE2034" s="5"/>
      <c r="AF2034" s="6">
        <v>0</v>
      </c>
      <c r="AG2034" s="6"/>
      <c r="AH2034" s="5"/>
      <c r="AI2034" s="6">
        <v>1</v>
      </c>
      <c r="AJ2034" s="6"/>
      <c r="AK2034" s="5"/>
      <c r="AL2034" s="6"/>
      <c r="AM2034" s="6"/>
      <c r="AN2034" s="6"/>
      <c r="AO2034" s="6"/>
      <c r="AP2034" s="6"/>
      <c r="AQ2034" s="6"/>
    </row>
    <row r="2035" spans="1:43" x14ac:dyDescent="0.25">
      <c r="A2035" s="44" t="str">
        <f t="shared" si="37"/>
        <v>SAVAGE_AFRI</v>
      </c>
      <c r="B2035" s="9" t="s">
        <v>2076</v>
      </c>
      <c r="C2035" s="5" t="s">
        <v>694</v>
      </c>
      <c r="D2035" s="5"/>
      <c r="E2035" s="5" t="s">
        <v>2076</v>
      </c>
      <c r="F2035" s="5" t="s">
        <v>2076</v>
      </c>
      <c r="G2035" s="5"/>
      <c r="H2035" s="5" t="s">
        <v>2085</v>
      </c>
      <c r="I2035" s="5" t="s">
        <v>1025</v>
      </c>
      <c r="J2035" s="6"/>
      <c r="K2035" s="7">
        <v>1</v>
      </c>
      <c r="L2035" s="13"/>
      <c r="M2035" s="8"/>
      <c r="N2035" s="13"/>
      <c r="O2035" s="13"/>
      <c r="P2035" s="13"/>
      <c r="Q2035" s="7">
        <v>2</v>
      </c>
      <c r="R2035" s="6"/>
      <c r="S2035" s="5"/>
      <c r="T2035" s="6">
        <v>2</v>
      </c>
      <c r="U2035" s="7"/>
      <c r="V2035" s="5"/>
      <c r="W2035" s="6" t="s">
        <v>3</v>
      </c>
      <c r="X2035" s="6"/>
      <c r="Y2035" s="5"/>
      <c r="Z2035" s="6">
        <v>0</v>
      </c>
      <c r="AA2035" s="6"/>
      <c r="AB2035" s="5"/>
      <c r="AC2035" s="6"/>
      <c r="AD2035" s="6"/>
      <c r="AE2035" s="5"/>
      <c r="AF2035" s="6">
        <v>0</v>
      </c>
      <c r="AG2035" s="6"/>
      <c r="AH2035" s="5"/>
      <c r="AI2035" s="6">
        <v>1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44" t="str">
        <f t="shared" si="37"/>
        <v>SAVAGE_EASTEU</v>
      </c>
      <c r="B2036" s="9" t="s">
        <v>2076</v>
      </c>
      <c r="C2036" s="5" t="s">
        <v>698</v>
      </c>
      <c r="D2036" s="5"/>
      <c r="E2036" s="5" t="s">
        <v>2076</v>
      </c>
      <c r="F2036" s="5" t="s">
        <v>2076</v>
      </c>
      <c r="G2036" s="5"/>
      <c r="H2036" s="5" t="s">
        <v>364</v>
      </c>
      <c r="I2036" s="5"/>
      <c r="J2036" s="6"/>
      <c r="K2036" s="7">
        <v>1</v>
      </c>
      <c r="L2036" s="13"/>
      <c r="M2036" s="8"/>
      <c r="N2036" s="13"/>
      <c r="O2036" s="13"/>
      <c r="P2036" s="13"/>
      <c r="Q2036" s="7"/>
      <c r="R2036" s="6"/>
      <c r="S2036" s="5"/>
      <c r="T2036" s="6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44" t="str">
        <f t="shared" si="37"/>
        <v>SAVAGE_CELTS</v>
      </c>
      <c r="B2037" s="9" t="s">
        <v>2076</v>
      </c>
      <c r="C2037" s="5" t="s">
        <v>709</v>
      </c>
      <c r="D2037" s="5"/>
      <c r="E2037" s="5" t="s">
        <v>2076</v>
      </c>
      <c r="F2037" s="5" t="s">
        <v>2076</v>
      </c>
      <c r="G2037" s="5"/>
      <c r="H2037" s="5" t="s">
        <v>236</v>
      </c>
      <c r="I2037" s="5" t="s">
        <v>1055</v>
      </c>
      <c r="J2037" s="6"/>
      <c r="K2037" s="7">
        <v>1</v>
      </c>
      <c r="L2037" s="13"/>
      <c r="M2037" s="8"/>
      <c r="N2037" s="13"/>
      <c r="O2037" s="13"/>
      <c r="P2037" s="13"/>
      <c r="Q2037" s="7"/>
      <c r="R2037" s="6"/>
      <c r="S2037" s="5"/>
      <c r="T2037" s="6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44" t="str">
        <f t="shared" si="37"/>
        <v>SAVAGE_ENGLAND</v>
      </c>
      <c r="B2038" s="9" t="s">
        <v>2076</v>
      </c>
      <c r="C2038" s="5" t="s">
        <v>713</v>
      </c>
      <c r="D2038" s="5" t="s">
        <v>709</v>
      </c>
      <c r="E2038" s="5" t="s">
        <v>2076</v>
      </c>
      <c r="F2038" s="5" t="s">
        <v>2076</v>
      </c>
      <c r="G2038" s="5"/>
      <c r="H2038" s="5"/>
      <c r="I2038" s="5"/>
      <c r="J2038" s="6"/>
      <c r="K2038" s="7">
        <v>1</v>
      </c>
      <c r="L2038" s="13"/>
      <c r="M2038" s="8"/>
      <c r="N2038" s="13"/>
      <c r="O2038" s="13"/>
      <c r="P2038" s="13"/>
      <c r="Q2038" s="7"/>
      <c r="R2038" s="6"/>
      <c r="S2038" s="5"/>
      <c r="T2038" s="6"/>
      <c r="U2038" s="7"/>
      <c r="V2038" s="5"/>
      <c r="W2038" s="6"/>
      <c r="X2038" s="6"/>
      <c r="Y2038" s="5"/>
      <c r="Z2038" s="6"/>
      <c r="AA2038" s="6"/>
      <c r="AB2038" s="5"/>
      <c r="AC2038" s="6"/>
      <c r="AD2038" s="6"/>
      <c r="AE2038" s="5"/>
      <c r="AF2038" s="6"/>
      <c r="AG2038" s="6"/>
      <c r="AH2038" s="5"/>
      <c r="AI2038" s="6"/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44" t="str">
        <f t="shared" si="37"/>
        <v>SAVAGE_MED</v>
      </c>
      <c r="B2039" s="9" t="s">
        <v>2076</v>
      </c>
      <c r="C2039" s="5" t="s">
        <v>692</v>
      </c>
      <c r="D2039" s="5" t="s">
        <v>690</v>
      </c>
      <c r="E2039" s="5" t="s">
        <v>2076</v>
      </c>
      <c r="F2039" s="5" t="s">
        <v>2076</v>
      </c>
      <c r="G2039" s="5"/>
      <c r="H2039" s="5"/>
      <c r="I2039" s="5"/>
      <c r="J2039" s="6"/>
      <c r="K2039" s="7">
        <v>1</v>
      </c>
      <c r="L2039" s="13"/>
      <c r="M2039" s="8"/>
      <c r="N2039" s="13"/>
      <c r="O2039" s="13"/>
      <c r="P2039" s="13"/>
      <c r="Q2039" s="7"/>
      <c r="R2039" s="6"/>
      <c r="S2039" s="5"/>
      <c r="T2039" s="6"/>
      <c r="U2039" s="7"/>
      <c r="V2039" s="5"/>
      <c r="W2039" s="6"/>
      <c r="X2039" s="6"/>
      <c r="Y2039" s="5"/>
      <c r="Z2039" s="6"/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44" t="str">
        <f t="shared" si="37"/>
        <v>SAVAGE_MIDEAST</v>
      </c>
      <c r="B2040" s="9" t="s">
        <v>2076</v>
      </c>
      <c r="C2040" s="5" t="s">
        <v>690</v>
      </c>
      <c r="D2040" s="5"/>
      <c r="E2040" s="5" t="s">
        <v>2076</v>
      </c>
      <c r="F2040" s="5" t="s">
        <v>2076</v>
      </c>
      <c r="G2040" s="5"/>
      <c r="H2040" s="5" t="s">
        <v>2173</v>
      </c>
      <c r="I2040" s="5" t="s">
        <v>1791</v>
      </c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5"/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44" t="str">
        <f t="shared" si="37"/>
        <v>SAVAGE_NORTHAF</v>
      </c>
      <c r="B2041" s="9" t="s">
        <v>2076</v>
      </c>
      <c r="C2041" s="5" t="s">
        <v>2003</v>
      </c>
      <c r="D2041" s="5"/>
      <c r="E2041" s="5" t="s">
        <v>2076</v>
      </c>
      <c r="F2041" s="5" t="s">
        <v>2076</v>
      </c>
      <c r="G2041" s="5"/>
      <c r="H2041" s="5" t="s">
        <v>2086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1</v>
      </c>
      <c r="AA2041" s="6"/>
      <c r="AB2041" s="5"/>
      <c r="AC2041" s="6"/>
      <c r="AD2041" s="6"/>
      <c r="AE2041" s="5"/>
      <c r="AF2041" s="6">
        <v>1</v>
      </c>
      <c r="AG2041" s="6"/>
      <c r="AH2041" s="5"/>
      <c r="AI2041" s="6">
        <v>2</v>
      </c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44" t="str">
        <f t="shared" si="37"/>
        <v>SAVAGE_NORTHAF</v>
      </c>
      <c r="B2042" s="9" t="s">
        <v>2076</v>
      </c>
      <c r="C2042" s="5" t="s">
        <v>2003</v>
      </c>
      <c r="D2042" s="5"/>
      <c r="E2042" s="5" t="s">
        <v>2076</v>
      </c>
      <c r="F2042" s="5" t="s">
        <v>2076</v>
      </c>
      <c r="G2042" s="5" t="s">
        <v>2039</v>
      </c>
      <c r="H2042" s="5" t="s">
        <v>2087</v>
      </c>
      <c r="I2042" s="5" t="s">
        <v>1025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/>
      <c r="S2042" s="5"/>
      <c r="T2042" s="6">
        <v>3</v>
      </c>
      <c r="U2042" s="7"/>
      <c r="V2042" s="5"/>
      <c r="W2042" s="6"/>
      <c r="X2042" s="6"/>
      <c r="Y2042" s="5"/>
      <c r="Z2042" s="6">
        <v>0</v>
      </c>
      <c r="AA2042" s="6"/>
      <c r="AB2042" s="5"/>
      <c r="AC2042" s="6"/>
      <c r="AD2042" s="6"/>
      <c r="AE2042" s="5"/>
      <c r="AF2042" s="6">
        <v>1</v>
      </c>
      <c r="AG2042" s="6"/>
      <c r="AH2042" s="5"/>
      <c r="AI2042" s="6">
        <v>1</v>
      </c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44" t="str">
        <f t="shared" si="37"/>
        <v>SAVAGE_NORTHAF</v>
      </c>
      <c r="B2043" s="9" t="s">
        <v>2076</v>
      </c>
      <c r="C2043" s="5" t="s">
        <v>2003</v>
      </c>
      <c r="D2043" s="5"/>
      <c r="E2043" s="5" t="s">
        <v>2076</v>
      </c>
      <c r="F2043" s="5" t="s">
        <v>2076</v>
      </c>
      <c r="G2043" s="5"/>
      <c r="H2043" s="5" t="s">
        <v>2086</v>
      </c>
      <c r="I2043" s="5" t="s">
        <v>1025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/>
      <c r="S2043" s="5"/>
      <c r="T2043" s="6">
        <v>3</v>
      </c>
      <c r="U2043" s="7"/>
      <c r="V2043" s="5"/>
      <c r="W2043" s="6"/>
      <c r="X2043" s="6"/>
      <c r="Y2043" s="5"/>
      <c r="Z2043" s="6">
        <v>0</v>
      </c>
      <c r="AA2043" s="6"/>
      <c r="AB2043" s="5"/>
      <c r="AC2043" s="6"/>
      <c r="AD2043" s="6"/>
      <c r="AE2043" s="5"/>
      <c r="AF2043" s="6">
        <v>0</v>
      </c>
      <c r="AG2043" s="6"/>
      <c r="AH2043" s="5"/>
      <c r="AI2043" s="6">
        <v>1</v>
      </c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44" t="str">
        <f t="shared" si="37"/>
        <v>SAVAGE_NORTHAF</v>
      </c>
      <c r="B2044" s="9" t="s">
        <v>2076</v>
      </c>
      <c r="C2044" s="5" t="s">
        <v>2003</v>
      </c>
      <c r="D2044" s="5"/>
      <c r="E2044" s="5" t="s">
        <v>2076</v>
      </c>
      <c r="F2044" s="5" t="s">
        <v>2076</v>
      </c>
      <c r="G2044" s="5" t="s">
        <v>2039</v>
      </c>
      <c r="H2044" s="5" t="s">
        <v>2087</v>
      </c>
      <c r="I2044" s="5" t="s">
        <v>1025</v>
      </c>
      <c r="J2044" s="6"/>
      <c r="K2044" s="7">
        <v>1</v>
      </c>
      <c r="L2044" s="13"/>
      <c r="M2044" s="8"/>
      <c r="N2044" s="13"/>
      <c r="O2044" s="13"/>
      <c r="P2044" s="13"/>
      <c r="Q2044" s="7">
        <v>0</v>
      </c>
      <c r="R2044" s="6"/>
      <c r="S2044" s="5"/>
      <c r="T2044" s="6">
        <v>2</v>
      </c>
      <c r="U2044" s="7"/>
      <c r="V2044" s="5"/>
      <c r="W2044" s="6"/>
      <c r="X2044" s="6"/>
      <c r="Y2044" s="5"/>
      <c r="Z2044" s="6">
        <v>0</v>
      </c>
      <c r="AA2044" s="6"/>
      <c r="AB2044" s="5"/>
      <c r="AC2044" s="6"/>
      <c r="AD2044" s="6"/>
      <c r="AE2044" s="5"/>
      <c r="AF2044" s="6">
        <v>0</v>
      </c>
      <c r="AG2044" s="6"/>
      <c r="AH2044" s="5"/>
      <c r="AI2044" s="6">
        <v>1</v>
      </c>
      <c r="AJ2044" s="6"/>
      <c r="AK2044" s="5"/>
      <c r="AL2044" s="6"/>
      <c r="AM2044" s="6"/>
      <c r="AN2044" s="6"/>
      <c r="AO2044" s="6"/>
      <c r="AP2044" s="6"/>
      <c r="AQ2044" s="6"/>
    </row>
    <row r="2045" spans="1:43" s="2" customFormat="1" x14ac:dyDescent="0.25">
      <c r="A2045" s="44" t="str">
        <f t="shared" si="37"/>
        <v>SAVAGE_ED</v>
      </c>
      <c r="B2045" s="9" t="s">
        <v>2076</v>
      </c>
      <c r="C2045" s="5"/>
      <c r="D2045" s="5"/>
      <c r="E2045" s="5" t="s">
        <v>2545</v>
      </c>
      <c r="F2045" s="5" t="s">
        <v>2545</v>
      </c>
      <c r="G2045" s="5"/>
      <c r="H2045" s="5" t="s">
        <v>2083</v>
      </c>
      <c r="I2045" s="5" t="s">
        <v>1025</v>
      </c>
      <c r="J2045" s="6"/>
      <c r="K2045" s="7">
        <v>1</v>
      </c>
      <c r="L2045" s="13"/>
      <c r="M2045" s="8"/>
      <c r="N2045" s="5"/>
      <c r="O2045" s="5"/>
      <c r="P2045" s="5"/>
      <c r="Q2045" s="6">
        <v>2</v>
      </c>
      <c r="R2045" s="6" t="s">
        <v>1734</v>
      </c>
      <c r="S2045" s="13" t="s">
        <v>1617</v>
      </c>
      <c r="T2045" s="6">
        <v>2</v>
      </c>
      <c r="U2045" s="7" t="s">
        <v>1734</v>
      </c>
      <c r="V2045" s="5"/>
      <c r="W2045" s="7" t="s">
        <v>3</v>
      </c>
      <c r="X2045" s="6" t="s">
        <v>3</v>
      </c>
      <c r="Y2045" s="5"/>
      <c r="Z2045" s="7">
        <v>1</v>
      </c>
      <c r="AA2045" s="6"/>
      <c r="AB2045" s="5"/>
      <c r="AC2045" s="6"/>
      <c r="AD2045" s="6" t="s">
        <v>3</v>
      </c>
      <c r="AE2045" s="5"/>
      <c r="AF2045" s="6">
        <v>1</v>
      </c>
      <c r="AG2045" s="6"/>
      <c r="AH2045" s="5"/>
      <c r="AI2045" s="6">
        <v>2</v>
      </c>
      <c r="AJ2045" s="6"/>
      <c r="AK2045" s="5"/>
      <c r="AL2045" s="6"/>
      <c r="AM2045" s="6"/>
      <c r="AN2045" s="6"/>
      <c r="AO2045" s="6"/>
      <c r="AP2045" s="6"/>
      <c r="AQ2045" s="6"/>
    </row>
    <row r="2046" spans="1:43" s="2" customFormat="1" x14ac:dyDescent="0.25">
      <c r="A2046" s="44" t="str">
        <f t="shared" si="37"/>
        <v>SAVAGE_ED</v>
      </c>
      <c r="B2046" s="9" t="s">
        <v>2076</v>
      </c>
      <c r="C2046" s="5"/>
      <c r="D2046" s="5"/>
      <c r="E2046" s="5" t="s">
        <v>2545</v>
      </c>
      <c r="F2046" s="5" t="s">
        <v>2545</v>
      </c>
      <c r="G2046" s="5"/>
      <c r="H2046" s="5" t="s">
        <v>2085</v>
      </c>
      <c r="I2046" s="5" t="s">
        <v>1025</v>
      </c>
      <c r="J2046" s="6"/>
      <c r="K2046" s="7">
        <v>1</v>
      </c>
      <c r="L2046" s="13"/>
      <c r="M2046" s="8"/>
      <c r="N2046" s="5"/>
      <c r="O2046" s="5"/>
      <c r="P2046" s="5"/>
      <c r="Q2046" s="6">
        <v>1</v>
      </c>
      <c r="R2046" s="6"/>
      <c r="S2046" s="13"/>
      <c r="T2046" s="6">
        <v>3</v>
      </c>
      <c r="U2046" s="7"/>
      <c r="V2046" s="5"/>
      <c r="W2046" s="7" t="s">
        <v>3</v>
      </c>
      <c r="X2046" s="6" t="s">
        <v>3</v>
      </c>
      <c r="Y2046" s="5"/>
      <c r="Z2046" s="7">
        <v>0</v>
      </c>
      <c r="AA2046" s="6"/>
      <c r="AB2046" s="5"/>
      <c r="AC2046" s="6"/>
      <c r="AD2046" s="6" t="s">
        <v>3</v>
      </c>
      <c r="AE2046" s="5"/>
      <c r="AF2046" s="6">
        <v>1</v>
      </c>
      <c r="AG2046" s="6"/>
      <c r="AH2046" s="5"/>
      <c r="AI2046" s="6">
        <v>1</v>
      </c>
      <c r="AJ2046" s="6"/>
      <c r="AK2046" s="5"/>
      <c r="AL2046" s="6"/>
      <c r="AM2046" s="6"/>
      <c r="AN2046" s="6"/>
      <c r="AO2046" s="6"/>
      <c r="AP2046" s="6"/>
      <c r="AQ2046" s="6"/>
    </row>
    <row r="2047" spans="1:43" s="2" customFormat="1" x14ac:dyDescent="0.25">
      <c r="A2047" s="44" t="str">
        <f t="shared" si="37"/>
        <v>SAVAGE_ED</v>
      </c>
      <c r="B2047" s="9" t="s">
        <v>2076</v>
      </c>
      <c r="C2047" s="5"/>
      <c r="D2047" s="5"/>
      <c r="E2047" s="5" t="s">
        <v>2545</v>
      </c>
      <c r="F2047" s="5" t="s">
        <v>2545</v>
      </c>
      <c r="G2047" s="5"/>
      <c r="H2047" s="5" t="s">
        <v>2083</v>
      </c>
      <c r="I2047" s="5" t="s">
        <v>1025</v>
      </c>
      <c r="J2047" s="6"/>
      <c r="K2047" s="7">
        <v>1</v>
      </c>
      <c r="L2047" s="13"/>
      <c r="M2047" s="8"/>
      <c r="N2047" s="5"/>
      <c r="O2047" s="5"/>
      <c r="P2047" s="5"/>
      <c r="Q2047" s="6">
        <v>1</v>
      </c>
      <c r="R2047" s="6"/>
      <c r="S2047" s="13"/>
      <c r="T2047" s="6">
        <v>3</v>
      </c>
      <c r="U2047" s="7"/>
      <c r="V2047" s="5"/>
      <c r="W2047" s="7" t="s">
        <v>3</v>
      </c>
      <c r="X2047" s="6" t="s">
        <v>3</v>
      </c>
      <c r="Y2047" s="5"/>
      <c r="Z2047" s="7">
        <v>0</v>
      </c>
      <c r="AA2047" s="6"/>
      <c r="AB2047" s="5"/>
      <c r="AC2047" s="6"/>
      <c r="AD2047" s="6" t="s">
        <v>3</v>
      </c>
      <c r="AE2047" s="5"/>
      <c r="AF2047" s="6">
        <v>0</v>
      </c>
      <c r="AG2047" s="6"/>
      <c r="AH2047" s="5"/>
      <c r="AI2047" s="6">
        <v>1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s="2" customFormat="1" x14ac:dyDescent="0.25">
      <c r="A2048" s="44" t="str">
        <f t="shared" si="37"/>
        <v>SAVAGE_ED</v>
      </c>
      <c r="B2048" s="9" t="s">
        <v>2076</v>
      </c>
      <c r="C2048" s="5"/>
      <c r="D2048" s="5"/>
      <c r="E2048" s="5" t="s">
        <v>2545</v>
      </c>
      <c r="F2048" s="5" t="s">
        <v>2545</v>
      </c>
      <c r="G2048" s="5"/>
      <c r="H2048" s="5" t="s">
        <v>2085</v>
      </c>
      <c r="I2048" s="5" t="s">
        <v>1025</v>
      </c>
      <c r="J2048" s="6"/>
      <c r="K2048" s="7">
        <v>1</v>
      </c>
      <c r="L2048" s="13"/>
      <c r="M2048" s="8"/>
      <c r="N2048" s="5"/>
      <c r="O2048" s="5"/>
      <c r="P2048" s="5"/>
      <c r="Q2048" s="6">
        <v>2</v>
      </c>
      <c r="R2048" s="6"/>
      <c r="S2048" s="13"/>
      <c r="T2048" s="6">
        <v>2</v>
      </c>
      <c r="U2048" s="7"/>
      <c r="V2048" s="5"/>
      <c r="W2048" s="7" t="s">
        <v>3</v>
      </c>
      <c r="X2048" s="6" t="s">
        <v>3</v>
      </c>
      <c r="Y2048" s="5"/>
      <c r="Z2048" s="7">
        <v>0</v>
      </c>
      <c r="AA2048" s="6"/>
      <c r="AB2048" s="5"/>
      <c r="AC2048" s="6"/>
      <c r="AD2048" s="6" t="s">
        <v>3</v>
      </c>
      <c r="AE2048" s="5"/>
      <c r="AF2048" s="6">
        <v>0</v>
      </c>
      <c r="AG2048" s="6"/>
      <c r="AH2048" s="5"/>
      <c r="AI2048" s="6">
        <v>1</v>
      </c>
      <c r="AJ2048" s="6"/>
      <c r="AK2048" s="5"/>
      <c r="AL2048" s="6"/>
      <c r="AM2048" s="6"/>
      <c r="AN2048" s="6"/>
      <c r="AO2048" s="6"/>
      <c r="AP2048" s="6"/>
      <c r="AQ2048" s="6"/>
    </row>
    <row r="2049" spans="1:43" s="2" customFormat="1" x14ac:dyDescent="0.25">
      <c r="A2049" s="44" t="str">
        <f t="shared" si="37"/>
        <v>SAVAGE_ED_EASTEU</v>
      </c>
      <c r="B2049" s="9" t="s">
        <v>2076</v>
      </c>
      <c r="C2049" s="5" t="s">
        <v>698</v>
      </c>
      <c r="D2049" s="5"/>
      <c r="E2049" s="5" t="s">
        <v>2545</v>
      </c>
      <c r="F2049" s="5" t="s">
        <v>2545</v>
      </c>
      <c r="G2049" s="5"/>
      <c r="H2049" s="5" t="s">
        <v>364</v>
      </c>
      <c r="I2049" s="5" t="s">
        <v>1818</v>
      </c>
      <c r="J2049" s="6"/>
      <c r="K2049" s="7">
        <v>1</v>
      </c>
      <c r="L2049" s="13"/>
      <c r="M2049" s="8"/>
      <c r="N2049" s="5"/>
      <c r="O2049" s="5"/>
      <c r="P2049" s="5"/>
      <c r="Q2049" s="6">
        <v>6</v>
      </c>
      <c r="R2049" s="6"/>
      <c r="S2049" s="13"/>
      <c r="T2049" s="6">
        <v>10</v>
      </c>
      <c r="U2049" s="7"/>
      <c r="V2049" s="5"/>
      <c r="W2049" s="7"/>
      <c r="X2049" s="6"/>
      <c r="Y2049" s="5"/>
      <c r="Z2049" s="7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5</v>
      </c>
      <c r="AJ2049" s="6"/>
      <c r="AK2049" s="5"/>
      <c r="AL2049" s="6"/>
      <c r="AM2049" s="6"/>
      <c r="AN2049" s="6"/>
      <c r="AO2049" s="6"/>
      <c r="AP2049" s="6"/>
      <c r="AQ2049" s="6"/>
    </row>
    <row r="2050" spans="1:43" s="2" customFormat="1" x14ac:dyDescent="0.25">
      <c r="A2050" s="44" t="str">
        <f t="shared" si="37"/>
        <v>SAVAGE_ED_EURO</v>
      </c>
      <c r="B2050" s="9" t="s">
        <v>2076</v>
      </c>
      <c r="C2050" s="5" t="s">
        <v>689</v>
      </c>
      <c r="D2050" s="5"/>
      <c r="E2050" s="5" t="s">
        <v>2545</v>
      </c>
      <c r="F2050" s="5" t="s">
        <v>2545</v>
      </c>
      <c r="G2050" s="5"/>
      <c r="H2050" s="5" t="s">
        <v>2115</v>
      </c>
      <c r="I2050" s="5" t="s">
        <v>2116</v>
      </c>
      <c r="J2050" s="6"/>
      <c r="K2050" s="7">
        <v>1</v>
      </c>
      <c r="L2050" s="13"/>
      <c r="M2050" s="8"/>
      <c r="N2050" s="5"/>
      <c r="O2050" s="5"/>
      <c r="P2050" s="5"/>
      <c r="Q2050" s="6">
        <v>6</v>
      </c>
      <c r="R2050" s="6"/>
      <c r="S2050" s="13"/>
      <c r="T2050" s="6">
        <v>10</v>
      </c>
      <c r="U2050" s="7"/>
      <c r="V2050" s="5"/>
      <c r="W2050" s="7"/>
      <c r="X2050" s="6"/>
      <c r="Y2050" s="5"/>
      <c r="Z2050" s="7">
        <v>1</v>
      </c>
      <c r="AA2050" s="6"/>
      <c r="AB2050" s="5"/>
      <c r="AC2050" s="6"/>
      <c r="AD2050" s="6"/>
      <c r="AE2050" s="5"/>
      <c r="AF2050" s="6">
        <v>2</v>
      </c>
      <c r="AG2050" s="6"/>
      <c r="AH2050" s="5"/>
      <c r="AI2050" s="6">
        <v>5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s="2" customFormat="1" x14ac:dyDescent="0.25">
      <c r="A2051" s="44" t="str">
        <f t="shared" si="37"/>
        <v>SAVAGE_ED_CELTS</v>
      </c>
      <c r="B2051" s="9" t="s">
        <v>2076</v>
      </c>
      <c r="C2051" s="5" t="s">
        <v>709</v>
      </c>
      <c r="D2051" s="5"/>
      <c r="E2051" s="5" t="s">
        <v>2545</v>
      </c>
      <c r="F2051" s="5" t="s">
        <v>2545</v>
      </c>
      <c r="G2051" s="5"/>
      <c r="H2051" s="5" t="s">
        <v>236</v>
      </c>
      <c r="I2051" s="5" t="s">
        <v>1055</v>
      </c>
      <c r="J2051" s="6"/>
      <c r="K2051" s="7">
        <v>1</v>
      </c>
      <c r="L2051" s="13"/>
      <c r="M2051" s="8"/>
      <c r="N2051" s="5"/>
      <c r="O2051" s="5"/>
      <c r="P2051" s="5"/>
      <c r="Q2051" s="6">
        <v>6</v>
      </c>
      <c r="R2051" s="6"/>
      <c r="S2051" s="13"/>
      <c r="T2051" s="6">
        <v>10</v>
      </c>
      <c r="U2051" s="7"/>
      <c r="V2051" s="5"/>
      <c r="W2051" s="7"/>
      <c r="X2051" s="6"/>
      <c r="Y2051" s="5"/>
      <c r="Z2051" s="7">
        <v>1</v>
      </c>
      <c r="AA2051" s="6"/>
      <c r="AB2051" s="5"/>
      <c r="AC2051" s="6"/>
      <c r="AD2051" s="6"/>
      <c r="AE2051" s="5"/>
      <c r="AF2051" s="6">
        <v>2</v>
      </c>
      <c r="AG2051" s="6"/>
      <c r="AH2051" s="5"/>
      <c r="AI2051" s="6">
        <v>5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s="2" customFormat="1" x14ac:dyDescent="0.25">
      <c r="A2052" s="44" t="str">
        <f t="shared" si="37"/>
        <v>SAVAGE_ED_ENGLAND</v>
      </c>
      <c r="B2052" s="9" t="s">
        <v>2076</v>
      </c>
      <c r="C2052" s="4" t="s">
        <v>713</v>
      </c>
      <c r="D2052" s="4" t="s">
        <v>709</v>
      </c>
      <c r="E2052" s="5" t="s">
        <v>2545</v>
      </c>
      <c r="F2052" s="5" t="s">
        <v>2545</v>
      </c>
      <c r="G2052" s="4"/>
      <c r="H2052" s="4"/>
      <c r="I2052" s="4"/>
      <c r="J2052" s="11"/>
      <c r="K2052" s="7">
        <v>1</v>
      </c>
      <c r="L2052" s="4"/>
      <c r="M2052" s="12"/>
      <c r="N2052" s="4"/>
      <c r="O2052" s="4"/>
      <c r="P2052" s="4"/>
      <c r="Q2052" s="9"/>
      <c r="R2052" s="11"/>
      <c r="S2052" s="4"/>
      <c r="T2052" s="11"/>
      <c r="U2052" s="11"/>
      <c r="V2052" s="4"/>
      <c r="W2052" s="11"/>
      <c r="X2052" s="11"/>
      <c r="Y2052" s="4"/>
      <c r="Z2052" s="9"/>
      <c r="AA2052" s="11"/>
      <c r="AB2052" s="4"/>
      <c r="AC2052" s="11"/>
      <c r="AD2052" s="11"/>
      <c r="AE2052" s="4"/>
      <c r="AF2052" s="11"/>
      <c r="AG2052" s="11"/>
      <c r="AH2052" s="4"/>
      <c r="AI2052" s="11"/>
      <c r="AJ2052" s="11"/>
      <c r="AK2052" s="4"/>
      <c r="AL2052" s="11"/>
      <c r="AM2052" s="11"/>
      <c r="AN2052" s="11"/>
      <c r="AO2052" s="11"/>
      <c r="AP2052" s="11"/>
      <c r="AQ2052" s="11"/>
    </row>
    <row r="2053" spans="1:43" s="2" customFormat="1" x14ac:dyDescent="0.25">
      <c r="A2053" s="44" t="str">
        <f t="shared" si="37"/>
        <v>SAVAGE_ED_MED</v>
      </c>
      <c r="B2053" s="9" t="s">
        <v>2076</v>
      </c>
      <c r="C2053" s="4" t="s">
        <v>692</v>
      </c>
      <c r="D2053" s="4" t="s">
        <v>690</v>
      </c>
      <c r="E2053" s="5" t="s">
        <v>2545</v>
      </c>
      <c r="F2053" s="5" t="s">
        <v>2545</v>
      </c>
      <c r="G2053" s="4"/>
      <c r="H2053" s="4"/>
      <c r="I2053" s="4"/>
      <c r="J2053" s="11"/>
      <c r="K2053" s="7">
        <v>1</v>
      </c>
      <c r="L2053" s="4"/>
      <c r="M2053" s="12"/>
      <c r="N2053" s="4"/>
      <c r="O2053" s="4"/>
      <c r="P2053" s="4"/>
      <c r="Q2053" s="9"/>
      <c r="R2053" s="11"/>
      <c r="S2053" s="4"/>
      <c r="T2053" s="11"/>
      <c r="U2053" s="11"/>
      <c r="V2053" s="4"/>
      <c r="W2053" s="11"/>
      <c r="X2053" s="11"/>
      <c r="Y2053" s="4"/>
      <c r="Z2053" s="9"/>
      <c r="AA2053" s="11"/>
      <c r="AB2053" s="4"/>
      <c r="AC2053" s="11"/>
      <c r="AD2053" s="11"/>
      <c r="AE2053" s="4"/>
      <c r="AF2053" s="11"/>
      <c r="AG2053" s="11"/>
      <c r="AH2053" s="4"/>
      <c r="AI2053" s="11"/>
      <c r="AJ2053" s="11"/>
      <c r="AK2053" s="4"/>
      <c r="AL2053" s="11"/>
      <c r="AM2053" s="11"/>
      <c r="AN2053" s="11"/>
      <c r="AO2053" s="11"/>
      <c r="AP2053" s="11"/>
      <c r="AQ2053" s="11"/>
    </row>
    <row r="2054" spans="1:43" s="2" customFormat="1" x14ac:dyDescent="0.25">
      <c r="A2054" s="44" t="str">
        <f t="shared" si="37"/>
        <v>SAVAGE_ED_MIDEAST</v>
      </c>
      <c r="B2054" s="52" t="s">
        <v>2076</v>
      </c>
      <c r="C2054" s="53" t="s">
        <v>690</v>
      </c>
      <c r="D2054" s="54"/>
      <c r="E2054" s="54" t="s">
        <v>2545</v>
      </c>
      <c r="F2054" s="54" t="s">
        <v>2545</v>
      </c>
      <c r="G2054" s="54"/>
      <c r="H2054" s="53" t="s">
        <v>2173</v>
      </c>
      <c r="I2054" s="4" t="s">
        <v>1791</v>
      </c>
      <c r="J2054" s="52"/>
      <c r="K2054" s="52">
        <v>1</v>
      </c>
      <c r="L2054" s="54"/>
      <c r="M2054" s="54"/>
      <c r="N2054" s="52"/>
      <c r="O2054" s="52"/>
      <c r="P2054" s="54"/>
      <c r="Q2054" s="52">
        <v>6</v>
      </c>
      <c r="R2054" s="52"/>
      <c r="S2054" s="54"/>
      <c r="T2054" s="52">
        <v>10</v>
      </c>
      <c r="U2054" s="52"/>
      <c r="V2054" s="54"/>
      <c r="W2054" s="52"/>
      <c r="X2054" s="52"/>
      <c r="Y2054" s="54"/>
      <c r="Z2054" s="52">
        <v>1</v>
      </c>
      <c r="AA2054" s="52"/>
      <c r="AB2054" s="54"/>
      <c r="AC2054" s="52"/>
      <c r="AD2054" s="52"/>
      <c r="AE2054" s="54"/>
      <c r="AF2054" s="52">
        <v>2</v>
      </c>
      <c r="AG2054" s="52"/>
      <c r="AH2054" s="54"/>
      <c r="AI2054" s="55">
        <v>5</v>
      </c>
      <c r="AJ2054" s="54"/>
      <c r="AK2054" s="54"/>
      <c r="AL2054" s="55"/>
      <c r="AM2054" s="55"/>
      <c r="AN2054" s="55"/>
      <c r="AO2054" s="11"/>
      <c r="AP2054" s="11"/>
      <c r="AQ2054" s="11"/>
    </row>
    <row r="2055" spans="1:43" s="2" customFormat="1" x14ac:dyDescent="0.25">
      <c r="A2055" s="44" t="str">
        <f t="shared" si="37"/>
        <v>SAVAGE_ED_NORTHEU</v>
      </c>
      <c r="B2055" s="9" t="s">
        <v>2076</v>
      </c>
      <c r="C2055" s="5" t="s">
        <v>962</v>
      </c>
      <c r="D2055" s="5"/>
      <c r="E2055" s="5" t="s">
        <v>2545</v>
      </c>
      <c r="F2055" s="5" t="s">
        <v>2545</v>
      </c>
      <c r="G2055" s="5"/>
      <c r="H2055" s="5" t="s">
        <v>2571</v>
      </c>
      <c r="I2055" s="5" t="s">
        <v>2116</v>
      </c>
      <c r="J2055" s="6"/>
      <c r="K2055" s="7">
        <v>1</v>
      </c>
      <c r="L2055" s="13"/>
      <c r="M2055" s="8"/>
      <c r="N2055" s="5"/>
      <c r="O2055" s="5"/>
      <c r="P2055" s="5"/>
      <c r="Q2055" s="6">
        <v>6</v>
      </c>
      <c r="R2055" s="6"/>
      <c r="S2055" s="13"/>
      <c r="T2055" s="6">
        <v>10</v>
      </c>
      <c r="U2055" s="7"/>
      <c r="V2055" s="5"/>
      <c r="W2055" s="7"/>
      <c r="X2055" s="6"/>
      <c r="Y2055" s="5"/>
      <c r="Z2055" s="7">
        <v>1</v>
      </c>
      <c r="AA2055" s="6"/>
      <c r="AB2055" s="5"/>
      <c r="AC2055" s="6"/>
      <c r="AD2055" s="6"/>
      <c r="AE2055" s="5"/>
      <c r="AF2055" s="6">
        <v>2</v>
      </c>
      <c r="AG2055" s="6"/>
      <c r="AH2055" s="5"/>
      <c r="AI2055" s="6">
        <v>5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44" t="str">
        <f t="shared" si="37"/>
        <v>SAVAGE_ED_NORTHAF</v>
      </c>
      <c r="B2056" s="9" t="s">
        <v>2076</v>
      </c>
      <c r="C2056" s="5" t="s">
        <v>2003</v>
      </c>
      <c r="D2056" s="5"/>
      <c r="E2056" s="5" t="s">
        <v>2545</v>
      </c>
      <c r="F2056" s="5" t="s">
        <v>2545</v>
      </c>
      <c r="G2056" s="5"/>
      <c r="H2056" s="5" t="s">
        <v>2086</v>
      </c>
      <c r="I2056" s="5" t="s">
        <v>1025</v>
      </c>
      <c r="J2056" s="6"/>
      <c r="K2056" s="7">
        <v>1</v>
      </c>
      <c r="L2056" s="13"/>
      <c r="M2056" s="8"/>
      <c r="N2056" s="13"/>
      <c r="O2056" s="13"/>
      <c r="P2056" s="13"/>
      <c r="Q2056" s="7">
        <v>2</v>
      </c>
      <c r="R2056" s="6"/>
      <c r="S2056" s="5"/>
      <c r="T2056" s="6">
        <v>2</v>
      </c>
      <c r="U2056" s="7"/>
      <c r="V2056" s="5"/>
      <c r="W2056" s="6"/>
      <c r="X2056" s="6"/>
      <c r="Y2056" s="5"/>
      <c r="Z2056" s="6">
        <v>1</v>
      </c>
      <c r="AA2056" s="6"/>
      <c r="AB2056" s="5"/>
      <c r="AC2056" s="6"/>
      <c r="AD2056" s="6"/>
      <c r="AE2056" s="5"/>
      <c r="AF2056" s="6">
        <v>1</v>
      </c>
      <c r="AG2056" s="6"/>
      <c r="AH2056" s="5"/>
      <c r="AI2056" s="6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44" t="str">
        <f t="shared" si="37"/>
        <v>SAVAGE_ED_NORTHAF</v>
      </c>
      <c r="B2057" s="9" t="s">
        <v>2076</v>
      </c>
      <c r="C2057" s="5" t="s">
        <v>2003</v>
      </c>
      <c r="D2057" s="5"/>
      <c r="E2057" s="5" t="s">
        <v>2545</v>
      </c>
      <c r="F2057" s="5" t="s">
        <v>2545</v>
      </c>
      <c r="G2057" s="5" t="s">
        <v>2039</v>
      </c>
      <c r="H2057" s="5" t="s">
        <v>2087</v>
      </c>
      <c r="I2057" s="5" t="s">
        <v>1025</v>
      </c>
      <c r="J2057" s="6"/>
      <c r="K2057" s="7">
        <v>1</v>
      </c>
      <c r="L2057" s="13"/>
      <c r="M2057" s="8"/>
      <c r="N2057" s="13"/>
      <c r="O2057" s="13"/>
      <c r="P2057" s="13"/>
      <c r="Q2057" s="7">
        <v>2</v>
      </c>
      <c r="R2057" s="6"/>
      <c r="S2057" s="5"/>
      <c r="T2057" s="6">
        <v>3</v>
      </c>
      <c r="U2057" s="7"/>
      <c r="V2057" s="5"/>
      <c r="W2057" s="6"/>
      <c r="X2057" s="6"/>
      <c r="Y2057" s="5"/>
      <c r="Z2057" s="6">
        <v>0</v>
      </c>
      <c r="AA2057" s="6"/>
      <c r="AB2057" s="5"/>
      <c r="AC2057" s="6"/>
      <c r="AD2057" s="6"/>
      <c r="AE2057" s="5"/>
      <c r="AF2057" s="6">
        <v>1</v>
      </c>
      <c r="AG2057" s="6"/>
      <c r="AH2057" s="5"/>
      <c r="AI2057" s="6">
        <v>1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44" t="str">
        <f t="shared" si="37"/>
        <v>SAVAGE_ED_NORTHAF</v>
      </c>
      <c r="B2058" s="9" t="s">
        <v>2076</v>
      </c>
      <c r="C2058" s="5" t="s">
        <v>2003</v>
      </c>
      <c r="D2058" s="5"/>
      <c r="E2058" s="5" t="s">
        <v>2545</v>
      </c>
      <c r="F2058" s="5" t="s">
        <v>2545</v>
      </c>
      <c r="G2058" s="5"/>
      <c r="H2058" s="5" t="s">
        <v>2086</v>
      </c>
      <c r="I2058" s="5" t="s">
        <v>1025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5"/>
      <c r="T2058" s="6">
        <v>3</v>
      </c>
      <c r="U2058" s="7"/>
      <c r="V2058" s="5"/>
      <c r="W2058" s="6"/>
      <c r="X2058" s="6"/>
      <c r="Y2058" s="5"/>
      <c r="Z2058" s="6">
        <v>0</v>
      </c>
      <c r="AA2058" s="6"/>
      <c r="AB2058" s="5"/>
      <c r="AC2058" s="6"/>
      <c r="AD2058" s="6"/>
      <c r="AE2058" s="5"/>
      <c r="AF2058" s="6">
        <v>0</v>
      </c>
      <c r="AG2058" s="6"/>
      <c r="AH2058" s="5"/>
      <c r="AI2058" s="6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44" t="str">
        <f t="shared" si="37"/>
        <v>SAVAGE_ED_NORTHAF</v>
      </c>
      <c r="B2059" s="9" t="s">
        <v>2076</v>
      </c>
      <c r="C2059" s="5" t="s">
        <v>2003</v>
      </c>
      <c r="D2059" s="5"/>
      <c r="E2059" s="5" t="s">
        <v>2545</v>
      </c>
      <c r="F2059" s="5" t="s">
        <v>2545</v>
      </c>
      <c r="G2059" s="5" t="s">
        <v>2039</v>
      </c>
      <c r="H2059" s="5" t="s">
        <v>2087</v>
      </c>
      <c r="I2059" s="5" t="s">
        <v>1025</v>
      </c>
      <c r="J2059" s="6"/>
      <c r="K2059" s="7">
        <v>1</v>
      </c>
      <c r="L2059" s="13"/>
      <c r="M2059" s="8"/>
      <c r="N2059" s="13"/>
      <c r="O2059" s="13"/>
      <c r="P2059" s="13"/>
      <c r="Q2059" s="7">
        <v>0</v>
      </c>
      <c r="R2059" s="6"/>
      <c r="S2059" s="5"/>
      <c r="T2059" s="6">
        <v>2</v>
      </c>
      <c r="U2059" s="7"/>
      <c r="V2059" s="5"/>
      <c r="W2059" s="6"/>
      <c r="X2059" s="6"/>
      <c r="Y2059" s="5"/>
      <c r="Z2059" s="6">
        <v>0</v>
      </c>
      <c r="AA2059" s="6"/>
      <c r="AB2059" s="5"/>
      <c r="AC2059" s="6"/>
      <c r="AD2059" s="6"/>
      <c r="AE2059" s="5"/>
      <c r="AF2059" s="6">
        <v>0</v>
      </c>
      <c r="AG2059" s="6"/>
      <c r="AH2059" s="5"/>
      <c r="AI2059" s="6">
        <v>1</v>
      </c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44" t="str">
        <f t="shared" si="37"/>
        <v>SETTLER_ORC</v>
      </c>
      <c r="B2060" s="9" t="s">
        <v>2684</v>
      </c>
      <c r="C2060" s="5"/>
      <c r="D2060" s="5"/>
      <c r="E2060" s="5" t="s">
        <v>2659</v>
      </c>
      <c r="F2060" s="5" t="s">
        <v>2666</v>
      </c>
      <c r="G2060" s="5" t="s">
        <v>2032</v>
      </c>
      <c r="H2060" s="5" t="s">
        <v>2670</v>
      </c>
      <c r="I2060" s="5" t="s">
        <v>1928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>
        <v>0.13</v>
      </c>
      <c r="S2060" s="5" t="s">
        <v>1607</v>
      </c>
      <c r="T2060" s="6"/>
      <c r="U2060" s="7"/>
      <c r="V2060" s="5"/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44" t="str">
        <f t="shared" si="37"/>
        <v>SETTLER_ORC</v>
      </c>
      <c r="B2061" s="9" t="s">
        <v>2684</v>
      </c>
      <c r="C2061" s="5"/>
      <c r="D2061" s="5"/>
      <c r="E2061" s="5" t="s">
        <v>2659</v>
      </c>
      <c r="F2061" s="5" t="s">
        <v>2666</v>
      </c>
      <c r="G2061" s="5" t="s">
        <v>2033</v>
      </c>
      <c r="H2061" s="5" t="s">
        <v>2671</v>
      </c>
      <c r="I2061" s="5" t="s">
        <v>1928</v>
      </c>
      <c r="J2061" s="6"/>
      <c r="K2061" s="7">
        <v>1</v>
      </c>
      <c r="L2061" s="13"/>
      <c r="M2061" s="8"/>
      <c r="N2061" s="13"/>
      <c r="O2061" s="13"/>
      <c r="P2061" s="13"/>
      <c r="Q2061" s="7">
        <v>2</v>
      </c>
      <c r="R2061" s="6" t="s">
        <v>1734</v>
      </c>
      <c r="S2061" s="5" t="s">
        <v>1607</v>
      </c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44" t="str">
        <f t="shared" si="37"/>
        <v>SETTLER_ORC</v>
      </c>
      <c r="B2062" s="9" t="s">
        <v>2684</v>
      </c>
      <c r="C2062" s="5"/>
      <c r="D2062" s="5"/>
      <c r="E2062" s="5" t="s">
        <v>2659</v>
      </c>
      <c r="F2062" s="5" t="s">
        <v>2666</v>
      </c>
      <c r="G2062" s="5" t="s">
        <v>2034</v>
      </c>
      <c r="H2062" s="5" t="s">
        <v>2672</v>
      </c>
      <c r="I2062" s="5" t="s">
        <v>1928</v>
      </c>
      <c r="J2062" s="6"/>
      <c r="K2062" s="7">
        <v>1</v>
      </c>
      <c r="L2062" s="13"/>
      <c r="M2062" s="8"/>
      <c r="N2062" s="13"/>
      <c r="O2062" s="13"/>
      <c r="P2062" s="13"/>
      <c r="Q2062" s="7">
        <v>2</v>
      </c>
      <c r="R2062" s="6">
        <v>0.13</v>
      </c>
      <c r="S2062" s="5" t="s">
        <v>1607</v>
      </c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44" t="str">
        <f t="shared" si="37"/>
        <v>SETTLER_ORC</v>
      </c>
      <c r="B2063" s="9" t="s">
        <v>2684</v>
      </c>
      <c r="C2063" s="5"/>
      <c r="D2063" s="5"/>
      <c r="E2063" s="5" t="s">
        <v>2659</v>
      </c>
      <c r="F2063" s="5" t="s">
        <v>2666</v>
      </c>
      <c r="G2063" s="5" t="s">
        <v>2036</v>
      </c>
      <c r="H2063" s="5" t="s">
        <v>2673</v>
      </c>
      <c r="I2063" s="5" t="s">
        <v>1928</v>
      </c>
      <c r="J2063" s="6"/>
      <c r="K2063" s="7">
        <v>1</v>
      </c>
      <c r="L2063" s="13"/>
      <c r="M2063" s="8"/>
      <c r="N2063" s="13"/>
      <c r="O2063" s="13"/>
      <c r="P2063" s="13"/>
      <c r="Q2063" s="7">
        <v>1</v>
      </c>
      <c r="R2063" s="6">
        <v>0.13</v>
      </c>
      <c r="S2063" s="5" t="s">
        <v>1607</v>
      </c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44" t="str">
        <f t="shared" si="37"/>
        <v>SETTLER_ORC</v>
      </c>
      <c r="B2064" s="9" t="s">
        <v>2684</v>
      </c>
      <c r="C2064" s="5"/>
      <c r="D2064" s="5"/>
      <c r="E2064" s="5" t="s">
        <v>2659</v>
      </c>
      <c r="F2064" s="5" t="s">
        <v>2666</v>
      </c>
      <c r="G2064" s="5" t="s">
        <v>2037</v>
      </c>
      <c r="H2064" s="5" t="s">
        <v>2674</v>
      </c>
      <c r="I2064" s="5" t="s">
        <v>1928</v>
      </c>
      <c r="J2064" s="6"/>
      <c r="K2064" s="7">
        <v>1</v>
      </c>
      <c r="L2064" s="13"/>
      <c r="M2064" s="8"/>
      <c r="N2064" s="13"/>
      <c r="O2064" s="13"/>
      <c r="P2064" s="13"/>
      <c r="Q2064" s="7">
        <v>1</v>
      </c>
      <c r="R2064" s="6">
        <v>0.13</v>
      </c>
      <c r="S2064" s="5" t="s">
        <v>1607</v>
      </c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44" t="str">
        <f t="shared" si="37"/>
        <v>SETTLER_ORC</v>
      </c>
      <c r="B2065" s="9" t="s">
        <v>2684</v>
      </c>
      <c r="C2065" s="5"/>
      <c r="D2065" s="5"/>
      <c r="E2065" s="5" t="s">
        <v>2659</v>
      </c>
      <c r="F2065" s="5" t="s">
        <v>2666</v>
      </c>
      <c r="G2065" s="5" t="s">
        <v>2038</v>
      </c>
      <c r="H2065" s="5" t="s">
        <v>2675</v>
      </c>
      <c r="I2065" s="5" t="s">
        <v>1928</v>
      </c>
      <c r="J2065" s="6"/>
      <c r="K2065" s="7">
        <v>1</v>
      </c>
      <c r="L2065" s="13"/>
      <c r="M2065" s="8"/>
      <c r="N2065" s="13"/>
      <c r="O2065" s="13"/>
      <c r="P2065" s="13"/>
      <c r="Q2065" s="7">
        <v>1</v>
      </c>
      <c r="R2065" s="6">
        <v>0.13</v>
      </c>
      <c r="S2065" s="5" t="s">
        <v>1607</v>
      </c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44" t="str">
        <f t="shared" si="37"/>
        <v>SETTLER_ORC</v>
      </c>
      <c r="B2066" s="9" t="s">
        <v>2684</v>
      </c>
      <c r="C2066" s="5"/>
      <c r="D2066" s="5"/>
      <c r="E2066" s="5" t="s">
        <v>2659</v>
      </c>
      <c r="F2066" s="5" t="s">
        <v>2666</v>
      </c>
      <c r="G2066" s="5" t="s">
        <v>2667</v>
      </c>
      <c r="H2066" s="5" t="s">
        <v>2676</v>
      </c>
      <c r="I2066" s="5" t="s">
        <v>1928</v>
      </c>
      <c r="J2066" s="6"/>
      <c r="K2066" s="7">
        <v>1</v>
      </c>
      <c r="L2066" s="13"/>
      <c r="M2066" s="8"/>
      <c r="N2066" s="13"/>
      <c r="O2066" s="13"/>
      <c r="P2066" s="13"/>
      <c r="Q2066" s="7">
        <v>1</v>
      </c>
      <c r="R2066" s="6">
        <v>0.13</v>
      </c>
      <c r="S2066" s="5" t="s">
        <v>1607</v>
      </c>
      <c r="T2066" s="6"/>
      <c r="U2066" s="7"/>
      <c r="V2066" s="5"/>
      <c r="W2066" s="6"/>
      <c r="X2066" s="6"/>
      <c r="Y2066" s="5"/>
      <c r="Z2066" s="6"/>
      <c r="AA2066" s="6"/>
      <c r="AB2066" s="5"/>
      <c r="AC2066" s="6"/>
      <c r="AD2066" s="6"/>
      <c r="AE2066" s="5"/>
      <c r="AF2066" s="6"/>
      <c r="AG2066" s="6"/>
      <c r="AH2066" s="5"/>
      <c r="AI2066" s="6"/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44" t="str">
        <f t="shared" si="37"/>
        <v>SHAMAN</v>
      </c>
      <c r="B2067" s="9" t="s">
        <v>2481</v>
      </c>
      <c r="C2067" s="5"/>
      <c r="D2067" s="5"/>
      <c r="E2067" s="5" t="s">
        <v>2481</v>
      </c>
      <c r="F2067" s="5" t="s">
        <v>2481</v>
      </c>
      <c r="G2067" s="5"/>
      <c r="H2067" s="5" t="s">
        <v>2082</v>
      </c>
      <c r="I2067" s="5" t="s">
        <v>102</v>
      </c>
      <c r="J2067" s="6"/>
      <c r="K2067" s="7">
        <v>1</v>
      </c>
      <c r="L2067" s="13"/>
      <c r="M2067" s="8"/>
      <c r="N2067" s="13"/>
      <c r="O2067" s="13"/>
      <c r="P2067" s="13"/>
      <c r="Q2067" s="7">
        <v>3</v>
      </c>
      <c r="R2067" s="6">
        <v>0.13500000000000001</v>
      </c>
      <c r="S2067" s="5" t="s">
        <v>1611</v>
      </c>
      <c r="T2067" s="6"/>
      <c r="U2067" s="7"/>
      <c r="V2067" s="5"/>
      <c r="W2067" s="6"/>
      <c r="X2067" s="6"/>
      <c r="Y2067" s="5"/>
      <c r="Z2067" s="6">
        <v>1</v>
      </c>
      <c r="AA2067" s="6"/>
      <c r="AB2067" s="5"/>
      <c r="AC2067" s="6"/>
      <c r="AD2067" s="6"/>
      <c r="AE2067" s="5"/>
      <c r="AF2067" s="6">
        <v>2</v>
      </c>
      <c r="AG2067" s="6"/>
      <c r="AH2067" s="5"/>
      <c r="AI2067" s="6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44" t="str">
        <f t="shared" si="37"/>
        <v>SORCERER_1</v>
      </c>
      <c r="B2068" s="9" t="s">
        <v>2683</v>
      </c>
      <c r="C2068" s="5"/>
      <c r="D2068" s="5"/>
      <c r="E2068" s="5" t="s">
        <v>2657</v>
      </c>
      <c r="F2068" s="5" t="s">
        <v>2657</v>
      </c>
      <c r="G2068" s="5"/>
      <c r="H2068" s="5" t="s">
        <v>2668</v>
      </c>
      <c r="I2068" s="5" t="s">
        <v>1928</v>
      </c>
      <c r="J2068" s="6"/>
      <c r="K2068" s="7">
        <v>1</v>
      </c>
      <c r="L2068" s="13"/>
      <c r="M2068" s="8"/>
      <c r="N2068" s="13"/>
      <c r="O2068" s="13"/>
      <c r="P2068" s="13"/>
      <c r="Q2068" s="7">
        <v>3</v>
      </c>
      <c r="R2068" s="6" t="s">
        <v>1734</v>
      </c>
      <c r="S2068" s="5" t="s">
        <v>1617</v>
      </c>
      <c r="T2068" s="6"/>
      <c r="U2068" s="7"/>
      <c r="V2068" s="5"/>
      <c r="W2068" s="6"/>
      <c r="X2068" s="6"/>
      <c r="Y2068" s="5"/>
      <c r="Z2068" s="6"/>
      <c r="AA2068" s="6"/>
      <c r="AB2068" s="5"/>
      <c r="AC2068" s="6"/>
      <c r="AD2068" s="6"/>
      <c r="AE2068" s="5"/>
      <c r="AF2068" s="6"/>
      <c r="AG2068" s="6"/>
      <c r="AH2068" s="5"/>
      <c r="AI2068" s="6"/>
      <c r="AJ2068" s="6"/>
      <c r="AK2068" s="5"/>
      <c r="AL2068" s="6"/>
      <c r="AM2068" s="6"/>
      <c r="AN2068" s="6"/>
      <c r="AO2068" s="6"/>
      <c r="AP2068" s="6"/>
      <c r="AQ2068" s="6"/>
    </row>
    <row r="2069" spans="1:43" x14ac:dyDescent="0.25">
      <c r="A2069" s="44" t="str">
        <f t="shared" si="37"/>
        <v>SORCERER_2</v>
      </c>
      <c r="B2069" s="9" t="s">
        <v>2685</v>
      </c>
      <c r="C2069" s="5"/>
      <c r="D2069" s="5"/>
      <c r="E2069" s="5" t="s">
        <v>2656</v>
      </c>
      <c r="F2069" s="5" t="s">
        <v>2656</v>
      </c>
      <c r="G2069" s="5"/>
      <c r="H2069" s="5" t="s">
        <v>2669</v>
      </c>
      <c r="I2069" s="5" t="s">
        <v>1928</v>
      </c>
      <c r="J2069" s="6"/>
      <c r="K2069" s="7">
        <v>1</v>
      </c>
      <c r="L2069" s="13"/>
      <c r="M2069" s="8"/>
      <c r="N2069" s="13"/>
      <c r="O2069" s="13"/>
      <c r="P2069" s="13"/>
      <c r="Q2069" s="7">
        <v>10</v>
      </c>
      <c r="R2069" s="6" t="s">
        <v>1734</v>
      </c>
      <c r="S2069" s="5" t="s">
        <v>1617</v>
      </c>
      <c r="T2069" s="6"/>
      <c r="U2069" s="7"/>
      <c r="V2069" s="5"/>
      <c r="W2069" s="6"/>
      <c r="X2069" s="6"/>
      <c r="Y2069" s="5"/>
      <c r="Z2069" s="6"/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x14ac:dyDescent="0.25">
      <c r="A2070" s="44" t="str">
        <f t="shared" ref="A2070:A2106" si="38">CONCATENATE(E2070,IF(ISBLANK(C2070),"",CONCATENATE("_",C2070)))</f>
        <v>2HANDER</v>
      </c>
      <c r="B2070" s="9" t="s">
        <v>2484</v>
      </c>
      <c r="C2070" s="5"/>
      <c r="D2070" s="5"/>
      <c r="E2070" s="5" t="s">
        <v>2484</v>
      </c>
      <c r="F2070" s="5" t="s">
        <v>2484</v>
      </c>
      <c r="G2070" s="5"/>
      <c r="H2070" s="5" t="s">
        <v>2155</v>
      </c>
      <c r="I2070" s="5" t="s">
        <v>1809</v>
      </c>
      <c r="J2070" s="6"/>
      <c r="K2070" s="7">
        <v>1</v>
      </c>
      <c r="L2070" s="13"/>
      <c r="M2070" s="8"/>
      <c r="N2070" s="13"/>
      <c r="O2070" s="13"/>
      <c r="P2070" s="13"/>
      <c r="Q2070" s="7" t="s">
        <v>1734</v>
      </c>
      <c r="R2070" s="6" t="s">
        <v>1734</v>
      </c>
      <c r="S2070" s="13" t="s">
        <v>22</v>
      </c>
      <c r="T2070" s="7" t="s">
        <v>1734</v>
      </c>
      <c r="U2070" s="7" t="s">
        <v>1692</v>
      </c>
      <c r="V2070" s="5"/>
      <c r="W2070" s="6" t="s">
        <v>3</v>
      </c>
      <c r="X2070" s="6" t="s">
        <v>3</v>
      </c>
      <c r="Y2070" s="5"/>
      <c r="Z2070" s="7">
        <v>1</v>
      </c>
      <c r="AA2070" s="6"/>
      <c r="AB2070" s="5"/>
      <c r="AC2070" s="6"/>
      <c r="AD2070" s="6" t="s">
        <v>3</v>
      </c>
      <c r="AE2070" s="5"/>
      <c r="AF2070" s="7" t="s">
        <v>1734</v>
      </c>
      <c r="AG2070" s="6"/>
      <c r="AH2070" s="5"/>
      <c r="AI2070" s="7" t="s">
        <v>1734</v>
      </c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44" t="str">
        <f t="shared" si="38"/>
        <v>2HANDER_ED</v>
      </c>
      <c r="B2071" s="9" t="s">
        <v>2484</v>
      </c>
      <c r="C2071" s="5"/>
      <c r="D2071" s="5"/>
      <c r="E2071" s="5" t="s">
        <v>2548</v>
      </c>
      <c r="F2071" s="5" t="s">
        <v>2548</v>
      </c>
      <c r="G2071" s="5"/>
      <c r="H2071" s="5" t="s">
        <v>2155</v>
      </c>
      <c r="I2071" s="5" t="s">
        <v>1809</v>
      </c>
      <c r="J2071" s="6"/>
      <c r="K2071" s="7">
        <v>1</v>
      </c>
      <c r="L2071" s="13"/>
      <c r="M2071" s="8"/>
      <c r="N2071" s="13"/>
      <c r="O2071" s="13"/>
      <c r="P2071" s="13"/>
      <c r="Q2071" s="7" t="s">
        <v>1734</v>
      </c>
      <c r="R2071" s="6" t="s">
        <v>1734</v>
      </c>
      <c r="S2071" s="13" t="s">
        <v>22</v>
      </c>
      <c r="T2071" s="7" t="s">
        <v>1734</v>
      </c>
      <c r="U2071" s="7" t="s">
        <v>1692</v>
      </c>
      <c r="V2071" s="5"/>
      <c r="W2071" s="6" t="s">
        <v>3</v>
      </c>
      <c r="X2071" s="6" t="s">
        <v>3</v>
      </c>
      <c r="Y2071" s="5"/>
      <c r="Z2071" s="7">
        <v>1</v>
      </c>
      <c r="AA2071" s="6"/>
      <c r="AB2071" s="5"/>
      <c r="AC2071" s="6"/>
      <c r="AD2071" s="6" t="s">
        <v>3</v>
      </c>
      <c r="AE2071" s="5"/>
      <c r="AF2071" s="7" t="s">
        <v>1734</v>
      </c>
      <c r="AG2071" s="6"/>
      <c r="AH2071" s="5"/>
      <c r="AI2071" s="7" t="s">
        <v>1734</v>
      </c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44" t="str">
        <f t="shared" si="38"/>
        <v>2HANDER_ED_AUSTRIA</v>
      </c>
      <c r="B2072" s="9" t="s">
        <v>2484</v>
      </c>
      <c r="C2072" s="5" t="s">
        <v>701</v>
      </c>
      <c r="D2072" s="5" t="s">
        <v>717</v>
      </c>
      <c r="E2072" s="5" t="s">
        <v>2548</v>
      </c>
      <c r="F2072" s="5" t="s">
        <v>2548</v>
      </c>
      <c r="G2072" s="5"/>
      <c r="H2072" s="5"/>
      <c r="I2072" s="5"/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13"/>
      <c r="T2072" s="7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7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44" t="str">
        <f t="shared" si="38"/>
        <v>2HANDER_ED_BELGIUM</v>
      </c>
      <c r="B2073" s="9" t="s">
        <v>2484</v>
      </c>
      <c r="C2073" s="5" t="s">
        <v>704</v>
      </c>
      <c r="D2073" s="5" t="s">
        <v>717</v>
      </c>
      <c r="E2073" s="5" t="s">
        <v>2548</v>
      </c>
      <c r="F2073" s="5" t="s">
        <v>2548</v>
      </c>
      <c r="G2073" s="5"/>
      <c r="H2073" s="5"/>
      <c r="I2073" s="5"/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13"/>
      <c r="T2073" s="7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7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44" t="str">
        <f t="shared" si="38"/>
        <v>2HANDER_ED_BOHEMIA</v>
      </c>
      <c r="B2074" s="9" t="s">
        <v>2484</v>
      </c>
      <c r="C2074" s="5" t="s">
        <v>705</v>
      </c>
      <c r="D2074" s="5" t="s">
        <v>717</v>
      </c>
      <c r="E2074" s="5" t="s">
        <v>2548</v>
      </c>
      <c r="F2074" s="5" t="s">
        <v>2548</v>
      </c>
      <c r="G2074" s="5"/>
      <c r="H2074" s="5"/>
      <c r="I2074" s="5"/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13"/>
      <c r="T2074" s="7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7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44" t="str">
        <f t="shared" si="38"/>
        <v>2HANDER_ED_GERMANY</v>
      </c>
      <c r="B2075" s="9" t="s">
        <v>2484</v>
      </c>
      <c r="C2075" s="5" t="s">
        <v>717</v>
      </c>
      <c r="D2075" s="5"/>
      <c r="E2075" s="5" t="s">
        <v>2548</v>
      </c>
      <c r="F2075" s="5" t="s">
        <v>2548</v>
      </c>
      <c r="G2075" s="5"/>
      <c r="H2075" s="5" t="s">
        <v>2562</v>
      </c>
      <c r="I2075" s="5" t="s">
        <v>1809</v>
      </c>
      <c r="J2075" s="6"/>
      <c r="K2075" s="7">
        <v>1</v>
      </c>
      <c r="L2075" s="13"/>
      <c r="M2075" s="8"/>
      <c r="N2075" s="13"/>
      <c r="O2075" s="13"/>
      <c r="P2075" s="13"/>
      <c r="Q2075" s="7">
        <v>3</v>
      </c>
      <c r="R2075" s="6"/>
      <c r="S2075" s="13"/>
      <c r="T2075" s="7">
        <v>4</v>
      </c>
      <c r="U2075" s="7"/>
      <c r="V2075" s="5"/>
      <c r="W2075" s="6" t="s">
        <v>3</v>
      </c>
      <c r="X2075" s="6"/>
      <c r="Y2075" s="5"/>
      <c r="Z2075" s="7">
        <v>1</v>
      </c>
      <c r="AA2075" s="6"/>
      <c r="AB2075" s="5"/>
      <c r="AC2075" s="6"/>
      <c r="AD2075" s="6"/>
      <c r="AE2075" s="5"/>
      <c r="AF2075" s="7">
        <v>1</v>
      </c>
      <c r="AG2075" s="6"/>
      <c r="AH2075" s="5"/>
      <c r="AI2075" s="7">
        <v>2</v>
      </c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44" t="str">
        <f t="shared" si="38"/>
        <v>2HANDER_ED_GERMANY</v>
      </c>
      <c r="B2076" s="9" t="s">
        <v>2484</v>
      </c>
      <c r="C2076" s="5" t="s">
        <v>717</v>
      </c>
      <c r="D2076" s="5"/>
      <c r="E2076" s="5" t="s">
        <v>2548</v>
      </c>
      <c r="F2076" s="5" t="s">
        <v>2548</v>
      </c>
      <c r="G2076" s="5" t="s">
        <v>2039</v>
      </c>
      <c r="H2076" s="5" t="s">
        <v>2563</v>
      </c>
      <c r="I2076" s="5" t="s">
        <v>1809</v>
      </c>
      <c r="J2076" s="6"/>
      <c r="K2076" s="7">
        <v>1</v>
      </c>
      <c r="L2076" s="13"/>
      <c r="M2076" s="8"/>
      <c r="N2076" s="13"/>
      <c r="O2076" s="13"/>
      <c r="P2076" s="13"/>
      <c r="Q2076" s="7">
        <v>4</v>
      </c>
      <c r="R2076" s="6"/>
      <c r="S2076" s="13"/>
      <c r="T2076" s="7">
        <v>5</v>
      </c>
      <c r="U2076" s="7"/>
      <c r="V2076" s="5"/>
      <c r="W2076" s="6" t="s">
        <v>3</v>
      </c>
      <c r="X2076" s="6"/>
      <c r="Y2076" s="5"/>
      <c r="Z2076" s="7">
        <v>0</v>
      </c>
      <c r="AA2076" s="6"/>
      <c r="AB2076" s="5"/>
      <c r="AC2076" s="6"/>
      <c r="AD2076" s="6"/>
      <c r="AE2076" s="5"/>
      <c r="AF2076" s="7">
        <v>1</v>
      </c>
      <c r="AG2076" s="6"/>
      <c r="AH2076" s="5"/>
      <c r="AI2076" s="7">
        <v>2</v>
      </c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44" t="str">
        <f t="shared" si="38"/>
        <v>2HANDER_ED_GERMANY</v>
      </c>
      <c r="B2077" s="9" t="s">
        <v>2484</v>
      </c>
      <c r="C2077" s="5" t="s">
        <v>717</v>
      </c>
      <c r="D2077" s="5"/>
      <c r="E2077" s="5" t="s">
        <v>2548</v>
      </c>
      <c r="F2077" s="5" t="s">
        <v>2548</v>
      </c>
      <c r="G2077" s="5"/>
      <c r="H2077" s="5" t="s">
        <v>2562</v>
      </c>
      <c r="I2077" s="5" t="s">
        <v>1809</v>
      </c>
      <c r="J2077" s="6"/>
      <c r="K2077" s="7">
        <v>1</v>
      </c>
      <c r="L2077" s="13"/>
      <c r="M2077" s="8"/>
      <c r="N2077" s="13"/>
      <c r="O2077" s="13"/>
      <c r="P2077" s="13"/>
      <c r="Q2077" s="7">
        <v>3</v>
      </c>
      <c r="R2077" s="6"/>
      <c r="S2077" s="13"/>
      <c r="T2077" s="7">
        <v>4</v>
      </c>
      <c r="U2077" s="7"/>
      <c r="V2077" s="5"/>
      <c r="W2077" s="6" t="s">
        <v>3</v>
      </c>
      <c r="X2077" s="6"/>
      <c r="Y2077" s="5"/>
      <c r="Z2077" s="7">
        <v>0</v>
      </c>
      <c r="AA2077" s="6"/>
      <c r="AB2077" s="5"/>
      <c r="AC2077" s="6"/>
      <c r="AD2077" s="6"/>
      <c r="AE2077" s="5"/>
      <c r="AF2077" s="7">
        <v>1</v>
      </c>
      <c r="AG2077" s="6"/>
      <c r="AH2077" s="5"/>
      <c r="AI2077" s="7">
        <v>2</v>
      </c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44" t="str">
        <f t="shared" si="38"/>
        <v>2HANDER_ED_GERMANY</v>
      </c>
      <c r="B2078" s="9" t="s">
        <v>2484</v>
      </c>
      <c r="C2078" s="5" t="s">
        <v>717</v>
      </c>
      <c r="D2078" s="5"/>
      <c r="E2078" s="5" t="s">
        <v>2548</v>
      </c>
      <c r="F2078" s="5" t="s">
        <v>2548</v>
      </c>
      <c r="G2078" s="5" t="s">
        <v>2039</v>
      </c>
      <c r="H2078" s="5" t="s">
        <v>2563</v>
      </c>
      <c r="I2078" s="5" t="s">
        <v>1809</v>
      </c>
      <c r="J2078" s="6"/>
      <c r="K2078" s="7">
        <v>1</v>
      </c>
      <c r="L2078" s="13"/>
      <c r="M2078" s="8"/>
      <c r="N2078" s="13"/>
      <c r="O2078" s="13"/>
      <c r="P2078" s="13"/>
      <c r="Q2078" s="7">
        <v>2</v>
      </c>
      <c r="R2078" s="6"/>
      <c r="S2078" s="13"/>
      <c r="T2078" s="7">
        <v>3</v>
      </c>
      <c r="U2078" s="7"/>
      <c r="V2078" s="5"/>
      <c r="W2078" s="6" t="s">
        <v>3</v>
      </c>
      <c r="X2078" s="6"/>
      <c r="Y2078" s="5"/>
      <c r="Z2078" s="7">
        <v>0</v>
      </c>
      <c r="AA2078" s="6"/>
      <c r="AB2078" s="5"/>
      <c r="AC2078" s="6"/>
      <c r="AD2078" s="6"/>
      <c r="AE2078" s="5"/>
      <c r="AF2078" s="7">
        <v>0</v>
      </c>
      <c r="AG2078" s="6"/>
      <c r="AH2078" s="5"/>
      <c r="AI2078" s="7">
        <v>1</v>
      </c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44" t="str">
        <f t="shared" si="38"/>
        <v>2HANDER_ED_NETHERLANDS</v>
      </c>
      <c r="B2079" s="9" t="s">
        <v>2484</v>
      </c>
      <c r="C2079" s="5" t="s">
        <v>730</v>
      </c>
      <c r="D2079" s="5" t="s">
        <v>717</v>
      </c>
      <c r="E2079" s="5" t="s">
        <v>2548</v>
      </c>
      <c r="F2079" s="5" t="s">
        <v>2548</v>
      </c>
      <c r="G2079" s="5"/>
      <c r="H2079" s="5"/>
      <c r="I2079" s="5"/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13"/>
      <c r="T2079" s="7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7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44" t="str">
        <f t="shared" si="38"/>
        <v>2HANDER_ED_WITTENBERG</v>
      </c>
      <c r="B2080" s="9" t="s">
        <v>2484</v>
      </c>
      <c r="C2080" s="5" t="s">
        <v>1215</v>
      </c>
      <c r="D2080" s="5" t="s">
        <v>717</v>
      </c>
      <c r="E2080" s="5" t="s">
        <v>2548</v>
      </c>
      <c r="F2080" s="5" t="s">
        <v>2548</v>
      </c>
      <c r="G2080" s="5"/>
      <c r="H2080" s="5"/>
      <c r="I2080" s="5"/>
      <c r="J2080" s="6"/>
      <c r="K2080" s="7">
        <v>1</v>
      </c>
      <c r="L2080" s="13"/>
      <c r="M2080" s="8"/>
      <c r="N2080" s="13"/>
      <c r="O2080" s="13"/>
      <c r="P2080" s="13"/>
      <c r="Q2080" s="7"/>
      <c r="R2080" s="6"/>
      <c r="S2080" s="13"/>
      <c r="T2080" s="7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7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44" t="str">
        <f t="shared" si="38"/>
        <v>2HANDER_ED_NORTHEU</v>
      </c>
      <c r="B2081" s="9" t="s">
        <v>2484</v>
      </c>
      <c r="C2081" s="5" t="s">
        <v>962</v>
      </c>
      <c r="D2081" s="5"/>
      <c r="E2081" s="5" t="s">
        <v>2548</v>
      </c>
      <c r="F2081" s="5" t="s">
        <v>2548</v>
      </c>
      <c r="G2081" s="5"/>
      <c r="H2081" s="5" t="s">
        <v>2368</v>
      </c>
      <c r="I2081" s="5" t="s">
        <v>1809</v>
      </c>
      <c r="J2081" s="6"/>
      <c r="K2081" s="7">
        <v>1</v>
      </c>
      <c r="L2081" s="13"/>
      <c r="M2081" s="8"/>
      <c r="N2081" s="13"/>
      <c r="O2081" s="13"/>
      <c r="P2081" s="13"/>
      <c r="Q2081" s="7"/>
      <c r="R2081" s="6"/>
      <c r="S2081" s="5"/>
      <c r="T2081" s="6"/>
      <c r="U2081" s="7"/>
      <c r="V2081" s="5"/>
      <c r="W2081" s="6"/>
      <c r="X2081" s="6"/>
      <c r="Y2081" s="5"/>
      <c r="Z2081" s="6"/>
      <c r="AA2081" s="6"/>
      <c r="AB2081" s="5"/>
      <c r="AC2081" s="6"/>
      <c r="AD2081" s="6"/>
      <c r="AE2081" s="5"/>
      <c r="AF2081" s="6"/>
      <c r="AG2081" s="6"/>
      <c r="AH2081" s="5"/>
      <c r="AI2081" s="6"/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44" t="str">
        <f t="shared" si="38"/>
        <v>2HANDER_ED_SWEDEN</v>
      </c>
      <c r="B2082" s="9" t="s">
        <v>2484</v>
      </c>
      <c r="C2082" s="5" t="s">
        <v>739</v>
      </c>
      <c r="D2082" s="5"/>
      <c r="E2082" s="5" t="s">
        <v>2548</v>
      </c>
      <c r="F2082" s="5" t="s">
        <v>2548</v>
      </c>
      <c r="G2082" s="5"/>
      <c r="H2082" s="5" t="s">
        <v>2369</v>
      </c>
      <c r="I2082" s="5" t="s">
        <v>1809</v>
      </c>
      <c r="J2082" s="6"/>
      <c r="K2082" s="7">
        <v>1</v>
      </c>
      <c r="L2082" s="13"/>
      <c r="M2082" s="8"/>
      <c r="N2082" s="13"/>
      <c r="O2082" s="13"/>
      <c r="P2082" s="13"/>
      <c r="Q2082" s="7"/>
      <c r="R2082" s="6"/>
      <c r="S2082" s="5"/>
      <c r="T2082" s="6"/>
      <c r="U2082" s="7"/>
      <c r="V2082" s="5"/>
      <c r="W2082" s="6"/>
      <c r="X2082" s="6"/>
      <c r="Y2082" s="5"/>
      <c r="Z2082" s="6"/>
      <c r="AA2082" s="6"/>
      <c r="AB2082" s="5"/>
      <c r="AC2082" s="6"/>
      <c r="AD2082" s="6"/>
      <c r="AE2082" s="5"/>
      <c r="AF2082" s="6"/>
      <c r="AG2082" s="6"/>
      <c r="AH2082" s="5"/>
      <c r="AI2082" s="6"/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44" t="str">
        <f t="shared" si="38"/>
        <v>2HANDER_ED_SOUTHAS</v>
      </c>
      <c r="B2083" s="9" t="s">
        <v>2484</v>
      </c>
      <c r="C2083" s="5" t="s">
        <v>695</v>
      </c>
      <c r="D2083" s="5"/>
      <c r="E2083" s="5" t="s">
        <v>2548</v>
      </c>
      <c r="F2083" s="5" t="s">
        <v>2548</v>
      </c>
      <c r="G2083" s="5"/>
      <c r="H2083" s="5" t="s">
        <v>2367</v>
      </c>
      <c r="I2083" s="5" t="s">
        <v>1809</v>
      </c>
      <c r="J2083" s="6"/>
      <c r="K2083" s="7">
        <v>1</v>
      </c>
      <c r="L2083" s="13"/>
      <c r="M2083" s="8"/>
      <c r="N2083" s="13"/>
      <c r="O2083" s="13"/>
      <c r="P2083" s="13"/>
      <c r="Q2083" s="7"/>
      <c r="R2083" s="6"/>
      <c r="S2083" s="5"/>
      <c r="T2083" s="6"/>
      <c r="U2083" s="7"/>
      <c r="V2083" s="5"/>
      <c r="W2083" s="6"/>
      <c r="X2083" s="6"/>
      <c r="Y2083" s="5"/>
      <c r="Z2083" s="6"/>
      <c r="AA2083" s="6"/>
      <c r="AB2083" s="5"/>
      <c r="AC2083" s="6"/>
      <c r="AD2083" s="6"/>
      <c r="AE2083" s="5"/>
      <c r="AF2083" s="6"/>
      <c r="AG2083" s="6"/>
      <c r="AH2083" s="5"/>
      <c r="AI2083" s="6"/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44" t="str">
        <f t="shared" si="38"/>
        <v>REITER</v>
      </c>
      <c r="B2084" s="9" t="s">
        <v>762</v>
      </c>
      <c r="C2084" s="5"/>
      <c r="D2084" s="5"/>
      <c r="E2084" s="5" t="s">
        <v>2485</v>
      </c>
      <c r="F2084" s="5" t="s">
        <v>2485</v>
      </c>
      <c r="G2084" s="5"/>
      <c r="H2084" s="5" t="s">
        <v>2156</v>
      </c>
      <c r="I2084" s="5" t="s">
        <v>1809</v>
      </c>
      <c r="J2084" s="6"/>
      <c r="K2084" s="7">
        <v>1</v>
      </c>
      <c r="L2084" s="13"/>
      <c r="M2084" s="8"/>
      <c r="N2084" s="13"/>
      <c r="O2084" s="13"/>
      <c r="P2084" s="13"/>
      <c r="Q2084" s="7" t="s">
        <v>1692</v>
      </c>
      <c r="R2084" s="6" t="s">
        <v>1692</v>
      </c>
      <c r="S2084" s="13" t="s">
        <v>1692</v>
      </c>
      <c r="T2084" s="7" t="s">
        <v>1692</v>
      </c>
      <c r="U2084" s="6" t="s">
        <v>1692</v>
      </c>
      <c r="V2084" s="5"/>
      <c r="W2084" s="6" t="s">
        <v>3</v>
      </c>
      <c r="X2084" s="6" t="s">
        <v>3</v>
      </c>
      <c r="Y2084" s="5"/>
      <c r="Z2084" s="6">
        <v>1</v>
      </c>
      <c r="AA2084" s="6"/>
      <c r="AB2084" s="5"/>
      <c r="AC2084" s="6"/>
      <c r="AD2084" s="6" t="s">
        <v>3</v>
      </c>
      <c r="AE2084" s="5"/>
      <c r="AF2084" s="6" t="s">
        <v>1692</v>
      </c>
      <c r="AG2084" s="6"/>
      <c r="AH2084" s="5"/>
      <c r="AI2084" s="6"/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44" t="str">
        <f t="shared" si="38"/>
        <v>RODELEROS</v>
      </c>
      <c r="B2085" s="9" t="s">
        <v>2486</v>
      </c>
      <c r="C2085" s="5"/>
      <c r="D2085" s="5"/>
      <c r="E2085" s="5" t="s">
        <v>2486</v>
      </c>
      <c r="F2085" s="5" t="s">
        <v>2486</v>
      </c>
      <c r="G2085" s="5"/>
      <c r="H2085" s="5" t="s">
        <v>2157</v>
      </c>
      <c r="I2085" s="5" t="s">
        <v>1809</v>
      </c>
      <c r="J2085" s="6"/>
      <c r="K2085" s="7">
        <v>1</v>
      </c>
      <c r="L2085" s="13"/>
      <c r="M2085" s="8"/>
      <c r="N2085" s="13"/>
      <c r="O2085" s="13"/>
      <c r="P2085" s="13"/>
      <c r="Q2085" s="7" t="s">
        <v>1734</v>
      </c>
      <c r="R2085" s="6" t="s">
        <v>1734</v>
      </c>
      <c r="S2085" s="13" t="s">
        <v>1734</v>
      </c>
      <c r="T2085" s="6" t="s">
        <v>1734</v>
      </c>
      <c r="U2085" s="7" t="s">
        <v>1734</v>
      </c>
      <c r="V2085" s="5"/>
      <c r="W2085" s="7" t="s">
        <v>3</v>
      </c>
      <c r="X2085" s="6" t="s">
        <v>3</v>
      </c>
      <c r="Y2085" s="5"/>
      <c r="Z2085" s="7">
        <v>1</v>
      </c>
      <c r="AA2085" s="6"/>
      <c r="AB2085" s="5"/>
      <c r="AC2085" s="6"/>
      <c r="AD2085" s="6" t="s">
        <v>3</v>
      </c>
      <c r="AE2085" s="5"/>
      <c r="AF2085" s="7" t="s">
        <v>1734</v>
      </c>
      <c r="AG2085" s="6"/>
      <c r="AH2085" s="5"/>
      <c r="AI2085" s="6" t="s">
        <v>1734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44" t="str">
        <f t="shared" si="38"/>
        <v>FREE_COMPANY</v>
      </c>
      <c r="B2086" s="9" t="s">
        <v>2489</v>
      </c>
      <c r="C2086" s="5"/>
      <c r="D2086" s="5"/>
      <c r="E2086" s="5" t="s">
        <v>2487</v>
      </c>
      <c r="F2086" s="5" t="s">
        <v>2487</v>
      </c>
      <c r="G2086" s="5"/>
      <c r="H2086" s="5" t="s">
        <v>2159</v>
      </c>
      <c r="I2086" s="5" t="s">
        <v>1809</v>
      </c>
      <c r="J2086" s="6"/>
      <c r="K2086" s="7">
        <v>1</v>
      </c>
      <c r="L2086" s="13"/>
      <c r="M2086" s="8"/>
      <c r="N2086" s="13"/>
      <c r="O2086" s="13"/>
      <c r="P2086" s="13"/>
      <c r="Q2086" s="7">
        <v>6</v>
      </c>
      <c r="R2086" s="6" t="s">
        <v>1734</v>
      </c>
      <c r="S2086" s="13" t="s">
        <v>22</v>
      </c>
      <c r="T2086" s="6">
        <v>5</v>
      </c>
      <c r="U2086" s="7" t="s">
        <v>1734</v>
      </c>
      <c r="V2086" s="5"/>
      <c r="W2086" s="7" t="s">
        <v>3</v>
      </c>
      <c r="X2086" s="6" t="s">
        <v>3</v>
      </c>
      <c r="Y2086" s="5"/>
      <c r="Z2086" s="7">
        <v>1</v>
      </c>
      <c r="AA2086" s="6"/>
      <c r="AB2086" s="5"/>
      <c r="AC2086" s="6"/>
      <c r="AD2086" s="6" t="s">
        <v>3</v>
      </c>
      <c r="AE2086" s="5"/>
      <c r="AF2086" s="7">
        <v>1</v>
      </c>
      <c r="AG2086" s="6"/>
      <c r="AH2086" s="5"/>
      <c r="AI2086" s="7">
        <v>2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44" t="str">
        <f t="shared" si="38"/>
        <v>FREE_COMPANY</v>
      </c>
      <c r="B2087" s="9" t="s">
        <v>2489</v>
      </c>
      <c r="C2087" s="5"/>
      <c r="D2087" s="5"/>
      <c r="E2087" s="5" t="s">
        <v>2487</v>
      </c>
      <c r="F2087" s="5" t="s">
        <v>2487</v>
      </c>
      <c r="G2087" s="5" t="s">
        <v>2032</v>
      </c>
      <c r="H2087" s="5" t="s">
        <v>2158</v>
      </c>
      <c r="I2087" s="5" t="s">
        <v>1809</v>
      </c>
      <c r="J2087" s="6"/>
      <c r="K2087" s="7">
        <v>1</v>
      </c>
      <c r="L2087" s="13"/>
      <c r="M2087" s="8"/>
      <c r="N2087" s="13"/>
      <c r="O2087" s="13"/>
      <c r="P2087" s="13"/>
      <c r="Q2087" s="7">
        <v>6</v>
      </c>
      <c r="R2087" s="6" t="s">
        <v>1734</v>
      </c>
      <c r="S2087" s="13" t="s">
        <v>22</v>
      </c>
      <c r="T2087" s="6">
        <v>6</v>
      </c>
      <c r="U2087" s="7" t="s">
        <v>1734</v>
      </c>
      <c r="V2087" s="5"/>
      <c r="W2087" s="7" t="s">
        <v>3</v>
      </c>
      <c r="X2087" s="6" t="s">
        <v>3</v>
      </c>
      <c r="Y2087" s="5"/>
      <c r="Z2087" s="7">
        <v>0</v>
      </c>
      <c r="AA2087" s="6"/>
      <c r="AB2087" s="5"/>
      <c r="AC2087" s="6"/>
      <c r="AD2087" s="6" t="s">
        <v>3</v>
      </c>
      <c r="AE2087" s="5"/>
      <c r="AF2087" s="7">
        <v>1</v>
      </c>
      <c r="AG2087" s="6"/>
      <c r="AH2087" s="5"/>
      <c r="AI2087" s="7">
        <v>3</v>
      </c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44" t="str">
        <f t="shared" si="38"/>
        <v>FREE_COMPANY</v>
      </c>
      <c r="B2088" s="9" t="s">
        <v>2489</v>
      </c>
      <c r="C2088" s="5"/>
      <c r="D2088" s="5"/>
      <c r="E2088" s="5" t="s">
        <v>2487</v>
      </c>
      <c r="F2088" s="5" t="s">
        <v>2487</v>
      </c>
      <c r="G2088" s="5"/>
      <c r="H2088" s="5" t="s">
        <v>2159</v>
      </c>
      <c r="I2088" s="5" t="s">
        <v>1809</v>
      </c>
      <c r="J2088" s="6"/>
      <c r="K2088" s="7">
        <v>1</v>
      </c>
      <c r="L2088" s="13"/>
      <c r="M2088" s="8"/>
      <c r="N2088" s="13"/>
      <c r="O2088" s="13"/>
      <c r="P2088" s="13"/>
      <c r="Q2088" s="7">
        <v>0</v>
      </c>
      <c r="R2088" s="6" t="s">
        <v>1734</v>
      </c>
      <c r="S2088" s="13" t="s">
        <v>22</v>
      </c>
      <c r="T2088" s="7">
        <v>5</v>
      </c>
      <c r="U2088" s="7" t="s">
        <v>1734</v>
      </c>
      <c r="V2088" s="5"/>
      <c r="W2088" s="7" t="s">
        <v>3</v>
      </c>
      <c r="X2088" s="6" t="s">
        <v>3</v>
      </c>
      <c r="Y2088" s="5"/>
      <c r="Z2088" s="7">
        <v>0</v>
      </c>
      <c r="AA2088" s="6"/>
      <c r="AB2088" s="5"/>
      <c r="AC2088" s="6"/>
      <c r="AD2088" s="6" t="s">
        <v>3</v>
      </c>
      <c r="AE2088" s="5"/>
      <c r="AF2088" s="7">
        <v>1</v>
      </c>
      <c r="AG2088" s="6"/>
      <c r="AH2088" s="5"/>
      <c r="AI2088" s="7">
        <v>2</v>
      </c>
      <c r="AJ2088" s="6"/>
      <c r="AK2088" s="5"/>
      <c r="AL2088" s="6"/>
      <c r="AM2088" s="6"/>
      <c r="AN2088" s="6"/>
      <c r="AO2088" s="6"/>
      <c r="AP2088" s="6"/>
      <c r="AQ2088" s="6"/>
    </row>
    <row r="2089" spans="1:43" s="2" customFormat="1" x14ac:dyDescent="0.25">
      <c r="A2089" s="44" t="str">
        <f t="shared" si="38"/>
        <v>EE_CARRACK</v>
      </c>
      <c r="B2089" s="9" t="s">
        <v>2488</v>
      </c>
      <c r="C2089" s="5"/>
      <c r="D2089" s="5"/>
      <c r="E2089" s="5" t="s">
        <v>2488</v>
      </c>
      <c r="F2089" s="5" t="s">
        <v>2488</v>
      </c>
      <c r="G2089" s="5"/>
      <c r="H2089" s="5" t="s">
        <v>2056</v>
      </c>
      <c r="I2089" s="5" t="s">
        <v>1976</v>
      </c>
      <c r="J2089" s="6"/>
      <c r="K2089" s="7">
        <v>1</v>
      </c>
      <c r="L2089" s="13" t="s">
        <v>1705</v>
      </c>
      <c r="M2089" s="8"/>
      <c r="N2089" s="13" t="s">
        <v>1724</v>
      </c>
      <c r="O2089" s="13"/>
      <c r="P2089" s="13"/>
      <c r="Q2089" s="7">
        <v>1</v>
      </c>
      <c r="R2089" s="6" t="s">
        <v>1692</v>
      </c>
      <c r="S2089" s="13"/>
      <c r="T2089" s="7">
        <v>3</v>
      </c>
      <c r="U2089" s="7" t="s">
        <v>1734</v>
      </c>
      <c r="V2089" s="5" t="s">
        <v>1693</v>
      </c>
      <c r="W2089" s="6"/>
      <c r="X2089" s="6"/>
      <c r="Y2089" s="5"/>
      <c r="Z2089" s="6">
        <v>1</v>
      </c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s="2" customFormat="1" x14ac:dyDescent="0.25">
      <c r="A2090" s="44" t="str">
        <f t="shared" si="38"/>
        <v>EE_CARRACK_ED</v>
      </c>
      <c r="B2090" s="9" t="s">
        <v>2488</v>
      </c>
      <c r="C2090" s="5"/>
      <c r="D2090" s="5"/>
      <c r="E2090" s="5" t="s">
        <v>2547</v>
      </c>
      <c r="F2090" s="5" t="s">
        <v>2547</v>
      </c>
      <c r="G2090" s="5"/>
      <c r="H2090" s="5" t="s">
        <v>2056</v>
      </c>
      <c r="I2090" s="5" t="s">
        <v>1976</v>
      </c>
      <c r="J2090" s="6"/>
      <c r="K2090" s="7">
        <v>1</v>
      </c>
      <c r="L2090" s="13" t="s">
        <v>1705</v>
      </c>
      <c r="M2090" s="8"/>
      <c r="N2090" s="13" t="s">
        <v>1724</v>
      </c>
      <c r="O2090" s="13"/>
      <c r="P2090" s="13"/>
      <c r="Q2090" s="7">
        <v>1</v>
      </c>
      <c r="R2090" s="6" t="s">
        <v>1692</v>
      </c>
      <c r="S2090" s="13"/>
      <c r="T2090" s="7">
        <v>3</v>
      </c>
      <c r="U2090" s="7" t="s">
        <v>1734</v>
      </c>
      <c r="V2090" s="5" t="s">
        <v>1693</v>
      </c>
      <c r="W2090" s="6"/>
      <c r="X2090" s="6"/>
      <c r="Y2090" s="5"/>
      <c r="Z2090" s="6">
        <v>1</v>
      </c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44" t="str">
        <f t="shared" si="38"/>
        <v>EE_CARRACK_ED_OTTOMAN</v>
      </c>
      <c r="B2091" s="9" t="s">
        <v>2488</v>
      </c>
      <c r="C2091" s="5" t="s">
        <v>1037</v>
      </c>
      <c r="D2091" s="5"/>
      <c r="E2091" s="5" t="s">
        <v>2547</v>
      </c>
      <c r="F2091" s="5" t="s">
        <v>2547</v>
      </c>
      <c r="G2091" s="5"/>
      <c r="H2091" s="5" t="s">
        <v>1973</v>
      </c>
      <c r="I2091" s="5" t="s">
        <v>1976</v>
      </c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44" t="str">
        <f t="shared" si="38"/>
        <v>EE_CARRACK_ED_RUSSIA</v>
      </c>
      <c r="B2092" s="9" t="s">
        <v>2488</v>
      </c>
      <c r="C2092" s="5" t="s">
        <v>735</v>
      </c>
      <c r="D2092" s="5"/>
      <c r="E2092" s="5" t="s">
        <v>2547</v>
      </c>
      <c r="F2092" s="5" t="s">
        <v>2547</v>
      </c>
      <c r="G2092" s="5"/>
      <c r="H2092" s="5" t="s">
        <v>1969</v>
      </c>
      <c r="I2092" s="5" t="s">
        <v>1976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44" t="str">
        <f t="shared" si="38"/>
        <v>EE_CARRACK_ED_ENGLAND</v>
      </c>
      <c r="B2093" s="9" t="s">
        <v>2488</v>
      </c>
      <c r="C2093" s="5" t="s">
        <v>713</v>
      </c>
      <c r="D2093" s="5"/>
      <c r="E2093" s="5" t="s">
        <v>2547</v>
      </c>
      <c r="F2093" s="5" t="s">
        <v>2547</v>
      </c>
      <c r="G2093" s="5"/>
      <c r="H2093" s="5" t="s">
        <v>1970</v>
      </c>
      <c r="I2093" s="5" t="s">
        <v>1976</v>
      </c>
      <c r="J2093" s="6"/>
      <c r="K2093" s="7">
        <v>1</v>
      </c>
      <c r="L2093" s="13"/>
      <c r="M2093" s="8"/>
      <c r="N2093" s="13"/>
      <c r="O2093" s="13"/>
      <c r="P2093" s="13"/>
      <c r="Q2093" s="7"/>
      <c r="R2093" s="6"/>
      <c r="S2093" s="5"/>
      <c r="T2093" s="7"/>
      <c r="U2093" s="7"/>
      <c r="V2093" s="5"/>
      <c r="W2093" s="6"/>
      <c r="X2093" s="6"/>
      <c r="Y2093" s="5"/>
      <c r="Z2093" s="6"/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6"/>
      <c r="AM2093" s="6"/>
      <c r="AN2093" s="6"/>
      <c r="AO2093" s="6"/>
      <c r="AP2093" s="6"/>
      <c r="AQ2093" s="6"/>
    </row>
    <row r="2094" spans="1:43" x14ac:dyDescent="0.25">
      <c r="A2094" s="44" t="str">
        <f t="shared" si="38"/>
        <v>EE_CARRACK_ED_FRANCE</v>
      </c>
      <c r="B2094" s="9" t="s">
        <v>2488</v>
      </c>
      <c r="C2094" s="5" t="s">
        <v>715</v>
      </c>
      <c r="D2094" s="5"/>
      <c r="E2094" s="5" t="s">
        <v>2547</v>
      </c>
      <c r="F2094" s="5" t="s">
        <v>2547</v>
      </c>
      <c r="G2094" s="5"/>
      <c r="H2094" s="5" t="s">
        <v>1971</v>
      </c>
      <c r="I2094" s="5" t="s">
        <v>1976</v>
      </c>
      <c r="J2094" s="6"/>
      <c r="K2094" s="7">
        <v>1</v>
      </c>
      <c r="L2094" s="13"/>
      <c r="M2094" s="8"/>
      <c r="N2094" s="13"/>
      <c r="O2094" s="13"/>
      <c r="P2094" s="13"/>
      <c r="Q2094" s="7"/>
      <c r="R2094" s="6"/>
      <c r="S2094" s="5"/>
      <c r="T2094" s="7"/>
      <c r="U2094" s="7"/>
      <c r="V2094" s="5"/>
      <c r="W2094" s="6"/>
      <c r="X2094" s="6"/>
      <c r="Y2094" s="5"/>
      <c r="Z2094" s="6"/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6"/>
      <c r="AM2094" s="6"/>
      <c r="AN2094" s="6"/>
      <c r="AO2094" s="6"/>
      <c r="AP2094" s="6"/>
      <c r="AQ2094" s="6"/>
    </row>
    <row r="2095" spans="1:43" x14ac:dyDescent="0.25">
      <c r="A2095" s="44" t="str">
        <f t="shared" si="38"/>
        <v>EE_CARRACK_ED_ROME</v>
      </c>
      <c r="B2095" s="9" t="s">
        <v>2488</v>
      </c>
      <c r="C2095" s="5" t="s">
        <v>734</v>
      </c>
      <c r="D2095" s="5"/>
      <c r="E2095" s="5" t="s">
        <v>2547</v>
      </c>
      <c r="F2095" s="5" t="s">
        <v>2547</v>
      </c>
      <c r="G2095" s="5"/>
      <c r="H2095" s="5" t="s">
        <v>1975</v>
      </c>
      <c r="I2095" s="5" t="s">
        <v>1976</v>
      </c>
      <c r="J2095" s="6"/>
      <c r="K2095" s="7">
        <v>1</v>
      </c>
      <c r="L2095" s="13"/>
      <c r="M2095" s="8"/>
      <c r="N2095" s="13"/>
      <c r="O2095" s="13"/>
      <c r="P2095" s="13"/>
      <c r="Q2095" s="7"/>
      <c r="R2095" s="6"/>
      <c r="S2095" s="5"/>
      <c r="T2095" s="7"/>
      <c r="U2095" s="7"/>
      <c r="V2095" s="5"/>
      <c r="W2095" s="6"/>
      <c r="X2095" s="6"/>
      <c r="Y2095" s="5"/>
      <c r="Z2095" s="6"/>
      <c r="AA2095" s="6"/>
      <c r="AB2095" s="5"/>
      <c r="AC2095" s="6"/>
      <c r="AD2095" s="6"/>
      <c r="AE2095" s="5"/>
      <c r="AF2095" s="6"/>
      <c r="AG2095" s="6"/>
      <c r="AH2095" s="5"/>
      <c r="AI2095" s="6"/>
      <c r="AJ2095" s="6"/>
      <c r="AK2095" s="5"/>
      <c r="AL2095" s="6"/>
      <c r="AM2095" s="6"/>
      <c r="AN2095" s="6"/>
      <c r="AO2095" s="6"/>
      <c r="AP2095" s="6"/>
      <c r="AQ2095" s="6"/>
    </row>
    <row r="2096" spans="1:43" x14ac:dyDescent="0.25">
      <c r="A2096" s="44" t="str">
        <f t="shared" si="38"/>
        <v>EE_CARRACK_ED_NORTHAF</v>
      </c>
      <c r="B2096" s="9" t="s">
        <v>2488</v>
      </c>
      <c r="C2096" s="5" t="s">
        <v>2003</v>
      </c>
      <c r="D2096" s="5"/>
      <c r="E2096" s="5" t="s">
        <v>2547</v>
      </c>
      <c r="F2096" s="5" t="s">
        <v>2547</v>
      </c>
      <c r="G2096" s="5"/>
      <c r="H2096" s="5" t="s">
        <v>1972</v>
      </c>
      <c r="I2096" s="5" t="s">
        <v>1976</v>
      </c>
      <c r="J2096" s="6"/>
      <c r="K2096" s="7">
        <v>1</v>
      </c>
      <c r="L2096" s="13"/>
      <c r="M2096" s="8"/>
      <c r="N2096" s="13"/>
      <c r="O2096" s="13"/>
      <c r="P2096" s="13"/>
      <c r="Q2096" s="7"/>
      <c r="R2096" s="6"/>
      <c r="S2096" s="5"/>
      <c r="T2096" s="7"/>
      <c r="U2096" s="7"/>
      <c r="V2096" s="5"/>
      <c r="W2096" s="6"/>
      <c r="X2096" s="6"/>
      <c r="Y2096" s="5"/>
      <c r="Z2096" s="6"/>
      <c r="AA2096" s="6"/>
      <c r="AB2096" s="5"/>
      <c r="AC2096" s="6"/>
      <c r="AD2096" s="6"/>
      <c r="AE2096" s="5"/>
      <c r="AF2096" s="6"/>
      <c r="AG2096" s="6"/>
      <c r="AH2096" s="5"/>
      <c r="AI2096" s="6"/>
      <c r="AJ2096" s="6"/>
      <c r="AK2096" s="5"/>
      <c r="AL2096" s="6"/>
      <c r="AM2096" s="6"/>
      <c r="AN2096" s="6"/>
      <c r="AO2096" s="6"/>
      <c r="AP2096" s="6"/>
      <c r="AQ2096" s="6"/>
    </row>
    <row r="2097" spans="1:43" x14ac:dyDescent="0.25">
      <c r="A2097" s="44" t="str">
        <f t="shared" si="38"/>
        <v>EE_CARRACK_ED_SWEDEN</v>
      </c>
      <c r="B2097" s="9" t="s">
        <v>2488</v>
      </c>
      <c r="C2097" s="5" t="s">
        <v>739</v>
      </c>
      <c r="D2097" s="5"/>
      <c r="E2097" s="5" t="s">
        <v>2547</v>
      </c>
      <c r="F2097" s="5" t="s">
        <v>2547</v>
      </c>
      <c r="G2097" s="5"/>
      <c r="H2097" s="5" t="s">
        <v>1974</v>
      </c>
      <c r="I2097" s="5" t="s">
        <v>1976</v>
      </c>
      <c r="J2097" s="6"/>
      <c r="K2097" s="7">
        <v>1</v>
      </c>
      <c r="L2097" s="13"/>
      <c r="M2097" s="8"/>
      <c r="N2097" s="13"/>
      <c r="O2097" s="13"/>
      <c r="P2097" s="13"/>
      <c r="Q2097" s="7"/>
      <c r="R2097" s="6"/>
      <c r="S2097" s="5"/>
      <c r="T2097" s="7"/>
      <c r="U2097" s="7"/>
      <c r="V2097" s="5"/>
      <c r="W2097" s="6"/>
      <c r="X2097" s="6"/>
      <c r="Y2097" s="5"/>
      <c r="Z2097" s="6"/>
      <c r="AA2097" s="6"/>
      <c r="AB2097" s="5"/>
      <c r="AC2097" s="6"/>
      <c r="AD2097" s="6"/>
      <c r="AE2097" s="5"/>
      <c r="AF2097" s="6"/>
      <c r="AG2097" s="6"/>
      <c r="AH2097" s="5"/>
      <c r="AI2097" s="6"/>
      <c r="AJ2097" s="6"/>
      <c r="AK2097" s="5"/>
      <c r="AL2097" s="6"/>
      <c r="AM2097" s="6"/>
      <c r="AN2097" s="6"/>
      <c r="AO2097" s="6"/>
      <c r="AP2097" s="6"/>
      <c r="AQ2097" s="6"/>
    </row>
    <row r="2098" spans="1:43" x14ac:dyDescent="0.25">
      <c r="A2098" s="44" t="str">
        <f t="shared" si="38"/>
        <v>EE_CRUISER</v>
      </c>
      <c r="B2098" s="9" t="s">
        <v>2494</v>
      </c>
      <c r="C2098" s="5"/>
      <c r="D2098" s="5"/>
      <c r="E2098" s="5" t="s">
        <v>2494</v>
      </c>
      <c r="F2098" s="5" t="s">
        <v>2494</v>
      </c>
      <c r="G2098" s="5"/>
      <c r="H2098" s="5" t="s">
        <v>2168</v>
      </c>
      <c r="I2098" s="5" t="s">
        <v>1928</v>
      </c>
      <c r="J2098" s="6"/>
      <c r="K2098" s="7">
        <v>1</v>
      </c>
      <c r="L2098" s="13"/>
      <c r="M2098" s="8"/>
      <c r="N2098" s="13"/>
      <c r="O2098" s="13"/>
      <c r="P2098" s="13"/>
      <c r="Q2098" s="7">
        <v>1</v>
      </c>
      <c r="R2098" s="6">
        <v>0.08</v>
      </c>
      <c r="S2098" s="5"/>
      <c r="T2098" s="7"/>
      <c r="U2098" s="7">
        <v>6.5000000000000002E-2</v>
      </c>
      <c r="V2098" s="5"/>
      <c r="W2098" s="6"/>
      <c r="X2098" s="6"/>
      <c r="Y2098" s="5"/>
      <c r="Z2098" s="6"/>
      <c r="AA2098" s="6"/>
      <c r="AB2098" s="5"/>
      <c r="AC2098" s="6"/>
      <c r="AD2098" s="6"/>
      <c r="AE2098" s="5"/>
      <c r="AF2098" s="6"/>
      <c r="AG2098" s="6"/>
      <c r="AH2098" s="5"/>
      <c r="AI2098" s="6"/>
      <c r="AJ2098" s="6"/>
      <c r="AK2098" s="5"/>
      <c r="AL2098" s="6"/>
      <c r="AM2098" s="6"/>
      <c r="AN2098" s="6"/>
      <c r="AO2098" s="6"/>
      <c r="AP2098" s="6"/>
      <c r="AQ2098" s="6"/>
    </row>
    <row r="2099" spans="1:43" x14ac:dyDescent="0.25">
      <c r="A2099" s="44" t="str">
        <f t="shared" si="38"/>
        <v>EE_CUIRASSIER</v>
      </c>
      <c r="B2099" s="9" t="s">
        <v>2068</v>
      </c>
      <c r="C2099" s="5"/>
      <c r="D2099" s="5"/>
      <c r="E2099" s="5" t="s">
        <v>2068</v>
      </c>
      <c r="F2099" s="5" t="s">
        <v>2068</v>
      </c>
      <c r="G2099" s="5"/>
      <c r="H2099" s="5" t="s">
        <v>339</v>
      </c>
      <c r="I2099" s="5" t="s">
        <v>122</v>
      </c>
      <c r="J2099" s="6"/>
      <c r="K2099" s="7">
        <v>1</v>
      </c>
      <c r="L2099" s="13"/>
      <c r="M2099" s="8"/>
      <c r="N2099" s="13"/>
      <c r="O2099" s="13"/>
      <c r="P2099" s="13"/>
      <c r="Q2099" s="7" t="s">
        <v>1692</v>
      </c>
      <c r="R2099" s="6" t="s">
        <v>1692</v>
      </c>
      <c r="S2099" s="13" t="s">
        <v>1692</v>
      </c>
      <c r="T2099" s="6" t="s">
        <v>1692</v>
      </c>
      <c r="U2099" s="7" t="s">
        <v>1692</v>
      </c>
      <c r="V2099" s="5" t="s">
        <v>1698</v>
      </c>
      <c r="W2099" s="6" t="s">
        <v>3</v>
      </c>
      <c r="X2099" s="6" t="s">
        <v>3</v>
      </c>
      <c r="Y2099" s="5"/>
      <c r="Z2099" s="7">
        <v>1</v>
      </c>
      <c r="AA2099" s="6"/>
      <c r="AB2099" s="5"/>
      <c r="AC2099" s="6"/>
      <c r="AD2099" s="6" t="s">
        <v>3</v>
      </c>
      <c r="AE2099" s="5"/>
      <c r="AF2099" s="7" t="s">
        <v>1692</v>
      </c>
      <c r="AG2099" s="6"/>
      <c r="AH2099" s="5"/>
      <c r="AI2099" s="6"/>
      <c r="AJ2099" s="6"/>
      <c r="AK2099" s="5"/>
      <c r="AL2099" s="6"/>
      <c r="AM2099" s="6"/>
      <c r="AN2099" s="6"/>
      <c r="AO2099" s="6"/>
      <c r="AP2099" s="6"/>
      <c r="AQ2099" s="6"/>
    </row>
    <row r="2100" spans="1:43" x14ac:dyDescent="0.25">
      <c r="A2100" s="44" t="str">
        <f t="shared" si="38"/>
        <v>EE_CUIRASSIER_ED</v>
      </c>
      <c r="B2100" s="9" t="s">
        <v>2068</v>
      </c>
      <c r="C2100" s="5"/>
      <c r="D2100" s="5"/>
      <c r="E2100" s="5" t="s">
        <v>2546</v>
      </c>
      <c r="F2100" s="5" t="s">
        <v>2546</v>
      </c>
      <c r="G2100" s="5"/>
      <c r="H2100" s="5" t="s">
        <v>2070</v>
      </c>
      <c r="I2100" s="5" t="s">
        <v>2069</v>
      </c>
      <c r="J2100" s="6"/>
      <c r="K2100" s="7">
        <v>1</v>
      </c>
      <c r="L2100" s="13"/>
      <c r="M2100" s="8"/>
      <c r="N2100" s="13"/>
      <c r="O2100" s="13"/>
      <c r="P2100" s="13"/>
      <c r="Q2100" s="7" t="s">
        <v>1692</v>
      </c>
      <c r="R2100" s="6" t="s">
        <v>1692</v>
      </c>
      <c r="S2100" s="13" t="s">
        <v>1692</v>
      </c>
      <c r="T2100" s="6" t="s">
        <v>1692</v>
      </c>
      <c r="U2100" s="7" t="s">
        <v>1692</v>
      </c>
      <c r="V2100" s="5" t="s">
        <v>1698</v>
      </c>
      <c r="W2100" s="6" t="s">
        <v>3</v>
      </c>
      <c r="X2100" s="6" t="s">
        <v>3</v>
      </c>
      <c r="Y2100" s="5"/>
      <c r="Z2100" s="7">
        <v>1</v>
      </c>
      <c r="AA2100" s="6"/>
      <c r="AB2100" s="5"/>
      <c r="AC2100" s="6"/>
      <c r="AD2100" s="6" t="s">
        <v>3</v>
      </c>
      <c r="AE2100" s="5"/>
      <c r="AF2100" s="7" t="s">
        <v>1692</v>
      </c>
      <c r="AG2100" s="6"/>
      <c r="AH2100" s="5"/>
      <c r="AI2100" s="6"/>
      <c r="AJ2100" s="6"/>
      <c r="AK2100" s="5"/>
      <c r="AL2100" s="6"/>
      <c r="AM2100" s="6"/>
      <c r="AN2100" s="6"/>
      <c r="AO2100" s="6"/>
      <c r="AP2100" s="6"/>
      <c r="AQ2100" s="6"/>
    </row>
    <row r="2101" spans="1:43" x14ac:dyDescent="0.25">
      <c r="A2101" s="44" t="str">
        <f t="shared" si="38"/>
        <v>EE_EXPLORER</v>
      </c>
      <c r="B2101" s="9" t="s">
        <v>2490</v>
      </c>
      <c r="C2101" s="5"/>
      <c r="D2101" s="5"/>
      <c r="E2101" s="5" t="s">
        <v>2490</v>
      </c>
      <c r="F2101" s="5" t="s">
        <v>2490</v>
      </c>
      <c r="G2101" s="5" t="s">
        <v>1963</v>
      </c>
      <c r="H2101" s="5" t="s">
        <v>2164</v>
      </c>
      <c r="I2101" s="5" t="s">
        <v>2378</v>
      </c>
      <c r="J2101" s="6"/>
      <c r="K2101" s="7">
        <v>1</v>
      </c>
      <c r="L2101" s="13"/>
      <c r="M2101" s="8"/>
      <c r="N2101" s="13"/>
      <c r="O2101" s="13"/>
      <c r="P2101" s="13"/>
      <c r="Q2101" s="7">
        <v>2</v>
      </c>
      <c r="R2101" s="6" t="s">
        <v>1734</v>
      </c>
      <c r="S2101" s="13" t="s">
        <v>20</v>
      </c>
      <c r="T2101" s="6"/>
      <c r="U2101" s="6">
        <v>0.08</v>
      </c>
      <c r="V2101" s="5"/>
      <c r="W2101" s="6" t="s">
        <v>3</v>
      </c>
      <c r="X2101" s="6" t="s">
        <v>3</v>
      </c>
      <c r="Y2101" s="5"/>
      <c r="Z2101" s="6">
        <v>1</v>
      </c>
      <c r="AA2101" s="6"/>
      <c r="AB2101" s="5"/>
      <c r="AC2101" s="6"/>
      <c r="AD2101" s="6" t="s">
        <v>3</v>
      </c>
      <c r="AE2101" s="5"/>
      <c r="AF2101" s="6">
        <v>1</v>
      </c>
      <c r="AG2101" s="6"/>
      <c r="AH2101" s="5"/>
      <c r="AI2101" s="6">
        <v>1</v>
      </c>
      <c r="AJ2101" s="6"/>
      <c r="AK2101" s="5"/>
      <c r="AL2101" s="6"/>
      <c r="AM2101" s="6"/>
      <c r="AN2101" s="6"/>
      <c r="AO2101" s="6"/>
      <c r="AP2101" s="6"/>
      <c r="AQ2101" s="6"/>
    </row>
    <row r="2102" spans="1:43" x14ac:dyDescent="0.25">
      <c r="A2102" s="44" t="str">
        <f t="shared" si="38"/>
        <v>EE_EXPLORER</v>
      </c>
      <c r="B2102" s="9" t="s">
        <v>2490</v>
      </c>
      <c r="C2102" s="5"/>
      <c r="D2102" s="5"/>
      <c r="E2102" s="5" t="s">
        <v>2490</v>
      </c>
      <c r="F2102" s="5" t="s">
        <v>2490</v>
      </c>
      <c r="G2102" s="5" t="s">
        <v>2161</v>
      </c>
      <c r="H2102" s="5" t="s">
        <v>2165</v>
      </c>
      <c r="I2102" s="5" t="s">
        <v>2378</v>
      </c>
      <c r="J2102" s="6"/>
      <c r="K2102" s="7">
        <v>1</v>
      </c>
      <c r="L2102" s="13"/>
      <c r="M2102" s="8"/>
      <c r="N2102" s="13"/>
      <c r="O2102" s="13"/>
      <c r="P2102" s="13"/>
      <c r="Q2102" s="7">
        <v>1</v>
      </c>
      <c r="R2102" s="6" t="s">
        <v>1734</v>
      </c>
      <c r="S2102" s="13" t="s">
        <v>20</v>
      </c>
      <c r="T2102" s="6"/>
      <c r="U2102" s="6">
        <v>0.08</v>
      </c>
      <c r="V2102" s="5"/>
      <c r="W2102" s="6" t="s">
        <v>3</v>
      </c>
      <c r="X2102" s="6" t="s">
        <v>3</v>
      </c>
      <c r="Y2102" s="5"/>
      <c r="Z2102" s="6">
        <v>0</v>
      </c>
      <c r="AA2102" s="6"/>
      <c r="AB2102" s="5"/>
      <c r="AC2102" s="6"/>
      <c r="AD2102" s="6" t="s">
        <v>3</v>
      </c>
      <c r="AE2102" s="5"/>
      <c r="AF2102" s="6">
        <v>1</v>
      </c>
      <c r="AG2102" s="6"/>
      <c r="AH2102" s="5"/>
      <c r="AI2102" s="6">
        <v>2</v>
      </c>
      <c r="AJ2102" s="6"/>
      <c r="AK2102" s="5"/>
      <c r="AL2102" s="6"/>
      <c r="AM2102" s="6"/>
      <c r="AN2102" s="6"/>
      <c r="AO2102" s="6"/>
      <c r="AP2102" s="6"/>
      <c r="AQ2102" s="6"/>
    </row>
    <row r="2103" spans="1:43" x14ac:dyDescent="0.25">
      <c r="A2103" s="44" t="str">
        <f t="shared" si="38"/>
        <v>EE_EXPLORER</v>
      </c>
      <c r="B2103" s="9" t="s">
        <v>2490</v>
      </c>
      <c r="C2103" s="5"/>
      <c r="D2103" s="5"/>
      <c r="E2103" s="5" t="s">
        <v>2490</v>
      </c>
      <c r="F2103" s="5" t="s">
        <v>2490</v>
      </c>
      <c r="G2103" s="5" t="s">
        <v>2162</v>
      </c>
      <c r="H2103" s="5" t="s">
        <v>2166</v>
      </c>
      <c r="I2103" s="5" t="s">
        <v>2378</v>
      </c>
      <c r="J2103" s="6"/>
      <c r="K2103" s="7">
        <v>1</v>
      </c>
      <c r="L2103" s="13"/>
      <c r="M2103" s="8"/>
      <c r="N2103" s="13"/>
      <c r="O2103" s="13"/>
      <c r="P2103" s="13"/>
      <c r="Q2103" s="7">
        <v>2</v>
      </c>
      <c r="R2103" s="6" t="s">
        <v>1734</v>
      </c>
      <c r="S2103" s="13" t="s">
        <v>20</v>
      </c>
      <c r="T2103" s="6"/>
      <c r="U2103" s="6">
        <v>0.08</v>
      </c>
      <c r="V2103" s="5"/>
      <c r="W2103" s="6" t="s">
        <v>3</v>
      </c>
      <c r="X2103" s="6" t="s">
        <v>3</v>
      </c>
      <c r="Y2103" s="5"/>
      <c r="Z2103" s="6">
        <v>0</v>
      </c>
      <c r="AA2103" s="6"/>
      <c r="AB2103" s="5"/>
      <c r="AC2103" s="6"/>
      <c r="AD2103" s="6" t="s">
        <v>3</v>
      </c>
      <c r="AE2103" s="5"/>
      <c r="AF2103" s="6">
        <v>0</v>
      </c>
      <c r="AG2103" s="6"/>
      <c r="AH2103" s="5"/>
      <c r="AI2103" s="6">
        <v>1</v>
      </c>
      <c r="AJ2103" s="6"/>
      <c r="AK2103" s="5"/>
      <c r="AL2103" s="6"/>
      <c r="AM2103" s="6"/>
      <c r="AN2103" s="6"/>
      <c r="AO2103" s="6"/>
      <c r="AP2103" s="6"/>
      <c r="AQ2103" s="6"/>
    </row>
    <row r="2104" spans="1:43" x14ac:dyDescent="0.25">
      <c r="A2104" s="44" t="str">
        <f t="shared" si="38"/>
        <v>EE_EXPLORER</v>
      </c>
      <c r="B2104" s="9" t="s">
        <v>2490</v>
      </c>
      <c r="C2104" s="5"/>
      <c r="D2104" s="5"/>
      <c r="E2104" s="5" t="s">
        <v>2490</v>
      </c>
      <c r="F2104" s="5" t="s">
        <v>2490</v>
      </c>
      <c r="G2104" s="5" t="s">
        <v>2163</v>
      </c>
      <c r="H2104" s="5" t="s">
        <v>2167</v>
      </c>
      <c r="I2104" s="5" t="s">
        <v>2378</v>
      </c>
      <c r="J2104" s="6"/>
      <c r="K2104" s="7">
        <v>1</v>
      </c>
      <c r="L2104" s="13"/>
      <c r="M2104" s="8"/>
      <c r="N2104" s="13"/>
      <c r="O2104" s="13"/>
      <c r="P2104" s="13"/>
      <c r="Q2104" s="7">
        <v>1</v>
      </c>
      <c r="R2104" s="6" t="s">
        <v>1734</v>
      </c>
      <c r="S2104" s="13" t="s">
        <v>20</v>
      </c>
      <c r="T2104" s="6"/>
      <c r="U2104" s="6">
        <v>0.08</v>
      </c>
      <c r="V2104" s="5"/>
      <c r="W2104" s="6" t="s">
        <v>3</v>
      </c>
      <c r="X2104" s="6" t="s">
        <v>3</v>
      </c>
      <c r="Y2104" s="5"/>
      <c r="Z2104" s="6">
        <v>0</v>
      </c>
      <c r="AA2104" s="6"/>
      <c r="AB2104" s="5"/>
      <c r="AC2104" s="6"/>
      <c r="AD2104" s="6" t="s">
        <v>3</v>
      </c>
      <c r="AE2104" s="5"/>
      <c r="AF2104" s="6">
        <v>0</v>
      </c>
      <c r="AG2104" s="6"/>
      <c r="AH2104" s="5"/>
      <c r="AI2104" s="6">
        <v>1</v>
      </c>
      <c r="AJ2104" s="6"/>
      <c r="AK2104" s="5"/>
      <c r="AL2104" s="6"/>
      <c r="AM2104" s="6"/>
      <c r="AN2104" s="6"/>
      <c r="AO2104" s="6"/>
      <c r="AP2104" s="6"/>
      <c r="AQ2104" s="6"/>
    </row>
    <row r="2105" spans="1:43" x14ac:dyDescent="0.25">
      <c r="A2105" s="44" t="str">
        <f t="shared" si="38"/>
        <v>EE_FIELD_GUN</v>
      </c>
      <c r="B2105" s="9" t="s">
        <v>2060</v>
      </c>
      <c r="C2105" s="5"/>
      <c r="D2105" s="5"/>
      <c r="E2105" s="5" t="s">
        <v>2060</v>
      </c>
      <c r="F2105" s="5" t="s">
        <v>2060</v>
      </c>
      <c r="G2105" s="5"/>
      <c r="H2105" s="5" t="s">
        <v>337</v>
      </c>
      <c r="I2105" s="5" t="s">
        <v>1059</v>
      </c>
      <c r="J2105" s="6"/>
      <c r="K2105" s="7">
        <v>1</v>
      </c>
      <c r="L2105" s="13"/>
      <c r="M2105" s="8"/>
      <c r="N2105" s="13"/>
      <c r="O2105" s="13"/>
      <c r="P2105" s="13"/>
      <c r="Q2105" s="7">
        <v>3</v>
      </c>
      <c r="R2105" s="6" t="s">
        <v>1692</v>
      </c>
      <c r="S2105" s="5" t="s">
        <v>1608</v>
      </c>
      <c r="T2105" s="7"/>
      <c r="U2105" s="7" t="s">
        <v>1734</v>
      </c>
      <c r="V2105" s="5" t="s">
        <v>1694</v>
      </c>
      <c r="W2105" s="6" t="s">
        <v>3</v>
      </c>
      <c r="X2105" s="6" t="s">
        <v>3</v>
      </c>
      <c r="Y2105" s="5"/>
      <c r="Z2105" s="6">
        <v>1</v>
      </c>
      <c r="AA2105" s="6"/>
      <c r="AB2105" s="5"/>
      <c r="AC2105" s="6"/>
      <c r="AD2105" s="6" t="s">
        <v>3</v>
      </c>
      <c r="AE2105" s="5"/>
      <c r="AF2105" s="6">
        <v>3</v>
      </c>
      <c r="AG2105" s="6"/>
      <c r="AH2105" s="5"/>
      <c r="AI2105" s="6">
        <v>7</v>
      </c>
      <c r="AJ2105" s="6"/>
      <c r="AK2105" s="5"/>
      <c r="AL2105" s="6"/>
      <c r="AM2105" s="6"/>
      <c r="AN2105" s="6"/>
      <c r="AO2105" s="6"/>
      <c r="AP2105" s="6"/>
      <c r="AQ2105" s="6"/>
    </row>
    <row r="2106" spans="1:43" x14ac:dyDescent="0.25">
      <c r="A2106" s="44" t="str">
        <f t="shared" si="38"/>
        <v>EE_FIELD_GUN_ED</v>
      </c>
      <c r="B2106" s="9" t="s">
        <v>2060</v>
      </c>
      <c r="C2106" s="5"/>
      <c r="D2106" s="5"/>
      <c r="E2106" s="5" t="s">
        <v>2549</v>
      </c>
      <c r="F2106" s="5" t="s">
        <v>2549</v>
      </c>
      <c r="G2106" s="5"/>
      <c r="H2106" s="5" t="s">
        <v>337</v>
      </c>
      <c r="I2106" s="5" t="s">
        <v>1059</v>
      </c>
      <c r="J2106" s="6"/>
      <c r="K2106" s="7">
        <v>1</v>
      </c>
      <c r="L2106" s="13"/>
      <c r="M2106" s="8"/>
      <c r="N2106" s="13"/>
      <c r="O2106" s="13"/>
      <c r="P2106" s="13"/>
      <c r="Q2106" s="7">
        <v>3</v>
      </c>
      <c r="R2106" s="6" t="s">
        <v>1692</v>
      </c>
      <c r="S2106" s="5" t="s">
        <v>1608</v>
      </c>
      <c r="T2106" s="7"/>
      <c r="U2106" s="7" t="s">
        <v>1734</v>
      </c>
      <c r="V2106" s="5" t="s">
        <v>1694</v>
      </c>
      <c r="W2106" s="6" t="s">
        <v>3</v>
      </c>
      <c r="X2106" s="6" t="s">
        <v>3</v>
      </c>
      <c r="Y2106" s="5"/>
      <c r="Z2106" s="6">
        <v>1</v>
      </c>
      <c r="AA2106" s="6"/>
      <c r="AB2106" s="5"/>
      <c r="AC2106" s="6"/>
      <c r="AD2106" s="6" t="s">
        <v>3</v>
      </c>
      <c r="AE2106" s="5"/>
      <c r="AF2106" s="6">
        <v>3</v>
      </c>
      <c r="AG2106" s="6"/>
      <c r="AH2106" s="5"/>
      <c r="AI2106" s="6">
        <v>7</v>
      </c>
      <c r="AJ2106" s="6"/>
      <c r="AK2106" s="5"/>
      <c r="AL2106" s="6"/>
      <c r="AM2106" s="6"/>
      <c r="AN2106" s="6"/>
      <c r="AO2106" s="6"/>
      <c r="AP2106" s="6"/>
      <c r="AQ2106" s="6"/>
    </row>
    <row r="2107" spans="1:43" x14ac:dyDescent="0.25">
      <c r="A2107" s="44" t="str">
        <f t="shared" ref="A2107:A2110" si="39">CONCATENATE(E2107,IF(ISBLANK(C2107),"",CONCATENATE("_",C2107)))</f>
        <v>EE_FIELD_GUN_ED_AUSTRALIA</v>
      </c>
      <c r="B2107" s="9" t="s">
        <v>2060</v>
      </c>
      <c r="C2107" s="5" t="s">
        <v>1300</v>
      </c>
      <c r="D2107" s="5" t="s">
        <v>713</v>
      </c>
      <c r="E2107" s="5" t="s">
        <v>2549</v>
      </c>
      <c r="F2107" s="5" t="s">
        <v>2549</v>
      </c>
      <c r="G2107" s="5"/>
      <c r="H2107" s="5"/>
      <c r="I2107" s="5"/>
      <c r="J2107" s="6"/>
      <c r="K2107" s="7">
        <v>1</v>
      </c>
      <c r="L2107" s="13"/>
      <c r="M2107" s="8"/>
      <c r="N2107" s="13"/>
      <c r="O2107" s="13"/>
      <c r="P2107" s="13"/>
      <c r="Q2107" s="7"/>
      <c r="R2107" s="6"/>
      <c r="S2107" s="5"/>
      <c r="T2107" s="7"/>
      <c r="U2107" s="7"/>
      <c r="V2107" s="5"/>
      <c r="W2107" s="6"/>
      <c r="X2107" s="6"/>
      <c r="Y2107" s="5"/>
      <c r="Z2107" s="6"/>
      <c r="AA2107" s="6"/>
      <c r="AB2107" s="5"/>
      <c r="AC2107" s="6"/>
      <c r="AD2107" s="6"/>
      <c r="AE2107" s="5"/>
      <c r="AF2107" s="6"/>
      <c r="AG2107" s="6"/>
      <c r="AH2107" s="5"/>
      <c r="AI2107" s="6"/>
      <c r="AJ2107" s="6"/>
      <c r="AK2107" s="5"/>
      <c r="AL2107" s="6"/>
      <c r="AM2107" s="6"/>
      <c r="AN2107" s="6"/>
      <c r="AO2107" s="6"/>
      <c r="AP2107" s="6"/>
      <c r="AQ2107" s="6"/>
    </row>
    <row r="2108" spans="1:43" x14ac:dyDescent="0.25">
      <c r="A2108" s="44" t="str">
        <f t="shared" si="39"/>
        <v>EE_FIELD_GUN_ED_CANADA</v>
      </c>
      <c r="B2108" s="9" t="s">
        <v>2060</v>
      </c>
      <c r="C2108" s="5" t="s">
        <v>2187</v>
      </c>
      <c r="D2108" s="5" t="s">
        <v>713</v>
      </c>
      <c r="E2108" s="5" t="s">
        <v>2549</v>
      </c>
      <c r="F2108" s="5" t="s">
        <v>2549</v>
      </c>
      <c r="G2108" s="5"/>
      <c r="H2108" s="5"/>
      <c r="I2108" s="5"/>
      <c r="J2108" s="6"/>
      <c r="K2108" s="7">
        <v>1</v>
      </c>
      <c r="L2108" s="13"/>
      <c r="M2108" s="8"/>
      <c r="N2108" s="13"/>
      <c r="O2108" s="13"/>
      <c r="P2108" s="13"/>
      <c r="Q2108" s="7"/>
      <c r="R2108" s="6"/>
      <c r="S2108" s="5"/>
      <c r="T2108" s="7"/>
      <c r="U2108" s="7"/>
      <c r="V2108" s="5"/>
      <c r="W2108" s="6"/>
      <c r="X2108" s="6"/>
      <c r="Y2108" s="5"/>
      <c r="Z2108" s="6"/>
      <c r="AA2108" s="6"/>
      <c r="AB2108" s="5"/>
      <c r="AC2108" s="6"/>
      <c r="AD2108" s="6"/>
      <c r="AE2108" s="5"/>
      <c r="AF2108" s="6"/>
      <c r="AG2108" s="6"/>
      <c r="AH2108" s="5"/>
      <c r="AI2108" s="6"/>
      <c r="AJ2108" s="6"/>
      <c r="AK2108" s="5"/>
      <c r="AL2108" s="6"/>
      <c r="AM2108" s="6"/>
      <c r="AN2108" s="6"/>
      <c r="AO2108" s="6"/>
      <c r="AP2108" s="6"/>
      <c r="AQ2108" s="6"/>
    </row>
    <row r="2109" spans="1:43" x14ac:dyDescent="0.25">
      <c r="A2109" s="44" t="str">
        <f t="shared" si="39"/>
        <v>EE_FIELD_GUN_ED_CELTS</v>
      </c>
      <c r="B2109" s="9" t="s">
        <v>2060</v>
      </c>
      <c r="C2109" s="5" t="s">
        <v>709</v>
      </c>
      <c r="D2109" s="5" t="s">
        <v>713</v>
      </c>
      <c r="E2109" s="5" t="s">
        <v>2549</v>
      </c>
      <c r="F2109" s="5" t="s">
        <v>2549</v>
      </c>
      <c r="G2109" s="5"/>
      <c r="H2109" s="5"/>
      <c r="I2109" s="5"/>
      <c r="J2109" s="6"/>
      <c r="K2109" s="7">
        <v>1</v>
      </c>
      <c r="L2109" s="13"/>
      <c r="M2109" s="8"/>
      <c r="N2109" s="13"/>
      <c r="O2109" s="13"/>
      <c r="P2109" s="13"/>
      <c r="Q2109" s="7"/>
      <c r="R2109" s="6"/>
      <c r="S2109" s="5"/>
      <c r="T2109" s="7"/>
      <c r="U2109" s="7"/>
      <c r="V2109" s="5"/>
      <c r="W2109" s="6"/>
      <c r="X2109" s="6"/>
      <c r="Y2109" s="5"/>
      <c r="Z2109" s="6"/>
      <c r="AA2109" s="6"/>
      <c r="AB2109" s="5"/>
      <c r="AC2109" s="6"/>
      <c r="AD2109" s="6"/>
      <c r="AE2109" s="5"/>
      <c r="AF2109" s="6"/>
      <c r="AG2109" s="6"/>
      <c r="AH2109" s="5"/>
      <c r="AI2109" s="6"/>
      <c r="AJ2109" s="6"/>
      <c r="AK2109" s="5"/>
      <c r="AL2109" s="6"/>
      <c r="AM2109" s="6"/>
      <c r="AN2109" s="6"/>
      <c r="AO2109" s="6"/>
      <c r="AP2109" s="6"/>
      <c r="AQ2109" s="6"/>
    </row>
    <row r="2110" spans="1:43" x14ac:dyDescent="0.25">
      <c r="A2110" s="44" t="str">
        <f t="shared" si="39"/>
        <v>EE_FIELD_GUN_ED_ENGLAND</v>
      </c>
      <c r="B2110" s="9" t="s">
        <v>2060</v>
      </c>
      <c r="C2110" s="5" t="s">
        <v>713</v>
      </c>
      <c r="D2110" s="5"/>
      <c r="E2110" s="5" t="s">
        <v>2549</v>
      </c>
      <c r="F2110" s="5" t="s">
        <v>2549</v>
      </c>
      <c r="G2110" s="5"/>
      <c r="H2110" s="5" t="s">
        <v>2061</v>
      </c>
      <c r="I2110" s="5" t="s">
        <v>966</v>
      </c>
      <c r="J2110" s="6"/>
      <c r="K2110" s="7">
        <v>1</v>
      </c>
      <c r="L2110" s="13"/>
      <c r="M2110" s="8"/>
      <c r="N2110" s="13"/>
      <c r="O2110" s="13"/>
      <c r="P2110" s="13"/>
      <c r="Q2110" s="7"/>
      <c r="R2110" s="6"/>
      <c r="S2110" s="5"/>
      <c r="T2110" s="7"/>
      <c r="U2110" s="7"/>
      <c r="V2110" s="5"/>
      <c r="W2110" s="6"/>
      <c r="X2110" s="6"/>
      <c r="Y2110" s="5"/>
      <c r="Z2110" s="6"/>
      <c r="AA2110" s="6"/>
      <c r="AB2110" s="5"/>
      <c r="AC2110" s="6"/>
      <c r="AD2110" s="6"/>
      <c r="AE2110" s="5"/>
      <c r="AF2110" s="6"/>
      <c r="AG2110" s="6"/>
      <c r="AH2110" s="5"/>
      <c r="AI2110" s="6"/>
      <c r="AJ2110" s="6"/>
      <c r="AK2110" s="5"/>
      <c r="AL2110" s="6"/>
      <c r="AM2110" s="6"/>
      <c r="AN2110" s="6"/>
      <c r="AO2110" s="6"/>
      <c r="AP2110" s="6"/>
      <c r="AQ2110" s="6"/>
    </row>
    <row r="2111" spans="1:43" x14ac:dyDescent="0.25">
      <c r="A2111" s="44" t="str">
        <f t="shared" ref="A2111:A2174" si="40">CONCATENATE(E2111,IF(ISBLANK(C2111),"",CONCATENATE("_",C2111)))</f>
        <v>EE_GALLEON_DUMMY</v>
      </c>
      <c r="B2111" s="9" t="s">
        <v>2491</v>
      </c>
      <c r="C2111" s="5"/>
      <c r="D2111" s="5"/>
      <c r="E2111" s="5" t="s">
        <v>2716</v>
      </c>
      <c r="F2111" s="5" t="s">
        <v>2716</v>
      </c>
      <c r="G2111" s="5"/>
      <c r="H2111" s="5" t="s">
        <v>1655</v>
      </c>
      <c r="I2111" s="5" t="s">
        <v>128</v>
      </c>
      <c r="J2111" s="6"/>
      <c r="K2111" s="7">
        <v>1</v>
      </c>
      <c r="L2111" s="13" t="s">
        <v>1709</v>
      </c>
      <c r="M2111" s="8"/>
      <c r="N2111" s="13" t="s">
        <v>1724</v>
      </c>
      <c r="O2111" s="13"/>
      <c r="P2111" s="13"/>
      <c r="Q2111" s="7">
        <v>1</v>
      </c>
      <c r="R2111" s="6">
        <v>0.16</v>
      </c>
      <c r="S2111" s="13"/>
      <c r="T2111" s="7">
        <v>2</v>
      </c>
      <c r="U2111" s="6">
        <v>0.13</v>
      </c>
      <c r="V2111" s="5" t="s">
        <v>1697</v>
      </c>
      <c r="W2111" s="6"/>
      <c r="X2111" s="6"/>
      <c r="Y2111" s="5"/>
      <c r="Z2111" s="6">
        <v>1</v>
      </c>
      <c r="AA2111" s="6"/>
      <c r="AB2111" s="5"/>
      <c r="AC2111" s="6"/>
      <c r="AD2111" s="6"/>
      <c r="AE2111" s="5"/>
      <c r="AF2111" s="6"/>
      <c r="AG2111" s="6"/>
      <c r="AH2111" s="5"/>
      <c r="AI2111" s="6"/>
      <c r="AJ2111" s="6"/>
      <c r="AK2111" s="5"/>
      <c r="AL2111" s="6"/>
      <c r="AM2111" s="6"/>
      <c r="AN2111" s="6"/>
      <c r="AO2111" s="6"/>
      <c r="AP2111" s="6"/>
      <c r="AQ2111" s="6"/>
    </row>
    <row r="2112" spans="1:43" x14ac:dyDescent="0.25">
      <c r="A2112" s="44" t="str">
        <f t="shared" si="40"/>
        <v>EE_GALLEON_ED</v>
      </c>
      <c r="B2112" s="9" t="s">
        <v>2491</v>
      </c>
      <c r="C2112" s="5"/>
      <c r="D2112" s="5"/>
      <c r="E2112" s="5" t="s">
        <v>2550</v>
      </c>
      <c r="F2112" s="5" t="s">
        <v>2550</v>
      </c>
      <c r="G2112" s="5"/>
      <c r="H2112" s="5" t="s">
        <v>2376</v>
      </c>
      <c r="I2112" s="5" t="s">
        <v>2375</v>
      </c>
      <c r="J2112" s="6"/>
      <c r="K2112" s="7">
        <v>1</v>
      </c>
      <c r="L2112" s="13" t="s">
        <v>1709</v>
      </c>
      <c r="M2112" s="8"/>
      <c r="N2112" s="13" t="s">
        <v>1724</v>
      </c>
      <c r="O2112" s="13"/>
      <c r="P2112" s="13"/>
      <c r="Q2112" s="7">
        <v>1</v>
      </c>
      <c r="R2112" s="6">
        <v>0.16</v>
      </c>
      <c r="S2112" s="13"/>
      <c r="T2112" s="7">
        <v>2</v>
      </c>
      <c r="U2112" s="6">
        <v>0.13</v>
      </c>
      <c r="V2112" s="5" t="s">
        <v>1697</v>
      </c>
      <c r="W2112" s="6"/>
      <c r="X2112" s="6"/>
      <c r="Y2112" s="5"/>
      <c r="Z2112" s="6">
        <v>1</v>
      </c>
      <c r="AA2112" s="6"/>
      <c r="AB2112" s="5"/>
      <c r="AC2112" s="6"/>
      <c r="AD2112" s="6"/>
      <c r="AE2112" s="5"/>
      <c r="AF2112" s="6"/>
      <c r="AG2112" s="6"/>
      <c r="AH2112" s="5"/>
      <c r="AI2112" s="6"/>
      <c r="AJ2112" s="6"/>
      <c r="AK2112" s="5"/>
      <c r="AL2112" s="6"/>
      <c r="AM2112" s="6"/>
      <c r="AN2112" s="6"/>
      <c r="AO2112" s="6"/>
      <c r="AP2112" s="6"/>
      <c r="AQ2112" s="6"/>
    </row>
    <row r="2113" spans="1:43" x14ac:dyDescent="0.25">
      <c r="A2113" s="44" t="str">
        <f t="shared" si="40"/>
        <v>EE_GALLEON_ED_ASIA</v>
      </c>
      <c r="B2113" s="9" t="s">
        <v>2491</v>
      </c>
      <c r="C2113" s="4" t="s">
        <v>693</v>
      </c>
      <c r="E2113" s="5" t="s">
        <v>2550</v>
      </c>
      <c r="F2113" s="5" t="s">
        <v>2550</v>
      </c>
      <c r="H2113" s="4" t="s">
        <v>852</v>
      </c>
      <c r="I2113" s="4" t="s">
        <v>1052</v>
      </c>
      <c r="K2113" s="11">
        <v>1</v>
      </c>
      <c r="R2113" s="11">
        <v>0.15</v>
      </c>
      <c r="U2113" s="11">
        <v>0.115</v>
      </c>
      <c r="AL2113" s="11"/>
      <c r="AM2113" s="11"/>
      <c r="AN2113" s="11"/>
      <c r="AO2113" s="11"/>
      <c r="AP2113" s="11"/>
      <c r="AQ2113" s="11"/>
    </row>
    <row r="2114" spans="1:43" x14ac:dyDescent="0.25">
      <c r="A2114" s="44" t="str">
        <f t="shared" si="40"/>
        <v>EE_GALLEON_ED_RUSSIA</v>
      </c>
      <c r="B2114" s="9" t="s">
        <v>2491</v>
      </c>
      <c r="C2114" s="4" t="s">
        <v>735</v>
      </c>
      <c r="E2114" s="5" t="s">
        <v>2550</v>
      </c>
      <c r="F2114" s="5" t="s">
        <v>2550</v>
      </c>
      <c r="H2114" s="4" t="s">
        <v>2374</v>
      </c>
      <c r="I2114" s="4" t="s">
        <v>2375</v>
      </c>
      <c r="K2114" s="11">
        <v>1</v>
      </c>
      <c r="AL2114" s="11"/>
      <c r="AM2114" s="11"/>
      <c r="AN2114" s="11"/>
      <c r="AO2114" s="11"/>
      <c r="AP2114" s="11"/>
      <c r="AQ2114" s="11"/>
    </row>
    <row r="2115" spans="1:43" x14ac:dyDescent="0.25">
      <c r="A2115" s="44" t="str">
        <f t="shared" si="40"/>
        <v>EE_GALLEON_ED_ENGLAND</v>
      </c>
      <c r="B2115" s="9" t="s">
        <v>2491</v>
      </c>
      <c r="C2115" s="4" t="s">
        <v>713</v>
      </c>
      <c r="E2115" s="5" t="s">
        <v>2550</v>
      </c>
      <c r="F2115" s="5" t="s">
        <v>2550</v>
      </c>
      <c r="H2115" s="4" t="s">
        <v>2396</v>
      </c>
      <c r="I2115" s="4" t="s">
        <v>2391</v>
      </c>
      <c r="K2115" s="11">
        <v>1</v>
      </c>
      <c r="AL2115" s="11"/>
      <c r="AM2115" s="11"/>
      <c r="AN2115" s="11"/>
      <c r="AO2115" s="11"/>
      <c r="AP2115" s="11"/>
      <c r="AQ2115" s="11"/>
    </row>
    <row r="2116" spans="1:43" x14ac:dyDescent="0.25">
      <c r="A2116" s="44" t="str">
        <f t="shared" si="40"/>
        <v>EE_GALLEON_ED_FRANCE</v>
      </c>
      <c r="B2116" s="9" t="s">
        <v>2491</v>
      </c>
      <c r="C2116" s="4" t="s">
        <v>715</v>
      </c>
      <c r="E2116" s="5" t="s">
        <v>2550</v>
      </c>
      <c r="F2116" s="5" t="s">
        <v>2550</v>
      </c>
      <c r="H2116" s="4" t="s">
        <v>2395</v>
      </c>
      <c r="I2116" s="4" t="s">
        <v>2391</v>
      </c>
      <c r="K2116" s="11">
        <v>1</v>
      </c>
      <c r="AL2116" s="11"/>
      <c r="AM2116" s="11"/>
      <c r="AN2116" s="11"/>
      <c r="AO2116" s="11"/>
      <c r="AP2116" s="11"/>
      <c r="AQ2116" s="11"/>
    </row>
    <row r="2117" spans="1:43" x14ac:dyDescent="0.25">
      <c r="A2117" s="44" t="str">
        <f t="shared" si="40"/>
        <v>EE_GALLEON_ED_GERMANY</v>
      </c>
      <c r="B2117" s="9" t="s">
        <v>2491</v>
      </c>
      <c r="C2117" s="4" t="s">
        <v>717</v>
      </c>
      <c r="E2117" s="5" t="s">
        <v>2550</v>
      </c>
      <c r="F2117" s="5" t="s">
        <v>2550</v>
      </c>
      <c r="H2117" s="4" t="s">
        <v>2390</v>
      </c>
      <c r="I2117" s="4" t="s">
        <v>2391</v>
      </c>
      <c r="K2117" s="11">
        <v>1</v>
      </c>
      <c r="AL2117" s="11"/>
      <c r="AM2117" s="11"/>
      <c r="AN2117" s="11"/>
      <c r="AO2117" s="11"/>
      <c r="AP2117" s="11"/>
      <c r="AQ2117" s="11"/>
    </row>
    <row r="2118" spans="1:43" x14ac:dyDescent="0.25">
      <c r="A2118" s="44" t="str">
        <f t="shared" si="40"/>
        <v>EE_GALLEON_ED_GREECE</v>
      </c>
      <c r="B2118" s="9" t="s">
        <v>2491</v>
      </c>
      <c r="C2118" s="4" t="s">
        <v>718</v>
      </c>
      <c r="E2118" s="5" t="s">
        <v>2550</v>
      </c>
      <c r="F2118" s="5" t="s">
        <v>2550</v>
      </c>
      <c r="H2118" s="4" t="s">
        <v>2392</v>
      </c>
      <c r="I2118" s="4" t="s">
        <v>2391</v>
      </c>
      <c r="K2118" s="11">
        <v>1</v>
      </c>
      <c r="AL2118" s="11"/>
      <c r="AM2118" s="11"/>
      <c r="AN2118" s="11"/>
      <c r="AO2118" s="11"/>
      <c r="AP2118" s="11"/>
      <c r="AQ2118" s="11"/>
    </row>
    <row r="2119" spans="1:43" x14ac:dyDescent="0.25">
      <c r="A2119" s="44" t="str">
        <f t="shared" si="40"/>
        <v>EE_GALLEON_ED_PORTUGAL</v>
      </c>
      <c r="B2119" s="9" t="s">
        <v>2491</v>
      </c>
      <c r="C2119" s="4" t="s">
        <v>733</v>
      </c>
      <c r="E2119" s="5" t="s">
        <v>2550</v>
      </c>
      <c r="F2119" s="5" t="s">
        <v>2550</v>
      </c>
      <c r="H2119" s="4" t="s">
        <v>2393</v>
      </c>
      <c r="I2119" s="4" t="s">
        <v>2391</v>
      </c>
      <c r="K2119" s="11">
        <v>1</v>
      </c>
      <c r="AL2119" s="11"/>
      <c r="AM2119" s="11"/>
      <c r="AN2119" s="11"/>
      <c r="AO2119" s="11"/>
      <c r="AP2119" s="11"/>
      <c r="AQ2119" s="11"/>
    </row>
    <row r="2120" spans="1:43" x14ac:dyDescent="0.25">
      <c r="A2120" s="44" t="str">
        <f t="shared" si="40"/>
        <v>EE_GALLEON_ED_ROME</v>
      </c>
      <c r="B2120" s="9" t="s">
        <v>2491</v>
      </c>
      <c r="C2120" s="4" t="s">
        <v>734</v>
      </c>
      <c r="E2120" s="5" t="s">
        <v>2550</v>
      </c>
      <c r="F2120" s="5" t="s">
        <v>2550</v>
      </c>
      <c r="H2120" s="4" t="s">
        <v>2394</v>
      </c>
      <c r="I2120" s="4" t="s">
        <v>2391</v>
      </c>
      <c r="K2120" s="11">
        <v>1</v>
      </c>
      <c r="AL2120" s="11"/>
      <c r="AM2120" s="11"/>
      <c r="AN2120" s="11"/>
      <c r="AO2120" s="11"/>
      <c r="AP2120" s="11"/>
      <c r="AQ2120" s="11"/>
    </row>
    <row r="2121" spans="1:43" x14ac:dyDescent="0.25">
      <c r="A2121" s="44" t="str">
        <f t="shared" si="40"/>
        <v>EE_GALLEON_ED_SPAIN</v>
      </c>
      <c r="B2121" s="9" t="s">
        <v>2491</v>
      </c>
      <c r="C2121" s="4" t="s">
        <v>738</v>
      </c>
      <c r="E2121" s="5" t="s">
        <v>2550</v>
      </c>
      <c r="F2121" s="5" t="s">
        <v>2550</v>
      </c>
      <c r="H2121" s="4" t="s">
        <v>2371</v>
      </c>
      <c r="I2121" s="4" t="s">
        <v>2375</v>
      </c>
      <c r="K2121" s="11">
        <v>1</v>
      </c>
      <c r="AL2121" s="11"/>
      <c r="AM2121" s="11"/>
      <c r="AN2121" s="11"/>
      <c r="AO2121" s="11"/>
      <c r="AP2121" s="11"/>
      <c r="AQ2121" s="11"/>
    </row>
    <row r="2122" spans="1:43" x14ac:dyDescent="0.25">
      <c r="A2122" s="44" t="str">
        <f t="shared" si="40"/>
        <v>EE_GALLEON_ED_NORTHEU</v>
      </c>
      <c r="B2122" s="9" t="s">
        <v>2491</v>
      </c>
      <c r="C2122" s="4" t="s">
        <v>962</v>
      </c>
      <c r="E2122" s="5" t="s">
        <v>2550</v>
      </c>
      <c r="F2122" s="5" t="s">
        <v>2550</v>
      </c>
      <c r="H2122" s="4" t="s">
        <v>2373</v>
      </c>
      <c r="I2122" s="4" t="s">
        <v>2375</v>
      </c>
      <c r="K2122" s="11">
        <v>1</v>
      </c>
      <c r="AL2122" s="11"/>
      <c r="AM2122" s="11"/>
      <c r="AN2122" s="11"/>
      <c r="AO2122" s="11"/>
      <c r="AP2122" s="11"/>
      <c r="AQ2122" s="11"/>
    </row>
    <row r="2123" spans="1:43" x14ac:dyDescent="0.25">
      <c r="A2123" s="44" t="str">
        <f t="shared" si="40"/>
        <v>EE_GALLEON_ED_DENMARK</v>
      </c>
      <c r="B2123" s="9" t="s">
        <v>2491</v>
      </c>
      <c r="C2123" s="4" t="s">
        <v>711</v>
      </c>
      <c r="E2123" s="5" t="s">
        <v>2550</v>
      </c>
      <c r="F2123" s="5" t="s">
        <v>2550</v>
      </c>
      <c r="H2123" s="4" t="s">
        <v>2370</v>
      </c>
      <c r="I2123" s="4" t="s">
        <v>2375</v>
      </c>
      <c r="K2123" s="11">
        <v>1</v>
      </c>
      <c r="AL2123" s="11"/>
      <c r="AM2123" s="11"/>
      <c r="AN2123" s="11"/>
      <c r="AO2123" s="11"/>
      <c r="AP2123" s="11"/>
      <c r="AQ2123" s="11"/>
    </row>
    <row r="2124" spans="1:43" x14ac:dyDescent="0.25">
      <c r="A2124" s="44" t="str">
        <f t="shared" si="40"/>
        <v>EE_GALLEON_ED_SWEDEN</v>
      </c>
      <c r="B2124" s="9" t="s">
        <v>2491</v>
      </c>
      <c r="C2124" s="4" t="s">
        <v>739</v>
      </c>
      <c r="E2124" s="5" t="s">
        <v>2550</v>
      </c>
      <c r="F2124" s="5" t="s">
        <v>2550</v>
      </c>
      <c r="H2124" s="4" t="s">
        <v>2372</v>
      </c>
      <c r="I2124" s="4" t="s">
        <v>2375</v>
      </c>
      <c r="K2124" s="11">
        <v>1</v>
      </c>
      <c r="AL2124" s="11"/>
      <c r="AM2124" s="11"/>
      <c r="AN2124" s="11"/>
      <c r="AO2124" s="11"/>
      <c r="AP2124" s="11"/>
      <c r="AQ2124" s="11"/>
    </row>
    <row r="2125" spans="1:43" x14ac:dyDescent="0.25">
      <c r="A2125" s="44" t="str">
        <f t="shared" si="40"/>
        <v>EE_LINE_INFANTRY</v>
      </c>
      <c r="B2125" s="9" t="s">
        <v>1979</v>
      </c>
      <c r="E2125" s="4" t="s">
        <v>1979</v>
      </c>
      <c r="F2125" s="4" t="s">
        <v>1979</v>
      </c>
      <c r="G2125" s="14"/>
      <c r="H2125" s="4" t="s">
        <v>1982</v>
      </c>
      <c r="I2125" s="4" t="s">
        <v>122</v>
      </c>
      <c r="K2125" s="7">
        <v>1</v>
      </c>
      <c r="Q2125" s="11">
        <v>14</v>
      </c>
      <c r="R2125" s="11" t="s">
        <v>1734</v>
      </c>
      <c r="S2125" s="4" t="s">
        <v>1616</v>
      </c>
      <c r="T2125" s="11">
        <v>19</v>
      </c>
      <c r="U2125" s="11" t="s">
        <v>1734</v>
      </c>
      <c r="W2125" s="11" t="s">
        <v>3</v>
      </c>
      <c r="X2125" s="11" t="s">
        <v>3</v>
      </c>
      <c r="Z2125" s="11">
        <v>1</v>
      </c>
      <c r="AD2125" s="11" t="s">
        <v>3</v>
      </c>
      <c r="AF2125" s="11" t="s">
        <v>1734</v>
      </c>
      <c r="AI2125" s="11" t="s">
        <v>1734</v>
      </c>
      <c r="AL2125" s="11"/>
      <c r="AM2125" s="11"/>
      <c r="AN2125" s="11"/>
      <c r="AO2125" s="11"/>
      <c r="AP2125" s="11"/>
      <c r="AQ2125" s="11"/>
    </row>
    <row r="2126" spans="1:43" x14ac:dyDescent="0.25">
      <c r="A2126" s="44" t="str">
        <f t="shared" si="40"/>
        <v>EE_LINE_INFANTRY_ED</v>
      </c>
      <c r="B2126" s="9" t="s">
        <v>1979</v>
      </c>
      <c r="E2126" s="4" t="s">
        <v>2551</v>
      </c>
      <c r="F2126" s="4" t="s">
        <v>2551</v>
      </c>
      <c r="G2126" s="14"/>
      <c r="H2126" s="4" t="s">
        <v>1982</v>
      </c>
      <c r="I2126" s="4" t="s">
        <v>122</v>
      </c>
      <c r="K2126" s="7">
        <v>1</v>
      </c>
      <c r="Q2126" s="11">
        <v>4</v>
      </c>
      <c r="R2126" s="11" t="s">
        <v>1734</v>
      </c>
      <c r="S2126" s="4" t="s">
        <v>1616</v>
      </c>
      <c r="T2126" s="11">
        <v>5</v>
      </c>
      <c r="U2126" s="11" t="s">
        <v>1734</v>
      </c>
      <c r="W2126" s="11" t="s">
        <v>3</v>
      </c>
      <c r="X2126" s="11" t="s">
        <v>3</v>
      </c>
      <c r="Z2126" s="11">
        <v>1</v>
      </c>
      <c r="AD2126" s="11" t="s">
        <v>3</v>
      </c>
      <c r="AF2126" s="11">
        <v>1</v>
      </c>
      <c r="AI2126" s="11">
        <v>2</v>
      </c>
      <c r="AL2126" s="11"/>
      <c r="AM2126" s="11"/>
      <c r="AN2126" s="11"/>
      <c r="AO2126" s="11"/>
      <c r="AP2126" s="11"/>
      <c r="AQ2126" s="11"/>
    </row>
    <row r="2127" spans="1:43" x14ac:dyDescent="0.25">
      <c r="A2127" s="44" t="str">
        <f t="shared" si="40"/>
        <v>EE_LINE_INFANTRY_ED</v>
      </c>
      <c r="B2127" s="9" t="s">
        <v>1979</v>
      </c>
      <c r="E2127" s="4" t="s">
        <v>2551</v>
      </c>
      <c r="F2127" s="4" t="s">
        <v>2551</v>
      </c>
      <c r="G2127" s="14" t="s">
        <v>2039</v>
      </c>
      <c r="H2127" s="4" t="s">
        <v>1980</v>
      </c>
      <c r="I2127" s="4" t="s">
        <v>122</v>
      </c>
      <c r="K2127" s="7">
        <v>1</v>
      </c>
      <c r="Q2127" s="11">
        <v>2</v>
      </c>
      <c r="R2127" s="11" t="s">
        <v>1734</v>
      </c>
      <c r="S2127" s="4" t="s">
        <v>1616</v>
      </c>
      <c r="T2127" s="11">
        <v>2</v>
      </c>
      <c r="U2127" s="11" t="s">
        <v>1734</v>
      </c>
      <c r="W2127" s="11" t="s">
        <v>3</v>
      </c>
      <c r="X2127" s="11" t="s">
        <v>3</v>
      </c>
      <c r="Z2127" s="11">
        <v>0</v>
      </c>
      <c r="AD2127" s="11" t="s">
        <v>3</v>
      </c>
      <c r="AF2127" s="11">
        <v>1</v>
      </c>
      <c r="AI2127" s="11">
        <v>1</v>
      </c>
      <c r="AL2127" s="11"/>
      <c r="AM2127" s="11"/>
      <c r="AN2127" s="11"/>
      <c r="AO2127" s="11"/>
      <c r="AP2127" s="11"/>
      <c r="AQ2127" s="11"/>
    </row>
    <row r="2128" spans="1:43" x14ac:dyDescent="0.25">
      <c r="A2128" s="44" t="str">
        <f t="shared" si="40"/>
        <v>EE_LINE_INFANTRY_ED</v>
      </c>
      <c r="B2128" s="9" t="s">
        <v>1979</v>
      </c>
      <c r="E2128" s="4" t="s">
        <v>2551</v>
      </c>
      <c r="F2128" s="4" t="s">
        <v>2551</v>
      </c>
      <c r="G2128" s="14" t="s">
        <v>2041</v>
      </c>
      <c r="H2128" s="4" t="s">
        <v>1981</v>
      </c>
      <c r="I2128" s="4" t="s">
        <v>122</v>
      </c>
      <c r="K2128" s="7">
        <v>1</v>
      </c>
      <c r="Q2128" s="11">
        <v>1</v>
      </c>
      <c r="R2128" s="11" t="s">
        <v>1734</v>
      </c>
      <c r="S2128" s="4" t="s">
        <v>1616</v>
      </c>
      <c r="T2128" s="11">
        <v>1</v>
      </c>
      <c r="U2128" s="11" t="s">
        <v>1734</v>
      </c>
      <c r="W2128" s="11" t="s">
        <v>3</v>
      </c>
      <c r="X2128" s="11" t="s">
        <v>3</v>
      </c>
      <c r="Z2128" s="11">
        <v>0</v>
      </c>
      <c r="AD2128" s="11" t="s">
        <v>3</v>
      </c>
      <c r="AF2128" s="11">
        <v>1</v>
      </c>
      <c r="AI2128" s="11">
        <v>1</v>
      </c>
      <c r="AL2128" s="11"/>
      <c r="AM2128" s="11"/>
      <c r="AN2128" s="11"/>
      <c r="AO2128" s="11"/>
      <c r="AP2128" s="11"/>
      <c r="AQ2128" s="11"/>
    </row>
    <row r="2129" spans="1:43" x14ac:dyDescent="0.25">
      <c r="A2129" s="44" t="str">
        <f t="shared" si="40"/>
        <v>EE_LINE_INFANTRY_ED</v>
      </c>
      <c r="B2129" s="9" t="s">
        <v>1979</v>
      </c>
      <c r="E2129" s="4" t="s">
        <v>2551</v>
      </c>
      <c r="F2129" s="4" t="s">
        <v>2551</v>
      </c>
      <c r="G2129" s="14"/>
      <c r="H2129" s="4" t="s">
        <v>1982</v>
      </c>
      <c r="I2129" s="4" t="s">
        <v>122</v>
      </c>
      <c r="K2129" s="7">
        <v>1</v>
      </c>
      <c r="Q2129" s="11">
        <v>4</v>
      </c>
      <c r="R2129" s="11" t="s">
        <v>1734</v>
      </c>
      <c r="S2129" s="4" t="s">
        <v>1616</v>
      </c>
      <c r="T2129" s="11">
        <v>6</v>
      </c>
      <c r="U2129" s="11" t="s">
        <v>1734</v>
      </c>
      <c r="W2129" s="11" t="s">
        <v>3</v>
      </c>
      <c r="X2129" s="11" t="s">
        <v>3</v>
      </c>
      <c r="Z2129" s="11">
        <v>0</v>
      </c>
      <c r="AD2129" s="11" t="s">
        <v>3</v>
      </c>
      <c r="AF2129" s="11">
        <v>0</v>
      </c>
      <c r="AI2129" s="11">
        <v>3</v>
      </c>
      <c r="AL2129" s="11"/>
      <c r="AM2129" s="11"/>
      <c r="AN2129" s="11"/>
      <c r="AO2129" s="11"/>
      <c r="AP2129" s="11"/>
      <c r="AQ2129" s="11"/>
    </row>
    <row r="2130" spans="1:43" x14ac:dyDescent="0.25">
      <c r="A2130" s="44" t="str">
        <f t="shared" si="40"/>
        <v>EE_LINE_INFANTRY_ED</v>
      </c>
      <c r="B2130" s="9" t="s">
        <v>1979</v>
      </c>
      <c r="E2130" s="4" t="s">
        <v>2551</v>
      </c>
      <c r="F2130" s="4" t="s">
        <v>2551</v>
      </c>
      <c r="G2130" s="14" t="s">
        <v>2039</v>
      </c>
      <c r="H2130" s="4" t="s">
        <v>1980</v>
      </c>
      <c r="I2130" s="4" t="s">
        <v>122</v>
      </c>
      <c r="K2130" s="7">
        <v>1</v>
      </c>
      <c r="Q2130" s="11">
        <v>2</v>
      </c>
      <c r="R2130" s="11" t="s">
        <v>1734</v>
      </c>
      <c r="S2130" s="4" t="s">
        <v>1616</v>
      </c>
      <c r="T2130" s="11">
        <v>3</v>
      </c>
      <c r="U2130" s="11" t="s">
        <v>1734</v>
      </c>
      <c r="W2130" s="11" t="s">
        <v>3</v>
      </c>
      <c r="X2130" s="11" t="s">
        <v>3</v>
      </c>
      <c r="Z2130" s="11">
        <v>0</v>
      </c>
      <c r="AD2130" s="11" t="s">
        <v>3</v>
      </c>
      <c r="AF2130" s="11">
        <v>0</v>
      </c>
      <c r="AI2130" s="11">
        <v>0</v>
      </c>
      <c r="AL2130" s="11"/>
      <c r="AM2130" s="11"/>
      <c r="AN2130" s="11"/>
      <c r="AO2130" s="11"/>
      <c r="AP2130" s="11"/>
      <c r="AQ2130" s="11"/>
    </row>
    <row r="2131" spans="1:43" x14ac:dyDescent="0.25">
      <c r="A2131" s="44" t="str">
        <f t="shared" si="40"/>
        <v>EE_LINE_INFANTRY_ED</v>
      </c>
      <c r="B2131" s="9" t="s">
        <v>1979</v>
      </c>
      <c r="E2131" s="4" t="s">
        <v>2551</v>
      </c>
      <c r="F2131" s="4" t="s">
        <v>2551</v>
      </c>
      <c r="G2131" s="14" t="s">
        <v>2041</v>
      </c>
      <c r="H2131" s="4" t="s">
        <v>1981</v>
      </c>
      <c r="I2131" s="4" t="s">
        <v>122</v>
      </c>
      <c r="K2131" s="7">
        <v>1</v>
      </c>
      <c r="Q2131" s="11">
        <v>1</v>
      </c>
      <c r="R2131" s="11" t="s">
        <v>1734</v>
      </c>
      <c r="S2131" s="4" t="s">
        <v>1616</v>
      </c>
      <c r="T2131" s="11">
        <v>2</v>
      </c>
      <c r="U2131" s="11" t="s">
        <v>1734</v>
      </c>
      <c r="W2131" s="11" t="s">
        <v>3</v>
      </c>
      <c r="X2131" s="11" t="s">
        <v>3</v>
      </c>
      <c r="Z2131" s="11">
        <v>0</v>
      </c>
      <c r="AD2131" s="11" t="s">
        <v>3</v>
      </c>
      <c r="AF2131" s="11">
        <v>0</v>
      </c>
      <c r="AI2131" s="11">
        <v>0</v>
      </c>
      <c r="AL2131" s="11"/>
      <c r="AM2131" s="11"/>
      <c r="AN2131" s="11"/>
      <c r="AO2131" s="11"/>
      <c r="AP2131" s="11"/>
      <c r="AQ2131" s="11"/>
    </row>
    <row r="2132" spans="1:43" x14ac:dyDescent="0.25">
      <c r="A2132" s="44" t="str">
        <f t="shared" si="40"/>
        <v>EE_LINE_INFANTRY_ED_AUSTRIA</v>
      </c>
      <c r="B2132" s="9" t="s">
        <v>1979</v>
      </c>
      <c r="C2132" s="4" t="s">
        <v>701</v>
      </c>
      <c r="E2132" s="4" t="s">
        <v>2551</v>
      </c>
      <c r="F2132" s="4" t="s">
        <v>2551</v>
      </c>
      <c r="G2132" s="14"/>
      <c r="H2132" s="4" t="s">
        <v>1983</v>
      </c>
      <c r="I2132" s="4" t="s">
        <v>122</v>
      </c>
      <c r="K2132" s="7">
        <v>1</v>
      </c>
      <c r="Q2132" s="11">
        <v>4</v>
      </c>
      <c r="T2132" s="11">
        <v>5</v>
      </c>
      <c r="Z2132" s="11">
        <v>1</v>
      </c>
      <c r="AF2132" s="11">
        <v>1</v>
      </c>
      <c r="AI2132" s="11">
        <v>2</v>
      </c>
      <c r="AL2132" s="11"/>
      <c r="AM2132" s="11"/>
      <c r="AN2132" s="11"/>
      <c r="AO2132" s="11"/>
      <c r="AP2132" s="11"/>
      <c r="AQ2132" s="11"/>
    </row>
    <row r="2133" spans="1:43" x14ac:dyDescent="0.25">
      <c r="A2133" s="44" t="str">
        <f t="shared" si="40"/>
        <v>EE_LINE_INFANTRY_ED_AUSTRIA</v>
      </c>
      <c r="B2133" s="9" t="s">
        <v>1979</v>
      </c>
      <c r="C2133" s="4" t="s">
        <v>701</v>
      </c>
      <c r="E2133" s="4" t="s">
        <v>2551</v>
      </c>
      <c r="F2133" s="4" t="s">
        <v>2551</v>
      </c>
      <c r="G2133" s="14" t="s">
        <v>2039</v>
      </c>
      <c r="H2133" s="4" t="s">
        <v>1985</v>
      </c>
      <c r="I2133" s="4" t="s">
        <v>122</v>
      </c>
      <c r="K2133" s="7">
        <v>1</v>
      </c>
      <c r="Q2133" s="11">
        <v>2</v>
      </c>
      <c r="T2133" s="11">
        <v>2</v>
      </c>
      <c r="Z2133" s="11">
        <v>0</v>
      </c>
      <c r="AF2133" s="11">
        <v>1</v>
      </c>
      <c r="AI2133" s="11">
        <v>1</v>
      </c>
      <c r="AL2133" s="11"/>
      <c r="AM2133" s="11"/>
      <c r="AN2133" s="11"/>
      <c r="AO2133" s="11"/>
      <c r="AP2133" s="11"/>
      <c r="AQ2133" s="11"/>
    </row>
    <row r="2134" spans="1:43" x14ac:dyDescent="0.25">
      <c r="A2134" s="44" t="str">
        <f t="shared" si="40"/>
        <v>EE_LINE_INFANTRY_ED_AUSTRIA</v>
      </c>
      <c r="B2134" s="9" t="s">
        <v>1979</v>
      </c>
      <c r="C2134" s="4" t="s">
        <v>701</v>
      </c>
      <c r="E2134" s="4" t="s">
        <v>2551</v>
      </c>
      <c r="F2134" s="4" t="s">
        <v>2551</v>
      </c>
      <c r="G2134" s="14" t="s">
        <v>2041</v>
      </c>
      <c r="H2134" s="4" t="s">
        <v>1986</v>
      </c>
      <c r="I2134" s="4" t="s">
        <v>122</v>
      </c>
      <c r="K2134" s="7">
        <v>1</v>
      </c>
      <c r="Q2134" s="11">
        <v>1</v>
      </c>
      <c r="T2134" s="11">
        <v>1</v>
      </c>
      <c r="Z2134" s="11">
        <v>0</v>
      </c>
      <c r="AF2134" s="11">
        <v>1</v>
      </c>
      <c r="AI2134" s="11">
        <v>1</v>
      </c>
      <c r="AL2134" s="11"/>
      <c r="AM2134" s="11"/>
      <c r="AN2134" s="11"/>
      <c r="AO2134" s="11"/>
      <c r="AP2134" s="11"/>
      <c r="AQ2134" s="11"/>
    </row>
    <row r="2135" spans="1:43" s="11" customFormat="1" x14ac:dyDescent="0.25">
      <c r="A2135" s="44" t="str">
        <f t="shared" si="40"/>
        <v>EE_LINE_INFANTRY_ED_AUSTRIA</v>
      </c>
      <c r="B2135" s="9" t="s">
        <v>1979</v>
      </c>
      <c r="C2135" s="4" t="s">
        <v>701</v>
      </c>
      <c r="D2135" s="4"/>
      <c r="E2135" s="4" t="s">
        <v>2551</v>
      </c>
      <c r="F2135" s="4" t="s">
        <v>2551</v>
      </c>
      <c r="G2135" s="14"/>
      <c r="H2135" s="4" t="s">
        <v>1983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4</v>
      </c>
      <c r="S2135" s="4"/>
      <c r="T2135" s="11">
        <v>6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3</v>
      </c>
      <c r="AK2135" s="4"/>
    </row>
    <row r="2136" spans="1:43" s="11" customFormat="1" x14ac:dyDescent="0.25">
      <c r="A2136" s="44" t="str">
        <f t="shared" si="40"/>
        <v>EE_LINE_INFANTRY_ED_AUSTRIA</v>
      </c>
      <c r="B2136" s="9" t="s">
        <v>1979</v>
      </c>
      <c r="C2136" s="4" t="s">
        <v>701</v>
      </c>
      <c r="D2136" s="4"/>
      <c r="E2136" s="4" t="s">
        <v>2551</v>
      </c>
      <c r="F2136" s="4" t="s">
        <v>2551</v>
      </c>
      <c r="G2136" s="14" t="s">
        <v>2039</v>
      </c>
      <c r="H2136" s="4" t="s">
        <v>1985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2</v>
      </c>
      <c r="S2136" s="4"/>
      <c r="T2136" s="11">
        <v>3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43" s="11" customFormat="1" x14ac:dyDescent="0.25">
      <c r="A2137" s="44" t="str">
        <f t="shared" si="40"/>
        <v>EE_LINE_INFANTRY_ED_AUSTRIA</v>
      </c>
      <c r="B2137" s="9" t="s">
        <v>1979</v>
      </c>
      <c r="C2137" s="4" t="s">
        <v>701</v>
      </c>
      <c r="D2137" s="4"/>
      <c r="E2137" s="4" t="s">
        <v>2551</v>
      </c>
      <c r="F2137" s="4" t="s">
        <v>2551</v>
      </c>
      <c r="G2137" s="14" t="s">
        <v>2041</v>
      </c>
      <c r="H2137" s="4" t="s">
        <v>1986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1</v>
      </c>
      <c r="S2137" s="4"/>
      <c r="T2137" s="11">
        <v>2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</row>
    <row r="2138" spans="1:43" s="11" customFormat="1" x14ac:dyDescent="0.25">
      <c r="A2138" s="44" t="str">
        <f t="shared" si="40"/>
        <v>EE_LINE_INFANTRY_ED_DENMARK</v>
      </c>
      <c r="B2138" s="9" t="s">
        <v>1979</v>
      </c>
      <c r="C2138" s="4" t="s">
        <v>711</v>
      </c>
      <c r="D2138" s="4"/>
      <c r="E2138" s="4" t="s">
        <v>2551</v>
      </c>
      <c r="F2138" s="4" t="s">
        <v>2551</v>
      </c>
      <c r="G2138" s="14"/>
      <c r="H2138" s="4" t="s">
        <v>1984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14</v>
      </c>
      <c r="S2138" s="4"/>
      <c r="T2138" s="11">
        <v>19</v>
      </c>
      <c r="V2138" s="4"/>
      <c r="Y2138" s="4"/>
      <c r="Z2138" s="11">
        <v>1</v>
      </c>
      <c r="AB2138" s="4"/>
      <c r="AE2138" s="4"/>
      <c r="AF2138" s="11">
        <v>3</v>
      </c>
      <c r="AH2138" s="4"/>
      <c r="AI2138" s="11">
        <v>7</v>
      </c>
      <c r="AK2138" s="4"/>
    </row>
    <row r="2139" spans="1:43" s="11" customFormat="1" x14ac:dyDescent="0.25">
      <c r="A2139" s="44" t="str">
        <f t="shared" si="40"/>
        <v>EE_LINE_INFANTRY_ED_ENGLAND</v>
      </c>
      <c r="B2139" s="9" t="s">
        <v>1979</v>
      </c>
      <c r="C2139" s="4" t="s">
        <v>713</v>
      </c>
      <c r="D2139" s="4"/>
      <c r="E2139" s="4" t="s">
        <v>2551</v>
      </c>
      <c r="F2139" s="4" t="s">
        <v>2551</v>
      </c>
      <c r="G2139" s="1"/>
      <c r="H2139" s="4" t="s">
        <v>1987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</row>
    <row r="2140" spans="1:43" s="11" customFormat="1" x14ac:dyDescent="0.25">
      <c r="A2140" s="44" t="str">
        <f t="shared" si="40"/>
        <v>EE_LINE_INFANTRY_ED_ENGLAND</v>
      </c>
      <c r="B2140" s="9" t="s">
        <v>1979</v>
      </c>
      <c r="C2140" s="4" t="s">
        <v>713</v>
      </c>
      <c r="D2140" s="4"/>
      <c r="E2140" s="4" t="s">
        <v>2551</v>
      </c>
      <c r="F2140" s="4" t="s">
        <v>2551</v>
      </c>
      <c r="G2140" s="14" t="s">
        <v>2039</v>
      </c>
      <c r="H2140" s="4" t="s">
        <v>2001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</row>
    <row r="2141" spans="1:43" s="11" customFormat="1" x14ac:dyDescent="0.25">
      <c r="A2141" s="44" t="str">
        <f t="shared" si="40"/>
        <v>EE_LINE_INFANTRY_ED_ENGLAND</v>
      </c>
      <c r="B2141" s="9" t="s">
        <v>1979</v>
      </c>
      <c r="C2141" s="4" t="s">
        <v>713</v>
      </c>
      <c r="D2141" s="4"/>
      <c r="E2141" s="4" t="s">
        <v>2551</v>
      </c>
      <c r="F2141" s="4" t="s">
        <v>2551</v>
      </c>
      <c r="G2141" s="14" t="s">
        <v>2041</v>
      </c>
      <c r="H2141" s="4" t="s">
        <v>2002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</row>
    <row r="2142" spans="1:43" s="11" customFormat="1" x14ac:dyDescent="0.25">
      <c r="A2142" s="44" t="str">
        <f t="shared" si="40"/>
        <v>EE_LINE_INFANTRY_ED_ENGLAND</v>
      </c>
      <c r="B2142" s="9" t="s">
        <v>1979</v>
      </c>
      <c r="C2142" s="4" t="s">
        <v>713</v>
      </c>
      <c r="D2142" s="4"/>
      <c r="E2142" s="4" t="s">
        <v>2551</v>
      </c>
      <c r="F2142" s="4" t="s">
        <v>2551</v>
      </c>
      <c r="G2142" s="1"/>
      <c r="H2142" s="4" t="s">
        <v>1987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</row>
    <row r="2143" spans="1:43" s="11" customFormat="1" x14ac:dyDescent="0.25">
      <c r="A2143" s="44" t="str">
        <f t="shared" si="40"/>
        <v>EE_LINE_INFANTRY_ED_ENGLAND</v>
      </c>
      <c r="B2143" s="9" t="s">
        <v>1979</v>
      </c>
      <c r="C2143" s="4" t="s">
        <v>713</v>
      </c>
      <c r="D2143" s="4"/>
      <c r="E2143" s="4" t="s">
        <v>2551</v>
      </c>
      <c r="F2143" s="4" t="s">
        <v>2551</v>
      </c>
      <c r="G2143" s="14" t="s">
        <v>2039</v>
      </c>
      <c r="H2143" s="4" t="s">
        <v>2001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</row>
    <row r="2144" spans="1:43" s="11" customFormat="1" x14ac:dyDescent="0.25">
      <c r="A2144" s="44" t="str">
        <f t="shared" si="40"/>
        <v>EE_LINE_INFANTRY_ED_ENGLAND</v>
      </c>
      <c r="B2144" s="9" t="s">
        <v>1979</v>
      </c>
      <c r="C2144" s="4" t="s">
        <v>713</v>
      </c>
      <c r="D2144" s="4"/>
      <c r="E2144" s="4" t="s">
        <v>2551</v>
      </c>
      <c r="F2144" s="4" t="s">
        <v>2551</v>
      </c>
      <c r="G2144" s="14" t="s">
        <v>2041</v>
      </c>
      <c r="H2144" s="4" t="s">
        <v>2002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</row>
    <row r="2145" spans="1:37" s="11" customFormat="1" x14ac:dyDescent="0.25">
      <c r="A2145" s="44" t="str">
        <f t="shared" si="40"/>
        <v>EE_LINE_INFANTRY_ED_FRANCE</v>
      </c>
      <c r="B2145" s="9" t="s">
        <v>1979</v>
      </c>
      <c r="C2145" s="4" t="s">
        <v>715</v>
      </c>
      <c r="D2145" s="4"/>
      <c r="E2145" s="4" t="s">
        <v>2551</v>
      </c>
      <c r="F2145" s="4" t="s">
        <v>2551</v>
      </c>
      <c r="G2145" s="14"/>
      <c r="H2145" s="4" t="s">
        <v>1988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</row>
    <row r="2146" spans="1:37" s="11" customFormat="1" x14ac:dyDescent="0.25">
      <c r="A2146" s="44" t="str">
        <f t="shared" si="40"/>
        <v>EE_LINE_INFANTRY_ED_FRANCE</v>
      </c>
      <c r="B2146" s="9" t="s">
        <v>1979</v>
      </c>
      <c r="C2146" s="4" t="s">
        <v>715</v>
      </c>
      <c r="D2146" s="4"/>
      <c r="E2146" s="4" t="s">
        <v>2551</v>
      </c>
      <c r="F2146" s="4" t="s">
        <v>2551</v>
      </c>
      <c r="G2146" s="14" t="s">
        <v>2039</v>
      </c>
      <c r="H2146" s="4" t="s">
        <v>1999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</row>
    <row r="2147" spans="1:37" s="11" customFormat="1" x14ac:dyDescent="0.25">
      <c r="A2147" s="44" t="str">
        <f t="shared" si="40"/>
        <v>EE_LINE_INFANTRY_ED_FRANCE</v>
      </c>
      <c r="B2147" s="9" t="s">
        <v>1979</v>
      </c>
      <c r="C2147" s="4" t="s">
        <v>715</v>
      </c>
      <c r="D2147" s="4"/>
      <c r="E2147" s="4" t="s">
        <v>2551</v>
      </c>
      <c r="F2147" s="4" t="s">
        <v>2551</v>
      </c>
      <c r="G2147" s="14" t="s">
        <v>2041</v>
      </c>
      <c r="H2147" s="4" t="s">
        <v>2000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</row>
    <row r="2148" spans="1:37" s="11" customFormat="1" x14ac:dyDescent="0.25">
      <c r="A2148" s="44" t="str">
        <f t="shared" si="40"/>
        <v>EE_LINE_INFANTRY_ED_FRANCE</v>
      </c>
      <c r="B2148" s="9" t="s">
        <v>1979</v>
      </c>
      <c r="C2148" s="4" t="s">
        <v>715</v>
      </c>
      <c r="D2148" s="4"/>
      <c r="E2148" s="4" t="s">
        <v>2551</v>
      </c>
      <c r="F2148" s="4" t="s">
        <v>2551</v>
      </c>
      <c r="G2148" s="14"/>
      <c r="H2148" s="4" t="s">
        <v>1988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</row>
    <row r="2149" spans="1:37" s="11" customFormat="1" x14ac:dyDescent="0.25">
      <c r="A2149" s="44" t="str">
        <f t="shared" si="40"/>
        <v>EE_LINE_INFANTRY_ED_FRANCE</v>
      </c>
      <c r="B2149" s="9" t="s">
        <v>1979</v>
      </c>
      <c r="C2149" s="4" t="s">
        <v>715</v>
      </c>
      <c r="D2149" s="4"/>
      <c r="E2149" s="4" t="s">
        <v>2551</v>
      </c>
      <c r="F2149" s="4" t="s">
        <v>2551</v>
      </c>
      <c r="G2149" s="14" t="s">
        <v>2039</v>
      </c>
      <c r="H2149" s="4" t="s">
        <v>1999</v>
      </c>
      <c r="I2149" s="4" t="s">
        <v>122</v>
      </c>
      <c r="K2149" s="7">
        <v>1</v>
      </c>
      <c r="L2149" s="4"/>
      <c r="M2149" s="12"/>
      <c r="N2149" s="4"/>
      <c r="O2149" s="4"/>
      <c r="P2149" s="4"/>
      <c r="Q2149" s="11">
        <v>2</v>
      </c>
      <c r="S2149" s="4"/>
      <c r="T2149" s="11">
        <v>3</v>
      </c>
      <c r="V2149" s="4"/>
      <c r="Y2149" s="4"/>
      <c r="Z2149" s="11">
        <v>0</v>
      </c>
      <c r="AB2149" s="4"/>
      <c r="AE2149" s="4"/>
      <c r="AF2149" s="11">
        <v>0</v>
      </c>
      <c r="AH2149" s="4"/>
      <c r="AI2149" s="11">
        <v>0</v>
      </c>
      <c r="AK2149" s="4"/>
    </row>
    <row r="2150" spans="1:37" s="11" customFormat="1" x14ac:dyDescent="0.25">
      <c r="A2150" s="44" t="str">
        <f t="shared" si="40"/>
        <v>EE_LINE_INFANTRY_ED_FRANCE</v>
      </c>
      <c r="B2150" s="9" t="s">
        <v>1979</v>
      </c>
      <c r="C2150" s="4" t="s">
        <v>715</v>
      </c>
      <c r="D2150" s="4"/>
      <c r="E2150" s="4" t="s">
        <v>2551</v>
      </c>
      <c r="F2150" s="4" t="s">
        <v>2551</v>
      </c>
      <c r="G2150" s="14" t="s">
        <v>2041</v>
      </c>
      <c r="H2150" s="4" t="s">
        <v>2000</v>
      </c>
      <c r="I2150" s="4" t="s">
        <v>122</v>
      </c>
      <c r="K2150" s="7">
        <v>1</v>
      </c>
      <c r="L2150" s="4"/>
      <c r="M2150" s="12"/>
      <c r="N2150" s="4"/>
      <c r="O2150" s="4"/>
      <c r="P2150" s="4"/>
      <c r="Q2150" s="11">
        <v>1</v>
      </c>
      <c r="S2150" s="4"/>
      <c r="T2150" s="11">
        <v>2</v>
      </c>
      <c r="V2150" s="4"/>
      <c r="Y2150" s="4"/>
      <c r="Z2150" s="11">
        <v>0</v>
      </c>
      <c r="AB2150" s="4"/>
      <c r="AE2150" s="4"/>
      <c r="AF2150" s="11">
        <v>0</v>
      </c>
      <c r="AH2150" s="4"/>
      <c r="AI2150" s="11">
        <v>0</v>
      </c>
      <c r="AK2150" s="4"/>
    </row>
    <row r="2151" spans="1:37" s="11" customFormat="1" x14ac:dyDescent="0.25">
      <c r="A2151" s="44" t="str">
        <f t="shared" si="40"/>
        <v>EE_LINE_INFANTRY_ED_GERMANY</v>
      </c>
      <c r="B2151" s="9" t="s">
        <v>1979</v>
      </c>
      <c r="C2151" s="4" t="s">
        <v>717</v>
      </c>
      <c r="D2151" s="4"/>
      <c r="E2151" s="4" t="s">
        <v>2551</v>
      </c>
      <c r="F2151" s="4" t="s">
        <v>2551</v>
      </c>
      <c r="G2151" s="14"/>
      <c r="H2151" s="4" t="s">
        <v>1989</v>
      </c>
      <c r="I2151" s="4" t="s">
        <v>122</v>
      </c>
      <c r="K2151" s="7">
        <v>1</v>
      </c>
      <c r="L2151" s="4"/>
      <c r="M2151" s="12"/>
      <c r="N2151" s="4"/>
      <c r="O2151" s="4"/>
      <c r="P2151" s="4"/>
      <c r="Q2151" s="11">
        <v>4</v>
      </c>
      <c r="S2151" s="4"/>
      <c r="T2151" s="11">
        <v>5</v>
      </c>
      <c r="V2151" s="4"/>
      <c r="Y2151" s="4"/>
      <c r="Z2151" s="11">
        <v>1</v>
      </c>
      <c r="AB2151" s="4"/>
      <c r="AE2151" s="4"/>
      <c r="AF2151" s="11">
        <v>1</v>
      </c>
      <c r="AH2151" s="4"/>
      <c r="AI2151" s="11">
        <v>2</v>
      </c>
      <c r="AK2151" s="4"/>
    </row>
    <row r="2152" spans="1:37" s="11" customFormat="1" x14ac:dyDescent="0.25">
      <c r="A2152" s="44" t="str">
        <f t="shared" si="40"/>
        <v>EE_LINE_INFANTRY_ED_GERMANY</v>
      </c>
      <c r="B2152" s="9" t="s">
        <v>1979</v>
      </c>
      <c r="C2152" s="4" t="s">
        <v>717</v>
      </c>
      <c r="D2152" s="4"/>
      <c r="E2152" s="4" t="s">
        <v>2551</v>
      </c>
      <c r="F2152" s="4" t="s">
        <v>2551</v>
      </c>
      <c r="G2152" s="14" t="s">
        <v>2039</v>
      </c>
      <c r="H2152" s="4" t="s">
        <v>1997</v>
      </c>
      <c r="I2152" s="4" t="s">
        <v>122</v>
      </c>
      <c r="K2152" s="7">
        <v>1</v>
      </c>
      <c r="L2152" s="4"/>
      <c r="M2152" s="12"/>
      <c r="N2152" s="4"/>
      <c r="O2152" s="4"/>
      <c r="P2152" s="4"/>
      <c r="Q2152" s="11">
        <v>2</v>
      </c>
      <c r="S2152" s="4"/>
      <c r="T2152" s="11">
        <v>2</v>
      </c>
      <c r="V2152" s="4"/>
      <c r="Y2152" s="4"/>
      <c r="Z2152" s="11">
        <v>0</v>
      </c>
      <c r="AB2152" s="4"/>
      <c r="AE2152" s="4"/>
      <c r="AF2152" s="11">
        <v>1</v>
      </c>
      <c r="AH2152" s="4"/>
      <c r="AI2152" s="11">
        <v>1</v>
      </c>
      <c r="AK2152" s="4"/>
    </row>
    <row r="2153" spans="1:37" s="11" customFormat="1" x14ac:dyDescent="0.25">
      <c r="A2153" s="44" t="str">
        <f t="shared" si="40"/>
        <v>EE_LINE_INFANTRY_ED_GERMANY</v>
      </c>
      <c r="B2153" s="9" t="s">
        <v>1979</v>
      </c>
      <c r="C2153" s="4" t="s">
        <v>717</v>
      </c>
      <c r="D2153" s="4"/>
      <c r="E2153" s="4" t="s">
        <v>2551</v>
      </c>
      <c r="F2153" s="4" t="s">
        <v>2551</v>
      </c>
      <c r="G2153" s="14" t="s">
        <v>2041</v>
      </c>
      <c r="H2153" s="4" t="s">
        <v>1998</v>
      </c>
      <c r="I2153" s="4" t="s">
        <v>122</v>
      </c>
      <c r="K2153" s="7">
        <v>1</v>
      </c>
      <c r="L2153" s="4"/>
      <c r="M2153" s="12"/>
      <c r="N2153" s="4"/>
      <c r="O2153" s="4"/>
      <c r="P2153" s="4"/>
      <c r="Q2153" s="11">
        <v>1</v>
      </c>
      <c r="S2153" s="4"/>
      <c r="T2153" s="11">
        <v>1</v>
      </c>
      <c r="V2153" s="4"/>
      <c r="Y2153" s="4"/>
      <c r="Z2153" s="11">
        <v>0</v>
      </c>
      <c r="AB2153" s="4"/>
      <c r="AE2153" s="4"/>
      <c r="AF2153" s="11">
        <v>1</v>
      </c>
      <c r="AH2153" s="4"/>
      <c r="AI2153" s="11">
        <v>1</v>
      </c>
      <c r="AK2153" s="4"/>
    </row>
    <row r="2154" spans="1:37" s="11" customFormat="1" x14ac:dyDescent="0.25">
      <c r="A2154" s="44" t="str">
        <f t="shared" si="40"/>
        <v>EE_LINE_INFANTRY_ED_GERMANY</v>
      </c>
      <c r="B2154" s="9" t="s">
        <v>1979</v>
      </c>
      <c r="C2154" s="4" t="s">
        <v>717</v>
      </c>
      <c r="D2154" s="4"/>
      <c r="E2154" s="4" t="s">
        <v>2551</v>
      </c>
      <c r="F2154" s="4" t="s">
        <v>2551</v>
      </c>
      <c r="G2154" s="14"/>
      <c r="H2154" s="4" t="s">
        <v>1989</v>
      </c>
      <c r="I2154" s="4" t="s">
        <v>122</v>
      </c>
      <c r="K2154" s="7">
        <v>1</v>
      </c>
      <c r="L2154" s="4"/>
      <c r="M2154" s="12"/>
      <c r="N2154" s="4"/>
      <c r="O2154" s="4"/>
      <c r="P2154" s="4"/>
      <c r="Q2154" s="11">
        <v>4</v>
      </c>
      <c r="S2154" s="4"/>
      <c r="T2154" s="11">
        <v>6</v>
      </c>
      <c r="V2154" s="4"/>
      <c r="Y2154" s="4"/>
      <c r="Z2154" s="11">
        <v>0</v>
      </c>
      <c r="AB2154" s="4"/>
      <c r="AE2154" s="4"/>
      <c r="AF2154" s="11">
        <v>0</v>
      </c>
      <c r="AH2154" s="4"/>
      <c r="AI2154" s="11">
        <v>3</v>
      </c>
      <c r="AK2154" s="4"/>
    </row>
    <row r="2155" spans="1:37" s="11" customFormat="1" x14ac:dyDescent="0.25">
      <c r="A2155" s="44" t="str">
        <f t="shared" si="40"/>
        <v>EE_LINE_INFANTRY_ED_GERMANY</v>
      </c>
      <c r="B2155" s="9" t="s">
        <v>1979</v>
      </c>
      <c r="C2155" s="4" t="s">
        <v>717</v>
      </c>
      <c r="D2155" s="4"/>
      <c r="E2155" s="4" t="s">
        <v>2551</v>
      </c>
      <c r="F2155" s="4" t="s">
        <v>2551</v>
      </c>
      <c r="G2155" s="14" t="s">
        <v>2039</v>
      </c>
      <c r="H2155" s="4" t="s">
        <v>1997</v>
      </c>
      <c r="I2155" s="4" t="s">
        <v>122</v>
      </c>
      <c r="K2155" s="7">
        <v>1</v>
      </c>
      <c r="L2155" s="4"/>
      <c r="M2155" s="12"/>
      <c r="N2155" s="4"/>
      <c r="O2155" s="4"/>
      <c r="P2155" s="4"/>
      <c r="Q2155" s="11">
        <v>2</v>
      </c>
      <c r="S2155" s="4"/>
      <c r="T2155" s="11">
        <v>3</v>
      </c>
      <c r="V2155" s="4"/>
      <c r="Y2155" s="4"/>
      <c r="Z2155" s="11">
        <v>0</v>
      </c>
      <c r="AB2155" s="4"/>
      <c r="AE2155" s="4"/>
      <c r="AF2155" s="11">
        <v>0</v>
      </c>
      <c r="AH2155" s="4"/>
      <c r="AI2155" s="11">
        <v>0</v>
      </c>
      <c r="AK2155" s="4"/>
    </row>
    <row r="2156" spans="1:37" s="11" customFormat="1" x14ac:dyDescent="0.25">
      <c r="A2156" s="44" t="str">
        <f t="shared" si="40"/>
        <v>EE_LINE_INFANTRY_ED_GERMANY</v>
      </c>
      <c r="B2156" s="9" t="s">
        <v>1979</v>
      </c>
      <c r="C2156" s="4" t="s">
        <v>717</v>
      </c>
      <c r="D2156" s="4"/>
      <c r="E2156" s="4" t="s">
        <v>2551</v>
      </c>
      <c r="F2156" s="4" t="s">
        <v>2551</v>
      </c>
      <c r="G2156" s="14" t="s">
        <v>2041</v>
      </c>
      <c r="H2156" s="4" t="s">
        <v>1998</v>
      </c>
      <c r="I2156" s="4" t="s">
        <v>122</v>
      </c>
      <c r="K2156" s="7">
        <v>1</v>
      </c>
      <c r="L2156" s="4"/>
      <c r="M2156" s="12"/>
      <c r="N2156" s="4"/>
      <c r="O2156" s="4"/>
      <c r="P2156" s="4"/>
      <c r="Q2156" s="11">
        <v>1</v>
      </c>
      <c r="S2156" s="4"/>
      <c r="T2156" s="11">
        <v>2</v>
      </c>
      <c r="V2156" s="4"/>
      <c r="Y2156" s="4"/>
      <c r="Z2156" s="11">
        <v>0</v>
      </c>
      <c r="AB2156" s="4"/>
      <c r="AE2156" s="4"/>
      <c r="AF2156" s="11">
        <v>0</v>
      </c>
      <c r="AH2156" s="4"/>
      <c r="AI2156" s="11">
        <v>0</v>
      </c>
      <c r="AK2156" s="4"/>
    </row>
    <row r="2157" spans="1:37" s="11" customFormat="1" x14ac:dyDescent="0.25">
      <c r="A2157" s="44" t="str">
        <f t="shared" si="40"/>
        <v>EE_LINE_INFANTRY_ED_NETHERLANDS</v>
      </c>
      <c r="B2157" s="9" t="s">
        <v>1979</v>
      </c>
      <c r="C2157" s="4" t="s">
        <v>730</v>
      </c>
      <c r="D2157" s="4"/>
      <c r="E2157" s="4" t="s">
        <v>2551</v>
      </c>
      <c r="F2157" s="4" t="s">
        <v>2551</v>
      </c>
      <c r="G2157" s="14"/>
      <c r="H2157" s="4" t="s">
        <v>1990</v>
      </c>
      <c r="I2157" s="4" t="s">
        <v>122</v>
      </c>
      <c r="K2157" s="7">
        <v>1</v>
      </c>
      <c r="L2157" s="4"/>
      <c r="M2157" s="12"/>
      <c r="N2157" s="4"/>
      <c r="O2157" s="4"/>
      <c r="P2157" s="4"/>
      <c r="Q2157" s="11">
        <v>4</v>
      </c>
      <c r="S2157" s="4"/>
      <c r="T2157" s="11">
        <v>5</v>
      </c>
      <c r="V2157" s="4"/>
      <c r="Y2157" s="4"/>
      <c r="Z2157" s="11">
        <v>1</v>
      </c>
      <c r="AB2157" s="4"/>
      <c r="AE2157" s="4"/>
      <c r="AF2157" s="11">
        <v>1</v>
      </c>
      <c r="AH2157" s="4"/>
      <c r="AI2157" s="11">
        <v>2</v>
      </c>
      <c r="AK2157" s="4"/>
    </row>
    <row r="2158" spans="1:37" s="11" customFormat="1" x14ac:dyDescent="0.25">
      <c r="A2158" s="44" t="str">
        <f t="shared" si="40"/>
        <v>EE_LINE_INFANTRY_ED_NETHERLANDS</v>
      </c>
      <c r="B2158" s="9" t="s">
        <v>1979</v>
      </c>
      <c r="C2158" s="4" t="s">
        <v>730</v>
      </c>
      <c r="D2158" s="4"/>
      <c r="E2158" s="4" t="s">
        <v>2551</v>
      </c>
      <c r="F2158" s="4" t="s">
        <v>2551</v>
      </c>
      <c r="G2158" s="14" t="s">
        <v>2039</v>
      </c>
      <c r="H2158" s="4" t="s">
        <v>1995</v>
      </c>
      <c r="I2158" s="4" t="s">
        <v>122</v>
      </c>
      <c r="K2158" s="7">
        <v>1</v>
      </c>
      <c r="L2158" s="4"/>
      <c r="M2158" s="12"/>
      <c r="N2158" s="4"/>
      <c r="O2158" s="4"/>
      <c r="P2158" s="4"/>
      <c r="Q2158" s="11">
        <v>2</v>
      </c>
      <c r="S2158" s="4"/>
      <c r="T2158" s="11">
        <v>2</v>
      </c>
      <c r="V2158" s="4"/>
      <c r="Y2158" s="4"/>
      <c r="Z2158" s="11">
        <v>0</v>
      </c>
      <c r="AB2158" s="4"/>
      <c r="AE2158" s="4"/>
      <c r="AF2158" s="11">
        <v>1</v>
      </c>
      <c r="AH2158" s="4"/>
      <c r="AI2158" s="11">
        <v>1</v>
      </c>
      <c r="AK2158" s="4"/>
    </row>
    <row r="2159" spans="1:37" s="11" customFormat="1" x14ac:dyDescent="0.25">
      <c r="A2159" s="44" t="str">
        <f t="shared" si="40"/>
        <v>EE_LINE_INFANTRY_ED_NETHERLANDS</v>
      </c>
      <c r="B2159" s="9" t="s">
        <v>1979</v>
      </c>
      <c r="C2159" s="4" t="s">
        <v>730</v>
      </c>
      <c r="D2159" s="4"/>
      <c r="E2159" s="4" t="s">
        <v>2551</v>
      </c>
      <c r="F2159" s="4" t="s">
        <v>2551</v>
      </c>
      <c r="G2159" s="14" t="s">
        <v>2041</v>
      </c>
      <c r="H2159" s="4" t="s">
        <v>1996</v>
      </c>
      <c r="I2159" s="4" t="s">
        <v>122</v>
      </c>
      <c r="K2159" s="7">
        <v>1</v>
      </c>
      <c r="L2159" s="4"/>
      <c r="M2159" s="12"/>
      <c r="N2159" s="4"/>
      <c r="O2159" s="4"/>
      <c r="P2159" s="4"/>
      <c r="Q2159" s="11">
        <v>1</v>
      </c>
      <c r="S2159" s="4"/>
      <c r="T2159" s="11">
        <v>1</v>
      </c>
      <c r="V2159" s="4"/>
      <c r="Y2159" s="4"/>
      <c r="Z2159" s="11">
        <v>0</v>
      </c>
      <c r="AB2159" s="4"/>
      <c r="AE2159" s="4"/>
      <c r="AF2159" s="11">
        <v>1</v>
      </c>
      <c r="AH2159" s="4"/>
      <c r="AI2159" s="11">
        <v>1</v>
      </c>
      <c r="AK2159" s="4"/>
    </row>
    <row r="2160" spans="1:37" s="11" customFormat="1" x14ac:dyDescent="0.25">
      <c r="A2160" s="44" t="str">
        <f t="shared" si="40"/>
        <v>EE_LINE_INFANTRY_ED_NETHERLANDS</v>
      </c>
      <c r="B2160" s="9" t="s">
        <v>1979</v>
      </c>
      <c r="C2160" s="4" t="s">
        <v>730</v>
      </c>
      <c r="D2160" s="4"/>
      <c r="E2160" s="4" t="s">
        <v>2551</v>
      </c>
      <c r="F2160" s="4" t="s">
        <v>2551</v>
      </c>
      <c r="G2160" s="14"/>
      <c r="H2160" s="4" t="s">
        <v>1990</v>
      </c>
      <c r="I2160" s="4" t="s">
        <v>122</v>
      </c>
      <c r="K2160" s="7">
        <v>1</v>
      </c>
      <c r="L2160" s="4"/>
      <c r="M2160" s="12"/>
      <c r="N2160" s="4"/>
      <c r="O2160" s="4"/>
      <c r="P2160" s="4"/>
      <c r="Q2160" s="11">
        <v>4</v>
      </c>
      <c r="S2160" s="4"/>
      <c r="T2160" s="11">
        <v>6</v>
      </c>
      <c r="V2160" s="4"/>
      <c r="Y2160" s="4"/>
      <c r="Z2160" s="11">
        <v>0</v>
      </c>
      <c r="AB2160" s="4"/>
      <c r="AE2160" s="4"/>
      <c r="AF2160" s="11">
        <v>0</v>
      </c>
      <c r="AH2160" s="4"/>
      <c r="AI2160" s="11">
        <v>3</v>
      </c>
      <c r="AK2160" s="4"/>
    </row>
    <row r="2161" spans="1:43" s="11" customFormat="1" x14ac:dyDescent="0.25">
      <c r="A2161" s="44" t="str">
        <f t="shared" si="40"/>
        <v>EE_LINE_INFANTRY_ED_NETHERLANDS</v>
      </c>
      <c r="B2161" s="9" t="s">
        <v>1979</v>
      </c>
      <c r="C2161" s="4" t="s">
        <v>730</v>
      </c>
      <c r="D2161" s="4"/>
      <c r="E2161" s="4" t="s">
        <v>2551</v>
      </c>
      <c r="F2161" s="4" t="s">
        <v>2551</v>
      </c>
      <c r="G2161" s="14" t="s">
        <v>2039</v>
      </c>
      <c r="H2161" s="4" t="s">
        <v>1995</v>
      </c>
      <c r="I2161" s="4" t="s">
        <v>122</v>
      </c>
      <c r="K2161" s="7">
        <v>1</v>
      </c>
      <c r="L2161" s="4"/>
      <c r="M2161" s="12"/>
      <c r="N2161" s="4"/>
      <c r="O2161" s="4"/>
      <c r="P2161" s="4"/>
      <c r="Q2161" s="11">
        <v>2</v>
      </c>
      <c r="S2161" s="4"/>
      <c r="T2161" s="11">
        <v>3</v>
      </c>
      <c r="V2161" s="4"/>
      <c r="Y2161" s="4"/>
      <c r="Z2161" s="11">
        <v>0</v>
      </c>
      <c r="AB2161" s="4"/>
      <c r="AE2161" s="4"/>
      <c r="AF2161" s="11">
        <v>0</v>
      </c>
      <c r="AH2161" s="4"/>
      <c r="AI2161" s="11">
        <v>0</v>
      </c>
      <c r="AK2161" s="4"/>
    </row>
    <row r="2162" spans="1:43" s="11" customFormat="1" x14ac:dyDescent="0.25">
      <c r="A2162" s="44" t="str">
        <f t="shared" si="40"/>
        <v>EE_LINE_INFANTRY_ED_NETHERLANDS</v>
      </c>
      <c r="B2162" s="9" t="s">
        <v>1979</v>
      </c>
      <c r="C2162" s="4" t="s">
        <v>730</v>
      </c>
      <c r="D2162" s="4"/>
      <c r="E2162" s="4" t="s">
        <v>2551</v>
      </c>
      <c r="F2162" s="4" t="s">
        <v>2551</v>
      </c>
      <c r="G2162" s="14" t="s">
        <v>2041</v>
      </c>
      <c r="H2162" s="4" t="s">
        <v>1996</v>
      </c>
      <c r="I2162" s="4" t="s">
        <v>122</v>
      </c>
      <c r="K2162" s="7">
        <v>1</v>
      </c>
      <c r="L2162" s="4"/>
      <c r="M2162" s="12"/>
      <c r="N2162" s="4"/>
      <c r="O2162" s="4"/>
      <c r="P2162" s="4"/>
      <c r="Q2162" s="11">
        <v>1</v>
      </c>
      <c r="S2162" s="4"/>
      <c r="T2162" s="11">
        <v>2</v>
      </c>
      <c r="V2162" s="4"/>
      <c r="Y2162" s="4"/>
      <c r="Z2162" s="11">
        <v>0</v>
      </c>
      <c r="AB2162" s="4"/>
      <c r="AE2162" s="4"/>
      <c r="AF2162" s="11">
        <v>0</v>
      </c>
      <c r="AH2162" s="4"/>
      <c r="AI2162" s="11">
        <v>0</v>
      </c>
      <c r="AK2162" s="4"/>
    </row>
    <row r="2163" spans="1:43" s="11" customFormat="1" x14ac:dyDescent="0.25">
      <c r="A2163" s="44" t="str">
        <f t="shared" si="40"/>
        <v>EE_LINE_INFANTRY_ED_RUSSIA</v>
      </c>
      <c r="B2163" s="9" t="s">
        <v>1979</v>
      </c>
      <c r="C2163" s="4" t="s">
        <v>735</v>
      </c>
      <c r="D2163" s="4"/>
      <c r="E2163" s="4" t="s">
        <v>2551</v>
      </c>
      <c r="F2163" s="4" t="s">
        <v>2551</v>
      </c>
      <c r="G2163" s="14"/>
      <c r="H2163" s="4" t="s">
        <v>1991</v>
      </c>
      <c r="I2163" s="4" t="s">
        <v>122</v>
      </c>
      <c r="K2163" s="7">
        <v>1</v>
      </c>
      <c r="L2163" s="4"/>
      <c r="M2163" s="12"/>
      <c r="N2163" s="4"/>
      <c r="O2163" s="4"/>
      <c r="P2163" s="4"/>
      <c r="Q2163" s="11">
        <v>4</v>
      </c>
      <c r="S2163" s="4"/>
      <c r="T2163" s="11">
        <v>5</v>
      </c>
      <c r="V2163" s="4"/>
      <c r="Y2163" s="4"/>
      <c r="Z2163" s="11">
        <v>1</v>
      </c>
      <c r="AB2163" s="4"/>
      <c r="AE2163" s="4"/>
      <c r="AF2163" s="11">
        <v>1</v>
      </c>
      <c r="AH2163" s="4"/>
      <c r="AI2163" s="11">
        <v>2</v>
      </c>
      <c r="AK2163" s="4"/>
    </row>
    <row r="2164" spans="1:43" s="11" customFormat="1" x14ac:dyDescent="0.25">
      <c r="A2164" s="44" t="str">
        <f t="shared" si="40"/>
        <v>EE_LINE_INFANTRY_ED_RUSSIA</v>
      </c>
      <c r="B2164" s="9" t="s">
        <v>1979</v>
      </c>
      <c r="C2164" s="4" t="s">
        <v>735</v>
      </c>
      <c r="D2164" s="4"/>
      <c r="E2164" s="4" t="s">
        <v>2551</v>
      </c>
      <c r="F2164" s="4" t="s">
        <v>2551</v>
      </c>
      <c r="G2164" s="14" t="s">
        <v>2039</v>
      </c>
      <c r="H2164" s="4" t="s">
        <v>1993</v>
      </c>
      <c r="I2164" s="4" t="s">
        <v>122</v>
      </c>
      <c r="K2164" s="7">
        <v>1</v>
      </c>
      <c r="L2164" s="4"/>
      <c r="M2164" s="12"/>
      <c r="N2164" s="4"/>
      <c r="O2164" s="4"/>
      <c r="P2164" s="4"/>
      <c r="Q2164" s="11">
        <v>2</v>
      </c>
      <c r="S2164" s="4"/>
      <c r="T2164" s="11">
        <v>2</v>
      </c>
      <c r="V2164" s="4"/>
      <c r="Y2164" s="4"/>
      <c r="Z2164" s="11">
        <v>0</v>
      </c>
      <c r="AB2164" s="4"/>
      <c r="AE2164" s="4"/>
      <c r="AF2164" s="11">
        <v>1</v>
      </c>
      <c r="AH2164" s="4"/>
      <c r="AI2164" s="11">
        <v>1</v>
      </c>
      <c r="AK2164" s="4"/>
    </row>
    <row r="2165" spans="1:43" s="11" customFormat="1" x14ac:dyDescent="0.25">
      <c r="A2165" s="44" t="str">
        <f t="shared" si="40"/>
        <v>EE_LINE_INFANTRY_ED_RUSSIA</v>
      </c>
      <c r="B2165" s="9" t="s">
        <v>1979</v>
      </c>
      <c r="C2165" s="4" t="s">
        <v>735</v>
      </c>
      <c r="D2165" s="4"/>
      <c r="E2165" s="4" t="s">
        <v>2551</v>
      </c>
      <c r="F2165" s="4" t="s">
        <v>2551</v>
      </c>
      <c r="G2165" s="14" t="s">
        <v>2041</v>
      </c>
      <c r="H2165" s="4" t="s">
        <v>1994</v>
      </c>
      <c r="I2165" s="4" t="s">
        <v>122</v>
      </c>
      <c r="K2165" s="7">
        <v>1</v>
      </c>
      <c r="L2165" s="4"/>
      <c r="M2165" s="12"/>
      <c r="N2165" s="4"/>
      <c r="O2165" s="4"/>
      <c r="P2165" s="4"/>
      <c r="Q2165" s="11">
        <v>1</v>
      </c>
      <c r="S2165" s="4"/>
      <c r="T2165" s="11">
        <v>1</v>
      </c>
      <c r="V2165" s="4"/>
      <c r="Y2165" s="4"/>
      <c r="Z2165" s="11">
        <v>0</v>
      </c>
      <c r="AB2165" s="4"/>
      <c r="AE2165" s="4"/>
      <c r="AF2165" s="11">
        <v>1</v>
      </c>
      <c r="AH2165" s="4"/>
      <c r="AI2165" s="11">
        <v>1</v>
      </c>
      <c r="AK2165" s="4"/>
    </row>
    <row r="2166" spans="1:43" s="11" customFormat="1" x14ac:dyDescent="0.25">
      <c r="A2166" s="44" t="str">
        <f t="shared" si="40"/>
        <v>EE_LINE_INFANTRY_ED_RUSSIA</v>
      </c>
      <c r="B2166" s="9" t="s">
        <v>1979</v>
      </c>
      <c r="C2166" s="4" t="s">
        <v>735</v>
      </c>
      <c r="D2166" s="4"/>
      <c r="E2166" s="4" t="s">
        <v>2551</v>
      </c>
      <c r="F2166" s="4" t="s">
        <v>2551</v>
      </c>
      <c r="G2166" s="14"/>
      <c r="H2166" s="4" t="s">
        <v>1991</v>
      </c>
      <c r="I2166" s="4" t="s">
        <v>122</v>
      </c>
      <c r="K2166" s="7">
        <v>1</v>
      </c>
      <c r="L2166" s="4"/>
      <c r="M2166" s="12"/>
      <c r="N2166" s="4"/>
      <c r="O2166" s="4"/>
      <c r="P2166" s="4"/>
      <c r="Q2166" s="11">
        <v>4</v>
      </c>
      <c r="S2166" s="4"/>
      <c r="T2166" s="11">
        <v>6</v>
      </c>
      <c r="V2166" s="4"/>
      <c r="Y2166" s="4"/>
      <c r="Z2166" s="11">
        <v>0</v>
      </c>
      <c r="AB2166" s="4"/>
      <c r="AE2166" s="4"/>
      <c r="AF2166" s="11">
        <v>0</v>
      </c>
      <c r="AH2166" s="4"/>
      <c r="AI2166" s="11">
        <v>3</v>
      </c>
      <c r="AK2166" s="4"/>
    </row>
    <row r="2167" spans="1:43" x14ac:dyDescent="0.25">
      <c r="A2167" s="44" t="str">
        <f t="shared" si="40"/>
        <v>EE_LINE_INFANTRY_ED_RUSSIA</v>
      </c>
      <c r="B2167" s="9" t="s">
        <v>1979</v>
      </c>
      <c r="C2167" s="4" t="s">
        <v>735</v>
      </c>
      <c r="E2167" s="4" t="s">
        <v>2551</v>
      </c>
      <c r="F2167" s="4" t="s">
        <v>2551</v>
      </c>
      <c r="G2167" s="14" t="s">
        <v>2039</v>
      </c>
      <c r="H2167" s="4" t="s">
        <v>1993</v>
      </c>
      <c r="I2167" s="4" t="s">
        <v>122</v>
      </c>
      <c r="K2167" s="7">
        <v>1</v>
      </c>
      <c r="Q2167" s="11">
        <v>2</v>
      </c>
      <c r="T2167" s="11">
        <v>3</v>
      </c>
      <c r="Z2167" s="11">
        <v>0</v>
      </c>
      <c r="AF2167" s="11">
        <v>0</v>
      </c>
      <c r="AI2167" s="11">
        <v>0</v>
      </c>
      <c r="AL2167" s="11"/>
      <c r="AM2167" s="11"/>
      <c r="AN2167" s="11"/>
      <c r="AO2167" s="11"/>
      <c r="AP2167" s="11"/>
      <c r="AQ2167" s="11"/>
    </row>
    <row r="2168" spans="1:43" x14ac:dyDescent="0.25">
      <c r="A2168" s="44" t="str">
        <f t="shared" si="40"/>
        <v>EE_LINE_INFANTRY_ED_RUSSIA</v>
      </c>
      <c r="B2168" s="9" t="s">
        <v>1979</v>
      </c>
      <c r="C2168" s="4" t="s">
        <v>735</v>
      </c>
      <c r="E2168" s="4" t="s">
        <v>2551</v>
      </c>
      <c r="F2168" s="4" t="s">
        <v>2551</v>
      </c>
      <c r="G2168" s="14" t="s">
        <v>2041</v>
      </c>
      <c r="H2168" s="4" t="s">
        <v>1994</v>
      </c>
      <c r="I2168" s="4" t="s">
        <v>122</v>
      </c>
      <c r="K2168" s="7">
        <v>1</v>
      </c>
      <c r="Q2168" s="11">
        <v>1</v>
      </c>
      <c r="T2168" s="11">
        <v>2</v>
      </c>
      <c r="Z2168" s="11">
        <v>0</v>
      </c>
      <c r="AF2168" s="11">
        <v>0</v>
      </c>
      <c r="AI2168" s="11">
        <v>0</v>
      </c>
      <c r="AL2168" s="11"/>
      <c r="AM2168" s="11"/>
      <c r="AN2168" s="11"/>
      <c r="AO2168" s="11"/>
      <c r="AP2168" s="11"/>
      <c r="AQ2168" s="11"/>
    </row>
    <row r="2169" spans="1:43" x14ac:dyDescent="0.25">
      <c r="A2169" s="44" t="str">
        <f t="shared" si="40"/>
        <v>EE_LINE_INFANTRY_ED_SPAIN</v>
      </c>
      <c r="B2169" s="9" t="s">
        <v>1979</v>
      </c>
      <c r="C2169" s="4" t="s">
        <v>738</v>
      </c>
      <c r="E2169" s="4" t="s">
        <v>2551</v>
      </c>
      <c r="F2169" s="4" t="s">
        <v>2551</v>
      </c>
      <c r="G2169" s="14"/>
      <c r="H2169" s="4" t="s">
        <v>1992</v>
      </c>
      <c r="I2169" s="4" t="s">
        <v>122</v>
      </c>
      <c r="K2169" s="7">
        <v>1</v>
      </c>
      <c r="Q2169" s="11">
        <v>14</v>
      </c>
      <c r="T2169" s="11">
        <v>19</v>
      </c>
      <c r="Z2169" s="11">
        <v>1</v>
      </c>
      <c r="AF2169" s="11">
        <v>3</v>
      </c>
      <c r="AI2169" s="11">
        <v>7</v>
      </c>
      <c r="AL2169" s="11"/>
      <c r="AM2169" s="11"/>
      <c r="AN2169" s="11"/>
      <c r="AO2169" s="11"/>
      <c r="AP2169" s="11"/>
      <c r="AQ2169" s="11"/>
    </row>
    <row r="2170" spans="1:43" x14ac:dyDescent="0.25">
      <c r="A2170" s="44" t="str">
        <f t="shared" si="40"/>
        <v>EE_LINE_INFANTRY_ED_WITTENBERG</v>
      </c>
      <c r="B2170" s="9" t="s">
        <v>1979</v>
      </c>
      <c r="C2170" s="4" t="s">
        <v>1215</v>
      </c>
      <c r="E2170" s="4" t="s">
        <v>2551</v>
      </c>
      <c r="F2170" s="4" t="s">
        <v>2551</v>
      </c>
      <c r="G2170" s="14"/>
      <c r="H2170" s="4" t="s">
        <v>2377</v>
      </c>
      <c r="I2170" s="4" t="s">
        <v>2069</v>
      </c>
      <c r="K2170" s="7">
        <v>1</v>
      </c>
      <c r="Q2170" s="11">
        <v>14</v>
      </c>
      <c r="T2170" s="11">
        <v>19</v>
      </c>
      <c r="Z2170" s="11">
        <v>1</v>
      </c>
      <c r="AF2170" s="11">
        <v>3</v>
      </c>
      <c r="AI2170" s="11">
        <v>7</v>
      </c>
      <c r="AL2170" s="11"/>
      <c r="AM2170" s="11"/>
      <c r="AN2170" s="11"/>
      <c r="AO2170" s="11"/>
      <c r="AP2170" s="11"/>
      <c r="AQ2170" s="11"/>
    </row>
    <row r="2171" spans="1:43" x14ac:dyDescent="0.25">
      <c r="A2171" s="44" t="str">
        <f t="shared" si="40"/>
        <v>EE_SHIP_OF_THE_LINE</v>
      </c>
      <c r="B2171" s="9" t="s">
        <v>2492</v>
      </c>
      <c r="E2171" s="4" t="s">
        <v>2492</v>
      </c>
      <c r="F2171" s="4" t="s">
        <v>2492</v>
      </c>
      <c r="G2171" s="14"/>
      <c r="H2171" s="4" t="s">
        <v>2160</v>
      </c>
      <c r="K2171" s="7">
        <v>1</v>
      </c>
      <c r="Q2171" s="7">
        <v>1</v>
      </c>
      <c r="R2171" s="6">
        <v>0.13700000000000001</v>
      </c>
      <c r="S2171" s="13"/>
      <c r="T2171" s="7">
        <v>2</v>
      </c>
      <c r="U2171" s="6">
        <v>0.115</v>
      </c>
      <c r="V2171" s="5" t="s">
        <v>1697</v>
      </c>
      <c r="W2171" s="6"/>
      <c r="X2171" s="6"/>
      <c r="Y2171" s="5"/>
      <c r="Z2171" s="6"/>
      <c r="AA2171" s="6"/>
      <c r="AB2171" s="5"/>
      <c r="AC2171" s="6"/>
      <c r="AD2171" s="6"/>
      <c r="AE2171" s="5"/>
      <c r="AF2171" s="6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44" t="str">
        <f t="shared" si="40"/>
        <v>EE_SKIRMISHER</v>
      </c>
      <c r="B2172" s="9" t="s">
        <v>2057</v>
      </c>
      <c r="E2172" s="4" t="s">
        <v>2057</v>
      </c>
      <c r="F2172" s="4" t="s">
        <v>2057</v>
      </c>
      <c r="H2172" s="4" t="s">
        <v>1987</v>
      </c>
      <c r="I2172" s="4" t="s">
        <v>122</v>
      </c>
      <c r="K2172" s="7">
        <v>1</v>
      </c>
      <c r="Q2172" s="11">
        <v>14</v>
      </c>
      <c r="R2172" s="11" t="s">
        <v>1734</v>
      </c>
      <c r="S2172" s="4" t="s">
        <v>1617</v>
      </c>
      <c r="T2172" s="11">
        <v>19</v>
      </c>
      <c r="U2172" s="11" t="s">
        <v>1734</v>
      </c>
      <c r="Z2172" s="11">
        <v>1</v>
      </c>
      <c r="AD2172" s="11" t="s">
        <v>3</v>
      </c>
      <c r="AF2172" s="11" t="s">
        <v>1734</v>
      </c>
      <c r="AI2172" s="11" t="s">
        <v>1734</v>
      </c>
      <c r="AL2172" s="11"/>
      <c r="AM2172" s="11"/>
      <c r="AN2172" s="11"/>
      <c r="AO2172" s="11"/>
      <c r="AP2172" s="11"/>
      <c r="AQ2172" s="11"/>
    </row>
    <row r="2173" spans="1:43" x14ac:dyDescent="0.25">
      <c r="A2173" s="44" t="str">
        <f t="shared" si="40"/>
        <v>EE_SKIRMISHER_ED</v>
      </c>
      <c r="B2173" s="9" t="s">
        <v>2057</v>
      </c>
      <c r="E2173" s="4" t="s">
        <v>2552</v>
      </c>
      <c r="F2173" s="4" t="s">
        <v>2552</v>
      </c>
      <c r="H2173" s="4" t="s">
        <v>2058</v>
      </c>
      <c r="I2173" s="4" t="s">
        <v>2059</v>
      </c>
      <c r="K2173" s="7">
        <v>1</v>
      </c>
      <c r="Q2173" s="11">
        <v>14</v>
      </c>
      <c r="R2173" s="11" t="s">
        <v>1734</v>
      </c>
      <c r="S2173" s="4" t="s">
        <v>1617</v>
      </c>
      <c r="T2173" s="11">
        <v>19</v>
      </c>
      <c r="U2173" s="11" t="s">
        <v>1734</v>
      </c>
      <c r="Z2173" s="11">
        <v>1</v>
      </c>
      <c r="AD2173" s="11" t="s">
        <v>3</v>
      </c>
      <c r="AF2173" s="11" t="s">
        <v>1734</v>
      </c>
      <c r="AI2173" s="11" t="s">
        <v>1734</v>
      </c>
      <c r="AL2173" s="11"/>
      <c r="AM2173" s="11"/>
      <c r="AN2173" s="11"/>
      <c r="AO2173" s="11"/>
      <c r="AP2173" s="11"/>
      <c r="AQ2173" s="11"/>
    </row>
    <row r="2174" spans="1:43" x14ac:dyDescent="0.25">
      <c r="A2174" s="44" t="str">
        <f t="shared" si="40"/>
        <v>EE_SKIRMISHER_ED_AFRI</v>
      </c>
      <c r="B2174" s="9" t="s">
        <v>2057</v>
      </c>
      <c r="C2174" s="4" t="s">
        <v>694</v>
      </c>
      <c r="D2174" s="4" t="s">
        <v>692</v>
      </c>
      <c r="E2174" s="4" t="s">
        <v>2552</v>
      </c>
      <c r="F2174" s="4" t="s">
        <v>2552</v>
      </c>
      <c r="K2174" s="7">
        <v>1</v>
      </c>
      <c r="AL2174" s="11"/>
      <c r="AM2174" s="11"/>
      <c r="AN2174" s="11"/>
      <c r="AO2174" s="11"/>
      <c r="AP2174" s="11"/>
      <c r="AQ2174" s="11"/>
    </row>
    <row r="2175" spans="1:43" x14ac:dyDescent="0.25">
      <c r="A2175" s="44" t="str">
        <f t="shared" ref="A2175:A2238" si="41">CONCATENATE(E2175,IF(ISBLANK(C2175),"",CONCATENATE("_",C2175)))</f>
        <v>EE_SKIRMISHER_ED_MED</v>
      </c>
      <c r="B2175" s="9" t="s">
        <v>2057</v>
      </c>
      <c r="C2175" s="4" t="s">
        <v>692</v>
      </c>
      <c r="E2175" s="4" t="s">
        <v>2552</v>
      </c>
      <c r="F2175" s="4" t="s">
        <v>2552</v>
      </c>
      <c r="G2175" s="4" t="s">
        <v>2041</v>
      </c>
      <c r="H2175" s="4" t="s">
        <v>2067</v>
      </c>
      <c r="I2175" s="4" t="s">
        <v>2065</v>
      </c>
      <c r="K2175" s="7">
        <v>1</v>
      </c>
      <c r="Q2175" s="11">
        <v>5</v>
      </c>
      <c r="T2175" s="11">
        <v>8</v>
      </c>
      <c r="Z2175" s="11">
        <v>1</v>
      </c>
      <c r="AF2175" s="11">
        <v>1</v>
      </c>
      <c r="AI2175" s="11">
        <v>3</v>
      </c>
      <c r="AL2175" s="11"/>
      <c r="AM2175" s="11"/>
      <c r="AN2175" s="11"/>
      <c r="AO2175" s="11"/>
      <c r="AP2175" s="11"/>
      <c r="AQ2175" s="11"/>
    </row>
    <row r="2176" spans="1:43" x14ac:dyDescent="0.25">
      <c r="A2176" s="44" t="str">
        <f t="shared" si="41"/>
        <v>EE_SKIRMISHER_ED_MED</v>
      </c>
      <c r="B2176" s="9" t="s">
        <v>2057</v>
      </c>
      <c r="C2176" s="4" t="s">
        <v>692</v>
      </c>
      <c r="E2176" s="4" t="s">
        <v>2552</v>
      </c>
      <c r="F2176" s="4" t="s">
        <v>2552</v>
      </c>
      <c r="G2176" s="4" t="s">
        <v>2039</v>
      </c>
      <c r="H2176" s="4" t="s">
        <v>2066</v>
      </c>
      <c r="I2176" s="4" t="s">
        <v>2065</v>
      </c>
      <c r="K2176" s="7">
        <v>1</v>
      </c>
      <c r="Q2176" s="11">
        <v>1</v>
      </c>
      <c r="T2176" s="11">
        <v>3</v>
      </c>
      <c r="Z2176" s="11">
        <v>0</v>
      </c>
      <c r="AF2176" s="11">
        <v>1</v>
      </c>
      <c r="AI2176" s="11">
        <v>1</v>
      </c>
      <c r="AL2176" s="11"/>
      <c r="AM2176" s="11"/>
      <c r="AN2176" s="11"/>
      <c r="AO2176" s="11"/>
      <c r="AP2176" s="11"/>
      <c r="AQ2176" s="11"/>
    </row>
    <row r="2177" spans="1:43" x14ac:dyDescent="0.25">
      <c r="A2177" s="44" t="str">
        <f t="shared" si="41"/>
        <v>EE_SKIRMISHER_ED_MED</v>
      </c>
      <c r="B2177" s="9" t="s">
        <v>2057</v>
      </c>
      <c r="C2177" s="4" t="s">
        <v>692</v>
      </c>
      <c r="E2177" s="4" t="s">
        <v>2552</v>
      </c>
      <c r="F2177" s="4" t="s">
        <v>2552</v>
      </c>
      <c r="H2177" s="4" t="s">
        <v>2064</v>
      </c>
      <c r="I2177" s="4" t="s">
        <v>2065</v>
      </c>
      <c r="K2177" s="7">
        <v>1</v>
      </c>
      <c r="Q2177" s="11">
        <v>3</v>
      </c>
      <c r="T2177" s="11">
        <v>2</v>
      </c>
      <c r="Z2177" s="11">
        <v>0</v>
      </c>
      <c r="AF2177" s="11">
        <v>1</v>
      </c>
      <c r="AI2177" s="11">
        <v>1</v>
      </c>
      <c r="AL2177" s="11"/>
      <c r="AM2177" s="11"/>
      <c r="AN2177" s="11"/>
      <c r="AO2177" s="11"/>
      <c r="AP2177" s="11"/>
      <c r="AQ2177" s="11"/>
    </row>
    <row r="2178" spans="1:43" x14ac:dyDescent="0.25">
      <c r="A2178" s="44" t="str">
        <f t="shared" si="41"/>
        <v>EE_SKIRMISHER_ED_MED</v>
      </c>
      <c r="B2178" s="9" t="s">
        <v>2057</v>
      </c>
      <c r="C2178" s="4" t="s">
        <v>692</v>
      </c>
      <c r="E2178" s="4" t="s">
        <v>2552</v>
      </c>
      <c r="F2178" s="4" t="s">
        <v>2552</v>
      </c>
      <c r="G2178" s="4" t="s">
        <v>2041</v>
      </c>
      <c r="H2178" s="4" t="s">
        <v>2067</v>
      </c>
      <c r="I2178" s="4" t="s">
        <v>2065</v>
      </c>
      <c r="K2178" s="7">
        <v>1</v>
      </c>
      <c r="Q2178" s="11">
        <v>4</v>
      </c>
      <c r="T2178" s="11">
        <v>5</v>
      </c>
      <c r="Z2178" s="11">
        <v>0</v>
      </c>
      <c r="AF2178" s="11">
        <v>0</v>
      </c>
      <c r="AI2178" s="11">
        <v>2</v>
      </c>
      <c r="AL2178" s="11"/>
      <c r="AM2178" s="11"/>
      <c r="AN2178" s="11"/>
      <c r="AO2178" s="11"/>
      <c r="AP2178" s="11"/>
      <c r="AQ2178" s="11"/>
    </row>
    <row r="2179" spans="1:43" x14ac:dyDescent="0.25">
      <c r="A2179" s="44" t="str">
        <f t="shared" si="41"/>
        <v>EE_SKIRMISHER_ED_MED</v>
      </c>
      <c r="B2179" s="9" t="s">
        <v>2057</v>
      </c>
      <c r="C2179" s="4" t="s">
        <v>692</v>
      </c>
      <c r="E2179" s="4" t="s">
        <v>2552</v>
      </c>
      <c r="F2179" s="4" t="s">
        <v>2552</v>
      </c>
      <c r="H2179" s="4" t="s">
        <v>2064</v>
      </c>
      <c r="I2179" s="4" t="s">
        <v>2065</v>
      </c>
      <c r="K2179" s="7">
        <v>1</v>
      </c>
      <c r="Q2179" s="11">
        <v>0</v>
      </c>
      <c r="T2179" s="11">
        <v>1</v>
      </c>
      <c r="Z2179" s="11">
        <v>0</v>
      </c>
      <c r="AF2179" s="11">
        <v>0</v>
      </c>
      <c r="AI2179" s="11">
        <v>0</v>
      </c>
      <c r="AL2179" s="11"/>
      <c r="AM2179" s="11"/>
      <c r="AN2179" s="11"/>
      <c r="AO2179" s="11"/>
      <c r="AP2179" s="11"/>
      <c r="AQ2179" s="11"/>
    </row>
    <row r="2180" spans="1:43" x14ac:dyDescent="0.25">
      <c r="A2180" s="44" t="str">
        <f t="shared" si="41"/>
        <v>EE_SKIRMISHER_ED_MIDEAST</v>
      </c>
      <c r="B2180" s="9" t="s">
        <v>2057</v>
      </c>
      <c r="C2180" s="4" t="s">
        <v>690</v>
      </c>
      <c r="D2180" s="4" t="s">
        <v>692</v>
      </c>
      <c r="E2180" s="4" t="s">
        <v>2552</v>
      </c>
      <c r="F2180" s="4" t="s">
        <v>2552</v>
      </c>
      <c r="K2180" s="7">
        <v>1</v>
      </c>
      <c r="AL2180" s="11"/>
      <c r="AM2180" s="11"/>
      <c r="AN2180" s="11"/>
      <c r="AO2180" s="11"/>
      <c r="AP2180" s="11"/>
      <c r="AQ2180" s="11"/>
    </row>
    <row r="2181" spans="1:43" x14ac:dyDescent="0.25">
      <c r="A2181" s="44" t="str">
        <f t="shared" si="41"/>
        <v>EE_SKIRMISHER_ED_NORTHAF</v>
      </c>
      <c r="B2181" s="9" t="s">
        <v>2057</v>
      </c>
      <c r="C2181" s="4" t="s">
        <v>2003</v>
      </c>
      <c r="D2181" s="4" t="s">
        <v>692</v>
      </c>
      <c r="E2181" s="4" t="s">
        <v>2552</v>
      </c>
      <c r="F2181" s="4" t="s">
        <v>2552</v>
      </c>
      <c r="K2181" s="7">
        <v>1</v>
      </c>
      <c r="AL2181" s="11"/>
      <c r="AM2181" s="11"/>
      <c r="AN2181" s="11"/>
      <c r="AO2181" s="11"/>
      <c r="AP2181" s="11"/>
      <c r="AQ2181" s="11"/>
    </row>
    <row r="2182" spans="1:43" x14ac:dyDescent="0.25">
      <c r="A2182" s="44" t="str">
        <f t="shared" si="41"/>
        <v>EE_SKIRMISHER_ED_SOUTHAM</v>
      </c>
      <c r="B2182" s="9" t="s">
        <v>2057</v>
      </c>
      <c r="C2182" s="4" t="s">
        <v>691</v>
      </c>
      <c r="E2182" s="4" t="s">
        <v>2552</v>
      </c>
      <c r="F2182" s="4" t="s">
        <v>2552</v>
      </c>
      <c r="H2182" s="4" t="s">
        <v>2062</v>
      </c>
      <c r="I2182" s="4" t="s">
        <v>2063</v>
      </c>
      <c r="K2182" s="7">
        <v>1</v>
      </c>
      <c r="R2182" s="11">
        <v>0.13500000000000001</v>
      </c>
      <c r="AL2182" s="11"/>
      <c r="AM2182" s="11"/>
      <c r="AN2182" s="11"/>
      <c r="AO2182" s="11"/>
      <c r="AP2182" s="11"/>
      <c r="AQ2182" s="11"/>
    </row>
    <row r="2183" spans="1:43" x14ac:dyDescent="0.25">
      <c r="A2183" s="44" t="str">
        <f t="shared" si="41"/>
        <v>EE_UHLAN</v>
      </c>
      <c r="B2183" s="9" t="s">
        <v>2493</v>
      </c>
      <c r="E2183" s="4" t="s">
        <v>2493</v>
      </c>
      <c r="F2183" s="4" t="s">
        <v>2493</v>
      </c>
      <c r="H2183" s="4" t="s">
        <v>380</v>
      </c>
      <c r="I2183" s="4" t="s">
        <v>122</v>
      </c>
      <c r="K2183" s="7">
        <v>1</v>
      </c>
      <c r="Q2183" s="7" t="s">
        <v>1692</v>
      </c>
      <c r="R2183" s="6" t="s">
        <v>1692</v>
      </c>
      <c r="S2183" s="13" t="s">
        <v>1692</v>
      </c>
      <c r="T2183" s="6" t="s">
        <v>1692</v>
      </c>
      <c r="U2183" s="7" t="s">
        <v>1692</v>
      </c>
      <c r="V2183" s="5" t="s">
        <v>1698</v>
      </c>
      <c r="W2183" s="6" t="s">
        <v>3</v>
      </c>
      <c r="X2183" s="6" t="s">
        <v>3</v>
      </c>
      <c r="Y2183" s="5"/>
      <c r="Z2183" s="7">
        <v>1</v>
      </c>
      <c r="AA2183" s="6"/>
      <c r="AB2183" s="5"/>
      <c r="AC2183" s="6"/>
      <c r="AD2183" s="6" t="s">
        <v>3</v>
      </c>
      <c r="AE2183" s="5"/>
      <c r="AF2183" s="7" t="s">
        <v>1692</v>
      </c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44" t="str">
        <f t="shared" si="41"/>
        <v>ARSENAL_SHIP</v>
      </c>
      <c r="B2184" s="9" t="s">
        <v>2475</v>
      </c>
      <c r="E2184" s="4" t="s">
        <v>2408</v>
      </c>
      <c r="F2184" s="4" t="s">
        <v>2408</v>
      </c>
      <c r="H2184" s="4" t="s">
        <v>2442</v>
      </c>
      <c r="I2184" s="4" t="s">
        <v>1928</v>
      </c>
      <c r="K2184" s="7">
        <v>1</v>
      </c>
      <c r="Q2184" s="7">
        <v>1</v>
      </c>
      <c r="R2184" s="6">
        <v>0.11</v>
      </c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44" t="str">
        <f t="shared" si="41"/>
        <v>FW_AIRBORNE_FORCES</v>
      </c>
      <c r="B2185" s="9" t="s">
        <v>2427</v>
      </c>
      <c r="E2185" s="4" t="s">
        <v>2427</v>
      </c>
      <c r="F2185" s="4" t="s">
        <v>2427</v>
      </c>
      <c r="H2185" s="4" t="s">
        <v>2464</v>
      </c>
      <c r="I2185" s="4" t="s">
        <v>966</v>
      </c>
      <c r="K2185" s="7">
        <v>1</v>
      </c>
      <c r="Q2185" s="7">
        <v>6</v>
      </c>
      <c r="R2185" s="6" t="s">
        <v>1734</v>
      </c>
      <c r="S2185" s="13" t="s">
        <v>1617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44" t="str">
        <f t="shared" si="41"/>
        <v>FW_AUTOMATON</v>
      </c>
      <c r="B2186" s="9" t="s">
        <v>2428</v>
      </c>
      <c r="E2186" s="4" t="s">
        <v>2428</v>
      </c>
      <c r="F2186" s="4" t="s">
        <v>2428</v>
      </c>
      <c r="H2186" s="4" t="s">
        <v>2465</v>
      </c>
      <c r="I2186" s="4" t="s">
        <v>2542</v>
      </c>
      <c r="K2186" s="7">
        <v>1</v>
      </c>
      <c r="Q2186" s="7">
        <v>3</v>
      </c>
      <c r="R2186" s="6">
        <v>0.04</v>
      </c>
      <c r="S2186" s="13" t="s">
        <v>1620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44" t="str">
        <f t="shared" si="41"/>
        <v>FW_BATTLESUIT</v>
      </c>
      <c r="B2187" s="9" t="s">
        <v>2412</v>
      </c>
      <c r="E2187" s="4" t="s">
        <v>2412</v>
      </c>
      <c r="F2187" s="4" t="s">
        <v>2412</v>
      </c>
      <c r="H2187" s="4" t="s">
        <v>2448</v>
      </c>
      <c r="I2187" s="4" t="s">
        <v>2544</v>
      </c>
      <c r="K2187" s="7">
        <v>1</v>
      </c>
      <c r="Q2187" s="7">
        <v>3</v>
      </c>
      <c r="R2187" s="6">
        <v>0.05</v>
      </c>
      <c r="S2187" s="13" t="s">
        <v>1620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44" t="str">
        <f t="shared" si="41"/>
        <v>FW_BIODRONE</v>
      </c>
      <c r="B2188" s="9" t="s">
        <v>2614</v>
      </c>
      <c r="E2188" s="4" t="s">
        <v>2614</v>
      </c>
      <c r="F2188" s="4" t="s">
        <v>2614</v>
      </c>
      <c r="H2188" s="4" t="s">
        <v>2616</v>
      </c>
      <c r="I2188" s="4" t="s">
        <v>1928</v>
      </c>
      <c r="K2188" s="7">
        <v>1</v>
      </c>
      <c r="Q2188" s="7">
        <v>3</v>
      </c>
      <c r="R2188" s="6">
        <v>7.0000000000000007E-2</v>
      </c>
      <c r="S2188" s="13" t="s">
        <v>1618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44" t="str">
        <f t="shared" si="41"/>
        <v>FW_BIOINFANTRY</v>
      </c>
      <c r="B2189" s="9" t="s">
        <v>2416</v>
      </c>
      <c r="E2189" s="4" t="s">
        <v>2416</v>
      </c>
      <c r="F2189" s="4" t="s">
        <v>2416</v>
      </c>
      <c r="H2189" s="4" t="s">
        <v>2455</v>
      </c>
      <c r="I2189" s="4" t="s">
        <v>1928</v>
      </c>
      <c r="K2189" s="7">
        <v>1</v>
      </c>
      <c r="Q2189" s="7">
        <v>8</v>
      </c>
      <c r="R2189" s="6" t="s">
        <v>1734</v>
      </c>
      <c r="S2189" s="13" t="s">
        <v>1617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44" t="str">
        <f t="shared" si="41"/>
        <v>FW_BIOTROOPER</v>
      </c>
      <c r="B2190" s="9" t="s">
        <v>2417</v>
      </c>
      <c r="E2190" s="4" t="s">
        <v>2417</v>
      </c>
      <c r="F2190" s="4" t="s">
        <v>2417</v>
      </c>
      <c r="H2190" s="4" t="s">
        <v>2456</v>
      </c>
      <c r="I2190" s="4" t="s">
        <v>2806</v>
      </c>
      <c r="K2190" s="7">
        <v>1</v>
      </c>
      <c r="Q2190" s="7">
        <v>5</v>
      </c>
      <c r="R2190" s="6" t="s">
        <v>1734</v>
      </c>
      <c r="S2190" s="13" t="s">
        <v>1617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44" t="str">
        <f t="shared" si="41"/>
        <v>FW_BIOTROOPER_ED</v>
      </c>
      <c r="B2191" s="9" t="s">
        <v>2417</v>
      </c>
      <c r="E2191" s="4" t="s">
        <v>2564</v>
      </c>
      <c r="F2191" s="4" t="s">
        <v>2564</v>
      </c>
      <c r="H2191" s="4" t="s">
        <v>2456</v>
      </c>
      <c r="I2191" s="4" t="s">
        <v>2806</v>
      </c>
      <c r="K2191" s="7">
        <v>1</v>
      </c>
      <c r="Q2191" s="7">
        <v>5</v>
      </c>
      <c r="R2191" s="6" t="s">
        <v>1734</v>
      </c>
      <c r="S2191" s="13" t="s">
        <v>1617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44" t="str">
        <f t="shared" si="41"/>
        <v>FW_BIOTROOPER_ED_AMER</v>
      </c>
      <c r="B2192" s="9" t="s">
        <v>2417</v>
      </c>
      <c r="C2192" s="4" t="s">
        <v>697</v>
      </c>
      <c r="D2192" s="4" t="s">
        <v>994</v>
      </c>
      <c r="E2192" s="4" t="s">
        <v>2564</v>
      </c>
      <c r="F2192" s="4" t="s">
        <v>2564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44" t="str">
        <f t="shared" si="41"/>
        <v>FW_BIOTROOPER_ED_ASIA</v>
      </c>
      <c r="B2193" s="9" t="s">
        <v>2417</v>
      </c>
      <c r="C2193" s="4" t="s">
        <v>693</v>
      </c>
      <c r="E2193" s="4" t="s">
        <v>2564</v>
      </c>
      <c r="F2193" s="4" t="s">
        <v>2564</v>
      </c>
      <c r="H2193" s="4" t="s">
        <v>2691</v>
      </c>
      <c r="I2193" s="4" t="s">
        <v>2806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44" t="str">
        <f t="shared" si="41"/>
        <v>FW_BIOTROOPER_ED_EASTEU</v>
      </c>
      <c r="B2194" s="9" t="s">
        <v>2417</v>
      </c>
      <c r="C2194" s="4" t="s">
        <v>698</v>
      </c>
      <c r="D2194" s="4" t="s">
        <v>689</v>
      </c>
      <c r="E2194" s="4" t="s">
        <v>2564</v>
      </c>
      <c r="F2194" s="4" t="s">
        <v>2564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44" t="str">
        <f t="shared" si="41"/>
        <v>FW_BIOTROOPER_ED_EURO</v>
      </c>
      <c r="B2195" s="9" t="s">
        <v>2417</v>
      </c>
      <c r="C2195" s="4" t="s">
        <v>689</v>
      </c>
      <c r="E2195" s="4" t="s">
        <v>2564</v>
      </c>
      <c r="F2195" s="4" t="s">
        <v>2564</v>
      </c>
      <c r="H2195" s="4" t="s">
        <v>2692</v>
      </c>
      <c r="I2195" s="4" t="s">
        <v>2806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44" t="str">
        <f t="shared" si="41"/>
        <v>FW_BIOTROOPER_ED_AMERICA</v>
      </c>
      <c r="B2196" s="9" t="s">
        <v>2417</v>
      </c>
      <c r="C2196" s="4" t="s">
        <v>699</v>
      </c>
      <c r="D2196" s="4" t="s">
        <v>994</v>
      </c>
      <c r="E2196" s="4" t="s">
        <v>2564</v>
      </c>
      <c r="F2196" s="4" t="s">
        <v>2564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44" t="str">
        <f t="shared" si="41"/>
        <v>FW_BIOTROOPER_ED_AUSTRALIA</v>
      </c>
      <c r="B2197" s="9" t="s">
        <v>2417</v>
      </c>
      <c r="C2197" s="4" t="s">
        <v>1300</v>
      </c>
      <c r="D2197" s="4" t="s">
        <v>994</v>
      </c>
      <c r="E2197" s="4" t="s">
        <v>2564</v>
      </c>
      <c r="F2197" s="4" t="s">
        <v>2564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44" t="str">
        <f t="shared" si="41"/>
        <v>FW_BIOTROOPER_ED_CANADA</v>
      </c>
      <c r="B2198" s="9" t="s">
        <v>2417</v>
      </c>
      <c r="C2198" s="4" t="s">
        <v>2187</v>
      </c>
      <c r="D2198" s="4" t="s">
        <v>994</v>
      </c>
      <c r="E2198" s="4" t="s">
        <v>2564</v>
      </c>
      <c r="F2198" s="4" t="s">
        <v>2564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44" t="str">
        <f t="shared" si="41"/>
        <v>FW_BIOTROOPER_ED_MED</v>
      </c>
      <c r="B2199" s="9" t="s">
        <v>2417</v>
      </c>
      <c r="C2199" s="4" t="s">
        <v>692</v>
      </c>
      <c r="D2199" s="4" t="s">
        <v>689</v>
      </c>
      <c r="E2199" s="4" t="s">
        <v>2564</v>
      </c>
      <c r="F2199" s="4" t="s">
        <v>2564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44" t="str">
        <f t="shared" si="41"/>
        <v>FW_BIOTROOPER_ED_NORTHEU</v>
      </c>
      <c r="B2200" s="9" t="s">
        <v>2417</v>
      </c>
      <c r="C2200" s="4" t="s">
        <v>962</v>
      </c>
      <c r="D2200" s="4" t="s">
        <v>689</v>
      </c>
      <c r="E2200" s="4" t="s">
        <v>2564</v>
      </c>
      <c r="F2200" s="4" t="s">
        <v>2564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44" t="str">
        <f t="shared" si="41"/>
        <v>FW_BIOTROOPER_ED_OCEAN</v>
      </c>
      <c r="B2201" s="9" t="s">
        <v>2417</v>
      </c>
      <c r="C2201" s="4" t="s">
        <v>994</v>
      </c>
      <c r="E2201" s="4" t="s">
        <v>2564</v>
      </c>
      <c r="F2201" s="4" t="s">
        <v>2564</v>
      </c>
      <c r="H2201" s="4" t="s">
        <v>2456</v>
      </c>
      <c r="I2201" s="4" t="s">
        <v>2806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44" t="str">
        <f t="shared" si="41"/>
        <v>FW_BIOTROOPER_ED_SEASIA</v>
      </c>
      <c r="B2202" s="9" t="s">
        <v>2417</v>
      </c>
      <c r="C2202" s="4" t="s">
        <v>696</v>
      </c>
      <c r="D2202" s="4" t="s">
        <v>693</v>
      </c>
      <c r="E2202" s="4" t="s">
        <v>2564</v>
      </c>
      <c r="F2202" s="4" t="s">
        <v>2564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44" t="str">
        <f t="shared" si="41"/>
        <v>FW_BIOTROOPER_ED_SOUTHAM</v>
      </c>
      <c r="B2203" s="9" t="s">
        <v>2417</v>
      </c>
      <c r="C2203" s="4" t="s">
        <v>691</v>
      </c>
      <c r="D2203" s="4" t="s">
        <v>994</v>
      </c>
      <c r="E2203" s="4" t="s">
        <v>2564</v>
      </c>
      <c r="F2203" s="4" t="s">
        <v>2564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44" t="str">
        <f t="shared" si="41"/>
        <v>FW_BIOTROOPER_ED_SOUTHAS</v>
      </c>
      <c r="B2204" s="9" t="s">
        <v>2417</v>
      </c>
      <c r="C2204" s="4" t="s">
        <v>695</v>
      </c>
      <c r="D2204" s="4" t="s">
        <v>693</v>
      </c>
      <c r="E2204" s="4" t="s">
        <v>2564</v>
      </c>
      <c r="F2204" s="4" t="s">
        <v>2564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44" t="str">
        <f t="shared" si="41"/>
        <v>FW_CHIMERA</v>
      </c>
      <c r="B2205" s="9" t="s">
        <v>2413</v>
      </c>
      <c r="E2205" s="4" t="s">
        <v>2413</v>
      </c>
      <c r="F2205" s="4" t="s">
        <v>2413</v>
      </c>
      <c r="H2205" s="4" t="s">
        <v>2449</v>
      </c>
      <c r="I2205" s="4" t="s">
        <v>2806</v>
      </c>
      <c r="K2205" s="7">
        <v>1</v>
      </c>
      <c r="Q2205" s="7">
        <v>6</v>
      </c>
      <c r="R2205" s="6">
        <v>1.5</v>
      </c>
      <c r="S2205" s="13" t="s">
        <v>46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44" t="str">
        <f t="shared" si="41"/>
        <v>FW_CRAWLER</v>
      </c>
      <c r="B2206" s="9" t="s">
        <v>2420</v>
      </c>
      <c r="E2206" s="4" t="s">
        <v>2420</v>
      </c>
      <c r="F2206" s="4" t="s">
        <v>2420</v>
      </c>
      <c r="H2206" s="4" t="s">
        <v>2450</v>
      </c>
      <c r="I2206" s="4" t="s">
        <v>2806</v>
      </c>
      <c r="K2206" s="7">
        <v>1</v>
      </c>
      <c r="Q2206" s="7">
        <v>1</v>
      </c>
      <c r="R2206" s="6">
        <v>0.1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44" t="str">
        <f t="shared" si="41"/>
        <v>FW_CYBERSUB</v>
      </c>
      <c r="B2207" s="9" t="s">
        <v>2406</v>
      </c>
      <c r="E2207" s="4" t="s">
        <v>2406</v>
      </c>
      <c r="F2207" s="4" t="s">
        <v>2406</v>
      </c>
      <c r="H2207" s="4" t="s">
        <v>2440</v>
      </c>
      <c r="I2207" s="4" t="s">
        <v>1928</v>
      </c>
      <c r="K2207" s="7">
        <v>1</v>
      </c>
      <c r="Q2207" s="7">
        <v>1</v>
      </c>
      <c r="R2207" s="6">
        <v>0.16</v>
      </c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44" t="str">
        <f t="shared" si="41"/>
        <v>FW_CYBORG</v>
      </c>
      <c r="B2208" s="9" t="s">
        <v>2473</v>
      </c>
      <c r="E2208" s="4" t="s">
        <v>2411</v>
      </c>
      <c r="F2208" s="4" t="s">
        <v>2411</v>
      </c>
      <c r="H2208" s="4" t="s">
        <v>2445</v>
      </c>
      <c r="I2208" s="4" t="s">
        <v>2806</v>
      </c>
      <c r="K2208" s="7">
        <v>1</v>
      </c>
      <c r="Q2208" s="7">
        <v>8</v>
      </c>
      <c r="R2208" s="6" t="s">
        <v>1734</v>
      </c>
      <c r="S2208" s="13" t="s">
        <v>1617</v>
      </c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44" t="str">
        <f t="shared" si="41"/>
        <v>FW_CYBORG_ED</v>
      </c>
      <c r="B2209" s="9" t="s">
        <v>2473</v>
      </c>
      <c r="E2209" s="4" t="s">
        <v>2557</v>
      </c>
      <c r="F2209" s="4" t="s">
        <v>2557</v>
      </c>
      <c r="H2209" s="4" t="s">
        <v>2445</v>
      </c>
      <c r="I2209" s="4" t="s">
        <v>2806</v>
      </c>
      <c r="K2209" s="7">
        <v>1</v>
      </c>
      <c r="Q2209" s="7">
        <v>8</v>
      </c>
      <c r="R2209" s="6" t="s">
        <v>1734</v>
      </c>
      <c r="S2209" s="13" t="s">
        <v>1617</v>
      </c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44" t="str">
        <f t="shared" si="41"/>
        <v>FW_CYBORG_ED_AMER</v>
      </c>
      <c r="B2210" s="9" t="s">
        <v>2473</v>
      </c>
      <c r="C2210" s="4" t="s">
        <v>697</v>
      </c>
      <c r="D2210" s="4" t="s">
        <v>994</v>
      </c>
      <c r="E2210" s="4" t="s">
        <v>2557</v>
      </c>
      <c r="F2210" s="4" t="s">
        <v>2557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44" t="str">
        <f t="shared" si="41"/>
        <v>FW_CYBORG_ED_ASIA</v>
      </c>
      <c r="B2211" s="9" t="s">
        <v>2473</v>
      </c>
      <c r="C2211" s="4" t="s">
        <v>693</v>
      </c>
      <c r="E2211" s="4" t="s">
        <v>2557</v>
      </c>
      <c r="F2211" s="4" t="s">
        <v>2557</v>
      </c>
      <c r="H2211" s="4" t="s">
        <v>2446</v>
      </c>
      <c r="I2211" s="4" t="s">
        <v>2806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44" t="str">
        <f t="shared" si="41"/>
        <v>FW_CYBORG_ED_EASTEU</v>
      </c>
      <c r="B2212" s="9" t="s">
        <v>2473</v>
      </c>
      <c r="C2212" s="4" t="s">
        <v>698</v>
      </c>
      <c r="D2212" s="4" t="s">
        <v>689</v>
      </c>
      <c r="E2212" s="4" t="s">
        <v>2557</v>
      </c>
      <c r="F2212" s="4" t="s">
        <v>2557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44" t="str">
        <f t="shared" si="41"/>
        <v>FW_CYBORG_ED_EURO</v>
      </c>
      <c r="B2213" s="9" t="s">
        <v>2473</v>
      </c>
      <c r="C2213" s="4" t="s">
        <v>689</v>
      </c>
      <c r="E2213" s="4" t="s">
        <v>2557</v>
      </c>
      <c r="F2213" s="4" t="s">
        <v>2557</v>
      </c>
      <c r="H2213" s="4" t="s">
        <v>2447</v>
      </c>
      <c r="I2213" s="4" t="s">
        <v>2806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44" t="str">
        <f t="shared" si="41"/>
        <v>FW_CYBORG_ED_AMERICA</v>
      </c>
      <c r="B2214" s="9" t="s">
        <v>2473</v>
      </c>
      <c r="C2214" s="4" t="s">
        <v>699</v>
      </c>
      <c r="D2214" s="4" t="s">
        <v>994</v>
      </c>
      <c r="E2214" s="4" t="s">
        <v>2557</v>
      </c>
      <c r="F2214" s="4" t="s">
        <v>2557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44" t="str">
        <f t="shared" si="41"/>
        <v>FW_CYBORG_ED_AUSTRALIA</v>
      </c>
      <c r="B2215" s="9" t="s">
        <v>2473</v>
      </c>
      <c r="C2215" s="4" t="s">
        <v>1300</v>
      </c>
      <c r="D2215" s="4" t="s">
        <v>994</v>
      </c>
      <c r="E2215" s="4" t="s">
        <v>2557</v>
      </c>
      <c r="F2215" s="4" t="s">
        <v>2557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44" t="str">
        <f t="shared" si="41"/>
        <v>FW_CYBORG_ED_CANADA</v>
      </c>
      <c r="B2216" s="9" t="s">
        <v>2473</v>
      </c>
      <c r="C2216" s="4" t="s">
        <v>2187</v>
      </c>
      <c r="D2216" s="4" t="s">
        <v>994</v>
      </c>
      <c r="E2216" s="4" t="s">
        <v>2557</v>
      </c>
      <c r="F2216" s="4" t="s">
        <v>2557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44" t="str">
        <f t="shared" si="41"/>
        <v>FW_CYBORG_ED_MED</v>
      </c>
      <c r="B2217" s="9" t="s">
        <v>2473</v>
      </c>
      <c r="C2217" s="4" t="s">
        <v>692</v>
      </c>
      <c r="D2217" s="4" t="s">
        <v>689</v>
      </c>
      <c r="E2217" s="4" t="s">
        <v>2557</v>
      </c>
      <c r="F2217" s="4" t="s">
        <v>2557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44" t="str">
        <f t="shared" si="41"/>
        <v>FW_CYBORG_ED_NORTHEU</v>
      </c>
      <c r="B2218" s="9" t="s">
        <v>2473</v>
      </c>
      <c r="C2218" s="4" t="s">
        <v>962</v>
      </c>
      <c r="D2218" s="4" t="s">
        <v>689</v>
      </c>
      <c r="E2218" s="4" t="s">
        <v>2557</v>
      </c>
      <c r="F2218" s="4" t="s">
        <v>2557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44" t="str">
        <f t="shared" si="41"/>
        <v>FW_CYBORG_ED_OCEAN</v>
      </c>
      <c r="B2219" s="9" t="s">
        <v>2473</v>
      </c>
      <c r="C2219" s="4" t="s">
        <v>994</v>
      </c>
      <c r="E2219" s="4" t="s">
        <v>2557</v>
      </c>
      <c r="F2219" s="4" t="s">
        <v>2557</v>
      </c>
      <c r="H2219" s="4" t="s">
        <v>2445</v>
      </c>
      <c r="I2219" s="4" t="s">
        <v>2806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44" t="str">
        <f t="shared" si="41"/>
        <v>FW_CYBORG_ED_SEASIA</v>
      </c>
      <c r="B2220" s="9" t="s">
        <v>2473</v>
      </c>
      <c r="C2220" s="4" t="s">
        <v>696</v>
      </c>
      <c r="D2220" s="4" t="s">
        <v>693</v>
      </c>
      <c r="E2220" s="4" t="s">
        <v>2557</v>
      </c>
      <c r="F2220" s="4" t="s">
        <v>2557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44" t="str">
        <f t="shared" si="41"/>
        <v>FW_CYBORG_ED_SOUTHAM</v>
      </c>
      <c r="B2221" s="9" t="s">
        <v>2473</v>
      </c>
      <c r="C2221" s="4" t="s">
        <v>691</v>
      </c>
      <c r="D2221" s="4" t="s">
        <v>994</v>
      </c>
      <c r="E2221" s="4" t="s">
        <v>2557</v>
      </c>
      <c r="F2221" s="4" t="s">
        <v>2557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44" t="str">
        <f t="shared" si="41"/>
        <v>FW_CYBORG_ED_SOUTHAS</v>
      </c>
      <c r="B2222" s="9" t="s">
        <v>2473</v>
      </c>
      <c r="C2222" s="4" t="s">
        <v>695</v>
      </c>
      <c r="D2222" s="4" t="s">
        <v>693</v>
      </c>
      <c r="E2222" s="4" t="s">
        <v>2557</v>
      </c>
      <c r="F2222" s="4" t="s">
        <v>2557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44" t="str">
        <f t="shared" si="41"/>
        <v>FW_DRONE_FIGHTER_2</v>
      </c>
      <c r="B2223" s="9" t="s">
        <v>2401</v>
      </c>
      <c r="E2223" s="4" t="s">
        <v>2401</v>
      </c>
      <c r="F2223" s="4" t="s">
        <v>2401</v>
      </c>
      <c r="H2223" s="4" t="s">
        <v>2430</v>
      </c>
      <c r="I2223" s="4" t="s">
        <v>2806</v>
      </c>
      <c r="K2223" s="7">
        <v>1</v>
      </c>
      <c r="Q2223" s="7">
        <v>1</v>
      </c>
      <c r="R2223" s="6">
        <v>0.09</v>
      </c>
      <c r="S2223" s="13" t="s">
        <v>1618</v>
      </c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44" t="str">
        <f t="shared" si="41"/>
        <v>FW_DRONE_FIGHTER_2_ED</v>
      </c>
      <c r="B2224" s="9" t="s">
        <v>2401</v>
      </c>
      <c r="E2224" s="4" t="s">
        <v>2565</v>
      </c>
      <c r="F2224" s="4" t="s">
        <v>2565</v>
      </c>
      <c r="H2224" s="4" t="s">
        <v>2430</v>
      </c>
      <c r="I2224" s="4" t="s">
        <v>2806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44" t="str">
        <f t="shared" si="41"/>
        <v>FW_DRONE_FIGHTER_2_ED_AMER</v>
      </c>
      <c r="B2225" s="9" t="s">
        <v>2401</v>
      </c>
      <c r="C2225" s="4" t="s">
        <v>697</v>
      </c>
      <c r="D2225" s="4" t="s">
        <v>994</v>
      </c>
      <c r="E2225" s="4" t="s">
        <v>2565</v>
      </c>
      <c r="F2225" s="4" t="s">
        <v>2565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44" t="str">
        <f t="shared" si="41"/>
        <v>FW_DRONE_FIGHTER_2_ED_ASIA</v>
      </c>
      <c r="B2226" s="9" t="s">
        <v>2401</v>
      </c>
      <c r="C2226" s="4" t="s">
        <v>693</v>
      </c>
      <c r="E2226" s="4" t="s">
        <v>2565</v>
      </c>
      <c r="F2226" s="4" t="s">
        <v>2565</v>
      </c>
      <c r="H2226" s="4" t="s">
        <v>2693</v>
      </c>
      <c r="I2226" s="4" t="s">
        <v>2806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44" t="str">
        <f t="shared" si="41"/>
        <v>FW_DRONE_FIGHTER_2_ED_EASTEU</v>
      </c>
      <c r="B2227" s="9" t="s">
        <v>2401</v>
      </c>
      <c r="C2227" s="4" t="s">
        <v>698</v>
      </c>
      <c r="D2227" s="4" t="s">
        <v>689</v>
      </c>
      <c r="E2227" s="4" t="s">
        <v>2565</v>
      </c>
      <c r="F2227" s="4" t="s">
        <v>2565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44" t="str">
        <f t="shared" si="41"/>
        <v>FW_DRONE_FIGHTER_2_ED_EURO</v>
      </c>
      <c r="B2228" s="9" t="s">
        <v>2401</v>
      </c>
      <c r="C2228" s="4" t="s">
        <v>689</v>
      </c>
      <c r="E2228" s="4" t="s">
        <v>2565</v>
      </c>
      <c r="F2228" s="4" t="s">
        <v>2565</v>
      </c>
      <c r="H2228" s="4" t="s">
        <v>2694</v>
      </c>
      <c r="I2228" s="4" t="s">
        <v>2806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44" t="str">
        <f t="shared" si="41"/>
        <v>FW_DRONE_FIGHTER_2_ED_AMERICA</v>
      </c>
      <c r="B2229" s="9" t="s">
        <v>2401</v>
      </c>
      <c r="C2229" s="4" t="s">
        <v>699</v>
      </c>
      <c r="D2229" s="4" t="s">
        <v>994</v>
      </c>
      <c r="E2229" s="4" t="s">
        <v>2565</v>
      </c>
      <c r="F2229" s="4" t="s">
        <v>2565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44" t="str">
        <f t="shared" si="41"/>
        <v>FW_DRONE_FIGHTER_2_ED_AUSTRALIA</v>
      </c>
      <c r="B2230" s="9" t="s">
        <v>2401</v>
      </c>
      <c r="C2230" s="4" t="s">
        <v>1300</v>
      </c>
      <c r="D2230" s="4" t="s">
        <v>994</v>
      </c>
      <c r="E2230" s="4" t="s">
        <v>2565</v>
      </c>
      <c r="F2230" s="4" t="s">
        <v>2565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44" t="str">
        <f t="shared" si="41"/>
        <v>FW_DRONE_FIGHTER_2_ED_CANADA</v>
      </c>
      <c r="B2231" s="9" t="s">
        <v>2401</v>
      </c>
      <c r="C2231" s="4" t="s">
        <v>2187</v>
      </c>
      <c r="D2231" s="4" t="s">
        <v>994</v>
      </c>
      <c r="E2231" s="4" t="s">
        <v>2565</v>
      </c>
      <c r="F2231" s="4" t="s">
        <v>2565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44" t="str">
        <f t="shared" si="41"/>
        <v>FW_DRONE_FIGHTER_2_ED_MED</v>
      </c>
      <c r="B2232" s="9" t="s">
        <v>2401</v>
      </c>
      <c r="C2232" s="4" t="s">
        <v>692</v>
      </c>
      <c r="D2232" s="4" t="s">
        <v>689</v>
      </c>
      <c r="E2232" s="4" t="s">
        <v>2565</v>
      </c>
      <c r="F2232" s="4" t="s">
        <v>2565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44" t="str">
        <f t="shared" si="41"/>
        <v>FW_DRONE_FIGHTER_2_ED_NORTHEU</v>
      </c>
      <c r="B2233" s="9" t="s">
        <v>2401</v>
      </c>
      <c r="C2233" s="4" t="s">
        <v>962</v>
      </c>
      <c r="D2233" s="4" t="s">
        <v>689</v>
      </c>
      <c r="E2233" s="4" t="s">
        <v>2565</v>
      </c>
      <c r="F2233" s="4" t="s">
        <v>2565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44" t="str">
        <f t="shared" si="41"/>
        <v>FW_DRONE_FIGHTER_2_ED_OCEAN</v>
      </c>
      <c r="B2234" s="9" t="s">
        <v>2401</v>
      </c>
      <c r="C2234" s="4" t="s">
        <v>994</v>
      </c>
      <c r="E2234" s="4" t="s">
        <v>2565</v>
      </c>
      <c r="F2234" s="4" t="s">
        <v>2565</v>
      </c>
      <c r="H2234" s="4" t="s">
        <v>2430</v>
      </c>
      <c r="I2234" s="4" t="s">
        <v>2806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44" t="str">
        <f t="shared" si="41"/>
        <v>FW_DRONE_FIGHTER_2_ED_SEASIA</v>
      </c>
      <c r="B2235" s="9" t="s">
        <v>2401</v>
      </c>
      <c r="C2235" s="4" t="s">
        <v>696</v>
      </c>
      <c r="D2235" s="4" t="s">
        <v>693</v>
      </c>
      <c r="E2235" s="4" t="s">
        <v>2565</v>
      </c>
      <c r="F2235" s="4" t="s">
        <v>2565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44" t="str">
        <f t="shared" si="41"/>
        <v>FW_DRONE_FIGHTER_2_ED_SOUTHAM</v>
      </c>
      <c r="B2236" s="9" t="s">
        <v>2401</v>
      </c>
      <c r="C2236" s="4" t="s">
        <v>691</v>
      </c>
      <c r="D2236" s="4" t="s">
        <v>994</v>
      </c>
      <c r="E2236" s="4" t="s">
        <v>2565</v>
      </c>
      <c r="F2236" s="4" t="s">
        <v>2565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44" t="str">
        <f t="shared" si="41"/>
        <v>FW_DRONE_FIGHTER_2_ED_SOUTHAS</v>
      </c>
      <c r="B2237" s="9" t="s">
        <v>2401</v>
      </c>
      <c r="C2237" s="4" t="s">
        <v>695</v>
      </c>
      <c r="D2237" s="4" t="s">
        <v>693</v>
      </c>
      <c r="E2237" s="4" t="s">
        <v>2565</v>
      </c>
      <c r="F2237" s="4" t="s">
        <v>2565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44" t="str">
        <f t="shared" si="41"/>
        <v>FW_HOVERTANK</v>
      </c>
      <c r="B2238" s="9" t="s">
        <v>2405</v>
      </c>
      <c r="E2238" s="4" t="s">
        <v>2405</v>
      </c>
      <c r="F2238" s="4" t="s">
        <v>2405</v>
      </c>
      <c r="H2238" s="4" t="s">
        <v>2437</v>
      </c>
      <c r="I2238" s="4" t="s">
        <v>2806</v>
      </c>
      <c r="K2238" s="7">
        <v>1</v>
      </c>
      <c r="Q2238" s="7">
        <v>1</v>
      </c>
      <c r="R2238" s="6">
        <v>0.1</v>
      </c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44" t="str">
        <f t="shared" ref="A2239:A2302" si="42">CONCATENATE(E2239,IF(ISBLANK(C2239),"",CONCATENATE("_",C2239)))</f>
        <v>FW_HOVERTANK_ED</v>
      </c>
      <c r="B2239" s="9" t="s">
        <v>2405</v>
      </c>
      <c r="E2239" s="4" t="s">
        <v>2556</v>
      </c>
      <c r="F2239" s="4" t="s">
        <v>2556</v>
      </c>
      <c r="H2239" s="4" t="s">
        <v>2437</v>
      </c>
      <c r="I2239" s="4" t="s">
        <v>2806</v>
      </c>
      <c r="K2239" s="7">
        <v>1</v>
      </c>
      <c r="Q2239" s="7">
        <v>1</v>
      </c>
      <c r="R2239" s="6">
        <v>0.1</v>
      </c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44" t="str">
        <f t="shared" si="42"/>
        <v>FW_HOVERTANK_ED_AMER</v>
      </c>
      <c r="B2240" s="9" t="s">
        <v>2405</v>
      </c>
      <c r="C2240" s="4" t="s">
        <v>697</v>
      </c>
      <c r="D2240" s="4" t="s">
        <v>994</v>
      </c>
      <c r="E2240" s="4" t="s">
        <v>2556</v>
      </c>
      <c r="F2240" s="4" t="s">
        <v>2556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44" t="str">
        <f t="shared" si="42"/>
        <v>FW_HOVERTANK_ED_ASIA</v>
      </c>
      <c r="B2241" s="9" t="s">
        <v>2405</v>
      </c>
      <c r="C2241" s="4" t="s">
        <v>693</v>
      </c>
      <c r="E2241" s="4" t="s">
        <v>2556</v>
      </c>
      <c r="F2241" s="4" t="s">
        <v>2556</v>
      </c>
      <c r="H2241" s="4" t="s">
        <v>2438</v>
      </c>
      <c r="I2241" s="4" t="s">
        <v>2806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44" t="str">
        <f t="shared" si="42"/>
        <v>FW_HOVERTANK_ED_AMERICA</v>
      </c>
      <c r="B2242" s="9" t="s">
        <v>2405</v>
      </c>
      <c r="C2242" s="4" t="s">
        <v>699</v>
      </c>
      <c r="D2242" s="4" t="s">
        <v>994</v>
      </c>
      <c r="E2242" s="4" t="s">
        <v>2556</v>
      </c>
      <c r="F2242" s="4" t="s">
        <v>2556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44" t="str">
        <f t="shared" si="42"/>
        <v>FW_HOVERTANK_ED_AUSTRALIA</v>
      </c>
      <c r="B2243" s="9" t="s">
        <v>2405</v>
      </c>
      <c r="C2243" s="4" t="s">
        <v>1300</v>
      </c>
      <c r="D2243" s="4" t="s">
        <v>994</v>
      </c>
      <c r="E2243" s="4" t="s">
        <v>2556</v>
      </c>
      <c r="F2243" s="4" t="s">
        <v>2556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44" t="str">
        <f t="shared" si="42"/>
        <v>FW_HOVERTANK_ED_CANADA</v>
      </c>
      <c r="B2244" s="9" t="s">
        <v>2405</v>
      </c>
      <c r="C2244" s="4" t="s">
        <v>2187</v>
      </c>
      <c r="D2244" s="4" t="s">
        <v>994</v>
      </c>
      <c r="E2244" s="4" t="s">
        <v>2556</v>
      </c>
      <c r="F2244" s="4" t="s">
        <v>2556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44" t="str">
        <f t="shared" si="42"/>
        <v>FW_HOVERTANK_ED_OCEAN</v>
      </c>
      <c r="B2245" s="9" t="s">
        <v>2405</v>
      </c>
      <c r="C2245" s="4" t="s">
        <v>994</v>
      </c>
      <c r="E2245" s="4" t="s">
        <v>2556</v>
      </c>
      <c r="F2245" s="4" t="s">
        <v>2556</v>
      </c>
      <c r="H2245" s="4" t="s">
        <v>2439</v>
      </c>
      <c r="I2245" s="4" t="s">
        <v>2806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44" t="str">
        <f t="shared" si="42"/>
        <v>FW_HOVERTANK_ED_SEASIA</v>
      </c>
      <c r="B2246" s="9" t="s">
        <v>2405</v>
      </c>
      <c r="C2246" s="4" t="s">
        <v>696</v>
      </c>
      <c r="D2246" s="4" t="s">
        <v>693</v>
      </c>
      <c r="E2246" s="4" t="s">
        <v>2556</v>
      </c>
      <c r="F2246" s="4" t="s">
        <v>2556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44" t="str">
        <f t="shared" si="42"/>
        <v>FW_HOVERTANK_ED_SOUTHAM</v>
      </c>
      <c r="B2247" s="9" t="s">
        <v>2405</v>
      </c>
      <c r="C2247" s="4" t="s">
        <v>691</v>
      </c>
      <c r="D2247" s="4" t="s">
        <v>994</v>
      </c>
      <c r="E2247" s="4" t="s">
        <v>2556</v>
      </c>
      <c r="F2247" s="4" t="s">
        <v>2556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44" t="str">
        <f t="shared" si="42"/>
        <v>FW_HOVERTANK_ED_SOUTHAS</v>
      </c>
      <c r="B2248" s="9" t="s">
        <v>2405</v>
      </c>
      <c r="C2248" s="4" t="s">
        <v>695</v>
      </c>
      <c r="D2248" s="4" t="s">
        <v>693</v>
      </c>
      <c r="E2248" s="4" t="s">
        <v>2556</v>
      </c>
      <c r="F2248" s="4" t="s">
        <v>2556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44" t="str">
        <f t="shared" si="42"/>
        <v>FW_HYBRID_DRONE</v>
      </c>
      <c r="B2249" s="9" t="s">
        <v>2400</v>
      </c>
      <c r="E2249" s="4" t="s">
        <v>2400</v>
      </c>
      <c r="F2249" s="4" t="s">
        <v>2400</v>
      </c>
      <c r="H2249" s="4" t="s">
        <v>2429</v>
      </c>
      <c r="I2249" s="4" t="s">
        <v>2806</v>
      </c>
      <c r="K2249" s="7">
        <v>1</v>
      </c>
      <c r="Q2249" s="7">
        <v>1</v>
      </c>
      <c r="R2249" s="6">
        <v>0.09</v>
      </c>
      <c r="S2249" s="13" t="s">
        <v>1618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44" t="str">
        <f t="shared" si="42"/>
        <v>FW_HYBRID_DRONE_ED</v>
      </c>
      <c r="B2250" s="9" t="s">
        <v>2400</v>
      </c>
      <c r="E2250" s="4" t="s">
        <v>2566</v>
      </c>
      <c r="F2250" s="4" t="s">
        <v>2566</v>
      </c>
      <c r="H2250" s="4" t="s">
        <v>2429</v>
      </c>
      <c r="I2250" s="4" t="s">
        <v>2806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44" t="str">
        <f t="shared" si="42"/>
        <v>FW_HYBRID_DRONE_ED_AMER</v>
      </c>
      <c r="B2251" s="9" t="s">
        <v>2400</v>
      </c>
      <c r="C2251" s="4" t="s">
        <v>697</v>
      </c>
      <c r="D2251" s="4" t="s">
        <v>994</v>
      </c>
      <c r="E2251" s="4" t="s">
        <v>2566</v>
      </c>
      <c r="F2251" s="4" t="s">
        <v>2566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44" t="str">
        <f t="shared" si="42"/>
        <v>FW_HYBRID_DRONE_ED_ASIA</v>
      </c>
      <c r="B2252" s="9" t="s">
        <v>2400</v>
      </c>
      <c r="C2252" s="4" t="s">
        <v>693</v>
      </c>
      <c r="E2252" s="4" t="s">
        <v>2566</v>
      </c>
      <c r="F2252" s="4" t="s">
        <v>2566</v>
      </c>
      <c r="H2252" s="4" t="s">
        <v>2695</v>
      </c>
      <c r="I2252" s="4" t="s">
        <v>2806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44" t="str">
        <f t="shared" si="42"/>
        <v>FW_HYBRID_DRONE_ED_EASTEU</v>
      </c>
      <c r="B2253" s="9" t="s">
        <v>2400</v>
      </c>
      <c r="C2253" s="4" t="s">
        <v>698</v>
      </c>
      <c r="D2253" s="4" t="s">
        <v>689</v>
      </c>
      <c r="E2253" s="4" t="s">
        <v>2566</v>
      </c>
      <c r="F2253" s="4" t="s">
        <v>2566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44" t="str">
        <f t="shared" si="42"/>
        <v>FW_HYBRID_DRONE_ED_EURO</v>
      </c>
      <c r="B2254" s="9" t="s">
        <v>2400</v>
      </c>
      <c r="C2254" s="4" t="s">
        <v>689</v>
      </c>
      <c r="E2254" s="4" t="s">
        <v>2566</v>
      </c>
      <c r="F2254" s="4" t="s">
        <v>2566</v>
      </c>
      <c r="H2254" s="4" t="s">
        <v>2696</v>
      </c>
      <c r="I2254" s="4" t="s">
        <v>2806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44" t="str">
        <f t="shared" si="42"/>
        <v>FW_HYBRID_DRONE_ED_AMERICA</v>
      </c>
      <c r="B2255" s="9" t="s">
        <v>2400</v>
      </c>
      <c r="C2255" s="4" t="s">
        <v>699</v>
      </c>
      <c r="D2255" s="4" t="s">
        <v>994</v>
      </c>
      <c r="E2255" s="4" t="s">
        <v>2566</v>
      </c>
      <c r="F2255" s="4" t="s">
        <v>2566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44" t="str">
        <f t="shared" si="42"/>
        <v>FW_HYBRID_DRONE_ED_AUSTRALIA</v>
      </c>
      <c r="B2256" s="9" t="s">
        <v>2400</v>
      </c>
      <c r="C2256" s="4" t="s">
        <v>1300</v>
      </c>
      <c r="D2256" s="4" t="s">
        <v>994</v>
      </c>
      <c r="E2256" s="4" t="s">
        <v>2566</v>
      </c>
      <c r="F2256" s="4" t="s">
        <v>2566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44" t="str">
        <f t="shared" si="42"/>
        <v>FW_HYBRID_DRONE_ED_CANADA</v>
      </c>
      <c r="B2257" s="9" t="s">
        <v>2400</v>
      </c>
      <c r="C2257" s="4" t="s">
        <v>2187</v>
      </c>
      <c r="D2257" s="4" t="s">
        <v>994</v>
      </c>
      <c r="E2257" s="4" t="s">
        <v>2566</v>
      </c>
      <c r="F2257" s="4" t="s">
        <v>2566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44" t="str">
        <f t="shared" si="42"/>
        <v>FW_HYBRID_DRONE_ED_MED</v>
      </c>
      <c r="B2258" s="9" t="s">
        <v>2400</v>
      </c>
      <c r="C2258" s="4" t="s">
        <v>692</v>
      </c>
      <c r="D2258" s="4" t="s">
        <v>689</v>
      </c>
      <c r="E2258" s="4" t="s">
        <v>2566</v>
      </c>
      <c r="F2258" s="4" t="s">
        <v>2566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44" t="str">
        <f t="shared" si="42"/>
        <v>FW_HYBRID_DRONE_ED_NORTHEU</v>
      </c>
      <c r="B2259" s="9" t="s">
        <v>2400</v>
      </c>
      <c r="C2259" s="4" t="s">
        <v>962</v>
      </c>
      <c r="D2259" s="4" t="s">
        <v>689</v>
      </c>
      <c r="E2259" s="4" t="s">
        <v>2566</v>
      </c>
      <c r="F2259" s="4" t="s">
        <v>2566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44" t="str">
        <f t="shared" si="42"/>
        <v>FW_HYBRID_DRONE_ED_OCEAN</v>
      </c>
      <c r="B2260" s="9" t="s">
        <v>2400</v>
      </c>
      <c r="C2260" s="4" t="s">
        <v>994</v>
      </c>
      <c r="E2260" s="4" t="s">
        <v>2566</v>
      </c>
      <c r="F2260" s="4" t="s">
        <v>2566</v>
      </c>
      <c r="H2260" s="4" t="s">
        <v>2429</v>
      </c>
      <c r="I2260" s="4" t="s">
        <v>2806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44" t="str">
        <f t="shared" si="42"/>
        <v>FW_HYBRID_DRONE_ED_SEASIA</v>
      </c>
      <c r="B2261" s="9" t="s">
        <v>2400</v>
      </c>
      <c r="C2261" s="4" t="s">
        <v>696</v>
      </c>
      <c r="D2261" s="4" t="s">
        <v>693</v>
      </c>
      <c r="E2261" s="4" t="s">
        <v>2566</v>
      </c>
      <c r="F2261" s="4" t="s">
        <v>2566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44" t="str">
        <f t="shared" si="42"/>
        <v>FW_HYBRID_DRONE_ED_SOUTHAM</v>
      </c>
      <c r="B2262" s="9" t="s">
        <v>2400</v>
      </c>
      <c r="C2262" s="4" t="s">
        <v>691</v>
      </c>
      <c r="D2262" s="4" t="s">
        <v>994</v>
      </c>
      <c r="E2262" s="4" t="s">
        <v>2566</v>
      </c>
      <c r="F2262" s="4" t="s">
        <v>2566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44" t="str">
        <f t="shared" si="42"/>
        <v>FW_HYBRID_DRONE_ED_SOUTHAS</v>
      </c>
      <c r="B2263" s="9" t="s">
        <v>2400</v>
      </c>
      <c r="C2263" s="4" t="s">
        <v>695</v>
      </c>
      <c r="D2263" s="4" t="s">
        <v>693</v>
      </c>
      <c r="E2263" s="4" t="s">
        <v>2566</v>
      </c>
      <c r="F2263" s="4" t="s">
        <v>2566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44" t="str">
        <f t="shared" si="42"/>
        <v>FW_HYDRA</v>
      </c>
      <c r="B2264" s="9" t="s">
        <v>2414</v>
      </c>
      <c r="E2264" s="4" t="s">
        <v>2414</v>
      </c>
      <c r="F2264" s="4" t="s">
        <v>2414</v>
      </c>
      <c r="H2264" s="4" t="s">
        <v>2451</v>
      </c>
      <c r="I2264" s="4" t="s">
        <v>1928</v>
      </c>
      <c r="K2264" s="7">
        <v>1</v>
      </c>
      <c r="Q2264" s="7">
        <v>1</v>
      </c>
      <c r="R2264" s="6">
        <v>6</v>
      </c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44" t="str">
        <f t="shared" si="42"/>
        <v>GUIDED_MISSILE_DUMMY</v>
      </c>
      <c r="B2265" s="9" t="s">
        <v>2615</v>
      </c>
      <c r="E2265" s="4" t="s">
        <v>2719</v>
      </c>
      <c r="F2265" s="4" t="s">
        <v>2720</v>
      </c>
      <c r="H2265" s="4" t="s">
        <v>1480</v>
      </c>
      <c r="I2265" s="4" t="s">
        <v>128</v>
      </c>
      <c r="K2265" s="7">
        <v>1</v>
      </c>
      <c r="L2265" s="4" t="s">
        <v>1708</v>
      </c>
      <c r="N2265" s="4" t="s">
        <v>1722</v>
      </c>
      <c r="Q2265" s="7">
        <v>1</v>
      </c>
      <c r="R2265" s="6" t="s">
        <v>1734</v>
      </c>
      <c r="S2265" s="13"/>
      <c r="T2265" s="6"/>
      <c r="U2265" s="7"/>
      <c r="V2265" s="5"/>
      <c r="W2265" s="6"/>
      <c r="X2265" s="6" t="s">
        <v>3</v>
      </c>
      <c r="Y2265" s="5"/>
      <c r="Z2265" s="7"/>
      <c r="AA2265" s="6"/>
      <c r="AB2265" s="5"/>
      <c r="AC2265" s="6"/>
      <c r="AD2265" s="6" t="s">
        <v>3</v>
      </c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44" t="str">
        <f t="shared" si="42"/>
        <v>FW_MECH_ARTILLERY</v>
      </c>
      <c r="B2266" s="9" t="s">
        <v>2419</v>
      </c>
      <c r="E2266" s="4" t="s">
        <v>2419</v>
      </c>
      <c r="F2266" s="4" t="s">
        <v>2419</v>
      </c>
      <c r="H2266" s="4" t="s">
        <v>2458</v>
      </c>
      <c r="I2266" s="4" t="s">
        <v>1928</v>
      </c>
      <c r="K2266" s="7">
        <v>1</v>
      </c>
      <c r="Q2266" s="7">
        <v>2</v>
      </c>
      <c r="R2266" s="6">
        <v>0.09</v>
      </c>
      <c r="S2266" s="13" t="s">
        <v>1610</v>
      </c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44" t="str">
        <f t="shared" si="42"/>
        <v>FW_MISSILE_DESTROYER</v>
      </c>
      <c r="B2267" s="9" t="s">
        <v>2410</v>
      </c>
      <c r="E2267" s="4" t="s">
        <v>2410</v>
      </c>
      <c r="F2267" s="4" t="s">
        <v>2410</v>
      </c>
      <c r="H2267" s="4" t="s">
        <v>2444</v>
      </c>
      <c r="I2267" s="4" t="s">
        <v>2541</v>
      </c>
      <c r="K2267" s="7">
        <v>1</v>
      </c>
      <c r="Q2267" s="7">
        <v>1</v>
      </c>
      <c r="R2267" s="6">
        <v>0.09</v>
      </c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44" t="str">
        <f t="shared" si="42"/>
        <v>FW_MUTANT</v>
      </c>
      <c r="B2268" s="9" t="s">
        <v>2474</v>
      </c>
      <c r="E2268" s="4" t="s">
        <v>2397</v>
      </c>
      <c r="F2268" s="4" t="s">
        <v>2397</v>
      </c>
      <c r="H2268" s="4" t="s">
        <v>2398</v>
      </c>
      <c r="I2268" s="4" t="s">
        <v>2471</v>
      </c>
      <c r="K2268" s="7">
        <v>1</v>
      </c>
      <c r="Q2268" s="7">
        <v>6</v>
      </c>
      <c r="R2268" s="6">
        <v>0.16</v>
      </c>
      <c r="S2268" s="13" t="s">
        <v>1617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44" t="str">
        <f t="shared" si="42"/>
        <v>FW_NANOHIVE</v>
      </c>
      <c r="B2269" s="9" t="s">
        <v>2421</v>
      </c>
      <c r="E2269" s="4" t="s">
        <v>2421</v>
      </c>
      <c r="F2269" s="4" t="s">
        <v>2421</v>
      </c>
      <c r="H2269" s="4" t="s">
        <v>2452</v>
      </c>
      <c r="I2269" s="4" t="s">
        <v>2543</v>
      </c>
      <c r="K2269" s="7">
        <v>1</v>
      </c>
      <c r="Q2269" s="7">
        <v>3</v>
      </c>
      <c r="R2269" s="6">
        <v>0.05</v>
      </c>
      <c r="S2269" s="13" t="s">
        <v>1608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44" t="str">
        <f t="shared" si="42"/>
        <v>FW_NANOHIVE_ED</v>
      </c>
      <c r="B2270" s="9" t="s">
        <v>2421</v>
      </c>
      <c r="E2270" s="4" t="s">
        <v>2567</v>
      </c>
      <c r="F2270" s="4" t="s">
        <v>2567</v>
      </c>
      <c r="H2270" s="4" t="s">
        <v>2452</v>
      </c>
      <c r="I2270" s="4" t="s">
        <v>2543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44" t="str">
        <f t="shared" si="42"/>
        <v>FW_NANOHIVE_ED_AMER</v>
      </c>
      <c r="B2271" s="9" t="s">
        <v>2421</v>
      </c>
      <c r="C2271" s="4" t="s">
        <v>697</v>
      </c>
      <c r="D2271" s="4" t="s">
        <v>994</v>
      </c>
      <c r="E2271" s="4" t="s">
        <v>2567</v>
      </c>
      <c r="F2271" s="4" t="s">
        <v>2567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44" t="str">
        <f t="shared" si="42"/>
        <v>FW_NANOHIVE_ED_EASTEU</v>
      </c>
      <c r="B2272" s="9" t="s">
        <v>2421</v>
      </c>
      <c r="C2272" s="4" t="s">
        <v>698</v>
      </c>
      <c r="D2272" s="4" t="s">
        <v>689</v>
      </c>
      <c r="E2272" s="4" t="s">
        <v>2567</v>
      </c>
      <c r="F2272" s="4" t="s">
        <v>2567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44" t="str">
        <f t="shared" si="42"/>
        <v>FW_NANOHIVE_ED_EURO</v>
      </c>
      <c r="B2273" s="9" t="s">
        <v>2421</v>
      </c>
      <c r="C2273" s="4" t="s">
        <v>689</v>
      </c>
      <c r="E2273" s="4" t="s">
        <v>2567</v>
      </c>
      <c r="F2273" s="4" t="s">
        <v>2567</v>
      </c>
      <c r="H2273" s="4" t="s">
        <v>2568</v>
      </c>
      <c r="I2273" s="4" t="s">
        <v>2806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44" t="str">
        <f t="shared" si="42"/>
        <v>FW_NANOHIVE_ED_AMERICA</v>
      </c>
      <c r="B2274" s="9" t="s">
        <v>2421</v>
      </c>
      <c r="C2274" s="4" t="s">
        <v>699</v>
      </c>
      <c r="D2274" s="4" t="s">
        <v>994</v>
      </c>
      <c r="E2274" s="4" t="s">
        <v>2567</v>
      </c>
      <c r="F2274" s="4" t="s">
        <v>2567</v>
      </c>
      <c r="K2274" s="7">
        <v>1</v>
      </c>
      <c r="Q2274" s="7"/>
      <c r="R2274" s="6"/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44" t="str">
        <f t="shared" si="42"/>
        <v>FW_NANOHIVE_ED_AUSTRALIA</v>
      </c>
      <c r="B2275" s="9" t="s">
        <v>2421</v>
      </c>
      <c r="C2275" s="4" t="s">
        <v>1300</v>
      </c>
      <c r="D2275" s="4" t="s">
        <v>994</v>
      </c>
      <c r="E2275" s="4" t="s">
        <v>2567</v>
      </c>
      <c r="F2275" s="4" t="s">
        <v>2567</v>
      </c>
      <c r="K2275" s="7">
        <v>1</v>
      </c>
      <c r="Q2275" s="7"/>
      <c r="R2275" s="6"/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44" t="str">
        <f t="shared" si="42"/>
        <v>FW_NANOHIVE_ED_MED</v>
      </c>
      <c r="B2276" s="9" t="s">
        <v>2421</v>
      </c>
      <c r="C2276" s="4" t="s">
        <v>692</v>
      </c>
      <c r="D2276" s="4" t="s">
        <v>689</v>
      </c>
      <c r="E2276" s="4" t="s">
        <v>2567</v>
      </c>
      <c r="F2276" s="4" t="s">
        <v>2567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44" t="str">
        <f t="shared" si="42"/>
        <v>FW_NANOHIVE_ED_NORTHEU</v>
      </c>
      <c r="B2277" s="9" t="s">
        <v>2421</v>
      </c>
      <c r="C2277" s="4" t="s">
        <v>962</v>
      </c>
      <c r="D2277" s="4" t="s">
        <v>689</v>
      </c>
      <c r="E2277" s="4" t="s">
        <v>2567</v>
      </c>
      <c r="F2277" s="4" t="s">
        <v>2567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44" t="str">
        <f t="shared" si="42"/>
        <v>FW_NANOHIVE_ED_OCEAN</v>
      </c>
      <c r="B2278" s="9" t="s">
        <v>2421</v>
      </c>
      <c r="C2278" s="4" t="s">
        <v>994</v>
      </c>
      <c r="E2278" s="4" t="s">
        <v>2567</v>
      </c>
      <c r="F2278" s="4" t="s">
        <v>2567</v>
      </c>
      <c r="H2278" s="4" t="s">
        <v>2569</v>
      </c>
      <c r="I2278" s="4" t="s">
        <v>2806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44" t="str">
        <f t="shared" si="42"/>
        <v>FW_NANOHIVE_ED_SOUTHAM</v>
      </c>
      <c r="B2279" s="9" t="s">
        <v>2421</v>
      </c>
      <c r="C2279" s="4" t="s">
        <v>691</v>
      </c>
      <c r="D2279" s="4" t="s">
        <v>994</v>
      </c>
      <c r="E2279" s="4" t="s">
        <v>2567</v>
      </c>
      <c r="F2279" s="4" t="s">
        <v>2567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44" t="str">
        <f t="shared" si="42"/>
        <v>FW_NEODESTROYER</v>
      </c>
      <c r="B2280" s="9" t="s">
        <v>2407</v>
      </c>
      <c r="E2280" s="4" t="s">
        <v>2407</v>
      </c>
      <c r="F2280" s="4" t="s">
        <v>2407</v>
      </c>
      <c r="H2280" s="4" t="s">
        <v>2441</v>
      </c>
      <c r="I2280" s="4" t="s">
        <v>1928</v>
      </c>
      <c r="K2280" s="7">
        <v>1</v>
      </c>
      <c r="Q2280" s="7">
        <v>1</v>
      </c>
      <c r="R2280" s="6">
        <v>0.11</v>
      </c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44" t="str">
        <f t="shared" si="42"/>
        <v>FW_NEXUS</v>
      </c>
      <c r="B2281" s="9" t="s">
        <v>2422</v>
      </c>
      <c r="E2281" s="4" t="s">
        <v>2422</v>
      </c>
      <c r="F2281" s="4" t="s">
        <v>2422</v>
      </c>
      <c r="H2281" s="4" t="s">
        <v>2453</v>
      </c>
      <c r="I2281" s="4" t="s">
        <v>1928</v>
      </c>
      <c r="K2281" s="7">
        <v>1</v>
      </c>
      <c r="Q2281" s="7">
        <v>1</v>
      </c>
      <c r="R2281" s="6">
        <v>0.15</v>
      </c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44" t="str">
        <f t="shared" si="42"/>
        <v>FW_RAILGUN_TANK</v>
      </c>
      <c r="B2282" s="9" t="s">
        <v>2403</v>
      </c>
      <c r="E2282" s="4" t="s">
        <v>2403</v>
      </c>
      <c r="F2282" s="4" t="s">
        <v>2403</v>
      </c>
      <c r="H2282" s="4" t="s">
        <v>2682</v>
      </c>
      <c r="I2282" s="4" t="s">
        <v>2806</v>
      </c>
      <c r="K2282" s="7">
        <v>1</v>
      </c>
      <c r="Q2282" s="7">
        <v>2</v>
      </c>
      <c r="R2282" s="6">
        <v>0.1</v>
      </c>
      <c r="S2282" s="13" t="s">
        <v>1620</v>
      </c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44" t="str">
        <f t="shared" si="42"/>
        <v>FW_RAILGUN_TANK_ED</v>
      </c>
      <c r="B2283" s="9" t="s">
        <v>2403</v>
      </c>
      <c r="E2283" s="4" t="s">
        <v>2555</v>
      </c>
      <c r="F2283" s="4" t="s">
        <v>2555</v>
      </c>
      <c r="H2283" s="4" t="s">
        <v>2682</v>
      </c>
      <c r="I2283" s="4" t="s">
        <v>2806</v>
      </c>
      <c r="K2283" s="7">
        <v>1</v>
      </c>
      <c r="Q2283" s="7">
        <v>2</v>
      </c>
      <c r="R2283" s="6">
        <v>0.1</v>
      </c>
      <c r="S2283" s="13" t="s">
        <v>1620</v>
      </c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44" t="str">
        <f t="shared" si="42"/>
        <v>FW_RAILGUN_TANK_ED_AMER</v>
      </c>
      <c r="B2284" s="9" t="s">
        <v>2403</v>
      </c>
      <c r="C2284" s="4" t="s">
        <v>697</v>
      </c>
      <c r="D2284" s="4" t="s">
        <v>994</v>
      </c>
      <c r="E2284" s="4" t="s">
        <v>2555</v>
      </c>
      <c r="F2284" s="4" t="s">
        <v>2555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44" t="str">
        <f t="shared" si="42"/>
        <v>FW_RAILGUN_TANK_ED_ASIA</v>
      </c>
      <c r="B2285" s="9" t="s">
        <v>2403</v>
      </c>
      <c r="C2285" s="4" t="s">
        <v>693</v>
      </c>
      <c r="E2285" s="4" t="s">
        <v>2555</v>
      </c>
      <c r="F2285" s="4" t="s">
        <v>2555</v>
      </c>
      <c r="H2285" s="4" t="s">
        <v>2432</v>
      </c>
      <c r="I2285" s="4" t="s">
        <v>2806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44" t="str">
        <f t="shared" si="42"/>
        <v>FW_RAILGUN_TANK_ED_AMERICA</v>
      </c>
      <c r="B2286" s="9" t="s">
        <v>2403</v>
      </c>
      <c r="C2286" s="4" t="s">
        <v>699</v>
      </c>
      <c r="D2286" s="4" t="s">
        <v>994</v>
      </c>
      <c r="E2286" s="4" t="s">
        <v>2555</v>
      </c>
      <c r="F2286" s="4" t="s">
        <v>2555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44" t="str">
        <f t="shared" si="42"/>
        <v>FW_RAILGUN_TANK_ED_AUSTRALIA</v>
      </c>
      <c r="B2287" s="9" t="s">
        <v>2403</v>
      </c>
      <c r="C2287" s="4" t="s">
        <v>1300</v>
      </c>
      <c r="D2287" s="4" t="s">
        <v>994</v>
      </c>
      <c r="E2287" s="4" t="s">
        <v>2555</v>
      </c>
      <c r="F2287" s="4" t="s">
        <v>2555</v>
      </c>
      <c r="K2287" s="7">
        <v>1</v>
      </c>
      <c r="Q2287" s="7"/>
      <c r="R2287" s="6"/>
      <c r="S2287" s="13"/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44" t="str">
        <f t="shared" si="42"/>
        <v>FW_RAILGUN_TANK_ED_OCEAN</v>
      </c>
      <c r="B2288" s="9" t="s">
        <v>2403</v>
      </c>
      <c r="C2288" s="4" t="s">
        <v>994</v>
      </c>
      <c r="E2288" s="4" t="s">
        <v>2555</v>
      </c>
      <c r="F2288" s="4" t="s">
        <v>2555</v>
      </c>
      <c r="H2288" s="4" t="s">
        <v>2433</v>
      </c>
      <c r="I2288" s="4" t="s">
        <v>2806</v>
      </c>
      <c r="K2288" s="7">
        <v>1</v>
      </c>
      <c r="Q2288" s="7"/>
      <c r="R2288" s="6"/>
      <c r="S2288" s="13"/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44" t="str">
        <f t="shared" si="42"/>
        <v>FW_RAILGUN_TANK_ED_SEASIA</v>
      </c>
      <c r="B2289" s="9" t="s">
        <v>2403</v>
      </c>
      <c r="C2289" s="4" t="s">
        <v>696</v>
      </c>
      <c r="D2289" s="4" t="s">
        <v>693</v>
      </c>
      <c r="E2289" s="4" t="s">
        <v>2555</v>
      </c>
      <c r="F2289" s="4" t="s">
        <v>2555</v>
      </c>
      <c r="K2289" s="7">
        <v>1</v>
      </c>
      <c r="Q2289" s="7"/>
      <c r="R2289" s="6"/>
      <c r="S2289" s="13"/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44" t="str">
        <f t="shared" si="42"/>
        <v>FW_RAILGUN_TANK_ED_SOUTHAM</v>
      </c>
      <c r="B2290" s="9" t="s">
        <v>2403</v>
      </c>
      <c r="C2290" s="4" t="s">
        <v>691</v>
      </c>
      <c r="D2290" s="4" t="s">
        <v>994</v>
      </c>
      <c r="E2290" s="4" t="s">
        <v>2555</v>
      </c>
      <c r="F2290" s="4" t="s">
        <v>2555</v>
      </c>
      <c r="K2290" s="7">
        <v>1</v>
      </c>
      <c r="Q2290" s="7"/>
      <c r="R2290" s="6"/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44" t="str">
        <f t="shared" si="42"/>
        <v>FW_RAILGUN_TANK_ED_SOUTHAS</v>
      </c>
      <c r="B2291" s="9" t="s">
        <v>2403</v>
      </c>
      <c r="C2291" s="4" t="s">
        <v>695</v>
      </c>
      <c r="D2291" s="4" t="s">
        <v>693</v>
      </c>
      <c r="E2291" s="4" t="s">
        <v>2555</v>
      </c>
      <c r="F2291" s="4" t="s">
        <v>2555</v>
      </c>
      <c r="K2291" s="7">
        <v>1</v>
      </c>
      <c r="Q2291" s="7"/>
      <c r="R2291" s="6"/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44" t="str">
        <f t="shared" si="42"/>
        <v>FW_ROBOT_INFANTRY</v>
      </c>
      <c r="B2292" s="9" t="s">
        <v>2418</v>
      </c>
      <c r="E2292" s="4" t="s">
        <v>2418</v>
      </c>
      <c r="F2292" s="4" t="s">
        <v>2418</v>
      </c>
      <c r="H2292" s="4" t="s">
        <v>2457</v>
      </c>
      <c r="I2292" s="4" t="s">
        <v>1928</v>
      </c>
      <c r="K2292" s="7">
        <v>1</v>
      </c>
      <c r="Q2292" s="7">
        <v>8</v>
      </c>
      <c r="R2292" s="6" t="s">
        <v>1734</v>
      </c>
      <c r="S2292" s="13" t="s">
        <v>1617</v>
      </c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44" t="str">
        <f t="shared" si="42"/>
        <v>FW_SUBORBITAL_BOMBER</v>
      </c>
      <c r="B2293" s="9" t="s">
        <v>2402</v>
      </c>
      <c r="E2293" s="4" t="s">
        <v>2402</v>
      </c>
      <c r="F2293" s="4" t="s">
        <v>2402</v>
      </c>
      <c r="H2293" s="4" t="s">
        <v>2431</v>
      </c>
      <c r="I2293" s="4" t="s">
        <v>1928</v>
      </c>
      <c r="K2293" s="7">
        <v>1</v>
      </c>
      <c r="Q2293" s="7">
        <v>1</v>
      </c>
      <c r="R2293" s="6">
        <v>0.11</v>
      </c>
      <c r="S2293" s="13" t="s">
        <v>1612</v>
      </c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44" t="str">
        <f t="shared" si="42"/>
        <v>FW_SUPERCARRIER</v>
      </c>
      <c r="B2294" s="9" t="s">
        <v>2409</v>
      </c>
      <c r="E2294" s="4" t="s">
        <v>2409</v>
      </c>
      <c r="F2294" s="4" t="s">
        <v>2409</v>
      </c>
      <c r="H2294" s="4" t="s">
        <v>2443</v>
      </c>
      <c r="I2294" s="4" t="s">
        <v>2466</v>
      </c>
      <c r="K2294" s="7">
        <v>1</v>
      </c>
      <c r="Q2294" s="7">
        <v>1</v>
      </c>
      <c r="R2294" s="6" t="s">
        <v>1692</v>
      </c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44" t="str">
        <f t="shared" si="42"/>
        <v>FW_SUPERCARRIER_ED</v>
      </c>
      <c r="B2295" s="9" t="s">
        <v>2409</v>
      </c>
      <c r="E2295" s="4" t="s">
        <v>2554</v>
      </c>
      <c r="F2295" s="4" t="s">
        <v>2554</v>
      </c>
      <c r="H2295" s="4" t="s">
        <v>2443</v>
      </c>
      <c r="I2295" s="4" t="s">
        <v>2466</v>
      </c>
      <c r="K2295" s="7">
        <v>1</v>
      </c>
      <c r="Q2295" s="7">
        <v>1</v>
      </c>
      <c r="R2295" s="6" t="s">
        <v>1692</v>
      </c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44" t="str">
        <f t="shared" si="42"/>
        <v>FW_SUPERCARRIER_ED_AMER</v>
      </c>
      <c r="B2296" s="9" t="s">
        <v>2409</v>
      </c>
      <c r="C2296" s="4" t="s">
        <v>697</v>
      </c>
      <c r="D2296" s="4" t="s">
        <v>699</v>
      </c>
      <c r="E2296" s="4" t="s">
        <v>2554</v>
      </c>
      <c r="F2296" s="4" t="s">
        <v>2554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44" t="str">
        <f t="shared" si="42"/>
        <v>FW_SUPERCARRIER_ED_AMERICA</v>
      </c>
      <c r="B2297" s="9" t="s">
        <v>2409</v>
      </c>
      <c r="C2297" s="4" t="s">
        <v>699</v>
      </c>
      <c r="E2297" s="4" t="s">
        <v>2554</v>
      </c>
      <c r="F2297" s="4" t="s">
        <v>2554</v>
      </c>
      <c r="H2297" s="4" t="s">
        <v>2468</v>
      </c>
      <c r="I2297" s="4" t="s">
        <v>966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44" t="str">
        <f t="shared" si="42"/>
        <v>FW_SUPERCARRIER_ED_AUSTRALIA</v>
      </c>
      <c r="B2298" s="9" t="s">
        <v>2409</v>
      </c>
      <c r="C2298" s="4" t="s">
        <v>1300</v>
      </c>
      <c r="D2298" s="4" t="s">
        <v>713</v>
      </c>
      <c r="E2298" s="4" t="s">
        <v>2554</v>
      </c>
      <c r="F2298" s="4" t="s">
        <v>2554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44" t="str">
        <f t="shared" si="42"/>
        <v>FW_SUPERCARRIER_ED_CANADA</v>
      </c>
      <c r="B2299" s="9" t="s">
        <v>2409</v>
      </c>
      <c r="C2299" s="4" t="s">
        <v>2187</v>
      </c>
      <c r="D2299" s="4" t="s">
        <v>713</v>
      </c>
      <c r="E2299" s="4" t="s">
        <v>2554</v>
      </c>
      <c r="F2299" s="4" t="s">
        <v>2554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44" t="str">
        <f t="shared" si="42"/>
        <v>FW_SUPERCARRIER_ED_CELTS</v>
      </c>
      <c r="B2300" s="9" t="s">
        <v>2409</v>
      </c>
      <c r="C2300" s="4" t="s">
        <v>709</v>
      </c>
      <c r="D2300" s="4" t="s">
        <v>713</v>
      </c>
      <c r="E2300" s="4" t="s">
        <v>2554</v>
      </c>
      <c r="F2300" s="4" t="s">
        <v>2554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44" t="str">
        <f t="shared" si="42"/>
        <v>FW_SUPERCARRIER_ED_ENGLAND</v>
      </c>
      <c r="B2301" s="9" t="s">
        <v>2409</v>
      </c>
      <c r="C2301" s="4" t="s">
        <v>713</v>
      </c>
      <c r="E2301" s="4" t="s">
        <v>2554</v>
      </c>
      <c r="F2301" s="4" t="s">
        <v>2554</v>
      </c>
      <c r="H2301" s="4" t="s">
        <v>2467</v>
      </c>
      <c r="I2301" s="4" t="s">
        <v>2466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44" t="str">
        <f t="shared" si="42"/>
        <v>FW_SUPERCARRIER_ED_LEVANT</v>
      </c>
      <c r="B2302" s="9" t="s">
        <v>2409</v>
      </c>
      <c r="C2302" s="4" t="s">
        <v>724</v>
      </c>
      <c r="D2302" s="4" t="s">
        <v>699</v>
      </c>
      <c r="E2302" s="4" t="s">
        <v>2554</v>
      </c>
      <c r="F2302" s="4" t="s">
        <v>2554</v>
      </c>
      <c r="K2302" s="7">
        <v>1</v>
      </c>
      <c r="Q2302" s="7"/>
      <c r="R2302" s="6"/>
      <c r="S2302" s="13"/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44" t="str">
        <f t="shared" ref="A2303:A2376" si="43">CONCATENATE(E2303,IF(ISBLANK(C2303),"",CONCATENATE("_",C2303)))</f>
        <v>FW_SUPERCARRIER_ED_OCEAN</v>
      </c>
      <c r="B2303" s="9" t="s">
        <v>2409</v>
      </c>
      <c r="C2303" s="4" t="s">
        <v>994</v>
      </c>
      <c r="D2303" s="4" t="s">
        <v>699</v>
      </c>
      <c r="E2303" s="4" t="s">
        <v>2554</v>
      </c>
      <c r="F2303" s="4" t="s">
        <v>2554</v>
      </c>
      <c r="K2303" s="7">
        <v>1</v>
      </c>
      <c r="Q2303" s="7"/>
      <c r="R2303" s="6"/>
      <c r="S2303" s="13"/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44" t="str">
        <f t="shared" si="43"/>
        <v>FW_SUPERCARRIER_ED_SOUTHAM</v>
      </c>
      <c r="B2304" s="9" t="s">
        <v>2409</v>
      </c>
      <c r="C2304" s="4" t="s">
        <v>691</v>
      </c>
      <c r="D2304" s="4" t="s">
        <v>699</v>
      </c>
      <c r="E2304" s="4" t="s">
        <v>2554</v>
      </c>
      <c r="F2304" s="4" t="s">
        <v>2554</v>
      </c>
      <c r="K2304" s="7">
        <v>1</v>
      </c>
      <c r="Q2304" s="7"/>
      <c r="R2304" s="6"/>
      <c r="S2304" s="13"/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44" t="str">
        <f t="shared" si="43"/>
        <v>FW_TREX</v>
      </c>
      <c r="B2305" s="9" t="s">
        <v>2423</v>
      </c>
      <c r="E2305" s="4" t="s">
        <v>2423</v>
      </c>
      <c r="F2305" s="4" t="s">
        <v>2423</v>
      </c>
      <c r="H2305" s="4" t="s">
        <v>2459</v>
      </c>
      <c r="I2305" s="4" t="s">
        <v>2470</v>
      </c>
      <c r="K2305" s="7">
        <v>1</v>
      </c>
      <c r="Q2305" s="7">
        <v>1</v>
      </c>
      <c r="R2305" s="6">
        <v>0.08</v>
      </c>
      <c r="S2305" s="13" t="s">
        <v>1615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6"/>
      <c r="AM2305" s="6"/>
      <c r="AN2305" s="6"/>
      <c r="AO2305" s="6"/>
      <c r="AP2305" s="6"/>
      <c r="AQ2305" s="6"/>
    </row>
    <row r="2306" spans="1:43" x14ac:dyDescent="0.25">
      <c r="A2306" s="44" t="str">
        <f t="shared" si="43"/>
        <v>FW_TRICERATOPS</v>
      </c>
      <c r="B2306" s="9" t="s">
        <v>2424</v>
      </c>
      <c r="E2306" s="4" t="s">
        <v>2424</v>
      </c>
      <c r="F2306" s="4" t="s">
        <v>2424</v>
      </c>
      <c r="H2306" s="4" t="s">
        <v>2460</v>
      </c>
      <c r="I2306" s="4" t="s">
        <v>2470</v>
      </c>
      <c r="K2306" s="7">
        <v>1</v>
      </c>
      <c r="Q2306" s="7">
        <v>1</v>
      </c>
      <c r="R2306" s="6">
        <v>0.1</v>
      </c>
      <c r="S2306" s="13" t="s">
        <v>1615</v>
      </c>
      <c r="T2306" s="6"/>
      <c r="U2306" s="7"/>
      <c r="V2306" s="5"/>
      <c r="W2306" s="6"/>
      <c r="X2306" s="6"/>
      <c r="Y2306" s="5"/>
      <c r="Z2306" s="7"/>
      <c r="AA2306" s="6"/>
      <c r="AB2306" s="5"/>
      <c r="AC2306" s="6"/>
      <c r="AD2306" s="6"/>
      <c r="AE2306" s="5"/>
      <c r="AF2306" s="7"/>
      <c r="AG2306" s="6"/>
      <c r="AH2306" s="5"/>
      <c r="AI2306" s="6"/>
      <c r="AJ2306" s="6"/>
      <c r="AK2306" s="5"/>
      <c r="AL2306" s="6"/>
      <c r="AM2306" s="6"/>
      <c r="AN2306" s="6"/>
      <c r="AO2306" s="6"/>
      <c r="AP2306" s="6"/>
      <c r="AQ2306" s="6"/>
    </row>
    <row r="2307" spans="1:43" x14ac:dyDescent="0.25">
      <c r="A2307" s="44" t="str">
        <f t="shared" si="43"/>
        <v>FW_TRICERATOPS</v>
      </c>
      <c r="B2307" s="9" t="s">
        <v>2424</v>
      </c>
      <c r="E2307" s="4" t="s">
        <v>2424</v>
      </c>
      <c r="F2307" s="4" t="s">
        <v>2424</v>
      </c>
      <c r="G2307" s="4" t="s">
        <v>2039</v>
      </c>
      <c r="H2307" s="4" t="s">
        <v>2462</v>
      </c>
      <c r="I2307" s="4" t="s">
        <v>2470</v>
      </c>
      <c r="K2307" s="7">
        <v>1</v>
      </c>
      <c r="Q2307" s="7">
        <v>1</v>
      </c>
      <c r="R2307" s="6">
        <v>0.1</v>
      </c>
      <c r="S2307" s="13" t="s">
        <v>1615</v>
      </c>
      <c r="T2307" s="6"/>
      <c r="U2307" s="7"/>
      <c r="V2307" s="5"/>
      <c r="W2307" s="6"/>
      <c r="X2307" s="6"/>
      <c r="Y2307" s="5"/>
      <c r="Z2307" s="7"/>
      <c r="AA2307" s="6"/>
      <c r="AB2307" s="5"/>
      <c r="AC2307" s="6"/>
      <c r="AD2307" s="6"/>
      <c r="AE2307" s="5"/>
      <c r="AF2307" s="7"/>
      <c r="AG2307" s="6"/>
      <c r="AH2307" s="5"/>
      <c r="AI2307" s="6"/>
      <c r="AJ2307" s="6"/>
      <c r="AK2307" s="5"/>
      <c r="AL2307" s="6"/>
      <c r="AM2307" s="6"/>
      <c r="AN2307" s="6"/>
      <c r="AO2307" s="6"/>
      <c r="AP2307" s="6"/>
      <c r="AQ2307" s="6"/>
    </row>
    <row r="2308" spans="1:43" x14ac:dyDescent="0.25">
      <c r="A2308" s="44" t="str">
        <f t="shared" si="43"/>
        <v>FW_VELOCIRAPTOR</v>
      </c>
      <c r="B2308" s="9" t="s">
        <v>2479</v>
      </c>
      <c r="E2308" s="4" t="s">
        <v>2425</v>
      </c>
      <c r="F2308" s="4" t="s">
        <v>2425</v>
      </c>
      <c r="H2308" s="4" t="s">
        <v>2461</v>
      </c>
      <c r="I2308" s="4" t="s">
        <v>2470</v>
      </c>
      <c r="K2308" s="7">
        <v>1</v>
      </c>
      <c r="Q2308" s="7">
        <v>2</v>
      </c>
      <c r="R2308" s="6">
        <v>0.23</v>
      </c>
      <c r="S2308" s="13" t="s">
        <v>1692</v>
      </c>
      <c r="T2308" s="6"/>
      <c r="U2308" s="7"/>
      <c r="V2308" s="5"/>
      <c r="W2308" s="6"/>
      <c r="X2308" s="6"/>
      <c r="Y2308" s="5"/>
      <c r="Z2308" s="7"/>
      <c r="AA2308" s="6"/>
      <c r="AB2308" s="5"/>
      <c r="AC2308" s="6"/>
      <c r="AD2308" s="6"/>
      <c r="AE2308" s="5"/>
      <c r="AF2308" s="7"/>
      <c r="AG2308" s="6"/>
      <c r="AH2308" s="5"/>
      <c r="AI2308" s="6"/>
      <c r="AJ2308" s="6"/>
      <c r="AK2308" s="5"/>
      <c r="AL2308" s="6"/>
      <c r="AM2308" s="6"/>
      <c r="AN2308" s="6"/>
      <c r="AO2308" s="6"/>
      <c r="AP2308" s="6"/>
      <c r="AQ2308" s="6"/>
    </row>
    <row r="2309" spans="1:43" x14ac:dyDescent="0.25">
      <c r="A2309" s="44" t="str">
        <f t="shared" si="43"/>
        <v>FW_VELOCIRAPTOR</v>
      </c>
      <c r="B2309" s="9" t="s">
        <v>2479</v>
      </c>
      <c r="E2309" s="4" t="s">
        <v>2425</v>
      </c>
      <c r="F2309" s="4" t="s">
        <v>2425</v>
      </c>
      <c r="G2309" s="4" t="s">
        <v>2039</v>
      </c>
      <c r="H2309" s="4" t="s">
        <v>2463</v>
      </c>
      <c r="I2309" s="4" t="s">
        <v>2470</v>
      </c>
      <c r="K2309" s="7">
        <v>1</v>
      </c>
      <c r="Q2309" s="7">
        <v>3</v>
      </c>
      <c r="R2309" s="6">
        <v>0.23</v>
      </c>
      <c r="S2309" s="13" t="s">
        <v>1692</v>
      </c>
      <c r="T2309" s="6"/>
      <c r="U2309" s="7"/>
      <c r="V2309" s="5"/>
      <c r="W2309" s="6"/>
      <c r="X2309" s="6"/>
      <c r="Y2309" s="5"/>
      <c r="Z2309" s="7"/>
      <c r="AA2309" s="6"/>
      <c r="AB2309" s="5"/>
      <c r="AC2309" s="6"/>
      <c r="AD2309" s="6"/>
      <c r="AE2309" s="5"/>
      <c r="AF2309" s="7"/>
      <c r="AG2309" s="6"/>
      <c r="AH2309" s="5"/>
      <c r="AI2309" s="6"/>
      <c r="AJ2309" s="6"/>
      <c r="AK2309" s="5"/>
      <c r="AL2309" s="6"/>
      <c r="AM2309" s="6"/>
      <c r="AN2309" s="6"/>
      <c r="AO2309" s="6"/>
      <c r="AP2309" s="6"/>
      <c r="AQ2309" s="6"/>
    </row>
    <row r="2310" spans="1:43" x14ac:dyDescent="0.25">
      <c r="A2310" s="44" t="str">
        <f t="shared" si="43"/>
        <v>FW_VERTOL</v>
      </c>
      <c r="B2310" s="9" t="s">
        <v>2404</v>
      </c>
      <c r="E2310" s="4" t="s">
        <v>2404</v>
      </c>
      <c r="F2310" s="4" t="s">
        <v>2404</v>
      </c>
      <c r="H2310" s="4" t="s">
        <v>2434</v>
      </c>
      <c r="I2310" s="4" t="s">
        <v>2806</v>
      </c>
      <c r="K2310" s="7">
        <v>1</v>
      </c>
      <c r="Q2310" s="7">
        <v>1</v>
      </c>
      <c r="R2310" s="6">
        <v>0.1</v>
      </c>
      <c r="S2310" s="13"/>
      <c r="T2310" s="6"/>
      <c r="U2310" s="7"/>
      <c r="V2310" s="5"/>
      <c r="W2310" s="6"/>
      <c r="X2310" s="6"/>
      <c r="Y2310" s="5"/>
      <c r="Z2310" s="7"/>
      <c r="AA2310" s="6"/>
      <c r="AB2310" s="5"/>
      <c r="AC2310" s="6"/>
      <c r="AD2310" s="6"/>
      <c r="AE2310" s="5"/>
      <c r="AF2310" s="7"/>
      <c r="AG2310" s="6"/>
      <c r="AH2310" s="5"/>
      <c r="AI2310" s="6"/>
      <c r="AJ2310" s="6"/>
      <c r="AK2310" s="5"/>
      <c r="AL2310" s="6"/>
      <c r="AM2310" s="6"/>
      <c r="AN2310" s="6"/>
      <c r="AO2310" s="6"/>
      <c r="AP2310" s="6"/>
      <c r="AQ2310" s="6"/>
    </row>
    <row r="2311" spans="1:43" x14ac:dyDescent="0.25">
      <c r="A2311" s="44" t="str">
        <f t="shared" si="43"/>
        <v>FW_VERTOL_ED</v>
      </c>
      <c r="B2311" s="9" t="s">
        <v>2404</v>
      </c>
      <c r="E2311" s="4" t="s">
        <v>2553</v>
      </c>
      <c r="F2311" s="4" t="s">
        <v>2553</v>
      </c>
      <c r="H2311" s="4" t="s">
        <v>2434</v>
      </c>
      <c r="I2311" s="4" t="s">
        <v>2806</v>
      </c>
      <c r="K2311" s="7">
        <v>1</v>
      </c>
      <c r="Q2311" s="7">
        <v>1</v>
      </c>
      <c r="R2311" s="6">
        <v>0.1</v>
      </c>
      <c r="S2311" s="13"/>
      <c r="T2311" s="6"/>
      <c r="U2311" s="7"/>
      <c r="V2311" s="5"/>
      <c r="W2311" s="6"/>
      <c r="X2311" s="6"/>
      <c r="Y2311" s="5"/>
      <c r="Z2311" s="7"/>
      <c r="AA2311" s="6"/>
      <c r="AB2311" s="5"/>
      <c r="AC2311" s="6"/>
      <c r="AD2311" s="6"/>
      <c r="AE2311" s="5"/>
      <c r="AF2311" s="7"/>
      <c r="AG2311" s="6"/>
      <c r="AH2311" s="5"/>
      <c r="AI2311" s="6"/>
      <c r="AJ2311" s="6"/>
      <c r="AK2311" s="5"/>
      <c r="AL2311" s="6"/>
      <c r="AM2311" s="6"/>
      <c r="AN2311" s="6"/>
      <c r="AO2311" s="6"/>
      <c r="AP2311" s="6"/>
      <c r="AQ2311" s="6"/>
    </row>
    <row r="2312" spans="1:43" x14ac:dyDescent="0.25">
      <c r="A2312" s="44" t="str">
        <f t="shared" si="43"/>
        <v>FW_VERTOL_ED_AMER</v>
      </c>
      <c r="B2312" s="9" t="s">
        <v>2404</v>
      </c>
      <c r="C2312" s="4" t="s">
        <v>697</v>
      </c>
      <c r="D2312" s="4" t="s">
        <v>994</v>
      </c>
      <c r="E2312" s="4" t="s">
        <v>2553</v>
      </c>
      <c r="F2312" s="4" t="s">
        <v>2553</v>
      </c>
      <c r="K2312" s="7">
        <v>1</v>
      </c>
      <c r="Q2312" s="7"/>
      <c r="R2312" s="6"/>
      <c r="S2312" s="13"/>
      <c r="T2312" s="6"/>
      <c r="U2312" s="7"/>
      <c r="V2312" s="5"/>
      <c r="W2312" s="6"/>
      <c r="X2312" s="6"/>
      <c r="Y2312" s="5"/>
      <c r="Z2312" s="7"/>
      <c r="AA2312" s="6"/>
      <c r="AB2312" s="5"/>
      <c r="AC2312" s="6"/>
      <c r="AD2312" s="6"/>
      <c r="AE2312" s="5"/>
      <c r="AF2312" s="7"/>
      <c r="AG2312" s="6"/>
      <c r="AH2312" s="5"/>
      <c r="AI2312" s="6"/>
      <c r="AJ2312" s="6"/>
      <c r="AK2312" s="5"/>
      <c r="AL2312" s="6"/>
      <c r="AM2312" s="6"/>
      <c r="AN2312" s="6"/>
      <c r="AO2312" s="6"/>
      <c r="AP2312" s="6"/>
      <c r="AQ2312" s="6"/>
    </row>
    <row r="2313" spans="1:43" x14ac:dyDescent="0.25">
      <c r="A2313" s="44" t="str">
        <f t="shared" si="43"/>
        <v>FW_VERTOL_ED_ASIA</v>
      </c>
      <c r="B2313" s="9" t="s">
        <v>2404</v>
      </c>
      <c r="C2313" s="4" t="s">
        <v>693</v>
      </c>
      <c r="E2313" s="4" t="s">
        <v>2553</v>
      </c>
      <c r="F2313" s="4" t="s">
        <v>2553</v>
      </c>
      <c r="H2313" s="4" t="s">
        <v>2435</v>
      </c>
      <c r="I2313" s="4" t="s">
        <v>2806</v>
      </c>
      <c r="K2313" s="7">
        <v>1</v>
      </c>
      <c r="Q2313" s="7"/>
      <c r="R2313" s="6"/>
      <c r="S2313" s="13"/>
      <c r="T2313" s="6"/>
      <c r="U2313" s="7"/>
      <c r="V2313" s="5"/>
      <c r="W2313" s="6"/>
      <c r="X2313" s="6"/>
      <c r="Y2313" s="5"/>
      <c r="Z2313" s="7"/>
      <c r="AA2313" s="6"/>
      <c r="AB2313" s="5"/>
      <c r="AC2313" s="6"/>
      <c r="AD2313" s="6"/>
      <c r="AE2313" s="5"/>
      <c r="AF2313" s="7"/>
      <c r="AG2313" s="6"/>
      <c r="AH2313" s="5"/>
      <c r="AI2313" s="6"/>
      <c r="AJ2313" s="6"/>
      <c r="AK2313" s="5"/>
      <c r="AL2313" s="6"/>
      <c r="AM2313" s="6"/>
      <c r="AN2313" s="6"/>
      <c r="AO2313" s="6"/>
      <c r="AP2313" s="6"/>
      <c r="AQ2313" s="6"/>
    </row>
    <row r="2314" spans="1:43" x14ac:dyDescent="0.25">
      <c r="A2314" s="44" t="str">
        <f t="shared" si="43"/>
        <v>FW_VERTOL_ED_AMERICA</v>
      </c>
      <c r="B2314" s="9" t="s">
        <v>2404</v>
      </c>
      <c r="C2314" s="4" t="s">
        <v>699</v>
      </c>
      <c r="D2314" s="4" t="s">
        <v>994</v>
      </c>
      <c r="E2314" s="4" t="s">
        <v>2553</v>
      </c>
      <c r="F2314" s="4" t="s">
        <v>2553</v>
      </c>
      <c r="K2314" s="7">
        <v>1</v>
      </c>
      <c r="Q2314" s="7"/>
      <c r="R2314" s="6"/>
      <c r="S2314" s="13"/>
      <c r="T2314" s="6"/>
      <c r="U2314" s="7"/>
      <c r="V2314" s="5"/>
      <c r="W2314" s="6"/>
      <c r="X2314" s="6"/>
      <c r="Y2314" s="5"/>
      <c r="Z2314" s="7"/>
      <c r="AA2314" s="6"/>
      <c r="AB2314" s="5"/>
      <c r="AC2314" s="6"/>
      <c r="AD2314" s="6"/>
      <c r="AE2314" s="5"/>
      <c r="AF2314" s="7"/>
      <c r="AG2314" s="6"/>
      <c r="AH2314" s="5"/>
      <c r="AI2314" s="6"/>
      <c r="AJ2314" s="6"/>
      <c r="AK2314" s="5"/>
      <c r="AL2314" s="6"/>
      <c r="AM2314" s="6"/>
      <c r="AN2314" s="6"/>
      <c r="AO2314" s="6"/>
      <c r="AP2314" s="6"/>
      <c r="AQ2314" s="6"/>
    </row>
    <row r="2315" spans="1:43" x14ac:dyDescent="0.25">
      <c r="A2315" s="44" t="str">
        <f t="shared" si="43"/>
        <v>FW_VERTOL_ED_AUSTRALIA</v>
      </c>
      <c r="B2315" s="9" t="s">
        <v>2404</v>
      </c>
      <c r="C2315" s="4" t="s">
        <v>1300</v>
      </c>
      <c r="D2315" s="4" t="s">
        <v>994</v>
      </c>
      <c r="E2315" s="4" t="s">
        <v>2553</v>
      </c>
      <c r="F2315" s="4" t="s">
        <v>2553</v>
      </c>
      <c r="K2315" s="7">
        <v>1</v>
      </c>
      <c r="Q2315" s="7"/>
      <c r="R2315" s="6"/>
      <c r="S2315" s="13"/>
      <c r="T2315" s="6"/>
      <c r="U2315" s="7"/>
      <c r="V2315" s="5"/>
      <c r="W2315" s="6"/>
      <c r="X2315" s="6"/>
      <c r="Y2315" s="5"/>
      <c r="Z2315" s="7"/>
      <c r="AA2315" s="6"/>
      <c r="AB2315" s="5"/>
      <c r="AC2315" s="6"/>
      <c r="AD2315" s="6"/>
      <c r="AE2315" s="5"/>
      <c r="AF2315" s="7"/>
      <c r="AG2315" s="6"/>
      <c r="AH2315" s="5"/>
      <c r="AI2315" s="6"/>
      <c r="AJ2315" s="6"/>
      <c r="AK2315" s="5"/>
      <c r="AL2315" s="6"/>
      <c r="AM2315" s="6"/>
      <c r="AN2315" s="6"/>
      <c r="AO2315" s="6"/>
      <c r="AP2315" s="6"/>
      <c r="AQ2315" s="6"/>
    </row>
    <row r="2316" spans="1:43" x14ac:dyDescent="0.25">
      <c r="A2316" s="44" t="str">
        <f t="shared" si="43"/>
        <v>FW_VERTOL_ED_OCEAN</v>
      </c>
      <c r="B2316" s="9" t="s">
        <v>2404</v>
      </c>
      <c r="C2316" s="4" t="s">
        <v>994</v>
      </c>
      <c r="E2316" s="4" t="s">
        <v>2553</v>
      </c>
      <c r="F2316" s="4" t="s">
        <v>2553</v>
      </c>
      <c r="H2316" s="4" t="s">
        <v>2436</v>
      </c>
      <c r="I2316" s="4" t="s">
        <v>2806</v>
      </c>
      <c r="K2316" s="7">
        <v>1</v>
      </c>
      <c r="Q2316" s="7"/>
      <c r="R2316" s="6"/>
      <c r="S2316" s="13"/>
      <c r="T2316" s="6"/>
      <c r="U2316" s="7"/>
      <c r="V2316" s="5"/>
      <c r="W2316" s="6"/>
      <c r="X2316" s="6"/>
      <c r="Y2316" s="5"/>
      <c r="Z2316" s="7"/>
      <c r="AA2316" s="6"/>
      <c r="AB2316" s="5"/>
      <c r="AC2316" s="6"/>
      <c r="AD2316" s="6"/>
      <c r="AE2316" s="5"/>
      <c r="AF2316" s="7"/>
      <c r="AG2316" s="6"/>
      <c r="AH2316" s="5"/>
      <c r="AI2316" s="6"/>
      <c r="AJ2316" s="6"/>
      <c r="AK2316" s="5"/>
      <c r="AL2316" s="6"/>
      <c r="AM2316" s="6"/>
      <c r="AN2316" s="6"/>
      <c r="AO2316" s="6"/>
      <c r="AP2316" s="6"/>
      <c r="AQ2316" s="6"/>
    </row>
    <row r="2317" spans="1:43" x14ac:dyDescent="0.25">
      <c r="A2317" s="44" t="str">
        <f t="shared" si="43"/>
        <v>FW_VERTOL_ED_SEASIA</v>
      </c>
      <c r="B2317" s="9" t="s">
        <v>2404</v>
      </c>
      <c r="C2317" s="4" t="s">
        <v>696</v>
      </c>
      <c r="D2317" s="4" t="s">
        <v>693</v>
      </c>
      <c r="E2317" s="4" t="s">
        <v>2553</v>
      </c>
      <c r="F2317" s="4" t="s">
        <v>2553</v>
      </c>
      <c r="K2317" s="7">
        <v>1</v>
      </c>
      <c r="Q2317" s="7"/>
      <c r="R2317" s="6"/>
      <c r="S2317" s="13"/>
      <c r="T2317" s="6"/>
      <c r="U2317" s="7"/>
      <c r="V2317" s="5"/>
      <c r="W2317" s="6"/>
      <c r="X2317" s="6"/>
      <c r="Y2317" s="5"/>
      <c r="Z2317" s="7"/>
      <c r="AA2317" s="6"/>
      <c r="AB2317" s="5"/>
      <c r="AC2317" s="6"/>
      <c r="AD2317" s="6"/>
      <c r="AE2317" s="5"/>
      <c r="AF2317" s="7"/>
      <c r="AG2317" s="6"/>
      <c r="AH2317" s="5"/>
      <c r="AI2317" s="6"/>
      <c r="AJ2317" s="6"/>
      <c r="AK2317" s="5"/>
      <c r="AL2317" s="6"/>
      <c r="AM2317" s="6"/>
      <c r="AN2317" s="6"/>
      <c r="AO2317" s="6"/>
      <c r="AP2317" s="6"/>
      <c r="AQ2317" s="6"/>
    </row>
    <row r="2318" spans="1:43" x14ac:dyDescent="0.25">
      <c r="A2318" s="44" t="str">
        <f t="shared" si="43"/>
        <v>FW_VERTOL_ED_SOUTHAM</v>
      </c>
      <c r="B2318" s="9" t="s">
        <v>2404</v>
      </c>
      <c r="C2318" s="4" t="s">
        <v>691</v>
      </c>
      <c r="D2318" s="4" t="s">
        <v>994</v>
      </c>
      <c r="E2318" s="4" t="s">
        <v>2553</v>
      </c>
      <c r="F2318" s="4" t="s">
        <v>2553</v>
      </c>
      <c r="K2318" s="7">
        <v>1</v>
      </c>
      <c r="Q2318" s="7"/>
      <c r="R2318" s="6"/>
      <c r="S2318" s="13"/>
      <c r="T2318" s="6"/>
      <c r="U2318" s="7"/>
      <c r="V2318" s="5"/>
      <c r="W2318" s="6"/>
      <c r="X2318" s="6"/>
      <c r="Y2318" s="5"/>
      <c r="Z2318" s="7"/>
      <c r="AA2318" s="6"/>
      <c r="AB2318" s="5"/>
      <c r="AC2318" s="6"/>
      <c r="AD2318" s="6"/>
      <c r="AE2318" s="5"/>
      <c r="AF2318" s="7"/>
      <c r="AG2318" s="6"/>
      <c r="AH2318" s="5"/>
      <c r="AI2318" s="6"/>
      <c r="AJ2318" s="6"/>
      <c r="AK2318" s="5"/>
      <c r="AL2318" s="6"/>
      <c r="AM2318" s="6"/>
      <c r="AN2318" s="6"/>
      <c r="AO2318" s="6"/>
      <c r="AP2318" s="6"/>
      <c r="AQ2318" s="6"/>
    </row>
    <row r="2319" spans="1:43" x14ac:dyDescent="0.25">
      <c r="A2319" s="44" t="str">
        <f t="shared" si="43"/>
        <v>FW_VERTOL_ED_SOUTHAS</v>
      </c>
      <c r="B2319" s="9" t="s">
        <v>2404</v>
      </c>
      <c r="C2319" s="4" t="s">
        <v>695</v>
      </c>
      <c r="D2319" s="4" t="s">
        <v>693</v>
      </c>
      <c r="E2319" s="4" t="s">
        <v>2553</v>
      </c>
      <c r="F2319" s="4" t="s">
        <v>2553</v>
      </c>
      <c r="K2319" s="7">
        <v>1</v>
      </c>
      <c r="Q2319" s="7"/>
      <c r="R2319" s="6"/>
      <c r="S2319" s="13"/>
      <c r="T2319" s="6"/>
      <c r="U2319" s="7"/>
      <c r="V2319" s="5"/>
      <c r="W2319" s="6"/>
      <c r="X2319" s="6"/>
      <c r="Y2319" s="5"/>
      <c r="Z2319" s="7"/>
      <c r="AA2319" s="6"/>
      <c r="AB2319" s="5"/>
      <c r="AC2319" s="6"/>
      <c r="AD2319" s="6"/>
      <c r="AE2319" s="5"/>
      <c r="AF2319" s="7"/>
      <c r="AG2319" s="6"/>
      <c r="AH2319" s="5"/>
      <c r="AI2319" s="6"/>
      <c r="AJ2319" s="6"/>
      <c r="AK2319" s="5"/>
      <c r="AL2319" s="6"/>
      <c r="AM2319" s="6"/>
      <c r="AN2319" s="6"/>
      <c r="AO2319" s="6"/>
      <c r="AP2319" s="6"/>
      <c r="AQ2319" s="6"/>
    </row>
    <row r="2320" spans="1:43" x14ac:dyDescent="0.25">
      <c r="A2320" s="44" t="str">
        <f t="shared" si="43"/>
        <v>SCORPION_GREEN</v>
      </c>
      <c r="B2320" s="9" t="s">
        <v>2477</v>
      </c>
      <c r="E2320" s="4" t="s">
        <v>2415</v>
      </c>
      <c r="F2320" s="4" t="s">
        <v>2415</v>
      </c>
      <c r="H2320" s="4" t="s">
        <v>2454</v>
      </c>
      <c r="I2320" s="4" t="s">
        <v>2472</v>
      </c>
      <c r="K2320" s="7">
        <v>1</v>
      </c>
      <c r="Q2320" s="7">
        <v>6</v>
      </c>
      <c r="R2320" s="6">
        <v>0.2</v>
      </c>
      <c r="S2320" s="13" t="s">
        <v>46</v>
      </c>
      <c r="T2320" s="6"/>
      <c r="U2320" s="7"/>
      <c r="V2320" s="5"/>
      <c r="W2320" s="6"/>
      <c r="X2320" s="6"/>
      <c r="Y2320" s="5"/>
      <c r="Z2320" s="7"/>
      <c r="AA2320" s="6"/>
      <c r="AB2320" s="5"/>
      <c r="AC2320" s="6"/>
      <c r="AD2320" s="6"/>
      <c r="AE2320" s="5"/>
      <c r="AF2320" s="7"/>
      <c r="AG2320" s="6"/>
      <c r="AH2320" s="5"/>
      <c r="AI2320" s="6"/>
      <c r="AJ2320" s="6"/>
      <c r="AK2320" s="5"/>
      <c r="AL2320" s="6"/>
      <c r="AM2320" s="6"/>
      <c r="AN2320" s="6"/>
      <c r="AO2320" s="6"/>
      <c r="AP2320" s="6"/>
      <c r="AQ2320" s="6"/>
    </row>
    <row r="2321" spans="1:43" x14ac:dyDescent="0.25">
      <c r="A2321" s="44" t="str">
        <f t="shared" si="43"/>
        <v>SEAL_TEAM</v>
      </c>
      <c r="B2321" s="9" t="s">
        <v>2478</v>
      </c>
      <c r="E2321" s="4" t="s">
        <v>2426</v>
      </c>
      <c r="F2321" s="4" t="s">
        <v>2426</v>
      </c>
      <c r="H2321" s="4" t="s">
        <v>304</v>
      </c>
      <c r="I2321" s="4" t="s">
        <v>1057</v>
      </c>
      <c r="K2321" s="7">
        <v>1</v>
      </c>
      <c r="Q2321" s="7">
        <v>6</v>
      </c>
      <c r="R2321" s="6" t="s">
        <v>1734</v>
      </c>
      <c r="S2321" s="13" t="s">
        <v>1611</v>
      </c>
      <c r="T2321" s="6"/>
      <c r="U2321" s="7"/>
      <c r="V2321" s="5"/>
      <c r="W2321" s="6"/>
      <c r="X2321" s="6"/>
      <c r="Y2321" s="5"/>
      <c r="Z2321" s="7"/>
      <c r="AA2321" s="6"/>
      <c r="AB2321" s="5"/>
      <c r="AC2321" s="6"/>
      <c r="AD2321" s="6"/>
      <c r="AE2321" s="5"/>
      <c r="AF2321" s="7"/>
      <c r="AG2321" s="6"/>
      <c r="AH2321" s="5"/>
      <c r="AI2321" s="6"/>
      <c r="AJ2321" s="6"/>
      <c r="AK2321" s="5"/>
      <c r="AL2321" s="6"/>
      <c r="AM2321" s="6"/>
      <c r="AN2321" s="6"/>
      <c r="AO2321" s="6"/>
      <c r="AP2321" s="6"/>
      <c r="AQ2321" s="6"/>
    </row>
    <row r="2322" spans="1:43" x14ac:dyDescent="0.25">
      <c r="A2322" s="44" t="str">
        <f t="shared" si="43"/>
        <v>UAV</v>
      </c>
      <c r="B2322" s="9" t="s">
        <v>2476</v>
      </c>
      <c r="E2322" s="4" t="s">
        <v>2399</v>
      </c>
      <c r="F2322" s="4" t="s">
        <v>2399</v>
      </c>
      <c r="H2322" s="4" t="s">
        <v>2399</v>
      </c>
      <c r="I2322" s="4" t="s">
        <v>2469</v>
      </c>
      <c r="K2322" s="7">
        <v>1</v>
      </c>
      <c r="Q2322" s="7">
        <v>1</v>
      </c>
      <c r="R2322" s="6">
        <v>0.09</v>
      </c>
      <c r="S2322" s="13" t="s">
        <v>1618</v>
      </c>
      <c r="T2322" s="6"/>
      <c r="U2322" s="7"/>
      <c r="V2322" s="5"/>
      <c r="W2322" s="6"/>
      <c r="X2322" s="6"/>
      <c r="Y2322" s="5"/>
      <c r="Z2322" s="7"/>
      <c r="AA2322" s="6"/>
      <c r="AB2322" s="5"/>
      <c r="AC2322" s="6"/>
      <c r="AD2322" s="6"/>
      <c r="AE2322" s="5"/>
      <c r="AF2322" s="7"/>
      <c r="AG2322" s="6"/>
      <c r="AH2322" s="5"/>
      <c r="AI2322" s="6"/>
      <c r="AJ2322" s="6"/>
      <c r="AK2322" s="5"/>
      <c r="AL2322" s="6"/>
      <c r="AM2322" s="6"/>
      <c r="AN2322" s="6"/>
      <c r="AO2322" s="6"/>
      <c r="AP2322" s="6"/>
      <c r="AQ2322" s="6"/>
    </row>
    <row r="2323" spans="1:43" x14ac:dyDescent="0.25">
      <c r="A2323" s="44" t="str">
        <f t="shared" si="43"/>
        <v>ARMORED_CAR</v>
      </c>
      <c r="B2323" s="9" t="s">
        <v>745</v>
      </c>
      <c r="E2323" s="4" t="s">
        <v>2587</v>
      </c>
      <c r="F2323" s="4" t="s">
        <v>2587</v>
      </c>
      <c r="H2323" s="4" t="s">
        <v>2207</v>
      </c>
      <c r="I2323" s="4" t="s">
        <v>120</v>
      </c>
      <c r="K2323" s="7">
        <v>1</v>
      </c>
      <c r="Q2323" s="7">
        <v>2</v>
      </c>
      <c r="R2323" s="6">
        <v>0.11</v>
      </c>
      <c r="S2323" s="13" t="s">
        <v>1620</v>
      </c>
      <c r="T2323" s="6"/>
      <c r="U2323" s="7"/>
      <c r="V2323" s="5"/>
      <c r="W2323" s="6"/>
      <c r="X2323" s="6"/>
      <c r="Y2323" s="5"/>
      <c r="Z2323" s="7"/>
      <c r="AA2323" s="6"/>
      <c r="AB2323" s="5"/>
      <c r="AC2323" s="6"/>
      <c r="AD2323" s="6"/>
      <c r="AE2323" s="5"/>
      <c r="AF2323" s="7"/>
      <c r="AG2323" s="6"/>
      <c r="AH2323" s="5"/>
      <c r="AI2323" s="6"/>
      <c r="AJ2323" s="6"/>
      <c r="AK2323" s="5"/>
      <c r="AL2323" s="6"/>
      <c r="AM2323" s="6"/>
      <c r="AN2323" s="6"/>
      <c r="AO2323" s="6"/>
      <c r="AP2323" s="6"/>
      <c r="AQ2323" s="6"/>
    </row>
    <row r="2324" spans="1:43" x14ac:dyDescent="0.25">
      <c r="A2324" s="44" t="str">
        <f t="shared" si="43"/>
        <v>ARMORED_CAR_ED</v>
      </c>
      <c r="B2324" s="9" t="s">
        <v>745</v>
      </c>
      <c r="C2324" s="5"/>
      <c r="D2324" s="5"/>
      <c r="E2324" s="5" t="s">
        <v>2588</v>
      </c>
      <c r="F2324" s="5" t="s">
        <v>2588</v>
      </c>
      <c r="G2324" s="5"/>
      <c r="H2324" s="5" t="s">
        <v>2572</v>
      </c>
      <c r="I2324" s="5" t="s">
        <v>102</v>
      </c>
      <c r="J2324" s="6"/>
      <c r="K2324" s="6">
        <v>1</v>
      </c>
      <c r="L2324" s="13" t="s">
        <v>1706</v>
      </c>
      <c r="M2324" s="8"/>
      <c r="N2324" s="5"/>
      <c r="O2324" s="5"/>
      <c r="P2324" s="5"/>
      <c r="Q2324" s="7">
        <v>2</v>
      </c>
      <c r="R2324" s="6" t="s">
        <v>1692</v>
      </c>
      <c r="S2324" s="13" t="s">
        <v>1620</v>
      </c>
      <c r="T2324" s="6"/>
      <c r="U2324" s="6"/>
      <c r="V2324" s="5"/>
      <c r="W2324" s="6" t="s">
        <v>3</v>
      </c>
      <c r="X2324" s="6" t="s">
        <v>3</v>
      </c>
      <c r="Y2324" s="5"/>
      <c r="Z2324" s="7">
        <v>1</v>
      </c>
      <c r="AA2324" s="6"/>
      <c r="AB2324" s="5"/>
      <c r="AC2324" s="6"/>
      <c r="AD2324" s="6" t="s">
        <v>3</v>
      </c>
      <c r="AE2324" s="5"/>
      <c r="AF2324" s="6"/>
      <c r="AG2324" s="6"/>
      <c r="AH2324" s="5"/>
      <c r="AI2324" s="6"/>
      <c r="AJ2324" s="6"/>
      <c r="AK2324" s="5"/>
      <c r="AL2324" s="6"/>
      <c r="AM2324" s="6"/>
      <c r="AN2324" s="6"/>
      <c r="AO2324" s="6"/>
      <c r="AP2324" s="6"/>
      <c r="AQ2324" s="6"/>
    </row>
    <row r="2325" spans="1:43" x14ac:dyDescent="0.25">
      <c r="A2325" s="44" t="str">
        <f t="shared" si="43"/>
        <v>ARMORED_CAR_ED_AFRI</v>
      </c>
      <c r="B2325" s="9" t="s">
        <v>745</v>
      </c>
      <c r="C2325" s="4" t="s">
        <v>694</v>
      </c>
      <c r="D2325" s="4" t="s">
        <v>690</v>
      </c>
      <c r="E2325" s="4" t="s">
        <v>2588</v>
      </c>
      <c r="F2325" s="4" t="s">
        <v>2588</v>
      </c>
      <c r="K2325" s="11">
        <v>1</v>
      </c>
      <c r="Q2325" s="9"/>
      <c r="T2325" s="9"/>
      <c r="W2325" s="9"/>
      <c r="AF2325" s="9"/>
      <c r="AI2325" s="9"/>
      <c r="AL2325" s="11"/>
      <c r="AM2325" s="11"/>
      <c r="AN2325" s="11"/>
      <c r="AO2325" s="11"/>
      <c r="AP2325" s="11"/>
      <c r="AQ2325" s="11"/>
    </row>
    <row r="2326" spans="1:43" x14ac:dyDescent="0.25">
      <c r="A2326" s="44" t="str">
        <f t="shared" si="43"/>
        <v>ARMORED_CAR_ED_ZULU</v>
      </c>
      <c r="B2326" s="9" t="s">
        <v>745</v>
      </c>
      <c r="C2326" s="4" t="s">
        <v>742</v>
      </c>
      <c r="D2326" s="4" t="s">
        <v>713</v>
      </c>
      <c r="E2326" s="4" t="s">
        <v>2588</v>
      </c>
      <c r="F2326" s="4" t="s">
        <v>2588</v>
      </c>
      <c r="K2326" s="11">
        <v>1</v>
      </c>
      <c r="Q2326" s="9"/>
      <c r="T2326" s="9"/>
      <c r="W2326" s="9"/>
      <c r="AF2326" s="9"/>
      <c r="AI2326" s="9"/>
      <c r="AL2326" s="11"/>
      <c r="AM2326" s="11"/>
      <c r="AN2326" s="11"/>
      <c r="AO2326" s="11"/>
      <c r="AP2326" s="11"/>
      <c r="AQ2326" s="11"/>
    </row>
    <row r="2327" spans="1:43" x14ac:dyDescent="0.25">
      <c r="A2327" s="44" t="str">
        <f t="shared" si="43"/>
        <v>ARMORED_CAR_ED_AMER</v>
      </c>
      <c r="B2327" s="9" t="s">
        <v>745</v>
      </c>
      <c r="C2327" s="4" t="s">
        <v>697</v>
      </c>
      <c r="D2327" s="4" t="s">
        <v>699</v>
      </c>
      <c r="E2327" s="4" t="s">
        <v>2588</v>
      </c>
      <c r="F2327" s="4" t="s">
        <v>2588</v>
      </c>
      <c r="K2327" s="11">
        <v>1</v>
      </c>
      <c r="Q2327" s="9"/>
      <c r="T2327" s="9"/>
      <c r="W2327" s="9"/>
      <c r="AF2327" s="9"/>
      <c r="AI2327" s="9"/>
      <c r="AL2327" s="11"/>
      <c r="AM2327" s="11"/>
      <c r="AN2327" s="11"/>
      <c r="AO2327" s="11"/>
      <c r="AP2327" s="11"/>
      <c r="AQ2327" s="11"/>
    </row>
    <row r="2328" spans="1:43" x14ac:dyDescent="0.25">
      <c r="A2328" s="44" t="str">
        <f t="shared" si="43"/>
        <v>ARMORED_CAR_ED_CHINA</v>
      </c>
      <c r="B2328" s="9" t="s">
        <v>745</v>
      </c>
      <c r="C2328" s="4" t="s">
        <v>710</v>
      </c>
      <c r="E2328" s="4" t="s">
        <v>2588</v>
      </c>
      <c r="F2328" s="4" t="s">
        <v>2588</v>
      </c>
      <c r="G2328" s="14" t="s">
        <v>132</v>
      </c>
      <c r="H2328" s="4" t="s">
        <v>2585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44" t="str">
        <f t="shared" si="43"/>
        <v>ARMORED_CAR_ED_JAPAN</v>
      </c>
      <c r="B2329" s="9" t="s">
        <v>745</v>
      </c>
      <c r="C2329" s="4" t="s">
        <v>722</v>
      </c>
      <c r="E2329" s="4" t="s">
        <v>2588</v>
      </c>
      <c r="F2329" s="4" t="s">
        <v>2588</v>
      </c>
      <c r="G2329" s="14" t="s">
        <v>132</v>
      </c>
      <c r="H2329" s="4" t="s">
        <v>2579</v>
      </c>
      <c r="I2329" s="4" t="s">
        <v>102</v>
      </c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44" t="str">
        <f t="shared" si="43"/>
        <v>ARMORED_CAR_ED_KOREA</v>
      </c>
      <c r="B2330" s="9" t="s">
        <v>745</v>
      </c>
      <c r="C2330" s="4" t="s">
        <v>723</v>
      </c>
      <c r="D2330" s="4" t="s">
        <v>722</v>
      </c>
      <c r="E2330" s="4" t="s">
        <v>2588</v>
      </c>
      <c r="F2330" s="4" t="s">
        <v>2588</v>
      </c>
      <c r="G2330" s="14"/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44" t="str">
        <f t="shared" si="43"/>
        <v>ARMORED_CAR_ED_HUNS</v>
      </c>
      <c r="B2331" s="9" t="s">
        <v>745</v>
      </c>
      <c r="C2331" s="4" t="s">
        <v>904</v>
      </c>
      <c r="E2331" s="4" t="s">
        <v>2588</v>
      </c>
      <c r="F2331" s="4" t="s">
        <v>2588</v>
      </c>
      <c r="H2331" s="4" t="s">
        <v>2580</v>
      </c>
      <c r="I2331" s="4" t="s">
        <v>102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44" t="str">
        <f t="shared" si="43"/>
        <v>ARMORED_CAR_ED_EASTEU</v>
      </c>
      <c r="B2332" s="9" t="s">
        <v>745</v>
      </c>
      <c r="C2332" s="4" t="s">
        <v>698</v>
      </c>
      <c r="E2332" s="4" t="s">
        <v>2588</v>
      </c>
      <c r="F2332" s="4" t="s">
        <v>2588</v>
      </c>
      <c r="H2332" s="4" t="s">
        <v>2575</v>
      </c>
      <c r="I2332" s="4" t="s">
        <v>102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44" t="str">
        <f t="shared" si="43"/>
        <v>ARMORED_CAR_ED_POLAND</v>
      </c>
      <c r="B2333" s="9" t="s">
        <v>745</v>
      </c>
      <c r="C2333" s="4" t="s">
        <v>732</v>
      </c>
      <c r="E2333" s="4" t="s">
        <v>2588</v>
      </c>
      <c r="F2333" s="4" t="s">
        <v>2588</v>
      </c>
      <c r="G2333" s="14" t="s">
        <v>132</v>
      </c>
      <c r="H2333" s="4" t="s">
        <v>2577</v>
      </c>
      <c r="I2333" s="4" t="s">
        <v>102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44" t="str">
        <f t="shared" si="43"/>
        <v>ARMORED_CAR_ED_RUSSIA</v>
      </c>
      <c r="B2334" s="9" t="s">
        <v>745</v>
      </c>
      <c r="C2334" s="4" t="s">
        <v>735</v>
      </c>
      <c r="D2334" s="4" t="s">
        <v>698</v>
      </c>
      <c r="E2334" s="4" t="s">
        <v>2588</v>
      </c>
      <c r="F2334" s="4" t="s">
        <v>2588</v>
      </c>
      <c r="G2334" s="14" t="s">
        <v>132</v>
      </c>
      <c r="K2334" s="11">
        <v>1</v>
      </c>
      <c r="AL2334" s="11"/>
      <c r="AM2334" s="11"/>
      <c r="AN2334" s="11"/>
      <c r="AO2334" s="11"/>
      <c r="AP2334" s="11"/>
      <c r="AQ2334" s="11"/>
    </row>
    <row r="2335" spans="1:43" x14ac:dyDescent="0.25">
      <c r="A2335" s="44" t="str">
        <f t="shared" si="43"/>
        <v>ARMORED_CAR_ED_AMERICA</v>
      </c>
      <c r="B2335" s="9" t="s">
        <v>745</v>
      </c>
      <c r="C2335" s="4" t="s">
        <v>699</v>
      </c>
      <c r="E2335" s="4" t="s">
        <v>2588</v>
      </c>
      <c r="F2335" s="4" t="s">
        <v>2588</v>
      </c>
      <c r="G2335" s="14"/>
      <c r="H2335" s="4" t="s">
        <v>2586</v>
      </c>
      <c r="I2335" s="4" t="s">
        <v>102</v>
      </c>
      <c r="K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44" t="str">
        <f t="shared" si="43"/>
        <v>ARMORED_CAR_ED_AUSTRALIA</v>
      </c>
      <c r="B2336" s="9" t="s">
        <v>745</v>
      </c>
      <c r="C2336" s="4" t="s">
        <v>1300</v>
      </c>
      <c r="D2336" s="4" t="s">
        <v>713</v>
      </c>
      <c r="E2336" s="4" t="s">
        <v>2588</v>
      </c>
      <c r="F2336" s="4" t="s">
        <v>2588</v>
      </c>
      <c r="G2336" s="14"/>
      <c r="K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44" t="str">
        <f t="shared" si="43"/>
        <v>ARMORED_CAR_ED_AUSTRIA</v>
      </c>
      <c r="B2337" s="9" t="s">
        <v>745</v>
      </c>
      <c r="C2337" s="4" t="s">
        <v>701</v>
      </c>
      <c r="D2337" s="4" t="s">
        <v>717</v>
      </c>
      <c r="E2337" s="4" t="s">
        <v>2588</v>
      </c>
      <c r="F2337" s="4" t="s">
        <v>2588</v>
      </c>
      <c r="G2337" s="14"/>
      <c r="K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44" t="str">
        <f t="shared" si="43"/>
        <v>ARMORED_CAR_ED_CANADA</v>
      </c>
      <c r="B2338" s="9" t="s">
        <v>745</v>
      </c>
      <c r="C2338" s="4" t="s">
        <v>2187</v>
      </c>
      <c r="D2338" s="4" t="s">
        <v>713</v>
      </c>
      <c r="E2338" s="4" t="s">
        <v>2588</v>
      </c>
      <c r="F2338" s="4" t="s">
        <v>2588</v>
      </c>
      <c r="G2338" s="14"/>
      <c r="K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44" t="str">
        <f t="shared" si="43"/>
        <v>ARMORED_CAR_ED_CELTS</v>
      </c>
      <c r="B2339" s="9" t="s">
        <v>745</v>
      </c>
      <c r="C2339" s="4" t="s">
        <v>709</v>
      </c>
      <c r="D2339" s="4" t="s">
        <v>713</v>
      </c>
      <c r="E2339" s="4" t="s">
        <v>2588</v>
      </c>
      <c r="F2339" s="4" t="s">
        <v>2588</v>
      </c>
      <c r="G2339" s="14"/>
      <c r="K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44" t="str">
        <f t="shared" si="43"/>
        <v>ARMORED_CAR_ED_ENGLAND</v>
      </c>
      <c r="B2340" s="9" t="s">
        <v>745</v>
      </c>
      <c r="C2340" s="4" t="s">
        <v>713</v>
      </c>
      <c r="E2340" s="4" t="s">
        <v>2588</v>
      </c>
      <c r="F2340" s="4" t="s">
        <v>2588</v>
      </c>
      <c r="G2340" s="14" t="s">
        <v>132</v>
      </c>
      <c r="H2340" s="4" t="s">
        <v>2584</v>
      </c>
      <c r="I2340" s="4" t="s">
        <v>102</v>
      </c>
      <c r="K2340" s="11">
        <v>1</v>
      </c>
      <c r="AL2340" s="11"/>
      <c r="AM2340" s="11"/>
      <c r="AN2340" s="11"/>
      <c r="AO2340" s="11"/>
      <c r="AP2340" s="11"/>
      <c r="AQ2340" s="11"/>
    </row>
    <row r="2341" spans="1:43" x14ac:dyDescent="0.25">
      <c r="A2341" s="44" t="str">
        <f t="shared" si="43"/>
        <v>ARMORED_CAR_ED_FRANCE</v>
      </c>
      <c r="B2341" s="9" t="s">
        <v>745</v>
      </c>
      <c r="C2341" s="4" t="s">
        <v>715</v>
      </c>
      <c r="E2341" s="4" t="s">
        <v>2588</v>
      </c>
      <c r="F2341" s="4" t="s">
        <v>2588</v>
      </c>
      <c r="G2341" s="14" t="s">
        <v>132</v>
      </c>
      <c r="H2341" s="4" t="s">
        <v>2583</v>
      </c>
      <c r="I2341" s="4" t="s">
        <v>102</v>
      </c>
      <c r="K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44" t="str">
        <f t="shared" si="43"/>
        <v>ARMORED_CAR_ED_GERMANY</v>
      </c>
      <c r="B2342" s="9" t="s">
        <v>745</v>
      </c>
      <c r="C2342" s="4" t="s">
        <v>717</v>
      </c>
      <c r="E2342" s="4" t="s">
        <v>2588</v>
      </c>
      <c r="F2342" s="4" t="s">
        <v>2588</v>
      </c>
      <c r="G2342" s="14" t="s">
        <v>132</v>
      </c>
      <c r="H2342" s="4" t="s">
        <v>2582</v>
      </c>
      <c r="I2342" s="4" t="s">
        <v>102</v>
      </c>
      <c r="K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44" t="str">
        <f t="shared" si="43"/>
        <v>ARMORED_CAR_ED_MIDEAST</v>
      </c>
      <c r="B2343" s="9" t="s">
        <v>745</v>
      </c>
      <c r="C2343" s="4" t="s">
        <v>690</v>
      </c>
      <c r="E2343" s="4" t="s">
        <v>2588</v>
      </c>
      <c r="F2343" s="4" t="s">
        <v>2588</v>
      </c>
      <c r="G2343" s="14"/>
      <c r="H2343" s="4" t="s">
        <v>2589</v>
      </c>
      <c r="I2343" s="4" t="s">
        <v>102</v>
      </c>
      <c r="K2343" s="11">
        <v>1</v>
      </c>
      <c r="AL2343" s="11"/>
      <c r="AM2343" s="11"/>
      <c r="AN2343" s="11"/>
      <c r="AO2343" s="11"/>
      <c r="AP2343" s="11"/>
      <c r="AQ2343" s="11"/>
    </row>
    <row r="2344" spans="1:43" x14ac:dyDescent="0.25">
      <c r="A2344" s="44" t="str">
        <f t="shared" si="43"/>
        <v>ARMORED_CAR_ED_NETHERLANDS</v>
      </c>
      <c r="B2344" s="9" t="s">
        <v>745</v>
      </c>
      <c r="C2344" s="4" t="s">
        <v>730</v>
      </c>
      <c r="E2344" s="4" t="s">
        <v>2588</v>
      </c>
      <c r="F2344" s="4" t="s">
        <v>2588</v>
      </c>
      <c r="G2344" s="14" t="s">
        <v>132</v>
      </c>
      <c r="H2344" s="4" t="s">
        <v>2578</v>
      </c>
      <c r="I2344" s="4" t="s">
        <v>102</v>
      </c>
      <c r="K2344" s="11">
        <v>1</v>
      </c>
      <c r="AL2344" s="11"/>
      <c r="AM2344" s="11"/>
      <c r="AN2344" s="11"/>
      <c r="AO2344" s="11"/>
      <c r="AP2344" s="11"/>
      <c r="AQ2344" s="11"/>
    </row>
    <row r="2345" spans="1:43" x14ac:dyDescent="0.25">
      <c r="A2345" s="44" t="str">
        <f t="shared" si="43"/>
        <v>ARMORED_CAR_ED_MED</v>
      </c>
      <c r="B2345" s="9" t="s">
        <v>745</v>
      </c>
      <c r="C2345" s="4" t="s">
        <v>692</v>
      </c>
      <c r="E2345" s="4" t="s">
        <v>2588</v>
      </c>
      <c r="F2345" s="4" t="s">
        <v>2588</v>
      </c>
      <c r="G2345" s="14"/>
      <c r="H2345" s="4" t="s">
        <v>2581</v>
      </c>
      <c r="I2345" s="4" t="s">
        <v>102</v>
      </c>
      <c r="K2345" s="11">
        <v>1</v>
      </c>
      <c r="AL2345" s="11"/>
      <c r="AM2345" s="11"/>
      <c r="AN2345" s="11"/>
      <c r="AO2345" s="11"/>
      <c r="AP2345" s="11"/>
      <c r="AQ2345" s="11"/>
    </row>
    <row r="2346" spans="1:43" x14ac:dyDescent="0.25">
      <c r="A2346" s="44" t="str">
        <f t="shared" si="43"/>
        <v>ARMORED_CAR_ED_GREECE</v>
      </c>
      <c r="B2346" s="9" t="s">
        <v>745</v>
      </c>
      <c r="C2346" s="4" t="s">
        <v>718</v>
      </c>
      <c r="D2346" s="4" t="s">
        <v>692</v>
      </c>
      <c r="E2346" s="4" t="s">
        <v>2588</v>
      </c>
      <c r="F2346" s="4" t="s">
        <v>2588</v>
      </c>
      <c r="G2346" s="14"/>
      <c r="K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44" t="str">
        <f t="shared" si="43"/>
        <v>ARMORED_CAR_ED_ROME</v>
      </c>
      <c r="B2347" s="9" t="s">
        <v>745</v>
      </c>
      <c r="C2347" s="4" t="s">
        <v>734</v>
      </c>
      <c r="E2347" s="4" t="s">
        <v>2588</v>
      </c>
      <c r="F2347" s="4" t="s">
        <v>2588</v>
      </c>
      <c r="G2347" s="14" t="s">
        <v>132</v>
      </c>
      <c r="H2347" s="4" t="s">
        <v>2576</v>
      </c>
      <c r="I2347" s="4" t="s">
        <v>102</v>
      </c>
      <c r="K2347" s="11">
        <v>1</v>
      </c>
      <c r="AL2347" s="11"/>
      <c r="AM2347" s="11"/>
      <c r="AN2347" s="11"/>
      <c r="AO2347" s="11"/>
      <c r="AP2347" s="11"/>
      <c r="AQ2347" s="11"/>
    </row>
    <row r="2348" spans="1:43" x14ac:dyDescent="0.25">
      <c r="A2348" s="44" t="str">
        <f t="shared" si="43"/>
        <v>ARMORED_CAR_ED_SPAIN</v>
      </c>
      <c r="B2348" s="9" t="s">
        <v>745</v>
      </c>
      <c r="C2348" s="4" t="s">
        <v>738</v>
      </c>
      <c r="E2348" s="4" t="s">
        <v>2588</v>
      </c>
      <c r="F2348" s="4" t="s">
        <v>2588</v>
      </c>
      <c r="G2348" s="14" t="s">
        <v>132</v>
      </c>
      <c r="H2348" s="4" t="s">
        <v>2574</v>
      </c>
      <c r="I2348" s="4" t="s">
        <v>102</v>
      </c>
      <c r="K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44" t="str">
        <f t="shared" si="43"/>
        <v>ARMORED_CAR_ED_NORTHAF</v>
      </c>
      <c r="B2349" s="9" t="s">
        <v>745</v>
      </c>
      <c r="C2349" s="4" t="s">
        <v>2003</v>
      </c>
      <c r="D2349" s="4" t="s">
        <v>690</v>
      </c>
      <c r="E2349" s="4" t="s">
        <v>2588</v>
      </c>
      <c r="F2349" s="4" t="s">
        <v>2588</v>
      </c>
      <c r="G2349" s="14"/>
      <c r="K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44" t="str">
        <f t="shared" si="43"/>
        <v>ARMORED_CAR_ED_SWEDEN</v>
      </c>
      <c r="B2350" s="9" t="s">
        <v>745</v>
      </c>
      <c r="C2350" s="4" t="s">
        <v>739</v>
      </c>
      <c r="E2350" s="4" t="s">
        <v>2588</v>
      </c>
      <c r="F2350" s="4" t="s">
        <v>2588</v>
      </c>
      <c r="G2350" s="14" t="s">
        <v>132</v>
      </c>
      <c r="H2350" s="4" t="s">
        <v>2573</v>
      </c>
      <c r="I2350" s="4" t="s">
        <v>102</v>
      </c>
      <c r="K2350" s="11">
        <v>1</v>
      </c>
      <c r="AL2350" s="11"/>
      <c r="AM2350" s="11"/>
      <c r="AN2350" s="11"/>
      <c r="AO2350" s="11"/>
      <c r="AP2350" s="11"/>
      <c r="AQ2350" s="11"/>
    </row>
    <row r="2351" spans="1:43" x14ac:dyDescent="0.25">
      <c r="A2351" s="44" t="str">
        <f t="shared" si="43"/>
        <v>ARMORED_CAR_ED_OCEAN</v>
      </c>
      <c r="B2351" s="9" t="s">
        <v>745</v>
      </c>
      <c r="C2351" s="4" t="s">
        <v>994</v>
      </c>
      <c r="D2351" s="4" t="s">
        <v>690</v>
      </c>
      <c r="E2351" s="4" t="s">
        <v>2588</v>
      </c>
      <c r="F2351" s="4" t="s">
        <v>2588</v>
      </c>
      <c r="K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44" t="str">
        <f t="shared" si="43"/>
        <v>ARMORED_CAR_ED_SAHUL</v>
      </c>
      <c r="B2352" s="9" t="s">
        <v>745</v>
      </c>
      <c r="C2352" s="4" t="s">
        <v>1785</v>
      </c>
      <c r="D2352" s="4" t="s">
        <v>730</v>
      </c>
      <c r="E2352" s="4" t="s">
        <v>2588</v>
      </c>
      <c r="F2352" s="4" t="s">
        <v>2588</v>
      </c>
      <c r="K2352" s="11">
        <v>1</v>
      </c>
      <c r="AL2352" s="11"/>
      <c r="AM2352" s="11"/>
      <c r="AN2352" s="11"/>
      <c r="AO2352" s="11"/>
      <c r="AP2352" s="11"/>
      <c r="AQ2352" s="11"/>
    </row>
    <row r="2353" spans="1:43" x14ac:dyDescent="0.25">
      <c r="A2353" s="44" t="str">
        <f t="shared" si="43"/>
        <v>ARMORED_CAR_ED_SOUTHAM</v>
      </c>
      <c r="B2353" s="9" t="s">
        <v>745</v>
      </c>
      <c r="C2353" s="4" t="s">
        <v>691</v>
      </c>
      <c r="D2353" s="4" t="s">
        <v>734</v>
      </c>
      <c r="E2353" s="4" t="s">
        <v>2588</v>
      </c>
      <c r="F2353" s="4" t="s">
        <v>2588</v>
      </c>
      <c r="K2353" s="11">
        <v>1</v>
      </c>
      <c r="AL2353" s="11"/>
      <c r="AM2353" s="11"/>
      <c r="AN2353" s="11"/>
      <c r="AO2353" s="11"/>
      <c r="AP2353" s="11"/>
      <c r="AQ2353" s="11"/>
    </row>
    <row r="2354" spans="1:43" x14ac:dyDescent="0.25">
      <c r="A2354" s="44" t="str">
        <f t="shared" ref="A2354" si="44">CONCATENATE(E2354,IF(ISBLANK(C2354),"",CONCATENATE("_",C2354)))</f>
        <v>BANDEIRANTES</v>
      </c>
      <c r="B2354" s="9" t="s">
        <v>2699</v>
      </c>
      <c r="E2354" s="4" t="s">
        <v>2699</v>
      </c>
      <c r="F2354" s="4" t="s">
        <v>2612</v>
      </c>
      <c r="G2354" s="4" t="s">
        <v>1963</v>
      </c>
      <c r="H2354" s="4" t="s">
        <v>2064</v>
      </c>
      <c r="I2354" s="4" t="s">
        <v>2065</v>
      </c>
      <c r="K2354" s="11">
        <v>1</v>
      </c>
      <c r="Q2354" s="11">
        <v>0</v>
      </c>
      <c r="R2354" s="11">
        <v>0.14199999999999999</v>
      </c>
      <c r="S2354" s="4" t="s">
        <v>20</v>
      </c>
      <c r="T2354" s="11">
        <v>0</v>
      </c>
      <c r="W2354" s="11">
        <v>0</v>
      </c>
      <c r="Z2354" s="11">
        <v>0</v>
      </c>
      <c r="AC2354" s="11">
        <v>0</v>
      </c>
      <c r="AF2354" s="11">
        <v>0</v>
      </c>
      <c r="AI2354" s="11">
        <v>0</v>
      </c>
      <c r="AL2354" s="11"/>
      <c r="AM2354" s="11"/>
      <c r="AN2354" s="11"/>
      <c r="AO2354" s="11"/>
      <c r="AP2354" s="11"/>
      <c r="AQ2354" s="11"/>
    </row>
    <row r="2355" spans="1:43" x14ac:dyDescent="0.25">
      <c r="A2355" s="44" t="str">
        <f t="shared" ref="A2355:A2357" si="45">CONCATENATE(E2355,IF(ISBLANK(C2355),"",CONCATENATE("_",C2355)))</f>
        <v>BANDEIRANTES</v>
      </c>
      <c r="B2355" s="9" t="s">
        <v>2699</v>
      </c>
      <c r="E2355" s="4" t="s">
        <v>2699</v>
      </c>
      <c r="F2355" s="4" t="s">
        <v>2612</v>
      </c>
      <c r="H2355" s="4" t="s">
        <v>2064</v>
      </c>
      <c r="I2355" s="4" t="s">
        <v>2065</v>
      </c>
      <c r="K2355" s="11">
        <v>1</v>
      </c>
      <c r="Q2355" s="11">
        <v>1</v>
      </c>
      <c r="R2355" s="11">
        <v>0.14199999999999999</v>
      </c>
      <c r="S2355" s="4" t="s">
        <v>20</v>
      </c>
      <c r="T2355" s="11">
        <v>1</v>
      </c>
      <c r="Z2355" s="11">
        <v>1</v>
      </c>
      <c r="AF2355" s="11">
        <v>1</v>
      </c>
      <c r="AI2355" s="11">
        <v>1</v>
      </c>
      <c r="AL2355" s="11"/>
      <c r="AM2355" s="11"/>
      <c r="AN2355" s="11"/>
      <c r="AO2355" s="11"/>
      <c r="AP2355" s="11"/>
      <c r="AQ2355" s="11"/>
    </row>
    <row r="2356" spans="1:43" x14ac:dyDescent="0.25">
      <c r="A2356" s="44" t="str">
        <f t="shared" si="45"/>
        <v>BANDEIRANTES</v>
      </c>
      <c r="B2356" s="9" t="s">
        <v>2699</v>
      </c>
      <c r="E2356" s="4" t="s">
        <v>2699</v>
      </c>
      <c r="F2356" s="4" t="s">
        <v>2612</v>
      </c>
      <c r="G2356" s="4" t="s">
        <v>2161</v>
      </c>
      <c r="H2356" s="4" t="s">
        <v>2066</v>
      </c>
      <c r="I2356" s="4" t="s">
        <v>2065</v>
      </c>
      <c r="K2356" s="11">
        <v>1</v>
      </c>
      <c r="Q2356" s="11">
        <v>1</v>
      </c>
      <c r="R2356" s="11">
        <v>0.14199999999999999</v>
      </c>
      <c r="S2356" s="4" t="s">
        <v>20</v>
      </c>
      <c r="T2356" s="11">
        <v>1</v>
      </c>
      <c r="Z2356" s="11">
        <v>0</v>
      </c>
      <c r="AF2356" s="11">
        <v>0</v>
      </c>
      <c r="AI2356" s="11">
        <v>1</v>
      </c>
      <c r="AL2356" s="11"/>
      <c r="AM2356" s="11"/>
      <c r="AN2356" s="11"/>
      <c r="AO2356" s="11"/>
      <c r="AP2356" s="11"/>
      <c r="AQ2356" s="11"/>
    </row>
    <row r="2357" spans="1:43" x14ac:dyDescent="0.25">
      <c r="A2357" s="44" t="str">
        <f t="shared" si="45"/>
        <v>BANDEIRANTES</v>
      </c>
      <c r="B2357" s="9" t="s">
        <v>2699</v>
      </c>
      <c r="E2357" s="4" t="s">
        <v>2699</v>
      </c>
      <c r="F2357" s="4" t="s">
        <v>2612</v>
      </c>
      <c r="G2357" s="4" t="s">
        <v>2162</v>
      </c>
      <c r="H2357" s="4" t="s">
        <v>2067</v>
      </c>
      <c r="I2357" s="4" t="s">
        <v>2065</v>
      </c>
      <c r="K2357" s="11">
        <v>1</v>
      </c>
      <c r="Q2357" s="11">
        <v>1</v>
      </c>
      <c r="R2357" s="11">
        <v>0.14199999999999999</v>
      </c>
      <c r="S2357" s="4" t="s">
        <v>20</v>
      </c>
      <c r="T2357" s="11">
        <v>1</v>
      </c>
      <c r="Z2357" s="11">
        <v>0</v>
      </c>
      <c r="AF2357" s="11">
        <v>0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44" t="str">
        <f t="shared" si="43"/>
        <v>BANDEIRANTES</v>
      </c>
      <c r="B2358" s="9" t="s">
        <v>2699</v>
      </c>
      <c r="E2358" s="4" t="s">
        <v>2699</v>
      </c>
      <c r="F2358" s="4" t="s">
        <v>2612</v>
      </c>
      <c r="G2358" s="4" t="s">
        <v>2535</v>
      </c>
      <c r="H2358" s="4" t="s">
        <v>2700</v>
      </c>
      <c r="I2358" s="4" t="s">
        <v>2065</v>
      </c>
      <c r="K2358" s="11">
        <v>1</v>
      </c>
      <c r="Q2358" s="11">
        <v>1</v>
      </c>
      <c r="R2358" s="11">
        <v>0.14199999999999999</v>
      </c>
      <c r="S2358" s="4" t="s">
        <v>20</v>
      </c>
      <c r="T2358" s="11">
        <v>1</v>
      </c>
      <c r="Z2358" s="11">
        <v>0</v>
      </c>
      <c r="AF2358" s="11">
        <v>1</v>
      </c>
      <c r="AI2358" s="11">
        <v>1</v>
      </c>
      <c r="AL2358" s="11"/>
      <c r="AM2358" s="11"/>
      <c r="AN2358" s="11"/>
      <c r="AO2358" s="11"/>
      <c r="AP2358" s="11"/>
      <c r="AQ2358" s="11"/>
    </row>
    <row r="2359" spans="1:43" x14ac:dyDescent="0.25">
      <c r="A2359" s="44" t="str">
        <f t="shared" si="43"/>
        <v>BANDEIRANTES</v>
      </c>
      <c r="B2359" s="9" t="s">
        <v>2699</v>
      </c>
      <c r="E2359" s="4" t="s">
        <v>2699</v>
      </c>
      <c r="F2359" s="4" t="s">
        <v>2612</v>
      </c>
      <c r="H2359" s="4" t="s">
        <v>2064</v>
      </c>
      <c r="I2359" s="4" t="s">
        <v>2065</v>
      </c>
      <c r="K2359" s="11">
        <v>1</v>
      </c>
      <c r="Q2359" s="11">
        <v>0</v>
      </c>
      <c r="R2359" s="11">
        <v>0.14199999999999999</v>
      </c>
      <c r="S2359" s="4" t="s">
        <v>20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44" t="str">
        <f t="shared" si="43"/>
        <v>BANDEIRANTES</v>
      </c>
      <c r="B2360" s="9" t="s">
        <v>2699</v>
      </c>
      <c r="E2360" s="4" t="s">
        <v>2699</v>
      </c>
      <c r="F2360" s="4" t="s">
        <v>2612</v>
      </c>
      <c r="G2360" s="4" t="s">
        <v>2161</v>
      </c>
      <c r="H2360" s="4" t="s">
        <v>2066</v>
      </c>
      <c r="I2360" s="4" t="s">
        <v>2065</v>
      </c>
      <c r="K2360" s="11">
        <v>1</v>
      </c>
      <c r="Q2360" s="11">
        <v>0</v>
      </c>
      <c r="R2360" s="11">
        <v>0.14199999999999999</v>
      </c>
      <c r="S2360" s="4" t="s">
        <v>20</v>
      </c>
      <c r="T2360" s="11">
        <v>1</v>
      </c>
      <c r="Z2360" s="11">
        <v>0</v>
      </c>
      <c r="AF2360" s="11">
        <v>0</v>
      </c>
      <c r="AI2360" s="11">
        <v>0</v>
      </c>
      <c r="AL2360" s="11"/>
      <c r="AM2360" s="11"/>
      <c r="AN2360" s="11"/>
      <c r="AO2360" s="11"/>
      <c r="AP2360" s="11"/>
      <c r="AQ2360" s="11"/>
    </row>
    <row r="2361" spans="1:43" x14ac:dyDescent="0.25">
      <c r="A2361" s="44" t="str">
        <f t="shared" si="43"/>
        <v>BANDEIRANTES</v>
      </c>
      <c r="B2361" s="9" t="s">
        <v>2699</v>
      </c>
      <c r="E2361" s="4" t="s">
        <v>2699</v>
      </c>
      <c r="F2361" s="4" t="s">
        <v>2612</v>
      </c>
      <c r="G2361" s="4" t="s">
        <v>2162</v>
      </c>
      <c r="H2361" s="4" t="s">
        <v>2067</v>
      </c>
      <c r="I2361" s="4" t="s">
        <v>2065</v>
      </c>
      <c r="K2361" s="11">
        <v>1</v>
      </c>
      <c r="Q2361" s="11">
        <v>0</v>
      </c>
      <c r="R2361" s="11">
        <v>0.14199999999999999</v>
      </c>
      <c r="S2361" s="4" t="s">
        <v>20</v>
      </c>
      <c r="T2361" s="11">
        <v>1</v>
      </c>
      <c r="Z2361" s="11">
        <v>0</v>
      </c>
      <c r="AF2361" s="11">
        <v>0</v>
      </c>
      <c r="AI2361" s="11">
        <v>1</v>
      </c>
      <c r="AL2361" s="11"/>
      <c r="AM2361" s="11"/>
      <c r="AN2361" s="11"/>
      <c r="AO2361" s="11"/>
      <c r="AP2361" s="11"/>
      <c r="AQ2361" s="11"/>
    </row>
    <row r="2362" spans="1:43" x14ac:dyDescent="0.25">
      <c r="A2362" s="44" t="str">
        <f t="shared" si="43"/>
        <v>COLONIST</v>
      </c>
      <c r="B2362" s="9" t="s">
        <v>2599</v>
      </c>
      <c r="E2362" s="4" t="s">
        <v>2599</v>
      </c>
      <c r="F2362" s="4" t="s">
        <v>2608</v>
      </c>
      <c r="H2362" s="4" t="s">
        <v>1488</v>
      </c>
      <c r="I2362" s="4" t="s">
        <v>128</v>
      </c>
      <c r="K2362" s="11">
        <v>1</v>
      </c>
      <c r="Q2362" s="11">
        <v>1</v>
      </c>
      <c r="R2362" s="11">
        <v>0.11</v>
      </c>
      <c r="S2362" s="4" t="s">
        <v>1620</v>
      </c>
      <c r="Z2362" s="11">
        <v>1</v>
      </c>
      <c r="AL2362" s="11"/>
      <c r="AM2362" s="11"/>
      <c r="AN2362" s="11"/>
      <c r="AO2362" s="11"/>
      <c r="AP2362" s="11"/>
      <c r="AQ2362" s="11"/>
    </row>
    <row r="2363" spans="1:43" x14ac:dyDescent="0.25">
      <c r="A2363" s="44" t="str">
        <f t="shared" si="43"/>
        <v>COLONIST</v>
      </c>
      <c r="B2363" s="9" t="s">
        <v>2599</v>
      </c>
      <c r="E2363" s="4" t="s">
        <v>2599</v>
      </c>
      <c r="F2363" s="4" t="s">
        <v>2609</v>
      </c>
      <c r="H2363" s="4" t="s">
        <v>1416</v>
      </c>
      <c r="I2363" s="4" t="s">
        <v>128</v>
      </c>
      <c r="K2363" s="11">
        <v>1</v>
      </c>
      <c r="Q2363" s="11">
        <v>1</v>
      </c>
      <c r="R2363" s="11">
        <v>0.04</v>
      </c>
      <c r="S2363" s="4" t="s">
        <v>1620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44" t="str">
        <f t="shared" si="43"/>
        <v>COLONIST</v>
      </c>
      <c r="B2364" s="9" t="s">
        <v>2599</v>
      </c>
      <c r="E2364" s="4" t="s">
        <v>2599</v>
      </c>
      <c r="F2364" s="4" t="s">
        <v>2610</v>
      </c>
      <c r="H2364" s="4" t="s">
        <v>1417</v>
      </c>
      <c r="I2364" s="4" t="s">
        <v>128</v>
      </c>
      <c r="K2364" s="11">
        <v>1</v>
      </c>
      <c r="Q2364" s="11">
        <v>1</v>
      </c>
      <c r="R2364" s="11">
        <v>0.04</v>
      </c>
      <c r="S2364" s="4" t="s">
        <v>1620</v>
      </c>
      <c r="Z2364" s="11">
        <v>0</v>
      </c>
      <c r="AL2364" s="11"/>
      <c r="AM2364" s="11"/>
      <c r="AN2364" s="11"/>
      <c r="AO2364" s="11"/>
      <c r="AP2364" s="11"/>
      <c r="AQ2364" s="11"/>
    </row>
    <row r="2365" spans="1:43" x14ac:dyDescent="0.25">
      <c r="A2365" s="44" t="str">
        <f t="shared" si="43"/>
        <v>CORVETTE</v>
      </c>
      <c r="B2365" s="9" t="s">
        <v>1362</v>
      </c>
      <c r="E2365" s="4" t="s">
        <v>2592</v>
      </c>
      <c r="F2365" s="4" t="s">
        <v>2592</v>
      </c>
      <c r="H2365" s="4" t="s">
        <v>31</v>
      </c>
      <c r="I2365" s="4" t="s">
        <v>128</v>
      </c>
      <c r="K2365" s="11">
        <v>1</v>
      </c>
      <c r="Q2365" s="11">
        <v>1</v>
      </c>
      <c r="R2365" s="11" t="s">
        <v>1734</v>
      </c>
      <c r="T2365" s="11">
        <v>2</v>
      </c>
      <c r="U2365" s="11">
        <v>0.115</v>
      </c>
      <c r="V2365" s="4" t="s">
        <v>1697</v>
      </c>
      <c r="AL2365" s="11"/>
      <c r="AM2365" s="11"/>
      <c r="AN2365" s="11"/>
      <c r="AO2365" s="11"/>
      <c r="AP2365" s="11"/>
      <c r="AQ2365" s="11"/>
    </row>
    <row r="2366" spans="1:43" x14ac:dyDescent="0.25">
      <c r="A2366" s="44" t="str">
        <f t="shared" si="43"/>
        <v>CUIRASSIER</v>
      </c>
      <c r="B2366" s="9" t="s">
        <v>2593</v>
      </c>
      <c r="E2366" s="4" t="s">
        <v>2593</v>
      </c>
      <c r="F2366" s="4" t="s">
        <v>2593</v>
      </c>
      <c r="H2366" s="4" t="s">
        <v>2156</v>
      </c>
      <c r="I2366" s="4" t="s">
        <v>1809</v>
      </c>
      <c r="K2366" s="11">
        <v>1</v>
      </c>
      <c r="Q2366" s="11" t="s">
        <v>1692</v>
      </c>
      <c r="R2366" s="11" t="s">
        <v>1692</v>
      </c>
      <c r="S2366" s="4" t="s">
        <v>1692</v>
      </c>
      <c r="Z2366" s="11">
        <v>1</v>
      </c>
      <c r="AL2366" s="11"/>
      <c r="AM2366" s="11"/>
      <c r="AN2366" s="11"/>
      <c r="AO2366" s="11"/>
      <c r="AP2366" s="11"/>
      <c r="AQ2366" s="11"/>
    </row>
    <row r="2367" spans="1:43" x14ac:dyDescent="0.25">
      <c r="A2367" s="44" t="str">
        <f t="shared" si="43"/>
        <v>CRUISER</v>
      </c>
      <c r="B2367" s="9" t="s">
        <v>2590</v>
      </c>
      <c r="E2367" s="4" t="s">
        <v>2590</v>
      </c>
      <c r="F2367" s="4" t="s">
        <v>2590</v>
      </c>
      <c r="H2367" s="4" t="s">
        <v>2168</v>
      </c>
      <c r="I2367" s="4" t="s">
        <v>1928</v>
      </c>
      <c r="K2367" s="11">
        <v>1</v>
      </c>
      <c r="Q2367" s="11">
        <v>1</v>
      </c>
      <c r="R2367" s="11">
        <v>0.09</v>
      </c>
      <c r="U2367" s="11">
        <v>0.105</v>
      </c>
      <c r="AL2367" s="11"/>
      <c r="AM2367" s="11"/>
      <c r="AN2367" s="11"/>
      <c r="AO2367" s="11"/>
      <c r="AP2367" s="11"/>
      <c r="AQ2367" s="11"/>
    </row>
    <row r="2368" spans="1:43" x14ac:dyDescent="0.25">
      <c r="A2368" s="44" t="str">
        <f t="shared" si="43"/>
        <v>EXPLORER_CBP</v>
      </c>
      <c r="B2368" s="9" t="s">
        <v>1336</v>
      </c>
      <c r="E2368" s="4" t="s">
        <v>2600</v>
      </c>
      <c r="F2368" s="4" t="s">
        <v>2612</v>
      </c>
      <c r="H2368" s="4" t="s">
        <v>2064</v>
      </c>
      <c r="I2368" s="4" t="s">
        <v>2065</v>
      </c>
      <c r="K2368" s="11">
        <v>1</v>
      </c>
      <c r="Q2368" s="11">
        <v>1</v>
      </c>
      <c r="R2368" s="11">
        <v>0.14199999999999999</v>
      </c>
      <c r="S2368" s="4" t="s">
        <v>20</v>
      </c>
      <c r="T2368" s="11">
        <v>1</v>
      </c>
      <c r="Z2368" s="11">
        <v>0</v>
      </c>
      <c r="AF2368" s="11">
        <v>1</v>
      </c>
      <c r="AI2368" s="11">
        <v>1</v>
      </c>
      <c r="AL2368" s="11"/>
      <c r="AM2368" s="11"/>
      <c r="AN2368" s="11"/>
      <c r="AO2368" s="11"/>
      <c r="AP2368" s="11"/>
      <c r="AQ2368" s="11"/>
    </row>
    <row r="2369" spans="1:43" x14ac:dyDescent="0.25">
      <c r="A2369" s="44" t="str">
        <f t="shared" si="43"/>
        <v>EXPLORER_CBP</v>
      </c>
      <c r="B2369" s="9" t="s">
        <v>1336</v>
      </c>
      <c r="E2369" s="4" t="s">
        <v>2600</v>
      </c>
      <c r="F2369" s="4" t="s">
        <v>2612</v>
      </c>
      <c r="G2369" s="4" t="s">
        <v>2161</v>
      </c>
      <c r="H2369" s="4" t="s">
        <v>2066</v>
      </c>
      <c r="I2369" s="4" t="s">
        <v>2065</v>
      </c>
      <c r="K2369" s="11">
        <v>1</v>
      </c>
      <c r="Q2369" s="11">
        <v>1</v>
      </c>
      <c r="R2369" s="11">
        <v>0.14199999999999999</v>
      </c>
      <c r="S2369" s="4" t="s">
        <v>20</v>
      </c>
      <c r="T2369" s="11">
        <v>1</v>
      </c>
      <c r="Z2369" s="11">
        <v>1</v>
      </c>
      <c r="AF2369" s="11">
        <v>1</v>
      </c>
      <c r="AI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44" t="str">
        <f t="shared" si="43"/>
        <v>EXPLORER_CBP</v>
      </c>
      <c r="B2370" s="9" t="s">
        <v>1336</v>
      </c>
      <c r="E2370" s="4" t="s">
        <v>2600</v>
      </c>
      <c r="F2370" s="4" t="s">
        <v>2612</v>
      </c>
      <c r="G2370" s="4" t="s">
        <v>2162</v>
      </c>
      <c r="H2370" s="4" t="s">
        <v>2067</v>
      </c>
      <c r="I2370" s="4" t="s">
        <v>2065</v>
      </c>
      <c r="K2370" s="11">
        <v>1</v>
      </c>
      <c r="Q2370" s="11">
        <v>1</v>
      </c>
      <c r="R2370" s="11">
        <v>0.14199999999999999</v>
      </c>
      <c r="S2370" s="4" t="s">
        <v>20</v>
      </c>
      <c r="T2370" s="11">
        <v>1</v>
      </c>
      <c r="Z2370" s="11">
        <v>0</v>
      </c>
      <c r="AF2370" s="11">
        <v>1</v>
      </c>
      <c r="AI2370" s="11">
        <v>2</v>
      </c>
      <c r="AL2370" s="11"/>
      <c r="AM2370" s="11"/>
      <c r="AN2370" s="11"/>
      <c r="AO2370" s="11"/>
      <c r="AP2370" s="11"/>
      <c r="AQ2370" s="11"/>
    </row>
    <row r="2371" spans="1:43" x14ac:dyDescent="0.25">
      <c r="A2371" s="44" t="str">
        <f t="shared" si="43"/>
        <v>EXPLORER_CBP</v>
      </c>
      <c r="B2371" s="9" t="s">
        <v>1336</v>
      </c>
      <c r="E2371" s="4" t="s">
        <v>2600</v>
      </c>
      <c r="F2371" s="4" t="s">
        <v>2612</v>
      </c>
      <c r="H2371" s="4" t="s">
        <v>2064</v>
      </c>
      <c r="I2371" s="4" t="s">
        <v>2065</v>
      </c>
      <c r="K2371" s="11">
        <v>1</v>
      </c>
      <c r="Q2371" s="11">
        <v>1</v>
      </c>
      <c r="R2371" s="11">
        <v>0.14199999999999999</v>
      </c>
      <c r="S2371" s="4" t="s">
        <v>20</v>
      </c>
      <c r="T2371" s="11">
        <v>1</v>
      </c>
      <c r="Z2371" s="11">
        <v>0</v>
      </c>
      <c r="AF2371" s="11">
        <v>0</v>
      </c>
      <c r="AI2371" s="11">
        <v>1</v>
      </c>
      <c r="AL2371" s="11"/>
      <c r="AM2371" s="11"/>
      <c r="AN2371" s="11"/>
      <c r="AO2371" s="11"/>
      <c r="AP2371" s="11"/>
      <c r="AQ2371" s="11"/>
    </row>
    <row r="2372" spans="1:43" x14ac:dyDescent="0.25">
      <c r="A2372" s="44" t="str">
        <f t="shared" si="43"/>
        <v>EXPLORER_CBP</v>
      </c>
      <c r="B2372" s="9" t="s">
        <v>1336</v>
      </c>
      <c r="E2372" s="4" t="s">
        <v>2600</v>
      </c>
      <c r="F2372" s="4" t="s">
        <v>2612</v>
      </c>
      <c r="G2372" s="4" t="s">
        <v>2161</v>
      </c>
      <c r="H2372" s="4" t="s">
        <v>2066</v>
      </c>
      <c r="I2372" s="4" t="s">
        <v>2065</v>
      </c>
      <c r="K2372" s="11">
        <v>1</v>
      </c>
      <c r="Q2372" s="11">
        <v>1</v>
      </c>
      <c r="R2372" s="11">
        <v>0.14199999999999999</v>
      </c>
      <c r="S2372" s="4" t="s">
        <v>20</v>
      </c>
      <c r="T2372" s="11">
        <v>1</v>
      </c>
      <c r="Z2372" s="11">
        <v>0</v>
      </c>
      <c r="AF2372" s="11">
        <v>0</v>
      </c>
      <c r="AI2372" s="11">
        <v>0</v>
      </c>
      <c r="AL2372" s="11"/>
      <c r="AM2372" s="11"/>
      <c r="AN2372" s="11"/>
      <c r="AO2372" s="11"/>
      <c r="AP2372" s="11"/>
      <c r="AQ2372" s="11"/>
    </row>
    <row r="2373" spans="1:43" x14ac:dyDescent="0.25">
      <c r="A2373" s="44" t="str">
        <f t="shared" si="43"/>
        <v>EXPLORER_CBP</v>
      </c>
      <c r="B2373" s="9" t="s">
        <v>1336</v>
      </c>
      <c r="E2373" s="4" t="s">
        <v>2600</v>
      </c>
      <c r="F2373" s="4" t="s">
        <v>2612</v>
      </c>
      <c r="G2373" s="4" t="s">
        <v>2162</v>
      </c>
      <c r="H2373" s="4" t="s">
        <v>2067</v>
      </c>
      <c r="I2373" s="4" t="s">
        <v>2065</v>
      </c>
      <c r="K2373" s="11">
        <v>1</v>
      </c>
      <c r="Q2373" s="11">
        <v>1</v>
      </c>
      <c r="R2373" s="11">
        <v>0.14199999999999999</v>
      </c>
      <c r="S2373" s="4" t="s">
        <v>20</v>
      </c>
      <c r="T2373" s="11">
        <v>1</v>
      </c>
      <c r="Z2373" s="11">
        <v>0</v>
      </c>
      <c r="AF2373" s="11">
        <v>0</v>
      </c>
      <c r="AI2373" s="11">
        <v>0</v>
      </c>
      <c r="AL2373" s="11"/>
      <c r="AM2373" s="11"/>
      <c r="AN2373" s="11"/>
      <c r="AO2373" s="11"/>
      <c r="AP2373" s="11"/>
      <c r="AQ2373" s="11"/>
    </row>
    <row r="2374" spans="1:43" x14ac:dyDescent="0.25">
      <c r="A2374" s="44" t="str">
        <f t="shared" si="43"/>
        <v>FIELD_GUN</v>
      </c>
      <c r="B2374" s="9" t="s">
        <v>2594</v>
      </c>
      <c r="E2374" s="4" t="s">
        <v>2594</v>
      </c>
      <c r="F2374" s="4" t="s">
        <v>2594</v>
      </c>
      <c r="H2374" s="4" t="s">
        <v>2603</v>
      </c>
      <c r="I2374" s="4" t="s">
        <v>1928</v>
      </c>
      <c r="K2374" s="11">
        <v>1</v>
      </c>
      <c r="Q2374" s="11">
        <v>3</v>
      </c>
      <c r="R2374" s="11" t="s">
        <v>1692</v>
      </c>
      <c r="S2374" s="4" t="s">
        <v>1620</v>
      </c>
      <c r="Z2374" s="11">
        <v>1</v>
      </c>
      <c r="AL2374" s="11"/>
      <c r="AM2374" s="11"/>
      <c r="AN2374" s="11"/>
      <c r="AO2374" s="11"/>
      <c r="AP2374" s="11"/>
      <c r="AQ2374" s="11"/>
    </row>
    <row r="2375" spans="1:43" x14ac:dyDescent="0.25">
      <c r="A2375" s="44" t="str">
        <f t="shared" si="43"/>
        <v>GUERILLA</v>
      </c>
      <c r="B2375" s="9" t="s">
        <v>2596</v>
      </c>
      <c r="E2375" s="4" t="s">
        <v>2596</v>
      </c>
      <c r="F2375" s="4" t="s">
        <v>2596</v>
      </c>
      <c r="H2375" s="4" t="s">
        <v>494</v>
      </c>
      <c r="I2375" s="4" t="s">
        <v>122</v>
      </c>
      <c r="K2375" s="11">
        <v>1</v>
      </c>
      <c r="Q2375" s="11" t="s">
        <v>1734</v>
      </c>
      <c r="R2375" s="11" t="s">
        <v>1734</v>
      </c>
      <c r="S2375" s="4" t="s">
        <v>1617</v>
      </c>
      <c r="T2375" s="11">
        <v>18</v>
      </c>
      <c r="U2375" s="11" t="s">
        <v>1734</v>
      </c>
      <c r="W2375" s="11" t="s">
        <v>3</v>
      </c>
      <c r="X2375" s="11" t="s">
        <v>3</v>
      </c>
      <c r="Z2375" s="11">
        <v>1</v>
      </c>
      <c r="AD2375" s="11" t="s">
        <v>3</v>
      </c>
      <c r="AF2375" s="11" t="s">
        <v>1734</v>
      </c>
      <c r="AI2375" s="11" t="s">
        <v>1734</v>
      </c>
      <c r="AL2375" s="11"/>
      <c r="AM2375" s="11"/>
      <c r="AN2375" s="11"/>
      <c r="AO2375" s="11"/>
      <c r="AP2375" s="11"/>
      <c r="AQ2375" s="11"/>
    </row>
    <row r="2376" spans="1:43" x14ac:dyDescent="0.25">
      <c r="A2376" s="44" t="str">
        <f t="shared" si="43"/>
        <v>HEAVY_SKIRMISH</v>
      </c>
      <c r="B2376" s="9" t="s">
        <v>2605</v>
      </c>
      <c r="E2376" s="4" t="s">
        <v>2595</v>
      </c>
      <c r="F2376" s="4" t="s">
        <v>2595</v>
      </c>
      <c r="H2376" s="4" t="s">
        <v>2602</v>
      </c>
      <c r="I2376" s="4" t="s">
        <v>102</v>
      </c>
      <c r="K2376" s="11">
        <v>1</v>
      </c>
      <c r="Q2376" s="11">
        <v>4</v>
      </c>
      <c r="R2376" s="11" t="s">
        <v>1692</v>
      </c>
      <c r="S2376" s="4" t="s">
        <v>1692</v>
      </c>
      <c r="T2376" s="11">
        <v>5</v>
      </c>
      <c r="Z2376" s="11">
        <v>1</v>
      </c>
      <c r="AF2376" s="11">
        <v>2</v>
      </c>
      <c r="AI2376" s="11">
        <v>4</v>
      </c>
      <c r="AL2376" s="11"/>
      <c r="AM2376" s="11"/>
      <c r="AN2376" s="11"/>
      <c r="AO2376" s="11"/>
      <c r="AP2376" s="11"/>
      <c r="AQ2376" s="11"/>
    </row>
    <row r="2377" spans="1:43" x14ac:dyDescent="0.25">
      <c r="A2377" s="44" t="str">
        <f t="shared" ref="A2377:A2379" si="46">CONCATENATE(E2377,IF(ISBLANK(C2377),"",CONCATENATE("_",C2377)))</f>
        <v>HEAVY_SKIRMISH_AMER</v>
      </c>
      <c r="B2377" s="9" t="s">
        <v>2605</v>
      </c>
      <c r="C2377" s="4" t="s">
        <v>697</v>
      </c>
      <c r="E2377" s="4" t="s">
        <v>2595</v>
      </c>
      <c r="F2377" s="4" t="s">
        <v>2595</v>
      </c>
      <c r="H2377" s="4" t="s">
        <v>459</v>
      </c>
      <c r="I2377" s="4" t="s">
        <v>835</v>
      </c>
      <c r="K2377" s="11">
        <v>1</v>
      </c>
      <c r="Q2377" s="11">
        <v>1</v>
      </c>
      <c r="R2377" s="11" t="s">
        <v>1692</v>
      </c>
      <c r="S2377" s="4" t="s">
        <v>1692</v>
      </c>
      <c r="T2377" s="11">
        <v>2</v>
      </c>
      <c r="Z2377" s="11">
        <v>1</v>
      </c>
      <c r="AF2377" s="11">
        <v>1</v>
      </c>
      <c r="AI2377" s="11">
        <v>1</v>
      </c>
      <c r="AL2377" s="11"/>
      <c r="AM2377" s="11"/>
      <c r="AN2377" s="11"/>
      <c r="AO2377" s="11"/>
      <c r="AP2377" s="11"/>
      <c r="AQ2377" s="11"/>
    </row>
    <row r="2378" spans="1:43" x14ac:dyDescent="0.25">
      <c r="A2378" s="44" t="str">
        <f t="shared" si="46"/>
        <v>HEAVY_SKIRMISH_AMER</v>
      </c>
      <c r="B2378" s="9" t="s">
        <v>2605</v>
      </c>
      <c r="C2378" s="4" t="s">
        <v>697</v>
      </c>
      <c r="E2378" s="4" t="s">
        <v>2595</v>
      </c>
      <c r="F2378" s="4" t="s">
        <v>2595</v>
      </c>
      <c r="G2378" s="4" t="s">
        <v>2039</v>
      </c>
      <c r="H2378" s="4" t="s">
        <v>632</v>
      </c>
      <c r="I2378" s="4" t="s">
        <v>835</v>
      </c>
      <c r="K2378" s="11">
        <v>1</v>
      </c>
      <c r="Q2378" s="11">
        <v>2</v>
      </c>
      <c r="R2378" s="11" t="s">
        <v>1692</v>
      </c>
      <c r="S2378" s="4" t="s">
        <v>1692</v>
      </c>
      <c r="T2378" s="11">
        <v>2</v>
      </c>
      <c r="Z2378" s="11">
        <v>0</v>
      </c>
      <c r="AF2378" s="11">
        <v>1</v>
      </c>
      <c r="AI2378" s="11">
        <v>2</v>
      </c>
      <c r="AL2378" s="11"/>
      <c r="AM2378" s="11"/>
      <c r="AN2378" s="11"/>
      <c r="AO2378" s="11"/>
      <c r="AP2378" s="11"/>
      <c r="AQ2378" s="11"/>
    </row>
    <row r="2379" spans="1:43" x14ac:dyDescent="0.25">
      <c r="A2379" s="44" t="str">
        <f t="shared" si="46"/>
        <v>HEAVY_SKIRMISH_AMER</v>
      </c>
      <c r="B2379" s="9" t="s">
        <v>2605</v>
      </c>
      <c r="C2379" s="4" t="s">
        <v>697</v>
      </c>
      <c r="E2379" s="4" t="s">
        <v>2595</v>
      </c>
      <c r="F2379" s="4" t="s">
        <v>2595</v>
      </c>
      <c r="H2379" s="4" t="s">
        <v>459</v>
      </c>
      <c r="I2379" s="4" t="s">
        <v>835</v>
      </c>
      <c r="K2379" s="11">
        <v>1</v>
      </c>
      <c r="Q2379" s="11">
        <v>1</v>
      </c>
      <c r="R2379" s="11" t="s">
        <v>1692</v>
      </c>
      <c r="S2379" s="4" t="s">
        <v>1692</v>
      </c>
      <c r="T2379" s="11">
        <v>1</v>
      </c>
      <c r="Z2379" s="11">
        <v>0</v>
      </c>
      <c r="AF2379" s="11">
        <v>0</v>
      </c>
      <c r="AI2379" s="11">
        <v>1</v>
      </c>
      <c r="AL2379" s="11"/>
      <c r="AM2379" s="11"/>
      <c r="AN2379" s="11"/>
      <c r="AO2379" s="11"/>
      <c r="AP2379" s="11"/>
      <c r="AQ2379" s="11"/>
    </row>
    <row r="2380" spans="1:43" x14ac:dyDescent="0.25">
      <c r="A2380" s="44" t="str">
        <f t="shared" ref="A2380:A2398" si="47">CONCATENATE(E2380,IF(ISBLANK(C2380),"",CONCATENATE("_",C2380)))</f>
        <v>MERC</v>
      </c>
      <c r="B2380" s="9" t="s">
        <v>2597</v>
      </c>
      <c r="E2380" s="4" t="s">
        <v>2597</v>
      </c>
      <c r="F2380" s="4" t="s">
        <v>2598</v>
      </c>
      <c r="H2380" s="4" t="s">
        <v>1940</v>
      </c>
      <c r="I2380" s="4" t="s">
        <v>1249</v>
      </c>
      <c r="K2380" s="11">
        <v>1</v>
      </c>
      <c r="Q2380" s="11" t="s">
        <v>1734</v>
      </c>
      <c r="R2380" s="11" t="s">
        <v>1734</v>
      </c>
      <c r="S2380" s="4" t="s">
        <v>1617</v>
      </c>
      <c r="T2380" s="11">
        <v>18</v>
      </c>
      <c r="U2380" s="11" t="s">
        <v>1734</v>
      </c>
      <c r="W2380" s="11" t="s">
        <v>3</v>
      </c>
      <c r="X2380" s="11" t="s">
        <v>3</v>
      </c>
      <c r="Z2380" s="11">
        <v>0</v>
      </c>
      <c r="AD2380" s="11" t="s">
        <v>3</v>
      </c>
      <c r="AF2380" s="11" t="s">
        <v>1734</v>
      </c>
      <c r="AI2380" s="11" t="s">
        <v>1734</v>
      </c>
      <c r="AL2380" s="11"/>
      <c r="AM2380" s="11"/>
      <c r="AN2380" s="11"/>
      <c r="AO2380" s="11"/>
      <c r="AP2380" s="11"/>
      <c r="AQ2380" s="11"/>
    </row>
    <row r="2381" spans="1:43" x14ac:dyDescent="0.25">
      <c r="A2381" s="44" t="str">
        <f t="shared" si="47"/>
        <v>PIONEER_ED</v>
      </c>
      <c r="B2381" s="9" t="s">
        <v>2601</v>
      </c>
      <c r="E2381" s="4" t="s">
        <v>2701</v>
      </c>
      <c r="F2381" s="4" t="s">
        <v>2701</v>
      </c>
      <c r="H2381" s="4" t="s">
        <v>1431</v>
      </c>
      <c r="I2381" s="4" t="s">
        <v>128</v>
      </c>
      <c r="K2381" s="11">
        <v>1</v>
      </c>
      <c r="L2381" s="4" t="s">
        <v>1705</v>
      </c>
      <c r="Q2381" s="11">
        <v>1</v>
      </c>
      <c r="R2381" s="11" t="s">
        <v>1692</v>
      </c>
      <c r="S2381" s="4" t="s">
        <v>1607</v>
      </c>
      <c r="U2381" s="11" t="s">
        <v>1734</v>
      </c>
      <c r="X2381" s="11" t="s">
        <v>3</v>
      </c>
      <c r="Z2381" s="11">
        <v>0</v>
      </c>
      <c r="AD2381" s="11" t="s">
        <v>3</v>
      </c>
      <c r="AF2381" s="11">
        <v>0</v>
      </c>
      <c r="AL2381" s="11"/>
      <c r="AM2381" s="11"/>
      <c r="AN2381" s="11"/>
      <c r="AO2381" s="11"/>
      <c r="AP2381" s="11"/>
      <c r="AQ2381" s="11"/>
    </row>
    <row r="2382" spans="1:43" x14ac:dyDescent="0.25">
      <c r="A2382" s="44" t="str">
        <f t="shared" si="47"/>
        <v>PIONEER_ED</v>
      </c>
      <c r="B2382" s="9" t="s">
        <v>2601</v>
      </c>
      <c r="E2382" s="4" t="s">
        <v>2701</v>
      </c>
      <c r="F2382" s="4" t="s">
        <v>2701</v>
      </c>
      <c r="G2382" s="4" t="s">
        <v>2039</v>
      </c>
      <c r="H2382" s="4" t="s">
        <v>1432</v>
      </c>
      <c r="I2382" s="4" t="s">
        <v>128</v>
      </c>
      <c r="K2382" s="11">
        <v>1</v>
      </c>
      <c r="L2382" s="4" t="s">
        <v>1705</v>
      </c>
      <c r="Q2382" s="11">
        <v>1</v>
      </c>
      <c r="R2382" s="11" t="s">
        <v>1692</v>
      </c>
      <c r="S2382" s="4" t="s">
        <v>1607</v>
      </c>
      <c r="U2382" s="11" t="s">
        <v>1734</v>
      </c>
      <c r="X2382" s="11" t="s">
        <v>3</v>
      </c>
      <c r="Z2382" s="11">
        <v>0</v>
      </c>
      <c r="AD2382" s="11" t="s">
        <v>3</v>
      </c>
      <c r="AF2382" s="11">
        <v>0</v>
      </c>
      <c r="AL2382" s="11"/>
      <c r="AM2382" s="11"/>
      <c r="AN2382" s="11"/>
      <c r="AO2382" s="11"/>
      <c r="AP2382" s="11"/>
      <c r="AQ2382" s="11"/>
    </row>
    <row r="2383" spans="1:43" x14ac:dyDescent="0.25">
      <c r="A2383" s="44" t="str">
        <f t="shared" si="47"/>
        <v>PIONEER_ED</v>
      </c>
      <c r="B2383" s="9" t="s">
        <v>2601</v>
      </c>
      <c r="E2383" s="4" t="s">
        <v>2701</v>
      </c>
      <c r="F2383" s="4" t="s">
        <v>2701</v>
      </c>
      <c r="G2383" s="4" t="s">
        <v>2041</v>
      </c>
      <c r="H2383" s="4" t="s">
        <v>1431</v>
      </c>
      <c r="I2383" s="4" t="s">
        <v>128</v>
      </c>
      <c r="K2383" s="11">
        <v>1</v>
      </c>
      <c r="Q2383" s="11">
        <v>1</v>
      </c>
      <c r="R2383" s="11" t="s">
        <v>1692</v>
      </c>
      <c r="S2383" s="4" t="s">
        <v>1607</v>
      </c>
      <c r="U2383" s="11" t="s">
        <v>1734</v>
      </c>
      <c r="X2383" s="11" t="s">
        <v>3</v>
      </c>
      <c r="Z2383" s="11">
        <v>0</v>
      </c>
      <c r="AL2383" s="11"/>
      <c r="AM2383" s="11"/>
      <c r="AN2383" s="11"/>
      <c r="AO2383" s="11"/>
      <c r="AP2383" s="11"/>
      <c r="AQ2383" s="11"/>
    </row>
    <row r="2384" spans="1:43" x14ac:dyDescent="0.25">
      <c r="A2384" s="44" t="str">
        <f t="shared" si="47"/>
        <v>PIONEER_ED</v>
      </c>
      <c r="B2384" s="9" t="s">
        <v>2601</v>
      </c>
      <c r="E2384" s="4" t="s">
        <v>2701</v>
      </c>
      <c r="F2384" s="4" t="s">
        <v>2701</v>
      </c>
      <c r="G2384" s="4" t="s">
        <v>2040</v>
      </c>
      <c r="H2384" s="4" t="s">
        <v>1084</v>
      </c>
      <c r="I2384" s="4" t="s">
        <v>128</v>
      </c>
      <c r="K2384" s="11">
        <v>1</v>
      </c>
      <c r="Q2384" s="11">
        <v>1</v>
      </c>
      <c r="R2384" s="11" t="s">
        <v>1692</v>
      </c>
      <c r="S2384" s="4" t="s">
        <v>1607</v>
      </c>
      <c r="U2384" s="11" t="s">
        <v>1692</v>
      </c>
      <c r="X2384" s="11" t="s">
        <v>3</v>
      </c>
      <c r="Z2384" s="11">
        <v>1</v>
      </c>
      <c r="AL2384" s="11"/>
      <c r="AM2384" s="11"/>
      <c r="AN2384" s="11"/>
      <c r="AO2384" s="11"/>
      <c r="AP2384" s="11"/>
      <c r="AQ2384" s="11"/>
    </row>
    <row r="2385" spans="1:43" x14ac:dyDescent="0.25">
      <c r="A2385" s="44" t="str">
        <f t="shared" si="47"/>
        <v>PIONEER_ED</v>
      </c>
      <c r="B2385" s="9" t="s">
        <v>2601</v>
      </c>
      <c r="E2385" s="4" t="s">
        <v>2701</v>
      </c>
      <c r="F2385" s="4" t="s">
        <v>2701</v>
      </c>
      <c r="G2385" s="4" t="s">
        <v>2050</v>
      </c>
      <c r="H2385" s="4" t="s">
        <v>1475</v>
      </c>
      <c r="I2385" s="4" t="s">
        <v>128</v>
      </c>
      <c r="K2385" s="11">
        <v>1</v>
      </c>
      <c r="L2385" s="4" t="s">
        <v>1707</v>
      </c>
      <c r="Q2385" s="11">
        <v>1</v>
      </c>
      <c r="R2385" s="11" t="s">
        <v>1692</v>
      </c>
      <c r="S2385" s="4" t="s">
        <v>1607</v>
      </c>
      <c r="U2385" s="11" t="s">
        <v>1734</v>
      </c>
      <c r="X2385" s="11" t="s">
        <v>3</v>
      </c>
      <c r="Z2385" s="11">
        <v>0</v>
      </c>
      <c r="AD2385" s="11" t="s">
        <v>3</v>
      </c>
      <c r="AF2385" s="11">
        <v>1</v>
      </c>
      <c r="AL2385" s="11"/>
      <c r="AM2385" s="11"/>
      <c r="AN2385" s="11"/>
      <c r="AO2385" s="11"/>
      <c r="AP2385" s="11"/>
      <c r="AQ2385" s="11"/>
    </row>
    <row r="2386" spans="1:43" x14ac:dyDescent="0.25">
      <c r="A2386" s="44" t="str">
        <f t="shared" si="47"/>
        <v>PIONEER_ED</v>
      </c>
      <c r="B2386" s="9" t="s">
        <v>2601</v>
      </c>
      <c r="E2386" s="4" t="s">
        <v>2701</v>
      </c>
      <c r="F2386" s="4" t="s">
        <v>2701</v>
      </c>
      <c r="G2386" s="4" t="s">
        <v>2051</v>
      </c>
      <c r="H2386" s="1" t="s">
        <v>1413</v>
      </c>
      <c r="I2386" s="1" t="s">
        <v>128</v>
      </c>
      <c r="J2386" s="1"/>
      <c r="K2386" s="9">
        <v>1</v>
      </c>
      <c r="L2386" s="1" t="s">
        <v>1705</v>
      </c>
      <c r="M2386" s="1"/>
      <c r="N2386" s="1"/>
      <c r="O2386" s="1"/>
      <c r="P2386" s="1"/>
      <c r="Q2386" s="1">
        <v>1</v>
      </c>
      <c r="R2386" s="1">
        <v>0.11799999999999999</v>
      </c>
      <c r="S2386" s="1" t="s">
        <v>1607</v>
      </c>
      <c r="T2386" s="9"/>
      <c r="U2386" s="1" t="s">
        <v>1692</v>
      </c>
      <c r="V2386" s="1"/>
      <c r="W2386" s="1"/>
      <c r="X2386" s="1" t="s">
        <v>3</v>
      </c>
      <c r="Y2386" s="1"/>
      <c r="Z2386" s="1">
        <v>0</v>
      </c>
      <c r="AA2386" s="1"/>
      <c r="AB2386" s="1"/>
      <c r="AC2386" s="1"/>
      <c r="AD2386" s="1" t="s">
        <v>3</v>
      </c>
      <c r="AE2386" s="1"/>
      <c r="AF2386" s="1">
        <v>1</v>
      </c>
      <c r="AG2386" s="1"/>
      <c r="AH2386" s="1"/>
      <c r="AI2386" s="1"/>
      <c r="AJ2386" s="1"/>
      <c r="AK2386" s="1"/>
      <c r="AL2386" s="56"/>
      <c r="AM2386" s="11"/>
      <c r="AN2386" s="11"/>
      <c r="AO2386" s="11"/>
      <c r="AP2386" s="11"/>
      <c r="AQ2386" s="11"/>
    </row>
    <row r="2387" spans="1:43" x14ac:dyDescent="0.25">
      <c r="A2387" s="44" t="str">
        <f t="shared" si="47"/>
        <v>PIONEER_ED</v>
      </c>
      <c r="B2387" s="9" t="s">
        <v>2601</v>
      </c>
      <c r="E2387" s="4" t="s">
        <v>2701</v>
      </c>
      <c r="F2387" s="4" t="s">
        <v>2701</v>
      </c>
      <c r="G2387" s="4" t="s">
        <v>2052</v>
      </c>
      <c r="H2387" s="4" t="s">
        <v>1414</v>
      </c>
      <c r="I2387" s="4" t="s">
        <v>128</v>
      </c>
      <c r="K2387" s="11">
        <v>1</v>
      </c>
      <c r="L2387" s="4" t="s">
        <v>1705</v>
      </c>
      <c r="Q2387" s="11">
        <v>1</v>
      </c>
      <c r="R2387" s="11">
        <v>0.11799999999999999</v>
      </c>
      <c r="S2387" s="4" t="s">
        <v>1607</v>
      </c>
      <c r="U2387" s="11" t="s">
        <v>1692</v>
      </c>
      <c r="X2387" s="11" t="s">
        <v>3</v>
      </c>
      <c r="Z2387" s="11">
        <v>0</v>
      </c>
      <c r="AD2387" s="11" t="s">
        <v>3</v>
      </c>
      <c r="AF2387" s="11">
        <v>0</v>
      </c>
      <c r="AL2387" s="11"/>
      <c r="AM2387" s="11"/>
      <c r="AN2387" s="11"/>
      <c r="AO2387" s="11"/>
      <c r="AP2387" s="11"/>
      <c r="AQ2387" s="11"/>
    </row>
    <row r="2388" spans="1:43" x14ac:dyDescent="0.25">
      <c r="A2388" s="44" t="str">
        <f t="shared" si="47"/>
        <v>PIONEER_ED</v>
      </c>
      <c r="B2388" s="9" t="s">
        <v>2601</v>
      </c>
      <c r="E2388" s="4" t="s">
        <v>2701</v>
      </c>
      <c r="F2388" s="4" t="s">
        <v>2701</v>
      </c>
      <c r="G2388" s="4" t="s">
        <v>2717</v>
      </c>
      <c r="H2388" s="4" t="s">
        <v>1476</v>
      </c>
      <c r="I2388" s="4" t="s">
        <v>128</v>
      </c>
      <c r="K2388" s="11">
        <v>1</v>
      </c>
      <c r="L2388" s="4" t="s">
        <v>1707</v>
      </c>
      <c r="Q2388" s="11">
        <v>1</v>
      </c>
      <c r="R2388" s="11" t="s">
        <v>1692</v>
      </c>
      <c r="S2388" s="4" t="s">
        <v>1607</v>
      </c>
      <c r="U2388" s="11" t="s">
        <v>1734</v>
      </c>
      <c r="X2388" s="11" t="s">
        <v>3</v>
      </c>
      <c r="Z2388" s="11">
        <v>0</v>
      </c>
      <c r="AD2388" s="11" t="s">
        <v>3</v>
      </c>
      <c r="AF2388" s="11">
        <v>0</v>
      </c>
      <c r="AL2388" s="11"/>
      <c r="AM2388" s="11"/>
      <c r="AN2388" s="11"/>
      <c r="AO2388" s="11"/>
      <c r="AP2388" s="11"/>
      <c r="AQ2388" s="11"/>
    </row>
    <row r="2389" spans="1:43" x14ac:dyDescent="0.25">
      <c r="A2389" s="44" t="str">
        <f t="shared" si="47"/>
        <v>VOLLEY_GUN</v>
      </c>
      <c r="B2389" s="9" t="s">
        <v>2591</v>
      </c>
      <c r="E2389" s="4" t="s">
        <v>2591</v>
      </c>
      <c r="F2389" s="4" t="s">
        <v>2591</v>
      </c>
      <c r="H2389" s="4" t="s">
        <v>2604</v>
      </c>
      <c r="I2389" s="4" t="s">
        <v>1928</v>
      </c>
      <c r="K2389" s="11">
        <v>1</v>
      </c>
      <c r="Q2389" s="11">
        <v>3</v>
      </c>
      <c r="R2389" s="11" t="s">
        <v>1692</v>
      </c>
      <c r="S2389" s="4" t="s">
        <v>1608</v>
      </c>
      <c r="Z2389" s="11">
        <v>1</v>
      </c>
      <c r="AL2389" s="11"/>
      <c r="AM2389" s="11"/>
      <c r="AN2389" s="11"/>
      <c r="AO2389" s="11"/>
      <c r="AP2389" s="11"/>
      <c r="AQ2389" s="11"/>
    </row>
    <row r="2390" spans="1:43" x14ac:dyDescent="0.25">
      <c r="A2390" s="44" t="str">
        <f t="shared" si="47"/>
        <v>ZEPPELIN_ED</v>
      </c>
      <c r="B2390" s="9" t="s">
        <v>2606</v>
      </c>
      <c r="E2390" s="4" t="s">
        <v>2607</v>
      </c>
      <c r="F2390" s="4" t="s">
        <v>2607</v>
      </c>
      <c r="H2390" s="4" t="s">
        <v>2611</v>
      </c>
      <c r="I2390" s="4" t="s">
        <v>1928</v>
      </c>
      <c r="K2390" s="11">
        <v>1</v>
      </c>
      <c r="Q2390" s="11">
        <v>2</v>
      </c>
      <c r="Z2390" s="11">
        <v>1</v>
      </c>
      <c r="AL2390" s="11"/>
      <c r="AM2390" s="11"/>
      <c r="AN2390" s="11"/>
      <c r="AO2390" s="11"/>
      <c r="AP2390" s="11"/>
      <c r="AQ2390" s="11"/>
    </row>
    <row r="2391" spans="1:43" x14ac:dyDescent="0.25">
      <c r="A2391" s="44" t="str">
        <f t="shared" ref="A2391" si="48">CONCATENATE(E2391,IF(ISBLANK(C2391),"",CONCATENATE("_",C2391)))</f>
        <v>AMBASSADOR_ED</v>
      </c>
      <c r="B2391" s="9" t="s">
        <v>2561</v>
      </c>
      <c r="E2391" s="4" t="s">
        <v>2703</v>
      </c>
      <c r="F2391" s="4" t="s">
        <v>2703</v>
      </c>
      <c r="H2391" s="4" t="s">
        <v>1393</v>
      </c>
      <c r="I2391" s="4" t="s">
        <v>128</v>
      </c>
      <c r="K2391" s="7">
        <v>1</v>
      </c>
      <c r="Q2391" s="7">
        <v>1</v>
      </c>
      <c r="R2391" s="6" t="s">
        <v>1692</v>
      </c>
      <c r="S2391" s="13" t="s">
        <v>1617</v>
      </c>
      <c r="T2391" s="6"/>
      <c r="U2391" s="7" t="s">
        <v>1734</v>
      </c>
      <c r="V2391" s="5"/>
      <c r="W2391" s="6"/>
      <c r="X2391" s="6" t="s">
        <v>3</v>
      </c>
      <c r="Y2391" s="5"/>
      <c r="Z2391" s="7"/>
      <c r="AA2391" s="6"/>
      <c r="AB2391" s="5"/>
      <c r="AC2391" s="6"/>
      <c r="AD2391" s="6" t="s">
        <v>3</v>
      </c>
      <c r="AE2391" s="5"/>
      <c r="AF2391" s="7"/>
      <c r="AG2391" s="6"/>
      <c r="AH2391" s="5"/>
      <c r="AI2391" s="6"/>
      <c r="AJ2391" s="6"/>
      <c r="AK2391" s="5"/>
      <c r="AL2391" s="6"/>
      <c r="AM2391" s="6"/>
      <c r="AN2391" s="6"/>
      <c r="AO2391" s="6"/>
      <c r="AP2391" s="6"/>
      <c r="AQ2391" s="6"/>
    </row>
    <row r="2392" spans="1:43" x14ac:dyDescent="0.25">
      <c r="A2392" s="44" t="str">
        <f t="shared" si="47"/>
        <v>DIPLOMAT_ED</v>
      </c>
      <c r="B2392" s="9" t="s">
        <v>2560</v>
      </c>
      <c r="E2392" s="4" t="s">
        <v>2707</v>
      </c>
      <c r="F2392" s="4" t="s">
        <v>2707</v>
      </c>
      <c r="H2392" s="4" t="s">
        <v>1431</v>
      </c>
      <c r="I2392" s="4" t="s">
        <v>128</v>
      </c>
      <c r="K2392" s="7">
        <v>1</v>
      </c>
      <c r="Q2392" s="7">
        <v>1</v>
      </c>
      <c r="R2392" s="6" t="s">
        <v>1692</v>
      </c>
      <c r="S2392" s="13" t="s">
        <v>1617</v>
      </c>
      <c r="T2392" s="6"/>
      <c r="U2392" s="7" t="s">
        <v>1734</v>
      </c>
      <c r="V2392" s="5"/>
      <c r="W2392" s="6"/>
      <c r="X2392" s="6" t="s">
        <v>3</v>
      </c>
      <c r="Y2392" s="5"/>
      <c r="Z2392" s="7"/>
      <c r="AA2392" s="6"/>
      <c r="AB2392" s="5"/>
      <c r="AC2392" s="6"/>
      <c r="AD2392" s="6" t="s">
        <v>3</v>
      </c>
      <c r="AE2392" s="5"/>
      <c r="AF2392" s="7"/>
      <c r="AG2392" s="6"/>
      <c r="AH2392" s="5"/>
      <c r="AI2392" s="6"/>
      <c r="AJ2392" s="6"/>
      <c r="AK2392" s="5"/>
      <c r="AL2392" s="6"/>
      <c r="AM2392" s="6"/>
      <c r="AN2392" s="6"/>
      <c r="AO2392" s="6"/>
      <c r="AP2392" s="6"/>
      <c r="AQ2392" s="6"/>
    </row>
    <row r="2393" spans="1:43" x14ac:dyDescent="0.25">
      <c r="A2393" s="44" t="str">
        <f t="shared" ref="A2393:A2394" si="49">CONCATENATE(E2393,IF(ISBLANK(C2393),"",CONCATENATE("_",C2393)))</f>
        <v>EMISSARY_ED</v>
      </c>
      <c r="B2393" s="9" t="s">
        <v>2558</v>
      </c>
      <c r="E2393" s="4" t="s">
        <v>2708</v>
      </c>
      <c r="F2393" s="4" t="s">
        <v>2708</v>
      </c>
      <c r="H2393" s="4" t="s">
        <v>1507</v>
      </c>
      <c r="I2393" s="4" t="s">
        <v>128</v>
      </c>
      <c r="K2393" s="7">
        <v>1</v>
      </c>
      <c r="Q2393" s="7">
        <v>1</v>
      </c>
      <c r="R2393" s="6">
        <v>0.15</v>
      </c>
      <c r="S2393" s="13" t="s">
        <v>1617</v>
      </c>
      <c r="T2393" s="6"/>
      <c r="U2393" s="7"/>
      <c r="V2393" s="5"/>
      <c r="W2393" s="6"/>
      <c r="X2393" s="6" t="s">
        <v>3</v>
      </c>
      <c r="Y2393" s="5"/>
      <c r="Z2393" s="7"/>
      <c r="AA2393" s="6"/>
      <c r="AB2393" s="5"/>
      <c r="AC2393" s="6"/>
      <c r="AD2393" s="6" t="s">
        <v>3</v>
      </c>
      <c r="AE2393" s="5"/>
      <c r="AF2393" s="7"/>
      <c r="AG2393" s="6"/>
      <c r="AH2393" s="5"/>
      <c r="AI2393" s="6"/>
      <c r="AJ2393" s="6"/>
      <c r="AK2393" s="5"/>
      <c r="AL2393" s="6"/>
      <c r="AM2393" s="6"/>
      <c r="AN2393" s="6"/>
      <c r="AO2393" s="6"/>
      <c r="AP2393" s="6"/>
      <c r="AQ2393" s="6"/>
    </row>
    <row r="2394" spans="1:43" x14ac:dyDescent="0.25">
      <c r="A2394" s="44" t="str">
        <f t="shared" si="49"/>
        <v>ENVOY_ED</v>
      </c>
      <c r="B2394" s="9" t="s">
        <v>2559</v>
      </c>
      <c r="E2394" s="4" t="s">
        <v>2709</v>
      </c>
      <c r="F2394" s="4" t="s">
        <v>2709</v>
      </c>
      <c r="H2394" s="4" t="s">
        <v>1490</v>
      </c>
      <c r="I2394" s="4" t="s">
        <v>128</v>
      </c>
      <c r="K2394" s="7">
        <v>1</v>
      </c>
      <c r="Q2394" s="7">
        <v>1</v>
      </c>
      <c r="R2394" s="6" t="s">
        <v>1734</v>
      </c>
      <c r="S2394" s="13" t="s">
        <v>1617</v>
      </c>
      <c r="T2394" s="6"/>
      <c r="U2394" s="7" t="s">
        <v>1734</v>
      </c>
      <c r="V2394" s="5"/>
      <c r="W2394" s="6"/>
      <c r="X2394" s="6" t="s">
        <v>3</v>
      </c>
      <c r="Y2394" s="5"/>
      <c r="Z2394" s="7"/>
      <c r="AA2394" s="6"/>
      <c r="AB2394" s="5"/>
      <c r="AC2394" s="6"/>
      <c r="AD2394" s="6" t="s">
        <v>3</v>
      </c>
      <c r="AE2394" s="5"/>
      <c r="AF2394" s="7"/>
      <c r="AG2394" s="6"/>
      <c r="AH2394" s="5"/>
      <c r="AI2394" s="6"/>
      <c r="AJ2394" s="6"/>
      <c r="AK2394" s="5"/>
      <c r="AL2394" s="6"/>
      <c r="AM2394" s="6"/>
      <c r="AN2394" s="6"/>
      <c r="AO2394" s="6"/>
      <c r="AP2394" s="6"/>
      <c r="AQ2394" s="6"/>
    </row>
    <row r="2395" spans="1:43" x14ac:dyDescent="0.25">
      <c r="A2395" s="44" t="str">
        <f t="shared" si="47"/>
        <v>GREAT_DIPLOMAT_ED</v>
      </c>
      <c r="B2395" s="9" t="s">
        <v>2613</v>
      </c>
      <c r="E2395" s="4" t="s">
        <v>2704</v>
      </c>
      <c r="F2395" s="4" t="s">
        <v>2704</v>
      </c>
      <c r="H2395" s="4" t="s">
        <v>1091</v>
      </c>
      <c r="I2395" s="4" t="s">
        <v>128</v>
      </c>
      <c r="J2395" s="11">
        <v>1</v>
      </c>
      <c r="K2395" s="7">
        <v>1</v>
      </c>
      <c r="L2395" s="4" t="s">
        <v>1705</v>
      </c>
      <c r="Q2395" s="7">
        <v>1</v>
      </c>
      <c r="R2395" s="6" t="s">
        <v>1692</v>
      </c>
      <c r="S2395" s="13" t="s">
        <v>1617</v>
      </c>
      <c r="T2395" s="6"/>
      <c r="U2395" s="7" t="s">
        <v>1734</v>
      </c>
      <c r="V2395" s="5"/>
      <c r="W2395" s="6"/>
      <c r="X2395" s="6" t="s">
        <v>3</v>
      </c>
      <c r="Y2395" s="5"/>
      <c r="Z2395" s="7"/>
      <c r="AA2395" s="6"/>
      <c r="AB2395" s="5"/>
      <c r="AC2395" s="6"/>
      <c r="AD2395" s="6" t="s">
        <v>3</v>
      </c>
      <c r="AE2395" s="5"/>
      <c r="AF2395" s="7"/>
      <c r="AG2395" s="6"/>
      <c r="AH2395" s="5"/>
      <c r="AI2395" s="6"/>
      <c r="AJ2395" s="6"/>
      <c r="AK2395" s="5"/>
      <c r="AL2395" s="6"/>
      <c r="AM2395" s="6"/>
      <c r="AN2395" s="6"/>
      <c r="AO2395" s="6"/>
      <c r="AP2395" s="6"/>
      <c r="AQ2395" s="6"/>
    </row>
    <row r="2396" spans="1:43" x14ac:dyDescent="0.25">
      <c r="A2396" s="44" t="str">
        <f t="shared" si="47"/>
        <v>GREAT_DIPLOMAT_ED_RENAISSANCE</v>
      </c>
      <c r="B2396" s="9" t="s">
        <v>2613</v>
      </c>
      <c r="E2396" s="4" t="s">
        <v>2705</v>
      </c>
      <c r="F2396" s="4" t="s">
        <v>2705</v>
      </c>
      <c r="H2396" s="4" t="s">
        <v>2805</v>
      </c>
      <c r="I2396" s="4" t="s">
        <v>1809</v>
      </c>
      <c r="J2396" s="11">
        <v>1</v>
      </c>
      <c r="K2396" s="7">
        <v>1</v>
      </c>
      <c r="L2396" s="4" t="s">
        <v>1705</v>
      </c>
      <c r="Q2396" s="7">
        <v>1</v>
      </c>
      <c r="R2396" s="6" t="s">
        <v>1692</v>
      </c>
      <c r="S2396" s="13" t="s">
        <v>1617</v>
      </c>
      <c r="T2396" s="6"/>
      <c r="U2396" s="7" t="s">
        <v>1734</v>
      </c>
      <c r="V2396" s="5"/>
      <c r="W2396" s="6"/>
      <c r="X2396" s="6" t="s">
        <v>3</v>
      </c>
      <c r="Y2396" s="5"/>
      <c r="Z2396" s="7"/>
      <c r="AA2396" s="6"/>
      <c r="AB2396" s="5"/>
      <c r="AC2396" s="6"/>
      <c r="AD2396" s="6" t="s">
        <v>3</v>
      </c>
      <c r="AE2396" s="5"/>
      <c r="AF2396" s="7"/>
      <c r="AG2396" s="6"/>
      <c r="AH2396" s="5"/>
      <c r="AI2396" s="6"/>
      <c r="AJ2396" s="6"/>
      <c r="AK2396" s="5"/>
      <c r="AL2396" s="6"/>
      <c r="AM2396" s="6"/>
      <c r="AN2396" s="6"/>
      <c r="AO2396" s="6"/>
      <c r="AP2396" s="6"/>
      <c r="AQ2396" s="6"/>
    </row>
    <row r="2397" spans="1:43" x14ac:dyDescent="0.25">
      <c r="A2397" s="44" t="str">
        <f t="shared" si="47"/>
        <v>GREAT_DIPLOMAT_ED_MODERN</v>
      </c>
      <c r="B2397" s="9" t="s">
        <v>2613</v>
      </c>
      <c r="E2397" s="4" t="s">
        <v>2706</v>
      </c>
      <c r="F2397" s="4" t="s">
        <v>2706</v>
      </c>
      <c r="H2397" s="4" t="s">
        <v>1444</v>
      </c>
      <c r="I2397" s="4" t="s">
        <v>128</v>
      </c>
      <c r="J2397" s="11">
        <v>0</v>
      </c>
      <c r="K2397" s="7">
        <v>1</v>
      </c>
      <c r="L2397" s="4" t="s">
        <v>1707</v>
      </c>
      <c r="Q2397" s="7">
        <v>1</v>
      </c>
      <c r="R2397" s="6" t="s">
        <v>1692</v>
      </c>
      <c r="S2397" s="13" t="s">
        <v>1617</v>
      </c>
      <c r="T2397" s="6"/>
      <c r="U2397" s="7" t="s">
        <v>1734</v>
      </c>
      <c r="V2397" s="5"/>
      <c r="W2397" s="6"/>
      <c r="X2397" s="6" t="s">
        <v>3</v>
      </c>
      <c r="Y2397" s="5"/>
      <c r="Z2397" s="7"/>
      <c r="AA2397" s="6"/>
      <c r="AB2397" s="5"/>
      <c r="AC2397" s="6"/>
      <c r="AD2397" s="6" t="s">
        <v>3</v>
      </c>
      <c r="AE2397" s="5"/>
      <c r="AF2397" s="7"/>
      <c r="AG2397" s="6"/>
      <c r="AH2397" s="5"/>
      <c r="AI2397" s="6"/>
      <c r="AJ2397" s="6"/>
      <c r="AK2397" s="5"/>
      <c r="AL2397" s="6"/>
      <c r="AM2397" s="6"/>
      <c r="AN2397" s="6"/>
      <c r="AO2397" s="6"/>
      <c r="AP2397" s="6"/>
      <c r="AQ2397" s="6"/>
    </row>
    <row r="2398" spans="1:43" x14ac:dyDescent="0.25">
      <c r="A2398" s="44" t="str">
        <f t="shared" si="47"/>
        <v>SWORDSMAN_GOTHS</v>
      </c>
      <c r="B2398" s="9" t="s">
        <v>104</v>
      </c>
      <c r="C2398" s="4" t="s">
        <v>2222</v>
      </c>
      <c r="E2398" s="4" t="s">
        <v>104</v>
      </c>
      <c r="F2398" s="4" t="s">
        <v>104</v>
      </c>
      <c r="H2398" s="5" t="s">
        <v>1439</v>
      </c>
      <c r="I2398" s="5" t="s">
        <v>128</v>
      </c>
      <c r="J2398" s="6"/>
      <c r="K2398" s="6">
        <v>1</v>
      </c>
      <c r="L2398" s="13" t="s">
        <v>1705</v>
      </c>
      <c r="M2398" s="8"/>
      <c r="N2398" s="5"/>
      <c r="O2398" s="5"/>
      <c r="P2398" s="5"/>
      <c r="Q2398" s="7">
        <v>10</v>
      </c>
      <c r="R2398" s="6" t="s">
        <v>1734</v>
      </c>
      <c r="S2398" s="13" t="s">
        <v>1617</v>
      </c>
      <c r="T2398" s="7" t="s">
        <v>1734</v>
      </c>
      <c r="U2398" s="7" t="s">
        <v>1734</v>
      </c>
      <c r="V2398" s="5"/>
      <c r="W2398" s="6" t="s">
        <v>3</v>
      </c>
      <c r="X2398" s="6" t="s">
        <v>3</v>
      </c>
      <c r="Y2398" s="5"/>
      <c r="Z2398" s="6">
        <v>1</v>
      </c>
      <c r="AA2398" s="6"/>
      <c r="AB2398" s="5"/>
      <c r="AC2398" s="6"/>
      <c r="AD2398" s="6" t="s">
        <v>3</v>
      </c>
      <c r="AE2398" s="5"/>
      <c r="AF2398" s="7" t="s">
        <v>1734</v>
      </c>
      <c r="AG2398" s="6"/>
      <c r="AH2398" s="5"/>
      <c r="AI2398" s="7">
        <v>6</v>
      </c>
      <c r="AJ2398" s="6"/>
      <c r="AK2398" s="5"/>
      <c r="AL2398" s="6"/>
      <c r="AM2398" s="6"/>
      <c r="AN2398" s="6"/>
      <c r="AO2398" s="6"/>
      <c r="AP2398" s="6"/>
      <c r="AQ239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42" customFormat="1" x14ac:dyDescent="0.25">
      <c r="A1" s="41" t="s">
        <v>1250</v>
      </c>
      <c r="B1" s="41" t="s">
        <v>1746</v>
      </c>
      <c r="C1" s="41" t="s">
        <v>1913</v>
      </c>
      <c r="D1" s="41" t="s">
        <v>1730</v>
      </c>
      <c r="E1" s="41" t="s">
        <v>1731</v>
      </c>
      <c r="F1" s="41" t="s">
        <v>1831</v>
      </c>
      <c r="G1" s="41" t="s">
        <v>1830</v>
      </c>
      <c r="H1" s="42" t="s">
        <v>2231</v>
      </c>
      <c r="I1" s="42" t="s">
        <v>2234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42" customFormat="1" x14ac:dyDescent="0.25">
      <c r="A5" s="41" t="s">
        <v>1250</v>
      </c>
      <c r="B5" s="41" t="s">
        <v>1746</v>
      </c>
      <c r="C5" s="41" t="s">
        <v>1913</v>
      </c>
      <c r="D5" s="41" t="s">
        <v>1730</v>
      </c>
      <c r="E5" s="41" t="s">
        <v>1731</v>
      </c>
      <c r="F5" s="41" t="s">
        <v>1831</v>
      </c>
      <c r="G5" s="41" t="s">
        <v>1830</v>
      </c>
      <c r="H5" s="42" t="s">
        <v>2231</v>
      </c>
      <c r="I5" s="42" t="s">
        <v>2234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2003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2003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1914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2003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2187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1300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2187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1785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1832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1833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1834</v>
      </c>
      <c r="B122" s="3">
        <v>0</v>
      </c>
      <c r="C122" s="3">
        <v>1</v>
      </c>
      <c r="D122" s="3" t="s">
        <v>729</v>
      </c>
      <c r="E122" s="3" t="s">
        <v>2003</v>
      </c>
    </row>
    <row r="123" spans="1:9" x14ac:dyDescent="0.25">
      <c r="A123" s="3" t="s">
        <v>1835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2212</v>
      </c>
      <c r="B124" s="3">
        <v>0</v>
      </c>
      <c r="C124" s="3">
        <v>1</v>
      </c>
      <c r="D124" s="3" t="s">
        <v>1785</v>
      </c>
      <c r="E124" s="3" t="s">
        <v>994</v>
      </c>
      <c r="F124" s="3" t="s">
        <v>1255</v>
      </c>
      <c r="H124" t="s">
        <v>2255</v>
      </c>
      <c r="I124" s="3" t="s">
        <v>2236</v>
      </c>
    </row>
    <row r="125" spans="1:9" x14ac:dyDescent="0.25">
      <c r="A125" s="3" t="s">
        <v>1836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1837</v>
      </c>
      <c r="B126" s="3">
        <v>0</v>
      </c>
      <c r="C126" s="3">
        <v>1</v>
      </c>
      <c r="D126" s="3" t="s">
        <v>729</v>
      </c>
      <c r="E126" s="3" t="s">
        <v>2003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1838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1839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1840</v>
      </c>
      <c r="B130" s="3">
        <v>0</v>
      </c>
      <c r="C130" s="3">
        <v>1</v>
      </c>
      <c r="D130" s="3" t="s">
        <v>698</v>
      </c>
      <c r="H130" t="s">
        <v>2252</v>
      </c>
      <c r="I130" t="s">
        <v>2236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1841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1842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1843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2213</v>
      </c>
      <c r="B134" s="3">
        <v>0</v>
      </c>
      <c r="C134" s="3">
        <v>1</v>
      </c>
      <c r="D134" s="3" t="s">
        <v>1300</v>
      </c>
      <c r="H134"/>
      <c r="I134" t="s">
        <v>2235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2208</v>
      </c>
      <c r="B135" s="3">
        <v>0</v>
      </c>
      <c r="C135" s="3">
        <v>1</v>
      </c>
      <c r="D135" s="3" t="s">
        <v>1785</v>
      </c>
      <c r="E135" s="3" t="s">
        <v>994</v>
      </c>
      <c r="F135" s="3" t="s">
        <v>1255</v>
      </c>
      <c r="H135"/>
      <c r="I135" s="3" t="s">
        <v>2235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1844</v>
      </c>
      <c r="B136" s="3">
        <v>0</v>
      </c>
      <c r="C136" s="3">
        <v>1</v>
      </c>
      <c r="D136" s="3" t="s">
        <v>691</v>
      </c>
      <c r="H136"/>
      <c r="I136" t="s">
        <v>2235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2214</v>
      </c>
      <c r="B137" s="3">
        <v>1</v>
      </c>
      <c r="C137" s="3">
        <v>1</v>
      </c>
      <c r="D137" s="3" t="s">
        <v>2187</v>
      </c>
      <c r="H137" t="s">
        <v>2229</v>
      </c>
      <c r="I137" t="s">
        <v>2235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1845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1846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1847</v>
      </c>
      <c r="B141" s="3">
        <v>0</v>
      </c>
      <c r="C141" s="3">
        <v>1</v>
      </c>
      <c r="D141" s="3" t="s">
        <v>690</v>
      </c>
      <c r="H141" t="s">
        <v>2251</v>
      </c>
      <c r="I141" t="s">
        <v>2236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2227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2224</v>
      </c>
      <c r="B143" s="3">
        <v>0</v>
      </c>
      <c r="C143" s="3">
        <v>1</v>
      </c>
      <c r="D143" s="3" t="s">
        <v>704</v>
      </c>
      <c r="H143" t="s">
        <v>2246</v>
      </c>
      <c r="I143" t="s">
        <v>2236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1848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2225</v>
      </c>
      <c r="B145" s="3">
        <v>0</v>
      </c>
      <c r="C145" s="3">
        <v>1</v>
      </c>
      <c r="D145" s="3" t="s">
        <v>692</v>
      </c>
      <c r="H145" t="s">
        <v>2254</v>
      </c>
      <c r="I145" t="s">
        <v>2236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2223</v>
      </c>
      <c r="B146" s="3">
        <v>0</v>
      </c>
      <c r="C146" s="3">
        <v>1</v>
      </c>
      <c r="D146" s="3" t="s">
        <v>2222</v>
      </c>
      <c r="E146" s="3" t="s">
        <v>962</v>
      </c>
      <c r="H146" t="s">
        <v>2246</v>
      </c>
      <c r="I146" t="s">
        <v>2236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1849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1850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1851</v>
      </c>
      <c r="B149" s="3">
        <v>0</v>
      </c>
      <c r="C149" s="3">
        <v>1</v>
      </c>
      <c r="D149" s="3" t="s">
        <v>698</v>
      </c>
      <c r="H149" t="s">
        <v>2253</v>
      </c>
      <c r="I149" t="s">
        <v>2236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1852</v>
      </c>
      <c r="B150" s="3">
        <v>0</v>
      </c>
      <c r="C150" s="3">
        <v>1</v>
      </c>
      <c r="D150" s="3" t="s">
        <v>690</v>
      </c>
      <c r="H150" t="s">
        <v>2250</v>
      </c>
      <c r="I150" t="s">
        <v>2236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1853</v>
      </c>
      <c r="B151" s="3">
        <v>0</v>
      </c>
      <c r="C151" s="3">
        <v>1</v>
      </c>
      <c r="D151" s="3" t="s">
        <v>698</v>
      </c>
      <c r="H151" t="s">
        <v>2243</v>
      </c>
      <c r="I151" t="s">
        <v>2236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1854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1855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1856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1857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2243</v>
      </c>
      <c r="I155" t="s">
        <v>2236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2228</v>
      </c>
      <c r="B156" s="3">
        <v>0</v>
      </c>
      <c r="C156" s="3">
        <v>1</v>
      </c>
      <c r="D156" s="3" t="s">
        <v>717</v>
      </c>
      <c r="H156"/>
      <c r="I156" t="s">
        <v>2241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2215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2241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2226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2241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1858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1859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1860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1785</v>
      </c>
      <c r="E163" s="3" t="s">
        <v>994</v>
      </c>
      <c r="F163" s="3" t="s">
        <v>1255</v>
      </c>
      <c r="H163" s="3" t="s">
        <v>2244</v>
      </c>
      <c r="I163" s="3" t="s">
        <v>2235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1861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1862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1863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1864</v>
      </c>
      <c r="B167" s="3">
        <v>0</v>
      </c>
      <c r="C167" s="3">
        <v>1</v>
      </c>
      <c r="D167" s="3" t="s">
        <v>2003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1865</v>
      </c>
      <c r="B168" s="3">
        <v>0</v>
      </c>
      <c r="C168" s="3">
        <v>1</v>
      </c>
      <c r="D168" s="3" t="s">
        <v>698</v>
      </c>
      <c r="H168" t="s">
        <v>2252</v>
      </c>
      <c r="I168" t="s">
        <v>2236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1866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1867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1868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1869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1870</v>
      </c>
      <c r="B173" s="3">
        <v>0</v>
      </c>
      <c r="C173" s="3">
        <v>1</v>
      </c>
      <c r="D173" s="3" t="s">
        <v>695</v>
      </c>
      <c r="H173" t="s">
        <v>2247</v>
      </c>
      <c r="I173" t="s">
        <v>2236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1871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1872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1873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1874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1875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1876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1877</v>
      </c>
      <c r="B183" s="3">
        <v>0</v>
      </c>
      <c r="C183" s="3">
        <v>1</v>
      </c>
      <c r="D183" s="3" t="s">
        <v>695</v>
      </c>
      <c r="H183" t="s">
        <v>2251</v>
      </c>
      <c r="I183" t="s">
        <v>2236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2211</v>
      </c>
      <c r="B184" s="3">
        <v>0</v>
      </c>
      <c r="C184" s="3">
        <v>1</v>
      </c>
      <c r="D184" s="3" t="s">
        <v>1785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1878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1879</v>
      </c>
      <c r="B186" s="3">
        <v>0</v>
      </c>
      <c r="C186" s="3">
        <v>1</v>
      </c>
      <c r="D186" s="3" t="s">
        <v>2003</v>
      </c>
      <c r="H186" t="s">
        <v>2250</v>
      </c>
      <c r="I186" t="s">
        <v>2236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1880</v>
      </c>
      <c r="B187" s="3">
        <v>0</v>
      </c>
      <c r="C187" s="3">
        <v>1</v>
      </c>
      <c r="D187" s="3" t="s">
        <v>691</v>
      </c>
      <c r="H187" t="s">
        <v>2249</v>
      </c>
      <c r="I187" t="s">
        <v>2236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1881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1882</v>
      </c>
      <c r="B189" s="3">
        <v>0</v>
      </c>
      <c r="C189" s="3">
        <v>1</v>
      </c>
      <c r="D189" s="3" t="s">
        <v>1785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1883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1884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1885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2237</v>
      </c>
      <c r="I192" t="s">
        <v>2236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1886</v>
      </c>
      <c r="B193" s="3">
        <v>0</v>
      </c>
      <c r="C193" s="3">
        <v>1</v>
      </c>
      <c r="D193" s="3" t="s">
        <v>698</v>
      </c>
      <c r="H193" t="s">
        <v>2248</v>
      </c>
      <c r="I193" t="s">
        <v>2236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1887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1888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1889</v>
      </c>
      <c r="B196" s="3">
        <v>0</v>
      </c>
      <c r="C196" s="3">
        <v>1</v>
      </c>
      <c r="D196" s="3" t="s">
        <v>698</v>
      </c>
      <c r="H196" t="s">
        <v>2230</v>
      </c>
      <c r="I196" t="s">
        <v>2236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1890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1891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1892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1893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2230</v>
      </c>
      <c r="I201" s="3" t="s">
        <v>2236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1894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1895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1896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2247</v>
      </c>
      <c r="I205" t="s">
        <v>2236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1897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2246</v>
      </c>
      <c r="I207" t="s">
        <v>2236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1898</v>
      </c>
      <c r="B208" s="3">
        <v>0</v>
      </c>
      <c r="C208" s="3">
        <v>1</v>
      </c>
      <c r="D208" s="3" t="s">
        <v>994</v>
      </c>
      <c r="H208" t="s">
        <v>2232</v>
      </c>
      <c r="I208" t="s">
        <v>2236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1899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2220</v>
      </c>
      <c r="B210" s="3">
        <v>0</v>
      </c>
      <c r="C210" s="3">
        <v>1</v>
      </c>
      <c r="D210" s="3" t="s">
        <v>2222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2219</v>
      </c>
      <c r="B211" s="3">
        <v>0</v>
      </c>
      <c r="C211" s="3">
        <v>1</v>
      </c>
      <c r="D211" s="3" t="s">
        <v>2222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1900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1901</v>
      </c>
      <c r="B213" s="3">
        <v>0</v>
      </c>
      <c r="C213" s="3">
        <v>1</v>
      </c>
      <c r="D213" s="3" t="s">
        <v>918</v>
      </c>
      <c r="H213" t="s">
        <v>2237</v>
      </c>
      <c r="I213" t="s">
        <v>2236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2238</v>
      </c>
      <c r="B214" s="3">
        <v>0</v>
      </c>
      <c r="C214" s="3">
        <v>1</v>
      </c>
      <c r="D214" s="3" t="s">
        <v>918</v>
      </c>
      <c r="H214" t="s">
        <v>2239</v>
      </c>
      <c r="I214" t="s">
        <v>2240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1902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2209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2245</v>
      </c>
      <c r="I219" s="3" t="s">
        <v>2235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2210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2233</v>
      </c>
      <c r="I220" s="3" t="s">
        <v>2236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1903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2221</v>
      </c>
      <c r="B222" s="3">
        <v>0</v>
      </c>
      <c r="C222" s="3">
        <v>1</v>
      </c>
      <c r="D222" s="3" t="s">
        <v>2222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1904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1905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1906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1785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2003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1785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1785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1785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1785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1785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1785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1785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1785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36" customWidth="1"/>
    <col min="2" max="4" width="11" style="36" customWidth="1"/>
    <col min="5" max="5" width="11" style="36" bestFit="1" customWidth="1"/>
    <col min="6" max="6" width="28.7109375" style="36" customWidth="1"/>
    <col min="7" max="7" width="20.7109375" style="36" customWidth="1"/>
    <col min="8" max="16384" width="9.140625" style="36"/>
  </cols>
  <sheetData>
    <row r="1" spans="1:7" s="42" customFormat="1" x14ac:dyDescent="0.25">
      <c r="A1" s="42" t="s">
        <v>2014</v>
      </c>
      <c r="B1" s="42" t="s">
        <v>1913</v>
      </c>
      <c r="C1" s="42" t="s">
        <v>2016</v>
      </c>
      <c r="D1" s="42" t="s">
        <v>1962</v>
      </c>
      <c r="E1" s="42" t="s">
        <v>2015</v>
      </c>
      <c r="F1" s="42" t="s">
        <v>2231</v>
      </c>
      <c r="G1" s="42" t="s">
        <v>2234</v>
      </c>
    </row>
    <row r="2" spans="1:7" x14ac:dyDescent="0.25">
      <c r="A2" s="37" t="s">
        <v>1153</v>
      </c>
      <c r="B2" s="36">
        <v>0</v>
      </c>
      <c r="C2" s="36">
        <v>0</v>
      </c>
      <c r="D2" s="36">
        <v>0</v>
      </c>
      <c r="E2" s="36">
        <v>0</v>
      </c>
    </row>
    <row r="3" spans="1:7" x14ac:dyDescent="0.25">
      <c r="A3" s="38" t="s">
        <v>2026</v>
      </c>
      <c r="B3" s="36">
        <v>0</v>
      </c>
      <c r="C3" s="36">
        <v>0</v>
      </c>
      <c r="D3" s="36">
        <v>0</v>
      </c>
      <c r="E3" s="36">
        <v>0</v>
      </c>
    </row>
    <row r="4" spans="1:7" x14ac:dyDescent="0.25">
      <c r="A4" s="38" t="s">
        <v>2027</v>
      </c>
      <c r="B4" s="36">
        <v>0</v>
      </c>
      <c r="C4" s="36">
        <v>0</v>
      </c>
      <c r="D4" s="36">
        <v>0</v>
      </c>
      <c r="E4" s="36">
        <v>0</v>
      </c>
    </row>
    <row r="5" spans="1:7" x14ac:dyDescent="0.25">
      <c r="A5" s="38" t="s">
        <v>2028</v>
      </c>
      <c r="B5" s="36">
        <v>0</v>
      </c>
      <c r="C5" s="36">
        <v>0</v>
      </c>
      <c r="D5" s="39">
        <v>0</v>
      </c>
      <c r="E5" s="36">
        <v>0</v>
      </c>
    </row>
    <row r="6" spans="1:7" x14ac:dyDescent="0.25">
      <c r="A6" s="37" t="s">
        <v>1152</v>
      </c>
      <c r="B6" s="36">
        <v>0</v>
      </c>
      <c r="C6" s="36">
        <v>0</v>
      </c>
      <c r="D6" s="39">
        <v>0</v>
      </c>
      <c r="E6" s="36">
        <v>0</v>
      </c>
    </row>
    <row r="7" spans="1:7" x14ac:dyDescent="0.25">
      <c r="A7" s="38" t="s">
        <v>1154</v>
      </c>
      <c r="B7" s="36">
        <v>0</v>
      </c>
      <c r="C7" s="36">
        <v>0</v>
      </c>
      <c r="D7" s="36">
        <v>1</v>
      </c>
      <c r="E7" s="36">
        <v>0</v>
      </c>
    </row>
    <row r="8" spans="1:7" x14ac:dyDescent="0.25">
      <c r="A8" s="38" t="s">
        <v>2018</v>
      </c>
      <c r="B8" s="36">
        <v>0</v>
      </c>
      <c r="C8" s="36">
        <v>0</v>
      </c>
      <c r="D8" s="36">
        <v>1</v>
      </c>
      <c r="E8" s="36">
        <v>4</v>
      </c>
    </row>
    <row r="9" spans="1:7" x14ac:dyDescent="0.25">
      <c r="A9" s="37" t="s">
        <v>1103</v>
      </c>
      <c r="B9" s="36">
        <v>0</v>
      </c>
      <c r="C9" s="36">
        <v>0</v>
      </c>
      <c r="D9" s="39">
        <v>0</v>
      </c>
      <c r="E9" s="39">
        <v>0</v>
      </c>
    </row>
    <row r="10" spans="1:7" x14ac:dyDescent="0.25">
      <c r="A10" s="37" t="s">
        <v>1104</v>
      </c>
      <c r="B10" s="36">
        <v>0</v>
      </c>
      <c r="C10" s="36">
        <v>0</v>
      </c>
      <c r="D10" s="39">
        <v>0</v>
      </c>
      <c r="E10" s="39">
        <v>0</v>
      </c>
    </row>
    <row r="11" spans="1:7" x14ac:dyDescent="0.25">
      <c r="A11" s="37" t="s">
        <v>6</v>
      </c>
      <c r="B11" s="36">
        <v>0</v>
      </c>
      <c r="C11" s="36">
        <v>0</v>
      </c>
      <c r="D11" s="39">
        <v>0</v>
      </c>
      <c r="E11" s="39">
        <v>0</v>
      </c>
    </row>
    <row r="12" spans="1:7" x14ac:dyDescent="0.25">
      <c r="A12" s="37" t="s">
        <v>44</v>
      </c>
      <c r="B12" s="36">
        <v>0</v>
      </c>
      <c r="C12" s="36">
        <v>0</v>
      </c>
      <c r="D12" s="39">
        <v>0</v>
      </c>
      <c r="E12" s="39">
        <v>0</v>
      </c>
    </row>
    <row r="13" spans="1:7" x14ac:dyDescent="0.25">
      <c r="A13" s="37" t="s">
        <v>43</v>
      </c>
      <c r="B13" s="36">
        <v>0</v>
      </c>
      <c r="C13" s="36">
        <v>0</v>
      </c>
      <c r="D13" s="39">
        <v>0</v>
      </c>
      <c r="E13" s="39">
        <v>0</v>
      </c>
    </row>
    <row r="14" spans="1:7" x14ac:dyDescent="0.25">
      <c r="A14" s="38" t="s">
        <v>1124</v>
      </c>
      <c r="B14" s="36">
        <v>0</v>
      </c>
      <c r="C14" s="36">
        <v>0</v>
      </c>
      <c r="D14" s="36">
        <v>1</v>
      </c>
      <c r="E14" s="39">
        <v>0</v>
      </c>
    </row>
    <row r="15" spans="1:7" x14ac:dyDescent="0.25">
      <c r="A15" s="38" t="s">
        <v>2019</v>
      </c>
      <c r="B15" s="36">
        <v>0</v>
      </c>
      <c r="C15" s="36">
        <v>0</v>
      </c>
      <c r="D15" s="36">
        <v>1</v>
      </c>
      <c r="E15" s="36">
        <v>4</v>
      </c>
    </row>
    <row r="16" spans="1:7" x14ac:dyDescent="0.25">
      <c r="A16" s="37" t="s">
        <v>1105</v>
      </c>
      <c r="B16" s="36">
        <v>0</v>
      </c>
      <c r="C16" s="36">
        <v>0</v>
      </c>
      <c r="D16" s="39">
        <v>0</v>
      </c>
      <c r="E16" s="39">
        <v>0</v>
      </c>
    </row>
    <row r="17" spans="1:5" x14ac:dyDescent="0.25">
      <c r="A17" s="37" t="s">
        <v>41</v>
      </c>
      <c r="B17" s="36">
        <v>0</v>
      </c>
      <c r="C17" s="36">
        <v>0</v>
      </c>
      <c r="D17" s="39">
        <v>0</v>
      </c>
      <c r="E17" s="39">
        <v>0</v>
      </c>
    </row>
    <row r="18" spans="1:5" x14ac:dyDescent="0.25">
      <c r="A18" s="37" t="s">
        <v>1112</v>
      </c>
      <c r="B18" s="36">
        <v>0</v>
      </c>
      <c r="C18" s="36">
        <v>0</v>
      </c>
      <c r="D18" s="39">
        <v>0</v>
      </c>
      <c r="E18" s="39">
        <v>0</v>
      </c>
    </row>
    <row r="19" spans="1:5" x14ac:dyDescent="0.25">
      <c r="A19" s="37" t="s">
        <v>40</v>
      </c>
      <c r="B19" s="36">
        <v>0</v>
      </c>
      <c r="C19" s="36">
        <v>0</v>
      </c>
      <c r="D19" s="39">
        <v>0</v>
      </c>
      <c r="E19" s="39">
        <v>0</v>
      </c>
    </row>
    <row r="20" spans="1:5" x14ac:dyDescent="0.25">
      <c r="A20" s="37" t="s">
        <v>39</v>
      </c>
      <c r="B20" s="36">
        <v>0</v>
      </c>
      <c r="C20" s="36">
        <v>0</v>
      </c>
      <c r="D20" s="39">
        <v>0</v>
      </c>
      <c r="E20" s="39">
        <v>0</v>
      </c>
    </row>
    <row r="21" spans="1:5" x14ac:dyDescent="0.25">
      <c r="A21" s="38" t="s">
        <v>2</v>
      </c>
      <c r="B21" s="36">
        <v>0</v>
      </c>
      <c r="C21" s="36">
        <v>0</v>
      </c>
      <c r="D21" s="36">
        <v>1</v>
      </c>
      <c r="E21" s="39">
        <v>0</v>
      </c>
    </row>
    <row r="22" spans="1:5" x14ac:dyDescent="0.25">
      <c r="A22" s="38" t="s">
        <v>2362</v>
      </c>
      <c r="B22" s="36">
        <v>0</v>
      </c>
      <c r="C22" s="36">
        <v>0</v>
      </c>
      <c r="D22" s="36">
        <v>1</v>
      </c>
      <c r="E22" s="36">
        <v>6</v>
      </c>
    </row>
    <row r="23" spans="1:5" x14ac:dyDescent="0.25">
      <c r="A23" s="37" t="s">
        <v>38</v>
      </c>
      <c r="B23" s="36">
        <v>0</v>
      </c>
      <c r="C23" s="36">
        <v>0</v>
      </c>
      <c r="D23" s="39">
        <v>0</v>
      </c>
      <c r="E23" s="39">
        <v>0</v>
      </c>
    </row>
    <row r="24" spans="1:5" x14ac:dyDescent="0.25">
      <c r="A24" s="38" t="s">
        <v>1127</v>
      </c>
      <c r="B24" s="36">
        <v>0</v>
      </c>
      <c r="C24" s="36">
        <v>0</v>
      </c>
      <c r="D24" s="36">
        <v>1</v>
      </c>
      <c r="E24" s="39">
        <v>0</v>
      </c>
    </row>
    <row r="25" spans="1:5" x14ac:dyDescent="0.25">
      <c r="A25" s="38" t="s">
        <v>2361</v>
      </c>
      <c r="B25" s="36">
        <v>0</v>
      </c>
      <c r="C25" s="36">
        <v>0</v>
      </c>
      <c r="D25" s="39">
        <v>1</v>
      </c>
      <c r="E25" s="36">
        <v>6</v>
      </c>
    </row>
    <row r="26" spans="1:5" x14ac:dyDescent="0.25">
      <c r="A26" s="38" t="s">
        <v>2017</v>
      </c>
      <c r="B26" s="36">
        <v>0</v>
      </c>
      <c r="C26" s="36">
        <v>0</v>
      </c>
      <c r="D26" s="39">
        <v>1</v>
      </c>
      <c r="E26" s="36">
        <v>3</v>
      </c>
    </row>
    <row r="27" spans="1:5" x14ac:dyDescent="0.25">
      <c r="A27" s="37" t="s">
        <v>37</v>
      </c>
      <c r="B27" s="36">
        <v>0</v>
      </c>
      <c r="C27" s="36">
        <v>0</v>
      </c>
      <c r="D27" s="39">
        <v>0</v>
      </c>
      <c r="E27" s="39">
        <v>0</v>
      </c>
    </row>
    <row r="28" spans="1:5" x14ac:dyDescent="0.25">
      <c r="A28" s="37" t="s">
        <v>36</v>
      </c>
      <c r="B28" s="36">
        <v>0</v>
      </c>
      <c r="C28" s="36">
        <v>0</v>
      </c>
      <c r="D28" s="39">
        <v>0</v>
      </c>
      <c r="E28" s="39">
        <v>0</v>
      </c>
    </row>
    <row r="29" spans="1:5" x14ac:dyDescent="0.25">
      <c r="A29" s="37" t="s">
        <v>35</v>
      </c>
      <c r="B29" s="36">
        <v>0</v>
      </c>
      <c r="C29" s="36">
        <v>0</v>
      </c>
      <c r="D29" s="39">
        <v>0</v>
      </c>
      <c r="E29" s="39">
        <v>0</v>
      </c>
    </row>
    <row r="30" spans="1:5" x14ac:dyDescent="0.25">
      <c r="A30" s="37" t="s">
        <v>1106</v>
      </c>
      <c r="B30" s="36">
        <v>0</v>
      </c>
      <c r="C30" s="36">
        <v>0</v>
      </c>
      <c r="D30" s="39">
        <v>0</v>
      </c>
      <c r="E30" s="39">
        <v>0</v>
      </c>
    </row>
    <row r="31" spans="1:5" x14ac:dyDescent="0.25">
      <c r="A31" s="37" t="s">
        <v>1271</v>
      </c>
      <c r="B31" s="36">
        <v>0</v>
      </c>
      <c r="C31" s="36">
        <v>0</v>
      </c>
      <c r="D31" s="39">
        <v>0</v>
      </c>
      <c r="E31" s="39">
        <v>0</v>
      </c>
    </row>
    <row r="32" spans="1:5" x14ac:dyDescent="0.25">
      <c r="A32" s="37" t="s">
        <v>34</v>
      </c>
      <c r="B32" s="36">
        <v>0</v>
      </c>
      <c r="C32" s="36">
        <v>0</v>
      </c>
      <c r="D32" s="39">
        <v>0</v>
      </c>
      <c r="E32" s="39">
        <v>0</v>
      </c>
    </row>
    <row r="33" spans="1:5" x14ac:dyDescent="0.25">
      <c r="A33" s="37" t="s">
        <v>33</v>
      </c>
      <c r="B33" s="36">
        <v>0</v>
      </c>
      <c r="C33" s="36">
        <v>0</v>
      </c>
      <c r="D33" s="39">
        <v>0</v>
      </c>
      <c r="E33" s="39">
        <v>0</v>
      </c>
    </row>
    <row r="34" spans="1:5" x14ac:dyDescent="0.25">
      <c r="A34" s="38" t="s">
        <v>1133</v>
      </c>
      <c r="B34" s="36">
        <v>0</v>
      </c>
      <c r="C34" s="36">
        <v>0</v>
      </c>
      <c r="D34" s="36">
        <v>1</v>
      </c>
      <c r="E34" s="39">
        <v>0</v>
      </c>
    </row>
    <row r="35" spans="1:5" x14ac:dyDescent="0.25">
      <c r="A35" s="38" t="s">
        <v>2020</v>
      </c>
      <c r="B35" s="36">
        <v>0</v>
      </c>
      <c r="C35" s="36">
        <v>0</v>
      </c>
      <c r="D35" s="36">
        <v>1</v>
      </c>
      <c r="E35" s="36">
        <v>4</v>
      </c>
    </row>
    <row r="36" spans="1:5" x14ac:dyDescent="0.25">
      <c r="A36" s="37" t="s">
        <v>32</v>
      </c>
      <c r="B36" s="36">
        <v>0</v>
      </c>
      <c r="C36" s="36">
        <v>0</v>
      </c>
      <c r="D36" s="39">
        <v>0</v>
      </c>
      <c r="E36" s="39">
        <v>0</v>
      </c>
    </row>
    <row r="37" spans="1:5" x14ac:dyDescent="0.25">
      <c r="A37" s="37" t="s">
        <v>31</v>
      </c>
      <c r="B37" s="36">
        <v>0</v>
      </c>
      <c r="C37" s="36">
        <v>0</v>
      </c>
      <c r="D37" s="39">
        <v>0</v>
      </c>
      <c r="E37" s="39">
        <v>0</v>
      </c>
    </row>
    <row r="38" spans="1:5" x14ac:dyDescent="0.25">
      <c r="A38" s="37" t="s">
        <v>1276</v>
      </c>
      <c r="B38" s="36">
        <v>0</v>
      </c>
      <c r="C38" s="36">
        <v>0</v>
      </c>
      <c r="D38" s="39">
        <v>0</v>
      </c>
      <c r="E38" s="39">
        <v>0</v>
      </c>
    </row>
    <row r="39" spans="1:5" x14ac:dyDescent="0.25">
      <c r="A39" s="37" t="s">
        <v>1274</v>
      </c>
      <c r="B39" s="36">
        <v>0</v>
      </c>
      <c r="C39" s="36">
        <v>0</v>
      </c>
      <c r="D39" s="39">
        <v>0</v>
      </c>
      <c r="E39" s="39">
        <v>0</v>
      </c>
    </row>
    <row r="40" spans="1:5" x14ac:dyDescent="0.25">
      <c r="A40" s="38" t="s">
        <v>1135</v>
      </c>
      <c r="B40" s="36">
        <v>0</v>
      </c>
      <c r="C40" s="36">
        <v>0</v>
      </c>
      <c r="D40" s="36">
        <v>1</v>
      </c>
      <c r="E40" s="39">
        <v>0</v>
      </c>
    </row>
    <row r="41" spans="1:5" x14ac:dyDescent="0.25">
      <c r="A41" s="38" t="s">
        <v>2021</v>
      </c>
      <c r="B41" s="36">
        <v>0</v>
      </c>
      <c r="C41" s="36">
        <v>0</v>
      </c>
      <c r="D41" s="36">
        <v>1</v>
      </c>
      <c r="E41" s="36">
        <v>4</v>
      </c>
    </row>
    <row r="42" spans="1:5" x14ac:dyDescent="0.25">
      <c r="A42" s="38" t="s">
        <v>1122</v>
      </c>
      <c r="B42" s="36">
        <v>0</v>
      </c>
      <c r="C42" s="36">
        <v>0</v>
      </c>
      <c r="D42" s="36">
        <v>1</v>
      </c>
      <c r="E42" s="39">
        <v>0</v>
      </c>
    </row>
    <row r="43" spans="1:5" x14ac:dyDescent="0.25">
      <c r="A43" s="38" t="s">
        <v>2022</v>
      </c>
      <c r="B43" s="36">
        <v>0</v>
      </c>
      <c r="C43" s="36">
        <v>0</v>
      </c>
      <c r="D43" s="39">
        <v>1</v>
      </c>
      <c r="E43" s="36">
        <v>4</v>
      </c>
    </row>
    <row r="44" spans="1:5" x14ac:dyDescent="0.25">
      <c r="A44" s="38" t="s">
        <v>1132</v>
      </c>
      <c r="B44" s="36">
        <v>0</v>
      </c>
      <c r="C44" s="36">
        <v>0</v>
      </c>
      <c r="D44" s="39">
        <v>1</v>
      </c>
      <c r="E44" s="39">
        <v>0</v>
      </c>
    </row>
    <row r="45" spans="1:5" x14ac:dyDescent="0.25">
      <c r="A45" s="38" t="s">
        <v>2363</v>
      </c>
      <c r="B45" s="36">
        <v>0</v>
      </c>
      <c r="C45" s="36">
        <v>0</v>
      </c>
      <c r="D45" s="39">
        <v>1</v>
      </c>
      <c r="E45" s="36">
        <v>6</v>
      </c>
    </row>
    <row r="46" spans="1:5" x14ac:dyDescent="0.25">
      <c r="A46" s="38" t="s">
        <v>1138</v>
      </c>
      <c r="B46" s="36">
        <v>0</v>
      </c>
      <c r="C46" s="36">
        <v>0</v>
      </c>
      <c r="D46" s="39">
        <v>1</v>
      </c>
      <c r="E46" s="39">
        <v>0</v>
      </c>
    </row>
    <row r="47" spans="1:5" x14ac:dyDescent="0.25">
      <c r="A47" s="38" t="s">
        <v>2364</v>
      </c>
      <c r="B47" s="36">
        <v>0</v>
      </c>
      <c r="C47" s="36">
        <v>0</v>
      </c>
      <c r="D47" s="39">
        <v>1</v>
      </c>
      <c r="E47" s="36">
        <v>6</v>
      </c>
    </row>
    <row r="48" spans="1:5" x14ac:dyDescent="0.25">
      <c r="A48" s="37" t="s">
        <v>1113</v>
      </c>
      <c r="B48" s="36">
        <v>0</v>
      </c>
      <c r="C48" s="36">
        <v>0</v>
      </c>
      <c r="D48" s="39">
        <v>0</v>
      </c>
      <c r="E48" s="39">
        <v>0</v>
      </c>
    </row>
    <row r="49" spans="1:5" x14ac:dyDescent="0.25">
      <c r="A49" s="38" t="s">
        <v>1130</v>
      </c>
      <c r="B49" s="36">
        <v>0</v>
      </c>
      <c r="C49" s="36">
        <v>0</v>
      </c>
      <c r="D49" s="39">
        <v>1</v>
      </c>
      <c r="E49" s="39">
        <v>0</v>
      </c>
    </row>
    <row r="50" spans="1:5" x14ac:dyDescent="0.25">
      <c r="A50" s="38" t="s">
        <v>2365</v>
      </c>
      <c r="B50" s="36">
        <v>0</v>
      </c>
      <c r="C50" s="36">
        <v>0</v>
      </c>
      <c r="D50" s="39">
        <v>1</v>
      </c>
      <c r="E50" s="36">
        <v>6</v>
      </c>
    </row>
    <row r="51" spans="1:5" x14ac:dyDescent="0.25">
      <c r="A51" s="37" t="s">
        <v>1156</v>
      </c>
      <c r="B51" s="36">
        <v>0</v>
      </c>
      <c r="C51" s="36">
        <v>0</v>
      </c>
      <c r="D51" s="39">
        <v>0</v>
      </c>
      <c r="E51" s="39">
        <v>0</v>
      </c>
    </row>
    <row r="52" spans="1:5" x14ac:dyDescent="0.25">
      <c r="A52" s="37" t="s">
        <v>1107</v>
      </c>
      <c r="B52" s="36">
        <v>0</v>
      </c>
      <c r="C52" s="36">
        <v>0</v>
      </c>
      <c r="D52" s="39">
        <v>0</v>
      </c>
      <c r="E52" s="39">
        <v>0</v>
      </c>
    </row>
    <row r="53" spans="1:5" x14ac:dyDescent="0.25">
      <c r="A53" s="37" t="s">
        <v>30</v>
      </c>
      <c r="B53" s="36">
        <v>0</v>
      </c>
      <c r="C53" s="36">
        <v>0</v>
      </c>
      <c r="D53" s="39">
        <v>0</v>
      </c>
      <c r="E53" s="39">
        <v>0</v>
      </c>
    </row>
    <row r="54" spans="1:5" x14ac:dyDescent="0.25">
      <c r="A54" s="37" t="s">
        <v>1108</v>
      </c>
      <c r="B54" s="36">
        <v>0</v>
      </c>
      <c r="C54" s="36">
        <v>0</v>
      </c>
      <c r="D54" s="39">
        <v>0</v>
      </c>
      <c r="E54" s="39">
        <v>0</v>
      </c>
    </row>
    <row r="55" spans="1:5" x14ac:dyDescent="0.25">
      <c r="A55" s="37" t="s">
        <v>7</v>
      </c>
      <c r="B55" s="36">
        <v>0</v>
      </c>
      <c r="C55" s="36">
        <v>0</v>
      </c>
      <c r="D55" s="39">
        <v>0</v>
      </c>
      <c r="E55" s="39">
        <v>0</v>
      </c>
    </row>
    <row r="56" spans="1:5" x14ac:dyDescent="0.25">
      <c r="A56" s="37" t="s">
        <v>29</v>
      </c>
      <c r="B56" s="36">
        <v>0</v>
      </c>
      <c r="C56" s="36">
        <v>0</v>
      </c>
      <c r="D56" s="39">
        <v>0</v>
      </c>
      <c r="E56" s="39">
        <v>0</v>
      </c>
    </row>
    <row r="57" spans="1:5" x14ac:dyDescent="0.25">
      <c r="A57" s="37" t="s">
        <v>1109</v>
      </c>
      <c r="B57" s="36">
        <v>0</v>
      </c>
      <c r="C57" s="36">
        <v>0</v>
      </c>
      <c r="D57" s="39">
        <v>0</v>
      </c>
      <c r="E57" s="39">
        <v>0</v>
      </c>
    </row>
    <row r="58" spans="1:5" x14ac:dyDescent="0.25">
      <c r="A58" s="37" t="s">
        <v>28</v>
      </c>
      <c r="B58" s="36">
        <v>0</v>
      </c>
      <c r="C58" s="36">
        <v>0</v>
      </c>
      <c r="D58" s="39">
        <v>0</v>
      </c>
      <c r="E58" s="39">
        <v>0</v>
      </c>
    </row>
    <row r="59" spans="1:5" x14ac:dyDescent="0.25">
      <c r="A59" s="37" t="s">
        <v>27</v>
      </c>
      <c r="B59" s="36">
        <v>0</v>
      </c>
      <c r="C59" s="36">
        <v>0</v>
      </c>
      <c r="D59" s="39">
        <v>0</v>
      </c>
      <c r="E59" s="39">
        <v>0</v>
      </c>
    </row>
    <row r="60" spans="1:5" x14ac:dyDescent="0.25">
      <c r="A60" s="37" t="s">
        <v>26</v>
      </c>
      <c r="B60" s="36">
        <v>0</v>
      </c>
      <c r="C60" s="36">
        <v>0</v>
      </c>
      <c r="D60" s="39">
        <v>0</v>
      </c>
      <c r="E60" s="39">
        <v>0</v>
      </c>
    </row>
    <row r="61" spans="1:5" x14ac:dyDescent="0.25">
      <c r="A61" s="37" t="s">
        <v>1275</v>
      </c>
      <c r="B61" s="36">
        <v>0</v>
      </c>
      <c r="C61" s="36">
        <v>0</v>
      </c>
      <c r="D61" s="39">
        <v>0</v>
      </c>
      <c r="E61" s="39">
        <v>0</v>
      </c>
    </row>
    <row r="62" spans="1:5" x14ac:dyDescent="0.25">
      <c r="A62" s="37" t="s">
        <v>11</v>
      </c>
      <c r="B62" s="36">
        <v>0</v>
      </c>
      <c r="C62" s="36">
        <v>0</v>
      </c>
      <c r="D62" s="39">
        <v>0</v>
      </c>
      <c r="E62" s="39">
        <v>0</v>
      </c>
    </row>
    <row r="63" spans="1:5" x14ac:dyDescent="0.25">
      <c r="A63" s="37" t="s">
        <v>1144</v>
      </c>
      <c r="B63" s="36">
        <v>0</v>
      </c>
      <c r="C63" s="36">
        <v>0</v>
      </c>
      <c r="D63" s="39">
        <v>0</v>
      </c>
      <c r="E63" s="39">
        <v>0</v>
      </c>
    </row>
    <row r="64" spans="1:5" x14ac:dyDescent="0.25">
      <c r="A64" s="37" t="s">
        <v>1145</v>
      </c>
      <c r="B64" s="36">
        <v>0</v>
      </c>
      <c r="C64" s="36">
        <v>0</v>
      </c>
      <c r="D64" s="39">
        <v>0</v>
      </c>
      <c r="E64" s="39">
        <v>0</v>
      </c>
    </row>
    <row r="65" spans="1:5" x14ac:dyDescent="0.25">
      <c r="A65" s="38" t="s">
        <v>1140</v>
      </c>
      <c r="B65" s="36">
        <v>0</v>
      </c>
      <c r="C65" s="36">
        <v>0</v>
      </c>
      <c r="D65" s="36">
        <v>1</v>
      </c>
      <c r="E65" s="39">
        <v>0</v>
      </c>
    </row>
    <row r="66" spans="1:5" x14ac:dyDescent="0.25">
      <c r="A66" s="38" t="s">
        <v>2023</v>
      </c>
      <c r="B66" s="36">
        <v>0</v>
      </c>
      <c r="C66" s="36">
        <v>0</v>
      </c>
      <c r="D66" s="36">
        <v>1</v>
      </c>
      <c r="E66" s="36">
        <v>4</v>
      </c>
    </row>
    <row r="67" spans="1:5" x14ac:dyDescent="0.25">
      <c r="A67" s="37" t="s">
        <v>1146</v>
      </c>
      <c r="B67" s="36">
        <v>0</v>
      </c>
      <c r="C67" s="36">
        <v>0</v>
      </c>
      <c r="D67" s="36">
        <v>0</v>
      </c>
      <c r="E67" s="39">
        <v>0</v>
      </c>
    </row>
    <row r="68" spans="1:5" x14ac:dyDescent="0.25">
      <c r="A68" s="37" t="s">
        <v>8</v>
      </c>
      <c r="B68" s="36">
        <v>0</v>
      </c>
      <c r="C68" s="36">
        <v>0</v>
      </c>
      <c r="D68" s="36">
        <v>0</v>
      </c>
      <c r="E68" s="39">
        <v>0</v>
      </c>
    </row>
    <row r="69" spans="1:5" x14ac:dyDescent="0.25">
      <c r="A69" s="37" t="s">
        <v>1147</v>
      </c>
      <c r="B69" s="36">
        <v>0</v>
      </c>
      <c r="C69" s="36">
        <v>0</v>
      </c>
      <c r="D69" s="36">
        <v>0</v>
      </c>
      <c r="E69" s="39">
        <v>0</v>
      </c>
    </row>
    <row r="70" spans="1:5" x14ac:dyDescent="0.25">
      <c r="A70" s="37" t="s">
        <v>1148</v>
      </c>
      <c r="B70" s="36">
        <v>0</v>
      </c>
      <c r="C70" s="36">
        <v>0</v>
      </c>
      <c r="D70" s="36">
        <v>0</v>
      </c>
      <c r="E70" s="39">
        <v>0</v>
      </c>
    </row>
    <row r="71" spans="1:5" x14ac:dyDescent="0.25">
      <c r="A71" s="37" t="s">
        <v>25</v>
      </c>
      <c r="B71" s="36">
        <v>0</v>
      </c>
      <c r="C71" s="36">
        <v>0</v>
      </c>
      <c r="D71" s="36">
        <v>0</v>
      </c>
      <c r="E71" s="39">
        <v>0</v>
      </c>
    </row>
    <row r="72" spans="1:5" x14ac:dyDescent="0.25">
      <c r="A72" s="37" t="s">
        <v>1273</v>
      </c>
      <c r="B72" s="36">
        <v>0</v>
      </c>
      <c r="C72" s="36">
        <v>0</v>
      </c>
      <c r="D72" s="36">
        <v>0</v>
      </c>
      <c r="E72" s="39">
        <v>0</v>
      </c>
    </row>
    <row r="73" spans="1:5" x14ac:dyDescent="0.25">
      <c r="A73" s="37" t="s">
        <v>1149</v>
      </c>
      <c r="B73" s="36">
        <v>0</v>
      </c>
      <c r="C73" s="36">
        <v>0</v>
      </c>
      <c r="D73" s="36">
        <v>0</v>
      </c>
      <c r="E73" s="39">
        <v>0</v>
      </c>
    </row>
    <row r="74" spans="1:5" x14ac:dyDescent="0.25">
      <c r="A74" s="37" t="s">
        <v>23</v>
      </c>
      <c r="B74" s="36">
        <v>0</v>
      </c>
      <c r="C74" s="36">
        <v>0</v>
      </c>
      <c r="D74" s="36">
        <v>0</v>
      </c>
      <c r="E74" s="39">
        <v>0</v>
      </c>
    </row>
    <row r="75" spans="1:5" x14ac:dyDescent="0.25">
      <c r="A75" s="37" t="s">
        <v>22</v>
      </c>
      <c r="B75" s="36">
        <v>0</v>
      </c>
      <c r="C75" s="36">
        <v>0</v>
      </c>
      <c r="D75" s="36">
        <v>0</v>
      </c>
      <c r="E75" s="39">
        <v>0</v>
      </c>
    </row>
    <row r="76" spans="1:5" x14ac:dyDescent="0.25">
      <c r="A76" s="37" t="s">
        <v>21</v>
      </c>
      <c r="B76" s="36">
        <v>0</v>
      </c>
      <c r="C76" s="36">
        <v>0</v>
      </c>
      <c r="D76" s="36">
        <v>0</v>
      </c>
      <c r="E76" s="39">
        <v>0</v>
      </c>
    </row>
    <row r="77" spans="1:5" x14ac:dyDescent="0.25">
      <c r="A77" s="37" t="s">
        <v>1150</v>
      </c>
      <c r="B77" s="36">
        <v>0</v>
      </c>
      <c r="C77" s="36">
        <v>0</v>
      </c>
      <c r="D77" s="36">
        <v>0</v>
      </c>
      <c r="E77" s="39">
        <v>0</v>
      </c>
    </row>
    <row r="78" spans="1:5" x14ac:dyDescent="0.25">
      <c r="A78" s="38" t="s">
        <v>1142</v>
      </c>
      <c r="B78" s="36">
        <v>0</v>
      </c>
      <c r="C78" s="36">
        <v>0</v>
      </c>
      <c r="D78" s="36">
        <v>1</v>
      </c>
      <c r="E78" s="39">
        <v>0</v>
      </c>
    </row>
    <row r="79" spans="1:5" x14ac:dyDescent="0.25">
      <c r="A79" s="38" t="s">
        <v>2024</v>
      </c>
      <c r="B79" s="36">
        <v>0</v>
      </c>
      <c r="C79" s="36">
        <v>0</v>
      </c>
      <c r="D79" s="36">
        <v>1</v>
      </c>
      <c r="E79" s="36">
        <v>4</v>
      </c>
    </row>
    <row r="80" spans="1:5" x14ac:dyDescent="0.25">
      <c r="A80" s="37" t="s">
        <v>20</v>
      </c>
      <c r="B80" s="36">
        <v>0</v>
      </c>
      <c r="C80" s="36">
        <v>0</v>
      </c>
      <c r="D80" s="36">
        <v>0</v>
      </c>
      <c r="E80" s="39">
        <v>0</v>
      </c>
    </row>
    <row r="81" spans="1:5" x14ac:dyDescent="0.25">
      <c r="A81" s="37" t="s">
        <v>19</v>
      </c>
      <c r="B81" s="36">
        <v>0</v>
      </c>
      <c r="C81" s="36">
        <v>0</v>
      </c>
      <c r="D81" s="36">
        <v>0</v>
      </c>
      <c r="E81" s="39">
        <v>0</v>
      </c>
    </row>
    <row r="82" spans="1:5" x14ac:dyDescent="0.25">
      <c r="A82" s="37" t="s">
        <v>1114</v>
      </c>
      <c r="B82" s="36">
        <v>0</v>
      </c>
      <c r="C82" s="36">
        <v>0</v>
      </c>
      <c r="D82" s="36">
        <v>0</v>
      </c>
      <c r="E82" s="39">
        <v>0</v>
      </c>
    </row>
    <row r="83" spans="1:5" x14ac:dyDescent="0.25">
      <c r="A83" s="37" t="s">
        <v>1115</v>
      </c>
      <c r="B83" s="36">
        <v>0</v>
      </c>
      <c r="C83" s="36">
        <v>0</v>
      </c>
      <c r="D83" s="36">
        <v>0</v>
      </c>
      <c r="E83" s="39">
        <v>0</v>
      </c>
    </row>
    <row r="84" spans="1:5" x14ac:dyDescent="0.25">
      <c r="A84" s="37" t="s">
        <v>1116</v>
      </c>
      <c r="B84" s="36">
        <v>0</v>
      </c>
      <c r="C84" s="36">
        <v>0</v>
      </c>
      <c r="D84" s="36">
        <v>0</v>
      </c>
      <c r="E84" s="39">
        <v>0</v>
      </c>
    </row>
    <row r="85" spans="1:5" x14ac:dyDescent="0.25">
      <c r="A85" s="37" t="s">
        <v>1117</v>
      </c>
      <c r="B85" s="36">
        <v>0</v>
      </c>
      <c r="C85" s="36">
        <v>0</v>
      </c>
      <c r="D85" s="36">
        <v>0</v>
      </c>
      <c r="E85" s="39">
        <v>0</v>
      </c>
    </row>
    <row r="86" spans="1:5" x14ac:dyDescent="0.25">
      <c r="A86" s="37" t="s">
        <v>1151</v>
      </c>
      <c r="B86" s="36">
        <v>0</v>
      </c>
      <c r="C86" s="36">
        <v>0</v>
      </c>
      <c r="D86" s="36">
        <v>0</v>
      </c>
      <c r="E86" s="39">
        <v>0</v>
      </c>
    </row>
    <row r="87" spans="1:5" x14ac:dyDescent="0.25">
      <c r="A87" s="37" t="s">
        <v>17</v>
      </c>
      <c r="B87" s="36">
        <v>0</v>
      </c>
      <c r="C87" s="36">
        <v>0</v>
      </c>
      <c r="D87" s="36">
        <v>0</v>
      </c>
      <c r="E87" s="39">
        <v>0</v>
      </c>
    </row>
    <row r="88" spans="1:5" x14ac:dyDescent="0.25">
      <c r="A88" s="37" t="s">
        <v>16</v>
      </c>
      <c r="B88" s="36">
        <v>0</v>
      </c>
      <c r="C88" s="36">
        <v>0</v>
      </c>
      <c r="D88" s="36">
        <v>0</v>
      </c>
      <c r="E88" s="39">
        <v>0</v>
      </c>
    </row>
    <row r="89" spans="1:5" x14ac:dyDescent="0.25">
      <c r="A89" s="37" t="s">
        <v>15</v>
      </c>
      <c r="B89" s="36">
        <v>0</v>
      </c>
      <c r="C89" s="36">
        <v>0</v>
      </c>
      <c r="D89" s="36">
        <v>0</v>
      </c>
      <c r="E89" s="39">
        <v>0</v>
      </c>
    </row>
    <row r="90" spans="1:5" x14ac:dyDescent="0.25">
      <c r="A90" s="37" t="s">
        <v>14</v>
      </c>
      <c r="B90" s="36">
        <v>0</v>
      </c>
      <c r="C90" s="36">
        <v>0</v>
      </c>
      <c r="D90" s="36">
        <v>0</v>
      </c>
      <c r="E90" s="39">
        <v>0</v>
      </c>
    </row>
    <row r="91" spans="1:5" x14ac:dyDescent="0.25">
      <c r="A91" s="37" t="s">
        <v>13</v>
      </c>
      <c r="B91" s="36">
        <v>0</v>
      </c>
      <c r="C91" s="36">
        <v>0</v>
      </c>
      <c r="D91" s="36">
        <v>0</v>
      </c>
      <c r="E91" s="39">
        <v>0</v>
      </c>
    </row>
    <row r="92" spans="1:5" x14ac:dyDescent="0.25">
      <c r="A92" s="38" t="s">
        <v>4</v>
      </c>
      <c r="B92" s="36">
        <v>0</v>
      </c>
      <c r="C92" s="36">
        <v>0</v>
      </c>
      <c r="D92" s="36">
        <v>1</v>
      </c>
      <c r="E92" s="39">
        <v>0</v>
      </c>
    </row>
    <row r="93" spans="1:5" x14ac:dyDescent="0.25">
      <c r="A93" s="38" t="s">
        <v>2025</v>
      </c>
      <c r="B93" s="36">
        <v>0</v>
      </c>
      <c r="C93" s="36">
        <v>0</v>
      </c>
      <c r="D93" s="36">
        <v>1</v>
      </c>
      <c r="E93" s="36">
        <v>4</v>
      </c>
    </row>
    <row r="94" spans="1:5" x14ac:dyDescent="0.25">
      <c r="A94" s="37" t="s">
        <v>1160</v>
      </c>
      <c r="B94" s="36">
        <v>0</v>
      </c>
      <c r="C94" s="36">
        <v>0</v>
      </c>
      <c r="D94" s="36">
        <v>0</v>
      </c>
      <c r="E94" s="39">
        <v>0</v>
      </c>
    </row>
    <row r="95" spans="1:5" x14ac:dyDescent="0.25">
      <c r="A95" s="37" t="s">
        <v>1159</v>
      </c>
      <c r="B95" s="36">
        <v>0</v>
      </c>
      <c r="C95" s="36">
        <v>0</v>
      </c>
      <c r="D95" s="36">
        <v>0</v>
      </c>
      <c r="E95" s="39">
        <v>0</v>
      </c>
    </row>
    <row r="96" spans="1:5" x14ac:dyDescent="0.25">
      <c r="A96" s="37" t="s">
        <v>1158</v>
      </c>
      <c r="B96" s="36">
        <v>0</v>
      </c>
      <c r="C96" s="36">
        <v>0</v>
      </c>
      <c r="D96" s="36">
        <v>0</v>
      </c>
      <c r="E96" s="39">
        <v>0</v>
      </c>
    </row>
    <row r="97" spans="1:7" x14ac:dyDescent="0.25">
      <c r="A97" s="37" t="s">
        <v>1157</v>
      </c>
      <c r="B97" s="36">
        <v>0</v>
      </c>
      <c r="C97" s="36">
        <v>0</v>
      </c>
      <c r="D97" s="36">
        <v>0</v>
      </c>
      <c r="E97" s="39">
        <v>0</v>
      </c>
    </row>
    <row r="98" spans="1:7" x14ac:dyDescent="0.25">
      <c r="A98" s="37" t="s">
        <v>2356</v>
      </c>
      <c r="B98" s="39">
        <v>0</v>
      </c>
      <c r="C98" s="39">
        <v>0</v>
      </c>
      <c r="D98" s="39">
        <v>0</v>
      </c>
      <c r="E98" s="39">
        <v>0</v>
      </c>
    </row>
    <row r="99" spans="1:7" x14ac:dyDescent="0.25">
      <c r="A99" s="37" t="s">
        <v>1272</v>
      </c>
      <c r="B99" s="36">
        <v>0</v>
      </c>
      <c r="C99" s="36">
        <v>0</v>
      </c>
      <c r="D99" s="36">
        <v>0</v>
      </c>
      <c r="E99" s="39">
        <v>0</v>
      </c>
    </row>
    <row r="100" spans="1:7" x14ac:dyDescent="0.25">
      <c r="A100" s="37" t="s">
        <v>1161</v>
      </c>
      <c r="B100" s="36">
        <v>0</v>
      </c>
      <c r="C100" s="36">
        <v>0</v>
      </c>
      <c r="D100" s="36">
        <v>0</v>
      </c>
      <c r="E100" s="39">
        <v>0</v>
      </c>
    </row>
    <row r="101" spans="1:7" x14ac:dyDescent="0.25">
      <c r="A101" s="37" t="s">
        <v>1118</v>
      </c>
      <c r="B101" s="36">
        <v>0</v>
      </c>
      <c r="C101" s="36">
        <v>1</v>
      </c>
      <c r="D101" s="39">
        <v>1</v>
      </c>
      <c r="E101" s="39">
        <v>0</v>
      </c>
    </row>
    <row r="102" spans="1:7" x14ac:dyDescent="0.25">
      <c r="A102" s="37" t="s">
        <v>1119</v>
      </c>
      <c r="B102" s="36">
        <v>0</v>
      </c>
      <c r="C102" s="36">
        <v>1</v>
      </c>
      <c r="D102" s="39">
        <v>1</v>
      </c>
      <c r="E102" s="39">
        <v>2</v>
      </c>
    </row>
    <row r="103" spans="1:7" x14ac:dyDescent="0.25">
      <c r="A103" s="37" t="s">
        <v>1120</v>
      </c>
      <c r="B103" s="36">
        <v>0</v>
      </c>
      <c r="C103" s="36">
        <v>1</v>
      </c>
      <c r="D103" s="36">
        <v>1</v>
      </c>
      <c r="E103" s="39">
        <v>5</v>
      </c>
    </row>
    <row r="104" spans="1:7" x14ac:dyDescent="0.25">
      <c r="A104" s="37" t="s">
        <v>2078</v>
      </c>
      <c r="B104" s="39">
        <v>1</v>
      </c>
      <c r="C104" s="39">
        <v>0</v>
      </c>
      <c r="D104" s="39">
        <v>0</v>
      </c>
      <c r="E104" s="39">
        <v>0</v>
      </c>
      <c r="F104" s="39" t="s">
        <v>2260</v>
      </c>
      <c r="G104" s="39" t="s">
        <v>2259</v>
      </c>
    </row>
    <row r="105" spans="1:7" x14ac:dyDescent="0.25">
      <c r="A105" s="37" t="s">
        <v>2726</v>
      </c>
      <c r="B105" s="39">
        <v>1</v>
      </c>
      <c r="C105" s="39">
        <v>0</v>
      </c>
      <c r="D105" s="39">
        <v>0</v>
      </c>
      <c r="E105" s="39">
        <v>0</v>
      </c>
      <c r="F105" s="39" t="s">
        <v>2260</v>
      </c>
      <c r="G105" s="39" t="s">
        <v>2259</v>
      </c>
    </row>
    <row r="106" spans="1:7" x14ac:dyDescent="0.25">
      <c r="A106" s="37" t="s">
        <v>2079</v>
      </c>
      <c r="B106" s="39">
        <v>1</v>
      </c>
      <c r="C106" s="39">
        <v>0</v>
      </c>
      <c r="D106" s="39">
        <v>0</v>
      </c>
      <c r="E106" s="39">
        <v>0</v>
      </c>
      <c r="F106" s="39" t="s">
        <v>2260</v>
      </c>
      <c r="G106" s="39" t="s">
        <v>2259</v>
      </c>
    </row>
    <row r="107" spans="1:7" x14ac:dyDescent="0.25">
      <c r="A107" s="37" t="s">
        <v>2080</v>
      </c>
      <c r="B107" s="39">
        <v>1</v>
      </c>
      <c r="C107" s="39">
        <v>0</v>
      </c>
      <c r="D107" s="39">
        <v>0</v>
      </c>
      <c r="E107" s="39">
        <v>0</v>
      </c>
      <c r="F107" s="39" t="s">
        <v>2260</v>
      </c>
      <c r="G107" s="39" t="s">
        <v>2259</v>
      </c>
    </row>
    <row r="108" spans="1:7" x14ac:dyDescent="0.25">
      <c r="A108" s="37" t="s">
        <v>2736</v>
      </c>
      <c r="B108" s="39">
        <v>1</v>
      </c>
      <c r="C108" s="39">
        <v>0</v>
      </c>
      <c r="D108" s="39">
        <v>0</v>
      </c>
      <c r="E108" s="39">
        <v>0</v>
      </c>
      <c r="F108" s="39" t="s">
        <v>2260</v>
      </c>
      <c r="G108" s="39" t="s">
        <v>2259</v>
      </c>
    </row>
    <row r="109" spans="1:7" x14ac:dyDescent="0.25">
      <c r="A109" s="37" t="s">
        <v>2737</v>
      </c>
      <c r="B109" s="39">
        <v>1</v>
      </c>
      <c r="C109" s="39">
        <v>0</v>
      </c>
      <c r="D109" s="39">
        <v>0</v>
      </c>
      <c r="E109" s="39">
        <v>0</v>
      </c>
      <c r="F109" s="39" t="s">
        <v>2260</v>
      </c>
      <c r="G109" s="39" t="s">
        <v>2259</v>
      </c>
    </row>
    <row r="110" spans="1:7" x14ac:dyDescent="0.25">
      <c r="A110" s="37" t="s">
        <v>2727</v>
      </c>
      <c r="B110" s="39">
        <v>1</v>
      </c>
      <c r="C110" s="39">
        <v>0</v>
      </c>
      <c r="D110" s="39">
        <v>0</v>
      </c>
      <c r="E110" s="39">
        <v>0</v>
      </c>
      <c r="F110" s="39" t="s">
        <v>2260</v>
      </c>
      <c r="G110" s="39" t="s">
        <v>2259</v>
      </c>
    </row>
    <row r="111" spans="1:7" x14ac:dyDescent="0.25">
      <c r="A111" s="37" t="s">
        <v>2728</v>
      </c>
      <c r="B111" s="39">
        <v>1</v>
      </c>
      <c r="C111" s="39">
        <v>0</v>
      </c>
      <c r="D111" s="39">
        <v>0</v>
      </c>
      <c r="E111" s="39">
        <v>0</v>
      </c>
      <c r="F111" s="39" t="s">
        <v>2260</v>
      </c>
      <c r="G111" s="39" t="s">
        <v>2259</v>
      </c>
    </row>
    <row r="112" spans="1:7" x14ac:dyDescent="0.25">
      <c r="A112" s="37" t="s">
        <v>2729</v>
      </c>
      <c r="B112" s="39">
        <v>1</v>
      </c>
      <c r="C112" s="39">
        <v>0</v>
      </c>
      <c r="D112" s="39">
        <v>0</v>
      </c>
      <c r="E112" s="39">
        <v>0</v>
      </c>
      <c r="F112" s="39" t="s">
        <v>2260</v>
      </c>
      <c r="G112" s="39" t="s">
        <v>2259</v>
      </c>
    </row>
    <row r="113" spans="1:7" x14ac:dyDescent="0.25">
      <c r="A113" s="37" t="s">
        <v>2730</v>
      </c>
      <c r="B113" s="39">
        <v>1</v>
      </c>
      <c r="C113" s="39">
        <v>0</v>
      </c>
      <c r="D113" s="39">
        <v>0</v>
      </c>
      <c r="E113" s="39">
        <v>0</v>
      </c>
      <c r="F113" s="39" t="s">
        <v>2260</v>
      </c>
      <c r="G113" s="39" t="s">
        <v>2259</v>
      </c>
    </row>
    <row r="114" spans="1:7" x14ac:dyDescent="0.25">
      <c r="A114" s="37" t="s">
        <v>2731</v>
      </c>
      <c r="B114" s="39">
        <v>1</v>
      </c>
      <c r="C114" s="39">
        <v>0</v>
      </c>
      <c r="D114" s="39">
        <v>0</v>
      </c>
      <c r="E114" s="39">
        <v>0</v>
      </c>
      <c r="F114" s="39" t="s">
        <v>2260</v>
      </c>
      <c r="G114" s="39" t="s">
        <v>2259</v>
      </c>
    </row>
    <row r="115" spans="1:7" x14ac:dyDescent="0.25">
      <c r="A115" s="37" t="s">
        <v>2732</v>
      </c>
      <c r="B115" s="39">
        <v>1</v>
      </c>
      <c r="C115" s="39">
        <v>0</v>
      </c>
      <c r="D115" s="39">
        <v>0</v>
      </c>
      <c r="E115" s="39">
        <v>0</v>
      </c>
      <c r="F115" s="39" t="s">
        <v>2260</v>
      </c>
      <c r="G115" s="39" t="s">
        <v>2259</v>
      </c>
    </row>
    <row r="116" spans="1:7" x14ac:dyDescent="0.25">
      <c r="A116" s="37" t="s">
        <v>2733</v>
      </c>
      <c r="B116" s="39">
        <v>1</v>
      </c>
      <c r="C116" s="39">
        <v>0</v>
      </c>
      <c r="D116" s="39">
        <v>0</v>
      </c>
      <c r="E116" s="39">
        <v>0</v>
      </c>
      <c r="F116" s="39" t="s">
        <v>2260</v>
      </c>
      <c r="G116" s="39" t="s">
        <v>2259</v>
      </c>
    </row>
    <row r="117" spans="1:7" x14ac:dyDescent="0.25">
      <c r="A117" s="37" t="s">
        <v>2735</v>
      </c>
      <c r="B117" s="39">
        <v>1</v>
      </c>
      <c r="C117" s="39">
        <v>0</v>
      </c>
      <c r="D117" s="39">
        <v>0</v>
      </c>
      <c r="E117" s="39">
        <v>0</v>
      </c>
      <c r="F117" s="39" t="s">
        <v>2260</v>
      </c>
      <c r="G117" s="39" t="s">
        <v>2259</v>
      </c>
    </row>
    <row r="118" spans="1:7" x14ac:dyDescent="0.25">
      <c r="A118" s="37" t="s">
        <v>2734</v>
      </c>
      <c r="B118" s="39">
        <v>1</v>
      </c>
      <c r="C118" s="39">
        <v>0</v>
      </c>
      <c r="D118" s="39">
        <v>0</v>
      </c>
      <c r="E118" s="39">
        <v>0</v>
      </c>
      <c r="F118" s="39" t="s">
        <v>2260</v>
      </c>
      <c r="G118" s="39" t="s">
        <v>2259</v>
      </c>
    </row>
    <row r="119" spans="1:7" x14ac:dyDescent="0.25">
      <c r="A119" s="37" t="s">
        <v>2096</v>
      </c>
      <c r="B119" s="39">
        <v>1</v>
      </c>
      <c r="C119" s="39">
        <v>0</v>
      </c>
      <c r="D119" s="39">
        <v>0</v>
      </c>
      <c r="E119" s="39">
        <v>0</v>
      </c>
      <c r="F119" s="39" t="s">
        <v>2260</v>
      </c>
      <c r="G119" s="39" t="s">
        <v>2259</v>
      </c>
    </row>
    <row r="120" spans="1:7" x14ac:dyDescent="0.25">
      <c r="A120" s="37" t="s">
        <v>2081</v>
      </c>
      <c r="B120" s="39">
        <v>1</v>
      </c>
      <c r="C120" s="39">
        <v>0</v>
      </c>
      <c r="D120" s="39">
        <v>0</v>
      </c>
      <c r="E120" s="39">
        <v>0</v>
      </c>
      <c r="F120" s="39" t="s">
        <v>2260</v>
      </c>
      <c r="G120" s="39" t="s">
        <v>2259</v>
      </c>
    </row>
    <row r="121" spans="1:7" x14ac:dyDescent="0.25">
      <c r="A121" s="37" t="s">
        <v>2082</v>
      </c>
      <c r="B121" s="39">
        <v>1</v>
      </c>
      <c r="C121" s="39">
        <v>0</v>
      </c>
      <c r="D121" s="39">
        <v>0</v>
      </c>
      <c r="E121" s="39">
        <v>0</v>
      </c>
      <c r="F121" s="39" t="s">
        <v>2260</v>
      </c>
      <c r="G121" s="39" t="s">
        <v>2259</v>
      </c>
    </row>
    <row r="122" spans="1:7" x14ac:dyDescent="0.25">
      <c r="A122" s="37" t="s">
        <v>2360</v>
      </c>
      <c r="B122" s="39">
        <v>1</v>
      </c>
      <c r="C122" s="39">
        <v>0</v>
      </c>
      <c r="D122" s="39">
        <v>0</v>
      </c>
      <c r="E122" s="39">
        <v>0</v>
      </c>
      <c r="F122" s="39" t="s">
        <v>2725</v>
      </c>
      <c r="G122" s="39" t="s">
        <v>1809</v>
      </c>
    </row>
    <row r="123" spans="1:7" x14ac:dyDescent="0.25">
      <c r="A123" s="37" t="s">
        <v>2359</v>
      </c>
      <c r="B123" s="39">
        <v>1</v>
      </c>
      <c r="C123" s="39">
        <v>0</v>
      </c>
      <c r="D123" s="39">
        <v>0</v>
      </c>
      <c r="E123" s="39">
        <v>0</v>
      </c>
      <c r="F123" s="39" t="s">
        <v>2725</v>
      </c>
      <c r="G123" s="39" t="s">
        <v>1809</v>
      </c>
    </row>
    <row r="124" spans="1:7" x14ac:dyDescent="0.25">
      <c r="A124" s="37" t="s">
        <v>2157</v>
      </c>
      <c r="B124" s="39">
        <v>1</v>
      </c>
      <c r="C124" s="39">
        <v>0</v>
      </c>
      <c r="D124" s="39">
        <v>0</v>
      </c>
      <c r="E124" s="39">
        <v>0</v>
      </c>
      <c r="F124" s="39" t="s">
        <v>2725</v>
      </c>
      <c r="G124" s="39" t="s">
        <v>1809</v>
      </c>
    </row>
    <row r="125" spans="1:7" x14ac:dyDescent="0.25">
      <c r="A125" s="37" t="s">
        <v>2358</v>
      </c>
      <c r="B125" s="39">
        <v>1</v>
      </c>
      <c r="C125" s="39">
        <v>0</v>
      </c>
      <c r="D125" s="39">
        <v>0</v>
      </c>
      <c r="E125" s="39">
        <v>0</v>
      </c>
      <c r="F125" s="39" t="s">
        <v>2725</v>
      </c>
      <c r="G125" s="39" t="s">
        <v>1809</v>
      </c>
    </row>
    <row r="126" spans="1:7" x14ac:dyDescent="0.25">
      <c r="A126" s="37" t="s">
        <v>2095</v>
      </c>
      <c r="B126" s="39">
        <v>1</v>
      </c>
      <c r="C126" s="39">
        <v>0</v>
      </c>
      <c r="D126" s="39">
        <v>0</v>
      </c>
      <c r="E126" s="39">
        <v>0</v>
      </c>
      <c r="F126" s="39" t="s">
        <v>2097</v>
      </c>
      <c r="G126" s="39" t="s">
        <v>2258</v>
      </c>
    </row>
    <row r="127" spans="1:7" x14ac:dyDescent="0.25">
      <c r="A127" s="37" t="s">
        <v>2098</v>
      </c>
      <c r="B127" s="39">
        <v>1</v>
      </c>
      <c r="C127" s="39">
        <v>0</v>
      </c>
      <c r="D127" s="39">
        <v>0</v>
      </c>
      <c r="E127" s="39">
        <v>0</v>
      </c>
      <c r="F127" s="39" t="s">
        <v>2097</v>
      </c>
      <c r="G127" s="39" t="s">
        <v>2258</v>
      </c>
    </row>
    <row r="128" spans="1:7" x14ac:dyDescent="0.25">
      <c r="A128" s="37" t="s">
        <v>2094</v>
      </c>
      <c r="B128" s="39">
        <v>1</v>
      </c>
      <c r="C128" s="39">
        <v>0</v>
      </c>
      <c r="D128" s="39">
        <v>0</v>
      </c>
      <c r="E128" s="39">
        <v>0</v>
      </c>
      <c r="F128" s="39" t="s">
        <v>2097</v>
      </c>
      <c r="G128" s="39" t="s">
        <v>2258</v>
      </c>
    </row>
    <row r="129" spans="1:7" x14ac:dyDescent="0.25">
      <c r="A129" s="37" t="s">
        <v>2099</v>
      </c>
      <c r="B129" s="39">
        <v>1</v>
      </c>
      <c r="C129" s="39">
        <v>0</v>
      </c>
      <c r="D129" s="39">
        <v>0</v>
      </c>
      <c r="E129" s="39">
        <v>0</v>
      </c>
      <c r="F129" s="39" t="s">
        <v>2097</v>
      </c>
      <c r="G129" s="39" t="s">
        <v>2258</v>
      </c>
    </row>
    <row r="130" spans="1:7" x14ac:dyDescent="0.25">
      <c r="A130" s="37" t="s">
        <v>2093</v>
      </c>
      <c r="B130" s="39">
        <v>1</v>
      </c>
      <c r="C130" s="39">
        <v>0</v>
      </c>
      <c r="D130" s="39">
        <v>0</v>
      </c>
      <c r="E130" s="39">
        <v>0</v>
      </c>
      <c r="F130" s="39" t="s">
        <v>2097</v>
      </c>
      <c r="G130" s="39" t="s">
        <v>2258</v>
      </c>
    </row>
    <row r="131" spans="1:7" x14ac:dyDescent="0.25">
      <c r="A131" s="37" t="s">
        <v>2100</v>
      </c>
      <c r="B131" s="39">
        <v>1</v>
      </c>
      <c r="C131" s="39">
        <v>0</v>
      </c>
      <c r="D131" s="39">
        <v>0</v>
      </c>
      <c r="E131" s="39">
        <v>0</v>
      </c>
      <c r="F131" s="39" t="s">
        <v>2097</v>
      </c>
      <c r="G131" s="39" t="s">
        <v>2258</v>
      </c>
    </row>
    <row r="132" spans="1:7" x14ac:dyDescent="0.25">
      <c r="A132" s="37" t="s">
        <v>2101</v>
      </c>
      <c r="B132" s="39">
        <v>1</v>
      </c>
      <c r="C132" s="39">
        <v>0</v>
      </c>
      <c r="D132" s="39">
        <v>0</v>
      </c>
      <c r="E132" s="39">
        <v>0</v>
      </c>
      <c r="F132" s="39" t="s">
        <v>2097</v>
      </c>
      <c r="G132" s="39" t="s">
        <v>2258</v>
      </c>
    </row>
    <row r="133" spans="1:7" x14ac:dyDescent="0.25">
      <c r="A133" s="37" t="s">
        <v>2013</v>
      </c>
      <c r="B133" s="36">
        <v>1</v>
      </c>
      <c r="C133" s="39">
        <v>0</v>
      </c>
      <c r="D133" s="39">
        <v>0</v>
      </c>
      <c r="E133" s="39">
        <v>0</v>
      </c>
      <c r="F133" s="39" t="s">
        <v>2097</v>
      </c>
      <c r="G133" s="39" t="s">
        <v>2258</v>
      </c>
    </row>
    <row r="134" spans="1:7" x14ac:dyDescent="0.25">
      <c r="A134" s="37" t="s">
        <v>2102</v>
      </c>
      <c r="B134" s="39">
        <v>1</v>
      </c>
      <c r="C134" s="39">
        <v>0</v>
      </c>
      <c r="D134" s="39">
        <v>0</v>
      </c>
      <c r="E134" s="39">
        <v>0</v>
      </c>
      <c r="F134" s="39" t="s">
        <v>2097</v>
      </c>
      <c r="G134" s="39" t="s">
        <v>2258</v>
      </c>
    </row>
    <row r="135" spans="1:7" x14ac:dyDescent="0.25">
      <c r="A135" s="37" t="s">
        <v>2092</v>
      </c>
      <c r="B135" s="39">
        <v>1</v>
      </c>
      <c r="C135" s="39">
        <v>0</v>
      </c>
      <c r="D135" s="39">
        <v>0</v>
      </c>
      <c r="E135" s="39">
        <v>0</v>
      </c>
      <c r="F135" s="39" t="s">
        <v>2097</v>
      </c>
      <c r="G135" s="39" t="s">
        <v>2258</v>
      </c>
    </row>
    <row r="136" spans="1:7" x14ac:dyDescent="0.25">
      <c r="A136" s="37" t="s">
        <v>2103</v>
      </c>
      <c r="B136" s="39">
        <v>1</v>
      </c>
      <c r="C136" s="39">
        <v>0</v>
      </c>
      <c r="D136" s="39">
        <v>0</v>
      </c>
      <c r="E136" s="39">
        <v>0</v>
      </c>
      <c r="F136" s="39" t="s">
        <v>2097</v>
      </c>
      <c r="G136" s="39" t="s">
        <v>2258</v>
      </c>
    </row>
    <row r="137" spans="1:7" x14ac:dyDescent="0.25">
      <c r="A137" s="37" t="s">
        <v>2104</v>
      </c>
      <c r="B137" s="39">
        <v>1</v>
      </c>
      <c r="C137" s="39">
        <v>0</v>
      </c>
      <c r="D137" s="39">
        <v>0</v>
      </c>
      <c r="E137" s="39">
        <v>0</v>
      </c>
      <c r="F137" s="39" t="s">
        <v>2097</v>
      </c>
      <c r="G137" s="39" t="s">
        <v>2258</v>
      </c>
    </row>
    <row r="138" spans="1:7" x14ac:dyDescent="0.25">
      <c r="A138" s="37" t="s">
        <v>2748</v>
      </c>
      <c r="B138" s="39">
        <v>1</v>
      </c>
      <c r="C138" s="39">
        <v>0</v>
      </c>
      <c r="D138" s="39">
        <v>0</v>
      </c>
      <c r="E138" s="39">
        <v>0</v>
      </c>
      <c r="F138" s="39" t="s">
        <v>2770</v>
      </c>
      <c r="G138" s="39" t="s">
        <v>2771</v>
      </c>
    </row>
    <row r="139" spans="1:7" x14ac:dyDescent="0.25">
      <c r="A139" s="37" t="s">
        <v>2738</v>
      </c>
      <c r="B139" s="36">
        <v>1</v>
      </c>
      <c r="C139" s="36">
        <v>0</v>
      </c>
      <c r="D139" s="36">
        <v>0</v>
      </c>
      <c r="E139" s="36">
        <v>0</v>
      </c>
      <c r="F139" s="36" t="s">
        <v>2770</v>
      </c>
      <c r="G139" s="36" t="s">
        <v>2771</v>
      </c>
    </row>
    <row r="140" spans="1:7" x14ac:dyDescent="0.25">
      <c r="A140" s="37" t="s">
        <v>2739</v>
      </c>
      <c r="B140" s="36">
        <v>1</v>
      </c>
      <c r="C140" s="36">
        <v>0</v>
      </c>
      <c r="D140" s="36">
        <v>0</v>
      </c>
      <c r="E140" s="36">
        <v>0</v>
      </c>
      <c r="F140" s="36" t="s">
        <v>2770</v>
      </c>
      <c r="G140" s="36" t="s">
        <v>2771</v>
      </c>
    </row>
    <row r="141" spans="1:7" x14ac:dyDescent="0.25">
      <c r="A141" s="37" t="s">
        <v>2740</v>
      </c>
      <c r="B141" s="36">
        <v>1</v>
      </c>
      <c r="C141" s="36">
        <v>0</v>
      </c>
      <c r="D141" s="36">
        <v>0</v>
      </c>
      <c r="E141" s="36">
        <v>0</v>
      </c>
      <c r="F141" s="36" t="s">
        <v>2770</v>
      </c>
      <c r="G141" s="36" t="s">
        <v>2771</v>
      </c>
    </row>
    <row r="142" spans="1:7" x14ac:dyDescent="0.25">
      <c r="A142" s="37" t="s">
        <v>2741</v>
      </c>
      <c r="B142" s="36">
        <v>1</v>
      </c>
      <c r="C142" s="36">
        <v>0</v>
      </c>
      <c r="D142" s="36">
        <v>0</v>
      </c>
      <c r="E142" s="36">
        <v>0</v>
      </c>
      <c r="F142" s="36" t="s">
        <v>2770</v>
      </c>
      <c r="G142" s="36" t="s">
        <v>2771</v>
      </c>
    </row>
    <row r="143" spans="1:7" x14ac:dyDescent="0.25">
      <c r="A143" s="37" t="s">
        <v>2742</v>
      </c>
      <c r="B143" s="36">
        <v>1</v>
      </c>
      <c r="C143" s="36">
        <v>0</v>
      </c>
      <c r="D143" s="36">
        <v>0</v>
      </c>
      <c r="E143" s="36">
        <v>0</v>
      </c>
      <c r="F143" s="36" t="s">
        <v>2770</v>
      </c>
      <c r="G143" s="36" t="s">
        <v>2771</v>
      </c>
    </row>
    <row r="144" spans="1:7" x14ac:dyDescent="0.25">
      <c r="A144" s="37" t="s">
        <v>2743</v>
      </c>
      <c r="B144" s="36">
        <v>1</v>
      </c>
      <c r="C144" s="36">
        <v>0</v>
      </c>
      <c r="D144" s="36">
        <v>0</v>
      </c>
      <c r="E144" s="36">
        <v>0</v>
      </c>
      <c r="F144" s="36" t="s">
        <v>2770</v>
      </c>
      <c r="G144" s="36" t="s">
        <v>2771</v>
      </c>
    </row>
    <row r="145" spans="1:7" x14ac:dyDescent="0.25">
      <c r="A145" s="37" t="s">
        <v>2744</v>
      </c>
      <c r="B145" s="36">
        <v>1</v>
      </c>
      <c r="C145" s="36">
        <v>0</v>
      </c>
      <c r="D145" s="36">
        <v>0</v>
      </c>
      <c r="E145" s="36">
        <v>0</v>
      </c>
      <c r="F145" s="36" t="s">
        <v>2770</v>
      </c>
      <c r="G145" s="36" t="s">
        <v>2771</v>
      </c>
    </row>
    <row r="146" spans="1:7" x14ac:dyDescent="0.25">
      <c r="A146" s="37" t="s">
        <v>2745</v>
      </c>
      <c r="B146" s="36">
        <v>1</v>
      </c>
      <c r="C146" s="36">
        <v>0</v>
      </c>
      <c r="D146" s="36">
        <v>0</v>
      </c>
      <c r="E146" s="36">
        <v>0</v>
      </c>
      <c r="F146" s="36" t="s">
        <v>2770</v>
      </c>
      <c r="G146" s="36" t="s">
        <v>2771</v>
      </c>
    </row>
    <row r="147" spans="1:7" x14ac:dyDescent="0.25">
      <c r="A147" s="37" t="s">
        <v>2746</v>
      </c>
      <c r="B147" s="36">
        <v>1</v>
      </c>
      <c r="C147" s="36">
        <v>0</v>
      </c>
      <c r="D147" s="36">
        <v>0</v>
      </c>
      <c r="E147" s="36">
        <v>0</v>
      </c>
      <c r="F147" s="36" t="s">
        <v>2770</v>
      </c>
      <c r="G147" s="36" t="s">
        <v>2771</v>
      </c>
    </row>
    <row r="148" spans="1:7" x14ac:dyDescent="0.25">
      <c r="A148" s="37" t="s">
        <v>2747</v>
      </c>
      <c r="B148" s="36">
        <v>1</v>
      </c>
      <c r="C148" s="36">
        <v>0</v>
      </c>
      <c r="D148" s="36">
        <v>0</v>
      </c>
      <c r="E148" s="36">
        <v>0</v>
      </c>
      <c r="F148" s="36" t="s">
        <v>2770</v>
      </c>
      <c r="G148" s="36" t="s">
        <v>2771</v>
      </c>
    </row>
    <row r="149" spans="1:7" x14ac:dyDescent="0.25">
      <c r="A149" s="37" t="s">
        <v>2749</v>
      </c>
      <c r="B149" s="36">
        <v>1</v>
      </c>
      <c r="C149" s="36">
        <v>0</v>
      </c>
      <c r="D149" s="36">
        <v>0</v>
      </c>
      <c r="E149" s="36">
        <v>0</v>
      </c>
      <c r="F149" s="36" t="s">
        <v>2770</v>
      </c>
      <c r="G149" s="36" t="s">
        <v>2771</v>
      </c>
    </row>
    <row r="150" spans="1:7" x14ac:dyDescent="0.25">
      <c r="A150" s="37" t="s">
        <v>2750</v>
      </c>
      <c r="B150" s="36">
        <v>1</v>
      </c>
      <c r="C150" s="36">
        <v>0</v>
      </c>
      <c r="D150" s="36">
        <v>0</v>
      </c>
      <c r="E150" s="36">
        <v>0</v>
      </c>
      <c r="F150" s="36" t="s">
        <v>2770</v>
      </c>
      <c r="G150" s="36" t="s">
        <v>2771</v>
      </c>
    </row>
    <row r="151" spans="1:7" x14ac:dyDescent="0.25">
      <c r="A151" s="37" t="s">
        <v>2751</v>
      </c>
      <c r="B151" s="36">
        <v>1</v>
      </c>
      <c r="C151" s="36">
        <v>0</v>
      </c>
      <c r="D151" s="36">
        <v>0</v>
      </c>
      <c r="E151" s="36">
        <v>0</v>
      </c>
      <c r="F151" s="36" t="s">
        <v>2770</v>
      </c>
      <c r="G151" s="36" t="s">
        <v>2771</v>
      </c>
    </row>
    <row r="152" spans="1:7" x14ac:dyDescent="0.25">
      <c r="A152" s="37" t="s">
        <v>2752</v>
      </c>
      <c r="B152" s="36">
        <v>1</v>
      </c>
      <c r="C152" s="36">
        <v>0</v>
      </c>
      <c r="D152" s="36">
        <v>0</v>
      </c>
      <c r="E152" s="36">
        <v>0</v>
      </c>
      <c r="F152" s="36" t="s">
        <v>2770</v>
      </c>
      <c r="G152" s="36" t="s">
        <v>2771</v>
      </c>
    </row>
    <row r="153" spans="1:7" x14ac:dyDescent="0.25">
      <c r="A153" s="37" t="s">
        <v>2753</v>
      </c>
      <c r="B153" s="36">
        <v>1</v>
      </c>
      <c r="C153" s="36">
        <v>0</v>
      </c>
      <c r="D153" s="36">
        <v>0</v>
      </c>
      <c r="E153" s="36">
        <v>0</v>
      </c>
      <c r="F153" s="36" t="s">
        <v>2770</v>
      </c>
      <c r="G153" s="36" t="s">
        <v>2771</v>
      </c>
    </row>
    <row r="154" spans="1:7" x14ac:dyDescent="0.25">
      <c r="A154" s="37" t="s">
        <v>2754</v>
      </c>
      <c r="B154" s="36">
        <v>1</v>
      </c>
      <c r="C154" s="36">
        <v>0</v>
      </c>
      <c r="D154" s="36">
        <v>0</v>
      </c>
      <c r="E154" s="36">
        <v>0</v>
      </c>
      <c r="F154" s="36" t="s">
        <v>2770</v>
      </c>
      <c r="G154" s="36" t="s">
        <v>2771</v>
      </c>
    </row>
    <row r="155" spans="1:7" x14ac:dyDescent="0.25">
      <c r="A155" s="37" t="s">
        <v>2755</v>
      </c>
      <c r="B155" s="36">
        <v>1</v>
      </c>
      <c r="C155" s="36">
        <v>0</v>
      </c>
      <c r="D155" s="36">
        <v>0</v>
      </c>
      <c r="E155" s="36">
        <v>0</v>
      </c>
      <c r="F155" s="36" t="s">
        <v>2770</v>
      </c>
      <c r="G155" s="36" t="s">
        <v>2771</v>
      </c>
    </row>
    <row r="156" spans="1:7" x14ac:dyDescent="0.25">
      <c r="A156" s="37" t="s">
        <v>2756</v>
      </c>
      <c r="B156" s="36">
        <v>1</v>
      </c>
      <c r="C156" s="36">
        <v>0</v>
      </c>
      <c r="D156" s="36">
        <v>0</v>
      </c>
      <c r="E156" s="36">
        <v>0</v>
      </c>
      <c r="F156" s="36" t="s">
        <v>2770</v>
      </c>
      <c r="G156" s="36" t="s">
        <v>2771</v>
      </c>
    </row>
    <row r="157" spans="1:7" x14ac:dyDescent="0.25">
      <c r="A157" s="37" t="s">
        <v>2757</v>
      </c>
      <c r="B157" s="36">
        <v>1</v>
      </c>
      <c r="C157" s="36">
        <v>0</v>
      </c>
      <c r="D157" s="36">
        <v>0</v>
      </c>
      <c r="E157" s="36">
        <v>0</v>
      </c>
      <c r="F157" s="36" t="s">
        <v>2770</v>
      </c>
      <c r="G157" s="36" t="s">
        <v>2771</v>
      </c>
    </row>
    <row r="158" spans="1:7" x14ac:dyDescent="0.25">
      <c r="A158" s="37" t="s">
        <v>2758</v>
      </c>
      <c r="B158" s="36">
        <v>1</v>
      </c>
      <c r="C158" s="36">
        <v>0</v>
      </c>
      <c r="D158" s="36">
        <v>0</v>
      </c>
      <c r="E158" s="36">
        <v>0</v>
      </c>
      <c r="F158" s="36" t="s">
        <v>2770</v>
      </c>
      <c r="G158" s="36" t="s">
        <v>2771</v>
      </c>
    </row>
    <row r="159" spans="1:7" x14ac:dyDescent="0.25">
      <c r="A159" s="37" t="s">
        <v>2759</v>
      </c>
      <c r="B159" s="36">
        <v>1</v>
      </c>
      <c r="C159" s="36">
        <v>0</v>
      </c>
      <c r="D159" s="36">
        <v>0</v>
      </c>
      <c r="E159" s="36">
        <v>0</v>
      </c>
      <c r="F159" s="36" t="s">
        <v>2770</v>
      </c>
      <c r="G159" s="36" t="s">
        <v>2771</v>
      </c>
    </row>
    <row r="160" spans="1:7" x14ac:dyDescent="0.25">
      <c r="A160" s="37" t="s">
        <v>2765</v>
      </c>
      <c r="B160" s="36">
        <v>1</v>
      </c>
      <c r="C160" s="36">
        <v>0</v>
      </c>
      <c r="D160" s="36">
        <v>0</v>
      </c>
      <c r="E160" s="36">
        <v>0</v>
      </c>
      <c r="F160" s="36" t="s">
        <v>2770</v>
      </c>
      <c r="G160" s="36" t="s">
        <v>2771</v>
      </c>
    </row>
    <row r="161" spans="1:7" x14ac:dyDescent="0.25">
      <c r="A161" s="37" t="s">
        <v>2760</v>
      </c>
      <c r="B161" s="36">
        <v>1</v>
      </c>
      <c r="C161" s="36">
        <v>0</v>
      </c>
      <c r="D161" s="36">
        <v>0</v>
      </c>
      <c r="E161" s="36">
        <v>0</v>
      </c>
      <c r="F161" s="36" t="s">
        <v>2770</v>
      </c>
      <c r="G161" s="36" t="s">
        <v>2771</v>
      </c>
    </row>
    <row r="162" spans="1:7" x14ac:dyDescent="0.25">
      <c r="A162" s="37" t="s">
        <v>2768</v>
      </c>
      <c r="B162" s="36">
        <v>1</v>
      </c>
      <c r="C162" s="36">
        <v>0</v>
      </c>
      <c r="D162" s="36">
        <v>0</v>
      </c>
      <c r="E162" s="36">
        <v>0</v>
      </c>
      <c r="F162" s="36" t="s">
        <v>2770</v>
      </c>
      <c r="G162" s="36" t="s">
        <v>2771</v>
      </c>
    </row>
    <row r="163" spans="1:7" x14ac:dyDescent="0.25">
      <c r="A163" s="37" t="s">
        <v>2761</v>
      </c>
      <c r="B163" s="36">
        <v>1</v>
      </c>
      <c r="C163" s="36">
        <v>0</v>
      </c>
      <c r="D163" s="36">
        <v>0</v>
      </c>
      <c r="E163" s="36">
        <v>0</v>
      </c>
      <c r="F163" s="36" t="s">
        <v>2770</v>
      </c>
      <c r="G163" s="36" t="s">
        <v>2771</v>
      </c>
    </row>
    <row r="164" spans="1:7" x14ac:dyDescent="0.25">
      <c r="A164" s="37" t="s">
        <v>2762</v>
      </c>
      <c r="B164" s="36">
        <v>1</v>
      </c>
      <c r="C164" s="36">
        <v>0</v>
      </c>
      <c r="D164" s="36">
        <v>0</v>
      </c>
      <c r="E164" s="36">
        <v>0</v>
      </c>
      <c r="F164" s="36" t="s">
        <v>2770</v>
      </c>
      <c r="G164" s="36" t="s">
        <v>2771</v>
      </c>
    </row>
    <row r="165" spans="1:7" x14ac:dyDescent="0.25">
      <c r="A165" s="37" t="s">
        <v>2767</v>
      </c>
      <c r="B165" s="36">
        <v>1</v>
      </c>
      <c r="C165" s="36">
        <v>0</v>
      </c>
      <c r="D165" s="36">
        <v>0</v>
      </c>
      <c r="E165" s="36">
        <v>0</v>
      </c>
      <c r="F165" s="36" t="s">
        <v>2770</v>
      </c>
      <c r="G165" s="36" t="s">
        <v>2771</v>
      </c>
    </row>
    <row r="166" spans="1:7" x14ac:dyDescent="0.25">
      <c r="A166" s="37" t="s">
        <v>2763</v>
      </c>
      <c r="B166" s="36">
        <v>1</v>
      </c>
      <c r="C166" s="36">
        <v>0</v>
      </c>
      <c r="D166" s="36">
        <v>0</v>
      </c>
      <c r="E166" s="36">
        <v>0</v>
      </c>
      <c r="F166" s="36" t="s">
        <v>2770</v>
      </c>
      <c r="G166" s="36" t="s">
        <v>2771</v>
      </c>
    </row>
    <row r="167" spans="1:7" x14ac:dyDescent="0.25">
      <c r="A167" s="37" t="s">
        <v>2764</v>
      </c>
      <c r="B167" s="36">
        <v>1</v>
      </c>
      <c r="C167" s="36">
        <v>0</v>
      </c>
      <c r="D167" s="36">
        <v>0</v>
      </c>
      <c r="E167" s="36">
        <v>0</v>
      </c>
      <c r="F167" s="36" t="s">
        <v>2770</v>
      </c>
      <c r="G167" s="36" t="s">
        <v>2771</v>
      </c>
    </row>
    <row r="168" spans="1:7" x14ac:dyDescent="0.25">
      <c r="A168" s="37" t="s">
        <v>2476</v>
      </c>
      <c r="B168" s="36">
        <v>1</v>
      </c>
      <c r="C168" s="36">
        <v>0</v>
      </c>
      <c r="D168" s="36">
        <v>0</v>
      </c>
      <c r="E168" s="36">
        <v>0</v>
      </c>
      <c r="F168" s="36" t="s">
        <v>2770</v>
      </c>
      <c r="G168" s="36" t="s">
        <v>2771</v>
      </c>
    </row>
    <row r="169" spans="1:7" x14ac:dyDescent="0.25">
      <c r="A169" s="37" t="s">
        <v>2766</v>
      </c>
      <c r="B169" s="36">
        <v>1</v>
      </c>
      <c r="C169" s="36">
        <v>0</v>
      </c>
      <c r="D169" s="36">
        <v>0</v>
      </c>
      <c r="E169" s="36">
        <v>0</v>
      </c>
      <c r="F169" s="36" t="s">
        <v>2770</v>
      </c>
      <c r="G169" s="36" t="s">
        <v>2771</v>
      </c>
    </row>
    <row r="170" spans="1:7" x14ac:dyDescent="0.25">
      <c r="A170" s="37" t="s">
        <v>2769</v>
      </c>
      <c r="B170" s="36">
        <v>1</v>
      </c>
      <c r="C170" s="36">
        <v>0</v>
      </c>
      <c r="D170" s="36">
        <v>0</v>
      </c>
      <c r="E170" s="36">
        <v>0</v>
      </c>
      <c r="F170" s="36" t="s">
        <v>2770</v>
      </c>
      <c r="G170" s="36" t="s">
        <v>2771</v>
      </c>
    </row>
    <row r="171" spans="1:7" x14ac:dyDescent="0.25">
      <c r="A171" s="37" t="s">
        <v>2773</v>
      </c>
      <c r="B171" s="36">
        <v>1</v>
      </c>
      <c r="C171" s="36">
        <v>0</v>
      </c>
      <c r="D171" s="36">
        <v>0</v>
      </c>
      <c r="E171" s="36">
        <v>0</v>
      </c>
      <c r="F171" s="39" t="s">
        <v>2772</v>
      </c>
      <c r="G171" s="39" t="s">
        <v>2792</v>
      </c>
    </row>
    <row r="172" spans="1:7" x14ac:dyDescent="0.25">
      <c r="A172" s="37" t="s">
        <v>2774</v>
      </c>
      <c r="B172" s="36">
        <v>1</v>
      </c>
      <c r="C172" s="36">
        <v>0</v>
      </c>
      <c r="D172" s="36">
        <v>0</v>
      </c>
      <c r="E172" s="36">
        <v>0</v>
      </c>
      <c r="F172" s="36" t="s">
        <v>2772</v>
      </c>
      <c r="G172" s="36" t="s">
        <v>2792</v>
      </c>
    </row>
    <row r="173" spans="1:7" x14ac:dyDescent="0.25">
      <c r="A173" s="37" t="s">
        <v>2775</v>
      </c>
      <c r="B173" s="36">
        <v>1</v>
      </c>
      <c r="C173" s="36">
        <v>0</v>
      </c>
      <c r="D173" s="36">
        <v>0</v>
      </c>
      <c r="E173" s="36">
        <v>0</v>
      </c>
      <c r="F173" s="36" t="s">
        <v>2772</v>
      </c>
      <c r="G173" s="36" t="s">
        <v>2792</v>
      </c>
    </row>
    <row r="174" spans="1:7" x14ac:dyDescent="0.25">
      <c r="A174" s="37" t="s">
        <v>2777</v>
      </c>
      <c r="B174" s="36">
        <v>1</v>
      </c>
      <c r="C174" s="36">
        <v>0</v>
      </c>
      <c r="D174" s="36">
        <v>0</v>
      </c>
      <c r="E174" s="36">
        <v>0</v>
      </c>
      <c r="F174" s="36" t="s">
        <v>2772</v>
      </c>
      <c r="G174" s="36" t="s">
        <v>2792</v>
      </c>
    </row>
    <row r="175" spans="1:7" x14ac:dyDescent="0.25">
      <c r="A175" s="37" t="s">
        <v>2776</v>
      </c>
      <c r="B175" s="36">
        <v>1</v>
      </c>
      <c r="C175" s="36">
        <v>0</v>
      </c>
      <c r="D175" s="36">
        <v>0</v>
      </c>
      <c r="E175" s="36">
        <v>0</v>
      </c>
      <c r="F175" s="36" t="s">
        <v>2772</v>
      </c>
      <c r="G175" s="36" t="s">
        <v>2792</v>
      </c>
    </row>
    <row r="176" spans="1:7" x14ac:dyDescent="0.25">
      <c r="A176" s="37" t="s">
        <v>2778</v>
      </c>
      <c r="B176" s="36">
        <v>1</v>
      </c>
      <c r="C176" s="36">
        <v>0</v>
      </c>
      <c r="D176" s="36">
        <v>0</v>
      </c>
      <c r="E176" s="36">
        <v>0</v>
      </c>
      <c r="F176" s="36" t="s">
        <v>2772</v>
      </c>
      <c r="G176" s="36" t="s">
        <v>2792</v>
      </c>
    </row>
    <row r="177" spans="1:7" x14ac:dyDescent="0.25">
      <c r="A177" s="37" t="s">
        <v>2080</v>
      </c>
      <c r="B177" s="36">
        <v>1</v>
      </c>
      <c r="C177" s="36">
        <v>0</v>
      </c>
      <c r="D177" s="36">
        <v>0</v>
      </c>
      <c r="E177" s="36">
        <v>0</v>
      </c>
      <c r="F177" s="36" t="s">
        <v>2772</v>
      </c>
      <c r="G177" s="36" t="s">
        <v>2792</v>
      </c>
    </row>
    <row r="178" spans="1:7" x14ac:dyDescent="0.25">
      <c r="A178" s="37" t="s">
        <v>2779</v>
      </c>
      <c r="B178" s="36">
        <v>1</v>
      </c>
      <c r="C178" s="36">
        <v>0</v>
      </c>
      <c r="D178" s="36">
        <v>0</v>
      </c>
      <c r="E178" s="36">
        <v>0</v>
      </c>
      <c r="F178" s="36" t="s">
        <v>2772</v>
      </c>
      <c r="G178" s="36" t="s">
        <v>2792</v>
      </c>
    </row>
    <row r="179" spans="1:7" x14ac:dyDescent="0.25">
      <c r="A179" s="37" t="s">
        <v>2780</v>
      </c>
      <c r="B179" s="36">
        <v>1</v>
      </c>
      <c r="C179" s="36">
        <v>0</v>
      </c>
      <c r="D179" s="36">
        <v>0</v>
      </c>
      <c r="E179" s="36">
        <v>0</v>
      </c>
      <c r="F179" s="36" t="s">
        <v>2772</v>
      </c>
      <c r="G179" s="36" t="s">
        <v>2792</v>
      </c>
    </row>
    <row r="180" spans="1:7" x14ac:dyDescent="0.25">
      <c r="A180" s="37" t="s">
        <v>2782</v>
      </c>
      <c r="B180" s="36">
        <v>1</v>
      </c>
      <c r="C180" s="36">
        <v>0</v>
      </c>
      <c r="D180" s="36">
        <v>0</v>
      </c>
      <c r="E180" s="36">
        <v>0</v>
      </c>
      <c r="F180" s="36" t="s">
        <v>2772</v>
      </c>
      <c r="G180" s="36" t="s">
        <v>2792</v>
      </c>
    </row>
    <row r="181" spans="1:7" x14ac:dyDescent="0.25">
      <c r="A181" s="37" t="s">
        <v>2781</v>
      </c>
      <c r="B181" s="36">
        <v>1</v>
      </c>
      <c r="C181" s="36">
        <v>0</v>
      </c>
      <c r="D181" s="36">
        <v>0</v>
      </c>
      <c r="E181" s="36">
        <v>0</v>
      </c>
      <c r="F181" s="36" t="s">
        <v>2772</v>
      </c>
      <c r="G181" s="36" t="s">
        <v>2792</v>
      </c>
    </row>
    <row r="182" spans="1:7" x14ac:dyDescent="0.25">
      <c r="A182" s="37" t="s">
        <v>2783</v>
      </c>
      <c r="B182" s="36">
        <v>1</v>
      </c>
      <c r="C182" s="36">
        <v>0</v>
      </c>
      <c r="D182" s="36">
        <v>0</v>
      </c>
      <c r="E182" s="36">
        <v>0</v>
      </c>
      <c r="F182" s="36" t="s">
        <v>2772</v>
      </c>
      <c r="G182" s="36" t="s">
        <v>2792</v>
      </c>
    </row>
    <row r="183" spans="1:7" x14ac:dyDescent="0.25">
      <c r="A183" s="37" t="s">
        <v>2784</v>
      </c>
      <c r="B183" s="36">
        <v>1</v>
      </c>
      <c r="C183" s="36">
        <v>0</v>
      </c>
      <c r="D183" s="36">
        <v>0</v>
      </c>
      <c r="E183" s="36">
        <v>0</v>
      </c>
      <c r="F183" s="36" t="s">
        <v>2772</v>
      </c>
      <c r="G183" s="36" t="s">
        <v>2792</v>
      </c>
    </row>
    <row r="184" spans="1:7" x14ac:dyDescent="0.25">
      <c r="A184" s="37" t="s">
        <v>2611</v>
      </c>
      <c r="B184" s="36">
        <v>1</v>
      </c>
      <c r="C184" s="36">
        <v>0</v>
      </c>
      <c r="D184" s="36">
        <v>0</v>
      </c>
      <c r="E184" s="36">
        <v>0</v>
      </c>
      <c r="F184" s="36" t="s">
        <v>2772</v>
      </c>
      <c r="G184" s="36" t="s">
        <v>2792</v>
      </c>
    </row>
    <row r="185" spans="1:7" x14ac:dyDescent="0.25">
      <c r="A185" s="37" t="s">
        <v>2785</v>
      </c>
      <c r="B185" s="36">
        <v>1</v>
      </c>
      <c r="C185" s="36">
        <v>0</v>
      </c>
      <c r="D185" s="36">
        <v>0</v>
      </c>
      <c r="E185" s="36">
        <v>0</v>
      </c>
      <c r="F185" s="36" t="s">
        <v>2772</v>
      </c>
      <c r="G185" s="36" t="s">
        <v>2792</v>
      </c>
    </row>
    <row r="186" spans="1:7" x14ac:dyDescent="0.25">
      <c r="A186" s="37" t="s">
        <v>2786</v>
      </c>
      <c r="B186" s="36">
        <v>1</v>
      </c>
      <c r="C186" s="36">
        <v>0</v>
      </c>
      <c r="D186" s="36">
        <v>0</v>
      </c>
      <c r="E186" s="36">
        <v>0</v>
      </c>
      <c r="F186" s="36" t="s">
        <v>2772</v>
      </c>
      <c r="G186" s="36" t="s">
        <v>2792</v>
      </c>
    </row>
    <row r="187" spans="1:7" x14ac:dyDescent="0.25">
      <c r="A187" s="37" t="s">
        <v>2787</v>
      </c>
      <c r="B187" s="36">
        <v>1</v>
      </c>
      <c r="C187" s="36">
        <v>0</v>
      </c>
      <c r="D187" s="36">
        <v>0</v>
      </c>
      <c r="E187" s="36">
        <v>0</v>
      </c>
      <c r="F187" s="36" t="s">
        <v>2772</v>
      </c>
      <c r="G187" s="36" t="s">
        <v>2792</v>
      </c>
    </row>
    <row r="188" spans="1:7" x14ac:dyDescent="0.25">
      <c r="A188" s="37" t="s">
        <v>2788</v>
      </c>
      <c r="B188" s="36">
        <v>1</v>
      </c>
      <c r="C188" s="36">
        <v>0</v>
      </c>
      <c r="D188" s="36">
        <v>0</v>
      </c>
      <c r="E188" s="36">
        <v>0</v>
      </c>
      <c r="F188" s="36" t="s">
        <v>2772</v>
      </c>
      <c r="G188" s="36" t="s">
        <v>2792</v>
      </c>
    </row>
    <row r="189" spans="1:7" x14ac:dyDescent="0.25">
      <c r="A189" s="38" t="s">
        <v>2789</v>
      </c>
      <c r="B189" s="36">
        <v>1</v>
      </c>
      <c r="C189" s="36">
        <v>0</v>
      </c>
      <c r="D189" s="36">
        <v>0</v>
      </c>
      <c r="E189" s="36">
        <v>0</v>
      </c>
      <c r="F189" s="36" t="s">
        <v>2772</v>
      </c>
      <c r="G189" s="36" t="s">
        <v>2792</v>
      </c>
    </row>
    <row r="190" spans="1:7" x14ac:dyDescent="0.25">
      <c r="A190" s="38" t="s">
        <v>2791</v>
      </c>
      <c r="B190" s="39">
        <v>1</v>
      </c>
      <c r="C190" s="39">
        <v>0</v>
      </c>
      <c r="D190" s="39">
        <v>1</v>
      </c>
      <c r="E190" s="39">
        <v>5</v>
      </c>
      <c r="F190" s="36" t="s">
        <v>2772</v>
      </c>
      <c r="G190" s="36" t="s">
        <v>2792</v>
      </c>
    </row>
    <row r="191" spans="1:7" x14ac:dyDescent="0.25">
      <c r="A191" s="38" t="s">
        <v>2790</v>
      </c>
      <c r="B191" s="39">
        <v>1</v>
      </c>
      <c r="C191" s="39">
        <v>0</v>
      </c>
      <c r="D191" s="39">
        <v>1</v>
      </c>
      <c r="E191" s="39">
        <v>3</v>
      </c>
      <c r="F191" s="36" t="s">
        <v>2772</v>
      </c>
      <c r="G191" s="36" t="s">
        <v>2792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45" t="s">
        <v>2718</v>
      </c>
      <c r="B1" s="45" t="s">
        <v>2267</v>
      </c>
      <c r="C1" s="45" t="s">
        <v>1102</v>
      </c>
      <c r="D1" s="45" t="s">
        <v>2266</v>
      </c>
    </row>
    <row r="2" spans="1:4" x14ac:dyDescent="0.25">
      <c r="B2" s="45"/>
      <c r="C2" s="45"/>
      <c r="D2" s="45"/>
    </row>
    <row r="3" spans="1:4" x14ac:dyDescent="0.25">
      <c r="B3" s="45" t="s">
        <v>2263</v>
      </c>
    </row>
    <row r="4" spans="1:4" x14ac:dyDescent="0.25">
      <c r="A4" t="s">
        <v>2724</v>
      </c>
      <c r="B4" t="s">
        <v>2264</v>
      </c>
    </row>
    <row r="5" spans="1:4" x14ac:dyDescent="0.25">
      <c r="A5" t="s">
        <v>2275</v>
      </c>
      <c r="B5" s="46" t="s">
        <v>2354</v>
      </c>
    </row>
    <row r="6" spans="1:4" x14ac:dyDescent="0.25">
      <c r="B6" s="45"/>
    </row>
    <row r="7" spans="1:4" x14ac:dyDescent="0.25">
      <c r="B7" s="45" t="s">
        <v>2177</v>
      </c>
    </row>
    <row r="8" spans="1:4" x14ac:dyDescent="0.25">
      <c r="A8" t="s">
        <v>2276</v>
      </c>
      <c r="B8" t="s">
        <v>2175</v>
      </c>
      <c r="C8" t="s">
        <v>2184</v>
      </c>
      <c r="D8" t="s">
        <v>2265</v>
      </c>
    </row>
    <row r="10" spans="1:4" x14ac:dyDescent="0.25">
      <c r="B10" s="45" t="s">
        <v>2721</v>
      </c>
    </row>
    <row r="11" spans="1:4" x14ac:dyDescent="0.25">
      <c r="B11" t="s">
        <v>2257</v>
      </c>
      <c r="D11" s="51"/>
    </row>
    <row r="13" spans="1:4" x14ac:dyDescent="0.25">
      <c r="B13" s="45" t="s">
        <v>2171</v>
      </c>
    </row>
    <row r="14" spans="1:4" x14ac:dyDescent="0.25">
      <c r="B14" t="s">
        <v>2257</v>
      </c>
    </row>
    <row r="16" spans="1:4" x14ac:dyDescent="0.25">
      <c r="B16" s="45" t="s">
        <v>2723</v>
      </c>
    </row>
    <row r="17" spans="1:2" x14ac:dyDescent="0.25">
      <c r="B17" t="s">
        <v>1928</v>
      </c>
    </row>
    <row r="19" spans="1:2" x14ac:dyDescent="0.25">
      <c r="B19" s="45" t="s">
        <v>2174</v>
      </c>
    </row>
    <row r="20" spans="1:2" x14ac:dyDescent="0.25">
      <c r="A20" t="s">
        <v>1824</v>
      </c>
      <c r="B20" t="s">
        <v>2270</v>
      </c>
    </row>
    <row r="21" spans="1:2" x14ac:dyDescent="0.25">
      <c r="A21" t="s">
        <v>1824</v>
      </c>
      <c r="B21" t="s">
        <v>2271</v>
      </c>
    </row>
    <row r="22" spans="1:2" x14ac:dyDescent="0.25">
      <c r="A22" t="s">
        <v>1824</v>
      </c>
      <c r="B22" t="s">
        <v>2272</v>
      </c>
    </row>
    <row r="23" spans="1:2" x14ac:dyDescent="0.25">
      <c r="A23" t="s">
        <v>1824</v>
      </c>
      <c r="B23" t="s">
        <v>2273</v>
      </c>
    </row>
    <row r="24" spans="1:2" x14ac:dyDescent="0.25">
      <c r="A24" t="s">
        <v>1824</v>
      </c>
      <c r="B24" t="s">
        <v>2386</v>
      </c>
    </row>
    <row r="25" spans="1:2" x14ac:dyDescent="0.25">
      <c r="A25" t="s">
        <v>1824</v>
      </c>
      <c r="B25" t="s">
        <v>2385</v>
      </c>
    </row>
    <row r="26" spans="1:2" x14ac:dyDescent="0.25">
      <c r="A26" t="s">
        <v>1824</v>
      </c>
      <c r="B26" t="s">
        <v>2387</v>
      </c>
    </row>
    <row r="27" spans="1:2" x14ac:dyDescent="0.25">
      <c r="A27" t="s">
        <v>1824</v>
      </c>
      <c r="B27" t="s">
        <v>2388</v>
      </c>
    </row>
    <row r="28" spans="1:2" x14ac:dyDescent="0.25">
      <c r="A28" t="s">
        <v>1824</v>
      </c>
      <c r="B28" t="s">
        <v>2384</v>
      </c>
    </row>
    <row r="29" spans="1:2" x14ac:dyDescent="0.25">
      <c r="A29" t="s">
        <v>1824</v>
      </c>
      <c r="B29" t="s">
        <v>2383</v>
      </c>
    </row>
    <row r="30" spans="1:2" x14ac:dyDescent="0.25">
      <c r="A30" t="s">
        <v>1824</v>
      </c>
      <c r="B30" t="s">
        <v>2274</v>
      </c>
    </row>
    <row r="31" spans="1:2" x14ac:dyDescent="0.25">
      <c r="A31" t="s">
        <v>1824</v>
      </c>
      <c r="B31" t="s">
        <v>2217</v>
      </c>
    </row>
    <row r="32" spans="1:2" x14ac:dyDescent="0.25">
      <c r="A32" t="s">
        <v>1824</v>
      </c>
      <c r="B32" t="s">
        <v>2256</v>
      </c>
    </row>
    <row r="33" spans="1:4" x14ac:dyDescent="0.25">
      <c r="D33" s="51"/>
    </row>
    <row r="34" spans="1:4" x14ac:dyDescent="0.25">
      <c r="B34" s="45" t="s">
        <v>2176</v>
      </c>
    </row>
    <row r="35" spans="1:4" x14ac:dyDescent="0.25">
      <c r="B35" t="s">
        <v>2183</v>
      </c>
    </row>
    <row r="36" spans="1:4" x14ac:dyDescent="0.25">
      <c r="B36" t="s">
        <v>2799</v>
      </c>
    </row>
    <row r="38" spans="1:4" x14ac:dyDescent="0.25">
      <c r="B38" s="45" t="s">
        <v>2722</v>
      </c>
    </row>
    <row r="39" spans="1:4" x14ac:dyDescent="0.25">
      <c r="B39" t="s">
        <v>2257</v>
      </c>
    </row>
    <row r="41" spans="1:4" x14ac:dyDescent="0.25">
      <c r="B41" s="45" t="s">
        <v>2797</v>
      </c>
    </row>
    <row r="42" spans="1:4" x14ac:dyDescent="0.25">
      <c r="B42" s="45" t="s">
        <v>2681</v>
      </c>
    </row>
    <row r="43" spans="1:4" x14ac:dyDescent="0.25">
      <c r="B43" s="45" t="s">
        <v>2796</v>
      </c>
    </row>
    <row r="44" spans="1:4" x14ac:dyDescent="0.25">
      <c r="B44" s="45" t="s">
        <v>2680</v>
      </c>
    </row>
    <row r="45" spans="1:4" x14ac:dyDescent="0.25">
      <c r="A45" t="s">
        <v>2276</v>
      </c>
      <c r="B45" t="s">
        <v>2679</v>
      </c>
    </row>
    <row r="46" spans="1:4" x14ac:dyDescent="0.25">
      <c r="B46" s="45" t="s">
        <v>2793</v>
      </c>
    </row>
    <row r="47" spans="1:4" x14ac:dyDescent="0.25">
      <c r="A47" t="s">
        <v>2275</v>
      </c>
      <c r="B47" s="46" t="s">
        <v>2794</v>
      </c>
    </row>
    <row r="48" spans="1:4" x14ac:dyDescent="0.25">
      <c r="B48" s="45" t="s">
        <v>2697</v>
      </c>
    </row>
    <row r="49" spans="1:3" x14ac:dyDescent="0.25">
      <c r="A49" t="s">
        <v>2275</v>
      </c>
      <c r="B49" t="s">
        <v>2698</v>
      </c>
    </row>
    <row r="50" spans="1:3" x14ac:dyDescent="0.25">
      <c r="B50" s="45" t="s">
        <v>2795</v>
      </c>
    </row>
    <row r="51" spans="1:3" x14ac:dyDescent="0.25">
      <c r="B51" s="57" t="s">
        <v>2798</v>
      </c>
    </row>
    <row r="53" spans="1:3" x14ac:dyDescent="0.25">
      <c r="B53" s="45" t="s">
        <v>2379</v>
      </c>
    </row>
    <row r="54" spans="1:3" x14ac:dyDescent="0.25">
      <c r="A54" t="s">
        <v>1824</v>
      </c>
      <c r="B54" t="s">
        <v>2380</v>
      </c>
    </row>
    <row r="55" spans="1:3" x14ac:dyDescent="0.25">
      <c r="A55" t="s">
        <v>2389</v>
      </c>
      <c r="B55" t="s">
        <v>2382</v>
      </c>
      <c r="C55" t="s">
        <v>2381</v>
      </c>
    </row>
    <row r="57" spans="1:3" x14ac:dyDescent="0.25">
      <c r="B57" s="45" t="s">
        <v>2261</v>
      </c>
    </row>
    <row r="58" spans="1:3" x14ac:dyDescent="0.25">
      <c r="A58" t="s">
        <v>0</v>
      </c>
      <c r="B58" t="s">
        <v>2119</v>
      </c>
      <c r="C58" t="s">
        <v>2083</v>
      </c>
    </row>
    <row r="59" spans="1:3" x14ac:dyDescent="0.25">
      <c r="A59" t="s">
        <v>0</v>
      </c>
      <c r="B59" t="s">
        <v>2170</v>
      </c>
      <c r="C59" t="s">
        <v>1789</v>
      </c>
    </row>
    <row r="60" spans="1:3" x14ac:dyDescent="0.25">
      <c r="A60" t="s">
        <v>0</v>
      </c>
      <c r="B60" t="s">
        <v>2120</v>
      </c>
      <c r="C60" t="s">
        <v>2085</v>
      </c>
    </row>
    <row r="61" spans="1:3" x14ac:dyDescent="0.25">
      <c r="A61" t="s">
        <v>0</v>
      </c>
      <c r="B61" t="s">
        <v>2121</v>
      </c>
      <c r="C61" t="s">
        <v>2145</v>
      </c>
    </row>
    <row r="62" spans="1:3" x14ac:dyDescent="0.25">
      <c r="A62" t="s">
        <v>0</v>
      </c>
      <c r="B62" t="s">
        <v>2076</v>
      </c>
      <c r="C62" t="s">
        <v>2115</v>
      </c>
    </row>
    <row r="63" spans="1:3" x14ac:dyDescent="0.25">
      <c r="A63" t="s">
        <v>0</v>
      </c>
      <c r="B63" t="s">
        <v>2122</v>
      </c>
      <c r="C63" t="s">
        <v>2084</v>
      </c>
    </row>
    <row r="64" spans="1:3" x14ac:dyDescent="0.25">
      <c r="A64" t="s">
        <v>0</v>
      </c>
      <c r="B64" t="s">
        <v>2123</v>
      </c>
      <c r="C64" t="s">
        <v>2081</v>
      </c>
    </row>
    <row r="65" spans="1:3" x14ac:dyDescent="0.25">
      <c r="A65" t="s">
        <v>0</v>
      </c>
      <c r="B65" t="s">
        <v>2124</v>
      </c>
      <c r="C65" t="s">
        <v>2081</v>
      </c>
    </row>
    <row r="66" spans="1:3" x14ac:dyDescent="0.25">
      <c r="A66" t="s">
        <v>0</v>
      </c>
      <c r="B66" t="s">
        <v>2125</v>
      </c>
      <c r="C66" t="s">
        <v>2146</v>
      </c>
    </row>
    <row r="67" spans="1:3" x14ac:dyDescent="0.25">
      <c r="A67" t="s">
        <v>0</v>
      </c>
      <c r="B67" t="s">
        <v>2126</v>
      </c>
      <c r="C67" t="s">
        <v>1973</v>
      </c>
    </row>
    <row r="68" spans="1:3" x14ac:dyDescent="0.25">
      <c r="A68" t="s">
        <v>0</v>
      </c>
      <c r="B68" t="s">
        <v>2127</v>
      </c>
      <c r="C68" t="s">
        <v>1969</v>
      </c>
    </row>
    <row r="69" spans="1:3" x14ac:dyDescent="0.25">
      <c r="A69" t="s">
        <v>0</v>
      </c>
      <c r="B69" t="s">
        <v>2128</v>
      </c>
      <c r="C69" t="s">
        <v>1970</v>
      </c>
    </row>
    <row r="70" spans="1:3" x14ac:dyDescent="0.25">
      <c r="A70" t="s">
        <v>0</v>
      </c>
      <c r="B70" t="s">
        <v>2129</v>
      </c>
      <c r="C70" t="s">
        <v>1971</v>
      </c>
    </row>
    <row r="71" spans="1:3" x14ac:dyDescent="0.25">
      <c r="A71" t="s">
        <v>0</v>
      </c>
      <c r="B71" t="s">
        <v>2130</v>
      </c>
      <c r="C71" t="s">
        <v>1975</v>
      </c>
    </row>
    <row r="72" spans="1:3" x14ac:dyDescent="0.25">
      <c r="A72" t="s">
        <v>0</v>
      </c>
      <c r="B72" t="s">
        <v>2131</v>
      </c>
      <c r="C72" t="s">
        <v>1972</v>
      </c>
    </row>
    <row r="73" spans="1:3" x14ac:dyDescent="0.25">
      <c r="A73" t="s">
        <v>0</v>
      </c>
      <c r="B73" t="s">
        <v>2132</v>
      </c>
      <c r="C73" t="s">
        <v>1974</v>
      </c>
    </row>
    <row r="74" spans="1:3" x14ac:dyDescent="0.25">
      <c r="A74" t="s">
        <v>0</v>
      </c>
      <c r="B74" t="s">
        <v>2068</v>
      </c>
      <c r="C74" t="s">
        <v>2070</v>
      </c>
    </row>
    <row r="75" spans="1:3" x14ac:dyDescent="0.25">
      <c r="A75" t="s">
        <v>0</v>
      </c>
      <c r="B75" t="s">
        <v>2060</v>
      </c>
      <c r="C75" t="s">
        <v>337</v>
      </c>
    </row>
    <row r="76" spans="1:3" x14ac:dyDescent="0.25">
      <c r="A76" t="s">
        <v>0</v>
      </c>
      <c r="B76" t="s">
        <v>2133</v>
      </c>
      <c r="C76" t="s">
        <v>2061</v>
      </c>
    </row>
    <row r="77" spans="1:3" x14ac:dyDescent="0.25">
      <c r="A77" t="s">
        <v>0</v>
      </c>
      <c r="B77" t="s">
        <v>1979</v>
      </c>
      <c r="C77" t="s">
        <v>2147</v>
      </c>
    </row>
    <row r="78" spans="1:3" x14ac:dyDescent="0.25">
      <c r="A78" t="s">
        <v>0</v>
      </c>
      <c r="B78" t="s">
        <v>2134</v>
      </c>
      <c r="C78" t="s">
        <v>2148</v>
      </c>
    </row>
    <row r="79" spans="1:3" x14ac:dyDescent="0.25">
      <c r="A79" t="s">
        <v>0</v>
      </c>
      <c r="B79" t="s">
        <v>2135</v>
      </c>
      <c r="C79" t="s">
        <v>1984</v>
      </c>
    </row>
    <row r="80" spans="1:3" x14ac:dyDescent="0.25">
      <c r="A80" t="s">
        <v>0</v>
      </c>
      <c r="B80" t="s">
        <v>2136</v>
      </c>
      <c r="C80" t="s">
        <v>2149</v>
      </c>
    </row>
    <row r="81" spans="1:4" x14ac:dyDescent="0.25">
      <c r="A81" t="s">
        <v>0</v>
      </c>
      <c r="B81" t="s">
        <v>2137</v>
      </c>
      <c r="C81" t="s">
        <v>2150</v>
      </c>
    </row>
    <row r="82" spans="1:4" x14ac:dyDescent="0.25">
      <c r="A82" t="s">
        <v>0</v>
      </c>
      <c r="B82" t="s">
        <v>2138</v>
      </c>
      <c r="C82" t="s">
        <v>2151</v>
      </c>
    </row>
    <row r="83" spans="1:4" x14ac:dyDescent="0.25">
      <c r="A83" t="s">
        <v>0</v>
      </c>
      <c r="B83" t="s">
        <v>2139</v>
      </c>
      <c r="C83" t="s">
        <v>2152</v>
      </c>
    </row>
    <row r="84" spans="1:4" x14ac:dyDescent="0.25">
      <c r="A84" t="s">
        <v>0</v>
      </c>
      <c r="B84" t="s">
        <v>2140</v>
      </c>
      <c r="C84" t="s">
        <v>2153</v>
      </c>
    </row>
    <row r="85" spans="1:4" x14ac:dyDescent="0.25">
      <c r="A85" t="s">
        <v>0</v>
      </c>
      <c r="B85" t="s">
        <v>2141</v>
      </c>
      <c r="C85" t="s">
        <v>1992</v>
      </c>
    </row>
    <row r="86" spans="1:4" x14ac:dyDescent="0.25">
      <c r="A86" t="s">
        <v>0</v>
      </c>
      <c r="B86" t="s">
        <v>2142</v>
      </c>
      <c r="C86" t="s">
        <v>1992</v>
      </c>
    </row>
    <row r="87" spans="1:4" x14ac:dyDescent="0.25">
      <c r="A87" t="s">
        <v>0</v>
      </c>
      <c r="B87" t="s">
        <v>2057</v>
      </c>
      <c r="C87" t="s">
        <v>2058</v>
      </c>
    </row>
    <row r="88" spans="1:4" x14ac:dyDescent="0.25">
      <c r="A88" t="s">
        <v>0</v>
      </c>
      <c r="B88" t="s">
        <v>2143</v>
      </c>
      <c r="C88" t="s">
        <v>2154</v>
      </c>
    </row>
    <row r="89" spans="1:4" x14ac:dyDescent="0.25">
      <c r="A89" t="s">
        <v>0</v>
      </c>
      <c r="B89" t="s">
        <v>2144</v>
      </c>
      <c r="C89" t="s">
        <v>2062</v>
      </c>
    </row>
    <row r="91" spans="1:4" x14ac:dyDescent="0.25">
      <c r="B91" s="45" t="s">
        <v>2262</v>
      </c>
    </row>
    <row r="92" spans="1:4" x14ac:dyDescent="0.25">
      <c r="A92" t="s">
        <v>0</v>
      </c>
      <c r="B92" s="46" t="s">
        <v>2178</v>
      </c>
      <c r="C92" t="s">
        <v>2008</v>
      </c>
    </row>
    <row r="93" spans="1:4" x14ac:dyDescent="0.25">
      <c r="A93" t="s">
        <v>0</v>
      </c>
      <c r="B93" s="46" t="s">
        <v>2179</v>
      </c>
      <c r="C93" t="s">
        <v>2075</v>
      </c>
      <c r="D93" t="s">
        <v>2381</v>
      </c>
    </row>
    <row r="94" spans="1:4" x14ac:dyDescent="0.25">
      <c r="A94" t="s">
        <v>0</v>
      </c>
      <c r="B94" s="46" t="s">
        <v>2180</v>
      </c>
      <c r="C94" t="s">
        <v>2088</v>
      </c>
    </row>
    <row r="95" spans="1:4" x14ac:dyDescent="0.25">
      <c r="A95" t="s">
        <v>0</v>
      </c>
      <c r="B95" s="46" t="s">
        <v>2181</v>
      </c>
      <c r="C95" t="s">
        <v>2074</v>
      </c>
    </row>
    <row r="96" spans="1:4" x14ac:dyDescent="0.25">
      <c r="A96" t="s">
        <v>0</v>
      </c>
      <c r="B96" s="46" t="s">
        <v>2182</v>
      </c>
      <c r="C96" t="s">
        <v>2105</v>
      </c>
    </row>
    <row r="97" spans="1:3" x14ac:dyDescent="0.25">
      <c r="A97" t="s">
        <v>0</v>
      </c>
      <c r="B97" s="46" t="s">
        <v>1322</v>
      </c>
      <c r="C97" t="s">
        <v>2185</v>
      </c>
    </row>
    <row r="98" spans="1:3" x14ac:dyDescent="0.25">
      <c r="A98" t="s">
        <v>0</v>
      </c>
      <c r="B98" s="46" t="s">
        <v>1965</v>
      </c>
      <c r="C98" t="s">
        <v>1966</v>
      </c>
    </row>
    <row r="99" spans="1:3" x14ac:dyDescent="0.25">
      <c r="A99" t="s">
        <v>2268</v>
      </c>
      <c r="B99" s="46" t="s">
        <v>2269</v>
      </c>
    </row>
    <row r="100" spans="1:3" x14ac:dyDescent="0.25">
      <c r="B100" s="4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2017-11-12T23:15:42Z</dcterms:modified>
</cp:coreProperties>
</file>